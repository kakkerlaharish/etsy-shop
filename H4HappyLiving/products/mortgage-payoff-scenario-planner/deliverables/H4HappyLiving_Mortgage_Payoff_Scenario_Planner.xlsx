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0d9a2e6a1047ea" /></Relationships>
</file>

<file path=xl/workbook.xml><?xml version="1.0" encoding="utf-8"?>
<x:workbook xmlns:x="http://schemas.openxmlformats.org/spreadsheetml/2006/main">
  <x:sheets>
    <x:sheet xmlns:r="http://schemas.openxmlformats.org/officeDocument/2006/relationships" name="Start Here" sheetId="1" r:id="R2e14e72c79dd47b9"/>
    <x:sheet xmlns:r="http://schemas.openxmlformats.org/officeDocument/2006/relationships" name="Your Mortgage" sheetId="2" r:id="R2485b25c9f064501"/>
    <x:sheet xmlns:r="http://schemas.openxmlformats.org/officeDocument/2006/relationships" name="Dashboard" sheetId="3" r:id="R7f9ccc4126db4354"/>
    <x:sheet xmlns:r="http://schemas.openxmlformats.org/officeDocument/2006/relationships" name="Amortization" sheetId="4" r:id="Rcab9dfa4bd8a4361"/>
    <x:sheet xmlns:r="http://schemas.openxmlformats.org/officeDocument/2006/relationships" name="Payment Log" sheetId="5" r:id="R3898935798d842a5"/>
    <x:sheet xmlns:r="http://schemas.openxmlformats.org/officeDocument/2006/relationships" name="Checks" sheetId="6" r:id="R1ca44a4df57b422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
    <x:numFmt numFmtId="203" formatCode="mmm d, yyyy"/>
    <x:numFmt numFmtId="204" formatCode="mmm yyyy"/>
  </x:numFmts>
  <x:fonts count="20">
    <x:font>
      <x:sz val="11"/>
      <x:name val="Carlito"/>
    </x:font>
    <x:font>
      <x:sz val="10"/>
      <x:color rgb="FF24332F"/>
      <x:name val="Arial"/>
    </x:font>
    <x:font>
      <x:b/>
      <x:sz val="22"/>
      <x:color rgb="FFFFFFFF"/>
      <x:name val="Arial"/>
    </x:font>
    <x:font>
      <x:i/>
      <x:sz val="11"/>
      <x:color rgb="FF24332F"/>
      <x:name val="Arial"/>
    </x:font>
    <x:font>
      <x:b/>
      <x:sz val="12"/>
      <x:color rgb="FF24332F"/>
      <x:name val="Arial"/>
    </x:font>
    <x:font>
      <x:b/>
      <x:sz val="14"/>
      <x:color rgb="FF24332F"/>
      <x:name val="Arial"/>
    </x:font>
    <x:font>
      <x:b/>
      <x:sz val="10"/>
      <x:color rgb="FF285247"/>
      <x:name val="Arial"/>
    </x:font>
    <x:font>
      <x:b/>
      <x:sz val="10"/>
      <x:color rgb="FFFFFFFF"/>
      <x:name val="Arial"/>
    </x:font>
    <x:font>
      <x:b/>
      <x:sz val="15"/>
      <x:color rgb="FF285247"/>
      <x:name val="Arial"/>
    </x:font>
    <x:font>
      <x:b/>
      <x:sz val="10"/>
      <x:color rgb="FF24332F"/>
      <x:name val="Arial"/>
    </x:font>
    <x:font>
      <x:b/>
      <x:sz val="10"/>
      <x:color rgb="FF1F4E79"/>
      <x:name val="Arial"/>
    </x:font>
    <x:font>
      <x:b/>
      <x:sz val="10"/>
      <x:color rgb="FF000000"/>
      <x:name val="Arial"/>
    </x:font>
    <x:font>
      <x:b/>
      <x:sz val="10"/>
      <x:color rgb="FF008000"/>
      <x:name val="Arial"/>
    </x:font>
    <x:font>
      <x:b/>
      <x:sz val="11"/>
      <x:color rgb="FF24332F"/>
      <x:name val="Arial"/>
    </x:font>
    <x:font>
      <x:b/>
      <x:sz val="9"/>
      <x:color rgb="FFFFFFFF"/>
      <x:name val="Arial"/>
    </x:font>
    <x:font>
      <x:b/>
      <x:sz val="11"/>
      <x:color rgb="FF008000"/>
      <x:name val="Arial"/>
    </x:font>
    <x:font>
      <x:b/>
      <x:sz val="11"/>
      <x:color rgb="FF285247"/>
      <x:name val="Arial"/>
    </x:font>
    <x:font>
      <x:sz val="9"/>
      <x:color rgb="FF24332F"/>
      <x:name val="Arial"/>
    </x:font>
    <x:font>
      <x:sz val="10"/>
      <x:color rgb="FF1F4E79"/>
      <x:name val="Arial"/>
    </x:font>
    <x:font>
      <x:b/>
      <x:sz val="13"/>
      <x:color rgb="FFFFFFFF"/>
      <x:name val="Arial"/>
    </x:font>
  </x:fonts>
  <x:fills count="11">
    <x:fill>
      <x:patternFill patternType="none"/>
    </x:fill>
    <x:fill>
      <x:patternFill patternType="gray125"/>
    </x:fill>
    <x:fill>
      <x:patternFill patternType="solid">
        <x:fgColor rgb="FF285247"/>
      </x:patternFill>
    </x:fill>
    <x:fill>
      <x:patternFill patternType="solid">
        <x:fgColor rgb="FFFFF9F1"/>
      </x:patternFill>
    </x:fill>
    <x:fill>
      <x:patternFill patternType="solid">
        <x:fgColor rgb="FFB8D2C5"/>
      </x:patternFill>
    </x:fill>
    <x:fill>
      <x:patternFill patternType="solid">
        <x:fgColor rgb="FFF2B84B"/>
      </x:patternFill>
    </x:fill>
    <x:fill>
      <x:patternFill patternType="solid">
        <x:fgColor rgb="FFFFF1DE"/>
      </x:patternFill>
    </x:fill>
    <x:fill>
      <x:patternFill patternType="solid">
        <x:fgColor rgb="FFEAF4FF"/>
      </x:patternFill>
    </x:fill>
    <x:fill>
      <x:patternFill patternType="solid">
        <x:fgColor rgb="FF77AFC2"/>
      </x:patternFill>
    </x:fill>
    <x:fill>
      <x:patternFill patternType="solid">
        <x:fgColor rgb="FFFFFCF2"/>
      </x:patternFill>
    </x:fill>
    <x:fill>
      <x:patternFill patternType="solid">
        <x:fgColor rgb="FFF5FAFC"/>
      </x:patternFill>
    </x:fill>
  </x:fills>
  <x:borders count="25">
    <x:border/>
    <x:border>
      <x:left style="thin">
        <x:color rgb="FFD7E2DC"/>
      </x:left>
      <x:right style="thin">
        <x:color rgb="FFD7E2DC"/>
      </x:right>
      <x:top style="thin">
        <x:color rgb="FFD7E2DC"/>
      </x:top>
      <x:bottom style="thin">
        <x:color rgb="FFD7E2DC"/>
      </x:bottom>
    </x:border>
    <x:border>
      <x:left style="thin">
        <x:color rgb="FFF2B84B"/>
      </x:left>
      <x:top style="thin">
        <x:color rgb="FFF2B84B"/>
      </x:top>
    </x:border>
    <x:border>
      <x:top style="thin">
        <x:color rgb="FFF2B84B"/>
      </x:top>
    </x:border>
    <x:border>
      <x:right style="thin">
        <x:color rgb="FFF2B84B"/>
      </x:right>
      <x:top style="thin">
        <x:color rgb="FFF2B84B"/>
      </x:top>
    </x:border>
    <x:border>
      <x:left style="thin">
        <x:color rgb="FFF2B84B"/>
      </x:left>
    </x:border>
    <x:border>
      <x:right style="thin">
        <x:color rgb="FFF2B84B"/>
      </x:right>
    </x:border>
    <x:border>
      <x:left style="thin">
        <x:color rgb="FFF2B84B"/>
      </x:left>
      <x:bottom style="thin">
        <x:color rgb="FFF2B84B"/>
      </x:bottom>
    </x:border>
    <x:border>
      <x:bottom style="thin">
        <x:color rgb="FFF2B84B"/>
      </x:bottom>
    </x:border>
    <x:border>
      <x:right style="thin">
        <x:color rgb="FFF2B84B"/>
      </x:right>
      <x:bottom style="thin">
        <x:color rgb="FFF2B84B"/>
      </x:bottom>
    </x:border>
    <x:border>
      <x:left style="medium">
        <x:color rgb="FF285247"/>
      </x:left>
      <x:top style="medium">
        <x:color rgb="FF285247"/>
      </x:top>
    </x:border>
    <x:border>
      <x:top style="medium">
        <x:color rgb="FF285247"/>
      </x:top>
    </x:border>
    <x:border>
      <x:right style="medium">
        <x:color rgb="FF285247"/>
      </x:right>
      <x:top style="medium">
        <x:color rgb="FF285247"/>
      </x:top>
    </x:border>
    <x:border>
      <x:left style="medium">
        <x:color rgb="FF285247"/>
      </x:left>
      <x:bottom style="medium">
        <x:color rgb="FF285247"/>
      </x:bottom>
    </x:border>
    <x:border>
      <x:bottom style="medium">
        <x:color rgb="FF285247"/>
      </x:bottom>
    </x:border>
    <x:border>
      <x:right style="medium">
        <x:color rgb="FF285247"/>
      </x:right>
      <x:bottom style="medium">
        <x:color rgb="FF285247"/>
      </x:bottom>
    </x:border>
    <x:border>
      <x:left style="thin">
        <x:color rgb="FFE7ECE9"/>
      </x:left>
      <x:right style="thin">
        <x:color rgb="FFE7ECE9"/>
      </x:right>
      <x:top style="thin">
        <x:color rgb="FFE7ECE9"/>
      </x:top>
      <x:bottom style="thin">
        <x:color rgb="FFE7ECE9"/>
      </x:bottom>
    </x:border>
    <x:border>
      <x:left style="medium">
        <x:color rgb="FFD7E2DC"/>
      </x:left>
      <x:top style="medium">
        <x:color rgb="FFD7E2DC"/>
      </x:top>
    </x:border>
    <x:border>
      <x:top style="medium">
        <x:color rgb="FFD7E2DC"/>
      </x:top>
    </x:border>
    <x:border>
      <x:right style="medium">
        <x:color rgb="FFD7E2DC"/>
      </x:right>
      <x:top style="medium">
        <x:color rgb="FFD7E2DC"/>
      </x:top>
    </x:border>
    <x:border>
      <x:left style="medium">
        <x:color rgb="FFD7E2DC"/>
      </x:left>
    </x:border>
    <x:border>
      <x:right style="medium">
        <x:color rgb="FFD7E2DC"/>
      </x:right>
    </x:border>
    <x:border>
      <x:left style="medium">
        <x:color rgb="FFD7E2DC"/>
      </x:left>
      <x:bottom style="medium">
        <x:color rgb="FFD7E2DC"/>
      </x:bottom>
    </x:border>
    <x:border>
      <x:bottom style="medium">
        <x:color rgb="FFD7E2DC"/>
      </x:bottom>
    </x:border>
    <x:border>
      <x:right style="medium">
        <x:color rgb="FFD7E2DC"/>
      </x:right>
      <x:bottom style="medium">
        <x:color rgb="FFD7E2DC"/>
      </x:bottom>
    </x:border>
  </x:borders>
  <x:cellStyleXfs count="1">
    <x:xf numFmtId="0" fontId="0" fillId="0" borderId="0"/>
  </x:cellStyleXfs>
  <x:cellXfs count="24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6" fillId="0" borderId="0" xfId="0" applyNumberFormat="1" applyFont="1" applyFill="1" applyBorder="1"/>
    <x:xf numFmtId="0" fontId="1" fillId="0" borderId="0" xfId="0" applyNumberFormat="1" applyFont="1" applyFill="1" applyBorder="1" applyAlignment="1">
      <x:alignment wrapText="1"/>
    </x:xf>
    <x:xf numFmtId="0" fontId="5" fillId="5" borderId="1" xfId="0" applyNumberFormat="1" applyFont="1" applyFill="1" applyBorder="1" applyAlignment="1">
      <x:alignment horizontal="center" vertical="center"/>
    </x:xf>
    <x:xf numFmtId="0" fontId="6" fillId="0" borderId="1" xfId="0" applyNumberFormat="1" applyFont="1" applyFill="1" applyBorder="1"/>
    <x:xf numFmtId="0" fontId="1" fillId="0" borderId="1" xfId="0" applyNumberFormat="1" applyFont="1" applyFill="1" applyBorder="1" applyAlignment="1">
      <x:alignment wrapText="1"/>
    </x:xf>
    <x:xf numFmtId="0" fontId="7" fillId="2"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horizontal="center"/>
    </x:xf>
    <x:xf numFmtId="0" fontId="1" fillId="6" borderId="0" xfId="0" applyNumberFormat="1" applyFont="1" applyFill="1" applyBorder="1"/>
    <x:xf numFmtId="0" fontId="1" fillId="6" borderId="2" xfId="0" applyNumberFormat="1" applyFont="1" applyFill="1" applyBorder="1"/>
    <x:xf numFmtId="0" fontId="1" fillId="6" borderId="3" xfId="0" applyNumberFormat="1" applyFont="1" applyFill="1" applyBorder="1"/>
    <x:xf numFmtId="0" fontId="1" fillId="6" borderId="4" xfId="0" applyNumberFormat="1" applyFont="1" applyFill="1" applyBorder="1"/>
    <x:xf numFmtId="0" fontId="1" fillId="6" borderId="5" xfId="0" applyNumberFormat="1" applyFont="1" applyFill="1" applyBorder="1"/>
    <x:xf numFmtId="0" fontId="1" fillId="6" borderId="6" xfId="0" applyNumberFormat="1" applyFont="1" applyFill="1" applyBorder="1"/>
    <x:xf numFmtId="0" fontId="1" fillId="6" borderId="7" xfId="0" applyNumberFormat="1" applyFont="1" applyFill="1" applyBorder="1"/>
    <x:xf numFmtId="0" fontId="1" fillId="6" borderId="8" xfId="0" applyNumberFormat="1" applyFont="1" applyFill="1" applyBorder="1"/>
    <x:xf numFmtId="0" fontId="1" fillId="6" borderId="9" xfId="0" applyNumberFormat="1" applyFont="1" applyFill="1" applyBorder="1"/>
    <x:xf numFmtId="0" fontId="1" fillId="6" borderId="2" xfId="0" applyNumberFormat="1" applyFont="1" applyFill="1" applyBorder="1" applyAlignment="1">
      <x:alignment wrapText="1"/>
    </x:xf>
    <x:xf numFmtId="0" fontId="1" fillId="6" borderId="3" xfId="0" applyNumberFormat="1" applyFont="1" applyFill="1" applyBorder="1" applyAlignment="1">
      <x:alignment wrapText="1"/>
    </x:xf>
    <x:xf numFmtId="0" fontId="1" fillId="6" borderId="4" xfId="0" applyNumberFormat="1" applyFont="1" applyFill="1" applyBorder="1" applyAlignment="1">
      <x:alignment wrapText="1"/>
    </x:xf>
    <x:xf numFmtId="0" fontId="1" fillId="6" borderId="5" xfId="0" applyNumberFormat="1" applyFont="1" applyFill="1" applyBorder="1" applyAlignment="1">
      <x:alignment wrapText="1"/>
    </x:xf>
    <x:xf numFmtId="0" fontId="1" fillId="6" borderId="0" xfId="0" applyNumberFormat="1" applyFont="1" applyFill="1" applyBorder="1" applyAlignment="1">
      <x:alignment wrapText="1"/>
    </x:xf>
    <x:xf numFmtId="0" fontId="1" fillId="6" borderId="6" xfId="0" applyNumberFormat="1" applyFont="1" applyFill="1" applyBorder="1" applyAlignment="1">
      <x:alignment wrapText="1"/>
    </x:xf>
    <x:xf numFmtId="0" fontId="1" fillId="6" borderId="7" xfId="0" applyNumberFormat="1" applyFont="1" applyFill="1" applyBorder="1" applyAlignment="1">
      <x:alignment wrapText="1"/>
    </x:xf>
    <x:xf numFmtId="0" fontId="1" fillId="6" borderId="8" xfId="0" applyNumberFormat="1" applyFont="1" applyFill="1" applyBorder="1" applyAlignment="1">
      <x:alignment wrapText="1"/>
    </x:xf>
    <x:xf numFmtId="0" fontId="1" fillId="6" borderId="9" xfId="0" applyNumberFormat="1" applyFont="1" applyFill="1" applyBorder="1" applyAlignment="1">
      <x:alignment wrapText="1"/>
    </x:xf>
    <x:xf numFmtId="0" fontId="1" fillId="6" borderId="2" xfId="0" applyNumberFormat="1" applyFont="1" applyFill="1" applyBorder="1" applyAlignment="1">
      <x:alignment vertical="center" wrapText="1"/>
    </x:xf>
    <x:xf numFmtId="0" fontId="1" fillId="6" borderId="3"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0" fontId="1" fillId="6" borderId="5"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6" borderId="8"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0" fontId="8" fillId="4" borderId="0" xfId="0" applyNumberFormat="1" applyFont="1" applyFill="1" applyBorder="1"/>
    <x:xf numFmtId="0" fontId="8" fillId="4" borderId="10" xfId="0" applyNumberFormat="1" applyFont="1" applyFill="1" applyBorder="1"/>
    <x:xf numFmtId="0" fontId="8" fillId="4" borderId="11" xfId="0" applyNumberFormat="1" applyFont="1" applyFill="1" applyBorder="1"/>
    <x:xf numFmtId="0" fontId="8" fillId="4" borderId="12" xfId="0" applyNumberFormat="1" applyFont="1" applyFill="1" applyBorder="1"/>
    <x:xf numFmtId="0" fontId="8" fillId="4" borderId="13" xfId="0" applyNumberFormat="1" applyFont="1" applyFill="1" applyBorder="1"/>
    <x:xf numFmtId="0" fontId="8" fillId="4" borderId="14" xfId="0" applyNumberFormat="1" applyFont="1" applyFill="1" applyBorder="1"/>
    <x:xf numFmtId="0" fontId="8" fillId="4" borderId="15" xfId="0" applyNumberFormat="1" applyFont="1" applyFill="1" applyBorder="1"/>
    <x:xf numFmtId="0" fontId="8" fillId="4" borderId="10" xfId="0" applyNumberFormat="1" applyFont="1" applyFill="1" applyBorder="1" applyAlignment="1">
      <x:alignment horizontal="center"/>
    </x:xf>
    <x:xf numFmtId="0" fontId="8" fillId="4" borderId="11" xfId="0" applyNumberFormat="1" applyFont="1" applyFill="1" applyBorder="1" applyAlignment="1">
      <x:alignment horizontal="center"/>
    </x:xf>
    <x:xf numFmtId="0" fontId="8" fillId="4" borderId="12" xfId="0" applyNumberFormat="1" applyFont="1" applyFill="1" applyBorder="1" applyAlignment="1">
      <x:alignment horizontal="center"/>
    </x:xf>
    <x:xf numFmtId="0" fontId="8" fillId="4" borderId="13" xfId="0" applyNumberFormat="1" applyFont="1" applyFill="1" applyBorder="1" applyAlignment="1">
      <x:alignment horizontal="center"/>
    </x:xf>
    <x:xf numFmtId="0" fontId="8" fillId="4" borderId="14" xfId="0" applyNumberFormat="1" applyFont="1" applyFill="1" applyBorder="1" applyAlignment="1">
      <x:alignment horizontal="center"/>
    </x:xf>
    <x:xf numFmtId="0" fontId="8" fillId="4" borderId="15" xfId="0" applyNumberFormat="1" applyFont="1" applyFill="1" applyBorder="1" applyAlignment="1">
      <x:alignment horizontal="center"/>
    </x:xf>
    <x:xf numFmtId="0" fontId="8" fillId="4" borderId="10" xfId="0" applyNumberFormat="1" applyFont="1" applyFill="1" applyBorder="1" applyAlignment="1">
      <x:alignment horizontal="center" vertical="center"/>
    </x:xf>
    <x:xf numFmtId="0" fontId="8" fillId="4" borderId="11" xfId="0" applyNumberFormat="1" applyFont="1" applyFill="1" applyBorder="1" applyAlignment="1">
      <x:alignment horizontal="center" vertical="center"/>
    </x:xf>
    <x:xf numFmtId="0" fontId="8" fillId="4" borderId="12" xfId="0" applyNumberFormat="1" applyFont="1" applyFill="1" applyBorder="1" applyAlignment="1">
      <x:alignment horizontal="center" vertical="center"/>
    </x:xf>
    <x:xf numFmtId="0" fontId="8" fillId="4" borderId="13" xfId="0" applyNumberFormat="1" applyFont="1" applyFill="1" applyBorder="1" applyAlignment="1">
      <x:alignment horizontal="center" vertical="center"/>
    </x:xf>
    <x:xf numFmtId="0" fontId="8" fillId="4" borderId="14" xfId="0" applyNumberFormat="1" applyFont="1" applyFill="1" applyBorder="1" applyAlignment="1">
      <x:alignment horizontal="center" vertical="center"/>
    </x:xf>
    <x:xf numFmtId="0" fontId="8" fillId="4" borderId="15" xfId="0" applyNumberFormat="1" applyFont="1" applyFill="1" applyBorder="1" applyAlignment="1">
      <x:alignment horizontal="center" vertical="center"/>
    </x:xf>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 fillId="7" borderId="0" xfId="0" applyNumberFormat="1" applyFont="1" applyFill="1" applyBorder="1"/>
    <x:xf numFmtId="0" fontId="10" fillId="7" borderId="0" xfId="0" applyNumberFormat="1" applyFont="1" applyFill="1" applyBorder="1"/>
    <x:xf numFmtId="0" fontId="11" fillId="3" borderId="0" xfId="0" applyNumberFormat="1" applyFont="1" applyFill="1" applyBorder="1"/>
    <x:xf numFmtId="0" fontId="9" fillId="0" borderId="1" xfId="0" applyNumberFormat="1" applyFont="1" applyFill="1" applyBorder="1"/>
    <x:xf numFmtId="0" fontId="10" fillId="7" borderId="1" xfId="0" applyNumberFormat="1" applyFont="1" applyFill="1" applyBorder="1"/>
    <x:xf numFmtId="0" fontId="11" fillId="3" borderId="1" xfId="0" applyNumberFormat="1" applyFont="1" applyFill="1" applyBorder="1"/>
    <x:xf numFmtId="200" fontId="10" fillId="7" borderId="1" xfId="0" applyNumberFormat="1" applyFont="1" applyFill="1" applyBorder="1"/>
    <x:xf numFmtId="201" fontId="10" fillId="7" borderId="1" xfId="0" applyNumberFormat="1" applyFont="1" applyFill="1" applyBorder="1"/>
    <x:xf numFmtId="202" fontId="10" fillId="7" borderId="1" xfId="0" applyNumberFormat="1" applyFont="1" applyFill="1" applyBorder="1"/>
    <x:xf numFmtId="203" fontId="10" fillId="7" borderId="1" xfId="0" applyNumberFormat="1" applyFont="1" applyFill="1" applyBorder="1"/>
    <x:xf numFmtId="200" fontId="11" fillId="3" borderId="1" xfId="0" applyNumberFormat="1" applyFont="1" applyFill="1" applyBorder="1"/>
    <x:xf numFmtId="202" fontId="11" fillId="3" borderId="1"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1"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vertical="center"/>
    </x:xf>
    <x:xf numFmtId="0" fontId="13" fillId="4" borderId="0" xfId="0" applyNumberFormat="1" applyFont="1" applyFill="1" applyBorder="1"/>
    <x:xf numFmtId="0" fontId="13" fillId="4" borderId="0" xfId="0" applyNumberFormat="1" applyFont="1" applyFill="1" applyBorder="1" applyAlignment="1">
      <x:alignment horizontal="center"/>
    </x:xf>
    <x:xf numFmtId="0" fontId="13" fillId="4" borderId="0" xfId="0" applyNumberFormat="1" applyFont="1" applyFill="1" applyBorder="1" applyAlignment="1">
      <x:alignment horizontal="center" vertical="center"/>
    </x:xf>
    <x:xf numFmtId="0" fontId="14" fillId="2" borderId="0" xfId="0" applyNumberFormat="1" applyFont="1" applyFill="1" applyBorder="1"/>
    <x:xf numFmtId="0" fontId="14" fillId="2" borderId="1" xfId="0" applyNumberFormat="1" applyFont="1" applyFill="1" applyBorder="1"/>
    <x:xf numFmtId="0" fontId="14" fillId="2" borderId="1" xfId="0" applyNumberFormat="1" applyFont="1" applyFill="1" applyBorder="1" applyAlignment="1">
      <x:alignment wrapText="1"/>
    </x:xf>
    <x:xf numFmtId="0" fontId="14" fillId="2" borderId="1" xfId="0" applyNumberFormat="1" applyFont="1" applyFill="1" applyBorder="1" applyAlignment="1">
      <x:alignment horizontal="center" wrapText="1"/>
    </x:xf>
    <x:xf numFmtId="0" fontId="14" fillId="2" borderId="1" xfId="0" applyNumberFormat="1" applyFont="1" applyFill="1" applyBorder="1" applyAlignment="1">
      <x:alignment horizontal="center" vertical="center" wrapText="1"/>
    </x:xf>
    <x:xf numFmtId="0" fontId="1" fillId="0" borderId="16" xfId="0" applyNumberFormat="1" applyFont="1" applyFill="1" applyBorder="1"/>
    <x:xf numFmtId="0" fontId="1" fillId="3" borderId="16" xfId="0" applyNumberFormat="1" applyFont="1" applyFill="1" applyBorder="1"/>
    <x:xf numFmtId="0" fontId="1" fillId="9" borderId="16" xfId="0" applyNumberFormat="1" applyFont="1" applyFill="1" applyBorder="1"/>
    <x:xf numFmtId="0" fontId="1" fillId="10" borderId="16" xfId="0" applyNumberFormat="1" applyFont="1" applyFill="1" applyBorder="1"/>
    <x:xf numFmtId="204" fontId="1" fillId="3" borderId="16" xfId="0" applyNumberFormat="1" applyFont="1" applyFill="1" applyBorder="1"/>
    <x:xf numFmtId="200" fontId="1" fillId="0" borderId="16" xfId="0" applyNumberFormat="1" applyFont="1" applyFill="1" applyBorder="1"/>
    <x:xf numFmtId="200" fontId="1" fillId="9" borderId="16" xfId="0" applyNumberFormat="1" applyFont="1" applyFill="1" applyBorder="1"/>
    <x:xf numFmtId="200" fontId="1" fillId="10"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0" fontId="1" fillId="0" borderId="19" xfId="0" applyNumberFormat="1" applyFont="1" applyFill="1" applyBorder="1"/>
    <x:xf numFmtId="0" fontId="1" fillId="0" borderId="20" xfId="0" applyNumberFormat="1" applyFont="1" applyFill="1" applyBorder="1"/>
    <x:xf numFmtId="0" fontId="1" fillId="0" borderId="21" xfId="0" applyNumberFormat="1" applyFont="1" applyFill="1" applyBorder="1"/>
    <x:xf numFmtId="0" fontId="1" fillId="0" borderId="22" xfId="0" applyNumberFormat="1" applyFont="1" applyFill="1" applyBorder="1"/>
    <x:xf numFmtId="0" fontId="1" fillId="0" borderId="23" xfId="0" applyNumberFormat="1" applyFont="1" applyFill="1" applyBorder="1"/>
    <x:xf numFmtId="0" fontId="1" fillId="0" borderId="24" xfId="0" applyNumberFormat="1" applyFont="1" applyFill="1" applyBorder="1"/>
    <x:xf numFmtId="0" fontId="9" fillId="0" borderId="17" xfId="0" applyNumberFormat="1" applyFont="1" applyFill="1" applyBorder="1"/>
    <x:xf numFmtId="0" fontId="9" fillId="0" borderId="18" xfId="0" applyNumberFormat="1" applyFont="1" applyFill="1" applyBorder="1"/>
    <x:xf numFmtId="0" fontId="9" fillId="0" borderId="20" xfId="0" applyNumberFormat="1" applyFont="1" applyFill="1" applyBorder="1"/>
    <x:xf numFmtId="0" fontId="9" fillId="0" borderId="22" xfId="0" applyNumberFormat="1" applyFont="1" applyFill="1" applyBorder="1"/>
    <x:xf numFmtId="0" fontId="9" fillId="0" borderId="23" xfId="0" applyNumberFormat="1" applyFont="1" applyFill="1" applyBorder="1"/>
    <x:xf numFmtId="0" fontId="15" fillId="0" borderId="18" xfId="0" applyNumberFormat="1" applyFont="1" applyFill="1" applyBorder="1"/>
    <x:xf numFmtId="0" fontId="15" fillId="0" borderId="0" xfId="0" applyNumberFormat="1" applyFont="1" applyFill="1" applyBorder="1"/>
    <x:xf numFmtId="0" fontId="15" fillId="0" borderId="23" xfId="0" applyNumberFormat="1" applyFont="1" applyFill="1" applyBorder="1"/>
    <x:xf numFmtId="0" fontId="15" fillId="0" borderId="18" xfId="0" applyNumberFormat="1" applyFont="1" applyFill="1" applyBorder="1" applyAlignment="1">
      <x:alignment horizontal="right"/>
    </x:xf>
    <x:xf numFmtId="0" fontId="15" fillId="0" borderId="0" xfId="0" applyNumberFormat="1" applyFont="1" applyFill="1" applyBorder="1" applyAlignment="1">
      <x:alignment horizontal="right"/>
    </x:xf>
    <x:xf numFmtId="0" fontId="15" fillId="0" borderId="23" xfId="0" applyNumberFormat="1" applyFont="1" applyFill="1" applyBorder="1" applyAlignment="1">
      <x:alignment horizontal="right"/>
    </x:xf>
    <x:xf numFmtId="200" fontId="15" fillId="0" borderId="18" xfId="0" applyNumberFormat="1" applyFont="1" applyFill="1" applyBorder="1" applyAlignment="1">
      <x:alignment horizontal="right"/>
    </x:xf>
    <x:xf numFmtId="200" fontId="15" fillId="0" borderId="0" xfId="0" applyNumberFormat="1" applyFont="1" applyFill="1" applyBorder="1" applyAlignment="1">
      <x:alignment horizontal="right"/>
    </x:xf>
    <x:xf numFmtId="200" fontId="15" fillId="0" borderId="23" xfId="0" applyNumberFormat="1" applyFont="1" applyFill="1" applyBorder="1" applyAlignment="1">
      <x:alignment horizontal="right"/>
    </x:xf>
    <x:xf numFmtId="204" fontId="15" fillId="0" borderId="0" xfId="0" applyNumberFormat="1" applyFont="1" applyFill="1" applyBorder="1" applyAlignment="1">
      <x:alignment horizontal="right"/>
    </x:xf>
    <x:xf numFmtId="202" fontId="15" fillId="0" borderId="0" xfId="0" applyNumberFormat="1" applyFont="1" applyFill="1" applyBorder="1" applyAlignment="1">
      <x:alignment horizontal="right"/>
    </x:xf>
    <x:xf numFmtId="0" fontId="7" fillId="2" borderId="0" xfId="0" applyNumberFormat="1" applyFont="1" applyFill="1" applyBorder="1" applyAlignment="1">
      <x:alignment wrapText="1"/>
    </x:xf>
    <x:xf numFmtId="0" fontId="1" fillId="3" borderId="1" xfId="0" applyNumberFormat="1" applyFont="1" applyFill="1" applyBorder="1"/>
    <x:xf numFmtId="0" fontId="16" fillId="3" borderId="1" xfId="0" applyNumberFormat="1" applyFont="1" applyFill="1" applyBorder="1"/>
    <x:xf numFmtId="200" fontId="1" fillId="0" borderId="1" xfId="0" applyNumberFormat="1" applyFont="1" applyFill="1" applyBorder="1"/>
    <x:xf numFmtId="204" fontId="1" fillId="0" borderId="1" xfId="0" applyNumberFormat="1" applyFont="1" applyFill="1" applyBorder="1"/>
    <x:xf numFmtId="200" fontId="1" fillId="0" borderId="1" xfId="0" applyNumberFormat="1" applyFont="1" applyFill="1" applyBorder="1" applyAlignment="1">
      <x:alignment horizontal="center"/>
    </x:xf>
    <x:xf numFmtId="204" fontId="1" fillId="0" borderId="1" xfId="0" applyNumberFormat="1" applyFont="1" applyFill="1" applyBorder="1" applyAlignment="1">
      <x:alignment horizontal="center"/>
    </x:xf>
    <x:xf numFmtId="0" fontId="17" fillId="6" borderId="0" xfId="0" applyNumberFormat="1" applyFont="1" applyFill="1" applyBorder="1"/>
    <x:xf numFmtId="0" fontId="17" fillId="6" borderId="2" xfId="0" applyNumberFormat="1" applyFont="1" applyFill="1" applyBorder="1"/>
    <x:xf numFmtId="0" fontId="17" fillId="6" borderId="3" xfId="0" applyNumberFormat="1" applyFont="1" applyFill="1" applyBorder="1"/>
    <x:xf numFmtId="0" fontId="17" fillId="6" borderId="4" xfId="0" applyNumberFormat="1" applyFont="1" applyFill="1" applyBorder="1"/>
    <x:xf numFmtId="0" fontId="17" fillId="6" borderId="5" xfId="0" applyNumberFormat="1" applyFont="1" applyFill="1" applyBorder="1"/>
    <x:xf numFmtId="0" fontId="17" fillId="6" borderId="6" xfId="0" applyNumberFormat="1" applyFont="1" applyFill="1" applyBorder="1"/>
    <x:xf numFmtId="0" fontId="17" fillId="6" borderId="7" xfId="0" applyNumberFormat="1" applyFont="1" applyFill="1" applyBorder="1"/>
    <x:xf numFmtId="0" fontId="17" fillId="6" borderId="8" xfId="0" applyNumberFormat="1" applyFont="1" applyFill="1" applyBorder="1"/>
    <x:xf numFmtId="0" fontId="17" fillId="6" borderId="9" xfId="0" applyNumberFormat="1" applyFont="1" applyFill="1" applyBorder="1"/>
    <x:xf numFmtId="0" fontId="17" fillId="6" borderId="2" xfId="0" applyNumberFormat="1" applyFont="1" applyFill="1" applyBorder="1" applyAlignment="1">
      <x:alignment wrapText="1"/>
    </x:xf>
    <x:xf numFmtId="0" fontId="17" fillId="6" borderId="3" xfId="0" applyNumberFormat="1" applyFont="1" applyFill="1" applyBorder="1" applyAlignment="1">
      <x:alignment wrapText="1"/>
    </x:xf>
    <x:xf numFmtId="0" fontId="17" fillId="6" borderId="4" xfId="0" applyNumberFormat="1" applyFont="1" applyFill="1" applyBorder="1" applyAlignment="1">
      <x:alignment wrapText="1"/>
    </x:xf>
    <x:xf numFmtId="0" fontId="17" fillId="6" borderId="5" xfId="0" applyNumberFormat="1" applyFont="1" applyFill="1" applyBorder="1" applyAlignment="1">
      <x:alignment wrapText="1"/>
    </x:xf>
    <x:xf numFmtId="0" fontId="17" fillId="6" borderId="0" xfId="0" applyNumberFormat="1" applyFont="1" applyFill="1" applyBorder="1" applyAlignment="1">
      <x:alignment wrapText="1"/>
    </x:xf>
    <x:xf numFmtId="0" fontId="17" fillId="6" borderId="6" xfId="0" applyNumberFormat="1" applyFont="1" applyFill="1" applyBorder="1" applyAlignment="1">
      <x:alignment wrapText="1"/>
    </x:xf>
    <x:xf numFmtId="0" fontId="17" fillId="6" borderId="7" xfId="0" applyNumberFormat="1" applyFont="1" applyFill="1" applyBorder="1" applyAlignment="1">
      <x:alignment wrapText="1"/>
    </x:xf>
    <x:xf numFmtId="0" fontId="17" fillId="6" borderId="8" xfId="0" applyNumberFormat="1" applyFont="1" applyFill="1" applyBorder="1" applyAlignment="1">
      <x:alignment wrapText="1"/>
    </x:xf>
    <x:xf numFmtId="0" fontId="17" fillId="6" borderId="9" xfId="0" applyNumberFormat="1" applyFont="1" applyFill="1" applyBorder="1" applyAlignment="1">
      <x:alignment wrapText="1"/>
    </x:xf>
    <x:xf numFmtId="0" fontId="17" fillId="6" borderId="2" xfId="0" applyNumberFormat="1" applyFont="1" applyFill="1" applyBorder="1" applyAlignment="1">
      <x:alignment vertical="center" wrapText="1"/>
    </x:xf>
    <x:xf numFmtId="0" fontId="17" fillId="6" borderId="3" xfId="0" applyNumberFormat="1" applyFont="1" applyFill="1" applyBorder="1" applyAlignment="1">
      <x:alignment vertical="center" wrapText="1"/>
    </x:xf>
    <x:xf numFmtId="0" fontId="17" fillId="6" borderId="4" xfId="0" applyNumberFormat="1" applyFont="1" applyFill="1" applyBorder="1" applyAlignment="1">
      <x:alignment vertical="center" wrapText="1"/>
    </x:xf>
    <x:xf numFmtId="0" fontId="17" fillId="6" borderId="5" xfId="0" applyNumberFormat="1" applyFont="1" applyFill="1" applyBorder="1" applyAlignment="1">
      <x:alignment vertical="center" wrapText="1"/>
    </x:xf>
    <x:xf numFmtId="0" fontId="17" fillId="6" borderId="0" xfId="0" applyNumberFormat="1" applyFont="1" applyFill="1" applyBorder="1" applyAlignment="1">
      <x:alignment vertical="center" wrapText="1"/>
    </x:xf>
    <x:xf numFmtId="0" fontId="17" fillId="6" borderId="6" xfId="0" applyNumberFormat="1" applyFont="1" applyFill="1" applyBorder="1" applyAlignment="1">
      <x:alignment vertical="center" wrapText="1"/>
    </x:xf>
    <x:xf numFmtId="0" fontId="17" fillId="6" borderId="7" xfId="0" applyNumberFormat="1" applyFont="1" applyFill="1" applyBorder="1" applyAlignment="1">
      <x:alignment vertical="center" wrapText="1"/>
    </x:xf>
    <x:xf numFmtId="0" fontId="17" fillId="6" borderId="8" xfId="0" applyNumberFormat="1" applyFont="1" applyFill="1" applyBorder="1" applyAlignment="1">
      <x:alignment vertical="center" wrapText="1"/>
    </x:xf>
    <x:xf numFmtId="0" fontId="17" fillId="6" borderId="9" xfId="0" applyNumberFormat="1" applyFont="1" applyFill="1" applyBorder="1" applyAlignment="1">
      <x:alignment vertical="center" wrapText="1"/>
    </x:xf>
    <x:xf numFmtId="0" fontId="7" fillId="2" borderId="1" xfId="0" applyNumberFormat="1" applyFont="1" applyFill="1" applyBorder="1"/>
    <x:xf numFmtId="0" fontId="7" fillId="2" borderId="1" xfId="0" applyNumberFormat="1" applyFont="1" applyFill="1" applyBorder="1" applyAlignment="1">
      <x:alignment wrapText="1"/>
    </x:xf>
    <x:xf numFmtId="0" fontId="7" fillId="2" borderId="1"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18" fillId="7" borderId="0" xfId="0" applyNumberFormat="1" applyFont="1" applyFill="1" applyBorder="1"/>
    <x:xf numFmtId="0" fontId="18" fillId="7" borderId="16" xfId="0" applyNumberFormat="1" applyFont="1" applyFill="1" applyBorder="1"/>
    <x:xf numFmtId="203" fontId="1" fillId="3" borderId="16" xfId="0" applyNumberFormat="1" applyFont="1" applyFill="1" applyBorder="1"/>
    <x:xf numFmtId="200" fontId="1" fillId="3" borderId="16" xfId="0" applyNumberFormat="1" applyFont="1" applyFill="1" applyBorder="1"/>
    <x:xf numFmtId="200" fontId="18" fillId="7" borderId="16" xfId="0" applyNumberFormat="1" applyFont="1" applyFill="1" applyBorder="1"/>
    <x:xf numFmtId="0" fontId="9" fillId="0" borderId="1" xfId="0" applyNumberFormat="1" applyFont="1" applyFill="1" applyBorder="1" applyAlignment="1">
      <x:alignment horizontal="center"/>
    </x:xf>
    <x:xf numFmtId="0" fontId="19" fillId="2" borderId="0" xfId="0" applyNumberFormat="1" applyFont="1" applyFill="1" applyBorder="1"/>
    <x:xf numFmtId="0" fontId="19" fillId="2" borderId="0" xfId="0" applyNumberFormat="1" applyFont="1" applyFill="1" applyBorder="1" applyAlignment="1">
      <x:alignment horizontal="center"/>
    </x:xf>
    <x:xf numFmtId="0" fontId="19"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7" fillId="2"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1" xfId="0" applyNumberFormat="1" applyFont="1" applyFill="1" applyBorder="1" applyAlignment="1">
      <x:alignment horizontal="center" vertical="center"/>
    </x:xf>
    <x:xf numFmtId="0" fontId="9" fillId="0" borderId="0" xfId="0" applyNumberFormat="1" applyFont="1" applyFill="1" applyBorder="1" applyAlignment="1">
      <x:alignment vertical="center"/>
    </x:xf>
    <x:xf numFmtId="0" fontId="10"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0" fontId="12" fillId="0" borderId="0" xfId="0" applyNumberFormat="1" applyFont="1" applyFill="1" applyBorder="1" applyAlignment="1">
      <x:alignment vertical="center"/>
    </x:xf>
    <x:xf numFmtId="0" fontId="9" fillId="0" borderId="1" xfId="0" applyNumberFormat="1" applyFont="1" applyFill="1" applyBorder="1" applyAlignment="1">
      <x:alignment vertical="center"/>
    </x:xf>
    <x:xf numFmtId="200" fontId="10" fillId="7" borderId="1" xfId="0" applyNumberFormat="1" applyFont="1" applyFill="1" applyBorder="1" applyAlignment="1">
      <x:alignment vertical="center"/>
    </x:xf>
    <x:xf numFmtId="201" fontId="10" fillId="7" borderId="1" xfId="0" applyNumberFormat="1" applyFont="1" applyFill="1" applyBorder="1" applyAlignment="1">
      <x:alignment vertical="center"/>
    </x:xf>
    <x:xf numFmtId="202" fontId="10" fillId="7" borderId="1" xfId="0" applyNumberFormat="1" applyFont="1" applyFill="1" applyBorder="1" applyAlignment="1">
      <x:alignment vertical="center"/>
    </x:xf>
    <x:xf numFmtId="203" fontId="10" fillId="7" borderId="1" xfId="0" applyNumberFormat="1" applyFont="1" applyFill="1" applyBorder="1" applyAlignment="1">
      <x:alignment vertical="center"/>
    </x:xf>
    <x:xf numFmtId="0" fontId="10" fillId="7" borderId="1" xfId="0" applyNumberFormat="1" applyFont="1" applyFill="1" applyBorder="1" applyAlignment="1">
      <x:alignment vertical="center"/>
    </x:xf>
    <x:xf numFmtId="200" fontId="11" fillId="3" borderId="1" xfId="0" applyNumberFormat="1" applyFont="1" applyFill="1" applyBorder="1" applyAlignment="1">
      <x:alignment vertical="center"/>
    </x:xf>
    <x:xf numFmtId="202" fontId="11" fillId="3" borderId="1" xfId="0" applyNumberFormat="1" applyFont="1" applyFill="1" applyBorder="1" applyAlignment="1">
      <x:alignment vertical="center"/>
    </x:xf>
    <x:xf numFmtId="0" fontId="9" fillId="0" borderId="17" xfId="0" applyNumberFormat="1" applyFont="1" applyFill="1" applyBorder="1" applyAlignment="1">
      <x:alignment vertical="center"/>
    </x:xf>
    <x:xf numFmtId="0" fontId="9" fillId="0" borderId="18" xfId="0" applyNumberFormat="1" applyFont="1" applyFill="1" applyBorder="1" applyAlignment="1">
      <x:alignment vertical="center"/>
    </x:xf>
    <x:xf numFmtId="200" fontId="15" fillId="0" borderId="18" xfId="0" applyNumberFormat="1" applyFont="1" applyFill="1" applyBorder="1" applyAlignment="1">
      <x:alignment horizontal="right" vertical="center"/>
    </x:xf>
    <x:xf numFmtId="0" fontId="1" fillId="0" borderId="19" xfId="0" applyNumberFormat="1" applyFont="1" applyFill="1" applyBorder="1" applyAlignment="1">
      <x:alignment vertical="center"/>
    </x:xf>
    <x:xf numFmtId="0" fontId="9" fillId="0" borderId="20" xfId="0" applyNumberFormat="1" applyFont="1" applyFill="1" applyBorder="1" applyAlignment="1">
      <x:alignment vertical="center"/>
    </x:xf>
    <x:xf numFmtId="204" fontId="15" fillId="0" borderId="0" xfId="0" applyNumberFormat="1" applyFont="1" applyFill="1" applyBorder="1" applyAlignment="1">
      <x:alignment horizontal="right" vertical="center"/>
    </x:xf>
    <x:xf numFmtId="0" fontId="1" fillId="0" borderId="21" xfId="0" applyNumberFormat="1" applyFont="1" applyFill="1" applyBorder="1" applyAlignment="1">
      <x:alignment vertical="center"/>
    </x:xf>
    <x:xf numFmtId="202" fontId="15" fillId="0" borderId="0" xfId="0" applyNumberFormat="1" applyFont="1" applyFill="1" applyBorder="1" applyAlignment="1">
      <x:alignment horizontal="right" vertical="center"/>
    </x:xf>
    <x:xf numFmtId="200" fontId="15" fillId="0" borderId="0" xfId="0" applyNumberFormat="1" applyFont="1" applyFill="1" applyBorder="1" applyAlignment="1">
      <x:alignment horizontal="right" vertical="center"/>
    </x:xf>
    <x:xf numFmtId="0" fontId="9" fillId="0" borderId="22" xfId="0" applyNumberFormat="1" applyFont="1" applyFill="1" applyBorder="1" applyAlignment="1">
      <x:alignment vertical="center"/>
    </x:xf>
    <x:xf numFmtId="0" fontId="9" fillId="0" borderId="23" xfId="0" applyNumberFormat="1" applyFont="1" applyFill="1" applyBorder="1" applyAlignment="1">
      <x:alignment vertical="center"/>
    </x:xf>
    <x:xf numFmtId="200" fontId="15" fillId="0" borderId="23" xfId="0" applyNumberFormat="1" applyFont="1" applyFill="1" applyBorder="1" applyAlignment="1">
      <x:alignment horizontal="right" vertical="center"/>
    </x:xf>
    <x:xf numFmtId="0" fontId="1" fillId="0" borderId="24" xfId="0" applyNumberFormat="1" applyFont="1" applyFill="1" applyBorder="1" applyAlignment="1">
      <x:alignment vertical="center"/>
    </x:xf>
    <x:xf numFmtId="0" fontId="7" fillId="2" borderId="0" xfId="0" applyNumberFormat="1" applyFont="1" applyFill="1" applyBorder="1" applyAlignment="1">
      <x:alignment vertical="center" wrapText="1"/>
    </x:xf>
    <x:xf numFmtId="200" fontId="1" fillId="0" borderId="1" xfId="0" applyNumberFormat="1" applyFont="1" applyFill="1" applyBorder="1" applyAlignment="1">
      <x:alignment vertical="center"/>
    </x:xf>
    <x:xf numFmtId="204" fontId="1" fillId="0" borderId="1" xfId="0" applyNumberFormat="1" applyFont="1" applyFill="1" applyBorder="1" applyAlignment="1">
      <x:alignment horizontal="center" vertical="center"/>
    </x:xf>
    <x:xf numFmtId="200" fontId="1" fillId="0" borderId="1" xfId="0" applyNumberFormat="1" applyFont="1" applyFill="1" applyBorder="1" applyAlignment="1">
      <x:alignment horizontal="center" vertical="center"/>
    </x:xf>
    <x:xf numFmtId="0" fontId="16" fillId="3" borderId="1" xfId="0" applyNumberFormat="1" applyFont="1" applyFill="1" applyBorder="1" applyAlignment="1">
      <x:alignment vertical="center"/>
    </x:xf>
    <x:xf numFmtId="0" fontId="9" fillId="0" borderId="1" xfId="0" applyNumberFormat="1" applyFont="1" applyFill="1" applyBorder="1" applyAlignment="1">
      <x:alignment horizontal="center" vertical="center"/>
    </x:xf>
    <x:xf numFmtId="0" fontId="2" fillId="2" borderId="0" xfId="0" applyNumberFormat="1" applyFont="1" applyFill="1" applyBorder="1" applyAlignment="1">
      <x:alignment horizontal="left" vertical="center" wrapText="1"/>
    </x:xf>
    <x:xf numFmtId="0" fontId="1"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0" fontId="6" fillId="0"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8" fillId="4" borderId="10" xfId="0" applyNumberFormat="1" applyFont="1" applyFill="1" applyBorder="1" applyAlignment="1">
      <x:alignment horizontal="center" vertical="center" wrapText="1"/>
    </x:xf>
    <x:xf numFmtId="0" fontId="8" fillId="4" borderId="11" xfId="0" applyNumberFormat="1" applyFont="1" applyFill="1" applyBorder="1" applyAlignment="1">
      <x:alignment horizontal="center" vertical="center" wrapText="1"/>
    </x:xf>
    <x:xf numFmtId="0" fontId="8" fillId="4" borderId="12" xfId="0" applyNumberFormat="1" applyFont="1" applyFill="1" applyBorder="1" applyAlignment="1">
      <x:alignment horizontal="center" vertical="center" wrapText="1"/>
    </x:xf>
    <x:xf numFmtId="0" fontId="8" fillId="4" borderId="13" xfId="0" applyNumberFormat="1" applyFont="1" applyFill="1" applyBorder="1" applyAlignment="1">
      <x:alignment horizontal="center" vertical="center" wrapText="1"/>
    </x:xf>
    <x:xf numFmtId="0" fontId="8" fillId="4" borderId="14" xfId="0" applyNumberFormat="1" applyFont="1" applyFill="1" applyBorder="1" applyAlignment="1">
      <x:alignment horizontal="center" vertical="center" wrapText="1"/>
    </x:xf>
    <x:xf numFmtId="0" fontId="8" fillId="4" borderId="15" xfId="0" applyNumberFormat="1" applyFont="1" applyFill="1" applyBorder="1" applyAlignment="1">
      <x:alignment horizontal="center" vertical="center" wrapText="1"/>
    </x:xf>
    <x:xf numFmtId="0" fontId="9"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1" fillId="0" borderId="0" xfId="0" applyNumberFormat="1" applyFont="1" applyFill="1" applyBorder="1" applyAlignment="1">
      <x:alignment vertical="center" wrapText="1"/>
    </x:xf>
    <x:xf numFmtId="0" fontId="12"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200" fontId="10" fillId="7" borderId="1" xfId="0" applyNumberFormat="1" applyFont="1" applyFill="1" applyBorder="1" applyAlignment="1">
      <x:alignment vertical="center" wrapText="1"/>
    </x:xf>
    <x:xf numFmtId="201" fontId="10" fillId="7" borderId="1" xfId="0" applyNumberFormat="1" applyFont="1" applyFill="1" applyBorder="1" applyAlignment="1">
      <x:alignment vertical="center" wrapText="1"/>
    </x:xf>
    <x:xf numFmtId="202" fontId="10" fillId="7" borderId="1" xfId="0" applyNumberFormat="1" applyFont="1" applyFill="1" applyBorder="1" applyAlignment="1">
      <x:alignment vertical="center" wrapText="1"/>
    </x:xf>
    <x:xf numFmtId="203" fontId="10" fillId="7" borderId="1" xfId="0" applyNumberFormat="1" applyFont="1" applyFill="1" applyBorder="1" applyAlignment="1">
      <x:alignment vertical="center" wrapText="1"/>
    </x:xf>
    <x:xf numFmtId="0" fontId="10" fillId="7" borderId="1" xfId="0" applyNumberFormat="1" applyFont="1" applyFill="1" applyBorder="1" applyAlignment="1">
      <x:alignment vertical="center" wrapText="1"/>
    </x:xf>
    <x:xf numFmtId="200" fontId="11" fillId="3" borderId="1" xfId="0" applyNumberFormat="1" applyFont="1" applyFill="1" applyBorder="1" applyAlignment="1">
      <x:alignment vertical="center" wrapText="1"/>
    </x:xf>
    <x:xf numFmtId="202" fontId="11" fillId="3" borderId="1" xfId="0" applyNumberFormat="1" applyFont="1" applyFill="1" applyBorder="1" applyAlignment="1">
      <x:alignment vertical="center" wrapText="1"/>
    </x:xf>
    <x:xf numFmtId="0" fontId="9" fillId="0" borderId="1" xfId="0" applyNumberFormat="1" applyFont="1" applyFill="1" applyBorder="1" applyAlignment="1">
      <x:alignment horizontal="center" vertical="center" wrapText="1"/>
    </x:xf>
    <x:xf numFmtId="0" fontId="19" fillId="2" borderId="0" xfId="0" applyNumberFormat="1" applyFont="1" applyFill="1" applyBorder="1" applyAlignment="1">
      <x:alignment horizontal="center" vertical="center" wrapText="1"/>
    </x:xf>
  </x:cellXfs>
  <x:cellStyles count="1">
    <x:cellStyle name="Normal" xfId="0"/>
  </x:cellStyles>
  <x:dxfs count="4">
    <x:dxf>
      <x:font>
        <x:b/>
        <x:color rgb="FF285247"/>
      </x:font>
      <x:fill>
        <x:patternFill patternType="solid">
          <x:bgColor rgb="FFE7F4EA"/>
        </x:patternFill>
      </x:fill>
    </x:dxf>
    <x:dxf>
      <x:font>
        <x:b/>
        <x:color rgb="FF9C2B1B"/>
      </x:font>
      <x:fill>
        <x:patternFill patternType="solid">
          <x:bgColor rgb="FFFCE8E6"/>
        </x:patternFill>
      </x:fill>
    </x:dxf>
    <x:dxf>
      <x:font>
        <x:b/>
        <x:color rgb="FF285247"/>
      </x:font>
      <x:fill>
        <x:patternFill patternType="solid">
          <x:bgColor rgb="FFE7F4EA"/>
        </x:patternFill>
      </x:fill>
    </x:dxf>
    <x:dxf>
      <x:font>
        <x:b/>
        <x:color rgb="FF9C2B1B"/>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5ebc7832e3441e" /><Relationship Type="http://schemas.openxmlformats.org/officeDocument/2006/relationships/theme" Target="/xl/theme/theme1.xml" Id="R7269decc67e0489f" /><Relationship Type="http://schemas.openxmlformats.org/officeDocument/2006/relationships/sharedStrings" Target="/xl/sharedStrings.xml" Id="R3d0dd11d4b12464c" /><Relationship Type="http://schemas.openxmlformats.org/officeDocument/2006/relationships/worksheet" Target="/xl/worksheets/sheet1.xml" Id="R2e14e72c79dd47b9" /><Relationship Type="http://schemas.openxmlformats.org/officeDocument/2006/relationships/worksheet" Target="/xl/worksheets/sheet2.xml" Id="R2485b25c9f064501" /><Relationship Type="http://schemas.openxmlformats.org/officeDocument/2006/relationships/worksheet" Target="/xl/worksheets/sheet3.xml" Id="R7f9ccc4126db4354" /><Relationship Type="http://schemas.openxmlformats.org/officeDocument/2006/relationships/worksheet" Target="/xl/worksheets/sheet4.xml" Id="Rcab9dfa4bd8a4361" /><Relationship Type="http://schemas.openxmlformats.org/officeDocument/2006/relationships/worksheet" Target="/xl/worksheets/sheet5.xml" Id="R3898935798d842a5" /><Relationship Type="http://schemas.openxmlformats.org/officeDocument/2006/relationships/worksheet" Target="/xl/worksheets/sheet6.xml" Id="R1ca44a4df57b422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c601277a60845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Projected mortgage balance</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Baseline</c:v>
          </c:tx>
          <c:spPr>
            <a:solidFill xmlns:a="http://schemas.openxmlformats.org/drawingml/2006/main">
              <a:srgbClr val="285247"/>
            </a:solidFill>
          </c:spPr>
          <c:marker>
            <c:symbol val="none"/>
          </c:marker>
          <c:cat>
            <c:strRef>
              <c:f>'Amortization'!$A$6:$A$485</c:f>
              <c:strCache>
                <c:ptCount val="0"/>
              </c:strCache>
            </c:strRef>
          </c:cat>
          <c:val>
            <c:numRef>
              <c:f>'Amortization'!$H$6:$H$485</c:f>
              <c:numCache>
                <c:formatCode>$#,##0</c:formatCode>
                <c:ptCount val="0"/>
              </c:numCache>
            </c:numRef>
          </c:val>
          <c:smooth val="0"/>
        </c:ser>
        <c:ser>
          <c:idx val="1"/>
          <c:order val="1"/>
          <c:tx>
            <c:v>Strategy A</c:v>
          </c:tx>
          <c:spPr>
            <a:solidFill xmlns:a="http://schemas.openxmlformats.org/drawingml/2006/main">
              <a:srgbClr val="F2B84B"/>
            </a:solidFill>
          </c:spPr>
          <c:marker>
            <c:symbol val="none"/>
          </c:marker>
          <c:cat>
            <c:strRef>
              <c:f>'Amortization'!$A$6:$A$485</c:f>
              <c:strCache>
                <c:ptCount val="0"/>
              </c:strCache>
            </c:strRef>
          </c:cat>
          <c:val>
            <c:numRef>
              <c:f>'Amortization'!$P$6:$P$485</c:f>
              <c:numCache>
                <c:formatCode>$#,##0</c:formatCode>
                <c:ptCount val="0"/>
              </c:numCache>
            </c:numRef>
          </c:val>
          <c:smooth val="0"/>
        </c:ser>
        <c:ser>
          <c:idx val="2"/>
          <c:order val="2"/>
          <c:tx>
            <c:v>Strategy B</c:v>
          </c:tx>
          <c:spPr>
            <a:solidFill xmlns:a="http://schemas.openxmlformats.org/drawingml/2006/main">
              <a:srgbClr val="77AFC2"/>
            </a:solidFill>
          </c:spPr>
          <c:marker>
            <c:symbol val="none"/>
          </c:marker>
          <c:cat>
            <c:strRef>
              <c:f>'Amortization'!$A$6:$A$485</c:f>
              <c:strCache>
                <c:ptCount val="0"/>
              </c:strCache>
            </c:strRef>
          </c:cat>
          <c:val>
            <c:numRef>
              <c:f>'Amortization'!$X$6:$X$485</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14</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601277a60845a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3620f4d8723b43df" /></Relationships>
</file>

<file path=xl/worksheets/sheet1.xml><?xml version="1.0" encoding="utf-8"?>
<x:worksheet xmlns:x="http://schemas.openxmlformats.org/spreadsheetml/2006/main">
  <x:sheetViews>
    <x:sheetView showGridLines="0" workbookViewId="0"/>
  </x:sheetViews>
  <x:sheetFormatPr defaultRowHeight="15"/>
  <x:cols>
    <x:col min="1" max="1" width="4" hidden="0" customWidth="1"/>
    <x:col min="2" max="2" width="7" hidden="0" customWidth="1"/>
    <x:col min="3" max="3" width="20" hidden="0" customWidth="1"/>
    <x:col min="4" max="4" width="18" hidden="0" customWidth="1"/>
    <x:col min="5" max="5" width="18" hidden="0" customWidth="1"/>
    <x:col min="6" max="6" width="5" hidden="0" customWidth="1"/>
    <x:col min="7" max="7" width="18" hidden="0" customWidth="1"/>
    <x:col min="8" max="8" width="18" hidden="0" customWidth="1"/>
    <x:col min="9" max="9" width="18" hidden="0" customWidth="1"/>
    <x:col min="10" max="10" width="4" hidden="0" customWidth="1"/>
  </x:cols>
  <x:sheetData>
    <x:row r="1" ht="30" customHeight="1">
      <x:c r="A1" s="215" t="str">
        <x:v>Your mortgage, made clearer</x:v>
      </x:c>
      <x:c r="B1" s="215"/>
      <x:c r="C1" s="215"/>
      <x:c r="D1" s="215"/>
      <x:c r="E1" s="215"/>
      <x:c r="F1" s="215"/>
      <x:c r="G1" s="215"/>
      <x:c r="H1" s="215"/>
      <x:c r="I1" s="215"/>
      <x:c r="J1" s="215"/>
      <x:c r="K1" s="216"/>
      <x:c r="L1" s="216"/>
      <x:c r="M1" s="216"/>
      <x:c r="N1" s="216"/>
      <x:c r="O1" s="216"/>
      <x:c r="P1" s="216"/>
      <x:c r="Q1" s="216"/>
      <x:c r="R1" s="216"/>
      <x:c r="S1" s="216"/>
      <x:c r="T1" s="216"/>
      <x:c r="U1" s="216"/>
      <x:c r="V1" s="216"/>
      <x:c r="W1" s="216"/>
      <x:c r="X1" s="216"/>
      <x:c r="Y1" s="216"/>
      <x:c r="Z1" s="216"/>
    </x:row>
    <x:row r="2" ht="30" customHeight="1">
      <x:c r="A2" s="215"/>
      <x:c r="B2" s="215"/>
      <x:c r="C2" s="215"/>
      <x:c r="D2" s="215"/>
      <x:c r="E2" s="215"/>
      <x:c r="F2" s="215"/>
      <x:c r="G2" s="215"/>
      <x:c r="H2" s="215"/>
      <x:c r="I2" s="215"/>
      <x:c r="J2" s="215"/>
      <x:c r="K2" s="216"/>
      <x:c r="L2" s="216"/>
      <x:c r="M2" s="216"/>
      <x:c r="N2" s="216"/>
      <x:c r="O2" s="216"/>
      <x:c r="P2" s="216"/>
      <x:c r="Q2" s="216"/>
      <x:c r="R2" s="216"/>
      <x:c r="S2" s="216"/>
      <x:c r="T2" s="216"/>
      <x:c r="U2" s="216"/>
      <x:c r="V2" s="216"/>
      <x:c r="W2" s="216"/>
      <x:c r="X2" s="216"/>
      <x:c r="Y2" s="216"/>
      <x:c r="Z2" s="216"/>
    </x:row>
    <x:row r="3">
      <x:c r="A3" s="217" t="str">
        <x:v>Compare extra-payment choices with a calm, transparent fixed-rate payoff model.</x:v>
      </x:c>
      <x:c r="B3" s="217"/>
      <x:c r="C3" s="217"/>
      <x:c r="D3" s="217"/>
      <x:c r="E3" s="217"/>
      <x:c r="F3" s="217"/>
      <x:c r="G3" s="217"/>
      <x:c r="H3" s="217"/>
      <x:c r="I3" s="217"/>
      <x:c r="J3" s="217"/>
      <x:c r="K3" s="216"/>
      <x:c r="L3" s="216"/>
      <x:c r="M3" s="216"/>
      <x:c r="N3" s="216"/>
      <x:c r="O3" s="216"/>
      <x:c r="P3" s="216"/>
      <x:c r="Q3" s="216"/>
      <x:c r="R3" s="216"/>
      <x:c r="S3" s="216"/>
      <x:c r="T3" s="216"/>
      <x:c r="U3" s="216"/>
      <x:c r="V3" s="216"/>
      <x:c r="W3" s="216"/>
      <x:c r="X3" s="216"/>
      <x:c r="Y3" s="216"/>
      <x:c r="Z3" s="216"/>
    </x:row>
    <x:row r="4" ht="24" customHeight="1">
      <x:c r="A4" s="216"/>
      <x:c r="B4" s="216"/>
      <x:c r="C4" s="216"/>
      <x:c r="D4" s="216"/>
      <x:c r="E4" s="216"/>
      <x:c r="F4" s="216"/>
      <x:c r="G4" s="216"/>
      <x:c r="H4" s="216"/>
      <x:c r="I4" s="216"/>
      <x:c r="J4" s="216"/>
      <x:c r="K4" s="216"/>
      <x:c r="L4" s="216"/>
      <x:c r="M4" s="216"/>
      <x:c r="N4" s="216"/>
      <x:c r="O4" s="216"/>
      <x:c r="P4" s="216"/>
      <x:c r="Q4" s="216"/>
      <x:c r="R4" s="216"/>
      <x:c r="S4" s="216"/>
      <x:c r="T4" s="216"/>
      <x:c r="U4" s="216"/>
      <x:c r="V4" s="216"/>
      <x:c r="W4" s="216"/>
      <x:c r="X4" s="216"/>
      <x:c r="Y4" s="216"/>
      <x:c r="Z4" s="216"/>
    </x:row>
    <x:row r="5">
      <x:c r="A5" s="216"/>
      <x:c r="B5" s="218" t="str">
        <x:v>Quick start</x:v>
      </x:c>
      <x:c r="C5" s="218"/>
      <x:c r="D5" s="218"/>
      <x:c r="E5" s="218"/>
      <x:c r="F5" s="216"/>
      <x:c r="G5" s="218" t="str">
        <x:v>Workbook map</x:v>
      </x:c>
      <x:c r="H5" s="218"/>
      <x:c r="I5" s="218"/>
      <x:c r="J5" s="216"/>
      <x:c r="K5" s="216"/>
      <x:c r="L5" s="216"/>
      <x:c r="M5" s="216"/>
      <x:c r="N5" s="216"/>
      <x:c r="O5" s="216"/>
      <x:c r="P5" s="216"/>
      <x:c r="Q5" s="216"/>
      <x:c r="R5" s="216"/>
      <x:c r="S5" s="216"/>
      <x:c r="T5" s="216"/>
      <x:c r="U5" s="216"/>
      <x:c r="V5" s="216"/>
      <x:c r="W5" s="216"/>
      <x:c r="X5" s="216"/>
      <x:c r="Y5" s="216"/>
      <x:c r="Z5" s="216"/>
    </x:row>
    <x:row r="6">
      <x:c r="A6" s="216"/>
      <x:c r="B6" s="216"/>
      <x:c r="C6" s="216"/>
      <x:c r="D6" s="216"/>
      <x:c r="E6" s="216"/>
      <x:c r="F6" s="216"/>
      <x:c r="G6" s="216"/>
      <x:c r="H6" s="216"/>
      <x:c r="I6" s="216"/>
      <x:c r="J6" s="216"/>
      <x:c r="K6" s="216"/>
      <x:c r="L6" s="216"/>
      <x:c r="M6" s="216"/>
      <x:c r="N6" s="216"/>
      <x:c r="O6" s="216"/>
      <x:c r="P6" s="216"/>
      <x:c r="Q6" s="216"/>
      <x:c r="R6" s="216"/>
      <x:c r="S6" s="216"/>
      <x:c r="T6" s="216"/>
      <x:c r="U6" s="216"/>
      <x:c r="V6" s="216"/>
      <x:c r="W6" s="216"/>
      <x:c r="X6" s="216"/>
      <x:c r="Y6" s="216"/>
      <x:c r="Z6" s="216"/>
    </x:row>
    <x:row r="7" ht="60" customHeight="1">
      <x:c r="A7" s="216"/>
      <x:c r="B7" s="219" t="str">
        <x:v>1</x:v>
      </x:c>
      <x:c r="C7" s="220" t="str">
        <x:v>Enter your loan</x:v>
      </x:c>
      <x:c r="D7" s="180" t="str">
        <x:v>Open Your Mortgage and replace the blue input cells with the details from your latest statement.</x:v>
      </x:c>
      <x:c r="E7" s="216"/>
      <x:c r="F7" s="216"/>
      <x:c r="G7" s="209" t="str">
        <x:v>Sheet</x:v>
      </x:c>
      <x:c r="H7" s="209" t="str">
        <x:v>Use it for</x:v>
      </x:c>
      <x:c r="I7" s="209" t="str">
        <x:v>Edit?</x:v>
      </x:c>
      <x:c r="J7" s="216"/>
      <x:c r="K7" s="216"/>
      <x:c r="L7" s="216"/>
      <x:c r="M7" s="216"/>
      <x:c r="N7" s="216"/>
      <x:c r="O7" s="216"/>
      <x:c r="P7" s="216"/>
      <x:c r="Q7" s="216"/>
      <x:c r="R7" s="216"/>
      <x:c r="S7" s="216"/>
      <x:c r="T7" s="216"/>
      <x:c r="U7" s="216"/>
      <x:c r="V7" s="216"/>
      <x:c r="W7" s="216"/>
      <x:c r="X7" s="216"/>
      <x:c r="Y7" s="216"/>
      <x:c r="Z7" s="216"/>
    </x:row>
    <x:row r="8" ht="60" customHeight="1">
      <x:c r="A8" s="216"/>
      <x:c r="B8" s="219" t="str">
        <x:v>2</x:v>
      </x:c>
      <x:c r="C8" s="220" t="str">
        <x:v>Name two strategies</x:v>
      </x:c>
      <x:c r="D8" s="180" t="str">
        <x:v>Try a realistic monthly extra and an alternative. Add a one-time payment only if you expect one.</x:v>
      </x:c>
      <x:c r="E8" s="216"/>
      <x:c r="F8" s="216"/>
      <x:c r="G8" s="180" t="str">
        <x:v>Your Mortgage</x:v>
      </x:c>
      <x:c r="H8" s="180" t="str">
        <x:v>Loan and strategy inputs</x:v>
      </x:c>
      <x:c r="I8" s="221" t="str">
        <x:v>Blue cells</x:v>
      </x:c>
      <x:c r="J8" s="216"/>
      <x:c r="K8" s="216"/>
      <x:c r="L8" s="216"/>
      <x:c r="M8" s="216"/>
      <x:c r="N8" s="216"/>
      <x:c r="O8" s="216"/>
      <x:c r="P8" s="216"/>
      <x:c r="Q8" s="216"/>
      <x:c r="R8" s="216"/>
      <x:c r="S8" s="216"/>
      <x:c r="T8" s="216"/>
      <x:c r="U8" s="216"/>
      <x:c r="V8" s="216"/>
      <x:c r="W8" s="216"/>
      <x:c r="X8" s="216"/>
      <x:c r="Y8" s="216"/>
      <x:c r="Z8" s="216"/>
    </x:row>
    <x:row r="9" ht="60" customHeight="1">
      <x:c r="A9" s="216"/>
      <x:c r="B9" s="219" t="str">
        <x:v>3</x:v>
      </x:c>
      <x:c r="C9" s="220" t="str">
        <x:v>Compare the result</x:v>
      </x:c>
      <x:c r="D9" s="180" t="str">
        <x:v>Open Dashboard to review projected payoff dates, months saved, and estimated interest differences.</x:v>
      </x:c>
      <x:c r="E9" s="216"/>
      <x:c r="F9" s="216"/>
      <x:c r="G9" s="180" t="str">
        <x:v>Dashboard</x:v>
      </x:c>
      <x:c r="H9" s="180" t="str">
        <x:v>Decision summary and chart</x:v>
      </x:c>
      <x:c r="I9" s="221" t="str">
        <x:v>No</x:v>
      </x:c>
      <x:c r="J9" s="216"/>
      <x:c r="K9" s="216"/>
      <x:c r="L9" s="216"/>
      <x:c r="M9" s="216"/>
      <x:c r="N9" s="216"/>
      <x:c r="O9" s="216"/>
      <x:c r="P9" s="216"/>
      <x:c r="Q9" s="216"/>
      <x:c r="R9" s="216"/>
      <x:c r="S9" s="216"/>
      <x:c r="T9" s="216"/>
      <x:c r="U9" s="216"/>
      <x:c r="V9" s="216"/>
      <x:c r="W9" s="216"/>
      <x:c r="X9" s="216"/>
      <x:c r="Y9" s="216"/>
      <x:c r="Z9" s="216"/>
    </x:row>
    <x:row r="10" ht="60" customHeight="1">
      <x:c r="A10" s="216"/>
      <x:c r="B10" s="219" t="str">
        <x:v>4</x:v>
      </x:c>
      <x:c r="C10" s="220" t="str">
        <x:v>Confirm the model</x:v>
      </x:c>
      <x:c r="D10" s="180" t="str">
        <x:v>Open Checks. READY means the workbook reconciles for the values entered; it is not lender approval.</x:v>
      </x:c>
      <x:c r="E10" s="216"/>
      <x:c r="F10" s="216"/>
      <x:c r="G10" s="180" t="str">
        <x:v>Amortization</x:v>
      </x:c>
      <x:c r="H10" s="180" t="str">
        <x:v>Detailed three-scenario schedules</x:v>
      </x:c>
      <x:c r="I10" s="221" t="str">
        <x:v>No</x:v>
      </x:c>
      <x:c r="J10" s="216"/>
      <x:c r="K10" s="216"/>
      <x:c r="L10" s="216"/>
      <x:c r="M10" s="216"/>
      <x:c r="N10" s="216"/>
      <x:c r="O10" s="216"/>
      <x:c r="P10" s="216"/>
      <x:c r="Q10" s="216"/>
      <x:c r="R10" s="216"/>
      <x:c r="S10" s="216"/>
      <x:c r="T10" s="216"/>
      <x:c r="U10" s="216"/>
      <x:c r="V10" s="216"/>
      <x:c r="W10" s="216"/>
      <x:c r="X10" s="216"/>
      <x:c r="Y10" s="216"/>
      <x:c r="Z10" s="216"/>
    </x:row>
    <x:row r="11">
      <x:c r="A11" s="216"/>
      <x:c r="B11" s="216"/>
      <x:c r="C11" s="216"/>
      <x:c r="D11" s="216"/>
      <x:c r="E11" s="216"/>
      <x:c r="F11" s="216"/>
      <x:c r="G11" s="180" t="str">
        <x:v>Payment Log</x:v>
      </x:c>
      <x:c r="H11" s="180" t="str">
        <x:v>Record actual payments</x:v>
      </x:c>
      <x:c r="I11" s="221" t="str">
        <x:v>Blue cells</x:v>
      </x:c>
      <x:c r="J11" s="216"/>
      <x:c r="K11" s="216"/>
      <x:c r="L11" s="216"/>
      <x:c r="M11" s="216"/>
      <x:c r="N11" s="216"/>
      <x:c r="O11" s="216"/>
      <x:c r="P11" s="216"/>
      <x:c r="Q11" s="216"/>
      <x:c r="R11" s="216"/>
      <x:c r="S11" s="216"/>
      <x:c r="T11" s="216"/>
      <x:c r="U11" s="216"/>
      <x:c r="V11" s="216"/>
      <x:c r="W11" s="216"/>
      <x:c r="X11" s="216"/>
      <x:c r="Y11" s="216"/>
      <x:c r="Z11" s="216"/>
    </x:row>
    <x:row r="12">
      <x:c r="A12" s="216"/>
      <x:c r="B12" s="216"/>
      <x:c r="C12" s="216"/>
      <x:c r="D12" s="216"/>
      <x:c r="E12" s="216"/>
      <x:c r="F12" s="216"/>
      <x:c r="G12" s="180" t="str">
        <x:v>Checks</x:v>
      </x:c>
      <x:c r="H12" s="180" t="str">
        <x:v>Input and formula status</x:v>
      </x:c>
      <x:c r="I12" s="221" t="str">
        <x:v>No</x:v>
      </x:c>
      <x:c r="J12" s="216"/>
      <x:c r="K12" s="216"/>
      <x:c r="L12" s="216"/>
      <x:c r="M12" s="216"/>
      <x:c r="N12" s="216"/>
      <x:c r="O12" s="216"/>
      <x:c r="P12" s="216"/>
      <x:c r="Q12" s="216"/>
      <x:c r="R12" s="216"/>
      <x:c r="S12" s="216"/>
      <x:c r="T12" s="216"/>
      <x:c r="U12" s="216"/>
      <x:c r="V12" s="216"/>
      <x:c r="W12" s="216"/>
      <x:c r="X12" s="216"/>
      <x:c r="Y12" s="216"/>
      <x:c r="Z12" s="216"/>
    </x:row>
    <x:row r="13">
      <x:c r="A13" s="216"/>
      <x:c r="B13" s="216"/>
      <x:c r="C13" s="216"/>
      <x:c r="D13" s="216"/>
      <x:c r="E13" s="216"/>
      <x:c r="F13" s="216"/>
      <x:c r="G13" s="216"/>
      <x:c r="H13" s="216"/>
      <x:c r="I13" s="216"/>
      <x:c r="J13" s="216"/>
      <x:c r="K13" s="216"/>
      <x:c r="L13" s="216"/>
      <x:c r="M13" s="216"/>
      <x:c r="N13" s="216"/>
      <x:c r="O13" s="216"/>
      <x:c r="P13" s="216"/>
      <x:c r="Q13" s="216"/>
      <x:c r="R13" s="216"/>
      <x:c r="S13" s="216"/>
      <x:c r="T13" s="216"/>
      <x:c r="U13" s="216"/>
      <x:c r="V13" s="216"/>
      <x:c r="W13" s="216"/>
      <x:c r="X13" s="216"/>
      <x:c r="Y13" s="216"/>
      <x:c r="Z13" s="216"/>
    </x:row>
    <x:row r="14">
      <x:c r="A14" s="216"/>
      <x:c r="B14" s="218" t="str">
        <x:v>Read before using</x:v>
      </x:c>
      <x:c r="C14" s="218"/>
      <x:c r="D14" s="218"/>
      <x:c r="E14" s="218"/>
      <x:c r="F14" s="218"/>
      <x:c r="G14" s="218"/>
      <x:c r="H14" s="218"/>
      <x:c r="I14" s="218"/>
      <x:c r="J14" s="216"/>
      <x:c r="K14" s="216"/>
      <x:c r="L14" s="216"/>
      <x:c r="M14" s="216"/>
      <x:c r="N14" s="216"/>
      <x:c r="O14" s="216"/>
      <x:c r="P14" s="216"/>
      <x:c r="Q14" s="216"/>
      <x:c r="R14" s="216"/>
      <x:c r="S14" s="216"/>
      <x:c r="T14" s="216"/>
      <x:c r="U14" s="216"/>
      <x:c r="V14" s="216"/>
      <x:c r="W14" s="216"/>
      <x:c r="X14" s="216"/>
      <x:c r="Y14" s="216"/>
      <x:c r="Z14" s="216"/>
    </x:row>
    <x:row r="15">
      <x:c r="A15" s="216"/>
      <x:c r="B15" s="216"/>
      <x:c r="C15" s="216"/>
      <x:c r="D15" s="216"/>
      <x:c r="E15" s="216"/>
      <x:c r="F15" s="216"/>
      <x:c r="G15" s="216"/>
      <x:c r="H15" s="216"/>
      <x:c r="I15" s="216"/>
      <x:c r="J15" s="216"/>
      <x:c r="K15" s="216"/>
      <x:c r="L15" s="216"/>
      <x:c r="M15" s="216"/>
      <x:c r="N15" s="216"/>
      <x:c r="O15" s="216"/>
      <x:c r="P15" s="216"/>
      <x:c r="Q15" s="216"/>
      <x:c r="R15" s="216"/>
      <x:c r="S15" s="216"/>
      <x:c r="T15" s="216"/>
      <x:c r="U15" s="216"/>
      <x:c r="V15" s="216"/>
      <x:c r="W15" s="216"/>
      <x:c r="X15" s="216"/>
      <x:c r="Y15" s="216"/>
      <x:c r="Z15" s="216"/>
    </x:row>
    <x:row r="16">
      <x:c r="A16" s="216"/>
      <x:c r="B16" s="42" t="str">
        <x:v>For personal planning only. This workbook estimates a standard U.S. fixed-rate mortgage with monthly payments and interest compounded monthly. It excludes taxes, insurance, escrow, fees, refinancing, balloon structures, variable rates, lender-specific posting rules, and prepayment restrictions. Confirm important decisions with your lender or a qualified professional.</x:v>
      </x:c>
      <x:c r="C16" s="43"/>
      <x:c r="D16" s="43"/>
      <x:c r="E16" s="43"/>
      <x:c r="F16" s="43"/>
      <x:c r="G16" s="43"/>
      <x:c r="H16" s="43"/>
      <x:c r="I16" s="44"/>
      <x:c r="J16" s="216"/>
      <x:c r="K16" s="216"/>
      <x:c r="L16" s="216"/>
      <x:c r="M16" s="216"/>
      <x:c r="N16" s="216"/>
      <x:c r="O16" s="216"/>
      <x:c r="P16" s="216"/>
      <x:c r="Q16" s="216"/>
      <x:c r="R16" s="216"/>
      <x:c r="S16" s="216"/>
      <x:c r="T16" s="216"/>
      <x:c r="U16" s="216"/>
      <x:c r="V16" s="216"/>
      <x:c r="W16" s="216"/>
      <x:c r="X16" s="216"/>
      <x:c r="Y16" s="216"/>
      <x:c r="Z16" s="216"/>
    </x:row>
    <x:row r="17">
      <x:c r="A17" s="216"/>
      <x:c r="B17" s="45"/>
      <x:c r="C17" s="46"/>
      <x:c r="D17" s="46"/>
      <x:c r="E17" s="46"/>
      <x:c r="F17" s="46"/>
      <x:c r="G17" s="46"/>
      <x:c r="H17" s="46"/>
      <x:c r="I17" s="47"/>
      <x:c r="J17" s="216"/>
      <x:c r="K17" s="216"/>
      <x:c r="L17" s="216"/>
      <x:c r="M17" s="216"/>
      <x:c r="N17" s="216"/>
      <x:c r="O17" s="216"/>
      <x:c r="P17" s="216"/>
      <x:c r="Q17" s="216"/>
      <x:c r="R17" s="216"/>
      <x:c r="S17" s="216"/>
      <x:c r="T17" s="216"/>
      <x:c r="U17" s="216"/>
      <x:c r="V17" s="216"/>
      <x:c r="W17" s="216"/>
      <x:c r="X17" s="216"/>
      <x:c r="Y17" s="216"/>
      <x:c r="Z17" s="216"/>
    </x:row>
    <x:row r="18">
      <x:c r="A18" s="216"/>
      <x:c r="B18" s="48"/>
      <x:c r="C18" s="49"/>
      <x:c r="D18" s="49"/>
      <x:c r="E18" s="49"/>
      <x:c r="F18" s="49"/>
      <x:c r="G18" s="49"/>
      <x:c r="H18" s="49"/>
      <x:c r="I18" s="50"/>
      <x:c r="J18" s="216"/>
      <x:c r="K18" s="216"/>
      <x:c r="L18" s="216"/>
      <x:c r="M18" s="216"/>
      <x:c r="N18" s="216"/>
      <x:c r="O18" s="216"/>
      <x:c r="P18" s="216"/>
      <x:c r="Q18" s="216"/>
      <x:c r="R18" s="216"/>
      <x:c r="S18" s="216"/>
      <x:c r="T18" s="216"/>
      <x:c r="U18" s="216"/>
      <x:c r="V18" s="216"/>
      <x:c r="W18" s="216"/>
      <x:c r="X18" s="216"/>
      <x:c r="Y18" s="216"/>
      <x:c r="Z18" s="216"/>
    </x:row>
    <x:row r="19">
      <x:c r="A19" s="216"/>
      <x:c r="B19" s="216"/>
      <x:c r="C19" s="216"/>
      <x:c r="D19" s="216"/>
      <x:c r="E19" s="216"/>
      <x:c r="F19" s="216"/>
      <x:c r="G19" s="216"/>
      <x:c r="H19" s="216"/>
      <x:c r="I19" s="216"/>
      <x:c r="J19" s="216"/>
      <x:c r="K19" s="216"/>
      <x:c r="L19" s="216"/>
      <x:c r="M19" s="216"/>
      <x:c r="N19" s="216"/>
      <x:c r="O19" s="216"/>
      <x:c r="P19" s="216"/>
      <x:c r="Q19" s="216"/>
      <x:c r="R19" s="216"/>
      <x:c r="S19" s="216"/>
      <x:c r="T19" s="216"/>
      <x:c r="U19" s="216"/>
      <x:c r="V19" s="216"/>
      <x:c r="W19" s="216"/>
      <x:c r="X19" s="216"/>
      <x:c r="Y19" s="216"/>
      <x:c r="Z19" s="216"/>
    </x:row>
    <x:row r="20">
      <x:c r="A20" s="216"/>
      <x:c r="B20" s="222" t="str">
        <x:f>"MODEL STATUS: "&amp;Checks!B20</x:f>
        <x:v>MODEL STATUS: READY</x:v>
      </x:c>
      <x:c r="C20" s="223"/>
      <x:c r="D20" s="223"/>
      <x:c r="E20" s="223"/>
      <x:c r="F20" s="223"/>
      <x:c r="G20" s="223"/>
      <x:c r="H20" s="223"/>
      <x:c r="I20" s="224"/>
      <x:c r="J20" s="216"/>
      <x:c r="K20" s="216"/>
      <x:c r="L20" s="216"/>
      <x:c r="M20" s="216"/>
      <x:c r="N20" s="216"/>
      <x:c r="O20" s="216"/>
      <x:c r="P20" s="216"/>
      <x:c r="Q20" s="216"/>
      <x:c r="R20" s="216"/>
      <x:c r="S20" s="216"/>
      <x:c r="T20" s="216"/>
      <x:c r="U20" s="216"/>
      <x:c r="V20" s="216"/>
      <x:c r="W20" s="216"/>
      <x:c r="X20" s="216"/>
      <x:c r="Y20" s="216"/>
      <x:c r="Z20" s="216"/>
    </x:row>
    <x:row r="21">
      <x:c r="A21" s="216"/>
      <x:c r="B21" s="225"/>
      <x:c r="C21" s="226"/>
      <x:c r="D21" s="226"/>
      <x:c r="E21" s="226"/>
      <x:c r="F21" s="226"/>
      <x:c r="G21" s="226"/>
      <x:c r="H21" s="226"/>
      <x:c r="I21" s="227"/>
      <x:c r="J21" s="216"/>
      <x:c r="K21" s="216"/>
      <x:c r="L21" s="216"/>
      <x:c r="M21" s="216"/>
      <x:c r="N21" s="216"/>
      <x:c r="O21" s="216"/>
      <x:c r="P21" s="216"/>
      <x:c r="Q21" s="216"/>
      <x:c r="R21" s="216"/>
      <x:c r="S21" s="216"/>
      <x:c r="T21" s="216"/>
      <x:c r="U21" s="216"/>
      <x:c r="V21" s="216"/>
      <x:c r="W21" s="216"/>
      <x:c r="X21" s="216"/>
      <x:c r="Y21" s="216"/>
      <x:c r="Z21" s="216"/>
    </x:row>
    <x:row r="22">
      <x:c r="A22" s="216"/>
      <x:c r="B22" s="216"/>
      <x:c r="C22" s="216"/>
      <x:c r="D22" s="216"/>
      <x:c r="E22" s="216"/>
      <x:c r="F22" s="216"/>
      <x:c r="G22" s="216"/>
      <x:c r="H22" s="216"/>
      <x:c r="I22" s="216"/>
      <x:c r="J22" s="216"/>
      <x:c r="K22" s="216"/>
      <x:c r="L22" s="216"/>
      <x:c r="M22" s="216"/>
      <x:c r="N22" s="216"/>
      <x:c r="O22" s="216"/>
      <x:c r="P22" s="216"/>
      <x:c r="Q22" s="216"/>
      <x:c r="R22" s="216"/>
      <x:c r="S22" s="216"/>
      <x:c r="T22" s="216"/>
      <x:c r="U22" s="216"/>
      <x:c r="V22" s="216"/>
      <x:c r="W22" s="216"/>
      <x:c r="X22" s="216"/>
      <x:c r="Y22" s="216"/>
      <x:c r="Z22" s="216"/>
    </x:row>
    <x:row r="23">
      <x:c r="A23" s="216"/>
      <x:c r="B23" s="228" t="str">
        <x:v>Color key</x:v>
      </x:c>
      <x:c r="C23" s="229" t="str">
        <x:v>Blue text = customer input</x:v>
      </x:c>
      <x:c r="D23" s="230" t="str">
        <x:v>Black = formula</x:v>
      </x:c>
      <x:c r="E23" s="231" t="str">
        <x:v>Green = linked result</x:v>
      </x:c>
      <x:c r="F23" s="216" t="str"/>
      <x:c r="G23" s="216" t="str"/>
      <x:c r="H23" s="216" t="str"/>
      <x:c r="I23" s="216" t="str"/>
      <x:c r="J23" s="216"/>
      <x:c r="K23" s="216"/>
      <x:c r="L23" s="216"/>
      <x:c r="M23" s="216"/>
      <x:c r="N23" s="216"/>
      <x:c r="O23" s="216"/>
      <x:c r="P23" s="216"/>
      <x:c r="Q23" s="216"/>
      <x:c r="R23" s="216"/>
      <x:c r="S23" s="216"/>
      <x:c r="T23" s="216"/>
      <x:c r="U23" s="216"/>
      <x:c r="V23" s="216"/>
      <x:c r="W23" s="216"/>
      <x:c r="X23" s="216"/>
      <x:c r="Y23" s="216"/>
      <x:c r="Z23" s="216"/>
    </x:row>
    <x:row r="24">
      <x:c r="A24" s="216"/>
      <x:c r="B24" s="216"/>
      <x:c r="C24" s="216"/>
      <x:c r="D24" s="216"/>
      <x:c r="E24" s="216"/>
      <x:c r="F24" s="216"/>
      <x:c r="G24" s="216"/>
      <x:c r="H24" s="216"/>
      <x:c r="I24" s="216"/>
      <x:c r="J24" s="216"/>
      <x:c r="K24" s="216"/>
      <x:c r="L24" s="216"/>
      <x:c r="M24" s="216"/>
      <x:c r="N24" s="216"/>
      <x:c r="O24" s="216"/>
      <x:c r="P24" s="216"/>
      <x:c r="Q24" s="216"/>
      <x:c r="R24" s="216"/>
      <x:c r="S24" s="216"/>
      <x:c r="T24" s="216"/>
      <x:c r="U24" s="216"/>
      <x:c r="V24" s="216"/>
      <x:c r="W24" s="216"/>
      <x:c r="X24" s="216"/>
      <x:c r="Y24" s="216"/>
      <x:c r="Z24" s="216"/>
    </x:row>
    <x:row r="25">
      <x:c r="A25" s="216"/>
      <x:c r="B25" s="216"/>
      <x:c r="C25" s="216"/>
      <x:c r="D25" s="216"/>
      <x:c r="E25" s="216"/>
      <x:c r="F25" s="216"/>
      <x:c r="G25" s="216"/>
      <x:c r="H25" s="216"/>
      <x:c r="I25" s="216"/>
      <x:c r="J25" s="216"/>
      <x:c r="K25" s="216"/>
      <x:c r="L25" s="216"/>
      <x:c r="M25" s="216"/>
      <x:c r="N25" s="216"/>
      <x:c r="O25" s="216"/>
      <x:c r="P25" s="216"/>
      <x:c r="Q25" s="216"/>
      <x:c r="R25" s="216"/>
      <x:c r="S25" s="216"/>
      <x:c r="T25" s="216"/>
      <x:c r="U25" s="216"/>
      <x:c r="V25" s="216"/>
      <x:c r="W25" s="216"/>
      <x:c r="X25" s="216"/>
      <x:c r="Y25" s="216"/>
      <x:c r="Z25" s="216"/>
    </x:row>
    <x:row r="26">
      <x:c r="A26" s="216"/>
      <x:c r="B26" s="216"/>
      <x:c r="C26" s="216"/>
      <x:c r="D26" s="216"/>
      <x:c r="E26" s="216"/>
      <x:c r="F26" s="216"/>
      <x:c r="G26" s="216"/>
      <x:c r="H26" s="216"/>
      <x:c r="I26" s="216"/>
      <x:c r="J26" s="216"/>
      <x:c r="K26" s="216"/>
      <x:c r="L26" s="216"/>
      <x:c r="M26" s="216"/>
      <x:c r="N26" s="216"/>
      <x:c r="O26" s="216"/>
      <x:c r="P26" s="216"/>
      <x:c r="Q26" s="216"/>
      <x:c r="R26" s="216"/>
      <x:c r="S26" s="216"/>
      <x:c r="T26" s="216"/>
      <x:c r="U26" s="216"/>
      <x:c r="V26" s="216"/>
      <x:c r="W26" s="216"/>
      <x:c r="X26" s="216"/>
      <x:c r="Y26" s="216"/>
      <x:c r="Z26" s="216"/>
    </x:row>
    <x:row r="27">
      <x:c r="A27" s="216"/>
      <x:c r="B27" s="216"/>
      <x:c r="C27" s="216"/>
      <x:c r="D27" s="216"/>
      <x:c r="E27" s="216"/>
      <x:c r="F27" s="216"/>
      <x:c r="G27" s="216"/>
      <x:c r="H27" s="216"/>
      <x:c r="I27" s="216"/>
      <x:c r="J27" s="216"/>
      <x:c r="K27" s="216"/>
      <x:c r="L27" s="216"/>
      <x:c r="M27" s="216"/>
      <x:c r="N27" s="216"/>
      <x:c r="O27" s="216"/>
      <x:c r="P27" s="216"/>
      <x:c r="Q27" s="216"/>
      <x:c r="R27" s="216"/>
      <x:c r="S27" s="216"/>
      <x:c r="T27" s="216"/>
      <x:c r="U27" s="216"/>
      <x:c r="V27" s="216"/>
      <x:c r="W27" s="216"/>
      <x:c r="X27" s="216"/>
      <x:c r="Y27" s="216"/>
      <x:c r="Z27" s="216"/>
    </x:row>
    <x:row r="28">
      <x:c r="A28" s="216"/>
      <x:c r="B28" s="216"/>
      <x:c r="C28" s="216"/>
      <x:c r="D28" s="216"/>
      <x:c r="E28" s="216"/>
      <x:c r="F28" s="216"/>
      <x:c r="G28" s="216"/>
      <x:c r="H28" s="216"/>
      <x:c r="I28" s="216"/>
      <x:c r="J28" s="216"/>
      <x:c r="K28" s="216"/>
      <x:c r="L28" s="216"/>
      <x:c r="M28" s="216"/>
      <x:c r="N28" s="216"/>
      <x:c r="O28" s="216"/>
      <x:c r="P28" s="216"/>
      <x:c r="Q28" s="216"/>
      <x:c r="R28" s="216"/>
      <x:c r="S28" s="216"/>
      <x:c r="T28" s="216"/>
      <x:c r="U28" s="216"/>
      <x:c r="V28" s="216"/>
      <x:c r="W28" s="216"/>
      <x:c r="X28" s="216"/>
      <x:c r="Y28" s="216"/>
      <x:c r="Z28" s="216"/>
    </x:row>
    <x:row r="29">
      <x:c r="A29" s="216"/>
      <x:c r="B29" s="216"/>
      <x:c r="C29" s="216"/>
      <x:c r="D29" s="216"/>
      <x:c r="E29" s="216"/>
      <x:c r="F29" s="216"/>
      <x:c r="G29" s="216"/>
      <x:c r="H29" s="216"/>
      <x:c r="I29" s="216"/>
      <x:c r="J29" s="216"/>
      <x:c r="K29" s="216"/>
      <x:c r="L29" s="216"/>
      <x:c r="M29" s="216"/>
      <x:c r="N29" s="216"/>
      <x:c r="O29" s="216"/>
      <x:c r="P29" s="216"/>
      <x:c r="Q29" s="216"/>
      <x:c r="R29" s="216"/>
      <x:c r="S29" s="216"/>
      <x:c r="T29" s="216"/>
      <x:c r="U29" s="216"/>
      <x:c r="V29" s="216"/>
      <x:c r="W29" s="216"/>
      <x:c r="X29" s="216"/>
      <x:c r="Y29" s="216"/>
      <x:c r="Z29" s="216"/>
    </x:row>
    <x:row r="30">
      <x:c r="A30" s="216"/>
      <x:c r="B30" s="216"/>
      <x:c r="C30" s="216"/>
      <x:c r="D30" s="216"/>
      <x:c r="E30" s="216"/>
      <x:c r="F30" s="216"/>
      <x:c r="G30" s="216"/>
      <x:c r="H30" s="216"/>
      <x:c r="I30" s="216"/>
      <x:c r="J30" s="216"/>
      <x:c r="K30" s="216"/>
      <x:c r="L30" s="216"/>
      <x:c r="M30" s="216"/>
      <x:c r="N30" s="216"/>
      <x:c r="O30" s="216"/>
      <x:c r="P30" s="216"/>
      <x:c r="Q30" s="216"/>
      <x:c r="R30" s="216"/>
      <x:c r="S30" s="216"/>
      <x:c r="T30" s="216"/>
      <x:c r="U30" s="216"/>
      <x:c r="V30" s="216"/>
      <x:c r="W30" s="216"/>
      <x:c r="X30" s="216"/>
      <x:c r="Y30" s="216"/>
      <x:c r="Z30" s="216"/>
    </x:row>
    <x:row r="31">
      <x:c r="A31" s="216"/>
      <x:c r="B31" s="216"/>
      <x:c r="C31" s="216"/>
      <x:c r="D31" s="216"/>
      <x:c r="E31" s="216"/>
      <x:c r="F31" s="216"/>
      <x:c r="G31" s="216"/>
      <x:c r="H31" s="216"/>
      <x:c r="I31" s="216"/>
      <x:c r="J31" s="216"/>
      <x:c r="K31" s="216"/>
      <x:c r="L31" s="216"/>
      <x:c r="M31" s="216"/>
      <x:c r="N31" s="216"/>
      <x:c r="O31" s="216"/>
      <x:c r="P31" s="216"/>
      <x:c r="Q31" s="216"/>
      <x:c r="R31" s="216"/>
      <x:c r="S31" s="216"/>
      <x:c r="T31" s="216"/>
      <x:c r="U31" s="216"/>
      <x:c r="V31" s="216"/>
      <x:c r="W31" s="216"/>
      <x:c r="X31" s="216"/>
      <x:c r="Y31" s="216"/>
      <x:c r="Z31" s="216"/>
    </x:row>
    <x:row r="32">
      <x:c r="A32" s="216"/>
      <x:c r="B32" s="216"/>
      <x:c r="C32" s="216"/>
      <x:c r="D32" s="216"/>
      <x:c r="E32" s="216"/>
      <x:c r="F32" s="216"/>
      <x:c r="G32" s="216"/>
      <x:c r="H32" s="216"/>
      <x:c r="I32" s="216"/>
      <x:c r="J32" s="216"/>
      <x:c r="K32" s="216"/>
      <x:c r="L32" s="216"/>
      <x:c r="M32" s="216"/>
      <x:c r="N32" s="216"/>
      <x:c r="O32" s="216"/>
      <x:c r="P32" s="216"/>
      <x:c r="Q32" s="216"/>
      <x:c r="R32" s="216"/>
      <x:c r="S32" s="216"/>
      <x:c r="T32" s="216"/>
      <x:c r="U32" s="216"/>
      <x:c r="V32" s="216"/>
      <x:c r="W32" s="216"/>
      <x:c r="X32" s="216"/>
      <x:c r="Y32" s="216"/>
      <x:c r="Z32" s="216"/>
    </x:row>
    <x:row r="33">
      <x:c r="A33" s="216"/>
      <x:c r="B33" s="216"/>
      <x:c r="C33" s="216"/>
      <x:c r="D33" s="216"/>
      <x:c r="E33" s="216"/>
      <x:c r="F33" s="216"/>
      <x:c r="G33" s="216"/>
      <x:c r="H33" s="216"/>
      <x:c r="I33" s="216"/>
      <x:c r="J33" s="216"/>
      <x:c r="K33" s="216"/>
      <x:c r="L33" s="216"/>
      <x:c r="M33" s="216"/>
      <x:c r="N33" s="216"/>
      <x:c r="O33" s="216"/>
      <x:c r="P33" s="216"/>
      <x:c r="Q33" s="216"/>
      <x:c r="R33" s="216"/>
      <x:c r="S33" s="216"/>
      <x:c r="T33" s="216"/>
      <x:c r="U33" s="216"/>
      <x:c r="V33" s="216"/>
      <x:c r="W33" s="216"/>
      <x:c r="X33" s="216"/>
      <x:c r="Y33" s="216"/>
      <x:c r="Z33" s="216"/>
    </x:row>
    <x:row r="34">
      <x:c r="A34" s="216"/>
      <x:c r="B34" s="216"/>
      <x:c r="C34" s="216"/>
      <x:c r="D34" s="216"/>
      <x:c r="E34" s="216"/>
      <x:c r="F34" s="216"/>
      <x:c r="G34" s="216"/>
      <x:c r="H34" s="216"/>
      <x:c r="I34" s="216"/>
      <x:c r="J34" s="216"/>
      <x:c r="K34" s="216"/>
      <x:c r="L34" s="216"/>
      <x:c r="M34" s="216"/>
      <x:c r="N34" s="216"/>
      <x:c r="O34" s="216"/>
      <x:c r="P34" s="216"/>
      <x:c r="Q34" s="216"/>
      <x:c r="R34" s="216"/>
      <x:c r="S34" s="216"/>
      <x:c r="T34" s="216"/>
      <x:c r="U34" s="216"/>
      <x:c r="V34" s="216"/>
      <x:c r="W34" s="216"/>
      <x:c r="X34" s="216"/>
      <x:c r="Y34" s="216"/>
      <x:c r="Z34" s="216"/>
    </x:row>
    <x:row r="35">
      <x:c r="A35" s="216"/>
      <x:c r="B35" s="216"/>
      <x:c r="C35" s="216"/>
      <x:c r="D35" s="216"/>
      <x:c r="E35" s="216"/>
      <x:c r="F35" s="216"/>
      <x:c r="G35" s="216"/>
      <x:c r="H35" s="216"/>
      <x:c r="I35" s="216"/>
      <x:c r="J35" s="216"/>
      <x:c r="K35" s="216"/>
      <x:c r="L35" s="216"/>
      <x:c r="M35" s="216"/>
      <x:c r="N35" s="216"/>
      <x:c r="O35" s="216"/>
      <x:c r="P35" s="216"/>
      <x:c r="Q35" s="216"/>
      <x:c r="R35" s="216"/>
      <x:c r="S35" s="216"/>
      <x:c r="T35" s="216"/>
      <x:c r="U35" s="216"/>
      <x:c r="V35" s="216"/>
      <x:c r="W35" s="216"/>
      <x:c r="X35" s="216"/>
      <x:c r="Y35" s="216"/>
      <x:c r="Z35" s="216"/>
    </x:row>
    <x:row r="36">
      <x:c r="A36" s="216"/>
      <x:c r="B36" s="216"/>
      <x:c r="C36" s="216"/>
      <x:c r="D36" s="216"/>
      <x:c r="E36" s="216"/>
      <x:c r="F36" s="216"/>
      <x:c r="G36" s="216"/>
      <x:c r="H36" s="216"/>
      <x:c r="I36" s="216"/>
      <x:c r="J36" s="216"/>
      <x:c r="K36" s="216"/>
      <x:c r="L36" s="216"/>
      <x:c r="M36" s="216"/>
      <x:c r="N36" s="216"/>
      <x:c r="O36" s="216"/>
      <x:c r="P36" s="216"/>
      <x:c r="Q36" s="216"/>
      <x:c r="R36" s="216"/>
      <x:c r="S36" s="216"/>
      <x:c r="T36" s="216"/>
      <x:c r="U36" s="216"/>
      <x:c r="V36" s="216"/>
      <x:c r="W36" s="216"/>
      <x:c r="X36" s="216"/>
      <x:c r="Y36" s="216"/>
      <x:c r="Z36" s="216"/>
    </x:row>
    <x:row r="37">
      <x:c r="A37" s="216"/>
      <x:c r="B37" s="216"/>
      <x:c r="C37" s="216"/>
      <x:c r="D37" s="216"/>
      <x:c r="E37" s="216"/>
      <x:c r="F37" s="216"/>
      <x:c r="G37" s="216"/>
      <x:c r="H37" s="216"/>
      <x:c r="I37" s="216"/>
      <x:c r="J37" s="216"/>
      <x:c r="K37" s="216"/>
      <x:c r="L37" s="216"/>
      <x:c r="M37" s="216"/>
      <x:c r="N37" s="216"/>
      <x:c r="O37" s="216"/>
      <x:c r="P37" s="216"/>
      <x:c r="Q37" s="216"/>
      <x:c r="R37" s="216"/>
      <x:c r="S37" s="216"/>
      <x:c r="T37" s="216"/>
      <x:c r="U37" s="216"/>
      <x:c r="V37" s="216"/>
      <x:c r="W37" s="216"/>
      <x:c r="X37" s="216"/>
      <x:c r="Y37" s="216"/>
      <x:c r="Z37" s="216"/>
    </x:row>
    <x:row r="38">
      <x:c r="A38" s="216"/>
      <x:c r="B38" s="216"/>
      <x:c r="C38" s="216"/>
      <x:c r="D38" s="216"/>
      <x:c r="E38" s="216"/>
      <x:c r="F38" s="216"/>
      <x:c r="G38" s="216"/>
      <x:c r="H38" s="216"/>
      <x:c r="I38" s="216"/>
      <x:c r="J38" s="216"/>
      <x:c r="K38" s="216"/>
      <x:c r="L38" s="216"/>
      <x:c r="M38" s="216"/>
      <x:c r="N38" s="216"/>
      <x:c r="O38" s="216"/>
      <x:c r="P38" s="216"/>
      <x:c r="Q38" s="216"/>
      <x:c r="R38" s="216"/>
      <x:c r="S38" s="216"/>
      <x:c r="T38" s="216"/>
      <x:c r="U38" s="216"/>
      <x:c r="V38" s="216"/>
      <x:c r="W38" s="216"/>
      <x:c r="X38" s="216"/>
      <x:c r="Y38" s="216"/>
      <x:c r="Z38" s="216"/>
    </x:row>
    <x:row r="39">
      <x:c r="A39" s="216"/>
      <x:c r="B39" s="216"/>
      <x:c r="C39" s="216"/>
      <x:c r="D39" s="216"/>
      <x:c r="E39" s="216"/>
      <x:c r="F39" s="216"/>
      <x:c r="G39" s="216"/>
      <x:c r="H39" s="216"/>
      <x:c r="I39" s="216"/>
      <x:c r="J39" s="216"/>
      <x:c r="K39" s="216"/>
      <x:c r="L39" s="216"/>
      <x:c r="M39" s="216"/>
      <x:c r="N39" s="216"/>
      <x:c r="O39" s="216"/>
      <x:c r="P39" s="216"/>
      <x:c r="Q39" s="216"/>
      <x:c r="R39" s="216"/>
      <x:c r="S39" s="216"/>
      <x:c r="T39" s="216"/>
      <x:c r="U39" s="216"/>
      <x:c r="V39" s="216"/>
      <x:c r="W39" s="216"/>
      <x:c r="X39" s="216"/>
      <x:c r="Y39" s="216"/>
      <x:c r="Z39" s="216"/>
    </x:row>
    <x:row r="40">
      <x:c r="A40" s="216"/>
      <x:c r="B40" s="216"/>
      <x:c r="C40" s="216"/>
      <x:c r="D40" s="216"/>
      <x:c r="E40" s="216"/>
      <x:c r="F40" s="216"/>
      <x:c r="G40" s="216"/>
      <x:c r="H40" s="216"/>
      <x:c r="I40" s="216"/>
      <x:c r="J40" s="216"/>
      <x:c r="K40" s="216"/>
      <x:c r="L40" s="216"/>
      <x:c r="M40" s="216"/>
      <x:c r="N40" s="216"/>
      <x:c r="O40" s="216"/>
      <x:c r="P40" s="216"/>
      <x:c r="Q40" s="216"/>
      <x:c r="R40" s="216"/>
      <x:c r="S40" s="216"/>
      <x:c r="T40" s="216"/>
      <x:c r="U40" s="216"/>
      <x:c r="V40" s="216"/>
      <x:c r="W40" s="216"/>
      <x:c r="X40" s="216"/>
      <x:c r="Y40" s="216"/>
      <x:c r="Z40" s="216"/>
    </x:row>
    <x:row r="41">
      <x:c r="A41" s="216"/>
      <x:c r="B41" s="216"/>
      <x:c r="C41" s="216"/>
      <x:c r="D41" s="216"/>
      <x:c r="E41" s="216"/>
      <x:c r="F41" s="216"/>
      <x:c r="G41" s="216"/>
      <x:c r="H41" s="216"/>
      <x:c r="I41" s="216"/>
      <x:c r="J41" s="216"/>
      <x:c r="K41" s="216"/>
      <x:c r="L41" s="216"/>
      <x:c r="M41" s="216"/>
      <x:c r="N41" s="216"/>
      <x:c r="O41" s="216"/>
      <x:c r="P41" s="216"/>
      <x:c r="Q41" s="216"/>
      <x:c r="R41" s="216"/>
      <x:c r="S41" s="216"/>
      <x:c r="T41" s="216"/>
      <x:c r="U41" s="216"/>
      <x:c r="V41" s="216"/>
      <x:c r="W41" s="216"/>
      <x:c r="X41" s="216"/>
      <x:c r="Y41" s="216"/>
      <x:c r="Z41" s="216"/>
    </x:row>
    <x:row r="42">
      <x:c r="A42" s="216"/>
      <x:c r="B42" s="216"/>
      <x:c r="C42" s="216"/>
      <x:c r="D42" s="216"/>
      <x:c r="E42" s="216"/>
      <x:c r="F42" s="216"/>
      <x:c r="G42" s="216"/>
      <x:c r="H42" s="216"/>
      <x:c r="I42" s="216"/>
      <x:c r="J42" s="216"/>
      <x:c r="K42" s="216"/>
      <x:c r="L42" s="216"/>
      <x:c r="M42" s="216"/>
      <x:c r="N42" s="216"/>
      <x:c r="O42" s="216"/>
      <x:c r="P42" s="216"/>
      <x:c r="Q42" s="216"/>
      <x:c r="R42" s="216"/>
      <x:c r="S42" s="216"/>
      <x:c r="T42" s="216"/>
      <x:c r="U42" s="216"/>
      <x:c r="V42" s="216"/>
      <x:c r="W42" s="216"/>
      <x:c r="X42" s="216"/>
      <x:c r="Y42" s="216"/>
      <x:c r="Z42" s="216"/>
    </x:row>
    <x:row r="43">
      <x:c r="A43" s="216"/>
      <x:c r="B43" s="216"/>
      <x:c r="C43" s="216"/>
      <x:c r="D43" s="216"/>
      <x:c r="E43" s="216"/>
      <x:c r="F43" s="216"/>
      <x:c r="G43" s="216"/>
      <x:c r="H43" s="216"/>
      <x:c r="I43" s="216"/>
      <x:c r="J43" s="216"/>
      <x:c r="K43" s="216"/>
      <x:c r="L43" s="216"/>
      <x:c r="M43" s="216"/>
      <x:c r="N43" s="216"/>
      <x:c r="O43" s="216"/>
      <x:c r="P43" s="216"/>
      <x:c r="Q43" s="216"/>
      <x:c r="R43" s="216"/>
      <x:c r="S43" s="216"/>
      <x:c r="T43" s="216"/>
      <x:c r="U43" s="216"/>
      <x:c r="V43" s="216"/>
      <x:c r="W43" s="216"/>
      <x:c r="X43" s="216"/>
      <x:c r="Y43" s="216"/>
      <x:c r="Z43" s="216"/>
    </x:row>
    <x:row r="44">
      <x:c r="A44" s="216"/>
      <x:c r="B44" s="216"/>
      <x:c r="C44" s="216"/>
      <x:c r="D44" s="216"/>
      <x:c r="E44" s="216"/>
      <x:c r="F44" s="216"/>
      <x:c r="G44" s="216"/>
      <x:c r="H44" s="216"/>
      <x:c r="I44" s="216"/>
      <x:c r="J44" s="216"/>
      <x:c r="K44" s="216"/>
      <x:c r="L44" s="216"/>
      <x:c r="M44" s="216"/>
      <x:c r="N44" s="216"/>
      <x:c r="O44" s="216"/>
      <x:c r="P44" s="216"/>
      <x:c r="Q44" s="216"/>
      <x:c r="R44" s="216"/>
      <x:c r="S44" s="216"/>
      <x:c r="T44" s="216"/>
      <x:c r="U44" s="216"/>
      <x:c r="V44" s="216"/>
      <x:c r="W44" s="216"/>
      <x:c r="X44" s="216"/>
      <x:c r="Y44" s="216"/>
      <x:c r="Z44" s="216"/>
    </x:row>
    <x:row r="45">
      <x:c r="A45" s="216"/>
      <x:c r="B45" s="216"/>
      <x:c r="C45" s="216"/>
      <x:c r="D45" s="216"/>
      <x:c r="E45" s="216"/>
      <x:c r="F45" s="216"/>
      <x:c r="G45" s="216"/>
      <x:c r="H45" s="216"/>
      <x:c r="I45" s="216"/>
      <x:c r="J45" s="216"/>
      <x:c r="K45" s="216"/>
      <x:c r="L45" s="216"/>
      <x:c r="M45" s="216"/>
      <x:c r="N45" s="216"/>
      <x:c r="O45" s="216"/>
      <x:c r="P45" s="216"/>
      <x:c r="Q45" s="216"/>
      <x:c r="R45" s="216"/>
      <x:c r="S45" s="216"/>
      <x:c r="T45" s="216"/>
      <x:c r="U45" s="216"/>
      <x:c r="V45" s="216"/>
      <x:c r="W45" s="216"/>
      <x:c r="X45" s="216"/>
      <x:c r="Y45" s="216"/>
      <x:c r="Z45" s="216"/>
    </x:row>
    <x:row r="46">
      <x:c r="A46" s="216"/>
      <x:c r="B46" s="216"/>
      <x:c r="C46" s="216"/>
      <x:c r="D46" s="216"/>
      <x:c r="E46" s="216"/>
      <x:c r="F46" s="216"/>
      <x:c r="G46" s="216"/>
      <x:c r="H46" s="216"/>
      <x:c r="I46" s="216"/>
      <x:c r="J46" s="216"/>
      <x:c r="K46" s="216"/>
      <x:c r="L46" s="216"/>
      <x:c r="M46" s="216"/>
      <x:c r="N46" s="216"/>
      <x:c r="O46" s="216"/>
      <x:c r="P46" s="216"/>
      <x:c r="Q46" s="216"/>
      <x:c r="R46" s="216"/>
      <x:c r="S46" s="216"/>
      <x:c r="T46" s="216"/>
      <x:c r="U46" s="216"/>
      <x:c r="V46" s="216"/>
      <x:c r="W46" s="216"/>
      <x:c r="X46" s="216"/>
      <x:c r="Y46" s="216"/>
      <x:c r="Z46" s="216"/>
    </x:row>
    <x:row r="47">
      <x:c r="A47" s="216"/>
      <x:c r="B47" s="216"/>
      <x:c r="C47" s="216"/>
      <x:c r="D47" s="216"/>
      <x:c r="E47" s="216"/>
      <x:c r="F47" s="216"/>
      <x:c r="G47" s="216"/>
      <x:c r="H47" s="216"/>
      <x:c r="I47" s="216"/>
      <x:c r="J47" s="216"/>
      <x:c r="K47" s="216"/>
      <x:c r="L47" s="216"/>
      <x:c r="M47" s="216"/>
      <x:c r="N47" s="216"/>
      <x:c r="O47" s="216"/>
      <x:c r="P47" s="216"/>
      <x:c r="Q47" s="216"/>
      <x:c r="R47" s="216"/>
      <x:c r="S47" s="216"/>
      <x:c r="T47" s="216"/>
      <x:c r="U47" s="216"/>
      <x:c r="V47" s="216"/>
      <x:c r="W47" s="216"/>
      <x:c r="X47" s="216"/>
      <x:c r="Y47" s="216"/>
      <x:c r="Z47" s="216"/>
    </x:row>
    <x:row r="48">
      <x:c r="A48" s="216"/>
      <x:c r="B48" s="216"/>
      <x:c r="C48" s="216"/>
      <x:c r="D48" s="216"/>
      <x:c r="E48" s="216"/>
      <x:c r="F48" s="216"/>
      <x:c r="G48" s="216"/>
      <x:c r="H48" s="216"/>
      <x:c r="I48" s="216"/>
      <x:c r="J48" s="216"/>
      <x:c r="K48" s="216"/>
      <x:c r="L48" s="216"/>
      <x:c r="M48" s="216"/>
      <x:c r="N48" s="216"/>
      <x:c r="O48" s="216"/>
      <x:c r="P48" s="216"/>
      <x:c r="Q48" s="216"/>
      <x:c r="R48" s="216"/>
      <x:c r="S48" s="216"/>
      <x:c r="T48" s="216"/>
      <x:c r="U48" s="216"/>
      <x:c r="V48" s="216"/>
      <x:c r="W48" s="216"/>
      <x:c r="X48" s="216"/>
      <x:c r="Y48" s="216"/>
      <x:c r="Z48" s="216"/>
    </x:row>
    <x:row r="49">
      <x:c r="A49" s="216"/>
      <x:c r="B49" s="216"/>
      <x:c r="C49" s="216"/>
      <x:c r="D49" s="216"/>
      <x:c r="E49" s="216"/>
      <x:c r="F49" s="216"/>
      <x:c r="G49" s="216"/>
      <x:c r="H49" s="216"/>
      <x:c r="I49" s="216"/>
      <x:c r="J49" s="216"/>
      <x:c r="K49" s="216"/>
      <x:c r="L49" s="216"/>
      <x:c r="M49" s="216"/>
      <x:c r="N49" s="216"/>
      <x:c r="O49" s="216"/>
      <x:c r="P49" s="216"/>
      <x:c r="Q49" s="216"/>
      <x:c r="R49" s="216"/>
      <x:c r="S49" s="216"/>
      <x:c r="T49" s="216"/>
      <x:c r="U49" s="216"/>
      <x:c r="V49" s="216"/>
      <x:c r="W49" s="216"/>
      <x:c r="X49" s="216"/>
      <x:c r="Y49" s="216"/>
      <x:c r="Z49" s="216"/>
    </x:row>
    <x:row r="50">
      <x:c r="A50" s="216"/>
      <x:c r="B50" s="216"/>
      <x:c r="C50" s="216"/>
      <x:c r="D50" s="216"/>
      <x:c r="E50" s="216"/>
      <x:c r="F50" s="216"/>
      <x:c r="G50" s="216"/>
      <x:c r="H50" s="216"/>
      <x:c r="I50" s="216"/>
      <x:c r="J50" s="216"/>
      <x:c r="K50" s="216"/>
      <x:c r="L50" s="216"/>
      <x:c r="M50" s="216"/>
      <x:c r="N50" s="216"/>
      <x:c r="O50" s="216"/>
      <x:c r="P50" s="216"/>
      <x:c r="Q50" s="216"/>
      <x:c r="R50" s="216"/>
      <x:c r="S50" s="216"/>
      <x:c r="T50" s="216"/>
      <x:c r="U50" s="216"/>
      <x:c r="V50" s="216"/>
      <x:c r="W50" s="216"/>
      <x:c r="X50" s="216"/>
      <x:c r="Y50" s="216"/>
      <x:c r="Z50" s="216"/>
    </x:row>
    <x:row r="51">
      <x:c r="A51" s="216"/>
      <x:c r="B51" s="216"/>
      <x:c r="C51" s="216"/>
      <x:c r="D51" s="216"/>
      <x:c r="E51" s="216"/>
      <x:c r="F51" s="216"/>
      <x:c r="G51" s="216"/>
      <x:c r="H51" s="216"/>
      <x:c r="I51" s="216"/>
      <x:c r="J51" s="216"/>
      <x:c r="K51" s="216"/>
      <x:c r="L51" s="216"/>
      <x:c r="M51" s="216"/>
      <x:c r="N51" s="216"/>
      <x:c r="O51" s="216"/>
      <x:c r="P51" s="216"/>
      <x:c r="Q51" s="216"/>
      <x:c r="R51" s="216"/>
      <x:c r="S51" s="216"/>
      <x:c r="T51" s="216"/>
      <x:c r="U51" s="216"/>
      <x:c r="V51" s="216"/>
      <x:c r="W51" s="216"/>
      <x:c r="X51" s="216"/>
      <x:c r="Y51" s="216"/>
      <x:c r="Z51" s="216"/>
    </x:row>
    <x:row r="52">
      <x:c r="A52" s="216"/>
      <x:c r="B52" s="216"/>
      <x:c r="C52" s="216"/>
      <x:c r="D52" s="216"/>
      <x:c r="E52" s="216"/>
      <x:c r="F52" s="216"/>
      <x:c r="G52" s="216"/>
      <x:c r="H52" s="216"/>
      <x:c r="I52" s="216"/>
      <x:c r="J52" s="216"/>
      <x:c r="K52" s="216"/>
      <x:c r="L52" s="216"/>
      <x:c r="M52" s="216"/>
      <x:c r="N52" s="216"/>
      <x:c r="O52" s="216"/>
      <x:c r="P52" s="216"/>
      <x:c r="Q52" s="216"/>
      <x:c r="R52" s="216"/>
      <x:c r="S52" s="216"/>
      <x:c r="T52" s="216"/>
      <x:c r="U52" s="216"/>
      <x:c r="V52" s="216"/>
      <x:c r="W52" s="216"/>
      <x:c r="X52" s="216"/>
      <x:c r="Y52" s="216"/>
      <x:c r="Z52" s="216"/>
    </x:row>
    <x:row r="53">
      <x:c r="A53" s="216"/>
      <x:c r="B53" s="216"/>
      <x:c r="C53" s="216"/>
      <x:c r="D53" s="216"/>
      <x:c r="E53" s="216"/>
      <x:c r="F53" s="216"/>
      <x:c r="G53" s="216"/>
      <x:c r="H53" s="216"/>
      <x:c r="I53" s="216"/>
      <x:c r="J53" s="216"/>
      <x:c r="K53" s="216"/>
      <x:c r="L53" s="216"/>
      <x:c r="M53" s="216"/>
      <x:c r="N53" s="216"/>
      <x:c r="O53" s="216"/>
      <x:c r="P53" s="216"/>
      <x:c r="Q53" s="216"/>
      <x:c r="R53" s="216"/>
      <x:c r="S53" s="216"/>
      <x:c r="T53" s="216"/>
      <x:c r="U53" s="216"/>
      <x:c r="V53" s="216"/>
      <x:c r="W53" s="216"/>
      <x:c r="X53" s="216"/>
      <x:c r="Y53" s="216"/>
      <x:c r="Z53" s="216"/>
    </x:row>
    <x:row r="54">
      <x:c r="A54" s="216"/>
      <x:c r="B54" s="216"/>
      <x:c r="C54" s="216"/>
      <x:c r="D54" s="216"/>
      <x:c r="E54" s="216"/>
      <x:c r="F54" s="216"/>
      <x:c r="G54" s="216"/>
      <x:c r="H54" s="216"/>
      <x:c r="I54" s="216"/>
      <x:c r="J54" s="216"/>
      <x:c r="K54" s="216"/>
      <x:c r="L54" s="216"/>
      <x:c r="M54" s="216"/>
      <x:c r="N54" s="216"/>
      <x:c r="O54" s="216"/>
      <x:c r="P54" s="216"/>
      <x:c r="Q54" s="216"/>
      <x:c r="R54" s="216"/>
      <x:c r="S54" s="216"/>
      <x:c r="T54" s="216"/>
      <x:c r="U54" s="216"/>
      <x:c r="V54" s="216"/>
      <x:c r="W54" s="216"/>
      <x:c r="X54" s="216"/>
      <x:c r="Y54" s="216"/>
      <x:c r="Z54" s="216"/>
    </x:row>
    <x:row r="55">
      <x:c r="A55" s="216"/>
      <x:c r="B55" s="216"/>
      <x:c r="C55" s="216"/>
      <x:c r="D55" s="216"/>
      <x:c r="E55" s="216"/>
      <x:c r="F55" s="216"/>
      <x:c r="G55" s="216"/>
      <x:c r="H55" s="216"/>
      <x:c r="I55" s="216"/>
      <x:c r="J55" s="216"/>
      <x:c r="K55" s="216"/>
      <x:c r="L55" s="216"/>
      <x:c r="M55" s="216"/>
      <x:c r="N55" s="216"/>
      <x:c r="O55" s="216"/>
      <x:c r="P55" s="216"/>
      <x:c r="Q55" s="216"/>
      <x:c r="R55" s="216"/>
      <x:c r="S55" s="216"/>
      <x:c r="T55" s="216"/>
      <x:c r="U55" s="216"/>
      <x:c r="V55" s="216"/>
      <x:c r="W55" s="216"/>
      <x:c r="X55" s="216"/>
      <x:c r="Y55" s="216"/>
      <x:c r="Z55" s="216"/>
    </x:row>
    <x:row r="56">
      <x:c r="A56" s="216"/>
      <x:c r="B56" s="216"/>
      <x:c r="C56" s="216"/>
      <x:c r="D56" s="216"/>
      <x:c r="E56" s="216"/>
      <x:c r="F56" s="216"/>
      <x:c r="G56" s="216"/>
      <x:c r="H56" s="216"/>
      <x:c r="I56" s="216"/>
      <x:c r="J56" s="216"/>
      <x:c r="K56" s="216"/>
      <x:c r="L56" s="216"/>
      <x:c r="M56" s="216"/>
      <x:c r="N56" s="216"/>
      <x:c r="O56" s="216"/>
      <x:c r="P56" s="216"/>
      <x:c r="Q56" s="216"/>
      <x:c r="R56" s="216"/>
      <x:c r="S56" s="216"/>
      <x:c r="T56" s="216"/>
      <x:c r="U56" s="216"/>
      <x:c r="V56" s="216"/>
      <x:c r="W56" s="216"/>
      <x:c r="X56" s="216"/>
      <x:c r="Y56" s="216"/>
      <x:c r="Z56" s="216"/>
    </x:row>
    <x:row r="57">
      <x:c r="A57" s="216"/>
      <x:c r="B57" s="216"/>
      <x:c r="C57" s="216"/>
      <x:c r="D57" s="216"/>
      <x:c r="E57" s="216"/>
      <x:c r="F57" s="216"/>
      <x:c r="G57" s="216"/>
      <x:c r="H57" s="216"/>
      <x:c r="I57" s="216"/>
      <x:c r="J57" s="216"/>
      <x:c r="K57" s="216"/>
      <x:c r="L57" s="216"/>
      <x:c r="M57" s="216"/>
      <x:c r="N57" s="216"/>
      <x:c r="O57" s="216"/>
      <x:c r="P57" s="216"/>
      <x:c r="Q57" s="216"/>
      <x:c r="R57" s="216"/>
      <x:c r="S57" s="216"/>
      <x:c r="T57" s="216"/>
      <x:c r="U57" s="216"/>
      <x:c r="V57" s="216"/>
      <x:c r="W57" s="216"/>
      <x:c r="X57" s="216"/>
      <x:c r="Y57" s="216"/>
      <x:c r="Z57" s="216"/>
    </x:row>
    <x:row r="58">
      <x:c r="A58" s="216"/>
      <x:c r="B58" s="216"/>
      <x:c r="C58" s="216"/>
      <x:c r="D58" s="216"/>
      <x:c r="E58" s="216"/>
      <x:c r="F58" s="216"/>
      <x:c r="G58" s="216"/>
      <x:c r="H58" s="216"/>
      <x:c r="I58" s="216"/>
      <x:c r="J58" s="216"/>
      <x:c r="K58" s="216"/>
      <x:c r="L58" s="216"/>
      <x:c r="M58" s="216"/>
      <x:c r="N58" s="216"/>
      <x:c r="O58" s="216"/>
      <x:c r="P58" s="216"/>
      <x:c r="Q58" s="216"/>
      <x:c r="R58" s="216"/>
      <x:c r="S58" s="216"/>
      <x:c r="T58" s="216"/>
      <x:c r="U58" s="216"/>
      <x:c r="V58" s="216"/>
      <x:c r="W58" s="216"/>
      <x:c r="X58" s="216"/>
      <x:c r="Y58" s="216"/>
      <x:c r="Z58" s="216"/>
    </x:row>
    <x:row r="59">
      <x:c r="A59" s="216"/>
      <x:c r="B59" s="216"/>
      <x:c r="C59" s="216"/>
      <x:c r="D59" s="216"/>
      <x:c r="E59" s="216"/>
      <x:c r="F59" s="216"/>
      <x:c r="G59" s="216"/>
      <x:c r="H59" s="216"/>
      <x:c r="I59" s="216"/>
      <x:c r="J59" s="216"/>
      <x:c r="K59" s="216"/>
      <x:c r="L59" s="216"/>
      <x:c r="M59" s="216"/>
      <x:c r="N59" s="216"/>
      <x:c r="O59" s="216"/>
      <x:c r="P59" s="216"/>
      <x:c r="Q59" s="216"/>
      <x:c r="R59" s="216"/>
      <x:c r="S59" s="216"/>
      <x:c r="T59" s="216"/>
      <x:c r="U59" s="216"/>
      <x:c r="V59" s="216"/>
      <x:c r="W59" s="216"/>
      <x:c r="X59" s="216"/>
      <x:c r="Y59" s="216"/>
      <x:c r="Z59" s="216"/>
    </x:row>
    <x:row r="60">
      <x:c r="A60" s="216"/>
      <x:c r="B60" s="216"/>
      <x:c r="C60" s="216"/>
      <x:c r="D60" s="216"/>
      <x:c r="E60" s="216"/>
      <x:c r="F60" s="216"/>
      <x:c r="G60" s="216"/>
      <x:c r="H60" s="216"/>
      <x:c r="I60" s="216"/>
      <x:c r="J60" s="216"/>
      <x:c r="K60" s="216"/>
      <x:c r="L60" s="216"/>
      <x:c r="M60" s="216"/>
      <x:c r="N60" s="216"/>
      <x:c r="O60" s="216"/>
      <x:c r="P60" s="216"/>
      <x:c r="Q60" s="216"/>
      <x:c r="R60" s="216"/>
      <x:c r="S60" s="216"/>
      <x:c r="T60" s="216"/>
      <x:c r="U60" s="216"/>
      <x:c r="V60" s="216"/>
      <x:c r="W60" s="216"/>
      <x:c r="X60" s="216"/>
      <x:c r="Y60" s="216"/>
      <x:c r="Z60" s="216"/>
    </x:row>
    <x:row r="61">
      <x:c r="A61" s="216"/>
      <x:c r="B61" s="216"/>
      <x:c r="C61" s="216"/>
      <x:c r="D61" s="216"/>
      <x:c r="E61" s="216"/>
      <x:c r="F61" s="216"/>
      <x:c r="G61" s="216"/>
      <x:c r="H61" s="216"/>
      <x:c r="I61" s="216"/>
      <x:c r="J61" s="216"/>
      <x:c r="K61" s="216"/>
      <x:c r="L61" s="216"/>
      <x:c r="M61" s="216"/>
      <x:c r="N61" s="216"/>
      <x:c r="O61" s="216"/>
      <x:c r="P61" s="216"/>
      <x:c r="Q61" s="216"/>
      <x:c r="R61" s="216"/>
      <x:c r="S61" s="216"/>
      <x:c r="T61" s="216"/>
      <x:c r="U61" s="216"/>
      <x:c r="V61" s="216"/>
      <x:c r="W61" s="216"/>
      <x:c r="X61" s="216"/>
      <x:c r="Y61" s="216"/>
      <x:c r="Z61" s="216"/>
    </x:row>
    <x:row r="62">
      <x:c r="A62" s="216"/>
      <x:c r="B62" s="216"/>
      <x:c r="C62" s="216"/>
      <x:c r="D62" s="216"/>
      <x:c r="E62" s="216"/>
      <x:c r="F62" s="216"/>
      <x:c r="G62" s="216"/>
      <x:c r="H62" s="216"/>
      <x:c r="I62" s="216"/>
      <x:c r="J62" s="216"/>
      <x:c r="K62" s="216"/>
      <x:c r="L62" s="216"/>
      <x:c r="M62" s="216"/>
      <x:c r="N62" s="216"/>
      <x:c r="O62" s="216"/>
      <x:c r="P62" s="216"/>
      <x:c r="Q62" s="216"/>
      <x:c r="R62" s="216"/>
      <x:c r="S62" s="216"/>
      <x:c r="T62" s="216"/>
      <x:c r="U62" s="216"/>
      <x:c r="V62" s="216"/>
      <x:c r="W62" s="216"/>
      <x:c r="X62" s="216"/>
      <x:c r="Y62" s="216"/>
      <x:c r="Z62" s="216"/>
    </x:row>
    <x:row r="63">
      <x:c r="A63" s="216"/>
      <x:c r="B63" s="216"/>
      <x:c r="C63" s="216"/>
      <x:c r="D63" s="216"/>
      <x:c r="E63" s="216"/>
      <x:c r="F63" s="216"/>
      <x:c r="G63" s="216"/>
      <x:c r="H63" s="216"/>
      <x:c r="I63" s="216"/>
      <x:c r="J63" s="216"/>
      <x:c r="K63" s="216"/>
      <x:c r="L63" s="216"/>
      <x:c r="M63" s="216"/>
      <x:c r="N63" s="216"/>
      <x:c r="O63" s="216"/>
      <x:c r="P63" s="216"/>
      <x:c r="Q63" s="216"/>
      <x:c r="R63" s="216"/>
      <x:c r="S63" s="216"/>
      <x:c r="T63" s="216"/>
      <x:c r="U63" s="216"/>
      <x:c r="V63" s="216"/>
      <x:c r="W63" s="216"/>
      <x:c r="X63" s="216"/>
      <x:c r="Y63" s="216"/>
      <x:c r="Z63" s="216"/>
    </x:row>
    <x:row r="64">
      <x:c r="A64" s="216"/>
      <x:c r="B64" s="216"/>
      <x:c r="C64" s="216"/>
      <x:c r="D64" s="216"/>
      <x:c r="E64" s="216"/>
      <x:c r="F64" s="216"/>
      <x:c r="G64" s="216"/>
      <x:c r="H64" s="216"/>
      <x:c r="I64" s="216"/>
      <x:c r="J64" s="216"/>
      <x:c r="K64" s="216"/>
      <x:c r="L64" s="216"/>
      <x:c r="M64" s="216"/>
      <x:c r="N64" s="216"/>
      <x:c r="O64" s="216"/>
      <x:c r="P64" s="216"/>
      <x:c r="Q64" s="216"/>
      <x:c r="R64" s="216"/>
      <x:c r="S64" s="216"/>
      <x:c r="T64" s="216"/>
      <x:c r="U64" s="216"/>
      <x:c r="V64" s="216"/>
      <x:c r="W64" s="216"/>
      <x:c r="X64" s="216"/>
      <x:c r="Y64" s="216"/>
      <x:c r="Z64" s="216"/>
    </x:row>
    <x:row r="65">
      <x:c r="A65" s="216"/>
      <x:c r="B65" s="216"/>
      <x:c r="C65" s="216"/>
      <x:c r="D65" s="216"/>
      <x:c r="E65" s="216"/>
      <x:c r="F65" s="216"/>
      <x:c r="G65" s="216"/>
      <x:c r="H65" s="216"/>
      <x:c r="I65" s="216"/>
      <x:c r="J65" s="216"/>
      <x:c r="K65" s="216"/>
      <x:c r="L65" s="216"/>
      <x:c r="M65" s="216"/>
      <x:c r="N65" s="216"/>
      <x:c r="O65" s="216"/>
      <x:c r="P65" s="216"/>
      <x:c r="Q65" s="216"/>
      <x:c r="R65" s="216"/>
      <x:c r="S65" s="216"/>
      <x:c r="T65" s="216"/>
      <x:c r="U65" s="216"/>
      <x:c r="V65" s="216"/>
      <x:c r="W65" s="216"/>
      <x:c r="X65" s="216"/>
      <x:c r="Y65" s="216"/>
      <x:c r="Z65" s="216"/>
    </x:row>
    <x:row r="66">
      <x:c r="A66" s="216"/>
      <x:c r="B66" s="216"/>
      <x:c r="C66" s="216"/>
      <x:c r="D66" s="216"/>
      <x:c r="E66" s="216"/>
      <x:c r="F66" s="216"/>
      <x:c r="G66" s="216"/>
      <x:c r="H66" s="216"/>
      <x:c r="I66" s="216"/>
      <x:c r="J66" s="216"/>
      <x:c r="K66" s="216"/>
      <x:c r="L66" s="216"/>
      <x:c r="M66" s="216"/>
      <x:c r="N66" s="216"/>
      <x:c r="O66" s="216"/>
      <x:c r="P66" s="216"/>
      <x:c r="Q66" s="216"/>
      <x:c r="R66" s="216"/>
      <x:c r="S66" s="216"/>
      <x:c r="T66" s="216"/>
      <x:c r="U66" s="216"/>
      <x:c r="V66" s="216"/>
      <x:c r="W66" s="216"/>
      <x:c r="X66" s="216"/>
      <x:c r="Y66" s="216"/>
      <x:c r="Z66" s="216"/>
    </x:row>
    <x:row r="67">
      <x:c r="A67" s="216"/>
      <x:c r="B67" s="216"/>
      <x:c r="C67" s="216"/>
      <x:c r="D67" s="216"/>
      <x:c r="E67" s="216"/>
      <x:c r="F67" s="216"/>
      <x:c r="G67" s="216"/>
      <x:c r="H67" s="216"/>
      <x:c r="I67" s="216"/>
      <x:c r="J67" s="216"/>
      <x:c r="K67" s="216"/>
      <x:c r="L67" s="216"/>
      <x:c r="M67" s="216"/>
      <x:c r="N67" s="216"/>
      <x:c r="O67" s="216"/>
      <x:c r="P67" s="216"/>
      <x:c r="Q67" s="216"/>
      <x:c r="R67" s="216"/>
      <x:c r="S67" s="216"/>
      <x:c r="T67" s="216"/>
      <x:c r="U67" s="216"/>
      <x:c r="V67" s="216"/>
      <x:c r="W67" s="216"/>
      <x:c r="X67" s="216"/>
      <x:c r="Y67" s="216"/>
      <x:c r="Z67" s="216"/>
    </x:row>
    <x:row r="68">
      <x:c r="A68" s="216"/>
      <x:c r="B68" s="216"/>
      <x:c r="C68" s="216"/>
      <x:c r="D68" s="216"/>
      <x:c r="E68" s="216"/>
      <x:c r="F68" s="216"/>
      <x:c r="G68" s="216"/>
      <x:c r="H68" s="216"/>
      <x:c r="I68" s="216"/>
      <x:c r="J68" s="216"/>
      <x:c r="K68" s="216"/>
      <x:c r="L68" s="216"/>
      <x:c r="M68" s="216"/>
      <x:c r="N68" s="216"/>
      <x:c r="O68" s="216"/>
      <x:c r="P68" s="216"/>
      <x:c r="Q68" s="216"/>
      <x:c r="R68" s="216"/>
      <x:c r="S68" s="216"/>
      <x:c r="T68" s="216"/>
      <x:c r="U68" s="216"/>
      <x:c r="V68" s="216"/>
      <x:c r="W68" s="216"/>
      <x:c r="X68" s="216"/>
      <x:c r="Y68" s="216"/>
      <x:c r="Z68" s="216"/>
    </x:row>
    <x:row r="69">
      <x:c r="A69" s="216"/>
      <x:c r="B69" s="216"/>
      <x:c r="C69" s="216"/>
      <x:c r="D69" s="216"/>
      <x:c r="E69" s="216"/>
      <x:c r="F69" s="216"/>
      <x:c r="G69" s="216"/>
      <x:c r="H69" s="216"/>
      <x:c r="I69" s="216"/>
      <x:c r="J69" s="216"/>
      <x:c r="K69" s="216"/>
      <x:c r="L69" s="216"/>
      <x:c r="M69" s="216"/>
      <x:c r="N69" s="216"/>
      <x:c r="O69" s="216"/>
      <x:c r="P69" s="216"/>
      <x:c r="Q69" s="216"/>
      <x:c r="R69" s="216"/>
      <x:c r="S69" s="216"/>
      <x:c r="T69" s="216"/>
      <x:c r="U69" s="216"/>
      <x:c r="V69" s="216"/>
      <x:c r="W69" s="216"/>
      <x:c r="X69" s="216"/>
      <x:c r="Y69" s="216"/>
      <x:c r="Z69" s="216"/>
    </x:row>
    <x:row r="70">
      <x:c r="A70" s="216"/>
      <x:c r="B70" s="216"/>
      <x:c r="C70" s="216"/>
      <x:c r="D70" s="216"/>
      <x:c r="E70" s="216"/>
      <x:c r="F70" s="216"/>
      <x:c r="G70" s="216"/>
      <x:c r="H70" s="216"/>
      <x:c r="I70" s="216"/>
      <x:c r="J70" s="216"/>
      <x:c r="K70" s="216"/>
      <x:c r="L70" s="216"/>
      <x:c r="M70" s="216"/>
      <x:c r="N70" s="216"/>
      <x:c r="O70" s="216"/>
      <x:c r="P70" s="216"/>
      <x:c r="Q70" s="216"/>
      <x:c r="R70" s="216"/>
      <x:c r="S70" s="216"/>
      <x:c r="T70" s="216"/>
      <x:c r="U70" s="216"/>
      <x:c r="V70" s="216"/>
      <x:c r="W70" s="216"/>
      <x:c r="X70" s="216"/>
      <x:c r="Y70" s="216"/>
      <x:c r="Z70" s="216"/>
    </x:row>
    <x:row r="71">
      <x:c r="A71" s="216"/>
      <x:c r="B71" s="216"/>
      <x:c r="C71" s="216"/>
      <x:c r="D71" s="216"/>
      <x:c r="E71" s="216"/>
      <x:c r="F71" s="216"/>
      <x:c r="G71" s="216"/>
      <x:c r="H71" s="216"/>
      <x:c r="I71" s="216"/>
      <x:c r="J71" s="216"/>
      <x:c r="K71" s="216"/>
      <x:c r="L71" s="216"/>
      <x:c r="M71" s="216"/>
      <x:c r="N71" s="216"/>
      <x:c r="O71" s="216"/>
      <x:c r="P71" s="216"/>
      <x:c r="Q71" s="216"/>
      <x:c r="R71" s="216"/>
      <x:c r="S71" s="216"/>
      <x:c r="T71" s="216"/>
      <x:c r="U71" s="216"/>
      <x:c r="V71" s="216"/>
      <x:c r="W71" s="216"/>
      <x:c r="X71" s="216"/>
      <x:c r="Y71" s="216"/>
      <x:c r="Z71" s="216"/>
    </x:row>
    <x:row r="72">
      <x:c r="A72" s="216"/>
      <x:c r="B72" s="216"/>
      <x:c r="C72" s="216"/>
      <x:c r="D72" s="216"/>
      <x:c r="E72" s="216"/>
      <x:c r="F72" s="216"/>
      <x:c r="G72" s="216"/>
      <x:c r="H72" s="216"/>
      <x:c r="I72" s="216"/>
      <x:c r="J72" s="216"/>
      <x:c r="K72" s="216"/>
      <x:c r="L72" s="216"/>
      <x:c r="M72" s="216"/>
      <x:c r="N72" s="216"/>
      <x:c r="O72" s="216"/>
      <x:c r="P72" s="216"/>
      <x:c r="Q72" s="216"/>
      <x:c r="R72" s="216"/>
      <x:c r="S72" s="216"/>
      <x:c r="T72" s="216"/>
      <x:c r="U72" s="216"/>
      <x:c r="V72" s="216"/>
      <x:c r="W72" s="216"/>
      <x:c r="X72" s="216"/>
      <x:c r="Y72" s="216"/>
      <x:c r="Z72" s="216"/>
    </x:row>
    <x:row r="73">
      <x:c r="A73" s="216"/>
      <x:c r="B73" s="216"/>
      <x:c r="C73" s="216"/>
      <x:c r="D73" s="216"/>
      <x:c r="E73" s="216"/>
      <x:c r="F73" s="216"/>
      <x:c r="G73" s="216"/>
      <x:c r="H73" s="216"/>
      <x:c r="I73" s="216"/>
      <x:c r="J73" s="216"/>
      <x:c r="K73" s="216"/>
      <x:c r="L73" s="216"/>
      <x:c r="M73" s="216"/>
      <x:c r="N73" s="216"/>
      <x:c r="O73" s="216"/>
      <x:c r="P73" s="216"/>
      <x:c r="Q73" s="216"/>
      <x:c r="R73" s="216"/>
      <x:c r="S73" s="216"/>
      <x:c r="T73" s="216"/>
      <x:c r="U73" s="216"/>
      <x:c r="V73" s="216"/>
      <x:c r="W73" s="216"/>
      <x:c r="X73" s="216"/>
      <x:c r="Y73" s="216"/>
      <x:c r="Z73" s="216"/>
    </x:row>
    <x:row r="74">
      <x:c r="A74" s="216"/>
      <x:c r="B74" s="216"/>
      <x:c r="C74" s="216"/>
      <x:c r="D74" s="216"/>
      <x:c r="E74" s="216"/>
      <x:c r="F74" s="216"/>
      <x:c r="G74" s="216"/>
      <x:c r="H74" s="216"/>
      <x:c r="I74" s="216"/>
      <x:c r="J74" s="216"/>
      <x:c r="K74" s="216"/>
      <x:c r="L74" s="216"/>
      <x:c r="M74" s="216"/>
      <x:c r="N74" s="216"/>
      <x:c r="O74" s="216"/>
      <x:c r="P74" s="216"/>
      <x:c r="Q74" s="216"/>
      <x:c r="R74" s="216"/>
      <x:c r="S74" s="216"/>
      <x:c r="T74" s="216"/>
      <x:c r="U74" s="216"/>
      <x:c r="V74" s="216"/>
      <x:c r="W74" s="216"/>
      <x:c r="X74" s="216"/>
      <x:c r="Y74" s="216"/>
      <x:c r="Z74" s="216"/>
    </x:row>
    <x:row r="75">
      <x:c r="A75" s="216"/>
      <x:c r="B75" s="216"/>
      <x:c r="C75" s="216"/>
      <x:c r="D75" s="216"/>
      <x:c r="E75" s="216"/>
      <x:c r="F75" s="216"/>
      <x:c r="G75" s="216"/>
      <x:c r="H75" s="216"/>
      <x:c r="I75" s="216"/>
      <x:c r="J75" s="216"/>
      <x:c r="K75" s="216"/>
      <x:c r="L75" s="216"/>
      <x:c r="M75" s="216"/>
      <x:c r="N75" s="216"/>
      <x:c r="O75" s="216"/>
      <x:c r="P75" s="216"/>
      <x:c r="Q75" s="216"/>
      <x:c r="R75" s="216"/>
      <x:c r="S75" s="216"/>
      <x:c r="T75" s="216"/>
      <x:c r="U75" s="216"/>
      <x:c r="V75" s="216"/>
      <x:c r="W75" s="216"/>
      <x:c r="X75" s="216"/>
      <x:c r="Y75" s="216"/>
      <x:c r="Z75" s="216"/>
    </x:row>
    <x:row r="76">
      <x:c r="A76" s="216"/>
      <x:c r="B76" s="216"/>
      <x:c r="C76" s="216"/>
      <x:c r="D76" s="216"/>
      <x:c r="E76" s="216"/>
      <x:c r="F76" s="216"/>
      <x:c r="G76" s="216"/>
      <x:c r="H76" s="216"/>
      <x:c r="I76" s="216"/>
      <x:c r="J76" s="216"/>
      <x:c r="K76" s="216"/>
      <x:c r="L76" s="216"/>
      <x:c r="M76" s="216"/>
      <x:c r="N76" s="216"/>
      <x:c r="O76" s="216"/>
      <x:c r="P76" s="216"/>
      <x:c r="Q76" s="216"/>
      <x:c r="R76" s="216"/>
      <x:c r="S76" s="216"/>
      <x:c r="T76" s="216"/>
      <x:c r="U76" s="216"/>
      <x:c r="V76" s="216"/>
      <x:c r="W76" s="216"/>
      <x:c r="X76" s="216"/>
      <x:c r="Y76" s="216"/>
      <x:c r="Z76" s="216"/>
    </x:row>
    <x:row r="77">
      <x:c r="A77" s="216"/>
      <x:c r="B77" s="216"/>
      <x:c r="C77" s="216"/>
      <x:c r="D77" s="216"/>
      <x:c r="E77" s="216"/>
      <x:c r="F77" s="216"/>
      <x:c r="G77" s="216"/>
      <x:c r="H77" s="216"/>
      <x:c r="I77" s="216"/>
      <x:c r="J77" s="216"/>
      <x:c r="K77" s="216"/>
      <x:c r="L77" s="216"/>
      <x:c r="M77" s="216"/>
      <x:c r="N77" s="216"/>
      <x:c r="O77" s="216"/>
      <x:c r="P77" s="216"/>
      <x:c r="Q77" s="216"/>
      <x:c r="R77" s="216"/>
      <x:c r="S77" s="216"/>
      <x:c r="T77" s="216"/>
      <x:c r="U77" s="216"/>
      <x:c r="V77" s="216"/>
      <x:c r="W77" s="216"/>
      <x:c r="X77" s="216"/>
      <x:c r="Y77" s="216"/>
      <x:c r="Z77" s="216"/>
    </x:row>
    <x:row r="78">
      <x:c r="A78" s="216"/>
      <x:c r="B78" s="216"/>
      <x:c r="C78" s="216"/>
      <x:c r="D78" s="216"/>
      <x:c r="E78" s="216"/>
      <x:c r="F78" s="216"/>
      <x:c r="G78" s="216"/>
      <x:c r="H78" s="216"/>
      <x:c r="I78" s="216"/>
      <x:c r="J78" s="216"/>
      <x:c r="K78" s="216"/>
      <x:c r="L78" s="216"/>
      <x:c r="M78" s="216"/>
      <x:c r="N78" s="216"/>
      <x:c r="O78" s="216"/>
      <x:c r="P78" s="216"/>
      <x:c r="Q78" s="216"/>
      <x:c r="R78" s="216"/>
      <x:c r="S78" s="216"/>
      <x:c r="T78" s="216"/>
      <x:c r="U78" s="216"/>
      <x:c r="V78" s="216"/>
      <x:c r="W78" s="216"/>
      <x:c r="X78" s="216"/>
      <x:c r="Y78" s="216"/>
      <x:c r="Z78" s="216"/>
    </x:row>
    <x:row r="79">
      <x:c r="A79" s="216"/>
      <x:c r="B79" s="216"/>
      <x:c r="C79" s="216"/>
      <x:c r="D79" s="216"/>
      <x:c r="E79" s="216"/>
      <x:c r="F79" s="216"/>
      <x:c r="G79" s="216"/>
      <x:c r="H79" s="216"/>
      <x:c r="I79" s="216"/>
      <x:c r="J79" s="216"/>
      <x:c r="K79" s="216"/>
      <x:c r="L79" s="216"/>
      <x:c r="M79" s="216"/>
      <x:c r="N79" s="216"/>
      <x:c r="O79" s="216"/>
      <x:c r="P79" s="216"/>
      <x:c r="Q79" s="216"/>
      <x:c r="R79" s="216"/>
      <x:c r="S79" s="216"/>
      <x:c r="T79" s="216"/>
      <x:c r="U79" s="216"/>
      <x:c r="V79" s="216"/>
      <x:c r="W79" s="216"/>
      <x:c r="X79" s="216"/>
      <x:c r="Y79" s="216"/>
      <x:c r="Z79" s="216"/>
    </x:row>
    <x:row r="80">
      <x:c r="A80" s="216"/>
      <x:c r="B80" s="216"/>
      <x:c r="C80" s="216"/>
      <x:c r="D80" s="216"/>
      <x:c r="E80" s="216"/>
      <x:c r="F80" s="216"/>
      <x:c r="G80" s="216"/>
      <x:c r="H80" s="216"/>
      <x:c r="I80" s="216"/>
      <x:c r="J80" s="216"/>
      <x:c r="K80" s="216"/>
      <x:c r="L80" s="216"/>
      <x:c r="M80" s="216"/>
      <x:c r="N80" s="216"/>
      <x:c r="O80" s="216"/>
      <x:c r="P80" s="216"/>
      <x:c r="Q80" s="216"/>
      <x:c r="R80" s="216"/>
      <x:c r="S80" s="216"/>
      <x:c r="T80" s="216"/>
      <x:c r="U80" s="216"/>
      <x:c r="V80" s="216"/>
      <x:c r="W80" s="216"/>
      <x:c r="X80" s="216"/>
      <x:c r="Y80" s="216"/>
      <x:c r="Z80" s="216"/>
    </x:row>
    <x:row r="81">
      <x:c r="A81" s="216"/>
      <x:c r="B81" s="216"/>
      <x:c r="C81" s="216"/>
      <x:c r="D81" s="216"/>
      <x:c r="E81" s="216"/>
      <x:c r="F81" s="216"/>
      <x:c r="G81" s="216"/>
      <x:c r="H81" s="216"/>
      <x:c r="I81" s="216"/>
      <x:c r="J81" s="216"/>
      <x:c r="K81" s="216"/>
      <x:c r="L81" s="216"/>
      <x:c r="M81" s="216"/>
      <x:c r="N81" s="216"/>
      <x:c r="O81" s="216"/>
      <x:c r="P81" s="216"/>
      <x:c r="Q81" s="216"/>
      <x:c r="R81" s="216"/>
      <x:c r="S81" s="216"/>
      <x:c r="T81" s="216"/>
      <x:c r="U81" s="216"/>
      <x:c r="V81" s="216"/>
      <x:c r="W81" s="216"/>
      <x:c r="X81" s="216"/>
      <x:c r="Y81" s="216"/>
      <x:c r="Z81" s="216"/>
    </x:row>
    <x:row r="82">
      <x:c r="A82" s="216"/>
      <x:c r="B82" s="216"/>
      <x:c r="C82" s="216"/>
      <x:c r="D82" s="216"/>
      <x:c r="E82" s="216"/>
      <x:c r="F82" s="216"/>
      <x:c r="G82" s="216"/>
      <x:c r="H82" s="216"/>
      <x:c r="I82" s="216"/>
      <x:c r="J82" s="216"/>
      <x:c r="K82" s="216"/>
      <x:c r="L82" s="216"/>
      <x:c r="M82" s="216"/>
      <x:c r="N82" s="216"/>
      <x:c r="O82" s="216"/>
      <x:c r="P82" s="216"/>
      <x:c r="Q82" s="216"/>
      <x:c r="R82" s="216"/>
      <x:c r="S82" s="216"/>
      <x:c r="T82" s="216"/>
      <x:c r="U82" s="216"/>
      <x:c r="V82" s="216"/>
      <x:c r="W82" s="216"/>
      <x:c r="X82" s="216"/>
      <x:c r="Y82" s="216"/>
      <x:c r="Z82" s="216"/>
    </x:row>
    <x:row r="83">
      <x:c r="A83" s="216"/>
      <x:c r="B83" s="216"/>
      <x:c r="C83" s="216"/>
      <x:c r="D83" s="216"/>
      <x:c r="E83" s="216"/>
      <x:c r="F83" s="216"/>
      <x:c r="G83" s="216"/>
      <x:c r="H83" s="216"/>
      <x:c r="I83" s="216"/>
      <x:c r="J83" s="216"/>
      <x:c r="K83" s="216"/>
      <x:c r="L83" s="216"/>
      <x:c r="M83" s="216"/>
      <x:c r="N83" s="216"/>
      <x:c r="O83" s="216"/>
      <x:c r="P83" s="216"/>
      <x:c r="Q83" s="216"/>
      <x:c r="R83" s="216"/>
      <x:c r="S83" s="216"/>
      <x:c r="T83" s="216"/>
      <x:c r="U83" s="216"/>
      <x:c r="V83" s="216"/>
      <x:c r="W83" s="216"/>
      <x:c r="X83" s="216"/>
      <x:c r="Y83" s="216"/>
      <x:c r="Z83" s="216"/>
    </x:row>
    <x:row r="84">
      <x:c r="A84" s="216"/>
      <x:c r="B84" s="216"/>
      <x:c r="C84" s="216"/>
      <x:c r="D84" s="216"/>
      <x:c r="E84" s="216"/>
      <x:c r="F84" s="216"/>
      <x:c r="G84" s="216"/>
      <x:c r="H84" s="216"/>
      <x:c r="I84" s="216"/>
      <x:c r="J84" s="216"/>
      <x:c r="K84" s="216"/>
      <x:c r="L84" s="216"/>
      <x:c r="M84" s="216"/>
      <x:c r="N84" s="216"/>
      <x:c r="O84" s="216"/>
      <x:c r="P84" s="216"/>
      <x:c r="Q84" s="216"/>
      <x:c r="R84" s="216"/>
      <x:c r="S84" s="216"/>
      <x:c r="T84" s="216"/>
      <x:c r="U84" s="216"/>
      <x:c r="V84" s="216"/>
      <x:c r="W84" s="216"/>
      <x:c r="X84" s="216"/>
      <x:c r="Y84" s="216"/>
      <x:c r="Z84" s="216"/>
    </x:row>
    <x:row r="85">
      <x:c r="A85" s="216"/>
      <x:c r="B85" s="216"/>
      <x:c r="C85" s="216"/>
      <x:c r="D85" s="216"/>
      <x:c r="E85" s="216"/>
      <x:c r="F85" s="216"/>
      <x:c r="G85" s="216"/>
      <x:c r="H85" s="216"/>
      <x:c r="I85" s="216"/>
      <x:c r="J85" s="216"/>
      <x:c r="K85" s="216"/>
      <x:c r="L85" s="216"/>
      <x:c r="M85" s="216"/>
      <x:c r="N85" s="216"/>
      <x:c r="O85" s="216"/>
      <x:c r="P85" s="216"/>
      <x:c r="Q85" s="216"/>
      <x:c r="R85" s="216"/>
      <x:c r="S85" s="216"/>
      <x:c r="T85" s="216"/>
      <x:c r="U85" s="216"/>
      <x:c r="V85" s="216"/>
      <x:c r="W85" s="216"/>
      <x:c r="X85" s="216"/>
      <x:c r="Y85" s="216"/>
      <x:c r="Z85" s="216"/>
    </x:row>
    <x:row r="86">
      <x:c r="A86" s="216"/>
      <x:c r="B86" s="216"/>
      <x:c r="C86" s="216"/>
      <x:c r="D86" s="216"/>
      <x:c r="E86" s="216"/>
      <x:c r="F86" s="216"/>
      <x:c r="G86" s="216"/>
      <x:c r="H86" s="216"/>
      <x:c r="I86" s="216"/>
      <x:c r="J86" s="216"/>
      <x:c r="K86" s="216"/>
      <x:c r="L86" s="216"/>
      <x:c r="M86" s="216"/>
      <x:c r="N86" s="216"/>
      <x:c r="O86" s="216"/>
      <x:c r="P86" s="216"/>
      <x:c r="Q86" s="216"/>
      <x:c r="R86" s="216"/>
      <x:c r="S86" s="216"/>
      <x:c r="T86" s="216"/>
      <x:c r="U86" s="216"/>
      <x:c r="V86" s="216"/>
      <x:c r="W86" s="216"/>
      <x:c r="X86" s="216"/>
      <x:c r="Y86" s="216"/>
      <x:c r="Z86" s="216"/>
    </x:row>
    <x:row r="87">
      <x:c r="A87" s="216"/>
      <x:c r="B87" s="216"/>
      <x:c r="C87" s="216"/>
      <x:c r="D87" s="216"/>
      <x:c r="E87" s="216"/>
      <x:c r="F87" s="216"/>
      <x:c r="G87" s="216"/>
      <x:c r="H87" s="216"/>
      <x:c r="I87" s="216"/>
      <x:c r="J87" s="216"/>
      <x:c r="K87" s="216"/>
      <x:c r="L87" s="216"/>
      <x:c r="M87" s="216"/>
      <x:c r="N87" s="216"/>
      <x:c r="O87" s="216"/>
      <x:c r="P87" s="216"/>
      <x:c r="Q87" s="216"/>
      <x:c r="R87" s="216"/>
      <x:c r="S87" s="216"/>
      <x:c r="T87" s="216"/>
      <x:c r="U87" s="216"/>
      <x:c r="V87" s="216"/>
      <x:c r="W87" s="216"/>
      <x:c r="X87" s="216"/>
      <x:c r="Y87" s="216"/>
      <x:c r="Z87" s="216"/>
    </x:row>
    <x:row r="88">
      <x:c r="A88" s="216"/>
      <x:c r="B88" s="216"/>
      <x:c r="C88" s="216"/>
      <x:c r="D88" s="216"/>
      <x:c r="E88" s="216"/>
      <x:c r="F88" s="216"/>
      <x:c r="G88" s="216"/>
      <x:c r="H88" s="216"/>
      <x:c r="I88" s="216"/>
      <x:c r="J88" s="216"/>
      <x:c r="K88" s="216"/>
      <x:c r="L88" s="216"/>
      <x:c r="M88" s="216"/>
      <x:c r="N88" s="216"/>
      <x:c r="O88" s="216"/>
      <x:c r="P88" s="216"/>
      <x:c r="Q88" s="216"/>
      <x:c r="R88" s="216"/>
      <x:c r="S88" s="216"/>
      <x:c r="T88" s="216"/>
      <x:c r="U88" s="216"/>
      <x:c r="V88" s="216"/>
      <x:c r="W88" s="216"/>
      <x:c r="X88" s="216"/>
      <x:c r="Y88" s="216"/>
      <x:c r="Z88" s="216"/>
    </x:row>
    <x:row r="89">
      <x:c r="A89" s="216"/>
      <x:c r="B89" s="216"/>
      <x:c r="C89" s="216"/>
      <x:c r="D89" s="216"/>
      <x:c r="E89" s="216"/>
      <x:c r="F89" s="216"/>
      <x:c r="G89" s="216"/>
      <x:c r="H89" s="216"/>
      <x:c r="I89" s="216"/>
      <x:c r="J89" s="216"/>
      <x:c r="K89" s="216"/>
      <x:c r="L89" s="216"/>
      <x:c r="M89" s="216"/>
      <x:c r="N89" s="216"/>
      <x:c r="O89" s="216"/>
      <x:c r="P89" s="216"/>
      <x:c r="Q89" s="216"/>
      <x:c r="R89" s="216"/>
      <x:c r="S89" s="216"/>
      <x:c r="T89" s="216"/>
      <x:c r="U89" s="216"/>
      <x:c r="V89" s="216"/>
      <x:c r="W89" s="216"/>
      <x:c r="X89" s="216"/>
      <x:c r="Y89" s="216"/>
      <x:c r="Z89" s="216"/>
    </x:row>
    <x:row r="90">
      <x:c r="A90" s="216"/>
      <x:c r="B90" s="216"/>
      <x:c r="C90" s="216"/>
      <x:c r="D90" s="216"/>
      <x:c r="E90" s="216"/>
      <x:c r="F90" s="216"/>
      <x:c r="G90" s="216"/>
      <x:c r="H90" s="216"/>
      <x:c r="I90" s="216"/>
      <x:c r="J90" s="216"/>
      <x:c r="K90" s="216"/>
      <x:c r="L90" s="216"/>
      <x:c r="M90" s="216"/>
      <x:c r="N90" s="216"/>
      <x:c r="O90" s="216"/>
      <x:c r="P90" s="216"/>
      <x:c r="Q90" s="216"/>
      <x:c r="R90" s="216"/>
      <x:c r="S90" s="216"/>
      <x:c r="T90" s="216"/>
      <x:c r="U90" s="216"/>
      <x:c r="V90" s="216"/>
      <x:c r="W90" s="216"/>
      <x:c r="X90" s="216"/>
      <x:c r="Y90" s="216"/>
      <x:c r="Z90" s="216"/>
    </x:row>
    <x:row r="91">
      <x:c r="A91" s="216"/>
      <x:c r="B91" s="216"/>
      <x:c r="C91" s="216"/>
      <x:c r="D91" s="216"/>
      <x:c r="E91" s="216"/>
      <x:c r="F91" s="216"/>
      <x:c r="G91" s="216"/>
      <x:c r="H91" s="216"/>
      <x:c r="I91" s="216"/>
      <x:c r="J91" s="216"/>
      <x:c r="K91" s="216"/>
      <x:c r="L91" s="216"/>
      <x:c r="M91" s="216"/>
      <x:c r="N91" s="216"/>
      <x:c r="O91" s="216"/>
      <x:c r="P91" s="216"/>
      <x:c r="Q91" s="216"/>
      <x:c r="R91" s="216"/>
      <x:c r="S91" s="216"/>
      <x:c r="T91" s="216"/>
      <x:c r="U91" s="216"/>
      <x:c r="V91" s="216"/>
      <x:c r="W91" s="216"/>
      <x:c r="X91" s="216"/>
      <x:c r="Y91" s="216"/>
      <x:c r="Z91" s="216"/>
    </x:row>
    <x:row r="92">
      <x:c r="A92" s="216"/>
      <x:c r="B92" s="216"/>
      <x:c r="C92" s="216"/>
      <x:c r="D92" s="216"/>
      <x:c r="E92" s="216"/>
      <x:c r="F92" s="216"/>
      <x:c r="G92" s="216"/>
      <x:c r="H92" s="216"/>
      <x:c r="I92" s="216"/>
      <x:c r="J92" s="216"/>
      <x:c r="K92" s="216"/>
      <x:c r="L92" s="216"/>
      <x:c r="M92" s="216"/>
      <x:c r="N92" s="216"/>
      <x:c r="O92" s="216"/>
      <x:c r="P92" s="216"/>
      <x:c r="Q92" s="216"/>
      <x:c r="R92" s="216"/>
      <x:c r="S92" s="216"/>
      <x:c r="T92" s="216"/>
      <x:c r="U92" s="216"/>
      <x:c r="V92" s="216"/>
      <x:c r="W92" s="216"/>
      <x:c r="X92" s="216"/>
      <x:c r="Y92" s="216"/>
      <x:c r="Z92" s="216"/>
    </x:row>
    <x:row r="93">
      <x:c r="A93" s="216"/>
      <x:c r="B93" s="216"/>
      <x:c r="C93" s="216"/>
      <x:c r="D93" s="216"/>
      <x:c r="E93" s="216"/>
      <x:c r="F93" s="216"/>
      <x:c r="G93" s="216"/>
      <x:c r="H93" s="216"/>
      <x:c r="I93" s="216"/>
      <x:c r="J93" s="216"/>
      <x:c r="K93" s="216"/>
      <x:c r="L93" s="216"/>
      <x:c r="M93" s="216"/>
      <x:c r="N93" s="216"/>
      <x:c r="O93" s="216"/>
      <x:c r="P93" s="216"/>
      <x:c r="Q93" s="216"/>
      <x:c r="R93" s="216"/>
      <x:c r="S93" s="216"/>
      <x:c r="T93" s="216"/>
      <x:c r="U93" s="216"/>
      <x:c r="V93" s="216"/>
      <x:c r="W93" s="216"/>
      <x:c r="X93" s="216"/>
      <x:c r="Y93" s="216"/>
      <x:c r="Z93" s="216"/>
    </x:row>
    <x:row r="94">
      <x:c r="A94" s="216"/>
      <x:c r="B94" s="216"/>
      <x:c r="C94" s="216"/>
      <x:c r="D94" s="216"/>
      <x:c r="E94" s="216"/>
      <x:c r="F94" s="216"/>
      <x:c r="G94" s="216"/>
      <x:c r="H94" s="216"/>
      <x:c r="I94" s="216"/>
      <x:c r="J94" s="216"/>
      <x:c r="K94" s="216"/>
      <x:c r="L94" s="216"/>
      <x:c r="M94" s="216"/>
      <x:c r="N94" s="216"/>
      <x:c r="O94" s="216"/>
      <x:c r="P94" s="216"/>
      <x:c r="Q94" s="216"/>
      <x:c r="R94" s="216"/>
      <x:c r="S94" s="216"/>
      <x:c r="T94" s="216"/>
      <x:c r="U94" s="216"/>
      <x:c r="V94" s="216"/>
      <x:c r="W94" s="216"/>
      <x:c r="X94" s="216"/>
      <x:c r="Y94" s="216"/>
      <x:c r="Z94" s="216"/>
    </x:row>
    <x:row r="95">
      <x:c r="A95" s="216"/>
      <x:c r="B95" s="216"/>
      <x:c r="C95" s="216"/>
      <x:c r="D95" s="216"/>
      <x:c r="E95" s="216"/>
      <x:c r="F95" s="216"/>
      <x:c r="G95" s="216"/>
      <x:c r="H95" s="216"/>
      <x:c r="I95" s="216"/>
      <x:c r="J95" s="216"/>
      <x:c r="K95" s="216"/>
      <x:c r="L95" s="216"/>
      <x:c r="M95" s="216"/>
      <x:c r="N95" s="216"/>
      <x:c r="O95" s="216"/>
      <x:c r="P95" s="216"/>
      <x:c r="Q95" s="216"/>
      <x:c r="R95" s="216"/>
      <x:c r="S95" s="216"/>
      <x:c r="T95" s="216"/>
      <x:c r="U95" s="216"/>
      <x:c r="V95" s="216"/>
      <x:c r="W95" s="216"/>
      <x:c r="X95" s="216"/>
      <x:c r="Y95" s="216"/>
      <x:c r="Z95" s="216"/>
    </x:row>
    <x:row r="96">
      <x:c r="A96" s="216"/>
      <x:c r="B96" s="216"/>
      <x:c r="C96" s="216"/>
      <x:c r="D96" s="216"/>
      <x:c r="E96" s="216"/>
      <x:c r="F96" s="216"/>
      <x:c r="G96" s="216"/>
      <x:c r="H96" s="216"/>
      <x:c r="I96" s="216"/>
      <x:c r="J96" s="216"/>
      <x:c r="K96" s="216"/>
      <x:c r="L96" s="216"/>
      <x:c r="M96" s="216"/>
      <x:c r="N96" s="216"/>
      <x:c r="O96" s="216"/>
      <x:c r="P96" s="216"/>
      <x:c r="Q96" s="216"/>
      <x:c r="R96" s="216"/>
      <x:c r="S96" s="216"/>
      <x:c r="T96" s="216"/>
      <x:c r="U96" s="216"/>
      <x:c r="V96" s="216"/>
      <x:c r="W96" s="216"/>
      <x:c r="X96" s="216"/>
      <x:c r="Y96" s="216"/>
      <x:c r="Z96" s="216"/>
    </x:row>
    <x:row r="97">
      <x:c r="A97" s="216"/>
      <x:c r="B97" s="216"/>
      <x:c r="C97" s="216"/>
      <x:c r="D97" s="216"/>
      <x:c r="E97" s="216"/>
      <x:c r="F97" s="216"/>
      <x:c r="G97" s="216"/>
      <x:c r="H97" s="216"/>
      <x:c r="I97" s="216"/>
      <x:c r="J97" s="216"/>
      <x:c r="K97" s="216"/>
      <x:c r="L97" s="216"/>
      <x:c r="M97" s="216"/>
      <x:c r="N97" s="216"/>
      <x:c r="O97" s="216"/>
      <x:c r="P97" s="216"/>
      <x:c r="Q97" s="216"/>
      <x:c r="R97" s="216"/>
      <x:c r="S97" s="216"/>
      <x:c r="T97" s="216"/>
      <x:c r="U97" s="216"/>
      <x:c r="V97" s="216"/>
      <x:c r="W97" s="216"/>
      <x:c r="X97" s="216"/>
      <x:c r="Y97" s="216"/>
      <x:c r="Z97" s="216"/>
    </x:row>
    <x:row r="98">
      <x:c r="A98" s="216"/>
      <x:c r="B98" s="216"/>
      <x:c r="C98" s="216"/>
      <x:c r="D98" s="216"/>
      <x:c r="E98" s="216"/>
      <x:c r="F98" s="216"/>
      <x:c r="G98" s="216"/>
      <x:c r="H98" s="216"/>
      <x:c r="I98" s="216"/>
      <x:c r="J98" s="216"/>
      <x:c r="K98" s="216"/>
      <x:c r="L98" s="216"/>
      <x:c r="M98" s="216"/>
      <x:c r="N98" s="216"/>
      <x:c r="O98" s="216"/>
      <x:c r="P98" s="216"/>
      <x:c r="Q98" s="216"/>
      <x:c r="R98" s="216"/>
      <x:c r="S98" s="216"/>
      <x:c r="T98" s="216"/>
      <x:c r="U98" s="216"/>
      <x:c r="V98" s="216"/>
      <x:c r="W98" s="216"/>
      <x:c r="X98" s="216"/>
      <x:c r="Y98" s="216"/>
      <x:c r="Z98" s="216"/>
    </x:row>
    <x:row r="99">
      <x:c r="A99" s="216"/>
      <x:c r="B99" s="216"/>
      <x:c r="C99" s="216"/>
      <x:c r="D99" s="216"/>
      <x:c r="E99" s="216"/>
      <x:c r="F99" s="216"/>
      <x:c r="G99" s="216"/>
      <x:c r="H99" s="216"/>
      <x:c r="I99" s="216"/>
      <x:c r="J99" s="216"/>
      <x:c r="K99" s="216"/>
      <x:c r="L99" s="216"/>
      <x:c r="M99" s="216"/>
      <x:c r="N99" s="216"/>
      <x:c r="O99" s="216"/>
      <x:c r="P99" s="216"/>
      <x:c r="Q99" s="216"/>
      <x:c r="R99" s="216"/>
      <x:c r="S99" s="216"/>
      <x:c r="T99" s="216"/>
      <x:c r="U99" s="216"/>
      <x:c r="V99" s="216"/>
      <x:c r="W99" s="216"/>
      <x:c r="X99" s="216"/>
      <x:c r="Y99" s="216"/>
      <x:c r="Z99" s="216"/>
    </x:row>
    <x:row r="100">
      <x:c r="A100" s="216"/>
      <x:c r="B100" s="216"/>
      <x:c r="C100" s="216"/>
      <x:c r="D100" s="216"/>
      <x:c r="E100" s="216"/>
      <x:c r="F100" s="216"/>
      <x:c r="G100" s="216"/>
      <x:c r="H100" s="216"/>
      <x:c r="I100" s="216"/>
      <x:c r="J100" s="216"/>
      <x:c r="K100" s="216"/>
      <x:c r="L100" s="216"/>
      <x:c r="M100" s="216"/>
      <x:c r="N100" s="216"/>
      <x:c r="O100" s="216"/>
      <x:c r="P100" s="216"/>
      <x:c r="Q100" s="216"/>
      <x:c r="R100" s="216"/>
      <x:c r="S100" s="216"/>
      <x:c r="T100" s="216"/>
      <x:c r="U100" s="216"/>
      <x:c r="V100" s="216"/>
      <x:c r="W100" s="216"/>
      <x:c r="X100" s="216"/>
      <x:c r="Y100" s="216"/>
      <x:c r="Z100" s="216"/>
    </x:row>
    <x:row r="101">
      <x:c r="A101" s="216"/>
      <x:c r="B101" s="216"/>
      <x:c r="C101" s="216"/>
      <x:c r="D101" s="216"/>
      <x:c r="E101" s="216"/>
      <x:c r="F101" s="216"/>
      <x:c r="G101" s="216"/>
      <x:c r="H101" s="216"/>
      <x:c r="I101" s="216"/>
      <x:c r="J101" s="216"/>
      <x:c r="K101" s="216"/>
      <x:c r="L101" s="216"/>
      <x:c r="M101" s="216"/>
      <x:c r="N101" s="216"/>
      <x:c r="O101" s="216"/>
      <x:c r="P101" s="216"/>
      <x:c r="Q101" s="216"/>
      <x:c r="R101" s="216"/>
      <x:c r="S101" s="216"/>
      <x:c r="T101" s="216"/>
      <x:c r="U101" s="216"/>
      <x:c r="V101" s="216"/>
      <x:c r="W101" s="216"/>
      <x:c r="X101" s="216"/>
      <x:c r="Y101" s="216"/>
      <x:c r="Z101" s="216"/>
    </x:row>
    <x:row r="102">
      <x:c r="A102" s="216"/>
      <x:c r="B102" s="216"/>
      <x:c r="C102" s="216"/>
      <x:c r="D102" s="216"/>
      <x:c r="E102" s="216"/>
      <x:c r="F102" s="216"/>
      <x:c r="G102" s="216"/>
      <x:c r="H102" s="216"/>
      <x:c r="I102" s="216"/>
      <x:c r="J102" s="216"/>
      <x:c r="K102" s="216"/>
      <x:c r="L102" s="216"/>
      <x:c r="M102" s="216"/>
      <x:c r="N102" s="216"/>
      <x:c r="O102" s="216"/>
      <x:c r="P102" s="216"/>
      <x:c r="Q102" s="216"/>
      <x:c r="R102" s="216"/>
      <x:c r="S102" s="216"/>
      <x:c r="T102" s="216"/>
      <x:c r="U102" s="216"/>
      <x:c r="V102" s="216"/>
      <x:c r="W102" s="216"/>
      <x:c r="X102" s="216"/>
      <x:c r="Y102" s="216"/>
      <x:c r="Z102" s="216"/>
    </x:row>
    <x:row r="103">
      <x:c r="A103" s="216"/>
      <x:c r="B103" s="216"/>
      <x:c r="C103" s="216"/>
      <x:c r="D103" s="216"/>
      <x:c r="E103" s="216"/>
      <x:c r="F103" s="216"/>
      <x:c r="G103" s="216"/>
      <x:c r="H103" s="216"/>
      <x:c r="I103" s="216"/>
      <x:c r="J103" s="216"/>
      <x:c r="K103" s="216"/>
      <x:c r="L103" s="216"/>
      <x:c r="M103" s="216"/>
      <x:c r="N103" s="216"/>
      <x:c r="O103" s="216"/>
      <x:c r="P103" s="216"/>
      <x:c r="Q103" s="216"/>
      <x:c r="R103" s="216"/>
      <x:c r="S103" s="216"/>
      <x:c r="T103" s="216"/>
      <x:c r="U103" s="216"/>
      <x:c r="V103" s="216"/>
      <x:c r="W103" s="216"/>
      <x:c r="X103" s="216"/>
      <x:c r="Y103" s="216"/>
      <x:c r="Z103" s="216"/>
    </x:row>
    <x:row r="104">
      <x:c r="A104" s="216"/>
      <x:c r="B104" s="216"/>
      <x:c r="C104" s="216"/>
      <x:c r="D104" s="216"/>
      <x:c r="E104" s="216"/>
      <x:c r="F104" s="216"/>
      <x:c r="G104" s="216"/>
      <x:c r="H104" s="216"/>
      <x:c r="I104" s="216"/>
      <x:c r="J104" s="216"/>
      <x:c r="K104" s="216"/>
      <x:c r="L104" s="216"/>
      <x:c r="M104" s="216"/>
      <x:c r="N104" s="216"/>
      <x:c r="O104" s="216"/>
      <x:c r="P104" s="216"/>
      <x:c r="Q104" s="216"/>
      <x:c r="R104" s="216"/>
      <x:c r="S104" s="216"/>
      <x:c r="T104" s="216"/>
      <x:c r="U104" s="216"/>
      <x:c r="V104" s="216"/>
      <x:c r="W104" s="216"/>
      <x:c r="X104" s="216"/>
      <x:c r="Y104" s="216"/>
      <x:c r="Z104" s="216"/>
    </x:row>
    <x:row r="105">
      <x:c r="A105" s="216"/>
      <x:c r="B105" s="216"/>
      <x:c r="C105" s="216"/>
      <x:c r="D105" s="216"/>
      <x:c r="E105" s="216"/>
      <x:c r="F105" s="216"/>
      <x:c r="G105" s="216"/>
      <x:c r="H105" s="216"/>
      <x:c r="I105" s="216"/>
      <x:c r="J105" s="216"/>
      <x:c r="K105" s="216"/>
      <x:c r="L105" s="216"/>
      <x:c r="M105" s="216"/>
      <x:c r="N105" s="216"/>
      <x:c r="O105" s="216"/>
      <x:c r="P105" s="216"/>
      <x:c r="Q105" s="216"/>
      <x:c r="R105" s="216"/>
      <x:c r="S105" s="216"/>
      <x:c r="T105" s="216"/>
      <x:c r="U105" s="216"/>
      <x:c r="V105" s="216"/>
      <x:c r="W105" s="216"/>
      <x:c r="X105" s="216"/>
      <x:c r="Y105" s="216"/>
      <x:c r="Z105" s="216"/>
    </x:row>
    <x:row r="106">
      <x:c r="A106" s="216"/>
      <x:c r="B106" s="216"/>
      <x:c r="C106" s="216"/>
      <x:c r="D106" s="216"/>
      <x:c r="E106" s="216"/>
      <x:c r="F106" s="216"/>
      <x:c r="G106" s="216"/>
      <x:c r="H106" s="216"/>
      <x:c r="I106" s="216"/>
      <x:c r="J106" s="216"/>
      <x:c r="K106" s="216"/>
      <x:c r="L106" s="216"/>
      <x:c r="M106" s="216"/>
      <x:c r="N106" s="216"/>
      <x:c r="O106" s="216"/>
      <x:c r="P106" s="216"/>
      <x:c r="Q106" s="216"/>
      <x:c r="R106" s="216"/>
      <x:c r="S106" s="216"/>
      <x:c r="T106" s="216"/>
      <x:c r="U106" s="216"/>
      <x:c r="V106" s="216"/>
      <x:c r="W106" s="216"/>
      <x:c r="X106" s="216"/>
      <x:c r="Y106" s="216"/>
      <x:c r="Z106" s="216"/>
    </x:row>
    <x:row r="107">
      <x:c r="A107" s="216"/>
      <x:c r="B107" s="216"/>
      <x:c r="C107" s="216"/>
      <x:c r="D107" s="216"/>
      <x:c r="E107" s="216"/>
      <x:c r="F107" s="216"/>
      <x:c r="G107" s="216"/>
      <x:c r="H107" s="216"/>
      <x:c r="I107" s="216"/>
      <x:c r="J107" s="216"/>
      <x:c r="K107" s="216"/>
      <x:c r="L107" s="216"/>
      <x:c r="M107" s="216"/>
      <x:c r="N107" s="216"/>
      <x:c r="O107" s="216"/>
      <x:c r="P107" s="216"/>
      <x:c r="Q107" s="216"/>
      <x:c r="R107" s="216"/>
      <x:c r="S107" s="216"/>
      <x:c r="T107" s="216"/>
      <x:c r="U107" s="216"/>
      <x:c r="V107" s="216"/>
      <x:c r="W107" s="216"/>
      <x:c r="X107" s="216"/>
      <x:c r="Y107" s="216"/>
      <x:c r="Z107" s="216"/>
    </x:row>
    <x:row r="108">
      <x:c r="A108" s="216"/>
      <x:c r="B108" s="216"/>
      <x:c r="C108" s="216"/>
      <x:c r="D108" s="216"/>
      <x:c r="E108" s="216"/>
      <x:c r="F108" s="216"/>
      <x:c r="G108" s="216"/>
      <x:c r="H108" s="216"/>
      <x:c r="I108" s="216"/>
      <x:c r="J108" s="216"/>
      <x:c r="K108" s="216"/>
      <x:c r="L108" s="216"/>
      <x:c r="M108" s="216"/>
      <x:c r="N108" s="216"/>
      <x:c r="O108" s="216"/>
      <x:c r="P108" s="216"/>
      <x:c r="Q108" s="216"/>
      <x:c r="R108" s="216"/>
      <x:c r="S108" s="216"/>
      <x:c r="T108" s="216"/>
      <x:c r="U108" s="216"/>
      <x:c r="V108" s="216"/>
      <x:c r="W108" s="216"/>
      <x:c r="X108" s="216"/>
      <x:c r="Y108" s="216"/>
      <x:c r="Z108" s="216"/>
    </x:row>
    <x:row r="109">
      <x:c r="A109" s="216"/>
      <x:c r="B109" s="216"/>
      <x:c r="C109" s="216"/>
      <x:c r="D109" s="216"/>
      <x:c r="E109" s="216"/>
      <x:c r="F109" s="216"/>
      <x:c r="G109" s="216"/>
      <x:c r="H109" s="216"/>
      <x:c r="I109" s="216"/>
      <x:c r="J109" s="216"/>
      <x:c r="K109" s="216"/>
      <x:c r="L109" s="216"/>
      <x:c r="M109" s="216"/>
      <x:c r="N109" s="216"/>
      <x:c r="O109" s="216"/>
      <x:c r="P109" s="216"/>
      <x:c r="Q109" s="216"/>
      <x:c r="R109" s="216"/>
      <x:c r="S109" s="216"/>
      <x:c r="T109" s="216"/>
      <x:c r="U109" s="216"/>
      <x:c r="V109" s="216"/>
      <x:c r="W109" s="216"/>
      <x:c r="X109" s="216"/>
      <x:c r="Y109" s="216"/>
      <x:c r="Z109" s="216"/>
    </x:row>
    <x:row r="110">
      <x:c r="A110" s="216"/>
      <x:c r="B110" s="216"/>
      <x:c r="C110" s="216"/>
      <x:c r="D110" s="216"/>
      <x:c r="E110" s="216"/>
      <x:c r="F110" s="216"/>
      <x:c r="G110" s="216"/>
      <x:c r="H110" s="216"/>
      <x:c r="I110" s="216"/>
      <x:c r="J110" s="216"/>
      <x:c r="K110" s="216"/>
      <x:c r="L110" s="216"/>
      <x:c r="M110" s="216"/>
      <x:c r="N110" s="216"/>
      <x:c r="O110" s="216"/>
      <x:c r="P110" s="216"/>
      <x:c r="Q110" s="216"/>
      <x:c r="R110" s="216"/>
      <x:c r="S110" s="216"/>
      <x:c r="T110" s="216"/>
      <x:c r="U110" s="216"/>
      <x:c r="V110" s="216"/>
      <x:c r="W110" s="216"/>
      <x:c r="X110" s="216"/>
      <x:c r="Y110" s="216"/>
      <x:c r="Z110" s="216"/>
    </x:row>
    <x:row r="111">
      <x:c r="A111" s="216"/>
      <x:c r="B111" s="216"/>
      <x:c r="C111" s="216"/>
      <x:c r="D111" s="216"/>
      <x:c r="E111" s="216"/>
      <x:c r="F111" s="216"/>
      <x:c r="G111" s="216"/>
      <x:c r="H111" s="216"/>
      <x:c r="I111" s="216"/>
      <x:c r="J111" s="216"/>
      <x:c r="K111" s="216"/>
      <x:c r="L111" s="216"/>
      <x:c r="M111" s="216"/>
      <x:c r="N111" s="216"/>
      <x:c r="O111" s="216"/>
      <x:c r="P111" s="216"/>
      <x:c r="Q111" s="216"/>
      <x:c r="R111" s="216"/>
      <x:c r="S111" s="216"/>
      <x:c r="T111" s="216"/>
      <x:c r="U111" s="216"/>
      <x:c r="V111" s="216"/>
      <x:c r="W111" s="216"/>
      <x:c r="X111" s="216"/>
      <x:c r="Y111" s="216"/>
      <x:c r="Z111" s="216"/>
    </x:row>
    <x:row r="112">
      <x:c r="A112" s="216"/>
      <x:c r="B112" s="216"/>
      <x:c r="C112" s="216"/>
      <x:c r="D112" s="216"/>
      <x:c r="E112" s="216"/>
      <x:c r="F112" s="216"/>
      <x:c r="G112" s="216"/>
      <x:c r="H112" s="216"/>
      <x:c r="I112" s="216"/>
      <x:c r="J112" s="216"/>
      <x:c r="K112" s="216"/>
      <x:c r="L112" s="216"/>
      <x:c r="M112" s="216"/>
      <x:c r="N112" s="216"/>
      <x:c r="O112" s="216"/>
      <x:c r="P112" s="216"/>
      <x:c r="Q112" s="216"/>
      <x:c r="R112" s="216"/>
      <x:c r="S112" s="216"/>
      <x:c r="T112" s="216"/>
      <x:c r="U112" s="216"/>
      <x:c r="V112" s="216"/>
      <x:c r="W112" s="216"/>
      <x:c r="X112" s="216"/>
      <x:c r="Y112" s="216"/>
      <x:c r="Z112" s="216"/>
    </x:row>
    <x:row r="113">
      <x:c r="A113" s="216"/>
      <x:c r="B113" s="216"/>
      <x:c r="C113" s="216"/>
      <x:c r="D113" s="216"/>
      <x:c r="E113" s="216"/>
      <x:c r="F113" s="216"/>
      <x:c r="G113" s="216"/>
      <x:c r="H113" s="216"/>
      <x:c r="I113" s="216"/>
      <x:c r="J113" s="216"/>
      <x:c r="K113" s="216"/>
      <x:c r="L113" s="216"/>
      <x:c r="M113" s="216"/>
      <x:c r="N113" s="216"/>
      <x:c r="O113" s="216"/>
      <x:c r="P113" s="216"/>
      <x:c r="Q113" s="216"/>
      <x:c r="R113" s="216"/>
      <x:c r="S113" s="216"/>
      <x:c r="T113" s="216"/>
      <x:c r="U113" s="216"/>
      <x:c r="V113" s="216"/>
      <x:c r="W113" s="216"/>
      <x:c r="X113" s="216"/>
      <x:c r="Y113" s="216"/>
      <x:c r="Z113" s="216"/>
    </x:row>
    <x:row r="114">
      <x:c r="A114" s="216"/>
      <x:c r="B114" s="216"/>
      <x:c r="C114" s="216"/>
      <x:c r="D114" s="216"/>
      <x:c r="E114" s="216"/>
      <x:c r="F114" s="216"/>
      <x:c r="G114" s="216"/>
      <x:c r="H114" s="216"/>
      <x:c r="I114" s="216"/>
      <x:c r="J114" s="216"/>
      <x:c r="K114" s="216"/>
      <x:c r="L114" s="216"/>
      <x:c r="M114" s="216"/>
      <x:c r="N114" s="216"/>
      <x:c r="O114" s="216"/>
      <x:c r="P114" s="216"/>
      <x:c r="Q114" s="216"/>
      <x:c r="R114" s="216"/>
      <x:c r="S114" s="216"/>
      <x:c r="T114" s="216"/>
      <x:c r="U114" s="216"/>
      <x:c r="V114" s="216"/>
      <x:c r="W114" s="216"/>
      <x:c r="X114" s="216"/>
      <x:c r="Y114" s="216"/>
      <x:c r="Z114" s="216"/>
    </x:row>
    <x:row r="115">
      <x:c r="A115" s="216"/>
      <x:c r="B115" s="216"/>
      <x:c r="C115" s="216"/>
      <x:c r="D115" s="216"/>
      <x:c r="E115" s="216"/>
      <x:c r="F115" s="216"/>
      <x:c r="G115" s="216"/>
      <x:c r="H115" s="216"/>
      <x:c r="I115" s="216"/>
      <x:c r="J115" s="216"/>
      <x:c r="K115" s="216"/>
      <x:c r="L115" s="216"/>
      <x:c r="M115" s="216"/>
      <x:c r="N115" s="216"/>
      <x:c r="O115" s="216"/>
      <x:c r="P115" s="216"/>
      <x:c r="Q115" s="216"/>
      <x:c r="R115" s="216"/>
      <x:c r="S115" s="216"/>
      <x:c r="T115" s="216"/>
      <x:c r="U115" s="216"/>
      <x:c r="V115" s="216"/>
      <x:c r="W115" s="216"/>
      <x:c r="X115" s="216"/>
      <x:c r="Y115" s="216"/>
      <x:c r="Z115" s="216"/>
    </x:row>
    <x:row r="116">
      <x:c r="A116" s="216"/>
      <x:c r="B116" s="216"/>
      <x:c r="C116" s="216"/>
      <x:c r="D116" s="216"/>
      <x:c r="E116" s="216"/>
      <x:c r="F116" s="216"/>
      <x:c r="G116" s="216"/>
      <x:c r="H116" s="216"/>
      <x:c r="I116" s="216"/>
      <x:c r="J116" s="216"/>
      <x:c r="K116" s="216"/>
      <x:c r="L116" s="216"/>
      <x:c r="M116" s="216"/>
      <x:c r="N116" s="216"/>
      <x:c r="O116" s="216"/>
      <x:c r="P116" s="216"/>
      <x:c r="Q116" s="216"/>
      <x:c r="R116" s="216"/>
      <x:c r="S116" s="216"/>
      <x:c r="T116" s="216"/>
      <x:c r="U116" s="216"/>
      <x:c r="V116" s="216"/>
      <x:c r="W116" s="216"/>
      <x:c r="X116" s="216"/>
      <x:c r="Y116" s="216"/>
      <x:c r="Z116" s="216"/>
    </x:row>
    <x:row r="117">
      <x:c r="A117" s="216"/>
      <x:c r="B117" s="216"/>
      <x:c r="C117" s="216"/>
      <x:c r="D117" s="216"/>
      <x:c r="E117" s="216"/>
      <x:c r="F117" s="216"/>
      <x:c r="G117" s="216"/>
      <x:c r="H117" s="216"/>
      <x:c r="I117" s="216"/>
      <x:c r="J117" s="216"/>
      <x:c r="K117" s="216"/>
      <x:c r="L117" s="216"/>
      <x:c r="M117" s="216"/>
      <x:c r="N117" s="216"/>
      <x:c r="O117" s="216"/>
      <x:c r="P117" s="216"/>
      <x:c r="Q117" s="216"/>
      <x:c r="R117" s="216"/>
      <x:c r="S117" s="216"/>
      <x:c r="T117" s="216"/>
      <x:c r="U117" s="216"/>
      <x:c r="V117" s="216"/>
      <x:c r="W117" s="216"/>
      <x:c r="X117" s="216"/>
      <x:c r="Y117" s="216"/>
      <x:c r="Z117" s="216"/>
    </x:row>
    <x:row r="118">
      <x:c r="A118" s="216"/>
      <x:c r="B118" s="216"/>
      <x:c r="C118" s="216"/>
      <x:c r="D118" s="216"/>
      <x:c r="E118" s="216"/>
      <x:c r="F118" s="216"/>
      <x:c r="G118" s="216"/>
      <x:c r="H118" s="216"/>
      <x:c r="I118" s="216"/>
      <x:c r="J118" s="216"/>
      <x:c r="K118" s="216"/>
      <x:c r="L118" s="216"/>
      <x:c r="M118" s="216"/>
      <x:c r="N118" s="216"/>
      <x:c r="O118" s="216"/>
      <x:c r="P118" s="216"/>
      <x:c r="Q118" s="216"/>
      <x:c r="R118" s="216"/>
      <x:c r="S118" s="216"/>
      <x:c r="T118" s="216"/>
      <x:c r="U118" s="216"/>
      <x:c r="V118" s="216"/>
      <x:c r="W118" s="216"/>
      <x:c r="X118" s="216"/>
      <x:c r="Y118" s="216"/>
      <x:c r="Z118" s="216"/>
    </x:row>
    <x:row r="119">
      <x:c r="A119" s="216"/>
      <x:c r="B119" s="216"/>
      <x:c r="C119" s="216"/>
      <x:c r="D119" s="216"/>
      <x:c r="E119" s="216"/>
      <x:c r="F119" s="216"/>
      <x:c r="G119" s="216"/>
      <x:c r="H119" s="216"/>
      <x:c r="I119" s="216"/>
      <x:c r="J119" s="216"/>
      <x:c r="K119" s="216"/>
      <x:c r="L119" s="216"/>
      <x:c r="M119" s="216"/>
      <x:c r="N119" s="216"/>
      <x:c r="O119" s="216"/>
      <x:c r="P119" s="216"/>
      <x:c r="Q119" s="216"/>
      <x:c r="R119" s="216"/>
      <x:c r="S119" s="216"/>
      <x:c r="T119" s="216"/>
      <x:c r="U119" s="216"/>
      <x:c r="V119" s="216"/>
      <x:c r="W119" s="216"/>
      <x:c r="X119" s="216"/>
      <x:c r="Y119" s="216"/>
      <x:c r="Z119" s="216"/>
    </x:row>
    <x:row r="120">
      <x:c r="A120" s="216"/>
      <x:c r="B120" s="216"/>
      <x:c r="C120" s="216"/>
      <x:c r="D120" s="216"/>
      <x:c r="E120" s="216"/>
      <x:c r="F120" s="216"/>
      <x:c r="G120" s="216"/>
      <x:c r="H120" s="216"/>
      <x:c r="I120" s="216"/>
      <x:c r="J120" s="216"/>
      <x:c r="K120" s="216"/>
      <x:c r="L120" s="216"/>
      <x:c r="M120" s="216"/>
      <x:c r="N120" s="216"/>
      <x:c r="O120" s="216"/>
      <x:c r="P120" s="216"/>
      <x:c r="Q120" s="216"/>
      <x:c r="R120" s="216"/>
      <x:c r="S120" s="216"/>
      <x:c r="T120" s="216"/>
      <x:c r="U120" s="216"/>
      <x:c r="V120" s="216"/>
      <x:c r="W120" s="216"/>
      <x:c r="X120" s="216"/>
      <x:c r="Y120" s="216"/>
      <x:c r="Z120" s="216"/>
    </x:row>
    <x:row r="121">
      <x:c r="A121" s="216"/>
      <x:c r="B121" s="216"/>
      <x:c r="C121" s="216"/>
      <x:c r="D121" s="216"/>
      <x:c r="E121" s="216"/>
      <x:c r="F121" s="216"/>
      <x:c r="G121" s="216"/>
      <x:c r="H121" s="216"/>
      <x:c r="I121" s="216"/>
      <x:c r="J121" s="216"/>
      <x:c r="K121" s="216"/>
      <x:c r="L121" s="216"/>
      <x:c r="M121" s="216"/>
      <x:c r="N121" s="216"/>
      <x:c r="O121" s="216"/>
      <x:c r="P121" s="216"/>
      <x:c r="Q121" s="216"/>
      <x:c r="R121" s="216"/>
      <x:c r="S121" s="216"/>
      <x:c r="T121" s="216"/>
      <x:c r="U121" s="216"/>
      <x:c r="V121" s="216"/>
      <x:c r="W121" s="216"/>
      <x:c r="X121" s="216"/>
      <x:c r="Y121" s="216"/>
      <x:c r="Z121" s="216"/>
    </x:row>
    <x:row r="122">
      <x:c r="A122" s="216"/>
      <x:c r="B122" s="216"/>
      <x:c r="C122" s="216"/>
      <x:c r="D122" s="216"/>
      <x:c r="E122" s="216"/>
      <x:c r="F122" s="216"/>
      <x:c r="G122" s="216"/>
      <x:c r="H122" s="216"/>
      <x:c r="I122" s="216"/>
      <x:c r="J122" s="216"/>
      <x:c r="K122" s="216"/>
      <x:c r="L122" s="216"/>
      <x:c r="M122" s="216"/>
      <x:c r="N122" s="216"/>
      <x:c r="O122" s="216"/>
      <x:c r="P122" s="216"/>
      <x:c r="Q122" s="216"/>
      <x:c r="R122" s="216"/>
      <x:c r="S122" s="216"/>
      <x:c r="T122" s="216"/>
      <x:c r="U122" s="216"/>
      <x:c r="V122" s="216"/>
      <x:c r="W122" s="216"/>
      <x:c r="X122" s="216"/>
      <x:c r="Y122" s="216"/>
      <x:c r="Z122" s="216"/>
    </x:row>
    <x:row r="123">
      <x:c r="A123" s="216"/>
      <x:c r="B123" s="216"/>
      <x:c r="C123" s="216"/>
      <x:c r="D123" s="216"/>
      <x:c r="E123" s="216"/>
      <x:c r="F123" s="216"/>
      <x:c r="G123" s="216"/>
      <x:c r="H123" s="216"/>
      <x:c r="I123" s="216"/>
      <x:c r="J123" s="216"/>
      <x:c r="K123" s="216"/>
      <x:c r="L123" s="216"/>
      <x:c r="M123" s="216"/>
      <x:c r="N123" s="216"/>
      <x:c r="O123" s="216"/>
      <x:c r="P123" s="216"/>
      <x:c r="Q123" s="216"/>
      <x:c r="R123" s="216"/>
      <x:c r="S123" s="216"/>
      <x:c r="T123" s="216"/>
      <x:c r="U123" s="216"/>
      <x:c r="V123" s="216"/>
      <x:c r="W123" s="216"/>
      <x:c r="X123" s="216"/>
      <x:c r="Y123" s="216"/>
      <x:c r="Z123" s="216"/>
    </x:row>
    <x:row r="124">
      <x:c r="A124" s="216"/>
      <x:c r="B124" s="216"/>
      <x:c r="C124" s="216"/>
      <x:c r="D124" s="216"/>
      <x:c r="E124" s="216"/>
      <x:c r="F124" s="216"/>
      <x:c r="G124" s="216"/>
      <x:c r="H124" s="216"/>
      <x:c r="I124" s="216"/>
      <x:c r="J124" s="216"/>
      <x:c r="K124" s="216"/>
      <x:c r="L124" s="216"/>
      <x:c r="M124" s="216"/>
      <x:c r="N124" s="216"/>
      <x:c r="O124" s="216"/>
      <x:c r="P124" s="216"/>
      <x:c r="Q124" s="216"/>
      <x:c r="R124" s="216"/>
      <x:c r="S124" s="216"/>
      <x:c r="T124" s="216"/>
      <x:c r="U124" s="216"/>
      <x:c r="V124" s="216"/>
      <x:c r="W124" s="216"/>
      <x:c r="X124" s="216"/>
      <x:c r="Y124" s="216"/>
      <x:c r="Z124" s="216"/>
    </x:row>
    <x:row r="125">
      <x:c r="A125" s="216"/>
      <x:c r="B125" s="216"/>
      <x:c r="C125" s="216"/>
      <x:c r="D125" s="216"/>
      <x:c r="E125" s="216"/>
      <x:c r="F125" s="216"/>
      <x:c r="G125" s="216"/>
      <x:c r="H125" s="216"/>
      <x:c r="I125" s="216"/>
      <x:c r="J125" s="216"/>
      <x:c r="K125" s="216"/>
      <x:c r="L125" s="216"/>
      <x:c r="M125" s="216"/>
      <x:c r="N125" s="216"/>
      <x:c r="O125" s="216"/>
      <x:c r="P125" s="216"/>
      <x:c r="Q125" s="216"/>
      <x:c r="R125" s="216"/>
      <x:c r="S125" s="216"/>
      <x:c r="T125" s="216"/>
      <x:c r="U125" s="216"/>
      <x:c r="V125" s="216"/>
      <x:c r="W125" s="216"/>
      <x:c r="X125" s="216"/>
      <x:c r="Y125" s="216"/>
      <x:c r="Z125" s="216"/>
    </x:row>
    <x:row r="126">
      <x:c r="A126" s="216"/>
      <x:c r="B126" s="216"/>
      <x:c r="C126" s="216"/>
      <x:c r="D126" s="216"/>
      <x:c r="E126" s="216"/>
      <x:c r="F126" s="216"/>
      <x:c r="G126" s="216"/>
      <x:c r="H126" s="216"/>
      <x:c r="I126" s="216"/>
      <x:c r="J126" s="216"/>
      <x:c r="K126" s="216"/>
      <x:c r="L126" s="216"/>
      <x:c r="M126" s="216"/>
      <x:c r="N126" s="216"/>
      <x:c r="O126" s="216"/>
      <x:c r="P126" s="216"/>
      <x:c r="Q126" s="216"/>
      <x:c r="R126" s="216"/>
      <x:c r="S126" s="216"/>
      <x:c r="T126" s="216"/>
      <x:c r="U126" s="216"/>
      <x:c r="V126" s="216"/>
      <x:c r="W126" s="216"/>
      <x:c r="X126" s="216"/>
      <x:c r="Y126" s="216"/>
      <x:c r="Z126" s="216"/>
    </x:row>
    <x:row r="127">
      <x:c r="A127" s="216"/>
      <x:c r="B127" s="216"/>
      <x:c r="C127" s="216"/>
      <x:c r="D127" s="216"/>
      <x:c r="E127" s="216"/>
      <x:c r="F127" s="216"/>
      <x:c r="G127" s="216"/>
      <x:c r="H127" s="216"/>
      <x:c r="I127" s="216"/>
      <x:c r="J127" s="216"/>
      <x:c r="K127" s="216"/>
      <x:c r="L127" s="216"/>
      <x:c r="M127" s="216"/>
      <x:c r="N127" s="216"/>
      <x:c r="O127" s="216"/>
      <x:c r="P127" s="216"/>
      <x:c r="Q127" s="216"/>
      <x:c r="R127" s="216"/>
      <x:c r="S127" s="216"/>
      <x:c r="T127" s="216"/>
      <x:c r="U127" s="216"/>
      <x:c r="V127" s="216"/>
      <x:c r="W127" s="216"/>
      <x:c r="X127" s="216"/>
      <x:c r="Y127" s="216"/>
      <x:c r="Z127" s="216"/>
    </x:row>
    <x:row r="128">
      <x:c r="A128" s="216"/>
      <x:c r="B128" s="216"/>
      <x:c r="C128" s="216"/>
      <x:c r="D128" s="216"/>
      <x:c r="E128" s="216"/>
      <x:c r="F128" s="216"/>
      <x:c r="G128" s="216"/>
      <x:c r="H128" s="216"/>
      <x:c r="I128" s="216"/>
      <x:c r="J128" s="216"/>
      <x:c r="K128" s="216"/>
      <x:c r="L128" s="216"/>
      <x:c r="M128" s="216"/>
      <x:c r="N128" s="216"/>
      <x:c r="O128" s="216"/>
      <x:c r="P128" s="216"/>
      <x:c r="Q128" s="216"/>
      <x:c r="R128" s="216"/>
      <x:c r="S128" s="216"/>
      <x:c r="T128" s="216"/>
      <x:c r="U128" s="216"/>
      <x:c r="V128" s="216"/>
      <x:c r="W128" s="216"/>
      <x:c r="X128" s="216"/>
      <x:c r="Y128" s="216"/>
      <x:c r="Z128" s="216"/>
    </x:row>
    <x:row r="129">
      <x:c r="A129" s="216"/>
      <x:c r="B129" s="216"/>
      <x:c r="C129" s="216"/>
      <x:c r="D129" s="216"/>
      <x:c r="E129" s="216"/>
      <x:c r="F129" s="216"/>
      <x:c r="G129" s="216"/>
      <x:c r="H129" s="216"/>
      <x:c r="I129" s="216"/>
      <x:c r="J129" s="216"/>
      <x:c r="K129" s="216"/>
      <x:c r="L129" s="216"/>
      <x:c r="M129" s="216"/>
      <x:c r="N129" s="216"/>
      <x:c r="O129" s="216"/>
      <x:c r="P129" s="216"/>
      <x:c r="Q129" s="216"/>
      <x:c r="R129" s="216"/>
      <x:c r="S129" s="216"/>
      <x:c r="T129" s="216"/>
      <x:c r="U129" s="216"/>
      <x:c r="V129" s="216"/>
      <x:c r="W129" s="216"/>
      <x:c r="X129" s="216"/>
      <x:c r="Y129" s="216"/>
      <x:c r="Z129" s="216"/>
    </x:row>
    <x:row r="130">
      <x:c r="A130" s="216"/>
      <x:c r="B130" s="216"/>
      <x:c r="C130" s="216"/>
      <x:c r="D130" s="216"/>
      <x:c r="E130" s="216"/>
      <x:c r="F130" s="216"/>
      <x:c r="G130" s="216"/>
      <x:c r="H130" s="216"/>
      <x:c r="I130" s="216"/>
      <x:c r="J130" s="216"/>
      <x:c r="K130" s="216"/>
      <x:c r="L130" s="216"/>
      <x:c r="M130" s="216"/>
      <x:c r="N130" s="216"/>
      <x:c r="O130" s="216"/>
      <x:c r="P130" s="216"/>
      <x:c r="Q130" s="216"/>
      <x:c r="R130" s="216"/>
      <x:c r="S130" s="216"/>
      <x:c r="T130" s="216"/>
      <x:c r="U130" s="216"/>
      <x:c r="V130" s="216"/>
      <x:c r="W130" s="216"/>
      <x:c r="X130" s="216"/>
      <x:c r="Y130" s="216"/>
      <x:c r="Z130" s="216"/>
    </x:row>
    <x:row r="131">
      <x:c r="A131" s="216"/>
      <x:c r="B131" s="216"/>
      <x:c r="C131" s="216"/>
      <x:c r="D131" s="216"/>
      <x:c r="E131" s="216"/>
      <x:c r="F131" s="216"/>
      <x:c r="G131" s="216"/>
      <x:c r="H131" s="216"/>
      <x:c r="I131" s="216"/>
      <x:c r="J131" s="216"/>
      <x:c r="K131" s="216"/>
      <x:c r="L131" s="216"/>
      <x:c r="M131" s="216"/>
      <x:c r="N131" s="216"/>
      <x:c r="O131" s="216"/>
      <x:c r="P131" s="216"/>
      <x:c r="Q131" s="216"/>
      <x:c r="R131" s="216"/>
      <x:c r="S131" s="216"/>
      <x:c r="T131" s="216"/>
      <x:c r="U131" s="216"/>
      <x:c r="V131" s="216"/>
      <x:c r="W131" s="216"/>
      <x:c r="X131" s="216"/>
      <x:c r="Y131" s="216"/>
      <x:c r="Z131" s="216"/>
    </x:row>
    <x:row r="132">
      <x:c r="A132" s="216"/>
      <x:c r="B132" s="216"/>
      <x:c r="C132" s="216"/>
      <x:c r="D132" s="216"/>
      <x:c r="E132" s="216"/>
      <x:c r="F132" s="216"/>
      <x:c r="G132" s="216"/>
      <x:c r="H132" s="216"/>
      <x:c r="I132" s="216"/>
      <x:c r="J132" s="216"/>
      <x:c r="K132" s="216"/>
      <x:c r="L132" s="216"/>
      <x:c r="M132" s="216"/>
      <x:c r="N132" s="216"/>
      <x:c r="O132" s="216"/>
      <x:c r="P132" s="216"/>
      <x:c r="Q132" s="216"/>
      <x:c r="R132" s="216"/>
      <x:c r="S132" s="216"/>
      <x:c r="T132" s="216"/>
      <x:c r="U132" s="216"/>
      <x:c r="V132" s="216"/>
      <x:c r="W132" s="216"/>
      <x:c r="X132" s="216"/>
      <x:c r="Y132" s="216"/>
      <x:c r="Z132" s="216"/>
    </x:row>
    <x:row r="133">
      <x:c r="A133" s="216"/>
      <x:c r="B133" s="216"/>
      <x:c r="C133" s="216"/>
      <x:c r="D133" s="216"/>
      <x:c r="E133" s="216"/>
      <x:c r="F133" s="216"/>
      <x:c r="G133" s="216"/>
      <x:c r="H133" s="216"/>
      <x:c r="I133" s="216"/>
      <x:c r="J133" s="216"/>
      <x:c r="K133" s="216"/>
      <x:c r="L133" s="216"/>
      <x:c r="M133" s="216"/>
      <x:c r="N133" s="216"/>
      <x:c r="O133" s="216"/>
      <x:c r="P133" s="216"/>
      <x:c r="Q133" s="216"/>
      <x:c r="R133" s="216"/>
      <x:c r="S133" s="216"/>
      <x:c r="T133" s="216"/>
      <x:c r="U133" s="216"/>
      <x:c r="V133" s="216"/>
      <x:c r="W133" s="216"/>
      <x:c r="X133" s="216"/>
      <x:c r="Y133" s="216"/>
      <x:c r="Z133" s="216"/>
    </x:row>
    <x:row r="134">
      <x:c r="A134" s="216"/>
      <x:c r="B134" s="216"/>
      <x:c r="C134" s="216"/>
      <x:c r="D134" s="216"/>
      <x:c r="E134" s="216"/>
      <x:c r="F134" s="216"/>
      <x:c r="G134" s="216"/>
      <x:c r="H134" s="216"/>
      <x:c r="I134" s="216"/>
      <x:c r="J134" s="216"/>
      <x:c r="K134" s="216"/>
      <x:c r="L134" s="216"/>
      <x:c r="M134" s="216"/>
      <x:c r="N134" s="216"/>
      <x:c r="O134" s="216"/>
      <x:c r="P134" s="216"/>
      <x:c r="Q134" s="216"/>
      <x:c r="R134" s="216"/>
      <x:c r="S134" s="216"/>
      <x:c r="T134" s="216"/>
      <x:c r="U134" s="216"/>
      <x:c r="V134" s="216"/>
      <x:c r="W134" s="216"/>
      <x:c r="X134" s="216"/>
      <x:c r="Y134" s="216"/>
      <x:c r="Z134" s="216"/>
    </x:row>
    <x:row r="135">
      <x:c r="A135" s="216"/>
      <x:c r="B135" s="216"/>
      <x:c r="C135" s="216"/>
      <x:c r="D135" s="216"/>
      <x:c r="E135" s="216"/>
      <x:c r="F135" s="216"/>
      <x:c r="G135" s="216"/>
      <x:c r="H135" s="216"/>
      <x:c r="I135" s="216"/>
      <x:c r="J135" s="216"/>
      <x:c r="K135" s="216"/>
      <x:c r="L135" s="216"/>
      <x:c r="M135" s="216"/>
      <x:c r="N135" s="216"/>
      <x:c r="O135" s="216"/>
      <x:c r="P135" s="216"/>
      <x:c r="Q135" s="216"/>
      <x:c r="R135" s="216"/>
      <x:c r="S135" s="216"/>
      <x:c r="T135" s="216"/>
      <x:c r="U135" s="216"/>
      <x:c r="V135" s="216"/>
      <x:c r="W135" s="216"/>
      <x:c r="X135" s="216"/>
      <x:c r="Y135" s="216"/>
      <x:c r="Z135" s="216"/>
    </x:row>
    <x:row r="136">
      <x:c r="A136" s="216"/>
      <x:c r="B136" s="216"/>
      <x:c r="C136" s="216"/>
      <x:c r="D136" s="216"/>
      <x:c r="E136" s="216"/>
      <x:c r="F136" s="216"/>
      <x:c r="G136" s="216"/>
      <x:c r="H136" s="216"/>
      <x:c r="I136" s="216"/>
      <x:c r="J136" s="216"/>
      <x:c r="K136" s="216"/>
      <x:c r="L136" s="216"/>
      <x:c r="M136" s="216"/>
      <x:c r="N136" s="216"/>
      <x:c r="O136" s="216"/>
      <x:c r="P136" s="216"/>
      <x:c r="Q136" s="216"/>
      <x:c r="R136" s="216"/>
      <x:c r="S136" s="216"/>
      <x:c r="T136" s="216"/>
      <x:c r="U136" s="216"/>
      <x:c r="V136" s="216"/>
      <x:c r="W136" s="216"/>
      <x:c r="X136" s="216"/>
      <x:c r="Y136" s="216"/>
      <x:c r="Z136" s="216"/>
    </x:row>
    <x:row r="137">
      <x:c r="A137" s="216"/>
      <x:c r="B137" s="216"/>
      <x:c r="C137" s="216"/>
      <x:c r="D137" s="216"/>
      <x:c r="E137" s="216"/>
      <x:c r="F137" s="216"/>
      <x:c r="G137" s="216"/>
      <x:c r="H137" s="216"/>
      <x:c r="I137" s="216"/>
      <x:c r="J137" s="216"/>
      <x:c r="K137" s="216"/>
      <x:c r="L137" s="216"/>
      <x:c r="M137" s="216"/>
      <x:c r="N137" s="216"/>
      <x:c r="O137" s="216"/>
      <x:c r="P137" s="216"/>
      <x:c r="Q137" s="216"/>
      <x:c r="R137" s="216"/>
      <x:c r="S137" s="216"/>
      <x:c r="T137" s="216"/>
      <x:c r="U137" s="216"/>
      <x:c r="V137" s="216"/>
      <x:c r="W137" s="216"/>
      <x:c r="X137" s="216"/>
      <x:c r="Y137" s="216"/>
      <x:c r="Z137" s="216"/>
    </x:row>
    <x:row r="138">
      <x:c r="A138" s="216"/>
      <x:c r="B138" s="216"/>
      <x:c r="C138" s="216"/>
      <x:c r="D138" s="216"/>
      <x:c r="E138" s="216"/>
      <x:c r="F138" s="216"/>
      <x:c r="G138" s="216"/>
      <x:c r="H138" s="216"/>
      <x:c r="I138" s="216"/>
      <x:c r="J138" s="216"/>
      <x:c r="K138" s="216"/>
      <x:c r="L138" s="216"/>
      <x:c r="M138" s="216"/>
      <x:c r="N138" s="216"/>
      <x:c r="O138" s="216"/>
      <x:c r="P138" s="216"/>
      <x:c r="Q138" s="216"/>
      <x:c r="R138" s="216"/>
      <x:c r="S138" s="216"/>
      <x:c r="T138" s="216"/>
      <x:c r="U138" s="216"/>
      <x:c r="V138" s="216"/>
      <x:c r="W138" s="216"/>
      <x:c r="X138" s="216"/>
      <x:c r="Y138" s="216"/>
      <x:c r="Z138" s="216"/>
    </x:row>
    <x:row r="139">
      <x:c r="A139" s="216"/>
      <x:c r="B139" s="216"/>
      <x:c r="C139" s="216"/>
      <x:c r="D139" s="216"/>
      <x:c r="E139" s="216"/>
      <x:c r="F139" s="216"/>
      <x:c r="G139" s="216"/>
      <x:c r="H139" s="216"/>
      <x:c r="I139" s="216"/>
      <x:c r="J139" s="216"/>
      <x:c r="K139" s="216"/>
      <x:c r="L139" s="216"/>
      <x:c r="M139" s="216"/>
      <x:c r="N139" s="216"/>
      <x:c r="O139" s="216"/>
      <x:c r="P139" s="216"/>
      <x:c r="Q139" s="216"/>
      <x:c r="R139" s="216"/>
      <x:c r="S139" s="216"/>
      <x:c r="T139" s="216"/>
      <x:c r="U139" s="216"/>
      <x:c r="V139" s="216"/>
      <x:c r="W139" s="216"/>
      <x:c r="X139" s="216"/>
      <x:c r="Y139" s="216"/>
      <x:c r="Z139" s="216"/>
    </x:row>
    <x:row r="140">
      <x:c r="A140" s="216"/>
      <x:c r="B140" s="216"/>
      <x:c r="C140" s="216"/>
      <x:c r="D140" s="216"/>
      <x:c r="E140" s="216"/>
      <x:c r="F140" s="216"/>
      <x:c r="G140" s="216"/>
      <x:c r="H140" s="216"/>
      <x:c r="I140" s="216"/>
      <x:c r="J140" s="216"/>
      <x:c r="K140" s="216"/>
      <x:c r="L140" s="216"/>
      <x:c r="M140" s="216"/>
      <x:c r="N140" s="216"/>
      <x:c r="O140" s="216"/>
      <x:c r="P140" s="216"/>
      <x:c r="Q140" s="216"/>
      <x:c r="R140" s="216"/>
      <x:c r="S140" s="216"/>
      <x:c r="T140" s="216"/>
      <x:c r="U140" s="216"/>
      <x:c r="V140" s="216"/>
      <x:c r="W140" s="216"/>
      <x:c r="X140" s="216"/>
      <x:c r="Y140" s="216"/>
      <x:c r="Z140" s="216"/>
    </x:row>
    <x:row r="141">
      <x:c r="A141" s="216"/>
      <x:c r="B141" s="216"/>
      <x:c r="C141" s="216"/>
      <x:c r="D141" s="216"/>
      <x:c r="E141" s="216"/>
      <x:c r="F141" s="216"/>
      <x:c r="G141" s="216"/>
      <x:c r="H141" s="216"/>
      <x:c r="I141" s="216"/>
      <x:c r="J141" s="216"/>
      <x:c r="K141" s="216"/>
      <x:c r="L141" s="216"/>
      <x:c r="M141" s="216"/>
      <x:c r="N141" s="216"/>
      <x:c r="O141" s="216"/>
      <x:c r="P141" s="216"/>
      <x:c r="Q141" s="216"/>
      <x:c r="R141" s="216"/>
      <x:c r="S141" s="216"/>
      <x:c r="T141" s="216"/>
      <x:c r="U141" s="216"/>
      <x:c r="V141" s="216"/>
      <x:c r="W141" s="216"/>
      <x:c r="X141" s="216"/>
      <x:c r="Y141" s="216"/>
      <x:c r="Z141" s="216"/>
    </x:row>
    <x:row r="142">
      <x:c r="A142" s="216"/>
      <x:c r="B142" s="216"/>
      <x:c r="C142" s="216"/>
      <x:c r="D142" s="216"/>
      <x:c r="E142" s="216"/>
      <x:c r="F142" s="216"/>
      <x:c r="G142" s="216"/>
      <x:c r="H142" s="216"/>
      <x:c r="I142" s="216"/>
      <x:c r="J142" s="216"/>
      <x:c r="K142" s="216"/>
      <x:c r="L142" s="216"/>
      <x:c r="M142" s="216"/>
      <x:c r="N142" s="216"/>
      <x:c r="O142" s="216"/>
      <x:c r="P142" s="216"/>
      <x:c r="Q142" s="216"/>
      <x:c r="R142" s="216"/>
      <x:c r="S142" s="216"/>
      <x:c r="T142" s="216"/>
      <x:c r="U142" s="216"/>
      <x:c r="V142" s="216"/>
      <x:c r="W142" s="216"/>
      <x:c r="X142" s="216"/>
      <x:c r="Y142" s="216"/>
      <x:c r="Z142" s="216"/>
    </x:row>
    <x:row r="143">
      <x:c r="A143" s="216"/>
      <x:c r="B143" s="216"/>
      <x:c r="C143" s="216"/>
      <x:c r="D143" s="216"/>
      <x:c r="E143" s="216"/>
      <x:c r="F143" s="216"/>
      <x:c r="G143" s="216"/>
      <x:c r="H143" s="216"/>
      <x:c r="I143" s="216"/>
      <x:c r="J143" s="216"/>
      <x:c r="K143" s="216"/>
      <x:c r="L143" s="216"/>
      <x:c r="M143" s="216"/>
      <x:c r="N143" s="216"/>
      <x:c r="O143" s="216"/>
      <x:c r="P143" s="216"/>
      <x:c r="Q143" s="216"/>
      <x:c r="R143" s="216"/>
      <x:c r="S143" s="216"/>
      <x:c r="T143" s="216"/>
      <x:c r="U143" s="216"/>
      <x:c r="V143" s="216"/>
      <x:c r="W143" s="216"/>
      <x:c r="X143" s="216"/>
      <x:c r="Y143" s="216"/>
      <x:c r="Z143" s="216"/>
    </x:row>
    <x:row r="144">
      <x:c r="A144" s="216"/>
      <x:c r="B144" s="216"/>
      <x:c r="C144" s="216"/>
      <x:c r="D144" s="216"/>
      <x:c r="E144" s="216"/>
      <x:c r="F144" s="216"/>
      <x:c r="G144" s="216"/>
      <x:c r="H144" s="216"/>
      <x:c r="I144" s="216"/>
      <x:c r="J144" s="216"/>
      <x:c r="K144" s="216"/>
      <x:c r="L144" s="216"/>
      <x:c r="M144" s="216"/>
      <x:c r="N144" s="216"/>
      <x:c r="O144" s="216"/>
      <x:c r="P144" s="216"/>
      <x:c r="Q144" s="216"/>
      <x:c r="R144" s="216"/>
      <x:c r="S144" s="216"/>
      <x:c r="T144" s="216"/>
      <x:c r="U144" s="216"/>
      <x:c r="V144" s="216"/>
      <x:c r="W144" s="216"/>
      <x:c r="X144" s="216"/>
      <x:c r="Y144" s="216"/>
      <x:c r="Z144" s="216"/>
    </x:row>
    <x:row r="145">
      <x:c r="A145" s="216"/>
      <x:c r="B145" s="216"/>
      <x:c r="C145" s="216"/>
      <x:c r="D145" s="216"/>
      <x:c r="E145" s="216"/>
      <x:c r="F145" s="216"/>
      <x:c r="G145" s="216"/>
      <x:c r="H145" s="216"/>
      <x:c r="I145" s="216"/>
      <x:c r="J145" s="216"/>
      <x:c r="K145" s="216"/>
      <x:c r="L145" s="216"/>
      <x:c r="M145" s="216"/>
      <x:c r="N145" s="216"/>
      <x:c r="O145" s="216"/>
      <x:c r="P145" s="216"/>
      <x:c r="Q145" s="216"/>
      <x:c r="R145" s="216"/>
      <x:c r="S145" s="216"/>
      <x:c r="T145" s="216"/>
      <x:c r="U145" s="216"/>
      <x:c r="V145" s="216"/>
      <x:c r="W145" s="216"/>
      <x:c r="X145" s="216"/>
      <x:c r="Y145" s="216"/>
      <x:c r="Z145" s="216"/>
    </x:row>
    <x:row r="146">
      <x:c r="A146" s="216"/>
      <x:c r="B146" s="216"/>
      <x:c r="C146" s="216"/>
      <x:c r="D146" s="216"/>
      <x:c r="E146" s="216"/>
      <x:c r="F146" s="216"/>
      <x:c r="G146" s="216"/>
      <x:c r="H146" s="216"/>
      <x:c r="I146" s="216"/>
      <x:c r="J146" s="216"/>
      <x:c r="K146" s="216"/>
      <x:c r="L146" s="216"/>
      <x:c r="M146" s="216"/>
      <x:c r="N146" s="216"/>
      <x:c r="O146" s="216"/>
      <x:c r="P146" s="216"/>
      <x:c r="Q146" s="216"/>
      <x:c r="R146" s="216"/>
      <x:c r="S146" s="216"/>
      <x:c r="T146" s="216"/>
      <x:c r="U146" s="216"/>
      <x:c r="V146" s="216"/>
      <x:c r="W146" s="216"/>
      <x:c r="X146" s="216"/>
      <x:c r="Y146" s="216"/>
      <x:c r="Z146" s="216"/>
    </x:row>
    <x:row r="147">
      <x:c r="A147" s="216"/>
      <x:c r="B147" s="216"/>
      <x:c r="C147" s="216"/>
      <x:c r="D147" s="216"/>
      <x:c r="E147" s="216"/>
      <x:c r="F147" s="216"/>
      <x:c r="G147" s="216"/>
      <x:c r="H147" s="216"/>
      <x:c r="I147" s="216"/>
      <x:c r="J147" s="216"/>
      <x:c r="K147" s="216"/>
      <x:c r="L147" s="216"/>
      <x:c r="M147" s="216"/>
      <x:c r="N147" s="216"/>
      <x:c r="O147" s="216"/>
      <x:c r="P147" s="216"/>
      <x:c r="Q147" s="216"/>
      <x:c r="R147" s="216"/>
      <x:c r="S147" s="216"/>
      <x:c r="T147" s="216"/>
      <x:c r="U147" s="216"/>
      <x:c r="V147" s="216"/>
      <x:c r="W147" s="216"/>
      <x:c r="X147" s="216"/>
      <x:c r="Y147" s="216"/>
      <x:c r="Z147" s="216"/>
    </x:row>
    <x:row r="148">
      <x:c r="A148" s="216"/>
      <x:c r="B148" s="216"/>
      <x:c r="C148" s="216"/>
      <x:c r="D148" s="216"/>
      <x:c r="E148" s="216"/>
      <x:c r="F148" s="216"/>
      <x:c r="G148" s="216"/>
      <x:c r="H148" s="216"/>
      <x:c r="I148" s="216"/>
      <x:c r="J148" s="216"/>
      <x:c r="K148" s="216"/>
      <x:c r="L148" s="216"/>
      <x:c r="M148" s="216"/>
      <x:c r="N148" s="216"/>
      <x:c r="O148" s="216"/>
      <x:c r="P148" s="216"/>
      <x:c r="Q148" s="216"/>
      <x:c r="R148" s="216"/>
      <x:c r="S148" s="216"/>
      <x:c r="T148" s="216"/>
      <x:c r="U148" s="216"/>
      <x:c r="V148" s="216"/>
      <x:c r="W148" s="216"/>
      <x:c r="X148" s="216"/>
      <x:c r="Y148" s="216"/>
      <x:c r="Z148" s="216"/>
    </x:row>
    <x:row r="149">
      <x:c r="A149" s="216"/>
      <x:c r="B149" s="216"/>
      <x:c r="C149" s="216"/>
      <x:c r="D149" s="216"/>
      <x:c r="E149" s="216"/>
      <x:c r="F149" s="216"/>
      <x:c r="G149" s="216"/>
      <x:c r="H149" s="216"/>
      <x:c r="I149" s="216"/>
      <x:c r="J149" s="216"/>
      <x:c r="K149" s="216"/>
      <x:c r="L149" s="216"/>
      <x:c r="M149" s="216"/>
      <x:c r="N149" s="216"/>
      <x:c r="O149" s="216"/>
      <x:c r="P149" s="216"/>
      <x:c r="Q149" s="216"/>
      <x:c r="R149" s="216"/>
      <x:c r="S149" s="216"/>
      <x:c r="T149" s="216"/>
      <x:c r="U149" s="216"/>
      <x:c r="V149" s="216"/>
      <x:c r="W149" s="216"/>
      <x:c r="X149" s="216"/>
      <x:c r="Y149" s="216"/>
      <x:c r="Z149" s="216"/>
    </x:row>
    <x:row r="150">
      <x:c r="A150" s="216"/>
      <x:c r="B150" s="216"/>
      <x:c r="C150" s="216"/>
      <x:c r="D150" s="216"/>
      <x:c r="E150" s="216"/>
      <x:c r="F150" s="216"/>
      <x:c r="G150" s="216"/>
      <x:c r="H150" s="216"/>
      <x:c r="I150" s="216"/>
      <x:c r="J150" s="216"/>
      <x:c r="K150" s="216"/>
      <x:c r="L150" s="216"/>
      <x:c r="M150" s="216"/>
      <x:c r="N150" s="216"/>
      <x:c r="O150" s="216"/>
      <x:c r="P150" s="216"/>
      <x:c r="Q150" s="216"/>
      <x:c r="R150" s="216"/>
      <x:c r="S150" s="216"/>
      <x:c r="T150" s="216"/>
      <x:c r="U150" s="216"/>
      <x:c r="V150" s="216"/>
      <x:c r="W150" s="216"/>
      <x:c r="X150" s="216"/>
      <x:c r="Y150" s="216"/>
      <x:c r="Z150" s="216"/>
    </x:row>
    <x:row r="151">
      <x:c r="A151" s="216"/>
      <x:c r="B151" s="216"/>
      <x:c r="C151" s="216"/>
      <x:c r="D151" s="216"/>
      <x:c r="E151" s="216"/>
      <x:c r="F151" s="216"/>
      <x:c r="G151" s="216"/>
      <x:c r="H151" s="216"/>
      <x:c r="I151" s="216"/>
      <x:c r="J151" s="216"/>
      <x:c r="K151" s="216"/>
      <x:c r="L151" s="216"/>
      <x:c r="M151" s="216"/>
      <x:c r="N151" s="216"/>
      <x:c r="O151" s="216"/>
      <x:c r="P151" s="216"/>
      <x:c r="Q151" s="216"/>
      <x:c r="R151" s="216"/>
      <x:c r="S151" s="216"/>
      <x:c r="T151" s="216"/>
      <x:c r="U151" s="216"/>
      <x:c r="V151" s="216"/>
      <x:c r="W151" s="216"/>
      <x:c r="X151" s="216"/>
      <x:c r="Y151" s="216"/>
      <x:c r="Z151" s="216"/>
    </x:row>
    <x:row r="152">
      <x:c r="A152" s="216"/>
      <x:c r="B152" s="216"/>
      <x:c r="C152" s="216"/>
      <x:c r="D152" s="216"/>
      <x:c r="E152" s="216"/>
      <x:c r="F152" s="216"/>
      <x:c r="G152" s="216"/>
      <x:c r="H152" s="216"/>
      <x:c r="I152" s="216"/>
      <x:c r="J152" s="216"/>
      <x:c r="K152" s="216"/>
      <x:c r="L152" s="216"/>
      <x:c r="M152" s="216"/>
      <x:c r="N152" s="216"/>
      <x:c r="O152" s="216"/>
      <x:c r="P152" s="216"/>
      <x:c r="Q152" s="216"/>
      <x:c r="R152" s="216"/>
      <x:c r="S152" s="216"/>
      <x:c r="T152" s="216"/>
      <x:c r="U152" s="216"/>
      <x:c r="V152" s="216"/>
      <x:c r="W152" s="216"/>
      <x:c r="X152" s="216"/>
      <x:c r="Y152" s="216"/>
      <x:c r="Z152" s="216"/>
    </x:row>
    <x:row r="153">
      <x:c r="A153" s="216"/>
      <x:c r="B153" s="216"/>
      <x:c r="C153" s="216"/>
      <x:c r="D153" s="216"/>
      <x:c r="E153" s="216"/>
      <x:c r="F153" s="216"/>
      <x:c r="G153" s="216"/>
      <x:c r="H153" s="216"/>
      <x:c r="I153" s="216"/>
      <x:c r="J153" s="216"/>
      <x:c r="K153" s="216"/>
      <x:c r="L153" s="216"/>
      <x:c r="M153" s="216"/>
      <x:c r="N153" s="216"/>
      <x:c r="O153" s="216"/>
      <x:c r="P153" s="216"/>
      <x:c r="Q153" s="216"/>
      <x:c r="R153" s="216"/>
      <x:c r="S153" s="216"/>
      <x:c r="T153" s="216"/>
      <x:c r="U153" s="216"/>
      <x:c r="V153" s="216"/>
      <x:c r="W153" s="216"/>
      <x:c r="X153" s="216"/>
      <x:c r="Y153" s="216"/>
      <x:c r="Z153" s="216"/>
    </x:row>
    <x:row r="154">
      <x:c r="A154" s="216"/>
      <x:c r="B154" s="216"/>
      <x:c r="C154" s="216"/>
      <x:c r="D154" s="216"/>
      <x:c r="E154" s="216"/>
      <x:c r="F154" s="216"/>
      <x:c r="G154" s="216"/>
      <x:c r="H154" s="216"/>
      <x:c r="I154" s="216"/>
      <x:c r="J154" s="216"/>
      <x:c r="K154" s="216"/>
      <x:c r="L154" s="216"/>
      <x:c r="M154" s="216"/>
      <x:c r="N154" s="216"/>
      <x:c r="O154" s="216"/>
      <x:c r="P154" s="216"/>
      <x:c r="Q154" s="216"/>
      <x:c r="R154" s="216"/>
      <x:c r="S154" s="216"/>
      <x:c r="T154" s="216"/>
      <x:c r="U154" s="216"/>
      <x:c r="V154" s="216"/>
      <x:c r="W154" s="216"/>
      <x:c r="X154" s="216"/>
      <x:c r="Y154" s="216"/>
      <x:c r="Z154" s="216"/>
    </x:row>
    <x:row r="155">
      <x:c r="A155" s="216"/>
      <x:c r="B155" s="216"/>
      <x:c r="C155" s="216"/>
      <x:c r="D155" s="216"/>
      <x:c r="E155" s="216"/>
      <x:c r="F155" s="216"/>
      <x:c r="G155" s="216"/>
      <x:c r="H155" s="216"/>
      <x:c r="I155" s="216"/>
      <x:c r="J155" s="216"/>
      <x:c r="K155" s="216"/>
      <x:c r="L155" s="216"/>
      <x:c r="M155" s="216"/>
      <x:c r="N155" s="216"/>
      <x:c r="O155" s="216"/>
      <x:c r="P155" s="216"/>
      <x:c r="Q155" s="216"/>
      <x:c r="R155" s="216"/>
      <x:c r="S155" s="216"/>
      <x:c r="T155" s="216"/>
      <x:c r="U155" s="216"/>
      <x:c r="V155" s="216"/>
      <x:c r="W155" s="216"/>
      <x:c r="X155" s="216"/>
      <x:c r="Y155" s="216"/>
      <x:c r="Z155" s="216"/>
    </x:row>
    <x:row r="156">
      <x:c r="A156" s="216"/>
      <x:c r="B156" s="216"/>
      <x:c r="C156" s="216"/>
      <x:c r="D156" s="216"/>
      <x:c r="E156" s="216"/>
      <x:c r="F156" s="216"/>
      <x:c r="G156" s="216"/>
      <x:c r="H156" s="216"/>
      <x:c r="I156" s="216"/>
      <x:c r="J156" s="216"/>
      <x:c r="K156" s="216"/>
      <x:c r="L156" s="216"/>
      <x:c r="M156" s="216"/>
      <x:c r="N156" s="216"/>
      <x:c r="O156" s="216"/>
      <x:c r="P156" s="216"/>
      <x:c r="Q156" s="216"/>
      <x:c r="R156" s="216"/>
      <x:c r="S156" s="216"/>
      <x:c r="T156" s="216"/>
      <x:c r="U156" s="216"/>
      <x:c r="V156" s="216"/>
      <x:c r="W156" s="216"/>
      <x:c r="X156" s="216"/>
      <x:c r="Y156" s="216"/>
      <x:c r="Z156" s="216"/>
    </x:row>
    <x:row r="157">
      <x:c r="A157" s="216"/>
      <x:c r="B157" s="216"/>
      <x:c r="C157" s="216"/>
      <x:c r="D157" s="216"/>
      <x:c r="E157" s="216"/>
      <x:c r="F157" s="216"/>
      <x:c r="G157" s="216"/>
      <x:c r="H157" s="216"/>
      <x:c r="I157" s="216"/>
      <x:c r="J157" s="216"/>
      <x:c r="K157" s="216"/>
      <x:c r="L157" s="216"/>
      <x:c r="M157" s="216"/>
      <x:c r="N157" s="216"/>
      <x:c r="O157" s="216"/>
      <x:c r="P157" s="216"/>
      <x:c r="Q157" s="216"/>
      <x:c r="R157" s="216"/>
      <x:c r="S157" s="216"/>
      <x:c r="T157" s="216"/>
      <x:c r="U157" s="216"/>
      <x:c r="V157" s="216"/>
      <x:c r="W157" s="216"/>
      <x:c r="X157" s="216"/>
      <x:c r="Y157" s="216"/>
      <x:c r="Z157" s="216"/>
    </x:row>
    <x:row r="158">
      <x:c r="A158" s="216"/>
      <x:c r="B158" s="216"/>
      <x:c r="C158" s="216"/>
      <x:c r="D158" s="216"/>
      <x:c r="E158" s="216"/>
      <x:c r="F158" s="216"/>
      <x:c r="G158" s="216"/>
      <x:c r="H158" s="216"/>
      <x:c r="I158" s="216"/>
      <x:c r="J158" s="216"/>
      <x:c r="K158" s="216"/>
      <x:c r="L158" s="216"/>
      <x:c r="M158" s="216"/>
      <x:c r="N158" s="216"/>
      <x:c r="O158" s="216"/>
      <x:c r="P158" s="216"/>
      <x:c r="Q158" s="216"/>
      <x:c r="R158" s="216"/>
      <x:c r="S158" s="216"/>
      <x:c r="T158" s="216"/>
      <x:c r="U158" s="216"/>
      <x:c r="V158" s="216"/>
      <x:c r="W158" s="216"/>
      <x:c r="X158" s="216"/>
      <x:c r="Y158" s="216"/>
      <x:c r="Z158" s="216"/>
    </x:row>
    <x:row r="159">
      <x:c r="A159" s="216"/>
      <x:c r="B159" s="216"/>
      <x:c r="C159" s="216"/>
      <x:c r="D159" s="216"/>
      <x:c r="E159" s="216"/>
      <x:c r="F159" s="216"/>
      <x:c r="G159" s="216"/>
      <x:c r="H159" s="216"/>
      <x:c r="I159" s="216"/>
      <x:c r="J159" s="216"/>
      <x:c r="K159" s="216"/>
      <x:c r="L159" s="216"/>
      <x:c r="M159" s="216"/>
      <x:c r="N159" s="216"/>
      <x:c r="O159" s="216"/>
      <x:c r="P159" s="216"/>
      <x:c r="Q159" s="216"/>
      <x:c r="R159" s="216"/>
      <x:c r="S159" s="216"/>
      <x:c r="T159" s="216"/>
      <x:c r="U159" s="216"/>
      <x:c r="V159" s="216"/>
      <x:c r="W159" s="216"/>
      <x:c r="X159" s="216"/>
      <x:c r="Y159" s="216"/>
      <x:c r="Z159" s="216"/>
    </x:row>
    <x:row r="160">
      <x:c r="A160" s="216"/>
      <x:c r="B160" s="216"/>
      <x:c r="C160" s="216"/>
      <x:c r="D160" s="216"/>
      <x:c r="E160" s="216"/>
      <x:c r="F160" s="216"/>
      <x:c r="G160" s="216"/>
      <x:c r="H160" s="216"/>
      <x:c r="I160" s="216"/>
      <x:c r="J160" s="216"/>
      <x:c r="K160" s="216"/>
      <x:c r="L160" s="216"/>
      <x:c r="M160" s="216"/>
      <x:c r="N160" s="216"/>
      <x:c r="O160" s="216"/>
      <x:c r="P160" s="216"/>
      <x:c r="Q160" s="216"/>
      <x:c r="R160" s="216"/>
      <x:c r="S160" s="216"/>
      <x:c r="T160" s="216"/>
      <x:c r="U160" s="216"/>
      <x:c r="V160" s="216"/>
      <x:c r="W160" s="216"/>
      <x:c r="X160" s="216"/>
      <x:c r="Y160" s="216"/>
      <x:c r="Z160" s="216"/>
    </x:row>
    <x:row r="161">
      <x:c r="A161" s="216"/>
      <x:c r="B161" s="216"/>
      <x:c r="C161" s="216"/>
      <x:c r="D161" s="216"/>
      <x:c r="E161" s="216"/>
      <x:c r="F161" s="216"/>
      <x:c r="G161" s="216"/>
      <x:c r="H161" s="216"/>
      <x:c r="I161" s="216"/>
      <x:c r="J161" s="216"/>
      <x:c r="K161" s="216"/>
      <x:c r="L161" s="216"/>
      <x:c r="M161" s="216"/>
      <x:c r="N161" s="216"/>
      <x:c r="O161" s="216"/>
      <x:c r="P161" s="216"/>
      <x:c r="Q161" s="216"/>
      <x:c r="R161" s="216"/>
      <x:c r="S161" s="216"/>
      <x:c r="T161" s="216"/>
      <x:c r="U161" s="216"/>
      <x:c r="V161" s="216"/>
      <x:c r="W161" s="216"/>
      <x:c r="X161" s="216"/>
      <x:c r="Y161" s="216"/>
      <x:c r="Z161" s="216"/>
    </x:row>
    <x:row r="162">
      <x:c r="A162" s="216"/>
      <x:c r="B162" s="216"/>
      <x:c r="C162" s="216"/>
      <x:c r="D162" s="216"/>
      <x:c r="E162" s="216"/>
      <x:c r="F162" s="216"/>
      <x:c r="G162" s="216"/>
      <x:c r="H162" s="216"/>
      <x:c r="I162" s="216"/>
      <x:c r="J162" s="216"/>
      <x:c r="K162" s="216"/>
      <x:c r="L162" s="216"/>
      <x:c r="M162" s="216"/>
      <x:c r="N162" s="216"/>
      <x:c r="O162" s="216"/>
      <x:c r="P162" s="216"/>
      <x:c r="Q162" s="216"/>
      <x:c r="R162" s="216"/>
      <x:c r="S162" s="216"/>
      <x:c r="T162" s="216"/>
      <x:c r="U162" s="216"/>
      <x:c r="V162" s="216"/>
      <x:c r="W162" s="216"/>
      <x:c r="X162" s="216"/>
      <x:c r="Y162" s="216"/>
      <x:c r="Z162" s="216"/>
    </x:row>
    <x:row r="163">
      <x:c r="A163" s="216"/>
      <x:c r="B163" s="216"/>
      <x:c r="C163" s="216"/>
      <x:c r="D163" s="216"/>
      <x:c r="E163" s="216"/>
      <x:c r="F163" s="216"/>
      <x:c r="G163" s="216"/>
      <x:c r="H163" s="216"/>
      <x:c r="I163" s="216"/>
      <x:c r="J163" s="216"/>
      <x:c r="K163" s="216"/>
      <x:c r="L163" s="216"/>
      <x:c r="M163" s="216"/>
      <x:c r="N163" s="216"/>
      <x:c r="O163" s="216"/>
      <x:c r="P163" s="216"/>
      <x:c r="Q163" s="216"/>
      <x:c r="R163" s="216"/>
      <x:c r="S163" s="216"/>
      <x:c r="T163" s="216"/>
      <x:c r="U163" s="216"/>
      <x:c r="V163" s="216"/>
      <x:c r="W163" s="216"/>
      <x:c r="X163" s="216"/>
      <x:c r="Y163" s="216"/>
      <x:c r="Z163" s="216"/>
    </x:row>
    <x:row r="164">
      <x:c r="A164" s="216"/>
      <x:c r="B164" s="216"/>
      <x:c r="C164" s="216"/>
      <x:c r="D164" s="216"/>
      <x:c r="E164" s="216"/>
      <x:c r="F164" s="216"/>
      <x:c r="G164" s="216"/>
      <x:c r="H164" s="216"/>
      <x:c r="I164" s="216"/>
      <x:c r="J164" s="216"/>
      <x:c r="K164" s="216"/>
      <x:c r="L164" s="216"/>
      <x:c r="M164" s="216"/>
      <x:c r="N164" s="216"/>
      <x:c r="O164" s="216"/>
      <x:c r="P164" s="216"/>
      <x:c r="Q164" s="216"/>
      <x:c r="R164" s="216"/>
      <x:c r="S164" s="216"/>
      <x:c r="T164" s="216"/>
      <x:c r="U164" s="216"/>
      <x:c r="V164" s="216"/>
      <x:c r="W164" s="216"/>
      <x:c r="X164" s="216"/>
      <x:c r="Y164" s="216"/>
      <x:c r="Z164" s="216"/>
    </x:row>
    <x:row r="165">
      <x:c r="A165" s="216"/>
      <x:c r="B165" s="216"/>
      <x:c r="C165" s="216"/>
      <x:c r="D165" s="216"/>
      <x:c r="E165" s="216"/>
      <x:c r="F165" s="216"/>
      <x:c r="G165" s="216"/>
      <x:c r="H165" s="216"/>
      <x:c r="I165" s="216"/>
      <x:c r="J165" s="216"/>
      <x:c r="K165" s="216"/>
      <x:c r="L165" s="216"/>
      <x:c r="M165" s="216"/>
      <x:c r="N165" s="216"/>
      <x:c r="O165" s="216"/>
      <x:c r="P165" s="216"/>
      <x:c r="Q165" s="216"/>
      <x:c r="R165" s="216"/>
      <x:c r="S165" s="216"/>
      <x:c r="T165" s="216"/>
      <x:c r="U165" s="216"/>
      <x:c r="V165" s="216"/>
      <x:c r="W165" s="216"/>
      <x:c r="X165" s="216"/>
      <x:c r="Y165" s="216"/>
      <x:c r="Z165" s="216"/>
    </x:row>
    <x:row r="166">
      <x:c r="A166" s="216"/>
      <x:c r="B166" s="216"/>
      <x:c r="C166" s="216"/>
      <x:c r="D166" s="216"/>
      <x:c r="E166" s="216"/>
      <x:c r="F166" s="216"/>
      <x:c r="G166" s="216"/>
      <x:c r="H166" s="216"/>
      <x:c r="I166" s="216"/>
      <x:c r="J166" s="216"/>
      <x:c r="K166" s="216"/>
      <x:c r="L166" s="216"/>
      <x:c r="M166" s="216"/>
      <x:c r="N166" s="216"/>
      <x:c r="O166" s="216"/>
      <x:c r="P166" s="216"/>
      <x:c r="Q166" s="216"/>
      <x:c r="R166" s="216"/>
      <x:c r="S166" s="216"/>
      <x:c r="T166" s="216"/>
      <x:c r="U166" s="216"/>
      <x:c r="V166" s="216"/>
      <x:c r="W166" s="216"/>
      <x:c r="X166" s="216"/>
      <x:c r="Y166" s="216"/>
      <x:c r="Z166" s="216"/>
    </x:row>
    <x:row r="167">
      <x:c r="A167" s="216"/>
      <x:c r="B167" s="216"/>
      <x:c r="C167" s="216"/>
      <x:c r="D167" s="216"/>
      <x:c r="E167" s="216"/>
      <x:c r="F167" s="216"/>
      <x:c r="G167" s="216"/>
      <x:c r="H167" s="216"/>
      <x:c r="I167" s="216"/>
      <x:c r="J167" s="216"/>
      <x:c r="K167" s="216"/>
      <x:c r="L167" s="216"/>
      <x:c r="M167" s="216"/>
      <x:c r="N167" s="216"/>
      <x:c r="O167" s="216"/>
      <x:c r="P167" s="216"/>
      <x:c r="Q167" s="216"/>
      <x:c r="R167" s="216"/>
      <x:c r="S167" s="216"/>
      <x:c r="T167" s="216"/>
      <x:c r="U167" s="216"/>
      <x:c r="V167" s="216"/>
      <x:c r="W167" s="216"/>
      <x:c r="X167" s="216"/>
      <x:c r="Y167" s="216"/>
      <x:c r="Z167" s="216"/>
    </x:row>
    <x:row r="168">
      <x:c r="A168" s="216"/>
      <x:c r="B168" s="216"/>
      <x:c r="C168" s="216"/>
      <x:c r="D168" s="216"/>
      <x:c r="E168" s="216"/>
      <x:c r="F168" s="216"/>
      <x:c r="G168" s="216"/>
      <x:c r="H168" s="216"/>
      <x:c r="I168" s="216"/>
      <x:c r="J168" s="216"/>
      <x:c r="K168" s="216"/>
      <x:c r="L168" s="216"/>
      <x:c r="M168" s="216"/>
      <x:c r="N168" s="216"/>
      <x:c r="O168" s="216"/>
      <x:c r="P168" s="216"/>
      <x:c r="Q168" s="216"/>
      <x:c r="R168" s="216"/>
      <x:c r="S168" s="216"/>
      <x:c r="T168" s="216"/>
      <x:c r="U168" s="216"/>
      <x:c r="V168" s="216"/>
      <x:c r="W168" s="216"/>
      <x:c r="X168" s="216"/>
      <x:c r="Y168" s="216"/>
      <x:c r="Z168" s="216"/>
    </x:row>
    <x:row r="169">
      <x:c r="A169" s="216"/>
      <x:c r="B169" s="216"/>
      <x:c r="C169" s="216"/>
      <x:c r="D169" s="216"/>
      <x:c r="E169" s="216"/>
      <x:c r="F169" s="216"/>
      <x:c r="G169" s="216"/>
      <x:c r="H169" s="216"/>
      <x:c r="I169" s="216"/>
      <x:c r="J169" s="216"/>
      <x:c r="K169" s="216"/>
      <x:c r="L169" s="216"/>
      <x:c r="M169" s="216"/>
      <x:c r="N169" s="216"/>
      <x:c r="O169" s="216"/>
      <x:c r="P169" s="216"/>
      <x:c r="Q169" s="216"/>
      <x:c r="R169" s="216"/>
      <x:c r="S169" s="216"/>
      <x:c r="T169" s="216"/>
      <x:c r="U169" s="216"/>
      <x:c r="V169" s="216"/>
      <x:c r="W169" s="216"/>
      <x:c r="X169" s="216"/>
      <x:c r="Y169" s="216"/>
      <x:c r="Z169" s="216"/>
    </x:row>
    <x:row r="170">
      <x:c r="A170" s="216"/>
      <x:c r="B170" s="216"/>
      <x:c r="C170" s="216"/>
      <x:c r="D170" s="216"/>
      <x:c r="E170" s="216"/>
      <x:c r="F170" s="216"/>
      <x:c r="G170" s="216"/>
      <x:c r="H170" s="216"/>
      <x:c r="I170" s="216"/>
      <x:c r="J170" s="216"/>
      <x:c r="K170" s="216"/>
      <x:c r="L170" s="216"/>
      <x:c r="M170" s="216"/>
      <x:c r="N170" s="216"/>
      <x:c r="O170" s="216"/>
      <x:c r="P170" s="216"/>
      <x:c r="Q170" s="216"/>
      <x:c r="R170" s="216"/>
      <x:c r="S170" s="216"/>
      <x:c r="T170" s="216"/>
      <x:c r="U170" s="216"/>
      <x:c r="V170" s="216"/>
      <x:c r="W170" s="216"/>
      <x:c r="X170" s="216"/>
      <x:c r="Y170" s="216"/>
      <x:c r="Z170" s="216"/>
    </x:row>
    <x:row r="171">
      <x:c r="A171" s="216"/>
      <x:c r="B171" s="216"/>
      <x:c r="C171" s="216"/>
      <x:c r="D171" s="216"/>
      <x:c r="E171" s="216"/>
      <x:c r="F171" s="216"/>
      <x:c r="G171" s="216"/>
      <x:c r="H171" s="216"/>
      <x:c r="I171" s="216"/>
      <x:c r="J171" s="216"/>
      <x:c r="K171" s="216"/>
      <x:c r="L171" s="216"/>
      <x:c r="M171" s="216"/>
      <x:c r="N171" s="216"/>
      <x:c r="O171" s="216"/>
      <x:c r="P171" s="216"/>
      <x:c r="Q171" s="216"/>
      <x:c r="R171" s="216"/>
      <x:c r="S171" s="216"/>
      <x:c r="T171" s="216"/>
      <x:c r="U171" s="216"/>
      <x:c r="V171" s="216"/>
      <x:c r="W171" s="216"/>
      <x:c r="X171" s="216"/>
      <x:c r="Y171" s="216"/>
      <x:c r="Z171" s="216"/>
    </x:row>
    <x:row r="172">
      <x:c r="A172" s="216"/>
      <x:c r="B172" s="216"/>
      <x:c r="C172" s="216"/>
      <x:c r="D172" s="216"/>
      <x:c r="E172" s="216"/>
      <x:c r="F172" s="216"/>
      <x:c r="G172" s="216"/>
      <x:c r="H172" s="216"/>
      <x:c r="I172" s="216"/>
      <x:c r="J172" s="216"/>
      <x:c r="K172" s="216"/>
      <x:c r="L172" s="216"/>
      <x:c r="M172" s="216"/>
      <x:c r="N172" s="216"/>
      <x:c r="O172" s="216"/>
      <x:c r="P172" s="216"/>
      <x:c r="Q172" s="216"/>
      <x:c r="R172" s="216"/>
      <x:c r="S172" s="216"/>
      <x:c r="T172" s="216"/>
      <x:c r="U172" s="216"/>
      <x:c r="V172" s="216"/>
      <x:c r="W172" s="216"/>
      <x:c r="X172" s="216"/>
      <x:c r="Y172" s="216"/>
      <x:c r="Z172" s="216"/>
    </x:row>
    <x:row r="173">
      <x:c r="A173" s="216"/>
      <x:c r="B173" s="216"/>
      <x:c r="C173" s="216"/>
      <x:c r="D173" s="216"/>
      <x:c r="E173" s="216"/>
      <x:c r="F173" s="216"/>
      <x:c r="G173" s="216"/>
      <x:c r="H173" s="216"/>
      <x:c r="I173" s="216"/>
      <x:c r="J173" s="216"/>
      <x:c r="K173" s="216"/>
      <x:c r="L173" s="216"/>
      <x:c r="M173" s="216"/>
      <x:c r="N173" s="216"/>
      <x:c r="O173" s="216"/>
      <x:c r="P173" s="216"/>
      <x:c r="Q173" s="216"/>
      <x:c r="R173" s="216"/>
      <x:c r="S173" s="216"/>
      <x:c r="T173" s="216"/>
      <x:c r="U173" s="216"/>
      <x:c r="V173" s="216"/>
      <x:c r="W173" s="216"/>
      <x:c r="X173" s="216"/>
      <x:c r="Y173" s="216"/>
      <x:c r="Z173" s="216"/>
    </x:row>
    <x:row r="174">
      <x:c r="A174" s="216"/>
      <x:c r="B174" s="216"/>
      <x:c r="C174" s="216"/>
      <x:c r="D174" s="216"/>
      <x:c r="E174" s="216"/>
      <x:c r="F174" s="216"/>
      <x:c r="G174" s="216"/>
      <x:c r="H174" s="216"/>
      <x:c r="I174" s="216"/>
      <x:c r="J174" s="216"/>
      <x:c r="K174" s="216"/>
      <x:c r="L174" s="216"/>
      <x:c r="M174" s="216"/>
      <x:c r="N174" s="216"/>
      <x:c r="O174" s="216"/>
      <x:c r="P174" s="216"/>
      <x:c r="Q174" s="216"/>
      <x:c r="R174" s="216"/>
      <x:c r="S174" s="216"/>
      <x:c r="T174" s="216"/>
      <x:c r="U174" s="216"/>
      <x:c r="V174" s="216"/>
      <x:c r="W174" s="216"/>
      <x:c r="X174" s="216"/>
      <x:c r="Y174" s="216"/>
      <x:c r="Z174" s="216"/>
    </x:row>
    <x:row r="175">
      <x:c r="A175" s="216"/>
      <x:c r="B175" s="216"/>
      <x:c r="C175" s="216"/>
      <x:c r="D175" s="216"/>
      <x:c r="E175" s="216"/>
      <x:c r="F175" s="216"/>
      <x:c r="G175" s="216"/>
      <x:c r="H175" s="216"/>
      <x:c r="I175" s="216"/>
      <x:c r="J175" s="216"/>
      <x:c r="K175" s="216"/>
      <x:c r="L175" s="216"/>
      <x:c r="M175" s="216"/>
      <x:c r="N175" s="216"/>
      <x:c r="O175" s="216"/>
      <x:c r="P175" s="216"/>
      <x:c r="Q175" s="216"/>
      <x:c r="R175" s="216"/>
      <x:c r="S175" s="216"/>
      <x:c r="T175" s="216"/>
      <x:c r="U175" s="216"/>
      <x:c r="V175" s="216"/>
      <x:c r="W175" s="216"/>
      <x:c r="X175" s="216"/>
      <x:c r="Y175" s="216"/>
      <x:c r="Z175" s="216"/>
    </x:row>
    <x:row r="176">
      <x:c r="A176" s="216"/>
      <x:c r="B176" s="216"/>
      <x:c r="C176" s="216"/>
      <x:c r="D176" s="216"/>
      <x:c r="E176" s="216"/>
      <x:c r="F176" s="216"/>
      <x:c r="G176" s="216"/>
      <x:c r="H176" s="216"/>
      <x:c r="I176" s="216"/>
      <x:c r="J176" s="216"/>
      <x:c r="K176" s="216"/>
      <x:c r="L176" s="216"/>
      <x:c r="M176" s="216"/>
      <x:c r="N176" s="216"/>
      <x:c r="O176" s="216"/>
      <x:c r="P176" s="216"/>
      <x:c r="Q176" s="216"/>
      <x:c r="R176" s="216"/>
      <x:c r="S176" s="216"/>
      <x:c r="T176" s="216"/>
      <x:c r="U176" s="216"/>
      <x:c r="V176" s="216"/>
      <x:c r="W176" s="216"/>
      <x:c r="X176" s="216"/>
      <x:c r="Y176" s="216"/>
      <x:c r="Z176" s="216"/>
    </x:row>
    <x:row r="177">
      <x:c r="A177" s="216"/>
      <x:c r="B177" s="216"/>
      <x:c r="C177" s="216"/>
      <x:c r="D177" s="216"/>
      <x:c r="E177" s="216"/>
      <x:c r="F177" s="216"/>
      <x:c r="G177" s="216"/>
      <x:c r="H177" s="216"/>
      <x:c r="I177" s="216"/>
      <x:c r="J177" s="216"/>
      <x:c r="K177" s="216"/>
      <x:c r="L177" s="216"/>
      <x:c r="M177" s="216"/>
      <x:c r="N177" s="216"/>
      <x:c r="O177" s="216"/>
      <x:c r="P177" s="216"/>
      <x:c r="Q177" s="216"/>
      <x:c r="R177" s="216"/>
      <x:c r="S177" s="216"/>
      <x:c r="T177" s="216"/>
      <x:c r="U177" s="216"/>
      <x:c r="V177" s="216"/>
      <x:c r="W177" s="216"/>
      <x:c r="X177" s="216"/>
      <x:c r="Y177" s="216"/>
      <x:c r="Z177" s="216"/>
    </x:row>
    <x:row r="178">
      <x:c r="A178" s="216"/>
      <x:c r="B178" s="216"/>
      <x:c r="C178" s="216"/>
      <x:c r="D178" s="216"/>
      <x:c r="E178" s="216"/>
      <x:c r="F178" s="216"/>
      <x:c r="G178" s="216"/>
      <x:c r="H178" s="216"/>
      <x:c r="I178" s="216"/>
      <x:c r="J178" s="216"/>
      <x:c r="K178" s="216"/>
      <x:c r="L178" s="216"/>
      <x:c r="M178" s="216"/>
      <x:c r="N178" s="216"/>
      <x:c r="O178" s="216"/>
      <x:c r="P178" s="216"/>
      <x:c r="Q178" s="216"/>
      <x:c r="R178" s="216"/>
      <x:c r="S178" s="216"/>
      <x:c r="T178" s="216"/>
      <x:c r="U178" s="216"/>
      <x:c r="V178" s="216"/>
      <x:c r="W178" s="216"/>
      <x:c r="X178" s="216"/>
      <x:c r="Y178" s="216"/>
      <x:c r="Z178" s="216"/>
    </x:row>
    <x:row r="179">
      <x:c r="A179" s="216"/>
      <x:c r="B179" s="216"/>
      <x:c r="C179" s="216"/>
      <x:c r="D179" s="216"/>
      <x:c r="E179" s="216"/>
      <x:c r="F179" s="216"/>
      <x:c r="G179" s="216"/>
      <x:c r="H179" s="216"/>
      <x:c r="I179" s="216"/>
      <x:c r="J179" s="216"/>
      <x:c r="K179" s="216"/>
      <x:c r="L179" s="216"/>
      <x:c r="M179" s="216"/>
      <x:c r="N179" s="216"/>
      <x:c r="O179" s="216"/>
      <x:c r="P179" s="216"/>
      <x:c r="Q179" s="216"/>
      <x:c r="R179" s="216"/>
      <x:c r="S179" s="216"/>
      <x:c r="T179" s="216"/>
      <x:c r="U179" s="216"/>
      <x:c r="V179" s="216"/>
      <x:c r="W179" s="216"/>
      <x:c r="X179" s="216"/>
      <x:c r="Y179" s="216"/>
      <x:c r="Z179" s="216"/>
    </x:row>
    <x:row r="180">
      <x:c r="A180" s="216"/>
      <x:c r="B180" s="216"/>
      <x:c r="C180" s="216"/>
      <x:c r="D180" s="216"/>
      <x:c r="E180" s="216"/>
      <x:c r="F180" s="216"/>
      <x:c r="G180" s="216"/>
      <x:c r="H180" s="216"/>
      <x:c r="I180" s="216"/>
      <x:c r="J180" s="216"/>
      <x:c r="K180" s="216"/>
      <x:c r="L180" s="216"/>
      <x:c r="M180" s="216"/>
      <x:c r="N180" s="216"/>
      <x:c r="O180" s="216"/>
      <x:c r="P180" s="216"/>
      <x:c r="Q180" s="216"/>
      <x:c r="R180" s="216"/>
      <x:c r="S180" s="216"/>
      <x:c r="T180" s="216"/>
      <x:c r="U180" s="216"/>
      <x:c r="V180" s="216"/>
      <x:c r="W180" s="216"/>
      <x:c r="X180" s="216"/>
      <x:c r="Y180" s="216"/>
      <x:c r="Z180" s="216"/>
    </x:row>
    <x:row r="181">
      <x:c r="A181" s="216"/>
      <x:c r="B181" s="216"/>
      <x:c r="C181" s="216"/>
      <x:c r="D181" s="216"/>
      <x:c r="E181" s="216"/>
      <x:c r="F181" s="216"/>
      <x:c r="G181" s="216"/>
      <x:c r="H181" s="216"/>
      <x:c r="I181" s="216"/>
      <x:c r="J181" s="216"/>
      <x:c r="K181" s="216"/>
      <x:c r="L181" s="216"/>
      <x:c r="M181" s="216"/>
      <x:c r="N181" s="216"/>
      <x:c r="O181" s="216"/>
      <x:c r="P181" s="216"/>
      <x:c r="Q181" s="216"/>
      <x:c r="R181" s="216"/>
      <x:c r="S181" s="216"/>
      <x:c r="T181" s="216"/>
      <x:c r="U181" s="216"/>
      <x:c r="V181" s="216"/>
      <x:c r="W181" s="216"/>
      <x:c r="X181" s="216"/>
      <x:c r="Y181" s="216"/>
      <x:c r="Z181" s="216"/>
    </x:row>
    <x:row r="182">
      <x:c r="A182" s="216"/>
      <x:c r="B182" s="216"/>
      <x:c r="C182" s="216"/>
      <x:c r="D182" s="216"/>
      <x:c r="E182" s="216"/>
      <x:c r="F182" s="216"/>
      <x:c r="G182" s="216"/>
      <x:c r="H182" s="216"/>
      <x:c r="I182" s="216"/>
      <x:c r="J182" s="216"/>
      <x:c r="K182" s="216"/>
      <x:c r="L182" s="216"/>
      <x:c r="M182" s="216"/>
      <x:c r="N182" s="216"/>
      <x:c r="O182" s="216"/>
      <x:c r="P182" s="216"/>
      <x:c r="Q182" s="216"/>
      <x:c r="R182" s="216"/>
      <x:c r="S182" s="216"/>
      <x:c r="T182" s="216"/>
      <x:c r="U182" s="216"/>
      <x:c r="V182" s="216"/>
      <x:c r="W182" s="216"/>
      <x:c r="X182" s="216"/>
      <x:c r="Y182" s="216"/>
      <x:c r="Z182" s="216"/>
    </x:row>
    <x:row r="183">
      <x:c r="A183" s="216"/>
      <x:c r="B183" s="216"/>
      <x:c r="C183" s="216"/>
      <x:c r="D183" s="216"/>
      <x:c r="E183" s="216"/>
      <x:c r="F183" s="216"/>
      <x:c r="G183" s="216"/>
      <x:c r="H183" s="216"/>
      <x:c r="I183" s="216"/>
      <x:c r="J183" s="216"/>
      <x:c r="K183" s="216"/>
      <x:c r="L183" s="216"/>
      <x:c r="M183" s="216"/>
      <x:c r="N183" s="216"/>
      <x:c r="O183" s="216"/>
      <x:c r="P183" s="216"/>
      <x:c r="Q183" s="216"/>
      <x:c r="R183" s="216"/>
      <x:c r="S183" s="216"/>
      <x:c r="T183" s="216"/>
      <x:c r="U183" s="216"/>
      <x:c r="V183" s="216"/>
      <x:c r="W183" s="216"/>
      <x:c r="X183" s="216"/>
      <x:c r="Y183" s="216"/>
      <x:c r="Z183" s="216"/>
    </x:row>
    <x:row r="184">
      <x:c r="A184" s="216"/>
      <x:c r="B184" s="216"/>
      <x:c r="C184" s="216"/>
      <x:c r="D184" s="216"/>
      <x:c r="E184" s="216"/>
      <x:c r="F184" s="216"/>
      <x:c r="G184" s="216"/>
      <x:c r="H184" s="216"/>
      <x:c r="I184" s="216"/>
      <x:c r="J184" s="216"/>
      <x:c r="K184" s="216"/>
      <x:c r="L184" s="216"/>
      <x:c r="M184" s="216"/>
      <x:c r="N184" s="216"/>
      <x:c r="O184" s="216"/>
      <x:c r="P184" s="216"/>
      <x:c r="Q184" s="216"/>
      <x:c r="R184" s="216"/>
      <x:c r="S184" s="216"/>
      <x:c r="T184" s="216"/>
      <x:c r="U184" s="216"/>
      <x:c r="V184" s="216"/>
      <x:c r="W184" s="216"/>
      <x:c r="X184" s="216"/>
      <x:c r="Y184" s="216"/>
      <x:c r="Z184" s="216"/>
    </x:row>
    <x:row r="185">
      <x:c r="A185" s="216"/>
      <x:c r="B185" s="216"/>
      <x:c r="C185" s="216"/>
      <x:c r="D185" s="216"/>
      <x:c r="E185" s="216"/>
      <x:c r="F185" s="216"/>
      <x:c r="G185" s="216"/>
      <x:c r="H185" s="216"/>
      <x:c r="I185" s="216"/>
      <x:c r="J185" s="216"/>
      <x:c r="K185" s="216"/>
      <x:c r="L185" s="216"/>
      <x:c r="M185" s="216"/>
      <x:c r="N185" s="216"/>
      <x:c r="O185" s="216"/>
      <x:c r="P185" s="216"/>
      <x:c r="Q185" s="216"/>
      <x:c r="R185" s="216"/>
      <x:c r="S185" s="216"/>
      <x:c r="T185" s="216"/>
      <x:c r="U185" s="216"/>
      <x:c r="V185" s="216"/>
      <x:c r="W185" s="216"/>
      <x:c r="X185" s="216"/>
      <x:c r="Y185" s="216"/>
      <x:c r="Z185" s="216"/>
    </x:row>
    <x:row r="186">
      <x:c r="A186" s="216"/>
      <x:c r="B186" s="216"/>
      <x:c r="C186" s="216"/>
      <x:c r="D186" s="216"/>
      <x:c r="E186" s="216"/>
      <x:c r="F186" s="216"/>
      <x:c r="G186" s="216"/>
      <x:c r="H186" s="216"/>
      <x:c r="I186" s="216"/>
      <x:c r="J186" s="216"/>
      <x:c r="K186" s="216"/>
      <x:c r="L186" s="216"/>
      <x:c r="M186" s="216"/>
      <x:c r="N186" s="216"/>
      <x:c r="O186" s="216"/>
      <x:c r="P186" s="216"/>
      <x:c r="Q186" s="216"/>
      <x:c r="R186" s="216"/>
      <x:c r="S186" s="216"/>
      <x:c r="T186" s="216"/>
      <x:c r="U186" s="216"/>
      <x:c r="V186" s="216"/>
      <x:c r="W186" s="216"/>
      <x:c r="X186" s="216"/>
      <x:c r="Y186" s="216"/>
      <x:c r="Z186" s="216"/>
    </x:row>
    <x:row r="187">
      <x:c r="A187" s="216"/>
      <x:c r="B187" s="216"/>
      <x:c r="C187" s="216"/>
      <x:c r="D187" s="216"/>
      <x:c r="E187" s="216"/>
      <x:c r="F187" s="216"/>
      <x:c r="G187" s="216"/>
      <x:c r="H187" s="216"/>
      <x:c r="I187" s="216"/>
      <x:c r="J187" s="216"/>
      <x:c r="K187" s="216"/>
      <x:c r="L187" s="216"/>
      <x:c r="M187" s="216"/>
      <x:c r="N187" s="216"/>
      <x:c r="O187" s="216"/>
      <x:c r="P187" s="216"/>
      <x:c r="Q187" s="216"/>
      <x:c r="R187" s="216"/>
      <x:c r="S187" s="216"/>
      <x:c r="T187" s="216"/>
      <x:c r="U187" s="216"/>
      <x:c r="V187" s="216"/>
      <x:c r="W187" s="216"/>
      <x:c r="X187" s="216"/>
      <x:c r="Y187" s="216"/>
      <x:c r="Z187" s="216"/>
    </x:row>
    <x:row r="188">
      <x:c r="A188" s="216"/>
      <x:c r="B188" s="216"/>
      <x:c r="C188" s="216"/>
      <x:c r="D188" s="216"/>
      <x:c r="E188" s="216"/>
      <x:c r="F188" s="216"/>
      <x:c r="G188" s="216"/>
      <x:c r="H188" s="216"/>
      <x:c r="I188" s="216"/>
      <x:c r="J188" s="216"/>
      <x:c r="K188" s="216"/>
      <x:c r="L188" s="216"/>
      <x:c r="M188" s="216"/>
      <x:c r="N188" s="216"/>
      <x:c r="O188" s="216"/>
      <x:c r="P188" s="216"/>
      <x:c r="Q188" s="216"/>
      <x:c r="R188" s="216"/>
      <x:c r="S188" s="216"/>
      <x:c r="T188" s="216"/>
      <x:c r="U188" s="216"/>
      <x:c r="V188" s="216"/>
      <x:c r="W188" s="216"/>
      <x:c r="X188" s="216"/>
      <x:c r="Y188" s="216"/>
      <x:c r="Z188" s="216"/>
    </x:row>
    <x:row r="189">
      <x:c r="A189" s="216"/>
      <x:c r="B189" s="216"/>
      <x:c r="C189" s="216"/>
      <x:c r="D189" s="216"/>
      <x:c r="E189" s="216"/>
      <x:c r="F189" s="216"/>
      <x:c r="G189" s="216"/>
      <x:c r="H189" s="216"/>
      <x:c r="I189" s="216"/>
      <x:c r="J189" s="216"/>
      <x:c r="K189" s="216"/>
      <x:c r="L189" s="216"/>
      <x:c r="M189" s="216"/>
      <x:c r="N189" s="216"/>
      <x:c r="O189" s="216"/>
      <x:c r="P189" s="216"/>
      <x:c r="Q189" s="216"/>
      <x:c r="R189" s="216"/>
      <x:c r="S189" s="216"/>
      <x:c r="T189" s="216"/>
      <x:c r="U189" s="216"/>
      <x:c r="V189" s="216"/>
      <x:c r="W189" s="216"/>
      <x:c r="X189" s="216"/>
      <x:c r="Y189" s="216"/>
      <x:c r="Z189" s="216"/>
    </x:row>
    <x:row r="190">
      <x:c r="A190" s="216"/>
      <x:c r="B190" s="216"/>
      <x:c r="C190" s="216"/>
      <x:c r="D190" s="216"/>
      <x:c r="E190" s="216"/>
      <x:c r="F190" s="216"/>
      <x:c r="G190" s="216"/>
      <x:c r="H190" s="216"/>
      <x:c r="I190" s="216"/>
      <x:c r="J190" s="216"/>
      <x:c r="K190" s="216"/>
      <x:c r="L190" s="216"/>
      <x:c r="M190" s="216"/>
      <x:c r="N190" s="216"/>
      <x:c r="O190" s="216"/>
      <x:c r="P190" s="216"/>
      <x:c r="Q190" s="216"/>
      <x:c r="R190" s="216"/>
      <x:c r="S190" s="216"/>
      <x:c r="T190" s="216"/>
      <x:c r="U190" s="216"/>
      <x:c r="V190" s="216"/>
      <x:c r="W190" s="216"/>
      <x:c r="X190" s="216"/>
      <x:c r="Y190" s="216"/>
      <x:c r="Z190" s="216"/>
    </x:row>
    <x:row r="191">
      <x:c r="A191" s="216"/>
      <x:c r="B191" s="216"/>
      <x:c r="C191" s="216"/>
      <x:c r="D191" s="216"/>
      <x:c r="E191" s="216"/>
      <x:c r="F191" s="216"/>
      <x:c r="G191" s="216"/>
      <x:c r="H191" s="216"/>
      <x:c r="I191" s="216"/>
      <x:c r="J191" s="216"/>
      <x:c r="K191" s="216"/>
      <x:c r="L191" s="216"/>
      <x:c r="M191" s="216"/>
      <x:c r="N191" s="216"/>
      <x:c r="O191" s="216"/>
      <x:c r="P191" s="216"/>
      <x:c r="Q191" s="216"/>
      <x:c r="R191" s="216"/>
      <x:c r="S191" s="216"/>
      <x:c r="T191" s="216"/>
      <x:c r="U191" s="216"/>
      <x:c r="V191" s="216"/>
      <x:c r="W191" s="216"/>
      <x:c r="X191" s="216"/>
      <x:c r="Y191" s="216"/>
      <x:c r="Z191" s="216"/>
    </x:row>
    <x:row r="192">
      <x:c r="A192" s="216"/>
      <x:c r="B192" s="216"/>
      <x:c r="C192" s="216"/>
      <x:c r="D192" s="216"/>
      <x:c r="E192" s="216"/>
      <x:c r="F192" s="216"/>
      <x:c r="G192" s="216"/>
      <x:c r="H192" s="216"/>
      <x:c r="I192" s="216"/>
      <x:c r="J192" s="216"/>
      <x:c r="K192" s="216"/>
      <x:c r="L192" s="216"/>
      <x:c r="M192" s="216"/>
      <x:c r="N192" s="216"/>
      <x:c r="O192" s="216"/>
      <x:c r="P192" s="216"/>
      <x:c r="Q192" s="216"/>
      <x:c r="R192" s="216"/>
      <x:c r="S192" s="216"/>
      <x:c r="T192" s="216"/>
      <x:c r="U192" s="216"/>
      <x:c r="V192" s="216"/>
      <x:c r="W192" s="216"/>
      <x:c r="X192" s="216"/>
      <x:c r="Y192" s="216"/>
      <x:c r="Z192" s="216"/>
    </x:row>
    <x:row r="193">
      <x:c r="A193" s="216"/>
      <x:c r="B193" s="216"/>
      <x:c r="C193" s="216"/>
      <x:c r="D193" s="216"/>
      <x:c r="E193" s="216"/>
      <x:c r="F193" s="216"/>
      <x:c r="G193" s="216"/>
      <x:c r="H193" s="216"/>
      <x:c r="I193" s="216"/>
      <x:c r="J193" s="216"/>
      <x:c r="K193" s="216"/>
      <x:c r="L193" s="216"/>
      <x:c r="M193" s="216"/>
      <x:c r="N193" s="216"/>
      <x:c r="O193" s="216"/>
      <x:c r="P193" s="216"/>
      <x:c r="Q193" s="216"/>
      <x:c r="R193" s="216"/>
      <x:c r="S193" s="216"/>
      <x:c r="T193" s="216"/>
      <x:c r="U193" s="216"/>
      <x:c r="V193" s="216"/>
      <x:c r="W193" s="216"/>
      <x:c r="X193" s="216"/>
      <x:c r="Y193" s="216"/>
      <x:c r="Z193" s="216"/>
    </x:row>
    <x:row r="194">
      <x:c r="A194" s="216"/>
      <x:c r="B194" s="216"/>
      <x:c r="C194" s="216"/>
      <x:c r="D194" s="216"/>
      <x:c r="E194" s="216"/>
      <x:c r="F194" s="216"/>
      <x:c r="G194" s="216"/>
      <x:c r="H194" s="216"/>
      <x:c r="I194" s="216"/>
      <x:c r="J194" s="216"/>
      <x:c r="K194" s="216"/>
      <x:c r="L194" s="216"/>
      <x:c r="M194" s="216"/>
      <x:c r="N194" s="216"/>
      <x:c r="O194" s="216"/>
      <x:c r="P194" s="216"/>
      <x:c r="Q194" s="216"/>
      <x:c r="R194" s="216"/>
      <x:c r="S194" s="216"/>
      <x:c r="T194" s="216"/>
      <x:c r="U194" s="216"/>
      <x:c r="V194" s="216"/>
      <x:c r="W194" s="216"/>
      <x:c r="X194" s="216"/>
      <x:c r="Y194" s="216"/>
      <x:c r="Z194" s="216"/>
    </x:row>
    <x:row r="195">
      <x:c r="A195" s="216"/>
      <x:c r="B195" s="216"/>
      <x:c r="C195" s="216"/>
      <x:c r="D195" s="216"/>
      <x:c r="E195" s="216"/>
      <x:c r="F195" s="216"/>
      <x:c r="G195" s="216"/>
      <x:c r="H195" s="216"/>
      <x:c r="I195" s="216"/>
      <x:c r="J195" s="216"/>
      <x:c r="K195" s="216"/>
      <x:c r="L195" s="216"/>
      <x:c r="M195" s="216"/>
      <x:c r="N195" s="216"/>
      <x:c r="O195" s="216"/>
      <x:c r="P195" s="216"/>
      <x:c r="Q195" s="216"/>
      <x:c r="R195" s="216"/>
      <x:c r="S195" s="216"/>
      <x:c r="T195" s="216"/>
      <x:c r="U195" s="216"/>
      <x:c r="V195" s="216"/>
      <x:c r="W195" s="216"/>
      <x:c r="X195" s="216"/>
      <x:c r="Y195" s="216"/>
      <x:c r="Z195" s="216"/>
    </x:row>
    <x:row r="196">
      <x:c r="A196" s="216"/>
      <x:c r="B196" s="216"/>
      <x:c r="C196" s="216"/>
      <x:c r="D196" s="216"/>
      <x:c r="E196" s="216"/>
      <x:c r="F196" s="216"/>
      <x:c r="G196" s="216"/>
      <x:c r="H196" s="216"/>
      <x:c r="I196" s="216"/>
      <x:c r="J196" s="216"/>
      <x:c r="K196" s="216"/>
      <x:c r="L196" s="216"/>
      <x:c r="M196" s="216"/>
      <x:c r="N196" s="216"/>
      <x:c r="O196" s="216"/>
      <x:c r="P196" s="216"/>
      <x:c r="Q196" s="216"/>
      <x:c r="R196" s="216"/>
      <x:c r="S196" s="216"/>
      <x:c r="T196" s="216"/>
      <x:c r="U196" s="216"/>
      <x:c r="V196" s="216"/>
      <x:c r="W196" s="216"/>
      <x:c r="X196" s="216"/>
      <x:c r="Y196" s="216"/>
      <x:c r="Z196" s="216"/>
    </x:row>
    <x:row r="197">
      <x:c r="A197" s="216"/>
      <x:c r="B197" s="216"/>
      <x:c r="C197" s="216"/>
      <x:c r="D197" s="216"/>
      <x:c r="E197" s="216"/>
      <x:c r="F197" s="216"/>
      <x:c r="G197" s="216"/>
      <x:c r="H197" s="216"/>
      <x:c r="I197" s="216"/>
      <x:c r="J197" s="216"/>
      <x:c r="K197" s="216"/>
      <x:c r="L197" s="216"/>
      <x:c r="M197" s="216"/>
      <x:c r="N197" s="216"/>
      <x:c r="O197" s="216"/>
      <x:c r="P197" s="216"/>
      <x:c r="Q197" s="216"/>
      <x:c r="R197" s="216"/>
      <x:c r="S197" s="216"/>
      <x:c r="T197" s="216"/>
      <x:c r="U197" s="216"/>
      <x:c r="V197" s="216"/>
      <x:c r="W197" s="216"/>
      <x:c r="X197" s="216"/>
      <x:c r="Y197" s="216"/>
      <x:c r="Z197" s="216"/>
    </x:row>
    <x:row r="198">
      <x:c r="A198" s="216"/>
      <x:c r="B198" s="216"/>
      <x:c r="C198" s="216"/>
      <x:c r="D198" s="216"/>
      <x:c r="E198" s="216"/>
      <x:c r="F198" s="216"/>
      <x:c r="G198" s="216"/>
      <x:c r="H198" s="216"/>
      <x:c r="I198" s="216"/>
      <x:c r="J198" s="216"/>
      <x:c r="K198" s="216"/>
      <x:c r="L198" s="216"/>
      <x:c r="M198" s="216"/>
      <x:c r="N198" s="216"/>
      <x:c r="O198" s="216"/>
      <x:c r="P198" s="216"/>
      <x:c r="Q198" s="216"/>
      <x:c r="R198" s="216"/>
      <x:c r="S198" s="216"/>
      <x:c r="T198" s="216"/>
      <x:c r="U198" s="216"/>
      <x:c r="V198" s="216"/>
      <x:c r="W198" s="216"/>
      <x:c r="X198" s="216"/>
      <x:c r="Y198" s="216"/>
      <x:c r="Z198" s="216"/>
    </x:row>
    <x:row r="199">
      <x:c r="A199" s="216"/>
      <x:c r="B199" s="216"/>
      <x:c r="C199" s="216"/>
      <x:c r="D199" s="216"/>
      <x:c r="E199" s="216"/>
      <x:c r="F199" s="216"/>
      <x:c r="G199" s="216"/>
      <x:c r="H199" s="216"/>
      <x:c r="I199" s="216"/>
      <x:c r="J199" s="216"/>
      <x:c r="K199" s="216"/>
      <x:c r="L199" s="216"/>
      <x:c r="M199" s="216"/>
      <x:c r="N199" s="216"/>
      <x:c r="O199" s="216"/>
      <x:c r="P199" s="216"/>
      <x:c r="Q199" s="216"/>
      <x:c r="R199" s="216"/>
      <x:c r="S199" s="216"/>
      <x:c r="T199" s="216"/>
      <x:c r="U199" s="216"/>
      <x:c r="V199" s="216"/>
      <x:c r="W199" s="216"/>
      <x:c r="X199" s="216"/>
      <x:c r="Y199" s="216"/>
      <x:c r="Z199" s="216"/>
    </x:row>
    <x:row r="200">
      <x:c r="A200" s="216"/>
      <x:c r="B200" s="216"/>
      <x:c r="C200" s="216"/>
      <x:c r="D200" s="216"/>
      <x:c r="E200" s="216"/>
      <x:c r="F200" s="216"/>
      <x:c r="G200" s="216"/>
      <x:c r="H200" s="216"/>
      <x:c r="I200" s="216"/>
      <x:c r="J200" s="216"/>
      <x:c r="K200" s="216"/>
      <x:c r="L200" s="216"/>
      <x:c r="M200" s="216"/>
      <x:c r="N200" s="216"/>
      <x:c r="O200" s="216"/>
      <x:c r="P200" s="216"/>
      <x:c r="Q200" s="216"/>
      <x:c r="R200" s="216"/>
      <x:c r="S200" s="216"/>
      <x:c r="T200" s="216"/>
      <x:c r="U200" s="216"/>
      <x:c r="V200" s="216"/>
      <x:c r="W200" s="216"/>
      <x:c r="X200" s="216"/>
      <x:c r="Y200" s="216"/>
      <x:c r="Z200" s="216"/>
    </x:row>
    <x:row r="201">
      <x:c r="A201" s="216"/>
      <x:c r="B201" s="216"/>
      <x:c r="C201" s="216"/>
      <x:c r="D201" s="216"/>
      <x:c r="E201" s="216"/>
      <x:c r="F201" s="216"/>
      <x:c r="G201" s="216"/>
      <x:c r="H201" s="216"/>
      <x:c r="I201" s="216"/>
      <x:c r="J201" s="216"/>
      <x:c r="K201" s="216"/>
      <x:c r="L201" s="216"/>
      <x:c r="M201" s="216"/>
      <x:c r="N201" s="216"/>
      <x:c r="O201" s="216"/>
      <x:c r="P201" s="216"/>
      <x:c r="Q201" s="216"/>
      <x:c r="R201" s="216"/>
      <x:c r="S201" s="216"/>
      <x:c r="T201" s="216"/>
      <x:c r="U201" s="216"/>
      <x:c r="V201" s="216"/>
      <x:c r="W201" s="216"/>
      <x:c r="X201" s="216"/>
      <x:c r="Y201" s="216"/>
      <x:c r="Z201" s="216"/>
    </x:row>
    <x:row r="202">
      <x:c r="A202" s="216"/>
      <x:c r="B202" s="216"/>
      <x:c r="C202" s="216"/>
      <x:c r="D202" s="216"/>
      <x:c r="E202" s="216"/>
      <x:c r="F202" s="216"/>
      <x:c r="G202" s="216"/>
      <x:c r="H202" s="216"/>
      <x:c r="I202" s="216"/>
      <x:c r="J202" s="216"/>
      <x:c r="K202" s="216"/>
      <x:c r="L202" s="216"/>
      <x:c r="M202" s="216"/>
      <x:c r="N202" s="216"/>
      <x:c r="O202" s="216"/>
      <x:c r="P202" s="216"/>
      <x:c r="Q202" s="216"/>
      <x:c r="R202" s="216"/>
      <x:c r="S202" s="216"/>
      <x:c r="T202" s="216"/>
      <x:c r="U202" s="216"/>
      <x:c r="V202" s="216"/>
      <x:c r="W202" s="216"/>
      <x:c r="X202" s="216"/>
      <x:c r="Y202" s="216"/>
      <x:c r="Z202" s="216"/>
    </x:row>
    <x:row r="203">
      <x:c r="A203" s="216"/>
      <x:c r="B203" s="216"/>
      <x:c r="C203" s="216"/>
      <x:c r="D203" s="216"/>
      <x:c r="E203" s="216"/>
      <x:c r="F203" s="216"/>
      <x:c r="G203" s="216"/>
      <x:c r="H203" s="216"/>
      <x:c r="I203" s="216"/>
      <x:c r="J203" s="216"/>
      <x:c r="K203" s="216"/>
      <x:c r="L203" s="216"/>
      <x:c r="M203" s="216"/>
      <x:c r="N203" s="216"/>
      <x:c r="O203" s="216"/>
      <x:c r="P203" s="216"/>
      <x:c r="Q203" s="216"/>
      <x:c r="R203" s="216"/>
      <x:c r="S203" s="216"/>
      <x:c r="T203" s="216"/>
      <x:c r="U203" s="216"/>
      <x:c r="V203" s="216"/>
      <x:c r="W203" s="216"/>
      <x:c r="X203" s="216"/>
      <x:c r="Y203" s="216"/>
      <x:c r="Z203" s="216"/>
    </x:row>
    <x:row r="204">
      <x:c r="A204" s="216"/>
      <x:c r="B204" s="216"/>
      <x:c r="C204" s="216"/>
      <x:c r="D204" s="216"/>
      <x:c r="E204" s="216"/>
      <x:c r="F204" s="216"/>
      <x:c r="G204" s="216"/>
      <x:c r="H204" s="216"/>
      <x:c r="I204" s="216"/>
      <x:c r="J204" s="216"/>
      <x:c r="K204" s="216"/>
      <x:c r="L204" s="216"/>
      <x:c r="M204" s="216"/>
      <x:c r="N204" s="216"/>
      <x:c r="O204" s="216"/>
      <x:c r="P204" s="216"/>
      <x:c r="Q204" s="216"/>
      <x:c r="R204" s="216"/>
      <x:c r="S204" s="216"/>
      <x:c r="T204" s="216"/>
      <x:c r="U204" s="216"/>
      <x:c r="V204" s="216"/>
      <x:c r="W204" s="216"/>
      <x:c r="X204" s="216"/>
      <x:c r="Y204" s="216"/>
      <x:c r="Z204" s="216"/>
    </x:row>
    <x:row r="205">
      <x:c r="A205" s="216"/>
      <x:c r="B205" s="216"/>
      <x:c r="C205" s="216"/>
      <x:c r="D205" s="216"/>
      <x:c r="E205" s="216"/>
      <x:c r="F205" s="216"/>
      <x:c r="G205" s="216"/>
      <x:c r="H205" s="216"/>
      <x:c r="I205" s="216"/>
      <x:c r="J205" s="216"/>
      <x:c r="K205" s="216"/>
      <x:c r="L205" s="216"/>
      <x:c r="M205" s="216"/>
      <x:c r="N205" s="216"/>
      <x:c r="O205" s="216"/>
      <x:c r="P205" s="216"/>
      <x:c r="Q205" s="216"/>
      <x:c r="R205" s="216"/>
      <x:c r="S205" s="216"/>
      <x:c r="T205" s="216"/>
      <x:c r="U205" s="216"/>
      <x:c r="V205" s="216"/>
      <x:c r="W205" s="216"/>
      <x:c r="X205" s="216"/>
      <x:c r="Y205" s="216"/>
      <x:c r="Z205" s="216"/>
    </x:row>
    <x:row r="206">
      <x:c r="A206" s="216"/>
      <x:c r="B206" s="216"/>
      <x:c r="C206" s="216"/>
      <x:c r="D206" s="216"/>
      <x:c r="E206" s="216"/>
      <x:c r="F206" s="216"/>
      <x:c r="G206" s="216"/>
      <x:c r="H206" s="216"/>
      <x:c r="I206" s="216"/>
      <x:c r="J206" s="216"/>
      <x:c r="K206" s="216"/>
      <x:c r="L206" s="216"/>
      <x:c r="M206" s="216"/>
      <x:c r="N206" s="216"/>
      <x:c r="O206" s="216"/>
      <x:c r="P206" s="216"/>
      <x:c r="Q206" s="216"/>
      <x:c r="R206" s="216"/>
      <x:c r="S206" s="216"/>
      <x:c r="T206" s="216"/>
      <x:c r="U206" s="216"/>
      <x:c r="V206" s="216"/>
      <x:c r="W206" s="216"/>
      <x:c r="X206" s="216"/>
      <x:c r="Y206" s="216"/>
      <x:c r="Z206" s="216"/>
    </x:row>
    <x:row r="207">
      <x:c r="A207" s="216"/>
      <x:c r="B207" s="216"/>
      <x:c r="C207" s="216"/>
      <x:c r="D207" s="216"/>
      <x:c r="E207" s="216"/>
      <x:c r="F207" s="216"/>
      <x:c r="G207" s="216"/>
      <x:c r="H207" s="216"/>
      <x:c r="I207" s="216"/>
      <x:c r="J207" s="216"/>
      <x:c r="K207" s="216"/>
      <x:c r="L207" s="216"/>
      <x:c r="M207" s="216"/>
      <x:c r="N207" s="216"/>
      <x:c r="O207" s="216"/>
      <x:c r="P207" s="216"/>
      <x:c r="Q207" s="216"/>
      <x:c r="R207" s="216"/>
      <x:c r="S207" s="216"/>
      <x:c r="T207" s="216"/>
      <x:c r="U207" s="216"/>
      <x:c r="V207" s="216"/>
      <x:c r="W207" s="216"/>
      <x:c r="X207" s="216"/>
      <x:c r="Y207" s="216"/>
      <x:c r="Z207" s="216"/>
    </x:row>
    <x:row r="208">
      <x:c r="A208" s="216"/>
      <x:c r="B208" s="216"/>
      <x:c r="C208" s="216"/>
      <x:c r="D208" s="216"/>
      <x:c r="E208" s="216"/>
      <x:c r="F208" s="216"/>
      <x:c r="G208" s="216"/>
      <x:c r="H208" s="216"/>
      <x:c r="I208" s="216"/>
      <x:c r="J208" s="216"/>
      <x:c r="K208" s="216"/>
      <x:c r="L208" s="216"/>
      <x:c r="M208" s="216"/>
      <x:c r="N208" s="216"/>
      <x:c r="O208" s="216"/>
      <x:c r="P208" s="216"/>
      <x:c r="Q208" s="216"/>
      <x:c r="R208" s="216"/>
      <x:c r="S208" s="216"/>
      <x:c r="T208" s="216"/>
      <x:c r="U208" s="216"/>
      <x:c r="V208" s="216"/>
      <x:c r="W208" s="216"/>
      <x:c r="X208" s="216"/>
      <x:c r="Y208" s="216"/>
      <x:c r="Z208" s="216"/>
    </x:row>
    <x:row r="209">
      <x:c r="A209" s="216"/>
      <x:c r="B209" s="216"/>
      <x:c r="C209" s="216"/>
      <x:c r="D209" s="216"/>
      <x:c r="E209" s="216"/>
      <x:c r="F209" s="216"/>
      <x:c r="G209" s="216"/>
      <x:c r="H209" s="216"/>
      <x:c r="I209" s="216"/>
      <x:c r="J209" s="216"/>
      <x:c r="K209" s="216"/>
      <x:c r="L209" s="216"/>
      <x:c r="M209" s="216"/>
      <x:c r="N209" s="216"/>
      <x:c r="O209" s="216"/>
      <x:c r="P209" s="216"/>
      <x:c r="Q209" s="216"/>
      <x:c r="R209" s="216"/>
      <x:c r="S209" s="216"/>
      <x:c r="T209" s="216"/>
      <x:c r="U209" s="216"/>
      <x:c r="V209" s="216"/>
      <x:c r="W209" s="216"/>
      <x:c r="X209" s="216"/>
      <x:c r="Y209" s="216"/>
      <x:c r="Z209" s="216"/>
    </x:row>
    <x:row r="210">
      <x:c r="A210" s="216"/>
      <x:c r="B210" s="216"/>
      <x:c r="C210" s="216"/>
      <x:c r="D210" s="216"/>
      <x:c r="E210" s="216"/>
      <x:c r="F210" s="216"/>
      <x:c r="G210" s="216"/>
      <x:c r="H210" s="216"/>
      <x:c r="I210" s="216"/>
      <x:c r="J210" s="216"/>
      <x:c r="K210" s="216"/>
      <x:c r="L210" s="216"/>
      <x:c r="M210" s="216"/>
      <x:c r="N210" s="216"/>
      <x:c r="O210" s="216"/>
      <x:c r="P210" s="216"/>
      <x:c r="Q210" s="216"/>
      <x:c r="R210" s="216"/>
      <x:c r="S210" s="216"/>
      <x:c r="T210" s="216"/>
      <x:c r="U210" s="216"/>
      <x:c r="V210" s="216"/>
      <x:c r="W210" s="216"/>
      <x:c r="X210" s="216"/>
      <x:c r="Y210" s="216"/>
      <x:c r="Z210" s="216"/>
    </x:row>
    <x:row r="211">
      <x:c r="A211" s="216"/>
      <x:c r="B211" s="216"/>
      <x:c r="C211" s="216"/>
      <x:c r="D211" s="216"/>
      <x:c r="E211" s="216"/>
      <x:c r="F211" s="216"/>
      <x:c r="G211" s="216"/>
      <x:c r="H211" s="216"/>
      <x:c r="I211" s="216"/>
      <x:c r="J211" s="216"/>
      <x:c r="K211" s="216"/>
      <x:c r="L211" s="216"/>
      <x:c r="M211" s="216"/>
      <x:c r="N211" s="216"/>
      <x:c r="O211" s="216"/>
      <x:c r="P211" s="216"/>
      <x:c r="Q211" s="216"/>
      <x:c r="R211" s="216"/>
      <x:c r="S211" s="216"/>
      <x:c r="T211" s="216"/>
      <x:c r="U211" s="216"/>
      <x:c r="V211" s="216"/>
      <x:c r="W211" s="216"/>
      <x:c r="X211" s="216"/>
      <x:c r="Y211" s="216"/>
      <x:c r="Z211" s="216"/>
    </x:row>
    <x:row r="212">
      <x:c r="A212" s="216"/>
      <x:c r="B212" s="216"/>
      <x:c r="C212" s="216"/>
      <x:c r="D212" s="216"/>
      <x:c r="E212" s="216"/>
      <x:c r="F212" s="216"/>
      <x:c r="G212" s="216"/>
      <x:c r="H212" s="216"/>
      <x:c r="I212" s="216"/>
      <x:c r="J212" s="216"/>
      <x:c r="K212" s="216"/>
      <x:c r="L212" s="216"/>
      <x:c r="M212" s="216"/>
      <x:c r="N212" s="216"/>
      <x:c r="O212" s="216"/>
      <x:c r="P212" s="216"/>
      <x:c r="Q212" s="216"/>
      <x:c r="R212" s="216"/>
      <x:c r="S212" s="216"/>
      <x:c r="T212" s="216"/>
      <x:c r="U212" s="216"/>
      <x:c r="V212" s="216"/>
      <x:c r="W212" s="216"/>
      <x:c r="X212" s="216"/>
      <x:c r="Y212" s="216"/>
      <x:c r="Z212" s="216"/>
    </x:row>
    <x:row r="213">
      <x:c r="A213" s="216"/>
      <x:c r="B213" s="216"/>
      <x:c r="C213" s="216"/>
      <x:c r="D213" s="216"/>
      <x:c r="E213" s="216"/>
      <x:c r="F213" s="216"/>
      <x:c r="G213" s="216"/>
      <x:c r="H213" s="216"/>
      <x:c r="I213" s="216"/>
      <x:c r="J213" s="216"/>
      <x:c r="K213" s="216"/>
      <x:c r="L213" s="216"/>
      <x:c r="M213" s="216"/>
      <x:c r="N213" s="216"/>
      <x:c r="O213" s="216"/>
      <x:c r="P213" s="216"/>
      <x:c r="Q213" s="216"/>
      <x:c r="R213" s="216"/>
      <x:c r="S213" s="216"/>
      <x:c r="T213" s="216"/>
      <x:c r="U213" s="216"/>
      <x:c r="V213" s="216"/>
      <x:c r="W213" s="216"/>
      <x:c r="X213" s="216"/>
      <x:c r="Y213" s="216"/>
      <x:c r="Z213" s="216"/>
    </x:row>
    <x:row r="214">
      <x:c r="A214" s="216"/>
      <x:c r="B214" s="216"/>
      <x:c r="C214" s="216"/>
      <x:c r="D214" s="216"/>
      <x:c r="E214" s="216"/>
      <x:c r="F214" s="216"/>
      <x:c r="G214" s="216"/>
      <x:c r="H214" s="216"/>
      <x:c r="I214" s="216"/>
      <x:c r="J214" s="216"/>
      <x:c r="K214" s="216"/>
      <x:c r="L214" s="216"/>
      <x:c r="M214" s="216"/>
      <x:c r="N214" s="216"/>
      <x:c r="O214" s="216"/>
      <x:c r="P214" s="216"/>
      <x:c r="Q214" s="216"/>
      <x:c r="R214" s="216"/>
      <x:c r="S214" s="216"/>
      <x:c r="T214" s="216"/>
      <x:c r="U214" s="216"/>
      <x:c r="V214" s="216"/>
      <x:c r="W214" s="216"/>
      <x:c r="X214" s="216"/>
      <x:c r="Y214" s="216"/>
      <x:c r="Z214" s="216"/>
    </x:row>
    <x:row r="215">
      <x:c r="A215" s="216"/>
      <x:c r="B215" s="216"/>
      <x:c r="C215" s="216"/>
      <x:c r="D215" s="216"/>
      <x:c r="E215" s="216"/>
      <x:c r="F215" s="216"/>
      <x:c r="G215" s="216"/>
      <x:c r="H215" s="216"/>
      <x:c r="I215" s="216"/>
      <x:c r="J215" s="216"/>
      <x:c r="K215" s="216"/>
      <x:c r="L215" s="216"/>
      <x:c r="M215" s="216"/>
      <x:c r="N215" s="216"/>
      <x:c r="O215" s="216"/>
      <x:c r="P215" s="216"/>
      <x:c r="Q215" s="216"/>
      <x:c r="R215" s="216"/>
      <x:c r="S215" s="216"/>
      <x:c r="T215" s="216"/>
      <x:c r="U215" s="216"/>
      <x:c r="V215" s="216"/>
      <x:c r="W215" s="216"/>
      <x:c r="X215" s="216"/>
      <x:c r="Y215" s="216"/>
      <x:c r="Z215" s="216"/>
    </x:row>
    <x:row r="216">
      <x:c r="A216" s="216"/>
      <x:c r="B216" s="216"/>
      <x:c r="C216" s="216"/>
      <x:c r="D216" s="216"/>
      <x:c r="E216" s="216"/>
      <x:c r="F216" s="216"/>
      <x:c r="G216" s="216"/>
      <x:c r="H216" s="216"/>
      <x:c r="I216" s="216"/>
      <x:c r="J216" s="216"/>
      <x:c r="K216" s="216"/>
      <x:c r="L216" s="216"/>
      <x:c r="M216" s="216"/>
      <x:c r="N216" s="216"/>
      <x:c r="O216" s="216"/>
      <x:c r="P216" s="216"/>
      <x:c r="Q216" s="216"/>
      <x:c r="R216" s="216"/>
      <x:c r="S216" s="216"/>
      <x:c r="T216" s="216"/>
      <x:c r="U216" s="216"/>
      <x:c r="V216" s="216"/>
      <x:c r="W216" s="216"/>
      <x:c r="X216" s="216"/>
      <x:c r="Y216" s="216"/>
      <x:c r="Z216" s="216"/>
    </x:row>
    <x:row r="217">
      <x:c r="A217" s="216"/>
      <x:c r="B217" s="216"/>
      <x:c r="C217" s="216"/>
      <x:c r="D217" s="216"/>
      <x:c r="E217" s="216"/>
      <x:c r="F217" s="216"/>
      <x:c r="G217" s="216"/>
      <x:c r="H217" s="216"/>
      <x:c r="I217" s="216"/>
      <x:c r="J217" s="216"/>
      <x:c r="K217" s="216"/>
      <x:c r="L217" s="216"/>
      <x:c r="M217" s="216"/>
      <x:c r="N217" s="216"/>
      <x:c r="O217" s="216"/>
      <x:c r="P217" s="216"/>
      <x:c r="Q217" s="216"/>
      <x:c r="R217" s="216"/>
      <x:c r="S217" s="216"/>
      <x:c r="T217" s="216"/>
      <x:c r="U217" s="216"/>
      <x:c r="V217" s="216"/>
      <x:c r="W217" s="216"/>
      <x:c r="X217" s="216"/>
      <x:c r="Y217" s="216"/>
      <x:c r="Z217" s="216"/>
    </x:row>
    <x:row r="218">
      <x:c r="A218" s="216"/>
      <x:c r="B218" s="216"/>
      <x:c r="C218" s="216"/>
      <x:c r="D218" s="216"/>
      <x:c r="E218" s="216"/>
      <x:c r="F218" s="216"/>
      <x:c r="G218" s="216"/>
      <x:c r="H218" s="216"/>
      <x:c r="I218" s="216"/>
      <x:c r="J218" s="216"/>
      <x:c r="K218" s="216"/>
      <x:c r="L218" s="216"/>
      <x:c r="M218" s="216"/>
      <x:c r="N218" s="216"/>
      <x:c r="O218" s="216"/>
      <x:c r="P218" s="216"/>
      <x:c r="Q218" s="216"/>
      <x:c r="R218" s="216"/>
      <x:c r="S218" s="216"/>
      <x:c r="T218" s="216"/>
      <x:c r="U218" s="216"/>
      <x:c r="V218" s="216"/>
      <x:c r="W218" s="216"/>
      <x:c r="X218" s="216"/>
      <x:c r="Y218" s="216"/>
      <x:c r="Z218" s="216"/>
    </x:row>
    <x:row r="219">
      <x:c r="A219" s="216"/>
      <x:c r="B219" s="216"/>
      <x:c r="C219" s="216"/>
      <x:c r="D219" s="216"/>
      <x:c r="E219" s="216"/>
      <x:c r="F219" s="216"/>
      <x:c r="G219" s="216"/>
      <x:c r="H219" s="216"/>
      <x:c r="I219" s="216"/>
      <x:c r="J219" s="216"/>
      <x:c r="K219" s="216"/>
      <x:c r="L219" s="216"/>
      <x:c r="M219" s="216"/>
      <x:c r="N219" s="216"/>
      <x:c r="O219" s="216"/>
      <x:c r="P219" s="216"/>
      <x:c r="Q219" s="216"/>
      <x:c r="R219" s="216"/>
      <x:c r="S219" s="216"/>
      <x:c r="T219" s="216"/>
      <x:c r="U219" s="216"/>
      <x:c r="V219" s="216"/>
      <x:c r="W219" s="216"/>
      <x:c r="X219" s="216"/>
      <x:c r="Y219" s="216"/>
      <x:c r="Z219" s="216"/>
    </x:row>
    <x:row r="220">
      <x:c r="A220" s="216"/>
      <x:c r="B220" s="216"/>
      <x:c r="C220" s="216"/>
      <x:c r="D220" s="216"/>
      <x:c r="E220" s="216"/>
      <x:c r="F220" s="216"/>
      <x:c r="G220" s="216"/>
      <x:c r="H220" s="216"/>
      <x:c r="I220" s="216"/>
      <x:c r="J220" s="216"/>
      <x:c r="K220" s="216"/>
      <x:c r="L220" s="216"/>
      <x:c r="M220" s="216"/>
      <x:c r="N220" s="216"/>
      <x:c r="O220" s="216"/>
      <x:c r="P220" s="216"/>
      <x:c r="Q220" s="216"/>
      <x:c r="R220" s="216"/>
      <x:c r="S220" s="216"/>
      <x:c r="T220" s="216"/>
      <x:c r="U220" s="216"/>
      <x:c r="V220" s="216"/>
      <x:c r="W220" s="216"/>
      <x:c r="X220" s="216"/>
      <x:c r="Y220" s="216"/>
      <x:c r="Z220" s="216"/>
    </x:row>
    <x:row r="221">
      <x:c r="A221" s="216"/>
      <x:c r="B221" s="216"/>
      <x:c r="C221" s="216"/>
      <x:c r="D221" s="216"/>
      <x:c r="E221" s="216"/>
      <x:c r="F221" s="216"/>
      <x:c r="G221" s="216"/>
      <x:c r="H221" s="216"/>
      <x:c r="I221" s="216"/>
      <x:c r="J221" s="216"/>
      <x:c r="K221" s="216"/>
      <x:c r="L221" s="216"/>
      <x:c r="M221" s="216"/>
      <x:c r="N221" s="216"/>
      <x:c r="O221" s="216"/>
      <x:c r="P221" s="216"/>
      <x:c r="Q221" s="216"/>
      <x:c r="R221" s="216"/>
      <x:c r="S221" s="216"/>
      <x:c r="T221" s="216"/>
      <x:c r="U221" s="216"/>
      <x:c r="V221" s="216"/>
      <x:c r="W221" s="216"/>
      <x:c r="X221" s="216"/>
      <x:c r="Y221" s="216"/>
      <x:c r="Z221" s="216"/>
    </x:row>
    <x:row r="222">
      <x:c r="A222" s="216"/>
      <x:c r="B222" s="216"/>
      <x:c r="C222" s="216"/>
      <x:c r="D222" s="216"/>
      <x:c r="E222" s="216"/>
      <x:c r="F222" s="216"/>
      <x:c r="G222" s="216"/>
      <x:c r="H222" s="216"/>
      <x:c r="I222" s="216"/>
      <x:c r="J222" s="216"/>
      <x:c r="K222" s="216"/>
      <x:c r="L222" s="216"/>
      <x:c r="M222" s="216"/>
      <x:c r="N222" s="216"/>
      <x:c r="O222" s="216"/>
      <x:c r="P222" s="216"/>
      <x:c r="Q222" s="216"/>
      <x:c r="R222" s="216"/>
      <x:c r="S222" s="216"/>
      <x:c r="T222" s="216"/>
      <x:c r="U222" s="216"/>
      <x:c r="V222" s="216"/>
      <x:c r="W222" s="216"/>
      <x:c r="X222" s="216"/>
      <x:c r="Y222" s="216"/>
      <x:c r="Z222" s="216"/>
    </x:row>
    <x:row r="223">
      <x:c r="A223" s="216"/>
      <x:c r="B223" s="216"/>
      <x:c r="C223" s="216"/>
      <x:c r="D223" s="216"/>
      <x:c r="E223" s="216"/>
      <x:c r="F223" s="216"/>
      <x:c r="G223" s="216"/>
      <x:c r="H223" s="216"/>
      <x:c r="I223" s="216"/>
      <x:c r="J223" s="216"/>
      <x:c r="K223" s="216"/>
      <x:c r="L223" s="216"/>
      <x:c r="M223" s="216"/>
      <x:c r="N223" s="216"/>
      <x:c r="O223" s="216"/>
      <x:c r="P223" s="216"/>
      <x:c r="Q223" s="216"/>
      <x:c r="R223" s="216"/>
      <x:c r="S223" s="216"/>
      <x:c r="T223" s="216"/>
      <x:c r="U223" s="216"/>
      <x:c r="V223" s="216"/>
      <x:c r="W223" s="216"/>
      <x:c r="X223" s="216"/>
      <x:c r="Y223" s="216"/>
      <x:c r="Z223" s="216"/>
    </x:row>
    <x:row r="224">
      <x:c r="A224" s="216"/>
      <x:c r="B224" s="216"/>
      <x:c r="C224" s="216"/>
      <x:c r="D224" s="216"/>
      <x:c r="E224" s="216"/>
      <x:c r="F224" s="216"/>
      <x:c r="G224" s="216"/>
      <x:c r="H224" s="216"/>
      <x:c r="I224" s="216"/>
      <x:c r="J224" s="216"/>
      <x:c r="K224" s="216"/>
      <x:c r="L224" s="216"/>
      <x:c r="M224" s="216"/>
      <x:c r="N224" s="216"/>
      <x:c r="O224" s="216"/>
      <x:c r="P224" s="216"/>
      <x:c r="Q224" s="216"/>
      <x:c r="R224" s="216"/>
      <x:c r="S224" s="216"/>
      <x:c r="T224" s="216"/>
      <x:c r="U224" s="216"/>
      <x:c r="V224" s="216"/>
      <x:c r="W224" s="216"/>
      <x:c r="X224" s="216"/>
      <x:c r="Y224" s="216"/>
      <x:c r="Z224" s="216"/>
    </x:row>
    <x:row r="225">
      <x:c r="A225" s="216"/>
      <x:c r="B225" s="216"/>
      <x:c r="C225" s="216"/>
      <x:c r="D225" s="216"/>
      <x:c r="E225" s="216"/>
      <x:c r="F225" s="216"/>
      <x:c r="G225" s="216"/>
      <x:c r="H225" s="216"/>
      <x:c r="I225" s="216"/>
      <x:c r="J225" s="216"/>
      <x:c r="K225" s="216"/>
      <x:c r="L225" s="216"/>
      <x:c r="M225" s="216"/>
      <x:c r="N225" s="216"/>
      <x:c r="O225" s="216"/>
      <x:c r="P225" s="216"/>
      <x:c r="Q225" s="216"/>
      <x:c r="R225" s="216"/>
      <x:c r="S225" s="216"/>
      <x:c r="T225" s="216"/>
      <x:c r="U225" s="216"/>
      <x:c r="V225" s="216"/>
      <x:c r="W225" s="216"/>
      <x:c r="X225" s="216"/>
      <x:c r="Y225" s="216"/>
      <x:c r="Z225" s="216"/>
    </x:row>
    <x:row r="226">
      <x:c r="A226" s="216"/>
      <x:c r="B226" s="216"/>
      <x:c r="C226" s="216"/>
      <x:c r="D226" s="216"/>
      <x:c r="E226" s="216"/>
      <x:c r="F226" s="216"/>
      <x:c r="G226" s="216"/>
      <x:c r="H226" s="216"/>
      <x:c r="I226" s="216"/>
      <x:c r="J226" s="216"/>
      <x:c r="K226" s="216"/>
      <x:c r="L226" s="216"/>
      <x:c r="M226" s="216"/>
      <x:c r="N226" s="216"/>
      <x:c r="O226" s="216"/>
      <x:c r="P226" s="216"/>
      <x:c r="Q226" s="216"/>
      <x:c r="R226" s="216"/>
      <x:c r="S226" s="216"/>
      <x:c r="T226" s="216"/>
      <x:c r="U226" s="216"/>
      <x:c r="V226" s="216"/>
      <x:c r="W226" s="216"/>
      <x:c r="X226" s="216"/>
      <x:c r="Y226" s="216"/>
      <x:c r="Z226" s="216"/>
    </x:row>
    <x:row r="227">
      <x:c r="A227" s="216"/>
      <x:c r="B227" s="216"/>
      <x:c r="C227" s="216"/>
      <x:c r="D227" s="216"/>
      <x:c r="E227" s="216"/>
      <x:c r="F227" s="216"/>
      <x:c r="G227" s="216"/>
      <x:c r="H227" s="216"/>
      <x:c r="I227" s="216"/>
      <x:c r="J227" s="216"/>
      <x:c r="K227" s="216"/>
      <x:c r="L227" s="216"/>
      <x:c r="M227" s="216"/>
      <x:c r="N227" s="216"/>
      <x:c r="O227" s="216"/>
      <x:c r="P227" s="216"/>
      <x:c r="Q227" s="216"/>
      <x:c r="R227" s="216"/>
      <x:c r="S227" s="216"/>
      <x:c r="T227" s="216"/>
      <x:c r="U227" s="216"/>
      <x:c r="V227" s="216"/>
      <x:c r="W227" s="216"/>
      <x:c r="X227" s="216"/>
      <x:c r="Y227" s="216"/>
      <x:c r="Z227" s="216"/>
    </x:row>
    <x:row r="228">
      <x:c r="A228" s="216"/>
      <x:c r="B228" s="216"/>
      <x:c r="C228" s="216"/>
      <x:c r="D228" s="216"/>
      <x:c r="E228" s="216"/>
      <x:c r="F228" s="216"/>
      <x:c r="G228" s="216"/>
      <x:c r="H228" s="216"/>
      <x:c r="I228" s="216"/>
      <x:c r="J228" s="216"/>
      <x:c r="K228" s="216"/>
      <x:c r="L228" s="216"/>
      <x:c r="M228" s="216"/>
      <x:c r="N228" s="216"/>
      <x:c r="O228" s="216"/>
      <x:c r="P228" s="216"/>
      <x:c r="Q228" s="216"/>
      <x:c r="R228" s="216"/>
      <x:c r="S228" s="216"/>
      <x:c r="T228" s="216"/>
      <x:c r="U228" s="216"/>
      <x:c r="V228" s="216"/>
      <x:c r="W228" s="216"/>
      <x:c r="X228" s="216"/>
      <x:c r="Y228" s="216"/>
      <x:c r="Z228" s="216"/>
    </x:row>
    <x:row r="229">
      <x:c r="A229" s="216"/>
      <x:c r="B229" s="216"/>
      <x:c r="C229" s="216"/>
      <x:c r="D229" s="216"/>
      <x:c r="E229" s="216"/>
      <x:c r="F229" s="216"/>
      <x:c r="G229" s="216"/>
      <x:c r="H229" s="216"/>
      <x:c r="I229" s="216"/>
      <x:c r="J229" s="216"/>
      <x:c r="K229" s="216"/>
      <x:c r="L229" s="216"/>
      <x:c r="M229" s="216"/>
      <x:c r="N229" s="216"/>
      <x:c r="O229" s="216"/>
      <x:c r="P229" s="216"/>
      <x:c r="Q229" s="216"/>
      <x:c r="R229" s="216"/>
      <x:c r="S229" s="216"/>
      <x:c r="T229" s="216"/>
      <x:c r="U229" s="216"/>
      <x:c r="V229" s="216"/>
      <x:c r="W229" s="216"/>
      <x:c r="X229" s="216"/>
      <x:c r="Y229" s="216"/>
      <x:c r="Z229" s="216"/>
    </x:row>
    <x:row r="230">
      <x:c r="A230" s="216"/>
      <x:c r="B230" s="216"/>
      <x:c r="C230" s="216"/>
      <x:c r="D230" s="216"/>
      <x:c r="E230" s="216"/>
      <x:c r="F230" s="216"/>
      <x:c r="G230" s="216"/>
      <x:c r="H230" s="216"/>
      <x:c r="I230" s="216"/>
      <x:c r="J230" s="216"/>
      <x:c r="K230" s="216"/>
      <x:c r="L230" s="216"/>
      <x:c r="M230" s="216"/>
      <x:c r="N230" s="216"/>
      <x:c r="O230" s="216"/>
      <x:c r="P230" s="216"/>
      <x:c r="Q230" s="216"/>
      <x:c r="R230" s="216"/>
      <x:c r="S230" s="216"/>
      <x:c r="T230" s="216"/>
      <x:c r="U230" s="216"/>
      <x:c r="V230" s="216"/>
      <x:c r="W230" s="216"/>
      <x:c r="X230" s="216"/>
      <x:c r="Y230" s="216"/>
      <x:c r="Z230" s="216"/>
    </x:row>
    <x:row r="231">
      <x:c r="A231" s="216"/>
      <x:c r="B231" s="216"/>
      <x:c r="C231" s="216"/>
      <x:c r="D231" s="216"/>
      <x:c r="E231" s="216"/>
      <x:c r="F231" s="216"/>
      <x:c r="G231" s="216"/>
      <x:c r="H231" s="216"/>
      <x:c r="I231" s="216"/>
      <x:c r="J231" s="216"/>
      <x:c r="K231" s="216"/>
      <x:c r="L231" s="216"/>
      <x:c r="M231" s="216"/>
      <x:c r="N231" s="216"/>
      <x:c r="O231" s="216"/>
      <x:c r="P231" s="216"/>
      <x:c r="Q231" s="216"/>
      <x:c r="R231" s="216"/>
      <x:c r="S231" s="216"/>
      <x:c r="T231" s="216"/>
      <x:c r="U231" s="216"/>
      <x:c r="V231" s="216"/>
      <x:c r="W231" s="216"/>
      <x:c r="X231" s="216"/>
      <x:c r="Y231" s="216"/>
      <x:c r="Z231" s="216"/>
    </x:row>
    <x:row r="232">
      <x:c r="A232" s="216"/>
      <x:c r="B232" s="216"/>
      <x:c r="C232" s="216"/>
      <x:c r="D232" s="216"/>
      <x:c r="E232" s="216"/>
      <x:c r="F232" s="216"/>
      <x:c r="G232" s="216"/>
      <x:c r="H232" s="216"/>
      <x:c r="I232" s="216"/>
      <x:c r="J232" s="216"/>
      <x:c r="K232" s="216"/>
      <x:c r="L232" s="216"/>
      <x:c r="M232" s="216"/>
      <x:c r="N232" s="216"/>
      <x:c r="O232" s="216"/>
      <x:c r="P232" s="216"/>
      <x:c r="Q232" s="216"/>
      <x:c r="R232" s="216"/>
      <x:c r="S232" s="216"/>
      <x:c r="T232" s="216"/>
      <x:c r="U232" s="216"/>
      <x:c r="V232" s="216"/>
      <x:c r="W232" s="216"/>
      <x:c r="X232" s="216"/>
      <x:c r="Y232" s="216"/>
      <x:c r="Z232" s="216"/>
    </x:row>
    <x:row r="233">
      <x:c r="A233" s="216"/>
      <x:c r="B233" s="216"/>
      <x:c r="C233" s="216"/>
      <x:c r="D233" s="216"/>
      <x:c r="E233" s="216"/>
      <x:c r="F233" s="216"/>
      <x:c r="G233" s="216"/>
      <x:c r="H233" s="216"/>
      <x:c r="I233" s="216"/>
      <x:c r="J233" s="216"/>
      <x:c r="K233" s="216"/>
      <x:c r="L233" s="216"/>
      <x:c r="M233" s="216"/>
      <x:c r="N233" s="216"/>
      <x:c r="O233" s="216"/>
      <x:c r="P233" s="216"/>
      <x:c r="Q233" s="216"/>
      <x:c r="R233" s="216"/>
      <x:c r="S233" s="216"/>
      <x:c r="T233" s="216"/>
      <x:c r="U233" s="216"/>
      <x:c r="V233" s="216"/>
      <x:c r="W233" s="216"/>
      <x:c r="X233" s="216"/>
      <x:c r="Y233" s="216"/>
      <x:c r="Z233" s="216"/>
    </x:row>
    <x:row r="234">
      <x:c r="A234" s="216"/>
      <x:c r="B234" s="216"/>
      <x:c r="C234" s="216"/>
      <x:c r="D234" s="216"/>
      <x:c r="E234" s="216"/>
      <x:c r="F234" s="216"/>
      <x:c r="G234" s="216"/>
      <x:c r="H234" s="216"/>
      <x:c r="I234" s="216"/>
      <x:c r="J234" s="216"/>
      <x:c r="K234" s="216"/>
      <x:c r="L234" s="216"/>
      <x:c r="M234" s="216"/>
      <x:c r="N234" s="216"/>
      <x:c r="O234" s="216"/>
      <x:c r="P234" s="216"/>
      <x:c r="Q234" s="216"/>
      <x:c r="R234" s="216"/>
      <x:c r="S234" s="216"/>
      <x:c r="T234" s="216"/>
      <x:c r="U234" s="216"/>
      <x:c r="V234" s="216"/>
      <x:c r="W234" s="216"/>
      <x:c r="X234" s="216"/>
      <x:c r="Y234" s="216"/>
      <x:c r="Z234" s="216"/>
    </x:row>
    <x:row r="235">
      <x:c r="A235" s="216"/>
      <x:c r="B235" s="216"/>
      <x:c r="C235" s="216"/>
      <x:c r="D235" s="216"/>
      <x:c r="E235" s="216"/>
      <x:c r="F235" s="216"/>
      <x:c r="G235" s="216"/>
      <x:c r="H235" s="216"/>
      <x:c r="I235" s="216"/>
      <x:c r="J235" s="216"/>
      <x:c r="K235" s="216"/>
      <x:c r="L235" s="216"/>
      <x:c r="M235" s="216"/>
      <x:c r="N235" s="216"/>
      <x:c r="O235" s="216"/>
      <x:c r="P235" s="216"/>
      <x:c r="Q235" s="216"/>
      <x:c r="R235" s="216"/>
      <x:c r="S235" s="216"/>
      <x:c r="T235" s="216"/>
      <x:c r="U235" s="216"/>
      <x:c r="V235" s="216"/>
      <x:c r="W235" s="216"/>
      <x:c r="X235" s="216"/>
      <x:c r="Y235" s="216"/>
      <x:c r="Z235" s="216"/>
    </x:row>
    <x:row r="236">
      <x:c r="A236" s="216"/>
      <x:c r="B236" s="216"/>
      <x:c r="C236" s="216"/>
      <x:c r="D236" s="216"/>
      <x:c r="E236" s="216"/>
      <x:c r="F236" s="216"/>
      <x:c r="G236" s="216"/>
      <x:c r="H236" s="216"/>
      <x:c r="I236" s="216"/>
      <x:c r="J236" s="216"/>
      <x:c r="K236" s="216"/>
      <x:c r="L236" s="216"/>
      <x:c r="M236" s="216"/>
      <x:c r="N236" s="216"/>
      <x:c r="O236" s="216"/>
      <x:c r="P236" s="216"/>
      <x:c r="Q236" s="216"/>
      <x:c r="R236" s="216"/>
      <x:c r="S236" s="216"/>
      <x:c r="T236" s="216"/>
      <x:c r="U236" s="216"/>
      <x:c r="V236" s="216"/>
      <x:c r="W236" s="216"/>
      <x:c r="X236" s="216"/>
      <x:c r="Y236" s="216"/>
      <x:c r="Z236" s="216"/>
    </x:row>
    <x:row r="237">
      <x:c r="A237" s="216"/>
      <x:c r="B237" s="216"/>
      <x:c r="C237" s="216"/>
      <x:c r="D237" s="216"/>
      <x:c r="E237" s="216"/>
      <x:c r="F237" s="216"/>
      <x:c r="G237" s="216"/>
      <x:c r="H237" s="216"/>
      <x:c r="I237" s="216"/>
      <x:c r="J237" s="216"/>
      <x:c r="K237" s="216"/>
      <x:c r="L237" s="216"/>
      <x:c r="M237" s="216"/>
      <x:c r="N237" s="216"/>
      <x:c r="O237" s="216"/>
      <x:c r="P237" s="216"/>
      <x:c r="Q237" s="216"/>
      <x:c r="R237" s="216"/>
      <x:c r="S237" s="216"/>
      <x:c r="T237" s="216"/>
      <x:c r="U237" s="216"/>
      <x:c r="V237" s="216"/>
      <x:c r="W237" s="216"/>
      <x:c r="X237" s="216"/>
      <x:c r="Y237" s="216"/>
      <x:c r="Z237" s="216"/>
    </x:row>
    <x:row r="238">
      <x:c r="A238" s="216"/>
      <x:c r="B238" s="216"/>
      <x:c r="C238" s="216"/>
      <x:c r="D238" s="216"/>
      <x:c r="E238" s="216"/>
      <x:c r="F238" s="216"/>
      <x:c r="G238" s="216"/>
      <x:c r="H238" s="216"/>
      <x:c r="I238" s="216"/>
      <x:c r="J238" s="216"/>
      <x:c r="K238" s="216"/>
      <x:c r="L238" s="216"/>
      <x:c r="M238" s="216"/>
      <x:c r="N238" s="216"/>
      <x:c r="O238" s="216"/>
      <x:c r="P238" s="216"/>
      <x:c r="Q238" s="216"/>
      <x:c r="R238" s="216"/>
      <x:c r="S238" s="216"/>
      <x:c r="T238" s="216"/>
      <x:c r="U238" s="216"/>
      <x:c r="V238" s="216"/>
      <x:c r="W238" s="216"/>
      <x:c r="X238" s="216"/>
      <x:c r="Y238" s="216"/>
      <x:c r="Z238" s="216"/>
    </x:row>
    <x:row r="239">
      <x:c r="A239" s="216"/>
      <x:c r="B239" s="216"/>
      <x:c r="C239" s="216"/>
      <x:c r="D239" s="216"/>
      <x:c r="E239" s="216"/>
      <x:c r="F239" s="216"/>
      <x:c r="G239" s="216"/>
      <x:c r="H239" s="216"/>
      <x:c r="I239" s="216"/>
      <x:c r="J239" s="216"/>
      <x:c r="K239" s="216"/>
      <x:c r="L239" s="216"/>
      <x:c r="M239" s="216"/>
      <x:c r="N239" s="216"/>
      <x:c r="O239" s="216"/>
      <x:c r="P239" s="216"/>
      <x:c r="Q239" s="216"/>
      <x:c r="R239" s="216"/>
      <x:c r="S239" s="216"/>
      <x:c r="T239" s="216"/>
      <x:c r="U239" s="216"/>
      <x:c r="V239" s="216"/>
      <x:c r="W239" s="216"/>
      <x:c r="X239" s="216"/>
      <x:c r="Y239" s="216"/>
      <x:c r="Z239" s="216"/>
    </x:row>
    <x:row r="240">
      <x:c r="A240" s="216"/>
      <x:c r="B240" s="216"/>
      <x:c r="C240" s="216"/>
      <x:c r="D240" s="216"/>
      <x:c r="E240" s="216"/>
      <x:c r="F240" s="216"/>
      <x:c r="G240" s="216"/>
      <x:c r="H240" s="216"/>
      <x:c r="I240" s="216"/>
      <x:c r="J240" s="216"/>
      <x:c r="K240" s="216"/>
      <x:c r="L240" s="216"/>
      <x:c r="M240" s="216"/>
      <x:c r="N240" s="216"/>
      <x:c r="O240" s="216"/>
      <x:c r="P240" s="216"/>
      <x:c r="Q240" s="216"/>
      <x:c r="R240" s="216"/>
      <x:c r="S240" s="216"/>
      <x:c r="T240" s="216"/>
      <x:c r="U240" s="216"/>
      <x:c r="V240" s="216"/>
      <x:c r="W240" s="216"/>
      <x:c r="X240" s="216"/>
      <x:c r="Y240" s="216"/>
      <x:c r="Z240" s="216"/>
    </x:row>
    <x:row r="241">
      <x:c r="A241" s="216"/>
      <x:c r="B241" s="216"/>
      <x:c r="C241" s="216"/>
      <x:c r="D241" s="216"/>
      <x:c r="E241" s="216"/>
      <x:c r="F241" s="216"/>
      <x:c r="G241" s="216"/>
      <x:c r="H241" s="216"/>
      <x:c r="I241" s="216"/>
      <x:c r="J241" s="216"/>
      <x:c r="K241" s="216"/>
      <x:c r="L241" s="216"/>
      <x:c r="M241" s="216"/>
      <x:c r="N241" s="216"/>
      <x:c r="O241" s="216"/>
      <x:c r="P241" s="216"/>
      <x:c r="Q241" s="216"/>
      <x:c r="R241" s="216"/>
      <x:c r="S241" s="216"/>
      <x:c r="T241" s="216"/>
      <x:c r="U241" s="216"/>
      <x:c r="V241" s="216"/>
      <x:c r="W241" s="216"/>
      <x:c r="X241" s="216"/>
      <x:c r="Y241" s="216"/>
      <x:c r="Z241" s="216"/>
    </x:row>
    <x:row r="242">
      <x:c r="A242" s="216"/>
      <x:c r="B242" s="216"/>
      <x:c r="C242" s="216"/>
      <x:c r="D242" s="216"/>
      <x:c r="E242" s="216"/>
      <x:c r="F242" s="216"/>
      <x:c r="G242" s="216"/>
      <x:c r="H242" s="216"/>
      <x:c r="I242" s="216"/>
      <x:c r="J242" s="216"/>
      <x:c r="K242" s="216"/>
      <x:c r="L242" s="216"/>
      <x:c r="M242" s="216"/>
      <x:c r="N242" s="216"/>
      <x:c r="O242" s="216"/>
      <x:c r="P242" s="216"/>
      <x:c r="Q242" s="216"/>
      <x:c r="R242" s="216"/>
      <x:c r="S242" s="216"/>
      <x:c r="T242" s="216"/>
      <x:c r="U242" s="216"/>
      <x:c r="V242" s="216"/>
      <x:c r="W242" s="216"/>
      <x:c r="X242" s="216"/>
      <x:c r="Y242" s="216"/>
      <x:c r="Z242" s="216"/>
    </x:row>
    <x:row r="243">
      <x:c r="A243" s="216"/>
      <x:c r="B243" s="216"/>
      <x:c r="C243" s="216"/>
      <x:c r="D243" s="216"/>
      <x:c r="E243" s="216"/>
      <x:c r="F243" s="216"/>
      <x:c r="G243" s="216"/>
      <x:c r="H243" s="216"/>
      <x:c r="I243" s="216"/>
      <x:c r="J243" s="216"/>
      <x:c r="K243" s="216"/>
      <x:c r="L243" s="216"/>
      <x:c r="M243" s="216"/>
      <x:c r="N243" s="216"/>
      <x:c r="O243" s="216"/>
      <x:c r="P243" s="216"/>
      <x:c r="Q243" s="216"/>
      <x:c r="R243" s="216"/>
      <x:c r="S243" s="216"/>
      <x:c r="T243" s="216"/>
      <x:c r="U243" s="216"/>
      <x:c r="V243" s="216"/>
      <x:c r="W243" s="216"/>
      <x:c r="X243" s="216"/>
      <x:c r="Y243" s="216"/>
      <x:c r="Z243" s="216"/>
    </x:row>
    <x:row r="244">
      <x:c r="A244" s="216"/>
      <x:c r="B244" s="216"/>
      <x:c r="C244" s="216"/>
      <x:c r="D244" s="216"/>
      <x:c r="E244" s="216"/>
      <x:c r="F244" s="216"/>
      <x:c r="G244" s="216"/>
      <x:c r="H244" s="216"/>
      <x:c r="I244" s="216"/>
      <x:c r="J244" s="216"/>
      <x:c r="K244" s="216"/>
      <x:c r="L244" s="216"/>
      <x:c r="M244" s="216"/>
      <x:c r="N244" s="216"/>
      <x:c r="O244" s="216"/>
      <x:c r="P244" s="216"/>
      <x:c r="Q244" s="216"/>
      <x:c r="R244" s="216"/>
      <x:c r="S244" s="216"/>
      <x:c r="T244" s="216"/>
      <x:c r="U244" s="216"/>
      <x:c r="V244" s="216"/>
      <x:c r="W244" s="216"/>
      <x:c r="X244" s="216"/>
      <x:c r="Y244" s="216"/>
      <x:c r="Z244" s="216"/>
    </x:row>
    <x:row r="245">
      <x:c r="A245" s="216"/>
      <x:c r="B245" s="216"/>
      <x:c r="C245" s="216"/>
      <x:c r="D245" s="216"/>
      <x:c r="E245" s="216"/>
      <x:c r="F245" s="216"/>
      <x:c r="G245" s="216"/>
      <x:c r="H245" s="216"/>
      <x:c r="I245" s="216"/>
      <x:c r="J245" s="216"/>
      <x:c r="K245" s="216"/>
      <x:c r="L245" s="216"/>
      <x:c r="M245" s="216"/>
      <x:c r="N245" s="216"/>
      <x:c r="O245" s="216"/>
      <x:c r="P245" s="216"/>
      <x:c r="Q245" s="216"/>
      <x:c r="R245" s="216"/>
      <x:c r="S245" s="216"/>
      <x:c r="T245" s="216"/>
      <x:c r="U245" s="216"/>
      <x:c r="V245" s="216"/>
      <x:c r="W245" s="216"/>
      <x:c r="X245" s="216"/>
      <x:c r="Y245" s="216"/>
      <x:c r="Z245" s="216"/>
    </x:row>
    <x:row r="246">
      <x:c r="A246" s="216"/>
      <x:c r="B246" s="216"/>
      <x:c r="C246" s="216"/>
      <x:c r="D246" s="216"/>
      <x:c r="E246" s="216"/>
      <x:c r="F246" s="216"/>
      <x:c r="G246" s="216"/>
      <x:c r="H246" s="216"/>
      <x:c r="I246" s="216"/>
      <x:c r="J246" s="216"/>
      <x:c r="K246" s="216"/>
      <x:c r="L246" s="216"/>
      <x:c r="M246" s="216"/>
      <x:c r="N246" s="216"/>
      <x:c r="O246" s="216"/>
      <x:c r="P246" s="216"/>
      <x:c r="Q246" s="216"/>
      <x:c r="R246" s="216"/>
      <x:c r="S246" s="216"/>
      <x:c r="T246" s="216"/>
      <x:c r="U246" s="216"/>
      <x:c r="V246" s="216"/>
      <x:c r="W246" s="216"/>
      <x:c r="X246" s="216"/>
      <x:c r="Y246" s="216"/>
      <x:c r="Z246" s="216"/>
    </x:row>
    <x:row r="247">
      <x:c r="A247" s="216"/>
      <x:c r="B247" s="216"/>
      <x:c r="C247" s="216"/>
      <x:c r="D247" s="216"/>
      <x:c r="E247" s="216"/>
      <x:c r="F247" s="216"/>
      <x:c r="G247" s="216"/>
      <x:c r="H247" s="216"/>
      <x:c r="I247" s="216"/>
      <x:c r="J247" s="216"/>
      <x:c r="K247" s="216"/>
      <x:c r="L247" s="216"/>
      <x:c r="M247" s="216"/>
      <x:c r="N247" s="216"/>
      <x:c r="O247" s="216"/>
      <x:c r="P247" s="216"/>
      <x:c r="Q247" s="216"/>
      <x:c r="R247" s="216"/>
      <x:c r="S247" s="216"/>
      <x:c r="T247" s="216"/>
      <x:c r="U247" s="216"/>
      <x:c r="V247" s="216"/>
      <x:c r="W247" s="216"/>
      <x:c r="X247" s="216"/>
      <x:c r="Y247" s="216"/>
      <x:c r="Z247" s="216"/>
    </x:row>
    <x:row r="248">
      <x:c r="A248" s="216"/>
      <x:c r="B248" s="216"/>
      <x:c r="C248" s="216"/>
      <x:c r="D248" s="216"/>
      <x:c r="E248" s="216"/>
      <x:c r="F248" s="216"/>
      <x:c r="G248" s="216"/>
      <x:c r="H248" s="216"/>
      <x:c r="I248" s="216"/>
      <x:c r="J248" s="216"/>
      <x:c r="K248" s="216"/>
      <x:c r="L248" s="216"/>
      <x:c r="M248" s="216"/>
      <x:c r="N248" s="216"/>
      <x:c r="O248" s="216"/>
      <x:c r="P248" s="216"/>
      <x:c r="Q248" s="216"/>
      <x:c r="R248" s="216"/>
      <x:c r="S248" s="216"/>
      <x:c r="T248" s="216"/>
      <x:c r="U248" s="216"/>
      <x:c r="V248" s="216"/>
      <x:c r="W248" s="216"/>
      <x:c r="X248" s="216"/>
      <x:c r="Y248" s="216"/>
      <x:c r="Z248" s="216"/>
    </x:row>
    <x:row r="249">
      <x:c r="A249" s="216"/>
      <x:c r="B249" s="216"/>
      <x:c r="C249" s="216"/>
      <x:c r="D249" s="216"/>
      <x:c r="E249" s="216"/>
      <x:c r="F249" s="216"/>
      <x:c r="G249" s="216"/>
      <x:c r="H249" s="216"/>
      <x:c r="I249" s="216"/>
      <x:c r="J249" s="216"/>
      <x:c r="K249" s="216"/>
      <x:c r="L249" s="216"/>
      <x:c r="M249" s="216"/>
      <x:c r="N249" s="216"/>
      <x:c r="O249" s="216"/>
      <x:c r="P249" s="216"/>
      <x:c r="Q249" s="216"/>
      <x:c r="R249" s="216"/>
      <x:c r="S249" s="216"/>
      <x:c r="T249" s="216"/>
      <x:c r="U249" s="216"/>
      <x:c r="V249" s="216"/>
      <x:c r="W249" s="216"/>
      <x:c r="X249" s="216"/>
      <x:c r="Y249" s="216"/>
      <x:c r="Z249" s="216"/>
    </x:row>
    <x:row r="250">
      <x:c r="A250" s="216"/>
      <x:c r="B250" s="216"/>
      <x:c r="C250" s="216"/>
      <x:c r="D250" s="216"/>
      <x:c r="E250" s="216"/>
      <x:c r="F250" s="216"/>
      <x:c r="G250" s="216"/>
      <x:c r="H250" s="216"/>
      <x:c r="I250" s="216"/>
      <x:c r="J250" s="216"/>
      <x:c r="K250" s="216"/>
      <x:c r="L250" s="216"/>
      <x:c r="M250" s="216"/>
      <x:c r="N250" s="216"/>
      <x:c r="O250" s="216"/>
      <x:c r="P250" s="216"/>
      <x:c r="Q250" s="216"/>
      <x:c r="R250" s="216"/>
      <x:c r="S250" s="216"/>
      <x:c r="T250" s="216"/>
      <x:c r="U250" s="216"/>
      <x:c r="V250" s="216"/>
      <x:c r="W250" s="216"/>
      <x:c r="X250" s="216"/>
      <x:c r="Y250" s="216"/>
      <x:c r="Z250" s="216"/>
    </x:row>
    <x:row r="251">
      <x:c r="A251" s="216"/>
      <x:c r="B251" s="216"/>
      <x:c r="C251" s="216"/>
      <x:c r="D251" s="216"/>
      <x:c r="E251" s="216"/>
      <x:c r="F251" s="216"/>
      <x:c r="G251" s="216"/>
      <x:c r="H251" s="216"/>
      <x:c r="I251" s="216"/>
      <x:c r="J251" s="216"/>
      <x:c r="K251" s="216"/>
      <x:c r="L251" s="216"/>
      <x:c r="M251" s="216"/>
      <x:c r="N251" s="216"/>
      <x:c r="O251" s="216"/>
      <x:c r="P251" s="216"/>
      <x:c r="Q251" s="216"/>
      <x:c r="R251" s="216"/>
      <x:c r="S251" s="216"/>
      <x:c r="T251" s="216"/>
      <x:c r="U251" s="216"/>
      <x:c r="V251" s="216"/>
      <x:c r="W251" s="216"/>
      <x:c r="X251" s="216"/>
      <x:c r="Y251" s="216"/>
      <x:c r="Z251" s="216"/>
    </x:row>
    <x:row r="252">
      <x:c r="A252" s="216"/>
      <x:c r="B252" s="216"/>
      <x:c r="C252" s="216"/>
      <x:c r="D252" s="216"/>
      <x:c r="E252" s="216"/>
      <x:c r="F252" s="216"/>
      <x:c r="G252" s="216"/>
      <x:c r="H252" s="216"/>
      <x:c r="I252" s="216"/>
      <x:c r="J252" s="216"/>
      <x:c r="K252" s="216"/>
      <x:c r="L252" s="216"/>
      <x:c r="M252" s="216"/>
      <x:c r="N252" s="216"/>
      <x:c r="O252" s="216"/>
      <x:c r="P252" s="216"/>
      <x:c r="Q252" s="216"/>
      <x:c r="R252" s="216"/>
      <x:c r="S252" s="216"/>
      <x:c r="T252" s="216"/>
      <x:c r="U252" s="216"/>
      <x:c r="V252" s="216"/>
      <x:c r="W252" s="216"/>
      <x:c r="X252" s="216"/>
      <x:c r="Y252" s="216"/>
      <x:c r="Z252" s="216"/>
    </x:row>
    <x:row r="253">
      <x:c r="A253" s="216"/>
      <x:c r="B253" s="216"/>
      <x:c r="C253" s="216"/>
      <x:c r="D253" s="216"/>
      <x:c r="E253" s="216"/>
      <x:c r="F253" s="216"/>
      <x:c r="G253" s="216"/>
      <x:c r="H253" s="216"/>
      <x:c r="I253" s="216"/>
      <x:c r="J253" s="216"/>
      <x:c r="K253" s="216"/>
      <x:c r="L253" s="216"/>
      <x:c r="M253" s="216"/>
      <x:c r="N253" s="216"/>
      <x:c r="O253" s="216"/>
      <x:c r="P253" s="216"/>
      <x:c r="Q253" s="216"/>
      <x:c r="R253" s="216"/>
      <x:c r="S253" s="216"/>
      <x:c r="T253" s="216"/>
      <x:c r="U253" s="216"/>
      <x:c r="V253" s="216"/>
      <x:c r="W253" s="216"/>
      <x:c r="X253" s="216"/>
      <x:c r="Y253" s="216"/>
      <x:c r="Z253" s="216"/>
    </x:row>
    <x:row r="254">
      <x:c r="A254" s="216"/>
      <x:c r="B254" s="216"/>
      <x:c r="C254" s="216"/>
      <x:c r="D254" s="216"/>
      <x:c r="E254" s="216"/>
      <x:c r="F254" s="216"/>
      <x:c r="G254" s="216"/>
      <x:c r="H254" s="216"/>
      <x:c r="I254" s="216"/>
      <x:c r="J254" s="216"/>
      <x:c r="K254" s="216"/>
      <x:c r="L254" s="216"/>
      <x:c r="M254" s="216"/>
      <x:c r="N254" s="216"/>
      <x:c r="O254" s="216"/>
      <x:c r="P254" s="216"/>
      <x:c r="Q254" s="216"/>
      <x:c r="R254" s="216"/>
      <x:c r="S254" s="216"/>
      <x:c r="T254" s="216"/>
      <x:c r="U254" s="216"/>
      <x:c r="V254" s="216"/>
      <x:c r="W254" s="216"/>
      <x:c r="X254" s="216"/>
      <x:c r="Y254" s="216"/>
      <x:c r="Z254" s="216"/>
    </x:row>
    <x:row r="255">
      <x:c r="A255" s="216"/>
      <x:c r="B255" s="216"/>
      <x:c r="C255" s="216"/>
      <x:c r="D255" s="216"/>
      <x:c r="E255" s="216"/>
      <x:c r="F255" s="216"/>
      <x:c r="G255" s="216"/>
      <x:c r="H255" s="216"/>
      <x:c r="I255" s="216"/>
      <x:c r="J255" s="216"/>
      <x:c r="K255" s="216"/>
      <x:c r="L255" s="216"/>
      <x:c r="M255" s="216"/>
      <x:c r="N255" s="216"/>
      <x:c r="O255" s="216"/>
      <x:c r="P255" s="216"/>
      <x:c r="Q255" s="216"/>
      <x:c r="R255" s="216"/>
      <x:c r="S255" s="216"/>
      <x:c r="T255" s="216"/>
      <x:c r="U255" s="216"/>
      <x:c r="V255" s="216"/>
      <x:c r="W255" s="216"/>
      <x:c r="X255" s="216"/>
      <x:c r="Y255" s="216"/>
      <x:c r="Z255" s="216"/>
    </x:row>
    <x:row r="256">
      <x:c r="A256" s="216"/>
      <x:c r="B256" s="216"/>
      <x:c r="C256" s="216"/>
      <x:c r="D256" s="216"/>
      <x:c r="E256" s="216"/>
      <x:c r="F256" s="216"/>
      <x:c r="G256" s="216"/>
      <x:c r="H256" s="216"/>
      <x:c r="I256" s="216"/>
      <x:c r="J256" s="216"/>
      <x:c r="K256" s="216"/>
      <x:c r="L256" s="216"/>
      <x:c r="M256" s="216"/>
      <x:c r="N256" s="216"/>
      <x:c r="O256" s="216"/>
      <x:c r="P256" s="216"/>
      <x:c r="Q256" s="216"/>
      <x:c r="R256" s="216"/>
      <x:c r="S256" s="216"/>
      <x:c r="T256" s="216"/>
      <x:c r="U256" s="216"/>
      <x:c r="V256" s="216"/>
      <x:c r="W256" s="216"/>
      <x:c r="X256" s="216"/>
      <x:c r="Y256" s="216"/>
      <x:c r="Z256" s="216"/>
    </x:row>
    <x:row r="257">
      <x:c r="A257" s="216"/>
      <x:c r="B257" s="216"/>
      <x:c r="C257" s="216"/>
      <x:c r="D257" s="216"/>
      <x:c r="E257" s="216"/>
      <x:c r="F257" s="216"/>
      <x:c r="G257" s="216"/>
      <x:c r="H257" s="216"/>
      <x:c r="I257" s="216"/>
      <x:c r="J257" s="216"/>
      <x:c r="K257" s="216"/>
      <x:c r="L257" s="216"/>
      <x:c r="M257" s="216"/>
      <x:c r="N257" s="216"/>
      <x:c r="O257" s="216"/>
      <x:c r="P257" s="216"/>
      <x:c r="Q257" s="216"/>
      <x:c r="R257" s="216"/>
      <x:c r="S257" s="216"/>
      <x:c r="T257" s="216"/>
      <x:c r="U257" s="216"/>
      <x:c r="V257" s="216"/>
      <x:c r="W257" s="216"/>
      <x:c r="X257" s="216"/>
      <x:c r="Y257" s="216"/>
      <x:c r="Z257" s="216"/>
    </x:row>
    <x:row r="258">
      <x:c r="A258" s="216"/>
      <x:c r="B258" s="216"/>
      <x:c r="C258" s="216"/>
      <x:c r="D258" s="216"/>
      <x:c r="E258" s="216"/>
      <x:c r="F258" s="216"/>
      <x:c r="G258" s="216"/>
      <x:c r="H258" s="216"/>
      <x:c r="I258" s="216"/>
      <x:c r="J258" s="216"/>
      <x:c r="K258" s="216"/>
      <x:c r="L258" s="216"/>
      <x:c r="M258" s="216"/>
      <x:c r="N258" s="216"/>
      <x:c r="O258" s="216"/>
      <x:c r="P258" s="216"/>
      <x:c r="Q258" s="216"/>
      <x:c r="R258" s="216"/>
      <x:c r="S258" s="216"/>
      <x:c r="T258" s="216"/>
      <x:c r="U258" s="216"/>
      <x:c r="V258" s="216"/>
      <x:c r="W258" s="216"/>
      <x:c r="X258" s="216"/>
      <x:c r="Y258" s="216"/>
      <x:c r="Z258" s="216"/>
    </x:row>
    <x:row r="259">
      <x:c r="A259" s="216"/>
      <x:c r="B259" s="216"/>
      <x:c r="C259" s="216"/>
      <x:c r="D259" s="216"/>
      <x:c r="E259" s="216"/>
      <x:c r="F259" s="216"/>
      <x:c r="G259" s="216"/>
      <x:c r="H259" s="216"/>
      <x:c r="I259" s="216"/>
      <x:c r="J259" s="216"/>
      <x:c r="K259" s="216"/>
      <x:c r="L259" s="216"/>
      <x:c r="M259" s="216"/>
      <x:c r="N259" s="216"/>
      <x:c r="O259" s="216"/>
      <x:c r="P259" s="216"/>
      <x:c r="Q259" s="216"/>
      <x:c r="R259" s="216"/>
      <x:c r="S259" s="216"/>
      <x:c r="T259" s="216"/>
      <x:c r="U259" s="216"/>
      <x:c r="V259" s="216"/>
      <x:c r="W259" s="216"/>
      <x:c r="X259" s="216"/>
      <x:c r="Y259" s="216"/>
      <x:c r="Z259" s="216"/>
    </x:row>
    <x:row r="260">
      <x:c r="A260" s="216"/>
      <x:c r="B260" s="216"/>
      <x:c r="C260" s="216"/>
      <x:c r="D260" s="216"/>
      <x:c r="E260" s="216"/>
      <x:c r="F260" s="216"/>
      <x:c r="G260" s="216"/>
      <x:c r="H260" s="216"/>
      <x:c r="I260" s="216"/>
      <x:c r="J260" s="216"/>
      <x:c r="K260" s="216"/>
      <x:c r="L260" s="216"/>
      <x:c r="M260" s="216"/>
      <x:c r="N260" s="216"/>
      <x:c r="O260" s="216"/>
      <x:c r="P260" s="216"/>
      <x:c r="Q260" s="216"/>
      <x:c r="R260" s="216"/>
      <x:c r="S260" s="216"/>
      <x:c r="T260" s="216"/>
      <x:c r="U260" s="216"/>
      <x:c r="V260" s="216"/>
      <x:c r="W260" s="216"/>
      <x:c r="X260" s="216"/>
      <x:c r="Y260" s="216"/>
      <x:c r="Z260" s="216"/>
    </x:row>
    <x:row r="261">
      <x:c r="A261" s="216"/>
      <x:c r="B261" s="216"/>
      <x:c r="C261" s="216"/>
      <x:c r="D261" s="216"/>
      <x:c r="E261" s="216"/>
      <x:c r="F261" s="216"/>
      <x:c r="G261" s="216"/>
      <x:c r="H261" s="216"/>
      <x:c r="I261" s="216"/>
      <x:c r="J261" s="216"/>
      <x:c r="K261" s="216"/>
      <x:c r="L261" s="216"/>
      <x:c r="M261" s="216"/>
      <x:c r="N261" s="216"/>
      <x:c r="O261" s="216"/>
      <x:c r="P261" s="216"/>
      <x:c r="Q261" s="216"/>
      <x:c r="R261" s="216"/>
      <x:c r="S261" s="216"/>
      <x:c r="T261" s="216"/>
      <x:c r="U261" s="216"/>
      <x:c r="V261" s="216"/>
      <x:c r="W261" s="216"/>
      <x:c r="X261" s="216"/>
      <x:c r="Y261" s="216"/>
      <x:c r="Z261" s="216"/>
    </x:row>
    <x:row r="262">
      <x:c r="A262" s="216"/>
      <x:c r="B262" s="216"/>
      <x:c r="C262" s="216"/>
      <x:c r="D262" s="216"/>
      <x:c r="E262" s="216"/>
      <x:c r="F262" s="216"/>
      <x:c r="G262" s="216"/>
      <x:c r="H262" s="216"/>
      <x:c r="I262" s="216"/>
      <x:c r="J262" s="216"/>
      <x:c r="K262" s="216"/>
      <x:c r="L262" s="216"/>
      <x:c r="M262" s="216"/>
      <x:c r="N262" s="216"/>
      <x:c r="O262" s="216"/>
      <x:c r="P262" s="216"/>
      <x:c r="Q262" s="216"/>
      <x:c r="R262" s="216"/>
      <x:c r="S262" s="216"/>
      <x:c r="T262" s="216"/>
      <x:c r="U262" s="216"/>
      <x:c r="V262" s="216"/>
      <x:c r="W262" s="216"/>
      <x:c r="X262" s="216"/>
      <x:c r="Y262" s="216"/>
      <x:c r="Z262" s="216"/>
    </x:row>
    <x:row r="263">
      <x:c r="A263" s="216"/>
      <x:c r="B263" s="216"/>
      <x:c r="C263" s="216"/>
      <x:c r="D263" s="216"/>
      <x:c r="E263" s="216"/>
      <x:c r="F263" s="216"/>
      <x:c r="G263" s="216"/>
      <x:c r="H263" s="216"/>
      <x:c r="I263" s="216"/>
      <x:c r="J263" s="216"/>
      <x:c r="K263" s="216"/>
      <x:c r="L263" s="216"/>
      <x:c r="M263" s="216"/>
      <x:c r="N263" s="216"/>
      <x:c r="O263" s="216"/>
      <x:c r="P263" s="216"/>
      <x:c r="Q263" s="216"/>
      <x:c r="R263" s="216"/>
      <x:c r="S263" s="216"/>
      <x:c r="T263" s="216"/>
      <x:c r="U263" s="216"/>
      <x:c r="V263" s="216"/>
      <x:c r="W263" s="216"/>
      <x:c r="X263" s="216"/>
      <x:c r="Y263" s="216"/>
      <x:c r="Z263" s="216"/>
    </x:row>
    <x:row r="264">
      <x:c r="A264" s="216"/>
      <x:c r="B264" s="216"/>
      <x:c r="C264" s="216"/>
      <x:c r="D264" s="216"/>
      <x:c r="E264" s="216"/>
      <x:c r="F264" s="216"/>
      <x:c r="G264" s="216"/>
      <x:c r="H264" s="216"/>
      <x:c r="I264" s="216"/>
      <x:c r="J264" s="216"/>
      <x:c r="K264" s="216"/>
      <x:c r="L264" s="216"/>
      <x:c r="M264" s="216"/>
      <x:c r="N264" s="216"/>
      <x:c r="O264" s="216"/>
      <x:c r="P264" s="216"/>
      <x:c r="Q264" s="216"/>
      <x:c r="R264" s="216"/>
      <x:c r="S264" s="216"/>
      <x:c r="T264" s="216"/>
      <x:c r="U264" s="216"/>
      <x:c r="V264" s="216"/>
      <x:c r="W264" s="216"/>
      <x:c r="X264" s="216"/>
      <x:c r="Y264" s="216"/>
      <x:c r="Z264" s="216"/>
    </x:row>
    <x:row r="265">
      <x:c r="A265" s="216"/>
      <x:c r="B265" s="216"/>
      <x:c r="C265" s="216"/>
      <x:c r="D265" s="216"/>
      <x:c r="E265" s="216"/>
      <x:c r="F265" s="216"/>
      <x:c r="G265" s="216"/>
      <x:c r="H265" s="216"/>
      <x:c r="I265" s="216"/>
      <x:c r="J265" s="216"/>
      <x:c r="K265" s="216"/>
      <x:c r="L265" s="216"/>
      <x:c r="M265" s="216"/>
      <x:c r="N265" s="216"/>
      <x:c r="O265" s="216"/>
      <x:c r="P265" s="216"/>
      <x:c r="Q265" s="216"/>
      <x:c r="R265" s="216"/>
      <x:c r="S265" s="216"/>
      <x:c r="T265" s="216"/>
      <x:c r="U265" s="216"/>
      <x:c r="V265" s="216"/>
      <x:c r="W265" s="216"/>
      <x:c r="X265" s="216"/>
      <x:c r="Y265" s="216"/>
      <x:c r="Z265" s="216"/>
    </x:row>
    <x:row r="266">
      <x:c r="A266" s="216"/>
      <x:c r="B266" s="216"/>
      <x:c r="C266" s="216"/>
      <x:c r="D266" s="216"/>
      <x:c r="E266" s="216"/>
      <x:c r="F266" s="216"/>
      <x:c r="G266" s="216"/>
      <x:c r="H266" s="216"/>
      <x:c r="I266" s="216"/>
      <x:c r="J266" s="216"/>
      <x:c r="K266" s="216"/>
      <x:c r="L266" s="216"/>
      <x:c r="M266" s="216"/>
      <x:c r="N266" s="216"/>
      <x:c r="O266" s="216"/>
      <x:c r="P266" s="216"/>
      <x:c r="Q266" s="216"/>
      <x:c r="R266" s="216"/>
      <x:c r="S266" s="216"/>
      <x:c r="T266" s="216"/>
      <x:c r="U266" s="216"/>
      <x:c r="V266" s="216"/>
      <x:c r="W266" s="216"/>
      <x:c r="X266" s="216"/>
      <x:c r="Y266" s="216"/>
      <x:c r="Z266" s="216"/>
    </x:row>
    <x:row r="267">
      <x:c r="A267" s="216"/>
      <x:c r="B267" s="216"/>
      <x:c r="C267" s="216"/>
      <x:c r="D267" s="216"/>
      <x:c r="E267" s="216"/>
      <x:c r="F267" s="216"/>
      <x:c r="G267" s="216"/>
      <x:c r="H267" s="216"/>
      <x:c r="I267" s="216"/>
      <x:c r="J267" s="216"/>
      <x:c r="K267" s="216"/>
      <x:c r="L267" s="216"/>
      <x:c r="M267" s="216"/>
      <x:c r="N267" s="216"/>
      <x:c r="O267" s="216"/>
      <x:c r="P267" s="216"/>
      <x:c r="Q267" s="216"/>
      <x:c r="R267" s="216"/>
      <x:c r="S267" s="216"/>
      <x:c r="T267" s="216"/>
      <x:c r="U267" s="216"/>
      <x:c r="V267" s="216"/>
      <x:c r="W267" s="216"/>
      <x:c r="X267" s="216"/>
      <x:c r="Y267" s="216"/>
      <x:c r="Z267" s="216"/>
    </x:row>
    <x:row r="268">
      <x:c r="A268" s="216"/>
      <x:c r="B268" s="216"/>
      <x:c r="C268" s="216"/>
      <x:c r="D268" s="216"/>
      <x:c r="E268" s="216"/>
      <x:c r="F268" s="216"/>
      <x:c r="G268" s="216"/>
      <x:c r="H268" s="216"/>
      <x:c r="I268" s="216"/>
      <x:c r="J268" s="216"/>
      <x:c r="K268" s="216"/>
      <x:c r="L268" s="216"/>
      <x:c r="M268" s="216"/>
      <x:c r="N268" s="216"/>
      <x:c r="O268" s="216"/>
      <x:c r="P268" s="216"/>
      <x:c r="Q268" s="216"/>
      <x:c r="R268" s="216"/>
      <x:c r="S268" s="216"/>
      <x:c r="T268" s="216"/>
      <x:c r="U268" s="216"/>
      <x:c r="V268" s="216"/>
      <x:c r="W268" s="216"/>
      <x:c r="X268" s="216"/>
      <x:c r="Y268" s="216"/>
      <x:c r="Z268" s="216"/>
    </x:row>
    <x:row r="269">
      <x:c r="A269" s="216"/>
      <x:c r="B269" s="216"/>
      <x:c r="C269" s="216"/>
      <x:c r="D269" s="216"/>
      <x:c r="E269" s="216"/>
      <x:c r="F269" s="216"/>
      <x:c r="G269" s="216"/>
      <x:c r="H269" s="216"/>
      <x:c r="I269" s="216"/>
      <x:c r="J269" s="216"/>
      <x:c r="K269" s="216"/>
      <x:c r="L269" s="216"/>
      <x:c r="M269" s="216"/>
      <x:c r="N269" s="216"/>
      <x:c r="O269" s="216"/>
      <x:c r="P269" s="216"/>
      <x:c r="Q269" s="216"/>
      <x:c r="R269" s="216"/>
      <x:c r="S269" s="216"/>
      <x:c r="T269" s="216"/>
      <x:c r="U269" s="216"/>
      <x:c r="V269" s="216"/>
      <x:c r="W269" s="216"/>
      <x:c r="X269" s="216"/>
      <x:c r="Y269" s="216"/>
      <x:c r="Z269" s="216"/>
    </x:row>
    <x:row r="270">
      <x:c r="A270" s="216"/>
      <x:c r="B270" s="216"/>
      <x:c r="C270" s="216"/>
      <x:c r="D270" s="216"/>
      <x:c r="E270" s="216"/>
      <x:c r="F270" s="216"/>
      <x:c r="G270" s="216"/>
      <x:c r="H270" s="216"/>
      <x:c r="I270" s="216"/>
      <x:c r="J270" s="216"/>
      <x:c r="K270" s="216"/>
      <x:c r="L270" s="216"/>
      <x:c r="M270" s="216"/>
      <x:c r="N270" s="216"/>
      <x:c r="O270" s="216"/>
      <x:c r="P270" s="216"/>
      <x:c r="Q270" s="216"/>
      <x:c r="R270" s="216"/>
      <x:c r="S270" s="216"/>
      <x:c r="T270" s="216"/>
      <x:c r="U270" s="216"/>
      <x:c r="V270" s="216"/>
      <x:c r="W270" s="216"/>
      <x:c r="X270" s="216"/>
      <x:c r="Y270" s="216"/>
      <x:c r="Z270" s="216"/>
    </x:row>
    <x:row r="271">
      <x:c r="A271" s="216"/>
      <x:c r="B271" s="216"/>
      <x:c r="C271" s="216"/>
      <x:c r="D271" s="216"/>
      <x:c r="E271" s="216"/>
      <x:c r="F271" s="216"/>
      <x:c r="G271" s="216"/>
      <x:c r="H271" s="216"/>
      <x:c r="I271" s="216"/>
      <x:c r="J271" s="216"/>
      <x:c r="K271" s="216"/>
      <x:c r="L271" s="216"/>
      <x:c r="M271" s="216"/>
      <x:c r="N271" s="216"/>
      <x:c r="O271" s="216"/>
      <x:c r="P271" s="216"/>
      <x:c r="Q271" s="216"/>
      <x:c r="R271" s="216"/>
      <x:c r="S271" s="216"/>
      <x:c r="T271" s="216"/>
      <x:c r="U271" s="216"/>
      <x:c r="V271" s="216"/>
      <x:c r="W271" s="216"/>
      <x:c r="X271" s="216"/>
      <x:c r="Y271" s="216"/>
      <x:c r="Z271" s="216"/>
    </x:row>
    <x:row r="272">
      <x:c r="A272" s="216"/>
      <x:c r="B272" s="216"/>
      <x:c r="C272" s="216"/>
      <x:c r="D272" s="216"/>
      <x:c r="E272" s="216"/>
      <x:c r="F272" s="216"/>
      <x:c r="G272" s="216"/>
      <x:c r="H272" s="216"/>
      <x:c r="I272" s="216"/>
      <x:c r="J272" s="216"/>
      <x:c r="K272" s="216"/>
      <x:c r="L272" s="216"/>
      <x:c r="M272" s="216"/>
      <x:c r="N272" s="216"/>
      <x:c r="O272" s="216"/>
      <x:c r="P272" s="216"/>
      <x:c r="Q272" s="216"/>
      <x:c r="R272" s="216"/>
      <x:c r="S272" s="216"/>
      <x:c r="T272" s="216"/>
      <x:c r="U272" s="216"/>
      <x:c r="V272" s="216"/>
      <x:c r="W272" s="216"/>
      <x:c r="X272" s="216"/>
      <x:c r="Y272" s="216"/>
      <x:c r="Z272" s="216"/>
    </x:row>
    <x:row r="273">
      <x:c r="A273" s="216"/>
      <x:c r="B273" s="216"/>
      <x:c r="C273" s="216"/>
      <x:c r="D273" s="216"/>
      <x:c r="E273" s="216"/>
      <x:c r="F273" s="216"/>
      <x:c r="G273" s="216"/>
      <x:c r="H273" s="216"/>
      <x:c r="I273" s="216"/>
      <x:c r="J273" s="216"/>
      <x:c r="K273" s="216"/>
      <x:c r="L273" s="216"/>
      <x:c r="M273" s="216"/>
      <x:c r="N273" s="216"/>
      <x:c r="O273" s="216"/>
      <x:c r="P273" s="216"/>
      <x:c r="Q273" s="216"/>
      <x:c r="R273" s="216"/>
      <x:c r="S273" s="216"/>
      <x:c r="T273" s="216"/>
      <x:c r="U273" s="216"/>
      <x:c r="V273" s="216"/>
      <x:c r="W273" s="216"/>
      <x:c r="X273" s="216"/>
      <x:c r="Y273" s="216"/>
      <x:c r="Z273" s="216"/>
    </x:row>
    <x:row r="274">
      <x:c r="A274" s="216"/>
      <x:c r="B274" s="216"/>
      <x:c r="C274" s="216"/>
      <x:c r="D274" s="216"/>
      <x:c r="E274" s="216"/>
      <x:c r="F274" s="216"/>
      <x:c r="G274" s="216"/>
      <x:c r="H274" s="216"/>
      <x:c r="I274" s="216"/>
      <x:c r="J274" s="216"/>
      <x:c r="K274" s="216"/>
      <x:c r="L274" s="216"/>
      <x:c r="M274" s="216"/>
      <x:c r="N274" s="216"/>
      <x:c r="O274" s="216"/>
      <x:c r="P274" s="216"/>
      <x:c r="Q274" s="216"/>
      <x:c r="R274" s="216"/>
      <x:c r="S274" s="216"/>
      <x:c r="T274" s="216"/>
      <x:c r="U274" s="216"/>
      <x:c r="V274" s="216"/>
      <x:c r="W274" s="216"/>
      <x:c r="X274" s="216"/>
      <x:c r="Y274" s="216"/>
      <x:c r="Z274" s="216"/>
    </x:row>
    <x:row r="275">
      <x:c r="A275" s="216"/>
      <x:c r="B275" s="216"/>
      <x:c r="C275" s="216"/>
      <x:c r="D275" s="216"/>
      <x:c r="E275" s="216"/>
      <x:c r="F275" s="216"/>
      <x:c r="G275" s="216"/>
      <x:c r="H275" s="216"/>
      <x:c r="I275" s="216"/>
      <x:c r="J275" s="216"/>
      <x:c r="K275" s="216"/>
      <x:c r="L275" s="216"/>
      <x:c r="M275" s="216"/>
      <x:c r="N275" s="216"/>
      <x:c r="O275" s="216"/>
      <x:c r="P275" s="216"/>
      <x:c r="Q275" s="216"/>
      <x:c r="R275" s="216"/>
      <x:c r="S275" s="216"/>
      <x:c r="T275" s="216"/>
      <x:c r="U275" s="216"/>
      <x:c r="V275" s="216"/>
      <x:c r="W275" s="216"/>
      <x:c r="X275" s="216"/>
      <x:c r="Y275" s="216"/>
      <x:c r="Z275" s="216"/>
    </x:row>
    <x:row r="276">
      <x:c r="A276" s="216"/>
      <x:c r="B276" s="216"/>
      <x:c r="C276" s="216"/>
      <x:c r="D276" s="216"/>
      <x:c r="E276" s="216"/>
      <x:c r="F276" s="216"/>
      <x:c r="G276" s="216"/>
      <x:c r="H276" s="216"/>
      <x:c r="I276" s="216"/>
      <x:c r="J276" s="216"/>
      <x:c r="K276" s="216"/>
      <x:c r="L276" s="216"/>
      <x:c r="M276" s="216"/>
      <x:c r="N276" s="216"/>
      <x:c r="O276" s="216"/>
      <x:c r="P276" s="216"/>
      <x:c r="Q276" s="216"/>
      <x:c r="R276" s="216"/>
      <x:c r="S276" s="216"/>
      <x:c r="T276" s="216"/>
      <x:c r="U276" s="216"/>
      <x:c r="V276" s="216"/>
      <x:c r="W276" s="216"/>
      <x:c r="X276" s="216"/>
      <x:c r="Y276" s="216"/>
      <x:c r="Z276" s="216"/>
    </x:row>
    <x:row r="277">
      <x:c r="A277" s="216"/>
      <x:c r="B277" s="216"/>
      <x:c r="C277" s="216"/>
      <x:c r="D277" s="216"/>
      <x:c r="E277" s="216"/>
      <x:c r="F277" s="216"/>
      <x:c r="G277" s="216"/>
      <x:c r="H277" s="216"/>
      <x:c r="I277" s="216"/>
      <x:c r="J277" s="216"/>
      <x:c r="K277" s="216"/>
      <x:c r="L277" s="216"/>
      <x:c r="M277" s="216"/>
      <x:c r="N277" s="216"/>
      <x:c r="O277" s="216"/>
      <x:c r="P277" s="216"/>
      <x:c r="Q277" s="216"/>
      <x:c r="R277" s="216"/>
      <x:c r="S277" s="216"/>
      <x:c r="T277" s="216"/>
      <x:c r="U277" s="216"/>
      <x:c r="V277" s="216"/>
      <x:c r="W277" s="216"/>
      <x:c r="X277" s="216"/>
      <x:c r="Y277" s="216"/>
      <x:c r="Z277" s="216"/>
    </x:row>
    <x:row r="278">
      <x:c r="A278" s="216"/>
      <x:c r="B278" s="216"/>
      <x:c r="C278" s="216"/>
      <x:c r="D278" s="216"/>
      <x:c r="E278" s="216"/>
      <x:c r="F278" s="216"/>
      <x:c r="G278" s="216"/>
      <x:c r="H278" s="216"/>
      <x:c r="I278" s="216"/>
      <x:c r="J278" s="216"/>
      <x:c r="K278" s="216"/>
      <x:c r="L278" s="216"/>
      <x:c r="M278" s="216"/>
      <x:c r="N278" s="216"/>
      <x:c r="O278" s="216"/>
      <x:c r="P278" s="216"/>
      <x:c r="Q278" s="216"/>
      <x:c r="R278" s="216"/>
      <x:c r="S278" s="216"/>
      <x:c r="T278" s="216"/>
      <x:c r="U278" s="216"/>
      <x:c r="V278" s="216"/>
      <x:c r="W278" s="216"/>
      <x:c r="X278" s="216"/>
      <x:c r="Y278" s="216"/>
      <x:c r="Z278" s="216"/>
    </x:row>
    <x:row r="279">
      <x:c r="A279" s="216"/>
      <x:c r="B279" s="216"/>
      <x:c r="C279" s="216"/>
      <x:c r="D279" s="216"/>
      <x:c r="E279" s="216"/>
      <x:c r="F279" s="216"/>
      <x:c r="G279" s="216"/>
      <x:c r="H279" s="216"/>
      <x:c r="I279" s="216"/>
      <x:c r="J279" s="216"/>
      <x:c r="K279" s="216"/>
      <x:c r="L279" s="216"/>
      <x:c r="M279" s="216"/>
      <x:c r="N279" s="216"/>
      <x:c r="O279" s="216"/>
      <x:c r="P279" s="216"/>
      <x:c r="Q279" s="216"/>
      <x:c r="R279" s="216"/>
      <x:c r="S279" s="216"/>
      <x:c r="T279" s="216"/>
      <x:c r="U279" s="216"/>
      <x:c r="V279" s="216"/>
      <x:c r="W279" s="216"/>
      <x:c r="X279" s="216"/>
      <x:c r="Y279" s="216"/>
      <x:c r="Z279" s="216"/>
    </x:row>
    <x:row r="280">
      <x:c r="A280" s="216"/>
      <x:c r="B280" s="216"/>
      <x:c r="C280" s="216"/>
      <x:c r="D280" s="216"/>
      <x:c r="E280" s="216"/>
      <x:c r="F280" s="216"/>
      <x:c r="G280" s="216"/>
      <x:c r="H280" s="216"/>
      <x:c r="I280" s="216"/>
      <x:c r="J280" s="216"/>
      <x:c r="K280" s="216"/>
      <x:c r="L280" s="216"/>
      <x:c r="M280" s="216"/>
      <x:c r="N280" s="216"/>
      <x:c r="O280" s="216"/>
      <x:c r="P280" s="216"/>
      <x:c r="Q280" s="216"/>
      <x:c r="R280" s="216"/>
      <x:c r="S280" s="216"/>
      <x:c r="T280" s="216"/>
      <x:c r="U280" s="216"/>
      <x:c r="V280" s="216"/>
      <x:c r="W280" s="216"/>
      <x:c r="X280" s="216"/>
      <x:c r="Y280" s="216"/>
      <x:c r="Z280" s="216"/>
    </x:row>
    <x:row r="281">
      <x:c r="A281" s="216"/>
      <x:c r="B281" s="216"/>
      <x:c r="C281" s="216"/>
      <x:c r="D281" s="216"/>
      <x:c r="E281" s="216"/>
      <x:c r="F281" s="216"/>
      <x:c r="G281" s="216"/>
      <x:c r="H281" s="216"/>
      <x:c r="I281" s="216"/>
      <x:c r="J281" s="216"/>
      <x:c r="K281" s="216"/>
      <x:c r="L281" s="216"/>
      <x:c r="M281" s="216"/>
      <x:c r="N281" s="216"/>
      <x:c r="O281" s="216"/>
      <x:c r="P281" s="216"/>
      <x:c r="Q281" s="216"/>
      <x:c r="R281" s="216"/>
      <x:c r="S281" s="216"/>
      <x:c r="T281" s="216"/>
      <x:c r="U281" s="216"/>
      <x:c r="V281" s="216"/>
      <x:c r="W281" s="216"/>
      <x:c r="X281" s="216"/>
      <x:c r="Y281" s="216"/>
      <x:c r="Z281" s="216"/>
    </x:row>
    <x:row r="282">
      <x:c r="A282" s="216"/>
      <x:c r="B282" s="216"/>
      <x:c r="C282" s="216"/>
      <x:c r="D282" s="216"/>
      <x:c r="E282" s="216"/>
      <x:c r="F282" s="216"/>
      <x:c r="G282" s="216"/>
      <x:c r="H282" s="216"/>
      <x:c r="I282" s="216"/>
      <x:c r="J282" s="216"/>
      <x:c r="K282" s="216"/>
      <x:c r="L282" s="216"/>
      <x:c r="M282" s="216"/>
      <x:c r="N282" s="216"/>
      <x:c r="O282" s="216"/>
      <x:c r="P282" s="216"/>
      <x:c r="Q282" s="216"/>
      <x:c r="R282" s="216"/>
      <x:c r="S282" s="216"/>
      <x:c r="T282" s="216"/>
      <x:c r="U282" s="216"/>
      <x:c r="V282" s="216"/>
      <x:c r="W282" s="216"/>
      <x:c r="X282" s="216"/>
      <x:c r="Y282" s="216"/>
      <x:c r="Z282" s="216"/>
    </x:row>
    <x:row r="283">
      <x:c r="A283" s="216"/>
      <x:c r="B283" s="216"/>
      <x:c r="C283" s="216"/>
      <x:c r="D283" s="216"/>
      <x:c r="E283" s="216"/>
      <x:c r="F283" s="216"/>
      <x:c r="G283" s="216"/>
      <x:c r="H283" s="216"/>
      <x:c r="I283" s="216"/>
      <x:c r="J283" s="216"/>
      <x:c r="K283" s="216"/>
      <x:c r="L283" s="216"/>
      <x:c r="M283" s="216"/>
      <x:c r="N283" s="216"/>
      <x:c r="O283" s="216"/>
      <x:c r="P283" s="216"/>
      <x:c r="Q283" s="216"/>
      <x:c r="R283" s="216"/>
      <x:c r="S283" s="216"/>
      <x:c r="T283" s="216"/>
      <x:c r="U283" s="216"/>
      <x:c r="V283" s="216"/>
      <x:c r="W283" s="216"/>
      <x:c r="X283" s="216"/>
      <x:c r="Y283" s="216"/>
      <x:c r="Z283" s="216"/>
    </x:row>
    <x:row r="284">
      <x:c r="A284" s="216"/>
      <x:c r="B284" s="216"/>
      <x:c r="C284" s="216"/>
      <x:c r="D284" s="216"/>
      <x:c r="E284" s="216"/>
      <x:c r="F284" s="216"/>
      <x:c r="G284" s="216"/>
      <x:c r="H284" s="216"/>
      <x:c r="I284" s="216"/>
      <x:c r="J284" s="216"/>
      <x:c r="K284" s="216"/>
      <x:c r="L284" s="216"/>
      <x:c r="M284" s="216"/>
      <x:c r="N284" s="216"/>
      <x:c r="O284" s="216"/>
      <x:c r="P284" s="216"/>
      <x:c r="Q284" s="216"/>
      <x:c r="R284" s="216"/>
      <x:c r="S284" s="216"/>
      <x:c r="T284" s="216"/>
      <x:c r="U284" s="216"/>
      <x:c r="V284" s="216"/>
      <x:c r="W284" s="216"/>
      <x:c r="X284" s="216"/>
      <x:c r="Y284" s="216"/>
      <x:c r="Z284" s="216"/>
    </x:row>
    <x:row r="285">
      <x:c r="A285" s="216"/>
      <x:c r="B285" s="216"/>
      <x:c r="C285" s="216"/>
      <x:c r="D285" s="216"/>
      <x:c r="E285" s="216"/>
      <x:c r="F285" s="216"/>
      <x:c r="G285" s="216"/>
      <x:c r="H285" s="216"/>
      <x:c r="I285" s="216"/>
      <x:c r="J285" s="216"/>
      <x:c r="K285" s="216"/>
      <x:c r="L285" s="216"/>
      <x:c r="M285" s="216"/>
      <x:c r="N285" s="216"/>
      <x:c r="O285" s="216"/>
      <x:c r="P285" s="216"/>
      <x:c r="Q285" s="216"/>
      <x:c r="R285" s="216"/>
      <x:c r="S285" s="216"/>
      <x:c r="T285" s="216"/>
      <x:c r="U285" s="216"/>
      <x:c r="V285" s="216"/>
      <x:c r="W285" s="216"/>
      <x:c r="X285" s="216"/>
      <x:c r="Y285" s="216"/>
      <x:c r="Z285" s="216"/>
    </x:row>
    <x:row r="286">
      <x:c r="A286" s="216"/>
      <x:c r="B286" s="216"/>
      <x:c r="C286" s="216"/>
      <x:c r="D286" s="216"/>
      <x:c r="E286" s="216"/>
      <x:c r="F286" s="216"/>
      <x:c r="G286" s="216"/>
      <x:c r="H286" s="216"/>
      <x:c r="I286" s="216"/>
      <x:c r="J286" s="216"/>
      <x:c r="K286" s="216"/>
      <x:c r="L286" s="216"/>
      <x:c r="M286" s="216"/>
      <x:c r="N286" s="216"/>
      <x:c r="O286" s="216"/>
      <x:c r="P286" s="216"/>
      <x:c r="Q286" s="216"/>
      <x:c r="R286" s="216"/>
      <x:c r="S286" s="216"/>
      <x:c r="T286" s="216"/>
      <x:c r="U286" s="216"/>
      <x:c r="V286" s="216"/>
      <x:c r="W286" s="216"/>
      <x:c r="X286" s="216"/>
      <x:c r="Y286" s="216"/>
      <x:c r="Z286" s="216"/>
    </x:row>
    <x:row r="287">
      <x:c r="A287" s="216"/>
      <x:c r="B287" s="216"/>
      <x:c r="C287" s="216"/>
      <x:c r="D287" s="216"/>
      <x:c r="E287" s="216"/>
      <x:c r="F287" s="216"/>
      <x:c r="G287" s="216"/>
      <x:c r="H287" s="216"/>
      <x:c r="I287" s="216"/>
      <x:c r="J287" s="216"/>
      <x:c r="K287" s="216"/>
      <x:c r="L287" s="216"/>
      <x:c r="M287" s="216"/>
      <x:c r="N287" s="216"/>
      <x:c r="O287" s="216"/>
      <x:c r="P287" s="216"/>
      <x:c r="Q287" s="216"/>
      <x:c r="R287" s="216"/>
      <x:c r="S287" s="216"/>
      <x:c r="T287" s="216"/>
      <x:c r="U287" s="216"/>
      <x:c r="V287" s="216"/>
      <x:c r="W287" s="216"/>
      <x:c r="X287" s="216"/>
      <x:c r="Y287" s="216"/>
      <x:c r="Z287" s="216"/>
    </x:row>
    <x:row r="288">
      <x:c r="A288" s="216"/>
      <x:c r="B288" s="216"/>
      <x:c r="C288" s="216"/>
      <x:c r="D288" s="216"/>
      <x:c r="E288" s="216"/>
      <x:c r="F288" s="216"/>
      <x:c r="G288" s="216"/>
      <x:c r="H288" s="216"/>
      <x:c r="I288" s="216"/>
      <x:c r="J288" s="216"/>
      <x:c r="K288" s="216"/>
      <x:c r="L288" s="216"/>
      <x:c r="M288" s="216"/>
      <x:c r="N288" s="216"/>
      <x:c r="O288" s="216"/>
      <x:c r="P288" s="216"/>
      <x:c r="Q288" s="216"/>
      <x:c r="R288" s="216"/>
      <x:c r="S288" s="216"/>
      <x:c r="T288" s="216"/>
      <x:c r="U288" s="216"/>
      <x:c r="V288" s="216"/>
      <x:c r="W288" s="216"/>
      <x:c r="X288" s="216"/>
      <x:c r="Y288" s="216"/>
      <x:c r="Z288" s="216"/>
    </x:row>
    <x:row r="289">
      <x:c r="A289" s="216"/>
      <x:c r="B289" s="216"/>
      <x:c r="C289" s="216"/>
      <x:c r="D289" s="216"/>
      <x:c r="E289" s="216"/>
      <x:c r="F289" s="216"/>
      <x:c r="G289" s="216"/>
      <x:c r="H289" s="216"/>
      <x:c r="I289" s="216"/>
      <x:c r="J289" s="216"/>
      <x:c r="K289" s="216"/>
      <x:c r="L289" s="216"/>
      <x:c r="M289" s="216"/>
      <x:c r="N289" s="216"/>
      <x:c r="O289" s="216"/>
      <x:c r="P289" s="216"/>
      <x:c r="Q289" s="216"/>
      <x:c r="R289" s="216"/>
      <x:c r="S289" s="216"/>
      <x:c r="T289" s="216"/>
      <x:c r="U289" s="216"/>
      <x:c r="V289" s="216"/>
      <x:c r="W289" s="216"/>
      <x:c r="X289" s="216"/>
      <x:c r="Y289" s="216"/>
      <x:c r="Z289" s="216"/>
    </x:row>
    <x:row r="290">
      <x:c r="A290" s="216"/>
      <x:c r="B290" s="216"/>
      <x:c r="C290" s="216"/>
      <x:c r="D290" s="216"/>
      <x:c r="E290" s="216"/>
      <x:c r="F290" s="216"/>
      <x:c r="G290" s="216"/>
      <x:c r="H290" s="216"/>
      <x:c r="I290" s="216"/>
      <x:c r="J290" s="216"/>
      <x:c r="K290" s="216"/>
      <x:c r="L290" s="216"/>
      <x:c r="M290" s="216"/>
      <x:c r="N290" s="216"/>
      <x:c r="O290" s="216"/>
      <x:c r="P290" s="216"/>
      <x:c r="Q290" s="216"/>
      <x:c r="R290" s="216"/>
      <x:c r="S290" s="216"/>
      <x:c r="T290" s="216"/>
      <x:c r="U290" s="216"/>
      <x:c r="V290" s="216"/>
      <x:c r="W290" s="216"/>
      <x:c r="X290" s="216"/>
      <x:c r="Y290" s="216"/>
      <x:c r="Z290" s="216"/>
    </x:row>
    <x:row r="291">
      <x:c r="A291" s="216"/>
      <x:c r="B291" s="216"/>
      <x:c r="C291" s="216"/>
      <x:c r="D291" s="216"/>
      <x:c r="E291" s="216"/>
      <x:c r="F291" s="216"/>
      <x:c r="G291" s="216"/>
      <x:c r="H291" s="216"/>
      <x:c r="I291" s="216"/>
      <x:c r="J291" s="216"/>
      <x:c r="K291" s="216"/>
      <x:c r="L291" s="216"/>
      <x:c r="M291" s="216"/>
      <x:c r="N291" s="216"/>
      <x:c r="O291" s="216"/>
      <x:c r="P291" s="216"/>
      <x:c r="Q291" s="216"/>
      <x:c r="R291" s="216"/>
      <x:c r="S291" s="216"/>
      <x:c r="T291" s="216"/>
      <x:c r="U291" s="216"/>
      <x:c r="V291" s="216"/>
      <x:c r="W291" s="216"/>
      <x:c r="X291" s="216"/>
      <x:c r="Y291" s="216"/>
      <x:c r="Z291" s="216"/>
    </x:row>
    <x:row r="292">
      <x:c r="A292" s="216"/>
      <x:c r="B292" s="216"/>
      <x:c r="C292" s="216"/>
      <x:c r="D292" s="216"/>
      <x:c r="E292" s="216"/>
      <x:c r="F292" s="216"/>
      <x:c r="G292" s="216"/>
      <x:c r="H292" s="216"/>
      <x:c r="I292" s="216"/>
      <x:c r="J292" s="216"/>
      <x:c r="K292" s="216"/>
      <x:c r="L292" s="216"/>
      <x:c r="M292" s="216"/>
      <x:c r="N292" s="216"/>
      <x:c r="O292" s="216"/>
      <x:c r="P292" s="216"/>
      <x:c r="Q292" s="216"/>
      <x:c r="R292" s="216"/>
      <x:c r="S292" s="216"/>
      <x:c r="T292" s="216"/>
      <x:c r="U292" s="216"/>
      <x:c r="V292" s="216"/>
      <x:c r="W292" s="216"/>
      <x:c r="X292" s="216"/>
      <x:c r="Y292" s="216"/>
      <x:c r="Z292" s="216"/>
    </x:row>
    <x:row r="293">
      <x:c r="A293" s="216"/>
      <x:c r="B293" s="216"/>
      <x:c r="C293" s="216"/>
      <x:c r="D293" s="216"/>
      <x:c r="E293" s="216"/>
      <x:c r="F293" s="216"/>
      <x:c r="G293" s="216"/>
      <x:c r="H293" s="216"/>
      <x:c r="I293" s="216"/>
      <x:c r="J293" s="216"/>
      <x:c r="K293" s="216"/>
      <x:c r="L293" s="216"/>
      <x:c r="M293" s="216"/>
      <x:c r="N293" s="216"/>
      <x:c r="O293" s="216"/>
      <x:c r="P293" s="216"/>
      <x:c r="Q293" s="216"/>
      <x:c r="R293" s="216"/>
      <x:c r="S293" s="216"/>
      <x:c r="T293" s="216"/>
      <x:c r="U293" s="216"/>
      <x:c r="V293" s="216"/>
      <x:c r="W293" s="216"/>
      <x:c r="X293" s="216"/>
      <x:c r="Y293" s="216"/>
      <x:c r="Z293" s="216"/>
    </x:row>
    <x:row r="294">
      <x:c r="A294" s="216"/>
      <x:c r="B294" s="216"/>
      <x:c r="C294" s="216"/>
      <x:c r="D294" s="216"/>
      <x:c r="E294" s="216"/>
      <x:c r="F294" s="216"/>
      <x:c r="G294" s="216"/>
      <x:c r="H294" s="216"/>
      <x:c r="I294" s="216"/>
      <x:c r="J294" s="216"/>
      <x:c r="K294" s="216"/>
      <x:c r="L294" s="216"/>
      <x:c r="M294" s="216"/>
      <x:c r="N294" s="216"/>
      <x:c r="O294" s="216"/>
      <x:c r="P294" s="216"/>
      <x:c r="Q294" s="216"/>
      <x:c r="R294" s="216"/>
      <x:c r="S294" s="216"/>
      <x:c r="T294" s="216"/>
      <x:c r="U294" s="216"/>
      <x:c r="V294" s="216"/>
      <x:c r="W294" s="216"/>
      <x:c r="X294" s="216"/>
      <x:c r="Y294" s="216"/>
      <x:c r="Z294" s="216"/>
    </x:row>
    <x:row r="295">
      <x:c r="A295" s="216"/>
      <x:c r="B295" s="216"/>
      <x:c r="C295" s="216"/>
      <x:c r="D295" s="216"/>
      <x:c r="E295" s="216"/>
      <x:c r="F295" s="216"/>
      <x:c r="G295" s="216"/>
      <x:c r="H295" s="216"/>
      <x:c r="I295" s="216"/>
      <x:c r="J295" s="216"/>
      <x:c r="K295" s="216"/>
      <x:c r="L295" s="216"/>
      <x:c r="M295" s="216"/>
      <x:c r="N295" s="216"/>
      <x:c r="O295" s="216"/>
      <x:c r="P295" s="216"/>
      <x:c r="Q295" s="216"/>
      <x:c r="R295" s="216"/>
      <x:c r="S295" s="216"/>
      <x:c r="T295" s="216"/>
      <x:c r="U295" s="216"/>
      <x:c r="V295" s="216"/>
      <x:c r="W295" s="216"/>
      <x:c r="X295" s="216"/>
      <x:c r="Y295" s="216"/>
      <x:c r="Z295" s="216"/>
    </x:row>
    <x:row r="296">
      <x:c r="A296" s="216"/>
      <x:c r="B296" s="216"/>
      <x:c r="C296" s="216"/>
      <x:c r="D296" s="216"/>
      <x:c r="E296" s="216"/>
      <x:c r="F296" s="216"/>
      <x:c r="G296" s="216"/>
      <x:c r="H296" s="216"/>
      <x:c r="I296" s="216"/>
      <x:c r="J296" s="216"/>
      <x:c r="K296" s="216"/>
      <x:c r="L296" s="216"/>
      <x:c r="M296" s="216"/>
      <x:c r="N296" s="216"/>
      <x:c r="O296" s="216"/>
      <x:c r="P296" s="216"/>
      <x:c r="Q296" s="216"/>
      <x:c r="R296" s="216"/>
      <x:c r="S296" s="216"/>
      <x:c r="T296" s="216"/>
      <x:c r="U296" s="216"/>
      <x:c r="V296" s="216"/>
      <x:c r="W296" s="216"/>
      <x:c r="X296" s="216"/>
      <x:c r="Y296" s="216"/>
      <x:c r="Z296" s="216"/>
    </x:row>
    <x:row r="297">
      <x:c r="A297" s="216"/>
      <x:c r="B297" s="216"/>
      <x:c r="C297" s="216"/>
      <x:c r="D297" s="216"/>
      <x:c r="E297" s="216"/>
      <x:c r="F297" s="216"/>
      <x:c r="G297" s="216"/>
      <x:c r="H297" s="216"/>
      <x:c r="I297" s="216"/>
      <x:c r="J297" s="216"/>
      <x:c r="K297" s="216"/>
      <x:c r="L297" s="216"/>
      <x:c r="M297" s="216"/>
      <x:c r="N297" s="216"/>
      <x:c r="O297" s="216"/>
      <x:c r="P297" s="216"/>
      <x:c r="Q297" s="216"/>
      <x:c r="R297" s="216"/>
      <x:c r="S297" s="216"/>
      <x:c r="T297" s="216"/>
      <x:c r="U297" s="216"/>
      <x:c r="V297" s="216"/>
      <x:c r="W297" s="216"/>
      <x:c r="X297" s="216"/>
      <x:c r="Y297" s="216"/>
      <x:c r="Z297" s="216"/>
    </x:row>
    <x:row r="298">
      <x:c r="A298" s="216"/>
      <x:c r="B298" s="216"/>
      <x:c r="C298" s="216"/>
      <x:c r="D298" s="216"/>
      <x:c r="E298" s="216"/>
      <x:c r="F298" s="216"/>
      <x:c r="G298" s="216"/>
      <x:c r="H298" s="216"/>
      <x:c r="I298" s="216"/>
      <x:c r="J298" s="216"/>
      <x:c r="K298" s="216"/>
      <x:c r="L298" s="216"/>
      <x:c r="M298" s="216"/>
      <x:c r="N298" s="216"/>
      <x:c r="O298" s="216"/>
      <x:c r="P298" s="216"/>
      <x:c r="Q298" s="216"/>
      <x:c r="R298" s="216"/>
      <x:c r="S298" s="216"/>
      <x:c r="T298" s="216"/>
      <x:c r="U298" s="216"/>
      <x:c r="V298" s="216"/>
      <x:c r="W298" s="216"/>
      <x:c r="X298" s="216"/>
      <x:c r="Y298" s="216"/>
      <x:c r="Z298" s="216"/>
    </x:row>
    <x:row r="299">
      <x:c r="A299" s="216"/>
      <x:c r="B299" s="216"/>
      <x:c r="C299" s="216"/>
      <x:c r="D299" s="216"/>
      <x:c r="E299" s="216"/>
      <x:c r="F299" s="216"/>
      <x:c r="G299" s="216"/>
      <x:c r="H299" s="216"/>
      <x:c r="I299" s="216"/>
      <x:c r="J299" s="216"/>
      <x:c r="K299" s="216"/>
      <x:c r="L299" s="216"/>
      <x:c r="M299" s="216"/>
      <x:c r="N299" s="216"/>
      <x:c r="O299" s="216"/>
      <x:c r="P299" s="216"/>
      <x:c r="Q299" s="216"/>
      <x:c r="R299" s="216"/>
      <x:c r="S299" s="216"/>
      <x:c r="T299" s="216"/>
      <x:c r="U299" s="216"/>
      <x:c r="V299" s="216"/>
      <x:c r="W299" s="216"/>
      <x:c r="X299" s="216"/>
      <x:c r="Y299" s="216"/>
      <x:c r="Z299" s="216"/>
    </x:row>
    <x:row r="300">
      <x:c r="A300" s="216"/>
      <x:c r="B300" s="216"/>
      <x:c r="C300" s="216"/>
      <x:c r="D300" s="216"/>
      <x:c r="E300" s="216"/>
      <x:c r="F300" s="216"/>
      <x:c r="G300" s="216"/>
      <x:c r="H300" s="216"/>
      <x:c r="I300" s="216"/>
      <x:c r="J300" s="216"/>
      <x:c r="K300" s="216"/>
      <x:c r="L300" s="216"/>
      <x:c r="M300" s="216"/>
      <x:c r="N300" s="216"/>
      <x:c r="O300" s="216"/>
      <x:c r="P300" s="216"/>
      <x:c r="Q300" s="216"/>
      <x:c r="R300" s="216"/>
      <x:c r="S300" s="216"/>
      <x:c r="T300" s="216"/>
      <x:c r="U300" s="216"/>
      <x:c r="V300" s="216"/>
      <x:c r="W300" s="216"/>
      <x:c r="X300" s="216"/>
      <x:c r="Y300" s="216"/>
      <x:c r="Z300" s="216"/>
    </x:row>
    <x:row r="301">
      <x:c r="A301" s="216"/>
      <x:c r="B301" s="216"/>
      <x:c r="C301" s="216"/>
      <x:c r="D301" s="216"/>
      <x:c r="E301" s="216"/>
      <x:c r="F301" s="216"/>
      <x:c r="G301" s="216"/>
      <x:c r="H301" s="216"/>
      <x:c r="I301" s="216"/>
      <x:c r="J301" s="216"/>
      <x:c r="K301" s="216"/>
      <x:c r="L301" s="216"/>
      <x:c r="M301" s="216"/>
      <x:c r="N301" s="216"/>
      <x:c r="O301" s="216"/>
      <x:c r="P301" s="216"/>
      <x:c r="Q301" s="216"/>
      <x:c r="R301" s="216"/>
      <x:c r="S301" s="216"/>
      <x:c r="T301" s="216"/>
      <x:c r="U301" s="216"/>
      <x:c r="V301" s="216"/>
      <x:c r="W301" s="216"/>
      <x:c r="X301" s="216"/>
      <x:c r="Y301" s="216"/>
      <x:c r="Z301" s="216"/>
    </x:row>
    <x:row r="302">
      <x:c r="A302" s="216"/>
      <x:c r="B302" s="216"/>
      <x:c r="C302" s="216"/>
      <x:c r="D302" s="216"/>
      <x:c r="E302" s="216"/>
      <x:c r="F302" s="216"/>
      <x:c r="G302" s="216"/>
      <x:c r="H302" s="216"/>
      <x:c r="I302" s="216"/>
      <x:c r="J302" s="216"/>
      <x:c r="K302" s="216"/>
      <x:c r="L302" s="216"/>
      <x:c r="M302" s="216"/>
      <x:c r="N302" s="216"/>
      <x:c r="O302" s="216"/>
      <x:c r="P302" s="216"/>
      <x:c r="Q302" s="216"/>
      <x:c r="R302" s="216"/>
      <x:c r="S302" s="216"/>
      <x:c r="T302" s="216"/>
      <x:c r="U302" s="216"/>
      <x:c r="V302" s="216"/>
      <x:c r="W302" s="216"/>
      <x:c r="X302" s="216"/>
      <x:c r="Y302" s="216"/>
      <x:c r="Z302" s="216"/>
    </x:row>
    <x:row r="303">
      <x:c r="A303" s="216"/>
      <x:c r="B303" s="216"/>
      <x:c r="C303" s="216"/>
      <x:c r="D303" s="216"/>
      <x:c r="E303" s="216"/>
      <x:c r="F303" s="216"/>
      <x:c r="G303" s="216"/>
      <x:c r="H303" s="216"/>
      <x:c r="I303" s="216"/>
      <x:c r="J303" s="216"/>
      <x:c r="K303" s="216"/>
      <x:c r="L303" s="216"/>
      <x:c r="M303" s="216"/>
      <x:c r="N303" s="216"/>
      <x:c r="O303" s="216"/>
      <x:c r="P303" s="216"/>
      <x:c r="Q303" s="216"/>
      <x:c r="R303" s="216"/>
      <x:c r="S303" s="216"/>
      <x:c r="T303" s="216"/>
      <x:c r="U303" s="216"/>
      <x:c r="V303" s="216"/>
      <x:c r="W303" s="216"/>
      <x:c r="X303" s="216"/>
      <x:c r="Y303" s="216"/>
      <x:c r="Z303" s="216"/>
    </x:row>
    <x:row r="304">
      <x:c r="A304" s="216"/>
      <x:c r="B304" s="216"/>
      <x:c r="C304" s="216"/>
      <x:c r="D304" s="216"/>
      <x:c r="E304" s="216"/>
      <x:c r="F304" s="216"/>
      <x:c r="G304" s="216"/>
      <x:c r="H304" s="216"/>
      <x:c r="I304" s="216"/>
      <x:c r="J304" s="216"/>
      <x:c r="K304" s="216"/>
      <x:c r="L304" s="216"/>
      <x:c r="M304" s="216"/>
      <x:c r="N304" s="216"/>
      <x:c r="O304" s="216"/>
      <x:c r="P304" s="216"/>
      <x:c r="Q304" s="216"/>
      <x:c r="R304" s="216"/>
      <x:c r="S304" s="216"/>
      <x:c r="T304" s="216"/>
      <x:c r="U304" s="216"/>
      <x:c r="V304" s="216"/>
      <x:c r="W304" s="216"/>
      <x:c r="X304" s="216"/>
      <x:c r="Y304" s="216"/>
      <x:c r="Z304" s="216"/>
    </x:row>
    <x:row r="305">
      <x:c r="A305" s="216"/>
      <x:c r="B305" s="216"/>
      <x:c r="C305" s="216"/>
      <x:c r="D305" s="216"/>
      <x:c r="E305" s="216"/>
      <x:c r="F305" s="216"/>
      <x:c r="G305" s="216"/>
      <x:c r="H305" s="216"/>
      <x:c r="I305" s="216"/>
      <x:c r="J305" s="216"/>
      <x:c r="K305" s="216"/>
      <x:c r="L305" s="216"/>
      <x:c r="M305" s="216"/>
      <x:c r="N305" s="216"/>
      <x:c r="O305" s="216"/>
      <x:c r="P305" s="216"/>
      <x:c r="Q305" s="216"/>
      <x:c r="R305" s="216"/>
      <x:c r="S305" s="216"/>
      <x:c r="T305" s="216"/>
      <x:c r="U305" s="216"/>
      <x:c r="V305" s="216"/>
      <x:c r="W305" s="216"/>
      <x:c r="X305" s="216"/>
      <x:c r="Y305" s="216"/>
      <x:c r="Z305" s="216"/>
    </x:row>
    <x:row r="306">
      <x:c r="A306" s="216"/>
      <x:c r="B306" s="216"/>
      <x:c r="C306" s="216"/>
      <x:c r="D306" s="216"/>
      <x:c r="E306" s="216"/>
      <x:c r="F306" s="216"/>
      <x:c r="G306" s="216"/>
      <x:c r="H306" s="216"/>
      <x:c r="I306" s="216"/>
      <x:c r="J306" s="216"/>
      <x:c r="K306" s="216"/>
      <x:c r="L306" s="216"/>
      <x:c r="M306" s="216"/>
      <x:c r="N306" s="216"/>
      <x:c r="O306" s="216"/>
      <x:c r="P306" s="216"/>
      <x:c r="Q306" s="216"/>
      <x:c r="R306" s="216"/>
      <x:c r="S306" s="216"/>
      <x:c r="T306" s="216"/>
      <x:c r="U306" s="216"/>
      <x:c r="V306" s="216"/>
      <x:c r="W306" s="216"/>
      <x:c r="X306" s="216"/>
      <x:c r="Y306" s="216"/>
      <x:c r="Z306" s="216"/>
    </x:row>
    <x:row r="307">
      <x:c r="A307" s="216"/>
      <x:c r="B307" s="216"/>
      <x:c r="C307" s="216"/>
      <x:c r="D307" s="216"/>
      <x:c r="E307" s="216"/>
      <x:c r="F307" s="216"/>
      <x:c r="G307" s="216"/>
      <x:c r="H307" s="216"/>
      <x:c r="I307" s="216"/>
      <x:c r="J307" s="216"/>
      <x:c r="K307" s="216"/>
      <x:c r="L307" s="216"/>
      <x:c r="M307" s="216"/>
      <x:c r="N307" s="216"/>
      <x:c r="O307" s="216"/>
      <x:c r="P307" s="216"/>
      <x:c r="Q307" s="216"/>
      <x:c r="R307" s="216"/>
      <x:c r="S307" s="216"/>
      <x:c r="T307" s="216"/>
      <x:c r="U307" s="216"/>
      <x:c r="V307" s="216"/>
      <x:c r="W307" s="216"/>
      <x:c r="X307" s="216"/>
      <x:c r="Y307" s="216"/>
      <x:c r="Z307" s="216"/>
    </x:row>
    <x:row r="308">
      <x:c r="A308" s="216"/>
      <x:c r="B308" s="216"/>
      <x:c r="C308" s="216"/>
      <x:c r="D308" s="216"/>
      <x:c r="E308" s="216"/>
      <x:c r="F308" s="216"/>
      <x:c r="G308" s="216"/>
      <x:c r="H308" s="216"/>
      <x:c r="I308" s="216"/>
      <x:c r="J308" s="216"/>
      <x:c r="K308" s="216"/>
      <x:c r="L308" s="216"/>
      <x:c r="M308" s="216"/>
      <x:c r="N308" s="216"/>
      <x:c r="O308" s="216"/>
      <x:c r="P308" s="216"/>
      <x:c r="Q308" s="216"/>
      <x:c r="R308" s="216"/>
      <x:c r="S308" s="216"/>
      <x:c r="T308" s="216"/>
      <x:c r="U308" s="216"/>
      <x:c r="V308" s="216"/>
      <x:c r="W308" s="216"/>
      <x:c r="X308" s="216"/>
      <x:c r="Y308" s="216"/>
      <x:c r="Z308" s="216"/>
    </x:row>
    <x:row r="309">
      <x:c r="A309" s="216"/>
      <x:c r="B309" s="216"/>
      <x:c r="C309" s="216"/>
      <x:c r="D309" s="216"/>
      <x:c r="E309" s="216"/>
      <x:c r="F309" s="216"/>
      <x:c r="G309" s="216"/>
      <x:c r="H309" s="216"/>
      <x:c r="I309" s="216"/>
      <x:c r="J309" s="216"/>
      <x:c r="K309" s="216"/>
      <x:c r="L309" s="216"/>
      <x:c r="M309" s="216"/>
      <x:c r="N309" s="216"/>
      <x:c r="O309" s="216"/>
      <x:c r="P309" s="216"/>
      <x:c r="Q309" s="216"/>
      <x:c r="R309" s="216"/>
      <x:c r="S309" s="216"/>
      <x:c r="T309" s="216"/>
      <x:c r="U309" s="216"/>
      <x:c r="V309" s="216"/>
      <x:c r="W309" s="216"/>
      <x:c r="X309" s="216"/>
      <x:c r="Y309" s="216"/>
      <x:c r="Z309" s="216"/>
    </x:row>
    <x:row r="310">
      <x:c r="A310" s="216"/>
      <x:c r="B310" s="216"/>
      <x:c r="C310" s="216"/>
      <x:c r="D310" s="216"/>
      <x:c r="E310" s="216"/>
      <x:c r="F310" s="216"/>
      <x:c r="G310" s="216"/>
      <x:c r="H310" s="216"/>
      <x:c r="I310" s="216"/>
      <x:c r="J310" s="216"/>
      <x:c r="K310" s="216"/>
      <x:c r="L310" s="216"/>
      <x:c r="M310" s="216"/>
      <x:c r="N310" s="216"/>
      <x:c r="O310" s="216"/>
      <x:c r="P310" s="216"/>
      <x:c r="Q310" s="216"/>
      <x:c r="R310" s="216"/>
      <x:c r="S310" s="216"/>
      <x:c r="T310" s="216"/>
      <x:c r="U310" s="216"/>
      <x:c r="V310" s="216"/>
      <x:c r="W310" s="216"/>
      <x:c r="X310" s="216"/>
      <x:c r="Y310" s="216"/>
      <x:c r="Z310" s="216"/>
    </x:row>
    <x:row r="311">
      <x:c r="A311" s="216"/>
      <x:c r="B311" s="216"/>
      <x:c r="C311" s="216"/>
      <x:c r="D311" s="216"/>
      <x:c r="E311" s="216"/>
      <x:c r="F311" s="216"/>
      <x:c r="G311" s="216"/>
      <x:c r="H311" s="216"/>
      <x:c r="I311" s="216"/>
      <x:c r="J311" s="216"/>
      <x:c r="K311" s="216"/>
      <x:c r="L311" s="216"/>
      <x:c r="M311" s="216"/>
      <x:c r="N311" s="216"/>
      <x:c r="O311" s="216"/>
      <x:c r="P311" s="216"/>
      <x:c r="Q311" s="216"/>
      <x:c r="R311" s="216"/>
      <x:c r="S311" s="216"/>
      <x:c r="T311" s="216"/>
      <x:c r="U311" s="216"/>
      <x:c r="V311" s="216"/>
      <x:c r="W311" s="216"/>
      <x:c r="X311" s="216"/>
      <x:c r="Y311" s="216"/>
      <x:c r="Z311" s="216"/>
    </x:row>
    <x:row r="312">
      <x:c r="A312" s="216"/>
      <x:c r="B312" s="216"/>
      <x:c r="C312" s="216"/>
      <x:c r="D312" s="216"/>
      <x:c r="E312" s="216"/>
      <x:c r="F312" s="216"/>
      <x:c r="G312" s="216"/>
      <x:c r="H312" s="216"/>
      <x:c r="I312" s="216"/>
      <x:c r="J312" s="216"/>
      <x:c r="K312" s="216"/>
      <x:c r="L312" s="216"/>
      <x:c r="M312" s="216"/>
      <x:c r="N312" s="216"/>
      <x:c r="O312" s="216"/>
      <x:c r="P312" s="216"/>
      <x:c r="Q312" s="216"/>
      <x:c r="R312" s="216"/>
      <x:c r="S312" s="216"/>
      <x:c r="T312" s="216"/>
      <x:c r="U312" s="216"/>
      <x:c r="V312" s="216"/>
      <x:c r="W312" s="216"/>
      <x:c r="X312" s="216"/>
      <x:c r="Y312" s="216"/>
      <x:c r="Z312" s="216"/>
    </x:row>
    <x:row r="313">
      <x:c r="A313" s="216"/>
      <x:c r="B313" s="216"/>
      <x:c r="C313" s="216"/>
      <x:c r="D313" s="216"/>
      <x:c r="E313" s="216"/>
      <x:c r="F313" s="216"/>
      <x:c r="G313" s="216"/>
      <x:c r="H313" s="216"/>
      <x:c r="I313" s="216"/>
      <x:c r="J313" s="216"/>
      <x:c r="K313" s="216"/>
      <x:c r="L313" s="216"/>
      <x:c r="M313" s="216"/>
      <x:c r="N313" s="216"/>
      <x:c r="O313" s="216"/>
      <x:c r="P313" s="216"/>
      <x:c r="Q313" s="216"/>
      <x:c r="R313" s="216"/>
      <x:c r="S313" s="216"/>
      <x:c r="T313" s="216"/>
      <x:c r="U313" s="216"/>
      <x:c r="V313" s="216"/>
      <x:c r="W313" s="216"/>
      <x:c r="X313" s="216"/>
      <x:c r="Y313" s="216"/>
      <x:c r="Z313" s="216"/>
    </x:row>
    <x:row r="314">
      <x:c r="A314" s="216"/>
      <x:c r="B314" s="216"/>
      <x:c r="C314" s="216"/>
      <x:c r="D314" s="216"/>
      <x:c r="E314" s="216"/>
      <x:c r="F314" s="216"/>
      <x:c r="G314" s="216"/>
      <x:c r="H314" s="216"/>
      <x:c r="I314" s="216"/>
      <x:c r="J314" s="216"/>
      <x:c r="K314" s="216"/>
      <x:c r="L314" s="216"/>
      <x:c r="M314" s="216"/>
      <x:c r="N314" s="216"/>
      <x:c r="O314" s="216"/>
      <x:c r="P314" s="216"/>
      <x:c r="Q314" s="216"/>
      <x:c r="R314" s="216"/>
      <x:c r="S314" s="216"/>
      <x:c r="T314" s="216"/>
      <x:c r="U314" s="216"/>
      <x:c r="V314" s="216"/>
      <x:c r="W314" s="216"/>
      <x:c r="X314" s="216"/>
      <x:c r="Y314" s="216"/>
      <x:c r="Z314" s="216"/>
    </x:row>
    <x:row r="315">
      <x:c r="A315" s="216"/>
      <x:c r="B315" s="216"/>
      <x:c r="C315" s="216"/>
      <x:c r="D315" s="216"/>
      <x:c r="E315" s="216"/>
      <x:c r="F315" s="216"/>
      <x:c r="G315" s="216"/>
      <x:c r="H315" s="216"/>
      <x:c r="I315" s="216"/>
      <x:c r="J315" s="216"/>
      <x:c r="K315" s="216"/>
      <x:c r="L315" s="216"/>
      <x:c r="M315" s="216"/>
      <x:c r="N315" s="216"/>
      <x:c r="O315" s="216"/>
      <x:c r="P315" s="216"/>
      <x:c r="Q315" s="216"/>
      <x:c r="R315" s="216"/>
      <x:c r="S315" s="216"/>
      <x:c r="T315" s="216"/>
      <x:c r="U315" s="216"/>
      <x:c r="V315" s="216"/>
      <x:c r="W315" s="216"/>
      <x:c r="X315" s="216"/>
      <x:c r="Y315" s="216"/>
      <x:c r="Z315" s="216"/>
    </x:row>
    <x:row r="316">
      <x:c r="A316" s="216"/>
      <x:c r="B316" s="216"/>
      <x:c r="C316" s="216"/>
      <x:c r="D316" s="216"/>
      <x:c r="E316" s="216"/>
      <x:c r="F316" s="216"/>
      <x:c r="G316" s="216"/>
      <x:c r="H316" s="216"/>
      <x:c r="I316" s="216"/>
      <x:c r="J316" s="216"/>
      <x:c r="K316" s="216"/>
      <x:c r="L316" s="216"/>
      <x:c r="M316" s="216"/>
      <x:c r="N316" s="216"/>
      <x:c r="O316" s="216"/>
      <x:c r="P316" s="216"/>
      <x:c r="Q316" s="216"/>
      <x:c r="R316" s="216"/>
      <x:c r="S316" s="216"/>
      <x:c r="T316" s="216"/>
      <x:c r="U316" s="216"/>
      <x:c r="V316" s="216"/>
      <x:c r="W316" s="216"/>
      <x:c r="X316" s="216"/>
      <x:c r="Y316" s="216"/>
      <x:c r="Z316" s="216"/>
    </x:row>
    <x:row r="317">
      <x:c r="A317" s="216"/>
      <x:c r="B317" s="216"/>
      <x:c r="C317" s="216"/>
      <x:c r="D317" s="216"/>
      <x:c r="E317" s="216"/>
      <x:c r="F317" s="216"/>
      <x:c r="G317" s="216"/>
      <x:c r="H317" s="216"/>
      <x:c r="I317" s="216"/>
      <x:c r="J317" s="216"/>
      <x:c r="K317" s="216"/>
      <x:c r="L317" s="216"/>
      <x:c r="M317" s="216"/>
      <x:c r="N317" s="216"/>
      <x:c r="O317" s="216"/>
      <x:c r="P317" s="216"/>
      <x:c r="Q317" s="216"/>
      <x:c r="R317" s="216"/>
      <x:c r="S317" s="216"/>
      <x:c r="T317" s="216"/>
      <x:c r="U317" s="216"/>
      <x:c r="V317" s="216"/>
      <x:c r="W317" s="216"/>
      <x:c r="X317" s="216"/>
      <x:c r="Y317" s="216"/>
      <x:c r="Z317" s="216"/>
    </x:row>
    <x:row r="318">
      <x:c r="A318" s="216"/>
      <x:c r="B318" s="216"/>
      <x:c r="C318" s="216"/>
      <x:c r="D318" s="216"/>
      <x:c r="E318" s="216"/>
      <x:c r="F318" s="216"/>
      <x:c r="G318" s="216"/>
      <x:c r="H318" s="216"/>
      <x:c r="I318" s="216"/>
      <x:c r="J318" s="216"/>
      <x:c r="K318" s="216"/>
      <x:c r="L318" s="216"/>
      <x:c r="M318" s="216"/>
      <x:c r="N318" s="216"/>
      <x:c r="O318" s="216"/>
      <x:c r="P318" s="216"/>
      <x:c r="Q318" s="216"/>
      <x:c r="R318" s="216"/>
      <x:c r="S318" s="216"/>
      <x:c r="T318" s="216"/>
      <x:c r="U318" s="216"/>
      <x:c r="V318" s="216"/>
      <x:c r="W318" s="216"/>
      <x:c r="X318" s="216"/>
      <x:c r="Y318" s="216"/>
      <x:c r="Z318" s="216"/>
    </x:row>
    <x:row r="319">
      <x:c r="A319" s="216"/>
      <x:c r="B319" s="216"/>
      <x:c r="C319" s="216"/>
      <x:c r="D319" s="216"/>
      <x:c r="E319" s="216"/>
      <x:c r="F319" s="216"/>
      <x:c r="G319" s="216"/>
      <x:c r="H319" s="216"/>
      <x:c r="I319" s="216"/>
      <x:c r="J319" s="216"/>
      <x:c r="K319" s="216"/>
      <x:c r="L319" s="216"/>
      <x:c r="M319" s="216"/>
      <x:c r="N319" s="216"/>
      <x:c r="O319" s="216"/>
      <x:c r="P319" s="216"/>
      <x:c r="Q319" s="216"/>
      <x:c r="R319" s="216"/>
      <x:c r="S319" s="216"/>
      <x:c r="T319" s="216"/>
      <x:c r="U319" s="216"/>
      <x:c r="V319" s="216"/>
      <x:c r="W319" s="216"/>
      <x:c r="X319" s="216"/>
      <x:c r="Y319" s="216"/>
      <x:c r="Z319" s="216"/>
    </x:row>
    <x:row r="320">
      <x:c r="A320" s="216"/>
      <x:c r="B320" s="216"/>
      <x:c r="C320" s="216"/>
      <x:c r="D320" s="216"/>
      <x:c r="E320" s="216"/>
      <x:c r="F320" s="216"/>
      <x:c r="G320" s="216"/>
      <x:c r="H320" s="216"/>
      <x:c r="I320" s="216"/>
      <x:c r="J320" s="216"/>
      <x:c r="K320" s="216"/>
      <x:c r="L320" s="216"/>
      <x:c r="M320" s="216"/>
      <x:c r="N320" s="216"/>
      <x:c r="O320" s="216"/>
      <x:c r="P320" s="216"/>
      <x:c r="Q320" s="216"/>
      <x:c r="R320" s="216"/>
      <x:c r="S320" s="216"/>
      <x:c r="T320" s="216"/>
      <x:c r="U320" s="216"/>
      <x:c r="V320" s="216"/>
      <x:c r="W320" s="216"/>
      <x:c r="X320" s="216"/>
      <x:c r="Y320" s="216"/>
      <x:c r="Z320" s="216"/>
    </x:row>
    <x:row r="321">
      <x:c r="A321" s="216"/>
      <x:c r="B321" s="216"/>
      <x:c r="C321" s="216"/>
      <x:c r="D321" s="216"/>
      <x:c r="E321" s="216"/>
      <x:c r="F321" s="216"/>
      <x:c r="G321" s="216"/>
      <x:c r="H321" s="216"/>
      <x:c r="I321" s="216"/>
      <x:c r="J321" s="216"/>
      <x:c r="K321" s="216"/>
      <x:c r="L321" s="216"/>
      <x:c r="M321" s="216"/>
      <x:c r="N321" s="216"/>
      <x:c r="O321" s="216"/>
      <x:c r="P321" s="216"/>
      <x:c r="Q321" s="216"/>
      <x:c r="R321" s="216"/>
      <x:c r="S321" s="216"/>
      <x:c r="T321" s="216"/>
      <x:c r="U321" s="216"/>
      <x:c r="V321" s="216"/>
      <x:c r="W321" s="216"/>
      <x:c r="X321" s="216"/>
      <x:c r="Y321" s="216"/>
      <x:c r="Z321" s="216"/>
    </x:row>
    <x:row r="322">
      <x:c r="A322" s="216"/>
      <x:c r="B322" s="216"/>
      <x:c r="C322" s="216"/>
      <x:c r="D322" s="216"/>
      <x:c r="E322" s="216"/>
      <x:c r="F322" s="216"/>
      <x:c r="G322" s="216"/>
      <x:c r="H322" s="216"/>
      <x:c r="I322" s="216"/>
      <x:c r="J322" s="216"/>
      <x:c r="K322" s="216"/>
      <x:c r="L322" s="216"/>
      <x:c r="M322" s="216"/>
      <x:c r="N322" s="216"/>
      <x:c r="O322" s="216"/>
      <x:c r="P322" s="216"/>
      <x:c r="Q322" s="216"/>
      <x:c r="R322" s="216"/>
      <x:c r="S322" s="216"/>
      <x:c r="T322" s="216"/>
      <x:c r="U322" s="216"/>
      <x:c r="V322" s="216"/>
      <x:c r="W322" s="216"/>
      <x:c r="X322" s="216"/>
      <x:c r="Y322" s="216"/>
      <x:c r="Z322" s="216"/>
    </x:row>
    <x:row r="323">
      <x:c r="A323" s="216"/>
      <x:c r="B323" s="216"/>
      <x:c r="C323" s="216"/>
      <x:c r="D323" s="216"/>
      <x:c r="E323" s="216"/>
      <x:c r="F323" s="216"/>
      <x:c r="G323" s="216"/>
      <x:c r="H323" s="216"/>
      <x:c r="I323" s="216"/>
      <x:c r="J323" s="216"/>
      <x:c r="K323" s="216"/>
      <x:c r="L323" s="216"/>
      <x:c r="M323" s="216"/>
      <x:c r="N323" s="216"/>
      <x:c r="O323" s="216"/>
      <x:c r="P323" s="216"/>
      <x:c r="Q323" s="216"/>
      <x:c r="R323" s="216"/>
      <x:c r="S323" s="216"/>
      <x:c r="T323" s="216"/>
      <x:c r="U323" s="216"/>
      <x:c r="V323" s="216"/>
      <x:c r="W323" s="216"/>
      <x:c r="X323" s="216"/>
      <x:c r="Y323" s="216"/>
      <x:c r="Z323" s="216"/>
    </x:row>
    <x:row r="324">
      <x:c r="A324" s="216"/>
      <x:c r="B324" s="216"/>
      <x:c r="C324" s="216"/>
      <x:c r="D324" s="216"/>
      <x:c r="E324" s="216"/>
      <x:c r="F324" s="216"/>
      <x:c r="G324" s="216"/>
      <x:c r="H324" s="216"/>
      <x:c r="I324" s="216"/>
      <x:c r="J324" s="216"/>
      <x:c r="K324" s="216"/>
      <x:c r="L324" s="216"/>
      <x:c r="M324" s="216"/>
      <x:c r="N324" s="216"/>
      <x:c r="O324" s="216"/>
      <x:c r="P324" s="216"/>
      <x:c r="Q324" s="216"/>
      <x:c r="R324" s="216"/>
      <x:c r="S324" s="216"/>
      <x:c r="T324" s="216"/>
      <x:c r="U324" s="216"/>
      <x:c r="V324" s="216"/>
      <x:c r="W324" s="216"/>
      <x:c r="X324" s="216"/>
      <x:c r="Y324" s="216"/>
      <x:c r="Z324" s="216"/>
    </x:row>
    <x:row r="325">
      <x:c r="A325" s="216"/>
      <x:c r="B325" s="216"/>
      <x:c r="C325" s="216"/>
      <x:c r="D325" s="216"/>
      <x:c r="E325" s="216"/>
      <x:c r="F325" s="216"/>
      <x:c r="G325" s="216"/>
      <x:c r="H325" s="216"/>
      <x:c r="I325" s="216"/>
      <x:c r="J325" s="216"/>
      <x:c r="K325" s="216"/>
      <x:c r="L325" s="216"/>
      <x:c r="M325" s="216"/>
      <x:c r="N325" s="216"/>
      <x:c r="O325" s="216"/>
      <x:c r="P325" s="216"/>
      <x:c r="Q325" s="216"/>
      <x:c r="R325" s="216"/>
      <x:c r="S325" s="216"/>
      <x:c r="T325" s="216"/>
      <x:c r="U325" s="216"/>
      <x:c r="V325" s="216"/>
      <x:c r="W325" s="216"/>
      <x:c r="X325" s="216"/>
      <x:c r="Y325" s="216"/>
      <x:c r="Z325" s="216"/>
    </x:row>
    <x:row r="326">
      <x:c r="A326" s="216"/>
      <x:c r="B326" s="216"/>
      <x:c r="C326" s="216"/>
      <x:c r="D326" s="216"/>
      <x:c r="E326" s="216"/>
      <x:c r="F326" s="216"/>
      <x:c r="G326" s="216"/>
      <x:c r="H326" s="216"/>
      <x:c r="I326" s="216"/>
      <x:c r="J326" s="216"/>
      <x:c r="K326" s="216"/>
      <x:c r="L326" s="216"/>
      <x:c r="M326" s="216"/>
      <x:c r="N326" s="216"/>
      <x:c r="O326" s="216"/>
      <x:c r="P326" s="216"/>
      <x:c r="Q326" s="216"/>
      <x:c r="R326" s="216"/>
      <x:c r="S326" s="216"/>
      <x:c r="T326" s="216"/>
      <x:c r="U326" s="216"/>
      <x:c r="V326" s="216"/>
      <x:c r="W326" s="216"/>
      <x:c r="X326" s="216"/>
      <x:c r="Y326" s="216"/>
      <x:c r="Z326" s="216"/>
    </x:row>
    <x:row r="327">
      <x:c r="A327" s="216"/>
      <x:c r="B327" s="216"/>
      <x:c r="C327" s="216"/>
      <x:c r="D327" s="216"/>
      <x:c r="E327" s="216"/>
      <x:c r="F327" s="216"/>
      <x:c r="G327" s="216"/>
      <x:c r="H327" s="216"/>
      <x:c r="I327" s="216"/>
      <x:c r="J327" s="216"/>
      <x:c r="K327" s="216"/>
      <x:c r="L327" s="216"/>
      <x:c r="M327" s="216"/>
      <x:c r="N327" s="216"/>
      <x:c r="O327" s="216"/>
      <x:c r="P327" s="216"/>
      <x:c r="Q327" s="216"/>
      <x:c r="R327" s="216"/>
      <x:c r="S327" s="216"/>
      <x:c r="T327" s="216"/>
      <x:c r="U327" s="216"/>
      <x:c r="V327" s="216"/>
      <x:c r="W327" s="216"/>
      <x:c r="X327" s="216"/>
      <x:c r="Y327" s="216"/>
      <x:c r="Z327" s="216"/>
    </x:row>
    <x:row r="328">
      <x:c r="A328" s="216"/>
      <x:c r="B328" s="216"/>
      <x:c r="C328" s="216"/>
      <x:c r="D328" s="216"/>
      <x:c r="E328" s="216"/>
      <x:c r="F328" s="216"/>
      <x:c r="G328" s="216"/>
      <x:c r="H328" s="216"/>
      <x:c r="I328" s="216"/>
      <x:c r="J328" s="216"/>
      <x:c r="K328" s="216"/>
      <x:c r="L328" s="216"/>
      <x:c r="M328" s="216"/>
      <x:c r="N328" s="216"/>
      <x:c r="O328" s="216"/>
      <x:c r="P328" s="216"/>
      <x:c r="Q328" s="216"/>
      <x:c r="R328" s="216"/>
      <x:c r="S328" s="216"/>
      <x:c r="T328" s="216"/>
      <x:c r="U328" s="216"/>
      <x:c r="V328" s="216"/>
      <x:c r="W328" s="216"/>
      <x:c r="X328" s="216"/>
      <x:c r="Y328" s="216"/>
      <x:c r="Z328" s="216"/>
    </x:row>
    <x:row r="329">
      <x:c r="A329" s="216"/>
      <x:c r="B329" s="216"/>
      <x:c r="C329" s="216"/>
      <x:c r="D329" s="216"/>
      <x:c r="E329" s="216"/>
      <x:c r="F329" s="216"/>
      <x:c r="G329" s="216"/>
      <x:c r="H329" s="216"/>
      <x:c r="I329" s="216"/>
      <x:c r="J329" s="216"/>
      <x:c r="K329" s="216"/>
      <x:c r="L329" s="216"/>
      <x:c r="M329" s="216"/>
      <x:c r="N329" s="216"/>
      <x:c r="O329" s="216"/>
      <x:c r="P329" s="216"/>
      <x:c r="Q329" s="216"/>
      <x:c r="R329" s="216"/>
      <x:c r="S329" s="216"/>
      <x:c r="T329" s="216"/>
      <x:c r="U329" s="216"/>
      <x:c r="V329" s="216"/>
      <x:c r="W329" s="216"/>
      <x:c r="X329" s="216"/>
      <x:c r="Y329" s="216"/>
      <x:c r="Z329" s="216"/>
    </x:row>
    <x:row r="330">
      <x:c r="A330" s="216"/>
      <x:c r="B330" s="216"/>
      <x:c r="C330" s="216"/>
      <x:c r="D330" s="216"/>
      <x:c r="E330" s="216"/>
      <x:c r="F330" s="216"/>
      <x:c r="G330" s="216"/>
      <x:c r="H330" s="216"/>
      <x:c r="I330" s="216"/>
      <x:c r="J330" s="216"/>
      <x:c r="K330" s="216"/>
      <x:c r="L330" s="216"/>
      <x:c r="M330" s="216"/>
      <x:c r="N330" s="216"/>
      <x:c r="O330" s="216"/>
      <x:c r="P330" s="216"/>
      <x:c r="Q330" s="216"/>
      <x:c r="R330" s="216"/>
      <x:c r="S330" s="216"/>
      <x:c r="T330" s="216"/>
      <x:c r="U330" s="216"/>
      <x:c r="V330" s="216"/>
      <x:c r="W330" s="216"/>
      <x:c r="X330" s="216"/>
      <x:c r="Y330" s="216"/>
      <x:c r="Z330" s="216"/>
    </x:row>
    <x:row r="331">
      <x:c r="A331" s="216"/>
      <x:c r="B331" s="216"/>
      <x:c r="C331" s="216"/>
      <x:c r="D331" s="216"/>
      <x:c r="E331" s="216"/>
      <x:c r="F331" s="216"/>
      <x:c r="G331" s="216"/>
      <x:c r="H331" s="216"/>
      <x:c r="I331" s="216"/>
      <x:c r="J331" s="216"/>
      <x:c r="K331" s="216"/>
      <x:c r="L331" s="216"/>
      <x:c r="M331" s="216"/>
      <x:c r="N331" s="216"/>
      <x:c r="O331" s="216"/>
      <x:c r="P331" s="216"/>
      <x:c r="Q331" s="216"/>
      <x:c r="R331" s="216"/>
      <x:c r="S331" s="216"/>
      <x:c r="T331" s="216"/>
      <x:c r="U331" s="216"/>
      <x:c r="V331" s="216"/>
      <x:c r="W331" s="216"/>
      <x:c r="X331" s="216"/>
      <x:c r="Y331" s="216"/>
      <x:c r="Z331" s="216"/>
    </x:row>
    <x:row r="332">
      <x:c r="A332" s="216"/>
      <x:c r="B332" s="216"/>
      <x:c r="C332" s="216"/>
      <x:c r="D332" s="216"/>
      <x:c r="E332" s="216"/>
      <x:c r="F332" s="216"/>
      <x:c r="G332" s="216"/>
      <x:c r="H332" s="216"/>
      <x:c r="I332" s="216"/>
      <x:c r="J332" s="216"/>
      <x:c r="K332" s="216"/>
      <x:c r="L332" s="216"/>
      <x:c r="M332" s="216"/>
      <x:c r="N332" s="216"/>
      <x:c r="O332" s="216"/>
      <x:c r="P332" s="216"/>
      <x:c r="Q332" s="216"/>
      <x:c r="R332" s="216"/>
      <x:c r="S332" s="216"/>
      <x:c r="T332" s="216"/>
      <x:c r="U332" s="216"/>
      <x:c r="V332" s="216"/>
      <x:c r="W332" s="216"/>
      <x:c r="X332" s="216"/>
      <x:c r="Y332" s="216"/>
      <x:c r="Z332" s="216"/>
    </x:row>
    <x:row r="333">
      <x:c r="A333" s="216"/>
      <x:c r="B333" s="216"/>
      <x:c r="C333" s="216"/>
      <x:c r="D333" s="216"/>
      <x:c r="E333" s="216"/>
      <x:c r="F333" s="216"/>
      <x:c r="G333" s="216"/>
      <x:c r="H333" s="216"/>
      <x:c r="I333" s="216"/>
      <x:c r="J333" s="216"/>
      <x:c r="K333" s="216"/>
      <x:c r="L333" s="216"/>
      <x:c r="M333" s="216"/>
      <x:c r="N333" s="216"/>
      <x:c r="O333" s="216"/>
      <x:c r="P333" s="216"/>
      <x:c r="Q333" s="216"/>
      <x:c r="R333" s="216"/>
      <x:c r="S333" s="216"/>
      <x:c r="T333" s="216"/>
      <x:c r="U333" s="216"/>
      <x:c r="V333" s="216"/>
      <x:c r="W333" s="216"/>
      <x:c r="X333" s="216"/>
      <x:c r="Y333" s="216"/>
      <x:c r="Z333" s="216"/>
    </x:row>
    <x:row r="334">
      <x:c r="A334" s="216"/>
      <x:c r="B334" s="216"/>
      <x:c r="C334" s="216"/>
      <x:c r="D334" s="216"/>
      <x:c r="E334" s="216"/>
      <x:c r="F334" s="216"/>
      <x:c r="G334" s="216"/>
      <x:c r="H334" s="216"/>
      <x:c r="I334" s="216"/>
      <x:c r="J334" s="216"/>
      <x:c r="K334" s="216"/>
      <x:c r="L334" s="216"/>
      <x:c r="M334" s="216"/>
      <x:c r="N334" s="216"/>
      <x:c r="O334" s="216"/>
      <x:c r="P334" s="216"/>
      <x:c r="Q334" s="216"/>
      <x:c r="R334" s="216"/>
      <x:c r="S334" s="216"/>
      <x:c r="T334" s="216"/>
      <x:c r="U334" s="216"/>
      <x:c r="V334" s="216"/>
      <x:c r="W334" s="216"/>
      <x:c r="X334" s="216"/>
      <x:c r="Y334" s="216"/>
      <x:c r="Z334" s="216"/>
    </x:row>
    <x:row r="335">
      <x:c r="A335" s="216"/>
      <x:c r="B335" s="216"/>
      <x:c r="C335" s="216"/>
      <x:c r="D335" s="216"/>
      <x:c r="E335" s="216"/>
      <x:c r="F335" s="216"/>
      <x:c r="G335" s="216"/>
      <x:c r="H335" s="216"/>
      <x:c r="I335" s="216"/>
      <x:c r="J335" s="216"/>
      <x:c r="K335" s="216"/>
      <x:c r="L335" s="216"/>
      <x:c r="M335" s="216"/>
      <x:c r="N335" s="216"/>
      <x:c r="O335" s="216"/>
      <x:c r="P335" s="216"/>
      <x:c r="Q335" s="216"/>
      <x:c r="R335" s="216"/>
      <x:c r="S335" s="216"/>
      <x:c r="T335" s="216"/>
      <x:c r="U335" s="216"/>
      <x:c r="V335" s="216"/>
      <x:c r="W335" s="216"/>
      <x:c r="X335" s="216"/>
      <x:c r="Y335" s="216"/>
      <x:c r="Z335" s="216"/>
    </x:row>
    <x:row r="336">
      <x:c r="A336" s="216"/>
      <x:c r="B336" s="216"/>
      <x:c r="C336" s="216"/>
      <x:c r="D336" s="216"/>
      <x:c r="E336" s="216"/>
      <x:c r="F336" s="216"/>
      <x:c r="G336" s="216"/>
      <x:c r="H336" s="216"/>
      <x:c r="I336" s="216"/>
      <x:c r="J336" s="216"/>
      <x:c r="K336" s="216"/>
      <x:c r="L336" s="216"/>
      <x:c r="M336" s="216"/>
      <x:c r="N336" s="216"/>
      <x:c r="O336" s="216"/>
      <x:c r="P336" s="216"/>
      <x:c r="Q336" s="216"/>
      <x:c r="R336" s="216"/>
      <x:c r="S336" s="216"/>
      <x:c r="T336" s="216"/>
      <x:c r="U336" s="216"/>
      <x:c r="V336" s="216"/>
      <x:c r="W336" s="216"/>
      <x:c r="X336" s="216"/>
      <x:c r="Y336" s="216"/>
      <x:c r="Z336" s="216"/>
    </x:row>
    <x:row r="337">
      <x:c r="A337" s="216"/>
      <x:c r="B337" s="216"/>
      <x:c r="C337" s="216"/>
      <x:c r="D337" s="216"/>
      <x:c r="E337" s="216"/>
      <x:c r="F337" s="216"/>
      <x:c r="G337" s="216"/>
      <x:c r="H337" s="216"/>
      <x:c r="I337" s="216"/>
      <x:c r="J337" s="216"/>
      <x:c r="K337" s="216"/>
      <x:c r="L337" s="216"/>
      <x:c r="M337" s="216"/>
      <x:c r="N337" s="216"/>
      <x:c r="O337" s="216"/>
      <x:c r="P337" s="216"/>
      <x:c r="Q337" s="216"/>
      <x:c r="R337" s="216"/>
      <x:c r="S337" s="216"/>
      <x:c r="T337" s="216"/>
      <x:c r="U337" s="216"/>
      <x:c r="V337" s="216"/>
      <x:c r="W337" s="216"/>
      <x:c r="X337" s="216"/>
      <x:c r="Y337" s="216"/>
      <x:c r="Z337" s="216"/>
    </x:row>
    <x:row r="338">
      <x:c r="A338" s="216"/>
      <x:c r="B338" s="216"/>
      <x:c r="C338" s="216"/>
      <x:c r="D338" s="216"/>
      <x:c r="E338" s="216"/>
      <x:c r="F338" s="216"/>
      <x:c r="G338" s="216"/>
      <x:c r="H338" s="216"/>
      <x:c r="I338" s="216"/>
      <x:c r="J338" s="216"/>
      <x:c r="K338" s="216"/>
      <x:c r="L338" s="216"/>
      <x:c r="M338" s="216"/>
      <x:c r="N338" s="216"/>
      <x:c r="O338" s="216"/>
      <x:c r="P338" s="216"/>
      <x:c r="Q338" s="216"/>
      <x:c r="R338" s="216"/>
      <x:c r="S338" s="216"/>
      <x:c r="T338" s="216"/>
      <x:c r="U338" s="216"/>
      <x:c r="V338" s="216"/>
      <x:c r="W338" s="216"/>
      <x:c r="X338" s="216"/>
      <x:c r="Y338" s="216"/>
      <x:c r="Z338" s="216"/>
    </x:row>
    <x:row r="339">
      <x:c r="A339" s="216"/>
      <x:c r="B339" s="216"/>
      <x:c r="C339" s="216"/>
      <x:c r="D339" s="216"/>
      <x:c r="E339" s="216"/>
      <x:c r="F339" s="216"/>
      <x:c r="G339" s="216"/>
      <x:c r="H339" s="216"/>
      <x:c r="I339" s="216"/>
      <x:c r="J339" s="216"/>
      <x:c r="K339" s="216"/>
      <x:c r="L339" s="216"/>
      <x:c r="M339" s="216"/>
      <x:c r="N339" s="216"/>
      <x:c r="O339" s="216"/>
      <x:c r="P339" s="216"/>
      <x:c r="Q339" s="216"/>
      <x:c r="R339" s="216"/>
      <x:c r="S339" s="216"/>
      <x:c r="T339" s="216"/>
      <x:c r="U339" s="216"/>
      <x:c r="V339" s="216"/>
      <x:c r="W339" s="216"/>
      <x:c r="X339" s="216"/>
      <x:c r="Y339" s="216"/>
      <x:c r="Z339" s="216"/>
    </x:row>
    <x:row r="340">
      <x:c r="A340" s="216"/>
      <x:c r="B340" s="216"/>
      <x:c r="C340" s="216"/>
      <x:c r="D340" s="216"/>
      <x:c r="E340" s="216"/>
      <x:c r="F340" s="216"/>
      <x:c r="G340" s="216"/>
      <x:c r="H340" s="216"/>
      <x:c r="I340" s="216"/>
      <x:c r="J340" s="216"/>
      <x:c r="K340" s="216"/>
      <x:c r="L340" s="216"/>
      <x:c r="M340" s="216"/>
      <x:c r="N340" s="216"/>
      <x:c r="O340" s="216"/>
      <x:c r="P340" s="216"/>
      <x:c r="Q340" s="216"/>
      <x:c r="R340" s="216"/>
      <x:c r="S340" s="216"/>
      <x:c r="T340" s="216"/>
      <x:c r="U340" s="216"/>
      <x:c r="V340" s="216"/>
      <x:c r="W340" s="216"/>
      <x:c r="X340" s="216"/>
      <x:c r="Y340" s="216"/>
      <x:c r="Z340" s="216"/>
    </x:row>
    <x:row r="341">
      <x:c r="A341" s="216"/>
      <x:c r="B341" s="216"/>
      <x:c r="C341" s="216"/>
      <x:c r="D341" s="216"/>
      <x:c r="E341" s="216"/>
      <x:c r="F341" s="216"/>
      <x:c r="G341" s="216"/>
      <x:c r="H341" s="216"/>
      <x:c r="I341" s="216"/>
      <x:c r="J341" s="216"/>
      <x:c r="K341" s="216"/>
      <x:c r="L341" s="216"/>
      <x:c r="M341" s="216"/>
      <x:c r="N341" s="216"/>
      <x:c r="O341" s="216"/>
      <x:c r="P341" s="216"/>
      <x:c r="Q341" s="216"/>
      <x:c r="R341" s="216"/>
      <x:c r="S341" s="216"/>
      <x:c r="T341" s="216"/>
      <x:c r="U341" s="216"/>
      <x:c r="V341" s="216"/>
      <x:c r="W341" s="216"/>
      <x:c r="X341" s="216"/>
      <x:c r="Y341" s="216"/>
      <x:c r="Z341" s="216"/>
    </x:row>
    <x:row r="342">
      <x:c r="A342" s="216"/>
      <x:c r="B342" s="216"/>
      <x:c r="C342" s="216"/>
      <x:c r="D342" s="216"/>
      <x:c r="E342" s="216"/>
      <x:c r="F342" s="216"/>
      <x:c r="G342" s="216"/>
      <x:c r="H342" s="216"/>
      <x:c r="I342" s="216"/>
      <x:c r="J342" s="216"/>
      <x:c r="K342" s="216"/>
      <x:c r="L342" s="216"/>
      <x:c r="M342" s="216"/>
      <x:c r="N342" s="216"/>
      <x:c r="O342" s="216"/>
      <x:c r="P342" s="216"/>
      <x:c r="Q342" s="216"/>
      <x:c r="R342" s="216"/>
      <x:c r="S342" s="216"/>
      <x:c r="T342" s="216"/>
      <x:c r="U342" s="216"/>
      <x:c r="V342" s="216"/>
      <x:c r="W342" s="216"/>
      <x:c r="X342" s="216"/>
      <x:c r="Y342" s="216"/>
      <x:c r="Z342" s="216"/>
    </x:row>
    <x:row r="343">
      <x:c r="A343" s="216"/>
      <x:c r="B343" s="216"/>
      <x:c r="C343" s="216"/>
      <x:c r="D343" s="216"/>
      <x:c r="E343" s="216"/>
      <x:c r="F343" s="216"/>
      <x:c r="G343" s="216"/>
      <x:c r="H343" s="216"/>
      <x:c r="I343" s="216"/>
      <x:c r="J343" s="216"/>
      <x:c r="K343" s="216"/>
      <x:c r="L343" s="216"/>
      <x:c r="M343" s="216"/>
      <x:c r="N343" s="216"/>
      <x:c r="O343" s="216"/>
      <x:c r="P343" s="216"/>
      <x:c r="Q343" s="216"/>
      <x:c r="R343" s="216"/>
      <x:c r="S343" s="216"/>
      <x:c r="T343" s="216"/>
      <x:c r="U343" s="216"/>
      <x:c r="V343" s="216"/>
      <x:c r="W343" s="216"/>
      <x:c r="X343" s="216"/>
      <x:c r="Y343" s="216"/>
      <x:c r="Z343" s="216"/>
    </x:row>
    <x:row r="344">
      <x:c r="A344" s="216"/>
      <x:c r="B344" s="216"/>
      <x:c r="C344" s="216"/>
      <x:c r="D344" s="216"/>
      <x:c r="E344" s="216"/>
      <x:c r="F344" s="216"/>
      <x:c r="G344" s="216"/>
      <x:c r="H344" s="216"/>
      <x:c r="I344" s="216"/>
      <x:c r="J344" s="216"/>
      <x:c r="K344" s="216"/>
      <x:c r="L344" s="216"/>
      <x:c r="M344" s="216"/>
      <x:c r="N344" s="216"/>
      <x:c r="O344" s="216"/>
      <x:c r="P344" s="216"/>
      <x:c r="Q344" s="216"/>
      <x:c r="R344" s="216"/>
      <x:c r="S344" s="216"/>
      <x:c r="T344" s="216"/>
      <x:c r="U344" s="216"/>
      <x:c r="V344" s="216"/>
      <x:c r="W344" s="216"/>
      <x:c r="X344" s="216"/>
      <x:c r="Y344" s="216"/>
      <x:c r="Z344" s="216"/>
    </x:row>
    <x:row r="345">
      <x:c r="A345" s="216"/>
      <x:c r="B345" s="216"/>
      <x:c r="C345" s="216"/>
      <x:c r="D345" s="216"/>
      <x:c r="E345" s="216"/>
      <x:c r="F345" s="216"/>
      <x:c r="G345" s="216"/>
      <x:c r="H345" s="216"/>
      <x:c r="I345" s="216"/>
      <x:c r="J345" s="216"/>
      <x:c r="K345" s="216"/>
      <x:c r="L345" s="216"/>
      <x:c r="M345" s="216"/>
      <x:c r="N345" s="216"/>
      <x:c r="O345" s="216"/>
      <x:c r="P345" s="216"/>
      <x:c r="Q345" s="216"/>
      <x:c r="R345" s="216"/>
      <x:c r="S345" s="216"/>
      <x:c r="T345" s="216"/>
      <x:c r="U345" s="216"/>
      <x:c r="V345" s="216"/>
      <x:c r="W345" s="216"/>
      <x:c r="X345" s="216"/>
      <x:c r="Y345" s="216"/>
      <x:c r="Z345" s="216"/>
    </x:row>
    <x:row r="346">
      <x:c r="A346" s="216"/>
      <x:c r="B346" s="216"/>
      <x:c r="C346" s="216"/>
      <x:c r="D346" s="216"/>
      <x:c r="E346" s="216"/>
      <x:c r="F346" s="216"/>
      <x:c r="G346" s="216"/>
      <x:c r="H346" s="216"/>
      <x:c r="I346" s="216"/>
      <x:c r="J346" s="216"/>
      <x:c r="K346" s="216"/>
      <x:c r="L346" s="216"/>
      <x:c r="M346" s="216"/>
      <x:c r="N346" s="216"/>
      <x:c r="O346" s="216"/>
      <x:c r="P346" s="216"/>
      <x:c r="Q346" s="216"/>
      <x:c r="R346" s="216"/>
      <x:c r="S346" s="216"/>
      <x:c r="T346" s="216"/>
      <x:c r="U346" s="216"/>
      <x:c r="V346" s="216"/>
      <x:c r="W346" s="216"/>
      <x:c r="X346" s="216"/>
      <x:c r="Y346" s="216"/>
      <x:c r="Z346" s="216"/>
    </x:row>
    <x:row r="347">
      <x:c r="A347" s="216"/>
      <x:c r="B347" s="216"/>
      <x:c r="C347" s="216"/>
      <x:c r="D347" s="216"/>
      <x:c r="E347" s="216"/>
      <x:c r="F347" s="216"/>
      <x:c r="G347" s="216"/>
      <x:c r="H347" s="216"/>
      <x:c r="I347" s="216"/>
      <x:c r="J347" s="216"/>
      <x:c r="K347" s="216"/>
      <x:c r="L347" s="216"/>
      <x:c r="M347" s="216"/>
      <x:c r="N347" s="216"/>
      <x:c r="O347" s="216"/>
      <x:c r="P347" s="216"/>
      <x:c r="Q347" s="216"/>
      <x:c r="R347" s="216"/>
      <x:c r="S347" s="216"/>
      <x:c r="T347" s="216"/>
      <x:c r="U347" s="216"/>
      <x:c r="V347" s="216"/>
      <x:c r="W347" s="216"/>
      <x:c r="X347" s="216"/>
      <x:c r="Y347" s="216"/>
      <x:c r="Z347" s="216"/>
    </x:row>
    <x:row r="348">
      <x:c r="A348" s="216"/>
      <x:c r="B348" s="216"/>
      <x:c r="C348" s="216"/>
      <x:c r="D348" s="216"/>
      <x:c r="E348" s="216"/>
      <x:c r="F348" s="216"/>
      <x:c r="G348" s="216"/>
      <x:c r="H348" s="216"/>
      <x:c r="I348" s="216"/>
      <x:c r="J348" s="216"/>
      <x:c r="K348" s="216"/>
      <x:c r="L348" s="216"/>
      <x:c r="M348" s="216"/>
      <x:c r="N348" s="216"/>
      <x:c r="O348" s="216"/>
      <x:c r="P348" s="216"/>
      <x:c r="Q348" s="216"/>
      <x:c r="R348" s="216"/>
      <x:c r="S348" s="216"/>
      <x:c r="T348" s="216"/>
      <x:c r="U348" s="216"/>
      <x:c r="V348" s="216"/>
      <x:c r="W348" s="216"/>
      <x:c r="X348" s="216"/>
      <x:c r="Y348" s="216"/>
      <x:c r="Z348" s="216"/>
    </x:row>
    <x:row r="349">
      <x:c r="A349" s="216"/>
      <x:c r="B349" s="216"/>
      <x:c r="C349" s="216"/>
      <x:c r="D349" s="216"/>
      <x:c r="E349" s="216"/>
      <x:c r="F349" s="216"/>
      <x:c r="G349" s="216"/>
      <x:c r="H349" s="216"/>
      <x:c r="I349" s="216"/>
      <x:c r="J349" s="216"/>
      <x:c r="K349" s="216"/>
      <x:c r="L349" s="216"/>
      <x:c r="M349" s="216"/>
      <x:c r="N349" s="216"/>
      <x:c r="O349" s="216"/>
      <x:c r="P349" s="216"/>
      <x:c r="Q349" s="216"/>
      <x:c r="R349" s="216"/>
      <x:c r="S349" s="216"/>
      <x:c r="T349" s="216"/>
      <x:c r="U349" s="216"/>
      <x:c r="V349" s="216"/>
      <x:c r="W349" s="216"/>
      <x:c r="X349" s="216"/>
      <x:c r="Y349" s="216"/>
      <x:c r="Z349" s="216"/>
    </x:row>
    <x:row r="350">
      <x:c r="A350" s="216"/>
      <x:c r="B350" s="216"/>
      <x:c r="C350" s="216"/>
      <x:c r="D350" s="216"/>
      <x:c r="E350" s="216"/>
      <x:c r="F350" s="216"/>
      <x:c r="G350" s="216"/>
      <x:c r="H350" s="216"/>
      <x:c r="I350" s="216"/>
      <x:c r="J350" s="216"/>
      <x:c r="K350" s="216"/>
      <x:c r="L350" s="216"/>
      <x:c r="M350" s="216"/>
      <x:c r="N350" s="216"/>
      <x:c r="O350" s="216"/>
      <x:c r="P350" s="216"/>
      <x:c r="Q350" s="216"/>
      <x:c r="R350" s="216"/>
      <x:c r="S350" s="216"/>
      <x:c r="T350" s="216"/>
      <x:c r="U350" s="216"/>
      <x:c r="V350" s="216"/>
      <x:c r="W350" s="216"/>
      <x:c r="X350" s="216"/>
      <x:c r="Y350" s="216"/>
      <x:c r="Z350" s="216"/>
    </x:row>
    <x:row r="351">
      <x:c r="A351" s="216"/>
      <x:c r="B351" s="216"/>
      <x:c r="C351" s="216"/>
      <x:c r="D351" s="216"/>
      <x:c r="E351" s="216"/>
      <x:c r="F351" s="216"/>
      <x:c r="G351" s="216"/>
      <x:c r="H351" s="216"/>
      <x:c r="I351" s="216"/>
      <x:c r="J351" s="216"/>
      <x:c r="K351" s="216"/>
      <x:c r="L351" s="216"/>
      <x:c r="M351" s="216"/>
      <x:c r="N351" s="216"/>
      <x:c r="O351" s="216"/>
      <x:c r="P351" s="216"/>
      <x:c r="Q351" s="216"/>
      <x:c r="R351" s="216"/>
      <x:c r="S351" s="216"/>
      <x:c r="T351" s="216"/>
      <x:c r="U351" s="216"/>
      <x:c r="V351" s="216"/>
      <x:c r="W351" s="216"/>
      <x:c r="X351" s="216"/>
      <x:c r="Y351" s="216"/>
      <x:c r="Z351" s="216"/>
    </x:row>
    <x:row r="352">
      <x:c r="A352" s="216"/>
      <x:c r="B352" s="216"/>
      <x:c r="C352" s="216"/>
      <x:c r="D352" s="216"/>
      <x:c r="E352" s="216"/>
      <x:c r="F352" s="216"/>
      <x:c r="G352" s="216"/>
      <x:c r="H352" s="216"/>
      <x:c r="I352" s="216"/>
      <x:c r="J352" s="216"/>
      <x:c r="K352" s="216"/>
      <x:c r="L352" s="216"/>
      <x:c r="M352" s="216"/>
      <x:c r="N352" s="216"/>
      <x:c r="O352" s="216"/>
      <x:c r="P352" s="216"/>
      <x:c r="Q352" s="216"/>
      <x:c r="R352" s="216"/>
      <x:c r="S352" s="216"/>
      <x:c r="T352" s="216"/>
      <x:c r="U352" s="216"/>
      <x:c r="V352" s="216"/>
      <x:c r="W352" s="216"/>
      <x:c r="X352" s="216"/>
      <x:c r="Y352" s="216"/>
      <x:c r="Z352" s="216"/>
    </x:row>
    <x:row r="353">
      <x:c r="A353" s="216"/>
      <x:c r="B353" s="216"/>
      <x:c r="C353" s="216"/>
      <x:c r="D353" s="216"/>
      <x:c r="E353" s="216"/>
      <x:c r="F353" s="216"/>
      <x:c r="G353" s="216"/>
      <x:c r="H353" s="216"/>
      <x:c r="I353" s="216"/>
      <x:c r="J353" s="216"/>
      <x:c r="K353" s="216"/>
      <x:c r="L353" s="216"/>
      <x:c r="M353" s="216"/>
      <x:c r="N353" s="216"/>
      <x:c r="O353" s="216"/>
      <x:c r="P353" s="216"/>
      <x:c r="Q353" s="216"/>
      <x:c r="R353" s="216"/>
      <x:c r="S353" s="216"/>
      <x:c r="T353" s="216"/>
      <x:c r="U353" s="216"/>
      <x:c r="V353" s="216"/>
      <x:c r="W353" s="216"/>
      <x:c r="X353" s="216"/>
      <x:c r="Y353" s="216"/>
      <x:c r="Z353" s="216"/>
    </x:row>
    <x:row r="354">
      <x:c r="A354" s="216"/>
      <x:c r="B354" s="216"/>
      <x:c r="C354" s="216"/>
      <x:c r="D354" s="216"/>
      <x:c r="E354" s="216"/>
      <x:c r="F354" s="216"/>
      <x:c r="G354" s="216"/>
      <x:c r="H354" s="216"/>
      <x:c r="I354" s="216"/>
      <x:c r="J354" s="216"/>
      <x:c r="K354" s="216"/>
      <x:c r="L354" s="216"/>
      <x:c r="M354" s="216"/>
      <x:c r="N354" s="216"/>
      <x:c r="O354" s="216"/>
      <x:c r="P354" s="216"/>
      <x:c r="Q354" s="216"/>
      <x:c r="R354" s="216"/>
      <x:c r="S354" s="216"/>
      <x:c r="T354" s="216"/>
      <x:c r="U354" s="216"/>
      <x:c r="V354" s="216"/>
      <x:c r="W354" s="216"/>
      <x:c r="X354" s="216"/>
      <x:c r="Y354" s="216"/>
      <x:c r="Z354" s="216"/>
    </x:row>
    <x:row r="355">
      <x:c r="A355" s="216"/>
      <x:c r="B355" s="216"/>
      <x:c r="C355" s="216"/>
      <x:c r="D355" s="216"/>
      <x:c r="E355" s="216"/>
      <x:c r="F355" s="216"/>
      <x:c r="G355" s="216"/>
      <x:c r="H355" s="216"/>
      <x:c r="I355" s="216"/>
      <x:c r="J355" s="216"/>
      <x:c r="K355" s="216"/>
      <x:c r="L355" s="216"/>
      <x:c r="M355" s="216"/>
      <x:c r="N355" s="216"/>
      <x:c r="O355" s="216"/>
      <x:c r="P355" s="216"/>
      <x:c r="Q355" s="216"/>
      <x:c r="R355" s="216"/>
      <x:c r="S355" s="216"/>
      <x:c r="T355" s="216"/>
      <x:c r="U355" s="216"/>
      <x:c r="V355" s="216"/>
      <x:c r="W355" s="216"/>
      <x:c r="X355" s="216"/>
      <x:c r="Y355" s="216"/>
      <x:c r="Z355" s="216"/>
    </x:row>
    <x:row r="356">
      <x:c r="A356" s="216"/>
      <x:c r="B356" s="216"/>
      <x:c r="C356" s="216"/>
      <x:c r="D356" s="216"/>
      <x:c r="E356" s="216"/>
      <x:c r="F356" s="216"/>
      <x:c r="G356" s="216"/>
      <x:c r="H356" s="216"/>
      <x:c r="I356" s="216"/>
      <x:c r="J356" s="216"/>
      <x:c r="K356" s="216"/>
      <x:c r="L356" s="216"/>
      <x:c r="M356" s="216"/>
      <x:c r="N356" s="216"/>
      <x:c r="O356" s="216"/>
      <x:c r="P356" s="216"/>
      <x:c r="Q356" s="216"/>
      <x:c r="R356" s="216"/>
      <x:c r="S356" s="216"/>
      <x:c r="T356" s="216"/>
      <x:c r="U356" s="216"/>
      <x:c r="V356" s="216"/>
      <x:c r="W356" s="216"/>
      <x:c r="X356" s="216"/>
      <x:c r="Y356" s="216"/>
      <x:c r="Z356" s="216"/>
    </x:row>
    <x:row r="357">
      <x:c r="A357" s="216"/>
      <x:c r="B357" s="216"/>
      <x:c r="C357" s="216"/>
      <x:c r="D357" s="216"/>
      <x:c r="E357" s="216"/>
      <x:c r="F357" s="216"/>
      <x:c r="G357" s="216"/>
      <x:c r="H357" s="216"/>
      <x:c r="I357" s="216"/>
      <x:c r="J357" s="216"/>
      <x:c r="K357" s="216"/>
      <x:c r="L357" s="216"/>
      <x:c r="M357" s="216"/>
      <x:c r="N357" s="216"/>
      <x:c r="O357" s="216"/>
      <x:c r="P357" s="216"/>
      <x:c r="Q357" s="216"/>
      <x:c r="R357" s="216"/>
      <x:c r="S357" s="216"/>
      <x:c r="T357" s="216"/>
      <x:c r="U357" s="216"/>
      <x:c r="V357" s="216"/>
      <x:c r="W357" s="216"/>
      <x:c r="X357" s="216"/>
      <x:c r="Y357" s="216"/>
      <x:c r="Z357" s="216"/>
    </x:row>
    <x:row r="358">
      <x:c r="A358" s="216"/>
      <x:c r="B358" s="216"/>
      <x:c r="C358" s="216"/>
      <x:c r="D358" s="216"/>
      <x:c r="E358" s="216"/>
      <x:c r="F358" s="216"/>
      <x:c r="G358" s="216"/>
      <x:c r="H358" s="216"/>
      <x:c r="I358" s="216"/>
      <x:c r="J358" s="216"/>
      <x:c r="K358" s="216"/>
      <x:c r="L358" s="216"/>
      <x:c r="M358" s="216"/>
      <x:c r="N358" s="216"/>
      <x:c r="O358" s="216"/>
      <x:c r="P358" s="216"/>
      <x:c r="Q358" s="216"/>
      <x:c r="R358" s="216"/>
      <x:c r="S358" s="216"/>
      <x:c r="T358" s="216"/>
      <x:c r="U358" s="216"/>
      <x:c r="V358" s="216"/>
      <x:c r="W358" s="216"/>
      <x:c r="X358" s="216"/>
      <x:c r="Y358" s="216"/>
      <x:c r="Z358" s="216"/>
    </x:row>
    <x:row r="359">
      <x:c r="A359" s="216"/>
      <x:c r="B359" s="216"/>
      <x:c r="C359" s="216"/>
      <x:c r="D359" s="216"/>
      <x:c r="E359" s="216"/>
      <x:c r="F359" s="216"/>
      <x:c r="G359" s="216"/>
      <x:c r="H359" s="216"/>
      <x:c r="I359" s="216"/>
      <x:c r="J359" s="216"/>
      <x:c r="K359" s="216"/>
      <x:c r="L359" s="216"/>
      <x:c r="M359" s="216"/>
      <x:c r="N359" s="216"/>
      <x:c r="O359" s="216"/>
      <x:c r="P359" s="216"/>
      <x:c r="Q359" s="216"/>
      <x:c r="R359" s="216"/>
      <x:c r="S359" s="216"/>
      <x:c r="T359" s="216"/>
      <x:c r="U359" s="216"/>
      <x:c r="V359" s="216"/>
      <x:c r="W359" s="216"/>
      <x:c r="X359" s="216"/>
      <x:c r="Y359" s="216"/>
      <x:c r="Z359" s="216"/>
    </x:row>
    <x:row r="360">
      <x:c r="A360" s="216"/>
      <x:c r="B360" s="216"/>
      <x:c r="C360" s="216"/>
      <x:c r="D360" s="216"/>
      <x:c r="E360" s="216"/>
      <x:c r="F360" s="216"/>
      <x:c r="G360" s="216"/>
      <x:c r="H360" s="216"/>
      <x:c r="I360" s="216"/>
      <x:c r="J360" s="216"/>
      <x:c r="K360" s="216"/>
      <x:c r="L360" s="216"/>
      <x:c r="M360" s="216"/>
      <x:c r="N360" s="216"/>
      <x:c r="O360" s="216"/>
      <x:c r="P360" s="216"/>
      <x:c r="Q360" s="216"/>
      <x:c r="R360" s="216"/>
      <x:c r="S360" s="216"/>
      <x:c r="T360" s="216"/>
      <x:c r="U360" s="216"/>
      <x:c r="V360" s="216"/>
      <x:c r="W360" s="216"/>
      <x:c r="X360" s="216"/>
      <x:c r="Y360" s="216"/>
      <x:c r="Z360" s="216"/>
    </x:row>
    <x:row r="361">
      <x:c r="A361" s="216"/>
      <x:c r="B361" s="216"/>
      <x:c r="C361" s="216"/>
      <x:c r="D361" s="216"/>
      <x:c r="E361" s="216"/>
      <x:c r="F361" s="216"/>
      <x:c r="G361" s="216"/>
      <x:c r="H361" s="216"/>
      <x:c r="I361" s="216"/>
      <x:c r="J361" s="216"/>
      <x:c r="K361" s="216"/>
      <x:c r="L361" s="216"/>
      <x:c r="M361" s="216"/>
      <x:c r="N361" s="216"/>
      <x:c r="O361" s="216"/>
      <x:c r="P361" s="216"/>
      <x:c r="Q361" s="216"/>
      <x:c r="R361" s="216"/>
      <x:c r="S361" s="216"/>
      <x:c r="T361" s="216"/>
      <x:c r="U361" s="216"/>
      <x:c r="V361" s="216"/>
      <x:c r="W361" s="216"/>
      <x:c r="X361" s="216"/>
      <x:c r="Y361" s="216"/>
      <x:c r="Z361" s="216"/>
    </x:row>
    <x:row r="362">
      <x:c r="A362" s="216"/>
      <x:c r="B362" s="216"/>
      <x:c r="C362" s="216"/>
      <x:c r="D362" s="216"/>
      <x:c r="E362" s="216"/>
      <x:c r="F362" s="216"/>
      <x:c r="G362" s="216"/>
      <x:c r="H362" s="216"/>
      <x:c r="I362" s="216"/>
      <x:c r="J362" s="216"/>
      <x:c r="K362" s="216"/>
      <x:c r="L362" s="216"/>
      <x:c r="M362" s="216"/>
      <x:c r="N362" s="216"/>
      <x:c r="O362" s="216"/>
      <x:c r="P362" s="216"/>
      <x:c r="Q362" s="216"/>
      <x:c r="R362" s="216"/>
      <x:c r="S362" s="216"/>
      <x:c r="T362" s="216"/>
      <x:c r="U362" s="216"/>
      <x:c r="V362" s="216"/>
      <x:c r="W362" s="216"/>
      <x:c r="X362" s="216"/>
      <x:c r="Y362" s="216"/>
      <x:c r="Z362" s="216"/>
    </x:row>
    <x:row r="363">
      <x:c r="A363" s="216"/>
      <x:c r="B363" s="216"/>
      <x:c r="C363" s="216"/>
      <x:c r="D363" s="216"/>
      <x:c r="E363" s="216"/>
      <x:c r="F363" s="216"/>
      <x:c r="G363" s="216"/>
      <x:c r="H363" s="216"/>
      <x:c r="I363" s="216"/>
      <x:c r="J363" s="216"/>
      <x:c r="K363" s="216"/>
      <x:c r="L363" s="216"/>
      <x:c r="M363" s="216"/>
      <x:c r="N363" s="216"/>
      <x:c r="O363" s="216"/>
      <x:c r="P363" s="216"/>
      <x:c r="Q363" s="216"/>
      <x:c r="R363" s="216"/>
      <x:c r="S363" s="216"/>
      <x:c r="T363" s="216"/>
      <x:c r="U363" s="216"/>
      <x:c r="V363" s="216"/>
      <x:c r="W363" s="216"/>
      <x:c r="X363" s="216"/>
      <x:c r="Y363" s="216"/>
      <x:c r="Z363" s="216"/>
    </x:row>
    <x:row r="364">
      <x:c r="A364" s="216"/>
      <x:c r="B364" s="216"/>
      <x:c r="C364" s="216"/>
      <x:c r="D364" s="216"/>
      <x:c r="E364" s="216"/>
      <x:c r="F364" s="216"/>
      <x:c r="G364" s="216"/>
      <x:c r="H364" s="216"/>
      <x:c r="I364" s="216"/>
      <x:c r="J364" s="216"/>
      <x:c r="K364" s="216"/>
      <x:c r="L364" s="216"/>
      <x:c r="M364" s="216"/>
      <x:c r="N364" s="216"/>
      <x:c r="O364" s="216"/>
      <x:c r="P364" s="216"/>
      <x:c r="Q364" s="216"/>
      <x:c r="R364" s="216"/>
      <x:c r="S364" s="216"/>
      <x:c r="T364" s="216"/>
      <x:c r="U364" s="216"/>
      <x:c r="V364" s="216"/>
      <x:c r="W364" s="216"/>
      <x:c r="X364" s="216"/>
      <x:c r="Y364" s="216"/>
      <x:c r="Z364" s="216"/>
    </x:row>
    <x:row r="365">
      <x:c r="A365" s="216"/>
      <x:c r="B365" s="216"/>
      <x:c r="C365" s="216"/>
      <x:c r="D365" s="216"/>
      <x:c r="E365" s="216"/>
      <x:c r="F365" s="216"/>
      <x:c r="G365" s="216"/>
      <x:c r="H365" s="216"/>
      <x:c r="I365" s="216"/>
      <x:c r="J365" s="216"/>
      <x:c r="K365" s="216"/>
      <x:c r="L365" s="216"/>
      <x:c r="M365" s="216"/>
      <x:c r="N365" s="216"/>
      <x:c r="O365" s="216"/>
      <x:c r="P365" s="216"/>
      <x:c r="Q365" s="216"/>
      <x:c r="R365" s="216"/>
      <x:c r="S365" s="216"/>
      <x:c r="T365" s="216"/>
      <x:c r="U365" s="216"/>
      <x:c r="V365" s="216"/>
      <x:c r="W365" s="216"/>
      <x:c r="X365" s="216"/>
      <x:c r="Y365" s="216"/>
      <x:c r="Z365" s="216"/>
    </x:row>
    <x:row r="366">
      <x:c r="A366" s="216"/>
      <x:c r="B366" s="216"/>
      <x:c r="C366" s="216"/>
      <x:c r="D366" s="216"/>
      <x:c r="E366" s="216"/>
      <x:c r="F366" s="216"/>
      <x:c r="G366" s="216"/>
      <x:c r="H366" s="216"/>
      <x:c r="I366" s="216"/>
      <x:c r="J366" s="216"/>
      <x:c r="K366" s="216"/>
      <x:c r="L366" s="216"/>
      <x:c r="M366" s="216"/>
      <x:c r="N366" s="216"/>
      <x:c r="O366" s="216"/>
      <x:c r="P366" s="216"/>
      <x:c r="Q366" s="216"/>
      <x:c r="R366" s="216"/>
      <x:c r="S366" s="216"/>
      <x:c r="T366" s="216"/>
      <x:c r="U366" s="216"/>
      <x:c r="V366" s="216"/>
      <x:c r="W366" s="216"/>
      <x:c r="X366" s="216"/>
      <x:c r="Y366" s="216"/>
      <x:c r="Z366" s="216"/>
    </x:row>
    <x:row r="367">
      <x:c r="A367" s="216"/>
      <x:c r="B367" s="216"/>
      <x:c r="C367" s="216"/>
      <x:c r="D367" s="216"/>
      <x:c r="E367" s="216"/>
      <x:c r="F367" s="216"/>
      <x:c r="G367" s="216"/>
      <x:c r="H367" s="216"/>
      <x:c r="I367" s="216"/>
      <x:c r="J367" s="216"/>
      <x:c r="K367" s="216"/>
      <x:c r="L367" s="216"/>
      <x:c r="M367" s="216"/>
      <x:c r="N367" s="216"/>
      <x:c r="O367" s="216"/>
      <x:c r="P367" s="216"/>
      <x:c r="Q367" s="216"/>
      <x:c r="R367" s="216"/>
      <x:c r="S367" s="216"/>
      <x:c r="T367" s="216"/>
      <x:c r="U367" s="216"/>
      <x:c r="V367" s="216"/>
      <x:c r="W367" s="216"/>
      <x:c r="X367" s="216"/>
      <x:c r="Y367" s="216"/>
      <x:c r="Z367" s="216"/>
    </x:row>
    <x:row r="368">
      <x:c r="A368" s="216"/>
      <x:c r="B368" s="216"/>
      <x:c r="C368" s="216"/>
      <x:c r="D368" s="216"/>
      <x:c r="E368" s="216"/>
      <x:c r="F368" s="216"/>
      <x:c r="G368" s="216"/>
      <x:c r="H368" s="216"/>
      <x:c r="I368" s="216"/>
      <x:c r="J368" s="216"/>
      <x:c r="K368" s="216"/>
      <x:c r="L368" s="216"/>
      <x:c r="M368" s="216"/>
      <x:c r="N368" s="216"/>
      <x:c r="O368" s="216"/>
      <x:c r="P368" s="216"/>
      <x:c r="Q368" s="216"/>
      <x:c r="R368" s="216"/>
      <x:c r="S368" s="216"/>
      <x:c r="T368" s="216"/>
      <x:c r="U368" s="216"/>
      <x:c r="V368" s="216"/>
      <x:c r="W368" s="216"/>
      <x:c r="X368" s="216"/>
      <x:c r="Y368" s="216"/>
      <x:c r="Z368" s="216"/>
    </x:row>
    <x:row r="369">
      <x:c r="A369" s="216"/>
      <x:c r="B369" s="216"/>
      <x:c r="C369" s="216"/>
      <x:c r="D369" s="216"/>
      <x:c r="E369" s="216"/>
      <x:c r="F369" s="216"/>
      <x:c r="G369" s="216"/>
      <x:c r="H369" s="216"/>
      <x:c r="I369" s="216"/>
      <x:c r="J369" s="216"/>
      <x:c r="K369" s="216"/>
      <x:c r="L369" s="216"/>
      <x:c r="M369" s="216"/>
      <x:c r="N369" s="216"/>
      <x:c r="O369" s="216"/>
      <x:c r="P369" s="216"/>
      <x:c r="Q369" s="216"/>
      <x:c r="R369" s="216"/>
      <x:c r="S369" s="216"/>
      <x:c r="T369" s="216"/>
      <x:c r="U369" s="216"/>
      <x:c r="V369" s="216"/>
      <x:c r="W369" s="216"/>
      <x:c r="X369" s="216"/>
      <x:c r="Y369" s="216"/>
      <x:c r="Z369" s="216"/>
    </x:row>
    <x:row r="370">
      <x:c r="A370" s="216"/>
      <x:c r="B370" s="216"/>
      <x:c r="C370" s="216"/>
      <x:c r="D370" s="216"/>
      <x:c r="E370" s="216"/>
      <x:c r="F370" s="216"/>
      <x:c r="G370" s="216"/>
      <x:c r="H370" s="216"/>
      <x:c r="I370" s="216"/>
      <x:c r="J370" s="216"/>
      <x:c r="K370" s="216"/>
      <x:c r="L370" s="216"/>
      <x:c r="M370" s="216"/>
      <x:c r="N370" s="216"/>
      <x:c r="O370" s="216"/>
      <x:c r="P370" s="216"/>
      <x:c r="Q370" s="216"/>
      <x:c r="R370" s="216"/>
      <x:c r="S370" s="216"/>
      <x:c r="T370" s="216"/>
      <x:c r="U370" s="216"/>
      <x:c r="V370" s="216"/>
      <x:c r="W370" s="216"/>
      <x:c r="X370" s="216"/>
      <x:c r="Y370" s="216"/>
      <x:c r="Z370" s="216"/>
    </x:row>
    <x:row r="371">
      <x:c r="A371" s="216"/>
      <x:c r="B371" s="216"/>
      <x:c r="C371" s="216"/>
      <x:c r="D371" s="216"/>
      <x:c r="E371" s="216"/>
      <x:c r="F371" s="216"/>
      <x:c r="G371" s="216"/>
      <x:c r="H371" s="216"/>
      <x:c r="I371" s="216"/>
      <x:c r="J371" s="216"/>
      <x:c r="K371" s="216"/>
      <x:c r="L371" s="216"/>
      <x:c r="M371" s="216"/>
      <x:c r="N371" s="216"/>
      <x:c r="O371" s="216"/>
      <x:c r="P371" s="216"/>
      <x:c r="Q371" s="216"/>
      <x:c r="R371" s="216"/>
      <x:c r="S371" s="216"/>
      <x:c r="T371" s="216"/>
      <x:c r="U371" s="216"/>
      <x:c r="V371" s="216"/>
      <x:c r="W371" s="216"/>
      <x:c r="X371" s="216"/>
      <x:c r="Y371" s="216"/>
      <x:c r="Z371" s="216"/>
    </x:row>
    <x:row r="372">
      <x:c r="A372" s="216"/>
      <x:c r="B372" s="216"/>
      <x:c r="C372" s="216"/>
      <x:c r="D372" s="216"/>
      <x:c r="E372" s="216"/>
      <x:c r="F372" s="216"/>
      <x:c r="G372" s="216"/>
      <x:c r="H372" s="216"/>
      <x:c r="I372" s="216"/>
      <x:c r="J372" s="216"/>
      <x:c r="K372" s="216"/>
      <x:c r="L372" s="216"/>
      <x:c r="M372" s="216"/>
      <x:c r="N372" s="216"/>
      <x:c r="O372" s="216"/>
      <x:c r="P372" s="216"/>
      <x:c r="Q372" s="216"/>
      <x:c r="R372" s="216"/>
      <x:c r="S372" s="216"/>
      <x:c r="T372" s="216"/>
      <x:c r="U372" s="216"/>
      <x:c r="V372" s="216"/>
      <x:c r="W372" s="216"/>
      <x:c r="X372" s="216"/>
      <x:c r="Y372" s="216"/>
      <x:c r="Z372" s="216"/>
    </x:row>
    <x:row r="373">
      <x:c r="A373" s="216"/>
      <x:c r="B373" s="216"/>
      <x:c r="C373" s="216"/>
      <x:c r="D373" s="216"/>
      <x:c r="E373" s="216"/>
      <x:c r="F373" s="216"/>
      <x:c r="G373" s="216"/>
      <x:c r="H373" s="216"/>
      <x:c r="I373" s="216"/>
      <x:c r="J373" s="216"/>
      <x:c r="K373" s="216"/>
      <x:c r="L373" s="216"/>
      <x:c r="M373" s="216"/>
      <x:c r="N373" s="216"/>
      <x:c r="O373" s="216"/>
      <x:c r="P373" s="216"/>
      <x:c r="Q373" s="216"/>
      <x:c r="R373" s="216"/>
      <x:c r="S373" s="216"/>
      <x:c r="T373" s="216"/>
      <x:c r="U373" s="216"/>
      <x:c r="V373" s="216"/>
      <x:c r="W373" s="216"/>
      <x:c r="X373" s="216"/>
      <x:c r="Y373" s="216"/>
      <x:c r="Z373" s="216"/>
    </x:row>
    <x:row r="374">
      <x:c r="A374" s="216"/>
      <x:c r="B374" s="216"/>
      <x:c r="C374" s="216"/>
      <x:c r="D374" s="216"/>
      <x:c r="E374" s="216"/>
      <x:c r="F374" s="216"/>
      <x:c r="G374" s="216"/>
      <x:c r="H374" s="216"/>
      <x:c r="I374" s="216"/>
      <x:c r="J374" s="216"/>
      <x:c r="K374" s="216"/>
      <x:c r="L374" s="216"/>
      <x:c r="M374" s="216"/>
      <x:c r="N374" s="216"/>
      <x:c r="O374" s="216"/>
      <x:c r="P374" s="216"/>
      <x:c r="Q374" s="216"/>
      <x:c r="R374" s="216"/>
      <x:c r="S374" s="216"/>
      <x:c r="T374" s="216"/>
      <x:c r="U374" s="216"/>
      <x:c r="V374" s="216"/>
      <x:c r="W374" s="216"/>
      <x:c r="X374" s="216"/>
      <x:c r="Y374" s="216"/>
      <x:c r="Z374" s="216"/>
    </x:row>
    <x:row r="375">
      <x:c r="A375" s="216"/>
      <x:c r="B375" s="216"/>
      <x:c r="C375" s="216"/>
      <x:c r="D375" s="216"/>
      <x:c r="E375" s="216"/>
      <x:c r="F375" s="216"/>
      <x:c r="G375" s="216"/>
      <x:c r="H375" s="216"/>
      <x:c r="I375" s="216"/>
      <x:c r="J375" s="216"/>
      <x:c r="K375" s="216"/>
      <x:c r="L375" s="216"/>
      <x:c r="M375" s="216"/>
      <x:c r="N375" s="216"/>
      <x:c r="O375" s="216"/>
      <x:c r="P375" s="216"/>
      <x:c r="Q375" s="216"/>
      <x:c r="R375" s="216"/>
      <x:c r="S375" s="216"/>
      <x:c r="T375" s="216"/>
      <x:c r="U375" s="216"/>
      <x:c r="V375" s="216"/>
      <x:c r="W375" s="216"/>
      <x:c r="X375" s="216"/>
      <x:c r="Y375" s="216"/>
      <x:c r="Z375" s="216"/>
    </x:row>
    <x:row r="376">
      <x:c r="A376" s="216"/>
      <x:c r="B376" s="216"/>
      <x:c r="C376" s="216"/>
      <x:c r="D376" s="216"/>
      <x:c r="E376" s="216"/>
      <x:c r="F376" s="216"/>
      <x:c r="G376" s="216"/>
      <x:c r="H376" s="216"/>
      <x:c r="I376" s="216"/>
      <x:c r="J376" s="216"/>
      <x:c r="K376" s="216"/>
      <x:c r="L376" s="216"/>
      <x:c r="M376" s="216"/>
      <x:c r="N376" s="216"/>
      <x:c r="O376" s="216"/>
      <x:c r="P376" s="216"/>
      <x:c r="Q376" s="216"/>
      <x:c r="R376" s="216"/>
      <x:c r="S376" s="216"/>
      <x:c r="T376" s="216"/>
      <x:c r="U376" s="216"/>
      <x:c r="V376" s="216"/>
      <x:c r="W376" s="216"/>
      <x:c r="X376" s="216"/>
      <x:c r="Y376" s="216"/>
      <x:c r="Z376" s="216"/>
    </x:row>
    <x:row r="377">
      <x:c r="A377" s="216"/>
      <x:c r="B377" s="216"/>
      <x:c r="C377" s="216"/>
      <x:c r="D377" s="216"/>
      <x:c r="E377" s="216"/>
      <x:c r="F377" s="216"/>
      <x:c r="G377" s="216"/>
      <x:c r="H377" s="216"/>
      <x:c r="I377" s="216"/>
      <x:c r="J377" s="216"/>
      <x:c r="K377" s="216"/>
      <x:c r="L377" s="216"/>
      <x:c r="M377" s="216"/>
      <x:c r="N377" s="216"/>
      <x:c r="O377" s="216"/>
      <x:c r="P377" s="216"/>
      <x:c r="Q377" s="216"/>
      <x:c r="R377" s="216"/>
      <x:c r="S377" s="216"/>
      <x:c r="T377" s="216"/>
      <x:c r="U377" s="216"/>
      <x:c r="V377" s="216"/>
      <x:c r="W377" s="216"/>
      <x:c r="X377" s="216"/>
      <x:c r="Y377" s="216"/>
      <x:c r="Z377" s="216"/>
    </x:row>
    <x:row r="378">
      <x:c r="A378" s="216"/>
      <x:c r="B378" s="216"/>
      <x:c r="C378" s="216"/>
      <x:c r="D378" s="216"/>
      <x:c r="E378" s="216"/>
      <x:c r="F378" s="216"/>
      <x:c r="G378" s="216"/>
      <x:c r="H378" s="216"/>
      <x:c r="I378" s="216"/>
      <x:c r="J378" s="216"/>
      <x:c r="K378" s="216"/>
      <x:c r="L378" s="216"/>
      <x:c r="M378" s="216"/>
      <x:c r="N378" s="216"/>
      <x:c r="O378" s="216"/>
      <x:c r="P378" s="216"/>
      <x:c r="Q378" s="216"/>
      <x:c r="R378" s="216"/>
      <x:c r="S378" s="216"/>
      <x:c r="T378" s="216"/>
      <x:c r="U378" s="216"/>
      <x:c r="V378" s="216"/>
      <x:c r="W378" s="216"/>
      <x:c r="X378" s="216"/>
      <x:c r="Y378" s="216"/>
      <x:c r="Z378" s="216"/>
    </x:row>
    <x:row r="379">
      <x:c r="A379" s="216"/>
      <x:c r="B379" s="216"/>
      <x:c r="C379" s="216"/>
      <x:c r="D379" s="216"/>
      <x:c r="E379" s="216"/>
      <x:c r="F379" s="216"/>
      <x:c r="G379" s="216"/>
      <x:c r="H379" s="216"/>
      <x:c r="I379" s="216"/>
      <x:c r="J379" s="216"/>
      <x:c r="K379" s="216"/>
      <x:c r="L379" s="216"/>
      <x:c r="M379" s="216"/>
      <x:c r="N379" s="216"/>
      <x:c r="O379" s="216"/>
      <x:c r="P379" s="216"/>
      <x:c r="Q379" s="216"/>
      <x:c r="R379" s="216"/>
      <x:c r="S379" s="216"/>
      <x:c r="T379" s="216"/>
      <x:c r="U379" s="216"/>
      <x:c r="V379" s="216"/>
      <x:c r="W379" s="216"/>
      <x:c r="X379" s="216"/>
      <x:c r="Y379" s="216"/>
      <x:c r="Z379" s="216"/>
    </x:row>
    <x:row r="380">
      <x:c r="A380" s="216"/>
      <x:c r="B380" s="216"/>
      <x:c r="C380" s="216"/>
      <x:c r="D380" s="216"/>
      <x:c r="E380" s="216"/>
      <x:c r="F380" s="216"/>
      <x:c r="G380" s="216"/>
      <x:c r="H380" s="216"/>
      <x:c r="I380" s="216"/>
      <x:c r="J380" s="216"/>
      <x:c r="K380" s="216"/>
      <x:c r="L380" s="216"/>
      <x:c r="M380" s="216"/>
      <x:c r="N380" s="216"/>
      <x:c r="O380" s="216"/>
      <x:c r="P380" s="216"/>
      <x:c r="Q380" s="216"/>
      <x:c r="R380" s="216"/>
      <x:c r="S380" s="216"/>
      <x:c r="T380" s="216"/>
      <x:c r="U380" s="216"/>
      <x:c r="V380" s="216"/>
      <x:c r="W380" s="216"/>
      <x:c r="X380" s="216"/>
      <x:c r="Y380" s="216"/>
      <x:c r="Z380" s="216"/>
    </x:row>
    <x:row r="381">
      <x:c r="A381" s="216"/>
      <x:c r="B381" s="216"/>
      <x:c r="C381" s="216"/>
      <x:c r="D381" s="216"/>
      <x:c r="E381" s="216"/>
      <x:c r="F381" s="216"/>
      <x:c r="G381" s="216"/>
      <x:c r="H381" s="216"/>
      <x:c r="I381" s="216"/>
      <x:c r="J381" s="216"/>
      <x:c r="K381" s="216"/>
      <x:c r="L381" s="216"/>
      <x:c r="M381" s="216"/>
      <x:c r="N381" s="216"/>
      <x:c r="O381" s="216"/>
      <x:c r="P381" s="216"/>
      <x:c r="Q381" s="216"/>
      <x:c r="R381" s="216"/>
      <x:c r="S381" s="216"/>
      <x:c r="T381" s="216"/>
      <x:c r="U381" s="216"/>
      <x:c r="V381" s="216"/>
      <x:c r="W381" s="216"/>
      <x:c r="X381" s="216"/>
      <x:c r="Y381" s="216"/>
      <x:c r="Z381" s="216"/>
    </x:row>
    <x:row r="382">
      <x:c r="A382" s="216"/>
      <x:c r="B382" s="216"/>
      <x:c r="C382" s="216"/>
      <x:c r="D382" s="216"/>
      <x:c r="E382" s="216"/>
      <x:c r="F382" s="216"/>
      <x:c r="G382" s="216"/>
      <x:c r="H382" s="216"/>
      <x:c r="I382" s="216"/>
      <x:c r="J382" s="216"/>
      <x:c r="K382" s="216"/>
      <x:c r="L382" s="216"/>
      <x:c r="M382" s="216"/>
      <x:c r="N382" s="216"/>
      <x:c r="O382" s="216"/>
      <x:c r="P382" s="216"/>
      <x:c r="Q382" s="216"/>
      <x:c r="R382" s="216"/>
      <x:c r="S382" s="216"/>
      <x:c r="T382" s="216"/>
      <x:c r="U382" s="216"/>
      <x:c r="V382" s="216"/>
      <x:c r="W382" s="216"/>
      <x:c r="X382" s="216"/>
      <x:c r="Y382" s="216"/>
      <x:c r="Z382" s="216"/>
    </x:row>
    <x:row r="383">
      <x:c r="A383" s="216"/>
      <x:c r="B383" s="216"/>
      <x:c r="C383" s="216"/>
      <x:c r="D383" s="216"/>
      <x:c r="E383" s="216"/>
      <x:c r="F383" s="216"/>
      <x:c r="G383" s="216"/>
      <x:c r="H383" s="216"/>
      <x:c r="I383" s="216"/>
      <x:c r="J383" s="216"/>
      <x:c r="K383" s="216"/>
      <x:c r="L383" s="216"/>
      <x:c r="M383" s="216"/>
      <x:c r="N383" s="216"/>
      <x:c r="O383" s="216"/>
      <x:c r="P383" s="216"/>
      <x:c r="Q383" s="216"/>
      <x:c r="R383" s="216"/>
      <x:c r="S383" s="216"/>
      <x:c r="T383" s="216"/>
      <x:c r="U383" s="216"/>
      <x:c r="V383" s="216"/>
      <x:c r="W383" s="216"/>
      <x:c r="X383" s="216"/>
      <x:c r="Y383" s="216"/>
      <x:c r="Z383" s="216"/>
    </x:row>
    <x:row r="384">
      <x:c r="A384" s="216"/>
      <x:c r="B384" s="216"/>
      <x:c r="C384" s="216"/>
      <x:c r="D384" s="216"/>
      <x:c r="E384" s="216"/>
      <x:c r="F384" s="216"/>
      <x:c r="G384" s="216"/>
      <x:c r="H384" s="216"/>
      <x:c r="I384" s="216"/>
      <x:c r="J384" s="216"/>
      <x:c r="K384" s="216"/>
      <x:c r="L384" s="216"/>
      <x:c r="M384" s="216"/>
      <x:c r="N384" s="216"/>
      <x:c r="O384" s="216"/>
      <x:c r="P384" s="216"/>
      <x:c r="Q384" s="216"/>
      <x:c r="R384" s="216"/>
      <x:c r="S384" s="216"/>
      <x:c r="T384" s="216"/>
      <x:c r="U384" s="216"/>
      <x:c r="V384" s="216"/>
      <x:c r="W384" s="216"/>
      <x:c r="X384" s="216"/>
      <x:c r="Y384" s="216"/>
      <x:c r="Z384" s="216"/>
    </x:row>
    <x:row r="385">
      <x:c r="A385" s="216"/>
      <x:c r="B385" s="216"/>
      <x:c r="C385" s="216"/>
      <x:c r="D385" s="216"/>
      <x:c r="E385" s="216"/>
      <x:c r="F385" s="216"/>
      <x:c r="G385" s="216"/>
      <x:c r="H385" s="216"/>
      <x:c r="I385" s="216"/>
      <x:c r="J385" s="216"/>
      <x:c r="K385" s="216"/>
      <x:c r="L385" s="216"/>
      <x:c r="M385" s="216"/>
      <x:c r="N385" s="216"/>
      <x:c r="O385" s="216"/>
      <x:c r="P385" s="216"/>
      <x:c r="Q385" s="216"/>
      <x:c r="R385" s="216"/>
      <x:c r="S385" s="216"/>
      <x:c r="T385" s="216"/>
      <x:c r="U385" s="216"/>
      <x:c r="V385" s="216"/>
      <x:c r="W385" s="216"/>
      <x:c r="X385" s="216"/>
      <x:c r="Y385" s="216"/>
      <x:c r="Z385" s="216"/>
    </x:row>
    <x:row r="386">
      <x:c r="A386" s="216"/>
      <x:c r="B386" s="216"/>
      <x:c r="C386" s="216"/>
      <x:c r="D386" s="216"/>
      <x:c r="E386" s="216"/>
      <x:c r="F386" s="216"/>
      <x:c r="G386" s="216"/>
      <x:c r="H386" s="216"/>
      <x:c r="I386" s="216"/>
      <x:c r="J386" s="216"/>
      <x:c r="K386" s="216"/>
      <x:c r="L386" s="216"/>
      <x:c r="M386" s="216"/>
      <x:c r="N386" s="216"/>
      <x:c r="O386" s="216"/>
      <x:c r="P386" s="216"/>
      <x:c r="Q386" s="216"/>
      <x:c r="R386" s="216"/>
      <x:c r="S386" s="216"/>
      <x:c r="T386" s="216"/>
      <x:c r="U386" s="216"/>
      <x:c r="V386" s="216"/>
      <x:c r="W386" s="216"/>
      <x:c r="X386" s="216"/>
      <x:c r="Y386" s="216"/>
      <x:c r="Z386" s="216"/>
    </x:row>
    <x:row r="387">
      <x:c r="A387" s="216"/>
      <x:c r="B387" s="216"/>
      <x:c r="C387" s="216"/>
      <x:c r="D387" s="216"/>
      <x:c r="E387" s="216"/>
      <x:c r="F387" s="216"/>
      <x:c r="G387" s="216"/>
      <x:c r="H387" s="216"/>
      <x:c r="I387" s="216"/>
      <x:c r="J387" s="216"/>
      <x:c r="K387" s="216"/>
      <x:c r="L387" s="216"/>
      <x:c r="M387" s="216"/>
      <x:c r="N387" s="216"/>
      <x:c r="O387" s="216"/>
      <x:c r="P387" s="216"/>
      <x:c r="Q387" s="216"/>
      <x:c r="R387" s="216"/>
      <x:c r="S387" s="216"/>
      <x:c r="T387" s="216"/>
      <x:c r="U387" s="216"/>
      <x:c r="V387" s="216"/>
      <x:c r="W387" s="216"/>
      <x:c r="X387" s="216"/>
      <x:c r="Y387" s="216"/>
      <x:c r="Z387" s="216"/>
    </x:row>
    <x:row r="388">
      <x:c r="A388" s="216"/>
      <x:c r="B388" s="216"/>
      <x:c r="C388" s="216"/>
      <x:c r="D388" s="216"/>
      <x:c r="E388" s="216"/>
      <x:c r="F388" s="216"/>
      <x:c r="G388" s="216"/>
      <x:c r="H388" s="216"/>
      <x:c r="I388" s="216"/>
      <x:c r="J388" s="216"/>
      <x:c r="K388" s="216"/>
      <x:c r="L388" s="216"/>
      <x:c r="M388" s="216"/>
      <x:c r="N388" s="216"/>
      <x:c r="O388" s="216"/>
      <x:c r="P388" s="216"/>
      <x:c r="Q388" s="216"/>
      <x:c r="R388" s="216"/>
      <x:c r="S388" s="216"/>
      <x:c r="T388" s="216"/>
      <x:c r="U388" s="216"/>
      <x:c r="V388" s="216"/>
      <x:c r="W388" s="216"/>
      <x:c r="X388" s="216"/>
      <x:c r="Y388" s="216"/>
      <x:c r="Z388" s="216"/>
    </x:row>
    <x:row r="389">
      <x:c r="A389" s="216"/>
      <x:c r="B389" s="216"/>
      <x:c r="C389" s="216"/>
      <x:c r="D389" s="216"/>
      <x:c r="E389" s="216"/>
      <x:c r="F389" s="216"/>
      <x:c r="G389" s="216"/>
      <x:c r="H389" s="216"/>
      <x:c r="I389" s="216"/>
      <x:c r="J389" s="216"/>
      <x:c r="K389" s="216"/>
      <x:c r="L389" s="216"/>
      <x:c r="M389" s="216"/>
      <x:c r="N389" s="216"/>
      <x:c r="O389" s="216"/>
      <x:c r="P389" s="216"/>
      <x:c r="Q389" s="216"/>
      <x:c r="R389" s="216"/>
      <x:c r="S389" s="216"/>
      <x:c r="T389" s="216"/>
      <x:c r="U389" s="216"/>
      <x:c r="V389" s="216"/>
      <x:c r="W389" s="216"/>
      <x:c r="X389" s="216"/>
      <x:c r="Y389" s="216"/>
      <x:c r="Z389" s="216"/>
    </x:row>
    <x:row r="390">
      <x:c r="A390" s="216"/>
      <x:c r="B390" s="216"/>
      <x:c r="C390" s="216"/>
      <x:c r="D390" s="216"/>
      <x:c r="E390" s="216"/>
      <x:c r="F390" s="216"/>
      <x:c r="G390" s="216"/>
      <x:c r="H390" s="216"/>
      <x:c r="I390" s="216"/>
      <x:c r="J390" s="216"/>
      <x:c r="K390" s="216"/>
      <x:c r="L390" s="216"/>
      <x:c r="M390" s="216"/>
      <x:c r="N390" s="216"/>
      <x:c r="O390" s="216"/>
      <x:c r="P390" s="216"/>
      <x:c r="Q390" s="216"/>
      <x:c r="R390" s="216"/>
      <x:c r="S390" s="216"/>
      <x:c r="T390" s="216"/>
      <x:c r="U390" s="216"/>
      <x:c r="V390" s="216"/>
      <x:c r="W390" s="216"/>
      <x:c r="X390" s="216"/>
      <x:c r="Y390" s="216"/>
      <x:c r="Z390" s="216"/>
    </x:row>
    <x:row r="391">
      <x:c r="A391" s="216"/>
      <x:c r="B391" s="216"/>
      <x:c r="C391" s="216"/>
      <x:c r="D391" s="216"/>
      <x:c r="E391" s="216"/>
      <x:c r="F391" s="216"/>
      <x:c r="G391" s="216"/>
      <x:c r="H391" s="216"/>
      <x:c r="I391" s="216"/>
      <x:c r="J391" s="216"/>
      <x:c r="K391" s="216"/>
      <x:c r="L391" s="216"/>
      <x:c r="M391" s="216"/>
      <x:c r="N391" s="216"/>
      <x:c r="O391" s="216"/>
      <x:c r="P391" s="216"/>
      <x:c r="Q391" s="216"/>
      <x:c r="R391" s="216"/>
      <x:c r="S391" s="216"/>
      <x:c r="T391" s="216"/>
      <x:c r="U391" s="216"/>
      <x:c r="V391" s="216"/>
      <x:c r="W391" s="216"/>
      <x:c r="X391" s="216"/>
      <x:c r="Y391" s="216"/>
      <x:c r="Z391" s="216"/>
    </x:row>
    <x:row r="392">
      <x:c r="A392" s="216"/>
      <x:c r="B392" s="216"/>
      <x:c r="C392" s="216"/>
      <x:c r="D392" s="216"/>
      <x:c r="E392" s="216"/>
      <x:c r="F392" s="216"/>
      <x:c r="G392" s="216"/>
      <x:c r="H392" s="216"/>
      <x:c r="I392" s="216"/>
      <x:c r="J392" s="216"/>
      <x:c r="K392" s="216"/>
      <x:c r="L392" s="216"/>
      <x:c r="M392" s="216"/>
      <x:c r="N392" s="216"/>
      <x:c r="O392" s="216"/>
      <x:c r="P392" s="216"/>
      <x:c r="Q392" s="216"/>
      <x:c r="R392" s="216"/>
      <x:c r="S392" s="216"/>
      <x:c r="T392" s="216"/>
      <x:c r="U392" s="216"/>
      <x:c r="V392" s="216"/>
      <x:c r="W392" s="216"/>
      <x:c r="X392" s="216"/>
      <x:c r="Y392" s="216"/>
      <x:c r="Z392" s="216"/>
    </x:row>
    <x:row r="393">
      <x:c r="A393" s="216"/>
      <x:c r="B393" s="216"/>
      <x:c r="C393" s="216"/>
      <x:c r="D393" s="216"/>
      <x:c r="E393" s="216"/>
      <x:c r="F393" s="216"/>
      <x:c r="G393" s="216"/>
      <x:c r="H393" s="216"/>
      <x:c r="I393" s="216"/>
      <x:c r="J393" s="216"/>
      <x:c r="K393" s="216"/>
      <x:c r="L393" s="216"/>
      <x:c r="M393" s="216"/>
      <x:c r="N393" s="216"/>
      <x:c r="O393" s="216"/>
      <x:c r="P393" s="216"/>
      <x:c r="Q393" s="216"/>
      <x:c r="R393" s="216"/>
      <x:c r="S393" s="216"/>
      <x:c r="T393" s="216"/>
      <x:c r="U393" s="216"/>
      <x:c r="V393" s="216"/>
      <x:c r="W393" s="216"/>
      <x:c r="X393" s="216"/>
      <x:c r="Y393" s="216"/>
      <x:c r="Z393" s="216"/>
    </x:row>
    <x:row r="394">
      <x:c r="A394" s="216"/>
      <x:c r="B394" s="216"/>
      <x:c r="C394" s="216"/>
      <x:c r="D394" s="216"/>
      <x:c r="E394" s="216"/>
      <x:c r="F394" s="216"/>
      <x:c r="G394" s="216"/>
      <x:c r="H394" s="216"/>
      <x:c r="I394" s="216"/>
      <x:c r="J394" s="216"/>
      <x:c r="K394" s="216"/>
      <x:c r="L394" s="216"/>
      <x:c r="M394" s="216"/>
      <x:c r="N394" s="216"/>
      <x:c r="O394" s="216"/>
      <x:c r="P394" s="216"/>
      <x:c r="Q394" s="216"/>
      <x:c r="R394" s="216"/>
      <x:c r="S394" s="216"/>
      <x:c r="T394" s="216"/>
      <x:c r="U394" s="216"/>
      <x:c r="V394" s="216"/>
      <x:c r="W394" s="216"/>
      <x:c r="X394" s="216"/>
      <x:c r="Y394" s="216"/>
      <x:c r="Z394" s="216"/>
    </x:row>
    <x:row r="395">
      <x:c r="A395" s="216"/>
      <x:c r="B395" s="216"/>
      <x:c r="C395" s="216"/>
      <x:c r="D395" s="216"/>
      <x:c r="E395" s="216"/>
      <x:c r="F395" s="216"/>
      <x:c r="G395" s="216"/>
      <x:c r="H395" s="216"/>
      <x:c r="I395" s="216"/>
      <x:c r="J395" s="216"/>
      <x:c r="K395" s="216"/>
      <x:c r="L395" s="216"/>
      <x:c r="M395" s="216"/>
      <x:c r="N395" s="216"/>
      <x:c r="O395" s="216"/>
      <x:c r="P395" s="216"/>
      <x:c r="Q395" s="216"/>
      <x:c r="R395" s="216"/>
      <x:c r="S395" s="216"/>
      <x:c r="T395" s="216"/>
      <x:c r="U395" s="216"/>
      <x:c r="V395" s="216"/>
      <x:c r="W395" s="216"/>
      <x:c r="X395" s="216"/>
      <x:c r="Y395" s="216"/>
      <x:c r="Z395" s="216"/>
    </x:row>
    <x:row r="396">
      <x:c r="A396" s="216"/>
      <x:c r="B396" s="216"/>
      <x:c r="C396" s="216"/>
      <x:c r="D396" s="216"/>
      <x:c r="E396" s="216"/>
      <x:c r="F396" s="216"/>
      <x:c r="G396" s="216"/>
      <x:c r="H396" s="216"/>
      <x:c r="I396" s="216"/>
      <x:c r="J396" s="216"/>
      <x:c r="K396" s="216"/>
      <x:c r="L396" s="216"/>
      <x:c r="M396" s="216"/>
      <x:c r="N396" s="216"/>
      <x:c r="O396" s="216"/>
      <x:c r="P396" s="216"/>
      <x:c r="Q396" s="216"/>
      <x:c r="R396" s="216"/>
      <x:c r="S396" s="216"/>
      <x:c r="T396" s="216"/>
      <x:c r="U396" s="216"/>
      <x:c r="V396" s="216"/>
      <x:c r="W396" s="216"/>
      <x:c r="X396" s="216"/>
      <x:c r="Y396" s="216"/>
      <x:c r="Z396" s="216"/>
    </x:row>
    <x:row r="397">
      <x:c r="A397" s="216"/>
      <x:c r="B397" s="216"/>
      <x:c r="C397" s="216"/>
      <x:c r="D397" s="216"/>
      <x:c r="E397" s="216"/>
      <x:c r="F397" s="216"/>
      <x:c r="G397" s="216"/>
      <x:c r="H397" s="216"/>
      <x:c r="I397" s="216"/>
      <x:c r="J397" s="216"/>
      <x:c r="K397" s="216"/>
      <x:c r="L397" s="216"/>
      <x:c r="M397" s="216"/>
      <x:c r="N397" s="216"/>
      <x:c r="O397" s="216"/>
      <x:c r="P397" s="216"/>
      <x:c r="Q397" s="216"/>
      <x:c r="R397" s="216"/>
      <x:c r="S397" s="216"/>
      <x:c r="T397" s="216"/>
      <x:c r="U397" s="216"/>
      <x:c r="V397" s="216"/>
      <x:c r="W397" s="216"/>
      <x:c r="X397" s="216"/>
      <x:c r="Y397" s="216"/>
      <x:c r="Z397" s="216"/>
    </x:row>
    <x:row r="398">
      <x:c r="A398" s="216"/>
      <x:c r="B398" s="216"/>
      <x:c r="C398" s="216"/>
      <x:c r="D398" s="216"/>
      <x:c r="E398" s="216"/>
      <x:c r="F398" s="216"/>
      <x:c r="G398" s="216"/>
      <x:c r="H398" s="216"/>
      <x:c r="I398" s="216"/>
      <x:c r="J398" s="216"/>
      <x:c r="K398" s="216"/>
      <x:c r="L398" s="216"/>
      <x:c r="M398" s="216"/>
      <x:c r="N398" s="216"/>
      <x:c r="O398" s="216"/>
      <x:c r="P398" s="216"/>
      <x:c r="Q398" s="216"/>
      <x:c r="R398" s="216"/>
      <x:c r="S398" s="216"/>
      <x:c r="T398" s="216"/>
      <x:c r="U398" s="216"/>
      <x:c r="V398" s="216"/>
      <x:c r="W398" s="216"/>
      <x:c r="X398" s="216"/>
      <x:c r="Y398" s="216"/>
      <x:c r="Z398" s="216"/>
    </x:row>
    <x:row r="399">
      <x:c r="A399" s="216"/>
      <x:c r="B399" s="216"/>
      <x:c r="C399" s="216"/>
      <x:c r="D399" s="216"/>
      <x:c r="E399" s="216"/>
      <x:c r="F399" s="216"/>
      <x:c r="G399" s="216"/>
      <x:c r="H399" s="216"/>
      <x:c r="I399" s="216"/>
      <x:c r="J399" s="216"/>
      <x:c r="K399" s="216"/>
      <x:c r="L399" s="216"/>
      <x:c r="M399" s="216"/>
      <x:c r="N399" s="216"/>
      <x:c r="O399" s="216"/>
      <x:c r="P399" s="216"/>
      <x:c r="Q399" s="216"/>
      <x:c r="R399" s="216"/>
      <x:c r="S399" s="216"/>
      <x:c r="T399" s="216"/>
      <x:c r="U399" s="216"/>
      <x:c r="V399" s="216"/>
      <x:c r="W399" s="216"/>
      <x:c r="X399" s="216"/>
      <x:c r="Y399" s="216"/>
      <x:c r="Z399" s="216"/>
    </x:row>
    <x:row r="400">
      <x:c r="A400" s="216"/>
      <x:c r="B400" s="216"/>
      <x:c r="C400" s="216"/>
      <x:c r="D400" s="216"/>
      <x:c r="E400" s="216"/>
      <x:c r="F400" s="216"/>
      <x:c r="G400" s="216"/>
      <x:c r="H400" s="216"/>
      <x:c r="I400" s="216"/>
      <x:c r="J400" s="216"/>
      <x:c r="K400" s="216"/>
      <x:c r="L400" s="216"/>
      <x:c r="M400" s="216"/>
      <x:c r="N400" s="216"/>
      <x:c r="O400" s="216"/>
      <x:c r="P400" s="216"/>
      <x:c r="Q400" s="216"/>
      <x:c r="R400" s="216"/>
      <x:c r="S400" s="216"/>
      <x:c r="T400" s="216"/>
      <x:c r="U400" s="216"/>
      <x:c r="V400" s="216"/>
      <x:c r="W400" s="216"/>
      <x:c r="X400" s="216"/>
      <x:c r="Y400" s="216"/>
      <x:c r="Z400" s="216"/>
    </x:row>
    <x:row r="401">
      <x:c r="A401" s="216"/>
      <x:c r="B401" s="216"/>
      <x:c r="C401" s="216"/>
      <x:c r="D401" s="216"/>
      <x:c r="E401" s="216"/>
      <x:c r="F401" s="216"/>
      <x:c r="G401" s="216"/>
      <x:c r="H401" s="216"/>
      <x:c r="I401" s="216"/>
      <x:c r="J401" s="216"/>
      <x:c r="K401" s="216"/>
      <x:c r="L401" s="216"/>
      <x:c r="M401" s="216"/>
      <x:c r="N401" s="216"/>
      <x:c r="O401" s="216"/>
      <x:c r="P401" s="216"/>
      <x:c r="Q401" s="216"/>
      <x:c r="R401" s="216"/>
      <x:c r="S401" s="216"/>
      <x:c r="T401" s="216"/>
      <x:c r="U401" s="216"/>
      <x:c r="V401" s="216"/>
      <x:c r="W401" s="216"/>
      <x:c r="X401" s="216"/>
      <x:c r="Y401" s="216"/>
      <x:c r="Z401" s="216"/>
    </x:row>
    <x:row r="402">
      <x:c r="A402" s="216"/>
      <x:c r="B402" s="216"/>
      <x:c r="C402" s="216"/>
      <x:c r="D402" s="216"/>
      <x:c r="E402" s="216"/>
      <x:c r="F402" s="216"/>
      <x:c r="G402" s="216"/>
      <x:c r="H402" s="216"/>
      <x:c r="I402" s="216"/>
      <x:c r="J402" s="216"/>
      <x:c r="K402" s="216"/>
      <x:c r="L402" s="216"/>
      <x:c r="M402" s="216"/>
      <x:c r="N402" s="216"/>
      <x:c r="O402" s="216"/>
      <x:c r="P402" s="216"/>
      <x:c r="Q402" s="216"/>
      <x:c r="R402" s="216"/>
      <x:c r="S402" s="216"/>
      <x:c r="T402" s="216"/>
      <x:c r="U402" s="216"/>
      <x:c r="V402" s="216"/>
      <x:c r="W402" s="216"/>
      <x:c r="X402" s="216"/>
      <x:c r="Y402" s="216"/>
      <x:c r="Z402" s="216"/>
    </x:row>
    <x:row r="403">
      <x:c r="A403" s="216"/>
      <x:c r="B403" s="216"/>
      <x:c r="C403" s="216"/>
      <x:c r="D403" s="216"/>
      <x:c r="E403" s="216"/>
      <x:c r="F403" s="216"/>
      <x:c r="G403" s="216"/>
      <x:c r="H403" s="216"/>
      <x:c r="I403" s="216"/>
      <x:c r="J403" s="216"/>
      <x:c r="K403" s="216"/>
      <x:c r="L403" s="216"/>
      <x:c r="M403" s="216"/>
      <x:c r="N403" s="216"/>
      <x:c r="O403" s="216"/>
      <x:c r="P403" s="216"/>
      <x:c r="Q403" s="216"/>
      <x:c r="R403" s="216"/>
      <x:c r="S403" s="216"/>
      <x:c r="T403" s="216"/>
      <x:c r="U403" s="216"/>
      <x:c r="V403" s="216"/>
      <x:c r="W403" s="216"/>
      <x:c r="X403" s="216"/>
      <x:c r="Y403" s="216"/>
      <x:c r="Z403" s="216"/>
    </x:row>
    <x:row r="404">
      <x:c r="A404" s="216"/>
      <x:c r="B404" s="216"/>
      <x:c r="C404" s="216"/>
      <x:c r="D404" s="216"/>
      <x:c r="E404" s="216"/>
      <x:c r="F404" s="216"/>
      <x:c r="G404" s="216"/>
      <x:c r="H404" s="216"/>
      <x:c r="I404" s="216"/>
      <x:c r="J404" s="216"/>
      <x:c r="K404" s="216"/>
      <x:c r="L404" s="216"/>
      <x:c r="M404" s="216"/>
      <x:c r="N404" s="216"/>
      <x:c r="O404" s="216"/>
      <x:c r="P404" s="216"/>
      <x:c r="Q404" s="216"/>
      <x:c r="R404" s="216"/>
      <x:c r="S404" s="216"/>
      <x:c r="T404" s="216"/>
      <x:c r="U404" s="216"/>
      <x:c r="V404" s="216"/>
      <x:c r="W404" s="216"/>
      <x:c r="X404" s="216"/>
      <x:c r="Y404" s="216"/>
      <x:c r="Z404" s="216"/>
    </x:row>
    <x:row r="405">
      <x:c r="A405" s="216"/>
      <x:c r="B405" s="216"/>
      <x:c r="C405" s="216"/>
      <x:c r="D405" s="216"/>
      <x:c r="E405" s="216"/>
      <x:c r="F405" s="216"/>
      <x:c r="G405" s="216"/>
      <x:c r="H405" s="216"/>
      <x:c r="I405" s="216"/>
      <x:c r="J405" s="216"/>
      <x:c r="K405" s="216"/>
      <x:c r="L405" s="216"/>
      <x:c r="M405" s="216"/>
      <x:c r="N405" s="216"/>
      <x:c r="O405" s="216"/>
      <x:c r="P405" s="216"/>
      <x:c r="Q405" s="216"/>
      <x:c r="R405" s="216"/>
      <x:c r="S405" s="216"/>
      <x:c r="T405" s="216"/>
      <x:c r="U405" s="216"/>
      <x:c r="V405" s="216"/>
      <x:c r="W405" s="216"/>
      <x:c r="X405" s="216"/>
      <x:c r="Y405" s="216"/>
      <x:c r="Z405" s="216"/>
    </x:row>
    <x:row r="406">
      <x:c r="A406" s="216"/>
      <x:c r="B406" s="216"/>
      <x:c r="C406" s="216"/>
      <x:c r="D406" s="216"/>
      <x:c r="E406" s="216"/>
      <x:c r="F406" s="216"/>
      <x:c r="G406" s="216"/>
      <x:c r="H406" s="216"/>
      <x:c r="I406" s="216"/>
      <x:c r="J406" s="216"/>
      <x:c r="K406" s="216"/>
      <x:c r="L406" s="216"/>
      <x:c r="M406" s="216"/>
      <x:c r="N406" s="216"/>
      <x:c r="O406" s="216"/>
      <x:c r="P406" s="216"/>
      <x:c r="Q406" s="216"/>
      <x:c r="R406" s="216"/>
      <x:c r="S406" s="216"/>
      <x:c r="T406" s="216"/>
      <x:c r="U406" s="216"/>
      <x:c r="V406" s="216"/>
      <x:c r="W406" s="216"/>
      <x:c r="X406" s="216"/>
      <x:c r="Y406" s="216"/>
      <x:c r="Z406" s="216"/>
    </x:row>
    <x:row r="407">
      <x:c r="A407" s="216"/>
      <x:c r="B407" s="216"/>
      <x:c r="C407" s="216"/>
      <x:c r="D407" s="216"/>
      <x:c r="E407" s="216"/>
      <x:c r="F407" s="216"/>
      <x:c r="G407" s="216"/>
      <x:c r="H407" s="216"/>
      <x:c r="I407" s="216"/>
      <x:c r="J407" s="216"/>
      <x:c r="K407" s="216"/>
      <x:c r="L407" s="216"/>
      <x:c r="M407" s="216"/>
      <x:c r="N407" s="216"/>
      <x:c r="O407" s="216"/>
      <x:c r="P407" s="216"/>
      <x:c r="Q407" s="216"/>
      <x:c r="R407" s="216"/>
      <x:c r="S407" s="216"/>
      <x:c r="T407" s="216"/>
      <x:c r="U407" s="216"/>
      <x:c r="V407" s="216"/>
      <x:c r="W407" s="216"/>
      <x:c r="X407" s="216"/>
      <x:c r="Y407" s="216"/>
      <x:c r="Z407" s="216"/>
    </x:row>
    <x:row r="408">
      <x:c r="A408" s="216"/>
      <x:c r="B408" s="216"/>
      <x:c r="C408" s="216"/>
      <x:c r="D408" s="216"/>
      <x:c r="E408" s="216"/>
      <x:c r="F408" s="216"/>
      <x:c r="G408" s="216"/>
      <x:c r="H408" s="216"/>
      <x:c r="I408" s="216"/>
      <x:c r="J408" s="216"/>
      <x:c r="K408" s="216"/>
      <x:c r="L408" s="216"/>
      <x:c r="M408" s="216"/>
      <x:c r="N408" s="216"/>
      <x:c r="O408" s="216"/>
      <x:c r="P408" s="216"/>
      <x:c r="Q408" s="216"/>
      <x:c r="R408" s="216"/>
      <x:c r="S408" s="216"/>
      <x:c r="T408" s="216"/>
      <x:c r="U408" s="216"/>
      <x:c r="V408" s="216"/>
      <x:c r="W408" s="216"/>
      <x:c r="X408" s="216"/>
      <x:c r="Y408" s="216"/>
      <x:c r="Z408" s="216"/>
    </x:row>
    <x:row r="409">
      <x:c r="A409" s="216"/>
      <x:c r="B409" s="216"/>
      <x:c r="C409" s="216"/>
      <x:c r="D409" s="216"/>
      <x:c r="E409" s="216"/>
      <x:c r="F409" s="216"/>
      <x:c r="G409" s="216"/>
      <x:c r="H409" s="216"/>
      <x:c r="I409" s="216"/>
      <x:c r="J409" s="216"/>
      <x:c r="K409" s="216"/>
      <x:c r="L409" s="216"/>
      <x:c r="M409" s="216"/>
      <x:c r="N409" s="216"/>
      <x:c r="O409" s="216"/>
      <x:c r="P409" s="216"/>
      <x:c r="Q409" s="216"/>
      <x:c r="R409" s="216"/>
      <x:c r="S409" s="216"/>
      <x:c r="T409" s="216"/>
      <x:c r="U409" s="216"/>
      <x:c r="V409" s="216"/>
      <x:c r="W409" s="216"/>
      <x:c r="X409" s="216"/>
      <x:c r="Y409" s="216"/>
      <x:c r="Z409" s="216"/>
    </x:row>
    <x:row r="410">
      <x:c r="A410" s="216"/>
      <x:c r="B410" s="216"/>
      <x:c r="C410" s="216"/>
      <x:c r="D410" s="216"/>
      <x:c r="E410" s="216"/>
      <x:c r="F410" s="216"/>
      <x:c r="G410" s="216"/>
      <x:c r="H410" s="216"/>
      <x:c r="I410" s="216"/>
      <x:c r="J410" s="216"/>
      <x:c r="K410" s="216"/>
      <x:c r="L410" s="216"/>
      <x:c r="M410" s="216"/>
      <x:c r="N410" s="216"/>
      <x:c r="O410" s="216"/>
      <x:c r="P410" s="216"/>
      <x:c r="Q410" s="216"/>
      <x:c r="R410" s="216"/>
      <x:c r="S410" s="216"/>
      <x:c r="T410" s="216"/>
      <x:c r="U410" s="216"/>
      <x:c r="V410" s="216"/>
      <x:c r="W410" s="216"/>
      <x:c r="X410" s="216"/>
      <x:c r="Y410" s="216"/>
      <x:c r="Z410" s="216"/>
    </x:row>
    <x:row r="411">
      <x:c r="A411" s="216"/>
      <x:c r="B411" s="216"/>
      <x:c r="C411" s="216"/>
      <x:c r="D411" s="216"/>
      <x:c r="E411" s="216"/>
      <x:c r="F411" s="216"/>
      <x:c r="G411" s="216"/>
      <x:c r="H411" s="216"/>
      <x:c r="I411" s="216"/>
      <x:c r="J411" s="216"/>
      <x:c r="K411" s="216"/>
      <x:c r="L411" s="216"/>
      <x:c r="M411" s="216"/>
      <x:c r="N411" s="216"/>
      <x:c r="O411" s="216"/>
      <x:c r="P411" s="216"/>
      <x:c r="Q411" s="216"/>
      <x:c r="R411" s="216"/>
      <x:c r="S411" s="216"/>
      <x:c r="T411" s="216"/>
      <x:c r="U411" s="216"/>
      <x:c r="V411" s="216"/>
      <x:c r="W411" s="216"/>
      <x:c r="X411" s="216"/>
      <x:c r="Y411" s="216"/>
      <x:c r="Z411" s="216"/>
    </x:row>
    <x:row r="412">
      <x:c r="A412" s="216"/>
      <x:c r="B412" s="216"/>
      <x:c r="C412" s="216"/>
      <x:c r="D412" s="216"/>
      <x:c r="E412" s="216"/>
      <x:c r="F412" s="216"/>
      <x:c r="G412" s="216"/>
      <x:c r="H412" s="216"/>
      <x:c r="I412" s="216"/>
      <x:c r="J412" s="216"/>
      <x:c r="K412" s="216"/>
      <x:c r="L412" s="216"/>
      <x:c r="M412" s="216"/>
      <x:c r="N412" s="216"/>
      <x:c r="O412" s="216"/>
      <x:c r="P412" s="216"/>
      <x:c r="Q412" s="216"/>
      <x:c r="R412" s="216"/>
      <x:c r="S412" s="216"/>
      <x:c r="T412" s="216"/>
      <x:c r="U412" s="216"/>
      <x:c r="V412" s="216"/>
      <x:c r="W412" s="216"/>
      <x:c r="X412" s="216"/>
      <x:c r="Y412" s="216"/>
      <x:c r="Z412" s="216"/>
    </x:row>
    <x:row r="413">
      <x:c r="A413" s="216"/>
      <x:c r="B413" s="216"/>
      <x:c r="C413" s="216"/>
      <x:c r="D413" s="216"/>
      <x:c r="E413" s="216"/>
      <x:c r="F413" s="216"/>
      <x:c r="G413" s="216"/>
      <x:c r="H413" s="216"/>
      <x:c r="I413" s="216"/>
      <x:c r="J413" s="216"/>
      <x:c r="K413" s="216"/>
      <x:c r="L413" s="216"/>
      <x:c r="M413" s="216"/>
      <x:c r="N413" s="216"/>
      <x:c r="O413" s="216"/>
      <x:c r="P413" s="216"/>
      <x:c r="Q413" s="216"/>
      <x:c r="R413" s="216"/>
      <x:c r="S413" s="216"/>
      <x:c r="T413" s="216"/>
      <x:c r="U413" s="216"/>
      <x:c r="V413" s="216"/>
      <x:c r="W413" s="216"/>
      <x:c r="X413" s="216"/>
      <x:c r="Y413" s="216"/>
      <x:c r="Z413" s="216"/>
    </x:row>
    <x:row r="414">
      <x:c r="A414" s="216"/>
      <x:c r="B414" s="216"/>
      <x:c r="C414" s="216"/>
      <x:c r="D414" s="216"/>
      <x:c r="E414" s="216"/>
      <x:c r="F414" s="216"/>
      <x:c r="G414" s="216"/>
      <x:c r="H414" s="216"/>
      <x:c r="I414" s="216"/>
      <x:c r="J414" s="216"/>
      <x:c r="K414" s="216"/>
      <x:c r="L414" s="216"/>
      <x:c r="M414" s="216"/>
      <x:c r="N414" s="216"/>
      <x:c r="O414" s="216"/>
      <x:c r="P414" s="216"/>
      <x:c r="Q414" s="216"/>
      <x:c r="R414" s="216"/>
      <x:c r="S414" s="216"/>
      <x:c r="T414" s="216"/>
      <x:c r="U414" s="216"/>
      <x:c r="V414" s="216"/>
      <x:c r="W414" s="216"/>
      <x:c r="X414" s="216"/>
      <x:c r="Y414" s="216"/>
      <x:c r="Z414" s="216"/>
    </x:row>
    <x:row r="415">
      <x:c r="A415" s="216"/>
      <x:c r="B415" s="216"/>
      <x:c r="C415" s="216"/>
      <x:c r="D415" s="216"/>
      <x:c r="E415" s="216"/>
      <x:c r="F415" s="216"/>
      <x:c r="G415" s="216"/>
      <x:c r="H415" s="216"/>
      <x:c r="I415" s="216"/>
      <x:c r="J415" s="216"/>
      <x:c r="K415" s="216"/>
      <x:c r="L415" s="216"/>
      <x:c r="M415" s="216"/>
      <x:c r="N415" s="216"/>
      <x:c r="O415" s="216"/>
      <x:c r="P415" s="216"/>
      <x:c r="Q415" s="216"/>
      <x:c r="R415" s="216"/>
      <x:c r="S415" s="216"/>
      <x:c r="T415" s="216"/>
      <x:c r="U415" s="216"/>
      <x:c r="V415" s="216"/>
      <x:c r="W415" s="216"/>
      <x:c r="X415" s="216"/>
      <x:c r="Y415" s="216"/>
      <x:c r="Z415" s="216"/>
    </x:row>
    <x:row r="416">
      <x:c r="A416" s="216"/>
      <x:c r="B416" s="216"/>
      <x:c r="C416" s="216"/>
      <x:c r="D416" s="216"/>
      <x:c r="E416" s="216"/>
      <x:c r="F416" s="216"/>
      <x:c r="G416" s="216"/>
      <x:c r="H416" s="216"/>
      <x:c r="I416" s="216"/>
      <x:c r="J416" s="216"/>
      <x:c r="K416" s="216"/>
      <x:c r="L416" s="216"/>
      <x:c r="M416" s="216"/>
      <x:c r="N416" s="216"/>
      <x:c r="O416" s="216"/>
      <x:c r="P416" s="216"/>
      <x:c r="Q416" s="216"/>
      <x:c r="R416" s="216"/>
      <x:c r="S416" s="216"/>
      <x:c r="T416" s="216"/>
      <x:c r="U416" s="216"/>
      <x:c r="V416" s="216"/>
      <x:c r="W416" s="216"/>
      <x:c r="X416" s="216"/>
      <x:c r="Y416" s="216"/>
      <x:c r="Z416" s="216"/>
    </x:row>
    <x:row r="417">
      <x:c r="A417" s="216"/>
      <x:c r="B417" s="216"/>
      <x:c r="C417" s="216"/>
      <x:c r="D417" s="216"/>
      <x:c r="E417" s="216"/>
      <x:c r="F417" s="216"/>
      <x:c r="G417" s="216"/>
      <x:c r="H417" s="216"/>
      <x:c r="I417" s="216"/>
      <x:c r="J417" s="216"/>
      <x:c r="K417" s="216"/>
      <x:c r="L417" s="216"/>
      <x:c r="M417" s="216"/>
      <x:c r="N417" s="216"/>
      <x:c r="O417" s="216"/>
      <x:c r="P417" s="216"/>
      <x:c r="Q417" s="216"/>
      <x:c r="R417" s="216"/>
      <x:c r="S417" s="216"/>
      <x:c r="T417" s="216"/>
      <x:c r="U417" s="216"/>
      <x:c r="V417" s="216"/>
      <x:c r="W417" s="216"/>
      <x:c r="X417" s="216"/>
      <x:c r="Y417" s="216"/>
      <x:c r="Z417" s="216"/>
    </x:row>
    <x:row r="418">
      <x:c r="A418" s="216"/>
      <x:c r="B418" s="216"/>
      <x:c r="C418" s="216"/>
      <x:c r="D418" s="216"/>
      <x:c r="E418" s="216"/>
      <x:c r="F418" s="216"/>
      <x:c r="G418" s="216"/>
      <x:c r="H418" s="216"/>
      <x:c r="I418" s="216"/>
      <x:c r="J418" s="216"/>
      <x:c r="K418" s="216"/>
      <x:c r="L418" s="216"/>
      <x:c r="M418" s="216"/>
      <x:c r="N418" s="216"/>
      <x:c r="O418" s="216"/>
      <x:c r="P418" s="216"/>
      <x:c r="Q418" s="216"/>
      <x:c r="R418" s="216"/>
      <x:c r="S418" s="216"/>
      <x:c r="T418" s="216"/>
      <x:c r="U418" s="216"/>
      <x:c r="V418" s="216"/>
      <x:c r="W418" s="216"/>
      <x:c r="X418" s="216"/>
      <x:c r="Y418" s="216"/>
      <x:c r="Z418" s="216"/>
    </x:row>
    <x:row r="419">
      <x:c r="A419" s="216"/>
      <x:c r="B419" s="216"/>
      <x:c r="C419" s="216"/>
      <x:c r="D419" s="216"/>
      <x:c r="E419" s="216"/>
      <x:c r="F419" s="216"/>
      <x:c r="G419" s="216"/>
      <x:c r="H419" s="216"/>
      <x:c r="I419" s="216"/>
      <x:c r="J419" s="216"/>
      <x:c r="K419" s="216"/>
      <x:c r="L419" s="216"/>
      <x:c r="M419" s="216"/>
      <x:c r="N419" s="216"/>
      <x:c r="O419" s="216"/>
      <x:c r="P419" s="216"/>
      <x:c r="Q419" s="216"/>
      <x:c r="R419" s="216"/>
      <x:c r="S419" s="216"/>
      <x:c r="T419" s="216"/>
      <x:c r="U419" s="216"/>
      <x:c r="V419" s="216"/>
      <x:c r="W419" s="216"/>
      <x:c r="X419" s="216"/>
      <x:c r="Y419" s="216"/>
      <x:c r="Z419" s="216"/>
    </x:row>
    <x:row r="420">
      <x:c r="A420" s="216"/>
      <x:c r="B420" s="216"/>
      <x:c r="C420" s="216"/>
      <x:c r="D420" s="216"/>
      <x:c r="E420" s="216"/>
      <x:c r="F420" s="216"/>
      <x:c r="G420" s="216"/>
      <x:c r="H420" s="216"/>
      <x:c r="I420" s="216"/>
      <x:c r="J420" s="216"/>
      <x:c r="K420" s="216"/>
      <x:c r="L420" s="216"/>
      <x:c r="M420" s="216"/>
      <x:c r="N420" s="216"/>
      <x:c r="O420" s="216"/>
      <x:c r="P420" s="216"/>
      <x:c r="Q420" s="216"/>
      <x:c r="R420" s="216"/>
      <x:c r="S420" s="216"/>
      <x:c r="T420" s="216"/>
      <x:c r="U420" s="216"/>
      <x:c r="V420" s="216"/>
      <x:c r="W420" s="216"/>
      <x:c r="X420" s="216"/>
      <x:c r="Y420" s="216"/>
      <x:c r="Z420" s="216"/>
    </x:row>
    <x:row r="421">
      <x:c r="A421" s="216"/>
      <x:c r="B421" s="216"/>
      <x:c r="C421" s="216"/>
      <x:c r="D421" s="216"/>
      <x:c r="E421" s="216"/>
      <x:c r="F421" s="216"/>
      <x:c r="G421" s="216"/>
      <x:c r="H421" s="216"/>
      <x:c r="I421" s="216"/>
      <x:c r="J421" s="216"/>
      <x:c r="K421" s="216"/>
      <x:c r="L421" s="216"/>
      <x:c r="M421" s="216"/>
      <x:c r="N421" s="216"/>
      <x:c r="O421" s="216"/>
      <x:c r="P421" s="216"/>
      <x:c r="Q421" s="216"/>
      <x:c r="R421" s="216"/>
      <x:c r="S421" s="216"/>
      <x:c r="T421" s="216"/>
      <x:c r="U421" s="216"/>
      <x:c r="V421" s="216"/>
      <x:c r="W421" s="216"/>
      <x:c r="X421" s="216"/>
      <x:c r="Y421" s="216"/>
      <x:c r="Z421" s="216"/>
    </x:row>
    <x:row r="422">
      <x:c r="A422" s="216"/>
      <x:c r="B422" s="216"/>
      <x:c r="C422" s="216"/>
      <x:c r="D422" s="216"/>
      <x:c r="E422" s="216"/>
      <x:c r="F422" s="216"/>
      <x:c r="G422" s="216"/>
      <x:c r="H422" s="216"/>
      <x:c r="I422" s="216"/>
      <x:c r="J422" s="216"/>
      <x:c r="K422" s="216"/>
      <x:c r="L422" s="216"/>
      <x:c r="M422" s="216"/>
      <x:c r="N422" s="216"/>
      <x:c r="O422" s="216"/>
      <x:c r="P422" s="216"/>
      <x:c r="Q422" s="216"/>
      <x:c r="R422" s="216"/>
      <x:c r="S422" s="216"/>
      <x:c r="T422" s="216"/>
      <x:c r="U422" s="216"/>
      <x:c r="V422" s="216"/>
      <x:c r="W422" s="216"/>
      <x:c r="X422" s="216"/>
      <x:c r="Y422" s="216"/>
      <x:c r="Z422" s="216"/>
    </x:row>
    <x:row r="423">
      <x:c r="A423" s="216"/>
      <x:c r="B423" s="216"/>
      <x:c r="C423" s="216"/>
      <x:c r="D423" s="216"/>
      <x:c r="E423" s="216"/>
      <x:c r="F423" s="216"/>
      <x:c r="G423" s="216"/>
      <x:c r="H423" s="216"/>
      <x:c r="I423" s="216"/>
      <x:c r="J423" s="216"/>
      <x:c r="K423" s="216"/>
      <x:c r="L423" s="216"/>
      <x:c r="M423" s="216"/>
      <x:c r="N423" s="216"/>
      <x:c r="O423" s="216"/>
      <x:c r="P423" s="216"/>
      <x:c r="Q423" s="216"/>
      <x:c r="R423" s="216"/>
      <x:c r="S423" s="216"/>
      <x:c r="T423" s="216"/>
      <x:c r="U423" s="216"/>
      <x:c r="V423" s="216"/>
      <x:c r="W423" s="216"/>
      <x:c r="X423" s="216"/>
      <x:c r="Y423" s="216"/>
      <x:c r="Z423" s="216"/>
    </x:row>
    <x:row r="424">
      <x:c r="A424" s="216"/>
      <x:c r="B424" s="216"/>
      <x:c r="C424" s="216"/>
      <x:c r="D424" s="216"/>
      <x:c r="E424" s="216"/>
      <x:c r="F424" s="216"/>
      <x:c r="G424" s="216"/>
      <x:c r="H424" s="216"/>
      <x:c r="I424" s="216"/>
      <x:c r="J424" s="216"/>
      <x:c r="K424" s="216"/>
      <x:c r="L424" s="216"/>
      <x:c r="M424" s="216"/>
      <x:c r="N424" s="216"/>
      <x:c r="O424" s="216"/>
      <x:c r="P424" s="216"/>
      <x:c r="Q424" s="216"/>
      <x:c r="R424" s="216"/>
      <x:c r="S424" s="216"/>
      <x:c r="T424" s="216"/>
      <x:c r="U424" s="216"/>
      <x:c r="V424" s="216"/>
      <x:c r="W424" s="216"/>
      <x:c r="X424" s="216"/>
      <x:c r="Y424" s="216"/>
      <x:c r="Z424" s="216"/>
    </x:row>
    <x:row r="425">
      <x:c r="A425" s="216"/>
      <x:c r="B425" s="216"/>
      <x:c r="C425" s="216"/>
      <x:c r="D425" s="216"/>
      <x:c r="E425" s="216"/>
      <x:c r="F425" s="216"/>
      <x:c r="G425" s="216"/>
      <x:c r="H425" s="216"/>
      <x:c r="I425" s="216"/>
      <x:c r="J425" s="216"/>
      <x:c r="K425" s="216"/>
      <x:c r="L425" s="216"/>
      <x:c r="M425" s="216"/>
      <x:c r="N425" s="216"/>
      <x:c r="O425" s="216"/>
      <x:c r="P425" s="216"/>
      <x:c r="Q425" s="216"/>
      <x:c r="R425" s="216"/>
      <x:c r="S425" s="216"/>
      <x:c r="T425" s="216"/>
      <x:c r="U425" s="216"/>
      <x:c r="V425" s="216"/>
      <x:c r="W425" s="216"/>
      <x:c r="X425" s="216"/>
      <x:c r="Y425" s="216"/>
      <x:c r="Z425" s="216"/>
    </x:row>
    <x:row r="426">
      <x:c r="A426" s="216"/>
      <x:c r="B426" s="216"/>
      <x:c r="C426" s="216"/>
      <x:c r="D426" s="216"/>
      <x:c r="E426" s="216"/>
      <x:c r="F426" s="216"/>
      <x:c r="G426" s="216"/>
      <x:c r="H426" s="216"/>
      <x:c r="I426" s="216"/>
      <x:c r="J426" s="216"/>
      <x:c r="K426" s="216"/>
      <x:c r="L426" s="216"/>
      <x:c r="M426" s="216"/>
      <x:c r="N426" s="216"/>
      <x:c r="O426" s="216"/>
      <x:c r="P426" s="216"/>
      <x:c r="Q426" s="216"/>
      <x:c r="R426" s="216"/>
      <x:c r="S426" s="216"/>
      <x:c r="T426" s="216"/>
      <x:c r="U426" s="216"/>
      <x:c r="V426" s="216"/>
      <x:c r="W426" s="216"/>
      <x:c r="X426" s="216"/>
      <x:c r="Y426" s="216"/>
      <x:c r="Z426" s="216"/>
    </x:row>
    <x:row r="427">
      <x:c r="A427" s="216"/>
      <x:c r="B427" s="216"/>
      <x:c r="C427" s="216"/>
      <x:c r="D427" s="216"/>
      <x:c r="E427" s="216"/>
      <x:c r="F427" s="216"/>
      <x:c r="G427" s="216"/>
      <x:c r="H427" s="216"/>
      <x:c r="I427" s="216"/>
      <x:c r="J427" s="216"/>
      <x:c r="K427" s="216"/>
      <x:c r="L427" s="216"/>
      <x:c r="M427" s="216"/>
      <x:c r="N427" s="216"/>
      <x:c r="O427" s="216"/>
      <x:c r="P427" s="216"/>
      <x:c r="Q427" s="216"/>
      <x:c r="R427" s="216"/>
      <x:c r="S427" s="216"/>
      <x:c r="T427" s="216"/>
      <x:c r="U427" s="216"/>
      <x:c r="V427" s="216"/>
      <x:c r="W427" s="216"/>
      <x:c r="X427" s="216"/>
      <x:c r="Y427" s="216"/>
      <x:c r="Z427" s="216"/>
    </x:row>
    <x:row r="428">
      <x:c r="A428" s="216"/>
      <x:c r="B428" s="216"/>
      <x:c r="C428" s="216"/>
      <x:c r="D428" s="216"/>
      <x:c r="E428" s="216"/>
      <x:c r="F428" s="216"/>
      <x:c r="G428" s="216"/>
      <x:c r="H428" s="216"/>
      <x:c r="I428" s="216"/>
      <x:c r="J428" s="216"/>
      <x:c r="K428" s="216"/>
      <x:c r="L428" s="216"/>
      <x:c r="M428" s="216"/>
      <x:c r="N428" s="216"/>
      <x:c r="O428" s="216"/>
      <x:c r="P428" s="216"/>
      <x:c r="Q428" s="216"/>
      <x:c r="R428" s="216"/>
      <x:c r="S428" s="216"/>
      <x:c r="T428" s="216"/>
      <x:c r="U428" s="216"/>
      <x:c r="V428" s="216"/>
      <x:c r="W428" s="216"/>
      <x:c r="X428" s="216"/>
      <x:c r="Y428" s="216"/>
      <x:c r="Z428" s="216"/>
    </x:row>
    <x:row r="429">
      <x:c r="A429" s="216"/>
      <x:c r="B429" s="216"/>
      <x:c r="C429" s="216"/>
      <x:c r="D429" s="216"/>
      <x:c r="E429" s="216"/>
      <x:c r="F429" s="216"/>
      <x:c r="G429" s="216"/>
      <x:c r="H429" s="216"/>
      <x:c r="I429" s="216"/>
      <x:c r="J429" s="216"/>
      <x:c r="K429" s="216"/>
      <x:c r="L429" s="216"/>
      <x:c r="M429" s="216"/>
      <x:c r="N429" s="216"/>
      <x:c r="O429" s="216"/>
      <x:c r="P429" s="216"/>
      <x:c r="Q429" s="216"/>
      <x:c r="R429" s="216"/>
      <x:c r="S429" s="216"/>
      <x:c r="T429" s="216"/>
      <x:c r="U429" s="216"/>
      <x:c r="V429" s="216"/>
      <x:c r="W429" s="216"/>
      <x:c r="X429" s="216"/>
      <x:c r="Y429" s="216"/>
      <x:c r="Z429" s="216"/>
    </x:row>
    <x:row r="430">
      <x:c r="A430" s="216"/>
      <x:c r="B430" s="216"/>
      <x:c r="C430" s="216"/>
      <x:c r="D430" s="216"/>
      <x:c r="E430" s="216"/>
      <x:c r="F430" s="216"/>
      <x:c r="G430" s="216"/>
      <x:c r="H430" s="216"/>
      <x:c r="I430" s="216"/>
      <x:c r="J430" s="216"/>
      <x:c r="K430" s="216"/>
      <x:c r="L430" s="216"/>
      <x:c r="M430" s="216"/>
      <x:c r="N430" s="216"/>
      <x:c r="O430" s="216"/>
      <x:c r="P430" s="216"/>
      <x:c r="Q430" s="216"/>
      <x:c r="R430" s="216"/>
      <x:c r="S430" s="216"/>
      <x:c r="T430" s="216"/>
      <x:c r="U430" s="216"/>
      <x:c r="V430" s="216"/>
      <x:c r="W430" s="216"/>
      <x:c r="X430" s="216"/>
      <x:c r="Y430" s="216"/>
      <x:c r="Z430" s="216"/>
    </x:row>
    <x:row r="431">
      <x:c r="A431" s="216"/>
      <x:c r="B431" s="216"/>
      <x:c r="C431" s="216"/>
      <x:c r="D431" s="216"/>
      <x:c r="E431" s="216"/>
      <x:c r="F431" s="216"/>
      <x:c r="G431" s="216"/>
      <x:c r="H431" s="216"/>
      <x:c r="I431" s="216"/>
      <x:c r="J431" s="216"/>
      <x:c r="K431" s="216"/>
      <x:c r="L431" s="216"/>
      <x:c r="M431" s="216"/>
      <x:c r="N431" s="216"/>
      <x:c r="O431" s="216"/>
      <x:c r="P431" s="216"/>
      <x:c r="Q431" s="216"/>
      <x:c r="R431" s="216"/>
      <x:c r="S431" s="216"/>
      <x:c r="T431" s="216"/>
      <x:c r="U431" s="216"/>
      <x:c r="V431" s="216"/>
      <x:c r="W431" s="216"/>
      <x:c r="X431" s="216"/>
      <x:c r="Y431" s="216"/>
      <x:c r="Z431" s="216"/>
    </x:row>
    <x:row r="432">
      <x:c r="A432" s="216"/>
      <x:c r="B432" s="216"/>
      <x:c r="C432" s="216"/>
      <x:c r="D432" s="216"/>
      <x:c r="E432" s="216"/>
      <x:c r="F432" s="216"/>
      <x:c r="G432" s="216"/>
      <x:c r="H432" s="216"/>
      <x:c r="I432" s="216"/>
      <x:c r="J432" s="216"/>
      <x:c r="K432" s="216"/>
      <x:c r="L432" s="216"/>
      <x:c r="M432" s="216"/>
      <x:c r="N432" s="216"/>
      <x:c r="O432" s="216"/>
      <x:c r="P432" s="216"/>
      <x:c r="Q432" s="216"/>
      <x:c r="R432" s="216"/>
      <x:c r="S432" s="216"/>
      <x:c r="T432" s="216"/>
      <x:c r="U432" s="216"/>
      <x:c r="V432" s="216"/>
      <x:c r="W432" s="216"/>
      <x:c r="X432" s="216"/>
      <x:c r="Y432" s="216"/>
      <x:c r="Z432" s="216"/>
    </x:row>
    <x:row r="433">
      <x:c r="A433" s="216"/>
      <x:c r="B433" s="216"/>
      <x:c r="C433" s="216"/>
      <x:c r="D433" s="216"/>
      <x:c r="E433" s="216"/>
      <x:c r="F433" s="216"/>
      <x:c r="G433" s="216"/>
      <x:c r="H433" s="216"/>
      <x:c r="I433" s="216"/>
      <x:c r="J433" s="216"/>
      <x:c r="K433" s="216"/>
      <x:c r="L433" s="216"/>
      <x:c r="M433" s="216"/>
      <x:c r="N433" s="216"/>
      <x:c r="O433" s="216"/>
      <x:c r="P433" s="216"/>
      <x:c r="Q433" s="216"/>
      <x:c r="R433" s="216"/>
      <x:c r="S433" s="216"/>
      <x:c r="T433" s="216"/>
      <x:c r="U433" s="216"/>
      <x:c r="V433" s="216"/>
      <x:c r="W433" s="216"/>
      <x:c r="X433" s="216"/>
      <x:c r="Y433" s="216"/>
      <x:c r="Z433" s="216"/>
    </x:row>
    <x:row r="434">
      <x:c r="A434" s="216"/>
      <x:c r="B434" s="216"/>
      <x:c r="C434" s="216"/>
      <x:c r="D434" s="216"/>
      <x:c r="E434" s="216"/>
      <x:c r="F434" s="216"/>
      <x:c r="G434" s="216"/>
      <x:c r="H434" s="216"/>
      <x:c r="I434" s="216"/>
      <x:c r="J434" s="216"/>
      <x:c r="K434" s="216"/>
      <x:c r="L434" s="216"/>
      <x:c r="M434" s="216"/>
      <x:c r="N434" s="216"/>
      <x:c r="O434" s="216"/>
      <x:c r="P434" s="216"/>
      <x:c r="Q434" s="216"/>
      <x:c r="R434" s="216"/>
      <x:c r="S434" s="216"/>
      <x:c r="T434" s="216"/>
      <x:c r="U434" s="216"/>
      <x:c r="V434" s="216"/>
      <x:c r="W434" s="216"/>
      <x:c r="X434" s="216"/>
      <x:c r="Y434" s="216"/>
      <x:c r="Z434" s="216"/>
    </x:row>
    <x:row r="435">
      <x:c r="A435" s="216"/>
      <x:c r="B435" s="216"/>
      <x:c r="C435" s="216"/>
      <x:c r="D435" s="216"/>
      <x:c r="E435" s="216"/>
      <x:c r="F435" s="216"/>
      <x:c r="G435" s="216"/>
      <x:c r="H435" s="216"/>
      <x:c r="I435" s="216"/>
      <x:c r="J435" s="216"/>
      <x:c r="K435" s="216"/>
      <x:c r="L435" s="216"/>
      <x:c r="M435" s="216"/>
      <x:c r="N435" s="216"/>
      <x:c r="O435" s="216"/>
      <x:c r="P435" s="216"/>
      <x:c r="Q435" s="216"/>
      <x:c r="R435" s="216"/>
      <x:c r="S435" s="216"/>
      <x:c r="T435" s="216"/>
      <x:c r="U435" s="216"/>
      <x:c r="V435" s="216"/>
      <x:c r="W435" s="216"/>
      <x:c r="X435" s="216"/>
      <x:c r="Y435" s="216"/>
      <x:c r="Z435" s="216"/>
    </x:row>
    <x:row r="436">
      <x:c r="A436" s="216"/>
      <x:c r="B436" s="216"/>
      <x:c r="C436" s="216"/>
      <x:c r="D436" s="216"/>
      <x:c r="E436" s="216"/>
      <x:c r="F436" s="216"/>
      <x:c r="G436" s="216"/>
      <x:c r="H436" s="216"/>
      <x:c r="I436" s="216"/>
      <x:c r="J436" s="216"/>
      <x:c r="K436" s="216"/>
      <x:c r="L436" s="216"/>
      <x:c r="M436" s="216"/>
      <x:c r="N436" s="216"/>
      <x:c r="O436" s="216"/>
      <x:c r="P436" s="216"/>
      <x:c r="Q436" s="216"/>
      <x:c r="R436" s="216"/>
      <x:c r="S436" s="216"/>
      <x:c r="T436" s="216"/>
      <x:c r="U436" s="216"/>
      <x:c r="V436" s="216"/>
      <x:c r="W436" s="216"/>
      <x:c r="X436" s="216"/>
      <x:c r="Y436" s="216"/>
      <x:c r="Z436" s="216"/>
    </x:row>
    <x:row r="437">
      <x:c r="A437" s="216"/>
      <x:c r="B437" s="216"/>
      <x:c r="C437" s="216"/>
      <x:c r="D437" s="216"/>
      <x:c r="E437" s="216"/>
      <x:c r="F437" s="216"/>
      <x:c r="G437" s="216"/>
      <x:c r="H437" s="216"/>
      <x:c r="I437" s="216"/>
      <x:c r="J437" s="216"/>
      <x:c r="K437" s="216"/>
      <x:c r="L437" s="216"/>
      <x:c r="M437" s="216"/>
      <x:c r="N437" s="216"/>
      <x:c r="O437" s="216"/>
      <x:c r="P437" s="216"/>
      <x:c r="Q437" s="216"/>
      <x:c r="R437" s="216"/>
      <x:c r="S437" s="216"/>
      <x:c r="T437" s="216"/>
      <x:c r="U437" s="216"/>
      <x:c r="V437" s="216"/>
      <x:c r="W437" s="216"/>
      <x:c r="X437" s="216"/>
      <x:c r="Y437" s="216"/>
      <x:c r="Z437" s="216"/>
    </x:row>
    <x:row r="438">
      <x:c r="A438" s="216"/>
      <x:c r="B438" s="216"/>
      <x:c r="C438" s="216"/>
      <x:c r="D438" s="216"/>
      <x:c r="E438" s="216"/>
      <x:c r="F438" s="216"/>
      <x:c r="G438" s="216"/>
      <x:c r="H438" s="216"/>
      <x:c r="I438" s="216"/>
      <x:c r="J438" s="216"/>
      <x:c r="K438" s="216"/>
      <x:c r="L438" s="216"/>
      <x:c r="M438" s="216"/>
      <x:c r="N438" s="216"/>
      <x:c r="O438" s="216"/>
      <x:c r="P438" s="216"/>
      <x:c r="Q438" s="216"/>
      <x:c r="R438" s="216"/>
      <x:c r="S438" s="216"/>
      <x:c r="T438" s="216"/>
      <x:c r="U438" s="216"/>
      <x:c r="V438" s="216"/>
      <x:c r="W438" s="216"/>
      <x:c r="X438" s="216"/>
      <x:c r="Y438" s="216"/>
      <x:c r="Z438" s="216"/>
    </x:row>
    <x:row r="439">
      <x:c r="A439" s="216"/>
      <x:c r="B439" s="216"/>
      <x:c r="C439" s="216"/>
      <x:c r="D439" s="216"/>
      <x:c r="E439" s="216"/>
      <x:c r="F439" s="216"/>
      <x:c r="G439" s="216"/>
      <x:c r="H439" s="216"/>
      <x:c r="I439" s="216"/>
      <x:c r="J439" s="216"/>
      <x:c r="K439" s="216"/>
      <x:c r="L439" s="216"/>
      <x:c r="M439" s="216"/>
      <x:c r="N439" s="216"/>
      <x:c r="O439" s="216"/>
      <x:c r="P439" s="216"/>
      <x:c r="Q439" s="216"/>
      <x:c r="R439" s="216"/>
      <x:c r="S439" s="216"/>
      <x:c r="T439" s="216"/>
      <x:c r="U439" s="216"/>
      <x:c r="V439" s="216"/>
      <x:c r="W439" s="216"/>
      <x:c r="X439" s="216"/>
      <x:c r="Y439" s="216"/>
      <x:c r="Z439" s="216"/>
    </x:row>
    <x:row r="440">
      <x:c r="A440" s="216"/>
      <x:c r="B440" s="216"/>
      <x:c r="C440" s="216"/>
      <x:c r="D440" s="216"/>
      <x:c r="E440" s="216"/>
      <x:c r="F440" s="216"/>
      <x:c r="G440" s="216"/>
      <x:c r="H440" s="216"/>
      <x:c r="I440" s="216"/>
      <x:c r="J440" s="216"/>
      <x:c r="K440" s="216"/>
      <x:c r="L440" s="216"/>
      <x:c r="M440" s="216"/>
      <x:c r="N440" s="216"/>
      <x:c r="O440" s="216"/>
      <x:c r="P440" s="216"/>
      <x:c r="Q440" s="216"/>
      <x:c r="R440" s="216"/>
      <x:c r="S440" s="216"/>
      <x:c r="T440" s="216"/>
      <x:c r="U440" s="216"/>
      <x:c r="V440" s="216"/>
      <x:c r="W440" s="216"/>
      <x:c r="X440" s="216"/>
      <x:c r="Y440" s="216"/>
      <x:c r="Z440" s="216"/>
    </x:row>
    <x:row r="441">
      <x:c r="A441" s="216"/>
      <x:c r="B441" s="216"/>
      <x:c r="C441" s="216"/>
      <x:c r="D441" s="216"/>
      <x:c r="E441" s="216"/>
      <x:c r="F441" s="216"/>
      <x:c r="G441" s="216"/>
      <x:c r="H441" s="216"/>
      <x:c r="I441" s="216"/>
      <x:c r="J441" s="216"/>
      <x:c r="K441" s="216"/>
      <x:c r="L441" s="216"/>
      <x:c r="M441" s="216"/>
      <x:c r="N441" s="216"/>
      <x:c r="O441" s="216"/>
      <x:c r="P441" s="216"/>
      <x:c r="Q441" s="216"/>
      <x:c r="R441" s="216"/>
      <x:c r="S441" s="216"/>
      <x:c r="T441" s="216"/>
      <x:c r="U441" s="216"/>
      <x:c r="V441" s="216"/>
      <x:c r="W441" s="216"/>
      <x:c r="X441" s="216"/>
      <x:c r="Y441" s="216"/>
      <x:c r="Z441" s="216"/>
    </x:row>
    <x:row r="442">
      <x:c r="A442" s="216"/>
      <x:c r="B442" s="216"/>
      <x:c r="C442" s="216"/>
      <x:c r="D442" s="216"/>
      <x:c r="E442" s="216"/>
      <x:c r="F442" s="216"/>
      <x:c r="G442" s="216"/>
      <x:c r="H442" s="216"/>
      <x:c r="I442" s="216"/>
      <x:c r="J442" s="216"/>
      <x:c r="K442" s="216"/>
      <x:c r="L442" s="216"/>
      <x:c r="M442" s="216"/>
      <x:c r="N442" s="216"/>
      <x:c r="O442" s="216"/>
      <x:c r="P442" s="216"/>
      <x:c r="Q442" s="216"/>
      <x:c r="R442" s="216"/>
      <x:c r="S442" s="216"/>
      <x:c r="T442" s="216"/>
      <x:c r="U442" s="216"/>
      <x:c r="V442" s="216"/>
      <x:c r="W442" s="216"/>
      <x:c r="X442" s="216"/>
      <x:c r="Y442" s="216"/>
      <x:c r="Z442" s="216"/>
    </x:row>
    <x:row r="443">
      <x:c r="A443" s="216"/>
      <x:c r="B443" s="216"/>
      <x:c r="C443" s="216"/>
      <x:c r="D443" s="216"/>
      <x:c r="E443" s="216"/>
      <x:c r="F443" s="216"/>
      <x:c r="G443" s="216"/>
      <x:c r="H443" s="216"/>
      <x:c r="I443" s="216"/>
      <x:c r="J443" s="216"/>
      <x:c r="K443" s="216"/>
      <x:c r="L443" s="216"/>
      <x:c r="M443" s="216"/>
      <x:c r="N443" s="216"/>
      <x:c r="O443" s="216"/>
      <x:c r="P443" s="216"/>
      <x:c r="Q443" s="216"/>
      <x:c r="R443" s="216"/>
      <x:c r="S443" s="216"/>
      <x:c r="T443" s="216"/>
      <x:c r="U443" s="216"/>
      <x:c r="V443" s="216"/>
      <x:c r="W443" s="216"/>
      <x:c r="X443" s="216"/>
      <x:c r="Y443" s="216"/>
      <x:c r="Z443" s="216"/>
    </x:row>
    <x:row r="444">
      <x:c r="A444" s="216"/>
      <x:c r="B444" s="216"/>
      <x:c r="C444" s="216"/>
      <x:c r="D444" s="216"/>
      <x:c r="E444" s="216"/>
      <x:c r="F444" s="216"/>
      <x:c r="G444" s="216"/>
      <x:c r="H444" s="216"/>
      <x:c r="I444" s="216"/>
      <x:c r="J444" s="216"/>
      <x:c r="K444" s="216"/>
      <x:c r="L444" s="216"/>
      <x:c r="M444" s="216"/>
      <x:c r="N444" s="216"/>
      <x:c r="O444" s="216"/>
      <x:c r="P444" s="216"/>
      <x:c r="Q444" s="216"/>
      <x:c r="R444" s="216"/>
      <x:c r="S444" s="216"/>
      <x:c r="T444" s="216"/>
      <x:c r="U444" s="216"/>
      <x:c r="V444" s="216"/>
      <x:c r="W444" s="216"/>
      <x:c r="X444" s="216"/>
      <x:c r="Y444" s="216"/>
      <x:c r="Z444" s="216"/>
    </x:row>
    <x:row r="445">
      <x:c r="A445" s="216"/>
      <x:c r="B445" s="216"/>
      <x:c r="C445" s="216"/>
      <x:c r="D445" s="216"/>
      <x:c r="E445" s="216"/>
      <x:c r="F445" s="216"/>
      <x:c r="G445" s="216"/>
      <x:c r="H445" s="216"/>
      <x:c r="I445" s="216"/>
      <x:c r="J445" s="216"/>
      <x:c r="K445" s="216"/>
      <x:c r="L445" s="216"/>
      <x:c r="M445" s="216"/>
      <x:c r="N445" s="216"/>
      <x:c r="O445" s="216"/>
      <x:c r="P445" s="216"/>
      <x:c r="Q445" s="216"/>
      <x:c r="R445" s="216"/>
      <x:c r="S445" s="216"/>
      <x:c r="T445" s="216"/>
      <x:c r="U445" s="216"/>
      <x:c r="V445" s="216"/>
      <x:c r="W445" s="216"/>
      <x:c r="X445" s="216"/>
      <x:c r="Y445" s="216"/>
      <x:c r="Z445" s="216"/>
    </x:row>
    <x:row r="446">
      <x:c r="A446" s="216"/>
      <x:c r="B446" s="216"/>
      <x:c r="C446" s="216"/>
      <x:c r="D446" s="216"/>
      <x:c r="E446" s="216"/>
      <x:c r="F446" s="216"/>
      <x:c r="G446" s="216"/>
      <x:c r="H446" s="216"/>
      <x:c r="I446" s="216"/>
      <x:c r="J446" s="216"/>
      <x:c r="K446" s="216"/>
      <x:c r="L446" s="216"/>
      <x:c r="M446" s="216"/>
      <x:c r="N446" s="216"/>
      <x:c r="O446" s="216"/>
      <x:c r="P446" s="216"/>
      <x:c r="Q446" s="216"/>
      <x:c r="R446" s="216"/>
      <x:c r="S446" s="216"/>
      <x:c r="T446" s="216"/>
      <x:c r="U446" s="216"/>
      <x:c r="V446" s="216"/>
      <x:c r="W446" s="216"/>
      <x:c r="X446" s="216"/>
      <x:c r="Y446" s="216"/>
      <x:c r="Z446" s="216"/>
    </x:row>
    <x:row r="447">
      <x:c r="A447" s="216"/>
      <x:c r="B447" s="216"/>
      <x:c r="C447" s="216"/>
      <x:c r="D447" s="216"/>
      <x:c r="E447" s="216"/>
      <x:c r="F447" s="216"/>
      <x:c r="G447" s="216"/>
      <x:c r="H447" s="216"/>
      <x:c r="I447" s="216"/>
      <x:c r="J447" s="216"/>
      <x:c r="K447" s="216"/>
      <x:c r="L447" s="216"/>
      <x:c r="M447" s="216"/>
      <x:c r="N447" s="216"/>
      <x:c r="O447" s="216"/>
      <x:c r="P447" s="216"/>
      <x:c r="Q447" s="216"/>
      <x:c r="R447" s="216"/>
      <x:c r="S447" s="216"/>
      <x:c r="T447" s="216"/>
      <x:c r="U447" s="216"/>
      <x:c r="V447" s="216"/>
      <x:c r="W447" s="216"/>
      <x:c r="X447" s="216"/>
      <x:c r="Y447" s="216"/>
      <x:c r="Z447" s="216"/>
    </x:row>
    <x:row r="448">
      <x:c r="A448" s="216"/>
      <x:c r="B448" s="216"/>
      <x:c r="C448" s="216"/>
      <x:c r="D448" s="216"/>
      <x:c r="E448" s="216"/>
      <x:c r="F448" s="216"/>
      <x:c r="G448" s="216"/>
      <x:c r="H448" s="216"/>
      <x:c r="I448" s="216"/>
      <x:c r="J448" s="216"/>
      <x:c r="K448" s="216"/>
      <x:c r="L448" s="216"/>
      <x:c r="M448" s="216"/>
      <x:c r="N448" s="216"/>
      <x:c r="O448" s="216"/>
      <x:c r="P448" s="216"/>
      <x:c r="Q448" s="216"/>
      <x:c r="R448" s="216"/>
      <x:c r="S448" s="216"/>
      <x:c r="T448" s="216"/>
      <x:c r="U448" s="216"/>
      <x:c r="V448" s="216"/>
      <x:c r="W448" s="216"/>
      <x:c r="X448" s="216"/>
      <x:c r="Y448" s="216"/>
      <x:c r="Z448" s="216"/>
    </x:row>
    <x:row r="449">
      <x:c r="A449" s="216"/>
      <x:c r="B449" s="216"/>
      <x:c r="C449" s="216"/>
      <x:c r="D449" s="216"/>
      <x:c r="E449" s="216"/>
      <x:c r="F449" s="216"/>
      <x:c r="G449" s="216"/>
      <x:c r="H449" s="216"/>
      <x:c r="I449" s="216"/>
      <x:c r="J449" s="216"/>
      <x:c r="K449" s="216"/>
      <x:c r="L449" s="216"/>
      <x:c r="M449" s="216"/>
      <x:c r="N449" s="216"/>
      <x:c r="O449" s="216"/>
      <x:c r="P449" s="216"/>
      <x:c r="Q449" s="216"/>
      <x:c r="R449" s="216"/>
      <x:c r="S449" s="216"/>
      <x:c r="T449" s="216"/>
      <x:c r="U449" s="216"/>
      <x:c r="V449" s="216"/>
      <x:c r="W449" s="216"/>
      <x:c r="X449" s="216"/>
      <x:c r="Y449" s="216"/>
      <x:c r="Z449" s="216"/>
    </x:row>
    <x:row r="450">
      <x:c r="A450" s="216"/>
      <x:c r="B450" s="216"/>
      <x:c r="C450" s="216"/>
      <x:c r="D450" s="216"/>
      <x:c r="E450" s="216"/>
      <x:c r="F450" s="216"/>
      <x:c r="G450" s="216"/>
      <x:c r="H450" s="216"/>
      <x:c r="I450" s="216"/>
      <x:c r="J450" s="216"/>
      <x:c r="K450" s="216"/>
      <x:c r="L450" s="216"/>
      <x:c r="M450" s="216"/>
      <x:c r="N450" s="216"/>
      <x:c r="O450" s="216"/>
      <x:c r="P450" s="216"/>
      <x:c r="Q450" s="216"/>
      <x:c r="R450" s="216"/>
      <x:c r="S450" s="216"/>
      <x:c r="T450" s="216"/>
      <x:c r="U450" s="216"/>
      <x:c r="V450" s="216"/>
      <x:c r="W450" s="216"/>
      <x:c r="X450" s="216"/>
      <x:c r="Y450" s="216"/>
      <x:c r="Z450" s="216"/>
    </x:row>
    <x:row r="451">
      <x:c r="A451" s="216"/>
      <x:c r="B451" s="216"/>
      <x:c r="C451" s="216"/>
      <x:c r="D451" s="216"/>
      <x:c r="E451" s="216"/>
      <x:c r="F451" s="216"/>
      <x:c r="G451" s="216"/>
      <x:c r="H451" s="216"/>
      <x:c r="I451" s="216"/>
      <x:c r="J451" s="216"/>
      <x:c r="K451" s="216"/>
      <x:c r="L451" s="216"/>
      <x:c r="M451" s="216"/>
      <x:c r="N451" s="216"/>
      <x:c r="O451" s="216"/>
      <x:c r="P451" s="216"/>
      <x:c r="Q451" s="216"/>
      <x:c r="R451" s="216"/>
      <x:c r="S451" s="216"/>
      <x:c r="T451" s="216"/>
      <x:c r="U451" s="216"/>
      <x:c r="V451" s="216"/>
      <x:c r="W451" s="216"/>
      <x:c r="X451" s="216"/>
      <x:c r="Y451" s="216"/>
      <x:c r="Z451" s="216"/>
    </x:row>
    <x:row r="452">
      <x:c r="A452" s="216"/>
      <x:c r="B452" s="216"/>
      <x:c r="C452" s="216"/>
      <x:c r="D452" s="216"/>
      <x:c r="E452" s="216"/>
      <x:c r="F452" s="216"/>
      <x:c r="G452" s="216"/>
      <x:c r="H452" s="216"/>
      <x:c r="I452" s="216"/>
      <x:c r="J452" s="216"/>
      <x:c r="K452" s="216"/>
      <x:c r="L452" s="216"/>
      <x:c r="M452" s="216"/>
      <x:c r="N452" s="216"/>
      <x:c r="O452" s="216"/>
      <x:c r="P452" s="216"/>
      <x:c r="Q452" s="216"/>
      <x:c r="R452" s="216"/>
      <x:c r="S452" s="216"/>
      <x:c r="T452" s="216"/>
      <x:c r="U452" s="216"/>
      <x:c r="V452" s="216"/>
      <x:c r="W452" s="216"/>
      <x:c r="X452" s="216"/>
      <x:c r="Y452" s="216"/>
      <x:c r="Z452" s="216"/>
    </x:row>
    <x:row r="453">
      <x:c r="A453" s="216"/>
      <x:c r="B453" s="216"/>
      <x:c r="C453" s="216"/>
      <x:c r="D453" s="216"/>
      <x:c r="E453" s="216"/>
      <x:c r="F453" s="216"/>
      <x:c r="G453" s="216"/>
      <x:c r="H453" s="216"/>
      <x:c r="I453" s="216"/>
      <x:c r="J453" s="216"/>
      <x:c r="K453" s="216"/>
      <x:c r="L453" s="216"/>
      <x:c r="M453" s="216"/>
      <x:c r="N453" s="216"/>
      <x:c r="O453" s="216"/>
      <x:c r="P453" s="216"/>
      <x:c r="Q453" s="216"/>
      <x:c r="R453" s="216"/>
      <x:c r="S453" s="216"/>
      <x:c r="T453" s="216"/>
      <x:c r="U453" s="216"/>
      <x:c r="V453" s="216"/>
      <x:c r="W453" s="216"/>
      <x:c r="X453" s="216"/>
      <x:c r="Y453" s="216"/>
      <x:c r="Z453" s="216"/>
    </x:row>
    <x:row r="454">
      <x:c r="A454" s="216"/>
      <x:c r="B454" s="216"/>
      <x:c r="C454" s="216"/>
      <x:c r="D454" s="216"/>
      <x:c r="E454" s="216"/>
      <x:c r="F454" s="216"/>
      <x:c r="G454" s="216"/>
      <x:c r="H454" s="216"/>
      <x:c r="I454" s="216"/>
      <x:c r="J454" s="216"/>
      <x:c r="K454" s="216"/>
      <x:c r="L454" s="216"/>
      <x:c r="M454" s="216"/>
      <x:c r="N454" s="216"/>
      <x:c r="O454" s="216"/>
      <x:c r="P454" s="216"/>
      <x:c r="Q454" s="216"/>
      <x:c r="R454" s="216"/>
      <x:c r="S454" s="216"/>
      <x:c r="T454" s="216"/>
      <x:c r="U454" s="216"/>
      <x:c r="V454" s="216"/>
      <x:c r="W454" s="216"/>
      <x:c r="X454" s="216"/>
      <x:c r="Y454" s="216"/>
      <x:c r="Z454" s="216"/>
    </x:row>
    <x:row r="455">
      <x:c r="A455" s="216"/>
      <x:c r="B455" s="216"/>
      <x:c r="C455" s="216"/>
      <x:c r="D455" s="216"/>
      <x:c r="E455" s="216"/>
      <x:c r="F455" s="216"/>
      <x:c r="G455" s="216"/>
      <x:c r="H455" s="216"/>
      <x:c r="I455" s="216"/>
      <x:c r="J455" s="216"/>
      <x:c r="K455" s="216"/>
      <x:c r="L455" s="216"/>
      <x:c r="M455" s="216"/>
      <x:c r="N455" s="216"/>
      <x:c r="O455" s="216"/>
      <x:c r="P455" s="216"/>
      <x:c r="Q455" s="216"/>
      <x:c r="R455" s="216"/>
      <x:c r="S455" s="216"/>
      <x:c r="T455" s="216"/>
      <x:c r="U455" s="216"/>
      <x:c r="V455" s="216"/>
      <x:c r="W455" s="216"/>
      <x:c r="X455" s="216"/>
      <x:c r="Y455" s="216"/>
      <x:c r="Z455" s="216"/>
    </x:row>
    <x:row r="456">
      <x:c r="A456" s="216"/>
      <x:c r="B456" s="216"/>
      <x:c r="C456" s="216"/>
      <x:c r="D456" s="216"/>
      <x:c r="E456" s="216"/>
      <x:c r="F456" s="216"/>
      <x:c r="G456" s="216"/>
      <x:c r="H456" s="216"/>
      <x:c r="I456" s="216"/>
      <x:c r="J456" s="216"/>
      <x:c r="K456" s="216"/>
      <x:c r="L456" s="216"/>
      <x:c r="M456" s="216"/>
      <x:c r="N456" s="216"/>
      <x:c r="O456" s="216"/>
      <x:c r="P456" s="216"/>
      <x:c r="Q456" s="216"/>
      <x:c r="R456" s="216"/>
      <x:c r="S456" s="216"/>
      <x:c r="T456" s="216"/>
      <x:c r="U456" s="216"/>
      <x:c r="V456" s="216"/>
      <x:c r="W456" s="216"/>
      <x:c r="X456" s="216"/>
      <x:c r="Y456" s="216"/>
      <x:c r="Z456" s="216"/>
    </x:row>
    <x:row r="457">
      <x:c r="A457" s="216"/>
      <x:c r="B457" s="216"/>
      <x:c r="C457" s="216"/>
      <x:c r="D457" s="216"/>
      <x:c r="E457" s="216"/>
      <x:c r="F457" s="216"/>
      <x:c r="G457" s="216"/>
      <x:c r="H457" s="216"/>
      <x:c r="I457" s="216"/>
      <x:c r="J457" s="216"/>
      <x:c r="K457" s="216"/>
      <x:c r="L457" s="216"/>
      <x:c r="M457" s="216"/>
      <x:c r="N457" s="216"/>
      <x:c r="O457" s="216"/>
      <x:c r="P457" s="216"/>
      <x:c r="Q457" s="216"/>
      <x:c r="R457" s="216"/>
      <x:c r="S457" s="216"/>
      <x:c r="T457" s="216"/>
      <x:c r="U457" s="216"/>
      <x:c r="V457" s="216"/>
      <x:c r="W457" s="216"/>
      <x:c r="X457" s="216"/>
      <x:c r="Y457" s="216"/>
      <x:c r="Z457" s="216"/>
    </x:row>
    <x:row r="458">
      <x:c r="A458" s="216"/>
      <x:c r="B458" s="216"/>
      <x:c r="C458" s="216"/>
      <x:c r="D458" s="216"/>
      <x:c r="E458" s="216"/>
      <x:c r="F458" s="216"/>
      <x:c r="G458" s="216"/>
      <x:c r="H458" s="216"/>
      <x:c r="I458" s="216"/>
      <x:c r="J458" s="216"/>
      <x:c r="K458" s="216"/>
      <x:c r="L458" s="216"/>
      <x:c r="M458" s="216"/>
      <x:c r="N458" s="216"/>
      <x:c r="O458" s="216"/>
      <x:c r="P458" s="216"/>
      <x:c r="Q458" s="216"/>
      <x:c r="R458" s="216"/>
      <x:c r="S458" s="216"/>
      <x:c r="T458" s="216"/>
      <x:c r="U458" s="216"/>
      <x:c r="V458" s="216"/>
      <x:c r="W458" s="216"/>
      <x:c r="X458" s="216"/>
      <x:c r="Y458" s="216"/>
      <x:c r="Z458" s="216"/>
    </x:row>
    <x:row r="459">
      <x:c r="A459" s="216"/>
      <x:c r="B459" s="216"/>
      <x:c r="C459" s="216"/>
      <x:c r="D459" s="216"/>
      <x:c r="E459" s="216"/>
      <x:c r="F459" s="216"/>
      <x:c r="G459" s="216"/>
      <x:c r="H459" s="216"/>
      <x:c r="I459" s="216"/>
      <x:c r="J459" s="216"/>
      <x:c r="K459" s="216"/>
      <x:c r="L459" s="216"/>
      <x:c r="M459" s="216"/>
      <x:c r="N459" s="216"/>
      <x:c r="O459" s="216"/>
      <x:c r="P459" s="216"/>
      <x:c r="Q459" s="216"/>
      <x:c r="R459" s="216"/>
      <x:c r="S459" s="216"/>
      <x:c r="T459" s="216"/>
      <x:c r="U459" s="216"/>
      <x:c r="V459" s="216"/>
      <x:c r="W459" s="216"/>
      <x:c r="X459" s="216"/>
      <x:c r="Y459" s="216"/>
      <x:c r="Z459" s="216"/>
    </x:row>
    <x:row r="460">
      <x:c r="A460" s="216"/>
      <x:c r="B460" s="216"/>
      <x:c r="C460" s="216"/>
      <x:c r="D460" s="216"/>
      <x:c r="E460" s="216"/>
      <x:c r="F460" s="216"/>
      <x:c r="G460" s="216"/>
      <x:c r="H460" s="216"/>
      <x:c r="I460" s="216"/>
      <x:c r="J460" s="216"/>
      <x:c r="K460" s="216"/>
      <x:c r="L460" s="216"/>
      <x:c r="M460" s="216"/>
      <x:c r="N460" s="216"/>
      <x:c r="O460" s="216"/>
      <x:c r="P460" s="216"/>
      <x:c r="Q460" s="216"/>
      <x:c r="R460" s="216"/>
      <x:c r="S460" s="216"/>
      <x:c r="T460" s="216"/>
      <x:c r="U460" s="216"/>
      <x:c r="V460" s="216"/>
      <x:c r="W460" s="216"/>
      <x:c r="X460" s="216"/>
      <x:c r="Y460" s="216"/>
      <x:c r="Z460" s="216"/>
    </x:row>
    <x:row r="461">
      <x:c r="A461" s="216"/>
      <x:c r="B461" s="216"/>
      <x:c r="C461" s="216"/>
      <x:c r="D461" s="216"/>
      <x:c r="E461" s="216"/>
      <x:c r="F461" s="216"/>
      <x:c r="G461" s="216"/>
      <x:c r="H461" s="216"/>
      <x:c r="I461" s="216"/>
      <x:c r="J461" s="216"/>
      <x:c r="K461" s="216"/>
      <x:c r="L461" s="216"/>
      <x:c r="M461" s="216"/>
      <x:c r="N461" s="216"/>
      <x:c r="O461" s="216"/>
      <x:c r="P461" s="216"/>
      <x:c r="Q461" s="216"/>
      <x:c r="R461" s="216"/>
      <x:c r="S461" s="216"/>
      <x:c r="T461" s="216"/>
      <x:c r="U461" s="216"/>
      <x:c r="V461" s="216"/>
      <x:c r="W461" s="216"/>
      <x:c r="X461" s="216"/>
      <x:c r="Y461" s="216"/>
      <x:c r="Z461" s="216"/>
    </x:row>
    <x:row r="462">
      <x:c r="A462" s="216"/>
      <x:c r="B462" s="216"/>
      <x:c r="C462" s="216"/>
      <x:c r="D462" s="216"/>
      <x:c r="E462" s="216"/>
      <x:c r="F462" s="216"/>
      <x:c r="G462" s="216"/>
      <x:c r="H462" s="216"/>
      <x:c r="I462" s="216"/>
      <x:c r="J462" s="216"/>
      <x:c r="K462" s="216"/>
      <x:c r="L462" s="216"/>
      <x:c r="M462" s="216"/>
      <x:c r="N462" s="216"/>
      <x:c r="O462" s="216"/>
      <x:c r="P462" s="216"/>
      <x:c r="Q462" s="216"/>
      <x:c r="R462" s="216"/>
      <x:c r="S462" s="216"/>
      <x:c r="T462" s="216"/>
      <x:c r="U462" s="216"/>
      <x:c r="V462" s="216"/>
      <x:c r="W462" s="216"/>
      <x:c r="X462" s="216"/>
      <x:c r="Y462" s="216"/>
      <x:c r="Z462" s="216"/>
    </x:row>
    <x:row r="463">
      <x:c r="A463" s="216"/>
      <x:c r="B463" s="216"/>
      <x:c r="C463" s="216"/>
      <x:c r="D463" s="216"/>
      <x:c r="E463" s="216"/>
      <x:c r="F463" s="216"/>
      <x:c r="G463" s="216"/>
      <x:c r="H463" s="216"/>
      <x:c r="I463" s="216"/>
      <x:c r="J463" s="216"/>
      <x:c r="K463" s="216"/>
      <x:c r="L463" s="216"/>
      <x:c r="M463" s="216"/>
      <x:c r="N463" s="216"/>
      <x:c r="O463" s="216"/>
      <x:c r="P463" s="216"/>
      <x:c r="Q463" s="216"/>
      <x:c r="R463" s="216"/>
      <x:c r="S463" s="216"/>
      <x:c r="T463" s="216"/>
      <x:c r="U463" s="216"/>
      <x:c r="V463" s="216"/>
      <x:c r="W463" s="216"/>
      <x:c r="X463" s="216"/>
      <x:c r="Y463" s="216"/>
      <x:c r="Z463" s="216"/>
    </x:row>
    <x:row r="464">
      <x:c r="A464" s="216"/>
      <x:c r="B464" s="216"/>
      <x:c r="C464" s="216"/>
      <x:c r="D464" s="216"/>
      <x:c r="E464" s="216"/>
      <x:c r="F464" s="216"/>
      <x:c r="G464" s="216"/>
      <x:c r="H464" s="216"/>
      <x:c r="I464" s="216"/>
      <x:c r="J464" s="216"/>
      <x:c r="K464" s="216"/>
      <x:c r="L464" s="216"/>
      <x:c r="M464" s="216"/>
      <x:c r="N464" s="216"/>
      <x:c r="O464" s="216"/>
      <x:c r="P464" s="216"/>
      <x:c r="Q464" s="216"/>
      <x:c r="R464" s="216"/>
      <x:c r="S464" s="216"/>
      <x:c r="T464" s="216"/>
      <x:c r="U464" s="216"/>
      <x:c r="V464" s="216"/>
      <x:c r="W464" s="216"/>
      <x:c r="X464" s="216"/>
      <x:c r="Y464" s="216"/>
      <x:c r="Z464" s="216"/>
    </x:row>
    <x:row r="465">
      <x:c r="A465" s="216"/>
      <x:c r="B465" s="216"/>
      <x:c r="C465" s="216"/>
      <x:c r="D465" s="216"/>
      <x:c r="E465" s="216"/>
      <x:c r="F465" s="216"/>
      <x:c r="G465" s="216"/>
      <x:c r="H465" s="216"/>
      <x:c r="I465" s="216"/>
      <x:c r="J465" s="216"/>
      <x:c r="K465" s="216"/>
      <x:c r="L465" s="216"/>
      <x:c r="M465" s="216"/>
      <x:c r="N465" s="216"/>
      <x:c r="O465" s="216"/>
      <x:c r="P465" s="216"/>
      <x:c r="Q465" s="216"/>
      <x:c r="R465" s="216"/>
      <x:c r="S465" s="216"/>
      <x:c r="T465" s="216"/>
      <x:c r="U465" s="216"/>
      <x:c r="V465" s="216"/>
      <x:c r="W465" s="216"/>
      <x:c r="X465" s="216"/>
      <x:c r="Y465" s="216"/>
      <x:c r="Z465" s="216"/>
    </x:row>
    <x:row r="466">
      <x:c r="A466" s="216"/>
      <x:c r="B466" s="216"/>
      <x:c r="C466" s="216"/>
      <x:c r="D466" s="216"/>
      <x:c r="E466" s="216"/>
      <x:c r="F466" s="216"/>
      <x:c r="G466" s="216"/>
      <x:c r="H466" s="216"/>
      <x:c r="I466" s="216"/>
      <x:c r="J466" s="216"/>
      <x:c r="K466" s="216"/>
      <x:c r="L466" s="216"/>
      <x:c r="M466" s="216"/>
      <x:c r="N466" s="216"/>
      <x:c r="O466" s="216"/>
      <x:c r="P466" s="216"/>
      <x:c r="Q466" s="216"/>
      <x:c r="R466" s="216"/>
      <x:c r="S466" s="216"/>
      <x:c r="T466" s="216"/>
      <x:c r="U466" s="216"/>
      <x:c r="V466" s="216"/>
      <x:c r="W466" s="216"/>
      <x:c r="X466" s="216"/>
      <x:c r="Y466" s="216"/>
      <x:c r="Z466" s="216"/>
    </x:row>
    <x:row r="467">
      <x:c r="A467" s="216"/>
      <x:c r="B467" s="216"/>
      <x:c r="C467" s="216"/>
      <x:c r="D467" s="216"/>
      <x:c r="E467" s="216"/>
      <x:c r="F467" s="216"/>
      <x:c r="G467" s="216"/>
      <x:c r="H467" s="216"/>
      <x:c r="I467" s="216"/>
      <x:c r="J467" s="216"/>
      <x:c r="K467" s="216"/>
      <x:c r="L467" s="216"/>
      <x:c r="M467" s="216"/>
      <x:c r="N467" s="216"/>
      <x:c r="O467" s="216"/>
      <x:c r="P467" s="216"/>
      <x:c r="Q467" s="216"/>
      <x:c r="R467" s="216"/>
      <x:c r="S467" s="216"/>
      <x:c r="T467" s="216"/>
      <x:c r="U467" s="216"/>
      <x:c r="V467" s="216"/>
      <x:c r="W467" s="216"/>
      <x:c r="X467" s="216"/>
      <x:c r="Y467" s="216"/>
      <x:c r="Z467" s="216"/>
    </x:row>
    <x:row r="468">
      <x:c r="A468" s="216"/>
      <x:c r="B468" s="216"/>
      <x:c r="C468" s="216"/>
      <x:c r="D468" s="216"/>
      <x:c r="E468" s="216"/>
      <x:c r="F468" s="216"/>
      <x:c r="G468" s="216"/>
      <x:c r="H468" s="216"/>
      <x:c r="I468" s="216"/>
      <x:c r="J468" s="216"/>
      <x:c r="K468" s="216"/>
      <x:c r="L468" s="216"/>
      <x:c r="M468" s="216"/>
      <x:c r="N468" s="216"/>
      <x:c r="O468" s="216"/>
      <x:c r="P468" s="216"/>
      <x:c r="Q468" s="216"/>
      <x:c r="R468" s="216"/>
      <x:c r="S468" s="216"/>
      <x:c r="T468" s="216"/>
      <x:c r="U468" s="216"/>
      <x:c r="V468" s="216"/>
      <x:c r="W468" s="216"/>
      <x:c r="X468" s="216"/>
      <x:c r="Y468" s="216"/>
      <x:c r="Z468" s="216"/>
    </x:row>
    <x:row r="469">
      <x:c r="A469" s="216"/>
      <x:c r="B469" s="216"/>
      <x:c r="C469" s="216"/>
      <x:c r="D469" s="216"/>
      <x:c r="E469" s="216"/>
      <x:c r="F469" s="216"/>
      <x:c r="G469" s="216"/>
      <x:c r="H469" s="216"/>
      <x:c r="I469" s="216"/>
      <x:c r="J469" s="216"/>
      <x:c r="K469" s="216"/>
      <x:c r="L469" s="216"/>
      <x:c r="M469" s="216"/>
      <x:c r="N469" s="216"/>
      <x:c r="O469" s="216"/>
      <x:c r="P469" s="216"/>
      <x:c r="Q469" s="216"/>
      <x:c r="R469" s="216"/>
      <x:c r="S469" s="216"/>
      <x:c r="T469" s="216"/>
      <x:c r="U469" s="216"/>
      <x:c r="V469" s="216"/>
      <x:c r="W469" s="216"/>
      <x:c r="X469" s="216"/>
      <x:c r="Y469" s="216"/>
      <x:c r="Z469" s="216"/>
    </x:row>
    <x:row r="470">
      <x:c r="A470" s="216"/>
      <x:c r="B470" s="216"/>
      <x:c r="C470" s="216"/>
      <x:c r="D470" s="216"/>
      <x:c r="E470" s="216"/>
      <x:c r="F470" s="216"/>
      <x:c r="G470" s="216"/>
      <x:c r="H470" s="216"/>
      <x:c r="I470" s="216"/>
      <x:c r="J470" s="216"/>
      <x:c r="K470" s="216"/>
      <x:c r="L470" s="216"/>
      <x:c r="M470" s="216"/>
      <x:c r="N470" s="216"/>
      <x:c r="O470" s="216"/>
      <x:c r="P470" s="216"/>
      <x:c r="Q470" s="216"/>
      <x:c r="R470" s="216"/>
      <x:c r="S470" s="216"/>
      <x:c r="T470" s="216"/>
      <x:c r="U470" s="216"/>
      <x:c r="V470" s="216"/>
      <x:c r="W470" s="216"/>
      <x:c r="X470" s="216"/>
      <x:c r="Y470" s="216"/>
      <x:c r="Z470" s="216"/>
    </x:row>
    <x:row r="471">
      <x:c r="A471" s="216"/>
      <x:c r="B471" s="216"/>
      <x:c r="C471" s="216"/>
      <x:c r="D471" s="216"/>
      <x:c r="E471" s="216"/>
      <x:c r="F471" s="216"/>
      <x:c r="G471" s="216"/>
      <x:c r="H471" s="216"/>
      <x:c r="I471" s="216"/>
      <x:c r="J471" s="216"/>
      <x:c r="K471" s="216"/>
      <x:c r="L471" s="216"/>
      <x:c r="M471" s="216"/>
      <x:c r="N471" s="216"/>
      <x:c r="O471" s="216"/>
      <x:c r="P471" s="216"/>
      <x:c r="Q471" s="216"/>
      <x:c r="R471" s="216"/>
      <x:c r="S471" s="216"/>
      <x:c r="T471" s="216"/>
      <x:c r="U471" s="216"/>
      <x:c r="V471" s="216"/>
      <x:c r="W471" s="216"/>
      <x:c r="X471" s="216"/>
      <x:c r="Y471" s="216"/>
      <x:c r="Z471" s="216"/>
    </x:row>
    <x:row r="472">
      <x:c r="A472" s="216"/>
      <x:c r="B472" s="216"/>
      <x:c r="C472" s="216"/>
      <x:c r="D472" s="216"/>
      <x:c r="E472" s="216"/>
      <x:c r="F472" s="216"/>
      <x:c r="G472" s="216"/>
      <x:c r="H472" s="216"/>
      <x:c r="I472" s="216"/>
      <x:c r="J472" s="216"/>
      <x:c r="K472" s="216"/>
      <x:c r="L472" s="216"/>
      <x:c r="M472" s="216"/>
      <x:c r="N472" s="216"/>
      <x:c r="O472" s="216"/>
      <x:c r="P472" s="216"/>
      <x:c r="Q472" s="216"/>
      <x:c r="R472" s="216"/>
      <x:c r="S472" s="216"/>
      <x:c r="T472" s="216"/>
      <x:c r="U472" s="216"/>
      <x:c r="V472" s="216"/>
      <x:c r="W472" s="216"/>
      <x:c r="X472" s="216"/>
      <x:c r="Y472" s="216"/>
      <x:c r="Z472" s="216"/>
    </x:row>
    <x:row r="473">
      <x:c r="A473" s="216"/>
      <x:c r="B473" s="216"/>
      <x:c r="C473" s="216"/>
      <x:c r="D473" s="216"/>
      <x:c r="E473" s="216"/>
      <x:c r="F473" s="216"/>
      <x:c r="G473" s="216"/>
      <x:c r="H473" s="216"/>
      <x:c r="I473" s="216"/>
      <x:c r="J473" s="216"/>
      <x:c r="K473" s="216"/>
      <x:c r="L473" s="216"/>
      <x:c r="M473" s="216"/>
      <x:c r="N473" s="216"/>
      <x:c r="O473" s="216"/>
      <x:c r="P473" s="216"/>
      <x:c r="Q473" s="216"/>
      <x:c r="R473" s="216"/>
      <x:c r="S473" s="216"/>
      <x:c r="T473" s="216"/>
      <x:c r="U473" s="216"/>
      <x:c r="V473" s="216"/>
      <x:c r="W473" s="216"/>
      <x:c r="X473" s="216"/>
      <x:c r="Y473" s="216"/>
      <x:c r="Z473" s="216"/>
    </x:row>
    <x:row r="474">
      <x:c r="A474" s="216"/>
      <x:c r="B474" s="216"/>
      <x:c r="C474" s="216"/>
      <x:c r="D474" s="216"/>
      <x:c r="E474" s="216"/>
      <x:c r="F474" s="216"/>
      <x:c r="G474" s="216"/>
      <x:c r="H474" s="216"/>
      <x:c r="I474" s="216"/>
      <x:c r="J474" s="216"/>
      <x:c r="K474" s="216"/>
      <x:c r="L474" s="216"/>
      <x:c r="M474" s="216"/>
      <x:c r="N474" s="216"/>
      <x:c r="O474" s="216"/>
      <x:c r="P474" s="216"/>
      <x:c r="Q474" s="216"/>
      <x:c r="R474" s="216"/>
      <x:c r="S474" s="216"/>
      <x:c r="T474" s="216"/>
      <x:c r="U474" s="216"/>
      <x:c r="V474" s="216"/>
      <x:c r="W474" s="216"/>
      <x:c r="X474" s="216"/>
      <x:c r="Y474" s="216"/>
      <x:c r="Z474" s="216"/>
    </x:row>
    <x:row r="475">
      <x:c r="A475" s="216"/>
      <x:c r="B475" s="216"/>
      <x:c r="C475" s="216"/>
      <x:c r="D475" s="216"/>
      <x:c r="E475" s="216"/>
      <x:c r="F475" s="216"/>
      <x:c r="G475" s="216"/>
      <x:c r="H475" s="216"/>
      <x:c r="I475" s="216"/>
      <x:c r="J475" s="216"/>
      <x:c r="K475" s="216"/>
      <x:c r="L475" s="216"/>
      <x:c r="M475" s="216"/>
      <x:c r="N475" s="216"/>
      <x:c r="O475" s="216"/>
      <x:c r="P475" s="216"/>
      <x:c r="Q475" s="216"/>
      <x:c r="R475" s="216"/>
      <x:c r="S475" s="216"/>
      <x:c r="T475" s="216"/>
      <x:c r="U475" s="216"/>
      <x:c r="V475" s="216"/>
      <x:c r="W475" s="216"/>
      <x:c r="X475" s="216"/>
      <x:c r="Y475" s="216"/>
      <x:c r="Z475" s="216"/>
    </x:row>
    <x:row r="476">
      <x:c r="A476" s="216"/>
      <x:c r="B476" s="216"/>
      <x:c r="C476" s="216"/>
      <x:c r="D476" s="216"/>
      <x:c r="E476" s="216"/>
      <x:c r="F476" s="216"/>
      <x:c r="G476" s="216"/>
      <x:c r="H476" s="216"/>
      <x:c r="I476" s="216"/>
      <x:c r="J476" s="216"/>
      <x:c r="K476" s="216"/>
      <x:c r="L476" s="216"/>
      <x:c r="M476" s="216"/>
      <x:c r="N476" s="216"/>
      <x:c r="O476" s="216"/>
      <x:c r="P476" s="216"/>
      <x:c r="Q476" s="216"/>
      <x:c r="R476" s="216"/>
      <x:c r="S476" s="216"/>
      <x:c r="T476" s="216"/>
      <x:c r="U476" s="216"/>
      <x:c r="V476" s="216"/>
      <x:c r="W476" s="216"/>
      <x:c r="X476" s="216"/>
      <x:c r="Y476" s="216"/>
      <x:c r="Z476" s="216"/>
    </x:row>
    <x:row r="477">
      <x:c r="A477" s="216"/>
      <x:c r="B477" s="216"/>
      <x:c r="C477" s="216"/>
      <x:c r="D477" s="216"/>
      <x:c r="E477" s="216"/>
      <x:c r="F477" s="216"/>
      <x:c r="G477" s="216"/>
      <x:c r="H477" s="216"/>
      <x:c r="I477" s="216"/>
      <x:c r="J477" s="216"/>
      <x:c r="K477" s="216"/>
      <x:c r="L477" s="216"/>
      <x:c r="M477" s="216"/>
      <x:c r="N477" s="216"/>
      <x:c r="O477" s="216"/>
      <x:c r="P477" s="216"/>
      <x:c r="Q477" s="216"/>
      <x:c r="R477" s="216"/>
      <x:c r="S477" s="216"/>
      <x:c r="T477" s="216"/>
      <x:c r="U477" s="216"/>
      <x:c r="V477" s="216"/>
      <x:c r="W477" s="216"/>
      <x:c r="X477" s="216"/>
      <x:c r="Y477" s="216"/>
      <x:c r="Z477" s="216"/>
    </x:row>
    <x:row r="478">
      <x:c r="A478" s="216"/>
      <x:c r="B478" s="216"/>
      <x:c r="C478" s="216"/>
      <x:c r="D478" s="216"/>
      <x:c r="E478" s="216"/>
      <x:c r="F478" s="216"/>
      <x:c r="G478" s="216"/>
      <x:c r="H478" s="216"/>
      <x:c r="I478" s="216"/>
      <x:c r="J478" s="216"/>
      <x:c r="K478" s="216"/>
      <x:c r="L478" s="216"/>
      <x:c r="M478" s="216"/>
      <x:c r="N478" s="216"/>
      <x:c r="O478" s="216"/>
      <x:c r="P478" s="216"/>
      <x:c r="Q478" s="216"/>
      <x:c r="R478" s="216"/>
      <x:c r="S478" s="216"/>
      <x:c r="T478" s="216"/>
      <x:c r="U478" s="216"/>
      <x:c r="V478" s="216"/>
      <x:c r="W478" s="216"/>
      <x:c r="X478" s="216"/>
      <x:c r="Y478" s="216"/>
      <x:c r="Z478" s="216"/>
    </x:row>
    <x:row r="479">
      <x:c r="A479" s="216"/>
      <x:c r="B479" s="216"/>
      <x:c r="C479" s="216"/>
      <x:c r="D479" s="216"/>
      <x:c r="E479" s="216"/>
      <x:c r="F479" s="216"/>
      <x:c r="G479" s="216"/>
      <x:c r="H479" s="216"/>
      <x:c r="I479" s="216"/>
      <x:c r="J479" s="216"/>
      <x:c r="K479" s="216"/>
      <x:c r="L479" s="216"/>
      <x:c r="M479" s="216"/>
      <x:c r="N479" s="216"/>
      <x:c r="O479" s="216"/>
      <x:c r="P479" s="216"/>
      <x:c r="Q479" s="216"/>
      <x:c r="R479" s="216"/>
      <x:c r="S479" s="216"/>
      <x:c r="T479" s="216"/>
      <x:c r="U479" s="216"/>
      <x:c r="V479" s="216"/>
      <x:c r="W479" s="216"/>
      <x:c r="X479" s="216"/>
      <x:c r="Y479" s="216"/>
      <x:c r="Z479" s="216"/>
    </x:row>
    <x:row r="480">
      <x:c r="A480" s="216"/>
      <x:c r="B480" s="216"/>
      <x:c r="C480" s="216"/>
      <x:c r="D480" s="216"/>
      <x:c r="E480" s="216"/>
      <x:c r="F480" s="216"/>
      <x:c r="G480" s="216"/>
      <x:c r="H480" s="216"/>
      <x:c r="I480" s="216"/>
      <x:c r="J480" s="216"/>
      <x:c r="K480" s="216"/>
      <x:c r="L480" s="216"/>
      <x:c r="M480" s="216"/>
      <x:c r="N480" s="216"/>
      <x:c r="O480" s="216"/>
      <x:c r="P480" s="216"/>
      <x:c r="Q480" s="216"/>
      <x:c r="R480" s="216"/>
      <x:c r="S480" s="216"/>
      <x:c r="T480" s="216"/>
      <x:c r="U480" s="216"/>
      <x:c r="V480" s="216"/>
      <x:c r="W480" s="216"/>
      <x:c r="X480" s="216"/>
      <x:c r="Y480" s="216"/>
      <x:c r="Z480" s="216"/>
    </x:row>
    <x:row r="481">
      <x:c r="A481" s="216"/>
      <x:c r="B481" s="216"/>
      <x:c r="C481" s="216"/>
      <x:c r="D481" s="216"/>
      <x:c r="E481" s="216"/>
      <x:c r="F481" s="216"/>
      <x:c r="G481" s="216"/>
      <x:c r="H481" s="216"/>
      <x:c r="I481" s="216"/>
      <x:c r="J481" s="216"/>
      <x:c r="K481" s="216"/>
      <x:c r="L481" s="216"/>
      <x:c r="M481" s="216"/>
      <x:c r="N481" s="216"/>
      <x:c r="O481" s="216"/>
      <x:c r="P481" s="216"/>
      <x:c r="Q481" s="216"/>
      <x:c r="R481" s="216"/>
      <x:c r="S481" s="216"/>
      <x:c r="T481" s="216"/>
      <x:c r="U481" s="216"/>
      <x:c r="V481" s="216"/>
      <x:c r="W481" s="216"/>
      <x:c r="X481" s="216"/>
      <x:c r="Y481" s="216"/>
      <x:c r="Z481" s="216"/>
    </x:row>
    <x:row r="482">
      <x:c r="A482" s="216"/>
      <x:c r="B482" s="216"/>
      <x:c r="C482" s="216"/>
      <x:c r="D482" s="216"/>
      <x:c r="E482" s="216"/>
      <x:c r="F482" s="216"/>
      <x:c r="G482" s="216"/>
      <x:c r="H482" s="216"/>
      <x:c r="I482" s="216"/>
      <x:c r="J482" s="216"/>
      <x:c r="K482" s="216"/>
      <x:c r="L482" s="216"/>
      <x:c r="M482" s="216"/>
      <x:c r="N482" s="216"/>
      <x:c r="O482" s="216"/>
      <x:c r="P482" s="216"/>
      <x:c r="Q482" s="216"/>
      <x:c r="R482" s="216"/>
      <x:c r="S482" s="216"/>
      <x:c r="T482" s="216"/>
      <x:c r="U482" s="216"/>
      <x:c r="V482" s="216"/>
      <x:c r="W482" s="216"/>
      <x:c r="X482" s="216"/>
      <x:c r="Y482" s="216"/>
      <x:c r="Z482" s="216"/>
    </x:row>
    <x:row r="483">
      <x:c r="A483" s="216"/>
      <x:c r="B483" s="216"/>
      <x:c r="C483" s="216"/>
      <x:c r="D483" s="216"/>
      <x:c r="E483" s="216"/>
      <x:c r="F483" s="216"/>
      <x:c r="G483" s="216"/>
      <x:c r="H483" s="216"/>
      <x:c r="I483" s="216"/>
      <x:c r="J483" s="216"/>
      <x:c r="K483" s="216"/>
      <x:c r="L483" s="216"/>
      <x:c r="M483" s="216"/>
      <x:c r="N483" s="216"/>
      <x:c r="O483" s="216"/>
      <x:c r="P483" s="216"/>
      <x:c r="Q483" s="216"/>
      <x:c r="R483" s="216"/>
      <x:c r="S483" s="216"/>
      <x:c r="T483" s="216"/>
      <x:c r="U483" s="216"/>
      <x:c r="V483" s="216"/>
      <x:c r="W483" s="216"/>
      <x:c r="X483" s="216"/>
      <x:c r="Y483" s="216"/>
      <x:c r="Z483" s="216"/>
    </x:row>
    <x:row r="484">
      <x:c r="A484" s="216"/>
      <x:c r="B484" s="216"/>
      <x:c r="C484" s="216"/>
      <x:c r="D484" s="216"/>
      <x:c r="E484" s="216"/>
      <x:c r="F484" s="216"/>
      <x:c r="G484" s="216"/>
      <x:c r="H484" s="216"/>
      <x:c r="I484" s="216"/>
      <x:c r="J484" s="216"/>
      <x:c r="K484" s="216"/>
      <x:c r="L484" s="216"/>
      <x:c r="M484" s="216"/>
      <x:c r="N484" s="216"/>
      <x:c r="O484" s="216"/>
      <x:c r="P484" s="216"/>
      <x:c r="Q484" s="216"/>
      <x:c r="R484" s="216"/>
      <x:c r="S484" s="216"/>
      <x:c r="T484" s="216"/>
      <x:c r="U484" s="216"/>
      <x:c r="V484" s="216"/>
      <x:c r="W484" s="216"/>
      <x:c r="X484" s="216"/>
      <x:c r="Y484" s="216"/>
      <x:c r="Z484" s="216"/>
    </x:row>
    <x:row r="485">
      <x:c r="A485" s="216"/>
      <x:c r="B485" s="216"/>
      <x:c r="C485" s="216"/>
      <x:c r="D485" s="216"/>
      <x:c r="E485" s="216"/>
      <x:c r="F485" s="216"/>
      <x:c r="G485" s="216"/>
      <x:c r="H485" s="216"/>
      <x:c r="I485" s="216"/>
      <x:c r="J485" s="216"/>
      <x:c r="K485" s="216"/>
      <x:c r="L485" s="216"/>
      <x:c r="M485" s="216"/>
      <x:c r="N485" s="216"/>
      <x:c r="O485" s="216"/>
      <x:c r="P485" s="216"/>
      <x:c r="Q485" s="216"/>
      <x:c r="R485" s="216"/>
      <x:c r="S485" s="216"/>
      <x:c r="T485" s="216"/>
      <x:c r="U485" s="216"/>
      <x:c r="V485" s="216"/>
      <x:c r="W485" s="216"/>
      <x:c r="X485" s="216"/>
      <x:c r="Y485" s="216"/>
      <x:c r="Z485" s="216"/>
    </x:row>
    <x:row r="486">
      <x:c r="A486" s="216"/>
      <x:c r="B486" s="216"/>
      <x:c r="C486" s="216"/>
      <x:c r="D486" s="216"/>
      <x:c r="E486" s="216"/>
      <x:c r="F486" s="216"/>
      <x:c r="G486" s="216"/>
      <x:c r="H486" s="216"/>
      <x:c r="I486" s="216"/>
      <x:c r="J486" s="216"/>
      <x:c r="K486" s="216"/>
      <x:c r="L486" s="216"/>
      <x:c r="M486" s="216"/>
      <x:c r="N486" s="216"/>
      <x:c r="O486" s="216"/>
      <x:c r="P486" s="216"/>
      <x:c r="Q486" s="216"/>
      <x:c r="R486" s="216"/>
      <x:c r="S486" s="216"/>
      <x:c r="T486" s="216"/>
      <x:c r="U486" s="216"/>
      <x:c r="V486" s="216"/>
      <x:c r="W486" s="216"/>
      <x:c r="X486" s="216"/>
      <x:c r="Y486" s="216"/>
      <x:c r="Z486" s="216"/>
    </x:row>
    <x:row r="487">
      <x:c r="A487" s="216"/>
      <x:c r="B487" s="216"/>
      <x:c r="C487" s="216"/>
      <x:c r="D487" s="216"/>
      <x:c r="E487" s="216"/>
      <x:c r="F487" s="216"/>
      <x:c r="G487" s="216"/>
      <x:c r="H487" s="216"/>
      <x:c r="I487" s="216"/>
      <x:c r="J487" s="216"/>
      <x:c r="K487" s="216"/>
      <x:c r="L487" s="216"/>
      <x:c r="M487" s="216"/>
      <x:c r="N487" s="216"/>
      <x:c r="O487" s="216"/>
      <x:c r="P487" s="216"/>
      <x:c r="Q487" s="216"/>
      <x:c r="R487" s="216"/>
      <x:c r="S487" s="216"/>
      <x:c r="T487" s="216"/>
      <x:c r="U487" s="216"/>
      <x:c r="V487" s="216"/>
      <x:c r="W487" s="216"/>
      <x:c r="X487" s="216"/>
      <x:c r="Y487" s="216"/>
      <x:c r="Z487" s="216"/>
    </x:row>
    <x:row r="488">
      <x:c r="A488" s="216"/>
      <x:c r="B488" s="216"/>
      <x:c r="C488" s="216"/>
      <x:c r="D488" s="216"/>
      <x:c r="E488" s="216"/>
      <x:c r="F488" s="216"/>
      <x:c r="G488" s="216"/>
      <x:c r="H488" s="216"/>
      <x:c r="I488" s="216"/>
      <x:c r="J488" s="216"/>
      <x:c r="K488" s="216"/>
      <x:c r="L488" s="216"/>
      <x:c r="M488" s="216"/>
      <x:c r="N488" s="216"/>
      <x:c r="O488" s="216"/>
      <x:c r="P488" s="216"/>
      <x:c r="Q488" s="216"/>
      <x:c r="R488" s="216"/>
      <x:c r="S488" s="216"/>
      <x:c r="T488" s="216"/>
      <x:c r="U488" s="216"/>
      <x:c r="V488" s="216"/>
      <x:c r="W488" s="216"/>
      <x:c r="X488" s="216"/>
      <x:c r="Y488" s="216"/>
      <x:c r="Z488" s="216"/>
    </x:row>
    <x:row r="489">
      <x:c r="A489" s="216"/>
      <x:c r="B489" s="216"/>
      <x:c r="C489" s="216"/>
      <x:c r="D489" s="216"/>
      <x:c r="E489" s="216"/>
      <x:c r="F489" s="216"/>
      <x:c r="G489" s="216"/>
      <x:c r="H489" s="216"/>
      <x:c r="I489" s="216"/>
      <x:c r="J489" s="216"/>
      <x:c r="K489" s="216"/>
      <x:c r="L489" s="216"/>
      <x:c r="M489" s="216"/>
      <x:c r="N489" s="216"/>
      <x:c r="O489" s="216"/>
      <x:c r="P489" s="216"/>
      <x:c r="Q489" s="216"/>
      <x:c r="R489" s="216"/>
      <x:c r="S489" s="216"/>
      <x:c r="T489" s="216"/>
      <x:c r="U489" s="216"/>
      <x:c r="V489" s="216"/>
      <x:c r="W489" s="216"/>
      <x:c r="X489" s="216"/>
      <x:c r="Y489" s="216"/>
      <x:c r="Z489" s="216"/>
    </x:row>
    <x:row r="490">
      <x:c r="A490" s="216"/>
      <x:c r="B490" s="216"/>
      <x:c r="C490" s="216"/>
      <x:c r="D490" s="216"/>
      <x:c r="E490" s="216"/>
      <x:c r="F490" s="216"/>
      <x:c r="G490" s="216"/>
      <x:c r="H490" s="216"/>
      <x:c r="I490" s="216"/>
      <x:c r="J490" s="216"/>
      <x:c r="K490" s="216"/>
      <x:c r="L490" s="216"/>
      <x:c r="M490" s="216"/>
      <x:c r="N490" s="216"/>
      <x:c r="O490" s="216"/>
      <x:c r="P490" s="216"/>
      <x:c r="Q490" s="216"/>
      <x:c r="R490" s="216"/>
      <x:c r="S490" s="216"/>
      <x:c r="T490" s="216"/>
      <x:c r="U490" s="216"/>
      <x:c r="V490" s="216"/>
      <x:c r="W490" s="216"/>
      <x:c r="X490" s="216"/>
      <x:c r="Y490" s="216"/>
      <x:c r="Z490" s="216"/>
    </x:row>
    <x:row r="491">
      <x:c r="A491" s="216"/>
      <x:c r="B491" s="216"/>
      <x:c r="C491" s="216"/>
      <x:c r="D491" s="216"/>
      <x:c r="E491" s="216"/>
      <x:c r="F491" s="216"/>
      <x:c r="G491" s="216"/>
      <x:c r="H491" s="216"/>
      <x:c r="I491" s="216"/>
      <x:c r="J491" s="216"/>
      <x:c r="K491" s="216"/>
      <x:c r="L491" s="216"/>
      <x:c r="M491" s="216"/>
      <x:c r="N491" s="216"/>
      <x:c r="O491" s="216"/>
      <x:c r="P491" s="216"/>
      <x:c r="Q491" s="216"/>
      <x:c r="R491" s="216"/>
      <x:c r="S491" s="216"/>
      <x:c r="T491" s="216"/>
      <x:c r="U491" s="216"/>
      <x:c r="V491" s="216"/>
      <x:c r="W491" s="216"/>
      <x:c r="X491" s="216"/>
      <x:c r="Y491" s="216"/>
      <x:c r="Z491" s="216"/>
    </x:row>
    <x:row r="492">
      <x:c r="A492" s="216"/>
      <x:c r="B492" s="216"/>
      <x:c r="C492" s="216"/>
      <x:c r="D492" s="216"/>
      <x:c r="E492" s="216"/>
      <x:c r="F492" s="216"/>
      <x:c r="G492" s="216"/>
      <x:c r="H492" s="216"/>
      <x:c r="I492" s="216"/>
      <x:c r="J492" s="216"/>
      <x:c r="K492" s="216"/>
      <x:c r="L492" s="216"/>
      <x:c r="M492" s="216"/>
      <x:c r="N492" s="216"/>
      <x:c r="O492" s="216"/>
      <x:c r="P492" s="216"/>
      <x:c r="Q492" s="216"/>
      <x:c r="R492" s="216"/>
      <x:c r="S492" s="216"/>
      <x:c r="T492" s="216"/>
      <x:c r="U492" s="216"/>
      <x:c r="V492" s="216"/>
      <x:c r="W492" s="216"/>
      <x:c r="X492" s="216"/>
      <x:c r="Y492" s="216"/>
      <x:c r="Z492" s="216"/>
    </x:row>
    <x:row r="493">
      <x:c r="A493" s="216"/>
      <x:c r="B493" s="216"/>
      <x:c r="C493" s="216"/>
      <x:c r="D493" s="216"/>
      <x:c r="E493" s="216"/>
      <x:c r="F493" s="216"/>
      <x:c r="G493" s="216"/>
      <x:c r="H493" s="216"/>
      <x:c r="I493" s="216"/>
      <x:c r="J493" s="216"/>
      <x:c r="K493" s="216"/>
      <x:c r="L493" s="216"/>
      <x:c r="M493" s="216"/>
      <x:c r="N493" s="216"/>
      <x:c r="O493" s="216"/>
      <x:c r="P493" s="216"/>
      <x:c r="Q493" s="216"/>
      <x:c r="R493" s="216"/>
      <x:c r="S493" s="216"/>
      <x:c r="T493" s="216"/>
      <x:c r="U493" s="216"/>
      <x:c r="V493" s="216"/>
      <x:c r="W493" s="216"/>
      <x:c r="X493" s="216"/>
      <x:c r="Y493" s="216"/>
      <x:c r="Z493" s="216"/>
    </x:row>
    <x:row r="494">
      <x:c r="A494" s="216"/>
      <x:c r="B494" s="216"/>
      <x:c r="C494" s="216"/>
      <x:c r="D494" s="216"/>
      <x:c r="E494" s="216"/>
      <x:c r="F494" s="216"/>
      <x:c r="G494" s="216"/>
      <x:c r="H494" s="216"/>
      <x:c r="I494" s="216"/>
      <x:c r="J494" s="216"/>
      <x:c r="K494" s="216"/>
      <x:c r="L494" s="216"/>
      <x:c r="M494" s="216"/>
      <x:c r="N494" s="216"/>
      <x:c r="O494" s="216"/>
      <x:c r="P494" s="216"/>
      <x:c r="Q494" s="216"/>
      <x:c r="R494" s="216"/>
      <x:c r="S494" s="216"/>
      <x:c r="T494" s="216"/>
      <x:c r="U494" s="216"/>
      <x:c r="V494" s="216"/>
      <x:c r="W494" s="216"/>
      <x:c r="X494" s="216"/>
      <x:c r="Y494" s="216"/>
      <x:c r="Z494" s="216"/>
    </x:row>
    <x:row r="495">
      <x:c r="A495" s="216"/>
      <x:c r="B495" s="216"/>
      <x:c r="C495" s="216"/>
      <x:c r="D495" s="216"/>
      <x:c r="E495" s="216"/>
      <x:c r="F495" s="216"/>
      <x:c r="G495" s="216"/>
      <x:c r="H495" s="216"/>
      <x:c r="I495" s="216"/>
      <x:c r="J495" s="216"/>
      <x:c r="K495" s="216"/>
      <x:c r="L495" s="216"/>
      <x:c r="M495" s="216"/>
      <x:c r="N495" s="216"/>
      <x:c r="O495" s="216"/>
      <x:c r="P495" s="216"/>
      <x:c r="Q495" s="216"/>
      <x:c r="R495" s="216"/>
      <x:c r="S495" s="216"/>
      <x:c r="T495" s="216"/>
      <x:c r="U495" s="216"/>
      <x:c r="V495" s="216"/>
      <x:c r="W495" s="216"/>
      <x:c r="X495" s="216"/>
      <x:c r="Y495" s="216"/>
      <x:c r="Z495" s="216"/>
    </x:row>
    <x:row r="496">
      <x:c r="A496" s="216"/>
      <x:c r="B496" s="216"/>
      <x:c r="C496" s="216"/>
      <x:c r="D496" s="216"/>
      <x:c r="E496" s="216"/>
      <x:c r="F496" s="216"/>
      <x:c r="G496" s="216"/>
      <x:c r="H496" s="216"/>
      <x:c r="I496" s="216"/>
      <x:c r="J496" s="216"/>
      <x:c r="K496" s="216"/>
      <x:c r="L496" s="216"/>
      <x:c r="M496" s="216"/>
      <x:c r="N496" s="216"/>
      <x:c r="O496" s="216"/>
      <x:c r="P496" s="216"/>
      <x:c r="Q496" s="216"/>
      <x:c r="R496" s="216"/>
      <x:c r="S496" s="216"/>
      <x:c r="T496" s="216"/>
      <x:c r="U496" s="216"/>
      <x:c r="V496" s="216"/>
      <x:c r="W496" s="216"/>
      <x:c r="X496" s="216"/>
      <x:c r="Y496" s="216"/>
      <x:c r="Z496" s="216"/>
    </x:row>
    <x:row r="497">
      <x:c r="A497" s="216"/>
      <x:c r="B497" s="216"/>
      <x:c r="C497" s="216"/>
      <x:c r="D497" s="216"/>
      <x:c r="E497" s="216"/>
      <x:c r="F497" s="216"/>
      <x:c r="G497" s="216"/>
      <x:c r="H497" s="216"/>
      <x:c r="I497" s="216"/>
      <x:c r="J497" s="216"/>
      <x:c r="K497" s="216"/>
      <x:c r="L497" s="216"/>
      <x:c r="M497" s="216"/>
      <x:c r="N497" s="216"/>
      <x:c r="O497" s="216"/>
      <x:c r="P497" s="216"/>
      <x:c r="Q497" s="216"/>
      <x:c r="R497" s="216"/>
      <x:c r="S497" s="216"/>
      <x:c r="T497" s="216"/>
      <x:c r="U497" s="216"/>
      <x:c r="V497" s="216"/>
      <x:c r="W497" s="216"/>
      <x:c r="X497" s="216"/>
      <x:c r="Y497" s="216"/>
      <x:c r="Z497" s="216"/>
    </x:row>
    <x:row r="498">
      <x:c r="A498" s="216"/>
      <x:c r="B498" s="216"/>
      <x:c r="C498" s="216"/>
      <x:c r="D498" s="216"/>
      <x:c r="E498" s="216"/>
      <x:c r="F498" s="216"/>
      <x:c r="G498" s="216"/>
      <x:c r="H498" s="216"/>
      <x:c r="I498" s="216"/>
      <x:c r="J498" s="216"/>
      <x:c r="K498" s="216"/>
      <x:c r="L498" s="216"/>
      <x:c r="M498" s="216"/>
      <x:c r="N498" s="216"/>
      <x:c r="O498" s="216"/>
      <x:c r="P498" s="216"/>
      <x:c r="Q498" s="216"/>
      <x:c r="R498" s="216"/>
      <x:c r="S498" s="216"/>
      <x:c r="T498" s="216"/>
      <x:c r="U498" s="216"/>
      <x:c r="V498" s="216"/>
      <x:c r="W498" s="216"/>
      <x:c r="X498" s="216"/>
      <x:c r="Y498" s="216"/>
      <x:c r="Z498" s="216"/>
    </x:row>
    <x:row r="499">
      <x:c r="A499" s="216"/>
      <x:c r="B499" s="216"/>
      <x:c r="C499" s="216"/>
      <x:c r="D499" s="216"/>
      <x:c r="E499" s="216"/>
      <x:c r="F499" s="216"/>
      <x:c r="G499" s="216"/>
      <x:c r="H499" s="216"/>
      <x:c r="I499" s="216"/>
      <x:c r="J499" s="216"/>
      <x:c r="K499" s="216"/>
      <x:c r="L499" s="216"/>
      <x:c r="M499" s="216"/>
      <x:c r="N499" s="216"/>
      <x:c r="O499" s="216"/>
      <x:c r="P499" s="216"/>
      <x:c r="Q499" s="216"/>
      <x:c r="R499" s="216"/>
      <x:c r="S499" s="216"/>
      <x:c r="T499" s="216"/>
      <x:c r="U499" s="216"/>
      <x:c r="V499" s="216"/>
      <x:c r="W499" s="216"/>
      <x:c r="X499" s="216"/>
      <x:c r="Y499" s="216"/>
      <x:c r="Z499" s="216"/>
    </x:row>
    <x:row r="500">
      <x:c r="A500" s="216"/>
      <x:c r="B500" s="216"/>
      <x:c r="C500" s="216"/>
      <x:c r="D500" s="216"/>
      <x:c r="E500" s="216"/>
      <x:c r="F500" s="216"/>
      <x:c r="G500" s="216"/>
      <x:c r="H500" s="216"/>
      <x:c r="I500" s="216"/>
      <x:c r="J500" s="216"/>
      <x:c r="K500" s="216"/>
      <x:c r="L500" s="216"/>
      <x:c r="M500" s="216"/>
      <x:c r="N500" s="216"/>
      <x:c r="O500" s="216"/>
      <x:c r="P500" s="216"/>
      <x:c r="Q500" s="216"/>
      <x:c r="R500" s="216"/>
      <x:c r="S500" s="216"/>
      <x:c r="T500" s="216"/>
      <x:c r="U500" s="216"/>
      <x:c r="V500" s="216"/>
      <x:c r="W500" s="216"/>
      <x:c r="X500" s="216"/>
      <x:c r="Y500" s="216"/>
      <x:c r="Z500" s="216"/>
    </x:row>
    <x:row r="501">
      <x:c r="A501" s="216"/>
      <x:c r="B501" s="216"/>
      <x:c r="C501" s="216"/>
      <x:c r="D501" s="216"/>
      <x:c r="E501" s="216"/>
      <x:c r="F501" s="216"/>
      <x:c r="G501" s="216"/>
      <x:c r="H501" s="216"/>
      <x:c r="I501" s="216"/>
      <x:c r="J501" s="216"/>
      <x:c r="K501" s="216"/>
      <x:c r="L501" s="216"/>
      <x:c r="M501" s="216"/>
      <x:c r="N501" s="216"/>
      <x:c r="O501" s="216"/>
      <x:c r="P501" s="216"/>
      <x:c r="Q501" s="216"/>
      <x:c r="R501" s="216"/>
      <x:c r="S501" s="216"/>
      <x:c r="T501" s="216"/>
      <x:c r="U501" s="216"/>
      <x:c r="V501" s="216"/>
      <x:c r="W501" s="216"/>
      <x:c r="X501" s="216"/>
      <x:c r="Y501" s="216"/>
      <x:c r="Z501" s="216"/>
    </x:row>
    <x:row r="502">
      <x:c r="A502" s="216"/>
      <x:c r="B502" s="216"/>
      <x:c r="C502" s="216"/>
      <x:c r="D502" s="216"/>
      <x:c r="E502" s="216"/>
      <x:c r="F502" s="216"/>
      <x:c r="G502" s="216"/>
      <x:c r="H502" s="216"/>
      <x:c r="I502" s="216"/>
      <x:c r="J502" s="216"/>
      <x:c r="K502" s="216"/>
      <x:c r="L502" s="216"/>
      <x:c r="M502" s="216"/>
      <x:c r="N502" s="216"/>
      <x:c r="O502" s="216"/>
      <x:c r="P502" s="216"/>
      <x:c r="Q502" s="216"/>
      <x:c r="R502" s="216"/>
      <x:c r="S502" s="216"/>
      <x:c r="T502" s="216"/>
      <x:c r="U502" s="216"/>
      <x:c r="V502" s="216"/>
      <x:c r="W502" s="216"/>
      <x:c r="X502" s="216"/>
      <x:c r="Y502" s="216"/>
      <x:c r="Z502" s="216"/>
    </x:row>
    <x:row r="503">
      <x:c r="A503" s="216"/>
      <x:c r="B503" s="216"/>
      <x:c r="C503" s="216"/>
      <x:c r="D503" s="216"/>
      <x:c r="E503" s="216"/>
      <x:c r="F503" s="216"/>
      <x:c r="G503" s="216"/>
      <x:c r="H503" s="216"/>
      <x:c r="I503" s="216"/>
      <x:c r="J503" s="216"/>
      <x:c r="K503" s="216"/>
      <x:c r="L503" s="216"/>
      <x:c r="M503" s="216"/>
      <x:c r="N503" s="216"/>
      <x:c r="O503" s="216"/>
      <x:c r="P503" s="216"/>
      <x:c r="Q503" s="216"/>
      <x:c r="R503" s="216"/>
      <x:c r="S503" s="216"/>
      <x:c r="T503" s="216"/>
      <x:c r="U503" s="216"/>
      <x:c r="V503" s="216"/>
      <x:c r="W503" s="216"/>
      <x:c r="X503" s="216"/>
      <x:c r="Y503" s="216"/>
      <x:c r="Z503" s="216"/>
    </x:row>
    <x:row r="504">
      <x:c r="A504" s="216"/>
      <x:c r="B504" s="216"/>
      <x:c r="C504" s="216"/>
      <x:c r="D504" s="216"/>
      <x:c r="E504" s="216"/>
      <x:c r="F504" s="216"/>
      <x:c r="G504" s="216"/>
      <x:c r="H504" s="216"/>
      <x:c r="I504" s="216"/>
      <x:c r="J504" s="216"/>
      <x:c r="K504" s="216"/>
      <x:c r="L504" s="216"/>
      <x:c r="M504" s="216"/>
      <x:c r="N504" s="216"/>
      <x:c r="O504" s="216"/>
      <x:c r="P504" s="216"/>
      <x:c r="Q504" s="216"/>
      <x:c r="R504" s="216"/>
      <x:c r="S504" s="216"/>
      <x:c r="T504" s="216"/>
      <x:c r="U504" s="216"/>
      <x:c r="V504" s="216"/>
      <x:c r="W504" s="216"/>
      <x:c r="X504" s="216"/>
      <x:c r="Y504" s="216"/>
      <x:c r="Z504" s="216"/>
    </x:row>
    <x:row r="505">
      <x:c r="A505" s="216"/>
      <x:c r="B505" s="216"/>
      <x:c r="C505" s="216"/>
      <x:c r="D505" s="216"/>
      <x:c r="E505" s="216"/>
      <x:c r="F505" s="216"/>
      <x:c r="G505" s="216"/>
      <x:c r="H505" s="216"/>
      <x:c r="I505" s="216"/>
      <x:c r="J505" s="216"/>
      <x:c r="K505" s="216"/>
      <x:c r="L505" s="216"/>
      <x:c r="M505" s="216"/>
      <x:c r="N505" s="216"/>
      <x:c r="O505" s="216"/>
      <x:c r="P505" s="216"/>
      <x:c r="Q505" s="216"/>
      <x:c r="R505" s="216"/>
      <x:c r="S505" s="216"/>
      <x:c r="T505" s="216"/>
      <x:c r="U505" s="216"/>
      <x:c r="V505" s="216"/>
      <x:c r="W505" s="216"/>
      <x:c r="X505" s="216"/>
      <x:c r="Y505" s="216"/>
      <x:c r="Z505" s="216"/>
    </x:row>
    <x:row r="506">
      <x:c r="A506" s="216"/>
      <x:c r="B506" s="216"/>
      <x:c r="C506" s="216"/>
      <x:c r="D506" s="216"/>
      <x:c r="E506" s="216"/>
      <x:c r="F506" s="216"/>
      <x:c r="G506" s="216"/>
      <x:c r="H506" s="216"/>
      <x:c r="I506" s="216"/>
      <x:c r="J506" s="216"/>
      <x:c r="K506" s="216"/>
      <x:c r="L506" s="216"/>
      <x:c r="M506" s="216"/>
      <x:c r="N506" s="216"/>
      <x:c r="O506" s="216"/>
      <x:c r="P506" s="216"/>
      <x:c r="Q506" s="216"/>
      <x:c r="R506" s="216"/>
      <x:c r="S506" s="216"/>
      <x:c r="T506" s="216"/>
      <x:c r="U506" s="216"/>
      <x:c r="V506" s="216"/>
      <x:c r="W506" s="216"/>
      <x:c r="X506" s="216"/>
      <x:c r="Y506" s="216"/>
      <x:c r="Z506" s="216"/>
    </x:row>
    <x:row r="507">
      <x:c r="A507" s="216"/>
      <x:c r="B507" s="216"/>
      <x:c r="C507" s="216"/>
      <x:c r="D507" s="216"/>
      <x:c r="E507" s="216"/>
      <x:c r="F507" s="216"/>
      <x:c r="G507" s="216"/>
      <x:c r="H507" s="216"/>
      <x:c r="I507" s="216"/>
      <x:c r="J507" s="216"/>
      <x:c r="K507" s="216"/>
      <x:c r="L507" s="216"/>
      <x:c r="M507" s="216"/>
      <x:c r="N507" s="216"/>
      <x:c r="O507" s="216"/>
      <x:c r="P507" s="216"/>
      <x:c r="Q507" s="216"/>
      <x:c r="R507" s="216"/>
      <x:c r="S507" s="216"/>
      <x:c r="T507" s="216"/>
      <x:c r="U507" s="216"/>
      <x:c r="V507" s="216"/>
      <x:c r="W507" s="216"/>
      <x:c r="X507" s="216"/>
      <x:c r="Y507" s="216"/>
      <x:c r="Z507" s="216"/>
    </x:row>
    <x:row r="508">
      <x:c r="A508" s="216"/>
      <x:c r="B508" s="216"/>
      <x:c r="C508" s="216"/>
      <x:c r="D508" s="216"/>
      <x:c r="E508" s="216"/>
      <x:c r="F508" s="216"/>
      <x:c r="G508" s="216"/>
      <x:c r="H508" s="216"/>
      <x:c r="I508" s="216"/>
      <x:c r="J508" s="216"/>
      <x:c r="K508" s="216"/>
      <x:c r="L508" s="216"/>
      <x:c r="M508" s="216"/>
      <x:c r="N508" s="216"/>
      <x:c r="O508" s="216"/>
      <x:c r="P508" s="216"/>
      <x:c r="Q508" s="216"/>
      <x:c r="R508" s="216"/>
      <x:c r="S508" s="216"/>
      <x:c r="T508" s="216"/>
      <x:c r="U508" s="216"/>
      <x:c r="V508" s="216"/>
      <x:c r="W508" s="216"/>
      <x:c r="X508" s="216"/>
      <x:c r="Y508" s="216"/>
      <x:c r="Z508" s="216"/>
    </x:row>
    <x:row r="509">
      <x:c r="A509" s="216"/>
      <x:c r="B509" s="216"/>
      <x:c r="C509" s="216"/>
      <x:c r="D509" s="216"/>
      <x:c r="E509" s="216"/>
      <x:c r="F509" s="216"/>
      <x:c r="G509" s="216"/>
      <x:c r="H509" s="216"/>
      <x:c r="I509" s="216"/>
      <x:c r="J509" s="216"/>
      <x:c r="K509" s="216"/>
      <x:c r="L509" s="216"/>
      <x:c r="M509" s="216"/>
      <x:c r="N509" s="216"/>
      <x:c r="O509" s="216"/>
      <x:c r="P509" s="216"/>
      <x:c r="Q509" s="216"/>
      <x:c r="R509" s="216"/>
      <x:c r="S509" s="216"/>
      <x:c r="T509" s="216"/>
      <x:c r="U509" s="216"/>
      <x:c r="V509" s="216"/>
      <x:c r="W509" s="216"/>
      <x:c r="X509" s="216"/>
      <x:c r="Y509" s="216"/>
      <x:c r="Z509" s="216"/>
    </x:row>
    <x:row r="510">
      <x:c r="A510" s="216"/>
      <x:c r="B510" s="216"/>
      <x:c r="C510" s="216"/>
      <x:c r="D510" s="216"/>
      <x:c r="E510" s="216"/>
      <x:c r="F510" s="216"/>
      <x:c r="G510" s="216"/>
      <x:c r="H510" s="216"/>
      <x:c r="I510" s="216"/>
      <x:c r="J510" s="216"/>
      <x:c r="K510" s="216"/>
      <x:c r="L510" s="216"/>
      <x:c r="M510" s="216"/>
      <x:c r="N510" s="216"/>
      <x:c r="O510" s="216"/>
      <x:c r="P510" s="216"/>
      <x:c r="Q510" s="216"/>
      <x:c r="R510" s="216"/>
      <x:c r="S510" s="216"/>
      <x:c r="T510" s="216"/>
      <x:c r="U510" s="216"/>
      <x:c r="V510" s="216"/>
      <x:c r="W510" s="216"/>
      <x:c r="X510" s="216"/>
      <x:c r="Y510" s="216"/>
      <x:c r="Z510" s="216"/>
    </x:row>
    <x:row r="511">
      <x:c r="A511" s="216"/>
      <x:c r="B511" s="216"/>
      <x:c r="C511" s="216"/>
      <x:c r="D511" s="216"/>
      <x:c r="E511" s="216"/>
      <x:c r="F511" s="216"/>
      <x:c r="G511" s="216"/>
      <x:c r="H511" s="216"/>
      <x:c r="I511" s="216"/>
      <x:c r="J511" s="216"/>
      <x:c r="K511" s="216"/>
      <x:c r="L511" s="216"/>
      <x:c r="M511" s="216"/>
      <x:c r="N511" s="216"/>
      <x:c r="O511" s="216"/>
      <x:c r="P511" s="216"/>
      <x:c r="Q511" s="216"/>
      <x:c r="R511" s="216"/>
      <x:c r="S511" s="216"/>
      <x:c r="T511" s="216"/>
      <x:c r="U511" s="216"/>
      <x:c r="V511" s="216"/>
      <x:c r="W511" s="216"/>
      <x:c r="X511" s="216"/>
      <x:c r="Y511" s="216"/>
      <x:c r="Z511" s="216"/>
    </x:row>
    <x:row r="512">
      <x:c r="A512" s="216"/>
      <x:c r="B512" s="216"/>
      <x:c r="C512" s="216"/>
      <x:c r="D512" s="216"/>
      <x:c r="E512" s="216"/>
      <x:c r="F512" s="216"/>
      <x:c r="G512" s="216"/>
      <x:c r="H512" s="216"/>
      <x:c r="I512" s="216"/>
      <x:c r="J512" s="216"/>
      <x:c r="K512" s="216"/>
      <x:c r="L512" s="216"/>
      <x:c r="M512" s="216"/>
      <x:c r="N512" s="216"/>
      <x:c r="O512" s="216"/>
      <x:c r="P512" s="216"/>
      <x:c r="Q512" s="216"/>
      <x:c r="R512" s="216"/>
      <x:c r="S512" s="216"/>
      <x:c r="T512" s="216"/>
      <x:c r="U512" s="216"/>
      <x:c r="V512" s="216"/>
      <x:c r="W512" s="216"/>
      <x:c r="X512" s="216"/>
      <x:c r="Y512" s="216"/>
      <x:c r="Z512" s="216"/>
    </x:row>
    <x:row r="513">
      <x:c r="A513" s="216"/>
      <x:c r="B513" s="216"/>
      <x:c r="C513" s="216"/>
      <x:c r="D513" s="216"/>
      <x:c r="E513" s="216"/>
      <x:c r="F513" s="216"/>
      <x:c r="G513" s="216"/>
      <x:c r="H513" s="216"/>
      <x:c r="I513" s="216"/>
      <x:c r="J513" s="216"/>
      <x:c r="K513" s="216"/>
      <x:c r="L513" s="216"/>
      <x:c r="M513" s="216"/>
      <x:c r="N513" s="216"/>
      <x:c r="O513" s="216"/>
      <x:c r="P513" s="216"/>
      <x:c r="Q513" s="216"/>
      <x:c r="R513" s="216"/>
      <x:c r="S513" s="216"/>
      <x:c r="T513" s="216"/>
      <x:c r="U513" s="216"/>
      <x:c r="V513" s="216"/>
      <x:c r="W513" s="216"/>
      <x:c r="X513" s="216"/>
      <x:c r="Y513" s="216"/>
      <x:c r="Z513" s="216"/>
    </x:row>
    <x:row r="514">
      <x:c r="A514" s="216"/>
      <x:c r="B514" s="216"/>
      <x:c r="C514" s="216"/>
      <x:c r="D514" s="216"/>
      <x:c r="E514" s="216"/>
      <x:c r="F514" s="216"/>
      <x:c r="G514" s="216"/>
      <x:c r="H514" s="216"/>
      <x:c r="I514" s="216"/>
      <x:c r="J514" s="216"/>
      <x:c r="K514" s="216"/>
      <x:c r="L514" s="216"/>
      <x:c r="M514" s="216"/>
      <x:c r="N514" s="216"/>
      <x:c r="O514" s="216"/>
      <x:c r="P514" s="216"/>
      <x:c r="Q514" s="216"/>
      <x:c r="R514" s="216"/>
      <x:c r="S514" s="216"/>
      <x:c r="T514" s="216"/>
      <x:c r="U514" s="216"/>
      <x:c r="V514" s="216"/>
      <x:c r="W514" s="216"/>
      <x:c r="X514" s="216"/>
      <x:c r="Y514" s="216"/>
      <x:c r="Z514" s="216"/>
    </x:row>
    <x:row r="515">
      <x:c r="A515" s="216"/>
      <x:c r="B515" s="216"/>
      <x:c r="C515" s="216"/>
      <x:c r="D515" s="216"/>
      <x:c r="E515" s="216"/>
      <x:c r="F515" s="216"/>
      <x:c r="G515" s="216"/>
      <x:c r="H515" s="216"/>
      <x:c r="I515" s="216"/>
      <x:c r="J515" s="216"/>
      <x:c r="K515" s="216"/>
      <x:c r="L515" s="216"/>
      <x:c r="M515" s="216"/>
      <x:c r="N515" s="216"/>
      <x:c r="O515" s="216"/>
      <x:c r="P515" s="216"/>
      <x:c r="Q515" s="216"/>
      <x:c r="R515" s="216"/>
      <x:c r="S515" s="216"/>
      <x:c r="T515" s="216"/>
      <x:c r="U515" s="216"/>
      <x:c r="V515" s="216"/>
      <x:c r="W515" s="216"/>
      <x:c r="X515" s="216"/>
      <x:c r="Y515" s="216"/>
      <x:c r="Z515" s="216"/>
    </x:row>
    <x:row r="516">
      <x:c r="A516" s="216"/>
      <x:c r="B516" s="216"/>
      <x:c r="C516" s="216"/>
      <x:c r="D516" s="216"/>
      <x:c r="E516" s="216"/>
      <x:c r="F516" s="216"/>
      <x:c r="G516" s="216"/>
      <x:c r="H516" s="216"/>
      <x:c r="I516" s="216"/>
      <x:c r="J516" s="216"/>
      <x:c r="K516" s="216"/>
      <x:c r="L516" s="216"/>
      <x:c r="M516" s="216"/>
      <x:c r="N516" s="216"/>
      <x:c r="O516" s="216"/>
      <x:c r="P516" s="216"/>
      <x:c r="Q516" s="216"/>
      <x:c r="R516" s="216"/>
      <x:c r="S516" s="216"/>
      <x:c r="T516" s="216"/>
      <x:c r="U516" s="216"/>
      <x:c r="V516" s="216"/>
      <x:c r="W516" s="216"/>
      <x:c r="X516" s="216"/>
      <x:c r="Y516" s="216"/>
      <x:c r="Z516" s="216"/>
    </x:row>
    <x:row r="517">
      <x:c r="A517" s="216"/>
      <x:c r="B517" s="216"/>
      <x:c r="C517" s="216"/>
      <x:c r="D517" s="216"/>
      <x:c r="E517" s="216"/>
      <x:c r="F517" s="216"/>
      <x:c r="G517" s="216"/>
      <x:c r="H517" s="216"/>
      <x:c r="I517" s="216"/>
      <x:c r="J517" s="216"/>
      <x:c r="K517" s="216"/>
      <x:c r="L517" s="216"/>
      <x:c r="M517" s="216"/>
      <x:c r="N517" s="216"/>
      <x:c r="O517" s="216"/>
      <x:c r="P517" s="216"/>
      <x:c r="Q517" s="216"/>
      <x:c r="R517" s="216"/>
      <x:c r="S517" s="216"/>
      <x:c r="T517" s="216"/>
      <x:c r="U517" s="216"/>
      <x:c r="V517" s="216"/>
      <x:c r="W517" s="216"/>
      <x:c r="X517" s="216"/>
      <x:c r="Y517" s="216"/>
      <x:c r="Z517" s="216"/>
    </x:row>
    <x:row r="518">
      <x:c r="A518" s="216"/>
      <x:c r="B518" s="216"/>
      <x:c r="C518" s="216"/>
      <x:c r="D518" s="216"/>
      <x:c r="E518" s="216"/>
      <x:c r="F518" s="216"/>
      <x:c r="G518" s="216"/>
      <x:c r="H518" s="216"/>
      <x:c r="I518" s="216"/>
      <x:c r="J518" s="216"/>
      <x:c r="K518" s="216"/>
      <x:c r="L518" s="216"/>
      <x:c r="M518" s="216"/>
      <x:c r="N518" s="216"/>
      <x:c r="O518" s="216"/>
      <x:c r="P518" s="216"/>
      <x:c r="Q518" s="216"/>
      <x:c r="R518" s="216"/>
      <x:c r="S518" s="216"/>
      <x:c r="T518" s="216"/>
      <x:c r="U518" s="216"/>
      <x:c r="V518" s="216"/>
      <x:c r="W518" s="216"/>
      <x:c r="X518" s="216"/>
      <x:c r="Y518" s="216"/>
      <x:c r="Z518" s="216"/>
    </x:row>
    <x:row r="519">
      <x:c r="A519" s="216"/>
      <x:c r="B519" s="216"/>
      <x:c r="C519" s="216"/>
      <x:c r="D519" s="216"/>
      <x:c r="E519" s="216"/>
      <x:c r="F519" s="216"/>
      <x:c r="G519" s="216"/>
      <x:c r="H519" s="216"/>
      <x:c r="I519" s="216"/>
      <x:c r="J519" s="216"/>
      <x:c r="K519" s="216"/>
      <x:c r="L519" s="216"/>
      <x:c r="M519" s="216"/>
      <x:c r="N519" s="216"/>
      <x:c r="O519" s="216"/>
      <x:c r="P519" s="216"/>
      <x:c r="Q519" s="216"/>
      <x:c r="R519" s="216"/>
      <x:c r="S519" s="216"/>
      <x:c r="T519" s="216"/>
      <x:c r="U519" s="216"/>
      <x:c r="V519" s="216"/>
      <x:c r="W519" s="216"/>
      <x:c r="X519" s="216"/>
      <x:c r="Y519" s="216"/>
      <x:c r="Z519" s="216"/>
    </x:row>
    <x:row r="520">
      <x:c r="A520" s="216"/>
      <x:c r="B520" s="216"/>
      <x:c r="C520" s="216"/>
      <x:c r="D520" s="216"/>
      <x:c r="E520" s="216"/>
      <x:c r="F520" s="216"/>
      <x:c r="G520" s="216"/>
      <x:c r="H520" s="216"/>
      <x:c r="I520" s="216"/>
      <x:c r="J520" s="216"/>
      <x:c r="K520" s="216"/>
      <x:c r="L520" s="216"/>
      <x:c r="M520" s="216"/>
      <x:c r="N520" s="216"/>
      <x:c r="O520" s="216"/>
      <x:c r="P520" s="216"/>
      <x:c r="Q520" s="216"/>
      <x:c r="R520" s="216"/>
      <x:c r="S520" s="216"/>
      <x:c r="T520" s="216"/>
      <x:c r="U520" s="216"/>
      <x:c r="V520" s="216"/>
      <x:c r="W520" s="216"/>
      <x:c r="X520" s="216"/>
      <x:c r="Y520" s="216"/>
      <x:c r="Z520" s="216"/>
    </x:row>
    <x:row r="521">
      <x:c r="A521" s="216"/>
      <x:c r="B521" s="216"/>
      <x:c r="C521" s="216"/>
      <x:c r="D521" s="216"/>
      <x:c r="E521" s="216"/>
      <x:c r="F521" s="216"/>
      <x:c r="G521" s="216"/>
      <x:c r="H521" s="216"/>
      <x:c r="I521" s="216"/>
      <x:c r="J521" s="216"/>
      <x:c r="K521" s="216"/>
      <x:c r="L521" s="216"/>
      <x:c r="M521" s="216"/>
      <x:c r="N521" s="216"/>
      <x:c r="O521" s="216"/>
      <x:c r="P521" s="216"/>
      <x:c r="Q521" s="216"/>
      <x:c r="R521" s="216"/>
      <x:c r="S521" s="216"/>
      <x:c r="T521" s="216"/>
      <x:c r="U521" s="216"/>
      <x:c r="V521" s="216"/>
      <x:c r="W521" s="216"/>
      <x:c r="X521" s="216"/>
      <x:c r="Y521" s="216"/>
      <x:c r="Z521" s="216"/>
    </x:row>
    <x:row r="522">
      <x:c r="A522" s="216"/>
      <x:c r="B522" s="216"/>
      <x:c r="C522" s="216"/>
      <x:c r="D522" s="216"/>
      <x:c r="E522" s="216"/>
      <x:c r="F522" s="216"/>
      <x:c r="G522" s="216"/>
      <x:c r="H522" s="216"/>
      <x:c r="I522" s="216"/>
      <x:c r="J522" s="216"/>
      <x:c r="K522" s="216"/>
      <x:c r="L522" s="216"/>
      <x:c r="M522" s="216"/>
      <x:c r="N522" s="216"/>
      <x:c r="O522" s="216"/>
      <x:c r="P522" s="216"/>
      <x:c r="Q522" s="216"/>
      <x:c r="R522" s="216"/>
      <x:c r="S522" s="216"/>
      <x:c r="T522" s="216"/>
      <x:c r="U522" s="216"/>
      <x:c r="V522" s="216"/>
      <x:c r="W522" s="216"/>
      <x:c r="X522" s="216"/>
      <x:c r="Y522" s="216"/>
      <x:c r="Z522" s="216"/>
    </x:row>
    <x:row r="523">
      <x:c r="A523" s="216"/>
      <x:c r="B523" s="216"/>
      <x:c r="C523" s="216"/>
      <x:c r="D523" s="216"/>
      <x:c r="E523" s="216"/>
      <x:c r="F523" s="216"/>
      <x:c r="G523" s="216"/>
      <x:c r="H523" s="216"/>
      <x:c r="I523" s="216"/>
      <x:c r="J523" s="216"/>
      <x:c r="K523" s="216"/>
      <x:c r="L523" s="216"/>
      <x:c r="M523" s="216"/>
      <x:c r="N523" s="216"/>
      <x:c r="O523" s="216"/>
      <x:c r="P523" s="216"/>
      <x:c r="Q523" s="216"/>
      <x:c r="R523" s="216"/>
      <x:c r="S523" s="216"/>
      <x:c r="T523" s="216"/>
      <x:c r="U523" s="216"/>
      <x:c r="V523" s="216"/>
      <x:c r="W523" s="216"/>
      <x:c r="X523" s="216"/>
      <x:c r="Y523" s="216"/>
      <x:c r="Z523" s="216"/>
    </x:row>
    <x:row r="524">
      <x:c r="A524" s="216"/>
      <x:c r="B524" s="216"/>
      <x:c r="C524" s="216"/>
      <x:c r="D524" s="216"/>
      <x:c r="E524" s="216"/>
      <x:c r="F524" s="216"/>
      <x:c r="G524" s="216"/>
      <x:c r="H524" s="216"/>
      <x:c r="I524" s="216"/>
      <x:c r="J524" s="216"/>
      <x:c r="K524" s="216"/>
      <x:c r="L524" s="216"/>
      <x:c r="M524" s="216"/>
      <x:c r="N524" s="216"/>
      <x:c r="O524" s="216"/>
      <x:c r="P524" s="216"/>
      <x:c r="Q524" s="216"/>
      <x:c r="R524" s="216"/>
      <x:c r="S524" s="216"/>
      <x:c r="T524" s="216"/>
      <x:c r="U524" s="216"/>
      <x:c r="V524" s="216"/>
      <x:c r="W524" s="216"/>
      <x:c r="X524" s="216"/>
      <x:c r="Y524" s="216"/>
      <x:c r="Z524" s="216"/>
    </x:row>
    <x:row r="525">
      <x:c r="A525" s="216"/>
      <x:c r="B525" s="216"/>
      <x:c r="C525" s="216"/>
      <x:c r="D525" s="216"/>
      <x:c r="E525" s="216"/>
      <x:c r="F525" s="216"/>
      <x:c r="G525" s="216"/>
      <x:c r="H525" s="216"/>
      <x:c r="I525" s="216"/>
      <x:c r="J525" s="216"/>
      <x:c r="K525" s="216"/>
      <x:c r="L525" s="216"/>
      <x:c r="M525" s="216"/>
      <x:c r="N525" s="216"/>
      <x:c r="O525" s="216"/>
      <x:c r="P525" s="216"/>
      <x:c r="Q525" s="216"/>
      <x:c r="R525" s="216"/>
      <x:c r="S525" s="216"/>
      <x:c r="T525" s="216"/>
      <x:c r="U525" s="216"/>
      <x:c r="V525" s="216"/>
      <x:c r="W525" s="216"/>
      <x:c r="X525" s="216"/>
      <x:c r="Y525" s="216"/>
      <x:c r="Z525" s="216"/>
    </x:row>
    <x:row r="526">
      <x:c r="A526" s="216"/>
      <x:c r="B526" s="216"/>
      <x:c r="C526" s="216"/>
      <x:c r="D526" s="216"/>
      <x:c r="E526" s="216"/>
      <x:c r="F526" s="216"/>
      <x:c r="G526" s="216"/>
      <x:c r="H526" s="216"/>
      <x:c r="I526" s="216"/>
      <x:c r="J526" s="216"/>
      <x:c r="K526" s="216"/>
      <x:c r="L526" s="216"/>
      <x:c r="M526" s="216"/>
      <x:c r="N526" s="216"/>
      <x:c r="O526" s="216"/>
      <x:c r="P526" s="216"/>
      <x:c r="Q526" s="216"/>
      <x:c r="R526" s="216"/>
      <x:c r="S526" s="216"/>
      <x:c r="T526" s="216"/>
      <x:c r="U526" s="216"/>
      <x:c r="V526" s="216"/>
      <x:c r="W526" s="216"/>
      <x:c r="X526" s="216"/>
      <x:c r="Y526" s="216"/>
      <x:c r="Z526" s="216"/>
    </x:row>
    <x:row r="527">
      <x:c r="A527" s="216"/>
      <x:c r="B527" s="216"/>
      <x:c r="C527" s="216"/>
      <x:c r="D527" s="216"/>
      <x:c r="E527" s="216"/>
      <x:c r="F527" s="216"/>
      <x:c r="G527" s="216"/>
      <x:c r="H527" s="216"/>
      <x:c r="I527" s="216"/>
      <x:c r="J527" s="216"/>
      <x:c r="K527" s="216"/>
      <x:c r="L527" s="216"/>
      <x:c r="M527" s="216"/>
      <x:c r="N527" s="216"/>
      <x:c r="O527" s="216"/>
      <x:c r="P527" s="216"/>
      <x:c r="Q527" s="216"/>
      <x:c r="R527" s="216"/>
      <x:c r="S527" s="216"/>
      <x:c r="T527" s="216"/>
      <x:c r="U527" s="216"/>
      <x:c r="V527" s="216"/>
      <x:c r="W527" s="216"/>
      <x:c r="X527" s="216"/>
      <x:c r="Y527" s="216"/>
      <x:c r="Z527" s="216"/>
    </x:row>
    <x:row r="528">
      <x:c r="A528" s="216"/>
      <x:c r="B528" s="216"/>
      <x:c r="C528" s="216"/>
      <x:c r="D528" s="216"/>
      <x:c r="E528" s="216"/>
      <x:c r="F528" s="216"/>
      <x:c r="G528" s="216"/>
      <x:c r="H528" s="216"/>
      <x:c r="I528" s="216"/>
      <x:c r="J528" s="216"/>
      <x:c r="K528" s="216"/>
      <x:c r="L528" s="216"/>
      <x:c r="M528" s="216"/>
      <x:c r="N528" s="216"/>
      <x:c r="O528" s="216"/>
      <x:c r="P528" s="216"/>
      <x:c r="Q528" s="216"/>
      <x:c r="R528" s="216"/>
      <x:c r="S528" s="216"/>
      <x:c r="T528" s="216"/>
      <x:c r="U528" s="216"/>
      <x:c r="V528" s="216"/>
      <x:c r="W528" s="216"/>
      <x:c r="X528" s="216"/>
      <x:c r="Y528" s="216"/>
      <x:c r="Z528" s="216"/>
    </x:row>
    <x:row r="529">
      <x:c r="A529" s="216"/>
      <x:c r="B529" s="216"/>
      <x:c r="C529" s="216"/>
      <x:c r="D529" s="216"/>
      <x:c r="E529" s="216"/>
      <x:c r="F529" s="216"/>
      <x:c r="G529" s="216"/>
      <x:c r="H529" s="216"/>
      <x:c r="I529" s="216"/>
      <x:c r="J529" s="216"/>
      <x:c r="K529" s="216"/>
      <x:c r="L529" s="216"/>
      <x:c r="M529" s="216"/>
      <x:c r="N529" s="216"/>
      <x:c r="O529" s="216"/>
      <x:c r="P529" s="216"/>
      <x:c r="Q529" s="216"/>
      <x:c r="R529" s="216"/>
      <x:c r="S529" s="216"/>
      <x:c r="T529" s="216"/>
      <x:c r="U529" s="216"/>
      <x:c r="V529" s="216"/>
      <x:c r="W529" s="216"/>
      <x:c r="X529" s="216"/>
      <x:c r="Y529" s="216"/>
      <x:c r="Z529" s="216"/>
    </x:row>
    <x:row r="530">
      <x:c r="A530" s="216"/>
      <x:c r="B530" s="216"/>
      <x:c r="C530" s="216"/>
      <x:c r="D530" s="216"/>
      <x:c r="E530" s="216"/>
      <x:c r="F530" s="216"/>
      <x:c r="G530" s="216"/>
      <x:c r="H530" s="216"/>
      <x:c r="I530" s="216"/>
      <x:c r="J530" s="216"/>
      <x:c r="K530" s="216"/>
      <x:c r="L530" s="216"/>
      <x:c r="M530" s="216"/>
      <x:c r="N530" s="216"/>
      <x:c r="O530" s="216"/>
      <x:c r="P530" s="216"/>
      <x:c r="Q530" s="216"/>
      <x:c r="R530" s="216"/>
      <x:c r="S530" s="216"/>
      <x:c r="T530" s="216"/>
      <x:c r="U530" s="216"/>
      <x:c r="V530" s="216"/>
      <x:c r="W530" s="216"/>
      <x:c r="X530" s="216"/>
      <x:c r="Y530" s="216"/>
      <x:c r="Z530" s="216"/>
    </x:row>
    <x:row r="531">
      <x:c r="A531" s="216"/>
      <x:c r="B531" s="216"/>
      <x:c r="C531" s="216"/>
      <x:c r="D531" s="216"/>
      <x:c r="E531" s="216"/>
      <x:c r="F531" s="216"/>
      <x:c r="G531" s="216"/>
      <x:c r="H531" s="216"/>
      <x:c r="I531" s="216"/>
      <x:c r="J531" s="216"/>
      <x:c r="K531" s="216"/>
      <x:c r="L531" s="216"/>
      <x:c r="M531" s="216"/>
      <x:c r="N531" s="216"/>
      <x:c r="O531" s="216"/>
      <x:c r="P531" s="216"/>
      <x:c r="Q531" s="216"/>
      <x:c r="R531" s="216"/>
      <x:c r="S531" s="216"/>
      <x:c r="T531" s="216"/>
      <x:c r="U531" s="216"/>
      <x:c r="V531" s="216"/>
      <x:c r="W531" s="216"/>
      <x:c r="X531" s="216"/>
      <x:c r="Y531" s="216"/>
      <x:c r="Z531" s="216"/>
    </x:row>
    <x:row r="532">
      <x:c r="A532" s="216"/>
      <x:c r="B532" s="216"/>
      <x:c r="C532" s="216"/>
      <x:c r="D532" s="216"/>
      <x:c r="E532" s="216"/>
      <x:c r="F532" s="216"/>
      <x:c r="G532" s="216"/>
      <x:c r="H532" s="216"/>
      <x:c r="I532" s="216"/>
      <x:c r="J532" s="216"/>
      <x:c r="K532" s="216"/>
      <x:c r="L532" s="216"/>
      <x:c r="M532" s="216"/>
      <x:c r="N532" s="216"/>
      <x:c r="O532" s="216"/>
      <x:c r="P532" s="216"/>
      <x:c r="Q532" s="216"/>
      <x:c r="R532" s="216"/>
      <x:c r="S532" s="216"/>
      <x:c r="T532" s="216"/>
      <x:c r="U532" s="216"/>
      <x:c r="V532" s="216"/>
      <x:c r="W532" s="216"/>
      <x:c r="X532" s="216"/>
      <x:c r="Y532" s="216"/>
      <x:c r="Z532" s="216"/>
    </x:row>
    <x:row r="533">
      <x:c r="A533" s="216"/>
      <x:c r="B533" s="216"/>
      <x:c r="C533" s="216"/>
      <x:c r="D533" s="216"/>
      <x:c r="E533" s="216"/>
      <x:c r="F533" s="216"/>
      <x:c r="G533" s="216"/>
      <x:c r="H533" s="216"/>
      <x:c r="I533" s="216"/>
      <x:c r="J533" s="216"/>
      <x:c r="K533" s="216"/>
      <x:c r="L533" s="216"/>
      <x:c r="M533" s="216"/>
      <x:c r="N533" s="216"/>
      <x:c r="O533" s="216"/>
      <x:c r="P533" s="216"/>
      <x:c r="Q533" s="216"/>
      <x:c r="R533" s="216"/>
      <x:c r="S533" s="216"/>
      <x:c r="T533" s="216"/>
      <x:c r="U533" s="216"/>
      <x:c r="V533" s="216"/>
      <x:c r="W533" s="216"/>
      <x:c r="X533" s="216"/>
      <x:c r="Y533" s="216"/>
      <x:c r="Z533" s="216"/>
    </x:row>
    <x:row r="534">
      <x:c r="A534" s="216"/>
      <x:c r="B534" s="216"/>
      <x:c r="C534" s="216"/>
      <x:c r="D534" s="216"/>
      <x:c r="E534" s="216"/>
      <x:c r="F534" s="216"/>
      <x:c r="G534" s="216"/>
      <x:c r="H534" s="216"/>
      <x:c r="I534" s="216"/>
      <x:c r="J534" s="216"/>
      <x:c r="K534" s="216"/>
      <x:c r="L534" s="216"/>
      <x:c r="M534" s="216"/>
      <x:c r="N534" s="216"/>
      <x:c r="O534" s="216"/>
      <x:c r="P534" s="216"/>
      <x:c r="Q534" s="216"/>
      <x:c r="R534" s="216"/>
      <x:c r="S534" s="216"/>
      <x:c r="T534" s="216"/>
      <x:c r="U534" s="216"/>
      <x:c r="V534" s="216"/>
      <x:c r="W534" s="216"/>
      <x:c r="X534" s="216"/>
      <x:c r="Y534" s="216"/>
      <x:c r="Z534" s="216"/>
    </x:row>
    <x:row r="535">
      <x:c r="A535" s="216"/>
      <x:c r="B535" s="216"/>
      <x:c r="C535" s="216"/>
      <x:c r="D535" s="216"/>
      <x:c r="E535" s="216"/>
      <x:c r="F535" s="216"/>
      <x:c r="G535" s="216"/>
      <x:c r="H535" s="216"/>
      <x:c r="I535" s="216"/>
      <x:c r="J535" s="216"/>
      <x:c r="K535" s="216"/>
      <x:c r="L535" s="216"/>
      <x:c r="M535" s="216"/>
      <x:c r="N535" s="216"/>
      <x:c r="O535" s="216"/>
      <x:c r="P535" s="216"/>
      <x:c r="Q535" s="216"/>
      <x:c r="R535" s="216"/>
      <x:c r="S535" s="216"/>
      <x:c r="T535" s="216"/>
      <x:c r="U535" s="216"/>
      <x:c r="V535" s="216"/>
      <x:c r="W535" s="216"/>
      <x:c r="X535" s="216"/>
      <x:c r="Y535" s="216"/>
      <x:c r="Z535" s="216"/>
    </x:row>
    <x:row r="536">
      <x:c r="A536" s="216"/>
      <x:c r="B536" s="216"/>
      <x:c r="C536" s="216"/>
      <x:c r="D536" s="216"/>
      <x:c r="E536" s="216"/>
      <x:c r="F536" s="216"/>
      <x:c r="G536" s="216"/>
      <x:c r="H536" s="216"/>
      <x:c r="I536" s="216"/>
      <x:c r="J536" s="216"/>
      <x:c r="K536" s="216"/>
      <x:c r="L536" s="216"/>
      <x:c r="M536" s="216"/>
      <x:c r="N536" s="216"/>
      <x:c r="O536" s="216"/>
      <x:c r="P536" s="216"/>
      <x:c r="Q536" s="216"/>
      <x:c r="R536" s="216"/>
      <x:c r="S536" s="216"/>
      <x:c r="T536" s="216"/>
      <x:c r="U536" s="216"/>
      <x:c r="V536" s="216"/>
      <x:c r="W536" s="216"/>
      <x:c r="X536" s="216"/>
      <x:c r="Y536" s="216"/>
      <x:c r="Z536" s="216"/>
    </x:row>
    <x:row r="537">
      <x:c r="A537" s="216"/>
      <x:c r="B537" s="216"/>
      <x:c r="C537" s="216"/>
      <x:c r="D537" s="216"/>
      <x:c r="E537" s="216"/>
      <x:c r="F537" s="216"/>
      <x:c r="G537" s="216"/>
      <x:c r="H537" s="216"/>
      <x:c r="I537" s="216"/>
      <x:c r="J537" s="216"/>
      <x:c r="K537" s="216"/>
      <x:c r="L537" s="216"/>
      <x:c r="M537" s="216"/>
      <x:c r="N537" s="216"/>
      <x:c r="O537" s="216"/>
      <x:c r="P537" s="216"/>
      <x:c r="Q537" s="216"/>
      <x:c r="R537" s="216"/>
      <x:c r="S537" s="216"/>
      <x:c r="T537" s="216"/>
      <x:c r="U537" s="216"/>
      <x:c r="V537" s="216"/>
      <x:c r="W537" s="216"/>
      <x:c r="X537" s="216"/>
      <x:c r="Y537" s="216"/>
      <x:c r="Z537" s="216"/>
    </x:row>
    <x:row r="538">
      <x:c r="A538" s="216"/>
      <x:c r="B538" s="216"/>
      <x:c r="C538" s="216"/>
      <x:c r="D538" s="216"/>
      <x:c r="E538" s="216"/>
      <x:c r="F538" s="216"/>
      <x:c r="G538" s="216"/>
      <x:c r="H538" s="216"/>
      <x:c r="I538" s="216"/>
      <x:c r="J538" s="216"/>
      <x:c r="K538" s="216"/>
      <x:c r="L538" s="216"/>
      <x:c r="M538" s="216"/>
      <x:c r="N538" s="216"/>
      <x:c r="O538" s="216"/>
      <x:c r="P538" s="216"/>
      <x:c r="Q538" s="216"/>
      <x:c r="R538" s="216"/>
      <x:c r="S538" s="216"/>
      <x:c r="T538" s="216"/>
      <x:c r="U538" s="216"/>
      <x:c r="V538" s="216"/>
      <x:c r="W538" s="216"/>
      <x:c r="X538" s="216"/>
      <x:c r="Y538" s="216"/>
      <x:c r="Z538" s="216"/>
    </x:row>
    <x:row r="539">
      <x:c r="A539" s="216"/>
      <x:c r="B539" s="216"/>
      <x:c r="C539" s="216"/>
      <x:c r="D539" s="216"/>
      <x:c r="E539" s="216"/>
      <x:c r="F539" s="216"/>
      <x:c r="G539" s="216"/>
      <x:c r="H539" s="216"/>
      <x:c r="I539" s="216"/>
      <x:c r="J539" s="216"/>
      <x:c r="K539" s="216"/>
      <x:c r="L539" s="216"/>
      <x:c r="M539" s="216"/>
      <x:c r="N539" s="216"/>
      <x:c r="O539" s="216"/>
      <x:c r="P539" s="216"/>
      <x:c r="Q539" s="216"/>
      <x:c r="R539" s="216"/>
      <x:c r="S539" s="216"/>
      <x:c r="T539" s="216"/>
      <x:c r="U539" s="216"/>
      <x:c r="V539" s="216"/>
      <x:c r="W539" s="216"/>
      <x:c r="X539" s="216"/>
      <x:c r="Y539" s="216"/>
      <x:c r="Z539" s="216"/>
    </x:row>
    <x:row r="540">
      <x:c r="A540" s="216"/>
      <x:c r="B540" s="216"/>
      <x:c r="C540" s="216"/>
      <x:c r="D540" s="216"/>
      <x:c r="E540" s="216"/>
      <x:c r="F540" s="216"/>
      <x:c r="G540" s="216"/>
      <x:c r="H540" s="216"/>
      <x:c r="I540" s="216"/>
      <x:c r="J540" s="216"/>
      <x:c r="K540" s="216"/>
      <x:c r="L540" s="216"/>
      <x:c r="M540" s="216"/>
      <x:c r="N540" s="216"/>
      <x:c r="O540" s="216"/>
      <x:c r="P540" s="216"/>
      <x:c r="Q540" s="216"/>
      <x:c r="R540" s="216"/>
      <x:c r="S540" s="216"/>
      <x:c r="T540" s="216"/>
      <x:c r="U540" s="216"/>
      <x:c r="V540" s="216"/>
      <x:c r="W540" s="216"/>
      <x:c r="X540" s="216"/>
      <x:c r="Y540" s="216"/>
      <x:c r="Z540" s="216"/>
    </x:row>
    <x:row r="541">
      <x:c r="A541" s="216"/>
      <x:c r="B541" s="216"/>
      <x:c r="C541" s="216"/>
      <x:c r="D541" s="216"/>
      <x:c r="E541" s="216"/>
      <x:c r="F541" s="216"/>
      <x:c r="G541" s="216"/>
      <x:c r="H541" s="216"/>
      <x:c r="I541" s="216"/>
      <x:c r="J541" s="216"/>
      <x:c r="K541" s="216"/>
      <x:c r="L541" s="216"/>
      <x:c r="M541" s="216"/>
      <x:c r="N541" s="216"/>
      <x:c r="O541" s="216"/>
      <x:c r="P541" s="216"/>
      <x:c r="Q541" s="216"/>
      <x:c r="R541" s="216"/>
      <x:c r="S541" s="216"/>
      <x:c r="T541" s="216"/>
      <x:c r="U541" s="216"/>
      <x:c r="V541" s="216"/>
      <x:c r="W541" s="216"/>
      <x:c r="X541" s="216"/>
      <x:c r="Y541" s="216"/>
      <x:c r="Z541" s="216"/>
    </x:row>
    <x:row r="542">
      <x:c r="A542" s="216"/>
      <x:c r="B542" s="216"/>
      <x:c r="C542" s="216"/>
      <x:c r="D542" s="216"/>
      <x:c r="E542" s="216"/>
      <x:c r="F542" s="216"/>
      <x:c r="G542" s="216"/>
      <x:c r="H542" s="216"/>
      <x:c r="I542" s="216"/>
      <x:c r="J542" s="216"/>
      <x:c r="K542" s="216"/>
      <x:c r="L542" s="216"/>
      <x:c r="M542" s="216"/>
      <x:c r="N542" s="216"/>
      <x:c r="O542" s="216"/>
      <x:c r="P542" s="216"/>
      <x:c r="Q542" s="216"/>
      <x:c r="R542" s="216"/>
      <x:c r="S542" s="216"/>
      <x:c r="T542" s="216"/>
      <x:c r="U542" s="216"/>
      <x:c r="V542" s="216"/>
      <x:c r="W542" s="216"/>
      <x:c r="X542" s="216"/>
      <x:c r="Y542" s="216"/>
      <x:c r="Z542" s="216"/>
    </x:row>
    <x:row r="543">
      <x:c r="A543" s="216"/>
      <x:c r="B543" s="216"/>
      <x:c r="C543" s="216"/>
      <x:c r="D543" s="216"/>
      <x:c r="E543" s="216"/>
      <x:c r="F543" s="216"/>
      <x:c r="G543" s="216"/>
      <x:c r="H543" s="216"/>
      <x:c r="I543" s="216"/>
      <x:c r="J543" s="216"/>
      <x:c r="K543" s="216"/>
      <x:c r="L543" s="216"/>
      <x:c r="M543" s="216"/>
      <x:c r="N543" s="216"/>
      <x:c r="O543" s="216"/>
      <x:c r="P543" s="216"/>
      <x:c r="Q543" s="216"/>
      <x:c r="R543" s="216"/>
      <x:c r="S543" s="216"/>
      <x:c r="T543" s="216"/>
      <x:c r="U543" s="216"/>
      <x:c r="V543" s="216"/>
      <x:c r="W543" s="216"/>
      <x:c r="X543" s="216"/>
      <x:c r="Y543" s="216"/>
      <x:c r="Z543" s="216"/>
    </x:row>
    <x:row r="544">
      <x:c r="A544" s="216"/>
      <x:c r="B544" s="216"/>
      <x:c r="C544" s="216"/>
      <x:c r="D544" s="216"/>
      <x:c r="E544" s="216"/>
      <x:c r="F544" s="216"/>
      <x:c r="G544" s="216"/>
      <x:c r="H544" s="216"/>
      <x:c r="I544" s="216"/>
      <x:c r="J544" s="216"/>
      <x:c r="K544" s="216"/>
      <x:c r="L544" s="216"/>
      <x:c r="M544" s="216"/>
      <x:c r="N544" s="216"/>
      <x:c r="O544" s="216"/>
      <x:c r="P544" s="216"/>
      <x:c r="Q544" s="216"/>
      <x:c r="R544" s="216"/>
      <x:c r="S544" s="216"/>
      <x:c r="T544" s="216"/>
      <x:c r="U544" s="216"/>
      <x:c r="V544" s="216"/>
      <x:c r="W544" s="216"/>
      <x:c r="X544" s="216"/>
      <x:c r="Y544" s="216"/>
      <x:c r="Z544" s="216"/>
    </x:row>
    <x:row r="545">
      <x:c r="A545" s="216"/>
      <x:c r="B545" s="216"/>
      <x:c r="C545" s="216"/>
      <x:c r="D545" s="216"/>
      <x:c r="E545" s="216"/>
      <x:c r="F545" s="216"/>
      <x:c r="G545" s="216"/>
      <x:c r="H545" s="216"/>
      <x:c r="I545" s="216"/>
      <x:c r="J545" s="216"/>
      <x:c r="K545" s="216"/>
      <x:c r="L545" s="216"/>
      <x:c r="M545" s="216"/>
      <x:c r="N545" s="216"/>
      <x:c r="O545" s="216"/>
      <x:c r="P545" s="216"/>
      <x:c r="Q545" s="216"/>
      <x:c r="R545" s="216"/>
      <x:c r="S545" s="216"/>
      <x:c r="T545" s="216"/>
      <x:c r="U545" s="216"/>
      <x:c r="V545" s="216"/>
      <x:c r="W545" s="216"/>
      <x:c r="X545" s="216"/>
      <x:c r="Y545" s="216"/>
      <x:c r="Z545" s="216"/>
    </x:row>
    <x:row r="546">
      <x:c r="A546" s="216"/>
      <x:c r="B546" s="216"/>
      <x:c r="C546" s="216"/>
      <x:c r="D546" s="216"/>
      <x:c r="E546" s="216"/>
      <x:c r="F546" s="216"/>
      <x:c r="G546" s="216"/>
      <x:c r="H546" s="216"/>
      <x:c r="I546" s="216"/>
      <x:c r="J546" s="216"/>
      <x:c r="K546" s="216"/>
      <x:c r="L546" s="216"/>
      <x:c r="M546" s="216"/>
      <x:c r="N546" s="216"/>
      <x:c r="O546" s="216"/>
      <x:c r="P546" s="216"/>
      <x:c r="Q546" s="216"/>
      <x:c r="R546" s="216"/>
      <x:c r="S546" s="216"/>
      <x:c r="T546" s="216"/>
      <x:c r="U546" s="216"/>
      <x:c r="V546" s="216"/>
      <x:c r="W546" s="216"/>
      <x:c r="X546" s="216"/>
      <x:c r="Y546" s="216"/>
      <x:c r="Z546" s="216"/>
    </x:row>
    <x:row r="547">
      <x:c r="A547" s="216"/>
      <x:c r="B547" s="216"/>
      <x:c r="C547" s="216"/>
      <x:c r="D547" s="216"/>
      <x:c r="E547" s="216"/>
      <x:c r="F547" s="216"/>
      <x:c r="G547" s="216"/>
      <x:c r="H547" s="216"/>
      <x:c r="I547" s="216"/>
      <x:c r="J547" s="216"/>
      <x:c r="K547" s="216"/>
      <x:c r="L547" s="216"/>
      <x:c r="M547" s="216"/>
      <x:c r="N547" s="216"/>
      <x:c r="O547" s="216"/>
      <x:c r="P547" s="216"/>
      <x:c r="Q547" s="216"/>
      <x:c r="R547" s="216"/>
      <x:c r="S547" s="216"/>
      <x:c r="T547" s="216"/>
      <x:c r="U547" s="216"/>
      <x:c r="V547" s="216"/>
      <x:c r="W547" s="216"/>
      <x:c r="X547" s="216"/>
      <x:c r="Y547" s="216"/>
      <x:c r="Z547" s="216"/>
    </x:row>
    <x:row r="548">
      <x:c r="A548" s="216"/>
      <x:c r="B548" s="216"/>
      <x:c r="C548" s="216"/>
      <x:c r="D548" s="216"/>
      <x:c r="E548" s="216"/>
      <x:c r="F548" s="216"/>
      <x:c r="G548" s="216"/>
      <x:c r="H548" s="216"/>
      <x:c r="I548" s="216"/>
      <x:c r="J548" s="216"/>
      <x:c r="K548" s="216"/>
      <x:c r="L548" s="216"/>
      <x:c r="M548" s="216"/>
      <x:c r="N548" s="216"/>
      <x:c r="O548" s="216"/>
      <x:c r="P548" s="216"/>
      <x:c r="Q548" s="216"/>
      <x:c r="R548" s="216"/>
      <x:c r="S548" s="216"/>
      <x:c r="T548" s="216"/>
      <x:c r="U548" s="216"/>
      <x:c r="V548" s="216"/>
      <x:c r="W548" s="216"/>
      <x:c r="X548" s="216"/>
      <x:c r="Y548" s="216"/>
      <x:c r="Z548" s="216"/>
    </x:row>
    <x:row r="549">
      <x:c r="A549" s="216"/>
      <x:c r="B549" s="216"/>
      <x:c r="C549" s="216"/>
      <x:c r="D549" s="216"/>
      <x:c r="E549" s="216"/>
      <x:c r="F549" s="216"/>
      <x:c r="G549" s="216"/>
      <x:c r="H549" s="216"/>
      <x:c r="I549" s="216"/>
      <x:c r="J549" s="216"/>
      <x:c r="K549" s="216"/>
      <x:c r="L549" s="216"/>
      <x:c r="M549" s="216"/>
      <x:c r="N549" s="216"/>
      <x:c r="O549" s="216"/>
      <x:c r="P549" s="216"/>
      <x:c r="Q549" s="216"/>
      <x:c r="R549" s="216"/>
      <x:c r="S549" s="216"/>
      <x:c r="T549" s="216"/>
      <x:c r="U549" s="216"/>
      <x:c r="V549" s="216"/>
      <x:c r="W549" s="216"/>
      <x:c r="X549" s="216"/>
      <x:c r="Y549" s="216"/>
      <x:c r="Z549" s="216"/>
    </x:row>
    <x:row r="550">
      <x:c r="A550" s="216"/>
      <x:c r="B550" s="216"/>
      <x:c r="C550" s="216"/>
      <x:c r="D550" s="216"/>
      <x:c r="E550" s="216"/>
      <x:c r="F550" s="216"/>
      <x:c r="G550" s="216"/>
      <x:c r="H550" s="216"/>
      <x:c r="I550" s="216"/>
      <x:c r="J550" s="216"/>
      <x:c r="K550" s="216"/>
      <x:c r="L550" s="216"/>
      <x:c r="M550" s="216"/>
      <x:c r="N550" s="216"/>
      <x:c r="O550" s="216"/>
      <x:c r="P550" s="216"/>
      <x:c r="Q550" s="216"/>
      <x:c r="R550" s="216"/>
      <x:c r="S550" s="216"/>
      <x:c r="T550" s="216"/>
      <x:c r="U550" s="216"/>
      <x:c r="V550" s="216"/>
      <x:c r="W550" s="216"/>
      <x:c r="X550" s="216"/>
      <x:c r="Y550" s="216"/>
      <x:c r="Z550" s="216"/>
    </x:row>
    <x:row r="551">
      <x:c r="A551" s="216"/>
      <x:c r="B551" s="216"/>
      <x:c r="C551" s="216"/>
      <x:c r="D551" s="216"/>
      <x:c r="E551" s="216"/>
      <x:c r="F551" s="216"/>
      <x:c r="G551" s="216"/>
      <x:c r="H551" s="216"/>
      <x:c r="I551" s="216"/>
      <x:c r="J551" s="216"/>
      <x:c r="K551" s="216"/>
      <x:c r="L551" s="216"/>
      <x:c r="M551" s="216"/>
      <x:c r="N551" s="216"/>
      <x:c r="O551" s="216"/>
      <x:c r="P551" s="216"/>
      <x:c r="Q551" s="216"/>
      <x:c r="R551" s="216"/>
      <x:c r="S551" s="216"/>
      <x:c r="T551" s="216"/>
      <x:c r="U551" s="216"/>
      <x:c r="V551" s="216"/>
      <x:c r="W551" s="216"/>
      <x:c r="X551" s="216"/>
      <x:c r="Y551" s="216"/>
      <x:c r="Z551" s="216"/>
    </x:row>
    <x:row r="552">
      <x:c r="A552" s="216"/>
      <x:c r="B552" s="216"/>
      <x:c r="C552" s="216"/>
      <x:c r="D552" s="216"/>
      <x:c r="E552" s="216"/>
      <x:c r="F552" s="216"/>
      <x:c r="G552" s="216"/>
      <x:c r="H552" s="216"/>
      <x:c r="I552" s="216"/>
      <x:c r="J552" s="216"/>
      <x:c r="K552" s="216"/>
      <x:c r="L552" s="216"/>
      <x:c r="M552" s="216"/>
      <x:c r="N552" s="216"/>
      <x:c r="O552" s="216"/>
      <x:c r="P552" s="216"/>
      <x:c r="Q552" s="216"/>
      <x:c r="R552" s="216"/>
      <x:c r="S552" s="216"/>
      <x:c r="T552" s="216"/>
      <x:c r="U552" s="216"/>
      <x:c r="V552" s="216"/>
      <x:c r="W552" s="216"/>
      <x:c r="X552" s="216"/>
      <x:c r="Y552" s="216"/>
      <x:c r="Z552" s="216"/>
    </x:row>
    <x:row r="553">
      <x:c r="A553" s="216"/>
      <x:c r="B553" s="216"/>
      <x:c r="C553" s="216"/>
      <x:c r="D553" s="216"/>
      <x:c r="E553" s="216"/>
      <x:c r="F553" s="216"/>
      <x:c r="G553" s="216"/>
      <x:c r="H553" s="216"/>
      <x:c r="I553" s="216"/>
      <x:c r="J553" s="216"/>
      <x:c r="K553" s="216"/>
      <x:c r="L553" s="216"/>
      <x:c r="M553" s="216"/>
      <x:c r="N553" s="216"/>
      <x:c r="O553" s="216"/>
      <x:c r="P553" s="216"/>
      <x:c r="Q553" s="216"/>
      <x:c r="R553" s="216"/>
      <x:c r="S553" s="216"/>
      <x:c r="T553" s="216"/>
      <x:c r="U553" s="216"/>
      <x:c r="V553" s="216"/>
      <x:c r="W553" s="216"/>
      <x:c r="X553" s="216"/>
      <x:c r="Y553" s="216"/>
      <x:c r="Z553" s="216"/>
    </x:row>
    <x:row r="554">
      <x:c r="A554" s="216"/>
      <x:c r="B554" s="216"/>
      <x:c r="C554" s="216"/>
      <x:c r="D554" s="216"/>
      <x:c r="E554" s="216"/>
      <x:c r="F554" s="216"/>
      <x:c r="G554" s="216"/>
      <x:c r="H554" s="216"/>
      <x:c r="I554" s="216"/>
      <x:c r="J554" s="216"/>
      <x:c r="K554" s="216"/>
      <x:c r="L554" s="216"/>
      <x:c r="M554" s="216"/>
      <x:c r="N554" s="216"/>
      <x:c r="O554" s="216"/>
      <x:c r="P554" s="216"/>
      <x:c r="Q554" s="216"/>
      <x:c r="R554" s="216"/>
      <x:c r="S554" s="216"/>
      <x:c r="T554" s="216"/>
      <x:c r="U554" s="216"/>
      <x:c r="V554" s="216"/>
      <x:c r="W554" s="216"/>
      <x:c r="X554" s="216"/>
      <x:c r="Y554" s="216"/>
      <x:c r="Z554" s="216"/>
    </x:row>
    <x:row r="555">
      <x:c r="A555" s="216"/>
      <x:c r="B555" s="216"/>
      <x:c r="C555" s="216"/>
      <x:c r="D555" s="216"/>
      <x:c r="E555" s="216"/>
      <x:c r="F555" s="216"/>
      <x:c r="G555" s="216"/>
      <x:c r="H555" s="216"/>
      <x:c r="I555" s="216"/>
      <x:c r="J555" s="216"/>
      <x:c r="K555" s="216"/>
      <x:c r="L555" s="216"/>
      <x:c r="M555" s="216"/>
      <x:c r="N555" s="216"/>
      <x:c r="O555" s="216"/>
      <x:c r="P555" s="216"/>
      <x:c r="Q555" s="216"/>
      <x:c r="R555" s="216"/>
      <x:c r="S555" s="216"/>
      <x:c r="T555" s="216"/>
      <x:c r="U555" s="216"/>
      <x:c r="V555" s="216"/>
      <x:c r="W555" s="216"/>
      <x:c r="X555" s="216"/>
      <x:c r="Y555" s="216"/>
      <x:c r="Z555" s="216"/>
    </x:row>
    <x:row r="556">
      <x:c r="A556" s="216"/>
      <x:c r="B556" s="216"/>
      <x:c r="C556" s="216"/>
      <x:c r="D556" s="216"/>
      <x:c r="E556" s="216"/>
      <x:c r="F556" s="216"/>
      <x:c r="G556" s="216"/>
      <x:c r="H556" s="216"/>
      <x:c r="I556" s="216"/>
      <x:c r="J556" s="216"/>
      <x:c r="K556" s="216"/>
      <x:c r="L556" s="216"/>
      <x:c r="M556" s="216"/>
      <x:c r="N556" s="216"/>
      <x:c r="O556" s="216"/>
      <x:c r="P556" s="216"/>
      <x:c r="Q556" s="216"/>
      <x:c r="R556" s="216"/>
      <x:c r="S556" s="216"/>
      <x:c r="T556" s="216"/>
      <x:c r="U556" s="216"/>
      <x:c r="V556" s="216"/>
      <x:c r="W556" s="216"/>
      <x:c r="X556" s="216"/>
      <x:c r="Y556" s="216"/>
      <x:c r="Z556" s="216"/>
    </x:row>
    <x:row r="557">
      <x:c r="A557" s="216"/>
      <x:c r="B557" s="216"/>
      <x:c r="C557" s="216"/>
      <x:c r="D557" s="216"/>
      <x:c r="E557" s="216"/>
      <x:c r="F557" s="216"/>
      <x:c r="G557" s="216"/>
      <x:c r="H557" s="216"/>
      <x:c r="I557" s="216"/>
      <x:c r="J557" s="216"/>
      <x:c r="K557" s="216"/>
      <x:c r="L557" s="216"/>
      <x:c r="M557" s="216"/>
      <x:c r="N557" s="216"/>
      <x:c r="O557" s="216"/>
      <x:c r="P557" s="216"/>
      <x:c r="Q557" s="216"/>
      <x:c r="R557" s="216"/>
      <x:c r="S557" s="216"/>
      <x:c r="T557" s="216"/>
      <x:c r="U557" s="216"/>
      <x:c r="V557" s="216"/>
      <x:c r="W557" s="216"/>
      <x:c r="X557" s="216"/>
      <x:c r="Y557" s="216"/>
      <x:c r="Z557" s="216"/>
    </x:row>
    <x:row r="558">
      <x:c r="A558" s="216"/>
      <x:c r="B558" s="216"/>
      <x:c r="C558" s="216"/>
      <x:c r="D558" s="216"/>
      <x:c r="E558" s="216"/>
      <x:c r="F558" s="216"/>
      <x:c r="G558" s="216"/>
      <x:c r="H558" s="216"/>
      <x:c r="I558" s="216"/>
      <x:c r="J558" s="216"/>
      <x:c r="K558" s="216"/>
      <x:c r="L558" s="216"/>
      <x:c r="M558" s="216"/>
      <x:c r="N558" s="216"/>
      <x:c r="O558" s="216"/>
      <x:c r="P558" s="216"/>
      <x:c r="Q558" s="216"/>
      <x:c r="R558" s="216"/>
      <x:c r="S558" s="216"/>
      <x:c r="T558" s="216"/>
      <x:c r="U558" s="216"/>
      <x:c r="V558" s="216"/>
      <x:c r="W558" s="216"/>
      <x:c r="X558" s="216"/>
      <x:c r="Y558" s="216"/>
      <x:c r="Z558" s="216"/>
    </x:row>
    <x:row r="559">
      <x:c r="A559" s="216"/>
      <x:c r="B559" s="216"/>
      <x:c r="C559" s="216"/>
      <x:c r="D559" s="216"/>
      <x:c r="E559" s="216"/>
      <x:c r="F559" s="216"/>
      <x:c r="G559" s="216"/>
      <x:c r="H559" s="216"/>
      <x:c r="I559" s="216"/>
      <x:c r="J559" s="216"/>
      <x:c r="K559" s="216"/>
      <x:c r="L559" s="216"/>
      <x:c r="M559" s="216"/>
      <x:c r="N559" s="216"/>
      <x:c r="O559" s="216"/>
      <x:c r="P559" s="216"/>
      <x:c r="Q559" s="216"/>
      <x:c r="R559" s="216"/>
      <x:c r="S559" s="216"/>
      <x:c r="T559" s="216"/>
      <x:c r="U559" s="216"/>
      <x:c r="V559" s="216"/>
      <x:c r="W559" s="216"/>
      <x:c r="X559" s="216"/>
      <x:c r="Y559" s="216"/>
      <x:c r="Z559" s="216"/>
    </x:row>
    <x:row r="560">
      <x:c r="A560" s="216"/>
      <x:c r="B560" s="216"/>
      <x:c r="C560" s="216"/>
      <x:c r="D560" s="216"/>
      <x:c r="E560" s="216"/>
      <x:c r="F560" s="216"/>
      <x:c r="G560" s="216"/>
      <x:c r="H560" s="216"/>
      <x:c r="I560" s="216"/>
      <x:c r="J560" s="216"/>
      <x:c r="K560" s="216"/>
      <x:c r="L560" s="216"/>
      <x:c r="M560" s="216"/>
      <x:c r="N560" s="216"/>
      <x:c r="O560" s="216"/>
      <x:c r="P560" s="216"/>
      <x:c r="Q560" s="216"/>
      <x:c r="R560" s="216"/>
      <x:c r="S560" s="216"/>
      <x:c r="T560" s="216"/>
      <x:c r="U560" s="216"/>
      <x:c r="V560" s="216"/>
      <x:c r="W560" s="216"/>
      <x:c r="X560" s="216"/>
      <x:c r="Y560" s="216"/>
      <x:c r="Z560" s="216"/>
    </x:row>
    <x:row r="561">
      <x:c r="A561" s="216"/>
      <x:c r="B561" s="216"/>
      <x:c r="C561" s="216"/>
      <x:c r="D561" s="216"/>
      <x:c r="E561" s="216"/>
      <x:c r="F561" s="216"/>
      <x:c r="G561" s="216"/>
      <x:c r="H561" s="216"/>
      <x:c r="I561" s="216"/>
      <x:c r="J561" s="216"/>
      <x:c r="K561" s="216"/>
      <x:c r="L561" s="216"/>
      <x:c r="M561" s="216"/>
      <x:c r="N561" s="216"/>
      <x:c r="O561" s="216"/>
      <x:c r="P561" s="216"/>
      <x:c r="Q561" s="216"/>
      <x:c r="R561" s="216"/>
      <x:c r="S561" s="216"/>
      <x:c r="T561" s="216"/>
      <x:c r="U561" s="216"/>
      <x:c r="V561" s="216"/>
      <x:c r="W561" s="216"/>
      <x:c r="X561" s="216"/>
      <x:c r="Y561" s="216"/>
      <x:c r="Z561" s="216"/>
    </x:row>
    <x:row r="562">
      <x:c r="A562" s="216"/>
      <x:c r="B562" s="216"/>
      <x:c r="C562" s="216"/>
      <x:c r="D562" s="216"/>
      <x:c r="E562" s="216"/>
      <x:c r="F562" s="216"/>
      <x:c r="G562" s="216"/>
      <x:c r="H562" s="216"/>
      <x:c r="I562" s="216"/>
      <x:c r="J562" s="216"/>
      <x:c r="K562" s="216"/>
      <x:c r="L562" s="216"/>
      <x:c r="M562" s="216"/>
      <x:c r="N562" s="216"/>
      <x:c r="O562" s="216"/>
      <x:c r="P562" s="216"/>
      <x:c r="Q562" s="216"/>
      <x:c r="R562" s="216"/>
      <x:c r="S562" s="216"/>
      <x:c r="T562" s="216"/>
      <x:c r="U562" s="216"/>
      <x:c r="V562" s="216"/>
      <x:c r="W562" s="216"/>
      <x:c r="X562" s="216"/>
      <x:c r="Y562" s="216"/>
      <x:c r="Z562" s="216"/>
    </x:row>
    <x:row r="563">
      <x:c r="A563" s="216"/>
      <x:c r="B563" s="216"/>
      <x:c r="C563" s="216"/>
      <x:c r="D563" s="216"/>
      <x:c r="E563" s="216"/>
      <x:c r="F563" s="216"/>
      <x:c r="G563" s="216"/>
      <x:c r="H563" s="216"/>
      <x:c r="I563" s="216"/>
      <x:c r="J563" s="216"/>
      <x:c r="K563" s="216"/>
      <x:c r="L563" s="216"/>
      <x:c r="M563" s="216"/>
      <x:c r="N563" s="216"/>
      <x:c r="O563" s="216"/>
      <x:c r="P563" s="216"/>
      <x:c r="Q563" s="216"/>
      <x:c r="R563" s="216"/>
      <x:c r="S563" s="216"/>
      <x:c r="T563" s="216"/>
      <x:c r="U563" s="216"/>
      <x:c r="V563" s="216"/>
      <x:c r="W563" s="216"/>
      <x:c r="X563" s="216"/>
      <x:c r="Y563" s="216"/>
      <x:c r="Z563" s="216"/>
    </x:row>
    <x:row r="564">
      <x:c r="A564" s="216"/>
      <x:c r="B564" s="216"/>
      <x:c r="C564" s="216"/>
      <x:c r="D564" s="216"/>
      <x:c r="E564" s="216"/>
      <x:c r="F564" s="216"/>
      <x:c r="G564" s="216"/>
      <x:c r="H564" s="216"/>
      <x:c r="I564" s="216"/>
      <x:c r="J564" s="216"/>
      <x:c r="K564" s="216"/>
      <x:c r="L564" s="216"/>
      <x:c r="M564" s="216"/>
      <x:c r="N564" s="216"/>
      <x:c r="O564" s="216"/>
      <x:c r="P564" s="216"/>
      <x:c r="Q564" s="216"/>
      <x:c r="R564" s="216"/>
      <x:c r="S564" s="216"/>
      <x:c r="T564" s="216"/>
      <x:c r="U564" s="216"/>
      <x:c r="V564" s="216"/>
      <x:c r="W564" s="216"/>
      <x:c r="X564" s="216"/>
      <x:c r="Y564" s="216"/>
      <x:c r="Z564" s="216"/>
    </x:row>
    <x:row r="565">
      <x:c r="A565" s="216"/>
      <x:c r="B565" s="216"/>
      <x:c r="C565" s="216"/>
      <x:c r="D565" s="216"/>
      <x:c r="E565" s="216"/>
      <x:c r="F565" s="216"/>
      <x:c r="G565" s="216"/>
      <x:c r="H565" s="216"/>
      <x:c r="I565" s="216"/>
      <x:c r="J565" s="216"/>
      <x:c r="K565" s="216"/>
      <x:c r="L565" s="216"/>
      <x:c r="M565" s="216"/>
      <x:c r="N565" s="216"/>
      <x:c r="O565" s="216"/>
      <x:c r="P565" s="216"/>
      <x:c r="Q565" s="216"/>
      <x:c r="R565" s="216"/>
      <x:c r="S565" s="216"/>
      <x:c r="T565" s="216"/>
      <x:c r="U565" s="216"/>
      <x:c r="V565" s="216"/>
      <x:c r="W565" s="216"/>
      <x:c r="X565" s="216"/>
      <x:c r="Y565" s="216"/>
      <x:c r="Z565" s="216"/>
    </x:row>
    <x:row r="566">
      <x:c r="A566" s="216"/>
      <x:c r="B566" s="216"/>
      <x:c r="C566" s="216"/>
      <x:c r="D566" s="216"/>
      <x:c r="E566" s="216"/>
      <x:c r="F566" s="216"/>
      <x:c r="G566" s="216"/>
      <x:c r="H566" s="216"/>
      <x:c r="I566" s="216"/>
      <x:c r="J566" s="216"/>
      <x:c r="K566" s="216"/>
      <x:c r="L566" s="216"/>
      <x:c r="M566" s="216"/>
      <x:c r="N566" s="216"/>
      <x:c r="O566" s="216"/>
      <x:c r="P566" s="216"/>
      <x:c r="Q566" s="216"/>
      <x:c r="R566" s="216"/>
      <x:c r="S566" s="216"/>
      <x:c r="T566" s="216"/>
      <x:c r="U566" s="216"/>
      <x:c r="V566" s="216"/>
      <x:c r="W566" s="216"/>
      <x:c r="X566" s="216"/>
      <x:c r="Y566" s="216"/>
      <x:c r="Z566" s="216"/>
    </x:row>
    <x:row r="567">
      <x:c r="A567" s="216"/>
      <x:c r="B567" s="216"/>
      <x:c r="C567" s="216"/>
      <x:c r="D567" s="216"/>
      <x:c r="E567" s="216"/>
      <x:c r="F567" s="216"/>
      <x:c r="G567" s="216"/>
      <x:c r="H567" s="216"/>
      <x:c r="I567" s="216"/>
      <x:c r="J567" s="216"/>
      <x:c r="K567" s="216"/>
      <x:c r="L567" s="216"/>
      <x:c r="M567" s="216"/>
      <x:c r="N567" s="216"/>
      <x:c r="O567" s="216"/>
      <x:c r="P567" s="216"/>
      <x:c r="Q567" s="216"/>
      <x:c r="R567" s="216"/>
      <x:c r="S567" s="216"/>
      <x:c r="T567" s="216"/>
      <x:c r="U567" s="216"/>
      <x:c r="V567" s="216"/>
      <x:c r="W567" s="216"/>
      <x:c r="X567" s="216"/>
      <x:c r="Y567" s="216"/>
      <x:c r="Z567" s="216"/>
    </x:row>
    <x:row r="568">
      <x:c r="A568" s="216"/>
      <x:c r="B568" s="216"/>
      <x:c r="C568" s="216"/>
      <x:c r="D568" s="216"/>
      <x:c r="E568" s="216"/>
      <x:c r="F568" s="216"/>
      <x:c r="G568" s="216"/>
      <x:c r="H568" s="216"/>
      <x:c r="I568" s="216"/>
      <x:c r="J568" s="216"/>
      <x:c r="K568" s="216"/>
      <x:c r="L568" s="216"/>
      <x:c r="M568" s="216"/>
      <x:c r="N568" s="216"/>
      <x:c r="O568" s="216"/>
      <x:c r="P568" s="216"/>
      <x:c r="Q568" s="216"/>
      <x:c r="R568" s="216"/>
      <x:c r="S568" s="216"/>
      <x:c r="T568" s="216"/>
      <x:c r="U568" s="216"/>
      <x:c r="V568" s="216"/>
      <x:c r="W568" s="216"/>
      <x:c r="X568" s="216"/>
      <x:c r="Y568" s="216"/>
      <x:c r="Z568" s="216"/>
    </x:row>
    <x:row r="569">
      <x:c r="A569" s="216"/>
      <x:c r="B569" s="216"/>
      <x:c r="C569" s="216"/>
      <x:c r="D569" s="216"/>
      <x:c r="E569" s="216"/>
      <x:c r="F569" s="216"/>
      <x:c r="G569" s="216"/>
      <x:c r="H569" s="216"/>
      <x:c r="I569" s="216"/>
      <x:c r="J569" s="216"/>
      <x:c r="K569" s="216"/>
      <x:c r="L569" s="216"/>
      <x:c r="M569" s="216"/>
      <x:c r="N569" s="216"/>
      <x:c r="O569" s="216"/>
      <x:c r="P569" s="216"/>
      <x:c r="Q569" s="216"/>
      <x:c r="R569" s="216"/>
      <x:c r="S569" s="216"/>
      <x:c r="T569" s="216"/>
      <x:c r="U569" s="216"/>
      <x:c r="V569" s="216"/>
      <x:c r="W569" s="216"/>
      <x:c r="X569" s="216"/>
      <x:c r="Y569" s="216"/>
      <x:c r="Z569" s="216"/>
    </x:row>
    <x:row r="570">
      <x:c r="A570" s="216"/>
      <x:c r="B570" s="216"/>
      <x:c r="C570" s="216"/>
      <x:c r="D570" s="216"/>
      <x:c r="E570" s="216"/>
      <x:c r="F570" s="216"/>
      <x:c r="G570" s="216"/>
      <x:c r="H570" s="216"/>
      <x:c r="I570" s="216"/>
      <x:c r="J570" s="216"/>
      <x:c r="K570" s="216"/>
      <x:c r="L570" s="216"/>
      <x:c r="M570" s="216"/>
      <x:c r="N570" s="216"/>
      <x:c r="O570" s="216"/>
      <x:c r="P570" s="216"/>
      <x:c r="Q570" s="216"/>
      <x:c r="R570" s="216"/>
      <x:c r="S570" s="216"/>
      <x:c r="T570" s="216"/>
      <x:c r="U570" s="216"/>
      <x:c r="V570" s="216"/>
      <x:c r="W570" s="216"/>
      <x:c r="X570" s="216"/>
      <x:c r="Y570" s="216"/>
      <x:c r="Z570" s="216"/>
    </x:row>
    <x:row r="571">
      <x:c r="A571" s="216"/>
      <x:c r="B571" s="216"/>
      <x:c r="C571" s="216"/>
      <x:c r="D571" s="216"/>
      <x:c r="E571" s="216"/>
      <x:c r="F571" s="216"/>
      <x:c r="G571" s="216"/>
      <x:c r="H571" s="216"/>
      <x:c r="I571" s="216"/>
      <x:c r="J571" s="216"/>
      <x:c r="K571" s="216"/>
      <x:c r="L571" s="216"/>
      <x:c r="M571" s="216"/>
      <x:c r="N571" s="216"/>
      <x:c r="O571" s="216"/>
      <x:c r="P571" s="216"/>
      <x:c r="Q571" s="216"/>
      <x:c r="R571" s="216"/>
      <x:c r="S571" s="216"/>
      <x:c r="T571" s="216"/>
      <x:c r="U571" s="216"/>
      <x:c r="V571" s="216"/>
      <x:c r="W571" s="216"/>
      <x:c r="X571" s="216"/>
      <x:c r="Y571" s="216"/>
      <x:c r="Z571" s="216"/>
    </x:row>
    <x:row r="572">
      <x:c r="A572" s="216"/>
      <x:c r="B572" s="216"/>
      <x:c r="C572" s="216"/>
      <x:c r="D572" s="216"/>
      <x:c r="E572" s="216"/>
      <x:c r="F572" s="216"/>
      <x:c r="G572" s="216"/>
      <x:c r="H572" s="216"/>
      <x:c r="I572" s="216"/>
      <x:c r="J572" s="216"/>
      <x:c r="K572" s="216"/>
      <x:c r="L572" s="216"/>
      <x:c r="M572" s="216"/>
      <x:c r="N572" s="216"/>
      <x:c r="O572" s="216"/>
      <x:c r="P572" s="216"/>
      <x:c r="Q572" s="216"/>
      <x:c r="R572" s="216"/>
      <x:c r="S572" s="216"/>
      <x:c r="T572" s="216"/>
      <x:c r="U572" s="216"/>
      <x:c r="V572" s="216"/>
      <x:c r="W572" s="216"/>
      <x:c r="X572" s="216"/>
      <x:c r="Y572" s="216"/>
      <x:c r="Z572" s="216"/>
    </x:row>
    <x:row r="573">
      <x:c r="A573" s="216"/>
      <x:c r="B573" s="216"/>
      <x:c r="C573" s="216"/>
      <x:c r="D573" s="216"/>
      <x:c r="E573" s="216"/>
      <x:c r="F573" s="216"/>
      <x:c r="G573" s="216"/>
      <x:c r="H573" s="216"/>
      <x:c r="I573" s="216"/>
      <x:c r="J573" s="216"/>
      <x:c r="K573" s="216"/>
      <x:c r="L573" s="216"/>
      <x:c r="M573" s="216"/>
      <x:c r="N573" s="216"/>
      <x:c r="O573" s="216"/>
      <x:c r="P573" s="216"/>
      <x:c r="Q573" s="216"/>
      <x:c r="R573" s="216"/>
      <x:c r="S573" s="216"/>
      <x:c r="T573" s="216"/>
      <x:c r="U573" s="216"/>
      <x:c r="V573" s="216"/>
      <x:c r="W573" s="216"/>
      <x:c r="X573" s="216"/>
      <x:c r="Y573" s="216"/>
      <x:c r="Z573" s="216"/>
    </x:row>
    <x:row r="574">
      <x:c r="A574" s="216"/>
      <x:c r="B574" s="216"/>
      <x:c r="C574" s="216"/>
      <x:c r="D574" s="216"/>
      <x:c r="E574" s="216"/>
      <x:c r="F574" s="216"/>
      <x:c r="G574" s="216"/>
      <x:c r="H574" s="216"/>
      <x:c r="I574" s="216"/>
      <x:c r="J574" s="216"/>
      <x:c r="K574" s="216"/>
      <x:c r="L574" s="216"/>
      <x:c r="M574" s="216"/>
      <x:c r="N574" s="216"/>
      <x:c r="O574" s="216"/>
      <x:c r="P574" s="216"/>
      <x:c r="Q574" s="216"/>
      <x:c r="R574" s="216"/>
      <x:c r="S574" s="216"/>
      <x:c r="T574" s="216"/>
      <x:c r="U574" s="216"/>
      <x:c r="V574" s="216"/>
      <x:c r="W574" s="216"/>
      <x:c r="X574" s="216"/>
      <x:c r="Y574" s="216"/>
      <x:c r="Z574" s="216"/>
    </x:row>
    <x:row r="575">
      <x:c r="A575" s="216"/>
      <x:c r="B575" s="216"/>
      <x:c r="C575" s="216"/>
      <x:c r="D575" s="216"/>
      <x:c r="E575" s="216"/>
      <x:c r="F575" s="216"/>
      <x:c r="G575" s="216"/>
      <x:c r="H575" s="216"/>
      <x:c r="I575" s="216"/>
      <x:c r="J575" s="216"/>
      <x:c r="K575" s="216"/>
      <x:c r="L575" s="216"/>
      <x:c r="M575" s="216"/>
      <x:c r="N575" s="216"/>
      <x:c r="O575" s="216"/>
      <x:c r="P575" s="216"/>
      <x:c r="Q575" s="216"/>
      <x:c r="R575" s="216"/>
      <x:c r="S575" s="216"/>
      <x:c r="T575" s="216"/>
      <x:c r="U575" s="216"/>
      <x:c r="V575" s="216"/>
      <x:c r="W575" s="216"/>
      <x:c r="X575" s="216"/>
      <x:c r="Y575" s="216"/>
      <x:c r="Z575" s="216"/>
    </x:row>
    <x:row r="576">
      <x:c r="A576" s="216"/>
      <x:c r="B576" s="216"/>
      <x:c r="C576" s="216"/>
      <x:c r="D576" s="216"/>
      <x:c r="E576" s="216"/>
      <x:c r="F576" s="216"/>
      <x:c r="G576" s="216"/>
      <x:c r="H576" s="216"/>
      <x:c r="I576" s="216"/>
      <x:c r="J576" s="216"/>
      <x:c r="K576" s="216"/>
      <x:c r="L576" s="216"/>
      <x:c r="M576" s="216"/>
      <x:c r="N576" s="216"/>
      <x:c r="O576" s="216"/>
      <x:c r="P576" s="216"/>
      <x:c r="Q576" s="216"/>
      <x:c r="R576" s="216"/>
      <x:c r="S576" s="216"/>
      <x:c r="T576" s="216"/>
      <x:c r="U576" s="216"/>
      <x:c r="V576" s="216"/>
      <x:c r="W576" s="216"/>
      <x:c r="X576" s="216"/>
      <x:c r="Y576" s="216"/>
      <x:c r="Z576" s="216"/>
    </x:row>
    <x:row r="577">
      <x:c r="A577" s="216"/>
      <x:c r="B577" s="216"/>
      <x:c r="C577" s="216"/>
      <x:c r="D577" s="216"/>
      <x:c r="E577" s="216"/>
      <x:c r="F577" s="216"/>
      <x:c r="G577" s="216"/>
      <x:c r="H577" s="216"/>
      <x:c r="I577" s="216"/>
      <x:c r="J577" s="216"/>
      <x:c r="K577" s="216"/>
      <x:c r="L577" s="216"/>
      <x:c r="M577" s="216"/>
      <x:c r="N577" s="216"/>
      <x:c r="O577" s="216"/>
      <x:c r="P577" s="216"/>
      <x:c r="Q577" s="216"/>
      <x:c r="R577" s="216"/>
      <x:c r="S577" s="216"/>
      <x:c r="T577" s="216"/>
      <x:c r="U577" s="216"/>
      <x:c r="V577" s="216"/>
      <x:c r="W577" s="216"/>
      <x:c r="X577" s="216"/>
      <x:c r="Y577" s="216"/>
      <x:c r="Z577" s="216"/>
    </x:row>
    <x:row r="578">
      <x:c r="A578" s="216"/>
      <x:c r="B578" s="216"/>
      <x:c r="C578" s="216"/>
      <x:c r="D578" s="216"/>
      <x:c r="E578" s="216"/>
      <x:c r="F578" s="216"/>
      <x:c r="G578" s="216"/>
      <x:c r="H578" s="216"/>
      <x:c r="I578" s="216"/>
      <x:c r="J578" s="216"/>
      <x:c r="K578" s="216"/>
      <x:c r="L578" s="216"/>
      <x:c r="M578" s="216"/>
      <x:c r="N578" s="216"/>
      <x:c r="O578" s="216"/>
      <x:c r="P578" s="216"/>
      <x:c r="Q578" s="216"/>
      <x:c r="R578" s="216"/>
      <x:c r="S578" s="216"/>
      <x:c r="T578" s="216"/>
      <x:c r="U578" s="216"/>
      <x:c r="V578" s="216"/>
      <x:c r="W578" s="216"/>
      <x:c r="X578" s="216"/>
      <x:c r="Y578" s="216"/>
      <x:c r="Z578" s="216"/>
    </x:row>
    <x:row r="579">
      <x:c r="A579" s="216"/>
      <x:c r="B579" s="216"/>
      <x:c r="C579" s="216"/>
      <x:c r="D579" s="216"/>
      <x:c r="E579" s="216"/>
      <x:c r="F579" s="216"/>
      <x:c r="G579" s="216"/>
      <x:c r="H579" s="216"/>
      <x:c r="I579" s="216"/>
      <x:c r="J579" s="216"/>
      <x:c r="K579" s="216"/>
      <x:c r="L579" s="216"/>
      <x:c r="M579" s="216"/>
      <x:c r="N579" s="216"/>
      <x:c r="O579" s="216"/>
      <x:c r="P579" s="216"/>
      <x:c r="Q579" s="216"/>
      <x:c r="R579" s="216"/>
      <x:c r="S579" s="216"/>
      <x:c r="T579" s="216"/>
      <x:c r="U579" s="216"/>
      <x:c r="V579" s="216"/>
      <x:c r="W579" s="216"/>
      <x:c r="X579" s="216"/>
      <x:c r="Y579" s="216"/>
      <x:c r="Z579" s="216"/>
    </x:row>
    <x:row r="580">
      <x:c r="A580" s="216"/>
      <x:c r="B580" s="216"/>
      <x:c r="C580" s="216"/>
      <x:c r="D580" s="216"/>
      <x:c r="E580" s="216"/>
      <x:c r="F580" s="216"/>
      <x:c r="G580" s="216"/>
      <x:c r="H580" s="216"/>
      <x:c r="I580" s="216"/>
      <x:c r="J580" s="216"/>
      <x:c r="K580" s="216"/>
      <x:c r="L580" s="216"/>
      <x:c r="M580" s="216"/>
      <x:c r="N580" s="216"/>
      <x:c r="O580" s="216"/>
      <x:c r="P580" s="216"/>
      <x:c r="Q580" s="216"/>
      <x:c r="R580" s="216"/>
      <x:c r="S580" s="216"/>
      <x:c r="T580" s="216"/>
      <x:c r="U580" s="216"/>
      <x:c r="V580" s="216"/>
      <x:c r="W580" s="216"/>
      <x:c r="X580" s="216"/>
      <x:c r="Y580" s="216"/>
      <x:c r="Z580" s="216"/>
    </x:row>
    <x:row r="581">
      <x:c r="A581" s="216"/>
      <x:c r="B581" s="216"/>
      <x:c r="C581" s="216"/>
      <x:c r="D581" s="216"/>
      <x:c r="E581" s="216"/>
      <x:c r="F581" s="216"/>
      <x:c r="G581" s="216"/>
      <x:c r="H581" s="216"/>
      <x:c r="I581" s="216"/>
      <x:c r="J581" s="216"/>
      <x:c r="K581" s="216"/>
      <x:c r="L581" s="216"/>
      <x:c r="M581" s="216"/>
      <x:c r="N581" s="216"/>
      <x:c r="O581" s="216"/>
      <x:c r="P581" s="216"/>
      <x:c r="Q581" s="216"/>
      <x:c r="R581" s="216"/>
      <x:c r="S581" s="216"/>
      <x:c r="T581" s="216"/>
      <x:c r="U581" s="216"/>
      <x:c r="V581" s="216"/>
      <x:c r="W581" s="216"/>
      <x:c r="X581" s="216"/>
      <x:c r="Y581" s="216"/>
      <x:c r="Z581" s="216"/>
    </x:row>
    <x:row r="582">
      <x:c r="A582" s="216"/>
      <x:c r="B582" s="216"/>
      <x:c r="C582" s="216"/>
      <x:c r="D582" s="216"/>
      <x:c r="E582" s="216"/>
      <x:c r="F582" s="216"/>
      <x:c r="G582" s="216"/>
      <x:c r="H582" s="216"/>
      <x:c r="I582" s="216"/>
      <x:c r="J582" s="216"/>
      <x:c r="K582" s="216"/>
      <x:c r="L582" s="216"/>
      <x:c r="M582" s="216"/>
      <x:c r="N582" s="216"/>
      <x:c r="O582" s="216"/>
      <x:c r="P582" s="216"/>
      <x:c r="Q582" s="216"/>
      <x:c r="R582" s="216"/>
      <x:c r="S582" s="216"/>
      <x:c r="T582" s="216"/>
      <x:c r="U582" s="216"/>
      <x:c r="V582" s="216"/>
      <x:c r="W582" s="216"/>
      <x:c r="X582" s="216"/>
      <x:c r="Y582" s="216"/>
      <x:c r="Z582" s="216"/>
    </x:row>
    <x:row r="583">
      <x:c r="A583" s="216"/>
      <x:c r="B583" s="216"/>
      <x:c r="C583" s="216"/>
      <x:c r="D583" s="216"/>
      <x:c r="E583" s="216"/>
      <x:c r="F583" s="216"/>
      <x:c r="G583" s="216"/>
      <x:c r="H583" s="216"/>
      <x:c r="I583" s="216"/>
      <x:c r="J583" s="216"/>
      <x:c r="K583" s="216"/>
      <x:c r="L583" s="216"/>
      <x:c r="M583" s="216"/>
      <x:c r="N583" s="216"/>
      <x:c r="O583" s="216"/>
      <x:c r="P583" s="216"/>
      <x:c r="Q583" s="216"/>
      <x:c r="R583" s="216"/>
      <x:c r="S583" s="216"/>
      <x:c r="T583" s="216"/>
      <x:c r="U583" s="216"/>
      <x:c r="V583" s="216"/>
      <x:c r="W583" s="216"/>
      <x:c r="X583" s="216"/>
      <x:c r="Y583" s="216"/>
      <x:c r="Z583" s="216"/>
    </x:row>
    <x:row r="584">
      <x:c r="A584" s="216"/>
      <x:c r="B584" s="216"/>
      <x:c r="C584" s="216"/>
      <x:c r="D584" s="216"/>
      <x:c r="E584" s="216"/>
      <x:c r="F584" s="216"/>
      <x:c r="G584" s="216"/>
      <x:c r="H584" s="216"/>
      <x:c r="I584" s="216"/>
      <x:c r="J584" s="216"/>
      <x:c r="K584" s="216"/>
      <x:c r="L584" s="216"/>
      <x:c r="M584" s="216"/>
      <x:c r="N584" s="216"/>
      <x:c r="O584" s="216"/>
      <x:c r="P584" s="216"/>
      <x:c r="Q584" s="216"/>
      <x:c r="R584" s="216"/>
      <x:c r="S584" s="216"/>
      <x:c r="T584" s="216"/>
      <x:c r="U584" s="216"/>
      <x:c r="V584" s="216"/>
      <x:c r="W584" s="216"/>
      <x:c r="X584" s="216"/>
      <x:c r="Y584" s="216"/>
      <x:c r="Z584" s="216"/>
    </x:row>
    <x:row r="585">
      <x:c r="A585" s="216"/>
      <x:c r="B585" s="216"/>
      <x:c r="C585" s="216"/>
      <x:c r="D585" s="216"/>
      <x:c r="E585" s="216"/>
      <x:c r="F585" s="216"/>
      <x:c r="G585" s="216"/>
      <x:c r="H585" s="216"/>
      <x:c r="I585" s="216"/>
      <x:c r="J585" s="216"/>
      <x:c r="K585" s="216"/>
      <x:c r="L585" s="216"/>
      <x:c r="M585" s="216"/>
      <x:c r="N585" s="216"/>
      <x:c r="O585" s="216"/>
      <x:c r="P585" s="216"/>
      <x:c r="Q585" s="216"/>
      <x:c r="R585" s="216"/>
      <x:c r="S585" s="216"/>
      <x:c r="T585" s="216"/>
      <x:c r="U585" s="216"/>
      <x:c r="V585" s="216"/>
      <x:c r="W585" s="216"/>
      <x:c r="X585" s="216"/>
      <x:c r="Y585" s="216"/>
      <x:c r="Z585" s="216"/>
    </x:row>
    <x:row r="586">
      <x:c r="A586" s="216"/>
      <x:c r="B586" s="216"/>
      <x:c r="C586" s="216"/>
      <x:c r="D586" s="216"/>
      <x:c r="E586" s="216"/>
      <x:c r="F586" s="216"/>
      <x:c r="G586" s="216"/>
      <x:c r="H586" s="216"/>
      <x:c r="I586" s="216"/>
      <x:c r="J586" s="216"/>
      <x:c r="K586" s="216"/>
      <x:c r="L586" s="216"/>
      <x:c r="M586" s="216"/>
      <x:c r="N586" s="216"/>
      <x:c r="O586" s="216"/>
      <x:c r="P586" s="216"/>
      <x:c r="Q586" s="216"/>
      <x:c r="R586" s="216"/>
      <x:c r="S586" s="216"/>
      <x:c r="T586" s="216"/>
      <x:c r="U586" s="216"/>
      <x:c r="V586" s="216"/>
      <x:c r="W586" s="216"/>
      <x:c r="X586" s="216"/>
      <x:c r="Y586" s="216"/>
      <x:c r="Z586" s="216"/>
    </x:row>
    <x:row r="587">
      <x:c r="A587" s="216"/>
      <x:c r="B587" s="216"/>
      <x:c r="C587" s="216"/>
      <x:c r="D587" s="216"/>
      <x:c r="E587" s="216"/>
      <x:c r="F587" s="216"/>
      <x:c r="G587" s="216"/>
      <x:c r="H587" s="216"/>
      <x:c r="I587" s="216"/>
      <x:c r="J587" s="216"/>
      <x:c r="K587" s="216"/>
      <x:c r="L587" s="216"/>
      <x:c r="M587" s="216"/>
      <x:c r="N587" s="216"/>
      <x:c r="O587" s="216"/>
      <x:c r="P587" s="216"/>
      <x:c r="Q587" s="216"/>
      <x:c r="R587" s="216"/>
      <x:c r="S587" s="216"/>
      <x:c r="T587" s="216"/>
      <x:c r="U587" s="216"/>
      <x:c r="V587" s="216"/>
      <x:c r="W587" s="216"/>
      <x:c r="X587" s="216"/>
      <x:c r="Y587" s="216"/>
      <x:c r="Z587" s="216"/>
    </x:row>
    <x:row r="588">
      <x:c r="A588" s="216"/>
      <x:c r="B588" s="216"/>
      <x:c r="C588" s="216"/>
      <x:c r="D588" s="216"/>
      <x:c r="E588" s="216"/>
      <x:c r="F588" s="216"/>
      <x:c r="G588" s="216"/>
      <x:c r="H588" s="216"/>
      <x:c r="I588" s="216"/>
      <x:c r="J588" s="216"/>
      <x:c r="K588" s="216"/>
      <x:c r="L588" s="216"/>
      <x:c r="M588" s="216"/>
      <x:c r="N588" s="216"/>
      <x:c r="O588" s="216"/>
      <x:c r="P588" s="216"/>
      <x:c r="Q588" s="216"/>
      <x:c r="R588" s="216"/>
      <x:c r="S588" s="216"/>
      <x:c r="T588" s="216"/>
      <x:c r="U588" s="216"/>
      <x:c r="V588" s="216"/>
      <x:c r="W588" s="216"/>
      <x:c r="X588" s="216"/>
      <x:c r="Y588" s="216"/>
      <x:c r="Z588" s="216"/>
    </x:row>
    <x:row r="589">
      <x:c r="A589" s="216"/>
      <x:c r="B589" s="216"/>
      <x:c r="C589" s="216"/>
      <x:c r="D589" s="216"/>
      <x:c r="E589" s="216"/>
      <x:c r="F589" s="216"/>
      <x:c r="G589" s="216"/>
      <x:c r="H589" s="216"/>
      <x:c r="I589" s="216"/>
      <x:c r="J589" s="216"/>
      <x:c r="K589" s="216"/>
      <x:c r="L589" s="216"/>
      <x:c r="M589" s="216"/>
      <x:c r="N589" s="216"/>
      <x:c r="O589" s="216"/>
      <x:c r="P589" s="216"/>
      <x:c r="Q589" s="216"/>
      <x:c r="R589" s="216"/>
      <x:c r="S589" s="216"/>
      <x:c r="T589" s="216"/>
      <x:c r="U589" s="216"/>
      <x:c r="V589" s="216"/>
      <x:c r="W589" s="216"/>
      <x:c r="X589" s="216"/>
      <x:c r="Y589" s="216"/>
      <x:c r="Z589" s="216"/>
    </x:row>
    <x:row r="590">
      <x:c r="A590" s="216"/>
      <x:c r="B590" s="216"/>
      <x:c r="C590" s="216"/>
      <x:c r="D590" s="216"/>
      <x:c r="E590" s="216"/>
      <x:c r="F590" s="216"/>
      <x:c r="G590" s="216"/>
      <x:c r="H590" s="216"/>
      <x:c r="I590" s="216"/>
      <x:c r="J590" s="216"/>
      <x:c r="K590" s="216"/>
      <x:c r="L590" s="216"/>
      <x:c r="M590" s="216"/>
      <x:c r="N590" s="216"/>
      <x:c r="O590" s="216"/>
      <x:c r="P590" s="216"/>
      <x:c r="Q590" s="216"/>
      <x:c r="R590" s="216"/>
      <x:c r="S590" s="216"/>
      <x:c r="T590" s="216"/>
      <x:c r="U590" s="216"/>
      <x:c r="V590" s="216"/>
      <x:c r="W590" s="216"/>
      <x:c r="X590" s="216"/>
      <x:c r="Y590" s="216"/>
      <x:c r="Z590" s="216"/>
    </x:row>
    <x:row r="591">
      <x:c r="A591" s="216"/>
      <x:c r="B591" s="216"/>
      <x:c r="C591" s="216"/>
      <x:c r="D591" s="216"/>
      <x:c r="E591" s="216"/>
      <x:c r="F591" s="216"/>
      <x:c r="G591" s="216"/>
      <x:c r="H591" s="216"/>
      <x:c r="I591" s="216"/>
      <x:c r="J591" s="216"/>
      <x:c r="K591" s="216"/>
      <x:c r="L591" s="216"/>
      <x:c r="M591" s="216"/>
      <x:c r="N591" s="216"/>
      <x:c r="O591" s="216"/>
      <x:c r="P591" s="216"/>
      <x:c r="Q591" s="216"/>
      <x:c r="R591" s="216"/>
      <x:c r="S591" s="216"/>
      <x:c r="T591" s="216"/>
      <x:c r="U591" s="216"/>
      <x:c r="V591" s="216"/>
      <x:c r="W591" s="216"/>
      <x:c r="X591" s="216"/>
      <x:c r="Y591" s="216"/>
      <x:c r="Z591" s="216"/>
    </x:row>
    <x:row r="592">
      <x:c r="A592" s="216"/>
      <x:c r="B592" s="216"/>
      <x:c r="C592" s="216"/>
      <x:c r="D592" s="216"/>
      <x:c r="E592" s="216"/>
      <x:c r="F592" s="216"/>
      <x:c r="G592" s="216"/>
      <x:c r="H592" s="216"/>
      <x:c r="I592" s="216"/>
      <x:c r="J592" s="216"/>
      <x:c r="K592" s="216"/>
      <x:c r="L592" s="216"/>
      <x:c r="M592" s="216"/>
      <x:c r="N592" s="216"/>
      <x:c r="O592" s="216"/>
      <x:c r="P592" s="216"/>
      <x:c r="Q592" s="216"/>
      <x:c r="R592" s="216"/>
      <x:c r="S592" s="216"/>
      <x:c r="T592" s="216"/>
      <x:c r="U592" s="216"/>
      <x:c r="V592" s="216"/>
      <x:c r="W592" s="216"/>
      <x:c r="X592" s="216"/>
      <x:c r="Y592" s="216"/>
      <x:c r="Z592" s="216"/>
    </x:row>
    <x:row r="593">
      <x:c r="A593" s="216"/>
      <x:c r="B593" s="216"/>
      <x:c r="C593" s="216"/>
      <x:c r="D593" s="216"/>
      <x:c r="E593" s="216"/>
      <x:c r="F593" s="216"/>
      <x:c r="G593" s="216"/>
      <x:c r="H593" s="216"/>
      <x:c r="I593" s="216"/>
      <x:c r="J593" s="216"/>
      <x:c r="K593" s="216"/>
      <x:c r="L593" s="216"/>
      <x:c r="M593" s="216"/>
      <x:c r="N593" s="216"/>
      <x:c r="O593" s="216"/>
      <x:c r="P593" s="216"/>
      <x:c r="Q593" s="216"/>
      <x:c r="R593" s="216"/>
      <x:c r="S593" s="216"/>
      <x:c r="T593" s="216"/>
      <x:c r="U593" s="216"/>
      <x:c r="V593" s="216"/>
      <x:c r="W593" s="216"/>
      <x:c r="X593" s="216"/>
      <x:c r="Y593" s="216"/>
      <x:c r="Z593" s="216"/>
    </x:row>
    <x:row r="594">
      <x:c r="A594" s="216"/>
      <x:c r="B594" s="216"/>
      <x:c r="C594" s="216"/>
      <x:c r="D594" s="216"/>
      <x:c r="E594" s="216"/>
      <x:c r="F594" s="216"/>
      <x:c r="G594" s="216"/>
      <x:c r="H594" s="216"/>
      <x:c r="I594" s="216"/>
      <x:c r="J594" s="216"/>
      <x:c r="K594" s="216"/>
      <x:c r="L594" s="216"/>
      <x:c r="M594" s="216"/>
      <x:c r="N594" s="216"/>
      <x:c r="O594" s="216"/>
      <x:c r="P594" s="216"/>
      <x:c r="Q594" s="216"/>
      <x:c r="R594" s="216"/>
      <x:c r="S594" s="216"/>
      <x:c r="T594" s="216"/>
      <x:c r="U594" s="216"/>
      <x:c r="V594" s="216"/>
      <x:c r="W594" s="216"/>
      <x:c r="X594" s="216"/>
      <x:c r="Y594" s="216"/>
      <x:c r="Z594" s="216"/>
    </x:row>
    <x:row r="595">
      <x:c r="A595" s="216"/>
      <x:c r="B595" s="216"/>
      <x:c r="C595" s="216"/>
      <x:c r="D595" s="216"/>
      <x:c r="E595" s="216"/>
      <x:c r="F595" s="216"/>
      <x:c r="G595" s="216"/>
      <x:c r="H595" s="216"/>
      <x:c r="I595" s="216"/>
      <x:c r="J595" s="216"/>
      <x:c r="K595" s="216"/>
      <x:c r="L595" s="216"/>
      <x:c r="M595" s="216"/>
      <x:c r="N595" s="216"/>
      <x:c r="O595" s="216"/>
      <x:c r="P595" s="216"/>
      <x:c r="Q595" s="216"/>
      <x:c r="R595" s="216"/>
      <x:c r="S595" s="216"/>
      <x:c r="T595" s="216"/>
      <x:c r="U595" s="216"/>
      <x:c r="V595" s="216"/>
      <x:c r="W595" s="216"/>
      <x:c r="X595" s="216"/>
      <x:c r="Y595" s="216"/>
      <x:c r="Z595" s="216"/>
    </x:row>
    <x:row r="596">
      <x:c r="A596" s="216"/>
      <x:c r="B596" s="216"/>
      <x:c r="C596" s="216"/>
      <x:c r="D596" s="216"/>
      <x:c r="E596" s="216"/>
      <x:c r="F596" s="216"/>
      <x:c r="G596" s="216"/>
      <x:c r="H596" s="216"/>
      <x:c r="I596" s="216"/>
      <x:c r="J596" s="216"/>
      <x:c r="K596" s="216"/>
      <x:c r="L596" s="216"/>
      <x:c r="M596" s="216"/>
      <x:c r="N596" s="216"/>
      <x:c r="O596" s="216"/>
      <x:c r="P596" s="216"/>
      <x:c r="Q596" s="216"/>
      <x:c r="R596" s="216"/>
      <x:c r="S596" s="216"/>
      <x:c r="T596" s="216"/>
      <x:c r="U596" s="216"/>
      <x:c r="V596" s="216"/>
      <x:c r="W596" s="216"/>
      <x:c r="X596" s="216"/>
      <x:c r="Y596" s="216"/>
      <x:c r="Z596" s="216"/>
    </x:row>
    <x:row r="597">
      <x:c r="A597" s="216"/>
      <x:c r="B597" s="216"/>
      <x:c r="C597" s="216"/>
      <x:c r="D597" s="216"/>
      <x:c r="E597" s="216"/>
      <x:c r="F597" s="216"/>
      <x:c r="G597" s="216"/>
      <x:c r="H597" s="216"/>
      <x:c r="I597" s="216"/>
      <x:c r="J597" s="216"/>
      <x:c r="K597" s="216"/>
      <x:c r="L597" s="216"/>
      <x:c r="M597" s="216"/>
      <x:c r="N597" s="216"/>
      <x:c r="O597" s="216"/>
      <x:c r="P597" s="216"/>
      <x:c r="Q597" s="216"/>
      <x:c r="R597" s="216"/>
      <x:c r="S597" s="216"/>
      <x:c r="T597" s="216"/>
      <x:c r="U597" s="216"/>
      <x:c r="V597" s="216"/>
      <x:c r="W597" s="216"/>
      <x:c r="X597" s="216"/>
      <x:c r="Y597" s="216"/>
      <x:c r="Z597" s="216"/>
    </x:row>
    <x:row r="598">
      <x:c r="A598" s="216"/>
      <x:c r="B598" s="216"/>
      <x:c r="C598" s="216"/>
      <x:c r="D598" s="216"/>
      <x:c r="E598" s="216"/>
      <x:c r="F598" s="216"/>
      <x:c r="G598" s="216"/>
      <x:c r="H598" s="216"/>
      <x:c r="I598" s="216"/>
      <x:c r="J598" s="216"/>
      <x:c r="K598" s="216"/>
      <x:c r="L598" s="216"/>
      <x:c r="M598" s="216"/>
      <x:c r="N598" s="216"/>
      <x:c r="O598" s="216"/>
      <x:c r="P598" s="216"/>
      <x:c r="Q598" s="216"/>
      <x:c r="R598" s="216"/>
      <x:c r="S598" s="216"/>
      <x:c r="T598" s="216"/>
      <x:c r="U598" s="216"/>
      <x:c r="V598" s="216"/>
      <x:c r="W598" s="216"/>
      <x:c r="X598" s="216"/>
      <x:c r="Y598" s="216"/>
      <x:c r="Z598" s="216"/>
    </x:row>
    <x:row r="599">
      <x:c r="A599" s="216"/>
      <x:c r="B599" s="216"/>
      <x:c r="C599" s="216"/>
      <x:c r="D599" s="216"/>
      <x:c r="E599" s="216"/>
      <x:c r="F599" s="216"/>
      <x:c r="G599" s="216"/>
      <x:c r="H599" s="216"/>
      <x:c r="I599" s="216"/>
      <x:c r="J599" s="216"/>
      <x:c r="K599" s="216"/>
      <x:c r="L599" s="216"/>
      <x:c r="M599" s="216"/>
      <x:c r="N599" s="216"/>
      <x:c r="O599" s="216"/>
      <x:c r="P599" s="216"/>
      <x:c r="Q599" s="216"/>
      <x:c r="R599" s="216"/>
      <x:c r="S599" s="216"/>
      <x:c r="T599" s="216"/>
      <x:c r="U599" s="216"/>
      <x:c r="V599" s="216"/>
      <x:c r="W599" s="216"/>
      <x:c r="X599" s="216"/>
      <x:c r="Y599" s="216"/>
      <x:c r="Z599" s="216"/>
    </x:row>
    <x:row r="600">
      <x:c r="A600" s="216"/>
      <x:c r="B600" s="216"/>
      <x:c r="C600" s="216"/>
      <x:c r="D600" s="216"/>
      <x:c r="E600" s="216"/>
      <x:c r="F600" s="216"/>
      <x:c r="G600" s="216"/>
      <x:c r="H600" s="216"/>
      <x:c r="I600" s="216"/>
      <x:c r="J600" s="216"/>
      <x:c r="K600" s="216"/>
      <x:c r="L600" s="216"/>
      <x:c r="M600" s="216"/>
      <x:c r="N600" s="216"/>
      <x:c r="O600" s="216"/>
      <x:c r="P600" s="216"/>
      <x:c r="Q600" s="216"/>
      <x:c r="R600" s="216"/>
      <x:c r="S600" s="216"/>
      <x:c r="T600" s="216"/>
      <x:c r="U600" s="216"/>
      <x:c r="V600" s="216"/>
      <x:c r="W600" s="216"/>
      <x:c r="X600" s="216"/>
      <x:c r="Y600" s="216"/>
      <x:c r="Z600" s="216"/>
    </x:row>
  </x:sheetData>
  <x:mergeCells>
    <x:mergeCell ref="A1:J2"/>
    <x:mergeCell ref="A3:J3"/>
    <x:mergeCell ref="B5:E5"/>
    <x:mergeCell ref="D7:E7"/>
    <x:mergeCell ref="D8:E8"/>
    <x:mergeCell ref="D9:E9"/>
    <x:mergeCell ref="D10:E10"/>
    <x:mergeCell ref="G5:I5"/>
    <x:mergeCell ref="B14:I14"/>
    <x:mergeCell ref="B16:I18"/>
    <x:mergeCell ref="B20:I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 hidden="0" customWidth="1"/>
    <x:col min="2" max="2" width="29" hidden="0" customWidth="1"/>
    <x:col min="3" max="3" width="18" hidden="0" customWidth="1"/>
    <x:col min="4" max="4" width="4" hidden="0" customWidth="1"/>
    <x:col min="5" max="5" width="23" hidden="0" customWidth="1"/>
    <x:col min="6" max="6" width="18" hidden="0" customWidth="1"/>
    <x:col min="7" max="7" width="4" hidden="0" customWidth="1"/>
    <x:col min="8" max="8" width="23" hidden="0" customWidth="1"/>
    <x:col min="9" max="9" width="18" hidden="0" customWidth="1"/>
  </x:cols>
  <x:sheetData>
    <x:row r="1">
      <x:c r="A1" s="215" t="str">
        <x:v>Your mortgage</x:v>
      </x:c>
      <x:c r="B1" s="215"/>
      <x:c r="C1" s="215"/>
      <x:c r="D1" s="215"/>
      <x:c r="E1" s="215"/>
      <x:c r="F1" s="215"/>
      <x:c r="G1" s="215"/>
      <x:c r="H1" s="215"/>
      <x:c r="I1" s="215"/>
      <x:c r="J1" s="216"/>
      <x:c r="K1" s="216"/>
      <x:c r="L1" s="216"/>
      <x:c r="M1" s="216"/>
      <x:c r="N1" s="216"/>
      <x:c r="O1" s="216"/>
      <x:c r="P1" s="216"/>
      <x:c r="Q1" s="216"/>
      <x:c r="R1" s="216"/>
      <x:c r="S1" s="216"/>
      <x:c r="T1" s="216"/>
      <x:c r="U1" s="216"/>
      <x:c r="V1" s="216"/>
      <x:c r="W1" s="216"/>
      <x:c r="X1" s="216"/>
      <x:c r="Y1" s="216"/>
      <x:c r="Z1" s="216"/>
    </x:row>
    <x:row r="2">
      <x:c r="A2" s="215"/>
      <x:c r="B2" s="215"/>
      <x:c r="C2" s="215"/>
      <x:c r="D2" s="215"/>
      <x:c r="E2" s="215"/>
      <x:c r="F2" s="215"/>
      <x:c r="G2" s="215"/>
      <x:c r="H2" s="215"/>
      <x:c r="I2" s="215"/>
      <x:c r="J2" s="216"/>
      <x:c r="K2" s="216"/>
      <x:c r="L2" s="216"/>
      <x:c r="M2" s="216"/>
      <x:c r="N2" s="216"/>
      <x:c r="O2" s="216"/>
      <x:c r="P2" s="216"/>
      <x:c r="Q2" s="216"/>
      <x:c r="R2" s="216"/>
      <x:c r="S2" s="216"/>
      <x:c r="T2" s="216"/>
      <x:c r="U2" s="216"/>
      <x:c r="V2" s="216"/>
      <x:c r="W2" s="216"/>
      <x:c r="X2" s="216"/>
      <x:c r="Y2" s="216"/>
      <x:c r="Z2" s="216"/>
    </x:row>
    <x:row r="3">
      <x:c r="A3" s="217" t="str">
        <x:v>Replace only the blue cells. All dollar amounts are in USD.</x:v>
      </x:c>
      <x:c r="B3" s="217"/>
      <x:c r="C3" s="217"/>
      <x:c r="D3" s="217"/>
      <x:c r="E3" s="217"/>
      <x:c r="F3" s="217"/>
      <x:c r="G3" s="217"/>
      <x:c r="H3" s="217"/>
      <x:c r="I3" s="217"/>
      <x:c r="J3" s="216"/>
      <x:c r="K3" s="216"/>
      <x:c r="L3" s="216"/>
      <x:c r="M3" s="216"/>
      <x:c r="N3" s="216"/>
      <x:c r="O3" s="216"/>
      <x:c r="P3" s="216"/>
      <x:c r="Q3" s="216"/>
      <x:c r="R3" s="216"/>
      <x:c r="S3" s="216"/>
      <x:c r="T3" s="216"/>
      <x:c r="U3" s="216"/>
      <x:c r="V3" s="216"/>
      <x:c r="W3" s="216"/>
      <x:c r="X3" s="216"/>
      <x:c r="Y3" s="216"/>
      <x:c r="Z3" s="216"/>
    </x:row>
    <x:row r="4">
      <x:c r="A4" s="216"/>
      <x:c r="B4" s="216"/>
      <x:c r="C4" s="216"/>
      <x:c r="D4" s="216"/>
      <x:c r="E4" s="216"/>
      <x:c r="F4" s="216"/>
      <x:c r="G4" s="216"/>
      <x:c r="H4" s="216"/>
      <x:c r="I4" s="216"/>
      <x:c r="J4" s="216"/>
      <x:c r="K4" s="216"/>
      <x:c r="L4" s="216"/>
      <x:c r="M4" s="216"/>
      <x:c r="N4" s="216"/>
      <x:c r="O4" s="216"/>
      <x:c r="P4" s="216"/>
      <x:c r="Q4" s="216"/>
      <x:c r="R4" s="216"/>
      <x:c r="S4" s="216"/>
      <x:c r="T4" s="216"/>
      <x:c r="U4" s="216"/>
      <x:c r="V4" s="216"/>
      <x:c r="W4" s="216"/>
      <x:c r="X4" s="216"/>
      <x:c r="Y4" s="216"/>
      <x:c r="Z4" s="216"/>
    </x:row>
    <x:row r="5">
      <x:c r="A5" s="216"/>
      <x:c r="B5" s="218" t="str">
        <x:v>Loan setup</x:v>
      </x:c>
      <x:c r="C5" s="218"/>
      <x:c r="D5" s="216"/>
      <x:c r="E5" s="232" t="str">
        <x:v>Strategy A · steady + lump sum</x:v>
      </x:c>
      <x:c r="F5" s="232"/>
      <x:c r="G5" s="216"/>
      <x:c r="H5" s="233" t="str">
        <x:v>Strategy B · accelerated monthly</x:v>
      </x:c>
      <x:c r="I5" s="233"/>
      <x:c r="J5" s="216"/>
      <x:c r="K5" s="216"/>
      <x:c r="L5" s="216"/>
      <x:c r="M5" s="216"/>
      <x:c r="N5" s="216"/>
      <x:c r="O5" s="216"/>
      <x:c r="P5" s="216"/>
      <x:c r="Q5" s="216"/>
      <x:c r="R5" s="216"/>
      <x:c r="S5" s="216"/>
      <x:c r="T5" s="216"/>
      <x:c r="U5" s="216"/>
      <x:c r="V5" s="216"/>
      <x:c r="W5" s="216"/>
      <x:c r="X5" s="216"/>
      <x:c r="Y5" s="216"/>
      <x:c r="Z5" s="216"/>
    </x:row>
    <x:row r="6">
      <x:c r="A6" s="216"/>
      <x:c r="B6" s="234" t="str">
        <x:v>Current principal balance</x:v>
      </x:c>
      <x:c r="C6" s="235" t="n">
        <x:v>325000</x:v>
      </x:c>
      <x:c r="D6" s="216"/>
      <x:c r="E6" s="180" t="str">
        <x:v>Monthly extra payment</x:v>
      </x:c>
      <x:c r="F6" s="235" t="n">
        <x:v>250</x:v>
      </x:c>
      <x:c r="G6" s="216"/>
      <x:c r="H6" s="180" t="str">
        <x:v>Monthly extra payment</x:v>
      </x:c>
      <x:c r="I6" s="235" t="n">
        <x:v>500</x:v>
      </x:c>
      <x:c r="J6" s="216"/>
      <x:c r="K6" s="216"/>
      <x:c r="L6" s="216"/>
      <x:c r="M6" s="216"/>
      <x:c r="N6" s="216"/>
      <x:c r="O6" s="216"/>
      <x:c r="P6" s="216"/>
      <x:c r="Q6" s="216"/>
      <x:c r="R6" s="216"/>
      <x:c r="S6" s="216"/>
      <x:c r="T6" s="216"/>
      <x:c r="U6" s="216"/>
      <x:c r="V6" s="216"/>
      <x:c r="W6" s="216"/>
      <x:c r="X6" s="216"/>
      <x:c r="Y6" s="216"/>
      <x:c r="Z6" s="216"/>
    </x:row>
    <x:row r="7">
      <x:c r="A7" s="216"/>
      <x:c r="B7" s="234" t="str">
        <x:v>Annual interest rate</x:v>
      </x:c>
      <x:c r="C7" s="236" t="n">
        <x:v>0.065</x:v>
      </x:c>
      <x:c r="D7" s="216"/>
      <x:c r="E7" s="180" t="str">
        <x:v>One-time extra payment</x:v>
      </x:c>
      <x:c r="F7" s="235" t="n">
        <x:v>5000</x:v>
      </x:c>
      <x:c r="G7" s="216"/>
      <x:c r="H7" s="180" t="str">
        <x:v>One-time extra payment</x:v>
      </x:c>
      <x:c r="I7" s="235" t="n">
        <x:v>0</x:v>
      </x:c>
      <x:c r="J7" s="216"/>
      <x:c r="K7" s="216"/>
      <x:c r="L7" s="216"/>
      <x:c r="M7" s="216"/>
      <x:c r="N7" s="216"/>
      <x:c r="O7" s="216"/>
      <x:c r="P7" s="216"/>
      <x:c r="Q7" s="216"/>
      <x:c r="R7" s="216"/>
      <x:c r="S7" s="216"/>
      <x:c r="T7" s="216"/>
      <x:c r="U7" s="216"/>
      <x:c r="V7" s="216"/>
      <x:c r="W7" s="216"/>
      <x:c r="X7" s="216"/>
      <x:c r="Y7" s="216"/>
      <x:c r="Z7" s="216"/>
    </x:row>
    <x:row r="8">
      <x:c r="A8" s="216"/>
      <x:c r="B8" s="234" t="str">
        <x:v>Remaining term (years)</x:v>
      </x:c>
      <x:c r="C8" s="237" t="n">
        <x:v>30</x:v>
      </x:c>
      <x:c r="D8" s="216"/>
      <x:c r="E8" s="180" t="str">
        <x:v>Apply lump sum at payment #</x:v>
      </x:c>
      <x:c r="F8" s="237" t="n">
        <x:v>12</x:v>
      </x:c>
      <x:c r="G8" s="216"/>
      <x:c r="H8" s="180" t="str">
        <x:v>Apply lump sum at payment #</x:v>
      </x:c>
      <x:c r="I8" s="237" t="n">
        <x:v>12</x:v>
      </x:c>
      <x:c r="J8" s="216"/>
      <x:c r="K8" s="216"/>
      <x:c r="L8" s="216"/>
      <x:c r="M8" s="216"/>
      <x:c r="N8" s="216"/>
      <x:c r="O8" s="216"/>
      <x:c r="P8" s="216"/>
      <x:c r="Q8" s="216"/>
      <x:c r="R8" s="216"/>
      <x:c r="S8" s="216"/>
      <x:c r="T8" s="216"/>
      <x:c r="U8" s="216"/>
      <x:c r="V8" s="216"/>
      <x:c r="W8" s="216"/>
      <x:c r="X8" s="216"/>
      <x:c r="Y8" s="216"/>
      <x:c r="Z8" s="216"/>
    </x:row>
    <x:row r="9">
      <x:c r="A9" s="216"/>
      <x:c r="B9" s="234" t="str">
        <x:v>First payment date</x:v>
      </x:c>
      <x:c r="C9" s="238" t="n">
        <x:v>46235</x:v>
      </x:c>
      <x:c r="D9" s="216"/>
      <x:c r="E9" s="180" t="str">
        <x:v>Strategy name</x:v>
      </x:c>
      <x:c r="F9" s="239" t="str">
        <x:v>Steady + lump sum</x:v>
      </x:c>
      <x:c r="G9" s="216"/>
      <x:c r="H9" s="180" t="str">
        <x:v>Strategy name</x:v>
      </x:c>
      <x:c r="I9" s="239" t="str">
        <x:v>Accelerated monthly</x:v>
      </x:c>
      <x:c r="J9" s="216"/>
      <x:c r="K9" s="216"/>
      <x:c r="L9" s="216"/>
      <x:c r="M9" s="216"/>
      <x:c r="N9" s="216"/>
      <x:c r="O9" s="216"/>
      <x:c r="P9" s="216"/>
      <x:c r="Q9" s="216"/>
      <x:c r="R9" s="216"/>
      <x:c r="S9" s="216"/>
      <x:c r="T9" s="216"/>
      <x:c r="U9" s="216"/>
      <x:c r="V9" s="216"/>
      <x:c r="W9" s="216"/>
      <x:c r="X9" s="216"/>
      <x:c r="Y9" s="216"/>
      <x:c r="Z9" s="216"/>
    </x:row>
    <x:row r="10">
      <x:c r="A10" s="216"/>
      <x:c r="B10" s="234" t="str"/>
      <x:c r="C10" s="180" t="str"/>
      <x:c r="D10" s="216"/>
      <x:c r="E10" s="180" t="str">
        <x:v>INPUT cells</x:v>
      </x:c>
      <x:c r="F10" s="180" t="str">
        <x:v>Blue text</x:v>
      </x:c>
      <x:c r="G10" s="216"/>
      <x:c r="H10" s="180" t="str">
        <x:v>INPUT cells</x:v>
      </x:c>
      <x:c r="I10" s="180" t="str">
        <x:v>Blue text</x:v>
      </x:c>
      <x:c r="J10" s="216"/>
      <x:c r="K10" s="216"/>
      <x:c r="L10" s="216"/>
      <x:c r="M10" s="216"/>
      <x:c r="N10" s="216"/>
      <x:c r="O10" s="216"/>
      <x:c r="P10" s="216"/>
      <x:c r="Q10" s="216"/>
      <x:c r="R10" s="216"/>
      <x:c r="S10" s="216"/>
      <x:c r="T10" s="216"/>
      <x:c r="U10" s="216"/>
      <x:c r="V10" s="216"/>
      <x:c r="W10" s="216"/>
      <x:c r="X10" s="216"/>
      <x:c r="Y10" s="216"/>
      <x:c r="Z10" s="216"/>
    </x:row>
    <x:row r="11">
      <x:c r="A11" s="216"/>
      <x:c r="B11" s="234" t="str">
        <x:v>Calculated minimum payment</x:v>
      </x:c>
      <x:c r="C11" s="240" t="n">
        <x:f>IF(OR(C6&lt;=0,C8&lt;=0),"",IF(C7=0,C6/(C8*12),C6*(C7/12)/(1-(1+C7/12)^(-C8*12))))</x:f>
        <x:v>2054.2210763521375</x:v>
      </x:c>
      <x:c r="D11" s="216"/>
      <x:c r="E11" s="216"/>
      <x:c r="F11" s="216"/>
      <x:c r="G11" s="216"/>
      <x:c r="H11" s="216"/>
      <x:c r="I11" s="216"/>
      <x:c r="J11" s="216"/>
      <x:c r="K11" s="216"/>
      <x:c r="L11" s="216"/>
      <x:c r="M11" s="216"/>
      <x:c r="N11" s="216"/>
      <x:c r="O11" s="216"/>
      <x:c r="P11" s="216"/>
      <x:c r="Q11" s="216"/>
      <x:c r="R11" s="216"/>
      <x:c r="S11" s="216"/>
      <x:c r="T11" s="216"/>
      <x:c r="U11" s="216"/>
      <x:c r="V11" s="216"/>
      <x:c r="W11" s="216"/>
      <x:c r="X11" s="216"/>
      <x:c r="Y11" s="216"/>
      <x:c r="Z11" s="216"/>
    </x:row>
    <x:row r="12">
      <x:c r="A12" s="216"/>
      <x:c r="B12" s="234" t="str">
        <x:v>Maximum schedule months</x:v>
      </x:c>
      <x:c r="C12" s="241" t="n">
        <x:v>480</x:v>
      </x:c>
      <x:c r="D12" s="216"/>
      <x:c r="E12" s="216"/>
      <x:c r="F12" s="216"/>
      <x:c r="G12" s="216"/>
      <x:c r="H12" s="216"/>
      <x:c r="I12" s="216"/>
      <x:c r="J12" s="216"/>
      <x:c r="K12" s="216"/>
      <x:c r="L12" s="216"/>
      <x:c r="M12" s="216"/>
      <x:c r="N12" s="216"/>
      <x:c r="O12" s="216"/>
      <x:c r="P12" s="216"/>
      <x:c r="Q12" s="216"/>
      <x:c r="R12" s="216"/>
      <x:c r="S12" s="216"/>
      <x:c r="T12" s="216"/>
      <x:c r="U12" s="216"/>
      <x:c r="V12" s="216"/>
      <x:c r="W12" s="216"/>
      <x:c r="X12" s="216"/>
      <x:c r="Y12" s="216"/>
      <x:c r="Z12" s="216"/>
    </x:row>
    <x:row r="13">
      <x:c r="A13" s="216"/>
      <x:c r="B13" s="216"/>
      <x:c r="C13" s="216"/>
      <x:c r="D13" s="216"/>
      <x:c r="E13" s="216"/>
      <x:c r="F13" s="216"/>
      <x:c r="G13" s="216"/>
      <x:c r="H13" s="216"/>
      <x:c r="I13" s="216"/>
      <x:c r="J13" s="216"/>
      <x:c r="K13" s="216"/>
      <x:c r="L13" s="216"/>
      <x:c r="M13" s="216"/>
      <x:c r="N13" s="216"/>
      <x:c r="O13" s="216"/>
      <x:c r="P13" s="216"/>
      <x:c r="Q13" s="216"/>
      <x:c r="R13" s="216"/>
      <x:c r="S13" s="216"/>
      <x:c r="T13" s="216"/>
      <x:c r="U13" s="216"/>
      <x:c r="V13" s="216"/>
      <x:c r="W13" s="216"/>
      <x:c r="X13" s="216"/>
      <x:c r="Y13" s="216"/>
      <x:c r="Z13" s="216"/>
    </x:row>
    <x:row r="14">
      <x:c r="A14" s="216"/>
      <x:c r="B14" s="216"/>
      <x:c r="C14" s="216"/>
      <x:c r="D14" s="216"/>
      <x:c r="E14" s="216"/>
      <x:c r="F14" s="216"/>
      <x:c r="G14" s="216"/>
      <x:c r="H14" s="216"/>
      <x:c r="I14" s="216"/>
      <x:c r="J14" s="216"/>
      <x:c r="K14" s="216"/>
      <x:c r="L14" s="216"/>
      <x:c r="M14" s="216"/>
      <x:c r="N14" s="216"/>
      <x:c r="O14" s="216"/>
      <x:c r="P14" s="216"/>
      <x:c r="Q14" s="216"/>
      <x:c r="R14" s="216"/>
      <x:c r="S14" s="216"/>
      <x:c r="T14" s="216"/>
      <x:c r="U14" s="216"/>
      <x:c r="V14" s="216"/>
      <x:c r="W14" s="216"/>
      <x:c r="X14" s="216"/>
      <x:c r="Y14" s="216"/>
      <x:c r="Z14" s="216"/>
    </x:row>
    <x:row r="15">
      <x:c r="A15" s="216"/>
      <x:c r="B15" s="218" t="str">
        <x:v>What each strategy means</x:v>
      </x:c>
      <x:c r="C15" s="218"/>
      <x:c r="D15" s="218"/>
      <x:c r="E15" s="218"/>
      <x:c r="F15" s="218"/>
      <x:c r="G15" s="218"/>
      <x:c r="H15" s="218"/>
      <x:c r="I15" s="218"/>
      <x:c r="J15" s="216"/>
      <x:c r="K15" s="216"/>
      <x:c r="L15" s="216"/>
      <x:c r="M15" s="216"/>
      <x:c r="N15" s="216"/>
      <x:c r="O15" s="216"/>
      <x:c r="P15" s="216"/>
      <x:c r="Q15" s="216"/>
      <x:c r="R15" s="216"/>
      <x:c r="S15" s="216"/>
      <x:c r="T15" s="216"/>
      <x:c r="U15" s="216"/>
      <x:c r="V15" s="216"/>
      <x:c r="W15" s="216"/>
      <x:c r="X15" s="216"/>
      <x:c r="Y15" s="216"/>
      <x:c r="Z15" s="216"/>
    </x:row>
    <x:row r="16">
      <x:c r="A16" s="216"/>
      <x:c r="B16" s="216"/>
      <x:c r="C16" s="216"/>
      <x:c r="D16" s="216"/>
      <x:c r="E16" s="216"/>
      <x:c r="F16" s="216"/>
      <x:c r="G16" s="216"/>
      <x:c r="H16" s="216"/>
      <x:c r="I16" s="216"/>
      <x:c r="J16" s="216"/>
      <x:c r="K16" s="216"/>
      <x:c r="L16" s="216"/>
      <x:c r="M16" s="216"/>
      <x:c r="N16" s="216"/>
      <x:c r="O16" s="216"/>
      <x:c r="P16" s="216"/>
      <x:c r="Q16" s="216"/>
      <x:c r="R16" s="216"/>
      <x:c r="S16" s="216"/>
      <x:c r="T16" s="216"/>
      <x:c r="U16" s="216"/>
      <x:c r="V16" s="216"/>
      <x:c r="W16" s="216"/>
      <x:c r="X16" s="216"/>
      <x:c r="Y16" s="216"/>
      <x:c r="Z16" s="216"/>
    </x:row>
    <x:row r="17" ht="30" customHeight="1">
      <x:c r="A17" s="216"/>
      <x:c r="B17" s="220" t="str">
        <x:v>Baseline</x:v>
      </x:c>
      <x:c r="C17" s="180" t="str">
        <x:v>Required payment only; no extra principal.</x:v>
      </x:c>
      <x:c r="D17" s="180" t="str"/>
      <x:c r="E17" s="180" t="str"/>
      <x:c r="F17" s="180" t="str"/>
      <x:c r="G17" s="180" t="str"/>
      <x:c r="H17" s="180" t="str"/>
      <x:c r="I17" s="180" t="str"/>
      <x:c r="J17" s="216"/>
      <x:c r="K17" s="216"/>
      <x:c r="L17" s="216"/>
      <x:c r="M17" s="216"/>
      <x:c r="N17" s="216"/>
      <x:c r="O17" s="216"/>
      <x:c r="P17" s="216"/>
      <x:c r="Q17" s="216"/>
      <x:c r="R17" s="216"/>
      <x:c r="S17" s="216"/>
      <x:c r="T17" s="216"/>
      <x:c r="U17" s="216"/>
      <x:c r="V17" s="216"/>
      <x:c r="W17" s="216"/>
      <x:c r="X17" s="216"/>
      <x:c r="Y17" s="216"/>
      <x:c r="Z17" s="216"/>
    </x:row>
    <x:row r="18" ht="30" customHeight="1">
      <x:c r="A18" s="216"/>
      <x:c r="B18" s="220" t="str">
        <x:v>Strategy A</x:v>
      </x:c>
      <x:c r="C18" s="180" t="str">
        <x:v>Uses the monthly and one-time extras entered above.</x:v>
      </x:c>
      <x:c r="D18" s="180" t="str"/>
      <x:c r="E18" s="180" t="str"/>
      <x:c r="F18" s="180" t="str"/>
      <x:c r="G18" s="180" t="str"/>
      <x:c r="H18" s="180" t="str"/>
      <x:c r="I18" s="180" t="str"/>
      <x:c r="J18" s="216"/>
      <x:c r="K18" s="216"/>
      <x:c r="L18" s="216"/>
      <x:c r="M18" s="216"/>
      <x:c r="N18" s="216"/>
      <x:c r="O18" s="216"/>
      <x:c r="P18" s="216"/>
      <x:c r="Q18" s="216"/>
      <x:c r="R18" s="216"/>
      <x:c r="S18" s="216"/>
      <x:c r="T18" s="216"/>
      <x:c r="U18" s="216"/>
      <x:c r="V18" s="216"/>
      <x:c r="W18" s="216"/>
      <x:c r="X18" s="216"/>
      <x:c r="Y18" s="216"/>
      <x:c r="Z18" s="216"/>
    </x:row>
    <x:row r="19" ht="30" customHeight="1">
      <x:c r="A19" s="216"/>
      <x:c r="B19" s="220" t="str">
        <x:v>Strategy B</x:v>
      </x:c>
      <x:c r="C19" s="180" t="str">
        <x:v>Tests a different monthly and one-time extra combination.</x:v>
      </x:c>
      <x:c r="D19" s="180" t="str"/>
      <x:c r="E19" s="180" t="str"/>
      <x:c r="F19" s="180" t="str"/>
      <x:c r="G19" s="180" t="str"/>
      <x:c r="H19" s="180" t="str"/>
      <x:c r="I19" s="180" t="str"/>
      <x:c r="J19" s="216"/>
      <x:c r="K19" s="216"/>
      <x:c r="L19" s="216"/>
      <x:c r="M19" s="216"/>
      <x:c r="N19" s="216"/>
      <x:c r="O19" s="216"/>
      <x:c r="P19" s="216"/>
      <x:c r="Q19" s="216"/>
      <x:c r="R19" s="216"/>
      <x:c r="S19" s="216"/>
      <x:c r="T19" s="216"/>
      <x:c r="U19" s="216"/>
      <x:c r="V19" s="216"/>
      <x:c r="W19" s="216"/>
      <x:c r="X19" s="216"/>
      <x:c r="Y19" s="216"/>
      <x:c r="Z19" s="216"/>
    </x:row>
    <x:row r="20" ht="30" customHeight="1">
      <x:c r="A20" s="216"/>
      <x:c r="B20" s="220" t="str">
        <x:v>Tip</x:v>
      </x:c>
      <x:c r="C20" s="180" t="str">
        <x:v>Start with an amount you could sustain, then compare a more ambitious option.</x:v>
      </x:c>
      <x:c r="D20" s="180" t="str"/>
      <x:c r="E20" s="180" t="str"/>
      <x:c r="F20" s="180" t="str"/>
      <x:c r="G20" s="180" t="str"/>
      <x:c r="H20" s="180" t="str"/>
      <x:c r="I20" s="180" t="str"/>
      <x:c r="J20" s="216"/>
      <x:c r="K20" s="216"/>
      <x:c r="L20" s="216"/>
      <x:c r="M20" s="216"/>
      <x:c r="N20" s="216"/>
      <x:c r="O20" s="216"/>
      <x:c r="P20" s="216"/>
      <x:c r="Q20" s="216"/>
      <x:c r="R20" s="216"/>
      <x:c r="S20" s="216"/>
      <x:c r="T20" s="216"/>
      <x:c r="U20" s="216"/>
      <x:c r="V20" s="216"/>
      <x:c r="W20" s="216"/>
      <x:c r="X20" s="216"/>
      <x:c r="Y20" s="216"/>
      <x:c r="Z20" s="216"/>
    </x:row>
    <x:row r="21">
      <x:c r="A21" s="216"/>
      <x:c r="B21" s="216"/>
      <x:c r="C21" s="216"/>
      <x:c r="D21" s="216"/>
      <x:c r="E21" s="216"/>
      <x:c r="F21" s="216"/>
      <x:c r="G21" s="216"/>
      <x:c r="H21" s="216"/>
      <x:c r="I21" s="216"/>
      <x:c r="J21" s="216"/>
      <x:c r="K21" s="216"/>
      <x:c r="L21" s="216"/>
      <x:c r="M21" s="216"/>
      <x:c r="N21" s="216"/>
      <x:c r="O21" s="216"/>
      <x:c r="P21" s="216"/>
      <x:c r="Q21" s="216"/>
      <x:c r="R21" s="216"/>
      <x:c r="S21" s="216"/>
      <x:c r="T21" s="216"/>
      <x:c r="U21" s="216"/>
      <x:c r="V21" s="216"/>
      <x:c r="W21" s="216"/>
      <x:c r="X21" s="216"/>
      <x:c r="Y21" s="216"/>
      <x:c r="Z21" s="216"/>
    </x:row>
    <x:row r="22">
      <x:c r="A22" s="216"/>
      <x:c r="B22" s="216"/>
      <x:c r="C22" s="216"/>
      <x:c r="D22" s="216"/>
      <x:c r="E22" s="216"/>
      <x:c r="F22" s="216"/>
      <x:c r="G22" s="216"/>
      <x:c r="H22" s="216"/>
      <x:c r="I22" s="216"/>
      <x:c r="J22" s="216"/>
      <x:c r="K22" s="216"/>
      <x:c r="L22" s="216"/>
      <x:c r="M22" s="216"/>
      <x:c r="N22" s="216"/>
      <x:c r="O22" s="216"/>
      <x:c r="P22" s="216"/>
      <x:c r="Q22" s="216"/>
      <x:c r="R22" s="216"/>
      <x:c r="S22" s="216"/>
      <x:c r="T22" s="216"/>
      <x:c r="U22" s="216"/>
      <x:c r="V22" s="216"/>
      <x:c r="W22" s="216"/>
      <x:c r="X22" s="216"/>
      <x:c r="Y22" s="216"/>
      <x:c r="Z22" s="216"/>
    </x:row>
    <x:row r="23">
      <x:c r="A23" s="216"/>
      <x:c r="B23" s="216"/>
      <x:c r="C23" s="216"/>
      <x:c r="D23" s="216"/>
      <x:c r="E23" s="216"/>
      <x:c r="F23" s="216"/>
      <x:c r="G23" s="216"/>
      <x:c r="H23" s="216"/>
      <x:c r="I23" s="216"/>
      <x:c r="J23" s="216"/>
      <x:c r="K23" s="216"/>
      <x:c r="L23" s="216"/>
      <x:c r="M23" s="216"/>
      <x:c r="N23" s="216"/>
      <x:c r="O23" s="216"/>
      <x:c r="P23" s="216"/>
      <x:c r="Q23" s="216"/>
      <x:c r="R23" s="216"/>
      <x:c r="S23" s="216"/>
      <x:c r="T23" s="216"/>
      <x:c r="U23" s="216"/>
      <x:c r="V23" s="216"/>
      <x:c r="W23" s="216"/>
      <x:c r="X23" s="216"/>
      <x:c r="Y23" s="216"/>
      <x:c r="Z23" s="216"/>
    </x:row>
    <x:row r="24">
      <x:c r="A24" s="216"/>
      <x:c r="B24" s="216"/>
      <x:c r="C24" s="216"/>
      <x:c r="D24" s="216"/>
      <x:c r="E24" s="216"/>
      <x:c r="F24" s="216"/>
      <x:c r="G24" s="216"/>
      <x:c r="H24" s="216"/>
      <x:c r="I24" s="216"/>
      <x:c r="J24" s="216"/>
      <x:c r="K24" s="216"/>
      <x:c r="L24" s="216"/>
      <x:c r="M24" s="216"/>
      <x:c r="N24" s="216"/>
      <x:c r="O24" s="216"/>
      <x:c r="P24" s="216"/>
      <x:c r="Q24" s="216"/>
      <x:c r="R24" s="216"/>
      <x:c r="S24" s="216"/>
      <x:c r="T24" s="216"/>
      <x:c r="U24" s="216"/>
      <x:c r="V24" s="216"/>
      <x:c r="W24" s="216"/>
      <x:c r="X24" s="216"/>
      <x:c r="Y24" s="216"/>
      <x:c r="Z24" s="216"/>
    </x:row>
    <x:row r="25">
      <x:c r="A25" s="216"/>
      <x:c r="B25" s="216"/>
      <x:c r="C25" s="216"/>
      <x:c r="D25" s="216"/>
      <x:c r="E25" s="216"/>
      <x:c r="F25" s="216"/>
      <x:c r="G25" s="216"/>
      <x:c r="H25" s="216"/>
      <x:c r="I25" s="216"/>
      <x:c r="J25" s="216"/>
      <x:c r="K25" s="216"/>
      <x:c r="L25" s="216"/>
      <x:c r="M25" s="216"/>
      <x:c r="N25" s="216"/>
      <x:c r="O25" s="216"/>
      <x:c r="P25" s="216"/>
      <x:c r="Q25" s="216"/>
      <x:c r="R25" s="216"/>
      <x:c r="S25" s="216"/>
      <x:c r="T25" s="216"/>
      <x:c r="U25" s="216"/>
      <x:c r="V25" s="216"/>
      <x:c r="W25" s="216"/>
      <x:c r="X25" s="216"/>
      <x:c r="Y25" s="216"/>
      <x:c r="Z25" s="216"/>
    </x:row>
    <x:row r="26">
      <x:c r="A26" s="216"/>
      <x:c r="B26" s="216"/>
      <x:c r="C26" s="216"/>
      <x:c r="D26" s="216"/>
      <x:c r="E26" s="216"/>
      <x:c r="F26" s="216"/>
      <x:c r="G26" s="216"/>
      <x:c r="H26" s="216"/>
      <x:c r="I26" s="216"/>
      <x:c r="J26" s="216"/>
      <x:c r="K26" s="216"/>
      <x:c r="L26" s="216"/>
      <x:c r="M26" s="216"/>
      <x:c r="N26" s="216"/>
      <x:c r="O26" s="216"/>
      <x:c r="P26" s="216"/>
      <x:c r="Q26" s="216"/>
      <x:c r="R26" s="216"/>
      <x:c r="S26" s="216"/>
      <x:c r="T26" s="216"/>
      <x:c r="U26" s="216"/>
      <x:c r="V26" s="216"/>
      <x:c r="W26" s="216"/>
      <x:c r="X26" s="216"/>
      <x:c r="Y26" s="216"/>
      <x:c r="Z26" s="216"/>
    </x:row>
    <x:row r="27">
      <x:c r="A27" s="216"/>
      <x:c r="B27" s="216"/>
      <x:c r="C27" s="216"/>
      <x:c r="D27" s="216"/>
      <x:c r="E27" s="216"/>
      <x:c r="F27" s="216"/>
      <x:c r="G27" s="216"/>
      <x:c r="H27" s="216"/>
      <x:c r="I27" s="216"/>
      <x:c r="J27" s="216"/>
      <x:c r="K27" s="216"/>
      <x:c r="L27" s="216"/>
      <x:c r="M27" s="216"/>
      <x:c r="N27" s="216"/>
      <x:c r="O27" s="216"/>
      <x:c r="P27" s="216"/>
      <x:c r="Q27" s="216"/>
      <x:c r="R27" s="216"/>
      <x:c r="S27" s="216"/>
      <x:c r="T27" s="216"/>
      <x:c r="U27" s="216"/>
      <x:c r="V27" s="216"/>
      <x:c r="W27" s="216"/>
      <x:c r="X27" s="216"/>
      <x:c r="Y27" s="216"/>
      <x:c r="Z27" s="216"/>
    </x:row>
    <x:row r="28">
      <x:c r="A28" s="216"/>
      <x:c r="B28" s="216"/>
      <x:c r="C28" s="216"/>
      <x:c r="D28" s="216"/>
      <x:c r="E28" s="216"/>
      <x:c r="F28" s="216"/>
      <x:c r="G28" s="216"/>
      <x:c r="H28" s="216"/>
      <x:c r="I28" s="216"/>
      <x:c r="J28" s="216"/>
      <x:c r="K28" s="216"/>
      <x:c r="L28" s="216"/>
      <x:c r="M28" s="216"/>
      <x:c r="N28" s="216"/>
      <x:c r="O28" s="216"/>
      <x:c r="P28" s="216"/>
      <x:c r="Q28" s="216"/>
      <x:c r="R28" s="216"/>
      <x:c r="S28" s="216"/>
      <x:c r="T28" s="216"/>
      <x:c r="U28" s="216"/>
      <x:c r="V28" s="216"/>
      <x:c r="W28" s="216"/>
      <x:c r="X28" s="216"/>
      <x:c r="Y28" s="216"/>
      <x:c r="Z28" s="216"/>
    </x:row>
    <x:row r="29">
      <x:c r="A29" s="216"/>
      <x:c r="B29" s="216"/>
      <x:c r="C29" s="216"/>
      <x:c r="D29" s="216"/>
      <x:c r="E29" s="216"/>
      <x:c r="F29" s="216"/>
      <x:c r="G29" s="216"/>
      <x:c r="H29" s="216"/>
      <x:c r="I29" s="216"/>
      <x:c r="J29" s="216"/>
      <x:c r="K29" s="216"/>
      <x:c r="L29" s="216"/>
      <x:c r="M29" s="216"/>
      <x:c r="N29" s="216"/>
      <x:c r="O29" s="216"/>
      <x:c r="P29" s="216"/>
      <x:c r="Q29" s="216"/>
      <x:c r="R29" s="216"/>
      <x:c r="S29" s="216"/>
      <x:c r="T29" s="216"/>
      <x:c r="U29" s="216"/>
      <x:c r="V29" s="216"/>
      <x:c r="W29" s="216"/>
      <x:c r="X29" s="216"/>
      <x:c r="Y29" s="216"/>
      <x:c r="Z29" s="216"/>
    </x:row>
    <x:row r="30">
      <x:c r="A30" s="216"/>
      <x:c r="B30" s="216"/>
      <x:c r="C30" s="216"/>
      <x:c r="D30" s="216"/>
      <x:c r="E30" s="216"/>
      <x:c r="F30" s="216"/>
      <x:c r="G30" s="216"/>
      <x:c r="H30" s="216"/>
      <x:c r="I30" s="216"/>
      <x:c r="J30" s="216"/>
      <x:c r="K30" s="216"/>
      <x:c r="L30" s="216"/>
      <x:c r="M30" s="216"/>
      <x:c r="N30" s="216"/>
      <x:c r="O30" s="216"/>
      <x:c r="P30" s="216"/>
      <x:c r="Q30" s="216"/>
      <x:c r="R30" s="216"/>
      <x:c r="S30" s="216"/>
      <x:c r="T30" s="216"/>
      <x:c r="U30" s="216"/>
      <x:c r="V30" s="216"/>
      <x:c r="W30" s="216"/>
      <x:c r="X30" s="216"/>
      <x:c r="Y30" s="216"/>
      <x:c r="Z30" s="216"/>
    </x:row>
    <x:row r="31">
      <x:c r="A31" s="216"/>
      <x:c r="B31" s="216"/>
      <x:c r="C31" s="216"/>
      <x:c r="D31" s="216"/>
      <x:c r="E31" s="216"/>
      <x:c r="F31" s="216"/>
      <x:c r="G31" s="216"/>
      <x:c r="H31" s="216"/>
      <x:c r="I31" s="216"/>
      <x:c r="J31" s="216"/>
      <x:c r="K31" s="216"/>
      <x:c r="L31" s="216"/>
      <x:c r="M31" s="216"/>
      <x:c r="N31" s="216"/>
      <x:c r="O31" s="216"/>
      <x:c r="P31" s="216"/>
      <x:c r="Q31" s="216"/>
      <x:c r="R31" s="216"/>
      <x:c r="S31" s="216"/>
      <x:c r="T31" s="216"/>
      <x:c r="U31" s="216"/>
      <x:c r="V31" s="216"/>
      <x:c r="W31" s="216"/>
      <x:c r="X31" s="216"/>
      <x:c r="Y31" s="216"/>
      <x:c r="Z31" s="216"/>
    </x:row>
    <x:row r="32">
      <x:c r="A32" s="216"/>
      <x:c r="B32" s="216"/>
      <x:c r="C32" s="216"/>
      <x:c r="D32" s="216"/>
      <x:c r="E32" s="216"/>
      <x:c r="F32" s="216"/>
      <x:c r="G32" s="216"/>
      <x:c r="H32" s="216"/>
      <x:c r="I32" s="216"/>
      <x:c r="J32" s="216"/>
      <x:c r="K32" s="216"/>
      <x:c r="L32" s="216"/>
      <x:c r="M32" s="216"/>
      <x:c r="N32" s="216"/>
      <x:c r="O32" s="216"/>
      <x:c r="P32" s="216"/>
      <x:c r="Q32" s="216"/>
      <x:c r="R32" s="216"/>
      <x:c r="S32" s="216"/>
      <x:c r="T32" s="216"/>
      <x:c r="U32" s="216"/>
      <x:c r="V32" s="216"/>
      <x:c r="W32" s="216"/>
      <x:c r="X32" s="216"/>
      <x:c r="Y32" s="216"/>
      <x:c r="Z32" s="216"/>
    </x:row>
    <x:row r="33">
      <x:c r="A33" s="216"/>
      <x:c r="B33" s="216"/>
      <x:c r="C33" s="216"/>
      <x:c r="D33" s="216"/>
      <x:c r="E33" s="216"/>
      <x:c r="F33" s="216"/>
      <x:c r="G33" s="216"/>
      <x:c r="H33" s="216"/>
      <x:c r="I33" s="216"/>
      <x:c r="J33" s="216"/>
      <x:c r="K33" s="216"/>
      <x:c r="L33" s="216"/>
      <x:c r="M33" s="216"/>
      <x:c r="N33" s="216"/>
      <x:c r="O33" s="216"/>
      <x:c r="P33" s="216"/>
      <x:c r="Q33" s="216"/>
      <x:c r="R33" s="216"/>
      <x:c r="S33" s="216"/>
      <x:c r="T33" s="216"/>
      <x:c r="U33" s="216"/>
      <x:c r="V33" s="216"/>
      <x:c r="W33" s="216"/>
      <x:c r="X33" s="216"/>
      <x:c r="Y33" s="216"/>
      <x:c r="Z33" s="216"/>
    </x:row>
    <x:row r="34">
      <x:c r="A34" s="216"/>
      <x:c r="B34" s="216"/>
      <x:c r="C34" s="216"/>
      <x:c r="D34" s="216"/>
      <x:c r="E34" s="216"/>
      <x:c r="F34" s="216"/>
      <x:c r="G34" s="216"/>
      <x:c r="H34" s="216"/>
      <x:c r="I34" s="216"/>
      <x:c r="J34" s="216"/>
      <x:c r="K34" s="216"/>
      <x:c r="L34" s="216"/>
      <x:c r="M34" s="216"/>
      <x:c r="N34" s="216"/>
      <x:c r="O34" s="216"/>
      <x:c r="P34" s="216"/>
      <x:c r="Q34" s="216"/>
      <x:c r="R34" s="216"/>
      <x:c r="S34" s="216"/>
      <x:c r="T34" s="216"/>
      <x:c r="U34" s="216"/>
      <x:c r="V34" s="216"/>
      <x:c r="W34" s="216"/>
      <x:c r="X34" s="216"/>
      <x:c r="Y34" s="216"/>
      <x:c r="Z34" s="216"/>
    </x:row>
    <x:row r="35">
      <x:c r="A35" s="216"/>
      <x:c r="B35" s="216"/>
      <x:c r="C35" s="216"/>
      <x:c r="D35" s="216"/>
      <x:c r="E35" s="216"/>
      <x:c r="F35" s="216"/>
      <x:c r="G35" s="216"/>
      <x:c r="H35" s="216"/>
      <x:c r="I35" s="216"/>
      <x:c r="J35" s="216"/>
      <x:c r="K35" s="216"/>
      <x:c r="L35" s="216"/>
      <x:c r="M35" s="216"/>
      <x:c r="N35" s="216"/>
      <x:c r="O35" s="216"/>
      <x:c r="P35" s="216"/>
      <x:c r="Q35" s="216"/>
      <x:c r="R35" s="216"/>
      <x:c r="S35" s="216"/>
      <x:c r="T35" s="216"/>
      <x:c r="U35" s="216"/>
      <x:c r="V35" s="216"/>
      <x:c r="W35" s="216"/>
      <x:c r="X35" s="216"/>
      <x:c r="Y35" s="216"/>
      <x:c r="Z35" s="216"/>
    </x:row>
    <x:row r="36">
      <x:c r="A36" s="216"/>
      <x:c r="B36" s="216"/>
      <x:c r="C36" s="216"/>
      <x:c r="D36" s="216"/>
      <x:c r="E36" s="216"/>
      <x:c r="F36" s="216"/>
      <x:c r="G36" s="216"/>
      <x:c r="H36" s="216"/>
      <x:c r="I36" s="216"/>
      <x:c r="J36" s="216"/>
      <x:c r="K36" s="216"/>
      <x:c r="L36" s="216"/>
      <x:c r="M36" s="216"/>
      <x:c r="N36" s="216"/>
      <x:c r="O36" s="216"/>
      <x:c r="P36" s="216"/>
      <x:c r="Q36" s="216"/>
      <x:c r="R36" s="216"/>
      <x:c r="S36" s="216"/>
      <x:c r="T36" s="216"/>
      <x:c r="U36" s="216"/>
      <x:c r="V36" s="216"/>
      <x:c r="W36" s="216"/>
      <x:c r="X36" s="216"/>
      <x:c r="Y36" s="216"/>
      <x:c r="Z36" s="216"/>
    </x:row>
    <x:row r="37">
      <x:c r="A37" s="216"/>
      <x:c r="B37" s="216"/>
      <x:c r="C37" s="216"/>
      <x:c r="D37" s="216"/>
      <x:c r="E37" s="216"/>
      <x:c r="F37" s="216"/>
      <x:c r="G37" s="216"/>
      <x:c r="H37" s="216"/>
      <x:c r="I37" s="216"/>
      <x:c r="J37" s="216"/>
      <x:c r="K37" s="216"/>
      <x:c r="L37" s="216"/>
      <x:c r="M37" s="216"/>
      <x:c r="N37" s="216"/>
      <x:c r="O37" s="216"/>
      <x:c r="P37" s="216"/>
      <x:c r="Q37" s="216"/>
      <x:c r="R37" s="216"/>
      <x:c r="S37" s="216"/>
      <x:c r="T37" s="216"/>
      <x:c r="U37" s="216"/>
      <x:c r="V37" s="216"/>
      <x:c r="W37" s="216"/>
      <x:c r="X37" s="216"/>
      <x:c r="Y37" s="216"/>
      <x:c r="Z37" s="216"/>
    </x:row>
    <x:row r="38">
      <x:c r="A38" s="216"/>
      <x:c r="B38" s="216"/>
      <x:c r="C38" s="216"/>
      <x:c r="D38" s="216"/>
      <x:c r="E38" s="216"/>
      <x:c r="F38" s="216"/>
      <x:c r="G38" s="216"/>
      <x:c r="H38" s="216"/>
      <x:c r="I38" s="216"/>
      <x:c r="J38" s="216"/>
      <x:c r="K38" s="216"/>
      <x:c r="L38" s="216"/>
      <x:c r="M38" s="216"/>
      <x:c r="N38" s="216"/>
      <x:c r="O38" s="216"/>
      <x:c r="P38" s="216"/>
      <x:c r="Q38" s="216"/>
      <x:c r="R38" s="216"/>
      <x:c r="S38" s="216"/>
      <x:c r="T38" s="216"/>
      <x:c r="U38" s="216"/>
      <x:c r="V38" s="216"/>
      <x:c r="W38" s="216"/>
      <x:c r="X38" s="216"/>
      <x:c r="Y38" s="216"/>
      <x:c r="Z38" s="216"/>
    </x:row>
    <x:row r="39">
      <x:c r="A39" s="216"/>
      <x:c r="B39" s="216"/>
      <x:c r="C39" s="216"/>
      <x:c r="D39" s="216"/>
      <x:c r="E39" s="216"/>
      <x:c r="F39" s="216"/>
      <x:c r="G39" s="216"/>
      <x:c r="H39" s="216"/>
      <x:c r="I39" s="216"/>
      <x:c r="J39" s="216"/>
      <x:c r="K39" s="216"/>
      <x:c r="L39" s="216"/>
      <x:c r="M39" s="216"/>
      <x:c r="N39" s="216"/>
      <x:c r="O39" s="216"/>
      <x:c r="P39" s="216"/>
      <x:c r="Q39" s="216"/>
      <x:c r="R39" s="216"/>
      <x:c r="S39" s="216"/>
      <x:c r="T39" s="216"/>
      <x:c r="U39" s="216"/>
      <x:c r="V39" s="216"/>
      <x:c r="W39" s="216"/>
      <x:c r="X39" s="216"/>
      <x:c r="Y39" s="216"/>
      <x:c r="Z39" s="216"/>
    </x:row>
    <x:row r="40">
      <x:c r="A40" s="216"/>
      <x:c r="B40" s="216"/>
      <x:c r="C40" s="216"/>
      <x:c r="D40" s="216"/>
      <x:c r="E40" s="216"/>
      <x:c r="F40" s="216"/>
      <x:c r="G40" s="216"/>
      <x:c r="H40" s="216"/>
      <x:c r="I40" s="216"/>
      <x:c r="J40" s="216"/>
      <x:c r="K40" s="216"/>
      <x:c r="L40" s="216"/>
      <x:c r="M40" s="216"/>
      <x:c r="N40" s="216"/>
      <x:c r="O40" s="216"/>
      <x:c r="P40" s="216"/>
      <x:c r="Q40" s="216"/>
      <x:c r="R40" s="216"/>
      <x:c r="S40" s="216"/>
      <x:c r="T40" s="216"/>
      <x:c r="U40" s="216"/>
      <x:c r="V40" s="216"/>
      <x:c r="W40" s="216"/>
      <x:c r="X40" s="216"/>
      <x:c r="Y40" s="216"/>
      <x:c r="Z40" s="216"/>
    </x:row>
    <x:row r="41">
      <x:c r="A41" s="216"/>
      <x:c r="B41" s="216"/>
      <x:c r="C41" s="216"/>
      <x:c r="D41" s="216"/>
      <x:c r="E41" s="216"/>
      <x:c r="F41" s="216"/>
      <x:c r="G41" s="216"/>
      <x:c r="H41" s="216"/>
      <x:c r="I41" s="216"/>
      <x:c r="J41" s="216"/>
      <x:c r="K41" s="216"/>
      <x:c r="L41" s="216"/>
      <x:c r="M41" s="216"/>
      <x:c r="N41" s="216"/>
      <x:c r="O41" s="216"/>
      <x:c r="P41" s="216"/>
      <x:c r="Q41" s="216"/>
      <x:c r="R41" s="216"/>
      <x:c r="S41" s="216"/>
      <x:c r="T41" s="216"/>
      <x:c r="U41" s="216"/>
      <x:c r="V41" s="216"/>
      <x:c r="W41" s="216"/>
      <x:c r="X41" s="216"/>
      <x:c r="Y41" s="216"/>
      <x:c r="Z41" s="216"/>
    </x:row>
    <x:row r="42">
      <x:c r="A42" s="216"/>
      <x:c r="B42" s="216"/>
      <x:c r="C42" s="216"/>
      <x:c r="D42" s="216"/>
      <x:c r="E42" s="216"/>
      <x:c r="F42" s="216"/>
      <x:c r="G42" s="216"/>
      <x:c r="H42" s="216"/>
      <x:c r="I42" s="216"/>
      <x:c r="J42" s="216"/>
      <x:c r="K42" s="216"/>
      <x:c r="L42" s="216"/>
      <x:c r="M42" s="216"/>
      <x:c r="N42" s="216"/>
      <x:c r="O42" s="216"/>
      <x:c r="P42" s="216"/>
      <x:c r="Q42" s="216"/>
      <x:c r="R42" s="216"/>
      <x:c r="S42" s="216"/>
      <x:c r="T42" s="216"/>
      <x:c r="U42" s="216"/>
      <x:c r="V42" s="216"/>
      <x:c r="W42" s="216"/>
      <x:c r="X42" s="216"/>
      <x:c r="Y42" s="216"/>
      <x:c r="Z42" s="216"/>
    </x:row>
    <x:row r="43">
      <x:c r="A43" s="216"/>
      <x:c r="B43" s="216"/>
      <x:c r="C43" s="216"/>
      <x:c r="D43" s="216"/>
      <x:c r="E43" s="216"/>
      <x:c r="F43" s="216"/>
      <x:c r="G43" s="216"/>
      <x:c r="H43" s="216"/>
      <x:c r="I43" s="216"/>
      <x:c r="J43" s="216"/>
      <x:c r="K43" s="216"/>
      <x:c r="L43" s="216"/>
      <x:c r="M43" s="216"/>
      <x:c r="N43" s="216"/>
      <x:c r="O43" s="216"/>
      <x:c r="P43" s="216"/>
      <x:c r="Q43" s="216"/>
      <x:c r="R43" s="216"/>
      <x:c r="S43" s="216"/>
      <x:c r="T43" s="216"/>
      <x:c r="U43" s="216"/>
      <x:c r="V43" s="216"/>
      <x:c r="W43" s="216"/>
      <x:c r="X43" s="216"/>
      <x:c r="Y43" s="216"/>
      <x:c r="Z43" s="216"/>
    </x:row>
    <x:row r="44">
      <x:c r="A44" s="216"/>
      <x:c r="B44" s="216"/>
      <x:c r="C44" s="216"/>
      <x:c r="D44" s="216"/>
      <x:c r="E44" s="216"/>
      <x:c r="F44" s="216"/>
      <x:c r="G44" s="216"/>
      <x:c r="H44" s="216"/>
      <x:c r="I44" s="216"/>
      <x:c r="J44" s="216"/>
      <x:c r="K44" s="216"/>
      <x:c r="L44" s="216"/>
      <x:c r="M44" s="216"/>
      <x:c r="N44" s="216"/>
      <x:c r="O44" s="216"/>
      <x:c r="P44" s="216"/>
      <x:c r="Q44" s="216"/>
      <x:c r="R44" s="216"/>
      <x:c r="S44" s="216"/>
      <x:c r="T44" s="216"/>
      <x:c r="U44" s="216"/>
      <x:c r="V44" s="216"/>
      <x:c r="W44" s="216"/>
      <x:c r="X44" s="216"/>
      <x:c r="Y44" s="216"/>
      <x:c r="Z44" s="216"/>
    </x:row>
    <x:row r="45">
      <x:c r="A45" s="216"/>
      <x:c r="B45" s="216"/>
      <x:c r="C45" s="216"/>
      <x:c r="D45" s="216"/>
      <x:c r="E45" s="216"/>
      <x:c r="F45" s="216"/>
      <x:c r="G45" s="216"/>
      <x:c r="H45" s="216"/>
      <x:c r="I45" s="216"/>
      <x:c r="J45" s="216"/>
      <x:c r="K45" s="216"/>
      <x:c r="L45" s="216"/>
      <x:c r="M45" s="216"/>
      <x:c r="N45" s="216"/>
      <x:c r="O45" s="216"/>
      <x:c r="P45" s="216"/>
      <x:c r="Q45" s="216"/>
      <x:c r="R45" s="216"/>
      <x:c r="S45" s="216"/>
      <x:c r="T45" s="216"/>
      <x:c r="U45" s="216"/>
      <x:c r="V45" s="216"/>
      <x:c r="W45" s="216"/>
      <x:c r="X45" s="216"/>
      <x:c r="Y45" s="216"/>
      <x:c r="Z45" s="216"/>
    </x:row>
    <x:row r="46">
      <x:c r="A46" s="216"/>
      <x:c r="B46" s="216"/>
      <x:c r="C46" s="216"/>
      <x:c r="D46" s="216"/>
      <x:c r="E46" s="216"/>
      <x:c r="F46" s="216"/>
      <x:c r="G46" s="216"/>
      <x:c r="H46" s="216"/>
      <x:c r="I46" s="216"/>
      <x:c r="J46" s="216"/>
      <x:c r="K46" s="216"/>
      <x:c r="L46" s="216"/>
      <x:c r="M46" s="216"/>
      <x:c r="N46" s="216"/>
      <x:c r="O46" s="216"/>
      <x:c r="P46" s="216"/>
      <x:c r="Q46" s="216"/>
      <x:c r="R46" s="216"/>
      <x:c r="S46" s="216"/>
      <x:c r="T46" s="216"/>
      <x:c r="U46" s="216"/>
      <x:c r="V46" s="216"/>
      <x:c r="W46" s="216"/>
      <x:c r="X46" s="216"/>
      <x:c r="Y46" s="216"/>
      <x:c r="Z46" s="216"/>
    </x:row>
    <x:row r="47">
      <x:c r="A47" s="216"/>
      <x:c r="B47" s="216"/>
      <x:c r="C47" s="216"/>
      <x:c r="D47" s="216"/>
      <x:c r="E47" s="216"/>
      <x:c r="F47" s="216"/>
      <x:c r="G47" s="216"/>
      <x:c r="H47" s="216"/>
      <x:c r="I47" s="216"/>
      <x:c r="J47" s="216"/>
      <x:c r="K47" s="216"/>
      <x:c r="L47" s="216"/>
      <x:c r="M47" s="216"/>
      <x:c r="N47" s="216"/>
      <x:c r="O47" s="216"/>
      <x:c r="P47" s="216"/>
      <x:c r="Q47" s="216"/>
      <x:c r="R47" s="216"/>
      <x:c r="S47" s="216"/>
      <x:c r="T47" s="216"/>
      <x:c r="U47" s="216"/>
      <x:c r="V47" s="216"/>
      <x:c r="W47" s="216"/>
      <x:c r="X47" s="216"/>
      <x:c r="Y47" s="216"/>
      <x:c r="Z47" s="216"/>
    </x:row>
    <x:row r="48">
      <x:c r="A48" s="216"/>
      <x:c r="B48" s="216"/>
      <x:c r="C48" s="216"/>
      <x:c r="D48" s="216"/>
      <x:c r="E48" s="216"/>
      <x:c r="F48" s="216"/>
      <x:c r="G48" s="216"/>
      <x:c r="H48" s="216"/>
      <x:c r="I48" s="216"/>
      <x:c r="J48" s="216"/>
      <x:c r="K48" s="216"/>
      <x:c r="L48" s="216"/>
      <x:c r="M48" s="216"/>
      <x:c r="N48" s="216"/>
      <x:c r="O48" s="216"/>
      <x:c r="P48" s="216"/>
      <x:c r="Q48" s="216"/>
      <x:c r="R48" s="216"/>
      <x:c r="S48" s="216"/>
      <x:c r="T48" s="216"/>
      <x:c r="U48" s="216"/>
      <x:c r="V48" s="216"/>
      <x:c r="W48" s="216"/>
      <x:c r="X48" s="216"/>
      <x:c r="Y48" s="216"/>
      <x:c r="Z48" s="216"/>
    </x:row>
    <x:row r="49">
      <x:c r="A49" s="216"/>
      <x:c r="B49" s="216"/>
      <x:c r="C49" s="216"/>
      <x:c r="D49" s="216"/>
      <x:c r="E49" s="216"/>
      <x:c r="F49" s="216"/>
      <x:c r="G49" s="216"/>
      <x:c r="H49" s="216"/>
      <x:c r="I49" s="216"/>
      <x:c r="J49" s="216"/>
      <x:c r="K49" s="216"/>
      <x:c r="L49" s="216"/>
      <x:c r="M49" s="216"/>
      <x:c r="N49" s="216"/>
      <x:c r="O49" s="216"/>
      <x:c r="P49" s="216"/>
      <x:c r="Q49" s="216"/>
      <x:c r="R49" s="216"/>
      <x:c r="S49" s="216"/>
      <x:c r="T49" s="216"/>
      <x:c r="U49" s="216"/>
      <x:c r="V49" s="216"/>
      <x:c r="W49" s="216"/>
      <x:c r="X49" s="216"/>
      <x:c r="Y49" s="216"/>
      <x:c r="Z49" s="216"/>
    </x:row>
    <x:row r="50">
      <x:c r="A50" s="216"/>
      <x:c r="B50" s="216"/>
      <x:c r="C50" s="216"/>
      <x:c r="D50" s="216"/>
      <x:c r="E50" s="216"/>
      <x:c r="F50" s="216"/>
      <x:c r="G50" s="216"/>
      <x:c r="H50" s="216"/>
      <x:c r="I50" s="216"/>
      <x:c r="J50" s="216"/>
      <x:c r="K50" s="216"/>
      <x:c r="L50" s="216"/>
      <x:c r="M50" s="216"/>
      <x:c r="N50" s="216"/>
      <x:c r="O50" s="216"/>
      <x:c r="P50" s="216"/>
      <x:c r="Q50" s="216"/>
      <x:c r="R50" s="216"/>
      <x:c r="S50" s="216"/>
      <x:c r="T50" s="216"/>
      <x:c r="U50" s="216"/>
      <x:c r="V50" s="216"/>
      <x:c r="W50" s="216"/>
      <x:c r="X50" s="216"/>
      <x:c r="Y50" s="216"/>
      <x:c r="Z50" s="216"/>
    </x:row>
    <x:row r="51">
      <x:c r="A51" s="216"/>
      <x:c r="B51" s="216"/>
      <x:c r="C51" s="216"/>
      <x:c r="D51" s="216"/>
      <x:c r="E51" s="216"/>
      <x:c r="F51" s="216"/>
      <x:c r="G51" s="216"/>
      <x:c r="H51" s="216"/>
      <x:c r="I51" s="216"/>
      <x:c r="J51" s="216"/>
      <x:c r="K51" s="216"/>
      <x:c r="L51" s="216"/>
      <x:c r="M51" s="216"/>
      <x:c r="N51" s="216"/>
      <x:c r="O51" s="216"/>
      <x:c r="P51" s="216"/>
      <x:c r="Q51" s="216"/>
      <x:c r="R51" s="216"/>
      <x:c r="S51" s="216"/>
      <x:c r="T51" s="216"/>
      <x:c r="U51" s="216"/>
      <x:c r="V51" s="216"/>
      <x:c r="W51" s="216"/>
      <x:c r="X51" s="216"/>
      <x:c r="Y51" s="216"/>
      <x:c r="Z51" s="216"/>
    </x:row>
    <x:row r="52">
      <x:c r="A52" s="216"/>
      <x:c r="B52" s="216"/>
      <x:c r="C52" s="216"/>
      <x:c r="D52" s="216"/>
      <x:c r="E52" s="216"/>
      <x:c r="F52" s="216"/>
      <x:c r="G52" s="216"/>
      <x:c r="H52" s="216"/>
      <x:c r="I52" s="216"/>
      <x:c r="J52" s="216"/>
      <x:c r="K52" s="216"/>
      <x:c r="L52" s="216"/>
      <x:c r="M52" s="216"/>
      <x:c r="N52" s="216"/>
      <x:c r="O52" s="216"/>
      <x:c r="P52" s="216"/>
      <x:c r="Q52" s="216"/>
      <x:c r="R52" s="216"/>
      <x:c r="S52" s="216"/>
      <x:c r="T52" s="216"/>
      <x:c r="U52" s="216"/>
      <x:c r="V52" s="216"/>
      <x:c r="W52" s="216"/>
      <x:c r="X52" s="216"/>
      <x:c r="Y52" s="216"/>
      <x:c r="Z52" s="216"/>
    </x:row>
    <x:row r="53">
      <x:c r="A53" s="216"/>
      <x:c r="B53" s="216"/>
      <x:c r="C53" s="216"/>
      <x:c r="D53" s="216"/>
      <x:c r="E53" s="216"/>
      <x:c r="F53" s="216"/>
      <x:c r="G53" s="216"/>
      <x:c r="H53" s="216"/>
      <x:c r="I53" s="216"/>
      <x:c r="J53" s="216"/>
      <x:c r="K53" s="216"/>
      <x:c r="L53" s="216"/>
      <x:c r="M53" s="216"/>
      <x:c r="N53" s="216"/>
      <x:c r="O53" s="216"/>
      <x:c r="P53" s="216"/>
      <x:c r="Q53" s="216"/>
      <x:c r="R53" s="216"/>
      <x:c r="S53" s="216"/>
      <x:c r="T53" s="216"/>
      <x:c r="U53" s="216"/>
      <x:c r="V53" s="216"/>
      <x:c r="W53" s="216"/>
      <x:c r="X53" s="216"/>
      <x:c r="Y53" s="216"/>
      <x:c r="Z53" s="216"/>
    </x:row>
    <x:row r="54">
      <x:c r="A54" s="216"/>
      <x:c r="B54" s="216"/>
      <x:c r="C54" s="216"/>
      <x:c r="D54" s="216"/>
      <x:c r="E54" s="216"/>
      <x:c r="F54" s="216"/>
      <x:c r="G54" s="216"/>
      <x:c r="H54" s="216"/>
      <x:c r="I54" s="216"/>
      <x:c r="J54" s="216"/>
      <x:c r="K54" s="216"/>
      <x:c r="L54" s="216"/>
      <x:c r="M54" s="216"/>
      <x:c r="N54" s="216"/>
      <x:c r="O54" s="216"/>
      <x:c r="P54" s="216"/>
      <x:c r="Q54" s="216"/>
      <x:c r="R54" s="216"/>
      <x:c r="S54" s="216"/>
      <x:c r="T54" s="216"/>
      <x:c r="U54" s="216"/>
      <x:c r="V54" s="216"/>
      <x:c r="W54" s="216"/>
      <x:c r="X54" s="216"/>
      <x:c r="Y54" s="216"/>
      <x:c r="Z54" s="216"/>
    </x:row>
    <x:row r="55">
      <x:c r="A55" s="216"/>
      <x:c r="B55" s="216"/>
      <x:c r="C55" s="216"/>
      <x:c r="D55" s="216"/>
      <x:c r="E55" s="216"/>
      <x:c r="F55" s="216"/>
      <x:c r="G55" s="216"/>
      <x:c r="H55" s="216"/>
      <x:c r="I55" s="216"/>
      <x:c r="J55" s="216"/>
      <x:c r="K55" s="216"/>
      <x:c r="L55" s="216"/>
      <x:c r="M55" s="216"/>
      <x:c r="N55" s="216"/>
      <x:c r="O55" s="216"/>
      <x:c r="P55" s="216"/>
      <x:c r="Q55" s="216"/>
      <x:c r="R55" s="216"/>
      <x:c r="S55" s="216"/>
      <x:c r="T55" s="216"/>
      <x:c r="U55" s="216"/>
      <x:c r="V55" s="216"/>
      <x:c r="W55" s="216"/>
      <x:c r="X55" s="216"/>
      <x:c r="Y55" s="216"/>
      <x:c r="Z55" s="216"/>
    </x:row>
    <x:row r="56">
      <x:c r="A56" s="216"/>
      <x:c r="B56" s="216"/>
      <x:c r="C56" s="216"/>
      <x:c r="D56" s="216"/>
      <x:c r="E56" s="216"/>
      <x:c r="F56" s="216"/>
      <x:c r="G56" s="216"/>
      <x:c r="H56" s="216"/>
      <x:c r="I56" s="216"/>
      <x:c r="J56" s="216"/>
      <x:c r="K56" s="216"/>
      <x:c r="L56" s="216"/>
      <x:c r="M56" s="216"/>
      <x:c r="N56" s="216"/>
      <x:c r="O56" s="216"/>
      <x:c r="P56" s="216"/>
      <x:c r="Q56" s="216"/>
      <x:c r="R56" s="216"/>
      <x:c r="S56" s="216"/>
      <x:c r="T56" s="216"/>
      <x:c r="U56" s="216"/>
      <x:c r="V56" s="216"/>
      <x:c r="W56" s="216"/>
      <x:c r="X56" s="216"/>
      <x:c r="Y56" s="216"/>
      <x:c r="Z56" s="216"/>
    </x:row>
    <x:row r="57">
      <x:c r="A57" s="216"/>
      <x:c r="B57" s="216"/>
      <x:c r="C57" s="216"/>
      <x:c r="D57" s="216"/>
      <x:c r="E57" s="216"/>
      <x:c r="F57" s="216"/>
      <x:c r="G57" s="216"/>
      <x:c r="H57" s="216"/>
      <x:c r="I57" s="216"/>
      <x:c r="J57" s="216"/>
      <x:c r="K57" s="216"/>
      <x:c r="L57" s="216"/>
      <x:c r="M57" s="216"/>
      <x:c r="N57" s="216"/>
      <x:c r="O57" s="216"/>
      <x:c r="P57" s="216"/>
      <x:c r="Q57" s="216"/>
      <x:c r="R57" s="216"/>
      <x:c r="S57" s="216"/>
      <x:c r="T57" s="216"/>
      <x:c r="U57" s="216"/>
      <x:c r="V57" s="216"/>
      <x:c r="W57" s="216"/>
      <x:c r="X57" s="216"/>
      <x:c r="Y57" s="216"/>
      <x:c r="Z57" s="216"/>
    </x:row>
    <x:row r="58">
      <x:c r="A58" s="216"/>
      <x:c r="B58" s="216"/>
      <x:c r="C58" s="216"/>
      <x:c r="D58" s="216"/>
      <x:c r="E58" s="216"/>
      <x:c r="F58" s="216"/>
      <x:c r="G58" s="216"/>
      <x:c r="H58" s="216"/>
      <x:c r="I58" s="216"/>
      <x:c r="J58" s="216"/>
      <x:c r="K58" s="216"/>
      <x:c r="L58" s="216"/>
      <x:c r="M58" s="216"/>
      <x:c r="N58" s="216"/>
      <x:c r="O58" s="216"/>
      <x:c r="P58" s="216"/>
      <x:c r="Q58" s="216"/>
      <x:c r="R58" s="216"/>
      <x:c r="S58" s="216"/>
      <x:c r="T58" s="216"/>
      <x:c r="U58" s="216"/>
      <x:c r="V58" s="216"/>
      <x:c r="W58" s="216"/>
      <x:c r="X58" s="216"/>
      <x:c r="Y58" s="216"/>
      <x:c r="Z58" s="216"/>
    </x:row>
    <x:row r="59">
      <x:c r="A59" s="216"/>
      <x:c r="B59" s="216"/>
      <x:c r="C59" s="216"/>
      <x:c r="D59" s="216"/>
      <x:c r="E59" s="216"/>
      <x:c r="F59" s="216"/>
      <x:c r="G59" s="216"/>
      <x:c r="H59" s="216"/>
      <x:c r="I59" s="216"/>
      <x:c r="J59" s="216"/>
      <x:c r="K59" s="216"/>
      <x:c r="L59" s="216"/>
      <x:c r="M59" s="216"/>
      <x:c r="N59" s="216"/>
      <x:c r="O59" s="216"/>
      <x:c r="P59" s="216"/>
      <x:c r="Q59" s="216"/>
      <x:c r="R59" s="216"/>
      <x:c r="S59" s="216"/>
      <x:c r="T59" s="216"/>
      <x:c r="U59" s="216"/>
      <x:c r="V59" s="216"/>
      <x:c r="W59" s="216"/>
      <x:c r="X59" s="216"/>
      <x:c r="Y59" s="216"/>
      <x:c r="Z59" s="216"/>
    </x:row>
    <x:row r="60">
      <x:c r="A60" s="216"/>
      <x:c r="B60" s="216"/>
      <x:c r="C60" s="216"/>
      <x:c r="D60" s="216"/>
      <x:c r="E60" s="216"/>
      <x:c r="F60" s="216"/>
      <x:c r="G60" s="216"/>
      <x:c r="H60" s="216"/>
      <x:c r="I60" s="216"/>
      <x:c r="J60" s="216"/>
      <x:c r="K60" s="216"/>
      <x:c r="L60" s="216"/>
      <x:c r="M60" s="216"/>
      <x:c r="N60" s="216"/>
      <x:c r="O60" s="216"/>
      <x:c r="P60" s="216"/>
      <x:c r="Q60" s="216"/>
      <x:c r="R60" s="216"/>
      <x:c r="S60" s="216"/>
      <x:c r="T60" s="216"/>
      <x:c r="U60" s="216"/>
      <x:c r="V60" s="216"/>
      <x:c r="W60" s="216"/>
      <x:c r="X60" s="216"/>
      <x:c r="Y60" s="216"/>
      <x:c r="Z60" s="216"/>
    </x:row>
    <x:row r="61">
      <x:c r="A61" s="216"/>
      <x:c r="B61" s="216"/>
      <x:c r="C61" s="216"/>
      <x:c r="D61" s="216"/>
      <x:c r="E61" s="216"/>
      <x:c r="F61" s="216"/>
      <x:c r="G61" s="216"/>
      <x:c r="H61" s="216"/>
      <x:c r="I61" s="216"/>
      <x:c r="J61" s="216"/>
      <x:c r="K61" s="216"/>
      <x:c r="L61" s="216"/>
      <x:c r="M61" s="216"/>
      <x:c r="N61" s="216"/>
      <x:c r="O61" s="216"/>
      <x:c r="P61" s="216"/>
      <x:c r="Q61" s="216"/>
      <x:c r="R61" s="216"/>
      <x:c r="S61" s="216"/>
      <x:c r="T61" s="216"/>
      <x:c r="U61" s="216"/>
      <x:c r="V61" s="216"/>
      <x:c r="W61" s="216"/>
      <x:c r="X61" s="216"/>
      <x:c r="Y61" s="216"/>
      <x:c r="Z61" s="216"/>
    </x:row>
    <x:row r="62">
      <x:c r="A62" s="216"/>
      <x:c r="B62" s="216"/>
      <x:c r="C62" s="216"/>
      <x:c r="D62" s="216"/>
      <x:c r="E62" s="216"/>
      <x:c r="F62" s="216"/>
      <x:c r="G62" s="216"/>
      <x:c r="H62" s="216"/>
      <x:c r="I62" s="216"/>
      <x:c r="J62" s="216"/>
      <x:c r="K62" s="216"/>
      <x:c r="L62" s="216"/>
      <x:c r="M62" s="216"/>
      <x:c r="N62" s="216"/>
      <x:c r="O62" s="216"/>
      <x:c r="P62" s="216"/>
      <x:c r="Q62" s="216"/>
      <x:c r="R62" s="216"/>
      <x:c r="S62" s="216"/>
      <x:c r="T62" s="216"/>
      <x:c r="U62" s="216"/>
      <x:c r="V62" s="216"/>
      <x:c r="W62" s="216"/>
      <x:c r="X62" s="216"/>
      <x:c r="Y62" s="216"/>
      <x:c r="Z62" s="216"/>
    </x:row>
    <x:row r="63">
      <x:c r="A63" s="216"/>
      <x:c r="B63" s="216"/>
      <x:c r="C63" s="216"/>
      <x:c r="D63" s="216"/>
      <x:c r="E63" s="216"/>
      <x:c r="F63" s="216"/>
      <x:c r="G63" s="216"/>
      <x:c r="H63" s="216"/>
      <x:c r="I63" s="216"/>
      <x:c r="J63" s="216"/>
      <x:c r="K63" s="216"/>
      <x:c r="L63" s="216"/>
      <x:c r="M63" s="216"/>
      <x:c r="N63" s="216"/>
      <x:c r="O63" s="216"/>
      <x:c r="P63" s="216"/>
      <x:c r="Q63" s="216"/>
      <x:c r="R63" s="216"/>
      <x:c r="S63" s="216"/>
      <x:c r="T63" s="216"/>
      <x:c r="U63" s="216"/>
      <x:c r="V63" s="216"/>
      <x:c r="W63" s="216"/>
      <x:c r="X63" s="216"/>
      <x:c r="Y63" s="216"/>
      <x:c r="Z63" s="216"/>
    </x:row>
    <x:row r="64">
      <x:c r="A64" s="216"/>
      <x:c r="B64" s="216"/>
      <x:c r="C64" s="216"/>
      <x:c r="D64" s="216"/>
      <x:c r="E64" s="216"/>
      <x:c r="F64" s="216"/>
      <x:c r="G64" s="216"/>
      <x:c r="H64" s="216"/>
      <x:c r="I64" s="216"/>
      <x:c r="J64" s="216"/>
      <x:c r="K64" s="216"/>
      <x:c r="L64" s="216"/>
      <x:c r="M64" s="216"/>
      <x:c r="N64" s="216"/>
      <x:c r="O64" s="216"/>
      <x:c r="P64" s="216"/>
      <x:c r="Q64" s="216"/>
      <x:c r="R64" s="216"/>
      <x:c r="S64" s="216"/>
      <x:c r="T64" s="216"/>
      <x:c r="U64" s="216"/>
      <x:c r="V64" s="216"/>
      <x:c r="W64" s="216"/>
      <x:c r="X64" s="216"/>
      <x:c r="Y64" s="216"/>
      <x:c r="Z64" s="216"/>
    </x:row>
    <x:row r="65">
      <x:c r="A65" s="216"/>
      <x:c r="B65" s="216"/>
      <x:c r="C65" s="216"/>
      <x:c r="D65" s="216"/>
      <x:c r="E65" s="216"/>
      <x:c r="F65" s="216"/>
      <x:c r="G65" s="216"/>
      <x:c r="H65" s="216"/>
      <x:c r="I65" s="216"/>
      <x:c r="J65" s="216"/>
      <x:c r="K65" s="216"/>
      <x:c r="L65" s="216"/>
      <x:c r="M65" s="216"/>
      <x:c r="N65" s="216"/>
      <x:c r="O65" s="216"/>
      <x:c r="P65" s="216"/>
      <x:c r="Q65" s="216"/>
      <x:c r="R65" s="216"/>
      <x:c r="S65" s="216"/>
      <x:c r="T65" s="216"/>
      <x:c r="U65" s="216"/>
      <x:c r="V65" s="216"/>
      <x:c r="W65" s="216"/>
      <x:c r="X65" s="216"/>
      <x:c r="Y65" s="216"/>
      <x:c r="Z65" s="216"/>
    </x:row>
    <x:row r="66">
      <x:c r="A66" s="216"/>
      <x:c r="B66" s="216"/>
      <x:c r="C66" s="216"/>
      <x:c r="D66" s="216"/>
      <x:c r="E66" s="216"/>
      <x:c r="F66" s="216"/>
      <x:c r="G66" s="216"/>
      <x:c r="H66" s="216"/>
      <x:c r="I66" s="216"/>
      <x:c r="J66" s="216"/>
      <x:c r="K66" s="216"/>
      <x:c r="L66" s="216"/>
      <x:c r="M66" s="216"/>
      <x:c r="N66" s="216"/>
      <x:c r="O66" s="216"/>
      <x:c r="P66" s="216"/>
      <x:c r="Q66" s="216"/>
      <x:c r="R66" s="216"/>
      <x:c r="S66" s="216"/>
      <x:c r="T66" s="216"/>
      <x:c r="U66" s="216"/>
      <x:c r="V66" s="216"/>
      <x:c r="W66" s="216"/>
      <x:c r="X66" s="216"/>
      <x:c r="Y66" s="216"/>
      <x:c r="Z66" s="216"/>
    </x:row>
    <x:row r="67">
      <x:c r="A67" s="216"/>
      <x:c r="B67" s="216"/>
      <x:c r="C67" s="216"/>
      <x:c r="D67" s="216"/>
      <x:c r="E67" s="216"/>
      <x:c r="F67" s="216"/>
      <x:c r="G67" s="216"/>
      <x:c r="H67" s="216"/>
      <x:c r="I67" s="216"/>
      <x:c r="J67" s="216"/>
      <x:c r="K67" s="216"/>
      <x:c r="L67" s="216"/>
      <x:c r="M67" s="216"/>
      <x:c r="N67" s="216"/>
      <x:c r="O67" s="216"/>
      <x:c r="P67" s="216"/>
      <x:c r="Q67" s="216"/>
      <x:c r="R67" s="216"/>
      <x:c r="S67" s="216"/>
      <x:c r="T67" s="216"/>
      <x:c r="U67" s="216"/>
      <x:c r="V67" s="216"/>
      <x:c r="W67" s="216"/>
      <x:c r="X67" s="216"/>
      <x:c r="Y67" s="216"/>
      <x:c r="Z67" s="216"/>
    </x:row>
    <x:row r="68">
      <x:c r="A68" s="216"/>
      <x:c r="B68" s="216"/>
      <x:c r="C68" s="216"/>
      <x:c r="D68" s="216"/>
      <x:c r="E68" s="216"/>
      <x:c r="F68" s="216"/>
      <x:c r="G68" s="216"/>
      <x:c r="H68" s="216"/>
      <x:c r="I68" s="216"/>
      <x:c r="J68" s="216"/>
      <x:c r="K68" s="216"/>
      <x:c r="L68" s="216"/>
      <x:c r="M68" s="216"/>
      <x:c r="N68" s="216"/>
      <x:c r="O68" s="216"/>
      <x:c r="P68" s="216"/>
      <x:c r="Q68" s="216"/>
      <x:c r="R68" s="216"/>
      <x:c r="S68" s="216"/>
      <x:c r="T68" s="216"/>
      <x:c r="U68" s="216"/>
      <x:c r="V68" s="216"/>
      <x:c r="W68" s="216"/>
      <x:c r="X68" s="216"/>
      <x:c r="Y68" s="216"/>
      <x:c r="Z68" s="216"/>
    </x:row>
    <x:row r="69">
      <x:c r="A69" s="216"/>
      <x:c r="B69" s="216"/>
      <x:c r="C69" s="216"/>
      <x:c r="D69" s="216"/>
      <x:c r="E69" s="216"/>
      <x:c r="F69" s="216"/>
      <x:c r="G69" s="216"/>
      <x:c r="H69" s="216"/>
      <x:c r="I69" s="216"/>
      <x:c r="J69" s="216"/>
      <x:c r="K69" s="216"/>
      <x:c r="L69" s="216"/>
      <x:c r="M69" s="216"/>
      <x:c r="N69" s="216"/>
      <x:c r="O69" s="216"/>
      <x:c r="P69" s="216"/>
      <x:c r="Q69" s="216"/>
      <x:c r="R69" s="216"/>
      <x:c r="S69" s="216"/>
      <x:c r="T69" s="216"/>
      <x:c r="U69" s="216"/>
      <x:c r="V69" s="216"/>
      <x:c r="W69" s="216"/>
      <x:c r="X69" s="216"/>
      <x:c r="Y69" s="216"/>
      <x:c r="Z69" s="216"/>
    </x:row>
    <x:row r="70">
      <x:c r="A70" s="216"/>
      <x:c r="B70" s="216"/>
      <x:c r="C70" s="216"/>
      <x:c r="D70" s="216"/>
      <x:c r="E70" s="216"/>
      <x:c r="F70" s="216"/>
      <x:c r="G70" s="216"/>
      <x:c r="H70" s="216"/>
      <x:c r="I70" s="216"/>
      <x:c r="J70" s="216"/>
      <x:c r="K70" s="216"/>
      <x:c r="L70" s="216"/>
      <x:c r="M70" s="216"/>
      <x:c r="N70" s="216"/>
      <x:c r="O70" s="216"/>
      <x:c r="P70" s="216"/>
      <x:c r="Q70" s="216"/>
      <x:c r="R70" s="216"/>
      <x:c r="S70" s="216"/>
      <x:c r="T70" s="216"/>
      <x:c r="U70" s="216"/>
      <x:c r="V70" s="216"/>
      <x:c r="W70" s="216"/>
      <x:c r="X70" s="216"/>
      <x:c r="Y70" s="216"/>
      <x:c r="Z70" s="216"/>
    </x:row>
    <x:row r="71">
      <x:c r="A71" s="216"/>
      <x:c r="B71" s="216"/>
      <x:c r="C71" s="216"/>
      <x:c r="D71" s="216"/>
      <x:c r="E71" s="216"/>
      <x:c r="F71" s="216"/>
      <x:c r="G71" s="216"/>
      <x:c r="H71" s="216"/>
      <x:c r="I71" s="216"/>
      <x:c r="J71" s="216"/>
      <x:c r="K71" s="216"/>
      <x:c r="L71" s="216"/>
      <x:c r="M71" s="216"/>
      <x:c r="N71" s="216"/>
      <x:c r="O71" s="216"/>
      <x:c r="P71" s="216"/>
      <x:c r="Q71" s="216"/>
      <x:c r="R71" s="216"/>
      <x:c r="S71" s="216"/>
      <x:c r="T71" s="216"/>
      <x:c r="U71" s="216"/>
      <x:c r="V71" s="216"/>
      <x:c r="W71" s="216"/>
      <x:c r="X71" s="216"/>
      <x:c r="Y71" s="216"/>
      <x:c r="Z71" s="216"/>
    </x:row>
    <x:row r="72">
      <x:c r="A72" s="216"/>
      <x:c r="B72" s="216"/>
      <x:c r="C72" s="216"/>
      <x:c r="D72" s="216"/>
      <x:c r="E72" s="216"/>
      <x:c r="F72" s="216"/>
      <x:c r="G72" s="216"/>
      <x:c r="H72" s="216"/>
      <x:c r="I72" s="216"/>
      <x:c r="J72" s="216"/>
      <x:c r="K72" s="216"/>
      <x:c r="L72" s="216"/>
      <x:c r="M72" s="216"/>
      <x:c r="N72" s="216"/>
      <x:c r="O72" s="216"/>
      <x:c r="P72" s="216"/>
      <x:c r="Q72" s="216"/>
      <x:c r="R72" s="216"/>
      <x:c r="S72" s="216"/>
      <x:c r="T72" s="216"/>
      <x:c r="U72" s="216"/>
      <x:c r="V72" s="216"/>
      <x:c r="W72" s="216"/>
      <x:c r="X72" s="216"/>
      <x:c r="Y72" s="216"/>
      <x:c r="Z72" s="216"/>
    </x:row>
    <x:row r="73">
      <x:c r="A73" s="216"/>
      <x:c r="B73" s="216"/>
      <x:c r="C73" s="216"/>
      <x:c r="D73" s="216"/>
      <x:c r="E73" s="216"/>
      <x:c r="F73" s="216"/>
      <x:c r="G73" s="216"/>
      <x:c r="H73" s="216"/>
      <x:c r="I73" s="216"/>
      <x:c r="J73" s="216"/>
      <x:c r="K73" s="216"/>
      <x:c r="L73" s="216"/>
      <x:c r="M73" s="216"/>
      <x:c r="N73" s="216"/>
      <x:c r="O73" s="216"/>
      <x:c r="P73" s="216"/>
      <x:c r="Q73" s="216"/>
      <x:c r="R73" s="216"/>
      <x:c r="S73" s="216"/>
      <x:c r="T73" s="216"/>
      <x:c r="U73" s="216"/>
      <x:c r="V73" s="216"/>
      <x:c r="W73" s="216"/>
      <x:c r="X73" s="216"/>
      <x:c r="Y73" s="216"/>
      <x:c r="Z73" s="216"/>
    </x:row>
    <x:row r="74">
      <x:c r="A74" s="216"/>
      <x:c r="B74" s="216"/>
      <x:c r="C74" s="216"/>
      <x:c r="D74" s="216"/>
      <x:c r="E74" s="216"/>
      <x:c r="F74" s="216"/>
      <x:c r="G74" s="216"/>
      <x:c r="H74" s="216"/>
      <x:c r="I74" s="216"/>
      <x:c r="J74" s="216"/>
      <x:c r="K74" s="216"/>
      <x:c r="L74" s="216"/>
      <x:c r="M74" s="216"/>
      <x:c r="N74" s="216"/>
      <x:c r="O74" s="216"/>
      <x:c r="P74" s="216"/>
      <x:c r="Q74" s="216"/>
      <x:c r="R74" s="216"/>
      <x:c r="S74" s="216"/>
      <x:c r="T74" s="216"/>
      <x:c r="U74" s="216"/>
      <x:c r="V74" s="216"/>
      <x:c r="W74" s="216"/>
      <x:c r="X74" s="216"/>
      <x:c r="Y74" s="216"/>
      <x:c r="Z74" s="216"/>
    </x:row>
    <x:row r="75">
      <x:c r="A75" s="216"/>
      <x:c r="B75" s="216"/>
      <x:c r="C75" s="216"/>
      <x:c r="D75" s="216"/>
      <x:c r="E75" s="216"/>
      <x:c r="F75" s="216"/>
      <x:c r="G75" s="216"/>
      <x:c r="H75" s="216"/>
      <x:c r="I75" s="216"/>
      <x:c r="J75" s="216"/>
      <x:c r="K75" s="216"/>
      <x:c r="L75" s="216"/>
      <x:c r="M75" s="216"/>
      <x:c r="N75" s="216"/>
      <x:c r="O75" s="216"/>
      <x:c r="P75" s="216"/>
      <x:c r="Q75" s="216"/>
      <x:c r="R75" s="216"/>
      <x:c r="S75" s="216"/>
      <x:c r="T75" s="216"/>
      <x:c r="U75" s="216"/>
      <x:c r="V75" s="216"/>
      <x:c r="W75" s="216"/>
      <x:c r="X75" s="216"/>
      <x:c r="Y75" s="216"/>
      <x:c r="Z75" s="216"/>
    </x:row>
    <x:row r="76">
      <x:c r="A76" s="216"/>
      <x:c r="B76" s="216"/>
      <x:c r="C76" s="216"/>
      <x:c r="D76" s="216"/>
      <x:c r="E76" s="216"/>
      <x:c r="F76" s="216"/>
      <x:c r="G76" s="216"/>
      <x:c r="H76" s="216"/>
      <x:c r="I76" s="216"/>
      <x:c r="J76" s="216"/>
      <x:c r="K76" s="216"/>
      <x:c r="L76" s="216"/>
      <x:c r="M76" s="216"/>
      <x:c r="N76" s="216"/>
      <x:c r="O76" s="216"/>
      <x:c r="P76" s="216"/>
      <x:c r="Q76" s="216"/>
      <x:c r="R76" s="216"/>
      <x:c r="S76" s="216"/>
      <x:c r="T76" s="216"/>
      <x:c r="U76" s="216"/>
      <x:c r="V76" s="216"/>
      <x:c r="W76" s="216"/>
      <x:c r="X76" s="216"/>
      <x:c r="Y76" s="216"/>
      <x:c r="Z76" s="216"/>
    </x:row>
    <x:row r="77">
      <x:c r="A77" s="216"/>
      <x:c r="B77" s="216"/>
      <x:c r="C77" s="216"/>
      <x:c r="D77" s="216"/>
      <x:c r="E77" s="216"/>
      <x:c r="F77" s="216"/>
      <x:c r="G77" s="216"/>
      <x:c r="H77" s="216"/>
      <x:c r="I77" s="216"/>
      <x:c r="J77" s="216"/>
      <x:c r="K77" s="216"/>
      <x:c r="L77" s="216"/>
      <x:c r="M77" s="216"/>
      <x:c r="N77" s="216"/>
      <x:c r="O77" s="216"/>
      <x:c r="P77" s="216"/>
      <x:c r="Q77" s="216"/>
      <x:c r="R77" s="216"/>
      <x:c r="S77" s="216"/>
      <x:c r="T77" s="216"/>
      <x:c r="U77" s="216"/>
      <x:c r="V77" s="216"/>
      <x:c r="W77" s="216"/>
      <x:c r="X77" s="216"/>
      <x:c r="Y77" s="216"/>
      <x:c r="Z77" s="216"/>
    </x:row>
    <x:row r="78">
      <x:c r="A78" s="216"/>
      <x:c r="B78" s="216"/>
      <x:c r="C78" s="216"/>
      <x:c r="D78" s="216"/>
      <x:c r="E78" s="216"/>
      <x:c r="F78" s="216"/>
      <x:c r="G78" s="216"/>
      <x:c r="H78" s="216"/>
      <x:c r="I78" s="216"/>
      <x:c r="J78" s="216"/>
      <x:c r="K78" s="216"/>
      <x:c r="L78" s="216"/>
      <x:c r="M78" s="216"/>
      <x:c r="N78" s="216"/>
      <x:c r="O78" s="216"/>
      <x:c r="P78" s="216"/>
      <x:c r="Q78" s="216"/>
      <x:c r="R78" s="216"/>
      <x:c r="S78" s="216"/>
      <x:c r="T78" s="216"/>
      <x:c r="U78" s="216"/>
      <x:c r="V78" s="216"/>
      <x:c r="W78" s="216"/>
      <x:c r="X78" s="216"/>
      <x:c r="Y78" s="216"/>
      <x:c r="Z78" s="216"/>
    </x:row>
    <x:row r="79">
      <x:c r="A79" s="216"/>
      <x:c r="B79" s="216"/>
      <x:c r="C79" s="216"/>
      <x:c r="D79" s="216"/>
      <x:c r="E79" s="216"/>
      <x:c r="F79" s="216"/>
      <x:c r="G79" s="216"/>
      <x:c r="H79" s="216"/>
      <x:c r="I79" s="216"/>
      <x:c r="J79" s="216"/>
      <x:c r="K79" s="216"/>
      <x:c r="L79" s="216"/>
      <x:c r="M79" s="216"/>
      <x:c r="N79" s="216"/>
      <x:c r="O79" s="216"/>
      <x:c r="P79" s="216"/>
      <x:c r="Q79" s="216"/>
      <x:c r="R79" s="216"/>
      <x:c r="S79" s="216"/>
      <x:c r="T79" s="216"/>
      <x:c r="U79" s="216"/>
      <x:c r="V79" s="216"/>
      <x:c r="W79" s="216"/>
      <x:c r="X79" s="216"/>
      <x:c r="Y79" s="216"/>
      <x:c r="Z79" s="216"/>
    </x:row>
    <x:row r="80">
      <x:c r="A80" s="216"/>
      <x:c r="B80" s="216"/>
      <x:c r="C80" s="216"/>
      <x:c r="D80" s="216"/>
      <x:c r="E80" s="216"/>
      <x:c r="F80" s="216"/>
      <x:c r="G80" s="216"/>
      <x:c r="H80" s="216"/>
      <x:c r="I80" s="216"/>
      <x:c r="J80" s="216"/>
      <x:c r="K80" s="216"/>
      <x:c r="L80" s="216"/>
      <x:c r="M80" s="216"/>
      <x:c r="N80" s="216"/>
      <x:c r="O80" s="216"/>
      <x:c r="P80" s="216"/>
      <x:c r="Q80" s="216"/>
      <x:c r="R80" s="216"/>
      <x:c r="S80" s="216"/>
      <x:c r="T80" s="216"/>
      <x:c r="U80" s="216"/>
      <x:c r="V80" s="216"/>
      <x:c r="W80" s="216"/>
      <x:c r="X80" s="216"/>
      <x:c r="Y80" s="216"/>
      <x:c r="Z80" s="216"/>
    </x:row>
    <x:row r="81">
      <x:c r="A81" s="216"/>
      <x:c r="B81" s="216"/>
      <x:c r="C81" s="216"/>
      <x:c r="D81" s="216"/>
      <x:c r="E81" s="216"/>
      <x:c r="F81" s="216"/>
      <x:c r="G81" s="216"/>
      <x:c r="H81" s="216"/>
      <x:c r="I81" s="216"/>
      <x:c r="J81" s="216"/>
      <x:c r="K81" s="216"/>
      <x:c r="L81" s="216"/>
      <x:c r="M81" s="216"/>
      <x:c r="N81" s="216"/>
      <x:c r="O81" s="216"/>
      <x:c r="P81" s="216"/>
      <x:c r="Q81" s="216"/>
      <x:c r="R81" s="216"/>
      <x:c r="S81" s="216"/>
      <x:c r="T81" s="216"/>
      <x:c r="U81" s="216"/>
      <x:c r="V81" s="216"/>
      <x:c r="W81" s="216"/>
      <x:c r="X81" s="216"/>
      <x:c r="Y81" s="216"/>
      <x:c r="Z81" s="216"/>
    </x:row>
    <x:row r="82">
      <x:c r="A82" s="216"/>
      <x:c r="B82" s="216"/>
      <x:c r="C82" s="216"/>
      <x:c r="D82" s="216"/>
      <x:c r="E82" s="216"/>
      <x:c r="F82" s="216"/>
      <x:c r="G82" s="216"/>
      <x:c r="H82" s="216"/>
      <x:c r="I82" s="216"/>
      <x:c r="J82" s="216"/>
      <x:c r="K82" s="216"/>
      <x:c r="L82" s="216"/>
      <x:c r="M82" s="216"/>
      <x:c r="N82" s="216"/>
      <x:c r="O82" s="216"/>
      <x:c r="P82" s="216"/>
      <x:c r="Q82" s="216"/>
      <x:c r="R82" s="216"/>
      <x:c r="S82" s="216"/>
      <x:c r="T82" s="216"/>
      <x:c r="U82" s="216"/>
      <x:c r="V82" s="216"/>
      <x:c r="W82" s="216"/>
      <x:c r="X82" s="216"/>
      <x:c r="Y82" s="216"/>
      <x:c r="Z82" s="216"/>
    </x:row>
    <x:row r="83">
      <x:c r="A83" s="216"/>
      <x:c r="B83" s="216"/>
      <x:c r="C83" s="216"/>
      <x:c r="D83" s="216"/>
      <x:c r="E83" s="216"/>
      <x:c r="F83" s="216"/>
      <x:c r="G83" s="216"/>
      <x:c r="H83" s="216"/>
      <x:c r="I83" s="216"/>
      <x:c r="J83" s="216"/>
      <x:c r="K83" s="216"/>
      <x:c r="L83" s="216"/>
      <x:c r="M83" s="216"/>
      <x:c r="N83" s="216"/>
      <x:c r="O83" s="216"/>
      <x:c r="P83" s="216"/>
      <x:c r="Q83" s="216"/>
      <x:c r="R83" s="216"/>
      <x:c r="S83" s="216"/>
      <x:c r="T83" s="216"/>
      <x:c r="U83" s="216"/>
      <x:c r="V83" s="216"/>
      <x:c r="W83" s="216"/>
      <x:c r="X83" s="216"/>
      <x:c r="Y83" s="216"/>
      <x:c r="Z83" s="216"/>
    </x:row>
    <x:row r="84">
      <x:c r="A84" s="216"/>
      <x:c r="B84" s="216"/>
      <x:c r="C84" s="216"/>
      <x:c r="D84" s="216"/>
      <x:c r="E84" s="216"/>
      <x:c r="F84" s="216"/>
      <x:c r="G84" s="216"/>
      <x:c r="H84" s="216"/>
      <x:c r="I84" s="216"/>
      <x:c r="J84" s="216"/>
      <x:c r="K84" s="216"/>
      <x:c r="L84" s="216"/>
      <x:c r="M84" s="216"/>
      <x:c r="N84" s="216"/>
      <x:c r="O84" s="216"/>
      <x:c r="P84" s="216"/>
      <x:c r="Q84" s="216"/>
      <x:c r="R84" s="216"/>
      <x:c r="S84" s="216"/>
      <x:c r="T84" s="216"/>
      <x:c r="U84" s="216"/>
      <x:c r="V84" s="216"/>
      <x:c r="W84" s="216"/>
      <x:c r="X84" s="216"/>
      <x:c r="Y84" s="216"/>
      <x:c r="Z84" s="216"/>
    </x:row>
    <x:row r="85">
      <x:c r="A85" s="216"/>
      <x:c r="B85" s="216"/>
      <x:c r="C85" s="216"/>
      <x:c r="D85" s="216"/>
      <x:c r="E85" s="216"/>
      <x:c r="F85" s="216"/>
      <x:c r="G85" s="216"/>
      <x:c r="H85" s="216"/>
      <x:c r="I85" s="216"/>
      <x:c r="J85" s="216"/>
      <x:c r="K85" s="216"/>
      <x:c r="L85" s="216"/>
      <x:c r="M85" s="216"/>
      <x:c r="N85" s="216"/>
      <x:c r="O85" s="216"/>
      <x:c r="P85" s="216"/>
      <x:c r="Q85" s="216"/>
      <x:c r="R85" s="216"/>
      <x:c r="S85" s="216"/>
      <x:c r="T85" s="216"/>
      <x:c r="U85" s="216"/>
      <x:c r="V85" s="216"/>
      <x:c r="W85" s="216"/>
      <x:c r="X85" s="216"/>
      <x:c r="Y85" s="216"/>
      <x:c r="Z85" s="216"/>
    </x:row>
    <x:row r="86">
      <x:c r="A86" s="216"/>
      <x:c r="B86" s="216"/>
      <x:c r="C86" s="216"/>
      <x:c r="D86" s="216"/>
      <x:c r="E86" s="216"/>
      <x:c r="F86" s="216"/>
      <x:c r="G86" s="216"/>
      <x:c r="H86" s="216"/>
      <x:c r="I86" s="216"/>
      <x:c r="J86" s="216"/>
      <x:c r="K86" s="216"/>
      <x:c r="L86" s="216"/>
      <x:c r="M86" s="216"/>
      <x:c r="N86" s="216"/>
      <x:c r="O86" s="216"/>
      <x:c r="P86" s="216"/>
      <x:c r="Q86" s="216"/>
      <x:c r="R86" s="216"/>
      <x:c r="S86" s="216"/>
      <x:c r="T86" s="216"/>
      <x:c r="U86" s="216"/>
      <x:c r="V86" s="216"/>
      <x:c r="W86" s="216"/>
      <x:c r="X86" s="216"/>
      <x:c r="Y86" s="216"/>
      <x:c r="Z86" s="216"/>
    </x:row>
    <x:row r="87">
      <x:c r="A87" s="216"/>
      <x:c r="B87" s="216"/>
      <x:c r="C87" s="216"/>
      <x:c r="D87" s="216"/>
      <x:c r="E87" s="216"/>
      <x:c r="F87" s="216"/>
      <x:c r="G87" s="216"/>
      <x:c r="H87" s="216"/>
      <x:c r="I87" s="216"/>
      <x:c r="J87" s="216"/>
      <x:c r="K87" s="216"/>
      <x:c r="L87" s="216"/>
      <x:c r="M87" s="216"/>
      <x:c r="N87" s="216"/>
      <x:c r="O87" s="216"/>
      <x:c r="P87" s="216"/>
      <x:c r="Q87" s="216"/>
      <x:c r="R87" s="216"/>
      <x:c r="S87" s="216"/>
      <x:c r="T87" s="216"/>
      <x:c r="U87" s="216"/>
      <x:c r="V87" s="216"/>
      <x:c r="W87" s="216"/>
      <x:c r="X87" s="216"/>
      <x:c r="Y87" s="216"/>
      <x:c r="Z87" s="216"/>
    </x:row>
    <x:row r="88">
      <x:c r="A88" s="216"/>
      <x:c r="B88" s="216"/>
      <x:c r="C88" s="216"/>
      <x:c r="D88" s="216"/>
      <x:c r="E88" s="216"/>
      <x:c r="F88" s="216"/>
      <x:c r="G88" s="216"/>
      <x:c r="H88" s="216"/>
      <x:c r="I88" s="216"/>
      <x:c r="J88" s="216"/>
      <x:c r="K88" s="216"/>
      <x:c r="L88" s="216"/>
      <x:c r="M88" s="216"/>
      <x:c r="N88" s="216"/>
      <x:c r="O88" s="216"/>
      <x:c r="P88" s="216"/>
      <x:c r="Q88" s="216"/>
      <x:c r="R88" s="216"/>
      <x:c r="S88" s="216"/>
      <x:c r="T88" s="216"/>
      <x:c r="U88" s="216"/>
      <x:c r="V88" s="216"/>
      <x:c r="W88" s="216"/>
      <x:c r="X88" s="216"/>
      <x:c r="Y88" s="216"/>
      <x:c r="Z88" s="216"/>
    </x:row>
    <x:row r="89">
      <x:c r="A89" s="216"/>
      <x:c r="B89" s="216"/>
      <x:c r="C89" s="216"/>
      <x:c r="D89" s="216"/>
      <x:c r="E89" s="216"/>
      <x:c r="F89" s="216"/>
      <x:c r="G89" s="216"/>
      <x:c r="H89" s="216"/>
      <x:c r="I89" s="216"/>
      <x:c r="J89" s="216"/>
      <x:c r="K89" s="216"/>
      <x:c r="L89" s="216"/>
      <x:c r="M89" s="216"/>
      <x:c r="N89" s="216"/>
      <x:c r="O89" s="216"/>
      <x:c r="P89" s="216"/>
      <x:c r="Q89" s="216"/>
      <x:c r="R89" s="216"/>
      <x:c r="S89" s="216"/>
      <x:c r="T89" s="216"/>
      <x:c r="U89" s="216"/>
      <x:c r="V89" s="216"/>
      <x:c r="W89" s="216"/>
      <x:c r="X89" s="216"/>
      <x:c r="Y89" s="216"/>
      <x:c r="Z89" s="216"/>
    </x:row>
    <x:row r="90">
      <x:c r="A90" s="216"/>
      <x:c r="B90" s="216"/>
      <x:c r="C90" s="216"/>
      <x:c r="D90" s="216"/>
      <x:c r="E90" s="216"/>
      <x:c r="F90" s="216"/>
      <x:c r="G90" s="216"/>
      <x:c r="H90" s="216"/>
      <x:c r="I90" s="216"/>
      <x:c r="J90" s="216"/>
      <x:c r="K90" s="216"/>
      <x:c r="L90" s="216"/>
      <x:c r="M90" s="216"/>
      <x:c r="N90" s="216"/>
      <x:c r="O90" s="216"/>
      <x:c r="P90" s="216"/>
      <x:c r="Q90" s="216"/>
      <x:c r="R90" s="216"/>
      <x:c r="S90" s="216"/>
      <x:c r="T90" s="216"/>
      <x:c r="U90" s="216"/>
      <x:c r="V90" s="216"/>
      <x:c r="W90" s="216"/>
      <x:c r="X90" s="216"/>
      <x:c r="Y90" s="216"/>
      <x:c r="Z90" s="216"/>
    </x:row>
    <x:row r="91">
      <x:c r="A91" s="216"/>
      <x:c r="B91" s="216"/>
      <x:c r="C91" s="216"/>
      <x:c r="D91" s="216"/>
      <x:c r="E91" s="216"/>
      <x:c r="F91" s="216"/>
      <x:c r="G91" s="216"/>
      <x:c r="H91" s="216"/>
      <x:c r="I91" s="216"/>
      <x:c r="J91" s="216"/>
      <x:c r="K91" s="216"/>
      <x:c r="L91" s="216"/>
      <x:c r="M91" s="216"/>
      <x:c r="N91" s="216"/>
      <x:c r="O91" s="216"/>
      <x:c r="P91" s="216"/>
      <x:c r="Q91" s="216"/>
      <x:c r="R91" s="216"/>
      <x:c r="S91" s="216"/>
      <x:c r="T91" s="216"/>
      <x:c r="U91" s="216"/>
      <x:c r="V91" s="216"/>
      <x:c r="W91" s="216"/>
      <x:c r="X91" s="216"/>
      <x:c r="Y91" s="216"/>
      <x:c r="Z91" s="216"/>
    </x:row>
    <x:row r="92">
      <x:c r="A92" s="216"/>
      <x:c r="B92" s="216"/>
      <x:c r="C92" s="216"/>
      <x:c r="D92" s="216"/>
      <x:c r="E92" s="216"/>
      <x:c r="F92" s="216"/>
      <x:c r="G92" s="216"/>
      <x:c r="H92" s="216"/>
      <x:c r="I92" s="216"/>
      <x:c r="J92" s="216"/>
      <x:c r="K92" s="216"/>
      <x:c r="L92" s="216"/>
      <x:c r="M92" s="216"/>
      <x:c r="N92" s="216"/>
      <x:c r="O92" s="216"/>
      <x:c r="P92" s="216"/>
      <x:c r="Q92" s="216"/>
      <x:c r="R92" s="216"/>
      <x:c r="S92" s="216"/>
      <x:c r="T92" s="216"/>
      <x:c r="U92" s="216"/>
      <x:c r="V92" s="216"/>
      <x:c r="W92" s="216"/>
      <x:c r="X92" s="216"/>
      <x:c r="Y92" s="216"/>
      <x:c r="Z92" s="216"/>
    </x:row>
    <x:row r="93">
      <x:c r="A93" s="216"/>
      <x:c r="B93" s="216"/>
      <x:c r="C93" s="216"/>
      <x:c r="D93" s="216"/>
      <x:c r="E93" s="216"/>
      <x:c r="F93" s="216"/>
      <x:c r="G93" s="216"/>
      <x:c r="H93" s="216"/>
      <x:c r="I93" s="216"/>
      <x:c r="J93" s="216"/>
      <x:c r="K93" s="216"/>
      <x:c r="L93" s="216"/>
      <x:c r="M93" s="216"/>
      <x:c r="N93" s="216"/>
      <x:c r="O93" s="216"/>
      <x:c r="P93" s="216"/>
      <x:c r="Q93" s="216"/>
      <x:c r="R93" s="216"/>
      <x:c r="S93" s="216"/>
      <x:c r="T93" s="216"/>
      <x:c r="U93" s="216"/>
      <x:c r="V93" s="216"/>
      <x:c r="W93" s="216"/>
      <x:c r="X93" s="216"/>
      <x:c r="Y93" s="216"/>
      <x:c r="Z93" s="216"/>
    </x:row>
    <x:row r="94">
      <x:c r="A94" s="216"/>
      <x:c r="B94" s="216"/>
      <x:c r="C94" s="216"/>
      <x:c r="D94" s="216"/>
      <x:c r="E94" s="216"/>
      <x:c r="F94" s="216"/>
      <x:c r="G94" s="216"/>
      <x:c r="H94" s="216"/>
      <x:c r="I94" s="216"/>
      <x:c r="J94" s="216"/>
      <x:c r="K94" s="216"/>
      <x:c r="L94" s="216"/>
      <x:c r="M94" s="216"/>
      <x:c r="N94" s="216"/>
      <x:c r="O94" s="216"/>
      <x:c r="P94" s="216"/>
      <x:c r="Q94" s="216"/>
      <x:c r="R94" s="216"/>
      <x:c r="S94" s="216"/>
      <x:c r="T94" s="216"/>
      <x:c r="U94" s="216"/>
      <x:c r="V94" s="216"/>
      <x:c r="W94" s="216"/>
      <x:c r="X94" s="216"/>
      <x:c r="Y94" s="216"/>
      <x:c r="Z94" s="216"/>
    </x:row>
    <x:row r="95">
      <x:c r="A95" s="216"/>
      <x:c r="B95" s="216"/>
      <x:c r="C95" s="216"/>
      <x:c r="D95" s="216"/>
      <x:c r="E95" s="216"/>
      <x:c r="F95" s="216"/>
      <x:c r="G95" s="216"/>
      <x:c r="H95" s="216"/>
      <x:c r="I95" s="216"/>
      <x:c r="J95" s="216"/>
      <x:c r="K95" s="216"/>
      <x:c r="L95" s="216"/>
      <x:c r="M95" s="216"/>
      <x:c r="N95" s="216"/>
      <x:c r="O95" s="216"/>
      <x:c r="P95" s="216"/>
      <x:c r="Q95" s="216"/>
      <x:c r="R95" s="216"/>
      <x:c r="S95" s="216"/>
      <x:c r="T95" s="216"/>
      <x:c r="U95" s="216"/>
      <x:c r="V95" s="216"/>
      <x:c r="W95" s="216"/>
      <x:c r="X95" s="216"/>
      <x:c r="Y95" s="216"/>
      <x:c r="Z95" s="216"/>
    </x:row>
    <x:row r="96">
      <x:c r="A96" s="216"/>
      <x:c r="B96" s="216"/>
      <x:c r="C96" s="216"/>
      <x:c r="D96" s="216"/>
      <x:c r="E96" s="216"/>
      <x:c r="F96" s="216"/>
      <x:c r="G96" s="216"/>
      <x:c r="H96" s="216"/>
      <x:c r="I96" s="216"/>
      <x:c r="J96" s="216"/>
      <x:c r="K96" s="216"/>
      <x:c r="L96" s="216"/>
      <x:c r="M96" s="216"/>
      <x:c r="N96" s="216"/>
      <x:c r="O96" s="216"/>
      <x:c r="P96" s="216"/>
      <x:c r="Q96" s="216"/>
      <x:c r="R96" s="216"/>
      <x:c r="S96" s="216"/>
      <x:c r="T96" s="216"/>
      <x:c r="U96" s="216"/>
      <x:c r="V96" s="216"/>
      <x:c r="W96" s="216"/>
      <x:c r="X96" s="216"/>
      <x:c r="Y96" s="216"/>
      <x:c r="Z96" s="216"/>
    </x:row>
    <x:row r="97">
      <x:c r="A97" s="216"/>
      <x:c r="B97" s="216"/>
      <x:c r="C97" s="216"/>
      <x:c r="D97" s="216"/>
      <x:c r="E97" s="216"/>
      <x:c r="F97" s="216"/>
      <x:c r="G97" s="216"/>
      <x:c r="H97" s="216"/>
      <x:c r="I97" s="216"/>
      <x:c r="J97" s="216"/>
      <x:c r="K97" s="216"/>
      <x:c r="L97" s="216"/>
      <x:c r="M97" s="216"/>
      <x:c r="N97" s="216"/>
      <x:c r="O97" s="216"/>
      <x:c r="P97" s="216"/>
      <x:c r="Q97" s="216"/>
      <x:c r="R97" s="216"/>
      <x:c r="S97" s="216"/>
      <x:c r="T97" s="216"/>
      <x:c r="U97" s="216"/>
      <x:c r="V97" s="216"/>
      <x:c r="W97" s="216"/>
      <x:c r="X97" s="216"/>
      <x:c r="Y97" s="216"/>
      <x:c r="Z97" s="216"/>
    </x:row>
    <x:row r="98">
      <x:c r="A98" s="216"/>
      <x:c r="B98" s="216"/>
      <x:c r="C98" s="216"/>
      <x:c r="D98" s="216"/>
      <x:c r="E98" s="216"/>
      <x:c r="F98" s="216"/>
      <x:c r="G98" s="216"/>
      <x:c r="H98" s="216"/>
      <x:c r="I98" s="216"/>
      <x:c r="J98" s="216"/>
      <x:c r="K98" s="216"/>
      <x:c r="L98" s="216"/>
      <x:c r="M98" s="216"/>
      <x:c r="N98" s="216"/>
      <x:c r="O98" s="216"/>
      <x:c r="P98" s="216"/>
      <x:c r="Q98" s="216"/>
      <x:c r="R98" s="216"/>
      <x:c r="S98" s="216"/>
      <x:c r="T98" s="216"/>
      <x:c r="U98" s="216"/>
      <x:c r="V98" s="216"/>
      <x:c r="W98" s="216"/>
      <x:c r="X98" s="216"/>
      <x:c r="Y98" s="216"/>
      <x:c r="Z98" s="216"/>
    </x:row>
    <x:row r="99">
      <x:c r="A99" s="216"/>
      <x:c r="B99" s="216"/>
      <x:c r="C99" s="216"/>
      <x:c r="D99" s="216"/>
      <x:c r="E99" s="216"/>
      <x:c r="F99" s="216"/>
      <x:c r="G99" s="216"/>
      <x:c r="H99" s="216"/>
      <x:c r="I99" s="216"/>
      <x:c r="J99" s="216"/>
      <x:c r="K99" s="216"/>
      <x:c r="L99" s="216"/>
      <x:c r="M99" s="216"/>
      <x:c r="N99" s="216"/>
      <x:c r="O99" s="216"/>
      <x:c r="P99" s="216"/>
      <x:c r="Q99" s="216"/>
      <x:c r="R99" s="216"/>
      <x:c r="S99" s="216"/>
      <x:c r="T99" s="216"/>
      <x:c r="U99" s="216"/>
      <x:c r="V99" s="216"/>
      <x:c r="W99" s="216"/>
      <x:c r="X99" s="216"/>
      <x:c r="Y99" s="216"/>
      <x:c r="Z99" s="216"/>
    </x:row>
    <x:row r="100">
      <x:c r="A100" s="216"/>
      <x:c r="B100" s="216"/>
      <x:c r="C100" s="216"/>
      <x:c r="D100" s="216"/>
      <x:c r="E100" s="216"/>
      <x:c r="F100" s="216"/>
      <x:c r="G100" s="216"/>
      <x:c r="H100" s="216"/>
      <x:c r="I100" s="216"/>
      <x:c r="J100" s="216"/>
      <x:c r="K100" s="216"/>
      <x:c r="L100" s="216"/>
      <x:c r="M100" s="216"/>
      <x:c r="N100" s="216"/>
      <x:c r="O100" s="216"/>
      <x:c r="P100" s="216"/>
      <x:c r="Q100" s="216"/>
      <x:c r="R100" s="216"/>
      <x:c r="S100" s="216"/>
      <x:c r="T100" s="216"/>
      <x:c r="U100" s="216"/>
      <x:c r="V100" s="216"/>
      <x:c r="W100" s="216"/>
      <x:c r="X100" s="216"/>
      <x:c r="Y100" s="216"/>
      <x:c r="Z100" s="216"/>
    </x:row>
    <x:row r="101">
      <x:c r="A101" s="216"/>
      <x:c r="B101" s="216"/>
      <x:c r="C101" s="216"/>
      <x:c r="D101" s="216"/>
      <x:c r="E101" s="216"/>
      <x:c r="F101" s="216"/>
      <x:c r="G101" s="216"/>
      <x:c r="H101" s="216"/>
      <x:c r="I101" s="216"/>
      <x:c r="J101" s="216"/>
      <x:c r="K101" s="216"/>
      <x:c r="L101" s="216"/>
      <x:c r="M101" s="216"/>
      <x:c r="N101" s="216"/>
      <x:c r="O101" s="216"/>
      <x:c r="P101" s="216"/>
      <x:c r="Q101" s="216"/>
      <x:c r="R101" s="216"/>
      <x:c r="S101" s="216"/>
      <x:c r="T101" s="216"/>
      <x:c r="U101" s="216"/>
      <x:c r="V101" s="216"/>
      <x:c r="W101" s="216"/>
      <x:c r="X101" s="216"/>
      <x:c r="Y101" s="216"/>
      <x:c r="Z101" s="216"/>
    </x:row>
    <x:row r="102">
      <x:c r="A102" s="216"/>
      <x:c r="B102" s="216"/>
      <x:c r="C102" s="216"/>
      <x:c r="D102" s="216"/>
      <x:c r="E102" s="216"/>
      <x:c r="F102" s="216"/>
      <x:c r="G102" s="216"/>
      <x:c r="H102" s="216"/>
      <x:c r="I102" s="216"/>
      <x:c r="J102" s="216"/>
      <x:c r="K102" s="216"/>
      <x:c r="L102" s="216"/>
      <x:c r="M102" s="216"/>
      <x:c r="N102" s="216"/>
      <x:c r="O102" s="216"/>
      <x:c r="P102" s="216"/>
      <x:c r="Q102" s="216"/>
      <x:c r="R102" s="216"/>
      <x:c r="S102" s="216"/>
      <x:c r="T102" s="216"/>
      <x:c r="U102" s="216"/>
      <x:c r="V102" s="216"/>
      <x:c r="W102" s="216"/>
      <x:c r="X102" s="216"/>
      <x:c r="Y102" s="216"/>
      <x:c r="Z102" s="216"/>
    </x:row>
    <x:row r="103">
      <x:c r="A103" s="216"/>
      <x:c r="B103" s="216"/>
      <x:c r="C103" s="216"/>
      <x:c r="D103" s="216"/>
      <x:c r="E103" s="216"/>
      <x:c r="F103" s="216"/>
      <x:c r="G103" s="216"/>
      <x:c r="H103" s="216"/>
      <x:c r="I103" s="216"/>
      <x:c r="J103" s="216"/>
      <x:c r="K103" s="216"/>
      <x:c r="L103" s="216"/>
      <x:c r="M103" s="216"/>
      <x:c r="N103" s="216"/>
      <x:c r="O103" s="216"/>
      <x:c r="P103" s="216"/>
      <x:c r="Q103" s="216"/>
      <x:c r="R103" s="216"/>
      <x:c r="S103" s="216"/>
      <x:c r="T103" s="216"/>
      <x:c r="U103" s="216"/>
      <x:c r="V103" s="216"/>
      <x:c r="W103" s="216"/>
      <x:c r="X103" s="216"/>
      <x:c r="Y103" s="216"/>
      <x:c r="Z103" s="216"/>
    </x:row>
    <x:row r="104">
      <x:c r="A104" s="216"/>
      <x:c r="B104" s="216"/>
      <x:c r="C104" s="216"/>
      <x:c r="D104" s="216"/>
      <x:c r="E104" s="216"/>
      <x:c r="F104" s="216"/>
      <x:c r="G104" s="216"/>
      <x:c r="H104" s="216"/>
      <x:c r="I104" s="216"/>
      <x:c r="J104" s="216"/>
      <x:c r="K104" s="216"/>
      <x:c r="L104" s="216"/>
      <x:c r="M104" s="216"/>
      <x:c r="N104" s="216"/>
      <x:c r="O104" s="216"/>
      <x:c r="P104" s="216"/>
      <x:c r="Q104" s="216"/>
      <x:c r="R104" s="216"/>
      <x:c r="S104" s="216"/>
      <x:c r="T104" s="216"/>
      <x:c r="U104" s="216"/>
      <x:c r="V104" s="216"/>
      <x:c r="W104" s="216"/>
      <x:c r="X104" s="216"/>
      <x:c r="Y104" s="216"/>
      <x:c r="Z104" s="216"/>
    </x:row>
    <x:row r="105">
      <x:c r="A105" s="216"/>
      <x:c r="B105" s="216"/>
      <x:c r="C105" s="216"/>
      <x:c r="D105" s="216"/>
      <x:c r="E105" s="216"/>
      <x:c r="F105" s="216"/>
      <x:c r="G105" s="216"/>
      <x:c r="H105" s="216"/>
      <x:c r="I105" s="216"/>
      <x:c r="J105" s="216"/>
      <x:c r="K105" s="216"/>
      <x:c r="L105" s="216"/>
      <x:c r="M105" s="216"/>
      <x:c r="N105" s="216"/>
      <x:c r="O105" s="216"/>
      <x:c r="P105" s="216"/>
      <x:c r="Q105" s="216"/>
      <x:c r="R105" s="216"/>
      <x:c r="S105" s="216"/>
      <x:c r="T105" s="216"/>
      <x:c r="U105" s="216"/>
      <x:c r="V105" s="216"/>
      <x:c r="W105" s="216"/>
      <x:c r="X105" s="216"/>
      <x:c r="Y105" s="216"/>
      <x:c r="Z105" s="216"/>
    </x:row>
    <x:row r="106">
      <x:c r="A106" s="216"/>
      <x:c r="B106" s="216"/>
      <x:c r="C106" s="216"/>
      <x:c r="D106" s="216"/>
      <x:c r="E106" s="216"/>
      <x:c r="F106" s="216"/>
      <x:c r="G106" s="216"/>
      <x:c r="H106" s="216"/>
      <x:c r="I106" s="216"/>
      <x:c r="J106" s="216"/>
      <x:c r="K106" s="216"/>
      <x:c r="L106" s="216"/>
      <x:c r="M106" s="216"/>
      <x:c r="N106" s="216"/>
      <x:c r="O106" s="216"/>
      <x:c r="P106" s="216"/>
      <x:c r="Q106" s="216"/>
      <x:c r="R106" s="216"/>
      <x:c r="S106" s="216"/>
      <x:c r="T106" s="216"/>
      <x:c r="U106" s="216"/>
      <x:c r="V106" s="216"/>
      <x:c r="W106" s="216"/>
      <x:c r="X106" s="216"/>
      <x:c r="Y106" s="216"/>
      <x:c r="Z106" s="216"/>
    </x:row>
    <x:row r="107">
      <x:c r="A107" s="216"/>
      <x:c r="B107" s="216"/>
      <x:c r="C107" s="216"/>
      <x:c r="D107" s="216"/>
      <x:c r="E107" s="216"/>
      <x:c r="F107" s="216"/>
      <x:c r="G107" s="216"/>
      <x:c r="H107" s="216"/>
      <x:c r="I107" s="216"/>
      <x:c r="J107" s="216"/>
      <x:c r="K107" s="216"/>
      <x:c r="L107" s="216"/>
      <x:c r="M107" s="216"/>
      <x:c r="N107" s="216"/>
      <x:c r="O107" s="216"/>
      <x:c r="P107" s="216"/>
      <x:c r="Q107" s="216"/>
      <x:c r="R107" s="216"/>
      <x:c r="S107" s="216"/>
      <x:c r="T107" s="216"/>
      <x:c r="U107" s="216"/>
      <x:c r="V107" s="216"/>
      <x:c r="W107" s="216"/>
      <x:c r="X107" s="216"/>
      <x:c r="Y107" s="216"/>
      <x:c r="Z107" s="216"/>
    </x:row>
    <x:row r="108">
      <x:c r="A108" s="216"/>
      <x:c r="B108" s="216"/>
      <x:c r="C108" s="216"/>
      <x:c r="D108" s="216"/>
      <x:c r="E108" s="216"/>
      <x:c r="F108" s="216"/>
      <x:c r="G108" s="216"/>
      <x:c r="H108" s="216"/>
      <x:c r="I108" s="216"/>
      <x:c r="J108" s="216"/>
      <x:c r="K108" s="216"/>
      <x:c r="L108" s="216"/>
      <x:c r="M108" s="216"/>
      <x:c r="N108" s="216"/>
      <x:c r="O108" s="216"/>
      <x:c r="P108" s="216"/>
      <x:c r="Q108" s="216"/>
      <x:c r="R108" s="216"/>
      <x:c r="S108" s="216"/>
      <x:c r="T108" s="216"/>
      <x:c r="U108" s="216"/>
      <x:c r="V108" s="216"/>
      <x:c r="W108" s="216"/>
      <x:c r="X108" s="216"/>
      <x:c r="Y108" s="216"/>
      <x:c r="Z108" s="216"/>
    </x:row>
    <x:row r="109">
      <x:c r="A109" s="216"/>
      <x:c r="B109" s="216"/>
      <x:c r="C109" s="216"/>
      <x:c r="D109" s="216"/>
      <x:c r="E109" s="216"/>
      <x:c r="F109" s="216"/>
      <x:c r="G109" s="216"/>
      <x:c r="H109" s="216"/>
      <x:c r="I109" s="216"/>
      <x:c r="J109" s="216"/>
      <x:c r="K109" s="216"/>
      <x:c r="L109" s="216"/>
      <x:c r="M109" s="216"/>
      <x:c r="N109" s="216"/>
      <x:c r="O109" s="216"/>
      <x:c r="P109" s="216"/>
      <x:c r="Q109" s="216"/>
      <x:c r="R109" s="216"/>
      <x:c r="S109" s="216"/>
      <x:c r="T109" s="216"/>
      <x:c r="U109" s="216"/>
      <x:c r="V109" s="216"/>
      <x:c r="W109" s="216"/>
      <x:c r="X109" s="216"/>
      <x:c r="Y109" s="216"/>
      <x:c r="Z109" s="216"/>
    </x:row>
    <x:row r="110">
      <x:c r="A110" s="216"/>
      <x:c r="B110" s="216"/>
      <x:c r="C110" s="216"/>
      <x:c r="D110" s="216"/>
      <x:c r="E110" s="216"/>
      <x:c r="F110" s="216"/>
      <x:c r="G110" s="216"/>
      <x:c r="H110" s="216"/>
      <x:c r="I110" s="216"/>
      <x:c r="J110" s="216"/>
      <x:c r="K110" s="216"/>
      <x:c r="L110" s="216"/>
      <x:c r="M110" s="216"/>
      <x:c r="N110" s="216"/>
      <x:c r="O110" s="216"/>
      <x:c r="P110" s="216"/>
      <x:c r="Q110" s="216"/>
      <x:c r="R110" s="216"/>
      <x:c r="S110" s="216"/>
      <x:c r="T110" s="216"/>
      <x:c r="U110" s="216"/>
      <x:c r="V110" s="216"/>
      <x:c r="W110" s="216"/>
      <x:c r="X110" s="216"/>
      <x:c r="Y110" s="216"/>
      <x:c r="Z110" s="216"/>
    </x:row>
    <x:row r="111">
      <x:c r="A111" s="216"/>
      <x:c r="B111" s="216"/>
      <x:c r="C111" s="216"/>
      <x:c r="D111" s="216"/>
      <x:c r="E111" s="216"/>
      <x:c r="F111" s="216"/>
      <x:c r="G111" s="216"/>
      <x:c r="H111" s="216"/>
      <x:c r="I111" s="216"/>
      <x:c r="J111" s="216"/>
      <x:c r="K111" s="216"/>
      <x:c r="L111" s="216"/>
      <x:c r="M111" s="216"/>
      <x:c r="N111" s="216"/>
      <x:c r="O111" s="216"/>
      <x:c r="P111" s="216"/>
      <x:c r="Q111" s="216"/>
      <x:c r="R111" s="216"/>
      <x:c r="S111" s="216"/>
      <x:c r="T111" s="216"/>
      <x:c r="U111" s="216"/>
      <x:c r="V111" s="216"/>
      <x:c r="W111" s="216"/>
      <x:c r="X111" s="216"/>
      <x:c r="Y111" s="216"/>
      <x:c r="Z111" s="216"/>
    </x:row>
    <x:row r="112">
      <x:c r="A112" s="216"/>
      <x:c r="B112" s="216"/>
      <x:c r="C112" s="216"/>
      <x:c r="D112" s="216"/>
      <x:c r="E112" s="216"/>
      <x:c r="F112" s="216"/>
      <x:c r="G112" s="216"/>
      <x:c r="H112" s="216"/>
      <x:c r="I112" s="216"/>
      <x:c r="J112" s="216"/>
      <x:c r="K112" s="216"/>
      <x:c r="L112" s="216"/>
      <x:c r="M112" s="216"/>
      <x:c r="N112" s="216"/>
      <x:c r="O112" s="216"/>
      <x:c r="P112" s="216"/>
      <x:c r="Q112" s="216"/>
      <x:c r="R112" s="216"/>
      <x:c r="S112" s="216"/>
      <x:c r="T112" s="216"/>
      <x:c r="U112" s="216"/>
      <x:c r="V112" s="216"/>
      <x:c r="W112" s="216"/>
      <x:c r="X112" s="216"/>
      <x:c r="Y112" s="216"/>
      <x:c r="Z112" s="216"/>
    </x:row>
    <x:row r="113">
      <x:c r="A113" s="216"/>
      <x:c r="B113" s="216"/>
      <x:c r="C113" s="216"/>
      <x:c r="D113" s="216"/>
      <x:c r="E113" s="216"/>
      <x:c r="F113" s="216"/>
      <x:c r="G113" s="216"/>
      <x:c r="H113" s="216"/>
      <x:c r="I113" s="216"/>
      <x:c r="J113" s="216"/>
      <x:c r="K113" s="216"/>
      <x:c r="L113" s="216"/>
      <x:c r="M113" s="216"/>
      <x:c r="N113" s="216"/>
      <x:c r="O113" s="216"/>
      <x:c r="P113" s="216"/>
      <x:c r="Q113" s="216"/>
      <x:c r="R113" s="216"/>
      <x:c r="S113" s="216"/>
      <x:c r="T113" s="216"/>
      <x:c r="U113" s="216"/>
      <x:c r="V113" s="216"/>
      <x:c r="W113" s="216"/>
      <x:c r="X113" s="216"/>
      <x:c r="Y113" s="216"/>
      <x:c r="Z113" s="216"/>
    </x:row>
    <x:row r="114">
      <x:c r="A114" s="216"/>
      <x:c r="B114" s="216"/>
      <x:c r="C114" s="216"/>
      <x:c r="D114" s="216"/>
      <x:c r="E114" s="216"/>
      <x:c r="F114" s="216"/>
      <x:c r="G114" s="216"/>
      <x:c r="H114" s="216"/>
      <x:c r="I114" s="216"/>
      <x:c r="J114" s="216"/>
      <x:c r="K114" s="216"/>
      <x:c r="L114" s="216"/>
      <x:c r="M114" s="216"/>
      <x:c r="N114" s="216"/>
      <x:c r="O114" s="216"/>
      <x:c r="P114" s="216"/>
      <x:c r="Q114" s="216"/>
      <x:c r="R114" s="216"/>
      <x:c r="S114" s="216"/>
      <x:c r="T114" s="216"/>
      <x:c r="U114" s="216"/>
      <x:c r="V114" s="216"/>
      <x:c r="W114" s="216"/>
      <x:c r="X114" s="216"/>
      <x:c r="Y114" s="216"/>
      <x:c r="Z114" s="216"/>
    </x:row>
    <x:row r="115">
      <x:c r="A115" s="216"/>
      <x:c r="B115" s="216"/>
      <x:c r="C115" s="216"/>
      <x:c r="D115" s="216"/>
      <x:c r="E115" s="216"/>
      <x:c r="F115" s="216"/>
      <x:c r="G115" s="216"/>
      <x:c r="H115" s="216"/>
      <x:c r="I115" s="216"/>
      <x:c r="J115" s="216"/>
      <x:c r="K115" s="216"/>
      <x:c r="L115" s="216"/>
      <x:c r="M115" s="216"/>
      <x:c r="N115" s="216"/>
      <x:c r="O115" s="216"/>
      <x:c r="P115" s="216"/>
      <x:c r="Q115" s="216"/>
      <x:c r="R115" s="216"/>
      <x:c r="S115" s="216"/>
      <x:c r="T115" s="216"/>
      <x:c r="U115" s="216"/>
      <x:c r="V115" s="216"/>
      <x:c r="W115" s="216"/>
      <x:c r="X115" s="216"/>
      <x:c r="Y115" s="216"/>
      <x:c r="Z115" s="216"/>
    </x:row>
    <x:row r="116">
      <x:c r="A116" s="216"/>
      <x:c r="B116" s="216"/>
      <x:c r="C116" s="216"/>
      <x:c r="D116" s="216"/>
      <x:c r="E116" s="216"/>
      <x:c r="F116" s="216"/>
      <x:c r="G116" s="216"/>
      <x:c r="H116" s="216"/>
      <x:c r="I116" s="216"/>
      <x:c r="J116" s="216"/>
      <x:c r="K116" s="216"/>
      <x:c r="L116" s="216"/>
      <x:c r="M116" s="216"/>
      <x:c r="N116" s="216"/>
      <x:c r="O116" s="216"/>
      <x:c r="P116" s="216"/>
      <x:c r="Q116" s="216"/>
      <x:c r="R116" s="216"/>
      <x:c r="S116" s="216"/>
      <x:c r="T116" s="216"/>
      <x:c r="U116" s="216"/>
      <x:c r="V116" s="216"/>
      <x:c r="W116" s="216"/>
      <x:c r="X116" s="216"/>
      <x:c r="Y116" s="216"/>
      <x:c r="Z116" s="216"/>
    </x:row>
    <x:row r="117">
      <x:c r="A117" s="216"/>
      <x:c r="B117" s="216"/>
      <x:c r="C117" s="216"/>
      <x:c r="D117" s="216"/>
      <x:c r="E117" s="216"/>
      <x:c r="F117" s="216"/>
      <x:c r="G117" s="216"/>
      <x:c r="H117" s="216"/>
      <x:c r="I117" s="216"/>
      <x:c r="J117" s="216"/>
      <x:c r="K117" s="216"/>
      <x:c r="L117" s="216"/>
      <x:c r="M117" s="216"/>
      <x:c r="N117" s="216"/>
      <x:c r="O117" s="216"/>
      <x:c r="P117" s="216"/>
      <x:c r="Q117" s="216"/>
      <x:c r="R117" s="216"/>
      <x:c r="S117" s="216"/>
      <x:c r="T117" s="216"/>
      <x:c r="U117" s="216"/>
      <x:c r="V117" s="216"/>
      <x:c r="W117" s="216"/>
      <x:c r="X117" s="216"/>
      <x:c r="Y117" s="216"/>
      <x:c r="Z117" s="216"/>
    </x:row>
    <x:row r="118">
      <x:c r="A118" s="216"/>
      <x:c r="B118" s="216"/>
      <x:c r="C118" s="216"/>
      <x:c r="D118" s="216"/>
      <x:c r="E118" s="216"/>
      <x:c r="F118" s="216"/>
      <x:c r="G118" s="216"/>
      <x:c r="H118" s="216"/>
      <x:c r="I118" s="216"/>
      <x:c r="J118" s="216"/>
      <x:c r="K118" s="216"/>
      <x:c r="L118" s="216"/>
      <x:c r="M118" s="216"/>
      <x:c r="N118" s="216"/>
      <x:c r="O118" s="216"/>
      <x:c r="P118" s="216"/>
      <x:c r="Q118" s="216"/>
      <x:c r="R118" s="216"/>
      <x:c r="S118" s="216"/>
      <x:c r="T118" s="216"/>
      <x:c r="U118" s="216"/>
      <x:c r="V118" s="216"/>
      <x:c r="W118" s="216"/>
      <x:c r="X118" s="216"/>
      <x:c r="Y118" s="216"/>
      <x:c r="Z118" s="216"/>
    </x:row>
    <x:row r="119">
      <x:c r="A119" s="216"/>
      <x:c r="B119" s="216"/>
      <x:c r="C119" s="216"/>
      <x:c r="D119" s="216"/>
      <x:c r="E119" s="216"/>
      <x:c r="F119" s="216"/>
      <x:c r="G119" s="216"/>
      <x:c r="H119" s="216"/>
      <x:c r="I119" s="216"/>
      <x:c r="J119" s="216"/>
      <x:c r="K119" s="216"/>
      <x:c r="L119" s="216"/>
      <x:c r="M119" s="216"/>
      <x:c r="N119" s="216"/>
      <x:c r="O119" s="216"/>
      <x:c r="P119" s="216"/>
      <x:c r="Q119" s="216"/>
      <x:c r="R119" s="216"/>
      <x:c r="S119" s="216"/>
      <x:c r="T119" s="216"/>
      <x:c r="U119" s="216"/>
      <x:c r="V119" s="216"/>
      <x:c r="W119" s="216"/>
      <x:c r="X119" s="216"/>
      <x:c r="Y119" s="216"/>
      <x:c r="Z119" s="216"/>
    </x:row>
    <x:row r="120">
      <x:c r="A120" s="216"/>
      <x:c r="B120" s="216"/>
      <x:c r="C120" s="216"/>
      <x:c r="D120" s="216"/>
      <x:c r="E120" s="216"/>
      <x:c r="F120" s="216"/>
      <x:c r="G120" s="216"/>
      <x:c r="H120" s="216"/>
      <x:c r="I120" s="216"/>
      <x:c r="J120" s="216"/>
      <x:c r="K120" s="216"/>
      <x:c r="L120" s="216"/>
      <x:c r="M120" s="216"/>
      <x:c r="N120" s="216"/>
      <x:c r="O120" s="216"/>
      <x:c r="P120" s="216"/>
      <x:c r="Q120" s="216"/>
      <x:c r="R120" s="216"/>
      <x:c r="S120" s="216"/>
      <x:c r="T120" s="216"/>
      <x:c r="U120" s="216"/>
      <x:c r="V120" s="216"/>
      <x:c r="W120" s="216"/>
      <x:c r="X120" s="216"/>
      <x:c r="Y120" s="216"/>
      <x:c r="Z120" s="216"/>
    </x:row>
    <x:row r="121">
      <x:c r="A121" s="216"/>
      <x:c r="B121" s="216"/>
      <x:c r="C121" s="216"/>
      <x:c r="D121" s="216"/>
      <x:c r="E121" s="216"/>
      <x:c r="F121" s="216"/>
      <x:c r="G121" s="216"/>
      <x:c r="H121" s="216"/>
      <x:c r="I121" s="216"/>
      <x:c r="J121" s="216"/>
      <x:c r="K121" s="216"/>
      <x:c r="L121" s="216"/>
      <x:c r="M121" s="216"/>
      <x:c r="N121" s="216"/>
      <x:c r="O121" s="216"/>
      <x:c r="P121" s="216"/>
      <x:c r="Q121" s="216"/>
      <x:c r="R121" s="216"/>
      <x:c r="S121" s="216"/>
      <x:c r="T121" s="216"/>
      <x:c r="U121" s="216"/>
      <x:c r="V121" s="216"/>
      <x:c r="W121" s="216"/>
      <x:c r="X121" s="216"/>
      <x:c r="Y121" s="216"/>
      <x:c r="Z121" s="216"/>
    </x:row>
    <x:row r="122">
      <x:c r="A122" s="216"/>
      <x:c r="B122" s="216"/>
      <x:c r="C122" s="216"/>
      <x:c r="D122" s="216"/>
      <x:c r="E122" s="216"/>
      <x:c r="F122" s="216"/>
      <x:c r="G122" s="216"/>
      <x:c r="H122" s="216"/>
      <x:c r="I122" s="216"/>
      <x:c r="J122" s="216"/>
      <x:c r="K122" s="216"/>
      <x:c r="L122" s="216"/>
      <x:c r="M122" s="216"/>
      <x:c r="N122" s="216"/>
      <x:c r="O122" s="216"/>
      <x:c r="P122" s="216"/>
      <x:c r="Q122" s="216"/>
      <x:c r="R122" s="216"/>
      <x:c r="S122" s="216"/>
      <x:c r="T122" s="216"/>
      <x:c r="U122" s="216"/>
      <x:c r="V122" s="216"/>
      <x:c r="W122" s="216"/>
      <x:c r="X122" s="216"/>
      <x:c r="Y122" s="216"/>
      <x:c r="Z122" s="216"/>
    </x:row>
    <x:row r="123">
      <x:c r="A123" s="216"/>
      <x:c r="B123" s="216"/>
      <x:c r="C123" s="216"/>
      <x:c r="D123" s="216"/>
      <x:c r="E123" s="216"/>
      <x:c r="F123" s="216"/>
      <x:c r="G123" s="216"/>
      <x:c r="H123" s="216"/>
      <x:c r="I123" s="216"/>
      <x:c r="J123" s="216"/>
      <x:c r="K123" s="216"/>
      <x:c r="L123" s="216"/>
      <x:c r="M123" s="216"/>
      <x:c r="N123" s="216"/>
      <x:c r="O123" s="216"/>
      <x:c r="P123" s="216"/>
      <x:c r="Q123" s="216"/>
      <x:c r="R123" s="216"/>
      <x:c r="S123" s="216"/>
      <x:c r="T123" s="216"/>
      <x:c r="U123" s="216"/>
      <x:c r="V123" s="216"/>
      <x:c r="W123" s="216"/>
      <x:c r="X123" s="216"/>
      <x:c r="Y123" s="216"/>
      <x:c r="Z123" s="216"/>
    </x:row>
    <x:row r="124">
      <x:c r="A124" s="216"/>
      <x:c r="B124" s="216"/>
      <x:c r="C124" s="216"/>
      <x:c r="D124" s="216"/>
      <x:c r="E124" s="216"/>
      <x:c r="F124" s="216"/>
      <x:c r="G124" s="216"/>
      <x:c r="H124" s="216"/>
      <x:c r="I124" s="216"/>
      <x:c r="J124" s="216"/>
      <x:c r="K124" s="216"/>
      <x:c r="L124" s="216"/>
      <x:c r="M124" s="216"/>
      <x:c r="N124" s="216"/>
      <x:c r="O124" s="216"/>
      <x:c r="P124" s="216"/>
      <x:c r="Q124" s="216"/>
      <x:c r="R124" s="216"/>
      <x:c r="S124" s="216"/>
      <x:c r="T124" s="216"/>
      <x:c r="U124" s="216"/>
      <x:c r="V124" s="216"/>
      <x:c r="W124" s="216"/>
      <x:c r="X124" s="216"/>
      <x:c r="Y124" s="216"/>
      <x:c r="Z124" s="216"/>
    </x:row>
    <x:row r="125">
      <x:c r="A125" s="216"/>
      <x:c r="B125" s="216"/>
      <x:c r="C125" s="216"/>
      <x:c r="D125" s="216"/>
      <x:c r="E125" s="216"/>
      <x:c r="F125" s="216"/>
      <x:c r="G125" s="216"/>
      <x:c r="H125" s="216"/>
      <x:c r="I125" s="216"/>
      <x:c r="J125" s="216"/>
      <x:c r="K125" s="216"/>
      <x:c r="L125" s="216"/>
      <x:c r="M125" s="216"/>
      <x:c r="N125" s="216"/>
      <x:c r="O125" s="216"/>
      <x:c r="P125" s="216"/>
      <x:c r="Q125" s="216"/>
      <x:c r="R125" s="216"/>
      <x:c r="S125" s="216"/>
      <x:c r="T125" s="216"/>
      <x:c r="U125" s="216"/>
      <x:c r="V125" s="216"/>
      <x:c r="W125" s="216"/>
      <x:c r="X125" s="216"/>
      <x:c r="Y125" s="216"/>
      <x:c r="Z125" s="216"/>
    </x:row>
    <x:row r="126">
      <x:c r="A126" s="216"/>
      <x:c r="B126" s="216"/>
      <x:c r="C126" s="216"/>
      <x:c r="D126" s="216"/>
      <x:c r="E126" s="216"/>
      <x:c r="F126" s="216"/>
      <x:c r="G126" s="216"/>
      <x:c r="H126" s="216"/>
      <x:c r="I126" s="216"/>
      <x:c r="J126" s="216"/>
      <x:c r="K126" s="216"/>
      <x:c r="L126" s="216"/>
      <x:c r="M126" s="216"/>
      <x:c r="N126" s="216"/>
      <x:c r="O126" s="216"/>
      <x:c r="P126" s="216"/>
      <x:c r="Q126" s="216"/>
      <x:c r="R126" s="216"/>
      <x:c r="S126" s="216"/>
      <x:c r="T126" s="216"/>
      <x:c r="U126" s="216"/>
      <x:c r="V126" s="216"/>
      <x:c r="W126" s="216"/>
      <x:c r="X126" s="216"/>
      <x:c r="Y126" s="216"/>
      <x:c r="Z126" s="216"/>
    </x:row>
    <x:row r="127">
      <x:c r="A127" s="216"/>
      <x:c r="B127" s="216"/>
      <x:c r="C127" s="216"/>
      <x:c r="D127" s="216"/>
      <x:c r="E127" s="216"/>
      <x:c r="F127" s="216"/>
      <x:c r="G127" s="216"/>
      <x:c r="H127" s="216"/>
      <x:c r="I127" s="216"/>
      <x:c r="J127" s="216"/>
      <x:c r="K127" s="216"/>
      <x:c r="L127" s="216"/>
      <x:c r="M127" s="216"/>
      <x:c r="N127" s="216"/>
      <x:c r="O127" s="216"/>
      <x:c r="P127" s="216"/>
      <x:c r="Q127" s="216"/>
      <x:c r="R127" s="216"/>
      <x:c r="S127" s="216"/>
      <x:c r="T127" s="216"/>
      <x:c r="U127" s="216"/>
      <x:c r="V127" s="216"/>
      <x:c r="W127" s="216"/>
      <x:c r="X127" s="216"/>
      <x:c r="Y127" s="216"/>
      <x:c r="Z127" s="216"/>
    </x:row>
    <x:row r="128">
      <x:c r="A128" s="216"/>
      <x:c r="B128" s="216"/>
      <x:c r="C128" s="216"/>
      <x:c r="D128" s="216"/>
      <x:c r="E128" s="216"/>
      <x:c r="F128" s="216"/>
      <x:c r="G128" s="216"/>
      <x:c r="H128" s="216"/>
      <x:c r="I128" s="216"/>
      <x:c r="J128" s="216"/>
      <x:c r="K128" s="216"/>
      <x:c r="L128" s="216"/>
      <x:c r="M128" s="216"/>
      <x:c r="N128" s="216"/>
      <x:c r="O128" s="216"/>
      <x:c r="P128" s="216"/>
      <x:c r="Q128" s="216"/>
      <x:c r="R128" s="216"/>
      <x:c r="S128" s="216"/>
      <x:c r="T128" s="216"/>
      <x:c r="U128" s="216"/>
      <x:c r="V128" s="216"/>
      <x:c r="W128" s="216"/>
      <x:c r="X128" s="216"/>
      <x:c r="Y128" s="216"/>
      <x:c r="Z128" s="216"/>
    </x:row>
    <x:row r="129">
      <x:c r="A129" s="216"/>
      <x:c r="B129" s="216"/>
      <x:c r="C129" s="216"/>
      <x:c r="D129" s="216"/>
      <x:c r="E129" s="216"/>
      <x:c r="F129" s="216"/>
      <x:c r="G129" s="216"/>
      <x:c r="H129" s="216"/>
      <x:c r="I129" s="216"/>
      <x:c r="J129" s="216"/>
      <x:c r="K129" s="216"/>
      <x:c r="L129" s="216"/>
      <x:c r="M129" s="216"/>
      <x:c r="N129" s="216"/>
      <x:c r="O129" s="216"/>
      <x:c r="P129" s="216"/>
      <x:c r="Q129" s="216"/>
      <x:c r="R129" s="216"/>
      <x:c r="S129" s="216"/>
      <x:c r="T129" s="216"/>
      <x:c r="U129" s="216"/>
      <x:c r="V129" s="216"/>
      <x:c r="W129" s="216"/>
      <x:c r="X129" s="216"/>
      <x:c r="Y129" s="216"/>
      <x:c r="Z129" s="216"/>
    </x:row>
    <x:row r="130">
      <x:c r="A130" s="216"/>
      <x:c r="B130" s="216"/>
      <x:c r="C130" s="216"/>
      <x:c r="D130" s="216"/>
      <x:c r="E130" s="216"/>
      <x:c r="F130" s="216"/>
      <x:c r="G130" s="216"/>
      <x:c r="H130" s="216"/>
      <x:c r="I130" s="216"/>
      <x:c r="J130" s="216"/>
      <x:c r="K130" s="216"/>
      <x:c r="L130" s="216"/>
      <x:c r="M130" s="216"/>
      <x:c r="N130" s="216"/>
      <x:c r="O130" s="216"/>
      <x:c r="P130" s="216"/>
      <x:c r="Q130" s="216"/>
      <x:c r="R130" s="216"/>
      <x:c r="S130" s="216"/>
      <x:c r="T130" s="216"/>
      <x:c r="U130" s="216"/>
      <x:c r="V130" s="216"/>
      <x:c r="W130" s="216"/>
      <x:c r="X130" s="216"/>
      <x:c r="Y130" s="216"/>
      <x:c r="Z130" s="216"/>
    </x:row>
    <x:row r="131">
      <x:c r="A131" s="216"/>
      <x:c r="B131" s="216"/>
      <x:c r="C131" s="216"/>
      <x:c r="D131" s="216"/>
      <x:c r="E131" s="216"/>
      <x:c r="F131" s="216"/>
      <x:c r="G131" s="216"/>
      <x:c r="H131" s="216"/>
      <x:c r="I131" s="216"/>
      <x:c r="J131" s="216"/>
      <x:c r="K131" s="216"/>
      <x:c r="L131" s="216"/>
      <x:c r="M131" s="216"/>
      <x:c r="N131" s="216"/>
      <x:c r="O131" s="216"/>
      <x:c r="P131" s="216"/>
      <x:c r="Q131" s="216"/>
      <x:c r="R131" s="216"/>
      <x:c r="S131" s="216"/>
      <x:c r="T131" s="216"/>
      <x:c r="U131" s="216"/>
      <x:c r="V131" s="216"/>
      <x:c r="W131" s="216"/>
      <x:c r="X131" s="216"/>
      <x:c r="Y131" s="216"/>
      <x:c r="Z131" s="216"/>
    </x:row>
    <x:row r="132">
      <x:c r="A132" s="216"/>
      <x:c r="B132" s="216"/>
      <x:c r="C132" s="216"/>
      <x:c r="D132" s="216"/>
      <x:c r="E132" s="216"/>
      <x:c r="F132" s="216"/>
      <x:c r="G132" s="216"/>
      <x:c r="H132" s="216"/>
      <x:c r="I132" s="216"/>
      <x:c r="J132" s="216"/>
      <x:c r="K132" s="216"/>
      <x:c r="L132" s="216"/>
      <x:c r="M132" s="216"/>
      <x:c r="N132" s="216"/>
      <x:c r="O132" s="216"/>
      <x:c r="P132" s="216"/>
      <x:c r="Q132" s="216"/>
      <x:c r="R132" s="216"/>
      <x:c r="S132" s="216"/>
      <x:c r="T132" s="216"/>
      <x:c r="U132" s="216"/>
      <x:c r="V132" s="216"/>
      <x:c r="W132" s="216"/>
      <x:c r="X132" s="216"/>
      <x:c r="Y132" s="216"/>
      <x:c r="Z132" s="216"/>
    </x:row>
    <x:row r="133">
      <x:c r="A133" s="216"/>
      <x:c r="B133" s="216"/>
      <x:c r="C133" s="216"/>
      <x:c r="D133" s="216"/>
      <x:c r="E133" s="216"/>
      <x:c r="F133" s="216"/>
      <x:c r="G133" s="216"/>
      <x:c r="H133" s="216"/>
      <x:c r="I133" s="216"/>
      <x:c r="J133" s="216"/>
      <x:c r="K133" s="216"/>
      <x:c r="L133" s="216"/>
      <x:c r="M133" s="216"/>
      <x:c r="N133" s="216"/>
      <x:c r="O133" s="216"/>
      <x:c r="P133" s="216"/>
      <x:c r="Q133" s="216"/>
      <x:c r="R133" s="216"/>
      <x:c r="S133" s="216"/>
      <x:c r="T133" s="216"/>
      <x:c r="U133" s="216"/>
      <x:c r="V133" s="216"/>
      <x:c r="W133" s="216"/>
      <x:c r="X133" s="216"/>
      <x:c r="Y133" s="216"/>
      <x:c r="Z133" s="216"/>
    </x:row>
    <x:row r="134">
      <x:c r="A134" s="216"/>
      <x:c r="B134" s="216"/>
      <x:c r="C134" s="216"/>
      <x:c r="D134" s="216"/>
      <x:c r="E134" s="216"/>
      <x:c r="F134" s="216"/>
      <x:c r="G134" s="216"/>
      <x:c r="H134" s="216"/>
      <x:c r="I134" s="216"/>
      <x:c r="J134" s="216"/>
      <x:c r="K134" s="216"/>
      <x:c r="L134" s="216"/>
      <x:c r="M134" s="216"/>
      <x:c r="N134" s="216"/>
      <x:c r="O134" s="216"/>
      <x:c r="P134" s="216"/>
      <x:c r="Q134" s="216"/>
      <x:c r="R134" s="216"/>
      <x:c r="S134" s="216"/>
      <x:c r="T134" s="216"/>
      <x:c r="U134" s="216"/>
      <x:c r="V134" s="216"/>
      <x:c r="W134" s="216"/>
      <x:c r="X134" s="216"/>
      <x:c r="Y134" s="216"/>
      <x:c r="Z134" s="216"/>
    </x:row>
    <x:row r="135">
      <x:c r="A135" s="216"/>
      <x:c r="B135" s="216"/>
      <x:c r="C135" s="216"/>
      <x:c r="D135" s="216"/>
      <x:c r="E135" s="216"/>
      <x:c r="F135" s="216"/>
      <x:c r="G135" s="216"/>
      <x:c r="H135" s="216"/>
      <x:c r="I135" s="216"/>
      <x:c r="J135" s="216"/>
      <x:c r="K135" s="216"/>
      <x:c r="L135" s="216"/>
      <x:c r="M135" s="216"/>
      <x:c r="N135" s="216"/>
      <x:c r="O135" s="216"/>
      <x:c r="P135" s="216"/>
      <x:c r="Q135" s="216"/>
      <x:c r="R135" s="216"/>
      <x:c r="S135" s="216"/>
      <x:c r="T135" s="216"/>
      <x:c r="U135" s="216"/>
      <x:c r="V135" s="216"/>
      <x:c r="W135" s="216"/>
      <x:c r="X135" s="216"/>
      <x:c r="Y135" s="216"/>
      <x:c r="Z135" s="216"/>
    </x:row>
    <x:row r="136">
      <x:c r="A136" s="216"/>
      <x:c r="B136" s="216"/>
      <x:c r="C136" s="216"/>
      <x:c r="D136" s="216"/>
      <x:c r="E136" s="216"/>
      <x:c r="F136" s="216"/>
      <x:c r="G136" s="216"/>
      <x:c r="H136" s="216"/>
      <x:c r="I136" s="216"/>
      <x:c r="J136" s="216"/>
      <x:c r="K136" s="216"/>
      <x:c r="L136" s="216"/>
      <x:c r="M136" s="216"/>
      <x:c r="N136" s="216"/>
      <x:c r="O136" s="216"/>
      <x:c r="P136" s="216"/>
      <x:c r="Q136" s="216"/>
      <x:c r="R136" s="216"/>
      <x:c r="S136" s="216"/>
      <x:c r="T136" s="216"/>
      <x:c r="U136" s="216"/>
      <x:c r="V136" s="216"/>
      <x:c r="W136" s="216"/>
      <x:c r="X136" s="216"/>
      <x:c r="Y136" s="216"/>
      <x:c r="Z136" s="216"/>
    </x:row>
    <x:row r="137">
      <x:c r="A137" s="216"/>
      <x:c r="B137" s="216"/>
      <x:c r="C137" s="216"/>
      <x:c r="D137" s="216"/>
      <x:c r="E137" s="216"/>
      <x:c r="F137" s="216"/>
      <x:c r="G137" s="216"/>
      <x:c r="H137" s="216"/>
      <x:c r="I137" s="216"/>
      <x:c r="J137" s="216"/>
      <x:c r="K137" s="216"/>
      <x:c r="L137" s="216"/>
      <x:c r="M137" s="216"/>
      <x:c r="N137" s="216"/>
      <x:c r="O137" s="216"/>
      <x:c r="P137" s="216"/>
      <x:c r="Q137" s="216"/>
      <x:c r="R137" s="216"/>
      <x:c r="S137" s="216"/>
      <x:c r="T137" s="216"/>
      <x:c r="U137" s="216"/>
      <x:c r="V137" s="216"/>
      <x:c r="W137" s="216"/>
      <x:c r="X137" s="216"/>
      <x:c r="Y137" s="216"/>
      <x:c r="Z137" s="216"/>
    </x:row>
    <x:row r="138">
      <x:c r="A138" s="216"/>
      <x:c r="B138" s="216"/>
      <x:c r="C138" s="216"/>
      <x:c r="D138" s="216"/>
      <x:c r="E138" s="216"/>
      <x:c r="F138" s="216"/>
      <x:c r="G138" s="216"/>
      <x:c r="H138" s="216"/>
      <x:c r="I138" s="216"/>
      <x:c r="J138" s="216"/>
      <x:c r="K138" s="216"/>
      <x:c r="L138" s="216"/>
      <x:c r="M138" s="216"/>
      <x:c r="N138" s="216"/>
      <x:c r="O138" s="216"/>
      <x:c r="P138" s="216"/>
      <x:c r="Q138" s="216"/>
      <x:c r="R138" s="216"/>
      <x:c r="S138" s="216"/>
      <x:c r="T138" s="216"/>
      <x:c r="U138" s="216"/>
      <x:c r="V138" s="216"/>
      <x:c r="W138" s="216"/>
      <x:c r="X138" s="216"/>
      <x:c r="Y138" s="216"/>
      <x:c r="Z138" s="216"/>
    </x:row>
    <x:row r="139">
      <x:c r="A139" s="216"/>
      <x:c r="B139" s="216"/>
      <x:c r="C139" s="216"/>
      <x:c r="D139" s="216"/>
      <x:c r="E139" s="216"/>
      <x:c r="F139" s="216"/>
      <x:c r="G139" s="216"/>
      <x:c r="H139" s="216"/>
      <x:c r="I139" s="216"/>
      <x:c r="J139" s="216"/>
      <x:c r="K139" s="216"/>
      <x:c r="L139" s="216"/>
      <x:c r="M139" s="216"/>
      <x:c r="N139" s="216"/>
      <x:c r="O139" s="216"/>
      <x:c r="P139" s="216"/>
      <x:c r="Q139" s="216"/>
      <x:c r="R139" s="216"/>
      <x:c r="S139" s="216"/>
      <x:c r="T139" s="216"/>
      <x:c r="U139" s="216"/>
      <x:c r="V139" s="216"/>
      <x:c r="W139" s="216"/>
      <x:c r="X139" s="216"/>
      <x:c r="Y139" s="216"/>
      <x:c r="Z139" s="216"/>
    </x:row>
    <x:row r="140">
      <x:c r="A140" s="216"/>
      <x:c r="B140" s="216"/>
      <x:c r="C140" s="216"/>
      <x:c r="D140" s="216"/>
      <x:c r="E140" s="216"/>
      <x:c r="F140" s="216"/>
      <x:c r="G140" s="216"/>
      <x:c r="H140" s="216"/>
      <x:c r="I140" s="216"/>
      <x:c r="J140" s="216"/>
      <x:c r="K140" s="216"/>
      <x:c r="L140" s="216"/>
      <x:c r="M140" s="216"/>
      <x:c r="N140" s="216"/>
      <x:c r="O140" s="216"/>
      <x:c r="P140" s="216"/>
      <x:c r="Q140" s="216"/>
      <x:c r="R140" s="216"/>
      <x:c r="S140" s="216"/>
      <x:c r="T140" s="216"/>
      <x:c r="U140" s="216"/>
      <x:c r="V140" s="216"/>
      <x:c r="W140" s="216"/>
      <x:c r="X140" s="216"/>
      <x:c r="Y140" s="216"/>
      <x:c r="Z140" s="216"/>
    </x:row>
    <x:row r="141">
      <x:c r="A141" s="216"/>
      <x:c r="B141" s="216"/>
      <x:c r="C141" s="216"/>
      <x:c r="D141" s="216"/>
      <x:c r="E141" s="216"/>
      <x:c r="F141" s="216"/>
      <x:c r="G141" s="216"/>
      <x:c r="H141" s="216"/>
      <x:c r="I141" s="216"/>
      <x:c r="J141" s="216"/>
      <x:c r="K141" s="216"/>
      <x:c r="L141" s="216"/>
      <x:c r="M141" s="216"/>
      <x:c r="N141" s="216"/>
      <x:c r="O141" s="216"/>
      <x:c r="P141" s="216"/>
      <x:c r="Q141" s="216"/>
      <x:c r="R141" s="216"/>
      <x:c r="S141" s="216"/>
      <x:c r="T141" s="216"/>
      <x:c r="U141" s="216"/>
      <x:c r="V141" s="216"/>
      <x:c r="W141" s="216"/>
      <x:c r="X141" s="216"/>
      <x:c r="Y141" s="216"/>
      <x:c r="Z141" s="216"/>
    </x:row>
    <x:row r="142">
      <x:c r="A142" s="216"/>
      <x:c r="B142" s="216"/>
      <x:c r="C142" s="216"/>
      <x:c r="D142" s="216"/>
      <x:c r="E142" s="216"/>
      <x:c r="F142" s="216"/>
      <x:c r="G142" s="216"/>
      <x:c r="H142" s="216"/>
      <x:c r="I142" s="216"/>
      <x:c r="J142" s="216"/>
      <x:c r="K142" s="216"/>
      <x:c r="L142" s="216"/>
      <x:c r="M142" s="216"/>
      <x:c r="N142" s="216"/>
      <x:c r="O142" s="216"/>
      <x:c r="P142" s="216"/>
      <x:c r="Q142" s="216"/>
      <x:c r="R142" s="216"/>
      <x:c r="S142" s="216"/>
      <x:c r="T142" s="216"/>
      <x:c r="U142" s="216"/>
      <x:c r="V142" s="216"/>
      <x:c r="W142" s="216"/>
      <x:c r="X142" s="216"/>
      <x:c r="Y142" s="216"/>
      <x:c r="Z142" s="216"/>
    </x:row>
    <x:row r="143">
      <x:c r="A143" s="216"/>
      <x:c r="B143" s="216"/>
      <x:c r="C143" s="216"/>
      <x:c r="D143" s="216"/>
      <x:c r="E143" s="216"/>
      <x:c r="F143" s="216"/>
      <x:c r="G143" s="216"/>
      <x:c r="H143" s="216"/>
      <x:c r="I143" s="216"/>
      <x:c r="J143" s="216"/>
      <x:c r="K143" s="216"/>
      <x:c r="L143" s="216"/>
      <x:c r="M143" s="216"/>
      <x:c r="N143" s="216"/>
      <x:c r="O143" s="216"/>
      <x:c r="P143" s="216"/>
      <x:c r="Q143" s="216"/>
      <x:c r="R143" s="216"/>
      <x:c r="S143" s="216"/>
      <x:c r="T143" s="216"/>
      <x:c r="U143" s="216"/>
      <x:c r="V143" s="216"/>
      <x:c r="W143" s="216"/>
      <x:c r="X143" s="216"/>
      <x:c r="Y143" s="216"/>
      <x:c r="Z143" s="216"/>
    </x:row>
    <x:row r="144">
      <x:c r="A144" s="216"/>
      <x:c r="B144" s="216"/>
      <x:c r="C144" s="216"/>
      <x:c r="D144" s="216"/>
      <x:c r="E144" s="216"/>
      <x:c r="F144" s="216"/>
      <x:c r="G144" s="216"/>
      <x:c r="H144" s="216"/>
      <x:c r="I144" s="216"/>
      <x:c r="J144" s="216"/>
      <x:c r="K144" s="216"/>
      <x:c r="L144" s="216"/>
      <x:c r="M144" s="216"/>
      <x:c r="N144" s="216"/>
      <x:c r="O144" s="216"/>
      <x:c r="P144" s="216"/>
      <x:c r="Q144" s="216"/>
      <x:c r="R144" s="216"/>
      <x:c r="S144" s="216"/>
      <x:c r="T144" s="216"/>
      <x:c r="U144" s="216"/>
      <x:c r="V144" s="216"/>
      <x:c r="W144" s="216"/>
      <x:c r="X144" s="216"/>
      <x:c r="Y144" s="216"/>
      <x:c r="Z144" s="216"/>
    </x:row>
    <x:row r="145">
      <x:c r="A145" s="216"/>
      <x:c r="B145" s="216"/>
      <x:c r="C145" s="216"/>
      <x:c r="D145" s="216"/>
      <x:c r="E145" s="216"/>
      <x:c r="F145" s="216"/>
      <x:c r="G145" s="216"/>
      <x:c r="H145" s="216"/>
      <x:c r="I145" s="216"/>
      <x:c r="J145" s="216"/>
      <x:c r="K145" s="216"/>
      <x:c r="L145" s="216"/>
      <x:c r="M145" s="216"/>
      <x:c r="N145" s="216"/>
      <x:c r="O145" s="216"/>
      <x:c r="P145" s="216"/>
      <x:c r="Q145" s="216"/>
      <x:c r="R145" s="216"/>
      <x:c r="S145" s="216"/>
      <x:c r="T145" s="216"/>
      <x:c r="U145" s="216"/>
      <x:c r="V145" s="216"/>
      <x:c r="W145" s="216"/>
      <x:c r="X145" s="216"/>
      <x:c r="Y145" s="216"/>
      <x:c r="Z145" s="216"/>
    </x:row>
    <x:row r="146">
      <x:c r="A146" s="216"/>
      <x:c r="B146" s="216"/>
      <x:c r="C146" s="216"/>
      <x:c r="D146" s="216"/>
      <x:c r="E146" s="216"/>
      <x:c r="F146" s="216"/>
      <x:c r="G146" s="216"/>
      <x:c r="H146" s="216"/>
      <x:c r="I146" s="216"/>
      <x:c r="J146" s="216"/>
      <x:c r="K146" s="216"/>
      <x:c r="L146" s="216"/>
      <x:c r="M146" s="216"/>
      <x:c r="N146" s="216"/>
      <x:c r="O146" s="216"/>
      <x:c r="P146" s="216"/>
      <x:c r="Q146" s="216"/>
      <x:c r="R146" s="216"/>
      <x:c r="S146" s="216"/>
      <x:c r="T146" s="216"/>
      <x:c r="U146" s="216"/>
      <x:c r="V146" s="216"/>
      <x:c r="W146" s="216"/>
      <x:c r="X146" s="216"/>
      <x:c r="Y146" s="216"/>
      <x:c r="Z146" s="216"/>
    </x:row>
    <x:row r="147">
      <x:c r="A147" s="216"/>
      <x:c r="B147" s="216"/>
      <x:c r="C147" s="216"/>
      <x:c r="D147" s="216"/>
      <x:c r="E147" s="216"/>
      <x:c r="F147" s="216"/>
      <x:c r="G147" s="216"/>
      <x:c r="H147" s="216"/>
      <x:c r="I147" s="216"/>
      <x:c r="J147" s="216"/>
      <x:c r="K147" s="216"/>
      <x:c r="L147" s="216"/>
      <x:c r="M147" s="216"/>
      <x:c r="N147" s="216"/>
      <x:c r="O147" s="216"/>
      <x:c r="P147" s="216"/>
      <x:c r="Q147" s="216"/>
      <x:c r="R147" s="216"/>
      <x:c r="S147" s="216"/>
      <x:c r="T147" s="216"/>
      <x:c r="U147" s="216"/>
      <x:c r="V147" s="216"/>
      <x:c r="W147" s="216"/>
      <x:c r="X147" s="216"/>
      <x:c r="Y147" s="216"/>
      <x:c r="Z147" s="216"/>
    </x:row>
    <x:row r="148">
      <x:c r="A148" s="216"/>
      <x:c r="B148" s="216"/>
      <x:c r="C148" s="216"/>
      <x:c r="D148" s="216"/>
      <x:c r="E148" s="216"/>
      <x:c r="F148" s="216"/>
      <x:c r="G148" s="216"/>
      <x:c r="H148" s="216"/>
      <x:c r="I148" s="216"/>
      <x:c r="J148" s="216"/>
      <x:c r="K148" s="216"/>
      <x:c r="L148" s="216"/>
      <x:c r="M148" s="216"/>
      <x:c r="N148" s="216"/>
      <x:c r="O148" s="216"/>
      <x:c r="P148" s="216"/>
      <x:c r="Q148" s="216"/>
      <x:c r="R148" s="216"/>
      <x:c r="S148" s="216"/>
      <x:c r="T148" s="216"/>
      <x:c r="U148" s="216"/>
      <x:c r="V148" s="216"/>
      <x:c r="W148" s="216"/>
      <x:c r="X148" s="216"/>
      <x:c r="Y148" s="216"/>
      <x:c r="Z148" s="216"/>
    </x:row>
    <x:row r="149">
      <x:c r="A149" s="216"/>
      <x:c r="B149" s="216"/>
      <x:c r="C149" s="216"/>
      <x:c r="D149" s="216"/>
      <x:c r="E149" s="216"/>
      <x:c r="F149" s="216"/>
      <x:c r="G149" s="216"/>
      <x:c r="H149" s="216"/>
      <x:c r="I149" s="216"/>
      <x:c r="J149" s="216"/>
      <x:c r="K149" s="216"/>
      <x:c r="L149" s="216"/>
      <x:c r="M149" s="216"/>
      <x:c r="N149" s="216"/>
      <x:c r="O149" s="216"/>
      <x:c r="P149" s="216"/>
      <x:c r="Q149" s="216"/>
      <x:c r="R149" s="216"/>
      <x:c r="S149" s="216"/>
      <x:c r="T149" s="216"/>
      <x:c r="U149" s="216"/>
      <x:c r="V149" s="216"/>
      <x:c r="W149" s="216"/>
      <x:c r="X149" s="216"/>
      <x:c r="Y149" s="216"/>
      <x:c r="Z149" s="216"/>
    </x:row>
    <x:row r="150">
      <x:c r="A150" s="216"/>
      <x:c r="B150" s="216"/>
      <x:c r="C150" s="216"/>
      <x:c r="D150" s="216"/>
      <x:c r="E150" s="216"/>
      <x:c r="F150" s="216"/>
      <x:c r="G150" s="216"/>
      <x:c r="H150" s="216"/>
      <x:c r="I150" s="216"/>
      <x:c r="J150" s="216"/>
      <x:c r="K150" s="216"/>
      <x:c r="L150" s="216"/>
      <x:c r="M150" s="216"/>
      <x:c r="N150" s="216"/>
      <x:c r="O150" s="216"/>
      <x:c r="P150" s="216"/>
      <x:c r="Q150" s="216"/>
      <x:c r="R150" s="216"/>
      <x:c r="S150" s="216"/>
      <x:c r="T150" s="216"/>
      <x:c r="U150" s="216"/>
      <x:c r="V150" s="216"/>
      <x:c r="W150" s="216"/>
      <x:c r="X150" s="216"/>
      <x:c r="Y150" s="216"/>
      <x:c r="Z150" s="216"/>
    </x:row>
    <x:row r="151">
      <x:c r="A151" s="216"/>
      <x:c r="B151" s="216"/>
      <x:c r="C151" s="216"/>
      <x:c r="D151" s="216"/>
      <x:c r="E151" s="216"/>
      <x:c r="F151" s="216"/>
      <x:c r="G151" s="216"/>
      <x:c r="H151" s="216"/>
      <x:c r="I151" s="216"/>
      <x:c r="J151" s="216"/>
      <x:c r="K151" s="216"/>
      <x:c r="L151" s="216"/>
      <x:c r="M151" s="216"/>
      <x:c r="N151" s="216"/>
      <x:c r="O151" s="216"/>
      <x:c r="P151" s="216"/>
      <x:c r="Q151" s="216"/>
      <x:c r="R151" s="216"/>
      <x:c r="S151" s="216"/>
      <x:c r="T151" s="216"/>
      <x:c r="U151" s="216"/>
      <x:c r="V151" s="216"/>
      <x:c r="W151" s="216"/>
      <x:c r="X151" s="216"/>
      <x:c r="Y151" s="216"/>
      <x:c r="Z151" s="216"/>
    </x:row>
    <x:row r="152">
      <x:c r="A152" s="216"/>
      <x:c r="B152" s="216"/>
      <x:c r="C152" s="216"/>
      <x:c r="D152" s="216"/>
      <x:c r="E152" s="216"/>
      <x:c r="F152" s="216"/>
      <x:c r="G152" s="216"/>
      <x:c r="H152" s="216"/>
      <x:c r="I152" s="216"/>
      <x:c r="J152" s="216"/>
      <x:c r="K152" s="216"/>
      <x:c r="L152" s="216"/>
      <x:c r="M152" s="216"/>
      <x:c r="N152" s="216"/>
      <x:c r="O152" s="216"/>
      <x:c r="P152" s="216"/>
      <x:c r="Q152" s="216"/>
      <x:c r="R152" s="216"/>
      <x:c r="S152" s="216"/>
      <x:c r="T152" s="216"/>
      <x:c r="U152" s="216"/>
      <x:c r="V152" s="216"/>
      <x:c r="W152" s="216"/>
      <x:c r="X152" s="216"/>
      <x:c r="Y152" s="216"/>
      <x:c r="Z152" s="216"/>
    </x:row>
    <x:row r="153">
      <x:c r="A153" s="216"/>
      <x:c r="B153" s="216"/>
      <x:c r="C153" s="216"/>
      <x:c r="D153" s="216"/>
      <x:c r="E153" s="216"/>
      <x:c r="F153" s="216"/>
      <x:c r="G153" s="216"/>
      <x:c r="H153" s="216"/>
      <x:c r="I153" s="216"/>
      <x:c r="J153" s="216"/>
      <x:c r="K153" s="216"/>
      <x:c r="L153" s="216"/>
      <x:c r="M153" s="216"/>
      <x:c r="N153" s="216"/>
      <x:c r="O153" s="216"/>
      <x:c r="P153" s="216"/>
      <x:c r="Q153" s="216"/>
      <x:c r="R153" s="216"/>
      <x:c r="S153" s="216"/>
      <x:c r="T153" s="216"/>
      <x:c r="U153" s="216"/>
      <x:c r="V153" s="216"/>
      <x:c r="W153" s="216"/>
      <x:c r="X153" s="216"/>
      <x:c r="Y153" s="216"/>
      <x:c r="Z153" s="216"/>
    </x:row>
    <x:row r="154">
      <x:c r="A154" s="216"/>
      <x:c r="B154" s="216"/>
      <x:c r="C154" s="216"/>
      <x:c r="D154" s="216"/>
      <x:c r="E154" s="216"/>
      <x:c r="F154" s="216"/>
      <x:c r="G154" s="216"/>
      <x:c r="H154" s="216"/>
      <x:c r="I154" s="216"/>
      <x:c r="J154" s="216"/>
      <x:c r="K154" s="216"/>
      <x:c r="L154" s="216"/>
      <x:c r="M154" s="216"/>
      <x:c r="N154" s="216"/>
      <x:c r="O154" s="216"/>
      <x:c r="P154" s="216"/>
      <x:c r="Q154" s="216"/>
      <x:c r="R154" s="216"/>
      <x:c r="S154" s="216"/>
      <x:c r="T154" s="216"/>
      <x:c r="U154" s="216"/>
      <x:c r="V154" s="216"/>
      <x:c r="W154" s="216"/>
      <x:c r="X154" s="216"/>
      <x:c r="Y154" s="216"/>
      <x:c r="Z154" s="216"/>
    </x:row>
    <x:row r="155">
      <x:c r="A155" s="216"/>
      <x:c r="B155" s="216"/>
      <x:c r="C155" s="216"/>
      <x:c r="D155" s="216"/>
      <x:c r="E155" s="216"/>
      <x:c r="F155" s="216"/>
      <x:c r="G155" s="216"/>
      <x:c r="H155" s="216"/>
      <x:c r="I155" s="216"/>
      <x:c r="J155" s="216"/>
      <x:c r="K155" s="216"/>
      <x:c r="L155" s="216"/>
      <x:c r="M155" s="216"/>
      <x:c r="N155" s="216"/>
      <x:c r="O155" s="216"/>
      <x:c r="P155" s="216"/>
      <x:c r="Q155" s="216"/>
      <x:c r="R155" s="216"/>
      <x:c r="S155" s="216"/>
      <x:c r="T155" s="216"/>
      <x:c r="U155" s="216"/>
      <x:c r="V155" s="216"/>
      <x:c r="W155" s="216"/>
      <x:c r="X155" s="216"/>
      <x:c r="Y155" s="216"/>
      <x:c r="Z155" s="216"/>
    </x:row>
    <x:row r="156">
      <x:c r="A156" s="216"/>
      <x:c r="B156" s="216"/>
      <x:c r="C156" s="216"/>
      <x:c r="D156" s="216"/>
      <x:c r="E156" s="216"/>
      <x:c r="F156" s="216"/>
      <x:c r="G156" s="216"/>
      <x:c r="H156" s="216"/>
      <x:c r="I156" s="216"/>
      <x:c r="J156" s="216"/>
      <x:c r="K156" s="216"/>
      <x:c r="L156" s="216"/>
      <x:c r="M156" s="216"/>
      <x:c r="N156" s="216"/>
      <x:c r="O156" s="216"/>
      <x:c r="P156" s="216"/>
      <x:c r="Q156" s="216"/>
      <x:c r="R156" s="216"/>
      <x:c r="S156" s="216"/>
      <x:c r="T156" s="216"/>
      <x:c r="U156" s="216"/>
      <x:c r="V156" s="216"/>
      <x:c r="W156" s="216"/>
      <x:c r="X156" s="216"/>
      <x:c r="Y156" s="216"/>
      <x:c r="Z156" s="216"/>
    </x:row>
    <x:row r="157">
      <x:c r="A157" s="216"/>
      <x:c r="B157" s="216"/>
      <x:c r="C157" s="216"/>
      <x:c r="D157" s="216"/>
      <x:c r="E157" s="216"/>
      <x:c r="F157" s="216"/>
      <x:c r="G157" s="216"/>
      <x:c r="H157" s="216"/>
      <x:c r="I157" s="216"/>
      <x:c r="J157" s="216"/>
      <x:c r="K157" s="216"/>
      <x:c r="L157" s="216"/>
      <x:c r="M157" s="216"/>
      <x:c r="N157" s="216"/>
      <x:c r="O157" s="216"/>
      <x:c r="P157" s="216"/>
      <x:c r="Q157" s="216"/>
      <x:c r="R157" s="216"/>
      <x:c r="S157" s="216"/>
      <x:c r="T157" s="216"/>
      <x:c r="U157" s="216"/>
      <x:c r="V157" s="216"/>
      <x:c r="W157" s="216"/>
      <x:c r="X157" s="216"/>
      <x:c r="Y157" s="216"/>
      <x:c r="Z157" s="216"/>
    </x:row>
    <x:row r="158">
      <x:c r="A158" s="216"/>
      <x:c r="B158" s="216"/>
      <x:c r="C158" s="216"/>
      <x:c r="D158" s="216"/>
      <x:c r="E158" s="216"/>
      <x:c r="F158" s="216"/>
      <x:c r="G158" s="216"/>
      <x:c r="H158" s="216"/>
      <x:c r="I158" s="216"/>
      <x:c r="J158" s="216"/>
      <x:c r="K158" s="216"/>
      <x:c r="L158" s="216"/>
      <x:c r="M158" s="216"/>
      <x:c r="N158" s="216"/>
      <x:c r="O158" s="216"/>
      <x:c r="P158" s="216"/>
      <x:c r="Q158" s="216"/>
      <x:c r="R158" s="216"/>
      <x:c r="S158" s="216"/>
      <x:c r="T158" s="216"/>
      <x:c r="U158" s="216"/>
      <x:c r="V158" s="216"/>
      <x:c r="W158" s="216"/>
      <x:c r="X158" s="216"/>
      <x:c r="Y158" s="216"/>
      <x:c r="Z158" s="216"/>
    </x:row>
    <x:row r="159">
      <x:c r="A159" s="216"/>
      <x:c r="B159" s="216"/>
      <x:c r="C159" s="216"/>
      <x:c r="D159" s="216"/>
      <x:c r="E159" s="216"/>
      <x:c r="F159" s="216"/>
      <x:c r="G159" s="216"/>
      <x:c r="H159" s="216"/>
      <x:c r="I159" s="216"/>
      <x:c r="J159" s="216"/>
      <x:c r="K159" s="216"/>
      <x:c r="L159" s="216"/>
      <x:c r="M159" s="216"/>
      <x:c r="N159" s="216"/>
      <x:c r="O159" s="216"/>
      <x:c r="P159" s="216"/>
      <x:c r="Q159" s="216"/>
      <x:c r="R159" s="216"/>
      <x:c r="S159" s="216"/>
      <x:c r="T159" s="216"/>
      <x:c r="U159" s="216"/>
      <x:c r="V159" s="216"/>
      <x:c r="W159" s="216"/>
      <x:c r="X159" s="216"/>
      <x:c r="Y159" s="216"/>
      <x:c r="Z159" s="216"/>
    </x:row>
    <x:row r="160">
      <x:c r="A160" s="216"/>
      <x:c r="B160" s="216"/>
      <x:c r="C160" s="216"/>
      <x:c r="D160" s="216"/>
      <x:c r="E160" s="216"/>
      <x:c r="F160" s="216"/>
      <x:c r="G160" s="216"/>
      <x:c r="H160" s="216"/>
      <x:c r="I160" s="216"/>
      <x:c r="J160" s="216"/>
      <x:c r="K160" s="216"/>
      <x:c r="L160" s="216"/>
      <x:c r="M160" s="216"/>
      <x:c r="N160" s="216"/>
      <x:c r="O160" s="216"/>
      <x:c r="P160" s="216"/>
      <x:c r="Q160" s="216"/>
      <x:c r="R160" s="216"/>
      <x:c r="S160" s="216"/>
      <x:c r="T160" s="216"/>
      <x:c r="U160" s="216"/>
      <x:c r="V160" s="216"/>
      <x:c r="W160" s="216"/>
      <x:c r="X160" s="216"/>
      <x:c r="Y160" s="216"/>
      <x:c r="Z160" s="216"/>
    </x:row>
    <x:row r="161">
      <x:c r="A161" s="216"/>
      <x:c r="B161" s="216"/>
      <x:c r="C161" s="216"/>
      <x:c r="D161" s="216"/>
      <x:c r="E161" s="216"/>
      <x:c r="F161" s="216"/>
      <x:c r="G161" s="216"/>
      <x:c r="H161" s="216"/>
      <x:c r="I161" s="216"/>
      <x:c r="J161" s="216"/>
      <x:c r="K161" s="216"/>
      <x:c r="L161" s="216"/>
      <x:c r="M161" s="216"/>
      <x:c r="N161" s="216"/>
      <x:c r="O161" s="216"/>
      <x:c r="P161" s="216"/>
      <x:c r="Q161" s="216"/>
      <x:c r="R161" s="216"/>
      <x:c r="S161" s="216"/>
      <x:c r="T161" s="216"/>
      <x:c r="U161" s="216"/>
      <x:c r="V161" s="216"/>
      <x:c r="W161" s="216"/>
      <x:c r="X161" s="216"/>
      <x:c r="Y161" s="216"/>
      <x:c r="Z161" s="216"/>
    </x:row>
    <x:row r="162">
      <x:c r="A162" s="216"/>
      <x:c r="B162" s="216"/>
      <x:c r="C162" s="216"/>
      <x:c r="D162" s="216"/>
      <x:c r="E162" s="216"/>
      <x:c r="F162" s="216"/>
      <x:c r="G162" s="216"/>
      <x:c r="H162" s="216"/>
      <x:c r="I162" s="216"/>
      <x:c r="J162" s="216"/>
      <x:c r="K162" s="216"/>
      <x:c r="L162" s="216"/>
      <x:c r="M162" s="216"/>
      <x:c r="N162" s="216"/>
      <x:c r="O162" s="216"/>
      <x:c r="P162" s="216"/>
      <x:c r="Q162" s="216"/>
      <x:c r="R162" s="216"/>
      <x:c r="S162" s="216"/>
      <x:c r="T162" s="216"/>
      <x:c r="U162" s="216"/>
      <x:c r="V162" s="216"/>
      <x:c r="W162" s="216"/>
      <x:c r="X162" s="216"/>
      <x:c r="Y162" s="216"/>
      <x:c r="Z162" s="216"/>
    </x:row>
    <x:row r="163">
      <x:c r="A163" s="216"/>
      <x:c r="B163" s="216"/>
      <x:c r="C163" s="216"/>
      <x:c r="D163" s="216"/>
      <x:c r="E163" s="216"/>
      <x:c r="F163" s="216"/>
      <x:c r="G163" s="216"/>
      <x:c r="H163" s="216"/>
      <x:c r="I163" s="216"/>
      <x:c r="J163" s="216"/>
      <x:c r="K163" s="216"/>
      <x:c r="L163" s="216"/>
      <x:c r="M163" s="216"/>
      <x:c r="N163" s="216"/>
      <x:c r="O163" s="216"/>
      <x:c r="P163" s="216"/>
      <x:c r="Q163" s="216"/>
      <x:c r="R163" s="216"/>
      <x:c r="S163" s="216"/>
      <x:c r="T163" s="216"/>
      <x:c r="U163" s="216"/>
      <x:c r="V163" s="216"/>
      <x:c r="W163" s="216"/>
      <x:c r="X163" s="216"/>
      <x:c r="Y163" s="216"/>
      <x:c r="Z163" s="216"/>
    </x:row>
    <x:row r="164">
      <x:c r="A164" s="216"/>
      <x:c r="B164" s="216"/>
      <x:c r="C164" s="216"/>
      <x:c r="D164" s="216"/>
      <x:c r="E164" s="216"/>
      <x:c r="F164" s="216"/>
      <x:c r="G164" s="216"/>
      <x:c r="H164" s="216"/>
      <x:c r="I164" s="216"/>
      <x:c r="J164" s="216"/>
      <x:c r="K164" s="216"/>
      <x:c r="L164" s="216"/>
      <x:c r="M164" s="216"/>
      <x:c r="N164" s="216"/>
      <x:c r="O164" s="216"/>
      <x:c r="P164" s="216"/>
      <x:c r="Q164" s="216"/>
      <x:c r="R164" s="216"/>
      <x:c r="S164" s="216"/>
      <x:c r="T164" s="216"/>
      <x:c r="U164" s="216"/>
      <x:c r="V164" s="216"/>
      <x:c r="W164" s="216"/>
      <x:c r="X164" s="216"/>
      <x:c r="Y164" s="216"/>
      <x:c r="Z164" s="216"/>
    </x:row>
    <x:row r="165">
      <x:c r="A165" s="216"/>
      <x:c r="B165" s="216"/>
      <x:c r="C165" s="216"/>
      <x:c r="D165" s="216"/>
      <x:c r="E165" s="216"/>
      <x:c r="F165" s="216"/>
      <x:c r="G165" s="216"/>
      <x:c r="H165" s="216"/>
      <x:c r="I165" s="216"/>
      <x:c r="J165" s="216"/>
      <x:c r="K165" s="216"/>
      <x:c r="L165" s="216"/>
      <x:c r="M165" s="216"/>
      <x:c r="N165" s="216"/>
      <x:c r="O165" s="216"/>
      <x:c r="P165" s="216"/>
      <x:c r="Q165" s="216"/>
      <x:c r="R165" s="216"/>
      <x:c r="S165" s="216"/>
      <x:c r="T165" s="216"/>
      <x:c r="U165" s="216"/>
      <x:c r="V165" s="216"/>
      <x:c r="W165" s="216"/>
      <x:c r="X165" s="216"/>
      <x:c r="Y165" s="216"/>
      <x:c r="Z165" s="216"/>
    </x:row>
    <x:row r="166">
      <x:c r="A166" s="216"/>
      <x:c r="B166" s="216"/>
      <x:c r="C166" s="216"/>
      <x:c r="D166" s="216"/>
      <x:c r="E166" s="216"/>
      <x:c r="F166" s="216"/>
      <x:c r="G166" s="216"/>
      <x:c r="H166" s="216"/>
      <x:c r="I166" s="216"/>
      <x:c r="J166" s="216"/>
      <x:c r="K166" s="216"/>
      <x:c r="L166" s="216"/>
      <x:c r="M166" s="216"/>
      <x:c r="N166" s="216"/>
      <x:c r="O166" s="216"/>
      <x:c r="P166" s="216"/>
      <x:c r="Q166" s="216"/>
      <x:c r="R166" s="216"/>
      <x:c r="S166" s="216"/>
      <x:c r="T166" s="216"/>
      <x:c r="U166" s="216"/>
      <x:c r="V166" s="216"/>
      <x:c r="W166" s="216"/>
      <x:c r="X166" s="216"/>
      <x:c r="Y166" s="216"/>
      <x:c r="Z166" s="216"/>
    </x:row>
    <x:row r="167">
      <x:c r="A167" s="216"/>
      <x:c r="B167" s="216"/>
      <x:c r="C167" s="216"/>
      <x:c r="D167" s="216"/>
      <x:c r="E167" s="216"/>
      <x:c r="F167" s="216"/>
      <x:c r="G167" s="216"/>
      <x:c r="H167" s="216"/>
      <x:c r="I167" s="216"/>
      <x:c r="J167" s="216"/>
      <x:c r="K167" s="216"/>
      <x:c r="L167" s="216"/>
      <x:c r="M167" s="216"/>
      <x:c r="N167" s="216"/>
      <x:c r="O167" s="216"/>
      <x:c r="P167" s="216"/>
      <x:c r="Q167" s="216"/>
      <x:c r="R167" s="216"/>
      <x:c r="S167" s="216"/>
      <x:c r="T167" s="216"/>
      <x:c r="U167" s="216"/>
      <x:c r="V167" s="216"/>
      <x:c r="W167" s="216"/>
      <x:c r="X167" s="216"/>
      <x:c r="Y167" s="216"/>
      <x:c r="Z167" s="216"/>
    </x:row>
    <x:row r="168">
      <x:c r="A168" s="216"/>
      <x:c r="B168" s="216"/>
      <x:c r="C168" s="216"/>
      <x:c r="D168" s="216"/>
      <x:c r="E168" s="216"/>
      <x:c r="F168" s="216"/>
      <x:c r="G168" s="216"/>
      <x:c r="H168" s="216"/>
      <x:c r="I168" s="216"/>
      <x:c r="J168" s="216"/>
      <x:c r="K168" s="216"/>
      <x:c r="L168" s="216"/>
      <x:c r="M168" s="216"/>
      <x:c r="N168" s="216"/>
      <x:c r="O168" s="216"/>
      <x:c r="P168" s="216"/>
      <x:c r="Q168" s="216"/>
      <x:c r="R168" s="216"/>
      <x:c r="S168" s="216"/>
      <x:c r="T168" s="216"/>
      <x:c r="U168" s="216"/>
      <x:c r="V168" s="216"/>
      <x:c r="W168" s="216"/>
      <x:c r="X168" s="216"/>
      <x:c r="Y168" s="216"/>
      <x:c r="Z168" s="216"/>
    </x:row>
    <x:row r="169">
      <x:c r="A169" s="216"/>
      <x:c r="B169" s="216"/>
      <x:c r="C169" s="216"/>
      <x:c r="D169" s="216"/>
      <x:c r="E169" s="216"/>
      <x:c r="F169" s="216"/>
      <x:c r="G169" s="216"/>
      <x:c r="H169" s="216"/>
      <x:c r="I169" s="216"/>
      <x:c r="J169" s="216"/>
      <x:c r="K169" s="216"/>
      <x:c r="L169" s="216"/>
      <x:c r="M169" s="216"/>
      <x:c r="N169" s="216"/>
      <x:c r="O169" s="216"/>
      <x:c r="P169" s="216"/>
      <x:c r="Q169" s="216"/>
      <x:c r="R169" s="216"/>
      <x:c r="S169" s="216"/>
      <x:c r="T169" s="216"/>
      <x:c r="U169" s="216"/>
      <x:c r="V169" s="216"/>
      <x:c r="W169" s="216"/>
      <x:c r="X169" s="216"/>
      <x:c r="Y169" s="216"/>
      <x:c r="Z169" s="216"/>
    </x:row>
    <x:row r="170">
      <x:c r="A170" s="216"/>
      <x:c r="B170" s="216"/>
      <x:c r="C170" s="216"/>
      <x:c r="D170" s="216"/>
      <x:c r="E170" s="216"/>
      <x:c r="F170" s="216"/>
      <x:c r="G170" s="216"/>
      <x:c r="H170" s="216"/>
      <x:c r="I170" s="216"/>
      <x:c r="J170" s="216"/>
      <x:c r="K170" s="216"/>
      <x:c r="L170" s="216"/>
      <x:c r="M170" s="216"/>
      <x:c r="N170" s="216"/>
      <x:c r="O170" s="216"/>
      <x:c r="P170" s="216"/>
      <x:c r="Q170" s="216"/>
      <x:c r="R170" s="216"/>
      <x:c r="S170" s="216"/>
      <x:c r="T170" s="216"/>
      <x:c r="U170" s="216"/>
      <x:c r="V170" s="216"/>
      <x:c r="W170" s="216"/>
      <x:c r="X170" s="216"/>
      <x:c r="Y170" s="216"/>
      <x:c r="Z170" s="216"/>
    </x:row>
    <x:row r="171">
      <x:c r="A171" s="216"/>
      <x:c r="B171" s="216"/>
      <x:c r="C171" s="216"/>
      <x:c r="D171" s="216"/>
      <x:c r="E171" s="216"/>
      <x:c r="F171" s="216"/>
      <x:c r="G171" s="216"/>
      <x:c r="H171" s="216"/>
      <x:c r="I171" s="216"/>
      <x:c r="J171" s="216"/>
      <x:c r="K171" s="216"/>
      <x:c r="L171" s="216"/>
      <x:c r="M171" s="216"/>
      <x:c r="N171" s="216"/>
      <x:c r="O171" s="216"/>
      <x:c r="P171" s="216"/>
      <x:c r="Q171" s="216"/>
      <x:c r="R171" s="216"/>
      <x:c r="S171" s="216"/>
      <x:c r="T171" s="216"/>
      <x:c r="U171" s="216"/>
      <x:c r="V171" s="216"/>
      <x:c r="W171" s="216"/>
      <x:c r="X171" s="216"/>
      <x:c r="Y171" s="216"/>
      <x:c r="Z171" s="216"/>
    </x:row>
    <x:row r="172">
      <x:c r="A172" s="216"/>
      <x:c r="B172" s="216"/>
      <x:c r="C172" s="216"/>
      <x:c r="D172" s="216"/>
      <x:c r="E172" s="216"/>
      <x:c r="F172" s="216"/>
      <x:c r="G172" s="216"/>
      <x:c r="H172" s="216"/>
      <x:c r="I172" s="216"/>
      <x:c r="J172" s="216"/>
      <x:c r="K172" s="216"/>
      <x:c r="L172" s="216"/>
      <x:c r="M172" s="216"/>
      <x:c r="N172" s="216"/>
      <x:c r="O172" s="216"/>
      <x:c r="P172" s="216"/>
      <x:c r="Q172" s="216"/>
      <x:c r="R172" s="216"/>
      <x:c r="S172" s="216"/>
      <x:c r="T172" s="216"/>
      <x:c r="U172" s="216"/>
      <x:c r="V172" s="216"/>
      <x:c r="W172" s="216"/>
      <x:c r="X172" s="216"/>
      <x:c r="Y172" s="216"/>
      <x:c r="Z172" s="216"/>
    </x:row>
    <x:row r="173">
      <x:c r="A173" s="216"/>
      <x:c r="B173" s="216"/>
      <x:c r="C173" s="216"/>
      <x:c r="D173" s="216"/>
      <x:c r="E173" s="216"/>
      <x:c r="F173" s="216"/>
      <x:c r="G173" s="216"/>
      <x:c r="H173" s="216"/>
      <x:c r="I173" s="216"/>
      <x:c r="J173" s="216"/>
      <x:c r="K173" s="216"/>
      <x:c r="L173" s="216"/>
      <x:c r="M173" s="216"/>
      <x:c r="N173" s="216"/>
      <x:c r="O173" s="216"/>
      <x:c r="P173" s="216"/>
      <x:c r="Q173" s="216"/>
      <x:c r="R173" s="216"/>
      <x:c r="S173" s="216"/>
      <x:c r="T173" s="216"/>
      <x:c r="U173" s="216"/>
      <x:c r="V173" s="216"/>
      <x:c r="W173" s="216"/>
      <x:c r="X173" s="216"/>
      <x:c r="Y173" s="216"/>
      <x:c r="Z173" s="216"/>
    </x:row>
    <x:row r="174">
      <x:c r="A174" s="216"/>
      <x:c r="B174" s="216"/>
      <x:c r="C174" s="216"/>
      <x:c r="D174" s="216"/>
      <x:c r="E174" s="216"/>
      <x:c r="F174" s="216"/>
      <x:c r="G174" s="216"/>
      <x:c r="H174" s="216"/>
      <x:c r="I174" s="216"/>
      <x:c r="J174" s="216"/>
      <x:c r="K174" s="216"/>
      <x:c r="L174" s="216"/>
      <x:c r="M174" s="216"/>
      <x:c r="N174" s="216"/>
      <x:c r="O174" s="216"/>
      <x:c r="P174" s="216"/>
      <x:c r="Q174" s="216"/>
      <x:c r="R174" s="216"/>
      <x:c r="S174" s="216"/>
      <x:c r="T174" s="216"/>
      <x:c r="U174" s="216"/>
      <x:c r="V174" s="216"/>
      <x:c r="W174" s="216"/>
      <x:c r="X174" s="216"/>
      <x:c r="Y174" s="216"/>
      <x:c r="Z174" s="216"/>
    </x:row>
    <x:row r="175">
      <x:c r="A175" s="216"/>
      <x:c r="B175" s="216"/>
      <x:c r="C175" s="216"/>
      <x:c r="D175" s="216"/>
      <x:c r="E175" s="216"/>
      <x:c r="F175" s="216"/>
      <x:c r="G175" s="216"/>
      <x:c r="H175" s="216"/>
      <x:c r="I175" s="216"/>
      <x:c r="J175" s="216"/>
      <x:c r="K175" s="216"/>
      <x:c r="L175" s="216"/>
      <x:c r="M175" s="216"/>
      <x:c r="N175" s="216"/>
      <x:c r="O175" s="216"/>
      <x:c r="P175" s="216"/>
      <x:c r="Q175" s="216"/>
      <x:c r="R175" s="216"/>
      <x:c r="S175" s="216"/>
      <x:c r="T175" s="216"/>
      <x:c r="U175" s="216"/>
      <x:c r="V175" s="216"/>
      <x:c r="W175" s="216"/>
      <x:c r="X175" s="216"/>
      <x:c r="Y175" s="216"/>
      <x:c r="Z175" s="216"/>
    </x:row>
    <x:row r="176">
      <x:c r="A176" s="216"/>
      <x:c r="B176" s="216"/>
      <x:c r="C176" s="216"/>
      <x:c r="D176" s="216"/>
      <x:c r="E176" s="216"/>
      <x:c r="F176" s="216"/>
      <x:c r="G176" s="216"/>
      <x:c r="H176" s="216"/>
      <x:c r="I176" s="216"/>
      <x:c r="J176" s="216"/>
      <x:c r="K176" s="216"/>
      <x:c r="L176" s="216"/>
      <x:c r="M176" s="216"/>
      <x:c r="N176" s="216"/>
      <x:c r="O176" s="216"/>
      <x:c r="P176" s="216"/>
      <x:c r="Q176" s="216"/>
      <x:c r="R176" s="216"/>
      <x:c r="S176" s="216"/>
      <x:c r="T176" s="216"/>
      <x:c r="U176" s="216"/>
      <x:c r="V176" s="216"/>
      <x:c r="W176" s="216"/>
      <x:c r="X176" s="216"/>
      <x:c r="Y176" s="216"/>
      <x:c r="Z176" s="216"/>
    </x:row>
    <x:row r="177">
      <x:c r="A177" s="216"/>
      <x:c r="B177" s="216"/>
      <x:c r="C177" s="216"/>
      <x:c r="D177" s="216"/>
      <x:c r="E177" s="216"/>
      <x:c r="F177" s="216"/>
      <x:c r="G177" s="216"/>
      <x:c r="H177" s="216"/>
      <x:c r="I177" s="216"/>
      <x:c r="J177" s="216"/>
      <x:c r="K177" s="216"/>
      <x:c r="L177" s="216"/>
      <x:c r="M177" s="216"/>
      <x:c r="N177" s="216"/>
      <x:c r="O177" s="216"/>
      <x:c r="P177" s="216"/>
      <x:c r="Q177" s="216"/>
      <x:c r="R177" s="216"/>
      <x:c r="S177" s="216"/>
      <x:c r="T177" s="216"/>
      <x:c r="U177" s="216"/>
      <x:c r="V177" s="216"/>
      <x:c r="W177" s="216"/>
      <x:c r="X177" s="216"/>
      <x:c r="Y177" s="216"/>
      <x:c r="Z177" s="216"/>
    </x:row>
    <x:row r="178">
      <x:c r="A178" s="216"/>
      <x:c r="B178" s="216"/>
      <x:c r="C178" s="216"/>
      <x:c r="D178" s="216"/>
      <x:c r="E178" s="216"/>
      <x:c r="F178" s="216"/>
      <x:c r="G178" s="216"/>
      <x:c r="H178" s="216"/>
      <x:c r="I178" s="216"/>
      <x:c r="J178" s="216"/>
      <x:c r="K178" s="216"/>
      <x:c r="L178" s="216"/>
      <x:c r="M178" s="216"/>
      <x:c r="N178" s="216"/>
      <x:c r="O178" s="216"/>
      <x:c r="P178" s="216"/>
      <x:c r="Q178" s="216"/>
      <x:c r="R178" s="216"/>
      <x:c r="S178" s="216"/>
      <x:c r="T178" s="216"/>
      <x:c r="U178" s="216"/>
      <x:c r="V178" s="216"/>
      <x:c r="W178" s="216"/>
      <x:c r="X178" s="216"/>
      <x:c r="Y178" s="216"/>
      <x:c r="Z178" s="216"/>
    </x:row>
    <x:row r="179">
      <x:c r="A179" s="216"/>
      <x:c r="B179" s="216"/>
      <x:c r="C179" s="216"/>
      <x:c r="D179" s="216"/>
      <x:c r="E179" s="216"/>
      <x:c r="F179" s="216"/>
      <x:c r="G179" s="216"/>
      <x:c r="H179" s="216"/>
      <x:c r="I179" s="216"/>
      <x:c r="J179" s="216"/>
      <x:c r="K179" s="216"/>
      <x:c r="L179" s="216"/>
      <x:c r="M179" s="216"/>
      <x:c r="N179" s="216"/>
      <x:c r="O179" s="216"/>
      <x:c r="P179" s="216"/>
      <x:c r="Q179" s="216"/>
      <x:c r="R179" s="216"/>
      <x:c r="S179" s="216"/>
      <x:c r="T179" s="216"/>
      <x:c r="U179" s="216"/>
      <x:c r="V179" s="216"/>
      <x:c r="W179" s="216"/>
      <x:c r="X179" s="216"/>
      <x:c r="Y179" s="216"/>
      <x:c r="Z179" s="216"/>
    </x:row>
    <x:row r="180">
      <x:c r="A180" s="216"/>
      <x:c r="B180" s="216"/>
      <x:c r="C180" s="216"/>
      <x:c r="D180" s="216"/>
      <x:c r="E180" s="216"/>
      <x:c r="F180" s="216"/>
      <x:c r="G180" s="216"/>
      <x:c r="H180" s="216"/>
      <x:c r="I180" s="216"/>
      <x:c r="J180" s="216"/>
      <x:c r="K180" s="216"/>
      <x:c r="L180" s="216"/>
      <x:c r="M180" s="216"/>
      <x:c r="N180" s="216"/>
      <x:c r="O180" s="216"/>
      <x:c r="P180" s="216"/>
      <x:c r="Q180" s="216"/>
      <x:c r="R180" s="216"/>
      <x:c r="S180" s="216"/>
      <x:c r="T180" s="216"/>
      <x:c r="U180" s="216"/>
      <x:c r="V180" s="216"/>
      <x:c r="W180" s="216"/>
      <x:c r="X180" s="216"/>
      <x:c r="Y180" s="216"/>
      <x:c r="Z180" s="216"/>
    </x:row>
    <x:row r="181">
      <x:c r="A181" s="216"/>
      <x:c r="B181" s="216"/>
      <x:c r="C181" s="216"/>
      <x:c r="D181" s="216"/>
      <x:c r="E181" s="216"/>
      <x:c r="F181" s="216"/>
      <x:c r="G181" s="216"/>
      <x:c r="H181" s="216"/>
      <x:c r="I181" s="216"/>
      <x:c r="J181" s="216"/>
      <x:c r="K181" s="216"/>
      <x:c r="L181" s="216"/>
      <x:c r="M181" s="216"/>
      <x:c r="N181" s="216"/>
      <x:c r="O181" s="216"/>
      <x:c r="P181" s="216"/>
      <x:c r="Q181" s="216"/>
      <x:c r="R181" s="216"/>
      <x:c r="S181" s="216"/>
      <x:c r="T181" s="216"/>
      <x:c r="U181" s="216"/>
      <x:c r="V181" s="216"/>
      <x:c r="W181" s="216"/>
      <x:c r="X181" s="216"/>
      <x:c r="Y181" s="216"/>
      <x:c r="Z181" s="216"/>
    </x:row>
    <x:row r="182">
      <x:c r="A182" s="216"/>
      <x:c r="B182" s="216"/>
      <x:c r="C182" s="216"/>
      <x:c r="D182" s="216"/>
      <x:c r="E182" s="216"/>
      <x:c r="F182" s="216"/>
      <x:c r="G182" s="216"/>
      <x:c r="H182" s="216"/>
      <x:c r="I182" s="216"/>
      <x:c r="J182" s="216"/>
      <x:c r="K182" s="216"/>
      <x:c r="L182" s="216"/>
      <x:c r="M182" s="216"/>
      <x:c r="N182" s="216"/>
      <x:c r="O182" s="216"/>
      <x:c r="P182" s="216"/>
      <x:c r="Q182" s="216"/>
      <x:c r="R182" s="216"/>
      <x:c r="S182" s="216"/>
      <x:c r="T182" s="216"/>
      <x:c r="U182" s="216"/>
      <x:c r="V182" s="216"/>
      <x:c r="W182" s="216"/>
      <x:c r="X182" s="216"/>
      <x:c r="Y182" s="216"/>
      <x:c r="Z182" s="216"/>
    </x:row>
    <x:row r="183">
      <x:c r="A183" s="216"/>
      <x:c r="B183" s="216"/>
      <x:c r="C183" s="216"/>
      <x:c r="D183" s="216"/>
      <x:c r="E183" s="216"/>
      <x:c r="F183" s="216"/>
      <x:c r="G183" s="216"/>
      <x:c r="H183" s="216"/>
      <x:c r="I183" s="216"/>
      <x:c r="J183" s="216"/>
      <x:c r="K183" s="216"/>
      <x:c r="L183" s="216"/>
      <x:c r="M183" s="216"/>
      <x:c r="N183" s="216"/>
      <x:c r="O183" s="216"/>
      <x:c r="P183" s="216"/>
      <x:c r="Q183" s="216"/>
      <x:c r="R183" s="216"/>
      <x:c r="S183" s="216"/>
      <x:c r="T183" s="216"/>
      <x:c r="U183" s="216"/>
      <x:c r="V183" s="216"/>
      <x:c r="W183" s="216"/>
      <x:c r="X183" s="216"/>
      <x:c r="Y183" s="216"/>
      <x:c r="Z183" s="216"/>
    </x:row>
    <x:row r="184">
      <x:c r="A184" s="216"/>
      <x:c r="B184" s="216"/>
      <x:c r="C184" s="216"/>
      <x:c r="D184" s="216"/>
      <x:c r="E184" s="216"/>
      <x:c r="F184" s="216"/>
      <x:c r="G184" s="216"/>
      <x:c r="H184" s="216"/>
      <x:c r="I184" s="216"/>
      <x:c r="J184" s="216"/>
      <x:c r="K184" s="216"/>
      <x:c r="L184" s="216"/>
      <x:c r="M184" s="216"/>
      <x:c r="N184" s="216"/>
      <x:c r="O184" s="216"/>
      <x:c r="P184" s="216"/>
      <x:c r="Q184" s="216"/>
      <x:c r="R184" s="216"/>
      <x:c r="S184" s="216"/>
      <x:c r="T184" s="216"/>
      <x:c r="U184" s="216"/>
      <x:c r="V184" s="216"/>
      <x:c r="W184" s="216"/>
      <x:c r="X184" s="216"/>
      <x:c r="Y184" s="216"/>
      <x:c r="Z184" s="216"/>
    </x:row>
    <x:row r="185">
      <x:c r="A185" s="216"/>
      <x:c r="B185" s="216"/>
      <x:c r="C185" s="216"/>
      <x:c r="D185" s="216"/>
      <x:c r="E185" s="216"/>
      <x:c r="F185" s="216"/>
      <x:c r="G185" s="216"/>
      <x:c r="H185" s="216"/>
      <x:c r="I185" s="216"/>
      <x:c r="J185" s="216"/>
      <x:c r="K185" s="216"/>
      <x:c r="L185" s="216"/>
      <x:c r="M185" s="216"/>
      <x:c r="N185" s="216"/>
      <x:c r="O185" s="216"/>
      <x:c r="P185" s="216"/>
      <x:c r="Q185" s="216"/>
      <x:c r="R185" s="216"/>
      <x:c r="S185" s="216"/>
      <x:c r="T185" s="216"/>
      <x:c r="U185" s="216"/>
      <x:c r="V185" s="216"/>
      <x:c r="W185" s="216"/>
      <x:c r="X185" s="216"/>
      <x:c r="Y185" s="216"/>
      <x:c r="Z185" s="216"/>
    </x:row>
    <x:row r="186">
      <x:c r="A186" s="216"/>
      <x:c r="B186" s="216"/>
      <x:c r="C186" s="216"/>
      <x:c r="D186" s="216"/>
      <x:c r="E186" s="216"/>
      <x:c r="F186" s="216"/>
      <x:c r="G186" s="216"/>
      <x:c r="H186" s="216"/>
      <x:c r="I186" s="216"/>
      <x:c r="J186" s="216"/>
      <x:c r="K186" s="216"/>
      <x:c r="L186" s="216"/>
      <x:c r="M186" s="216"/>
      <x:c r="N186" s="216"/>
      <x:c r="O186" s="216"/>
      <x:c r="P186" s="216"/>
      <x:c r="Q186" s="216"/>
      <x:c r="R186" s="216"/>
      <x:c r="S186" s="216"/>
      <x:c r="T186" s="216"/>
      <x:c r="U186" s="216"/>
      <x:c r="V186" s="216"/>
      <x:c r="W186" s="216"/>
      <x:c r="X186" s="216"/>
      <x:c r="Y186" s="216"/>
      <x:c r="Z186" s="216"/>
    </x:row>
    <x:row r="187">
      <x:c r="A187" s="216"/>
      <x:c r="B187" s="216"/>
      <x:c r="C187" s="216"/>
      <x:c r="D187" s="216"/>
      <x:c r="E187" s="216"/>
      <x:c r="F187" s="216"/>
      <x:c r="G187" s="216"/>
      <x:c r="H187" s="216"/>
      <x:c r="I187" s="216"/>
      <x:c r="J187" s="216"/>
      <x:c r="K187" s="216"/>
      <x:c r="L187" s="216"/>
      <x:c r="M187" s="216"/>
      <x:c r="N187" s="216"/>
      <x:c r="O187" s="216"/>
      <x:c r="P187" s="216"/>
      <x:c r="Q187" s="216"/>
      <x:c r="R187" s="216"/>
      <x:c r="S187" s="216"/>
      <x:c r="T187" s="216"/>
      <x:c r="U187" s="216"/>
      <x:c r="V187" s="216"/>
      <x:c r="W187" s="216"/>
      <x:c r="X187" s="216"/>
      <x:c r="Y187" s="216"/>
      <x:c r="Z187" s="216"/>
    </x:row>
    <x:row r="188">
      <x:c r="A188" s="216"/>
      <x:c r="B188" s="216"/>
      <x:c r="C188" s="216"/>
      <x:c r="D188" s="216"/>
      <x:c r="E188" s="216"/>
      <x:c r="F188" s="216"/>
      <x:c r="G188" s="216"/>
      <x:c r="H188" s="216"/>
      <x:c r="I188" s="216"/>
      <x:c r="J188" s="216"/>
      <x:c r="K188" s="216"/>
      <x:c r="L188" s="216"/>
      <x:c r="M188" s="216"/>
      <x:c r="N188" s="216"/>
      <x:c r="O188" s="216"/>
      <x:c r="P188" s="216"/>
      <x:c r="Q188" s="216"/>
      <x:c r="R188" s="216"/>
      <x:c r="S188" s="216"/>
      <x:c r="T188" s="216"/>
      <x:c r="U188" s="216"/>
      <x:c r="V188" s="216"/>
      <x:c r="W188" s="216"/>
      <x:c r="X188" s="216"/>
      <x:c r="Y188" s="216"/>
      <x:c r="Z188" s="216"/>
    </x:row>
    <x:row r="189">
      <x:c r="A189" s="216"/>
      <x:c r="B189" s="216"/>
      <x:c r="C189" s="216"/>
      <x:c r="D189" s="216"/>
      <x:c r="E189" s="216"/>
      <x:c r="F189" s="216"/>
      <x:c r="G189" s="216"/>
      <x:c r="H189" s="216"/>
      <x:c r="I189" s="216"/>
      <x:c r="J189" s="216"/>
      <x:c r="K189" s="216"/>
      <x:c r="L189" s="216"/>
      <x:c r="M189" s="216"/>
      <x:c r="N189" s="216"/>
      <x:c r="O189" s="216"/>
      <x:c r="P189" s="216"/>
      <x:c r="Q189" s="216"/>
      <x:c r="R189" s="216"/>
      <x:c r="S189" s="216"/>
      <x:c r="T189" s="216"/>
      <x:c r="U189" s="216"/>
      <x:c r="V189" s="216"/>
      <x:c r="W189" s="216"/>
      <x:c r="X189" s="216"/>
      <x:c r="Y189" s="216"/>
      <x:c r="Z189" s="216"/>
    </x:row>
    <x:row r="190">
      <x:c r="A190" s="216"/>
      <x:c r="B190" s="216"/>
      <x:c r="C190" s="216"/>
      <x:c r="D190" s="216"/>
      <x:c r="E190" s="216"/>
      <x:c r="F190" s="216"/>
      <x:c r="G190" s="216"/>
      <x:c r="H190" s="216"/>
      <x:c r="I190" s="216"/>
      <x:c r="J190" s="216"/>
      <x:c r="K190" s="216"/>
      <x:c r="L190" s="216"/>
      <x:c r="M190" s="216"/>
      <x:c r="N190" s="216"/>
      <x:c r="O190" s="216"/>
      <x:c r="P190" s="216"/>
      <x:c r="Q190" s="216"/>
      <x:c r="R190" s="216"/>
      <x:c r="S190" s="216"/>
      <x:c r="T190" s="216"/>
      <x:c r="U190" s="216"/>
      <x:c r="V190" s="216"/>
      <x:c r="W190" s="216"/>
      <x:c r="X190" s="216"/>
      <x:c r="Y190" s="216"/>
      <x:c r="Z190" s="216"/>
    </x:row>
    <x:row r="191">
      <x:c r="A191" s="216"/>
      <x:c r="B191" s="216"/>
      <x:c r="C191" s="216"/>
      <x:c r="D191" s="216"/>
      <x:c r="E191" s="216"/>
      <x:c r="F191" s="216"/>
      <x:c r="G191" s="216"/>
      <x:c r="H191" s="216"/>
      <x:c r="I191" s="216"/>
      <x:c r="J191" s="216"/>
      <x:c r="K191" s="216"/>
      <x:c r="L191" s="216"/>
      <x:c r="M191" s="216"/>
      <x:c r="N191" s="216"/>
      <x:c r="O191" s="216"/>
      <x:c r="P191" s="216"/>
      <x:c r="Q191" s="216"/>
      <x:c r="R191" s="216"/>
      <x:c r="S191" s="216"/>
      <x:c r="T191" s="216"/>
      <x:c r="U191" s="216"/>
      <x:c r="V191" s="216"/>
      <x:c r="W191" s="216"/>
      <x:c r="X191" s="216"/>
      <x:c r="Y191" s="216"/>
      <x:c r="Z191" s="216"/>
    </x:row>
    <x:row r="192">
      <x:c r="A192" s="216"/>
      <x:c r="B192" s="216"/>
      <x:c r="C192" s="216"/>
      <x:c r="D192" s="216"/>
      <x:c r="E192" s="216"/>
      <x:c r="F192" s="216"/>
      <x:c r="G192" s="216"/>
      <x:c r="H192" s="216"/>
      <x:c r="I192" s="216"/>
      <x:c r="J192" s="216"/>
      <x:c r="K192" s="216"/>
      <x:c r="L192" s="216"/>
      <x:c r="M192" s="216"/>
      <x:c r="N192" s="216"/>
      <x:c r="O192" s="216"/>
      <x:c r="P192" s="216"/>
      <x:c r="Q192" s="216"/>
      <x:c r="R192" s="216"/>
      <x:c r="S192" s="216"/>
      <x:c r="T192" s="216"/>
      <x:c r="U192" s="216"/>
      <x:c r="V192" s="216"/>
      <x:c r="W192" s="216"/>
      <x:c r="X192" s="216"/>
      <x:c r="Y192" s="216"/>
      <x:c r="Z192" s="216"/>
    </x:row>
    <x:row r="193">
      <x:c r="A193" s="216"/>
      <x:c r="B193" s="216"/>
      <x:c r="C193" s="216"/>
      <x:c r="D193" s="216"/>
      <x:c r="E193" s="216"/>
      <x:c r="F193" s="216"/>
      <x:c r="G193" s="216"/>
      <x:c r="H193" s="216"/>
      <x:c r="I193" s="216"/>
      <x:c r="J193" s="216"/>
      <x:c r="K193" s="216"/>
      <x:c r="L193" s="216"/>
      <x:c r="M193" s="216"/>
      <x:c r="N193" s="216"/>
      <x:c r="O193" s="216"/>
      <x:c r="P193" s="216"/>
      <x:c r="Q193" s="216"/>
      <x:c r="R193" s="216"/>
      <x:c r="S193" s="216"/>
      <x:c r="T193" s="216"/>
      <x:c r="U193" s="216"/>
      <x:c r="V193" s="216"/>
      <x:c r="W193" s="216"/>
      <x:c r="X193" s="216"/>
      <x:c r="Y193" s="216"/>
      <x:c r="Z193" s="216"/>
    </x:row>
    <x:row r="194">
      <x:c r="A194" s="216"/>
      <x:c r="B194" s="216"/>
      <x:c r="C194" s="216"/>
      <x:c r="D194" s="216"/>
      <x:c r="E194" s="216"/>
      <x:c r="F194" s="216"/>
      <x:c r="G194" s="216"/>
      <x:c r="H194" s="216"/>
      <x:c r="I194" s="216"/>
      <x:c r="J194" s="216"/>
      <x:c r="K194" s="216"/>
      <x:c r="L194" s="216"/>
      <x:c r="M194" s="216"/>
      <x:c r="N194" s="216"/>
      <x:c r="O194" s="216"/>
      <x:c r="P194" s="216"/>
      <x:c r="Q194" s="216"/>
      <x:c r="R194" s="216"/>
      <x:c r="S194" s="216"/>
      <x:c r="T194" s="216"/>
      <x:c r="U194" s="216"/>
      <x:c r="V194" s="216"/>
      <x:c r="W194" s="216"/>
      <x:c r="X194" s="216"/>
      <x:c r="Y194" s="216"/>
      <x:c r="Z194" s="216"/>
    </x:row>
    <x:row r="195">
      <x:c r="A195" s="216"/>
      <x:c r="B195" s="216"/>
      <x:c r="C195" s="216"/>
      <x:c r="D195" s="216"/>
      <x:c r="E195" s="216"/>
      <x:c r="F195" s="216"/>
      <x:c r="G195" s="216"/>
      <x:c r="H195" s="216"/>
      <x:c r="I195" s="216"/>
      <x:c r="J195" s="216"/>
      <x:c r="K195" s="216"/>
      <x:c r="L195" s="216"/>
      <x:c r="M195" s="216"/>
      <x:c r="N195" s="216"/>
      <x:c r="O195" s="216"/>
      <x:c r="P195" s="216"/>
      <x:c r="Q195" s="216"/>
      <x:c r="R195" s="216"/>
      <x:c r="S195" s="216"/>
      <x:c r="T195" s="216"/>
      <x:c r="U195" s="216"/>
      <x:c r="V195" s="216"/>
      <x:c r="W195" s="216"/>
      <x:c r="X195" s="216"/>
      <x:c r="Y195" s="216"/>
      <x:c r="Z195" s="216"/>
    </x:row>
    <x:row r="196">
      <x:c r="A196" s="216"/>
      <x:c r="B196" s="216"/>
      <x:c r="C196" s="216"/>
      <x:c r="D196" s="216"/>
      <x:c r="E196" s="216"/>
      <x:c r="F196" s="216"/>
      <x:c r="G196" s="216"/>
      <x:c r="H196" s="216"/>
      <x:c r="I196" s="216"/>
      <x:c r="J196" s="216"/>
      <x:c r="K196" s="216"/>
      <x:c r="L196" s="216"/>
      <x:c r="M196" s="216"/>
      <x:c r="N196" s="216"/>
      <x:c r="O196" s="216"/>
      <x:c r="P196" s="216"/>
      <x:c r="Q196" s="216"/>
      <x:c r="R196" s="216"/>
      <x:c r="S196" s="216"/>
      <x:c r="T196" s="216"/>
      <x:c r="U196" s="216"/>
      <x:c r="V196" s="216"/>
      <x:c r="W196" s="216"/>
      <x:c r="X196" s="216"/>
      <x:c r="Y196" s="216"/>
      <x:c r="Z196" s="216"/>
    </x:row>
    <x:row r="197">
      <x:c r="A197" s="216"/>
      <x:c r="B197" s="216"/>
      <x:c r="C197" s="216"/>
      <x:c r="D197" s="216"/>
      <x:c r="E197" s="216"/>
      <x:c r="F197" s="216"/>
      <x:c r="G197" s="216"/>
      <x:c r="H197" s="216"/>
      <x:c r="I197" s="216"/>
      <x:c r="J197" s="216"/>
      <x:c r="K197" s="216"/>
      <x:c r="L197" s="216"/>
      <x:c r="M197" s="216"/>
      <x:c r="N197" s="216"/>
      <x:c r="O197" s="216"/>
      <x:c r="P197" s="216"/>
      <x:c r="Q197" s="216"/>
      <x:c r="R197" s="216"/>
      <x:c r="S197" s="216"/>
      <x:c r="T197" s="216"/>
      <x:c r="U197" s="216"/>
      <x:c r="V197" s="216"/>
      <x:c r="W197" s="216"/>
      <x:c r="X197" s="216"/>
      <x:c r="Y197" s="216"/>
      <x:c r="Z197" s="216"/>
    </x:row>
    <x:row r="198">
      <x:c r="A198" s="216"/>
      <x:c r="B198" s="216"/>
      <x:c r="C198" s="216"/>
      <x:c r="D198" s="216"/>
      <x:c r="E198" s="216"/>
      <x:c r="F198" s="216"/>
      <x:c r="G198" s="216"/>
      <x:c r="H198" s="216"/>
      <x:c r="I198" s="216"/>
      <x:c r="J198" s="216"/>
      <x:c r="K198" s="216"/>
      <x:c r="L198" s="216"/>
      <x:c r="M198" s="216"/>
      <x:c r="N198" s="216"/>
      <x:c r="O198" s="216"/>
      <x:c r="P198" s="216"/>
      <x:c r="Q198" s="216"/>
      <x:c r="R198" s="216"/>
      <x:c r="S198" s="216"/>
      <x:c r="T198" s="216"/>
      <x:c r="U198" s="216"/>
      <x:c r="V198" s="216"/>
      <x:c r="W198" s="216"/>
      <x:c r="X198" s="216"/>
      <x:c r="Y198" s="216"/>
      <x:c r="Z198" s="216"/>
    </x:row>
    <x:row r="199">
      <x:c r="A199" s="216"/>
      <x:c r="B199" s="216"/>
      <x:c r="C199" s="216"/>
      <x:c r="D199" s="216"/>
      <x:c r="E199" s="216"/>
      <x:c r="F199" s="216"/>
      <x:c r="G199" s="216"/>
      <x:c r="H199" s="216"/>
      <x:c r="I199" s="216"/>
      <x:c r="J199" s="216"/>
      <x:c r="K199" s="216"/>
      <x:c r="L199" s="216"/>
      <x:c r="M199" s="216"/>
      <x:c r="N199" s="216"/>
      <x:c r="O199" s="216"/>
      <x:c r="P199" s="216"/>
      <x:c r="Q199" s="216"/>
      <x:c r="R199" s="216"/>
      <x:c r="S199" s="216"/>
      <x:c r="T199" s="216"/>
      <x:c r="U199" s="216"/>
      <x:c r="V199" s="216"/>
      <x:c r="W199" s="216"/>
      <x:c r="X199" s="216"/>
      <x:c r="Y199" s="216"/>
      <x:c r="Z199" s="216"/>
    </x:row>
    <x:row r="200">
      <x:c r="A200" s="216"/>
      <x:c r="B200" s="216"/>
      <x:c r="C200" s="216"/>
      <x:c r="D200" s="216"/>
      <x:c r="E200" s="216"/>
      <x:c r="F200" s="216"/>
      <x:c r="G200" s="216"/>
      <x:c r="H200" s="216"/>
      <x:c r="I200" s="216"/>
      <x:c r="J200" s="216"/>
      <x:c r="K200" s="216"/>
      <x:c r="L200" s="216"/>
      <x:c r="M200" s="216"/>
      <x:c r="N200" s="216"/>
      <x:c r="O200" s="216"/>
      <x:c r="P200" s="216"/>
      <x:c r="Q200" s="216"/>
      <x:c r="R200" s="216"/>
      <x:c r="S200" s="216"/>
      <x:c r="T200" s="216"/>
      <x:c r="U200" s="216"/>
      <x:c r="V200" s="216"/>
      <x:c r="W200" s="216"/>
      <x:c r="X200" s="216"/>
      <x:c r="Y200" s="216"/>
      <x:c r="Z200" s="216"/>
    </x:row>
    <x:row r="201">
      <x:c r="A201" s="216"/>
      <x:c r="B201" s="216"/>
      <x:c r="C201" s="216"/>
      <x:c r="D201" s="216"/>
      <x:c r="E201" s="216"/>
      <x:c r="F201" s="216"/>
      <x:c r="G201" s="216"/>
      <x:c r="H201" s="216"/>
      <x:c r="I201" s="216"/>
      <x:c r="J201" s="216"/>
      <x:c r="K201" s="216"/>
      <x:c r="L201" s="216"/>
      <x:c r="M201" s="216"/>
      <x:c r="N201" s="216"/>
      <x:c r="O201" s="216"/>
      <x:c r="P201" s="216"/>
      <x:c r="Q201" s="216"/>
      <x:c r="R201" s="216"/>
      <x:c r="S201" s="216"/>
      <x:c r="T201" s="216"/>
      <x:c r="U201" s="216"/>
      <x:c r="V201" s="216"/>
      <x:c r="W201" s="216"/>
      <x:c r="X201" s="216"/>
      <x:c r="Y201" s="216"/>
      <x:c r="Z201" s="216"/>
    </x:row>
    <x:row r="202">
      <x:c r="A202" s="216"/>
      <x:c r="B202" s="216"/>
      <x:c r="C202" s="216"/>
      <x:c r="D202" s="216"/>
      <x:c r="E202" s="216"/>
      <x:c r="F202" s="216"/>
      <x:c r="G202" s="216"/>
      <x:c r="H202" s="216"/>
      <x:c r="I202" s="216"/>
      <x:c r="J202" s="216"/>
      <x:c r="K202" s="216"/>
      <x:c r="L202" s="216"/>
      <x:c r="M202" s="216"/>
      <x:c r="N202" s="216"/>
      <x:c r="O202" s="216"/>
      <x:c r="P202" s="216"/>
      <x:c r="Q202" s="216"/>
      <x:c r="R202" s="216"/>
      <x:c r="S202" s="216"/>
      <x:c r="T202" s="216"/>
      <x:c r="U202" s="216"/>
      <x:c r="V202" s="216"/>
      <x:c r="W202" s="216"/>
      <x:c r="X202" s="216"/>
      <x:c r="Y202" s="216"/>
      <x:c r="Z202" s="216"/>
    </x:row>
    <x:row r="203">
      <x:c r="A203" s="216"/>
      <x:c r="B203" s="216"/>
      <x:c r="C203" s="216"/>
      <x:c r="D203" s="216"/>
      <x:c r="E203" s="216"/>
      <x:c r="F203" s="216"/>
      <x:c r="G203" s="216"/>
      <x:c r="H203" s="216"/>
      <x:c r="I203" s="216"/>
      <x:c r="J203" s="216"/>
      <x:c r="K203" s="216"/>
      <x:c r="L203" s="216"/>
      <x:c r="M203" s="216"/>
      <x:c r="N203" s="216"/>
      <x:c r="O203" s="216"/>
      <x:c r="P203" s="216"/>
      <x:c r="Q203" s="216"/>
      <x:c r="R203" s="216"/>
      <x:c r="S203" s="216"/>
      <x:c r="T203" s="216"/>
      <x:c r="U203" s="216"/>
      <x:c r="V203" s="216"/>
      <x:c r="W203" s="216"/>
      <x:c r="X203" s="216"/>
      <x:c r="Y203" s="216"/>
      <x:c r="Z203" s="216"/>
    </x:row>
    <x:row r="204">
      <x:c r="A204" s="216"/>
      <x:c r="B204" s="216"/>
      <x:c r="C204" s="216"/>
      <x:c r="D204" s="216"/>
      <x:c r="E204" s="216"/>
      <x:c r="F204" s="216"/>
      <x:c r="G204" s="216"/>
      <x:c r="H204" s="216"/>
      <x:c r="I204" s="216"/>
      <x:c r="J204" s="216"/>
      <x:c r="K204" s="216"/>
      <x:c r="L204" s="216"/>
      <x:c r="M204" s="216"/>
      <x:c r="N204" s="216"/>
      <x:c r="O204" s="216"/>
      <x:c r="P204" s="216"/>
      <x:c r="Q204" s="216"/>
      <x:c r="R204" s="216"/>
      <x:c r="S204" s="216"/>
      <x:c r="T204" s="216"/>
      <x:c r="U204" s="216"/>
      <x:c r="V204" s="216"/>
      <x:c r="W204" s="216"/>
      <x:c r="X204" s="216"/>
      <x:c r="Y204" s="216"/>
      <x:c r="Z204" s="216"/>
    </x:row>
    <x:row r="205">
      <x:c r="A205" s="216"/>
      <x:c r="B205" s="216"/>
      <x:c r="C205" s="216"/>
      <x:c r="D205" s="216"/>
      <x:c r="E205" s="216"/>
      <x:c r="F205" s="216"/>
      <x:c r="G205" s="216"/>
      <x:c r="H205" s="216"/>
      <x:c r="I205" s="216"/>
      <x:c r="J205" s="216"/>
      <x:c r="K205" s="216"/>
      <x:c r="L205" s="216"/>
      <x:c r="M205" s="216"/>
      <x:c r="N205" s="216"/>
      <x:c r="O205" s="216"/>
      <x:c r="P205" s="216"/>
      <x:c r="Q205" s="216"/>
      <x:c r="R205" s="216"/>
      <x:c r="S205" s="216"/>
      <x:c r="T205" s="216"/>
      <x:c r="U205" s="216"/>
      <x:c r="V205" s="216"/>
      <x:c r="W205" s="216"/>
      <x:c r="X205" s="216"/>
      <x:c r="Y205" s="216"/>
      <x:c r="Z205" s="216"/>
    </x:row>
    <x:row r="206">
      <x:c r="A206" s="216"/>
      <x:c r="B206" s="216"/>
      <x:c r="C206" s="216"/>
      <x:c r="D206" s="216"/>
      <x:c r="E206" s="216"/>
      <x:c r="F206" s="216"/>
      <x:c r="G206" s="216"/>
      <x:c r="H206" s="216"/>
      <x:c r="I206" s="216"/>
      <x:c r="J206" s="216"/>
      <x:c r="K206" s="216"/>
      <x:c r="L206" s="216"/>
      <x:c r="M206" s="216"/>
      <x:c r="N206" s="216"/>
      <x:c r="O206" s="216"/>
      <x:c r="P206" s="216"/>
      <x:c r="Q206" s="216"/>
      <x:c r="R206" s="216"/>
      <x:c r="S206" s="216"/>
      <x:c r="T206" s="216"/>
      <x:c r="U206" s="216"/>
      <x:c r="V206" s="216"/>
      <x:c r="W206" s="216"/>
      <x:c r="X206" s="216"/>
      <x:c r="Y206" s="216"/>
      <x:c r="Z206" s="216"/>
    </x:row>
    <x:row r="207">
      <x:c r="A207" s="216"/>
      <x:c r="B207" s="216"/>
      <x:c r="C207" s="216"/>
      <x:c r="D207" s="216"/>
      <x:c r="E207" s="216"/>
      <x:c r="F207" s="216"/>
      <x:c r="G207" s="216"/>
      <x:c r="H207" s="216"/>
      <x:c r="I207" s="216"/>
      <x:c r="J207" s="216"/>
      <x:c r="K207" s="216"/>
      <x:c r="L207" s="216"/>
      <x:c r="M207" s="216"/>
      <x:c r="N207" s="216"/>
      <x:c r="O207" s="216"/>
      <x:c r="P207" s="216"/>
      <x:c r="Q207" s="216"/>
      <x:c r="R207" s="216"/>
      <x:c r="S207" s="216"/>
      <x:c r="T207" s="216"/>
      <x:c r="U207" s="216"/>
      <x:c r="V207" s="216"/>
      <x:c r="W207" s="216"/>
      <x:c r="X207" s="216"/>
      <x:c r="Y207" s="216"/>
      <x:c r="Z207" s="216"/>
    </x:row>
    <x:row r="208">
      <x:c r="A208" s="216"/>
      <x:c r="B208" s="216"/>
      <x:c r="C208" s="216"/>
      <x:c r="D208" s="216"/>
      <x:c r="E208" s="216"/>
      <x:c r="F208" s="216"/>
      <x:c r="G208" s="216"/>
      <x:c r="H208" s="216"/>
      <x:c r="I208" s="216"/>
      <x:c r="J208" s="216"/>
      <x:c r="K208" s="216"/>
      <x:c r="L208" s="216"/>
      <x:c r="M208" s="216"/>
      <x:c r="N208" s="216"/>
      <x:c r="O208" s="216"/>
      <x:c r="P208" s="216"/>
      <x:c r="Q208" s="216"/>
      <x:c r="R208" s="216"/>
      <x:c r="S208" s="216"/>
      <x:c r="T208" s="216"/>
      <x:c r="U208" s="216"/>
      <x:c r="V208" s="216"/>
      <x:c r="W208" s="216"/>
      <x:c r="X208" s="216"/>
      <x:c r="Y208" s="216"/>
      <x:c r="Z208" s="216"/>
    </x:row>
    <x:row r="209">
      <x:c r="A209" s="216"/>
      <x:c r="B209" s="216"/>
      <x:c r="C209" s="216"/>
      <x:c r="D209" s="216"/>
      <x:c r="E209" s="216"/>
      <x:c r="F209" s="216"/>
      <x:c r="G209" s="216"/>
      <x:c r="H209" s="216"/>
      <x:c r="I209" s="216"/>
      <x:c r="J209" s="216"/>
      <x:c r="K209" s="216"/>
      <x:c r="L209" s="216"/>
      <x:c r="M209" s="216"/>
      <x:c r="N209" s="216"/>
      <x:c r="O209" s="216"/>
      <x:c r="P209" s="216"/>
      <x:c r="Q209" s="216"/>
      <x:c r="R209" s="216"/>
      <x:c r="S209" s="216"/>
      <x:c r="T209" s="216"/>
      <x:c r="U209" s="216"/>
      <x:c r="V209" s="216"/>
      <x:c r="W209" s="216"/>
      <x:c r="X209" s="216"/>
      <x:c r="Y209" s="216"/>
      <x:c r="Z209" s="216"/>
    </x:row>
    <x:row r="210">
      <x:c r="A210" s="216"/>
      <x:c r="B210" s="216"/>
      <x:c r="C210" s="216"/>
      <x:c r="D210" s="216"/>
      <x:c r="E210" s="216"/>
      <x:c r="F210" s="216"/>
      <x:c r="G210" s="216"/>
      <x:c r="H210" s="216"/>
      <x:c r="I210" s="216"/>
      <x:c r="J210" s="216"/>
      <x:c r="K210" s="216"/>
      <x:c r="L210" s="216"/>
      <x:c r="M210" s="216"/>
      <x:c r="N210" s="216"/>
      <x:c r="O210" s="216"/>
      <x:c r="P210" s="216"/>
      <x:c r="Q210" s="216"/>
      <x:c r="R210" s="216"/>
      <x:c r="S210" s="216"/>
      <x:c r="T210" s="216"/>
      <x:c r="U210" s="216"/>
      <x:c r="V210" s="216"/>
      <x:c r="W210" s="216"/>
      <x:c r="X210" s="216"/>
      <x:c r="Y210" s="216"/>
      <x:c r="Z210" s="216"/>
    </x:row>
    <x:row r="211">
      <x:c r="A211" s="216"/>
      <x:c r="B211" s="216"/>
      <x:c r="C211" s="216"/>
      <x:c r="D211" s="216"/>
      <x:c r="E211" s="216"/>
      <x:c r="F211" s="216"/>
      <x:c r="G211" s="216"/>
      <x:c r="H211" s="216"/>
      <x:c r="I211" s="216"/>
      <x:c r="J211" s="216"/>
      <x:c r="K211" s="216"/>
      <x:c r="L211" s="216"/>
      <x:c r="M211" s="216"/>
      <x:c r="N211" s="216"/>
      <x:c r="O211" s="216"/>
      <x:c r="P211" s="216"/>
      <x:c r="Q211" s="216"/>
      <x:c r="R211" s="216"/>
      <x:c r="S211" s="216"/>
      <x:c r="T211" s="216"/>
      <x:c r="U211" s="216"/>
      <x:c r="V211" s="216"/>
      <x:c r="W211" s="216"/>
      <x:c r="X211" s="216"/>
      <x:c r="Y211" s="216"/>
      <x:c r="Z211" s="216"/>
    </x:row>
    <x:row r="212">
      <x:c r="A212" s="216"/>
      <x:c r="B212" s="216"/>
      <x:c r="C212" s="216"/>
      <x:c r="D212" s="216"/>
      <x:c r="E212" s="216"/>
      <x:c r="F212" s="216"/>
      <x:c r="G212" s="216"/>
      <x:c r="H212" s="216"/>
      <x:c r="I212" s="216"/>
      <x:c r="J212" s="216"/>
      <x:c r="K212" s="216"/>
      <x:c r="L212" s="216"/>
      <x:c r="M212" s="216"/>
      <x:c r="N212" s="216"/>
      <x:c r="O212" s="216"/>
      <x:c r="P212" s="216"/>
      <x:c r="Q212" s="216"/>
      <x:c r="R212" s="216"/>
      <x:c r="S212" s="216"/>
      <x:c r="T212" s="216"/>
      <x:c r="U212" s="216"/>
      <x:c r="V212" s="216"/>
      <x:c r="W212" s="216"/>
      <x:c r="X212" s="216"/>
      <x:c r="Y212" s="216"/>
      <x:c r="Z212" s="216"/>
    </x:row>
    <x:row r="213">
      <x:c r="A213" s="216"/>
      <x:c r="B213" s="216"/>
      <x:c r="C213" s="216"/>
      <x:c r="D213" s="216"/>
      <x:c r="E213" s="216"/>
      <x:c r="F213" s="216"/>
      <x:c r="G213" s="216"/>
      <x:c r="H213" s="216"/>
      <x:c r="I213" s="216"/>
      <x:c r="J213" s="216"/>
      <x:c r="K213" s="216"/>
      <x:c r="L213" s="216"/>
      <x:c r="M213" s="216"/>
      <x:c r="N213" s="216"/>
      <x:c r="O213" s="216"/>
      <x:c r="P213" s="216"/>
      <x:c r="Q213" s="216"/>
      <x:c r="R213" s="216"/>
      <x:c r="S213" s="216"/>
      <x:c r="T213" s="216"/>
      <x:c r="U213" s="216"/>
      <x:c r="V213" s="216"/>
      <x:c r="W213" s="216"/>
      <x:c r="X213" s="216"/>
      <x:c r="Y213" s="216"/>
      <x:c r="Z213" s="216"/>
    </x:row>
    <x:row r="214">
      <x:c r="A214" s="216"/>
      <x:c r="B214" s="216"/>
      <x:c r="C214" s="216"/>
      <x:c r="D214" s="216"/>
      <x:c r="E214" s="216"/>
      <x:c r="F214" s="216"/>
      <x:c r="G214" s="216"/>
      <x:c r="H214" s="216"/>
      <x:c r="I214" s="216"/>
      <x:c r="J214" s="216"/>
      <x:c r="K214" s="216"/>
      <x:c r="L214" s="216"/>
      <x:c r="M214" s="216"/>
      <x:c r="N214" s="216"/>
      <x:c r="O214" s="216"/>
      <x:c r="P214" s="216"/>
      <x:c r="Q214" s="216"/>
      <x:c r="R214" s="216"/>
      <x:c r="S214" s="216"/>
      <x:c r="T214" s="216"/>
      <x:c r="U214" s="216"/>
      <x:c r="V214" s="216"/>
      <x:c r="W214" s="216"/>
      <x:c r="X214" s="216"/>
      <x:c r="Y214" s="216"/>
      <x:c r="Z214" s="216"/>
    </x:row>
    <x:row r="215">
      <x:c r="A215" s="216"/>
      <x:c r="B215" s="216"/>
      <x:c r="C215" s="216"/>
      <x:c r="D215" s="216"/>
      <x:c r="E215" s="216"/>
      <x:c r="F215" s="216"/>
      <x:c r="G215" s="216"/>
      <x:c r="H215" s="216"/>
      <x:c r="I215" s="216"/>
      <x:c r="J215" s="216"/>
      <x:c r="K215" s="216"/>
      <x:c r="L215" s="216"/>
      <x:c r="M215" s="216"/>
      <x:c r="N215" s="216"/>
      <x:c r="O215" s="216"/>
      <x:c r="P215" s="216"/>
      <x:c r="Q215" s="216"/>
      <x:c r="R215" s="216"/>
      <x:c r="S215" s="216"/>
      <x:c r="T215" s="216"/>
      <x:c r="U215" s="216"/>
      <x:c r="V215" s="216"/>
      <x:c r="W215" s="216"/>
      <x:c r="X215" s="216"/>
      <x:c r="Y215" s="216"/>
      <x:c r="Z215" s="216"/>
    </x:row>
    <x:row r="216">
      <x:c r="A216" s="216"/>
      <x:c r="B216" s="216"/>
      <x:c r="C216" s="216"/>
      <x:c r="D216" s="216"/>
      <x:c r="E216" s="216"/>
      <x:c r="F216" s="216"/>
      <x:c r="G216" s="216"/>
      <x:c r="H216" s="216"/>
      <x:c r="I216" s="216"/>
      <x:c r="J216" s="216"/>
      <x:c r="K216" s="216"/>
      <x:c r="L216" s="216"/>
      <x:c r="M216" s="216"/>
      <x:c r="N216" s="216"/>
      <x:c r="O216" s="216"/>
      <x:c r="P216" s="216"/>
      <x:c r="Q216" s="216"/>
      <x:c r="R216" s="216"/>
      <x:c r="S216" s="216"/>
      <x:c r="T216" s="216"/>
      <x:c r="U216" s="216"/>
      <x:c r="V216" s="216"/>
      <x:c r="W216" s="216"/>
      <x:c r="X216" s="216"/>
      <x:c r="Y216" s="216"/>
      <x:c r="Z216" s="216"/>
    </x:row>
    <x:row r="217">
      <x:c r="A217" s="216"/>
      <x:c r="B217" s="216"/>
      <x:c r="C217" s="216"/>
      <x:c r="D217" s="216"/>
      <x:c r="E217" s="216"/>
      <x:c r="F217" s="216"/>
      <x:c r="G217" s="216"/>
      <x:c r="H217" s="216"/>
      <x:c r="I217" s="216"/>
      <x:c r="J217" s="216"/>
      <x:c r="K217" s="216"/>
      <x:c r="L217" s="216"/>
      <x:c r="M217" s="216"/>
      <x:c r="N217" s="216"/>
      <x:c r="O217" s="216"/>
      <x:c r="P217" s="216"/>
      <x:c r="Q217" s="216"/>
      <x:c r="R217" s="216"/>
      <x:c r="S217" s="216"/>
      <x:c r="T217" s="216"/>
      <x:c r="U217" s="216"/>
      <x:c r="V217" s="216"/>
      <x:c r="W217" s="216"/>
      <x:c r="X217" s="216"/>
      <x:c r="Y217" s="216"/>
      <x:c r="Z217" s="216"/>
    </x:row>
    <x:row r="218">
      <x:c r="A218" s="216"/>
      <x:c r="B218" s="216"/>
      <x:c r="C218" s="216"/>
      <x:c r="D218" s="216"/>
      <x:c r="E218" s="216"/>
      <x:c r="F218" s="216"/>
      <x:c r="G218" s="216"/>
      <x:c r="H218" s="216"/>
      <x:c r="I218" s="216"/>
      <x:c r="J218" s="216"/>
      <x:c r="K218" s="216"/>
      <x:c r="L218" s="216"/>
      <x:c r="M218" s="216"/>
      <x:c r="N218" s="216"/>
      <x:c r="O218" s="216"/>
      <x:c r="P218" s="216"/>
      <x:c r="Q218" s="216"/>
      <x:c r="R218" s="216"/>
      <x:c r="S218" s="216"/>
      <x:c r="T218" s="216"/>
      <x:c r="U218" s="216"/>
      <x:c r="V218" s="216"/>
      <x:c r="W218" s="216"/>
      <x:c r="X218" s="216"/>
      <x:c r="Y218" s="216"/>
      <x:c r="Z218" s="216"/>
    </x:row>
    <x:row r="219">
      <x:c r="A219" s="216"/>
      <x:c r="B219" s="216"/>
      <x:c r="C219" s="216"/>
      <x:c r="D219" s="216"/>
      <x:c r="E219" s="216"/>
      <x:c r="F219" s="216"/>
      <x:c r="G219" s="216"/>
      <x:c r="H219" s="216"/>
      <x:c r="I219" s="216"/>
      <x:c r="J219" s="216"/>
      <x:c r="K219" s="216"/>
      <x:c r="L219" s="216"/>
      <x:c r="M219" s="216"/>
      <x:c r="N219" s="216"/>
      <x:c r="O219" s="216"/>
      <x:c r="P219" s="216"/>
      <x:c r="Q219" s="216"/>
      <x:c r="R219" s="216"/>
      <x:c r="S219" s="216"/>
      <x:c r="T219" s="216"/>
      <x:c r="U219" s="216"/>
      <x:c r="V219" s="216"/>
      <x:c r="W219" s="216"/>
      <x:c r="X219" s="216"/>
      <x:c r="Y219" s="216"/>
      <x:c r="Z219" s="216"/>
    </x:row>
    <x:row r="220">
      <x:c r="A220" s="216"/>
      <x:c r="B220" s="216"/>
      <x:c r="C220" s="216"/>
      <x:c r="D220" s="216"/>
      <x:c r="E220" s="216"/>
      <x:c r="F220" s="216"/>
      <x:c r="G220" s="216"/>
      <x:c r="H220" s="216"/>
      <x:c r="I220" s="216"/>
      <x:c r="J220" s="216"/>
      <x:c r="K220" s="216"/>
      <x:c r="L220" s="216"/>
      <x:c r="M220" s="216"/>
      <x:c r="N220" s="216"/>
      <x:c r="O220" s="216"/>
      <x:c r="P220" s="216"/>
      <x:c r="Q220" s="216"/>
      <x:c r="R220" s="216"/>
      <x:c r="S220" s="216"/>
      <x:c r="T220" s="216"/>
      <x:c r="U220" s="216"/>
      <x:c r="V220" s="216"/>
      <x:c r="W220" s="216"/>
      <x:c r="X220" s="216"/>
      <x:c r="Y220" s="216"/>
      <x:c r="Z220" s="216"/>
    </x:row>
    <x:row r="221">
      <x:c r="A221" s="216"/>
      <x:c r="B221" s="216"/>
      <x:c r="C221" s="216"/>
      <x:c r="D221" s="216"/>
      <x:c r="E221" s="216"/>
      <x:c r="F221" s="216"/>
      <x:c r="G221" s="216"/>
      <x:c r="H221" s="216"/>
      <x:c r="I221" s="216"/>
      <x:c r="J221" s="216"/>
      <x:c r="K221" s="216"/>
      <x:c r="L221" s="216"/>
      <x:c r="M221" s="216"/>
      <x:c r="N221" s="216"/>
      <x:c r="O221" s="216"/>
      <x:c r="P221" s="216"/>
      <x:c r="Q221" s="216"/>
      <x:c r="R221" s="216"/>
      <x:c r="S221" s="216"/>
      <x:c r="T221" s="216"/>
      <x:c r="U221" s="216"/>
      <x:c r="V221" s="216"/>
      <x:c r="W221" s="216"/>
      <x:c r="X221" s="216"/>
      <x:c r="Y221" s="216"/>
      <x:c r="Z221" s="216"/>
    </x:row>
    <x:row r="222">
      <x:c r="A222" s="216"/>
      <x:c r="B222" s="216"/>
      <x:c r="C222" s="216"/>
      <x:c r="D222" s="216"/>
      <x:c r="E222" s="216"/>
      <x:c r="F222" s="216"/>
      <x:c r="G222" s="216"/>
      <x:c r="H222" s="216"/>
      <x:c r="I222" s="216"/>
      <x:c r="J222" s="216"/>
      <x:c r="K222" s="216"/>
      <x:c r="L222" s="216"/>
      <x:c r="M222" s="216"/>
      <x:c r="N222" s="216"/>
      <x:c r="O222" s="216"/>
      <x:c r="P222" s="216"/>
      <x:c r="Q222" s="216"/>
      <x:c r="R222" s="216"/>
      <x:c r="S222" s="216"/>
      <x:c r="T222" s="216"/>
      <x:c r="U222" s="216"/>
      <x:c r="V222" s="216"/>
      <x:c r="W222" s="216"/>
      <x:c r="X222" s="216"/>
      <x:c r="Y222" s="216"/>
      <x:c r="Z222" s="216"/>
    </x:row>
    <x:row r="223">
      <x:c r="A223" s="216"/>
      <x:c r="B223" s="216"/>
      <x:c r="C223" s="216"/>
      <x:c r="D223" s="216"/>
      <x:c r="E223" s="216"/>
      <x:c r="F223" s="216"/>
      <x:c r="G223" s="216"/>
      <x:c r="H223" s="216"/>
      <x:c r="I223" s="216"/>
      <x:c r="J223" s="216"/>
      <x:c r="K223" s="216"/>
      <x:c r="L223" s="216"/>
      <x:c r="M223" s="216"/>
      <x:c r="N223" s="216"/>
      <x:c r="O223" s="216"/>
      <x:c r="P223" s="216"/>
      <x:c r="Q223" s="216"/>
      <x:c r="R223" s="216"/>
      <x:c r="S223" s="216"/>
      <x:c r="T223" s="216"/>
      <x:c r="U223" s="216"/>
      <x:c r="V223" s="216"/>
      <x:c r="W223" s="216"/>
      <x:c r="X223" s="216"/>
      <x:c r="Y223" s="216"/>
      <x:c r="Z223" s="216"/>
    </x:row>
    <x:row r="224">
      <x:c r="A224" s="216"/>
      <x:c r="B224" s="216"/>
      <x:c r="C224" s="216"/>
      <x:c r="D224" s="216"/>
      <x:c r="E224" s="216"/>
      <x:c r="F224" s="216"/>
      <x:c r="G224" s="216"/>
      <x:c r="H224" s="216"/>
      <x:c r="I224" s="216"/>
      <x:c r="J224" s="216"/>
      <x:c r="K224" s="216"/>
      <x:c r="L224" s="216"/>
      <x:c r="M224" s="216"/>
      <x:c r="N224" s="216"/>
      <x:c r="O224" s="216"/>
      <x:c r="P224" s="216"/>
      <x:c r="Q224" s="216"/>
      <x:c r="R224" s="216"/>
      <x:c r="S224" s="216"/>
      <x:c r="T224" s="216"/>
      <x:c r="U224" s="216"/>
      <x:c r="V224" s="216"/>
      <x:c r="W224" s="216"/>
      <x:c r="X224" s="216"/>
      <x:c r="Y224" s="216"/>
      <x:c r="Z224" s="216"/>
    </x:row>
    <x:row r="225">
      <x:c r="A225" s="216"/>
      <x:c r="B225" s="216"/>
      <x:c r="C225" s="216"/>
      <x:c r="D225" s="216"/>
      <x:c r="E225" s="216"/>
      <x:c r="F225" s="216"/>
      <x:c r="G225" s="216"/>
      <x:c r="H225" s="216"/>
      <x:c r="I225" s="216"/>
      <x:c r="J225" s="216"/>
      <x:c r="K225" s="216"/>
      <x:c r="L225" s="216"/>
      <x:c r="M225" s="216"/>
      <x:c r="N225" s="216"/>
      <x:c r="O225" s="216"/>
      <x:c r="P225" s="216"/>
      <x:c r="Q225" s="216"/>
      <x:c r="R225" s="216"/>
      <x:c r="S225" s="216"/>
      <x:c r="T225" s="216"/>
      <x:c r="U225" s="216"/>
      <x:c r="V225" s="216"/>
      <x:c r="W225" s="216"/>
      <x:c r="X225" s="216"/>
      <x:c r="Y225" s="216"/>
      <x:c r="Z225" s="216"/>
    </x:row>
    <x:row r="226">
      <x:c r="A226" s="216"/>
      <x:c r="B226" s="216"/>
      <x:c r="C226" s="216"/>
      <x:c r="D226" s="216"/>
      <x:c r="E226" s="216"/>
      <x:c r="F226" s="216"/>
      <x:c r="G226" s="216"/>
      <x:c r="H226" s="216"/>
      <x:c r="I226" s="216"/>
      <x:c r="J226" s="216"/>
      <x:c r="K226" s="216"/>
      <x:c r="L226" s="216"/>
      <x:c r="M226" s="216"/>
      <x:c r="N226" s="216"/>
      <x:c r="O226" s="216"/>
      <x:c r="P226" s="216"/>
      <x:c r="Q226" s="216"/>
      <x:c r="R226" s="216"/>
      <x:c r="S226" s="216"/>
      <x:c r="T226" s="216"/>
      <x:c r="U226" s="216"/>
      <x:c r="V226" s="216"/>
      <x:c r="W226" s="216"/>
      <x:c r="X226" s="216"/>
      <x:c r="Y226" s="216"/>
      <x:c r="Z226" s="216"/>
    </x:row>
    <x:row r="227">
      <x:c r="A227" s="216"/>
      <x:c r="B227" s="216"/>
      <x:c r="C227" s="216"/>
      <x:c r="D227" s="216"/>
      <x:c r="E227" s="216"/>
      <x:c r="F227" s="216"/>
      <x:c r="G227" s="216"/>
      <x:c r="H227" s="216"/>
      <x:c r="I227" s="216"/>
      <x:c r="J227" s="216"/>
      <x:c r="K227" s="216"/>
      <x:c r="L227" s="216"/>
      <x:c r="M227" s="216"/>
      <x:c r="N227" s="216"/>
      <x:c r="O227" s="216"/>
      <x:c r="P227" s="216"/>
      <x:c r="Q227" s="216"/>
      <x:c r="R227" s="216"/>
      <x:c r="S227" s="216"/>
      <x:c r="T227" s="216"/>
      <x:c r="U227" s="216"/>
      <x:c r="V227" s="216"/>
      <x:c r="W227" s="216"/>
      <x:c r="X227" s="216"/>
      <x:c r="Y227" s="216"/>
      <x:c r="Z227" s="216"/>
    </x:row>
    <x:row r="228">
      <x:c r="A228" s="216"/>
      <x:c r="B228" s="216"/>
      <x:c r="C228" s="216"/>
      <x:c r="D228" s="216"/>
      <x:c r="E228" s="216"/>
      <x:c r="F228" s="216"/>
      <x:c r="G228" s="216"/>
      <x:c r="H228" s="216"/>
      <x:c r="I228" s="216"/>
      <x:c r="J228" s="216"/>
      <x:c r="K228" s="216"/>
      <x:c r="L228" s="216"/>
      <x:c r="M228" s="216"/>
      <x:c r="N228" s="216"/>
      <x:c r="O228" s="216"/>
      <x:c r="P228" s="216"/>
      <x:c r="Q228" s="216"/>
      <x:c r="R228" s="216"/>
      <x:c r="S228" s="216"/>
      <x:c r="T228" s="216"/>
      <x:c r="U228" s="216"/>
      <x:c r="V228" s="216"/>
      <x:c r="W228" s="216"/>
      <x:c r="X228" s="216"/>
      <x:c r="Y228" s="216"/>
      <x:c r="Z228" s="216"/>
    </x:row>
    <x:row r="229">
      <x:c r="A229" s="216"/>
      <x:c r="B229" s="216"/>
      <x:c r="C229" s="216"/>
      <x:c r="D229" s="216"/>
      <x:c r="E229" s="216"/>
      <x:c r="F229" s="216"/>
      <x:c r="G229" s="216"/>
      <x:c r="H229" s="216"/>
      <x:c r="I229" s="216"/>
      <x:c r="J229" s="216"/>
      <x:c r="K229" s="216"/>
      <x:c r="L229" s="216"/>
      <x:c r="M229" s="216"/>
      <x:c r="N229" s="216"/>
      <x:c r="O229" s="216"/>
      <x:c r="P229" s="216"/>
      <x:c r="Q229" s="216"/>
      <x:c r="R229" s="216"/>
      <x:c r="S229" s="216"/>
      <x:c r="T229" s="216"/>
      <x:c r="U229" s="216"/>
      <x:c r="V229" s="216"/>
      <x:c r="W229" s="216"/>
      <x:c r="X229" s="216"/>
      <x:c r="Y229" s="216"/>
      <x:c r="Z229" s="216"/>
    </x:row>
    <x:row r="230">
      <x:c r="A230" s="216"/>
      <x:c r="B230" s="216"/>
      <x:c r="C230" s="216"/>
      <x:c r="D230" s="216"/>
      <x:c r="E230" s="216"/>
      <x:c r="F230" s="216"/>
      <x:c r="G230" s="216"/>
      <x:c r="H230" s="216"/>
      <x:c r="I230" s="216"/>
      <x:c r="J230" s="216"/>
      <x:c r="K230" s="216"/>
      <x:c r="L230" s="216"/>
      <x:c r="M230" s="216"/>
      <x:c r="N230" s="216"/>
      <x:c r="O230" s="216"/>
      <x:c r="P230" s="216"/>
      <x:c r="Q230" s="216"/>
      <x:c r="R230" s="216"/>
      <x:c r="S230" s="216"/>
      <x:c r="T230" s="216"/>
      <x:c r="U230" s="216"/>
      <x:c r="V230" s="216"/>
      <x:c r="W230" s="216"/>
      <x:c r="X230" s="216"/>
      <x:c r="Y230" s="216"/>
      <x:c r="Z230" s="216"/>
    </x:row>
    <x:row r="231">
      <x:c r="A231" s="216"/>
      <x:c r="B231" s="216"/>
      <x:c r="C231" s="216"/>
      <x:c r="D231" s="216"/>
      <x:c r="E231" s="216"/>
      <x:c r="F231" s="216"/>
      <x:c r="G231" s="216"/>
      <x:c r="H231" s="216"/>
      <x:c r="I231" s="216"/>
      <x:c r="J231" s="216"/>
      <x:c r="K231" s="216"/>
      <x:c r="L231" s="216"/>
      <x:c r="M231" s="216"/>
      <x:c r="N231" s="216"/>
      <x:c r="O231" s="216"/>
      <x:c r="P231" s="216"/>
      <x:c r="Q231" s="216"/>
      <x:c r="R231" s="216"/>
      <x:c r="S231" s="216"/>
      <x:c r="T231" s="216"/>
      <x:c r="U231" s="216"/>
      <x:c r="V231" s="216"/>
      <x:c r="W231" s="216"/>
      <x:c r="X231" s="216"/>
      <x:c r="Y231" s="216"/>
      <x:c r="Z231" s="216"/>
    </x:row>
    <x:row r="232">
      <x:c r="A232" s="216"/>
      <x:c r="B232" s="216"/>
      <x:c r="C232" s="216"/>
      <x:c r="D232" s="216"/>
      <x:c r="E232" s="216"/>
      <x:c r="F232" s="216"/>
      <x:c r="G232" s="216"/>
      <x:c r="H232" s="216"/>
      <x:c r="I232" s="216"/>
      <x:c r="J232" s="216"/>
      <x:c r="K232" s="216"/>
      <x:c r="L232" s="216"/>
      <x:c r="M232" s="216"/>
      <x:c r="N232" s="216"/>
      <x:c r="O232" s="216"/>
      <x:c r="P232" s="216"/>
      <x:c r="Q232" s="216"/>
      <x:c r="R232" s="216"/>
      <x:c r="S232" s="216"/>
      <x:c r="T232" s="216"/>
      <x:c r="U232" s="216"/>
      <x:c r="V232" s="216"/>
      <x:c r="W232" s="216"/>
      <x:c r="X232" s="216"/>
      <x:c r="Y232" s="216"/>
      <x:c r="Z232" s="216"/>
    </x:row>
    <x:row r="233">
      <x:c r="A233" s="216"/>
      <x:c r="B233" s="216"/>
      <x:c r="C233" s="216"/>
      <x:c r="D233" s="216"/>
      <x:c r="E233" s="216"/>
      <x:c r="F233" s="216"/>
      <x:c r="G233" s="216"/>
      <x:c r="H233" s="216"/>
      <x:c r="I233" s="216"/>
      <x:c r="J233" s="216"/>
      <x:c r="K233" s="216"/>
      <x:c r="L233" s="216"/>
      <x:c r="M233" s="216"/>
      <x:c r="N233" s="216"/>
      <x:c r="O233" s="216"/>
      <x:c r="P233" s="216"/>
      <x:c r="Q233" s="216"/>
      <x:c r="R233" s="216"/>
      <x:c r="S233" s="216"/>
      <x:c r="T233" s="216"/>
      <x:c r="U233" s="216"/>
      <x:c r="V233" s="216"/>
      <x:c r="W233" s="216"/>
      <x:c r="X233" s="216"/>
      <x:c r="Y233" s="216"/>
      <x:c r="Z233" s="216"/>
    </x:row>
    <x:row r="234">
      <x:c r="A234" s="216"/>
      <x:c r="B234" s="216"/>
      <x:c r="C234" s="216"/>
      <x:c r="D234" s="216"/>
      <x:c r="E234" s="216"/>
      <x:c r="F234" s="216"/>
      <x:c r="G234" s="216"/>
      <x:c r="H234" s="216"/>
      <x:c r="I234" s="216"/>
      <x:c r="J234" s="216"/>
      <x:c r="K234" s="216"/>
      <x:c r="L234" s="216"/>
      <x:c r="M234" s="216"/>
      <x:c r="N234" s="216"/>
      <x:c r="O234" s="216"/>
      <x:c r="P234" s="216"/>
      <x:c r="Q234" s="216"/>
      <x:c r="R234" s="216"/>
      <x:c r="S234" s="216"/>
      <x:c r="T234" s="216"/>
      <x:c r="U234" s="216"/>
      <x:c r="V234" s="216"/>
      <x:c r="W234" s="216"/>
      <x:c r="X234" s="216"/>
      <x:c r="Y234" s="216"/>
      <x:c r="Z234" s="216"/>
    </x:row>
    <x:row r="235">
      <x:c r="A235" s="216"/>
      <x:c r="B235" s="216"/>
      <x:c r="C235" s="216"/>
      <x:c r="D235" s="216"/>
      <x:c r="E235" s="216"/>
      <x:c r="F235" s="216"/>
      <x:c r="G235" s="216"/>
      <x:c r="H235" s="216"/>
      <x:c r="I235" s="216"/>
      <x:c r="J235" s="216"/>
      <x:c r="K235" s="216"/>
      <x:c r="L235" s="216"/>
      <x:c r="M235" s="216"/>
      <x:c r="N235" s="216"/>
      <x:c r="O235" s="216"/>
      <x:c r="P235" s="216"/>
      <x:c r="Q235" s="216"/>
      <x:c r="R235" s="216"/>
      <x:c r="S235" s="216"/>
      <x:c r="T235" s="216"/>
      <x:c r="U235" s="216"/>
      <x:c r="V235" s="216"/>
      <x:c r="W235" s="216"/>
      <x:c r="X235" s="216"/>
      <x:c r="Y235" s="216"/>
      <x:c r="Z235" s="216"/>
    </x:row>
    <x:row r="236">
      <x:c r="A236" s="216"/>
      <x:c r="B236" s="216"/>
      <x:c r="C236" s="216"/>
      <x:c r="D236" s="216"/>
      <x:c r="E236" s="216"/>
      <x:c r="F236" s="216"/>
      <x:c r="G236" s="216"/>
      <x:c r="H236" s="216"/>
      <x:c r="I236" s="216"/>
      <x:c r="J236" s="216"/>
      <x:c r="K236" s="216"/>
      <x:c r="L236" s="216"/>
      <x:c r="M236" s="216"/>
      <x:c r="N236" s="216"/>
      <x:c r="O236" s="216"/>
      <x:c r="P236" s="216"/>
      <x:c r="Q236" s="216"/>
      <x:c r="R236" s="216"/>
      <x:c r="S236" s="216"/>
      <x:c r="T236" s="216"/>
      <x:c r="U236" s="216"/>
      <x:c r="V236" s="216"/>
      <x:c r="W236" s="216"/>
      <x:c r="X236" s="216"/>
      <x:c r="Y236" s="216"/>
      <x:c r="Z236" s="216"/>
    </x:row>
    <x:row r="237">
      <x:c r="A237" s="216"/>
      <x:c r="B237" s="216"/>
      <x:c r="C237" s="216"/>
      <x:c r="D237" s="216"/>
      <x:c r="E237" s="216"/>
      <x:c r="F237" s="216"/>
      <x:c r="G237" s="216"/>
      <x:c r="H237" s="216"/>
      <x:c r="I237" s="216"/>
      <x:c r="J237" s="216"/>
      <x:c r="K237" s="216"/>
      <x:c r="L237" s="216"/>
      <x:c r="M237" s="216"/>
      <x:c r="N237" s="216"/>
      <x:c r="O237" s="216"/>
      <x:c r="P237" s="216"/>
      <x:c r="Q237" s="216"/>
      <x:c r="R237" s="216"/>
      <x:c r="S237" s="216"/>
      <x:c r="T237" s="216"/>
      <x:c r="U237" s="216"/>
      <x:c r="V237" s="216"/>
      <x:c r="W237" s="216"/>
      <x:c r="X237" s="216"/>
      <x:c r="Y237" s="216"/>
      <x:c r="Z237" s="216"/>
    </x:row>
    <x:row r="238">
      <x:c r="A238" s="216"/>
      <x:c r="B238" s="216"/>
      <x:c r="C238" s="216"/>
      <x:c r="D238" s="216"/>
      <x:c r="E238" s="216"/>
      <x:c r="F238" s="216"/>
      <x:c r="G238" s="216"/>
      <x:c r="H238" s="216"/>
      <x:c r="I238" s="216"/>
      <x:c r="J238" s="216"/>
      <x:c r="K238" s="216"/>
      <x:c r="L238" s="216"/>
      <x:c r="M238" s="216"/>
      <x:c r="N238" s="216"/>
      <x:c r="O238" s="216"/>
      <x:c r="P238" s="216"/>
      <x:c r="Q238" s="216"/>
      <x:c r="R238" s="216"/>
      <x:c r="S238" s="216"/>
      <x:c r="T238" s="216"/>
      <x:c r="U238" s="216"/>
      <x:c r="V238" s="216"/>
      <x:c r="W238" s="216"/>
      <x:c r="X238" s="216"/>
      <x:c r="Y238" s="216"/>
      <x:c r="Z238" s="216"/>
    </x:row>
    <x:row r="239">
      <x:c r="A239" s="216"/>
      <x:c r="B239" s="216"/>
      <x:c r="C239" s="216"/>
      <x:c r="D239" s="216"/>
      <x:c r="E239" s="216"/>
      <x:c r="F239" s="216"/>
      <x:c r="G239" s="216"/>
      <x:c r="H239" s="216"/>
      <x:c r="I239" s="216"/>
      <x:c r="J239" s="216"/>
      <x:c r="K239" s="216"/>
      <x:c r="L239" s="216"/>
      <x:c r="M239" s="216"/>
      <x:c r="N239" s="216"/>
      <x:c r="O239" s="216"/>
      <x:c r="P239" s="216"/>
      <x:c r="Q239" s="216"/>
      <x:c r="R239" s="216"/>
      <x:c r="S239" s="216"/>
      <x:c r="T239" s="216"/>
      <x:c r="U239" s="216"/>
      <x:c r="V239" s="216"/>
      <x:c r="W239" s="216"/>
      <x:c r="X239" s="216"/>
      <x:c r="Y239" s="216"/>
      <x:c r="Z239" s="216"/>
    </x:row>
    <x:row r="240">
      <x:c r="A240" s="216"/>
      <x:c r="B240" s="216"/>
      <x:c r="C240" s="216"/>
      <x:c r="D240" s="216"/>
      <x:c r="E240" s="216"/>
      <x:c r="F240" s="216"/>
      <x:c r="G240" s="216"/>
      <x:c r="H240" s="216"/>
      <x:c r="I240" s="216"/>
      <x:c r="J240" s="216"/>
      <x:c r="K240" s="216"/>
      <x:c r="L240" s="216"/>
      <x:c r="M240" s="216"/>
      <x:c r="N240" s="216"/>
      <x:c r="O240" s="216"/>
      <x:c r="P240" s="216"/>
      <x:c r="Q240" s="216"/>
      <x:c r="R240" s="216"/>
      <x:c r="S240" s="216"/>
      <x:c r="T240" s="216"/>
      <x:c r="U240" s="216"/>
      <x:c r="V240" s="216"/>
      <x:c r="W240" s="216"/>
      <x:c r="X240" s="216"/>
      <x:c r="Y240" s="216"/>
      <x:c r="Z240" s="216"/>
    </x:row>
    <x:row r="241">
      <x:c r="A241" s="216"/>
      <x:c r="B241" s="216"/>
      <x:c r="C241" s="216"/>
      <x:c r="D241" s="216"/>
      <x:c r="E241" s="216"/>
      <x:c r="F241" s="216"/>
      <x:c r="G241" s="216"/>
      <x:c r="H241" s="216"/>
      <x:c r="I241" s="216"/>
      <x:c r="J241" s="216"/>
      <x:c r="K241" s="216"/>
      <x:c r="L241" s="216"/>
      <x:c r="M241" s="216"/>
      <x:c r="N241" s="216"/>
      <x:c r="O241" s="216"/>
      <x:c r="P241" s="216"/>
      <x:c r="Q241" s="216"/>
      <x:c r="R241" s="216"/>
      <x:c r="S241" s="216"/>
      <x:c r="T241" s="216"/>
      <x:c r="U241" s="216"/>
      <x:c r="V241" s="216"/>
      <x:c r="W241" s="216"/>
      <x:c r="X241" s="216"/>
      <x:c r="Y241" s="216"/>
      <x:c r="Z241" s="216"/>
    </x:row>
    <x:row r="242">
      <x:c r="A242" s="216"/>
      <x:c r="B242" s="216"/>
      <x:c r="C242" s="216"/>
      <x:c r="D242" s="216"/>
      <x:c r="E242" s="216"/>
      <x:c r="F242" s="216"/>
      <x:c r="G242" s="216"/>
      <x:c r="H242" s="216"/>
      <x:c r="I242" s="216"/>
      <x:c r="J242" s="216"/>
      <x:c r="K242" s="216"/>
      <x:c r="L242" s="216"/>
      <x:c r="M242" s="216"/>
      <x:c r="N242" s="216"/>
      <x:c r="O242" s="216"/>
      <x:c r="P242" s="216"/>
      <x:c r="Q242" s="216"/>
      <x:c r="R242" s="216"/>
      <x:c r="S242" s="216"/>
      <x:c r="T242" s="216"/>
      <x:c r="U242" s="216"/>
      <x:c r="V242" s="216"/>
      <x:c r="W242" s="216"/>
      <x:c r="X242" s="216"/>
      <x:c r="Y242" s="216"/>
      <x:c r="Z242" s="216"/>
    </x:row>
    <x:row r="243">
      <x:c r="A243" s="216"/>
      <x:c r="B243" s="216"/>
      <x:c r="C243" s="216"/>
      <x:c r="D243" s="216"/>
      <x:c r="E243" s="216"/>
      <x:c r="F243" s="216"/>
      <x:c r="G243" s="216"/>
      <x:c r="H243" s="216"/>
      <x:c r="I243" s="216"/>
      <x:c r="J243" s="216"/>
      <x:c r="K243" s="216"/>
      <x:c r="L243" s="216"/>
      <x:c r="M243" s="216"/>
      <x:c r="N243" s="216"/>
      <x:c r="O243" s="216"/>
      <x:c r="P243" s="216"/>
      <x:c r="Q243" s="216"/>
      <x:c r="R243" s="216"/>
      <x:c r="S243" s="216"/>
      <x:c r="T243" s="216"/>
      <x:c r="U243" s="216"/>
      <x:c r="V243" s="216"/>
      <x:c r="W243" s="216"/>
      <x:c r="X243" s="216"/>
      <x:c r="Y243" s="216"/>
      <x:c r="Z243" s="216"/>
    </x:row>
    <x:row r="244">
      <x:c r="A244" s="216"/>
      <x:c r="B244" s="216"/>
      <x:c r="C244" s="216"/>
      <x:c r="D244" s="216"/>
      <x:c r="E244" s="216"/>
      <x:c r="F244" s="216"/>
      <x:c r="G244" s="216"/>
      <x:c r="H244" s="216"/>
      <x:c r="I244" s="216"/>
      <x:c r="J244" s="216"/>
      <x:c r="K244" s="216"/>
      <x:c r="L244" s="216"/>
      <x:c r="M244" s="216"/>
      <x:c r="N244" s="216"/>
      <x:c r="O244" s="216"/>
      <x:c r="P244" s="216"/>
      <x:c r="Q244" s="216"/>
      <x:c r="R244" s="216"/>
      <x:c r="S244" s="216"/>
      <x:c r="T244" s="216"/>
      <x:c r="U244" s="216"/>
      <x:c r="V244" s="216"/>
      <x:c r="W244" s="216"/>
      <x:c r="X244" s="216"/>
      <x:c r="Y244" s="216"/>
      <x:c r="Z244" s="216"/>
    </x:row>
    <x:row r="245">
      <x:c r="A245" s="216"/>
      <x:c r="B245" s="216"/>
      <x:c r="C245" s="216"/>
      <x:c r="D245" s="216"/>
      <x:c r="E245" s="216"/>
      <x:c r="F245" s="216"/>
      <x:c r="G245" s="216"/>
      <x:c r="H245" s="216"/>
      <x:c r="I245" s="216"/>
      <x:c r="J245" s="216"/>
      <x:c r="K245" s="216"/>
      <x:c r="L245" s="216"/>
      <x:c r="M245" s="216"/>
      <x:c r="N245" s="216"/>
      <x:c r="O245" s="216"/>
      <x:c r="P245" s="216"/>
      <x:c r="Q245" s="216"/>
      <x:c r="R245" s="216"/>
      <x:c r="S245" s="216"/>
      <x:c r="T245" s="216"/>
      <x:c r="U245" s="216"/>
      <x:c r="V245" s="216"/>
      <x:c r="W245" s="216"/>
      <x:c r="X245" s="216"/>
      <x:c r="Y245" s="216"/>
      <x:c r="Z245" s="216"/>
    </x:row>
    <x:row r="246">
      <x:c r="A246" s="216"/>
      <x:c r="B246" s="216"/>
      <x:c r="C246" s="216"/>
      <x:c r="D246" s="216"/>
      <x:c r="E246" s="216"/>
      <x:c r="F246" s="216"/>
      <x:c r="G246" s="216"/>
      <x:c r="H246" s="216"/>
      <x:c r="I246" s="216"/>
      <x:c r="J246" s="216"/>
      <x:c r="K246" s="216"/>
      <x:c r="L246" s="216"/>
      <x:c r="M246" s="216"/>
      <x:c r="N246" s="216"/>
      <x:c r="O246" s="216"/>
      <x:c r="P246" s="216"/>
      <x:c r="Q246" s="216"/>
      <x:c r="R246" s="216"/>
      <x:c r="S246" s="216"/>
      <x:c r="T246" s="216"/>
      <x:c r="U246" s="216"/>
      <x:c r="V246" s="216"/>
      <x:c r="W246" s="216"/>
      <x:c r="X246" s="216"/>
      <x:c r="Y246" s="216"/>
      <x:c r="Z246" s="216"/>
    </x:row>
    <x:row r="247">
      <x:c r="A247" s="216"/>
      <x:c r="B247" s="216"/>
      <x:c r="C247" s="216"/>
      <x:c r="D247" s="216"/>
      <x:c r="E247" s="216"/>
      <x:c r="F247" s="216"/>
      <x:c r="G247" s="216"/>
      <x:c r="H247" s="216"/>
      <x:c r="I247" s="216"/>
      <x:c r="J247" s="216"/>
      <x:c r="K247" s="216"/>
      <x:c r="L247" s="216"/>
      <x:c r="M247" s="216"/>
      <x:c r="N247" s="216"/>
      <x:c r="O247" s="216"/>
      <x:c r="P247" s="216"/>
      <x:c r="Q247" s="216"/>
      <x:c r="R247" s="216"/>
      <x:c r="S247" s="216"/>
      <x:c r="T247" s="216"/>
      <x:c r="U247" s="216"/>
      <x:c r="V247" s="216"/>
      <x:c r="W247" s="216"/>
      <x:c r="X247" s="216"/>
      <x:c r="Y247" s="216"/>
      <x:c r="Z247" s="216"/>
    </x:row>
    <x:row r="248">
      <x:c r="A248" s="216"/>
      <x:c r="B248" s="216"/>
      <x:c r="C248" s="216"/>
      <x:c r="D248" s="216"/>
      <x:c r="E248" s="216"/>
      <x:c r="F248" s="216"/>
      <x:c r="G248" s="216"/>
      <x:c r="H248" s="216"/>
      <x:c r="I248" s="216"/>
      <x:c r="J248" s="216"/>
      <x:c r="K248" s="216"/>
      <x:c r="L248" s="216"/>
      <x:c r="M248" s="216"/>
      <x:c r="N248" s="216"/>
      <x:c r="O248" s="216"/>
      <x:c r="P248" s="216"/>
      <x:c r="Q248" s="216"/>
      <x:c r="R248" s="216"/>
      <x:c r="S248" s="216"/>
      <x:c r="T248" s="216"/>
      <x:c r="U248" s="216"/>
      <x:c r="V248" s="216"/>
      <x:c r="W248" s="216"/>
      <x:c r="X248" s="216"/>
      <x:c r="Y248" s="216"/>
      <x:c r="Z248" s="216"/>
    </x:row>
    <x:row r="249">
      <x:c r="A249" s="216"/>
      <x:c r="B249" s="216"/>
      <x:c r="C249" s="216"/>
      <x:c r="D249" s="216"/>
      <x:c r="E249" s="216"/>
      <x:c r="F249" s="216"/>
      <x:c r="G249" s="216"/>
      <x:c r="H249" s="216"/>
      <x:c r="I249" s="216"/>
      <x:c r="J249" s="216"/>
      <x:c r="K249" s="216"/>
      <x:c r="L249" s="216"/>
      <x:c r="M249" s="216"/>
      <x:c r="N249" s="216"/>
      <x:c r="O249" s="216"/>
      <x:c r="P249" s="216"/>
      <x:c r="Q249" s="216"/>
      <x:c r="R249" s="216"/>
      <x:c r="S249" s="216"/>
      <x:c r="T249" s="216"/>
      <x:c r="U249" s="216"/>
      <x:c r="V249" s="216"/>
      <x:c r="W249" s="216"/>
      <x:c r="X249" s="216"/>
      <x:c r="Y249" s="216"/>
      <x:c r="Z249" s="216"/>
    </x:row>
    <x:row r="250">
      <x:c r="A250" s="216"/>
      <x:c r="B250" s="216"/>
      <x:c r="C250" s="216"/>
      <x:c r="D250" s="216"/>
      <x:c r="E250" s="216"/>
      <x:c r="F250" s="216"/>
      <x:c r="G250" s="216"/>
      <x:c r="H250" s="216"/>
      <x:c r="I250" s="216"/>
      <x:c r="J250" s="216"/>
      <x:c r="K250" s="216"/>
      <x:c r="L250" s="216"/>
      <x:c r="M250" s="216"/>
      <x:c r="N250" s="216"/>
      <x:c r="O250" s="216"/>
      <x:c r="P250" s="216"/>
      <x:c r="Q250" s="216"/>
      <x:c r="R250" s="216"/>
      <x:c r="S250" s="216"/>
      <x:c r="T250" s="216"/>
      <x:c r="U250" s="216"/>
      <x:c r="V250" s="216"/>
      <x:c r="W250" s="216"/>
      <x:c r="X250" s="216"/>
      <x:c r="Y250" s="216"/>
      <x:c r="Z250" s="216"/>
    </x:row>
    <x:row r="251">
      <x:c r="A251" s="216"/>
      <x:c r="B251" s="216"/>
      <x:c r="C251" s="216"/>
      <x:c r="D251" s="216"/>
      <x:c r="E251" s="216"/>
      <x:c r="F251" s="216"/>
      <x:c r="G251" s="216"/>
      <x:c r="H251" s="216"/>
      <x:c r="I251" s="216"/>
      <x:c r="J251" s="216"/>
      <x:c r="K251" s="216"/>
      <x:c r="L251" s="216"/>
      <x:c r="M251" s="216"/>
      <x:c r="N251" s="216"/>
      <x:c r="O251" s="216"/>
      <x:c r="P251" s="216"/>
      <x:c r="Q251" s="216"/>
      <x:c r="R251" s="216"/>
      <x:c r="S251" s="216"/>
      <x:c r="T251" s="216"/>
      <x:c r="U251" s="216"/>
      <x:c r="V251" s="216"/>
      <x:c r="W251" s="216"/>
      <x:c r="X251" s="216"/>
      <x:c r="Y251" s="216"/>
      <x:c r="Z251" s="216"/>
    </x:row>
    <x:row r="252">
      <x:c r="A252" s="216"/>
      <x:c r="B252" s="216"/>
      <x:c r="C252" s="216"/>
      <x:c r="D252" s="216"/>
      <x:c r="E252" s="216"/>
      <x:c r="F252" s="216"/>
      <x:c r="G252" s="216"/>
      <x:c r="H252" s="216"/>
      <x:c r="I252" s="216"/>
      <x:c r="J252" s="216"/>
      <x:c r="K252" s="216"/>
      <x:c r="L252" s="216"/>
      <x:c r="M252" s="216"/>
      <x:c r="N252" s="216"/>
      <x:c r="O252" s="216"/>
      <x:c r="P252" s="216"/>
      <x:c r="Q252" s="216"/>
      <x:c r="R252" s="216"/>
      <x:c r="S252" s="216"/>
      <x:c r="T252" s="216"/>
      <x:c r="U252" s="216"/>
      <x:c r="V252" s="216"/>
      <x:c r="W252" s="216"/>
      <x:c r="X252" s="216"/>
      <x:c r="Y252" s="216"/>
      <x:c r="Z252" s="216"/>
    </x:row>
    <x:row r="253">
      <x:c r="A253" s="216"/>
      <x:c r="B253" s="216"/>
      <x:c r="C253" s="216"/>
      <x:c r="D253" s="216"/>
      <x:c r="E253" s="216"/>
      <x:c r="F253" s="216"/>
      <x:c r="G253" s="216"/>
      <x:c r="H253" s="216"/>
      <x:c r="I253" s="216"/>
      <x:c r="J253" s="216"/>
      <x:c r="K253" s="216"/>
      <x:c r="L253" s="216"/>
      <x:c r="M253" s="216"/>
      <x:c r="N253" s="216"/>
      <x:c r="O253" s="216"/>
      <x:c r="P253" s="216"/>
      <x:c r="Q253" s="216"/>
      <x:c r="R253" s="216"/>
      <x:c r="S253" s="216"/>
      <x:c r="T253" s="216"/>
      <x:c r="U253" s="216"/>
      <x:c r="V253" s="216"/>
      <x:c r="W253" s="216"/>
      <x:c r="X253" s="216"/>
      <x:c r="Y253" s="216"/>
      <x:c r="Z253" s="216"/>
    </x:row>
    <x:row r="254">
      <x:c r="A254" s="216"/>
      <x:c r="B254" s="216"/>
      <x:c r="C254" s="216"/>
      <x:c r="D254" s="216"/>
      <x:c r="E254" s="216"/>
      <x:c r="F254" s="216"/>
      <x:c r="G254" s="216"/>
      <x:c r="H254" s="216"/>
      <x:c r="I254" s="216"/>
      <x:c r="J254" s="216"/>
      <x:c r="K254" s="216"/>
      <x:c r="L254" s="216"/>
      <x:c r="M254" s="216"/>
      <x:c r="N254" s="216"/>
      <x:c r="O254" s="216"/>
      <x:c r="P254" s="216"/>
      <x:c r="Q254" s="216"/>
      <x:c r="R254" s="216"/>
      <x:c r="S254" s="216"/>
      <x:c r="T254" s="216"/>
      <x:c r="U254" s="216"/>
      <x:c r="V254" s="216"/>
      <x:c r="W254" s="216"/>
      <x:c r="X254" s="216"/>
      <x:c r="Y254" s="216"/>
      <x:c r="Z254" s="216"/>
    </x:row>
    <x:row r="255">
      <x:c r="A255" s="216"/>
      <x:c r="B255" s="216"/>
      <x:c r="C255" s="216"/>
      <x:c r="D255" s="216"/>
      <x:c r="E255" s="216"/>
      <x:c r="F255" s="216"/>
      <x:c r="G255" s="216"/>
      <x:c r="H255" s="216"/>
      <x:c r="I255" s="216"/>
      <x:c r="J255" s="216"/>
      <x:c r="K255" s="216"/>
      <x:c r="L255" s="216"/>
      <x:c r="M255" s="216"/>
      <x:c r="N255" s="216"/>
      <x:c r="O255" s="216"/>
      <x:c r="P255" s="216"/>
      <x:c r="Q255" s="216"/>
      <x:c r="R255" s="216"/>
      <x:c r="S255" s="216"/>
      <x:c r="T255" s="216"/>
      <x:c r="U255" s="216"/>
      <x:c r="V255" s="216"/>
      <x:c r="W255" s="216"/>
      <x:c r="X255" s="216"/>
      <x:c r="Y255" s="216"/>
      <x:c r="Z255" s="216"/>
    </x:row>
    <x:row r="256">
      <x:c r="A256" s="216"/>
      <x:c r="B256" s="216"/>
      <x:c r="C256" s="216"/>
      <x:c r="D256" s="216"/>
      <x:c r="E256" s="216"/>
      <x:c r="F256" s="216"/>
      <x:c r="G256" s="216"/>
      <x:c r="H256" s="216"/>
      <x:c r="I256" s="216"/>
      <x:c r="J256" s="216"/>
      <x:c r="K256" s="216"/>
      <x:c r="L256" s="216"/>
      <x:c r="M256" s="216"/>
      <x:c r="N256" s="216"/>
      <x:c r="O256" s="216"/>
      <x:c r="P256" s="216"/>
      <x:c r="Q256" s="216"/>
      <x:c r="R256" s="216"/>
      <x:c r="S256" s="216"/>
      <x:c r="T256" s="216"/>
      <x:c r="U256" s="216"/>
      <x:c r="V256" s="216"/>
      <x:c r="W256" s="216"/>
      <x:c r="X256" s="216"/>
      <x:c r="Y256" s="216"/>
      <x:c r="Z256" s="216"/>
    </x:row>
    <x:row r="257">
      <x:c r="A257" s="216"/>
      <x:c r="B257" s="216"/>
      <x:c r="C257" s="216"/>
      <x:c r="D257" s="216"/>
      <x:c r="E257" s="216"/>
      <x:c r="F257" s="216"/>
      <x:c r="G257" s="216"/>
      <x:c r="H257" s="216"/>
      <x:c r="I257" s="216"/>
      <x:c r="J257" s="216"/>
      <x:c r="K257" s="216"/>
      <x:c r="L257" s="216"/>
      <x:c r="M257" s="216"/>
      <x:c r="N257" s="216"/>
      <x:c r="O257" s="216"/>
      <x:c r="P257" s="216"/>
      <x:c r="Q257" s="216"/>
      <x:c r="R257" s="216"/>
      <x:c r="S257" s="216"/>
      <x:c r="T257" s="216"/>
      <x:c r="U257" s="216"/>
      <x:c r="V257" s="216"/>
      <x:c r="W257" s="216"/>
      <x:c r="X257" s="216"/>
      <x:c r="Y257" s="216"/>
      <x:c r="Z257" s="216"/>
    </x:row>
    <x:row r="258">
      <x:c r="A258" s="216"/>
      <x:c r="B258" s="216"/>
      <x:c r="C258" s="216"/>
      <x:c r="D258" s="216"/>
      <x:c r="E258" s="216"/>
      <x:c r="F258" s="216"/>
      <x:c r="G258" s="216"/>
      <x:c r="H258" s="216"/>
      <x:c r="I258" s="216"/>
      <x:c r="J258" s="216"/>
      <x:c r="K258" s="216"/>
      <x:c r="L258" s="216"/>
      <x:c r="M258" s="216"/>
      <x:c r="N258" s="216"/>
      <x:c r="O258" s="216"/>
      <x:c r="P258" s="216"/>
      <x:c r="Q258" s="216"/>
      <x:c r="R258" s="216"/>
      <x:c r="S258" s="216"/>
      <x:c r="T258" s="216"/>
      <x:c r="U258" s="216"/>
      <x:c r="V258" s="216"/>
      <x:c r="W258" s="216"/>
      <x:c r="X258" s="216"/>
      <x:c r="Y258" s="216"/>
      <x:c r="Z258" s="216"/>
    </x:row>
    <x:row r="259">
      <x:c r="A259" s="216"/>
      <x:c r="B259" s="216"/>
      <x:c r="C259" s="216"/>
      <x:c r="D259" s="216"/>
      <x:c r="E259" s="216"/>
      <x:c r="F259" s="216"/>
      <x:c r="G259" s="216"/>
      <x:c r="H259" s="216"/>
      <x:c r="I259" s="216"/>
      <x:c r="J259" s="216"/>
      <x:c r="K259" s="216"/>
      <x:c r="L259" s="216"/>
      <x:c r="M259" s="216"/>
      <x:c r="N259" s="216"/>
      <x:c r="O259" s="216"/>
      <x:c r="P259" s="216"/>
      <x:c r="Q259" s="216"/>
      <x:c r="R259" s="216"/>
      <x:c r="S259" s="216"/>
      <x:c r="T259" s="216"/>
      <x:c r="U259" s="216"/>
      <x:c r="V259" s="216"/>
      <x:c r="W259" s="216"/>
      <x:c r="X259" s="216"/>
      <x:c r="Y259" s="216"/>
      <x:c r="Z259" s="216"/>
    </x:row>
    <x:row r="260">
      <x:c r="A260" s="216"/>
      <x:c r="B260" s="216"/>
      <x:c r="C260" s="216"/>
      <x:c r="D260" s="216"/>
      <x:c r="E260" s="216"/>
      <x:c r="F260" s="216"/>
      <x:c r="G260" s="216"/>
      <x:c r="H260" s="216"/>
      <x:c r="I260" s="216"/>
      <x:c r="J260" s="216"/>
      <x:c r="K260" s="216"/>
      <x:c r="L260" s="216"/>
      <x:c r="M260" s="216"/>
      <x:c r="N260" s="216"/>
      <x:c r="O260" s="216"/>
      <x:c r="P260" s="216"/>
      <x:c r="Q260" s="216"/>
      <x:c r="R260" s="216"/>
      <x:c r="S260" s="216"/>
      <x:c r="T260" s="216"/>
      <x:c r="U260" s="216"/>
      <x:c r="V260" s="216"/>
      <x:c r="W260" s="216"/>
      <x:c r="X260" s="216"/>
      <x:c r="Y260" s="216"/>
      <x:c r="Z260" s="216"/>
    </x:row>
    <x:row r="261">
      <x:c r="A261" s="216"/>
      <x:c r="B261" s="216"/>
      <x:c r="C261" s="216"/>
      <x:c r="D261" s="216"/>
      <x:c r="E261" s="216"/>
      <x:c r="F261" s="216"/>
      <x:c r="G261" s="216"/>
      <x:c r="H261" s="216"/>
      <x:c r="I261" s="216"/>
      <x:c r="J261" s="216"/>
      <x:c r="K261" s="216"/>
      <x:c r="L261" s="216"/>
      <x:c r="M261" s="216"/>
      <x:c r="N261" s="216"/>
      <x:c r="O261" s="216"/>
      <x:c r="P261" s="216"/>
      <x:c r="Q261" s="216"/>
      <x:c r="R261" s="216"/>
      <x:c r="S261" s="216"/>
      <x:c r="T261" s="216"/>
      <x:c r="U261" s="216"/>
      <x:c r="V261" s="216"/>
      <x:c r="W261" s="216"/>
      <x:c r="X261" s="216"/>
      <x:c r="Y261" s="216"/>
      <x:c r="Z261" s="216"/>
    </x:row>
    <x:row r="262">
      <x:c r="A262" s="216"/>
      <x:c r="B262" s="216"/>
      <x:c r="C262" s="216"/>
      <x:c r="D262" s="216"/>
      <x:c r="E262" s="216"/>
      <x:c r="F262" s="216"/>
      <x:c r="G262" s="216"/>
      <x:c r="H262" s="216"/>
      <x:c r="I262" s="216"/>
      <x:c r="J262" s="216"/>
      <x:c r="K262" s="216"/>
      <x:c r="L262" s="216"/>
      <x:c r="M262" s="216"/>
      <x:c r="N262" s="216"/>
      <x:c r="O262" s="216"/>
      <x:c r="P262" s="216"/>
      <x:c r="Q262" s="216"/>
      <x:c r="R262" s="216"/>
      <x:c r="S262" s="216"/>
      <x:c r="T262" s="216"/>
      <x:c r="U262" s="216"/>
      <x:c r="V262" s="216"/>
      <x:c r="W262" s="216"/>
      <x:c r="X262" s="216"/>
      <x:c r="Y262" s="216"/>
      <x:c r="Z262" s="216"/>
    </x:row>
    <x:row r="263">
      <x:c r="A263" s="216"/>
      <x:c r="B263" s="216"/>
      <x:c r="C263" s="216"/>
      <x:c r="D263" s="216"/>
      <x:c r="E263" s="216"/>
      <x:c r="F263" s="216"/>
      <x:c r="G263" s="216"/>
      <x:c r="H263" s="216"/>
      <x:c r="I263" s="216"/>
      <x:c r="J263" s="216"/>
      <x:c r="K263" s="216"/>
      <x:c r="L263" s="216"/>
      <x:c r="M263" s="216"/>
      <x:c r="N263" s="216"/>
      <x:c r="O263" s="216"/>
      <x:c r="P263" s="216"/>
      <x:c r="Q263" s="216"/>
      <x:c r="R263" s="216"/>
      <x:c r="S263" s="216"/>
      <x:c r="T263" s="216"/>
      <x:c r="U263" s="216"/>
      <x:c r="V263" s="216"/>
      <x:c r="W263" s="216"/>
      <x:c r="X263" s="216"/>
      <x:c r="Y263" s="216"/>
      <x:c r="Z263" s="216"/>
    </x:row>
    <x:row r="264">
      <x:c r="A264" s="216"/>
      <x:c r="B264" s="216"/>
      <x:c r="C264" s="216"/>
      <x:c r="D264" s="216"/>
      <x:c r="E264" s="216"/>
      <x:c r="F264" s="216"/>
      <x:c r="G264" s="216"/>
      <x:c r="H264" s="216"/>
      <x:c r="I264" s="216"/>
      <x:c r="J264" s="216"/>
      <x:c r="K264" s="216"/>
      <x:c r="L264" s="216"/>
      <x:c r="M264" s="216"/>
      <x:c r="N264" s="216"/>
      <x:c r="O264" s="216"/>
      <x:c r="P264" s="216"/>
      <x:c r="Q264" s="216"/>
      <x:c r="R264" s="216"/>
      <x:c r="S264" s="216"/>
      <x:c r="T264" s="216"/>
      <x:c r="U264" s="216"/>
      <x:c r="V264" s="216"/>
      <x:c r="W264" s="216"/>
      <x:c r="X264" s="216"/>
      <x:c r="Y264" s="216"/>
      <x:c r="Z264" s="216"/>
    </x:row>
    <x:row r="265">
      <x:c r="A265" s="216"/>
      <x:c r="B265" s="216"/>
      <x:c r="C265" s="216"/>
      <x:c r="D265" s="216"/>
      <x:c r="E265" s="216"/>
      <x:c r="F265" s="216"/>
      <x:c r="G265" s="216"/>
      <x:c r="H265" s="216"/>
      <x:c r="I265" s="216"/>
      <x:c r="J265" s="216"/>
      <x:c r="K265" s="216"/>
      <x:c r="L265" s="216"/>
      <x:c r="M265" s="216"/>
      <x:c r="N265" s="216"/>
      <x:c r="O265" s="216"/>
      <x:c r="P265" s="216"/>
      <x:c r="Q265" s="216"/>
      <x:c r="R265" s="216"/>
      <x:c r="S265" s="216"/>
      <x:c r="T265" s="216"/>
      <x:c r="U265" s="216"/>
      <x:c r="V265" s="216"/>
      <x:c r="W265" s="216"/>
      <x:c r="X265" s="216"/>
      <x:c r="Y265" s="216"/>
      <x:c r="Z265" s="216"/>
    </x:row>
    <x:row r="266">
      <x:c r="A266" s="216"/>
      <x:c r="B266" s="216"/>
      <x:c r="C266" s="216"/>
      <x:c r="D266" s="216"/>
      <x:c r="E266" s="216"/>
      <x:c r="F266" s="216"/>
      <x:c r="G266" s="216"/>
      <x:c r="H266" s="216"/>
      <x:c r="I266" s="216"/>
      <x:c r="J266" s="216"/>
      <x:c r="K266" s="216"/>
      <x:c r="L266" s="216"/>
      <x:c r="M266" s="216"/>
      <x:c r="N266" s="216"/>
      <x:c r="O266" s="216"/>
      <x:c r="P266" s="216"/>
      <x:c r="Q266" s="216"/>
      <x:c r="R266" s="216"/>
      <x:c r="S266" s="216"/>
      <x:c r="T266" s="216"/>
      <x:c r="U266" s="216"/>
      <x:c r="V266" s="216"/>
      <x:c r="W266" s="216"/>
      <x:c r="X266" s="216"/>
      <x:c r="Y266" s="216"/>
      <x:c r="Z266" s="216"/>
    </x:row>
    <x:row r="267">
      <x:c r="A267" s="216"/>
      <x:c r="B267" s="216"/>
      <x:c r="C267" s="216"/>
      <x:c r="D267" s="216"/>
      <x:c r="E267" s="216"/>
      <x:c r="F267" s="216"/>
      <x:c r="G267" s="216"/>
      <x:c r="H267" s="216"/>
      <x:c r="I267" s="216"/>
      <x:c r="J267" s="216"/>
      <x:c r="K267" s="216"/>
      <x:c r="L267" s="216"/>
      <x:c r="M267" s="216"/>
      <x:c r="N267" s="216"/>
      <x:c r="O267" s="216"/>
      <x:c r="P267" s="216"/>
      <x:c r="Q267" s="216"/>
      <x:c r="R267" s="216"/>
      <x:c r="S267" s="216"/>
      <x:c r="T267" s="216"/>
      <x:c r="U267" s="216"/>
      <x:c r="V267" s="216"/>
      <x:c r="W267" s="216"/>
      <x:c r="X267" s="216"/>
      <x:c r="Y267" s="216"/>
      <x:c r="Z267" s="216"/>
    </x:row>
    <x:row r="268">
      <x:c r="A268" s="216"/>
      <x:c r="B268" s="216"/>
      <x:c r="C268" s="216"/>
      <x:c r="D268" s="216"/>
      <x:c r="E268" s="216"/>
      <x:c r="F268" s="216"/>
      <x:c r="G268" s="216"/>
      <x:c r="H268" s="216"/>
      <x:c r="I268" s="216"/>
      <x:c r="J268" s="216"/>
      <x:c r="K268" s="216"/>
      <x:c r="L268" s="216"/>
      <x:c r="M268" s="216"/>
      <x:c r="N268" s="216"/>
      <x:c r="O268" s="216"/>
      <x:c r="P268" s="216"/>
      <x:c r="Q268" s="216"/>
      <x:c r="R268" s="216"/>
      <x:c r="S268" s="216"/>
      <x:c r="T268" s="216"/>
      <x:c r="U268" s="216"/>
      <x:c r="V268" s="216"/>
      <x:c r="W268" s="216"/>
      <x:c r="X268" s="216"/>
      <x:c r="Y268" s="216"/>
      <x:c r="Z268" s="216"/>
    </x:row>
    <x:row r="269">
      <x:c r="A269" s="216"/>
      <x:c r="B269" s="216"/>
      <x:c r="C269" s="216"/>
      <x:c r="D269" s="216"/>
      <x:c r="E269" s="216"/>
      <x:c r="F269" s="216"/>
      <x:c r="G269" s="216"/>
      <x:c r="H269" s="216"/>
      <x:c r="I269" s="216"/>
      <x:c r="J269" s="216"/>
      <x:c r="K269" s="216"/>
      <x:c r="L269" s="216"/>
      <x:c r="M269" s="216"/>
      <x:c r="N269" s="216"/>
      <x:c r="O269" s="216"/>
      <x:c r="P269" s="216"/>
      <x:c r="Q269" s="216"/>
      <x:c r="R269" s="216"/>
      <x:c r="S269" s="216"/>
      <x:c r="T269" s="216"/>
      <x:c r="U269" s="216"/>
      <x:c r="V269" s="216"/>
      <x:c r="W269" s="216"/>
      <x:c r="X269" s="216"/>
      <x:c r="Y269" s="216"/>
      <x:c r="Z269" s="216"/>
    </x:row>
    <x:row r="270">
      <x:c r="A270" s="216"/>
      <x:c r="B270" s="216"/>
      <x:c r="C270" s="216"/>
      <x:c r="D270" s="216"/>
      <x:c r="E270" s="216"/>
      <x:c r="F270" s="216"/>
      <x:c r="G270" s="216"/>
      <x:c r="H270" s="216"/>
      <x:c r="I270" s="216"/>
      <x:c r="J270" s="216"/>
      <x:c r="K270" s="216"/>
      <x:c r="L270" s="216"/>
      <x:c r="M270" s="216"/>
      <x:c r="N270" s="216"/>
      <x:c r="O270" s="216"/>
      <x:c r="P270" s="216"/>
      <x:c r="Q270" s="216"/>
      <x:c r="R270" s="216"/>
      <x:c r="S270" s="216"/>
      <x:c r="T270" s="216"/>
      <x:c r="U270" s="216"/>
      <x:c r="V270" s="216"/>
      <x:c r="W270" s="216"/>
      <x:c r="X270" s="216"/>
      <x:c r="Y270" s="216"/>
      <x:c r="Z270" s="216"/>
    </x:row>
    <x:row r="271">
      <x:c r="A271" s="216"/>
      <x:c r="B271" s="216"/>
      <x:c r="C271" s="216"/>
      <x:c r="D271" s="216"/>
      <x:c r="E271" s="216"/>
      <x:c r="F271" s="216"/>
      <x:c r="G271" s="216"/>
      <x:c r="H271" s="216"/>
      <x:c r="I271" s="216"/>
      <x:c r="J271" s="216"/>
      <x:c r="K271" s="216"/>
      <x:c r="L271" s="216"/>
      <x:c r="M271" s="216"/>
      <x:c r="N271" s="216"/>
      <x:c r="O271" s="216"/>
      <x:c r="P271" s="216"/>
      <x:c r="Q271" s="216"/>
      <x:c r="R271" s="216"/>
      <x:c r="S271" s="216"/>
      <x:c r="T271" s="216"/>
      <x:c r="U271" s="216"/>
      <x:c r="V271" s="216"/>
      <x:c r="W271" s="216"/>
      <x:c r="X271" s="216"/>
      <x:c r="Y271" s="216"/>
      <x:c r="Z271" s="216"/>
    </x:row>
    <x:row r="272">
      <x:c r="A272" s="216"/>
      <x:c r="B272" s="216"/>
      <x:c r="C272" s="216"/>
      <x:c r="D272" s="216"/>
      <x:c r="E272" s="216"/>
      <x:c r="F272" s="216"/>
      <x:c r="G272" s="216"/>
      <x:c r="H272" s="216"/>
      <x:c r="I272" s="216"/>
      <x:c r="J272" s="216"/>
      <x:c r="K272" s="216"/>
      <x:c r="L272" s="216"/>
      <x:c r="M272" s="216"/>
      <x:c r="N272" s="216"/>
      <x:c r="O272" s="216"/>
      <x:c r="P272" s="216"/>
      <x:c r="Q272" s="216"/>
      <x:c r="R272" s="216"/>
      <x:c r="S272" s="216"/>
      <x:c r="T272" s="216"/>
      <x:c r="U272" s="216"/>
      <x:c r="V272" s="216"/>
      <x:c r="W272" s="216"/>
      <x:c r="X272" s="216"/>
      <x:c r="Y272" s="216"/>
      <x:c r="Z272" s="216"/>
    </x:row>
    <x:row r="273">
      <x:c r="A273" s="216"/>
      <x:c r="B273" s="216"/>
      <x:c r="C273" s="216"/>
      <x:c r="D273" s="216"/>
      <x:c r="E273" s="216"/>
      <x:c r="F273" s="216"/>
      <x:c r="G273" s="216"/>
      <x:c r="H273" s="216"/>
      <x:c r="I273" s="216"/>
      <x:c r="J273" s="216"/>
      <x:c r="K273" s="216"/>
      <x:c r="L273" s="216"/>
      <x:c r="M273" s="216"/>
      <x:c r="N273" s="216"/>
      <x:c r="O273" s="216"/>
      <x:c r="P273" s="216"/>
      <x:c r="Q273" s="216"/>
      <x:c r="R273" s="216"/>
      <x:c r="S273" s="216"/>
      <x:c r="T273" s="216"/>
      <x:c r="U273" s="216"/>
      <x:c r="V273" s="216"/>
      <x:c r="W273" s="216"/>
      <x:c r="X273" s="216"/>
      <x:c r="Y273" s="216"/>
      <x:c r="Z273" s="216"/>
    </x:row>
    <x:row r="274">
      <x:c r="A274" s="216"/>
      <x:c r="B274" s="216"/>
      <x:c r="C274" s="216"/>
      <x:c r="D274" s="216"/>
      <x:c r="E274" s="216"/>
      <x:c r="F274" s="216"/>
      <x:c r="G274" s="216"/>
      <x:c r="H274" s="216"/>
      <x:c r="I274" s="216"/>
      <x:c r="J274" s="216"/>
      <x:c r="K274" s="216"/>
      <x:c r="L274" s="216"/>
      <x:c r="M274" s="216"/>
      <x:c r="N274" s="216"/>
      <x:c r="O274" s="216"/>
      <x:c r="P274" s="216"/>
      <x:c r="Q274" s="216"/>
      <x:c r="R274" s="216"/>
      <x:c r="S274" s="216"/>
      <x:c r="T274" s="216"/>
      <x:c r="U274" s="216"/>
      <x:c r="V274" s="216"/>
      <x:c r="W274" s="216"/>
      <x:c r="X274" s="216"/>
      <x:c r="Y274" s="216"/>
      <x:c r="Z274" s="216"/>
    </x:row>
    <x:row r="275">
      <x:c r="A275" s="216"/>
      <x:c r="B275" s="216"/>
      <x:c r="C275" s="216"/>
      <x:c r="D275" s="216"/>
      <x:c r="E275" s="216"/>
      <x:c r="F275" s="216"/>
      <x:c r="G275" s="216"/>
      <x:c r="H275" s="216"/>
      <x:c r="I275" s="216"/>
      <x:c r="J275" s="216"/>
      <x:c r="K275" s="216"/>
      <x:c r="L275" s="216"/>
      <x:c r="M275" s="216"/>
      <x:c r="N275" s="216"/>
      <x:c r="O275" s="216"/>
      <x:c r="P275" s="216"/>
      <x:c r="Q275" s="216"/>
      <x:c r="R275" s="216"/>
      <x:c r="S275" s="216"/>
      <x:c r="T275" s="216"/>
      <x:c r="U275" s="216"/>
      <x:c r="V275" s="216"/>
      <x:c r="W275" s="216"/>
      <x:c r="X275" s="216"/>
      <x:c r="Y275" s="216"/>
      <x:c r="Z275" s="216"/>
    </x:row>
    <x:row r="276">
      <x:c r="A276" s="216"/>
      <x:c r="B276" s="216"/>
      <x:c r="C276" s="216"/>
      <x:c r="D276" s="216"/>
      <x:c r="E276" s="216"/>
      <x:c r="F276" s="216"/>
      <x:c r="G276" s="216"/>
      <x:c r="H276" s="216"/>
      <x:c r="I276" s="216"/>
      <x:c r="J276" s="216"/>
      <x:c r="K276" s="216"/>
      <x:c r="L276" s="216"/>
      <x:c r="M276" s="216"/>
      <x:c r="N276" s="216"/>
      <x:c r="O276" s="216"/>
      <x:c r="P276" s="216"/>
      <x:c r="Q276" s="216"/>
      <x:c r="R276" s="216"/>
      <x:c r="S276" s="216"/>
      <x:c r="T276" s="216"/>
      <x:c r="U276" s="216"/>
      <x:c r="V276" s="216"/>
      <x:c r="W276" s="216"/>
      <x:c r="X276" s="216"/>
      <x:c r="Y276" s="216"/>
      <x:c r="Z276" s="216"/>
    </x:row>
    <x:row r="277">
      <x:c r="A277" s="216"/>
      <x:c r="B277" s="216"/>
      <x:c r="C277" s="216"/>
      <x:c r="D277" s="216"/>
      <x:c r="E277" s="216"/>
      <x:c r="F277" s="216"/>
      <x:c r="G277" s="216"/>
      <x:c r="H277" s="216"/>
      <x:c r="I277" s="216"/>
      <x:c r="J277" s="216"/>
      <x:c r="K277" s="216"/>
      <x:c r="L277" s="216"/>
      <x:c r="M277" s="216"/>
      <x:c r="N277" s="216"/>
      <x:c r="O277" s="216"/>
      <x:c r="P277" s="216"/>
      <x:c r="Q277" s="216"/>
      <x:c r="R277" s="216"/>
      <x:c r="S277" s="216"/>
      <x:c r="T277" s="216"/>
      <x:c r="U277" s="216"/>
      <x:c r="V277" s="216"/>
      <x:c r="W277" s="216"/>
      <x:c r="X277" s="216"/>
      <x:c r="Y277" s="216"/>
      <x:c r="Z277" s="216"/>
    </x:row>
    <x:row r="278">
      <x:c r="A278" s="216"/>
      <x:c r="B278" s="216"/>
      <x:c r="C278" s="216"/>
      <x:c r="D278" s="216"/>
      <x:c r="E278" s="216"/>
      <x:c r="F278" s="216"/>
      <x:c r="G278" s="216"/>
      <x:c r="H278" s="216"/>
      <x:c r="I278" s="216"/>
      <x:c r="J278" s="216"/>
      <x:c r="K278" s="216"/>
      <x:c r="L278" s="216"/>
      <x:c r="M278" s="216"/>
      <x:c r="N278" s="216"/>
      <x:c r="O278" s="216"/>
      <x:c r="P278" s="216"/>
      <x:c r="Q278" s="216"/>
      <x:c r="R278" s="216"/>
      <x:c r="S278" s="216"/>
      <x:c r="T278" s="216"/>
      <x:c r="U278" s="216"/>
      <x:c r="V278" s="216"/>
      <x:c r="W278" s="216"/>
      <x:c r="X278" s="216"/>
      <x:c r="Y278" s="216"/>
      <x:c r="Z278" s="216"/>
    </x:row>
    <x:row r="279">
      <x:c r="A279" s="216"/>
      <x:c r="B279" s="216"/>
      <x:c r="C279" s="216"/>
      <x:c r="D279" s="216"/>
      <x:c r="E279" s="216"/>
      <x:c r="F279" s="216"/>
      <x:c r="G279" s="216"/>
      <x:c r="H279" s="216"/>
      <x:c r="I279" s="216"/>
      <x:c r="J279" s="216"/>
      <x:c r="K279" s="216"/>
      <x:c r="L279" s="216"/>
      <x:c r="M279" s="216"/>
      <x:c r="N279" s="216"/>
      <x:c r="O279" s="216"/>
      <x:c r="P279" s="216"/>
      <x:c r="Q279" s="216"/>
      <x:c r="R279" s="216"/>
      <x:c r="S279" s="216"/>
      <x:c r="T279" s="216"/>
      <x:c r="U279" s="216"/>
      <x:c r="V279" s="216"/>
      <x:c r="W279" s="216"/>
      <x:c r="X279" s="216"/>
      <x:c r="Y279" s="216"/>
      <x:c r="Z279" s="216"/>
    </x:row>
    <x:row r="280">
      <x:c r="A280" s="216"/>
      <x:c r="B280" s="216"/>
      <x:c r="C280" s="216"/>
      <x:c r="D280" s="216"/>
      <x:c r="E280" s="216"/>
      <x:c r="F280" s="216"/>
      <x:c r="G280" s="216"/>
      <x:c r="H280" s="216"/>
      <x:c r="I280" s="216"/>
      <x:c r="J280" s="216"/>
      <x:c r="K280" s="216"/>
      <x:c r="L280" s="216"/>
      <x:c r="M280" s="216"/>
      <x:c r="N280" s="216"/>
      <x:c r="O280" s="216"/>
      <x:c r="P280" s="216"/>
      <x:c r="Q280" s="216"/>
      <x:c r="R280" s="216"/>
      <x:c r="S280" s="216"/>
      <x:c r="T280" s="216"/>
      <x:c r="U280" s="216"/>
      <x:c r="V280" s="216"/>
      <x:c r="W280" s="216"/>
      <x:c r="X280" s="216"/>
      <x:c r="Y280" s="216"/>
      <x:c r="Z280" s="216"/>
    </x:row>
    <x:row r="281">
      <x:c r="A281" s="216"/>
      <x:c r="B281" s="216"/>
      <x:c r="C281" s="216"/>
      <x:c r="D281" s="216"/>
      <x:c r="E281" s="216"/>
      <x:c r="F281" s="216"/>
      <x:c r="G281" s="216"/>
      <x:c r="H281" s="216"/>
      <x:c r="I281" s="216"/>
      <x:c r="J281" s="216"/>
      <x:c r="K281" s="216"/>
      <x:c r="L281" s="216"/>
      <x:c r="M281" s="216"/>
      <x:c r="N281" s="216"/>
      <x:c r="O281" s="216"/>
      <x:c r="P281" s="216"/>
      <x:c r="Q281" s="216"/>
      <x:c r="R281" s="216"/>
      <x:c r="S281" s="216"/>
      <x:c r="T281" s="216"/>
      <x:c r="U281" s="216"/>
      <x:c r="V281" s="216"/>
      <x:c r="W281" s="216"/>
      <x:c r="X281" s="216"/>
      <x:c r="Y281" s="216"/>
      <x:c r="Z281" s="216"/>
    </x:row>
    <x:row r="282">
      <x:c r="A282" s="216"/>
      <x:c r="B282" s="216"/>
      <x:c r="C282" s="216"/>
      <x:c r="D282" s="216"/>
      <x:c r="E282" s="216"/>
      <x:c r="F282" s="216"/>
      <x:c r="G282" s="216"/>
      <x:c r="H282" s="216"/>
      <x:c r="I282" s="216"/>
      <x:c r="J282" s="216"/>
      <x:c r="K282" s="216"/>
      <x:c r="L282" s="216"/>
      <x:c r="M282" s="216"/>
      <x:c r="N282" s="216"/>
      <x:c r="O282" s="216"/>
      <x:c r="P282" s="216"/>
      <x:c r="Q282" s="216"/>
      <x:c r="R282" s="216"/>
      <x:c r="S282" s="216"/>
      <x:c r="T282" s="216"/>
      <x:c r="U282" s="216"/>
      <x:c r="V282" s="216"/>
      <x:c r="W282" s="216"/>
      <x:c r="X282" s="216"/>
      <x:c r="Y282" s="216"/>
      <x:c r="Z282" s="216"/>
    </x:row>
    <x:row r="283">
      <x:c r="A283" s="216"/>
      <x:c r="B283" s="216"/>
      <x:c r="C283" s="216"/>
      <x:c r="D283" s="216"/>
      <x:c r="E283" s="216"/>
      <x:c r="F283" s="216"/>
      <x:c r="G283" s="216"/>
      <x:c r="H283" s="216"/>
      <x:c r="I283" s="216"/>
      <x:c r="J283" s="216"/>
      <x:c r="K283" s="216"/>
      <x:c r="L283" s="216"/>
      <x:c r="M283" s="216"/>
      <x:c r="N283" s="216"/>
      <x:c r="O283" s="216"/>
      <x:c r="P283" s="216"/>
      <x:c r="Q283" s="216"/>
      <x:c r="R283" s="216"/>
      <x:c r="S283" s="216"/>
      <x:c r="T283" s="216"/>
      <x:c r="U283" s="216"/>
      <x:c r="V283" s="216"/>
      <x:c r="W283" s="216"/>
      <x:c r="X283" s="216"/>
      <x:c r="Y283" s="216"/>
      <x:c r="Z283" s="216"/>
    </x:row>
    <x:row r="284">
      <x:c r="A284" s="216"/>
      <x:c r="B284" s="216"/>
      <x:c r="C284" s="216"/>
      <x:c r="D284" s="216"/>
      <x:c r="E284" s="216"/>
      <x:c r="F284" s="216"/>
      <x:c r="G284" s="216"/>
      <x:c r="H284" s="216"/>
      <x:c r="I284" s="216"/>
      <x:c r="J284" s="216"/>
      <x:c r="K284" s="216"/>
      <x:c r="L284" s="216"/>
      <x:c r="M284" s="216"/>
      <x:c r="N284" s="216"/>
      <x:c r="O284" s="216"/>
      <x:c r="P284" s="216"/>
      <x:c r="Q284" s="216"/>
      <x:c r="R284" s="216"/>
      <x:c r="S284" s="216"/>
      <x:c r="T284" s="216"/>
      <x:c r="U284" s="216"/>
      <x:c r="V284" s="216"/>
      <x:c r="W284" s="216"/>
      <x:c r="X284" s="216"/>
      <x:c r="Y284" s="216"/>
      <x:c r="Z284" s="216"/>
    </x:row>
    <x:row r="285">
      <x:c r="A285" s="216"/>
      <x:c r="B285" s="216"/>
      <x:c r="C285" s="216"/>
      <x:c r="D285" s="216"/>
      <x:c r="E285" s="216"/>
      <x:c r="F285" s="216"/>
      <x:c r="G285" s="216"/>
      <x:c r="H285" s="216"/>
      <x:c r="I285" s="216"/>
      <x:c r="J285" s="216"/>
      <x:c r="K285" s="216"/>
      <x:c r="L285" s="216"/>
      <x:c r="M285" s="216"/>
      <x:c r="N285" s="216"/>
      <x:c r="O285" s="216"/>
      <x:c r="P285" s="216"/>
      <x:c r="Q285" s="216"/>
      <x:c r="R285" s="216"/>
      <x:c r="S285" s="216"/>
      <x:c r="T285" s="216"/>
      <x:c r="U285" s="216"/>
      <x:c r="V285" s="216"/>
      <x:c r="W285" s="216"/>
      <x:c r="X285" s="216"/>
      <x:c r="Y285" s="216"/>
      <x:c r="Z285" s="216"/>
    </x:row>
    <x:row r="286">
      <x:c r="A286" s="216"/>
      <x:c r="B286" s="216"/>
      <x:c r="C286" s="216"/>
      <x:c r="D286" s="216"/>
      <x:c r="E286" s="216"/>
      <x:c r="F286" s="216"/>
      <x:c r="G286" s="216"/>
      <x:c r="H286" s="216"/>
      <x:c r="I286" s="216"/>
      <x:c r="J286" s="216"/>
      <x:c r="K286" s="216"/>
      <x:c r="L286" s="216"/>
      <x:c r="M286" s="216"/>
      <x:c r="N286" s="216"/>
      <x:c r="O286" s="216"/>
      <x:c r="P286" s="216"/>
      <x:c r="Q286" s="216"/>
      <x:c r="R286" s="216"/>
      <x:c r="S286" s="216"/>
      <x:c r="T286" s="216"/>
      <x:c r="U286" s="216"/>
      <x:c r="V286" s="216"/>
      <x:c r="W286" s="216"/>
      <x:c r="X286" s="216"/>
      <x:c r="Y286" s="216"/>
      <x:c r="Z286" s="216"/>
    </x:row>
    <x:row r="287">
      <x:c r="A287" s="216"/>
      <x:c r="B287" s="216"/>
      <x:c r="C287" s="216"/>
      <x:c r="D287" s="216"/>
      <x:c r="E287" s="216"/>
      <x:c r="F287" s="216"/>
      <x:c r="G287" s="216"/>
      <x:c r="H287" s="216"/>
      <x:c r="I287" s="216"/>
      <x:c r="J287" s="216"/>
      <x:c r="K287" s="216"/>
      <x:c r="L287" s="216"/>
      <x:c r="M287" s="216"/>
      <x:c r="N287" s="216"/>
      <x:c r="O287" s="216"/>
      <x:c r="P287" s="216"/>
      <x:c r="Q287" s="216"/>
      <x:c r="R287" s="216"/>
      <x:c r="S287" s="216"/>
      <x:c r="T287" s="216"/>
      <x:c r="U287" s="216"/>
      <x:c r="V287" s="216"/>
      <x:c r="W287" s="216"/>
      <x:c r="X287" s="216"/>
      <x:c r="Y287" s="216"/>
      <x:c r="Z287" s="216"/>
    </x:row>
    <x:row r="288">
      <x:c r="A288" s="216"/>
      <x:c r="B288" s="216"/>
      <x:c r="C288" s="216"/>
      <x:c r="D288" s="216"/>
      <x:c r="E288" s="216"/>
      <x:c r="F288" s="216"/>
      <x:c r="G288" s="216"/>
      <x:c r="H288" s="216"/>
      <x:c r="I288" s="216"/>
      <x:c r="J288" s="216"/>
      <x:c r="K288" s="216"/>
      <x:c r="L288" s="216"/>
      <x:c r="M288" s="216"/>
      <x:c r="N288" s="216"/>
      <x:c r="O288" s="216"/>
      <x:c r="P288" s="216"/>
      <x:c r="Q288" s="216"/>
      <x:c r="R288" s="216"/>
      <x:c r="S288" s="216"/>
      <x:c r="T288" s="216"/>
      <x:c r="U288" s="216"/>
      <x:c r="V288" s="216"/>
      <x:c r="W288" s="216"/>
      <x:c r="X288" s="216"/>
      <x:c r="Y288" s="216"/>
      <x:c r="Z288" s="216"/>
    </x:row>
    <x:row r="289">
      <x:c r="A289" s="216"/>
      <x:c r="B289" s="216"/>
      <x:c r="C289" s="216"/>
      <x:c r="D289" s="216"/>
      <x:c r="E289" s="216"/>
      <x:c r="F289" s="216"/>
      <x:c r="G289" s="216"/>
      <x:c r="H289" s="216"/>
      <x:c r="I289" s="216"/>
      <x:c r="J289" s="216"/>
      <x:c r="K289" s="216"/>
      <x:c r="L289" s="216"/>
      <x:c r="M289" s="216"/>
      <x:c r="N289" s="216"/>
      <x:c r="O289" s="216"/>
      <x:c r="P289" s="216"/>
      <x:c r="Q289" s="216"/>
      <x:c r="R289" s="216"/>
      <x:c r="S289" s="216"/>
      <x:c r="T289" s="216"/>
      <x:c r="U289" s="216"/>
      <x:c r="V289" s="216"/>
      <x:c r="W289" s="216"/>
      <x:c r="X289" s="216"/>
      <x:c r="Y289" s="216"/>
      <x:c r="Z289" s="216"/>
    </x:row>
    <x:row r="290">
      <x:c r="A290" s="216"/>
      <x:c r="B290" s="216"/>
      <x:c r="C290" s="216"/>
      <x:c r="D290" s="216"/>
      <x:c r="E290" s="216"/>
      <x:c r="F290" s="216"/>
      <x:c r="G290" s="216"/>
      <x:c r="H290" s="216"/>
      <x:c r="I290" s="216"/>
      <x:c r="J290" s="216"/>
      <x:c r="K290" s="216"/>
      <x:c r="L290" s="216"/>
      <x:c r="M290" s="216"/>
      <x:c r="N290" s="216"/>
      <x:c r="O290" s="216"/>
      <x:c r="P290" s="216"/>
      <x:c r="Q290" s="216"/>
      <x:c r="R290" s="216"/>
      <x:c r="S290" s="216"/>
      <x:c r="T290" s="216"/>
      <x:c r="U290" s="216"/>
      <x:c r="V290" s="216"/>
      <x:c r="W290" s="216"/>
      <x:c r="X290" s="216"/>
      <x:c r="Y290" s="216"/>
      <x:c r="Z290" s="216"/>
    </x:row>
    <x:row r="291">
      <x:c r="A291" s="216"/>
      <x:c r="B291" s="216"/>
      <x:c r="C291" s="216"/>
      <x:c r="D291" s="216"/>
      <x:c r="E291" s="216"/>
      <x:c r="F291" s="216"/>
      <x:c r="G291" s="216"/>
      <x:c r="H291" s="216"/>
      <x:c r="I291" s="216"/>
      <x:c r="J291" s="216"/>
      <x:c r="K291" s="216"/>
      <x:c r="L291" s="216"/>
      <x:c r="M291" s="216"/>
      <x:c r="N291" s="216"/>
      <x:c r="O291" s="216"/>
      <x:c r="P291" s="216"/>
      <x:c r="Q291" s="216"/>
      <x:c r="R291" s="216"/>
      <x:c r="S291" s="216"/>
      <x:c r="T291" s="216"/>
      <x:c r="U291" s="216"/>
      <x:c r="V291" s="216"/>
      <x:c r="W291" s="216"/>
      <x:c r="X291" s="216"/>
      <x:c r="Y291" s="216"/>
      <x:c r="Z291" s="216"/>
    </x:row>
    <x:row r="292">
      <x:c r="A292" s="216"/>
      <x:c r="B292" s="216"/>
      <x:c r="C292" s="216"/>
      <x:c r="D292" s="216"/>
      <x:c r="E292" s="216"/>
      <x:c r="F292" s="216"/>
      <x:c r="G292" s="216"/>
      <x:c r="H292" s="216"/>
      <x:c r="I292" s="216"/>
      <x:c r="J292" s="216"/>
      <x:c r="K292" s="216"/>
      <x:c r="L292" s="216"/>
      <x:c r="M292" s="216"/>
      <x:c r="N292" s="216"/>
      <x:c r="O292" s="216"/>
      <x:c r="P292" s="216"/>
      <x:c r="Q292" s="216"/>
      <x:c r="R292" s="216"/>
      <x:c r="S292" s="216"/>
      <x:c r="T292" s="216"/>
      <x:c r="U292" s="216"/>
      <x:c r="V292" s="216"/>
      <x:c r="W292" s="216"/>
      <x:c r="X292" s="216"/>
      <x:c r="Y292" s="216"/>
      <x:c r="Z292" s="216"/>
    </x:row>
    <x:row r="293">
      <x:c r="A293" s="216"/>
      <x:c r="B293" s="216"/>
      <x:c r="C293" s="216"/>
      <x:c r="D293" s="216"/>
      <x:c r="E293" s="216"/>
      <x:c r="F293" s="216"/>
      <x:c r="G293" s="216"/>
      <x:c r="H293" s="216"/>
      <x:c r="I293" s="216"/>
      <x:c r="J293" s="216"/>
      <x:c r="K293" s="216"/>
      <x:c r="L293" s="216"/>
      <x:c r="M293" s="216"/>
      <x:c r="N293" s="216"/>
      <x:c r="O293" s="216"/>
      <x:c r="P293" s="216"/>
      <x:c r="Q293" s="216"/>
      <x:c r="R293" s="216"/>
      <x:c r="S293" s="216"/>
      <x:c r="T293" s="216"/>
      <x:c r="U293" s="216"/>
      <x:c r="V293" s="216"/>
      <x:c r="W293" s="216"/>
      <x:c r="X293" s="216"/>
      <x:c r="Y293" s="216"/>
      <x:c r="Z293" s="216"/>
    </x:row>
    <x:row r="294">
      <x:c r="A294" s="216"/>
      <x:c r="B294" s="216"/>
      <x:c r="C294" s="216"/>
      <x:c r="D294" s="216"/>
      <x:c r="E294" s="216"/>
      <x:c r="F294" s="216"/>
      <x:c r="G294" s="216"/>
      <x:c r="H294" s="216"/>
      <x:c r="I294" s="216"/>
      <x:c r="J294" s="216"/>
      <x:c r="K294" s="216"/>
      <x:c r="L294" s="216"/>
      <x:c r="M294" s="216"/>
      <x:c r="N294" s="216"/>
      <x:c r="O294" s="216"/>
      <x:c r="P294" s="216"/>
      <x:c r="Q294" s="216"/>
      <x:c r="R294" s="216"/>
      <x:c r="S294" s="216"/>
      <x:c r="T294" s="216"/>
      <x:c r="U294" s="216"/>
      <x:c r="V294" s="216"/>
      <x:c r="W294" s="216"/>
      <x:c r="X294" s="216"/>
      <x:c r="Y294" s="216"/>
      <x:c r="Z294" s="216"/>
    </x:row>
    <x:row r="295">
      <x:c r="A295" s="216"/>
      <x:c r="B295" s="216"/>
      <x:c r="C295" s="216"/>
      <x:c r="D295" s="216"/>
      <x:c r="E295" s="216"/>
      <x:c r="F295" s="216"/>
      <x:c r="G295" s="216"/>
      <x:c r="H295" s="216"/>
      <x:c r="I295" s="216"/>
      <x:c r="J295" s="216"/>
      <x:c r="K295" s="216"/>
      <x:c r="L295" s="216"/>
      <x:c r="M295" s="216"/>
      <x:c r="N295" s="216"/>
      <x:c r="O295" s="216"/>
      <x:c r="P295" s="216"/>
      <x:c r="Q295" s="216"/>
      <x:c r="R295" s="216"/>
      <x:c r="S295" s="216"/>
      <x:c r="T295" s="216"/>
      <x:c r="U295" s="216"/>
      <x:c r="V295" s="216"/>
      <x:c r="W295" s="216"/>
      <x:c r="X295" s="216"/>
      <x:c r="Y295" s="216"/>
      <x:c r="Z295" s="216"/>
    </x:row>
    <x:row r="296">
      <x:c r="A296" s="216"/>
      <x:c r="B296" s="216"/>
      <x:c r="C296" s="216"/>
      <x:c r="D296" s="216"/>
      <x:c r="E296" s="216"/>
      <x:c r="F296" s="216"/>
      <x:c r="G296" s="216"/>
      <x:c r="H296" s="216"/>
      <x:c r="I296" s="216"/>
      <x:c r="J296" s="216"/>
      <x:c r="K296" s="216"/>
      <x:c r="L296" s="216"/>
      <x:c r="M296" s="216"/>
      <x:c r="N296" s="216"/>
      <x:c r="O296" s="216"/>
      <x:c r="P296" s="216"/>
      <x:c r="Q296" s="216"/>
      <x:c r="R296" s="216"/>
      <x:c r="S296" s="216"/>
      <x:c r="T296" s="216"/>
      <x:c r="U296" s="216"/>
      <x:c r="V296" s="216"/>
      <x:c r="W296" s="216"/>
      <x:c r="X296" s="216"/>
      <x:c r="Y296" s="216"/>
      <x:c r="Z296" s="216"/>
    </x:row>
    <x:row r="297">
      <x:c r="A297" s="216"/>
      <x:c r="B297" s="216"/>
      <x:c r="C297" s="216"/>
      <x:c r="D297" s="216"/>
      <x:c r="E297" s="216"/>
      <x:c r="F297" s="216"/>
      <x:c r="G297" s="216"/>
      <x:c r="H297" s="216"/>
      <x:c r="I297" s="216"/>
      <x:c r="J297" s="216"/>
      <x:c r="K297" s="216"/>
      <x:c r="L297" s="216"/>
      <x:c r="M297" s="216"/>
      <x:c r="N297" s="216"/>
      <x:c r="O297" s="216"/>
      <x:c r="P297" s="216"/>
      <x:c r="Q297" s="216"/>
      <x:c r="R297" s="216"/>
      <x:c r="S297" s="216"/>
      <x:c r="T297" s="216"/>
      <x:c r="U297" s="216"/>
      <x:c r="V297" s="216"/>
      <x:c r="W297" s="216"/>
      <x:c r="X297" s="216"/>
      <x:c r="Y297" s="216"/>
      <x:c r="Z297" s="216"/>
    </x:row>
    <x:row r="298">
      <x:c r="A298" s="216"/>
      <x:c r="B298" s="216"/>
      <x:c r="C298" s="216"/>
      <x:c r="D298" s="216"/>
      <x:c r="E298" s="216"/>
      <x:c r="F298" s="216"/>
      <x:c r="G298" s="216"/>
      <x:c r="H298" s="216"/>
      <x:c r="I298" s="216"/>
      <x:c r="J298" s="216"/>
      <x:c r="K298" s="216"/>
      <x:c r="L298" s="216"/>
      <x:c r="M298" s="216"/>
      <x:c r="N298" s="216"/>
      <x:c r="O298" s="216"/>
      <x:c r="P298" s="216"/>
      <x:c r="Q298" s="216"/>
      <x:c r="R298" s="216"/>
      <x:c r="S298" s="216"/>
      <x:c r="T298" s="216"/>
      <x:c r="U298" s="216"/>
      <x:c r="V298" s="216"/>
      <x:c r="W298" s="216"/>
      <x:c r="X298" s="216"/>
      <x:c r="Y298" s="216"/>
      <x:c r="Z298" s="216"/>
    </x:row>
    <x:row r="299">
      <x:c r="A299" s="216"/>
      <x:c r="B299" s="216"/>
      <x:c r="C299" s="216"/>
      <x:c r="D299" s="216"/>
      <x:c r="E299" s="216"/>
      <x:c r="F299" s="216"/>
      <x:c r="G299" s="216"/>
      <x:c r="H299" s="216"/>
      <x:c r="I299" s="216"/>
      <x:c r="J299" s="216"/>
      <x:c r="K299" s="216"/>
      <x:c r="L299" s="216"/>
      <x:c r="M299" s="216"/>
      <x:c r="N299" s="216"/>
      <x:c r="O299" s="216"/>
      <x:c r="P299" s="216"/>
      <x:c r="Q299" s="216"/>
      <x:c r="R299" s="216"/>
      <x:c r="S299" s="216"/>
      <x:c r="T299" s="216"/>
      <x:c r="U299" s="216"/>
      <x:c r="V299" s="216"/>
      <x:c r="W299" s="216"/>
      <x:c r="X299" s="216"/>
      <x:c r="Y299" s="216"/>
      <x:c r="Z299" s="216"/>
    </x:row>
    <x:row r="300">
      <x:c r="A300" s="216"/>
      <x:c r="B300" s="216"/>
      <x:c r="C300" s="216"/>
      <x:c r="D300" s="216"/>
      <x:c r="E300" s="216"/>
      <x:c r="F300" s="216"/>
      <x:c r="G300" s="216"/>
      <x:c r="H300" s="216"/>
      <x:c r="I300" s="216"/>
      <x:c r="J300" s="216"/>
      <x:c r="K300" s="216"/>
      <x:c r="L300" s="216"/>
      <x:c r="M300" s="216"/>
      <x:c r="N300" s="216"/>
      <x:c r="O300" s="216"/>
      <x:c r="P300" s="216"/>
      <x:c r="Q300" s="216"/>
      <x:c r="R300" s="216"/>
      <x:c r="S300" s="216"/>
      <x:c r="T300" s="216"/>
      <x:c r="U300" s="216"/>
      <x:c r="V300" s="216"/>
      <x:c r="W300" s="216"/>
      <x:c r="X300" s="216"/>
      <x:c r="Y300" s="216"/>
      <x:c r="Z300" s="216"/>
    </x:row>
    <x:row r="301">
      <x:c r="A301" s="216"/>
      <x:c r="B301" s="216"/>
      <x:c r="C301" s="216"/>
      <x:c r="D301" s="216"/>
      <x:c r="E301" s="216"/>
      <x:c r="F301" s="216"/>
      <x:c r="G301" s="216"/>
      <x:c r="H301" s="216"/>
      <x:c r="I301" s="216"/>
      <x:c r="J301" s="216"/>
      <x:c r="K301" s="216"/>
      <x:c r="L301" s="216"/>
      <x:c r="M301" s="216"/>
      <x:c r="N301" s="216"/>
      <x:c r="O301" s="216"/>
      <x:c r="P301" s="216"/>
      <x:c r="Q301" s="216"/>
      <x:c r="R301" s="216"/>
      <x:c r="S301" s="216"/>
      <x:c r="T301" s="216"/>
      <x:c r="U301" s="216"/>
      <x:c r="V301" s="216"/>
      <x:c r="W301" s="216"/>
      <x:c r="X301" s="216"/>
      <x:c r="Y301" s="216"/>
      <x:c r="Z301" s="216"/>
    </x:row>
    <x:row r="302">
      <x:c r="A302" s="216"/>
      <x:c r="B302" s="216"/>
      <x:c r="C302" s="216"/>
      <x:c r="D302" s="216"/>
      <x:c r="E302" s="216"/>
      <x:c r="F302" s="216"/>
      <x:c r="G302" s="216"/>
      <x:c r="H302" s="216"/>
      <x:c r="I302" s="216"/>
      <x:c r="J302" s="216"/>
      <x:c r="K302" s="216"/>
      <x:c r="L302" s="216"/>
      <x:c r="M302" s="216"/>
      <x:c r="N302" s="216"/>
      <x:c r="O302" s="216"/>
      <x:c r="P302" s="216"/>
      <x:c r="Q302" s="216"/>
      <x:c r="R302" s="216"/>
      <x:c r="S302" s="216"/>
      <x:c r="T302" s="216"/>
      <x:c r="U302" s="216"/>
      <x:c r="V302" s="216"/>
      <x:c r="W302" s="216"/>
      <x:c r="X302" s="216"/>
      <x:c r="Y302" s="216"/>
      <x:c r="Z302" s="216"/>
    </x:row>
    <x:row r="303">
      <x:c r="A303" s="216"/>
      <x:c r="B303" s="216"/>
      <x:c r="C303" s="216"/>
      <x:c r="D303" s="216"/>
      <x:c r="E303" s="216"/>
      <x:c r="F303" s="216"/>
      <x:c r="G303" s="216"/>
      <x:c r="H303" s="216"/>
      <x:c r="I303" s="216"/>
      <x:c r="J303" s="216"/>
      <x:c r="K303" s="216"/>
      <x:c r="L303" s="216"/>
      <x:c r="M303" s="216"/>
      <x:c r="N303" s="216"/>
      <x:c r="O303" s="216"/>
      <x:c r="P303" s="216"/>
      <x:c r="Q303" s="216"/>
      <x:c r="R303" s="216"/>
      <x:c r="S303" s="216"/>
      <x:c r="T303" s="216"/>
      <x:c r="U303" s="216"/>
      <x:c r="V303" s="216"/>
      <x:c r="W303" s="216"/>
      <x:c r="X303" s="216"/>
      <x:c r="Y303" s="216"/>
      <x:c r="Z303" s="216"/>
    </x:row>
    <x:row r="304">
      <x:c r="A304" s="216"/>
      <x:c r="B304" s="216"/>
      <x:c r="C304" s="216"/>
      <x:c r="D304" s="216"/>
      <x:c r="E304" s="216"/>
      <x:c r="F304" s="216"/>
      <x:c r="G304" s="216"/>
      <x:c r="H304" s="216"/>
      <x:c r="I304" s="216"/>
      <x:c r="J304" s="216"/>
      <x:c r="K304" s="216"/>
      <x:c r="L304" s="216"/>
      <x:c r="M304" s="216"/>
      <x:c r="N304" s="216"/>
      <x:c r="O304" s="216"/>
      <x:c r="P304" s="216"/>
      <x:c r="Q304" s="216"/>
      <x:c r="R304" s="216"/>
      <x:c r="S304" s="216"/>
      <x:c r="T304" s="216"/>
      <x:c r="U304" s="216"/>
      <x:c r="V304" s="216"/>
      <x:c r="W304" s="216"/>
      <x:c r="X304" s="216"/>
      <x:c r="Y304" s="216"/>
      <x:c r="Z304" s="216"/>
    </x:row>
    <x:row r="305">
      <x:c r="A305" s="216"/>
      <x:c r="B305" s="216"/>
      <x:c r="C305" s="216"/>
      <x:c r="D305" s="216"/>
      <x:c r="E305" s="216"/>
      <x:c r="F305" s="216"/>
      <x:c r="G305" s="216"/>
      <x:c r="H305" s="216"/>
      <x:c r="I305" s="216"/>
      <x:c r="J305" s="216"/>
      <x:c r="K305" s="216"/>
      <x:c r="L305" s="216"/>
      <x:c r="M305" s="216"/>
      <x:c r="N305" s="216"/>
      <x:c r="O305" s="216"/>
      <x:c r="P305" s="216"/>
      <x:c r="Q305" s="216"/>
      <x:c r="R305" s="216"/>
      <x:c r="S305" s="216"/>
      <x:c r="T305" s="216"/>
      <x:c r="U305" s="216"/>
      <x:c r="V305" s="216"/>
      <x:c r="W305" s="216"/>
      <x:c r="X305" s="216"/>
      <x:c r="Y305" s="216"/>
      <x:c r="Z305" s="216"/>
    </x:row>
    <x:row r="306">
      <x:c r="A306" s="216"/>
      <x:c r="B306" s="216"/>
      <x:c r="C306" s="216"/>
      <x:c r="D306" s="216"/>
      <x:c r="E306" s="216"/>
      <x:c r="F306" s="216"/>
      <x:c r="G306" s="216"/>
      <x:c r="H306" s="216"/>
      <x:c r="I306" s="216"/>
      <x:c r="J306" s="216"/>
      <x:c r="K306" s="216"/>
      <x:c r="L306" s="216"/>
      <x:c r="M306" s="216"/>
      <x:c r="N306" s="216"/>
      <x:c r="O306" s="216"/>
      <x:c r="P306" s="216"/>
      <x:c r="Q306" s="216"/>
      <x:c r="R306" s="216"/>
      <x:c r="S306" s="216"/>
      <x:c r="T306" s="216"/>
      <x:c r="U306" s="216"/>
      <x:c r="V306" s="216"/>
      <x:c r="W306" s="216"/>
      <x:c r="X306" s="216"/>
      <x:c r="Y306" s="216"/>
      <x:c r="Z306" s="216"/>
    </x:row>
    <x:row r="307">
      <x:c r="A307" s="216"/>
      <x:c r="B307" s="216"/>
      <x:c r="C307" s="216"/>
      <x:c r="D307" s="216"/>
      <x:c r="E307" s="216"/>
      <x:c r="F307" s="216"/>
      <x:c r="G307" s="216"/>
      <x:c r="H307" s="216"/>
      <x:c r="I307" s="216"/>
      <x:c r="J307" s="216"/>
      <x:c r="K307" s="216"/>
      <x:c r="L307" s="216"/>
      <x:c r="M307" s="216"/>
      <x:c r="N307" s="216"/>
      <x:c r="O307" s="216"/>
      <x:c r="P307" s="216"/>
      <x:c r="Q307" s="216"/>
      <x:c r="R307" s="216"/>
      <x:c r="S307" s="216"/>
      <x:c r="T307" s="216"/>
      <x:c r="U307" s="216"/>
      <x:c r="V307" s="216"/>
      <x:c r="W307" s="216"/>
      <x:c r="X307" s="216"/>
      <x:c r="Y307" s="216"/>
      <x:c r="Z307" s="216"/>
    </x:row>
    <x:row r="308">
      <x:c r="A308" s="216"/>
      <x:c r="B308" s="216"/>
      <x:c r="C308" s="216"/>
      <x:c r="D308" s="216"/>
      <x:c r="E308" s="216"/>
      <x:c r="F308" s="216"/>
      <x:c r="G308" s="216"/>
      <x:c r="H308" s="216"/>
      <x:c r="I308" s="216"/>
      <x:c r="J308" s="216"/>
      <x:c r="K308" s="216"/>
      <x:c r="L308" s="216"/>
      <x:c r="M308" s="216"/>
      <x:c r="N308" s="216"/>
      <x:c r="O308" s="216"/>
      <x:c r="P308" s="216"/>
      <x:c r="Q308" s="216"/>
      <x:c r="R308" s="216"/>
      <x:c r="S308" s="216"/>
      <x:c r="T308" s="216"/>
      <x:c r="U308" s="216"/>
      <x:c r="V308" s="216"/>
      <x:c r="W308" s="216"/>
      <x:c r="X308" s="216"/>
      <x:c r="Y308" s="216"/>
      <x:c r="Z308" s="216"/>
    </x:row>
    <x:row r="309">
      <x:c r="A309" s="216"/>
      <x:c r="B309" s="216"/>
      <x:c r="C309" s="216"/>
      <x:c r="D309" s="216"/>
      <x:c r="E309" s="216"/>
      <x:c r="F309" s="216"/>
      <x:c r="G309" s="216"/>
      <x:c r="H309" s="216"/>
      <x:c r="I309" s="216"/>
      <x:c r="J309" s="216"/>
      <x:c r="K309" s="216"/>
      <x:c r="L309" s="216"/>
      <x:c r="M309" s="216"/>
      <x:c r="N309" s="216"/>
      <x:c r="O309" s="216"/>
      <x:c r="P309" s="216"/>
      <x:c r="Q309" s="216"/>
      <x:c r="R309" s="216"/>
      <x:c r="S309" s="216"/>
      <x:c r="T309" s="216"/>
      <x:c r="U309" s="216"/>
      <x:c r="V309" s="216"/>
      <x:c r="W309" s="216"/>
      <x:c r="X309" s="216"/>
      <x:c r="Y309" s="216"/>
      <x:c r="Z309" s="216"/>
    </x:row>
    <x:row r="310">
      <x:c r="A310" s="216"/>
      <x:c r="B310" s="216"/>
      <x:c r="C310" s="216"/>
      <x:c r="D310" s="216"/>
      <x:c r="E310" s="216"/>
      <x:c r="F310" s="216"/>
      <x:c r="G310" s="216"/>
      <x:c r="H310" s="216"/>
      <x:c r="I310" s="216"/>
      <x:c r="J310" s="216"/>
      <x:c r="K310" s="216"/>
      <x:c r="L310" s="216"/>
      <x:c r="M310" s="216"/>
      <x:c r="N310" s="216"/>
      <x:c r="O310" s="216"/>
      <x:c r="P310" s="216"/>
      <x:c r="Q310" s="216"/>
      <x:c r="R310" s="216"/>
      <x:c r="S310" s="216"/>
      <x:c r="T310" s="216"/>
      <x:c r="U310" s="216"/>
      <x:c r="V310" s="216"/>
      <x:c r="W310" s="216"/>
      <x:c r="X310" s="216"/>
      <x:c r="Y310" s="216"/>
      <x:c r="Z310" s="216"/>
    </x:row>
    <x:row r="311">
      <x:c r="A311" s="216"/>
      <x:c r="B311" s="216"/>
      <x:c r="C311" s="216"/>
      <x:c r="D311" s="216"/>
      <x:c r="E311" s="216"/>
      <x:c r="F311" s="216"/>
      <x:c r="G311" s="216"/>
      <x:c r="H311" s="216"/>
      <x:c r="I311" s="216"/>
      <x:c r="J311" s="216"/>
      <x:c r="K311" s="216"/>
      <x:c r="L311" s="216"/>
      <x:c r="M311" s="216"/>
      <x:c r="N311" s="216"/>
      <x:c r="O311" s="216"/>
      <x:c r="P311" s="216"/>
      <x:c r="Q311" s="216"/>
      <x:c r="R311" s="216"/>
      <x:c r="S311" s="216"/>
      <x:c r="T311" s="216"/>
      <x:c r="U311" s="216"/>
      <x:c r="V311" s="216"/>
      <x:c r="W311" s="216"/>
      <x:c r="X311" s="216"/>
      <x:c r="Y311" s="216"/>
      <x:c r="Z311" s="216"/>
    </x:row>
    <x:row r="312">
      <x:c r="A312" s="216"/>
      <x:c r="B312" s="216"/>
      <x:c r="C312" s="216"/>
      <x:c r="D312" s="216"/>
      <x:c r="E312" s="216"/>
      <x:c r="F312" s="216"/>
      <x:c r="G312" s="216"/>
      <x:c r="H312" s="216"/>
      <x:c r="I312" s="216"/>
      <x:c r="J312" s="216"/>
      <x:c r="K312" s="216"/>
      <x:c r="L312" s="216"/>
      <x:c r="M312" s="216"/>
      <x:c r="N312" s="216"/>
      <x:c r="O312" s="216"/>
      <x:c r="P312" s="216"/>
      <x:c r="Q312" s="216"/>
      <x:c r="R312" s="216"/>
      <x:c r="S312" s="216"/>
      <x:c r="T312" s="216"/>
      <x:c r="U312" s="216"/>
      <x:c r="V312" s="216"/>
      <x:c r="W312" s="216"/>
      <x:c r="X312" s="216"/>
      <x:c r="Y312" s="216"/>
      <x:c r="Z312" s="216"/>
    </x:row>
    <x:row r="313">
      <x:c r="A313" s="216"/>
      <x:c r="B313" s="216"/>
      <x:c r="C313" s="216"/>
      <x:c r="D313" s="216"/>
      <x:c r="E313" s="216"/>
      <x:c r="F313" s="216"/>
      <x:c r="G313" s="216"/>
      <x:c r="H313" s="216"/>
      <x:c r="I313" s="216"/>
      <x:c r="J313" s="216"/>
      <x:c r="K313" s="216"/>
      <x:c r="L313" s="216"/>
      <x:c r="M313" s="216"/>
      <x:c r="N313" s="216"/>
      <x:c r="O313" s="216"/>
      <x:c r="P313" s="216"/>
      <x:c r="Q313" s="216"/>
      <x:c r="R313" s="216"/>
      <x:c r="S313" s="216"/>
      <x:c r="T313" s="216"/>
      <x:c r="U313" s="216"/>
      <x:c r="V313" s="216"/>
      <x:c r="W313" s="216"/>
      <x:c r="X313" s="216"/>
      <x:c r="Y313" s="216"/>
      <x:c r="Z313" s="216"/>
    </x:row>
    <x:row r="314">
      <x:c r="A314" s="216"/>
      <x:c r="B314" s="216"/>
      <x:c r="C314" s="216"/>
      <x:c r="D314" s="216"/>
      <x:c r="E314" s="216"/>
      <x:c r="F314" s="216"/>
      <x:c r="G314" s="216"/>
      <x:c r="H314" s="216"/>
      <x:c r="I314" s="216"/>
      <x:c r="J314" s="216"/>
      <x:c r="K314" s="216"/>
      <x:c r="L314" s="216"/>
      <x:c r="M314" s="216"/>
      <x:c r="N314" s="216"/>
      <x:c r="O314" s="216"/>
      <x:c r="P314" s="216"/>
      <x:c r="Q314" s="216"/>
      <x:c r="R314" s="216"/>
      <x:c r="S314" s="216"/>
      <x:c r="T314" s="216"/>
      <x:c r="U314" s="216"/>
      <x:c r="V314" s="216"/>
      <x:c r="W314" s="216"/>
      <x:c r="X314" s="216"/>
      <x:c r="Y314" s="216"/>
      <x:c r="Z314" s="216"/>
    </x:row>
    <x:row r="315">
      <x:c r="A315" s="216"/>
      <x:c r="B315" s="216"/>
      <x:c r="C315" s="216"/>
      <x:c r="D315" s="216"/>
      <x:c r="E315" s="216"/>
      <x:c r="F315" s="216"/>
      <x:c r="G315" s="216"/>
      <x:c r="H315" s="216"/>
      <x:c r="I315" s="216"/>
      <x:c r="J315" s="216"/>
      <x:c r="K315" s="216"/>
      <x:c r="L315" s="216"/>
      <x:c r="M315" s="216"/>
      <x:c r="N315" s="216"/>
      <x:c r="O315" s="216"/>
      <x:c r="P315" s="216"/>
      <x:c r="Q315" s="216"/>
      <x:c r="R315" s="216"/>
      <x:c r="S315" s="216"/>
      <x:c r="T315" s="216"/>
      <x:c r="U315" s="216"/>
      <x:c r="V315" s="216"/>
      <x:c r="W315" s="216"/>
      <x:c r="X315" s="216"/>
      <x:c r="Y315" s="216"/>
      <x:c r="Z315" s="216"/>
    </x:row>
    <x:row r="316">
      <x:c r="A316" s="216"/>
      <x:c r="B316" s="216"/>
      <x:c r="C316" s="216"/>
      <x:c r="D316" s="216"/>
      <x:c r="E316" s="216"/>
      <x:c r="F316" s="216"/>
      <x:c r="G316" s="216"/>
      <x:c r="H316" s="216"/>
      <x:c r="I316" s="216"/>
      <x:c r="J316" s="216"/>
      <x:c r="K316" s="216"/>
      <x:c r="L316" s="216"/>
      <x:c r="M316" s="216"/>
      <x:c r="N316" s="216"/>
      <x:c r="O316" s="216"/>
      <x:c r="P316" s="216"/>
      <x:c r="Q316" s="216"/>
      <x:c r="R316" s="216"/>
      <x:c r="S316" s="216"/>
      <x:c r="T316" s="216"/>
      <x:c r="U316" s="216"/>
      <x:c r="V316" s="216"/>
      <x:c r="W316" s="216"/>
      <x:c r="X316" s="216"/>
      <x:c r="Y316" s="216"/>
      <x:c r="Z316" s="216"/>
    </x:row>
    <x:row r="317">
      <x:c r="A317" s="216"/>
      <x:c r="B317" s="216"/>
      <x:c r="C317" s="216"/>
      <x:c r="D317" s="216"/>
      <x:c r="E317" s="216"/>
      <x:c r="F317" s="216"/>
      <x:c r="G317" s="216"/>
      <x:c r="H317" s="216"/>
      <x:c r="I317" s="216"/>
      <x:c r="J317" s="216"/>
      <x:c r="K317" s="216"/>
      <x:c r="L317" s="216"/>
      <x:c r="M317" s="216"/>
      <x:c r="N317" s="216"/>
      <x:c r="O317" s="216"/>
      <x:c r="P317" s="216"/>
      <x:c r="Q317" s="216"/>
      <x:c r="R317" s="216"/>
      <x:c r="S317" s="216"/>
      <x:c r="T317" s="216"/>
      <x:c r="U317" s="216"/>
      <x:c r="V317" s="216"/>
      <x:c r="W317" s="216"/>
      <x:c r="X317" s="216"/>
      <x:c r="Y317" s="216"/>
      <x:c r="Z317" s="216"/>
    </x:row>
    <x:row r="318">
      <x:c r="A318" s="216"/>
      <x:c r="B318" s="216"/>
      <x:c r="C318" s="216"/>
      <x:c r="D318" s="216"/>
      <x:c r="E318" s="216"/>
      <x:c r="F318" s="216"/>
      <x:c r="G318" s="216"/>
      <x:c r="H318" s="216"/>
      <x:c r="I318" s="216"/>
      <x:c r="J318" s="216"/>
      <x:c r="K318" s="216"/>
      <x:c r="L318" s="216"/>
      <x:c r="M318" s="216"/>
      <x:c r="N318" s="216"/>
      <x:c r="O318" s="216"/>
      <x:c r="P318" s="216"/>
      <x:c r="Q318" s="216"/>
      <x:c r="R318" s="216"/>
      <x:c r="S318" s="216"/>
      <x:c r="T318" s="216"/>
      <x:c r="U318" s="216"/>
      <x:c r="V318" s="216"/>
      <x:c r="W318" s="216"/>
      <x:c r="X318" s="216"/>
      <x:c r="Y318" s="216"/>
      <x:c r="Z318" s="216"/>
    </x:row>
    <x:row r="319">
      <x:c r="A319" s="216"/>
      <x:c r="B319" s="216"/>
      <x:c r="C319" s="216"/>
      <x:c r="D319" s="216"/>
      <x:c r="E319" s="216"/>
      <x:c r="F319" s="216"/>
      <x:c r="G319" s="216"/>
      <x:c r="H319" s="216"/>
      <x:c r="I319" s="216"/>
      <x:c r="J319" s="216"/>
      <x:c r="K319" s="216"/>
      <x:c r="L319" s="216"/>
      <x:c r="M319" s="216"/>
      <x:c r="N319" s="216"/>
      <x:c r="O319" s="216"/>
      <x:c r="P319" s="216"/>
      <x:c r="Q319" s="216"/>
      <x:c r="R319" s="216"/>
      <x:c r="S319" s="216"/>
      <x:c r="T319" s="216"/>
      <x:c r="U319" s="216"/>
      <x:c r="V319" s="216"/>
      <x:c r="W319" s="216"/>
      <x:c r="X319" s="216"/>
      <x:c r="Y319" s="216"/>
      <x:c r="Z319" s="216"/>
    </x:row>
    <x:row r="320">
      <x:c r="A320" s="216"/>
      <x:c r="B320" s="216"/>
      <x:c r="C320" s="216"/>
      <x:c r="D320" s="216"/>
      <x:c r="E320" s="216"/>
      <x:c r="F320" s="216"/>
      <x:c r="G320" s="216"/>
      <x:c r="H320" s="216"/>
      <x:c r="I320" s="216"/>
      <x:c r="J320" s="216"/>
      <x:c r="K320" s="216"/>
      <x:c r="L320" s="216"/>
      <x:c r="M320" s="216"/>
      <x:c r="N320" s="216"/>
      <x:c r="O320" s="216"/>
      <x:c r="P320" s="216"/>
      <x:c r="Q320" s="216"/>
      <x:c r="R320" s="216"/>
      <x:c r="S320" s="216"/>
      <x:c r="T320" s="216"/>
      <x:c r="U320" s="216"/>
      <x:c r="V320" s="216"/>
      <x:c r="W320" s="216"/>
      <x:c r="X320" s="216"/>
      <x:c r="Y320" s="216"/>
      <x:c r="Z320" s="216"/>
    </x:row>
    <x:row r="321">
      <x:c r="A321" s="216"/>
      <x:c r="B321" s="216"/>
      <x:c r="C321" s="216"/>
      <x:c r="D321" s="216"/>
      <x:c r="E321" s="216"/>
      <x:c r="F321" s="216"/>
      <x:c r="G321" s="216"/>
      <x:c r="H321" s="216"/>
      <x:c r="I321" s="216"/>
      <x:c r="J321" s="216"/>
      <x:c r="K321" s="216"/>
      <x:c r="L321" s="216"/>
      <x:c r="M321" s="216"/>
      <x:c r="N321" s="216"/>
      <x:c r="O321" s="216"/>
      <x:c r="P321" s="216"/>
      <x:c r="Q321" s="216"/>
      <x:c r="R321" s="216"/>
      <x:c r="S321" s="216"/>
      <x:c r="T321" s="216"/>
      <x:c r="U321" s="216"/>
      <x:c r="V321" s="216"/>
      <x:c r="W321" s="216"/>
      <x:c r="X321" s="216"/>
      <x:c r="Y321" s="216"/>
      <x:c r="Z321" s="216"/>
    </x:row>
    <x:row r="322">
      <x:c r="A322" s="216"/>
      <x:c r="B322" s="216"/>
      <x:c r="C322" s="216"/>
      <x:c r="D322" s="216"/>
      <x:c r="E322" s="216"/>
      <x:c r="F322" s="216"/>
      <x:c r="G322" s="216"/>
      <x:c r="H322" s="216"/>
      <x:c r="I322" s="216"/>
      <x:c r="J322" s="216"/>
      <x:c r="K322" s="216"/>
      <x:c r="L322" s="216"/>
      <x:c r="M322" s="216"/>
      <x:c r="N322" s="216"/>
      <x:c r="O322" s="216"/>
      <x:c r="P322" s="216"/>
      <x:c r="Q322" s="216"/>
      <x:c r="R322" s="216"/>
      <x:c r="S322" s="216"/>
      <x:c r="T322" s="216"/>
      <x:c r="U322" s="216"/>
      <x:c r="V322" s="216"/>
      <x:c r="W322" s="216"/>
      <x:c r="X322" s="216"/>
      <x:c r="Y322" s="216"/>
      <x:c r="Z322" s="216"/>
    </x:row>
    <x:row r="323">
      <x:c r="A323" s="216"/>
      <x:c r="B323" s="216"/>
      <x:c r="C323" s="216"/>
      <x:c r="D323" s="216"/>
      <x:c r="E323" s="216"/>
      <x:c r="F323" s="216"/>
      <x:c r="G323" s="216"/>
      <x:c r="H323" s="216"/>
      <x:c r="I323" s="216"/>
      <x:c r="J323" s="216"/>
      <x:c r="K323" s="216"/>
      <x:c r="L323" s="216"/>
      <x:c r="M323" s="216"/>
      <x:c r="N323" s="216"/>
      <x:c r="O323" s="216"/>
      <x:c r="P323" s="216"/>
      <x:c r="Q323" s="216"/>
      <x:c r="R323" s="216"/>
      <x:c r="S323" s="216"/>
      <x:c r="T323" s="216"/>
      <x:c r="U323" s="216"/>
      <x:c r="V323" s="216"/>
      <x:c r="W323" s="216"/>
      <x:c r="X323" s="216"/>
      <x:c r="Y323" s="216"/>
      <x:c r="Z323" s="216"/>
    </x:row>
    <x:row r="324">
      <x:c r="A324" s="216"/>
      <x:c r="B324" s="216"/>
      <x:c r="C324" s="216"/>
      <x:c r="D324" s="216"/>
      <x:c r="E324" s="216"/>
      <x:c r="F324" s="216"/>
      <x:c r="G324" s="216"/>
      <x:c r="H324" s="216"/>
      <x:c r="I324" s="216"/>
      <x:c r="J324" s="216"/>
      <x:c r="K324" s="216"/>
      <x:c r="L324" s="216"/>
      <x:c r="M324" s="216"/>
      <x:c r="N324" s="216"/>
      <x:c r="O324" s="216"/>
      <x:c r="P324" s="216"/>
      <x:c r="Q324" s="216"/>
      <x:c r="R324" s="216"/>
      <x:c r="S324" s="216"/>
      <x:c r="T324" s="216"/>
      <x:c r="U324" s="216"/>
      <x:c r="V324" s="216"/>
      <x:c r="W324" s="216"/>
      <x:c r="X324" s="216"/>
      <x:c r="Y324" s="216"/>
      <x:c r="Z324" s="216"/>
    </x:row>
    <x:row r="325">
      <x:c r="A325" s="216"/>
      <x:c r="B325" s="216"/>
      <x:c r="C325" s="216"/>
      <x:c r="D325" s="216"/>
      <x:c r="E325" s="216"/>
      <x:c r="F325" s="216"/>
      <x:c r="G325" s="216"/>
      <x:c r="H325" s="216"/>
      <x:c r="I325" s="216"/>
      <x:c r="J325" s="216"/>
      <x:c r="K325" s="216"/>
      <x:c r="L325" s="216"/>
      <x:c r="M325" s="216"/>
      <x:c r="N325" s="216"/>
      <x:c r="O325" s="216"/>
      <x:c r="P325" s="216"/>
      <x:c r="Q325" s="216"/>
      <x:c r="R325" s="216"/>
      <x:c r="S325" s="216"/>
      <x:c r="T325" s="216"/>
      <x:c r="U325" s="216"/>
      <x:c r="V325" s="216"/>
      <x:c r="W325" s="216"/>
      <x:c r="X325" s="216"/>
      <x:c r="Y325" s="216"/>
      <x:c r="Z325" s="216"/>
    </x:row>
    <x:row r="326">
      <x:c r="A326" s="216"/>
      <x:c r="B326" s="216"/>
      <x:c r="C326" s="216"/>
      <x:c r="D326" s="216"/>
      <x:c r="E326" s="216"/>
      <x:c r="F326" s="216"/>
      <x:c r="G326" s="216"/>
      <x:c r="H326" s="216"/>
      <x:c r="I326" s="216"/>
      <x:c r="J326" s="216"/>
      <x:c r="K326" s="216"/>
      <x:c r="L326" s="216"/>
      <x:c r="M326" s="216"/>
      <x:c r="N326" s="216"/>
      <x:c r="O326" s="216"/>
      <x:c r="P326" s="216"/>
      <x:c r="Q326" s="216"/>
      <x:c r="R326" s="216"/>
      <x:c r="S326" s="216"/>
      <x:c r="T326" s="216"/>
      <x:c r="U326" s="216"/>
      <x:c r="V326" s="216"/>
      <x:c r="W326" s="216"/>
      <x:c r="X326" s="216"/>
      <x:c r="Y326" s="216"/>
      <x:c r="Z326" s="216"/>
    </x:row>
    <x:row r="327">
      <x:c r="A327" s="216"/>
      <x:c r="B327" s="216"/>
      <x:c r="C327" s="216"/>
      <x:c r="D327" s="216"/>
      <x:c r="E327" s="216"/>
      <x:c r="F327" s="216"/>
      <x:c r="G327" s="216"/>
      <x:c r="H327" s="216"/>
      <x:c r="I327" s="216"/>
      <x:c r="J327" s="216"/>
      <x:c r="K327" s="216"/>
      <x:c r="L327" s="216"/>
      <x:c r="M327" s="216"/>
      <x:c r="N327" s="216"/>
      <x:c r="O327" s="216"/>
      <x:c r="P327" s="216"/>
      <x:c r="Q327" s="216"/>
      <x:c r="R327" s="216"/>
      <x:c r="S327" s="216"/>
      <x:c r="T327" s="216"/>
      <x:c r="U327" s="216"/>
      <x:c r="V327" s="216"/>
      <x:c r="W327" s="216"/>
      <x:c r="X327" s="216"/>
      <x:c r="Y327" s="216"/>
      <x:c r="Z327" s="216"/>
    </x:row>
    <x:row r="328">
      <x:c r="A328" s="216"/>
      <x:c r="B328" s="216"/>
      <x:c r="C328" s="216"/>
      <x:c r="D328" s="216"/>
      <x:c r="E328" s="216"/>
      <x:c r="F328" s="216"/>
      <x:c r="G328" s="216"/>
      <x:c r="H328" s="216"/>
      <x:c r="I328" s="216"/>
      <x:c r="J328" s="216"/>
      <x:c r="K328" s="216"/>
      <x:c r="L328" s="216"/>
      <x:c r="M328" s="216"/>
      <x:c r="N328" s="216"/>
      <x:c r="O328" s="216"/>
      <x:c r="P328" s="216"/>
      <x:c r="Q328" s="216"/>
      <x:c r="R328" s="216"/>
      <x:c r="S328" s="216"/>
      <x:c r="T328" s="216"/>
      <x:c r="U328" s="216"/>
      <x:c r="V328" s="216"/>
      <x:c r="W328" s="216"/>
      <x:c r="X328" s="216"/>
      <x:c r="Y328" s="216"/>
      <x:c r="Z328" s="216"/>
    </x:row>
    <x:row r="329">
      <x:c r="A329" s="216"/>
      <x:c r="B329" s="216"/>
      <x:c r="C329" s="216"/>
      <x:c r="D329" s="216"/>
      <x:c r="E329" s="216"/>
      <x:c r="F329" s="216"/>
      <x:c r="G329" s="216"/>
      <x:c r="H329" s="216"/>
      <x:c r="I329" s="216"/>
      <x:c r="J329" s="216"/>
      <x:c r="K329" s="216"/>
      <x:c r="L329" s="216"/>
      <x:c r="M329" s="216"/>
      <x:c r="N329" s="216"/>
      <x:c r="O329" s="216"/>
      <x:c r="P329" s="216"/>
      <x:c r="Q329" s="216"/>
      <x:c r="R329" s="216"/>
      <x:c r="S329" s="216"/>
      <x:c r="T329" s="216"/>
      <x:c r="U329" s="216"/>
      <x:c r="V329" s="216"/>
      <x:c r="W329" s="216"/>
      <x:c r="X329" s="216"/>
      <x:c r="Y329" s="216"/>
      <x:c r="Z329" s="216"/>
    </x:row>
    <x:row r="330">
      <x:c r="A330" s="216"/>
      <x:c r="B330" s="216"/>
      <x:c r="C330" s="216"/>
      <x:c r="D330" s="216"/>
      <x:c r="E330" s="216"/>
      <x:c r="F330" s="216"/>
      <x:c r="G330" s="216"/>
      <x:c r="H330" s="216"/>
      <x:c r="I330" s="216"/>
      <x:c r="J330" s="216"/>
      <x:c r="K330" s="216"/>
      <x:c r="L330" s="216"/>
      <x:c r="M330" s="216"/>
      <x:c r="N330" s="216"/>
      <x:c r="O330" s="216"/>
      <x:c r="P330" s="216"/>
      <x:c r="Q330" s="216"/>
      <x:c r="R330" s="216"/>
      <x:c r="S330" s="216"/>
      <x:c r="T330" s="216"/>
      <x:c r="U330" s="216"/>
      <x:c r="V330" s="216"/>
      <x:c r="W330" s="216"/>
      <x:c r="X330" s="216"/>
      <x:c r="Y330" s="216"/>
      <x:c r="Z330" s="216"/>
    </x:row>
    <x:row r="331">
      <x:c r="A331" s="216"/>
      <x:c r="B331" s="216"/>
      <x:c r="C331" s="216"/>
      <x:c r="D331" s="216"/>
      <x:c r="E331" s="216"/>
      <x:c r="F331" s="216"/>
      <x:c r="G331" s="216"/>
      <x:c r="H331" s="216"/>
      <x:c r="I331" s="216"/>
      <x:c r="J331" s="216"/>
      <x:c r="K331" s="216"/>
      <x:c r="L331" s="216"/>
      <x:c r="M331" s="216"/>
      <x:c r="N331" s="216"/>
      <x:c r="O331" s="216"/>
      <x:c r="P331" s="216"/>
      <x:c r="Q331" s="216"/>
      <x:c r="R331" s="216"/>
      <x:c r="S331" s="216"/>
      <x:c r="T331" s="216"/>
      <x:c r="U331" s="216"/>
      <x:c r="V331" s="216"/>
      <x:c r="W331" s="216"/>
      <x:c r="X331" s="216"/>
      <x:c r="Y331" s="216"/>
      <x:c r="Z331" s="216"/>
    </x:row>
    <x:row r="332">
      <x:c r="A332" s="216"/>
      <x:c r="B332" s="216"/>
      <x:c r="C332" s="216"/>
      <x:c r="D332" s="216"/>
      <x:c r="E332" s="216"/>
      <x:c r="F332" s="216"/>
      <x:c r="G332" s="216"/>
      <x:c r="H332" s="216"/>
      <x:c r="I332" s="216"/>
      <x:c r="J332" s="216"/>
      <x:c r="K332" s="216"/>
      <x:c r="L332" s="216"/>
      <x:c r="M332" s="216"/>
      <x:c r="N332" s="216"/>
      <x:c r="O332" s="216"/>
      <x:c r="P332" s="216"/>
      <x:c r="Q332" s="216"/>
      <x:c r="R332" s="216"/>
      <x:c r="S332" s="216"/>
      <x:c r="T332" s="216"/>
      <x:c r="U332" s="216"/>
      <x:c r="V332" s="216"/>
      <x:c r="W332" s="216"/>
      <x:c r="X332" s="216"/>
      <x:c r="Y332" s="216"/>
      <x:c r="Z332" s="216"/>
    </x:row>
    <x:row r="333">
      <x:c r="A333" s="216"/>
      <x:c r="B333" s="216"/>
      <x:c r="C333" s="216"/>
      <x:c r="D333" s="216"/>
      <x:c r="E333" s="216"/>
      <x:c r="F333" s="216"/>
      <x:c r="G333" s="216"/>
      <x:c r="H333" s="216"/>
      <x:c r="I333" s="216"/>
      <x:c r="J333" s="216"/>
      <x:c r="K333" s="216"/>
      <x:c r="L333" s="216"/>
      <x:c r="M333" s="216"/>
      <x:c r="N333" s="216"/>
      <x:c r="O333" s="216"/>
      <x:c r="P333" s="216"/>
      <x:c r="Q333" s="216"/>
      <x:c r="R333" s="216"/>
      <x:c r="S333" s="216"/>
      <x:c r="T333" s="216"/>
      <x:c r="U333" s="216"/>
      <x:c r="V333" s="216"/>
      <x:c r="W333" s="216"/>
      <x:c r="X333" s="216"/>
      <x:c r="Y333" s="216"/>
      <x:c r="Z333" s="216"/>
    </x:row>
    <x:row r="334">
      <x:c r="A334" s="216"/>
      <x:c r="B334" s="216"/>
      <x:c r="C334" s="216"/>
      <x:c r="D334" s="216"/>
      <x:c r="E334" s="216"/>
      <x:c r="F334" s="216"/>
      <x:c r="G334" s="216"/>
      <x:c r="H334" s="216"/>
      <x:c r="I334" s="216"/>
      <x:c r="J334" s="216"/>
      <x:c r="K334" s="216"/>
      <x:c r="L334" s="216"/>
      <x:c r="M334" s="216"/>
      <x:c r="N334" s="216"/>
      <x:c r="O334" s="216"/>
      <x:c r="P334" s="216"/>
      <x:c r="Q334" s="216"/>
      <x:c r="R334" s="216"/>
      <x:c r="S334" s="216"/>
      <x:c r="T334" s="216"/>
      <x:c r="U334" s="216"/>
      <x:c r="V334" s="216"/>
      <x:c r="W334" s="216"/>
      <x:c r="X334" s="216"/>
      <x:c r="Y334" s="216"/>
      <x:c r="Z334" s="216"/>
    </x:row>
    <x:row r="335">
      <x:c r="A335" s="216"/>
      <x:c r="B335" s="216"/>
      <x:c r="C335" s="216"/>
      <x:c r="D335" s="216"/>
      <x:c r="E335" s="216"/>
      <x:c r="F335" s="216"/>
      <x:c r="G335" s="216"/>
      <x:c r="H335" s="216"/>
      <x:c r="I335" s="216"/>
      <x:c r="J335" s="216"/>
      <x:c r="K335" s="216"/>
      <x:c r="L335" s="216"/>
      <x:c r="M335" s="216"/>
      <x:c r="N335" s="216"/>
      <x:c r="O335" s="216"/>
      <x:c r="P335" s="216"/>
      <x:c r="Q335" s="216"/>
      <x:c r="R335" s="216"/>
      <x:c r="S335" s="216"/>
      <x:c r="T335" s="216"/>
      <x:c r="U335" s="216"/>
      <x:c r="V335" s="216"/>
      <x:c r="W335" s="216"/>
      <x:c r="X335" s="216"/>
      <x:c r="Y335" s="216"/>
      <x:c r="Z335" s="216"/>
    </x:row>
    <x:row r="336">
      <x:c r="A336" s="216"/>
      <x:c r="B336" s="216"/>
      <x:c r="C336" s="216"/>
      <x:c r="D336" s="216"/>
      <x:c r="E336" s="216"/>
      <x:c r="F336" s="216"/>
      <x:c r="G336" s="216"/>
      <x:c r="H336" s="216"/>
      <x:c r="I336" s="216"/>
      <x:c r="J336" s="216"/>
      <x:c r="K336" s="216"/>
      <x:c r="L336" s="216"/>
      <x:c r="M336" s="216"/>
      <x:c r="N336" s="216"/>
      <x:c r="O336" s="216"/>
      <x:c r="P336" s="216"/>
      <x:c r="Q336" s="216"/>
      <x:c r="R336" s="216"/>
      <x:c r="S336" s="216"/>
      <x:c r="T336" s="216"/>
      <x:c r="U336" s="216"/>
      <x:c r="V336" s="216"/>
      <x:c r="W336" s="216"/>
      <x:c r="X336" s="216"/>
      <x:c r="Y336" s="216"/>
      <x:c r="Z336" s="216"/>
    </x:row>
    <x:row r="337">
      <x:c r="A337" s="216"/>
      <x:c r="B337" s="216"/>
      <x:c r="C337" s="216"/>
      <x:c r="D337" s="216"/>
      <x:c r="E337" s="216"/>
      <x:c r="F337" s="216"/>
      <x:c r="G337" s="216"/>
      <x:c r="H337" s="216"/>
      <x:c r="I337" s="216"/>
      <x:c r="J337" s="216"/>
      <x:c r="K337" s="216"/>
      <x:c r="L337" s="216"/>
      <x:c r="M337" s="216"/>
      <x:c r="N337" s="216"/>
      <x:c r="O337" s="216"/>
      <x:c r="P337" s="216"/>
      <x:c r="Q337" s="216"/>
      <x:c r="R337" s="216"/>
      <x:c r="S337" s="216"/>
      <x:c r="T337" s="216"/>
      <x:c r="U337" s="216"/>
      <x:c r="V337" s="216"/>
      <x:c r="W337" s="216"/>
      <x:c r="X337" s="216"/>
      <x:c r="Y337" s="216"/>
      <x:c r="Z337" s="216"/>
    </x:row>
    <x:row r="338">
      <x:c r="A338" s="216"/>
      <x:c r="B338" s="216"/>
      <x:c r="C338" s="216"/>
      <x:c r="D338" s="216"/>
      <x:c r="E338" s="216"/>
      <x:c r="F338" s="216"/>
      <x:c r="G338" s="216"/>
      <x:c r="H338" s="216"/>
      <x:c r="I338" s="216"/>
      <x:c r="J338" s="216"/>
      <x:c r="K338" s="216"/>
      <x:c r="L338" s="216"/>
      <x:c r="M338" s="216"/>
      <x:c r="N338" s="216"/>
      <x:c r="O338" s="216"/>
      <x:c r="P338" s="216"/>
      <x:c r="Q338" s="216"/>
      <x:c r="R338" s="216"/>
      <x:c r="S338" s="216"/>
      <x:c r="T338" s="216"/>
      <x:c r="U338" s="216"/>
      <x:c r="V338" s="216"/>
      <x:c r="W338" s="216"/>
      <x:c r="X338" s="216"/>
      <x:c r="Y338" s="216"/>
      <x:c r="Z338" s="216"/>
    </x:row>
    <x:row r="339">
      <x:c r="A339" s="216"/>
      <x:c r="B339" s="216"/>
      <x:c r="C339" s="216"/>
      <x:c r="D339" s="216"/>
      <x:c r="E339" s="216"/>
      <x:c r="F339" s="216"/>
      <x:c r="G339" s="216"/>
      <x:c r="H339" s="216"/>
      <x:c r="I339" s="216"/>
      <x:c r="J339" s="216"/>
      <x:c r="K339" s="216"/>
      <x:c r="L339" s="216"/>
      <x:c r="M339" s="216"/>
      <x:c r="N339" s="216"/>
      <x:c r="O339" s="216"/>
      <x:c r="P339" s="216"/>
      <x:c r="Q339" s="216"/>
      <x:c r="R339" s="216"/>
      <x:c r="S339" s="216"/>
      <x:c r="T339" s="216"/>
      <x:c r="U339" s="216"/>
      <x:c r="V339" s="216"/>
      <x:c r="W339" s="216"/>
      <x:c r="X339" s="216"/>
      <x:c r="Y339" s="216"/>
      <x:c r="Z339" s="216"/>
    </x:row>
    <x:row r="340">
      <x:c r="A340" s="216"/>
      <x:c r="B340" s="216"/>
      <x:c r="C340" s="216"/>
      <x:c r="D340" s="216"/>
      <x:c r="E340" s="216"/>
      <x:c r="F340" s="216"/>
      <x:c r="G340" s="216"/>
      <x:c r="H340" s="216"/>
      <x:c r="I340" s="216"/>
      <x:c r="J340" s="216"/>
      <x:c r="K340" s="216"/>
      <x:c r="L340" s="216"/>
      <x:c r="M340" s="216"/>
      <x:c r="N340" s="216"/>
      <x:c r="O340" s="216"/>
      <x:c r="P340" s="216"/>
      <x:c r="Q340" s="216"/>
      <x:c r="R340" s="216"/>
      <x:c r="S340" s="216"/>
      <x:c r="T340" s="216"/>
      <x:c r="U340" s="216"/>
      <x:c r="V340" s="216"/>
      <x:c r="W340" s="216"/>
      <x:c r="X340" s="216"/>
      <x:c r="Y340" s="216"/>
      <x:c r="Z340" s="216"/>
    </x:row>
    <x:row r="341">
      <x:c r="A341" s="216"/>
      <x:c r="B341" s="216"/>
      <x:c r="C341" s="216"/>
      <x:c r="D341" s="216"/>
      <x:c r="E341" s="216"/>
      <x:c r="F341" s="216"/>
      <x:c r="G341" s="216"/>
      <x:c r="H341" s="216"/>
      <x:c r="I341" s="216"/>
      <x:c r="J341" s="216"/>
      <x:c r="K341" s="216"/>
      <x:c r="L341" s="216"/>
      <x:c r="M341" s="216"/>
      <x:c r="N341" s="216"/>
      <x:c r="O341" s="216"/>
      <x:c r="P341" s="216"/>
      <x:c r="Q341" s="216"/>
      <x:c r="R341" s="216"/>
      <x:c r="S341" s="216"/>
      <x:c r="T341" s="216"/>
      <x:c r="U341" s="216"/>
      <x:c r="V341" s="216"/>
      <x:c r="W341" s="216"/>
      <x:c r="X341" s="216"/>
      <x:c r="Y341" s="216"/>
      <x:c r="Z341" s="216"/>
    </x:row>
    <x:row r="342">
      <x:c r="A342" s="216"/>
      <x:c r="B342" s="216"/>
      <x:c r="C342" s="216"/>
      <x:c r="D342" s="216"/>
      <x:c r="E342" s="216"/>
      <x:c r="F342" s="216"/>
      <x:c r="G342" s="216"/>
      <x:c r="H342" s="216"/>
      <x:c r="I342" s="216"/>
      <x:c r="J342" s="216"/>
      <x:c r="K342" s="216"/>
      <x:c r="L342" s="216"/>
      <x:c r="M342" s="216"/>
      <x:c r="N342" s="216"/>
      <x:c r="O342" s="216"/>
      <x:c r="P342" s="216"/>
      <x:c r="Q342" s="216"/>
      <x:c r="R342" s="216"/>
      <x:c r="S342" s="216"/>
      <x:c r="T342" s="216"/>
      <x:c r="U342" s="216"/>
      <x:c r="V342" s="216"/>
      <x:c r="W342" s="216"/>
      <x:c r="X342" s="216"/>
      <x:c r="Y342" s="216"/>
      <x:c r="Z342" s="216"/>
    </x:row>
    <x:row r="343">
      <x:c r="A343" s="216"/>
      <x:c r="B343" s="216"/>
      <x:c r="C343" s="216"/>
      <x:c r="D343" s="216"/>
      <x:c r="E343" s="216"/>
      <x:c r="F343" s="216"/>
      <x:c r="G343" s="216"/>
      <x:c r="H343" s="216"/>
      <x:c r="I343" s="216"/>
      <x:c r="J343" s="216"/>
      <x:c r="K343" s="216"/>
      <x:c r="L343" s="216"/>
      <x:c r="M343" s="216"/>
      <x:c r="N343" s="216"/>
      <x:c r="O343" s="216"/>
      <x:c r="P343" s="216"/>
      <x:c r="Q343" s="216"/>
      <x:c r="R343" s="216"/>
      <x:c r="S343" s="216"/>
      <x:c r="T343" s="216"/>
      <x:c r="U343" s="216"/>
      <x:c r="V343" s="216"/>
      <x:c r="W343" s="216"/>
      <x:c r="X343" s="216"/>
      <x:c r="Y343" s="216"/>
      <x:c r="Z343" s="216"/>
    </x:row>
    <x:row r="344">
      <x:c r="A344" s="216"/>
      <x:c r="B344" s="216"/>
      <x:c r="C344" s="216"/>
      <x:c r="D344" s="216"/>
      <x:c r="E344" s="216"/>
      <x:c r="F344" s="216"/>
      <x:c r="G344" s="216"/>
      <x:c r="H344" s="216"/>
      <x:c r="I344" s="216"/>
      <x:c r="J344" s="216"/>
      <x:c r="K344" s="216"/>
      <x:c r="L344" s="216"/>
      <x:c r="M344" s="216"/>
      <x:c r="N344" s="216"/>
      <x:c r="O344" s="216"/>
      <x:c r="P344" s="216"/>
      <x:c r="Q344" s="216"/>
      <x:c r="R344" s="216"/>
      <x:c r="S344" s="216"/>
      <x:c r="T344" s="216"/>
      <x:c r="U344" s="216"/>
      <x:c r="V344" s="216"/>
      <x:c r="W344" s="216"/>
      <x:c r="X344" s="216"/>
      <x:c r="Y344" s="216"/>
      <x:c r="Z344" s="216"/>
    </x:row>
    <x:row r="345">
      <x:c r="A345" s="216"/>
      <x:c r="B345" s="216"/>
      <x:c r="C345" s="216"/>
      <x:c r="D345" s="216"/>
      <x:c r="E345" s="216"/>
      <x:c r="F345" s="216"/>
      <x:c r="G345" s="216"/>
      <x:c r="H345" s="216"/>
      <x:c r="I345" s="216"/>
      <x:c r="J345" s="216"/>
      <x:c r="K345" s="216"/>
      <x:c r="L345" s="216"/>
      <x:c r="M345" s="216"/>
      <x:c r="N345" s="216"/>
      <x:c r="O345" s="216"/>
      <x:c r="P345" s="216"/>
      <x:c r="Q345" s="216"/>
      <x:c r="R345" s="216"/>
      <x:c r="S345" s="216"/>
      <x:c r="T345" s="216"/>
      <x:c r="U345" s="216"/>
      <x:c r="V345" s="216"/>
      <x:c r="W345" s="216"/>
      <x:c r="X345" s="216"/>
      <x:c r="Y345" s="216"/>
      <x:c r="Z345" s="216"/>
    </x:row>
    <x:row r="346">
      <x:c r="A346" s="216"/>
      <x:c r="B346" s="216"/>
      <x:c r="C346" s="216"/>
      <x:c r="D346" s="216"/>
      <x:c r="E346" s="216"/>
      <x:c r="F346" s="216"/>
      <x:c r="G346" s="216"/>
      <x:c r="H346" s="216"/>
      <x:c r="I346" s="216"/>
      <x:c r="J346" s="216"/>
      <x:c r="K346" s="216"/>
      <x:c r="L346" s="216"/>
      <x:c r="M346" s="216"/>
      <x:c r="N346" s="216"/>
      <x:c r="O346" s="216"/>
      <x:c r="P346" s="216"/>
      <x:c r="Q346" s="216"/>
      <x:c r="R346" s="216"/>
      <x:c r="S346" s="216"/>
      <x:c r="T346" s="216"/>
      <x:c r="U346" s="216"/>
      <x:c r="V346" s="216"/>
      <x:c r="W346" s="216"/>
      <x:c r="X346" s="216"/>
      <x:c r="Y346" s="216"/>
      <x:c r="Z346" s="216"/>
    </x:row>
    <x:row r="347">
      <x:c r="A347" s="216"/>
      <x:c r="B347" s="216"/>
      <x:c r="C347" s="216"/>
      <x:c r="D347" s="216"/>
      <x:c r="E347" s="216"/>
      <x:c r="F347" s="216"/>
      <x:c r="G347" s="216"/>
      <x:c r="H347" s="216"/>
      <x:c r="I347" s="216"/>
      <x:c r="J347" s="216"/>
      <x:c r="K347" s="216"/>
      <x:c r="L347" s="216"/>
      <x:c r="M347" s="216"/>
      <x:c r="N347" s="216"/>
      <x:c r="O347" s="216"/>
      <x:c r="P347" s="216"/>
      <x:c r="Q347" s="216"/>
      <x:c r="R347" s="216"/>
      <x:c r="S347" s="216"/>
      <x:c r="T347" s="216"/>
      <x:c r="U347" s="216"/>
      <x:c r="V347" s="216"/>
      <x:c r="W347" s="216"/>
      <x:c r="X347" s="216"/>
      <x:c r="Y347" s="216"/>
      <x:c r="Z347" s="216"/>
    </x:row>
    <x:row r="348">
      <x:c r="A348" s="216"/>
      <x:c r="B348" s="216"/>
      <x:c r="C348" s="216"/>
      <x:c r="D348" s="216"/>
      <x:c r="E348" s="216"/>
      <x:c r="F348" s="216"/>
      <x:c r="G348" s="216"/>
      <x:c r="H348" s="216"/>
      <x:c r="I348" s="216"/>
      <x:c r="J348" s="216"/>
      <x:c r="K348" s="216"/>
      <x:c r="L348" s="216"/>
      <x:c r="M348" s="216"/>
      <x:c r="N348" s="216"/>
      <x:c r="O348" s="216"/>
      <x:c r="P348" s="216"/>
      <x:c r="Q348" s="216"/>
      <x:c r="R348" s="216"/>
      <x:c r="S348" s="216"/>
      <x:c r="T348" s="216"/>
      <x:c r="U348" s="216"/>
      <x:c r="V348" s="216"/>
      <x:c r="W348" s="216"/>
      <x:c r="X348" s="216"/>
      <x:c r="Y348" s="216"/>
      <x:c r="Z348" s="216"/>
    </x:row>
    <x:row r="349">
      <x:c r="A349" s="216"/>
      <x:c r="B349" s="216"/>
      <x:c r="C349" s="216"/>
      <x:c r="D349" s="216"/>
      <x:c r="E349" s="216"/>
      <x:c r="F349" s="216"/>
      <x:c r="G349" s="216"/>
      <x:c r="H349" s="216"/>
      <x:c r="I349" s="216"/>
      <x:c r="J349" s="216"/>
      <x:c r="K349" s="216"/>
      <x:c r="L349" s="216"/>
      <x:c r="M349" s="216"/>
      <x:c r="N349" s="216"/>
      <x:c r="O349" s="216"/>
      <x:c r="P349" s="216"/>
      <x:c r="Q349" s="216"/>
      <x:c r="R349" s="216"/>
      <x:c r="S349" s="216"/>
      <x:c r="T349" s="216"/>
      <x:c r="U349" s="216"/>
      <x:c r="V349" s="216"/>
      <x:c r="W349" s="216"/>
      <x:c r="X349" s="216"/>
      <x:c r="Y349" s="216"/>
      <x:c r="Z349" s="216"/>
    </x:row>
    <x:row r="350">
      <x:c r="A350" s="216"/>
      <x:c r="B350" s="216"/>
      <x:c r="C350" s="216"/>
      <x:c r="D350" s="216"/>
      <x:c r="E350" s="216"/>
      <x:c r="F350" s="216"/>
      <x:c r="G350" s="216"/>
      <x:c r="H350" s="216"/>
      <x:c r="I350" s="216"/>
      <x:c r="J350" s="216"/>
      <x:c r="K350" s="216"/>
      <x:c r="L350" s="216"/>
      <x:c r="M350" s="216"/>
      <x:c r="N350" s="216"/>
      <x:c r="O350" s="216"/>
      <x:c r="P350" s="216"/>
      <x:c r="Q350" s="216"/>
      <x:c r="R350" s="216"/>
      <x:c r="S350" s="216"/>
      <x:c r="T350" s="216"/>
      <x:c r="U350" s="216"/>
      <x:c r="V350" s="216"/>
      <x:c r="W350" s="216"/>
      <x:c r="X350" s="216"/>
      <x:c r="Y350" s="216"/>
      <x:c r="Z350" s="216"/>
    </x:row>
    <x:row r="351">
      <x:c r="A351" s="216"/>
      <x:c r="B351" s="216"/>
      <x:c r="C351" s="216"/>
      <x:c r="D351" s="216"/>
      <x:c r="E351" s="216"/>
      <x:c r="F351" s="216"/>
      <x:c r="G351" s="216"/>
      <x:c r="H351" s="216"/>
      <x:c r="I351" s="216"/>
      <x:c r="J351" s="216"/>
      <x:c r="K351" s="216"/>
      <x:c r="L351" s="216"/>
      <x:c r="M351" s="216"/>
      <x:c r="N351" s="216"/>
      <x:c r="O351" s="216"/>
      <x:c r="P351" s="216"/>
      <x:c r="Q351" s="216"/>
      <x:c r="R351" s="216"/>
      <x:c r="S351" s="216"/>
      <x:c r="T351" s="216"/>
      <x:c r="U351" s="216"/>
      <x:c r="V351" s="216"/>
      <x:c r="W351" s="216"/>
      <x:c r="X351" s="216"/>
      <x:c r="Y351" s="216"/>
      <x:c r="Z351" s="216"/>
    </x:row>
    <x:row r="352">
      <x:c r="A352" s="216"/>
      <x:c r="B352" s="216"/>
      <x:c r="C352" s="216"/>
      <x:c r="D352" s="216"/>
      <x:c r="E352" s="216"/>
      <x:c r="F352" s="216"/>
      <x:c r="G352" s="216"/>
      <x:c r="H352" s="216"/>
      <x:c r="I352" s="216"/>
      <x:c r="J352" s="216"/>
      <x:c r="K352" s="216"/>
      <x:c r="L352" s="216"/>
      <x:c r="M352" s="216"/>
      <x:c r="N352" s="216"/>
      <x:c r="O352" s="216"/>
      <x:c r="P352" s="216"/>
      <x:c r="Q352" s="216"/>
      <x:c r="R352" s="216"/>
      <x:c r="S352" s="216"/>
      <x:c r="T352" s="216"/>
      <x:c r="U352" s="216"/>
      <x:c r="V352" s="216"/>
      <x:c r="W352" s="216"/>
      <x:c r="X352" s="216"/>
      <x:c r="Y352" s="216"/>
      <x:c r="Z352" s="216"/>
    </x:row>
    <x:row r="353">
      <x:c r="A353" s="216"/>
      <x:c r="B353" s="216"/>
      <x:c r="C353" s="216"/>
      <x:c r="D353" s="216"/>
      <x:c r="E353" s="216"/>
      <x:c r="F353" s="216"/>
      <x:c r="G353" s="216"/>
      <x:c r="H353" s="216"/>
      <x:c r="I353" s="216"/>
      <x:c r="J353" s="216"/>
      <x:c r="K353" s="216"/>
      <x:c r="L353" s="216"/>
      <x:c r="M353" s="216"/>
      <x:c r="N353" s="216"/>
      <x:c r="O353" s="216"/>
      <x:c r="P353" s="216"/>
      <x:c r="Q353" s="216"/>
      <x:c r="R353" s="216"/>
      <x:c r="S353" s="216"/>
      <x:c r="T353" s="216"/>
      <x:c r="U353" s="216"/>
      <x:c r="V353" s="216"/>
      <x:c r="W353" s="216"/>
      <x:c r="X353" s="216"/>
      <x:c r="Y353" s="216"/>
      <x:c r="Z353" s="216"/>
    </x:row>
    <x:row r="354">
      <x:c r="A354" s="216"/>
      <x:c r="B354" s="216"/>
      <x:c r="C354" s="216"/>
      <x:c r="D354" s="216"/>
      <x:c r="E354" s="216"/>
      <x:c r="F354" s="216"/>
      <x:c r="G354" s="216"/>
      <x:c r="H354" s="216"/>
      <x:c r="I354" s="216"/>
      <x:c r="J354" s="216"/>
      <x:c r="K354" s="216"/>
      <x:c r="L354" s="216"/>
      <x:c r="M354" s="216"/>
      <x:c r="N354" s="216"/>
      <x:c r="O354" s="216"/>
      <x:c r="P354" s="216"/>
      <x:c r="Q354" s="216"/>
      <x:c r="R354" s="216"/>
      <x:c r="S354" s="216"/>
      <x:c r="T354" s="216"/>
      <x:c r="U354" s="216"/>
      <x:c r="V354" s="216"/>
      <x:c r="W354" s="216"/>
      <x:c r="X354" s="216"/>
      <x:c r="Y354" s="216"/>
      <x:c r="Z354" s="216"/>
    </x:row>
    <x:row r="355">
      <x:c r="A355" s="216"/>
      <x:c r="B355" s="216"/>
      <x:c r="C355" s="216"/>
      <x:c r="D355" s="216"/>
      <x:c r="E355" s="216"/>
      <x:c r="F355" s="216"/>
      <x:c r="G355" s="216"/>
      <x:c r="H355" s="216"/>
      <x:c r="I355" s="216"/>
      <x:c r="J355" s="216"/>
      <x:c r="K355" s="216"/>
      <x:c r="L355" s="216"/>
      <x:c r="M355" s="216"/>
      <x:c r="N355" s="216"/>
      <x:c r="O355" s="216"/>
      <x:c r="P355" s="216"/>
      <x:c r="Q355" s="216"/>
      <x:c r="R355" s="216"/>
      <x:c r="S355" s="216"/>
      <x:c r="T355" s="216"/>
      <x:c r="U355" s="216"/>
      <x:c r="V355" s="216"/>
      <x:c r="W355" s="216"/>
      <x:c r="X355" s="216"/>
      <x:c r="Y355" s="216"/>
      <x:c r="Z355" s="216"/>
    </x:row>
    <x:row r="356">
      <x:c r="A356" s="216"/>
      <x:c r="B356" s="216"/>
      <x:c r="C356" s="216"/>
      <x:c r="D356" s="216"/>
      <x:c r="E356" s="216"/>
      <x:c r="F356" s="216"/>
      <x:c r="G356" s="216"/>
      <x:c r="H356" s="216"/>
      <x:c r="I356" s="216"/>
      <x:c r="J356" s="216"/>
      <x:c r="K356" s="216"/>
      <x:c r="L356" s="216"/>
      <x:c r="M356" s="216"/>
      <x:c r="N356" s="216"/>
      <x:c r="O356" s="216"/>
      <x:c r="P356" s="216"/>
      <x:c r="Q356" s="216"/>
      <x:c r="R356" s="216"/>
      <x:c r="S356" s="216"/>
      <x:c r="T356" s="216"/>
      <x:c r="U356" s="216"/>
      <x:c r="V356" s="216"/>
      <x:c r="W356" s="216"/>
      <x:c r="X356" s="216"/>
      <x:c r="Y356" s="216"/>
      <x:c r="Z356" s="216"/>
    </x:row>
    <x:row r="357">
      <x:c r="A357" s="216"/>
      <x:c r="B357" s="216"/>
      <x:c r="C357" s="216"/>
      <x:c r="D357" s="216"/>
      <x:c r="E357" s="216"/>
      <x:c r="F357" s="216"/>
      <x:c r="G357" s="216"/>
      <x:c r="H357" s="216"/>
      <x:c r="I357" s="216"/>
      <x:c r="J357" s="216"/>
      <x:c r="K357" s="216"/>
      <x:c r="L357" s="216"/>
      <x:c r="M357" s="216"/>
      <x:c r="N357" s="216"/>
      <x:c r="O357" s="216"/>
      <x:c r="P357" s="216"/>
      <x:c r="Q357" s="216"/>
      <x:c r="R357" s="216"/>
      <x:c r="S357" s="216"/>
      <x:c r="T357" s="216"/>
      <x:c r="U357" s="216"/>
      <x:c r="V357" s="216"/>
      <x:c r="W357" s="216"/>
      <x:c r="X357" s="216"/>
      <x:c r="Y357" s="216"/>
      <x:c r="Z357" s="216"/>
    </x:row>
    <x:row r="358">
      <x:c r="A358" s="216"/>
      <x:c r="B358" s="216"/>
      <x:c r="C358" s="216"/>
      <x:c r="D358" s="216"/>
      <x:c r="E358" s="216"/>
      <x:c r="F358" s="216"/>
      <x:c r="G358" s="216"/>
      <x:c r="H358" s="216"/>
      <x:c r="I358" s="216"/>
      <x:c r="J358" s="216"/>
      <x:c r="K358" s="216"/>
      <x:c r="L358" s="216"/>
      <x:c r="M358" s="216"/>
      <x:c r="N358" s="216"/>
      <x:c r="O358" s="216"/>
      <x:c r="P358" s="216"/>
      <x:c r="Q358" s="216"/>
      <x:c r="R358" s="216"/>
      <x:c r="S358" s="216"/>
      <x:c r="T358" s="216"/>
      <x:c r="U358" s="216"/>
      <x:c r="V358" s="216"/>
      <x:c r="W358" s="216"/>
      <x:c r="X358" s="216"/>
      <x:c r="Y358" s="216"/>
      <x:c r="Z358" s="216"/>
    </x:row>
    <x:row r="359">
      <x:c r="A359" s="216"/>
      <x:c r="B359" s="216"/>
      <x:c r="C359" s="216"/>
      <x:c r="D359" s="216"/>
      <x:c r="E359" s="216"/>
      <x:c r="F359" s="216"/>
      <x:c r="G359" s="216"/>
      <x:c r="H359" s="216"/>
      <x:c r="I359" s="216"/>
      <x:c r="J359" s="216"/>
      <x:c r="K359" s="216"/>
      <x:c r="L359" s="216"/>
      <x:c r="M359" s="216"/>
      <x:c r="N359" s="216"/>
      <x:c r="O359" s="216"/>
      <x:c r="P359" s="216"/>
      <x:c r="Q359" s="216"/>
      <x:c r="R359" s="216"/>
      <x:c r="S359" s="216"/>
      <x:c r="T359" s="216"/>
      <x:c r="U359" s="216"/>
      <x:c r="V359" s="216"/>
      <x:c r="W359" s="216"/>
      <x:c r="X359" s="216"/>
      <x:c r="Y359" s="216"/>
      <x:c r="Z359" s="216"/>
    </x:row>
    <x:row r="360">
      <x:c r="A360" s="216"/>
      <x:c r="B360" s="216"/>
      <x:c r="C360" s="216"/>
      <x:c r="D360" s="216"/>
      <x:c r="E360" s="216"/>
      <x:c r="F360" s="216"/>
      <x:c r="G360" s="216"/>
      <x:c r="H360" s="216"/>
      <x:c r="I360" s="216"/>
      <x:c r="J360" s="216"/>
      <x:c r="K360" s="216"/>
      <x:c r="L360" s="216"/>
      <x:c r="M360" s="216"/>
      <x:c r="N360" s="216"/>
      <x:c r="O360" s="216"/>
      <x:c r="P360" s="216"/>
      <x:c r="Q360" s="216"/>
      <x:c r="R360" s="216"/>
      <x:c r="S360" s="216"/>
      <x:c r="T360" s="216"/>
      <x:c r="U360" s="216"/>
      <x:c r="V360" s="216"/>
      <x:c r="W360" s="216"/>
      <x:c r="X360" s="216"/>
      <x:c r="Y360" s="216"/>
      <x:c r="Z360" s="216"/>
    </x:row>
    <x:row r="361">
      <x:c r="A361" s="216"/>
      <x:c r="B361" s="216"/>
      <x:c r="C361" s="216"/>
      <x:c r="D361" s="216"/>
      <x:c r="E361" s="216"/>
      <x:c r="F361" s="216"/>
      <x:c r="G361" s="216"/>
      <x:c r="H361" s="216"/>
      <x:c r="I361" s="216"/>
      <x:c r="J361" s="216"/>
      <x:c r="K361" s="216"/>
      <x:c r="L361" s="216"/>
      <x:c r="M361" s="216"/>
      <x:c r="N361" s="216"/>
      <x:c r="O361" s="216"/>
      <x:c r="P361" s="216"/>
      <x:c r="Q361" s="216"/>
      <x:c r="R361" s="216"/>
      <x:c r="S361" s="216"/>
      <x:c r="T361" s="216"/>
      <x:c r="U361" s="216"/>
      <x:c r="V361" s="216"/>
      <x:c r="W361" s="216"/>
      <x:c r="X361" s="216"/>
      <x:c r="Y361" s="216"/>
      <x:c r="Z361" s="216"/>
    </x:row>
    <x:row r="362">
      <x:c r="A362" s="216"/>
      <x:c r="B362" s="216"/>
      <x:c r="C362" s="216"/>
      <x:c r="D362" s="216"/>
      <x:c r="E362" s="216"/>
      <x:c r="F362" s="216"/>
      <x:c r="G362" s="216"/>
      <x:c r="H362" s="216"/>
      <x:c r="I362" s="216"/>
      <x:c r="J362" s="216"/>
      <x:c r="K362" s="216"/>
      <x:c r="L362" s="216"/>
      <x:c r="M362" s="216"/>
      <x:c r="N362" s="216"/>
      <x:c r="O362" s="216"/>
      <x:c r="P362" s="216"/>
      <x:c r="Q362" s="216"/>
      <x:c r="R362" s="216"/>
      <x:c r="S362" s="216"/>
      <x:c r="T362" s="216"/>
      <x:c r="U362" s="216"/>
      <x:c r="V362" s="216"/>
      <x:c r="W362" s="216"/>
      <x:c r="X362" s="216"/>
      <x:c r="Y362" s="216"/>
      <x:c r="Z362" s="216"/>
    </x:row>
    <x:row r="363">
      <x:c r="A363" s="216"/>
      <x:c r="B363" s="216"/>
      <x:c r="C363" s="216"/>
      <x:c r="D363" s="216"/>
      <x:c r="E363" s="216"/>
      <x:c r="F363" s="216"/>
      <x:c r="G363" s="216"/>
      <x:c r="H363" s="216"/>
      <x:c r="I363" s="216"/>
      <x:c r="J363" s="216"/>
      <x:c r="K363" s="216"/>
      <x:c r="L363" s="216"/>
      <x:c r="M363" s="216"/>
      <x:c r="N363" s="216"/>
      <x:c r="O363" s="216"/>
      <x:c r="P363" s="216"/>
      <x:c r="Q363" s="216"/>
      <x:c r="R363" s="216"/>
      <x:c r="S363" s="216"/>
      <x:c r="T363" s="216"/>
      <x:c r="U363" s="216"/>
      <x:c r="V363" s="216"/>
      <x:c r="W363" s="216"/>
      <x:c r="X363" s="216"/>
      <x:c r="Y363" s="216"/>
      <x:c r="Z363" s="216"/>
    </x:row>
    <x:row r="364">
      <x:c r="A364" s="216"/>
      <x:c r="B364" s="216"/>
      <x:c r="C364" s="216"/>
      <x:c r="D364" s="216"/>
      <x:c r="E364" s="216"/>
      <x:c r="F364" s="216"/>
      <x:c r="G364" s="216"/>
      <x:c r="H364" s="216"/>
      <x:c r="I364" s="216"/>
      <x:c r="J364" s="216"/>
      <x:c r="K364" s="216"/>
      <x:c r="L364" s="216"/>
      <x:c r="M364" s="216"/>
      <x:c r="N364" s="216"/>
      <x:c r="O364" s="216"/>
      <x:c r="P364" s="216"/>
      <x:c r="Q364" s="216"/>
      <x:c r="R364" s="216"/>
      <x:c r="S364" s="216"/>
      <x:c r="T364" s="216"/>
      <x:c r="U364" s="216"/>
      <x:c r="V364" s="216"/>
      <x:c r="W364" s="216"/>
      <x:c r="X364" s="216"/>
      <x:c r="Y364" s="216"/>
      <x:c r="Z364" s="216"/>
    </x:row>
    <x:row r="365">
      <x:c r="A365" s="216"/>
      <x:c r="B365" s="216"/>
      <x:c r="C365" s="216"/>
      <x:c r="D365" s="216"/>
      <x:c r="E365" s="216"/>
      <x:c r="F365" s="216"/>
      <x:c r="G365" s="216"/>
      <x:c r="H365" s="216"/>
      <x:c r="I365" s="216"/>
      <x:c r="J365" s="216"/>
      <x:c r="K365" s="216"/>
      <x:c r="L365" s="216"/>
      <x:c r="M365" s="216"/>
      <x:c r="N365" s="216"/>
      <x:c r="O365" s="216"/>
      <x:c r="P365" s="216"/>
      <x:c r="Q365" s="216"/>
      <x:c r="R365" s="216"/>
      <x:c r="S365" s="216"/>
      <x:c r="T365" s="216"/>
      <x:c r="U365" s="216"/>
      <x:c r="V365" s="216"/>
      <x:c r="W365" s="216"/>
      <x:c r="X365" s="216"/>
      <x:c r="Y365" s="216"/>
      <x:c r="Z365" s="216"/>
    </x:row>
    <x:row r="366">
      <x:c r="A366" s="216"/>
      <x:c r="B366" s="216"/>
      <x:c r="C366" s="216"/>
      <x:c r="D366" s="216"/>
      <x:c r="E366" s="216"/>
      <x:c r="F366" s="216"/>
      <x:c r="G366" s="216"/>
      <x:c r="H366" s="216"/>
      <x:c r="I366" s="216"/>
      <x:c r="J366" s="216"/>
      <x:c r="K366" s="216"/>
      <x:c r="L366" s="216"/>
      <x:c r="M366" s="216"/>
      <x:c r="N366" s="216"/>
      <x:c r="O366" s="216"/>
      <x:c r="P366" s="216"/>
      <x:c r="Q366" s="216"/>
      <x:c r="R366" s="216"/>
      <x:c r="S366" s="216"/>
      <x:c r="T366" s="216"/>
      <x:c r="U366" s="216"/>
      <x:c r="V366" s="216"/>
      <x:c r="W366" s="216"/>
      <x:c r="X366" s="216"/>
      <x:c r="Y366" s="216"/>
      <x:c r="Z366" s="216"/>
    </x:row>
    <x:row r="367">
      <x:c r="A367" s="216"/>
      <x:c r="B367" s="216"/>
      <x:c r="C367" s="216"/>
      <x:c r="D367" s="216"/>
      <x:c r="E367" s="216"/>
      <x:c r="F367" s="216"/>
      <x:c r="G367" s="216"/>
      <x:c r="H367" s="216"/>
      <x:c r="I367" s="216"/>
      <x:c r="J367" s="216"/>
      <x:c r="K367" s="216"/>
      <x:c r="L367" s="216"/>
      <x:c r="M367" s="216"/>
      <x:c r="N367" s="216"/>
      <x:c r="O367" s="216"/>
      <x:c r="P367" s="216"/>
      <x:c r="Q367" s="216"/>
      <x:c r="R367" s="216"/>
      <x:c r="S367" s="216"/>
      <x:c r="T367" s="216"/>
      <x:c r="U367" s="216"/>
      <x:c r="V367" s="216"/>
      <x:c r="W367" s="216"/>
      <x:c r="X367" s="216"/>
      <x:c r="Y367" s="216"/>
      <x:c r="Z367" s="216"/>
    </x:row>
    <x:row r="368">
      <x:c r="A368" s="216"/>
      <x:c r="B368" s="216"/>
      <x:c r="C368" s="216"/>
      <x:c r="D368" s="216"/>
      <x:c r="E368" s="216"/>
      <x:c r="F368" s="216"/>
      <x:c r="G368" s="216"/>
      <x:c r="H368" s="216"/>
      <x:c r="I368" s="216"/>
      <x:c r="J368" s="216"/>
      <x:c r="K368" s="216"/>
      <x:c r="L368" s="216"/>
      <x:c r="M368" s="216"/>
      <x:c r="N368" s="216"/>
      <x:c r="O368" s="216"/>
      <x:c r="P368" s="216"/>
      <x:c r="Q368" s="216"/>
      <x:c r="R368" s="216"/>
      <x:c r="S368" s="216"/>
      <x:c r="T368" s="216"/>
      <x:c r="U368" s="216"/>
      <x:c r="V368" s="216"/>
      <x:c r="W368" s="216"/>
      <x:c r="X368" s="216"/>
      <x:c r="Y368" s="216"/>
      <x:c r="Z368" s="216"/>
    </x:row>
    <x:row r="369">
      <x:c r="A369" s="216"/>
      <x:c r="B369" s="216"/>
      <x:c r="C369" s="216"/>
      <x:c r="D369" s="216"/>
      <x:c r="E369" s="216"/>
      <x:c r="F369" s="216"/>
      <x:c r="G369" s="216"/>
      <x:c r="H369" s="216"/>
      <x:c r="I369" s="216"/>
      <x:c r="J369" s="216"/>
      <x:c r="K369" s="216"/>
      <x:c r="L369" s="216"/>
      <x:c r="M369" s="216"/>
      <x:c r="N369" s="216"/>
      <x:c r="O369" s="216"/>
      <x:c r="P369" s="216"/>
      <x:c r="Q369" s="216"/>
      <x:c r="R369" s="216"/>
      <x:c r="S369" s="216"/>
      <x:c r="T369" s="216"/>
      <x:c r="U369" s="216"/>
      <x:c r="V369" s="216"/>
      <x:c r="W369" s="216"/>
      <x:c r="X369" s="216"/>
      <x:c r="Y369" s="216"/>
      <x:c r="Z369" s="216"/>
    </x:row>
    <x:row r="370">
      <x:c r="A370" s="216"/>
      <x:c r="B370" s="216"/>
      <x:c r="C370" s="216"/>
      <x:c r="D370" s="216"/>
      <x:c r="E370" s="216"/>
      <x:c r="F370" s="216"/>
      <x:c r="G370" s="216"/>
      <x:c r="H370" s="216"/>
      <x:c r="I370" s="216"/>
      <x:c r="J370" s="216"/>
      <x:c r="K370" s="216"/>
      <x:c r="L370" s="216"/>
      <x:c r="M370" s="216"/>
      <x:c r="N370" s="216"/>
      <x:c r="O370" s="216"/>
      <x:c r="P370" s="216"/>
      <x:c r="Q370" s="216"/>
      <x:c r="R370" s="216"/>
      <x:c r="S370" s="216"/>
      <x:c r="T370" s="216"/>
      <x:c r="U370" s="216"/>
      <x:c r="V370" s="216"/>
      <x:c r="W370" s="216"/>
      <x:c r="X370" s="216"/>
      <x:c r="Y370" s="216"/>
      <x:c r="Z370" s="216"/>
    </x:row>
    <x:row r="371">
      <x:c r="A371" s="216"/>
      <x:c r="B371" s="216"/>
      <x:c r="C371" s="216"/>
      <x:c r="D371" s="216"/>
      <x:c r="E371" s="216"/>
      <x:c r="F371" s="216"/>
      <x:c r="G371" s="216"/>
      <x:c r="H371" s="216"/>
      <x:c r="I371" s="216"/>
      <x:c r="J371" s="216"/>
      <x:c r="K371" s="216"/>
      <x:c r="L371" s="216"/>
      <x:c r="M371" s="216"/>
      <x:c r="N371" s="216"/>
      <x:c r="O371" s="216"/>
      <x:c r="P371" s="216"/>
      <x:c r="Q371" s="216"/>
      <x:c r="R371" s="216"/>
      <x:c r="S371" s="216"/>
      <x:c r="T371" s="216"/>
      <x:c r="U371" s="216"/>
      <x:c r="V371" s="216"/>
      <x:c r="W371" s="216"/>
      <x:c r="X371" s="216"/>
      <x:c r="Y371" s="216"/>
      <x:c r="Z371" s="216"/>
    </x:row>
    <x:row r="372">
      <x:c r="A372" s="216"/>
      <x:c r="B372" s="216"/>
      <x:c r="C372" s="216"/>
      <x:c r="D372" s="216"/>
      <x:c r="E372" s="216"/>
      <x:c r="F372" s="216"/>
      <x:c r="G372" s="216"/>
      <x:c r="H372" s="216"/>
      <x:c r="I372" s="216"/>
      <x:c r="J372" s="216"/>
      <x:c r="K372" s="216"/>
      <x:c r="L372" s="216"/>
      <x:c r="M372" s="216"/>
      <x:c r="N372" s="216"/>
      <x:c r="O372" s="216"/>
      <x:c r="P372" s="216"/>
      <x:c r="Q372" s="216"/>
      <x:c r="R372" s="216"/>
      <x:c r="S372" s="216"/>
      <x:c r="T372" s="216"/>
      <x:c r="U372" s="216"/>
      <x:c r="V372" s="216"/>
      <x:c r="W372" s="216"/>
      <x:c r="X372" s="216"/>
      <x:c r="Y372" s="216"/>
      <x:c r="Z372" s="216"/>
    </x:row>
    <x:row r="373">
      <x:c r="A373" s="216"/>
      <x:c r="B373" s="216"/>
      <x:c r="C373" s="216"/>
      <x:c r="D373" s="216"/>
      <x:c r="E373" s="216"/>
      <x:c r="F373" s="216"/>
      <x:c r="G373" s="216"/>
      <x:c r="H373" s="216"/>
      <x:c r="I373" s="216"/>
      <x:c r="J373" s="216"/>
      <x:c r="K373" s="216"/>
      <x:c r="L373" s="216"/>
      <x:c r="M373" s="216"/>
      <x:c r="N373" s="216"/>
      <x:c r="O373" s="216"/>
      <x:c r="P373" s="216"/>
      <x:c r="Q373" s="216"/>
      <x:c r="R373" s="216"/>
      <x:c r="S373" s="216"/>
      <x:c r="T373" s="216"/>
      <x:c r="U373" s="216"/>
      <x:c r="V373" s="216"/>
      <x:c r="W373" s="216"/>
      <x:c r="X373" s="216"/>
      <x:c r="Y373" s="216"/>
      <x:c r="Z373" s="216"/>
    </x:row>
    <x:row r="374">
      <x:c r="A374" s="216"/>
      <x:c r="B374" s="216"/>
      <x:c r="C374" s="216"/>
      <x:c r="D374" s="216"/>
      <x:c r="E374" s="216"/>
      <x:c r="F374" s="216"/>
      <x:c r="G374" s="216"/>
      <x:c r="H374" s="216"/>
      <x:c r="I374" s="216"/>
      <x:c r="J374" s="216"/>
      <x:c r="K374" s="216"/>
      <x:c r="L374" s="216"/>
      <x:c r="M374" s="216"/>
      <x:c r="N374" s="216"/>
      <x:c r="O374" s="216"/>
      <x:c r="P374" s="216"/>
      <x:c r="Q374" s="216"/>
      <x:c r="R374" s="216"/>
      <x:c r="S374" s="216"/>
      <x:c r="T374" s="216"/>
      <x:c r="U374" s="216"/>
      <x:c r="V374" s="216"/>
      <x:c r="W374" s="216"/>
      <x:c r="X374" s="216"/>
      <x:c r="Y374" s="216"/>
      <x:c r="Z374" s="216"/>
    </x:row>
    <x:row r="375">
      <x:c r="A375" s="216"/>
      <x:c r="B375" s="216"/>
      <x:c r="C375" s="216"/>
      <x:c r="D375" s="216"/>
      <x:c r="E375" s="216"/>
      <x:c r="F375" s="216"/>
      <x:c r="G375" s="216"/>
      <x:c r="H375" s="216"/>
      <x:c r="I375" s="216"/>
      <x:c r="J375" s="216"/>
      <x:c r="K375" s="216"/>
      <x:c r="L375" s="216"/>
      <x:c r="M375" s="216"/>
      <x:c r="N375" s="216"/>
      <x:c r="O375" s="216"/>
      <x:c r="P375" s="216"/>
      <x:c r="Q375" s="216"/>
      <x:c r="R375" s="216"/>
      <x:c r="S375" s="216"/>
      <x:c r="T375" s="216"/>
      <x:c r="U375" s="216"/>
      <x:c r="V375" s="216"/>
      <x:c r="W375" s="216"/>
      <x:c r="X375" s="216"/>
      <x:c r="Y375" s="216"/>
      <x:c r="Z375" s="216"/>
    </x:row>
    <x:row r="376">
      <x:c r="A376" s="216"/>
      <x:c r="B376" s="216"/>
      <x:c r="C376" s="216"/>
      <x:c r="D376" s="216"/>
      <x:c r="E376" s="216"/>
      <x:c r="F376" s="216"/>
      <x:c r="G376" s="216"/>
      <x:c r="H376" s="216"/>
      <x:c r="I376" s="216"/>
      <x:c r="J376" s="216"/>
      <x:c r="K376" s="216"/>
      <x:c r="L376" s="216"/>
      <x:c r="M376" s="216"/>
      <x:c r="N376" s="216"/>
      <x:c r="O376" s="216"/>
      <x:c r="P376" s="216"/>
      <x:c r="Q376" s="216"/>
      <x:c r="R376" s="216"/>
      <x:c r="S376" s="216"/>
      <x:c r="T376" s="216"/>
      <x:c r="U376" s="216"/>
      <x:c r="V376" s="216"/>
      <x:c r="W376" s="216"/>
      <x:c r="X376" s="216"/>
      <x:c r="Y376" s="216"/>
      <x:c r="Z376" s="216"/>
    </x:row>
    <x:row r="377">
      <x:c r="A377" s="216"/>
      <x:c r="B377" s="216"/>
      <x:c r="C377" s="216"/>
      <x:c r="D377" s="216"/>
      <x:c r="E377" s="216"/>
      <x:c r="F377" s="216"/>
      <x:c r="G377" s="216"/>
      <x:c r="H377" s="216"/>
      <x:c r="I377" s="216"/>
      <x:c r="J377" s="216"/>
      <x:c r="K377" s="216"/>
      <x:c r="L377" s="216"/>
      <x:c r="M377" s="216"/>
      <x:c r="N377" s="216"/>
      <x:c r="O377" s="216"/>
      <x:c r="P377" s="216"/>
      <x:c r="Q377" s="216"/>
      <x:c r="R377" s="216"/>
      <x:c r="S377" s="216"/>
      <x:c r="T377" s="216"/>
      <x:c r="U377" s="216"/>
      <x:c r="V377" s="216"/>
      <x:c r="W377" s="216"/>
      <x:c r="X377" s="216"/>
      <x:c r="Y377" s="216"/>
      <x:c r="Z377" s="216"/>
    </x:row>
    <x:row r="378">
      <x:c r="A378" s="216"/>
      <x:c r="B378" s="216"/>
      <x:c r="C378" s="216"/>
      <x:c r="D378" s="216"/>
      <x:c r="E378" s="216"/>
      <x:c r="F378" s="216"/>
      <x:c r="G378" s="216"/>
      <x:c r="H378" s="216"/>
      <x:c r="I378" s="216"/>
      <x:c r="J378" s="216"/>
      <x:c r="K378" s="216"/>
      <x:c r="L378" s="216"/>
      <x:c r="M378" s="216"/>
      <x:c r="N378" s="216"/>
      <x:c r="O378" s="216"/>
      <x:c r="P378" s="216"/>
      <x:c r="Q378" s="216"/>
      <x:c r="R378" s="216"/>
      <x:c r="S378" s="216"/>
      <x:c r="T378" s="216"/>
      <x:c r="U378" s="216"/>
      <x:c r="V378" s="216"/>
      <x:c r="W378" s="216"/>
      <x:c r="X378" s="216"/>
      <x:c r="Y378" s="216"/>
      <x:c r="Z378" s="216"/>
    </x:row>
    <x:row r="379">
      <x:c r="A379" s="216"/>
      <x:c r="B379" s="216"/>
      <x:c r="C379" s="216"/>
      <x:c r="D379" s="216"/>
      <x:c r="E379" s="216"/>
      <x:c r="F379" s="216"/>
      <x:c r="G379" s="216"/>
      <x:c r="H379" s="216"/>
      <x:c r="I379" s="216"/>
      <x:c r="J379" s="216"/>
      <x:c r="K379" s="216"/>
      <x:c r="L379" s="216"/>
      <x:c r="M379" s="216"/>
      <x:c r="N379" s="216"/>
      <x:c r="O379" s="216"/>
      <x:c r="P379" s="216"/>
      <x:c r="Q379" s="216"/>
      <x:c r="R379" s="216"/>
      <x:c r="S379" s="216"/>
      <x:c r="T379" s="216"/>
      <x:c r="U379" s="216"/>
      <x:c r="V379" s="216"/>
      <x:c r="W379" s="216"/>
      <x:c r="X379" s="216"/>
      <x:c r="Y379" s="216"/>
      <x:c r="Z379" s="216"/>
    </x:row>
    <x:row r="380">
      <x:c r="A380" s="216"/>
      <x:c r="B380" s="216"/>
      <x:c r="C380" s="216"/>
      <x:c r="D380" s="216"/>
      <x:c r="E380" s="216"/>
      <x:c r="F380" s="216"/>
      <x:c r="G380" s="216"/>
      <x:c r="H380" s="216"/>
      <x:c r="I380" s="216"/>
      <x:c r="J380" s="216"/>
      <x:c r="K380" s="216"/>
      <x:c r="L380" s="216"/>
      <x:c r="M380" s="216"/>
      <x:c r="N380" s="216"/>
      <x:c r="O380" s="216"/>
      <x:c r="P380" s="216"/>
      <x:c r="Q380" s="216"/>
      <x:c r="R380" s="216"/>
      <x:c r="S380" s="216"/>
      <x:c r="T380" s="216"/>
      <x:c r="U380" s="216"/>
      <x:c r="V380" s="216"/>
      <x:c r="W380" s="216"/>
      <x:c r="X380" s="216"/>
      <x:c r="Y380" s="216"/>
      <x:c r="Z380" s="216"/>
    </x:row>
    <x:row r="381">
      <x:c r="A381" s="216"/>
      <x:c r="B381" s="216"/>
      <x:c r="C381" s="216"/>
      <x:c r="D381" s="216"/>
      <x:c r="E381" s="216"/>
      <x:c r="F381" s="216"/>
      <x:c r="G381" s="216"/>
      <x:c r="H381" s="216"/>
      <x:c r="I381" s="216"/>
      <x:c r="J381" s="216"/>
      <x:c r="K381" s="216"/>
      <x:c r="L381" s="216"/>
      <x:c r="M381" s="216"/>
      <x:c r="N381" s="216"/>
      <x:c r="O381" s="216"/>
      <x:c r="P381" s="216"/>
      <x:c r="Q381" s="216"/>
      <x:c r="R381" s="216"/>
      <x:c r="S381" s="216"/>
      <x:c r="T381" s="216"/>
      <x:c r="U381" s="216"/>
      <x:c r="V381" s="216"/>
      <x:c r="W381" s="216"/>
      <x:c r="X381" s="216"/>
      <x:c r="Y381" s="216"/>
      <x:c r="Z381" s="216"/>
    </x:row>
    <x:row r="382">
      <x:c r="A382" s="216"/>
      <x:c r="B382" s="216"/>
      <x:c r="C382" s="216"/>
      <x:c r="D382" s="216"/>
      <x:c r="E382" s="216"/>
      <x:c r="F382" s="216"/>
      <x:c r="G382" s="216"/>
      <x:c r="H382" s="216"/>
      <x:c r="I382" s="216"/>
      <x:c r="J382" s="216"/>
      <x:c r="K382" s="216"/>
      <x:c r="L382" s="216"/>
      <x:c r="M382" s="216"/>
      <x:c r="N382" s="216"/>
      <x:c r="O382" s="216"/>
      <x:c r="P382" s="216"/>
      <x:c r="Q382" s="216"/>
      <x:c r="R382" s="216"/>
      <x:c r="S382" s="216"/>
      <x:c r="T382" s="216"/>
      <x:c r="U382" s="216"/>
      <x:c r="V382" s="216"/>
      <x:c r="W382" s="216"/>
      <x:c r="X382" s="216"/>
      <x:c r="Y382" s="216"/>
      <x:c r="Z382" s="216"/>
    </x:row>
    <x:row r="383">
      <x:c r="A383" s="216"/>
      <x:c r="B383" s="216"/>
      <x:c r="C383" s="216"/>
      <x:c r="D383" s="216"/>
      <x:c r="E383" s="216"/>
      <x:c r="F383" s="216"/>
      <x:c r="G383" s="216"/>
      <x:c r="H383" s="216"/>
      <x:c r="I383" s="216"/>
      <x:c r="J383" s="216"/>
      <x:c r="K383" s="216"/>
      <x:c r="L383" s="216"/>
      <x:c r="M383" s="216"/>
      <x:c r="N383" s="216"/>
      <x:c r="O383" s="216"/>
      <x:c r="P383" s="216"/>
      <x:c r="Q383" s="216"/>
      <x:c r="R383" s="216"/>
      <x:c r="S383" s="216"/>
      <x:c r="T383" s="216"/>
      <x:c r="U383" s="216"/>
      <x:c r="V383" s="216"/>
      <x:c r="W383" s="216"/>
      <x:c r="X383" s="216"/>
      <x:c r="Y383" s="216"/>
      <x:c r="Z383" s="216"/>
    </x:row>
    <x:row r="384">
      <x:c r="A384" s="216"/>
      <x:c r="B384" s="216"/>
      <x:c r="C384" s="216"/>
      <x:c r="D384" s="216"/>
      <x:c r="E384" s="216"/>
      <x:c r="F384" s="216"/>
      <x:c r="G384" s="216"/>
      <x:c r="H384" s="216"/>
      <x:c r="I384" s="216"/>
      <x:c r="J384" s="216"/>
      <x:c r="K384" s="216"/>
      <x:c r="L384" s="216"/>
      <x:c r="M384" s="216"/>
      <x:c r="N384" s="216"/>
      <x:c r="O384" s="216"/>
      <x:c r="P384" s="216"/>
      <x:c r="Q384" s="216"/>
      <x:c r="R384" s="216"/>
      <x:c r="S384" s="216"/>
      <x:c r="T384" s="216"/>
      <x:c r="U384" s="216"/>
      <x:c r="V384" s="216"/>
      <x:c r="W384" s="216"/>
      <x:c r="X384" s="216"/>
      <x:c r="Y384" s="216"/>
      <x:c r="Z384" s="216"/>
    </x:row>
    <x:row r="385">
      <x:c r="A385" s="216"/>
      <x:c r="B385" s="216"/>
      <x:c r="C385" s="216"/>
      <x:c r="D385" s="216"/>
      <x:c r="E385" s="216"/>
      <x:c r="F385" s="216"/>
      <x:c r="G385" s="216"/>
      <x:c r="H385" s="216"/>
      <x:c r="I385" s="216"/>
      <x:c r="J385" s="216"/>
      <x:c r="K385" s="216"/>
      <x:c r="L385" s="216"/>
      <x:c r="M385" s="216"/>
      <x:c r="N385" s="216"/>
      <x:c r="O385" s="216"/>
      <x:c r="P385" s="216"/>
      <x:c r="Q385" s="216"/>
      <x:c r="R385" s="216"/>
      <x:c r="S385" s="216"/>
      <x:c r="T385" s="216"/>
      <x:c r="U385" s="216"/>
      <x:c r="V385" s="216"/>
      <x:c r="W385" s="216"/>
      <x:c r="X385" s="216"/>
      <x:c r="Y385" s="216"/>
      <x:c r="Z385" s="216"/>
    </x:row>
    <x:row r="386">
      <x:c r="A386" s="216"/>
      <x:c r="B386" s="216"/>
      <x:c r="C386" s="216"/>
      <x:c r="D386" s="216"/>
      <x:c r="E386" s="216"/>
      <x:c r="F386" s="216"/>
      <x:c r="G386" s="216"/>
      <x:c r="H386" s="216"/>
      <x:c r="I386" s="216"/>
      <x:c r="J386" s="216"/>
      <x:c r="K386" s="216"/>
      <x:c r="L386" s="216"/>
      <x:c r="M386" s="216"/>
      <x:c r="N386" s="216"/>
      <x:c r="O386" s="216"/>
      <x:c r="P386" s="216"/>
      <x:c r="Q386" s="216"/>
      <x:c r="R386" s="216"/>
      <x:c r="S386" s="216"/>
      <x:c r="T386" s="216"/>
      <x:c r="U386" s="216"/>
      <x:c r="V386" s="216"/>
      <x:c r="W386" s="216"/>
      <x:c r="X386" s="216"/>
      <x:c r="Y386" s="216"/>
      <x:c r="Z386" s="216"/>
    </x:row>
    <x:row r="387">
      <x:c r="A387" s="216"/>
      <x:c r="B387" s="216"/>
      <x:c r="C387" s="216"/>
      <x:c r="D387" s="216"/>
      <x:c r="E387" s="216"/>
      <x:c r="F387" s="216"/>
      <x:c r="G387" s="216"/>
      <x:c r="H387" s="216"/>
      <x:c r="I387" s="216"/>
      <x:c r="J387" s="216"/>
      <x:c r="K387" s="216"/>
      <x:c r="L387" s="216"/>
      <x:c r="M387" s="216"/>
      <x:c r="N387" s="216"/>
      <x:c r="O387" s="216"/>
      <x:c r="P387" s="216"/>
      <x:c r="Q387" s="216"/>
      <x:c r="R387" s="216"/>
      <x:c r="S387" s="216"/>
      <x:c r="T387" s="216"/>
      <x:c r="U387" s="216"/>
      <x:c r="V387" s="216"/>
      <x:c r="W387" s="216"/>
      <x:c r="X387" s="216"/>
      <x:c r="Y387" s="216"/>
      <x:c r="Z387" s="216"/>
    </x:row>
    <x:row r="388">
      <x:c r="A388" s="216"/>
      <x:c r="B388" s="216"/>
      <x:c r="C388" s="216"/>
      <x:c r="D388" s="216"/>
      <x:c r="E388" s="216"/>
      <x:c r="F388" s="216"/>
      <x:c r="G388" s="216"/>
      <x:c r="H388" s="216"/>
      <x:c r="I388" s="216"/>
      <x:c r="J388" s="216"/>
      <x:c r="K388" s="216"/>
      <x:c r="L388" s="216"/>
      <x:c r="M388" s="216"/>
      <x:c r="N388" s="216"/>
      <x:c r="O388" s="216"/>
      <x:c r="P388" s="216"/>
      <x:c r="Q388" s="216"/>
      <x:c r="R388" s="216"/>
      <x:c r="S388" s="216"/>
      <x:c r="T388" s="216"/>
      <x:c r="U388" s="216"/>
      <x:c r="V388" s="216"/>
      <x:c r="W388" s="216"/>
      <x:c r="X388" s="216"/>
      <x:c r="Y388" s="216"/>
      <x:c r="Z388" s="216"/>
    </x:row>
    <x:row r="389">
      <x:c r="A389" s="216"/>
      <x:c r="B389" s="216"/>
      <x:c r="C389" s="216"/>
      <x:c r="D389" s="216"/>
      <x:c r="E389" s="216"/>
      <x:c r="F389" s="216"/>
      <x:c r="G389" s="216"/>
      <x:c r="H389" s="216"/>
      <x:c r="I389" s="216"/>
      <x:c r="J389" s="216"/>
      <x:c r="K389" s="216"/>
      <x:c r="L389" s="216"/>
      <x:c r="M389" s="216"/>
      <x:c r="N389" s="216"/>
      <x:c r="O389" s="216"/>
      <x:c r="P389" s="216"/>
      <x:c r="Q389" s="216"/>
      <x:c r="R389" s="216"/>
      <x:c r="S389" s="216"/>
      <x:c r="T389" s="216"/>
      <x:c r="U389" s="216"/>
      <x:c r="V389" s="216"/>
      <x:c r="W389" s="216"/>
      <x:c r="X389" s="216"/>
      <x:c r="Y389" s="216"/>
      <x:c r="Z389" s="216"/>
    </x:row>
    <x:row r="390">
      <x:c r="A390" s="216"/>
      <x:c r="B390" s="216"/>
      <x:c r="C390" s="216"/>
      <x:c r="D390" s="216"/>
      <x:c r="E390" s="216"/>
      <x:c r="F390" s="216"/>
      <x:c r="G390" s="216"/>
      <x:c r="H390" s="216"/>
      <x:c r="I390" s="216"/>
      <x:c r="J390" s="216"/>
      <x:c r="K390" s="216"/>
      <x:c r="L390" s="216"/>
      <x:c r="M390" s="216"/>
      <x:c r="N390" s="216"/>
      <x:c r="O390" s="216"/>
      <x:c r="P390" s="216"/>
      <x:c r="Q390" s="216"/>
      <x:c r="R390" s="216"/>
      <x:c r="S390" s="216"/>
      <x:c r="T390" s="216"/>
      <x:c r="U390" s="216"/>
      <x:c r="V390" s="216"/>
      <x:c r="W390" s="216"/>
      <x:c r="X390" s="216"/>
      <x:c r="Y390" s="216"/>
      <x:c r="Z390" s="216"/>
    </x:row>
    <x:row r="391">
      <x:c r="A391" s="216"/>
      <x:c r="B391" s="216"/>
      <x:c r="C391" s="216"/>
      <x:c r="D391" s="216"/>
      <x:c r="E391" s="216"/>
      <x:c r="F391" s="216"/>
      <x:c r="G391" s="216"/>
      <x:c r="H391" s="216"/>
      <x:c r="I391" s="216"/>
      <x:c r="J391" s="216"/>
      <x:c r="K391" s="216"/>
      <x:c r="L391" s="216"/>
      <x:c r="M391" s="216"/>
      <x:c r="N391" s="216"/>
      <x:c r="O391" s="216"/>
      <x:c r="P391" s="216"/>
      <x:c r="Q391" s="216"/>
      <x:c r="R391" s="216"/>
      <x:c r="S391" s="216"/>
      <x:c r="T391" s="216"/>
      <x:c r="U391" s="216"/>
      <x:c r="V391" s="216"/>
      <x:c r="W391" s="216"/>
      <x:c r="X391" s="216"/>
      <x:c r="Y391" s="216"/>
      <x:c r="Z391" s="216"/>
    </x:row>
    <x:row r="392">
      <x:c r="A392" s="216"/>
      <x:c r="B392" s="216"/>
      <x:c r="C392" s="216"/>
      <x:c r="D392" s="216"/>
      <x:c r="E392" s="216"/>
      <x:c r="F392" s="216"/>
      <x:c r="G392" s="216"/>
      <x:c r="H392" s="216"/>
      <x:c r="I392" s="216"/>
      <x:c r="J392" s="216"/>
      <x:c r="K392" s="216"/>
      <x:c r="L392" s="216"/>
      <x:c r="M392" s="216"/>
      <x:c r="N392" s="216"/>
      <x:c r="O392" s="216"/>
      <x:c r="P392" s="216"/>
      <x:c r="Q392" s="216"/>
      <x:c r="R392" s="216"/>
      <x:c r="S392" s="216"/>
      <x:c r="T392" s="216"/>
      <x:c r="U392" s="216"/>
      <x:c r="V392" s="216"/>
      <x:c r="W392" s="216"/>
      <x:c r="X392" s="216"/>
      <x:c r="Y392" s="216"/>
      <x:c r="Z392" s="216"/>
    </x:row>
    <x:row r="393">
      <x:c r="A393" s="216"/>
      <x:c r="B393" s="216"/>
      <x:c r="C393" s="216"/>
      <x:c r="D393" s="216"/>
      <x:c r="E393" s="216"/>
      <x:c r="F393" s="216"/>
      <x:c r="G393" s="216"/>
      <x:c r="H393" s="216"/>
      <x:c r="I393" s="216"/>
      <x:c r="J393" s="216"/>
      <x:c r="K393" s="216"/>
      <x:c r="L393" s="216"/>
      <x:c r="M393" s="216"/>
      <x:c r="N393" s="216"/>
      <x:c r="O393" s="216"/>
      <x:c r="P393" s="216"/>
      <x:c r="Q393" s="216"/>
      <x:c r="R393" s="216"/>
      <x:c r="S393" s="216"/>
      <x:c r="T393" s="216"/>
      <x:c r="U393" s="216"/>
      <x:c r="V393" s="216"/>
      <x:c r="W393" s="216"/>
      <x:c r="X393" s="216"/>
      <x:c r="Y393" s="216"/>
      <x:c r="Z393" s="216"/>
    </x:row>
    <x:row r="394">
      <x:c r="A394" s="216"/>
      <x:c r="B394" s="216"/>
      <x:c r="C394" s="216"/>
      <x:c r="D394" s="216"/>
      <x:c r="E394" s="216"/>
      <x:c r="F394" s="216"/>
      <x:c r="G394" s="216"/>
      <x:c r="H394" s="216"/>
      <x:c r="I394" s="216"/>
      <x:c r="J394" s="216"/>
      <x:c r="K394" s="216"/>
      <x:c r="L394" s="216"/>
      <x:c r="M394" s="216"/>
      <x:c r="N394" s="216"/>
      <x:c r="O394" s="216"/>
      <x:c r="P394" s="216"/>
      <x:c r="Q394" s="216"/>
      <x:c r="R394" s="216"/>
      <x:c r="S394" s="216"/>
      <x:c r="T394" s="216"/>
      <x:c r="U394" s="216"/>
      <x:c r="V394" s="216"/>
      <x:c r="W394" s="216"/>
      <x:c r="X394" s="216"/>
      <x:c r="Y394" s="216"/>
      <x:c r="Z394" s="216"/>
    </x:row>
    <x:row r="395">
      <x:c r="A395" s="216"/>
      <x:c r="B395" s="216"/>
      <x:c r="C395" s="216"/>
      <x:c r="D395" s="216"/>
      <x:c r="E395" s="216"/>
      <x:c r="F395" s="216"/>
      <x:c r="G395" s="216"/>
      <x:c r="H395" s="216"/>
      <x:c r="I395" s="216"/>
      <x:c r="J395" s="216"/>
      <x:c r="K395" s="216"/>
      <x:c r="L395" s="216"/>
      <x:c r="M395" s="216"/>
      <x:c r="N395" s="216"/>
      <x:c r="O395" s="216"/>
      <x:c r="P395" s="216"/>
      <x:c r="Q395" s="216"/>
      <x:c r="R395" s="216"/>
      <x:c r="S395" s="216"/>
      <x:c r="T395" s="216"/>
      <x:c r="U395" s="216"/>
      <x:c r="V395" s="216"/>
      <x:c r="W395" s="216"/>
      <x:c r="X395" s="216"/>
      <x:c r="Y395" s="216"/>
      <x:c r="Z395" s="216"/>
    </x:row>
    <x:row r="396">
      <x:c r="A396" s="216"/>
      <x:c r="B396" s="216"/>
      <x:c r="C396" s="216"/>
      <x:c r="D396" s="216"/>
      <x:c r="E396" s="216"/>
      <x:c r="F396" s="216"/>
      <x:c r="G396" s="216"/>
      <x:c r="H396" s="216"/>
      <x:c r="I396" s="216"/>
      <x:c r="J396" s="216"/>
      <x:c r="K396" s="216"/>
      <x:c r="L396" s="216"/>
      <x:c r="M396" s="216"/>
      <x:c r="N396" s="216"/>
      <x:c r="O396" s="216"/>
      <x:c r="P396" s="216"/>
      <x:c r="Q396" s="216"/>
      <x:c r="R396" s="216"/>
      <x:c r="S396" s="216"/>
      <x:c r="T396" s="216"/>
      <x:c r="U396" s="216"/>
      <x:c r="V396" s="216"/>
      <x:c r="W396" s="216"/>
      <x:c r="X396" s="216"/>
      <x:c r="Y396" s="216"/>
      <x:c r="Z396" s="216"/>
    </x:row>
    <x:row r="397">
      <x:c r="A397" s="216"/>
      <x:c r="B397" s="216"/>
      <x:c r="C397" s="216"/>
      <x:c r="D397" s="216"/>
      <x:c r="E397" s="216"/>
      <x:c r="F397" s="216"/>
      <x:c r="G397" s="216"/>
      <x:c r="H397" s="216"/>
      <x:c r="I397" s="216"/>
      <x:c r="J397" s="216"/>
      <x:c r="K397" s="216"/>
      <x:c r="L397" s="216"/>
      <x:c r="M397" s="216"/>
      <x:c r="N397" s="216"/>
      <x:c r="O397" s="216"/>
      <x:c r="P397" s="216"/>
      <x:c r="Q397" s="216"/>
      <x:c r="R397" s="216"/>
      <x:c r="S397" s="216"/>
      <x:c r="T397" s="216"/>
      <x:c r="U397" s="216"/>
      <x:c r="V397" s="216"/>
      <x:c r="W397" s="216"/>
      <x:c r="X397" s="216"/>
      <x:c r="Y397" s="216"/>
      <x:c r="Z397" s="216"/>
    </x:row>
    <x:row r="398">
      <x:c r="A398" s="216"/>
      <x:c r="B398" s="216"/>
      <x:c r="C398" s="216"/>
      <x:c r="D398" s="216"/>
      <x:c r="E398" s="216"/>
      <x:c r="F398" s="216"/>
      <x:c r="G398" s="216"/>
      <x:c r="H398" s="216"/>
      <x:c r="I398" s="216"/>
      <x:c r="J398" s="216"/>
      <x:c r="K398" s="216"/>
      <x:c r="L398" s="216"/>
      <x:c r="M398" s="216"/>
      <x:c r="N398" s="216"/>
      <x:c r="O398" s="216"/>
      <x:c r="P398" s="216"/>
      <x:c r="Q398" s="216"/>
      <x:c r="R398" s="216"/>
      <x:c r="S398" s="216"/>
      <x:c r="T398" s="216"/>
      <x:c r="U398" s="216"/>
      <x:c r="V398" s="216"/>
      <x:c r="W398" s="216"/>
      <x:c r="X398" s="216"/>
      <x:c r="Y398" s="216"/>
      <x:c r="Z398" s="216"/>
    </x:row>
    <x:row r="399">
      <x:c r="A399" s="216"/>
      <x:c r="B399" s="216"/>
      <x:c r="C399" s="216"/>
      <x:c r="D399" s="216"/>
      <x:c r="E399" s="216"/>
      <x:c r="F399" s="216"/>
      <x:c r="G399" s="216"/>
      <x:c r="H399" s="216"/>
      <x:c r="I399" s="216"/>
      <x:c r="J399" s="216"/>
      <x:c r="K399" s="216"/>
      <x:c r="L399" s="216"/>
      <x:c r="M399" s="216"/>
      <x:c r="N399" s="216"/>
      <x:c r="O399" s="216"/>
      <x:c r="P399" s="216"/>
      <x:c r="Q399" s="216"/>
      <x:c r="R399" s="216"/>
      <x:c r="S399" s="216"/>
      <x:c r="T399" s="216"/>
      <x:c r="U399" s="216"/>
      <x:c r="V399" s="216"/>
      <x:c r="W399" s="216"/>
      <x:c r="X399" s="216"/>
      <x:c r="Y399" s="216"/>
      <x:c r="Z399" s="216"/>
    </x:row>
    <x:row r="400">
      <x:c r="A400" s="216"/>
      <x:c r="B400" s="216"/>
      <x:c r="C400" s="216"/>
      <x:c r="D400" s="216"/>
      <x:c r="E400" s="216"/>
      <x:c r="F400" s="216"/>
      <x:c r="G400" s="216"/>
      <x:c r="H400" s="216"/>
      <x:c r="I400" s="216"/>
      <x:c r="J400" s="216"/>
      <x:c r="K400" s="216"/>
      <x:c r="L400" s="216"/>
      <x:c r="M400" s="216"/>
      <x:c r="N400" s="216"/>
      <x:c r="O400" s="216"/>
      <x:c r="P400" s="216"/>
      <x:c r="Q400" s="216"/>
      <x:c r="R400" s="216"/>
      <x:c r="S400" s="216"/>
      <x:c r="T400" s="216"/>
      <x:c r="U400" s="216"/>
      <x:c r="V400" s="216"/>
      <x:c r="W400" s="216"/>
      <x:c r="X400" s="216"/>
      <x:c r="Y400" s="216"/>
      <x:c r="Z400" s="216"/>
    </x:row>
    <x:row r="401">
      <x:c r="A401" s="216"/>
      <x:c r="B401" s="216"/>
      <x:c r="C401" s="216"/>
      <x:c r="D401" s="216"/>
      <x:c r="E401" s="216"/>
      <x:c r="F401" s="216"/>
      <x:c r="G401" s="216"/>
      <x:c r="H401" s="216"/>
      <x:c r="I401" s="216"/>
      <x:c r="J401" s="216"/>
      <x:c r="K401" s="216"/>
      <x:c r="L401" s="216"/>
      <x:c r="M401" s="216"/>
      <x:c r="N401" s="216"/>
      <x:c r="O401" s="216"/>
      <x:c r="P401" s="216"/>
      <x:c r="Q401" s="216"/>
      <x:c r="R401" s="216"/>
      <x:c r="S401" s="216"/>
      <x:c r="T401" s="216"/>
      <x:c r="U401" s="216"/>
      <x:c r="V401" s="216"/>
      <x:c r="W401" s="216"/>
      <x:c r="X401" s="216"/>
      <x:c r="Y401" s="216"/>
      <x:c r="Z401" s="216"/>
    </x:row>
    <x:row r="402">
      <x:c r="A402" s="216"/>
      <x:c r="B402" s="216"/>
      <x:c r="C402" s="216"/>
      <x:c r="D402" s="216"/>
      <x:c r="E402" s="216"/>
      <x:c r="F402" s="216"/>
      <x:c r="G402" s="216"/>
      <x:c r="H402" s="216"/>
      <x:c r="I402" s="216"/>
      <x:c r="J402" s="216"/>
      <x:c r="K402" s="216"/>
      <x:c r="L402" s="216"/>
      <x:c r="M402" s="216"/>
      <x:c r="N402" s="216"/>
      <x:c r="O402" s="216"/>
      <x:c r="P402" s="216"/>
      <x:c r="Q402" s="216"/>
      <x:c r="R402" s="216"/>
      <x:c r="S402" s="216"/>
      <x:c r="T402" s="216"/>
      <x:c r="U402" s="216"/>
      <x:c r="V402" s="216"/>
      <x:c r="W402" s="216"/>
      <x:c r="X402" s="216"/>
      <x:c r="Y402" s="216"/>
      <x:c r="Z402" s="216"/>
    </x:row>
    <x:row r="403">
      <x:c r="A403" s="216"/>
      <x:c r="B403" s="216"/>
      <x:c r="C403" s="216"/>
      <x:c r="D403" s="216"/>
      <x:c r="E403" s="216"/>
      <x:c r="F403" s="216"/>
      <x:c r="G403" s="216"/>
      <x:c r="H403" s="216"/>
      <x:c r="I403" s="216"/>
      <x:c r="J403" s="216"/>
      <x:c r="K403" s="216"/>
      <x:c r="L403" s="216"/>
      <x:c r="M403" s="216"/>
      <x:c r="N403" s="216"/>
      <x:c r="O403" s="216"/>
      <x:c r="P403" s="216"/>
      <x:c r="Q403" s="216"/>
      <x:c r="R403" s="216"/>
      <x:c r="S403" s="216"/>
      <x:c r="T403" s="216"/>
      <x:c r="U403" s="216"/>
      <x:c r="V403" s="216"/>
      <x:c r="W403" s="216"/>
      <x:c r="X403" s="216"/>
      <x:c r="Y403" s="216"/>
      <x:c r="Z403" s="216"/>
    </x:row>
    <x:row r="404">
      <x:c r="A404" s="216"/>
      <x:c r="B404" s="216"/>
      <x:c r="C404" s="216"/>
      <x:c r="D404" s="216"/>
      <x:c r="E404" s="216"/>
      <x:c r="F404" s="216"/>
      <x:c r="G404" s="216"/>
      <x:c r="H404" s="216"/>
      <x:c r="I404" s="216"/>
      <x:c r="J404" s="216"/>
      <x:c r="K404" s="216"/>
      <x:c r="L404" s="216"/>
      <x:c r="M404" s="216"/>
      <x:c r="N404" s="216"/>
      <x:c r="O404" s="216"/>
      <x:c r="P404" s="216"/>
      <x:c r="Q404" s="216"/>
      <x:c r="R404" s="216"/>
      <x:c r="S404" s="216"/>
      <x:c r="T404" s="216"/>
      <x:c r="U404" s="216"/>
      <x:c r="V404" s="216"/>
      <x:c r="W404" s="216"/>
      <x:c r="X404" s="216"/>
      <x:c r="Y404" s="216"/>
      <x:c r="Z404" s="216"/>
    </x:row>
    <x:row r="405">
      <x:c r="A405" s="216"/>
      <x:c r="B405" s="216"/>
      <x:c r="C405" s="216"/>
      <x:c r="D405" s="216"/>
      <x:c r="E405" s="216"/>
      <x:c r="F405" s="216"/>
      <x:c r="G405" s="216"/>
      <x:c r="H405" s="216"/>
      <x:c r="I405" s="216"/>
      <x:c r="J405" s="216"/>
      <x:c r="K405" s="216"/>
      <x:c r="L405" s="216"/>
      <x:c r="M405" s="216"/>
      <x:c r="N405" s="216"/>
      <x:c r="O405" s="216"/>
      <x:c r="P405" s="216"/>
      <x:c r="Q405" s="216"/>
      <x:c r="R405" s="216"/>
      <x:c r="S405" s="216"/>
      <x:c r="T405" s="216"/>
      <x:c r="U405" s="216"/>
      <x:c r="V405" s="216"/>
      <x:c r="W405" s="216"/>
      <x:c r="X405" s="216"/>
      <x:c r="Y405" s="216"/>
      <x:c r="Z405" s="216"/>
    </x:row>
    <x:row r="406">
      <x:c r="A406" s="216"/>
      <x:c r="B406" s="216"/>
      <x:c r="C406" s="216"/>
      <x:c r="D406" s="216"/>
      <x:c r="E406" s="216"/>
      <x:c r="F406" s="216"/>
      <x:c r="G406" s="216"/>
      <x:c r="H406" s="216"/>
      <x:c r="I406" s="216"/>
      <x:c r="J406" s="216"/>
      <x:c r="K406" s="216"/>
      <x:c r="L406" s="216"/>
      <x:c r="M406" s="216"/>
      <x:c r="N406" s="216"/>
      <x:c r="O406" s="216"/>
      <x:c r="P406" s="216"/>
      <x:c r="Q406" s="216"/>
      <x:c r="R406" s="216"/>
      <x:c r="S406" s="216"/>
      <x:c r="T406" s="216"/>
      <x:c r="U406" s="216"/>
      <x:c r="V406" s="216"/>
      <x:c r="W406" s="216"/>
      <x:c r="X406" s="216"/>
      <x:c r="Y406" s="216"/>
      <x:c r="Z406" s="216"/>
    </x:row>
    <x:row r="407">
      <x:c r="A407" s="216"/>
      <x:c r="B407" s="216"/>
      <x:c r="C407" s="216"/>
      <x:c r="D407" s="216"/>
      <x:c r="E407" s="216"/>
      <x:c r="F407" s="216"/>
      <x:c r="G407" s="216"/>
      <x:c r="H407" s="216"/>
      <x:c r="I407" s="216"/>
      <x:c r="J407" s="216"/>
      <x:c r="K407" s="216"/>
      <x:c r="L407" s="216"/>
      <x:c r="M407" s="216"/>
      <x:c r="N407" s="216"/>
      <x:c r="O407" s="216"/>
      <x:c r="P407" s="216"/>
      <x:c r="Q407" s="216"/>
      <x:c r="R407" s="216"/>
      <x:c r="S407" s="216"/>
      <x:c r="T407" s="216"/>
      <x:c r="U407" s="216"/>
      <x:c r="V407" s="216"/>
      <x:c r="W407" s="216"/>
      <x:c r="X407" s="216"/>
      <x:c r="Y407" s="216"/>
      <x:c r="Z407" s="216"/>
    </x:row>
    <x:row r="408">
      <x:c r="A408" s="216"/>
      <x:c r="B408" s="216"/>
      <x:c r="C408" s="216"/>
      <x:c r="D408" s="216"/>
      <x:c r="E408" s="216"/>
      <x:c r="F408" s="216"/>
      <x:c r="G408" s="216"/>
      <x:c r="H408" s="216"/>
      <x:c r="I408" s="216"/>
      <x:c r="J408" s="216"/>
      <x:c r="K408" s="216"/>
      <x:c r="L408" s="216"/>
      <x:c r="M408" s="216"/>
      <x:c r="N408" s="216"/>
      <x:c r="O408" s="216"/>
      <x:c r="P408" s="216"/>
      <x:c r="Q408" s="216"/>
      <x:c r="R408" s="216"/>
      <x:c r="S408" s="216"/>
      <x:c r="T408" s="216"/>
      <x:c r="U408" s="216"/>
      <x:c r="V408" s="216"/>
      <x:c r="W408" s="216"/>
      <x:c r="X408" s="216"/>
      <x:c r="Y408" s="216"/>
      <x:c r="Z408" s="216"/>
    </x:row>
    <x:row r="409">
      <x:c r="A409" s="216"/>
      <x:c r="B409" s="216"/>
      <x:c r="C409" s="216"/>
      <x:c r="D409" s="216"/>
      <x:c r="E409" s="216"/>
      <x:c r="F409" s="216"/>
      <x:c r="G409" s="216"/>
      <x:c r="H409" s="216"/>
      <x:c r="I409" s="216"/>
      <x:c r="J409" s="216"/>
      <x:c r="K409" s="216"/>
      <x:c r="L409" s="216"/>
      <x:c r="M409" s="216"/>
      <x:c r="N409" s="216"/>
      <x:c r="O409" s="216"/>
      <x:c r="P409" s="216"/>
      <x:c r="Q409" s="216"/>
      <x:c r="R409" s="216"/>
      <x:c r="S409" s="216"/>
      <x:c r="T409" s="216"/>
      <x:c r="U409" s="216"/>
      <x:c r="V409" s="216"/>
      <x:c r="W409" s="216"/>
      <x:c r="X409" s="216"/>
      <x:c r="Y409" s="216"/>
      <x:c r="Z409" s="216"/>
    </x:row>
    <x:row r="410">
      <x:c r="A410" s="216"/>
      <x:c r="B410" s="216"/>
      <x:c r="C410" s="216"/>
      <x:c r="D410" s="216"/>
      <x:c r="E410" s="216"/>
      <x:c r="F410" s="216"/>
      <x:c r="G410" s="216"/>
      <x:c r="H410" s="216"/>
      <x:c r="I410" s="216"/>
      <x:c r="J410" s="216"/>
      <x:c r="K410" s="216"/>
      <x:c r="L410" s="216"/>
      <x:c r="M410" s="216"/>
      <x:c r="N410" s="216"/>
      <x:c r="O410" s="216"/>
      <x:c r="P410" s="216"/>
      <x:c r="Q410" s="216"/>
      <x:c r="R410" s="216"/>
      <x:c r="S410" s="216"/>
      <x:c r="T410" s="216"/>
      <x:c r="U410" s="216"/>
      <x:c r="V410" s="216"/>
      <x:c r="W410" s="216"/>
      <x:c r="X410" s="216"/>
      <x:c r="Y410" s="216"/>
      <x:c r="Z410" s="216"/>
    </x:row>
    <x:row r="411">
      <x:c r="A411" s="216"/>
      <x:c r="B411" s="216"/>
      <x:c r="C411" s="216"/>
      <x:c r="D411" s="216"/>
      <x:c r="E411" s="216"/>
      <x:c r="F411" s="216"/>
      <x:c r="G411" s="216"/>
      <x:c r="H411" s="216"/>
      <x:c r="I411" s="216"/>
      <x:c r="J411" s="216"/>
      <x:c r="K411" s="216"/>
      <x:c r="L411" s="216"/>
      <x:c r="M411" s="216"/>
      <x:c r="N411" s="216"/>
      <x:c r="O411" s="216"/>
      <x:c r="P411" s="216"/>
      <x:c r="Q411" s="216"/>
      <x:c r="R411" s="216"/>
      <x:c r="S411" s="216"/>
      <x:c r="T411" s="216"/>
      <x:c r="U411" s="216"/>
      <x:c r="V411" s="216"/>
      <x:c r="W411" s="216"/>
      <x:c r="X411" s="216"/>
      <x:c r="Y411" s="216"/>
      <x:c r="Z411" s="216"/>
    </x:row>
    <x:row r="412">
      <x:c r="A412" s="216"/>
      <x:c r="B412" s="216"/>
      <x:c r="C412" s="216"/>
      <x:c r="D412" s="216"/>
      <x:c r="E412" s="216"/>
      <x:c r="F412" s="216"/>
      <x:c r="G412" s="216"/>
      <x:c r="H412" s="216"/>
      <x:c r="I412" s="216"/>
      <x:c r="J412" s="216"/>
      <x:c r="K412" s="216"/>
      <x:c r="L412" s="216"/>
      <x:c r="M412" s="216"/>
      <x:c r="N412" s="216"/>
      <x:c r="O412" s="216"/>
      <x:c r="P412" s="216"/>
      <x:c r="Q412" s="216"/>
      <x:c r="R412" s="216"/>
      <x:c r="S412" s="216"/>
      <x:c r="T412" s="216"/>
      <x:c r="U412" s="216"/>
      <x:c r="V412" s="216"/>
      <x:c r="W412" s="216"/>
      <x:c r="X412" s="216"/>
      <x:c r="Y412" s="216"/>
      <x:c r="Z412" s="216"/>
    </x:row>
    <x:row r="413">
      <x:c r="A413" s="216"/>
      <x:c r="B413" s="216"/>
      <x:c r="C413" s="216"/>
      <x:c r="D413" s="216"/>
      <x:c r="E413" s="216"/>
      <x:c r="F413" s="216"/>
      <x:c r="G413" s="216"/>
      <x:c r="H413" s="216"/>
      <x:c r="I413" s="216"/>
      <x:c r="J413" s="216"/>
      <x:c r="K413" s="216"/>
      <x:c r="L413" s="216"/>
      <x:c r="M413" s="216"/>
      <x:c r="N413" s="216"/>
      <x:c r="O413" s="216"/>
      <x:c r="P413" s="216"/>
      <x:c r="Q413" s="216"/>
      <x:c r="R413" s="216"/>
      <x:c r="S413" s="216"/>
      <x:c r="T413" s="216"/>
      <x:c r="U413" s="216"/>
      <x:c r="V413" s="216"/>
      <x:c r="W413" s="216"/>
      <x:c r="X413" s="216"/>
      <x:c r="Y413" s="216"/>
      <x:c r="Z413" s="216"/>
    </x:row>
    <x:row r="414">
      <x:c r="A414" s="216"/>
      <x:c r="B414" s="216"/>
      <x:c r="C414" s="216"/>
      <x:c r="D414" s="216"/>
      <x:c r="E414" s="216"/>
      <x:c r="F414" s="216"/>
      <x:c r="G414" s="216"/>
      <x:c r="H414" s="216"/>
      <x:c r="I414" s="216"/>
      <x:c r="J414" s="216"/>
      <x:c r="K414" s="216"/>
      <x:c r="L414" s="216"/>
      <x:c r="M414" s="216"/>
      <x:c r="N414" s="216"/>
      <x:c r="O414" s="216"/>
      <x:c r="P414" s="216"/>
      <x:c r="Q414" s="216"/>
      <x:c r="R414" s="216"/>
      <x:c r="S414" s="216"/>
      <x:c r="T414" s="216"/>
      <x:c r="U414" s="216"/>
      <x:c r="V414" s="216"/>
      <x:c r="W414" s="216"/>
      <x:c r="X414" s="216"/>
      <x:c r="Y414" s="216"/>
      <x:c r="Z414" s="216"/>
    </x:row>
    <x:row r="415">
      <x:c r="A415" s="216"/>
      <x:c r="B415" s="216"/>
      <x:c r="C415" s="216"/>
      <x:c r="D415" s="216"/>
      <x:c r="E415" s="216"/>
      <x:c r="F415" s="216"/>
      <x:c r="G415" s="216"/>
      <x:c r="H415" s="216"/>
      <x:c r="I415" s="216"/>
      <x:c r="J415" s="216"/>
      <x:c r="K415" s="216"/>
      <x:c r="L415" s="216"/>
      <x:c r="M415" s="216"/>
      <x:c r="N415" s="216"/>
      <x:c r="O415" s="216"/>
      <x:c r="P415" s="216"/>
      <x:c r="Q415" s="216"/>
      <x:c r="R415" s="216"/>
      <x:c r="S415" s="216"/>
      <x:c r="T415" s="216"/>
      <x:c r="U415" s="216"/>
      <x:c r="V415" s="216"/>
      <x:c r="W415" s="216"/>
      <x:c r="X415" s="216"/>
      <x:c r="Y415" s="216"/>
      <x:c r="Z415" s="216"/>
    </x:row>
    <x:row r="416">
      <x:c r="A416" s="216"/>
      <x:c r="B416" s="216"/>
      <x:c r="C416" s="216"/>
      <x:c r="D416" s="216"/>
      <x:c r="E416" s="216"/>
      <x:c r="F416" s="216"/>
      <x:c r="G416" s="216"/>
      <x:c r="H416" s="216"/>
      <x:c r="I416" s="216"/>
      <x:c r="J416" s="216"/>
      <x:c r="K416" s="216"/>
      <x:c r="L416" s="216"/>
      <x:c r="M416" s="216"/>
      <x:c r="N416" s="216"/>
      <x:c r="O416" s="216"/>
      <x:c r="P416" s="216"/>
      <x:c r="Q416" s="216"/>
      <x:c r="R416" s="216"/>
      <x:c r="S416" s="216"/>
      <x:c r="T416" s="216"/>
      <x:c r="U416" s="216"/>
      <x:c r="V416" s="216"/>
      <x:c r="W416" s="216"/>
      <x:c r="X416" s="216"/>
      <x:c r="Y416" s="216"/>
      <x:c r="Z416" s="216"/>
    </x:row>
    <x:row r="417">
      <x:c r="A417" s="216"/>
      <x:c r="B417" s="216"/>
      <x:c r="C417" s="216"/>
      <x:c r="D417" s="216"/>
      <x:c r="E417" s="216"/>
      <x:c r="F417" s="216"/>
      <x:c r="G417" s="216"/>
      <x:c r="H417" s="216"/>
      <x:c r="I417" s="216"/>
      <x:c r="J417" s="216"/>
      <x:c r="K417" s="216"/>
      <x:c r="L417" s="216"/>
      <x:c r="M417" s="216"/>
      <x:c r="N417" s="216"/>
      <x:c r="O417" s="216"/>
      <x:c r="P417" s="216"/>
      <x:c r="Q417" s="216"/>
      <x:c r="R417" s="216"/>
      <x:c r="S417" s="216"/>
      <x:c r="T417" s="216"/>
      <x:c r="U417" s="216"/>
      <x:c r="V417" s="216"/>
      <x:c r="W417" s="216"/>
      <x:c r="X417" s="216"/>
      <x:c r="Y417" s="216"/>
      <x:c r="Z417" s="216"/>
    </x:row>
    <x:row r="418">
      <x:c r="A418" s="216"/>
      <x:c r="B418" s="216"/>
      <x:c r="C418" s="216"/>
      <x:c r="D418" s="216"/>
      <x:c r="E418" s="216"/>
      <x:c r="F418" s="216"/>
      <x:c r="G418" s="216"/>
      <x:c r="H418" s="216"/>
      <x:c r="I418" s="216"/>
      <x:c r="J418" s="216"/>
      <x:c r="K418" s="216"/>
      <x:c r="L418" s="216"/>
      <x:c r="M418" s="216"/>
      <x:c r="N418" s="216"/>
      <x:c r="O418" s="216"/>
      <x:c r="P418" s="216"/>
      <x:c r="Q418" s="216"/>
      <x:c r="R418" s="216"/>
      <x:c r="S418" s="216"/>
      <x:c r="T418" s="216"/>
      <x:c r="U418" s="216"/>
      <x:c r="V418" s="216"/>
      <x:c r="W418" s="216"/>
      <x:c r="X418" s="216"/>
      <x:c r="Y418" s="216"/>
      <x:c r="Z418" s="216"/>
    </x:row>
    <x:row r="419">
      <x:c r="A419" s="216"/>
      <x:c r="B419" s="216"/>
      <x:c r="C419" s="216"/>
      <x:c r="D419" s="216"/>
      <x:c r="E419" s="216"/>
      <x:c r="F419" s="216"/>
      <x:c r="G419" s="216"/>
      <x:c r="H419" s="216"/>
      <x:c r="I419" s="216"/>
      <x:c r="J419" s="216"/>
      <x:c r="K419" s="216"/>
      <x:c r="L419" s="216"/>
      <x:c r="M419" s="216"/>
      <x:c r="N419" s="216"/>
      <x:c r="O419" s="216"/>
      <x:c r="P419" s="216"/>
      <x:c r="Q419" s="216"/>
      <x:c r="R419" s="216"/>
      <x:c r="S419" s="216"/>
      <x:c r="T419" s="216"/>
      <x:c r="U419" s="216"/>
      <x:c r="V419" s="216"/>
      <x:c r="W419" s="216"/>
      <x:c r="X419" s="216"/>
      <x:c r="Y419" s="216"/>
      <x:c r="Z419" s="216"/>
    </x:row>
    <x:row r="420">
      <x:c r="A420" s="216"/>
      <x:c r="B420" s="216"/>
      <x:c r="C420" s="216"/>
      <x:c r="D420" s="216"/>
      <x:c r="E420" s="216"/>
      <x:c r="F420" s="216"/>
      <x:c r="G420" s="216"/>
      <x:c r="H420" s="216"/>
      <x:c r="I420" s="216"/>
      <x:c r="J420" s="216"/>
      <x:c r="K420" s="216"/>
      <x:c r="L420" s="216"/>
      <x:c r="M420" s="216"/>
      <x:c r="N420" s="216"/>
      <x:c r="O420" s="216"/>
      <x:c r="P420" s="216"/>
      <x:c r="Q420" s="216"/>
      <x:c r="R420" s="216"/>
      <x:c r="S420" s="216"/>
      <x:c r="T420" s="216"/>
      <x:c r="U420" s="216"/>
      <x:c r="V420" s="216"/>
      <x:c r="W420" s="216"/>
      <x:c r="X420" s="216"/>
      <x:c r="Y420" s="216"/>
      <x:c r="Z420" s="216"/>
    </x:row>
    <x:row r="421">
      <x:c r="A421" s="216"/>
      <x:c r="B421" s="216"/>
      <x:c r="C421" s="216"/>
      <x:c r="D421" s="216"/>
      <x:c r="E421" s="216"/>
      <x:c r="F421" s="216"/>
      <x:c r="G421" s="216"/>
      <x:c r="H421" s="216"/>
      <x:c r="I421" s="216"/>
      <x:c r="J421" s="216"/>
      <x:c r="K421" s="216"/>
      <x:c r="L421" s="216"/>
      <x:c r="M421" s="216"/>
      <x:c r="N421" s="216"/>
      <x:c r="O421" s="216"/>
      <x:c r="P421" s="216"/>
      <x:c r="Q421" s="216"/>
      <x:c r="R421" s="216"/>
      <x:c r="S421" s="216"/>
      <x:c r="T421" s="216"/>
      <x:c r="U421" s="216"/>
      <x:c r="V421" s="216"/>
      <x:c r="W421" s="216"/>
      <x:c r="X421" s="216"/>
      <x:c r="Y421" s="216"/>
      <x:c r="Z421" s="216"/>
    </x:row>
    <x:row r="422">
      <x:c r="A422" s="216"/>
      <x:c r="B422" s="216"/>
      <x:c r="C422" s="216"/>
      <x:c r="D422" s="216"/>
      <x:c r="E422" s="216"/>
      <x:c r="F422" s="216"/>
      <x:c r="G422" s="216"/>
      <x:c r="H422" s="216"/>
      <x:c r="I422" s="216"/>
      <x:c r="J422" s="216"/>
      <x:c r="K422" s="216"/>
      <x:c r="L422" s="216"/>
      <x:c r="M422" s="216"/>
      <x:c r="N422" s="216"/>
      <x:c r="O422" s="216"/>
      <x:c r="P422" s="216"/>
      <x:c r="Q422" s="216"/>
      <x:c r="R422" s="216"/>
      <x:c r="S422" s="216"/>
      <x:c r="T422" s="216"/>
      <x:c r="U422" s="216"/>
      <x:c r="V422" s="216"/>
      <x:c r="W422" s="216"/>
      <x:c r="X422" s="216"/>
      <x:c r="Y422" s="216"/>
      <x:c r="Z422" s="216"/>
    </x:row>
    <x:row r="423">
      <x:c r="A423" s="216"/>
      <x:c r="B423" s="216"/>
      <x:c r="C423" s="216"/>
      <x:c r="D423" s="216"/>
      <x:c r="E423" s="216"/>
      <x:c r="F423" s="216"/>
      <x:c r="G423" s="216"/>
      <x:c r="H423" s="216"/>
      <x:c r="I423" s="216"/>
      <x:c r="J423" s="216"/>
      <x:c r="K423" s="216"/>
      <x:c r="L423" s="216"/>
      <x:c r="M423" s="216"/>
      <x:c r="N423" s="216"/>
      <x:c r="O423" s="216"/>
      <x:c r="P423" s="216"/>
      <x:c r="Q423" s="216"/>
      <x:c r="R423" s="216"/>
      <x:c r="S423" s="216"/>
      <x:c r="T423" s="216"/>
      <x:c r="U423" s="216"/>
      <x:c r="V423" s="216"/>
      <x:c r="W423" s="216"/>
      <x:c r="X423" s="216"/>
      <x:c r="Y423" s="216"/>
      <x:c r="Z423" s="216"/>
    </x:row>
    <x:row r="424">
      <x:c r="A424" s="216"/>
      <x:c r="B424" s="216"/>
      <x:c r="C424" s="216"/>
      <x:c r="D424" s="216"/>
      <x:c r="E424" s="216"/>
      <x:c r="F424" s="216"/>
      <x:c r="G424" s="216"/>
      <x:c r="H424" s="216"/>
      <x:c r="I424" s="216"/>
      <x:c r="J424" s="216"/>
      <x:c r="K424" s="216"/>
      <x:c r="L424" s="216"/>
      <x:c r="M424" s="216"/>
      <x:c r="N424" s="216"/>
      <x:c r="O424" s="216"/>
      <x:c r="P424" s="216"/>
      <x:c r="Q424" s="216"/>
      <x:c r="R424" s="216"/>
      <x:c r="S424" s="216"/>
      <x:c r="T424" s="216"/>
      <x:c r="U424" s="216"/>
      <x:c r="V424" s="216"/>
      <x:c r="W424" s="216"/>
      <x:c r="X424" s="216"/>
      <x:c r="Y424" s="216"/>
      <x:c r="Z424" s="216"/>
    </x:row>
    <x:row r="425">
      <x:c r="A425" s="216"/>
      <x:c r="B425" s="216"/>
      <x:c r="C425" s="216"/>
      <x:c r="D425" s="216"/>
      <x:c r="E425" s="216"/>
      <x:c r="F425" s="216"/>
      <x:c r="G425" s="216"/>
      <x:c r="H425" s="216"/>
      <x:c r="I425" s="216"/>
      <x:c r="J425" s="216"/>
      <x:c r="K425" s="216"/>
      <x:c r="L425" s="216"/>
      <x:c r="M425" s="216"/>
      <x:c r="N425" s="216"/>
      <x:c r="O425" s="216"/>
      <x:c r="P425" s="216"/>
      <x:c r="Q425" s="216"/>
      <x:c r="R425" s="216"/>
      <x:c r="S425" s="216"/>
      <x:c r="T425" s="216"/>
      <x:c r="U425" s="216"/>
      <x:c r="V425" s="216"/>
      <x:c r="W425" s="216"/>
      <x:c r="X425" s="216"/>
      <x:c r="Y425" s="216"/>
      <x:c r="Z425" s="216"/>
    </x:row>
    <x:row r="426">
      <x:c r="A426" s="216"/>
      <x:c r="B426" s="216"/>
      <x:c r="C426" s="216"/>
      <x:c r="D426" s="216"/>
      <x:c r="E426" s="216"/>
      <x:c r="F426" s="216"/>
      <x:c r="G426" s="216"/>
      <x:c r="H426" s="216"/>
      <x:c r="I426" s="216"/>
      <x:c r="J426" s="216"/>
      <x:c r="K426" s="216"/>
      <x:c r="L426" s="216"/>
      <x:c r="M426" s="216"/>
      <x:c r="N426" s="216"/>
      <x:c r="O426" s="216"/>
      <x:c r="P426" s="216"/>
      <x:c r="Q426" s="216"/>
      <x:c r="R426" s="216"/>
      <x:c r="S426" s="216"/>
      <x:c r="T426" s="216"/>
      <x:c r="U426" s="216"/>
      <x:c r="V426" s="216"/>
      <x:c r="W426" s="216"/>
      <x:c r="X426" s="216"/>
      <x:c r="Y426" s="216"/>
      <x:c r="Z426" s="216"/>
    </x:row>
    <x:row r="427">
      <x:c r="A427" s="216"/>
      <x:c r="B427" s="216"/>
      <x:c r="C427" s="216"/>
      <x:c r="D427" s="216"/>
      <x:c r="E427" s="216"/>
      <x:c r="F427" s="216"/>
      <x:c r="G427" s="216"/>
      <x:c r="H427" s="216"/>
      <x:c r="I427" s="216"/>
      <x:c r="J427" s="216"/>
      <x:c r="K427" s="216"/>
      <x:c r="L427" s="216"/>
      <x:c r="M427" s="216"/>
      <x:c r="N427" s="216"/>
      <x:c r="O427" s="216"/>
      <x:c r="P427" s="216"/>
      <x:c r="Q427" s="216"/>
      <x:c r="R427" s="216"/>
      <x:c r="S427" s="216"/>
      <x:c r="T427" s="216"/>
      <x:c r="U427" s="216"/>
      <x:c r="V427" s="216"/>
      <x:c r="W427" s="216"/>
      <x:c r="X427" s="216"/>
      <x:c r="Y427" s="216"/>
      <x:c r="Z427" s="216"/>
    </x:row>
    <x:row r="428">
      <x:c r="A428" s="216"/>
      <x:c r="B428" s="216"/>
      <x:c r="C428" s="216"/>
      <x:c r="D428" s="216"/>
      <x:c r="E428" s="216"/>
      <x:c r="F428" s="216"/>
      <x:c r="G428" s="216"/>
      <x:c r="H428" s="216"/>
      <x:c r="I428" s="216"/>
      <x:c r="J428" s="216"/>
      <x:c r="K428" s="216"/>
      <x:c r="L428" s="216"/>
      <x:c r="M428" s="216"/>
      <x:c r="N428" s="216"/>
      <x:c r="O428" s="216"/>
      <x:c r="P428" s="216"/>
      <x:c r="Q428" s="216"/>
      <x:c r="R428" s="216"/>
      <x:c r="S428" s="216"/>
      <x:c r="T428" s="216"/>
      <x:c r="U428" s="216"/>
      <x:c r="V428" s="216"/>
      <x:c r="W428" s="216"/>
      <x:c r="X428" s="216"/>
      <x:c r="Y428" s="216"/>
      <x:c r="Z428" s="216"/>
    </x:row>
    <x:row r="429">
      <x:c r="A429" s="216"/>
      <x:c r="B429" s="216"/>
      <x:c r="C429" s="216"/>
      <x:c r="D429" s="216"/>
      <x:c r="E429" s="216"/>
      <x:c r="F429" s="216"/>
      <x:c r="G429" s="216"/>
      <x:c r="H429" s="216"/>
      <x:c r="I429" s="216"/>
      <x:c r="J429" s="216"/>
      <x:c r="K429" s="216"/>
      <x:c r="L429" s="216"/>
      <x:c r="M429" s="216"/>
      <x:c r="N429" s="216"/>
      <x:c r="O429" s="216"/>
      <x:c r="P429" s="216"/>
      <x:c r="Q429" s="216"/>
      <x:c r="R429" s="216"/>
      <x:c r="S429" s="216"/>
      <x:c r="T429" s="216"/>
      <x:c r="U429" s="216"/>
      <x:c r="V429" s="216"/>
      <x:c r="W429" s="216"/>
      <x:c r="X429" s="216"/>
      <x:c r="Y429" s="216"/>
      <x:c r="Z429" s="216"/>
    </x:row>
    <x:row r="430">
      <x:c r="A430" s="216"/>
      <x:c r="B430" s="216"/>
      <x:c r="C430" s="216"/>
      <x:c r="D430" s="216"/>
      <x:c r="E430" s="216"/>
      <x:c r="F430" s="216"/>
      <x:c r="G430" s="216"/>
      <x:c r="H430" s="216"/>
      <x:c r="I430" s="216"/>
      <x:c r="J430" s="216"/>
      <x:c r="K430" s="216"/>
      <x:c r="L430" s="216"/>
      <x:c r="M430" s="216"/>
      <x:c r="N430" s="216"/>
      <x:c r="O430" s="216"/>
      <x:c r="P430" s="216"/>
      <x:c r="Q430" s="216"/>
      <x:c r="R430" s="216"/>
      <x:c r="S430" s="216"/>
      <x:c r="T430" s="216"/>
      <x:c r="U430" s="216"/>
      <x:c r="V430" s="216"/>
      <x:c r="W430" s="216"/>
      <x:c r="X430" s="216"/>
      <x:c r="Y430" s="216"/>
      <x:c r="Z430" s="216"/>
    </x:row>
    <x:row r="431">
      <x:c r="A431" s="216"/>
      <x:c r="B431" s="216"/>
      <x:c r="C431" s="216"/>
      <x:c r="D431" s="216"/>
      <x:c r="E431" s="216"/>
      <x:c r="F431" s="216"/>
      <x:c r="G431" s="216"/>
      <x:c r="H431" s="216"/>
      <x:c r="I431" s="216"/>
      <x:c r="J431" s="216"/>
      <x:c r="K431" s="216"/>
      <x:c r="L431" s="216"/>
      <x:c r="M431" s="216"/>
      <x:c r="N431" s="216"/>
      <x:c r="O431" s="216"/>
      <x:c r="P431" s="216"/>
      <x:c r="Q431" s="216"/>
      <x:c r="R431" s="216"/>
      <x:c r="S431" s="216"/>
      <x:c r="T431" s="216"/>
      <x:c r="U431" s="216"/>
      <x:c r="V431" s="216"/>
      <x:c r="W431" s="216"/>
      <x:c r="X431" s="216"/>
      <x:c r="Y431" s="216"/>
      <x:c r="Z431" s="216"/>
    </x:row>
    <x:row r="432">
      <x:c r="A432" s="216"/>
      <x:c r="B432" s="216"/>
      <x:c r="C432" s="216"/>
      <x:c r="D432" s="216"/>
      <x:c r="E432" s="216"/>
      <x:c r="F432" s="216"/>
      <x:c r="G432" s="216"/>
      <x:c r="H432" s="216"/>
      <x:c r="I432" s="216"/>
      <x:c r="J432" s="216"/>
      <x:c r="K432" s="216"/>
      <x:c r="L432" s="216"/>
      <x:c r="M432" s="216"/>
      <x:c r="N432" s="216"/>
      <x:c r="O432" s="216"/>
      <x:c r="P432" s="216"/>
      <x:c r="Q432" s="216"/>
      <x:c r="R432" s="216"/>
      <x:c r="S432" s="216"/>
      <x:c r="T432" s="216"/>
      <x:c r="U432" s="216"/>
      <x:c r="V432" s="216"/>
      <x:c r="W432" s="216"/>
      <x:c r="X432" s="216"/>
      <x:c r="Y432" s="216"/>
      <x:c r="Z432" s="216"/>
    </x:row>
    <x:row r="433">
      <x:c r="A433" s="216"/>
      <x:c r="B433" s="216"/>
      <x:c r="C433" s="216"/>
      <x:c r="D433" s="216"/>
      <x:c r="E433" s="216"/>
      <x:c r="F433" s="216"/>
      <x:c r="G433" s="216"/>
      <x:c r="H433" s="216"/>
      <x:c r="I433" s="216"/>
      <x:c r="J433" s="216"/>
      <x:c r="K433" s="216"/>
      <x:c r="L433" s="216"/>
      <x:c r="M433" s="216"/>
      <x:c r="N433" s="216"/>
      <x:c r="O433" s="216"/>
      <x:c r="P433" s="216"/>
      <x:c r="Q433" s="216"/>
      <x:c r="R433" s="216"/>
      <x:c r="S433" s="216"/>
      <x:c r="T433" s="216"/>
      <x:c r="U433" s="216"/>
      <x:c r="V433" s="216"/>
      <x:c r="W433" s="216"/>
      <x:c r="X433" s="216"/>
      <x:c r="Y433" s="216"/>
      <x:c r="Z433" s="216"/>
    </x:row>
    <x:row r="434">
      <x:c r="A434" s="216"/>
      <x:c r="B434" s="216"/>
      <x:c r="C434" s="216"/>
      <x:c r="D434" s="216"/>
      <x:c r="E434" s="216"/>
      <x:c r="F434" s="216"/>
      <x:c r="G434" s="216"/>
      <x:c r="H434" s="216"/>
      <x:c r="I434" s="216"/>
      <x:c r="J434" s="216"/>
      <x:c r="K434" s="216"/>
      <x:c r="L434" s="216"/>
      <x:c r="M434" s="216"/>
      <x:c r="N434" s="216"/>
      <x:c r="O434" s="216"/>
      <x:c r="P434" s="216"/>
      <x:c r="Q434" s="216"/>
      <x:c r="R434" s="216"/>
      <x:c r="S434" s="216"/>
      <x:c r="T434" s="216"/>
      <x:c r="U434" s="216"/>
      <x:c r="V434" s="216"/>
      <x:c r="W434" s="216"/>
      <x:c r="X434" s="216"/>
      <x:c r="Y434" s="216"/>
      <x:c r="Z434" s="216"/>
    </x:row>
    <x:row r="435">
      <x:c r="A435" s="216"/>
      <x:c r="B435" s="216"/>
      <x:c r="C435" s="216"/>
      <x:c r="D435" s="216"/>
      <x:c r="E435" s="216"/>
      <x:c r="F435" s="216"/>
      <x:c r="G435" s="216"/>
      <x:c r="H435" s="216"/>
      <x:c r="I435" s="216"/>
      <x:c r="J435" s="216"/>
      <x:c r="K435" s="216"/>
      <x:c r="L435" s="216"/>
      <x:c r="M435" s="216"/>
      <x:c r="N435" s="216"/>
      <x:c r="O435" s="216"/>
      <x:c r="P435" s="216"/>
      <x:c r="Q435" s="216"/>
      <x:c r="R435" s="216"/>
      <x:c r="S435" s="216"/>
      <x:c r="T435" s="216"/>
      <x:c r="U435" s="216"/>
      <x:c r="V435" s="216"/>
      <x:c r="W435" s="216"/>
      <x:c r="X435" s="216"/>
      <x:c r="Y435" s="216"/>
      <x:c r="Z435" s="216"/>
    </x:row>
    <x:row r="436">
      <x:c r="A436" s="216"/>
      <x:c r="B436" s="216"/>
      <x:c r="C436" s="216"/>
      <x:c r="D436" s="216"/>
      <x:c r="E436" s="216"/>
      <x:c r="F436" s="216"/>
      <x:c r="G436" s="216"/>
      <x:c r="H436" s="216"/>
      <x:c r="I436" s="216"/>
      <x:c r="J436" s="216"/>
      <x:c r="K436" s="216"/>
      <x:c r="L436" s="216"/>
      <x:c r="M436" s="216"/>
      <x:c r="N436" s="216"/>
      <x:c r="O436" s="216"/>
      <x:c r="P436" s="216"/>
      <x:c r="Q436" s="216"/>
      <x:c r="R436" s="216"/>
      <x:c r="S436" s="216"/>
      <x:c r="T436" s="216"/>
      <x:c r="U436" s="216"/>
      <x:c r="V436" s="216"/>
      <x:c r="W436" s="216"/>
      <x:c r="X436" s="216"/>
      <x:c r="Y436" s="216"/>
      <x:c r="Z436" s="216"/>
    </x:row>
    <x:row r="437">
      <x:c r="A437" s="216"/>
      <x:c r="B437" s="216"/>
      <x:c r="C437" s="216"/>
      <x:c r="D437" s="216"/>
      <x:c r="E437" s="216"/>
      <x:c r="F437" s="216"/>
      <x:c r="G437" s="216"/>
      <x:c r="H437" s="216"/>
      <x:c r="I437" s="216"/>
      <x:c r="J437" s="216"/>
      <x:c r="K437" s="216"/>
      <x:c r="L437" s="216"/>
      <x:c r="M437" s="216"/>
      <x:c r="N437" s="216"/>
      <x:c r="O437" s="216"/>
      <x:c r="P437" s="216"/>
      <x:c r="Q437" s="216"/>
      <x:c r="R437" s="216"/>
      <x:c r="S437" s="216"/>
      <x:c r="T437" s="216"/>
      <x:c r="U437" s="216"/>
      <x:c r="V437" s="216"/>
      <x:c r="W437" s="216"/>
      <x:c r="X437" s="216"/>
      <x:c r="Y437" s="216"/>
      <x:c r="Z437" s="216"/>
    </x:row>
    <x:row r="438">
      <x:c r="A438" s="216"/>
      <x:c r="B438" s="216"/>
      <x:c r="C438" s="216"/>
      <x:c r="D438" s="216"/>
      <x:c r="E438" s="216"/>
      <x:c r="F438" s="216"/>
      <x:c r="G438" s="216"/>
      <x:c r="H438" s="216"/>
      <x:c r="I438" s="216"/>
      <x:c r="J438" s="216"/>
      <x:c r="K438" s="216"/>
      <x:c r="L438" s="216"/>
      <x:c r="M438" s="216"/>
      <x:c r="N438" s="216"/>
      <x:c r="O438" s="216"/>
      <x:c r="P438" s="216"/>
      <x:c r="Q438" s="216"/>
      <x:c r="R438" s="216"/>
      <x:c r="S438" s="216"/>
      <x:c r="T438" s="216"/>
      <x:c r="U438" s="216"/>
      <x:c r="V438" s="216"/>
      <x:c r="W438" s="216"/>
      <x:c r="X438" s="216"/>
      <x:c r="Y438" s="216"/>
      <x:c r="Z438" s="216"/>
    </x:row>
    <x:row r="439">
      <x:c r="A439" s="216"/>
      <x:c r="B439" s="216"/>
      <x:c r="C439" s="216"/>
      <x:c r="D439" s="216"/>
      <x:c r="E439" s="216"/>
      <x:c r="F439" s="216"/>
      <x:c r="G439" s="216"/>
      <x:c r="H439" s="216"/>
      <x:c r="I439" s="216"/>
      <x:c r="J439" s="216"/>
      <x:c r="K439" s="216"/>
      <x:c r="L439" s="216"/>
      <x:c r="M439" s="216"/>
      <x:c r="N439" s="216"/>
      <x:c r="O439" s="216"/>
      <x:c r="P439" s="216"/>
      <x:c r="Q439" s="216"/>
      <x:c r="R439" s="216"/>
      <x:c r="S439" s="216"/>
      <x:c r="T439" s="216"/>
      <x:c r="U439" s="216"/>
      <x:c r="V439" s="216"/>
      <x:c r="W439" s="216"/>
      <x:c r="X439" s="216"/>
      <x:c r="Y439" s="216"/>
      <x:c r="Z439" s="216"/>
    </x:row>
    <x:row r="440">
      <x:c r="A440" s="216"/>
      <x:c r="B440" s="216"/>
      <x:c r="C440" s="216"/>
      <x:c r="D440" s="216"/>
      <x:c r="E440" s="216"/>
      <x:c r="F440" s="216"/>
      <x:c r="G440" s="216"/>
      <x:c r="H440" s="216"/>
      <x:c r="I440" s="216"/>
      <x:c r="J440" s="216"/>
      <x:c r="K440" s="216"/>
      <x:c r="L440" s="216"/>
      <x:c r="M440" s="216"/>
      <x:c r="N440" s="216"/>
      <x:c r="O440" s="216"/>
      <x:c r="P440" s="216"/>
      <x:c r="Q440" s="216"/>
      <x:c r="R440" s="216"/>
      <x:c r="S440" s="216"/>
      <x:c r="T440" s="216"/>
      <x:c r="U440" s="216"/>
      <x:c r="V440" s="216"/>
      <x:c r="W440" s="216"/>
      <x:c r="X440" s="216"/>
      <x:c r="Y440" s="216"/>
      <x:c r="Z440" s="216"/>
    </x:row>
    <x:row r="441">
      <x:c r="A441" s="216"/>
      <x:c r="B441" s="216"/>
      <x:c r="C441" s="216"/>
      <x:c r="D441" s="216"/>
      <x:c r="E441" s="216"/>
      <x:c r="F441" s="216"/>
      <x:c r="G441" s="216"/>
      <x:c r="H441" s="216"/>
      <x:c r="I441" s="216"/>
      <x:c r="J441" s="216"/>
      <x:c r="K441" s="216"/>
      <x:c r="L441" s="216"/>
      <x:c r="M441" s="216"/>
      <x:c r="N441" s="216"/>
      <x:c r="O441" s="216"/>
      <x:c r="P441" s="216"/>
      <x:c r="Q441" s="216"/>
      <x:c r="R441" s="216"/>
      <x:c r="S441" s="216"/>
      <x:c r="T441" s="216"/>
      <x:c r="U441" s="216"/>
      <x:c r="V441" s="216"/>
      <x:c r="W441" s="216"/>
      <x:c r="X441" s="216"/>
      <x:c r="Y441" s="216"/>
      <x:c r="Z441" s="216"/>
    </x:row>
    <x:row r="442">
      <x:c r="A442" s="216"/>
      <x:c r="B442" s="216"/>
      <x:c r="C442" s="216"/>
      <x:c r="D442" s="216"/>
      <x:c r="E442" s="216"/>
      <x:c r="F442" s="216"/>
      <x:c r="G442" s="216"/>
      <x:c r="H442" s="216"/>
      <x:c r="I442" s="216"/>
      <x:c r="J442" s="216"/>
      <x:c r="K442" s="216"/>
      <x:c r="L442" s="216"/>
      <x:c r="M442" s="216"/>
      <x:c r="N442" s="216"/>
      <x:c r="O442" s="216"/>
      <x:c r="P442" s="216"/>
      <x:c r="Q442" s="216"/>
      <x:c r="R442" s="216"/>
      <x:c r="S442" s="216"/>
      <x:c r="T442" s="216"/>
      <x:c r="U442" s="216"/>
      <x:c r="V442" s="216"/>
      <x:c r="W442" s="216"/>
      <x:c r="X442" s="216"/>
      <x:c r="Y442" s="216"/>
      <x:c r="Z442" s="216"/>
    </x:row>
    <x:row r="443">
      <x:c r="A443" s="216"/>
      <x:c r="B443" s="216"/>
      <x:c r="C443" s="216"/>
      <x:c r="D443" s="216"/>
      <x:c r="E443" s="216"/>
      <x:c r="F443" s="216"/>
      <x:c r="G443" s="216"/>
      <x:c r="H443" s="216"/>
      <x:c r="I443" s="216"/>
      <x:c r="J443" s="216"/>
      <x:c r="K443" s="216"/>
      <x:c r="L443" s="216"/>
      <x:c r="M443" s="216"/>
      <x:c r="N443" s="216"/>
      <x:c r="O443" s="216"/>
      <x:c r="P443" s="216"/>
      <x:c r="Q443" s="216"/>
      <x:c r="R443" s="216"/>
      <x:c r="S443" s="216"/>
      <x:c r="T443" s="216"/>
      <x:c r="U443" s="216"/>
      <x:c r="V443" s="216"/>
      <x:c r="W443" s="216"/>
      <x:c r="X443" s="216"/>
      <x:c r="Y443" s="216"/>
      <x:c r="Z443" s="216"/>
    </x:row>
    <x:row r="444">
      <x:c r="A444" s="216"/>
      <x:c r="B444" s="216"/>
      <x:c r="C444" s="216"/>
      <x:c r="D444" s="216"/>
      <x:c r="E444" s="216"/>
      <x:c r="F444" s="216"/>
      <x:c r="G444" s="216"/>
      <x:c r="H444" s="216"/>
      <x:c r="I444" s="216"/>
      <x:c r="J444" s="216"/>
      <x:c r="K444" s="216"/>
      <x:c r="L444" s="216"/>
      <x:c r="M444" s="216"/>
      <x:c r="N444" s="216"/>
      <x:c r="O444" s="216"/>
      <x:c r="P444" s="216"/>
      <x:c r="Q444" s="216"/>
      <x:c r="R444" s="216"/>
      <x:c r="S444" s="216"/>
      <x:c r="T444" s="216"/>
      <x:c r="U444" s="216"/>
      <x:c r="V444" s="216"/>
      <x:c r="W444" s="216"/>
      <x:c r="X444" s="216"/>
      <x:c r="Y444" s="216"/>
      <x:c r="Z444" s="216"/>
    </x:row>
    <x:row r="445">
      <x:c r="A445" s="216"/>
      <x:c r="B445" s="216"/>
      <x:c r="C445" s="216"/>
      <x:c r="D445" s="216"/>
      <x:c r="E445" s="216"/>
      <x:c r="F445" s="216"/>
      <x:c r="G445" s="216"/>
      <x:c r="H445" s="216"/>
      <x:c r="I445" s="216"/>
      <x:c r="J445" s="216"/>
      <x:c r="K445" s="216"/>
      <x:c r="L445" s="216"/>
      <x:c r="M445" s="216"/>
      <x:c r="N445" s="216"/>
      <x:c r="O445" s="216"/>
      <x:c r="P445" s="216"/>
      <x:c r="Q445" s="216"/>
      <x:c r="R445" s="216"/>
      <x:c r="S445" s="216"/>
      <x:c r="T445" s="216"/>
      <x:c r="U445" s="216"/>
      <x:c r="V445" s="216"/>
      <x:c r="W445" s="216"/>
      <x:c r="X445" s="216"/>
      <x:c r="Y445" s="216"/>
      <x:c r="Z445" s="216"/>
    </x:row>
    <x:row r="446">
      <x:c r="A446" s="216"/>
      <x:c r="B446" s="216"/>
      <x:c r="C446" s="216"/>
      <x:c r="D446" s="216"/>
      <x:c r="E446" s="216"/>
      <x:c r="F446" s="216"/>
      <x:c r="G446" s="216"/>
      <x:c r="H446" s="216"/>
      <x:c r="I446" s="216"/>
      <x:c r="J446" s="216"/>
      <x:c r="K446" s="216"/>
      <x:c r="L446" s="216"/>
      <x:c r="M446" s="216"/>
      <x:c r="N446" s="216"/>
      <x:c r="O446" s="216"/>
      <x:c r="P446" s="216"/>
      <x:c r="Q446" s="216"/>
      <x:c r="R446" s="216"/>
      <x:c r="S446" s="216"/>
      <x:c r="T446" s="216"/>
      <x:c r="U446" s="216"/>
      <x:c r="V446" s="216"/>
      <x:c r="W446" s="216"/>
      <x:c r="X446" s="216"/>
      <x:c r="Y446" s="216"/>
      <x:c r="Z446" s="216"/>
    </x:row>
    <x:row r="447">
      <x:c r="A447" s="216"/>
      <x:c r="B447" s="216"/>
      <x:c r="C447" s="216"/>
      <x:c r="D447" s="216"/>
      <x:c r="E447" s="216"/>
      <x:c r="F447" s="216"/>
      <x:c r="G447" s="216"/>
      <x:c r="H447" s="216"/>
      <x:c r="I447" s="216"/>
      <x:c r="J447" s="216"/>
      <x:c r="K447" s="216"/>
      <x:c r="L447" s="216"/>
      <x:c r="M447" s="216"/>
      <x:c r="N447" s="216"/>
      <x:c r="O447" s="216"/>
      <x:c r="P447" s="216"/>
      <x:c r="Q447" s="216"/>
      <x:c r="R447" s="216"/>
      <x:c r="S447" s="216"/>
      <x:c r="T447" s="216"/>
      <x:c r="U447" s="216"/>
      <x:c r="V447" s="216"/>
      <x:c r="W447" s="216"/>
      <x:c r="X447" s="216"/>
      <x:c r="Y447" s="216"/>
      <x:c r="Z447" s="216"/>
    </x:row>
    <x:row r="448">
      <x:c r="A448" s="216"/>
      <x:c r="B448" s="216"/>
      <x:c r="C448" s="216"/>
      <x:c r="D448" s="216"/>
      <x:c r="E448" s="216"/>
      <x:c r="F448" s="216"/>
      <x:c r="G448" s="216"/>
      <x:c r="H448" s="216"/>
      <x:c r="I448" s="216"/>
      <x:c r="J448" s="216"/>
      <x:c r="K448" s="216"/>
      <x:c r="L448" s="216"/>
      <x:c r="M448" s="216"/>
      <x:c r="N448" s="216"/>
      <x:c r="O448" s="216"/>
      <x:c r="P448" s="216"/>
      <x:c r="Q448" s="216"/>
      <x:c r="R448" s="216"/>
      <x:c r="S448" s="216"/>
      <x:c r="T448" s="216"/>
      <x:c r="U448" s="216"/>
      <x:c r="V448" s="216"/>
      <x:c r="W448" s="216"/>
      <x:c r="X448" s="216"/>
      <x:c r="Y448" s="216"/>
      <x:c r="Z448" s="216"/>
    </x:row>
    <x:row r="449">
      <x:c r="A449" s="216"/>
      <x:c r="B449" s="216"/>
      <x:c r="C449" s="216"/>
      <x:c r="D449" s="216"/>
      <x:c r="E449" s="216"/>
      <x:c r="F449" s="216"/>
      <x:c r="G449" s="216"/>
      <x:c r="H449" s="216"/>
      <x:c r="I449" s="216"/>
      <x:c r="J449" s="216"/>
      <x:c r="K449" s="216"/>
      <x:c r="L449" s="216"/>
      <x:c r="M449" s="216"/>
      <x:c r="N449" s="216"/>
      <x:c r="O449" s="216"/>
      <x:c r="P449" s="216"/>
      <x:c r="Q449" s="216"/>
      <x:c r="R449" s="216"/>
      <x:c r="S449" s="216"/>
      <x:c r="T449" s="216"/>
      <x:c r="U449" s="216"/>
      <x:c r="V449" s="216"/>
      <x:c r="W449" s="216"/>
      <x:c r="X449" s="216"/>
      <x:c r="Y449" s="216"/>
      <x:c r="Z449" s="216"/>
    </x:row>
    <x:row r="450">
      <x:c r="A450" s="216"/>
      <x:c r="B450" s="216"/>
      <x:c r="C450" s="216"/>
      <x:c r="D450" s="216"/>
      <x:c r="E450" s="216"/>
      <x:c r="F450" s="216"/>
      <x:c r="G450" s="216"/>
      <x:c r="H450" s="216"/>
      <x:c r="I450" s="216"/>
      <x:c r="J450" s="216"/>
      <x:c r="K450" s="216"/>
      <x:c r="L450" s="216"/>
      <x:c r="M450" s="216"/>
      <x:c r="N450" s="216"/>
      <x:c r="O450" s="216"/>
      <x:c r="P450" s="216"/>
      <x:c r="Q450" s="216"/>
      <x:c r="R450" s="216"/>
      <x:c r="S450" s="216"/>
      <x:c r="T450" s="216"/>
      <x:c r="U450" s="216"/>
      <x:c r="V450" s="216"/>
      <x:c r="W450" s="216"/>
      <x:c r="X450" s="216"/>
      <x:c r="Y450" s="216"/>
      <x:c r="Z450" s="216"/>
    </x:row>
    <x:row r="451">
      <x:c r="A451" s="216"/>
      <x:c r="B451" s="216"/>
      <x:c r="C451" s="216"/>
      <x:c r="D451" s="216"/>
      <x:c r="E451" s="216"/>
      <x:c r="F451" s="216"/>
      <x:c r="G451" s="216"/>
      <x:c r="H451" s="216"/>
      <x:c r="I451" s="216"/>
      <x:c r="J451" s="216"/>
      <x:c r="K451" s="216"/>
      <x:c r="L451" s="216"/>
      <x:c r="M451" s="216"/>
      <x:c r="N451" s="216"/>
      <x:c r="O451" s="216"/>
      <x:c r="P451" s="216"/>
      <x:c r="Q451" s="216"/>
      <x:c r="R451" s="216"/>
      <x:c r="S451" s="216"/>
      <x:c r="T451" s="216"/>
      <x:c r="U451" s="216"/>
      <x:c r="V451" s="216"/>
      <x:c r="W451" s="216"/>
      <x:c r="X451" s="216"/>
      <x:c r="Y451" s="216"/>
      <x:c r="Z451" s="216"/>
    </x:row>
    <x:row r="452">
      <x:c r="A452" s="216"/>
      <x:c r="B452" s="216"/>
      <x:c r="C452" s="216"/>
      <x:c r="D452" s="216"/>
      <x:c r="E452" s="216"/>
      <x:c r="F452" s="216"/>
      <x:c r="G452" s="216"/>
      <x:c r="H452" s="216"/>
      <x:c r="I452" s="216"/>
      <x:c r="J452" s="216"/>
      <x:c r="K452" s="216"/>
      <x:c r="L452" s="216"/>
      <x:c r="M452" s="216"/>
      <x:c r="N452" s="216"/>
      <x:c r="O452" s="216"/>
      <x:c r="P452" s="216"/>
      <x:c r="Q452" s="216"/>
      <x:c r="R452" s="216"/>
      <x:c r="S452" s="216"/>
      <x:c r="T452" s="216"/>
      <x:c r="U452" s="216"/>
      <x:c r="V452" s="216"/>
      <x:c r="W452" s="216"/>
      <x:c r="X452" s="216"/>
      <x:c r="Y452" s="216"/>
      <x:c r="Z452" s="216"/>
    </x:row>
    <x:row r="453">
      <x:c r="A453" s="216"/>
      <x:c r="B453" s="216"/>
      <x:c r="C453" s="216"/>
      <x:c r="D453" s="216"/>
      <x:c r="E453" s="216"/>
      <x:c r="F453" s="216"/>
      <x:c r="G453" s="216"/>
      <x:c r="H453" s="216"/>
      <x:c r="I453" s="216"/>
      <x:c r="J453" s="216"/>
      <x:c r="K453" s="216"/>
      <x:c r="L453" s="216"/>
      <x:c r="M453" s="216"/>
      <x:c r="N453" s="216"/>
      <x:c r="O453" s="216"/>
      <x:c r="P453" s="216"/>
      <x:c r="Q453" s="216"/>
      <x:c r="R453" s="216"/>
      <x:c r="S453" s="216"/>
      <x:c r="T453" s="216"/>
      <x:c r="U453" s="216"/>
      <x:c r="V453" s="216"/>
      <x:c r="W453" s="216"/>
      <x:c r="X453" s="216"/>
      <x:c r="Y453" s="216"/>
      <x:c r="Z453" s="216"/>
    </x:row>
    <x:row r="454">
      <x:c r="A454" s="216"/>
      <x:c r="B454" s="216"/>
      <x:c r="C454" s="216"/>
      <x:c r="D454" s="216"/>
      <x:c r="E454" s="216"/>
      <x:c r="F454" s="216"/>
      <x:c r="G454" s="216"/>
      <x:c r="H454" s="216"/>
      <x:c r="I454" s="216"/>
      <x:c r="J454" s="216"/>
      <x:c r="K454" s="216"/>
      <x:c r="L454" s="216"/>
      <x:c r="M454" s="216"/>
      <x:c r="N454" s="216"/>
      <x:c r="O454" s="216"/>
      <x:c r="P454" s="216"/>
      <x:c r="Q454" s="216"/>
      <x:c r="R454" s="216"/>
      <x:c r="S454" s="216"/>
      <x:c r="T454" s="216"/>
      <x:c r="U454" s="216"/>
      <x:c r="V454" s="216"/>
      <x:c r="W454" s="216"/>
      <x:c r="X454" s="216"/>
      <x:c r="Y454" s="216"/>
      <x:c r="Z454" s="216"/>
    </x:row>
    <x:row r="455">
      <x:c r="A455" s="216"/>
      <x:c r="B455" s="216"/>
      <x:c r="C455" s="216"/>
      <x:c r="D455" s="216"/>
      <x:c r="E455" s="216"/>
      <x:c r="F455" s="216"/>
      <x:c r="G455" s="216"/>
      <x:c r="H455" s="216"/>
      <x:c r="I455" s="216"/>
      <x:c r="J455" s="216"/>
      <x:c r="K455" s="216"/>
      <x:c r="L455" s="216"/>
      <x:c r="M455" s="216"/>
      <x:c r="N455" s="216"/>
      <x:c r="O455" s="216"/>
      <x:c r="P455" s="216"/>
      <x:c r="Q455" s="216"/>
      <x:c r="R455" s="216"/>
      <x:c r="S455" s="216"/>
      <x:c r="T455" s="216"/>
      <x:c r="U455" s="216"/>
      <x:c r="V455" s="216"/>
      <x:c r="W455" s="216"/>
      <x:c r="X455" s="216"/>
      <x:c r="Y455" s="216"/>
      <x:c r="Z455" s="216"/>
    </x:row>
    <x:row r="456">
      <x:c r="A456" s="216"/>
      <x:c r="B456" s="216"/>
      <x:c r="C456" s="216"/>
      <x:c r="D456" s="216"/>
      <x:c r="E456" s="216"/>
      <x:c r="F456" s="216"/>
      <x:c r="G456" s="216"/>
      <x:c r="H456" s="216"/>
      <x:c r="I456" s="216"/>
      <x:c r="J456" s="216"/>
      <x:c r="K456" s="216"/>
      <x:c r="L456" s="216"/>
      <x:c r="M456" s="216"/>
      <x:c r="N456" s="216"/>
      <x:c r="O456" s="216"/>
      <x:c r="P456" s="216"/>
      <x:c r="Q456" s="216"/>
      <x:c r="R456" s="216"/>
      <x:c r="S456" s="216"/>
      <x:c r="T456" s="216"/>
      <x:c r="U456" s="216"/>
      <x:c r="V456" s="216"/>
      <x:c r="W456" s="216"/>
      <x:c r="X456" s="216"/>
      <x:c r="Y456" s="216"/>
      <x:c r="Z456" s="216"/>
    </x:row>
    <x:row r="457">
      <x:c r="A457" s="216"/>
      <x:c r="B457" s="216"/>
      <x:c r="C457" s="216"/>
      <x:c r="D457" s="216"/>
      <x:c r="E457" s="216"/>
      <x:c r="F457" s="216"/>
      <x:c r="G457" s="216"/>
      <x:c r="H457" s="216"/>
      <x:c r="I457" s="216"/>
      <x:c r="J457" s="216"/>
      <x:c r="K457" s="216"/>
      <x:c r="L457" s="216"/>
      <x:c r="M457" s="216"/>
      <x:c r="N457" s="216"/>
      <x:c r="O457" s="216"/>
      <x:c r="P457" s="216"/>
      <x:c r="Q457" s="216"/>
      <x:c r="R457" s="216"/>
      <x:c r="S457" s="216"/>
      <x:c r="T457" s="216"/>
      <x:c r="U457" s="216"/>
      <x:c r="V457" s="216"/>
      <x:c r="W457" s="216"/>
      <x:c r="X457" s="216"/>
      <x:c r="Y457" s="216"/>
      <x:c r="Z457" s="216"/>
    </x:row>
    <x:row r="458">
      <x:c r="A458" s="216"/>
      <x:c r="B458" s="216"/>
      <x:c r="C458" s="216"/>
      <x:c r="D458" s="216"/>
      <x:c r="E458" s="216"/>
      <x:c r="F458" s="216"/>
      <x:c r="G458" s="216"/>
      <x:c r="H458" s="216"/>
      <x:c r="I458" s="216"/>
      <x:c r="J458" s="216"/>
      <x:c r="K458" s="216"/>
      <x:c r="L458" s="216"/>
      <x:c r="M458" s="216"/>
      <x:c r="N458" s="216"/>
      <x:c r="O458" s="216"/>
      <x:c r="P458" s="216"/>
      <x:c r="Q458" s="216"/>
      <x:c r="R458" s="216"/>
      <x:c r="S458" s="216"/>
      <x:c r="T458" s="216"/>
      <x:c r="U458" s="216"/>
      <x:c r="V458" s="216"/>
      <x:c r="W458" s="216"/>
      <x:c r="X458" s="216"/>
      <x:c r="Y458" s="216"/>
      <x:c r="Z458" s="216"/>
    </x:row>
    <x:row r="459">
      <x:c r="A459" s="216"/>
      <x:c r="B459" s="216"/>
      <x:c r="C459" s="216"/>
      <x:c r="D459" s="216"/>
      <x:c r="E459" s="216"/>
      <x:c r="F459" s="216"/>
      <x:c r="G459" s="216"/>
      <x:c r="H459" s="216"/>
      <x:c r="I459" s="216"/>
      <x:c r="J459" s="216"/>
      <x:c r="K459" s="216"/>
      <x:c r="L459" s="216"/>
      <x:c r="M459" s="216"/>
      <x:c r="N459" s="216"/>
      <x:c r="O459" s="216"/>
      <x:c r="P459" s="216"/>
      <x:c r="Q459" s="216"/>
      <x:c r="R459" s="216"/>
      <x:c r="S459" s="216"/>
      <x:c r="T459" s="216"/>
      <x:c r="U459" s="216"/>
      <x:c r="V459" s="216"/>
      <x:c r="W459" s="216"/>
      <x:c r="X459" s="216"/>
      <x:c r="Y459" s="216"/>
      <x:c r="Z459" s="216"/>
    </x:row>
    <x:row r="460">
      <x:c r="A460" s="216"/>
      <x:c r="B460" s="216"/>
      <x:c r="C460" s="216"/>
      <x:c r="D460" s="216"/>
      <x:c r="E460" s="216"/>
      <x:c r="F460" s="216"/>
      <x:c r="G460" s="216"/>
      <x:c r="H460" s="216"/>
      <x:c r="I460" s="216"/>
      <x:c r="J460" s="216"/>
      <x:c r="K460" s="216"/>
      <x:c r="L460" s="216"/>
      <x:c r="M460" s="216"/>
      <x:c r="N460" s="216"/>
      <x:c r="O460" s="216"/>
      <x:c r="P460" s="216"/>
      <x:c r="Q460" s="216"/>
      <x:c r="R460" s="216"/>
      <x:c r="S460" s="216"/>
      <x:c r="T460" s="216"/>
      <x:c r="U460" s="216"/>
      <x:c r="V460" s="216"/>
      <x:c r="W460" s="216"/>
      <x:c r="X460" s="216"/>
      <x:c r="Y460" s="216"/>
      <x:c r="Z460" s="216"/>
    </x:row>
    <x:row r="461">
      <x:c r="A461" s="216"/>
      <x:c r="B461" s="216"/>
      <x:c r="C461" s="216"/>
      <x:c r="D461" s="216"/>
      <x:c r="E461" s="216"/>
      <x:c r="F461" s="216"/>
      <x:c r="G461" s="216"/>
      <x:c r="H461" s="216"/>
      <x:c r="I461" s="216"/>
      <x:c r="J461" s="216"/>
      <x:c r="K461" s="216"/>
      <x:c r="L461" s="216"/>
      <x:c r="M461" s="216"/>
      <x:c r="N461" s="216"/>
      <x:c r="O461" s="216"/>
      <x:c r="P461" s="216"/>
      <x:c r="Q461" s="216"/>
      <x:c r="R461" s="216"/>
      <x:c r="S461" s="216"/>
      <x:c r="T461" s="216"/>
      <x:c r="U461" s="216"/>
      <x:c r="V461" s="216"/>
      <x:c r="W461" s="216"/>
      <x:c r="X461" s="216"/>
      <x:c r="Y461" s="216"/>
      <x:c r="Z461" s="216"/>
    </x:row>
    <x:row r="462">
      <x:c r="A462" s="216"/>
      <x:c r="B462" s="216"/>
      <x:c r="C462" s="216"/>
      <x:c r="D462" s="216"/>
      <x:c r="E462" s="216"/>
      <x:c r="F462" s="216"/>
      <x:c r="G462" s="216"/>
      <x:c r="H462" s="216"/>
      <x:c r="I462" s="216"/>
      <x:c r="J462" s="216"/>
      <x:c r="K462" s="216"/>
      <x:c r="L462" s="216"/>
      <x:c r="M462" s="216"/>
      <x:c r="N462" s="216"/>
      <x:c r="O462" s="216"/>
      <x:c r="P462" s="216"/>
      <x:c r="Q462" s="216"/>
      <x:c r="R462" s="216"/>
      <x:c r="S462" s="216"/>
      <x:c r="T462" s="216"/>
      <x:c r="U462" s="216"/>
      <x:c r="V462" s="216"/>
      <x:c r="W462" s="216"/>
      <x:c r="X462" s="216"/>
      <x:c r="Y462" s="216"/>
      <x:c r="Z462" s="216"/>
    </x:row>
    <x:row r="463">
      <x:c r="A463" s="216"/>
      <x:c r="B463" s="216"/>
      <x:c r="C463" s="216"/>
      <x:c r="D463" s="216"/>
      <x:c r="E463" s="216"/>
      <x:c r="F463" s="216"/>
      <x:c r="G463" s="216"/>
      <x:c r="H463" s="216"/>
      <x:c r="I463" s="216"/>
      <x:c r="J463" s="216"/>
      <x:c r="K463" s="216"/>
      <x:c r="L463" s="216"/>
      <x:c r="M463" s="216"/>
      <x:c r="N463" s="216"/>
      <x:c r="O463" s="216"/>
      <x:c r="P463" s="216"/>
      <x:c r="Q463" s="216"/>
      <x:c r="R463" s="216"/>
      <x:c r="S463" s="216"/>
      <x:c r="T463" s="216"/>
      <x:c r="U463" s="216"/>
      <x:c r="V463" s="216"/>
      <x:c r="W463" s="216"/>
      <x:c r="X463" s="216"/>
      <x:c r="Y463" s="216"/>
      <x:c r="Z463" s="216"/>
    </x:row>
    <x:row r="464">
      <x:c r="A464" s="216"/>
      <x:c r="B464" s="216"/>
      <x:c r="C464" s="216"/>
      <x:c r="D464" s="216"/>
      <x:c r="E464" s="216"/>
      <x:c r="F464" s="216"/>
      <x:c r="G464" s="216"/>
      <x:c r="H464" s="216"/>
      <x:c r="I464" s="216"/>
      <x:c r="J464" s="216"/>
      <x:c r="K464" s="216"/>
      <x:c r="L464" s="216"/>
      <x:c r="M464" s="216"/>
      <x:c r="N464" s="216"/>
      <x:c r="O464" s="216"/>
      <x:c r="P464" s="216"/>
      <x:c r="Q464" s="216"/>
      <x:c r="R464" s="216"/>
      <x:c r="S464" s="216"/>
      <x:c r="T464" s="216"/>
      <x:c r="U464" s="216"/>
      <x:c r="V464" s="216"/>
      <x:c r="W464" s="216"/>
      <x:c r="X464" s="216"/>
      <x:c r="Y464" s="216"/>
      <x:c r="Z464" s="216"/>
    </x:row>
    <x:row r="465">
      <x:c r="A465" s="216"/>
      <x:c r="B465" s="216"/>
      <x:c r="C465" s="216"/>
      <x:c r="D465" s="216"/>
      <x:c r="E465" s="216"/>
      <x:c r="F465" s="216"/>
      <x:c r="G465" s="216"/>
      <x:c r="H465" s="216"/>
      <x:c r="I465" s="216"/>
      <x:c r="J465" s="216"/>
      <x:c r="K465" s="216"/>
      <x:c r="L465" s="216"/>
      <x:c r="M465" s="216"/>
      <x:c r="N465" s="216"/>
      <x:c r="O465" s="216"/>
      <x:c r="P465" s="216"/>
      <x:c r="Q465" s="216"/>
      <x:c r="R465" s="216"/>
      <x:c r="S465" s="216"/>
      <x:c r="T465" s="216"/>
      <x:c r="U465" s="216"/>
      <x:c r="V465" s="216"/>
      <x:c r="W465" s="216"/>
      <x:c r="X465" s="216"/>
      <x:c r="Y465" s="216"/>
      <x:c r="Z465" s="216"/>
    </x:row>
    <x:row r="466">
      <x:c r="A466" s="216"/>
      <x:c r="B466" s="216"/>
      <x:c r="C466" s="216"/>
      <x:c r="D466" s="216"/>
      <x:c r="E466" s="216"/>
      <x:c r="F466" s="216"/>
      <x:c r="G466" s="216"/>
      <x:c r="H466" s="216"/>
      <x:c r="I466" s="216"/>
      <x:c r="J466" s="216"/>
      <x:c r="K466" s="216"/>
      <x:c r="L466" s="216"/>
      <x:c r="M466" s="216"/>
      <x:c r="N466" s="216"/>
      <x:c r="O466" s="216"/>
      <x:c r="P466" s="216"/>
      <x:c r="Q466" s="216"/>
      <x:c r="R466" s="216"/>
      <x:c r="S466" s="216"/>
      <x:c r="T466" s="216"/>
      <x:c r="U466" s="216"/>
      <x:c r="V466" s="216"/>
      <x:c r="W466" s="216"/>
      <x:c r="X466" s="216"/>
      <x:c r="Y466" s="216"/>
      <x:c r="Z466" s="216"/>
    </x:row>
    <x:row r="467">
      <x:c r="A467" s="216"/>
      <x:c r="B467" s="216"/>
      <x:c r="C467" s="216"/>
      <x:c r="D467" s="216"/>
      <x:c r="E467" s="216"/>
      <x:c r="F467" s="216"/>
      <x:c r="G467" s="216"/>
      <x:c r="H467" s="216"/>
      <x:c r="I467" s="216"/>
      <x:c r="J467" s="216"/>
      <x:c r="K467" s="216"/>
      <x:c r="L467" s="216"/>
      <x:c r="M467" s="216"/>
      <x:c r="N467" s="216"/>
      <x:c r="O467" s="216"/>
      <x:c r="P467" s="216"/>
      <x:c r="Q467" s="216"/>
      <x:c r="R467" s="216"/>
      <x:c r="S467" s="216"/>
      <x:c r="T467" s="216"/>
      <x:c r="U467" s="216"/>
      <x:c r="V467" s="216"/>
      <x:c r="W467" s="216"/>
      <x:c r="X467" s="216"/>
      <x:c r="Y467" s="216"/>
      <x:c r="Z467" s="216"/>
    </x:row>
    <x:row r="468">
      <x:c r="A468" s="216"/>
      <x:c r="B468" s="216"/>
      <x:c r="C468" s="216"/>
      <x:c r="D468" s="216"/>
      <x:c r="E468" s="216"/>
      <x:c r="F468" s="216"/>
      <x:c r="G468" s="216"/>
      <x:c r="H468" s="216"/>
      <x:c r="I468" s="216"/>
      <x:c r="J468" s="216"/>
      <x:c r="K468" s="216"/>
      <x:c r="L468" s="216"/>
      <x:c r="M468" s="216"/>
      <x:c r="N468" s="216"/>
      <x:c r="O468" s="216"/>
      <x:c r="P468" s="216"/>
      <x:c r="Q468" s="216"/>
      <x:c r="R468" s="216"/>
      <x:c r="S468" s="216"/>
      <x:c r="T468" s="216"/>
      <x:c r="U468" s="216"/>
      <x:c r="V468" s="216"/>
      <x:c r="W468" s="216"/>
      <x:c r="X468" s="216"/>
      <x:c r="Y468" s="216"/>
      <x:c r="Z468" s="216"/>
    </x:row>
    <x:row r="469">
      <x:c r="A469" s="216"/>
      <x:c r="B469" s="216"/>
      <x:c r="C469" s="216"/>
      <x:c r="D469" s="216"/>
      <x:c r="E469" s="216"/>
      <x:c r="F469" s="216"/>
      <x:c r="G469" s="216"/>
      <x:c r="H469" s="216"/>
      <x:c r="I469" s="216"/>
      <x:c r="J469" s="216"/>
      <x:c r="K469" s="216"/>
      <x:c r="L469" s="216"/>
      <x:c r="M469" s="216"/>
      <x:c r="N469" s="216"/>
      <x:c r="O469" s="216"/>
      <x:c r="P469" s="216"/>
      <x:c r="Q469" s="216"/>
      <x:c r="R469" s="216"/>
      <x:c r="S469" s="216"/>
      <x:c r="T469" s="216"/>
      <x:c r="U469" s="216"/>
      <x:c r="V469" s="216"/>
      <x:c r="W469" s="216"/>
      <x:c r="X469" s="216"/>
      <x:c r="Y469" s="216"/>
      <x:c r="Z469" s="216"/>
    </x:row>
    <x:row r="470">
      <x:c r="A470" s="216"/>
      <x:c r="B470" s="216"/>
      <x:c r="C470" s="216"/>
      <x:c r="D470" s="216"/>
      <x:c r="E470" s="216"/>
      <x:c r="F470" s="216"/>
      <x:c r="G470" s="216"/>
      <x:c r="H470" s="216"/>
      <x:c r="I470" s="216"/>
      <x:c r="J470" s="216"/>
      <x:c r="K470" s="216"/>
      <x:c r="L470" s="216"/>
      <x:c r="M470" s="216"/>
      <x:c r="N470" s="216"/>
      <x:c r="O470" s="216"/>
      <x:c r="P470" s="216"/>
      <x:c r="Q470" s="216"/>
      <x:c r="R470" s="216"/>
      <x:c r="S470" s="216"/>
      <x:c r="T470" s="216"/>
      <x:c r="U470" s="216"/>
      <x:c r="V470" s="216"/>
      <x:c r="W470" s="216"/>
      <x:c r="X470" s="216"/>
      <x:c r="Y470" s="216"/>
      <x:c r="Z470" s="216"/>
    </x:row>
    <x:row r="471">
      <x:c r="A471" s="216"/>
      <x:c r="B471" s="216"/>
      <x:c r="C471" s="216"/>
      <x:c r="D471" s="216"/>
      <x:c r="E471" s="216"/>
      <x:c r="F471" s="216"/>
      <x:c r="G471" s="216"/>
      <x:c r="H471" s="216"/>
      <x:c r="I471" s="216"/>
      <x:c r="J471" s="216"/>
      <x:c r="K471" s="216"/>
      <x:c r="L471" s="216"/>
      <x:c r="M471" s="216"/>
      <x:c r="N471" s="216"/>
      <x:c r="O471" s="216"/>
      <x:c r="P471" s="216"/>
      <x:c r="Q471" s="216"/>
      <x:c r="R471" s="216"/>
      <x:c r="S471" s="216"/>
      <x:c r="T471" s="216"/>
      <x:c r="U471" s="216"/>
      <x:c r="V471" s="216"/>
      <x:c r="W471" s="216"/>
      <x:c r="X471" s="216"/>
      <x:c r="Y471" s="216"/>
      <x:c r="Z471" s="216"/>
    </x:row>
    <x:row r="472">
      <x:c r="A472" s="216"/>
      <x:c r="B472" s="216"/>
      <x:c r="C472" s="216"/>
      <x:c r="D472" s="216"/>
      <x:c r="E472" s="216"/>
      <x:c r="F472" s="216"/>
      <x:c r="G472" s="216"/>
      <x:c r="H472" s="216"/>
      <x:c r="I472" s="216"/>
      <x:c r="J472" s="216"/>
      <x:c r="K472" s="216"/>
      <x:c r="L472" s="216"/>
      <x:c r="M472" s="216"/>
      <x:c r="N472" s="216"/>
      <x:c r="O472" s="216"/>
      <x:c r="P472" s="216"/>
      <x:c r="Q472" s="216"/>
      <x:c r="R472" s="216"/>
      <x:c r="S472" s="216"/>
      <x:c r="T472" s="216"/>
      <x:c r="U472" s="216"/>
      <x:c r="V472" s="216"/>
      <x:c r="W472" s="216"/>
      <x:c r="X472" s="216"/>
      <x:c r="Y472" s="216"/>
      <x:c r="Z472" s="216"/>
    </x:row>
    <x:row r="473">
      <x:c r="A473" s="216"/>
      <x:c r="B473" s="216"/>
      <x:c r="C473" s="216"/>
      <x:c r="D473" s="216"/>
      <x:c r="E473" s="216"/>
      <x:c r="F473" s="216"/>
      <x:c r="G473" s="216"/>
      <x:c r="H473" s="216"/>
      <x:c r="I473" s="216"/>
      <x:c r="J473" s="216"/>
      <x:c r="K473" s="216"/>
      <x:c r="L473" s="216"/>
      <x:c r="M473" s="216"/>
      <x:c r="N473" s="216"/>
      <x:c r="O473" s="216"/>
      <x:c r="P473" s="216"/>
      <x:c r="Q473" s="216"/>
      <x:c r="R473" s="216"/>
      <x:c r="S473" s="216"/>
      <x:c r="T473" s="216"/>
      <x:c r="U473" s="216"/>
      <x:c r="V473" s="216"/>
      <x:c r="W473" s="216"/>
      <x:c r="X473" s="216"/>
      <x:c r="Y473" s="216"/>
      <x:c r="Z473" s="216"/>
    </x:row>
    <x:row r="474">
      <x:c r="A474" s="216"/>
      <x:c r="B474" s="216"/>
      <x:c r="C474" s="216"/>
      <x:c r="D474" s="216"/>
      <x:c r="E474" s="216"/>
      <x:c r="F474" s="216"/>
      <x:c r="G474" s="216"/>
      <x:c r="H474" s="216"/>
      <x:c r="I474" s="216"/>
      <x:c r="J474" s="216"/>
      <x:c r="K474" s="216"/>
      <x:c r="L474" s="216"/>
      <x:c r="M474" s="216"/>
      <x:c r="N474" s="216"/>
      <x:c r="O474" s="216"/>
      <x:c r="P474" s="216"/>
      <x:c r="Q474" s="216"/>
      <x:c r="R474" s="216"/>
      <x:c r="S474" s="216"/>
      <x:c r="T474" s="216"/>
      <x:c r="U474" s="216"/>
      <x:c r="V474" s="216"/>
      <x:c r="W474" s="216"/>
      <x:c r="X474" s="216"/>
      <x:c r="Y474" s="216"/>
      <x:c r="Z474" s="216"/>
    </x:row>
    <x:row r="475">
      <x:c r="A475" s="216"/>
      <x:c r="B475" s="216"/>
      <x:c r="C475" s="216"/>
      <x:c r="D475" s="216"/>
      <x:c r="E475" s="216"/>
      <x:c r="F475" s="216"/>
      <x:c r="G475" s="216"/>
      <x:c r="H475" s="216"/>
      <x:c r="I475" s="216"/>
      <x:c r="J475" s="216"/>
      <x:c r="K475" s="216"/>
      <x:c r="L475" s="216"/>
      <x:c r="M475" s="216"/>
      <x:c r="N475" s="216"/>
      <x:c r="O475" s="216"/>
      <x:c r="P475" s="216"/>
      <x:c r="Q475" s="216"/>
      <x:c r="R475" s="216"/>
      <x:c r="S475" s="216"/>
      <x:c r="T475" s="216"/>
      <x:c r="U475" s="216"/>
      <x:c r="V475" s="216"/>
      <x:c r="W475" s="216"/>
      <x:c r="X475" s="216"/>
      <x:c r="Y475" s="216"/>
      <x:c r="Z475" s="216"/>
    </x:row>
    <x:row r="476">
      <x:c r="A476" s="216"/>
      <x:c r="B476" s="216"/>
      <x:c r="C476" s="216"/>
      <x:c r="D476" s="216"/>
      <x:c r="E476" s="216"/>
      <x:c r="F476" s="216"/>
      <x:c r="G476" s="216"/>
      <x:c r="H476" s="216"/>
      <x:c r="I476" s="216"/>
      <x:c r="J476" s="216"/>
      <x:c r="K476" s="216"/>
      <x:c r="L476" s="216"/>
      <x:c r="M476" s="216"/>
      <x:c r="N476" s="216"/>
      <x:c r="O476" s="216"/>
      <x:c r="P476" s="216"/>
      <x:c r="Q476" s="216"/>
      <x:c r="R476" s="216"/>
      <x:c r="S476" s="216"/>
      <x:c r="T476" s="216"/>
      <x:c r="U476" s="216"/>
      <x:c r="V476" s="216"/>
      <x:c r="W476" s="216"/>
      <x:c r="X476" s="216"/>
      <x:c r="Y476" s="216"/>
      <x:c r="Z476" s="216"/>
    </x:row>
    <x:row r="477">
      <x:c r="A477" s="216"/>
      <x:c r="B477" s="216"/>
      <x:c r="C477" s="216"/>
      <x:c r="D477" s="216"/>
      <x:c r="E477" s="216"/>
      <x:c r="F477" s="216"/>
      <x:c r="G477" s="216"/>
      <x:c r="H477" s="216"/>
      <x:c r="I477" s="216"/>
      <x:c r="J477" s="216"/>
      <x:c r="K477" s="216"/>
      <x:c r="L477" s="216"/>
      <x:c r="M477" s="216"/>
      <x:c r="N477" s="216"/>
      <x:c r="O477" s="216"/>
      <x:c r="P477" s="216"/>
      <x:c r="Q477" s="216"/>
      <x:c r="R477" s="216"/>
      <x:c r="S477" s="216"/>
      <x:c r="T477" s="216"/>
      <x:c r="U477" s="216"/>
      <x:c r="V477" s="216"/>
      <x:c r="W477" s="216"/>
      <x:c r="X477" s="216"/>
      <x:c r="Y477" s="216"/>
      <x:c r="Z477" s="216"/>
    </x:row>
    <x:row r="478">
      <x:c r="A478" s="216"/>
      <x:c r="B478" s="216"/>
      <x:c r="C478" s="216"/>
      <x:c r="D478" s="216"/>
      <x:c r="E478" s="216"/>
      <x:c r="F478" s="216"/>
      <x:c r="G478" s="216"/>
      <x:c r="H478" s="216"/>
      <x:c r="I478" s="216"/>
      <x:c r="J478" s="216"/>
      <x:c r="K478" s="216"/>
      <x:c r="L478" s="216"/>
      <x:c r="M478" s="216"/>
      <x:c r="N478" s="216"/>
      <x:c r="O478" s="216"/>
      <x:c r="P478" s="216"/>
      <x:c r="Q478" s="216"/>
      <x:c r="R478" s="216"/>
      <x:c r="S478" s="216"/>
      <x:c r="T478" s="216"/>
      <x:c r="U478" s="216"/>
      <x:c r="V478" s="216"/>
      <x:c r="W478" s="216"/>
      <x:c r="X478" s="216"/>
      <x:c r="Y478" s="216"/>
      <x:c r="Z478" s="216"/>
    </x:row>
    <x:row r="479">
      <x:c r="A479" s="216"/>
      <x:c r="B479" s="216"/>
      <x:c r="C479" s="216"/>
      <x:c r="D479" s="216"/>
      <x:c r="E479" s="216"/>
      <x:c r="F479" s="216"/>
      <x:c r="G479" s="216"/>
      <x:c r="H479" s="216"/>
      <x:c r="I479" s="216"/>
      <x:c r="J479" s="216"/>
      <x:c r="K479" s="216"/>
      <x:c r="L479" s="216"/>
      <x:c r="M479" s="216"/>
      <x:c r="N479" s="216"/>
      <x:c r="O479" s="216"/>
      <x:c r="P479" s="216"/>
      <x:c r="Q479" s="216"/>
      <x:c r="R479" s="216"/>
      <x:c r="S479" s="216"/>
      <x:c r="T479" s="216"/>
      <x:c r="U479" s="216"/>
      <x:c r="V479" s="216"/>
      <x:c r="W479" s="216"/>
      <x:c r="X479" s="216"/>
      <x:c r="Y479" s="216"/>
      <x:c r="Z479" s="216"/>
    </x:row>
    <x:row r="480">
      <x:c r="A480" s="216"/>
      <x:c r="B480" s="216"/>
      <x:c r="C480" s="216"/>
      <x:c r="D480" s="216"/>
      <x:c r="E480" s="216"/>
      <x:c r="F480" s="216"/>
      <x:c r="G480" s="216"/>
      <x:c r="H480" s="216"/>
      <x:c r="I480" s="216"/>
      <x:c r="J480" s="216"/>
      <x:c r="K480" s="216"/>
      <x:c r="L480" s="216"/>
      <x:c r="M480" s="216"/>
      <x:c r="N480" s="216"/>
      <x:c r="O480" s="216"/>
      <x:c r="P480" s="216"/>
      <x:c r="Q480" s="216"/>
      <x:c r="R480" s="216"/>
      <x:c r="S480" s="216"/>
      <x:c r="T480" s="216"/>
      <x:c r="U480" s="216"/>
      <x:c r="V480" s="216"/>
      <x:c r="W480" s="216"/>
      <x:c r="X480" s="216"/>
      <x:c r="Y480" s="216"/>
      <x:c r="Z480" s="216"/>
    </x:row>
    <x:row r="481">
      <x:c r="A481" s="216"/>
      <x:c r="B481" s="216"/>
      <x:c r="C481" s="216"/>
      <x:c r="D481" s="216"/>
      <x:c r="E481" s="216"/>
      <x:c r="F481" s="216"/>
      <x:c r="G481" s="216"/>
      <x:c r="H481" s="216"/>
      <x:c r="I481" s="216"/>
      <x:c r="J481" s="216"/>
      <x:c r="K481" s="216"/>
      <x:c r="L481" s="216"/>
      <x:c r="M481" s="216"/>
      <x:c r="N481" s="216"/>
      <x:c r="O481" s="216"/>
      <x:c r="P481" s="216"/>
      <x:c r="Q481" s="216"/>
      <x:c r="R481" s="216"/>
      <x:c r="S481" s="216"/>
      <x:c r="T481" s="216"/>
      <x:c r="U481" s="216"/>
      <x:c r="V481" s="216"/>
      <x:c r="W481" s="216"/>
      <x:c r="X481" s="216"/>
      <x:c r="Y481" s="216"/>
      <x:c r="Z481" s="216"/>
    </x:row>
    <x:row r="482">
      <x:c r="A482" s="216"/>
      <x:c r="B482" s="216"/>
      <x:c r="C482" s="216"/>
      <x:c r="D482" s="216"/>
      <x:c r="E482" s="216"/>
      <x:c r="F482" s="216"/>
      <x:c r="G482" s="216"/>
      <x:c r="H482" s="216"/>
      <x:c r="I482" s="216"/>
      <x:c r="J482" s="216"/>
      <x:c r="K482" s="216"/>
      <x:c r="L482" s="216"/>
      <x:c r="M482" s="216"/>
      <x:c r="N482" s="216"/>
      <x:c r="O482" s="216"/>
      <x:c r="P482" s="216"/>
      <x:c r="Q482" s="216"/>
      <x:c r="R482" s="216"/>
      <x:c r="S482" s="216"/>
      <x:c r="T482" s="216"/>
      <x:c r="U482" s="216"/>
      <x:c r="V482" s="216"/>
      <x:c r="W482" s="216"/>
      <x:c r="X482" s="216"/>
      <x:c r="Y482" s="216"/>
      <x:c r="Z482" s="216"/>
    </x:row>
    <x:row r="483">
      <x:c r="A483" s="216"/>
      <x:c r="B483" s="216"/>
      <x:c r="C483" s="216"/>
      <x:c r="D483" s="216"/>
      <x:c r="E483" s="216"/>
      <x:c r="F483" s="216"/>
      <x:c r="G483" s="216"/>
      <x:c r="H483" s="216"/>
      <x:c r="I483" s="216"/>
      <x:c r="J483" s="216"/>
      <x:c r="K483" s="216"/>
      <x:c r="L483" s="216"/>
      <x:c r="M483" s="216"/>
      <x:c r="N483" s="216"/>
      <x:c r="O483" s="216"/>
      <x:c r="P483" s="216"/>
      <x:c r="Q483" s="216"/>
      <x:c r="R483" s="216"/>
      <x:c r="S483" s="216"/>
      <x:c r="T483" s="216"/>
      <x:c r="U483" s="216"/>
      <x:c r="V483" s="216"/>
      <x:c r="W483" s="216"/>
      <x:c r="X483" s="216"/>
      <x:c r="Y483" s="216"/>
      <x:c r="Z483" s="216"/>
    </x:row>
    <x:row r="484">
      <x:c r="A484" s="216"/>
      <x:c r="B484" s="216"/>
      <x:c r="C484" s="216"/>
      <x:c r="D484" s="216"/>
      <x:c r="E484" s="216"/>
      <x:c r="F484" s="216"/>
      <x:c r="G484" s="216"/>
      <x:c r="H484" s="216"/>
      <x:c r="I484" s="216"/>
      <x:c r="J484" s="216"/>
      <x:c r="K484" s="216"/>
      <x:c r="L484" s="216"/>
      <x:c r="M484" s="216"/>
      <x:c r="N484" s="216"/>
      <x:c r="O484" s="216"/>
      <x:c r="P484" s="216"/>
      <x:c r="Q484" s="216"/>
      <x:c r="R484" s="216"/>
      <x:c r="S484" s="216"/>
      <x:c r="T484" s="216"/>
      <x:c r="U484" s="216"/>
      <x:c r="V484" s="216"/>
      <x:c r="W484" s="216"/>
      <x:c r="X484" s="216"/>
      <x:c r="Y484" s="216"/>
      <x:c r="Z484" s="216"/>
    </x:row>
    <x:row r="485">
      <x:c r="A485" s="216"/>
      <x:c r="B485" s="216"/>
      <x:c r="C485" s="216"/>
      <x:c r="D485" s="216"/>
      <x:c r="E485" s="216"/>
      <x:c r="F485" s="216"/>
      <x:c r="G485" s="216"/>
      <x:c r="H485" s="216"/>
      <x:c r="I485" s="216"/>
      <x:c r="J485" s="216"/>
      <x:c r="K485" s="216"/>
      <x:c r="L485" s="216"/>
      <x:c r="M485" s="216"/>
      <x:c r="N485" s="216"/>
      <x:c r="O485" s="216"/>
      <x:c r="P485" s="216"/>
      <x:c r="Q485" s="216"/>
      <x:c r="R485" s="216"/>
      <x:c r="S485" s="216"/>
      <x:c r="T485" s="216"/>
      <x:c r="U485" s="216"/>
      <x:c r="V485" s="216"/>
      <x:c r="W485" s="216"/>
      <x:c r="X485" s="216"/>
      <x:c r="Y485" s="216"/>
      <x:c r="Z485" s="216"/>
    </x:row>
    <x:row r="486">
      <x:c r="A486" s="216"/>
      <x:c r="B486" s="216"/>
      <x:c r="C486" s="216"/>
      <x:c r="D486" s="216"/>
      <x:c r="E486" s="216"/>
      <x:c r="F486" s="216"/>
      <x:c r="G486" s="216"/>
      <x:c r="H486" s="216"/>
      <x:c r="I486" s="216"/>
      <x:c r="J486" s="216"/>
      <x:c r="K486" s="216"/>
      <x:c r="L486" s="216"/>
      <x:c r="M486" s="216"/>
      <x:c r="N486" s="216"/>
      <x:c r="O486" s="216"/>
      <x:c r="P486" s="216"/>
      <x:c r="Q486" s="216"/>
      <x:c r="R486" s="216"/>
      <x:c r="S486" s="216"/>
      <x:c r="T486" s="216"/>
      <x:c r="U486" s="216"/>
      <x:c r="V486" s="216"/>
      <x:c r="W486" s="216"/>
      <x:c r="X486" s="216"/>
      <x:c r="Y486" s="216"/>
      <x:c r="Z486" s="216"/>
    </x:row>
    <x:row r="487">
      <x:c r="A487" s="216"/>
      <x:c r="B487" s="216"/>
      <x:c r="C487" s="216"/>
      <x:c r="D487" s="216"/>
      <x:c r="E487" s="216"/>
      <x:c r="F487" s="216"/>
      <x:c r="G487" s="216"/>
      <x:c r="H487" s="216"/>
      <x:c r="I487" s="216"/>
      <x:c r="J487" s="216"/>
      <x:c r="K487" s="216"/>
      <x:c r="L487" s="216"/>
      <x:c r="M487" s="216"/>
      <x:c r="N487" s="216"/>
      <x:c r="O487" s="216"/>
      <x:c r="P487" s="216"/>
      <x:c r="Q487" s="216"/>
      <x:c r="R487" s="216"/>
      <x:c r="S487" s="216"/>
      <x:c r="T487" s="216"/>
      <x:c r="U487" s="216"/>
      <x:c r="V487" s="216"/>
      <x:c r="W487" s="216"/>
      <x:c r="X487" s="216"/>
      <x:c r="Y487" s="216"/>
      <x:c r="Z487" s="216"/>
    </x:row>
    <x:row r="488">
      <x:c r="A488" s="216"/>
      <x:c r="B488" s="216"/>
      <x:c r="C488" s="216"/>
      <x:c r="D488" s="216"/>
      <x:c r="E488" s="216"/>
      <x:c r="F488" s="216"/>
      <x:c r="G488" s="216"/>
      <x:c r="H488" s="216"/>
      <x:c r="I488" s="216"/>
      <x:c r="J488" s="216"/>
      <x:c r="K488" s="216"/>
      <x:c r="L488" s="216"/>
      <x:c r="M488" s="216"/>
      <x:c r="N488" s="216"/>
      <x:c r="O488" s="216"/>
      <x:c r="P488" s="216"/>
      <x:c r="Q488" s="216"/>
      <x:c r="R488" s="216"/>
      <x:c r="S488" s="216"/>
      <x:c r="T488" s="216"/>
      <x:c r="U488" s="216"/>
      <x:c r="V488" s="216"/>
      <x:c r="W488" s="216"/>
      <x:c r="X488" s="216"/>
      <x:c r="Y488" s="216"/>
      <x:c r="Z488" s="216"/>
    </x:row>
    <x:row r="489">
      <x:c r="A489" s="216"/>
      <x:c r="B489" s="216"/>
      <x:c r="C489" s="216"/>
      <x:c r="D489" s="216"/>
      <x:c r="E489" s="216"/>
      <x:c r="F489" s="216"/>
      <x:c r="G489" s="216"/>
      <x:c r="H489" s="216"/>
      <x:c r="I489" s="216"/>
      <x:c r="J489" s="216"/>
      <x:c r="K489" s="216"/>
      <x:c r="L489" s="216"/>
      <x:c r="M489" s="216"/>
      <x:c r="N489" s="216"/>
      <x:c r="O489" s="216"/>
      <x:c r="P489" s="216"/>
      <x:c r="Q489" s="216"/>
      <x:c r="R489" s="216"/>
      <x:c r="S489" s="216"/>
      <x:c r="T489" s="216"/>
      <x:c r="U489" s="216"/>
      <x:c r="V489" s="216"/>
      <x:c r="W489" s="216"/>
      <x:c r="X489" s="216"/>
      <x:c r="Y489" s="216"/>
      <x:c r="Z489" s="216"/>
    </x:row>
    <x:row r="490">
      <x:c r="A490" s="216"/>
      <x:c r="B490" s="216"/>
      <x:c r="C490" s="216"/>
      <x:c r="D490" s="216"/>
      <x:c r="E490" s="216"/>
      <x:c r="F490" s="216"/>
      <x:c r="G490" s="216"/>
      <x:c r="H490" s="216"/>
      <x:c r="I490" s="216"/>
      <x:c r="J490" s="216"/>
      <x:c r="K490" s="216"/>
      <x:c r="L490" s="216"/>
      <x:c r="M490" s="216"/>
      <x:c r="N490" s="216"/>
      <x:c r="O490" s="216"/>
      <x:c r="P490" s="216"/>
      <x:c r="Q490" s="216"/>
      <x:c r="R490" s="216"/>
      <x:c r="S490" s="216"/>
      <x:c r="T490" s="216"/>
      <x:c r="U490" s="216"/>
      <x:c r="V490" s="216"/>
      <x:c r="W490" s="216"/>
      <x:c r="X490" s="216"/>
      <x:c r="Y490" s="216"/>
      <x:c r="Z490" s="216"/>
    </x:row>
    <x:row r="491">
      <x:c r="A491" s="216"/>
      <x:c r="B491" s="216"/>
      <x:c r="C491" s="216"/>
      <x:c r="D491" s="216"/>
      <x:c r="E491" s="216"/>
      <x:c r="F491" s="216"/>
      <x:c r="G491" s="216"/>
      <x:c r="H491" s="216"/>
      <x:c r="I491" s="216"/>
      <x:c r="J491" s="216"/>
      <x:c r="K491" s="216"/>
      <x:c r="L491" s="216"/>
      <x:c r="M491" s="216"/>
      <x:c r="N491" s="216"/>
      <x:c r="O491" s="216"/>
      <x:c r="P491" s="216"/>
      <x:c r="Q491" s="216"/>
      <x:c r="R491" s="216"/>
      <x:c r="S491" s="216"/>
      <x:c r="T491" s="216"/>
      <x:c r="U491" s="216"/>
      <x:c r="V491" s="216"/>
      <x:c r="W491" s="216"/>
      <x:c r="X491" s="216"/>
      <x:c r="Y491" s="216"/>
      <x:c r="Z491" s="216"/>
    </x:row>
    <x:row r="492">
      <x:c r="A492" s="216"/>
      <x:c r="B492" s="216"/>
      <x:c r="C492" s="216"/>
      <x:c r="D492" s="216"/>
      <x:c r="E492" s="216"/>
      <x:c r="F492" s="216"/>
      <x:c r="G492" s="216"/>
      <x:c r="H492" s="216"/>
      <x:c r="I492" s="216"/>
      <x:c r="J492" s="216"/>
      <x:c r="K492" s="216"/>
      <x:c r="L492" s="216"/>
      <x:c r="M492" s="216"/>
      <x:c r="N492" s="216"/>
      <x:c r="O492" s="216"/>
      <x:c r="P492" s="216"/>
      <x:c r="Q492" s="216"/>
      <x:c r="R492" s="216"/>
      <x:c r="S492" s="216"/>
      <x:c r="T492" s="216"/>
      <x:c r="U492" s="216"/>
      <x:c r="V492" s="216"/>
      <x:c r="W492" s="216"/>
      <x:c r="X492" s="216"/>
      <x:c r="Y492" s="216"/>
      <x:c r="Z492" s="216"/>
    </x:row>
    <x:row r="493">
      <x:c r="A493" s="216"/>
      <x:c r="B493" s="216"/>
      <x:c r="C493" s="216"/>
      <x:c r="D493" s="216"/>
      <x:c r="E493" s="216"/>
      <x:c r="F493" s="216"/>
      <x:c r="G493" s="216"/>
      <x:c r="H493" s="216"/>
      <x:c r="I493" s="216"/>
      <x:c r="J493" s="216"/>
      <x:c r="K493" s="216"/>
      <x:c r="L493" s="216"/>
      <x:c r="M493" s="216"/>
      <x:c r="N493" s="216"/>
      <x:c r="O493" s="216"/>
      <x:c r="P493" s="216"/>
      <x:c r="Q493" s="216"/>
      <x:c r="R493" s="216"/>
      <x:c r="S493" s="216"/>
      <x:c r="T493" s="216"/>
      <x:c r="U493" s="216"/>
      <x:c r="V493" s="216"/>
      <x:c r="W493" s="216"/>
      <x:c r="X493" s="216"/>
      <x:c r="Y493" s="216"/>
      <x:c r="Z493" s="216"/>
    </x:row>
    <x:row r="494">
      <x:c r="A494" s="216"/>
      <x:c r="B494" s="216"/>
      <x:c r="C494" s="216"/>
      <x:c r="D494" s="216"/>
      <x:c r="E494" s="216"/>
      <x:c r="F494" s="216"/>
      <x:c r="G494" s="216"/>
      <x:c r="H494" s="216"/>
      <x:c r="I494" s="216"/>
      <x:c r="J494" s="216"/>
      <x:c r="K494" s="216"/>
      <x:c r="L494" s="216"/>
      <x:c r="M494" s="216"/>
      <x:c r="N494" s="216"/>
      <x:c r="O494" s="216"/>
      <x:c r="P494" s="216"/>
      <x:c r="Q494" s="216"/>
      <x:c r="R494" s="216"/>
      <x:c r="S494" s="216"/>
      <x:c r="T494" s="216"/>
      <x:c r="U494" s="216"/>
      <x:c r="V494" s="216"/>
      <x:c r="W494" s="216"/>
      <x:c r="X494" s="216"/>
      <x:c r="Y494" s="216"/>
      <x:c r="Z494" s="216"/>
    </x:row>
    <x:row r="495">
      <x:c r="A495" s="216"/>
      <x:c r="B495" s="216"/>
      <x:c r="C495" s="216"/>
      <x:c r="D495" s="216"/>
      <x:c r="E495" s="216"/>
      <x:c r="F495" s="216"/>
      <x:c r="G495" s="216"/>
      <x:c r="H495" s="216"/>
      <x:c r="I495" s="216"/>
      <x:c r="J495" s="216"/>
      <x:c r="K495" s="216"/>
      <x:c r="L495" s="216"/>
      <x:c r="M495" s="216"/>
      <x:c r="N495" s="216"/>
      <x:c r="O495" s="216"/>
      <x:c r="P495" s="216"/>
      <x:c r="Q495" s="216"/>
      <x:c r="R495" s="216"/>
      <x:c r="S495" s="216"/>
      <x:c r="T495" s="216"/>
      <x:c r="U495" s="216"/>
      <x:c r="V495" s="216"/>
      <x:c r="W495" s="216"/>
      <x:c r="X495" s="216"/>
      <x:c r="Y495" s="216"/>
      <x:c r="Z495" s="216"/>
    </x:row>
    <x:row r="496">
      <x:c r="A496" s="216"/>
      <x:c r="B496" s="216"/>
      <x:c r="C496" s="216"/>
      <x:c r="D496" s="216"/>
      <x:c r="E496" s="216"/>
      <x:c r="F496" s="216"/>
      <x:c r="G496" s="216"/>
      <x:c r="H496" s="216"/>
      <x:c r="I496" s="216"/>
      <x:c r="J496" s="216"/>
      <x:c r="K496" s="216"/>
      <x:c r="L496" s="216"/>
      <x:c r="M496" s="216"/>
      <x:c r="N496" s="216"/>
      <x:c r="O496" s="216"/>
      <x:c r="P496" s="216"/>
      <x:c r="Q496" s="216"/>
      <x:c r="R496" s="216"/>
      <x:c r="S496" s="216"/>
      <x:c r="T496" s="216"/>
      <x:c r="U496" s="216"/>
      <x:c r="V496" s="216"/>
      <x:c r="W496" s="216"/>
      <x:c r="X496" s="216"/>
      <x:c r="Y496" s="216"/>
      <x:c r="Z496" s="216"/>
    </x:row>
    <x:row r="497">
      <x:c r="A497" s="216"/>
      <x:c r="B497" s="216"/>
      <x:c r="C497" s="216"/>
      <x:c r="D497" s="216"/>
      <x:c r="E497" s="216"/>
      <x:c r="F497" s="216"/>
      <x:c r="G497" s="216"/>
      <x:c r="H497" s="216"/>
      <x:c r="I497" s="216"/>
      <x:c r="J497" s="216"/>
      <x:c r="K497" s="216"/>
      <x:c r="L497" s="216"/>
      <x:c r="M497" s="216"/>
      <x:c r="N497" s="216"/>
      <x:c r="O497" s="216"/>
      <x:c r="P497" s="216"/>
      <x:c r="Q497" s="216"/>
      <x:c r="R497" s="216"/>
      <x:c r="S497" s="216"/>
      <x:c r="T497" s="216"/>
      <x:c r="U497" s="216"/>
      <x:c r="V497" s="216"/>
      <x:c r="W497" s="216"/>
      <x:c r="X497" s="216"/>
      <x:c r="Y497" s="216"/>
      <x:c r="Z497" s="216"/>
    </x:row>
    <x:row r="498">
      <x:c r="A498" s="216"/>
      <x:c r="B498" s="216"/>
      <x:c r="C498" s="216"/>
      <x:c r="D498" s="216"/>
      <x:c r="E498" s="216"/>
      <x:c r="F498" s="216"/>
      <x:c r="G498" s="216"/>
      <x:c r="H498" s="216"/>
      <x:c r="I498" s="216"/>
      <x:c r="J498" s="216"/>
      <x:c r="K498" s="216"/>
      <x:c r="L498" s="216"/>
      <x:c r="M498" s="216"/>
      <x:c r="N498" s="216"/>
      <x:c r="O498" s="216"/>
      <x:c r="P498" s="216"/>
      <x:c r="Q498" s="216"/>
      <x:c r="R498" s="216"/>
      <x:c r="S498" s="216"/>
      <x:c r="T498" s="216"/>
      <x:c r="U498" s="216"/>
      <x:c r="V498" s="216"/>
      <x:c r="W498" s="216"/>
      <x:c r="X498" s="216"/>
      <x:c r="Y498" s="216"/>
      <x:c r="Z498" s="216"/>
    </x:row>
    <x:row r="499">
      <x:c r="A499" s="216"/>
      <x:c r="B499" s="216"/>
      <x:c r="C499" s="216"/>
      <x:c r="D499" s="216"/>
      <x:c r="E499" s="216"/>
      <x:c r="F499" s="216"/>
      <x:c r="G499" s="216"/>
      <x:c r="H499" s="216"/>
      <x:c r="I499" s="216"/>
      <x:c r="J499" s="216"/>
      <x:c r="K499" s="216"/>
      <x:c r="L499" s="216"/>
      <x:c r="M499" s="216"/>
      <x:c r="N499" s="216"/>
      <x:c r="O499" s="216"/>
      <x:c r="P499" s="216"/>
      <x:c r="Q499" s="216"/>
      <x:c r="R499" s="216"/>
      <x:c r="S499" s="216"/>
      <x:c r="T499" s="216"/>
      <x:c r="U499" s="216"/>
      <x:c r="V499" s="216"/>
      <x:c r="W499" s="216"/>
      <x:c r="X499" s="216"/>
      <x:c r="Y499" s="216"/>
      <x:c r="Z499" s="216"/>
    </x:row>
    <x:row r="500">
      <x:c r="A500" s="216"/>
      <x:c r="B500" s="216"/>
      <x:c r="C500" s="216"/>
      <x:c r="D500" s="216"/>
      <x:c r="E500" s="216"/>
      <x:c r="F500" s="216"/>
      <x:c r="G500" s="216"/>
      <x:c r="H500" s="216"/>
      <x:c r="I500" s="216"/>
      <x:c r="J500" s="216"/>
      <x:c r="K500" s="216"/>
      <x:c r="L500" s="216"/>
      <x:c r="M500" s="216"/>
      <x:c r="N500" s="216"/>
      <x:c r="O500" s="216"/>
      <x:c r="P500" s="216"/>
      <x:c r="Q500" s="216"/>
      <x:c r="R500" s="216"/>
      <x:c r="S500" s="216"/>
      <x:c r="T500" s="216"/>
      <x:c r="U500" s="216"/>
      <x:c r="V500" s="216"/>
      <x:c r="W500" s="216"/>
      <x:c r="X500" s="216"/>
      <x:c r="Y500" s="216"/>
      <x:c r="Z500" s="216"/>
    </x:row>
    <x:row r="501">
      <x:c r="A501" s="216"/>
      <x:c r="B501" s="216"/>
      <x:c r="C501" s="216"/>
      <x:c r="D501" s="216"/>
      <x:c r="E501" s="216"/>
      <x:c r="F501" s="216"/>
      <x:c r="G501" s="216"/>
      <x:c r="H501" s="216"/>
      <x:c r="I501" s="216"/>
      <x:c r="J501" s="216"/>
      <x:c r="K501" s="216"/>
      <x:c r="L501" s="216"/>
      <x:c r="M501" s="216"/>
      <x:c r="N501" s="216"/>
      <x:c r="O501" s="216"/>
      <x:c r="P501" s="216"/>
      <x:c r="Q501" s="216"/>
      <x:c r="R501" s="216"/>
      <x:c r="S501" s="216"/>
      <x:c r="T501" s="216"/>
      <x:c r="U501" s="216"/>
      <x:c r="V501" s="216"/>
      <x:c r="W501" s="216"/>
      <x:c r="X501" s="216"/>
      <x:c r="Y501" s="216"/>
      <x:c r="Z501" s="216"/>
    </x:row>
    <x:row r="502">
      <x:c r="A502" s="216"/>
      <x:c r="B502" s="216"/>
      <x:c r="C502" s="216"/>
      <x:c r="D502" s="216"/>
      <x:c r="E502" s="216"/>
      <x:c r="F502" s="216"/>
      <x:c r="G502" s="216"/>
      <x:c r="H502" s="216"/>
      <x:c r="I502" s="216"/>
      <x:c r="J502" s="216"/>
      <x:c r="K502" s="216"/>
      <x:c r="L502" s="216"/>
      <x:c r="M502" s="216"/>
      <x:c r="N502" s="216"/>
      <x:c r="O502" s="216"/>
      <x:c r="P502" s="216"/>
      <x:c r="Q502" s="216"/>
      <x:c r="R502" s="216"/>
      <x:c r="S502" s="216"/>
      <x:c r="T502" s="216"/>
      <x:c r="U502" s="216"/>
      <x:c r="V502" s="216"/>
      <x:c r="W502" s="216"/>
      <x:c r="X502" s="216"/>
      <x:c r="Y502" s="216"/>
      <x:c r="Z502" s="216"/>
    </x:row>
    <x:row r="503">
      <x:c r="A503" s="216"/>
      <x:c r="B503" s="216"/>
      <x:c r="C503" s="216"/>
      <x:c r="D503" s="216"/>
      <x:c r="E503" s="216"/>
      <x:c r="F503" s="216"/>
      <x:c r="G503" s="216"/>
      <x:c r="H503" s="216"/>
      <x:c r="I503" s="216"/>
      <x:c r="J503" s="216"/>
      <x:c r="K503" s="216"/>
      <x:c r="L503" s="216"/>
      <x:c r="M503" s="216"/>
      <x:c r="N503" s="216"/>
      <x:c r="O503" s="216"/>
      <x:c r="P503" s="216"/>
      <x:c r="Q503" s="216"/>
      <x:c r="R503" s="216"/>
      <x:c r="S503" s="216"/>
      <x:c r="T503" s="216"/>
      <x:c r="U503" s="216"/>
      <x:c r="V503" s="216"/>
      <x:c r="W503" s="216"/>
      <x:c r="X503" s="216"/>
      <x:c r="Y503" s="216"/>
      <x:c r="Z503" s="216"/>
    </x:row>
    <x:row r="504">
      <x:c r="A504" s="216"/>
      <x:c r="B504" s="216"/>
      <x:c r="C504" s="216"/>
      <x:c r="D504" s="216"/>
      <x:c r="E504" s="216"/>
      <x:c r="F504" s="216"/>
      <x:c r="G504" s="216"/>
      <x:c r="H504" s="216"/>
      <x:c r="I504" s="216"/>
      <x:c r="J504" s="216"/>
      <x:c r="K504" s="216"/>
      <x:c r="L504" s="216"/>
      <x:c r="M504" s="216"/>
      <x:c r="N504" s="216"/>
      <x:c r="O504" s="216"/>
      <x:c r="P504" s="216"/>
      <x:c r="Q504" s="216"/>
      <x:c r="R504" s="216"/>
      <x:c r="S504" s="216"/>
      <x:c r="T504" s="216"/>
      <x:c r="U504" s="216"/>
      <x:c r="V504" s="216"/>
      <x:c r="W504" s="216"/>
      <x:c r="X504" s="216"/>
      <x:c r="Y504" s="216"/>
      <x:c r="Z504" s="216"/>
    </x:row>
    <x:row r="505">
      <x:c r="A505" s="216"/>
      <x:c r="B505" s="216"/>
      <x:c r="C505" s="216"/>
      <x:c r="D505" s="216"/>
      <x:c r="E505" s="216"/>
      <x:c r="F505" s="216"/>
      <x:c r="G505" s="216"/>
      <x:c r="H505" s="216"/>
      <x:c r="I505" s="216"/>
      <x:c r="J505" s="216"/>
      <x:c r="K505" s="216"/>
      <x:c r="L505" s="216"/>
      <x:c r="M505" s="216"/>
      <x:c r="N505" s="216"/>
      <x:c r="O505" s="216"/>
      <x:c r="P505" s="216"/>
      <x:c r="Q505" s="216"/>
      <x:c r="R505" s="216"/>
      <x:c r="S505" s="216"/>
      <x:c r="T505" s="216"/>
      <x:c r="U505" s="216"/>
      <x:c r="V505" s="216"/>
      <x:c r="W505" s="216"/>
      <x:c r="X505" s="216"/>
      <x:c r="Y505" s="216"/>
      <x:c r="Z505" s="216"/>
    </x:row>
    <x:row r="506">
      <x:c r="A506" s="216"/>
      <x:c r="B506" s="216"/>
      <x:c r="C506" s="216"/>
      <x:c r="D506" s="216"/>
      <x:c r="E506" s="216"/>
      <x:c r="F506" s="216"/>
      <x:c r="G506" s="216"/>
      <x:c r="H506" s="216"/>
      <x:c r="I506" s="216"/>
      <x:c r="J506" s="216"/>
      <x:c r="K506" s="216"/>
      <x:c r="L506" s="216"/>
      <x:c r="M506" s="216"/>
      <x:c r="N506" s="216"/>
      <x:c r="O506" s="216"/>
      <x:c r="P506" s="216"/>
      <x:c r="Q506" s="216"/>
      <x:c r="R506" s="216"/>
      <x:c r="S506" s="216"/>
      <x:c r="T506" s="216"/>
      <x:c r="U506" s="216"/>
      <x:c r="V506" s="216"/>
      <x:c r="W506" s="216"/>
      <x:c r="X506" s="216"/>
      <x:c r="Y506" s="216"/>
      <x:c r="Z506" s="216"/>
    </x:row>
    <x:row r="507">
      <x:c r="A507" s="216"/>
      <x:c r="B507" s="216"/>
      <x:c r="C507" s="216"/>
      <x:c r="D507" s="216"/>
      <x:c r="E507" s="216"/>
      <x:c r="F507" s="216"/>
      <x:c r="G507" s="216"/>
      <x:c r="H507" s="216"/>
      <x:c r="I507" s="216"/>
      <x:c r="J507" s="216"/>
      <x:c r="K507" s="216"/>
      <x:c r="L507" s="216"/>
      <x:c r="M507" s="216"/>
      <x:c r="N507" s="216"/>
      <x:c r="O507" s="216"/>
      <x:c r="P507" s="216"/>
      <x:c r="Q507" s="216"/>
      <x:c r="R507" s="216"/>
      <x:c r="S507" s="216"/>
      <x:c r="T507" s="216"/>
      <x:c r="U507" s="216"/>
      <x:c r="V507" s="216"/>
      <x:c r="W507" s="216"/>
      <x:c r="X507" s="216"/>
      <x:c r="Y507" s="216"/>
      <x:c r="Z507" s="216"/>
    </x:row>
    <x:row r="508">
      <x:c r="A508" s="216"/>
      <x:c r="B508" s="216"/>
      <x:c r="C508" s="216"/>
      <x:c r="D508" s="216"/>
      <x:c r="E508" s="216"/>
      <x:c r="F508" s="216"/>
      <x:c r="G508" s="216"/>
      <x:c r="H508" s="216"/>
      <x:c r="I508" s="216"/>
      <x:c r="J508" s="216"/>
      <x:c r="K508" s="216"/>
      <x:c r="L508" s="216"/>
      <x:c r="M508" s="216"/>
      <x:c r="N508" s="216"/>
      <x:c r="O508" s="216"/>
      <x:c r="P508" s="216"/>
      <x:c r="Q508" s="216"/>
      <x:c r="R508" s="216"/>
      <x:c r="S508" s="216"/>
      <x:c r="T508" s="216"/>
      <x:c r="U508" s="216"/>
      <x:c r="V508" s="216"/>
      <x:c r="W508" s="216"/>
      <x:c r="X508" s="216"/>
      <x:c r="Y508" s="216"/>
      <x:c r="Z508" s="216"/>
    </x:row>
    <x:row r="509">
      <x:c r="A509" s="216"/>
      <x:c r="B509" s="216"/>
      <x:c r="C509" s="216"/>
      <x:c r="D509" s="216"/>
      <x:c r="E509" s="216"/>
      <x:c r="F509" s="216"/>
      <x:c r="G509" s="216"/>
      <x:c r="H509" s="216"/>
      <x:c r="I509" s="216"/>
      <x:c r="J509" s="216"/>
      <x:c r="K509" s="216"/>
      <x:c r="L509" s="216"/>
      <x:c r="M509" s="216"/>
      <x:c r="N509" s="216"/>
      <x:c r="O509" s="216"/>
      <x:c r="P509" s="216"/>
      <x:c r="Q509" s="216"/>
      <x:c r="R509" s="216"/>
      <x:c r="S509" s="216"/>
      <x:c r="T509" s="216"/>
      <x:c r="U509" s="216"/>
      <x:c r="V509" s="216"/>
      <x:c r="W509" s="216"/>
      <x:c r="X509" s="216"/>
      <x:c r="Y509" s="216"/>
      <x:c r="Z509" s="216"/>
    </x:row>
    <x:row r="510">
      <x:c r="A510" s="216"/>
      <x:c r="B510" s="216"/>
      <x:c r="C510" s="216"/>
      <x:c r="D510" s="216"/>
      <x:c r="E510" s="216"/>
      <x:c r="F510" s="216"/>
      <x:c r="G510" s="216"/>
      <x:c r="H510" s="216"/>
      <x:c r="I510" s="216"/>
      <x:c r="J510" s="216"/>
      <x:c r="K510" s="216"/>
      <x:c r="L510" s="216"/>
      <x:c r="M510" s="216"/>
      <x:c r="N510" s="216"/>
      <x:c r="O510" s="216"/>
      <x:c r="P510" s="216"/>
      <x:c r="Q510" s="216"/>
      <x:c r="R510" s="216"/>
      <x:c r="S510" s="216"/>
      <x:c r="T510" s="216"/>
      <x:c r="U510" s="216"/>
      <x:c r="V510" s="216"/>
      <x:c r="W510" s="216"/>
      <x:c r="X510" s="216"/>
      <x:c r="Y510" s="216"/>
      <x:c r="Z510" s="216"/>
    </x:row>
    <x:row r="511">
      <x:c r="A511" s="216"/>
      <x:c r="B511" s="216"/>
      <x:c r="C511" s="216"/>
      <x:c r="D511" s="216"/>
      <x:c r="E511" s="216"/>
      <x:c r="F511" s="216"/>
      <x:c r="G511" s="216"/>
      <x:c r="H511" s="216"/>
      <x:c r="I511" s="216"/>
      <x:c r="J511" s="216"/>
      <x:c r="K511" s="216"/>
      <x:c r="L511" s="216"/>
      <x:c r="M511" s="216"/>
      <x:c r="N511" s="216"/>
      <x:c r="O511" s="216"/>
      <x:c r="P511" s="216"/>
      <x:c r="Q511" s="216"/>
      <x:c r="R511" s="216"/>
      <x:c r="S511" s="216"/>
      <x:c r="T511" s="216"/>
      <x:c r="U511" s="216"/>
      <x:c r="V511" s="216"/>
      <x:c r="W511" s="216"/>
      <x:c r="X511" s="216"/>
      <x:c r="Y511" s="216"/>
      <x:c r="Z511" s="216"/>
    </x:row>
    <x:row r="512">
      <x:c r="A512" s="216"/>
      <x:c r="B512" s="216"/>
      <x:c r="C512" s="216"/>
      <x:c r="D512" s="216"/>
      <x:c r="E512" s="216"/>
      <x:c r="F512" s="216"/>
      <x:c r="G512" s="216"/>
      <x:c r="H512" s="216"/>
      <x:c r="I512" s="216"/>
      <x:c r="J512" s="216"/>
      <x:c r="K512" s="216"/>
      <x:c r="L512" s="216"/>
      <x:c r="M512" s="216"/>
      <x:c r="N512" s="216"/>
      <x:c r="O512" s="216"/>
      <x:c r="P512" s="216"/>
      <x:c r="Q512" s="216"/>
      <x:c r="R512" s="216"/>
      <x:c r="S512" s="216"/>
      <x:c r="T512" s="216"/>
      <x:c r="U512" s="216"/>
      <x:c r="V512" s="216"/>
      <x:c r="W512" s="216"/>
      <x:c r="X512" s="216"/>
      <x:c r="Y512" s="216"/>
      <x:c r="Z512" s="216"/>
    </x:row>
    <x:row r="513">
      <x:c r="A513" s="216"/>
      <x:c r="B513" s="216"/>
      <x:c r="C513" s="216"/>
      <x:c r="D513" s="216"/>
      <x:c r="E513" s="216"/>
      <x:c r="F513" s="216"/>
      <x:c r="G513" s="216"/>
      <x:c r="H513" s="216"/>
      <x:c r="I513" s="216"/>
      <x:c r="J513" s="216"/>
      <x:c r="K513" s="216"/>
      <x:c r="L513" s="216"/>
      <x:c r="M513" s="216"/>
      <x:c r="N513" s="216"/>
      <x:c r="O513" s="216"/>
      <x:c r="P513" s="216"/>
      <x:c r="Q513" s="216"/>
      <x:c r="R513" s="216"/>
      <x:c r="S513" s="216"/>
      <x:c r="T513" s="216"/>
      <x:c r="U513" s="216"/>
      <x:c r="V513" s="216"/>
      <x:c r="W513" s="216"/>
      <x:c r="X513" s="216"/>
      <x:c r="Y513" s="216"/>
      <x:c r="Z513" s="216"/>
    </x:row>
    <x:row r="514">
      <x:c r="A514" s="216"/>
      <x:c r="B514" s="216"/>
      <x:c r="C514" s="216"/>
      <x:c r="D514" s="216"/>
      <x:c r="E514" s="216"/>
      <x:c r="F514" s="216"/>
      <x:c r="G514" s="216"/>
      <x:c r="H514" s="216"/>
      <x:c r="I514" s="216"/>
      <x:c r="J514" s="216"/>
      <x:c r="K514" s="216"/>
      <x:c r="L514" s="216"/>
      <x:c r="M514" s="216"/>
      <x:c r="N514" s="216"/>
      <x:c r="O514" s="216"/>
      <x:c r="P514" s="216"/>
      <x:c r="Q514" s="216"/>
      <x:c r="R514" s="216"/>
      <x:c r="S514" s="216"/>
      <x:c r="T514" s="216"/>
      <x:c r="U514" s="216"/>
      <x:c r="V514" s="216"/>
      <x:c r="W514" s="216"/>
      <x:c r="X514" s="216"/>
      <x:c r="Y514" s="216"/>
      <x:c r="Z514" s="216"/>
    </x:row>
    <x:row r="515">
      <x:c r="A515" s="216"/>
      <x:c r="B515" s="216"/>
      <x:c r="C515" s="216"/>
      <x:c r="D515" s="216"/>
      <x:c r="E515" s="216"/>
      <x:c r="F515" s="216"/>
      <x:c r="G515" s="216"/>
      <x:c r="H515" s="216"/>
      <x:c r="I515" s="216"/>
      <x:c r="J515" s="216"/>
      <x:c r="K515" s="216"/>
      <x:c r="L515" s="216"/>
      <x:c r="M515" s="216"/>
      <x:c r="N515" s="216"/>
      <x:c r="O515" s="216"/>
      <x:c r="P515" s="216"/>
      <x:c r="Q515" s="216"/>
      <x:c r="R515" s="216"/>
      <x:c r="S515" s="216"/>
      <x:c r="T515" s="216"/>
      <x:c r="U515" s="216"/>
      <x:c r="V515" s="216"/>
      <x:c r="W515" s="216"/>
      <x:c r="X515" s="216"/>
      <x:c r="Y515" s="216"/>
      <x:c r="Z515" s="216"/>
    </x:row>
    <x:row r="516">
      <x:c r="A516" s="216"/>
      <x:c r="B516" s="216"/>
      <x:c r="C516" s="216"/>
      <x:c r="D516" s="216"/>
      <x:c r="E516" s="216"/>
      <x:c r="F516" s="216"/>
      <x:c r="G516" s="216"/>
      <x:c r="H516" s="216"/>
      <x:c r="I516" s="216"/>
      <x:c r="J516" s="216"/>
      <x:c r="K516" s="216"/>
      <x:c r="L516" s="216"/>
      <x:c r="M516" s="216"/>
      <x:c r="N516" s="216"/>
      <x:c r="O516" s="216"/>
      <x:c r="P516" s="216"/>
      <x:c r="Q516" s="216"/>
      <x:c r="R516" s="216"/>
      <x:c r="S516" s="216"/>
      <x:c r="T516" s="216"/>
      <x:c r="U516" s="216"/>
      <x:c r="V516" s="216"/>
      <x:c r="W516" s="216"/>
      <x:c r="X516" s="216"/>
      <x:c r="Y516" s="216"/>
      <x:c r="Z516" s="216"/>
    </x:row>
    <x:row r="517">
      <x:c r="A517" s="216"/>
      <x:c r="B517" s="216"/>
      <x:c r="C517" s="216"/>
      <x:c r="D517" s="216"/>
      <x:c r="E517" s="216"/>
      <x:c r="F517" s="216"/>
      <x:c r="G517" s="216"/>
      <x:c r="H517" s="216"/>
      <x:c r="I517" s="216"/>
      <x:c r="J517" s="216"/>
      <x:c r="K517" s="216"/>
      <x:c r="L517" s="216"/>
      <x:c r="M517" s="216"/>
      <x:c r="N517" s="216"/>
      <x:c r="O517" s="216"/>
      <x:c r="P517" s="216"/>
      <x:c r="Q517" s="216"/>
      <x:c r="R517" s="216"/>
      <x:c r="S517" s="216"/>
      <x:c r="T517" s="216"/>
      <x:c r="U517" s="216"/>
      <x:c r="V517" s="216"/>
      <x:c r="W517" s="216"/>
      <x:c r="X517" s="216"/>
      <x:c r="Y517" s="216"/>
      <x:c r="Z517" s="216"/>
    </x:row>
    <x:row r="518">
      <x:c r="A518" s="216"/>
      <x:c r="B518" s="216"/>
      <x:c r="C518" s="216"/>
      <x:c r="D518" s="216"/>
      <x:c r="E518" s="216"/>
      <x:c r="F518" s="216"/>
      <x:c r="G518" s="216"/>
      <x:c r="H518" s="216"/>
      <x:c r="I518" s="216"/>
      <x:c r="J518" s="216"/>
      <x:c r="K518" s="216"/>
      <x:c r="L518" s="216"/>
      <x:c r="M518" s="216"/>
      <x:c r="N518" s="216"/>
      <x:c r="O518" s="216"/>
      <x:c r="P518" s="216"/>
      <x:c r="Q518" s="216"/>
      <x:c r="R518" s="216"/>
      <x:c r="S518" s="216"/>
      <x:c r="T518" s="216"/>
      <x:c r="U518" s="216"/>
      <x:c r="V518" s="216"/>
      <x:c r="W518" s="216"/>
      <x:c r="X518" s="216"/>
      <x:c r="Y518" s="216"/>
      <x:c r="Z518" s="216"/>
    </x:row>
    <x:row r="519">
      <x:c r="A519" s="216"/>
      <x:c r="B519" s="216"/>
      <x:c r="C519" s="216"/>
      <x:c r="D519" s="216"/>
      <x:c r="E519" s="216"/>
      <x:c r="F519" s="216"/>
      <x:c r="G519" s="216"/>
      <x:c r="H519" s="216"/>
      <x:c r="I519" s="216"/>
      <x:c r="J519" s="216"/>
      <x:c r="K519" s="216"/>
      <x:c r="L519" s="216"/>
      <x:c r="M519" s="216"/>
      <x:c r="N519" s="216"/>
      <x:c r="O519" s="216"/>
      <x:c r="P519" s="216"/>
      <x:c r="Q519" s="216"/>
      <x:c r="R519" s="216"/>
      <x:c r="S519" s="216"/>
      <x:c r="T519" s="216"/>
      <x:c r="U519" s="216"/>
      <x:c r="V519" s="216"/>
      <x:c r="W519" s="216"/>
      <x:c r="X519" s="216"/>
      <x:c r="Y519" s="216"/>
      <x:c r="Z519" s="216"/>
    </x:row>
    <x:row r="520">
      <x:c r="A520" s="216"/>
      <x:c r="B520" s="216"/>
      <x:c r="C520" s="216"/>
      <x:c r="D520" s="216"/>
      <x:c r="E520" s="216"/>
      <x:c r="F520" s="216"/>
      <x:c r="G520" s="216"/>
      <x:c r="H520" s="216"/>
      <x:c r="I520" s="216"/>
      <x:c r="J520" s="216"/>
      <x:c r="K520" s="216"/>
      <x:c r="L520" s="216"/>
      <x:c r="M520" s="216"/>
      <x:c r="N520" s="216"/>
      <x:c r="O520" s="216"/>
      <x:c r="P520" s="216"/>
      <x:c r="Q520" s="216"/>
      <x:c r="R520" s="216"/>
      <x:c r="S520" s="216"/>
      <x:c r="T520" s="216"/>
      <x:c r="U520" s="216"/>
      <x:c r="V520" s="216"/>
      <x:c r="W520" s="216"/>
      <x:c r="X520" s="216"/>
      <x:c r="Y520" s="216"/>
      <x:c r="Z520" s="216"/>
    </x:row>
    <x:row r="521">
      <x:c r="A521" s="216"/>
      <x:c r="B521" s="216"/>
      <x:c r="C521" s="216"/>
      <x:c r="D521" s="216"/>
      <x:c r="E521" s="216"/>
      <x:c r="F521" s="216"/>
      <x:c r="G521" s="216"/>
      <x:c r="H521" s="216"/>
      <x:c r="I521" s="216"/>
      <x:c r="J521" s="216"/>
      <x:c r="K521" s="216"/>
      <x:c r="L521" s="216"/>
      <x:c r="M521" s="216"/>
      <x:c r="N521" s="216"/>
      <x:c r="O521" s="216"/>
      <x:c r="P521" s="216"/>
      <x:c r="Q521" s="216"/>
      <x:c r="R521" s="216"/>
      <x:c r="S521" s="216"/>
      <x:c r="T521" s="216"/>
      <x:c r="U521" s="216"/>
      <x:c r="V521" s="216"/>
      <x:c r="W521" s="216"/>
      <x:c r="X521" s="216"/>
      <x:c r="Y521" s="216"/>
      <x:c r="Z521" s="216"/>
    </x:row>
    <x:row r="522">
      <x:c r="A522" s="216"/>
      <x:c r="B522" s="216"/>
      <x:c r="C522" s="216"/>
      <x:c r="D522" s="216"/>
      <x:c r="E522" s="216"/>
      <x:c r="F522" s="216"/>
      <x:c r="G522" s="216"/>
      <x:c r="H522" s="216"/>
      <x:c r="I522" s="216"/>
      <x:c r="J522" s="216"/>
      <x:c r="K522" s="216"/>
      <x:c r="L522" s="216"/>
      <x:c r="M522" s="216"/>
      <x:c r="N522" s="216"/>
      <x:c r="O522" s="216"/>
      <x:c r="P522" s="216"/>
      <x:c r="Q522" s="216"/>
      <x:c r="R522" s="216"/>
      <x:c r="S522" s="216"/>
      <x:c r="T522" s="216"/>
      <x:c r="U522" s="216"/>
      <x:c r="V522" s="216"/>
      <x:c r="W522" s="216"/>
      <x:c r="X522" s="216"/>
      <x:c r="Y522" s="216"/>
      <x:c r="Z522" s="216"/>
    </x:row>
    <x:row r="523">
      <x:c r="A523" s="216"/>
      <x:c r="B523" s="216"/>
      <x:c r="C523" s="216"/>
      <x:c r="D523" s="216"/>
      <x:c r="E523" s="216"/>
      <x:c r="F523" s="216"/>
      <x:c r="G523" s="216"/>
      <x:c r="H523" s="216"/>
      <x:c r="I523" s="216"/>
      <x:c r="J523" s="216"/>
      <x:c r="K523" s="216"/>
      <x:c r="L523" s="216"/>
      <x:c r="M523" s="216"/>
      <x:c r="N523" s="216"/>
      <x:c r="O523" s="216"/>
      <x:c r="P523" s="216"/>
      <x:c r="Q523" s="216"/>
      <x:c r="R523" s="216"/>
      <x:c r="S523" s="216"/>
      <x:c r="T523" s="216"/>
      <x:c r="U523" s="216"/>
      <x:c r="V523" s="216"/>
      <x:c r="W523" s="216"/>
      <x:c r="X523" s="216"/>
      <x:c r="Y523" s="216"/>
      <x:c r="Z523" s="216"/>
    </x:row>
    <x:row r="524">
      <x:c r="A524" s="216"/>
      <x:c r="B524" s="216"/>
      <x:c r="C524" s="216"/>
      <x:c r="D524" s="216"/>
      <x:c r="E524" s="216"/>
      <x:c r="F524" s="216"/>
      <x:c r="G524" s="216"/>
      <x:c r="H524" s="216"/>
      <x:c r="I524" s="216"/>
      <x:c r="J524" s="216"/>
      <x:c r="K524" s="216"/>
      <x:c r="L524" s="216"/>
      <x:c r="M524" s="216"/>
      <x:c r="N524" s="216"/>
      <x:c r="O524" s="216"/>
      <x:c r="P524" s="216"/>
      <x:c r="Q524" s="216"/>
      <x:c r="R524" s="216"/>
      <x:c r="S524" s="216"/>
      <x:c r="T524" s="216"/>
      <x:c r="U524" s="216"/>
      <x:c r="V524" s="216"/>
      <x:c r="W524" s="216"/>
      <x:c r="X524" s="216"/>
      <x:c r="Y524" s="216"/>
      <x:c r="Z524" s="216"/>
    </x:row>
    <x:row r="525">
      <x:c r="A525" s="216"/>
      <x:c r="B525" s="216"/>
      <x:c r="C525" s="216"/>
      <x:c r="D525" s="216"/>
      <x:c r="E525" s="216"/>
      <x:c r="F525" s="216"/>
      <x:c r="G525" s="216"/>
      <x:c r="H525" s="216"/>
      <x:c r="I525" s="216"/>
      <x:c r="J525" s="216"/>
      <x:c r="K525" s="216"/>
      <x:c r="L525" s="216"/>
      <x:c r="M525" s="216"/>
      <x:c r="N525" s="216"/>
      <x:c r="O525" s="216"/>
      <x:c r="P525" s="216"/>
      <x:c r="Q525" s="216"/>
      <x:c r="R525" s="216"/>
      <x:c r="S525" s="216"/>
      <x:c r="T525" s="216"/>
      <x:c r="U525" s="216"/>
      <x:c r="V525" s="216"/>
      <x:c r="W525" s="216"/>
      <x:c r="X525" s="216"/>
      <x:c r="Y525" s="216"/>
      <x:c r="Z525" s="216"/>
    </x:row>
    <x:row r="526">
      <x:c r="A526" s="216"/>
      <x:c r="B526" s="216"/>
      <x:c r="C526" s="216"/>
      <x:c r="D526" s="216"/>
      <x:c r="E526" s="216"/>
      <x:c r="F526" s="216"/>
      <x:c r="G526" s="216"/>
      <x:c r="H526" s="216"/>
      <x:c r="I526" s="216"/>
      <x:c r="J526" s="216"/>
      <x:c r="K526" s="216"/>
      <x:c r="L526" s="216"/>
      <x:c r="M526" s="216"/>
      <x:c r="N526" s="216"/>
      <x:c r="O526" s="216"/>
      <x:c r="P526" s="216"/>
      <x:c r="Q526" s="216"/>
      <x:c r="R526" s="216"/>
      <x:c r="S526" s="216"/>
      <x:c r="T526" s="216"/>
      <x:c r="U526" s="216"/>
      <x:c r="V526" s="216"/>
      <x:c r="W526" s="216"/>
      <x:c r="X526" s="216"/>
      <x:c r="Y526" s="216"/>
      <x:c r="Z526" s="216"/>
    </x:row>
    <x:row r="527">
      <x:c r="A527" s="216"/>
      <x:c r="B527" s="216"/>
      <x:c r="C527" s="216"/>
      <x:c r="D527" s="216"/>
      <x:c r="E527" s="216"/>
      <x:c r="F527" s="216"/>
      <x:c r="G527" s="216"/>
      <x:c r="H527" s="216"/>
      <x:c r="I527" s="216"/>
      <x:c r="J527" s="216"/>
      <x:c r="K527" s="216"/>
      <x:c r="L527" s="216"/>
      <x:c r="M527" s="216"/>
      <x:c r="N527" s="216"/>
      <x:c r="O527" s="216"/>
      <x:c r="P527" s="216"/>
      <x:c r="Q527" s="216"/>
      <x:c r="R527" s="216"/>
      <x:c r="S527" s="216"/>
      <x:c r="T527" s="216"/>
      <x:c r="U527" s="216"/>
      <x:c r="V527" s="216"/>
      <x:c r="W527" s="216"/>
      <x:c r="X527" s="216"/>
      <x:c r="Y527" s="216"/>
      <x:c r="Z527" s="216"/>
    </x:row>
    <x:row r="528">
      <x:c r="A528" s="216"/>
      <x:c r="B528" s="216"/>
      <x:c r="C528" s="216"/>
      <x:c r="D528" s="216"/>
      <x:c r="E528" s="216"/>
      <x:c r="F528" s="216"/>
      <x:c r="G528" s="216"/>
      <x:c r="H528" s="216"/>
      <x:c r="I528" s="216"/>
      <x:c r="J528" s="216"/>
      <x:c r="K528" s="216"/>
      <x:c r="L528" s="216"/>
      <x:c r="M528" s="216"/>
      <x:c r="N528" s="216"/>
      <x:c r="O528" s="216"/>
      <x:c r="P528" s="216"/>
      <x:c r="Q528" s="216"/>
      <x:c r="R528" s="216"/>
      <x:c r="S528" s="216"/>
      <x:c r="T528" s="216"/>
      <x:c r="U528" s="216"/>
      <x:c r="V528" s="216"/>
      <x:c r="W528" s="216"/>
      <x:c r="X528" s="216"/>
      <x:c r="Y528" s="216"/>
      <x:c r="Z528" s="216"/>
    </x:row>
    <x:row r="529">
      <x:c r="A529" s="216"/>
      <x:c r="B529" s="216"/>
      <x:c r="C529" s="216"/>
      <x:c r="D529" s="216"/>
      <x:c r="E529" s="216"/>
      <x:c r="F529" s="216"/>
      <x:c r="G529" s="216"/>
      <x:c r="H529" s="216"/>
      <x:c r="I529" s="216"/>
      <x:c r="J529" s="216"/>
      <x:c r="K529" s="216"/>
      <x:c r="L529" s="216"/>
      <x:c r="M529" s="216"/>
      <x:c r="N529" s="216"/>
      <x:c r="O529" s="216"/>
      <x:c r="P529" s="216"/>
      <x:c r="Q529" s="216"/>
      <x:c r="R529" s="216"/>
      <x:c r="S529" s="216"/>
      <x:c r="T529" s="216"/>
      <x:c r="U529" s="216"/>
      <x:c r="V529" s="216"/>
      <x:c r="W529" s="216"/>
      <x:c r="X529" s="216"/>
      <x:c r="Y529" s="216"/>
      <x:c r="Z529" s="216"/>
    </x:row>
    <x:row r="530">
      <x:c r="A530" s="216"/>
      <x:c r="B530" s="216"/>
      <x:c r="C530" s="216"/>
      <x:c r="D530" s="216"/>
      <x:c r="E530" s="216"/>
      <x:c r="F530" s="216"/>
      <x:c r="G530" s="216"/>
      <x:c r="H530" s="216"/>
      <x:c r="I530" s="216"/>
      <x:c r="J530" s="216"/>
      <x:c r="K530" s="216"/>
      <x:c r="L530" s="216"/>
      <x:c r="M530" s="216"/>
      <x:c r="N530" s="216"/>
      <x:c r="O530" s="216"/>
      <x:c r="P530" s="216"/>
      <x:c r="Q530" s="216"/>
      <x:c r="R530" s="216"/>
      <x:c r="S530" s="216"/>
      <x:c r="T530" s="216"/>
      <x:c r="U530" s="216"/>
      <x:c r="V530" s="216"/>
      <x:c r="W530" s="216"/>
      <x:c r="X530" s="216"/>
      <x:c r="Y530" s="216"/>
      <x:c r="Z530" s="216"/>
    </x:row>
    <x:row r="531">
      <x:c r="A531" s="216"/>
      <x:c r="B531" s="216"/>
      <x:c r="C531" s="216"/>
      <x:c r="D531" s="216"/>
      <x:c r="E531" s="216"/>
      <x:c r="F531" s="216"/>
      <x:c r="G531" s="216"/>
      <x:c r="H531" s="216"/>
      <x:c r="I531" s="216"/>
      <x:c r="J531" s="216"/>
      <x:c r="K531" s="216"/>
      <x:c r="L531" s="216"/>
      <x:c r="M531" s="216"/>
      <x:c r="N531" s="216"/>
      <x:c r="O531" s="216"/>
      <x:c r="P531" s="216"/>
      <x:c r="Q531" s="216"/>
      <x:c r="R531" s="216"/>
      <x:c r="S531" s="216"/>
      <x:c r="T531" s="216"/>
      <x:c r="U531" s="216"/>
      <x:c r="V531" s="216"/>
      <x:c r="W531" s="216"/>
      <x:c r="X531" s="216"/>
      <x:c r="Y531" s="216"/>
      <x:c r="Z531" s="216"/>
    </x:row>
    <x:row r="532">
      <x:c r="A532" s="216"/>
      <x:c r="B532" s="216"/>
      <x:c r="C532" s="216"/>
      <x:c r="D532" s="216"/>
      <x:c r="E532" s="216"/>
      <x:c r="F532" s="216"/>
      <x:c r="G532" s="216"/>
      <x:c r="H532" s="216"/>
      <x:c r="I532" s="216"/>
      <x:c r="J532" s="216"/>
      <x:c r="K532" s="216"/>
      <x:c r="L532" s="216"/>
      <x:c r="M532" s="216"/>
      <x:c r="N532" s="216"/>
      <x:c r="O532" s="216"/>
      <x:c r="P532" s="216"/>
      <x:c r="Q532" s="216"/>
      <x:c r="R532" s="216"/>
      <x:c r="S532" s="216"/>
      <x:c r="T532" s="216"/>
      <x:c r="U532" s="216"/>
      <x:c r="V532" s="216"/>
      <x:c r="W532" s="216"/>
      <x:c r="X532" s="216"/>
      <x:c r="Y532" s="216"/>
      <x:c r="Z532" s="216"/>
    </x:row>
    <x:row r="533">
      <x:c r="A533" s="216"/>
      <x:c r="B533" s="216"/>
      <x:c r="C533" s="216"/>
      <x:c r="D533" s="216"/>
      <x:c r="E533" s="216"/>
      <x:c r="F533" s="216"/>
      <x:c r="G533" s="216"/>
      <x:c r="H533" s="216"/>
      <x:c r="I533" s="216"/>
      <x:c r="J533" s="216"/>
      <x:c r="K533" s="216"/>
      <x:c r="L533" s="216"/>
      <x:c r="M533" s="216"/>
      <x:c r="N533" s="216"/>
      <x:c r="O533" s="216"/>
      <x:c r="P533" s="216"/>
      <x:c r="Q533" s="216"/>
      <x:c r="R533" s="216"/>
      <x:c r="S533" s="216"/>
      <x:c r="T533" s="216"/>
      <x:c r="U533" s="216"/>
      <x:c r="V533" s="216"/>
      <x:c r="W533" s="216"/>
      <x:c r="X533" s="216"/>
      <x:c r="Y533" s="216"/>
      <x:c r="Z533" s="216"/>
    </x:row>
    <x:row r="534">
      <x:c r="A534" s="216"/>
      <x:c r="B534" s="216"/>
      <x:c r="C534" s="216"/>
      <x:c r="D534" s="216"/>
      <x:c r="E534" s="216"/>
      <x:c r="F534" s="216"/>
      <x:c r="G534" s="216"/>
      <x:c r="H534" s="216"/>
      <x:c r="I534" s="216"/>
      <x:c r="J534" s="216"/>
      <x:c r="K534" s="216"/>
      <x:c r="L534" s="216"/>
      <x:c r="M534" s="216"/>
      <x:c r="N534" s="216"/>
      <x:c r="O534" s="216"/>
      <x:c r="P534" s="216"/>
      <x:c r="Q534" s="216"/>
      <x:c r="R534" s="216"/>
      <x:c r="S534" s="216"/>
      <x:c r="T534" s="216"/>
      <x:c r="U534" s="216"/>
      <x:c r="V534" s="216"/>
      <x:c r="W534" s="216"/>
      <x:c r="X534" s="216"/>
      <x:c r="Y534" s="216"/>
      <x:c r="Z534" s="216"/>
    </x:row>
    <x:row r="535">
      <x:c r="A535" s="216"/>
      <x:c r="B535" s="216"/>
      <x:c r="C535" s="216"/>
      <x:c r="D535" s="216"/>
      <x:c r="E535" s="216"/>
      <x:c r="F535" s="216"/>
      <x:c r="G535" s="216"/>
      <x:c r="H535" s="216"/>
      <x:c r="I535" s="216"/>
      <x:c r="J535" s="216"/>
      <x:c r="K535" s="216"/>
      <x:c r="L535" s="216"/>
      <x:c r="M535" s="216"/>
      <x:c r="N535" s="216"/>
      <x:c r="O535" s="216"/>
      <x:c r="P535" s="216"/>
      <x:c r="Q535" s="216"/>
      <x:c r="R535" s="216"/>
      <x:c r="S535" s="216"/>
      <x:c r="T535" s="216"/>
      <x:c r="U535" s="216"/>
      <x:c r="V535" s="216"/>
      <x:c r="W535" s="216"/>
      <x:c r="X535" s="216"/>
      <x:c r="Y535" s="216"/>
      <x:c r="Z535" s="216"/>
    </x:row>
    <x:row r="536">
      <x:c r="A536" s="216"/>
      <x:c r="B536" s="216"/>
      <x:c r="C536" s="216"/>
      <x:c r="D536" s="216"/>
      <x:c r="E536" s="216"/>
      <x:c r="F536" s="216"/>
      <x:c r="G536" s="216"/>
      <x:c r="H536" s="216"/>
      <x:c r="I536" s="216"/>
      <x:c r="J536" s="216"/>
      <x:c r="K536" s="216"/>
      <x:c r="L536" s="216"/>
      <x:c r="M536" s="216"/>
      <x:c r="N536" s="216"/>
      <x:c r="O536" s="216"/>
      <x:c r="P536" s="216"/>
      <x:c r="Q536" s="216"/>
      <x:c r="R536" s="216"/>
      <x:c r="S536" s="216"/>
      <x:c r="T536" s="216"/>
      <x:c r="U536" s="216"/>
      <x:c r="V536" s="216"/>
      <x:c r="W536" s="216"/>
      <x:c r="X536" s="216"/>
      <x:c r="Y536" s="216"/>
      <x:c r="Z536" s="216"/>
    </x:row>
    <x:row r="537">
      <x:c r="A537" s="216"/>
      <x:c r="B537" s="216"/>
      <x:c r="C537" s="216"/>
      <x:c r="D537" s="216"/>
      <x:c r="E537" s="216"/>
      <x:c r="F537" s="216"/>
      <x:c r="G537" s="216"/>
      <x:c r="H537" s="216"/>
      <x:c r="I537" s="216"/>
      <x:c r="J537" s="216"/>
      <x:c r="K537" s="216"/>
      <x:c r="L537" s="216"/>
      <x:c r="M537" s="216"/>
      <x:c r="N537" s="216"/>
      <x:c r="O537" s="216"/>
      <x:c r="P537" s="216"/>
      <x:c r="Q537" s="216"/>
      <x:c r="R537" s="216"/>
      <x:c r="S537" s="216"/>
      <x:c r="T537" s="216"/>
      <x:c r="U537" s="216"/>
      <x:c r="V537" s="216"/>
      <x:c r="W537" s="216"/>
      <x:c r="X537" s="216"/>
      <x:c r="Y537" s="216"/>
      <x:c r="Z537" s="216"/>
    </x:row>
    <x:row r="538">
      <x:c r="A538" s="216"/>
      <x:c r="B538" s="216"/>
      <x:c r="C538" s="216"/>
      <x:c r="D538" s="216"/>
      <x:c r="E538" s="216"/>
      <x:c r="F538" s="216"/>
      <x:c r="G538" s="216"/>
      <x:c r="H538" s="216"/>
      <x:c r="I538" s="216"/>
      <x:c r="J538" s="216"/>
      <x:c r="K538" s="216"/>
      <x:c r="L538" s="216"/>
      <x:c r="M538" s="216"/>
      <x:c r="N538" s="216"/>
      <x:c r="O538" s="216"/>
      <x:c r="P538" s="216"/>
      <x:c r="Q538" s="216"/>
      <x:c r="R538" s="216"/>
      <x:c r="S538" s="216"/>
      <x:c r="T538" s="216"/>
      <x:c r="U538" s="216"/>
      <x:c r="V538" s="216"/>
      <x:c r="W538" s="216"/>
      <x:c r="X538" s="216"/>
      <x:c r="Y538" s="216"/>
      <x:c r="Z538" s="216"/>
    </x:row>
    <x:row r="539">
      <x:c r="A539" s="216"/>
      <x:c r="B539" s="216"/>
      <x:c r="C539" s="216"/>
      <x:c r="D539" s="216"/>
      <x:c r="E539" s="216"/>
      <x:c r="F539" s="216"/>
      <x:c r="G539" s="216"/>
      <x:c r="H539" s="216"/>
      <x:c r="I539" s="216"/>
      <x:c r="J539" s="216"/>
      <x:c r="K539" s="216"/>
      <x:c r="L539" s="216"/>
      <x:c r="M539" s="216"/>
      <x:c r="N539" s="216"/>
      <x:c r="O539" s="216"/>
      <x:c r="P539" s="216"/>
      <x:c r="Q539" s="216"/>
      <x:c r="R539" s="216"/>
      <x:c r="S539" s="216"/>
      <x:c r="T539" s="216"/>
      <x:c r="U539" s="216"/>
      <x:c r="V539" s="216"/>
      <x:c r="W539" s="216"/>
      <x:c r="X539" s="216"/>
      <x:c r="Y539" s="216"/>
      <x:c r="Z539" s="216"/>
    </x:row>
    <x:row r="540">
      <x:c r="A540" s="216"/>
      <x:c r="B540" s="216"/>
      <x:c r="C540" s="216"/>
      <x:c r="D540" s="216"/>
      <x:c r="E540" s="216"/>
      <x:c r="F540" s="216"/>
      <x:c r="G540" s="216"/>
      <x:c r="H540" s="216"/>
      <x:c r="I540" s="216"/>
      <x:c r="J540" s="216"/>
      <x:c r="K540" s="216"/>
      <x:c r="L540" s="216"/>
      <x:c r="M540" s="216"/>
      <x:c r="N540" s="216"/>
      <x:c r="O540" s="216"/>
      <x:c r="P540" s="216"/>
      <x:c r="Q540" s="216"/>
      <x:c r="R540" s="216"/>
      <x:c r="S540" s="216"/>
      <x:c r="T540" s="216"/>
      <x:c r="U540" s="216"/>
      <x:c r="V540" s="216"/>
      <x:c r="W540" s="216"/>
      <x:c r="X540" s="216"/>
      <x:c r="Y540" s="216"/>
      <x:c r="Z540" s="216"/>
    </x:row>
    <x:row r="541">
      <x:c r="A541" s="216"/>
      <x:c r="B541" s="216"/>
      <x:c r="C541" s="216"/>
      <x:c r="D541" s="216"/>
      <x:c r="E541" s="216"/>
      <x:c r="F541" s="216"/>
      <x:c r="G541" s="216"/>
      <x:c r="H541" s="216"/>
      <x:c r="I541" s="216"/>
      <x:c r="J541" s="216"/>
      <x:c r="K541" s="216"/>
      <x:c r="L541" s="216"/>
      <x:c r="M541" s="216"/>
      <x:c r="N541" s="216"/>
      <x:c r="O541" s="216"/>
      <x:c r="P541" s="216"/>
      <x:c r="Q541" s="216"/>
      <x:c r="R541" s="216"/>
      <x:c r="S541" s="216"/>
      <x:c r="T541" s="216"/>
      <x:c r="U541" s="216"/>
      <x:c r="V541" s="216"/>
      <x:c r="W541" s="216"/>
      <x:c r="X541" s="216"/>
      <x:c r="Y541" s="216"/>
      <x:c r="Z541" s="216"/>
    </x:row>
    <x:row r="542">
      <x:c r="A542" s="216"/>
      <x:c r="B542" s="216"/>
      <x:c r="C542" s="216"/>
      <x:c r="D542" s="216"/>
      <x:c r="E542" s="216"/>
      <x:c r="F542" s="216"/>
      <x:c r="G542" s="216"/>
      <x:c r="H542" s="216"/>
      <x:c r="I542" s="216"/>
      <x:c r="J542" s="216"/>
      <x:c r="K542" s="216"/>
      <x:c r="L542" s="216"/>
      <x:c r="M542" s="216"/>
      <x:c r="N542" s="216"/>
      <x:c r="O542" s="216"/>
      <x:c r="P542" s="216"/>
      <x:c r="Q542" s="216"/>
      <x:c r="R542" s="216"/>
      <x:c r="S542" s="216"/>
      <x:c r="T542" s="216"/>
      <x:c r="U542" s="216"/>
      <x:c r="V542" s="216"/>
      <x:c r="W542" s="216"/>
      <x:c r="X542" s="216"/>
      <x:c r="Y542" s="216"/>
      <x:c r="Z542" s="216"/>
    </x:row>
    <x:row r="543">
      <x:c r="A543" s="216"/>
      <x:c r="B543" s="216"/>
      <x:c r="C543" s="216"/>
      <x:c r="D543" s="216"/>
      <x:c r="E543" s="216"/>
      <x:c r="F543" s="216"/>
      <x:c r="G543" s="216"/>
      <x:c r="H543" s="216"/>
      <x:c r="I543" s="216"/>
      <x:c r="J543" s="216"/>
      <x:c r="K543" s="216"/>
      <x:c r="L543" s="216"/>
      <x:c r="M543" s="216"/>
      <x:c r="N543" s="216"/>
      <x:c r="O543" s="216"/>
      <x:c r="P543" s="216"/>
      <x:c r="Q543" s="216"/>
      <x:c r="R543" s="216"/>
      <x:c r="S543" s="216"/>
      <x:c r="T543" s="216"/>
      <x:c r="U543" s="216"/>
      <x:c r="V543" s="216"/>
      <x:c r="W543" s="216"/>
      <x:c r="X543" s="216"/>
      <x:c r="Y543" s="216"/>
      <x:c r="Z543" s="216"/>
    </x:row>
    <x:row r="544">
      <x:c r="A544" s="216"/>
      <x:c r="B544" s="216"/>
      <x:c r="C544" s="216"/>
      <x:c r="D544" s="216"/>
      <x:c r="E544" s="216"/>
      <x:c r="F544" s="216"/>
      <x:c r="G544" s="216"/>
      <x:c r="H544" s="216"/>
      <x:c r="I544" s="216"/>
      <x:c r="J544" s="216"/>
      <x:c r="K544" s="216"/>
      <x:c r="L544" s="216"/>
      <x:c r="M544" s="216"/>
      <x:c r="N544" s="216"/>
      <x:c r="O544" s="216"/>
      <x:c r="P544" s="216"/>
      <x:c r="Q544" s="216"/>
      <x:c r="R544" s="216"/>
      <x:c r="S544" s="216"/>
      <x:c r="T544" s="216"/>
      <x:c r="U544" s="216"/>
      <x:c r="V544" s="216"/>
      <x:c r="W544" s="216"/>
      <x:c r="X544" s="216"/>
      <x:c r="Y544" s="216"/>
      <x:c r="Z544" s="216"/>
    </x:row>
    <x:row r="545">
      <x:c r="A545" s="216"/>
      <x:c r="B545" s="216"/>
      <x:c r="C545" s="216"/>
      <x:c r="D545" s="216"/>
      <x:c r="E545" s="216"/>
      <x:c r="F545" s="216"/>
      <x:c r="G545" s="216"/>
      <x:c r="H545" s="216"/>
      <x:c r="I545" s="216"/>
      <x:c r="J545" s="216"/>
      <x:c r="K545" s="216"/>
      <x:c r="L545" s="216"/>
      <x:c r="M545" s="216"/>
      <x:c r="N545" s="216"/>
      <x:c r="O545" s="216"/>
      <x:c r="P545" s="216"/>
      <x:c r="Q545" s="216"/>
      <x:c r="R545" s="216"/>
      <x:c r="S545" s="216"/>
      <x:c r="T545" s="216"/>
      <x:c r="U545" s="216"/>
      <x:c r="V545" s="216"/>
      <x:c r="W545" s="216"/>
      <x:c r="X545" s="216"/>
      <x:c r="Y545" s="216"/>
      <x:c r="Z545" s="216"/>
    </x:row>
    <x:row r="546">
      <x:c r="A546" s="216"/>
      <x:c r="B546" s="216"/>
      <x:c r="C546" s="216"/>
      <x:c r="D546" s="216"/>
      <x:c r="E546" s="216"/>
      <x:c r="F546" s="216"/>
      <x:c r="G546" s="216"/>
      <x:c r="H546" s="216"/>
      <x:c r="I546" s="216"/>
      <x:c r="J546" s="216"/>
      <x:c r="K546" s="216"/>
      <x:c r="L546" s="216"/>
      <x:c r="M546" s="216"/>
      <x:c r="N546" s="216"/>
      <x:c r="O546" s="216"/>
      <x:c r="P546" s="216"/>
      <x:c r="Q546" s="216"/>
      <x:c r="R546" s="216"/>
      <x:c r="S546" s="216"/>
      <x:c r="T546" s="216"/>
      <x:c r="U546" s="216"/>
      <x:c r="V546" s="216"/>
      <x:c r="W546" s="216"/>
      <x:c r="X546" s="216"/>
      <x:c r="Y546" s="216"/>
      <x:c r="Z546" s="216"/>
    </x:row>
    <x:row r="547">
      <x:c r="A547" s="216"/>
      <x:c r="B547" s="216"/>
      <x:c r="C547" s="216"/>
      <x:c r="D547" s="216"/>
      <x:c r="E547" s="216"/>
      <x:c r="F547" s="216"/>
      <x:c r="G547" s="216"/>
      <x:c r="H547" s="216"/>
      <x:c r="I547" s="216"/>
      <x:c r="J547" s="216"/>
      <x:c r="K547" s="216"/>
      <x:c r="L547" s="216"/>
      <x:c r="M547" s="216"/>
      <x:c r="N547" s="216"/>
      <x:c r="O547" s="216"/>
      <x:c r="P547" s="216"/>
      <x:c r="Q547" s="216"/>
      <x:c r="R547" s="216"/>
      <x:c r="S547" s="216"/>
      <x:c r="T547" s="216"/>
      <x:c r="U547" s="216"/>
      <x:c r="V547" s="216"/>
      <x:c r="W547" s="216"/>
      <x:c r="X547" s="216"/>
      <x:c r="Y547" s="216"/>
      <x:c r="Z547" s="216"/>
    </x:row>
    <x:row r="548">
      <x:c r="A548" s="216"/>
      <x:c r="B548" s="216"/>
      <x:c r="C548" s="216"/>
      <x:c r="D548" s="216"/>
      <x:c r="E548" s="216"/>
      <x:c r="F548" s="216"/>
      <x:c r="G548" s="216"/>
      <x:c r="H548" s="216"/>
      <x:c r="I548" s="216"/>
      <x:c r="J548" s="216"/>
      <x:c r="K548" s="216"/>
      <x:c r="L548" s="216"/>
      <x:c r="M548" s="216"/>
      <x:c r="N548" s="216"/>
      <x:c r="O548" s="216"/>
      <x:c r="P548" s="216"/>
      <x:c r="Q548" s="216"/>
      <x:c r="R548" s="216"/>
      <x:c r="S548" s="216"/>
      <x:c r="T548" s="216"/>
      <x:c r="U548" s="216"/>
      <x:c r="V548" s="216"/>
      <x:c r="W548" s="216"/>
      <x:c r="X548" s="216"/>
      <x:c r="Y548" s="216"/>
      <x:c r="Z548" s="216"/>
    </x:row>
    <x:row r="549">
      <x:c r="A549" s="216"/>
      <x:c r="B549" s="216"/>
      <x:c r="C549" s="216"/>
      <x:c r="D549" s="216"/>
      <x:c r="E549" s="216"/>
      <x:c r="F549" s="216"/>
      <x:c r="G549" s="216"/>
      <x:c r="H549" s="216"/>
      <x:c r="I549" s="216"/>
      <x:c r="J549" s="216"/>
      <x:c r="K549" s="216"/>
      <x:c r="L549" s="216"/>
      <x:c r="M549" s="216"/>
      <x:c r="N549" s="216"/>
      <x:c r="O549" s="216"/>
      <x:c r="P549" s="216"/>
      <x:c r="Q549" s="216"/>
      <x:c r="R549" s="216"/>
      <x:c r="S549" s="216"/>
      <x:c r="T549" s="216"/>
      <x:c r="U549" s="216"/>
      <x:c r="V549" s="216"/>
      <x:c r="W549" s="216"/>
      <x:c r="X549" s="216"/>
      <x:c r="Y549" s="216"/>
      <x:c r="Z549" s="216"/>
    </x:row>
    <x:row r="550">
      <x:c r="A550" s="216"/>
      <x:c r="B550" s="216"/>
      <x:c r="C550" s="216"/>
      <x:c r="D550" s="216"/>
      <x:c r="E550" s="216"/>
      <x:c r="F550" s="216"/>
      <x:c r="G550" s="216"/>
      <x:c r="H550" s="216"/>
      <x:c r="I550" s="216"/>
      <x:c r="J550" s="216"/>
      <x:c r="K550" s="216"/>
      <x:c r="L550" s="216"/>
      <x:c r="M550" s="216"/>
      <x:c r="N550" s="216"/>
      <x:c r="O550" s="216"/>
      <x:c r="P550" s="216"/>
      <x:c r="Q550" s="216"/>
      <x:c r="R550" s="216"/>
      <x:c r="S550" s="216"/>
      <x:c r="T550" s="216"/>
      <x:c r="U550" s="216"/>
      <x:c r="V550" s="216"/>
      <x:c r="W550" s="216"/>
      <x:c r="X550" s="216"/>
      <x:c r="Y550" s="216"/>
      <x:c r="Z550" s="216"/>
    </x:row>
    <x:row r="551">
      <x:c r="A551" s="216"/>
      <x:c r="B551" s="216"/>
      <x:c r="C551" s="216"/>
      <x:c r="D551" s="216"/>
      <x:c r="E551" s="216"/>
      <x:c r="F551" s="216"/>
      <x:c r="G551" s="216"/>
      <x:c r="H551" s="216"/>
      <x:c r="I551" s="216"/>
      <x:c r="J551" s="216"/>
      <x:c r="K551" s="216"/>
      <x:c r="L551" s="216"/>
      <x:c r="M551" s="216"/>
      <x:c r="N551" s="216"/>
      <x:c r="O551" s="216"/>
      <x:c r="P551" s="216"/>
      <x:c r="Q551" s="216"/>
      <x:c r="R551" s="216"/>
      <x:c r="S551" s="216"/>
      <x:c r="T551" s="216"/>
      <x:c r="U551" s="216"/>
      <x:c r="V551" s="216"/>
      <x:c r="W551" s="216"/>
      <x:c r="X551" s="216"/>
      <x:c r="Y551" s="216"/>
      <x:c r="Z551" s="216"/>
    </x:row>
    <x:row r="552">
      <x:c r="A552" s="216"/>
      <x:c r="B552" s="216"/>
      <x:c r="C552" s="216"/>
      <x:c r="D552" s="216"/>
      <x:c r="E552" s="216"/>
      <x:c r="F552" s="216"/>
      <x:c r="G552" s="216"/>
      <x:c r="H552" s="216"/>
      <x:c r="I552" s="216"/>
      <x:c r="J552" s="216"/>
      <x:c r="K552" s="216"/>
      <x:c r="L552" s="216"/>
      <x:c r="M552" s="216"/>
      <x:c r="N552" s="216"/>
      <x:c r="O552" s="216"/>
      <x:c r="P552" s="216"/>
      <x:c r="Q552" s="216"/>
      <x:c r="R552" s="216"/>
      <x:c r="S552" s="216"/>
      <x:c r="T552" s="216"/>
      <x:c r="U552" s="216"/>
      <x:c r="V552" s="216"/>
      <x:c r="W552" s="216"/>
      <x:c r="X552" s="216"/>
      <x:c r="Y552" s="216"/>
      <x:c r="Z552" s="216"/>
    </x:row>
    <x:row r="553">
      <x:c r="A553" s="216"/>
      <x:c r="B553" s="216"/>
      <x:c r="C553" s="216"/>
      <x:c r="D553" s="216"/>
      <x:c r="E553" s="216"/>
      <x:c r="F553" s="216"/>
      <x:c r="G553" s="216"/>
      <x:c r="H553" s="216"/>
      <x:c r="I553" s="216"/>
      <x:c r="J553" s="216"/>
      <x:c r="K553" s="216"/>
      <x:c r="L553" s="216"/>
      <x:c r="M553" s="216"/>
      <x:c r="N553" s="216"/>
      <x:c r="O553" s="216"/>
      <x:c r="P553" s="216"/>
      <x:c r="Q553" s="216"/>
      <x:c r="R553" s="216"/>
      <x:c r="S553" s="216"/>
      <x:c r="T553" s="216"/>
      <x:c r="U553" s="216"/>
      <x:c r="V553" s="216"/>
      <x:c r="W553" s="216"/>
      <x:c r="X553" s="216"/>
      <x:c r="Y553" s="216"/>
      <x:c r="Z553" s="216"/>
    </x:row>
    <x:row r="554">
      <x:c r="A554" s="216"/>
      <x:c r="B554" s="216"/>
      <x:c r="C554" s="216"/>
      <x:c r="D554" s="216"/>
      <x:c r="E554" s="216"/>
      <x:c r="F554" s="216"/>
      <x:c r="G554" s="216"/>
      <x:c r="H554" s="216"/>
      <x:c r="I554" s="216"/>
      <x:c r="J554" s="216"/>
      <x:c r="K554" s="216"/>
      <x:c r="L554" s="216"/>
      <x:c r="M554" s="216"/>
      <x:c r="N554" s="216"/>
      <x:c r="O554" s="216"/>
      <x:c r="P554" s="216"/>
      <x:c r="Q554" s="216"/>
      <x:c r="R554" s="216"/>
      <x:c r="S554" s="216"/>
      <x:c r="T554" s="216"/>
      <x:c r="U554" s="216"/>
      <x:c r="V554" s="216"/>
      <x:c r="W554" s="216"/>
      <x:c r="X554" s="216"/>
      <x:c r="Y554" s="216"/>
      <x:c r="Z554" s="216"/>
    </x:row>
    <x:row r="555">
      <x:c r="A555" s="216"/>
      <x:c r="B555" s="216"/>
      <x:c r="C555" s="216"/>
      <x:c r="D555" s="216"/>
      <x:c r="E555" s="216"/>
      <x:c r="F555" s="216"/>
      <x:c r="G555" s="216"/>
      <x:c r="H555" s="216"/>
      <x:c r="I555" s="216"/>
      <x:c r="J555" s="216"/>
      <x:c r="K555" s="216"/>
      <x:c r="L555" s="216"/>
      <x:c r="M555" s="216"/>
      <x:c r="N555" s="216"/>
      <x:c r="O555" s="216"/>
      <x:c r="P555" s="216"/>
      <x:c r="Q555" s="216"/>
      <x:c r="R555" s="216"/>
      <x:c r="S555" s="216"/>
      <x:c r="T555" s="216"/>
      <x:c r="U555" s="216"/>
      <x:c r="V555" s="216"/>
      <x:c r="W555" s="216"/>
      <x:c r="X555" s="216"/>
      <x:c r="Y555" s="216"/>
      <x:c r="Z555" s="216"/>
    </x:row>
    <x:row r="556">
      <x:c r="A556" s="216"/>
      <x:c r="B556" s="216"/>
      <x:c r="C556" s="216"/>
      <x:c r="D556" s="216"/>
      <x:c r="E556" s="216"/>
      <x:c r="F556" s="216"/>
      <x:c r="G556" s="216"/>
      <x:c r="H556" s="216"/>
      <x:c r="I556" s="216"/>
      <x:c r="J556" s="216"/>
      <x:c r="K556" s="216"/>
      <x:c r="L556" s="216"/>
      <x:c r="M556" s="216"/>
      <x:c r="N556" s="216"/>
      <x:c r="O556" s="216"/>
      <x:c r="P556" s="216"/>
      <x:c r="Q556" s="216"/>
      <x:c r="R556" s="216"/>
      <x:c r="S556" s="216"/>
      <x:c r="T556" s="216"/>
      <x:c r="U556" s="216"/>
      <x:c r="V556" s="216"/>
      <x:c r="W556" s="216"/>
      <x:c r="X556" s="216"/>
      <x:c r="Y556" s="216"/>
      <x:c r="Z556" s="216"/>
    </x:row>
    <x:row r="557">
      <x:c r="A557" s="216"/>
      <x:c r="B557" s="216"/>
      <x:c r="C557" s="216"/>
      <x:c r="D557" s="216"/>
      <x:c r="E557" s="216"/>
      <x:c r="F557" s="216"/>
      <x:c r="G557" s="216"/>
      <x:c r="H557" s="216"/>
      <x:c r="I557" s="216"/>
      <x:c r="J557" s="216"/>
      <x:c r="K557" s="216"/>
      <x:c r="L557" s="216"/>
      <x:c r="M557" s="216"/>
      <x:c r="N557" s="216"/>
      <x:c r="O557" s="216"/>
      <x:c r="P557" s="216"/>
      <x:c r="Q557" s="216"/>
      <x:c r="R557" s="216"/>
      <x:c r="S557" s="216"/>
      <x:c r="T557" s="216"/>
      <x:c r="U557" s="216"/>
      <x:c r="V557" s="216"/>
      <x:c r="W557" s="216"/>
      <x:c r="X557" s="216"/>
      <x:c r="Y557" s="216"/>
      <x:c r="Z557" s="216"/>
    </x:row>
    <x:row r="558">
      <x:c r="A558" s="216"/>
      <x:c r="B558" s="216"/>
      <x:c r="C558" s="216"/>
      <x:c r="D558" s="216"/>
      <x:c r="E558" s="216"/>
      <x:c r="F558" s="216"/>
      <x:c r="G558" s="216"/>
      <x:c r="H558" s="216"/>
      <x:c r="I558" s="216"/>
      <x:c r="J558" s="216"/>
      <x:c r="K558" s="216"/>
      <x:c r="L558" s="216"/>
      <x:c r="M558" s="216"/>
      <x:c r="N558" s="216"/>
      <x:c r="O558" s="216"/>
      <x:c r="P558" s="216"/>
      <x:c r="Q558" s="216"/>
      <x:c r="R558" s="216"/>
      <x:c r="S558" s="216"/>
      <x:c r="T558" s="216"/>
      <x:c r="U558" s="216"/>
      <x:c r="V558" s="216"/>
      <x:c r="W558" s="216"/>
      <x:c r="X558" s="216"/>
      <x:c r="Y558" s="216"/>
      <x:c r="Z558" s="216"/>
    </x:row>
    <x:row r="559">
      <x:c r="A559" s="216"/>
      <x:c r="B559" s="216"/>
      <x:c r="C559" s="216"/>
      <x:c r="D559" s="216"/>
      <x:c r="E559" s="216"/>
      <x:c r="F559" s="216"/>
      <x:c r="G559" s="216"/>
      <x:c r="H559" s="216"/>
      <x:c r="I559" s="216"/>
      <x:c r="J559" s="216"/>
      <x:c r="K559" s="216"/>
      <x:c r="L559" s="216"/>
      <x:c r="M559" s="216"/>
      <x:c r="N559" s="216"/>
      <x:c r="O559" s="216"/>
      <x:c r="P559" s="216"/>
      <x:c r="Q559" s="216"/>
      <x:c r="R559" s="216"/>
      <x:c r="S559" s="216"/>
      <x:c r="T559" s="216"/>
      <x:c r="U559" s="216"/>
      <x:c r="V559" s="216"/>
      <x:c r="W559" s="216"/>
      <x:c r="X559" s="216"/>
      <x:c r="Y559" s="216"/>
      <x:c r="Z559" s="216"/>
    </x:row>
    <x:row r="560">
      <x:c r="A560" s="216"/>
      <x:c r="B560" s="216"/>
      <x:c r="C560" s="216"/>
      <x:c r="D560" s="216"/>
      <x:c r="E560" s="216"/>
      <x:c r="F560" s="216"/>
      <x:c r="G560" s="216"/>
      <x:c r="H560" s="216"/>
      <x:c r="I560" s="216"/>
      <x:c r="J560" s="216"/>
      <x:c r="K560" s="216"/>
      <x:c r="L560" s="216"/>
      <x:c r="M560" s="216"/>
      <x:c r="N560" s="216"/>
      <x:c r="O560" s="216"/>
      <x:c r="P560" s="216"/>
      <x:c r="Q560" s="216"/>
      <x:c r="R560" s="216"/>
      <x:c r="S560" s="216"/>
      <x:c r="T560" s="216"/>
      <x:c r="U560" s="216"/>
      <x:c r="V560" s="216"/>
      <x:c r="W560" s="216"/>
      <x:c r="X560" s="216"/>
      <x:c r="Y560" s="216"/>
      <x:c r="Z560" s="216"/>
    </x:row>
    <x:row r="561">
      <x:c r="A561" s="216"/>
      <x:c r="B561" s="216"/>
      <x:c r="C561" s="216"/>
      <x:c r="D561" s="216"/>
      <x:c r="E561" s="216"/>
      <x:c r="F561" s="216"/>
      <x:c r="G561" s="216"/>
      <x:c r="H561" s="216"/>
      <x:c r="I561" s="216"/>
      <x:c r="J561" s="216"/>
      <x:c r="K561" s="216"/>
      <x:c r="L561" s="216"/>
      <x:c r="M561" s="216"/>
      <x:c r="N561" s="216"/>
      <x:c r="O561" s="216"/>
      <x:c r="P561" s="216"/>
      <x:c r="Q561" s="216"/>
      <x:c r="R561" s="216"/>
      <x:c r="S561" s="216"/>
      <x:c r="T561" s="216"/>
      <x:c r="U561" s="216"/>
      <x:c r="V561" s="216"/>
      <x:c r="W561" s="216"/>
      <x:c r="X561" s="216"/>
      <x:c r="Y561" s="216"/>
      <x:c r="Z561" s="216"/>
    </x:row>
    <x:row r="562">
      <x:c r="A562" s="216"/>
      <x:c r="B562" s="216"/>
      <x:c r="C562" s="216"/>
      <x:c r="D562" s="216"/>
      <x:c r="E562" s="216"/>
      <x:c r="F562" s="216"/>
      <x:c r="G562" s="216"/>
      <x:c r="H562" s="216"/>
      <x:c r="I562" s="216"/>
      <x:c r="J562" s="216"/>
      <x:c r="K562" s="216"/>
      <x:c r="L562" s="216"/>
      <x:c r="M562" s="216"/>
      <x:c r="N562" s="216"/>
      <x:c r="O562" s="216"/>
      <x:c r="P562" s="216"/>
      <x:c r="Q562" s="216"/>
      <x:c r="R562" s="216"/>
      <x:c r="S562" s="216"/>
      <x:c r="T562" s="216"/>
      <x:c r="U562" s="216"/>
      <x:c r="V562" s="216"/>
      <x:c r="W562" s="216"/>
      <x:c r="X562" s="216"/>
      <x:c r="Y562" s="216"/>
      <x:c r="Z562" s="216"/>
    </x:row>
    <x:row r="563">
      <x:c r="A563" s="216"/>
      <x:c r="B563" s="216"/>
      <x:c r="C563" s="216"/>
      <x:c r="D563" s="216"/>
      <x:c r="E563" s="216"/>
      <x:c r="F563" s="216"/>
      <x:c r="G563" s="216"/>
      <x:c r="H563" s="216"/>
      <x:c r="I563" s="216"/>
      <x:c r="J563" s="216"/>
      <x:c r="K563" s="216"/>
      <x:c r="L563" s="216"/>
      <x:c r="M563" s="216"/>
      <x:c r="N563" s="216"/>
      <x:c r="O563" s="216"/>
      <x:c r="P563" s="216"/>
      <x:c r="Q563" s="216"/>
      <x:c r="R563" s="216"/>
      <x:c r="S563" s="216"/>
      <x:c r="T563" s="216"/>
      <x:c r="U563" s="216"/>
      <x:c r="V563" s="216"/>
      <x:c r="W563" s="216"/>
      <x:c r="X563" s="216"/>
      <x:c r="Y563" s="216"/>
      <x:c r="Z563" s="216"/>
    </x:row>
    <x:row r="564">
      <x:c r="A564" s="216"/>
      <x:c r="B564" s="216"/>
      <x:c r="C564" s="216"/>
      <x:c r="D564" s="216"/>
      <x:c r="E564" s="216"/>
      <x:c r="F564" s="216"/>
      <x:c r="G564" s="216"/>
      <x:c r="H564" s="216"/>
      <x:c r="I564" s="216"/>
      <x:c r="J564" s="216"/>
      <x:c r="K564" s="216"/>
      <x:c r="L564" s="216"/>
      <x:c r="M564" s="216"/>
      <x:c r="N564" s="216"/>
      <x:c r="O564" s="216"/>
      <x:c r="P564" s="216"/>
      <x:c r="Q564" s="216"/>
      <x:c r="R564" s="216"/>
      <x:c r="S564" s="216"/>
      <x:c r="T564" s="216"/>
      <x:c r="U564" s="216"/>
      <x:c r="V564" s="216"/>
      <x:c r="W564" s="216"/>
      <x:c r="X564" s="216"/>
      <x:c r="Y564" s="216"/>
      <x:c r="Z564" s="216"/>
    </x:row>
    <x:row r="565">
      <x:c r="A565" s="216"/>
      <x:c r="B565" s="216"/>
      <x:c r="C565" s="216"/>
      <x:c r="D565" s="216"/>
      <x:c r="E565" s="216"/>
      <x:c r="F565" s="216"/>
      <x:c r="G565" s="216"/>
      <x:c r="H565" s="216"/>
      <x:c r="I565" s="216"/>
      <x:c r="J565" s="216"/>
      <x:c r="K565" s="216"/>
      <x:c r="L565" s="216"/>
      <x:c r="M565" s="216"/>
      <x:c r="N565" s="216"/>
      <x:c r="O565" s="216"/>
      <x:c r="P565" s="216"/>
      <x:c r="Q565" s="216"/>
      <x:c r="R565" s="216"/>
      <x:c r="S565" s="216"/>
      <x:c r="T565" s="216"/>
      <x:c r="U565" s="216"/>
      <x:c r="V565" s="216"/>
      <x:c r="W565" s="216"/>
      <x:c r="X565" s="216"/>
      <x:c r="Y565" s="216"/>
      <x:c r="Z565" s="216"/>
    </x:row>
    <x:row r="566">
      <x:c r="A566" s="216"/>
      <x:c r="B566" s="216"/>
      <x:c r="C566" s="216"/>
      <x:c r="D566" s="216"/>
      <x:c r="E566" s="216"/>
      <x:c r="F566" s="216"/>
      <x:c r="G566" s="216"/>
      <x:c r="H566" s="216"/>
      <x:c r="I566" s="216"/>
      <x:c r="J566" s="216"/>
      <x:c r="K566" s="216"/>
      <x:c r="L566" s="216"/>
      <x:c r="M566" s="216"/>
      <x:c r="N566" s="216"/>
      <x:c r="O566" s="216"/>
      <x:c r="P566" s="216"/>
      <x:c r="Q566" s="216"/>
      <x:c r="R566" s="216"/>
      <x:c r="S566" s="216"/>
      <x:c r="T566" s="216"/>
      <x:c r="U566" s="216"/>
      <x:c r="V566" s="216"/>
      <x:c r="W566" s="216"/>
      <x:c r="X566" s="216"/>
      <x:c r="Y566" s="216"/>
      <x:c r="Z566" s="216"/>
    </x:row>
    <x:row r="567">
      <x:c r="A567" s="216"/>
      <x:c r="B567" s="216"/>
      <x:c r="C567" s="216"/>
      <x:c r="D567" s="216"/>
      <x:c r="E567" s="216"/>
      <x:c r="F567" s="216"/>
      <x:c r="G567" s="216"/>
      <x:c r="H567" s="216"/>
      <x:c r="I567" s="216"/>
      <x:c r="J567" s="216"/>
      <x:c r="K567" s="216"/>
      <x:c r="L567" s="216"/>
      <x:c r="M567" s="216"/>
      <x:c r="N567" s="216"/>
      <x:c r="O567" s="216"/>
      <x:c r="P567" s="216"/>
      <x:c r="Q567" s="216"/>
      <x:c r="R567" s="216"/>
      <x:c r="S567" s="216"/>
      <x:c r="T567" s="216"/>
      <x:c r="U567" s="216"/>
      <x:c r="V567" s="216"/>
      <x:c r="W567" s="216"/>
      <x:c r="X567" s="216"/>
      <x:c r="Y567" s="216"/>
      <x:c r="Z567" s="216"/>
    </x:row>
    <x:row r="568">
      <x:c r="A568" s="216"/>
      <x:c r="B568" s="216"/>
      <x:c r="C568" s="216"/>
      <x:c r="D568" s="216"/>
      <x:c r="E568" s="216"/>
      <x:c r="F568" s="216"/>
      <x:c r="G568" s="216"/>
      <x:c r="H568" s="216"/>
      <x:c r="I568" s="216"/>
      <x:c r="J568" s="216"/>
      <x:c r="K568" s="216"/>
      <x:c r="L568" s="216"/>
      <x:c r="M568" s="216"/>
      <x:c r="N568" s="216"/>
      <x:c r="O568" s="216"/>
      <x:c r="P568" s="216"/>
      <x:c r="Q568" s="216"/>
      <x:c r="R568" s="216"/>
      <x:c r="S568" s="216"/>
      <x:c r="T568" s="216"/>
      <x:c r="U568" s="216"/>
      <x:c r="V568" s="216"/>
      <x:c r="W568" s="216"/>
      <x:c r="X568" s="216"/>
      <x:c r="Y568" s="216"/>
      <x:c r="Z568" s="216"/>
    </x:row>
    <x:row r="569">
      <x:c r="A569" s="216"/>
      <x:c r="B569" s="216"/>
      <x:c r="C569" s="216"/>
      <x:c r="D569" s="216"/>
      <x:c r="E569" s="216"/>
      <x:c r="F569" s="216"/>
      <x:c r="G569" s="216"/>
      <x:c r="H569" s="216"/>
      <x:c r="I569" s="216"/>
      <x:c r="J569" s="216"/>
      <x:c r="K569" s="216"/>
      <x:c r="L569" s="216"/>
      <x:c r="M569" s="216"/>
      <x:c r="N569" s="216"/>
      <x:c r="O569" s="216"/>
      <x:c r="P569" s="216"/>
      <x:c r="Q569" s="216"/>
      <x:c r="R569" s="216"/>
      <x:c r="S569" s="216"/>
      <x:c r="T569" s="216"/>
      <x:c r="U569" s="216"/>
      <x:c r="V569" s="216"/>
      <x:c r="W569" s="216"/>
      <x:c r="X569" s="216"/>
      <x:c r="Y569" s="216"/>
      <x:c r="Z569" s="216"/>
    </x:row>
    <x:row r="570">
      <x:c r="A570" s="216"/>
      <x:c r="B570" s="216"/>
      <x:c r="C570" s="216"/>
      <x:c r="D570" s="216"/>
      <x:c r="E570" s="216"/>
      <x:c r="F570" s="216"/>
      <x:c r="G570" s="216"/>
      <x:c r="H570" s="216"/>
      <x:c r="I570" s="216"/>
      <x:c r="J570" s="216"/>
      <x:c r="K570" s="216"/>
      <x:c r="L570" s="216"/>
      <x:c r="M570" s="216"/>
      <x:c r="N570" s="216"/>
      <x:c r="O570" s="216"/>
      <x:c r="P570" s="216"/>
      <x:c r="Q570" s="216"/>
      <x:c r="R570" s="216"/>
      <x:c r="S570" s="216"/>
      <x:c r="T570" s="216"/>
      <x:c r="U570" s="216"/>
      <x:c r="V570" s="216"/>
      <x:c r="W570" s="216"/>
      <x:c r="X570" s="216"/>
      <x:c r="Y570" s="216"/>
      <x:c r="Z570" s="216"/>
    </x:row>
    <x:row r="571">
      <x:c r="A571" s="216"/>
      <x:c r="B571" s="216"/>
      <x:c r="C571" s="216"/>
      <x:c r="D571" s="216"/>
      <x:c r="E571" s="216"/>
      <x:c r="F571" s="216"/>
      <x:c r="G571" s="216"/>
      <x:c r="H571" s="216"/>
      <x:c r="I571" s="216"/>
      <x:c r="J571" s="216"/>
      <x:c r="K571" s="216"/>
      <x:c r="L571" s="216"/>
      <x:c r="M571" s="216"/>
      <x:c r="N571" s="216"/>
      <x:c r="O571" s="216"/>
      <x:c r="P571" s="216"/>
      <x:c r="Q571" s="216"/>
      <x:c r="R571" s="216"/>
      <x:c r="S571" s="216"/>
      <x:c r="T571" s="216"/>
      <x:c r="U571" s="216"/>
      <x:c r="V571" s="216"/>
      <x:c r="W571" s="216"/>
      <x:c r="X571" s="216"/>
      <x:c r="Y571" s="216"/>
      <x:c r="Z571" s="216"/>
    </x:row>
    <x:row r="572">
      <x:c r="A572" s="216"/>
      <x:c r="B572" s="216"/>
      <x:c r="C572" s="216"/>
      <x:c r="D572" s="216"/>
      <x:c r="E572" s="216"/>
      <x:c r="F572" s="216"/>
      <x:c r="G572" s="216"/>
      <x:c r="H572" s="216"/>
      <x:c r="I572" s="216"/>
      <x:c r="J572" s="216"/>
      <x:c r="K572" s="216"/>
      <x:c r="L572" s="216"/>
      <x:c r="M572" s="216"/>
      <x:c r="N572" s="216"/>
      <x:c r="O572" s="216"/>
      <x:c r="P572" s="216"/>
      <x:c r="Q572" s="216"/>
      <x:c r="R572" s="216"/>
      <x:c r="S572" s="216"/>
      <x:c r="T572" s="216"/>
      <x:c r="U572" s="216"/>
      <x:c r="V572" s="216"/>
      <x:c r="W572" s="216"/>
      <x:c r="X572" s="216"/>
      <x:c r="Y572" s="216"/>
      <x:c r="Z572" s="216"/>
    </x:row>
    <x:row r="573">
      <x:c r="A573" s="216"/>
      <x:c r="B573" s="216"/>
      <x:c r="C573" s="216"/>
      <x:c r="D573" s="216"/>
      <x:c r="E573" s="216"/>
      <x:c r="F573" s="216"/>
      <x:c r="G573" s="216"/>
      <x:c r="H573" s="216"/>
      <x:c r="I573" s="216"/>
      <x:c r="J573" s="216"/>
      <x:c r="K573" s="216"/>
      <x:c r="L573" s="216"/>
      <x:c r="M573" s="216"/>
      <x:c r="N573" s="216"/>
      <x:c r="O573" s="216"/>
      <x:c r="P573" s="216"/>
      <x:c r="Q573" s="216"/>
      <x:c r="R573" s="216"/>
      <x:c r="S573" s="216"/>
      <x:c r="T573" s="216"/>
      <x:c r="U573" s="216"/>
      <x:c r="V573" s="216"/>
      <x:c r="W573" s="216"/>
      <x:c r="X573" s="216"/>
      <x:c r="Y573" s="216"/>
      <x:c r="Z573" s="216"/>
    </x:row>
    <x:row r="574">
      <x:c r="A574" s="216"/>
      <x:c r="B574" s="216"/>
      <x:c r="C574" s="216"/>
      <x:c r="D574" s="216"/>
      <x:c r="E574" s="216"/>
      <x:c r="F574" s="216"/>
      <x:c r="G574" s="216"/>
      <x:c r="H574" s="216"/>
      <x:c r="I574" s="216"/>
      <x:c r="J574" s="216"/>
      <x:c r="K574" s="216"/>
      <x:c r="L574" s="216"/>
      <x:c r="M574" s="216"/>
      <x:c r="N574" s="216"/>
      <x:c r="O574" s="216"/>
      <x:c r="P574" s="216"/>
      <x:c r="Q574" s="216"/>
      <x:c r="R574" s="216"/>
      <x:c r="S574" s="216"/>
      <x:c r="T574" s="216"/>
      <x:c r="U574" s="216"/>
      <x:c r="V574" s="216"/>
      <x:c r="W574" s="216"/>
      <x:c r="X574" s="216"/>
      <x:c r="Y574" s="216"/>
      <x:c r="Z574" s="216"/>
    </x:row>
    <x:row r="575">
      <x:c r="A575" s="216"/>
      <x:c r="B575" s="216"/>
      <x:c r="C575" s="216"/>
      <x:c r="D575" s="216"/>
      <x:c r="E575" s="216"/>
      <x:c r="F575" s="216"/>
      <x:c r="G575" s="216"/>
      <x:c r="H575" s="216"/>
      <x:c r="I575" s="216"/>
      <x:c r="J575" s="216"/>
      <x:c r="K575" s="216"/>
      <x:c r="L575" s="216"/>
      <x:c r="M575" s="216"/>
      <x:c r="N575" s="216"/>
      <x:c r="O575" s="216"/>
      <x:c r="P575" s="216"/>
      <x:c r="Q575" s="216"/>
      <x:c r="R575" s="216"/>
      <x:c r="S575" s="216"/>
      <x:c r="T575" s="216"/>
      <x:c r="U575" s="216"/>
      <x:c r="V575" s="216"/>
      <x:c r="W575" s="216"/>
      <x:c r="X575" s="216"/>
      <x:c r="Y575" s="216"/>
      <x:c r="Z575" s="216"/>
    </x:row>
    <x:row r="576">
      <x:c r="A576" s="216"/>
      <x:c r="B576" s="216"/>
      <x:c r="C576" s="216"/>
      <x:c r="D576" s="216"/>
      <x:c r="E576" s="216"/>
      <x:c r="F576" s="216"/>
      <x:c r="G576" s="216"/>
      <x:c r="H576" s="216"/>
      <x:c r="I576" s="216"/>
      <x:c r="J576" s="216"/>
      <x:c r="K576" s="216"/>
      <x:c r="L576" s="216"/>
      <x:c r="M576" s="216"/>
      <x:c r="N576" s="216"/>
      <x:c r="O576" s="216"/>
      <x:c r="P576" s="216"/>
      <x:c r="Q576" s="216"/>
      <x:c r="R576" s="216"/>
      <x:c r="S576" s="216"/>
      <x:c r="T576" s="216"/>
      <x:c r="U576" s="216"/>
      <x:c r="V576" s="216"/>
      <x:c r="W576" s="216"/>
      <x:c r="X576" s="216"/>
      <x:c r="Y576" s="216"/>
      <x:c r="Z576" s="216"/>
    </x:row>
    <x:row r="577">
      <x:c r="A577" s="216"/>
      <x:c r="B577" s="216"/>
      <x:c r="C577" s="216"/>
      <x:c r="D577" s="216"/>
      <x:c r="E577" s="216"/>
      <x:c r="F577" s="216"/>
      <x:c r="G577" s="216"/>
      <x:c r="H577" s="216"/>
      <x:c r="I577" s="216"/>
      <x:c r="J577" s="216"/>
      <x:c r="K577" s="216"/>
      <x:c r="L577" s="216"/>
      <x:c r="M577" s="216"/>
      <x:c r="N577" s="216"/>
      <x:c r="O577" s="216"/>
      <x:c r="P577" s="216"/>
      <x:c r="Q577" s="216"/>
      <x:c r="R577" s="216"/>
      <x:c r="S577" s="216"/>
      <x:c r="T577" s="216"/>
      <x:c r="U577" s="216"/>
      <x:c r="V577" s="216"/>
      <x:c r="W577" s="216"/>
      <x:c r="X577" s="216"/>
      <x:c r="Y577" s="216"/>
      <x:c r="Z577" s="216"/>
    </x:row>
    <x:row r="578">
      <x:c r="A578" s="216"/>
      <x:c r="B578" s="216"/>
      <x:c r="C578" s="216"/>
      <x:c r="D578" s="216"/>
      <x:c r="E578" s="216"/>
      <x:c r="F578" s="216"/>
      <x:c r="G578" s="216"/>
      <x:c r="H578" s="216"/>
      <x:c r="I578" s="216"/>
      <x:c r="J578" s="216"/>
      <x:c r="K578" s="216"/>
      <x:c r="L578" s="216"/>
      <x:c r="M578" s="216"/>
      <x:c r="N578" s="216"/>
      <x:c r="O578" s="216"/>
      <x:c r="P578" s="216"/>
      <x:c r="Q578" s="216"/>
      <x:c r="R578" s="216"/>
      <x:c r="S578" s="216"/>
      <x:c r="T578" s="216"/>
      <x:c r="U578" s="216"/>
      <x:c r="V578" s="216"/>
      <x:c r="W578" s="216"/>
      <x:c r="X578" s="216"/>
      <x:c r="Y578" s="216"/>
      <x:c r="Z578" s="216"/>
    </x:row>
    <x:row r="579">
      <x:c r="A579" s="216"/>
      <x:c r="B579" s="216"/>
      <x:c r="C579" s="216"/>
      <x:c r="D579" s="216"/>
      <x:c r="E579" s="216"/>
      <x:c r="F579" s="216"/>
      <x:c r="G579" s="216"/>
      <x:c r="H579" s="216"/>
      <x:c r="I579" s="216"/>
      <x:c r="J579" s="216"/>
      <x:c r="K579" s="216"/>
      <x:c r="L579" s="216"/>
      <x:c r="M579" s="216"/>
      <x:c r="N579" s="216"/>
      <x:c r="O579" s="216"/>
      <x:c r="P579" s="216"/>
      <x:c r="Q579" s="216"/>
      <x:c r="R579" s="216"/>
      <x:c r="S579" s="216"/>
      <x:c r="T579" s="216"/>
      <x:c r="U579" s="216"/>
      <x:c r="V579" s="216"/>
      <x:c r="W579" s="216"/>
      <x:c r="X579" s="216"/>
      <x:c r="Y579" s="216"/>
      <x:c r="Z579" s="216"/>
    </x:row>
    <x:row r="580">
      <x:c r="A580" s="216"/>
      <x:c r="B580" s="216"/>
      <x:c r="C580" s="216"/>
      <x:c r="D580" s="216"/>
      <x:c r="E580" s="216"/>
      <x:c r="F580" s="216"/>
      <x:c r="G580" s="216"/>
      <x:c r="H580" s="216"/>
      <x:c r="I580" s="216"/>
      <x:c r="J580" s="216"/>
      <x:c r="K580" s="216"/>
      <x:c r="L580" s="216"/>
      <x:c r="M580" s="216"/>
      <x:c r="N580" s="216"/>
      <x:c r="O580" s="216"/>
      <x:c r="P580" s="216"/>
      <x:c r="Q580" s="216"/>
      <x:c r="R580" s="216"/>
      <x:c r="S580" s="216"/>
      <x:c r="T580" s="216"/>
      <x:c r="U580" s="216"/>
      <x:c r="V580" s="216"/>
      <x:c r="W580" s="216"/>
      <x:c r="X580" s="216"/>
      <x:c r="Y580" s="216"/>
      <x:c r="Z580" s="216"/>
    </x:row>
    <x:row r="581">
      <x:c r="A581" s="216"/>
      <x:c r="B581" s="216"/>
      <x:c r="C581" s="216"/>
      <x:c r="D581" s="216"/>
      <x:c r="E581" s="216"/>
      <x:c r="F581" s="216"/>
      <x:c r="G581" s="216"/>
      <x:c r="H581" s="216"/>
      <x:c r="I581" s="216"/>
      <x:c r="J581" s="216"/>
      <x:c r="K581" s="216"/>
      <x:c r="L581" s="216"/>
      <x:c r="M581" s="216"/>
      <x:c r="N581" s="216"/>
      <x:c r="O581" s="216"/>
      <x:c r="P581" s="216"/>
      <x:c r="Q581" s="216"/>
      <x:c r="R581" s="216"/>
      <x:c r="S581" s="216"/>
      <x:c r="T581" s="216"/>
      <x:c r="U581" s="216"/>
      <x:c r="V581" s="216"/>
      <x:c r="W581" s="216"/>
      <x:c r="X581" s="216"/>
      <x:c r="Y581" s="216"/>
      <x:c r="Z581" s="216"/>
    </x:row>
    <x:row r="582">
      <x:c r="A582" s="216"/>
      <x:c r="B582" s="216"/>
      <x:c r="C582" s="216"/>
      <x:c r="D582" s="216"/>
      <x:c r="E582" s="216"/>
      <x:c r="F582" s="216"/>
      <x:c r="G582" s="216"/>
      <x:c r="H582" s="216"/>
      <x:c r="I582" s="216"/>
      <x:c r="J582" s="216"/>
      <x:c r="K582" s="216"/>
      <x:c r="L582" s="216"/>
      <x:c r="M582" s="216"/>
      <x:c r="N582" s="216"/>
      <x:c r="O582" s="216"/>
      <x:c r="P582" s="216"/>
      <x:c r="Q582" s="216"/>
      <x:c r="R582" s="216"/>
      <x:c r="S582" s="216"/>
      <x:c r="T582" s="216"/>
      <x:c r="U582" s="216"/>
      <x:c r="V582" s="216"/>
      <x:c r="W582" s="216"/>
      <x:c r="X582" s="216"/>
      <x:c r="Y582" s="216"/>
      <x:c r="Z582" s="216"/>
    </x:row>
    <x:row r="583">
      <x:c r="A583" s="216"/>
      <x:c r="B583" s="216"/>
      <x:c r="C583" s="216"/>
      <x:c r="D583" s="216"/>
      <x:c r="E583" s="216"/>
      <x:c r="F583" s="216"/>
      <x:c r="G583" s="216"/>
      <x:c r="H583" s="216"/>
      <x:c r="I583" s="216"/>
      <x:c r="J583" s="216"/>
      <x:c r="K583" s="216"/>
      <x:c r="L583" s="216"/>
      <x:c r="M583" s="216"/>
      <x:c r="N583" s="216"/>
      <x:c r="O583" s="216"/>
      <x:c r="P583" s="216"/>
      <x:c r="Q583" s="216"/>
      <x:c r="R583" s="216"/>
      <x:c r="S583" s="216"/>
      <x:c r="T583" s="216"/>
      <x:c r="U583" s="216"/>
      <x:c r="V583" s="216"/>
      <x:c r="W583" s="216"/>
      <x:c r="X583" s="216"/>
      <x:c r="Y583" s="216"/>
      <x:c r="Z583" s="216"/>
    </x:row>
    <x:row r="584">
      <x:c r="A584" s="216"/>
      <x:c r="B584" s="216"/>
      <x:c r="C584" s="216"/>
      <x:c r="D584" s="216"/>
      <x:c r="E584" s="216"/>
      <x:c r="F584" s="216"/>
      <x:c r="G584" s="216"/>
      <x:c r="H584" s="216"/>
      <x:c r="I584" s="216"/>
      <x:c r="J584" s="216"/>
      <x:c r="K584" s="216"/>
      <x:c r="L584" s="216"/>
      <x:c r="M584" s="216"/>
      <x:c r="N584" s="216"/>
      <x:c r="O584" s="216"/>
      <x:c r="P584" s="216"/>
      <x:c r="Q584" s="216"/>
      <x:c r="R584" s="216"/>
      <x:c r="S584" s="216"/>
      <x:c r="T584" s="216"/>
      <x:c r="U584" s="216"/>
      <x:c r="V584" s="216"/>
      <x:c r="W584" s="216"/>
      <x:c r="X584" s="216"/>
      <x:c r="Y584" s="216"/>
      <x:c r="Z584" s="216"/>
    </x:row>
    <x:row r="585">
      <x:c r="A585" s="216"/>
      <x:c r="B585" s="216"/>
      <x:c r="C585" s="216"/>
      <x:c r="D585" s="216"/>
      <x:c r="E585" s="216"/>
      <x:c r="F585" s="216"/>
      <x:c r="G585" s="216"/>
      <x:c r="H585" s="216"/>
      <x:c r="I585" s="216"/>
      <x:c r="J585" s="216"/>
      <x:c r="K585" s="216"/>
      <x:c r="L585" s="216"/>
      <x:c r="M585" s="216"/>
      <x:c r="N585" s="216"/>
      <x:c r="O585" s="216"/>
      <x:c r="P585" s="216"/>
      <x:c r="Q585" s="216"/>
      <x:c r="R585" s="216"/>
      <x:c r="S585" s="216"/>
      <x:c r="T585" s="216"/>
      <x:c r="U585" s="216"/>
      <x:c r="V585" s="216"/>
      <x:c r="W585" s="216"/>
      <x:c r="X585" s="216"/>
      <x:c r="Y585" s="216"/>
      <x:c r="Z585" s="216"/>
    </x:row>
    <x:row r="586">
      <x:c r="A586" s="216"/>
      <x:c r="B586" s="216"/>
      <x:c r="C586" s="216"/>
      <x:c r="D586" s="216"/>
      <x:c r="E586" s="216"/>
      <x:c r="F586" s="216"/>
      <x:c r="G586" s="216"/>
      <x:c r="H586" s="216"/>
      <x:c r="I586" s="216"/>
      <x:c r="J586" s="216"/>
      <x:c r="K586" s="216"/>
      <x:c r="L586" s="216"/>
      <x:c r="M586" s="216"/>
      <x:c r="N586" s="216"/>
      <x:c r="O586" s="216"/>
      <x:c r="P586" s="216"/>
      <x:c r="Q586" s="216"/>
      <x:c r="R586" s="216"/>
      <x:c r="S586" s="216"/>
      <x:c r="T586" s="216"/>
      <x:c r="U586" s="216"/>
      <x:c r="V586" s="216"/>
      <x:c r="W586" s="216"/>
      <x:c r="X586" s="216"/>
      <x:c r="Y586" s="216"/>
      <x:c r="Z586" s="216"/>
    </x:row>
    <x:row r="587">
      <x:c r="A587" s="216"/>
      <x:c r="B587" s="216"/>
      <x:c r="C587" s="216"/>
      <x:c r="D587" s="216"/>
      <x:c r="E587" s="216"/>
      <x:c r="F587" s="216"/>
      <x:c r="G587" s="216"/>
      <x:c r="H587" s="216"/>
      <x:c r="I587" s="216"/>
      <x:c r="J587" s="216"/>
      <x:c r="K587" s="216"/>
      <x:c r="L587" s="216"/>
      <x:c r="M587" s="216"/>
      <x:c r="N587" s="216"/>
      <x:c r="O587" s="216"/>
      <x:c r="P587" s="216"/>
      <x:c r="Q587" s="216"/>
      <x:c r="R587" s="216"/>
      <x:c r="S587" s="216"/>
      <x:c r="T587" s="216"/>
      <x:c r="U587" s="216"/>
      <x:c r="V587" s="216"/>
      <x:c r="W587" s="216"/>
      <x:c r="X587" s="216"/>
      <x:c r="Y587" s="216"/>
      <x:c r="Z587" s="216"/>
    </x:row>
    <x:row r="588">
      <x:c r="A588" s="216"/>
      <x:c r="B588" s="216"/>
      <x:c r="C588" s="216"/>
      <x:c r="D588" s="216"/>
      <x:c r="E588" s="216"/>
      <x:c r="F588" s="216"/>
      <x:c r="G588" s="216"/>
      <x:c r="H588" s="216"/>
      <x:c r="I588" s="216"/>
      <x:c r="J588" s="216"/>
      <x:c r="K588" s="216"/>
      <x:c r="L588" s="216"/>
      <x:c r="M588" s="216"/>
      <x:c r="N588" s="216"/>
      <x:c r="O588" s="216"/>
      <x:c r="P588" s="216"/>
      <x:c r="Q588" s="216"/>
      <x:c r="R588" s="216"/>
      <x:c r="S588" s="216"/>
      <x:c r="T588" s="216"/>
      <x:c r="U588" s="216"/>
      <x:c r="V588" s="216"/>
      <x:c r="W588" s="216"/>
      <x:c r="X588" s="216"/>
      <x:c r="Y588" s="216"/>
      <x:c r="Z588" s="216"/>
    </x:row>
    <x:row r="589">
      <x:c r="A589" s="216"/>
      <x:c r="B589" s="216"/>
      <x:c r="C589" s="216"/>
      <x:c r="D589" s="216"/>
      <x:c r="E589" s="216"/>
      <x:c r="F589" s="216"/>
      <x:c r="G589" s="216"/>
      <x:c r="H589" s="216"/>
      <x:c r="I589" s="216"/>
      <x:c r="J589" s="216"/>
      <x:c r="K589" s="216"/>
      <x:c r="L589" s="216"/>
      <x:c r="M589" s="216"/>
      <x:c r="N589" s="216"/>
      <x:c r="O589" s="216"/>
      <x:c r="P589" s="216"/>
      <x:c r="Q589" s="216"/>
      <x:c r="R589" s="216"/>
      <x:c r="S589" s="216"/>
      <x:c r="T589" s="216"/>
      <x:c r="U589" s="216"/>
      <x:c r="V589" s="216"/>
      <x:c r="W589" s="216"/>
      <x:c r="X589" s="216"/>
      <x:c r="Y589" s="216"/>
      <x:c r="Z589" s="216"/>
    </x:row>
    <x:row r="590">
      <x:c r="A590" s="216"/>
      <x:c r="B590" s="216"/>
      <x:c r="C590" s="216"/>
      <x:c r="D590" s="216"/>
      <x:c r="E590" s="216"/>
      <x:c r="F590" s="216"/>
      <x:c r="G590" s="216"/>
      <x:c r="H590" s="216"/>
      <x:c r="I590" s="216"/>
      <x:c r="J590" s="216"/>
      <x:c r="K590" s="216"/>
      <x:c r="L590" s="216"/>
      <x:c r="M590" s="216"/>
      <x:c r="N590" s="216"/>
      <x:c r="O590" s="216"/>
      <x:c r="P590" s="216"/>
      <x:c r="Q590" s="216"/>
      <x:c r="R590" s="216"/>
      <x:c r="S590" s="216"/>
      <x:c r="T590" s="216"/>
      <x:c r="U590" s="216"/>
      <x:c r="V590" s="216"/>
      <x:c r="W590" s="216"/>
      <x:c r="X590" s="216"/>
      <x:c r="Y590" s="216"/>
      <x:c r="Z590" s="216"/>
    </x:row>
    <x:row r="591">
      <x:c r="A591" s="216"/>
      <x:c r="B591" s="216"/>
      <x:c r="C591" s="216"/>
      <x:c r="D591" s="216"/>
      <x:c r="E591" s="216"/>
      <x:c r="F591" s="216"/>
      <x:c r="G591" s="216"/>
      <x:c r="H591" s="216"/>
      <x:c r="I591" s="216"/>
      <x:c r="J591" s="216"/>
      <x:c r="K591" s="216"/>
      <x:c r="L591" s="216"/>
      <x:c r="M591" s="216"/>
      <x:c r="N591" s="216"/>
      <x:c r="O591" s="216"/>
      <x:c r="P591" s="216"/>
      <x:c r="Q591" s="216"/>
      <x:c r="R591" s="216"/>
      <x:c r="S591" s="216"/>
      <x:c r="T591" s="216"/>
      <x:c r="U591" s="216"/>
      <x:c r="V591" s="216"/>
      <x:c r="W591" s="216"/>
      <x:c r="X591" s="216"/>
      <x:c r="Y591" s="216"/>
      <x:c r="Z591" s="216"/>
    </x:row>
    <x:row r="592">
      <x:c r="A592" s="216"/>
      <x:c r="B592" s="216"/>
      <x:c r="C592" s="216"/>
      <x:c r="D592" s="216"/>
      <x:c r="E592" s="216"/>
      <x:c r="F592" s="216"/>
      <x:c r="G592" s="216"/>
      <x:c r="H592" s="216"/>
      <x:c r="I592" s="216"/>
      <x:c r="J592" s="216"/>
      <x:c r="K592" s="216"/>
      <x:c r="L592" s="216"/>
      <x:c r="M592" s="216"/>
      <x:c r="N592" s="216"/>
      <x:c r="O592" s="216"/>
      <x:c r="P592" s="216"/>
      <x:c r="Q592" s="216"/>
      <x:c r="R592" s="216"/>
      <x:c r="S592" s="216"/>
      <x:c r="T592" s="216"/>
      <x:c r="U592" s="216"/>
      <x:c r="V592" s="216"/>
      <x:c r="W592" s="216"/>
      <x:c r="X592" s="216"/>
      <x:c r="Y592" s="216"/>
      <x:c r="Z592" s="216"/>
    </x:row>
    <x:row r="593">
      <x:c r="A593" s="216"/>
      <x:c r="B593" s="216"/>
      <x:c r="C593" s="216"/>
      <x:c r="D593" s="216"/>
      <x:c r="E593" s="216"/>
      <x:c r="F593" s="216"/>
      <x:c r="G593" s="216"/>
      <x:c r="H593" s="216"/>
      <x:c r="I593" s="216"/>
      <x:c r="J593" s="216"/>
      <x:c r="K593" s="216"/>
      <x:c r="L593" s="216"/>
      <x:c r="M593" s="216"/>
      <x:c r="N593" s="216"/>
      <x:c r="O593" s="216"/>
      <x:c r="P593" s="216"/>
      <x:c r="Q593" s="216"/>
      <x:c r="R593" s="216"/>
      <x:c r="S593" s="216"/>
      <x:c r="T593" s="216"/>
      <x:c r="U593" s="216"/>
      <x:c r="V593" s="216"/>
      <x:c r="W593" s="216"/>
      <x:c r="X593" s="216"/>
      <x:c r="Y593" s="216"/>
      <x:c r="Z593" s="216"/>
    </x:row>
    <x:row r="594">
      <x:c r="A594" s="216"/>
      <x:c r="B594" s="216"/>
      <x:c r="C594" s="216"/>
      <x:c r="D594" s="216"/>
      <x:c r="E594" s="216"/>
      <x:c r="F594" s="216"/>
      <x:c r="G594" s="216"/>
      <x:c r="H594" s="216"/>
      <x:c r="I594" s="216"/>
      <x:c r="J594" s="216"/>
      <x:c r="K594" s="216"/>
      <x:c r="L594" s="216"/>
      <x:c r="M594" s="216"/>
      <x:c r="N594" s="216"/>
      <x:c r="O594" s="216"/>
      <x:c r="P594" s="216"/>
      <x:c r="Q594" s="216"/>
      <x:c r="R594" s="216"/>
      <x:c r="S594" s="216"/>
      <x:c r="T594" s="216"/>
      <x:c r="U594" s="216"/>
      <x:c r="V594" s="216"/>
      <x:c r="W594" s="216"/>
      <x:c r="X594" s="216"/>
      <x:c r="Y594" s="216"/>
      <x:c r="Z594" s="216"/>
    </x:row>
    <x:row r="595">
      <x:c r="A595" s="216"/>
      <x:c r="B595" s="216"/>
      <x:c r="C595" s="216"/>
      <x:c r="D595" s="216"/>
      <x:c r="E595" s="216"/>
      <x:c r="F595" s="216"/>
      <x:c r="G595" s="216"/>
      <x:c r="H595" s="216"/>
      <x:c r="I595" s="216"/>
      <x:c r="J595" s="216"/>
      <x:c r="K595" s="216"/>
      <x:c r="L595" s="216"/>
      <x:c r="M595" s="216"/>
      <x:c r="N595" s="216"/>
      <x:c r="O595" s="216"/>
      <x:c r="P595" s="216"/>
      <x:c r="Q595" s="216"/>
      <x:c r="R595" s="216"/>
      <x:c r="S595" s="216"/>
      <x:c r="T595" s="216"/>
      <x:c r="U595" s="216"/>
      <x:c r="V595" s="216"/>
      <x:c r="W595" s="216"/>
      <x:c r="X595" s="216"/>
      <x:c r="Y595" s="216"/>
      <x:c r="Z595" s="216"/>
    </x:row>
    <x:row r="596">
      <x:c r="A596" s="216"/>
      <x:c r="B596" s="216"/>
      <x:c r="C596" s="216"/>
      <x:c r="D596" s="216"/>
      <x:c r="E596" s="216"/>
      <x:c r="F596" s="216"/>
      <x:c r="G596" s="216"/>
      <x:c r="H596" s="216"/>
      <x:c r="I596" s="216"/>
      <x:c r="J596" s="216"/>
      <x:c r="K596" s="216"/>
      <x:c r="L596" s="216"/>
      <x:c r="M596" s="216"/>
      <x:c r="N596" s="216"/>
      <x:c r="O596" s="216"/>
      <x:c r="P596" s="216"/>
      <x:c r="Q596" s="216"/>
      <x:c r="R596" s="216"/>
      <x:c r="S596" s="216"/>
      <x:c r="T596" s="216"/>
      <x:c r="U596" s="216"/>
      <x:c r="V596" s="216"/>
      <x:c r="W596" s="216"/>
      <x:c r="X596" s="216"/>
      <x:c r="Y596" s="216"/>
      <x:c r="Z596" s="216"/>
    </x:row>
    <x:row r="597">
      <x:c r="A597" s="216"/>
      <x:c r="B597" s="216"/>
      <x:c r="C597" s="216"/>
      <x:c r="D597" s="216"/>
      <x:c r="E597" s="216"/>
      <x:c r="F597" s="216"/>
      <x:c r="G597" s="216"/>
      <x:c r="H597" s="216"/>
      <x:c r="I597" s="216"/>
      <x:c r="J597" s="216"/>
      <x:c r="K597" s="216"/>
      <x:c r="L597" s="216"/>
      <x:c r="M597" s="216"/>
      <x:c r="N597" s="216"/>
      <x:c r="O597" s="216"/>
      <x:c r="P597" s="216"/>
      <x:c r="Q597" s="216"/>
      <x:c r="R597" s="216"/>
      <x:c r="S597" s="216"/>
      <x:c r="T597" s="216"/>
      <x:c r="U597" s="216"/>
      <x:c r="V597" s="216"/>
      <x:c r="W597" s="216"/>
      <x:c r="X597" s="216"/>
      <x:c r="Y597" s="216"/>
      <x:c r="Z597" s="216"/>
    </x:row>
    <x:row r="598">
      <x:c r="A598" s="216"/>
      <x:c r="B598" s="216"/>
      <x:c r="C598" s="216"/>
      <x:c r="D598" s="216"/>
      <x:c r="E598" s="216"/>
      <x:c r="F598" s="216"/>
      <x:c r="G598" s="216"/>
      <x:c r="H598" s="216"/>
      <x:c r="I598" s="216"/>
      <x:c r="J598" s="216"/>
      <x:c r="K598" s="216"/>
      <x:c r="L598" s="216"/>
      <x:c r="M598" s="216"/>
      <x:c r="N598" s="216"/>
      <x:c r="O598" s="216"/>
      <x:c r="P598" s="216"/>
      <x:c r="Q598" s="216"/>
      <x:c r="R598" s="216"/>
      <x:c r="S598" s="216"/>
      <x:c r="T598" s="216"/>
      <x:c r="U598" s="216"/>
      <x:c r="V598" s="216"/>
      <x:c r="W598" s="216"/>
      <x:c r="X598" s="216"/>
      <x:c r="Y598" s="216"/>
      <x:c r="Z598" s="216"/>
    </x:row>
    <x:row r="599">
      <x:c r="A599" s="216"/>
      <x:c r="B599" s="216"/>
      <x:c r="C599" s="216"/>
      <x:c r="D599" s="216"/>
      <x:c r="E599" s="216"/>
      <x:c r="F599" s="216"/>
      <x:c r="G599" s="216"/>
      <x:c r="H599" s="216"/>
      <x:c r="I599" s="216"/>
      <x:c r="J599" s="216"/>
      <x:c r="K599" s="216"/>
      <x:c r="L599" s="216"/>
      <x:c r="M599" s="216"/>
      <x:c r="N599" s="216"/>
      <x:c r="O599" s="216"/>
      <x:c r="P599" s="216"/>
      <x:c r="Q599" s="216"/>
      <x:c r="R599" s="216"/>
      <x:c r="S599" s="216"/>
      <x:c r="T599" s="216"/>
      <x:c r="U599" s="216"/>
      <x:c r="V599" s="216"/>
      <x:c r="W599" s="216"/>
      <x:c r="X599" s="216"/>
      <x:c r="Y599" s="216"/>
      <x:c r="Z599" s="216"/>
    </x:row>
    <x:row r="600">
      <x:c r="A600" s="216"/>
      <x:c r="B600" s="216"/>
      <x:c r="C600" s="216"/>
      <x:c r="D600" s="216"/>
      <x:c r="E600" s="216"/>
      <x:c r="F600" s="216"/>
      <x:c r="G600" s="216"/>
      <x:c r="H600" s="216"/>
      <x:c r="I600" s="216"/>
      <x:c r="J600" s="216"/>
      <x:c r="K600" s="216"/>
      <x:c r="L600" s="216"/>
      <x:c r="M600" s="216"/>
      <x:c r="N600" s="216"/>
      <x:c r="O600" s="216"/>
      <x:c r="P600" s="216"/>
      <x:c r="Q600" s="216"/>
      <x:c r="R600" s="216"/>
      <x:c r="S600" s="216"/>
      <x:c r="T600" s="216"/>
      <x:c r="U600" s="216"/>
      <x:c r="V600" s="216"/>
      <x:c r="W600" s="216"/>
      <x:c r="X600" s="216"/>
      <x:c r="Y600" s="216"/>
      <x:c r="Z600" s="216"/>
    </x:row>
  </x:sheetData>
  <x:mergeCells>
    <x:mergeCell ref="A1:I2"/>
    <x:mergeCell ref="A3:I3"/>
    <x:mergeCell ref="B5:C5"/>
    <x:mergeCell ref="E5:F5"/>
    <x:mergeCell ref="H5:I5"/>
    <x:mergeCell ref="B15:I15"/>
    <x:mergeCell ref="C17:I17"/>
    <x:mergeCell ref="C18:I18"/>
    <x:mergeCell ref="C19:I19"/>
    <x:mergeCell ref="C20:I20"/>
  </x:mergeCells>
  <x:dataValidations count="9">
    <x:dataValidation type="decimal" operator="greaterThan" sqref="C6">
      <x:formula1>0</x:formula1>
    </x:dataValidation>
    <x:dataValidation type="decimal" operator="between" sqref="C7">
      <x:formula1>0</x:formula1>
      <x:formula2>0.25</x:formula2>
    </x:dataValidation>
    <x:dataValidation type="whole" operator="between" sqref="C8">
      <x:formula1>1</x:formula1>
      <x:formula2>40</x:formula2>
    </x:dataValidation>
    <x:dataValidation type="decimal" operator="greaterThanOrEqual" sqref="F6">
      <x:formula1>0</x:formula1>
    </x:dataValidation>
    <x:dataValidation type="decimal" operator="greaterThanOrEqual" sqref="F7">
      <x:formula1>0</x:formula1>
    </x:dataValidation>
    <x:dataValidation type="decimal" operator="greaterThanOrEqual" sqref="I6">
      <x:formula1>0</x:formula1>
    </x:dataValidation>
    <x:dataValidation type="decimal" operator="greaterThanOrEqual" sqref="I7">
      <x:formula1>0</x:formula1>
    </x:dataValidation>
    <x:dataValidation type="whole" operator="between" sqref="F8">
      <x:formula1>1</x:formula1>
      <x:formula2>480</x:formula2>
    </x:dataValidation>
    <x:dataValidation type="whole" operator="between" sqref="I8">
      <x:formula1>1</x:formula1>
      <x:formula2>480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3" hidden="0" customWidth="1"/>
    <x:col min="6" max="6" width="14" hidden="0" customWidth="1"/>
    <x:col min="7" max="7" width="14" hidden="0" customWidth="1"/>
    <x:col min="8" max="8" width="14" hidden="0" customWidth="1"/>
    <x:col min="9" max="9" width="14" hidden="0" customWidth="1"/>
    <x:col min="10" max="10" width="10" hidden="0" customWidth="1"/>
    <x:col min="11" max="11" width="14" hidden="0" customWidth="1"/>
    <x:col min="12" max="12" width="14" hidden="0" customWidth="1"/>
    <x:col min="13" max="13" width="14" hidden="0" customWidth="1"/>
    <x:col min="14" max="14" width="14" hidden="0" customWidth="1"/>
  </x:cols>
  <x:sheetData>
    <x:row r="1">
      <x:c r="A1" s="5" t="str">
        <x:v>Mortgage payoff dashboard</x:v>
      </x:c>
      <x:c r="B1" s="5"/>
      <x:c r="C1" s="5"/>
      <x:c r="D1" s="5"/>
      <x:c r="E1" s="5"/>
      <x:c r="F1" s="5"/>
      <x:c r="G1" s="5"/>
      <x:c r="H1" s="5"/>
      <x:c r="I1" s="5"/>
      <x:c r="J1" s="5"/>
      <x:c r="K1" s="5"/>
      <x:c r="L1" s="5"/>
      <x:c r="M1" s="5"/>
      <x:c r="N1" s="5"/>
      <x:c r="O1" s="178"/>
      <x:c r="P1" s="178"/>
      <x:c r="Q1" s="178"/>
      <x:c r="R1" s="178"/>
      <x:c r="S1" s="178"/>
      <x:c r="T1" s="178"/>
      <x:c r="U1" s="178"/>
      <x:c r="V1" s="178"/>
      <x:c r="W1" s="178"/>
      <x:c r="X1" s="178"/>
      <x:c r="Y1" s="178"/>
      <x:c r="Z1" s="178"/>
    </x:row>
    <x:row r="2">
      <x:c r="A2" s="5"/>
      <x:c r="B2" s="5"/>
      <x:c r="C2" s="5"/>
      <x:c r="D2" s="5"/>
      <x:c r="E2" s="5"/>
      <x:c r="F2" s="5"/>
      <x:c r="G2" s="5"/>
      <x:c r="H2" s="5"/>
      <x:c r="I2" s="5"/>
      <x:c r="J2" s="5"/>
      <x:c r="K2" s="5"/>
      <x:c r="L2" s="5"/>
      <x:c r="M2" s="5"/>
      <x:c r="N2" s="5"/>
      <x:c r="O2" s="178"/>
      <x:c r="P2" s="178"/>
      <x:c r="Q2" s="178"/>
      <x:c r="R2" s="178"/>
      <x:c r="S2" s="178"/>
      <x:c r="T2" s="178"/>
      <x:c r="U2" s="178"/>
      <x:c r="V2" s="178"/>
      <x:c r="W2" s="178"/>
      <x:c r="X2" s="178"/>
      <x:c r="Y2" s="178"/>
      <x:c r="Z2" s="178"/>
    </x:row>
    <x:row r="3">
      <x:c r="A3" s="8" t="str">
        <x:v>A decision view—not a promise. Results update when Your Mortgage inputs change.</x:v>
      </x:c>
      <x:c r="B3" s="8"/>
      <x:c r="C3" s="8"/>
      <x:c r="D3" s="8"/>
      <x:c r="E3" s="8"/>
      <x:c r="F3" s="8"/>
      <x:c r="G3" s="8"/>
      <x:c r="H3" s="8"/>
      <x:c r="I3" s="8"/>
      <x:c r="J3" s="8"/>
      <x:c r="K3" s="8"/>
      <x:c r="L3" s="8"/>
      <x:c r="M3" s="8"/>
      <x:c r="N3" s="8"/>
      <x:c r="O3" s="178"/>
      <x:c r="P3" s="178"/>
      <x:c r="Q3" s="178"/>
      <x:c r="R3" s="178"/>
      <x:c r="S3" s="178"/>
      <x:c r="T3" s="178"/>
      <x:c r="U3" s="178"/>
      <x:c r="V3" s="178"/>
      <x:c r="W3" s="178"/>
      <x:c r="X3" s="178"/>
      <x:c r="Y3" s="178"/>
      <x:c r="Z3" s="178"/>
    </x:row>
    <x:row r="4">
      <x:c r="A4" s="178"/>
      <x:c r="B4" s="178"/>
      <x:c r="C4" s="178"/>
      <x:c r="D4" s="178"/>
      <x:c r="E4" s="178"/>
      <x:c r="F4" s="178"/>
      <x:c r="G4" s="178"/>
      <x:c r="H4" s="178"/>
      <x:c r="I4" s="178"/>
      <x:c r="J4" s="178"/>
      <x:c r="K4" s="178"/>
      <x:c r="L4" s="178"/>
      <x:c r="M4" s="178"/>
      <x:c r="N4" s="178"/>
      <x:c r="O4" s="178"/>
      <x:c r="P4" s="178"/>
      <x:c r="Q4" s="178"/>
      <x:c r="R4" s="178"/>
      <x:c r="S4" s="178"/>
      <x:c r="T4" s="178"/>
      <x:c r="U4" s="178"/>
      <x:c r="V4" s="178"/>
      <x:c r="W4" s="178"/>
      <x:c r="X4" s="178"/>
      <x:c r="Y4" s="178"/>
      <x:c r="Z4" s="178"/>
    </x:row>
    <x:row r="5">
      <x:c r="A5" s="11" t="str">
        <x:v>Baseline</x:v>
      </x:c>
      <x:c r="B5" s="11"/>
      <x:c r="C5" s="11"/>
      <x:c r="D5" s="11"/>
      <x:c r="E5" s="178"/>
      <x:c r="F5" s="87" t="str">
        <x:v>Strategy A</x:v>
      </x:c>
      <x:c r="G5" s="87"/>
      <x:c r="H5" s="87"/>
      <x:c r="I5" s="87"/>
      <x:c r="J5" s="178"/>
      <x:c r="K5" s="90" t="str">
        <x:v>Strategy B</x:v>
      </x:c>
      <x:c r="L5" s="90"/>
      <x:c r="M5" s="90"/>
      <x:c r="N5" s="90"/>
      <x:c r="O5" s="178"/>
      <x:c r="P5" s="178"/>
      <x:c r="Q5" s="178"/>
      <x:c r="R5" s="178"/>
      <x:c r="S5" s="178"/>
      <x:c r="T5" s="178"/>
      <x:c r="U5" s="178"/>
      <x:c r="V5" s="178"/>
      <x:c r="W5" s="178"/>
      <x:c r="X5" s="178"/>
      <x:c r="Y5" s="178"/>
      <x:c r="Z5" s="178"/>
    </x:row>
    <x:row r="6">
      <x:c r="A6" s="196" t="str">
        <x:v>Minimum payment</x:v>
      </x:c>
      <x:c r="B6" s="197" t="str"/>
      <x:c r="C6" s="198" t="n">
        <x:f>'Your Mortgage'!$C$11</x:f>
        <x:v>2054.2210763521375</x:v>
      </x:c>
      <x:c r="D6" s="199"/>
      <x:c r="E6" s="178"/>
      <x:c r="F6" s="196" t="str">
        <x:v>Monthly extra</x:v>
      </x:c>
      <x:c r="G6" s="197" t="str"/>
      <x:c r="H6" s="198" t="n">
        <x:f>'Your Mortgage'!$F$6</x:f>
        <x:v>250</x:v>
      </x:c>
      <x:c r="I6" s="199"/>
      <x:c r="J6" s="178"/>
      <x:c r="K6" s="196" t="str">
        <x:v>Monthly extra</x:v>
      </x:c>
      <x:c r="L6" s="197" t="str"/>
      <x:c r="M6" s="198" t="n">
        <x:f>'Your Mortgage'!$I$6</x:f>
        <x:v>500</x:v>
      </x:c>
      <x:c r="N6" s="199"/>
      <x:c r="O6" s="178"/>
      <x:c r="P6" s="178"/>
      <x:c r="Q6" s="178"/>
      <x:c r="R6" s="178"/>
      <x:c r="S6" s="178"/>
      <x:c r="T6" s="178"/>
      <x:c r="U6" s="178"/>
      <x:c r="V6" s="178"/>
      <x:c r="W6" s="178"/>
      <x:c r="X6" s="178"/>
      <x:c r="Y6" s="178"/>
      <x:c r="Z6" s="178"/>
    </x:row>
    <x:row r="7">
      <x:c r="A7" s="200" t="str">
        <x:v>Payoff date</x:v>
      </x:c>
      <x:c r="B7" s="184" t="str"/>
      <x:c r="C7" s="201" t="n">
        <x:f>EDATE('Your Mortgage'!$C$9,COUNTIF(Amortization!$C$6:$C$485,"&gt;0")-1)</x:f>
        <x:v>57162</x:v>
      </x:c>
      <x:c r="D7" s="202"/>
      <x:c r="E7" s="178"/>
      <x:c r="F7" s="200" t="str">
        <x:v>Payoff date</x:v>
      </x:c>
      <x:c r="G7" s="184" t="str"/>
      <x:c r="H7" s="201" t="n">
        <x:f>EDATE('Your Mortgage'!$C$9,COUNTIF(Amortization!$I$6:$I$485,"&gt;0")-1)</x:f>
        <x:v>54089</x:v>
      </x:c>
      <x:c r="I7" s="202"/>
      <x:c r="J7" s="178"/>
      <x:c r="K7" s="200" t="str">
        <x:v>Payoff date</x:v>
      </x:c>
      <x:c r="L7" s="184" t="str"/>
      <x:c r="M7" s="201" t="n">
        <x:f>EDATE('Your Mortgage'!$C$9,COUNTIF(Amortization!$Q$6:$Q$485,"&gt;0")-1)</x:f>
        <x:v>52810</x:v>
      </x:c>
      <x:c r="N7" s="202"/>
      <x:c r="O7" s="178"/>
      <x:c r="P7" s="178"/>
      <x:c r="Q7" s="178"/>
      <x:c r="R7" s="178"/>
      <x:c r="S7" s="178"/>
      <x:c r="T7" s="178"/>
      <x:c r="U7" s="178"/>
      <x:c r="V7" s="178"/>
      <x:c r="W7" s="178"/>
      <x:c r="X7" s="178"/>
      <x:c r="Y7" s="178"/>
      <x:c r="Z7" s="178"/>
    </x:row>
    <x:row r="8">
      <x:c r="A8" s="200" t="str">
        <x:v>Payments</x:v>
      </x:c>
      <x:c r="B8" s="184" t="str"/>
      <x:c r="C8" s="203" t="n">
        <x:f>COUNTIF(Amortization!$C$6:$C$485,"&gt;0")</x:f>
        <x:v>360</x:v>
      </x:c>
      <x:c r="D8" s="202"/>
      <x:c r="E8" s="178"/>
      <x:c r="F8" s="200" t="str">
        <x:v>Payments</x:v>
      </x:c>
      <x:c r="G8" s="184" t="str"/>
      <x:c r="H8" s="203" t="n">
        <x:f>COUNTIF(Amortization!$I$6:$I$485,"&gt;0")</x:f>
        <x:v>259</x:v>
      </x:c>
      <x:c r="I8" s="202"/>
      <x:c r="J8" s="178"/>
      <x:c r="K8" s="200" t="str">
        <x:v>Payments</x:v>
      </x:c>
      <x:c r="L8" s="184" t="str"/>
      <x:c r="M8" s="203" t="n">
        <x:f>COUNTIF(Amortization!$Q$6:$Q$485,"&gt;0")</x:f>
        <x:v>217</x:v>
      </x:c>
      <x:c r="N8" s="202"/>
      <x:c r="O8" s="178"/>
      <x:c r="P8" s="178"/>
      <x:c r="Q8" s="178"/>
      <x:c r="R8" s="178"/>
      <x:c r="S8" s="178"/>
      <x:c r="T8" s="178"/>
      <x:c r="U8" s="178"/>
      <x:c r="V8" s="178"/>
      <x:c r="W8" s="178"/>
      <x:c r="X8" s="178"/>
      <x:c r="Y8" s="178"/>
      <x:c r="Z8" s="178"/>
    </x:row>
    <x:row r="9">
      <x:c r="A9" s="200" t="str">
        <x:v>Total interest</x:v>
      </x:c>
      <x:c r="B9" s="184" t="str"/>
      <x:c r="C9" s="204" t="n">
        <x:f>SUM(Amortization!$D$6:$D$485)</x:f>
        <x:v>414519.58748676255</x:v>
      </x:c>
      <x:c r="D9" s="202"/>
      <x:c r="E9" s="178"/>
      <x:c r="F9" s="200" t="str">
        <x:v>Total interest</x:v>
      </x:c>
      <x:c r="G9" s="184" t="str"/>
      <x:c r="H9" s="204" t="n">
        <x:f>SUM(Amortization!$J$6:$J$485)</x:f>
        <x:v>276434.4236934532</x:v>
      </x:c>
      <x:c r="I9" s="202"/>
      <x:c r="J9" s="178"/>
      <x:c r="K9" s="200" t="str">
        <x:v>Total interest</x:v>
      </x:c>
      <x:c r="L9" s="184" t="str"/>
      <x:c r="M9" s="204" t="n">
        <x:f>SUM(Amortization!$R$6:$R$485)</x:f>
        <x:v>227575.18428895436</x:v>
      </x:c>
      <x:c r="N9" s="202"/>
      <x:c r="O9" s="178"/>
      <x:c r="P9" s="178"/>
      <x:c r="Q9" s="178"/>
      <x:c r="R9" s="178"/>
      <x:c r="S9" s="178"/>
      <x:c r="T9" s="178"/>
      <x:c r="U9" s="178"/>
      <x:c r="V9" s="178"/>
      <x:c r="W9" s="178"/>
      <x:c r="X9" s="178"/>
      <x:c r="Y9" s="178"/>
      <x:c r="Z9" s="178"/>
    </x:row>
    <x:row r="10">
      <x:c r="A10" s="200" t="str">
        <x:v>Months saved</x:v>
      </x:c>
      <x:c r="B10" s="184" t="str"/>
      <x:c r="C10" s="203" t="n">
        <x:f>0</x:f>
        <x:v>0</x:v>
      </x:c>
      <x:c r="D10" s="202"/>
      <x:c r="E10" s="178"/>
      <x:c r="F10" s="200" t="str">
        <x:v>Months saved</x:v>
      </x:c>
      <x:c r="G10" s="184" t="str"/>
      <x:c r="H10" s="203" t="n">
        <x:f>$C$8-H8</x:f>
        <x:v>101</x:v>
      </x:c>
      <x:c r="I10" s="202"/>
      <x:c r="J10" s="178"/>
      <x:c r="K10" s="200" t="str">
        <x:v>Months saved</x:v>
      </x:c>
      <x:c r="L10" s="184" t="str"/>
      <x:c r="M10" s="203" t="n">
        <x:f>$C$8-M8</x:f>
        <x:v>143</x:v>
      </x:c>
      <x:c r="N10" s="202"/>
      <x:c r="O10" s="178"/>
      <x:c r="P10" s="178"/>
      <x:c r="Q10" s="178"/>
      <x:c r="R10" s="178"/>
      <x:c r="S10" s="178"/>
      <x:c r="T10" s="178"/>
      <x:c r="U10" s="178"/>
      <x:c r="V10" s="178"/>
      <x:c r="W10" s="178"/>
      <x:c r="X10" s="178"/>
      <x:c r="Y10" s="178"/>
      <x:c r="Z10" s="178"/>
    </x:row>
    <x:row r="11">
      <x:c r="A11" s="205" t="str">
        <x:v>Interest saved</x:v>
      </x:c>
      <x:c r="B11" s="206" t="str"/>
      <x:c r="C11" s="207" t="n">
        <x:f>0</x:f>
        <x:v>0</x:v>
      </x:c>
      <x:c r="D11" s="208"/>
      <x:c r="E11" s="178"/>
      <x:c r="F11" s="205" t="str">
        <x:v>Interest saved</x:v>
      </x:c>
      <x:c r="G11" s="206" t="str"/>
      <x:c r="H11" s="207" t="n">
        <x:f>$C$9-H9</x:f>
        <x:v>138085.16379330936</x:v>
      </x:c>
      <x:c r="I11" s="208"/>
      <x:c r="J11" s="178"/>
      <x:c r="K11" s="205" t="str">
        <x:v>Interest saved</x:v>
      </x:c>
      <x:c r="L11" s="206" t="str"/>
      <x:c r="M11" s="207" t="n">
        <x:f>$C$9-M9</x:f>
        <x:v>186944.4031978082</x:v>
      </x:c>
      <x:c r="N11" s="208"/>
      <x:c r="O11" s="178"/>
      <x:c r="P11" s="178"/>
      <x:c r="Q11" s="178"/>
      <x:c r="R11" s="178"/>
      <x:c r="S11" s="178"/>
      <x:c r="T11" s="178"/>
      <x:c r="U11" s="178"/>
      <x:c r="V11" s="178"/>
      <x:c r="W11" s="178"/>
      <x:c r="X11" s="178"/>
      <x:c r="Y11" s="178"/>
      <x:c r="Z11" s="178"/>
    </x:row>
    <x:row r="12">
      <x:c r="A12" s="178"/>
      <x:c r="B12" s="178"/>
      <x:c r="C12" s="178"/>
      <x:c r="D12" s="178"/>
      <x:c r="E12" s="178"/>
      <x:c r="F12" s="178"/>
      <x:c r="G12" s="178"/>
      <x:c r="H12" s="178"/>
      <x:c r="I12" s="178"/>
      <x:c r="J12" s="178"/>
      <x:c r="K12" s="178"/>
      <x:c r="L12" s="178"/>
      <x:c r="M12" s="178"/>
      <x:c r="N12" s="178"/>
      <x:c r="O12" s="178"/>
      <x:c r="P12" s="178"/>
      <x:c r="Q12" s="178"/>
      <x:c r="R12" s="178"/>
      <x:c r="S12" s="178"/>
      <x:c r="T12" s="178"/>
      <x:c r="U12" s="178"/>
      <x:c r="V12" s="178"/>
      <x:c r="W12" s="178"/>
      <x:c r="X12" s="178"/>
      <x:c r="Y12" s="178"/>
      <x:c r="Z12" s="178"/>
    </x:row>
    <x:row r="13">
      <x:c r="A13" s="178"/>
      <x:c r="B13" s="178"/>
      <x:c r="C13" s="178"/>
      <x:c r="D13" s="178"/>
      <x:c r="E13" s="178"/>
      <x:c r="F13" s="178"/>
      <x:c r="G13" s="178"/>
      <x:c r="H13" s="178"/>
      <x:c r="I13" s="178"/>
      <x:c r="J13" s="178"/>
      <x:c r="K13" s="178"/>
      <x:c r="L13" s="178"/>
      <x:c r="M13" s="178"/>
      <x:c r="N13" s="178"/>
      <x:c r="O13" s="178"/>
      <x:c r="P13" s="178"/>
      <x:c r="Q13" s="178"/>
      <x:c r="R13" s="178"/>
      <x:c r="S13" s="178"/>
      <x:c r="T13" s="178"/>
      <x:c r="U13" s="178"/>
      <x:c r="V13" s="178"/>
      <x:c r="W13" s="178"/>
      <x:c r="X13" s="178"/>
      <x:c r="Y13" s="178"/>
      <x:c r="Z13" s="178"/>
    </x:row>
    <x:row r="14">
      <x:c r="A14" s="11" t="str">
        <x:v>Side-by-side decision table</x:v>
      </x:c>
      <x:c r="B14" s="11"/>
      <x:c r="C14" s="11"/>
      <x:c r="D14" s="11"/>
      <x:c r="E14" s="11"/>
      <x:c r="F14" s="11"/>
      <x:c r="G14" s="11"/>
      <x:c r="H14" s="11"/>
      <x:c r="I14" s="11"/>
      <x:c r="J14" s="11"/>
      <x:c r="K14" s="11"/>
      <x:c r="L14" s="11"/>
      <x:c r="M14" s="11"/>
      <x:c r="N14" s="11"/>
      <x:c r="O14" s="178"/>
      <x:c r="P14" s="178"/>
      <x:c r="Q14" s="178"/>
      <x:c r="R14" s="178"/>
      <x:c r="S14" s="178"/>
      <x:c r="T14" s="178"/>
      <x:c r="U14" s="178"/>
      <x:c r="V14" s="178"/>
      <x:c r="W14" s="178"/>
      <x:c r="X14" s="178"/>
      <x:c r="Y14" s="178"/>
      <x:c r="Z14" s="178"/>
    </x:row>
    <x:row r="15">
      <x:c r="A15" s="178"/>
      <x:c r="B15" s="178"/>
      <x:c r="C15" s="178"/>
      <x:c r="D15" s="178"/>
      <x:c r="E15" s="178"/>
      <x:c r="F15" s="178"/>
      <x:c r="G15" s="178"/>
      <x:c r="H15" s="178"/>
      <x:c r="I15" s="178"/>
      <x:c r="J15" s="178"/>
      <x:c r="K15" s="178"/>
      <x:c r="L15" s="178"/>
      <x:c r="M15" s="178"/>
      <x:c r="N15" s="178"/>
      <x:c r="O15" s="178"/>
      <x:c r="P15" s="178"/>
      <x:c r="Q15" s="178"/>
      <x:c r="R15" s="178"/>
      <x:c r="S15" s="178"/>
      <x:c r="T15" s="178"/>
      <x:c r="U15" s="178"/>
      <x:c r="V15" s="178"/>
      <x:c r="W15" s="178"/>
      <x:c r="X15" s="178"/>
      <x:c r="Y15" s="178"/>
      <x:c r="Z15" s="178"/>
    </x:row>
    <x:row r="16">
      <x:c r="A16" s="209" t="str">
        <x:v>Scenario</x:v>
      </x:c>
      <x:c r="B16" s="209" t="str">
        <x:v>Monthly extra</x:v>
      </x:c>
      <x:c r="C16" s="209" t="str">
        <x:v>Lump sum</x:v>
      </x:c>
      <x:c r="D16" s="209" t="str">
        <x:v>At payment #</x:v>
      </x:c>
      <x:c r="E16" s="209" t="str">
        <x:v>Payoff date</x:v>
      </x:c>
      <x:c r="F16" s="209" t="str">
        <x:v>Payments</x:v>
      </x:c>
      <x:c r="G16" s="209" t="str">
        <x:v>Months saved</x:v>
      </x:c>
      <x:c r="H16" s="209" t="str">
        <x:v>Total interest</x:v>
      </x:c>
      <x:c r="I16" s="209" t="str">
        <x:v>Interest saved</x:v>
      </x:c>
      <x:c r="J16" s="209" t="str"/>
      <x:c r="K16" s="209" t="str"/>
      <x:c r="L16" s="209" t="str"/>
      <x:c r="M16" s="209" t="str"/>
      <x:c r="N16" s="209" t="str"/>
      <x:c r="O16" s="178"/>
      <x:c r="P16" s="178"/>
      <x:c r="Q16" s="178"/>
      <x:c r="R16" s="178"/>
      <x:c r="S16" s="178"/>
      <x:c r="T16" s="178"/>
      <x:c r="U16" s="178"/>
      <x:c r="V16" s="178"/>
      <x:c r="W16" s="178"/>
      <x:c r="X16" s="178"/>
      <x:c r="Y16" s="178"/>
      <x:c r="Z16" s="178"/>
    </x:row>
    <x:row r="17">
      <x:c r="A17" s="182" t="str">
        <x:v>Baseline</x:v>
      </x:c>
      <x:c r="B17" s="210" t="n">
        <x:f>0</x:f>
        <x:v>0</x:v>
      </x:c>
      <x:c r="C17" s="210" t="n">
        <x:f>0</x:f>
        <x:v>0</x:v>
      </x:c>
      <x:c r="D17" s="183" t="str">
        <x:f>"-"</x:f>
        <x:v>-</x:v>
      </x:c>
      <x:c r="E17" s="211" t="n">
        <x:f>$C$7</x:f>
        <x:v>57162</x:v>
      </x:c>
      <x:c r="F17" s="183" t="n">
        <x:f>$C$8</x:f>
        <x:v>360</x:v>
      </x:c>
      <x:c r="G17" s="183" t="n">
        <x:f>0</x:f>
        <x:v>0</x:v>
      </x:c>
      <x:c r="H17" s="210" t="n">
        <x:f>$C$9</x:f>
        <x:v>414519.58748676255</x:v>
      </x:c>
      <x:c r="I17" s="212" t="n">
        <x:f>0</x:f>
        <x:v>0</x:v>
      </x:c>
      <x:c r="J17" s="183" t="str"/>
      <x:c r="K17" s="183" t="str"/>
      <x:c r="L17" s="183" t="str"/>
      <x:c r="M17" s="183" t="str"/>
      <x:c r="N17" s="183" t="str"/>
      <x:c r="O17" s="178"/>
      <x:c r="P17" s="178"/>
      <x:c r="Q17" s="178"/>
      <x:c r="R17" s="178"/>
      <x:c r="S17" s="178"/>
      <x:c r="T17" s="178"/>
      <x:c r="U17" s="178"/>
      <x:c r="V17" s="178"/>
      <x:c r="W17" s="178"/>
      <x:c r="X17" s="178"/>
      <x:c r="Y17" s="178"/>
      <x:c r="Z17" s="178"/>
    </x:row>
    <x:row r="18">
      <x:c r="A18" s="182" t="str">
        <x:v>Strategy A</x:v>
      </x:c>
      <x:c r="B18" s="210" t="n">
        <x:f>'Your Mortgage'!$F$6</x:f>
        <x:v>250</x:v>
      </x:c>
      <x:c r="C18" s="210" t="n">
        <x:f>'Your Mortgage'!$F$7</x:f>
        <x:v>5000</x:v>
      </x:c>
      <x:c r="D18" s="183" t="n">
        <x:f>'Your Mortgage'!$F$8</x:f>
        <x:v>12</x:v>
      </x:c>
      <x:c r="E18" s="211" t="n">
        <x:f>$H$7</x:f>
        <x:v>54089</x:v>
      </x:c>
      <x:c r="F18" s="183" t="n">
        <x:f>$H$8</x:f>
        <x:v>259</x:v>
      </x:c>
      <x:c r="G18" s="183" t="n">
        <x:f>$H$10</x:f>
        <x:v>101</x:v>
      </x:c>
      <x:c r="H18" s="210" t="n">
        <x:f>$H$9</x:f>
        <x:v>276434.4236934532</x:v>
      </x:c>
      <x:c r="I18" s="212" t="n">
        <x:f>$H$11</x:f>
        <x:v>138085.16379330936</x:v>
      </x:c>
      <x:c r="J18" s="183" t="str"/>
      <x:c r="K18" s="183" t="str"/>
      <x:c r="L18" s="183" t="str"/>
      <x:c r="M18" s="183" t="str"/>
      <x:c r="N18" s="183" t="str"/>
      <x:c r="O18" s="178"/>
      <x:c r="P18" s="178"/>
      <x:c r="Q18" s="178"/>
      <x:c r="R18" s="178"/>
      <x:c r="S18" s="178"/>
      <x:c r="T18" s="178"/>
      <x:c r="U18" s="178"/>
      <x:c r="V18" s="178"/>
      <x:c r="W18" s="178"/>
      <x:c r="X18" s="178"/>
      <x:c r="Y18" s="178"/>
      <x:c r="Z18" s="178"/>
    </x:row>
    <x:row r="19">
      <x:c r="A19" s="182" t="str">
        <x:v>Strategy B</x:v>
      </x:c>
      <x:c r="B19" s="210" t="n">
        <x:f>'Your Mortgage'!$I$6</x:f>
        <x:v>500</x:v>
      </x:c>
      <x:c r="C19" s="210" t="n">
        <x:f>'Your Mortgage'!$I$7</x:f>
        <x:v>0</x:v>
      </x:c>
      <x:c r="D19" s="183" t="n">
        <x:f>'Your Mortgage'!$I$8</x:f>
        <x:v>12</x:v>
      </x:c>
      <x:c r="E19" s="211" t="n">
        <x:f>$M$7</x:f>
        <x:v>52810</x:v>
      </x:c>
      <x:c r="F19" s="183" t="n">
        <x:f>$M$8</x:f>
        <x:v>217</x:v>
      </x:c>
      <x:c r="G19" s="183" t="n">
        <x:f>$M$10</x:f>
        <x:v>143</x:v>
      </x:c>
      <x:c r="H19" s="210" t="n">
        <x:f>$M$9</x:f>
        <x:v>227575.18428895436</x:v>
      </x:c>
      <x:c r="I19" s="212" t="n">
        <x:f>$M$11</x:f>
        <x:v>186944.4031978082</x:v>
      </x:c>
      <x:c r="J19" s="183" t="str"/>
      <x:c r="K19" s="183" t="str"/>
      <x:c r="L19" s="183" t="str"/>
      <x:c r="M19" s="183" t="str"/>
      <x:c r="N19" s="183" t="str"/>
      <x:c r="O19" s="178"/>
      <x:c r="P19" s="178"/>
      <x:c r="Q19" s="178"/>
      <x:c r="R19" s="178"/>
      <x:c r="S19" s="178"/>
      <x:c r="T19" s="178"/>
      <x:c r="U19" s="178"/>
      <x:c r="V19" s="178"/>
      <x:c r="W19" s="178"/>
      <x:c r="X19" s="178"/>
      <x:c r="Y19" s="178"/>
      <x:c r="Z19" s="178"/>
    </x:row>
    <x:row r="20">
      <x:c r="A20" s="182" t="str">
        <x:v>Best time result</x:v>
      </x:c>
      <x:c r="B20" s="213" t="str">
        <x:f>IF(H18=H19,"Tie",IF(H18&lt;H19,'Your Mortgage'!$F$9,'Your Mortgage'!$I$9))</x:f>
        <x:v>Accelerated monthly</x:v>
      </x:c>
      <x:c r="C20" s="213" t="str"/>
      <x:c r="D20" s="213" t="str"/>
      <x:c r="E20" s="213" t="str"/>
      <x:c r="F20" s="213" t="str"/>
      <x:c r="G20" s="213" t="str"/>
      <x:c r="H20" s="213" t="str"/>
      <x:c r="I20" s="182" t="str"/>
      <x:c r="J20" s="182" t="str"/>
      <x:c r="K20" s="182" t="str"/>
      <x:c r="L20" s="182" t="str"/>
      <x:c r="M20" s="182" t="str"/>
      <x:c r="N20" s="182" t="str"/>
      <x:c r="O20" s="178"/>
      <x:c r="P20" s="178"/>
      <x:c r="Q20" s="178"/>
      <x:c r="R20" s="178"/>
      <x:c r="S20" s="178"/>
      <x:c r="T20" s="178"/>
      <x:c r="U20" s="178"/>
      <x:c r="V20" s="178"/>
      <x:c r="W20" s="178"/>
      <x:c r="X20" s="178"/>
      <x:c r="Y20" s="178"/>
      <x:c r="Z20" s="178"/>
    </x:row>
    <x:row r="21">
      <x:c r="A21" s="178"/>
      <x:c r="B21" s="178"/>
      <x:c r="C21" s="178"/>
      <x:c r="D21" s="178"/>
      <x:c r="E21" s="178"/>
      <x:c r="F21" s="178"/>
      <x:c r="G21" s="178"/>
      <x:c r="H21" s="178"/>
      <x:c r="I21" s="178"/>
      <x:c r="J21" s="178"/>
      <x:c r="K21" s="178"/>
      <x:c r="L21" s="178"/>
      <x:c r="M21" s="178"/>
      <x:c r="N21" s="178"/>
      <x:c r="O21" s="178"/>
      <x:c r="P21" s="178"/>
      <x:c r="Q21" s="178"/>
      <x:c r="R21" s="178"/>
      <x:c r="S21" s="178"/>
      <x:c r="T21" s="178"/>
      <x:c r="U21" s="178"/>
      <x:c r="V21" s="178"/>
      <x:c r="W21" s="178"/>
      <x:c r="X21" s="178"/>
      <x:c r="Y21" s="178"/>
      <x:c r="Z21" s="178"/>
    </x:row>
    <x:row r="22">
      <x:c r="A22" s="178"/>
      <x:c r="B22" s="178"/>
      <x:c r="C22" s="178"/>
      <x:c r="D22" s="178"/>
      <x:c r="E22" s="178"/>
      <x:c r="F22" s="178"/>
      <x:c r="G22" s="178"/>
      <x:c r="H22" s="178"/>
      <x:c r="I22" s="178"/>
      <x:c r="J22" s="178"/>
      <x:c r="K22" s="178"/>
      <x:c r="L22" s="178"/>
      <x:c r="M22" s="178"/>
      <x:c r="N22" s="178"/>
      <x:c r="O22" s="178"/>
      <x:c r="P22" s="178"/>
      <x:c r="Q22" s="178"/>
      <x:c r="R22" s="178"/>
      <x:c r="S22" s="178"/>
      <x:c r="T22" s="178"/>
      <x:c r="U22" s="178"/>
      <x:c r="V22" s="178"/>
      <x:c r="W22" s="178"/>
      <x:c r="X22" s="178"/>
      <x:c r="Y22" s="178"/>
      <x:c r="Z22" s="178"/>
    </x:row>
    <x:row r="23">
      <x:c r="A23" s="11" t="str">
        <x:v>Projected balance over time</x:v>
      </x:c>
      <x:c r="B23" s="11"/>
      <x:c r="C23" s="11"/>
      <x:c r="D23" s="11"/>
      <x:c r="E23" s="11"/>
      <x:c r="F23" s="11"/>
      <x:c r="G23" s="11"/>
      <x:c r="H23" s="11"/>
      <x:c r="I23" s="11"/>
      <x:c r="J23" s="11"/>
      <x:c r="K23" s="11"/>
      <x:c r="L23" s="11"/>
      <x:c r="M23" s="11"/>
      <x:c r="N23" s="11"/>
      <x:c r="O23" s="178"/>
      <x:c r="P23" s="178"/>
      <x:c r="Q23" s="178"/>
      <x:c r="R23" s="178"/>
      <x:c r="S23" s="178"/>
      <x:c r="T23" s="178"/>
      <x:c r="U23" s="178"/>
      <x:c r="V23" s="178"/>
      <x:c r="W23" s="178"/>
      <x:c r="X23" s="178"/>
      <x:c r="Y23" s="178"/>
      <x:c r="Z23" s="178"/>
    </x:row>
    <x:row r="24">
      <x:c r="A24" s="178"/>
      <x:c r="B24" s="178"/>
      <x:c r="C24" s="178"/>
      <x:c r="D24" s="178"/>
      <x:c r="E24" s="178"/>
      <x:c r="F24" s="178"/>
      <x:c r="G24" s="178"/>
      <x:c r="H24" s="178"/>
      <x:c r="I24" s="178"/>
      <x:c r="J24" s="178"/>
      <x:c r="K24" s="178"/>
      <x:c r="L24" s="178"/>
      <x:c r="M24" s="178"/>
      <x:c r="N24" s="178"/>
      <x:c r="O24" s="178"/>
      <x:c r="P24" s="178"/>
      <x:c r="Q24" s="178"/>
      <x:c r="R24" s="178"/>
      <x:c r="S24" s="178"/>
      <x:c r="T24" s="178"/>
      <x:c r="U24" s="178"/>
      <x:c r="V24" s="178"/>
      <x:c r="W24" s="178"/>
      <x:c r="X24" s="178"/>
      <x:c r="Y24" s="178"/>
      <x:c r="Z24" s="178"/>
    </x:row>
    <x:row r="25">
      <x:c r="A25" s="178"/>
      <x:c r="B25" s="178"/>
      <x:c r="C25" s="178"/>
      <x:c r="D25" s="178"/>
      <x:c r="E25" s="178"/>
      <x:c r="F25" s="178"/>
      <x:c r="G25" s="178"/>
      <x:c r="H25" s="178"/>
      <x:c r="I25" s="178"/>
      <x:c r="J25" s="178"/>
      <x:c r="K25" s="178"/>
      <x:c r="L25" s="178"/>
      <x:c r="M25" s="178"/>
      <x:c r="N25" s="178"/>
      <x:c r="O25" s="178"/>
      <x:c r="P25" s="178"/>
      <x:c r="Q25" s="178"/>
      <x:c r="R25" s="178"/>
      <x:c r="S25" s="178"/>
      <x:c r="T25" s="178"/>
      <x:c r="U25" s="178"/>
      <x:c r="V25" s="178"/>
      <x:c r="W25" s="178"/>
      <x:c r="X25" s="178"/>
      <x:c r="Y25" s="178"/>
      <x:c r="Z25" s="178"/>
    </x:row>
    <x:row r="26">
      <x:c r="A26" s="178"/>
      <x:c r="B26" s="178"/>
      <x:c r="C26" s="178"/>
      <x:c r="D26" s="178"/>
      <x:c r="E26" s="178"/>
      <x:c r="F26" s="178"/>
      <x:c r="G26" s="178"/>
      <x:c r="H26" s="178"/>
      <x:c r="I26" s="178"/>
      <x:c r="J26" s="178"/>
      <x:c r="K26" s="178"/>
      <x:c r="L26" s="178"/>
      <x:c r="M26" s="178"/>
      <x:c r="N26" s="178"/>
      <x:c r="O26" s="178"/>
      <x:c r="P26" s="178"/>
      <x:c r="Q26" s="178"/>
      <x:c r="R26" s="178"/>
      <x:c r="S26" s="178"/>
      <x:c r="T26" s="178"/>
      <x:c r="U26" s="178"/>
      <x:c r="V26" s="178"/>
      <x:c r="W26" s="178"/>
      <x:c r="X26" s="178"/>
      <x:c r="Y26" s="178"/>
      <x:c r="Z26" s="178"/>
    </x:row>
    <x:row r="27">
      <x:c r="A27" s="178"/>
      <x:c r="B27" s="178"/>
      <x:c r="C27" s="178"/>
      <x:c r="D27" s="178"/>
      <x:c r="E27" s="178"/>
      <x:c r="F27" s="178"/>
      <x:c r="G27" s="178"/>
      <x:c r="H27" s="178"/>
      <x:c r="I27" s="178"/>
      <x:c r="J27" s="178"/>
      <x:c r="K27" s="178"/>
      <x:c r="L27" s="178"/>
      <x:c r="M27" s="178"/>
      <x:c r="N27" s="178"/>
      <x:c r="O27" s="178"/>
      <x:c r="P27" s="178"/>
      <x:c r="Q27" s="178"/>
      <x:c r="R27" s="178"/>
      <x:c r="S27" s="178"/>
      <x:c r="T27" s="178"/>
      <x:c r="U27" s="178"/>
      <x:c r="V27" s="178"/>
      <x:c r="W27" s="178"/>
      <x:c r="X27" s="178"/>
      <x:c r="Y27" s="178"/>
      <x:c r="Z27" s="178"/>
    </x:row>
    <x:row r="28">
      <x:c r="A28" s="178"/>
      <x:c r="B28" s="178"/>
      <x:c r="C28" s="178"/>
      <x:c r="D28" s="178"/>
      <x:c r="E28" s="178"/>
      <x:c r="F28" s="178"/>
      <x:c r="G28" s="178"/>
      <x:c r="H28" s="178"/>
      <x:c r="I28" s="178"/>
      <x:c r="J28" s="178"/>
      <x:c r="K28" s="178"/>
      <x:c r="L28" s="178"/>
      <x:c r="M28" s="178"/>
      <x:c r="N28" s="178"/>
      <x:c r="O28" s="178"/>
      <x:c r="P28" s="178"/>
      <x:c r="Q28" s="178"/>
      <x:c r="R28" s="178"/>
      <x:c r="S28" s="178"/>
      <x:c r="T28" s="178"/>
      <x:c r="U28" s="178"/>
      <x:c r="V28" s="178"/>
      <x:c r="W28" s="178"/>
      <x:c r="X28" s="178"/>
      <x:c r="Y28" s="178"/>
      <x:c r="Z28" s="178"/>
    </x:row>
    <x:row r="29">
      <x:c r="A29" s="178"/>
      <x:c r="B29" s="178"/>
      <x:c r="C29" s="178"/>
      <x:c r="D29" s="178"/>
      <x:c r="E29" s="178"/>
      <x:c r="F29" s="178"/>
      <x:c r="G29" s="178"/>
      <x:c r="H29" s="178"/>
      <x:c r="I29" s="178"/>
      <x:c r="J29" s="178"/>
      <x:c r="K29" s="178"/>
      <x:c r="L29" s="178"/>
      <x:c r="M29" s="178"/>
      <x:c r="N29" s="178"/>
      <x:c r="O29" s="178"/>
      <x:c r="P29" s="178"/>
      <x:c r="Q29" s="178"/>
      <x:c r="R29" s="178"/>
      <x:c r="S29" s="178"/>
      <x:c r="T29" s="178"/>
      <x:c r="U29" s="178"/>
      <x:c r="V29" s="178"/>
      <x:c r="W29" s="178"/>
      <x:c r="X29" s="178"/>
      <x:c r="Y29" s="178"/>
      <x:c r="Z29" s="178"/>
    </x:row>
    <x:row r="30">
      <x:c r="A30" s="178"/>
      <x:c r="B30" s="178"/>
      <x:c r="C30" s="178"/>
      <x:c r="D30" s="178"/>
      <x:c r="E30" s="178"/>
      <x:c r="F30" s="178"/>
      <x:c r="G30" s="178"/>
      <x:c r="H30" s="178"/>
      <x:c r="I30" s="178"/>
      <x:c r="J30" s="178"/>
      <x:c r="K30" s="178"/>
      <x:c r="L30" s="178"/>
      <x:c r="M30" s="178"/>
      <x:c r="N30" s="178"/>
      <x:c r="O30" s="178"/>
      <x:c r="P30" s="178"/>
      <x:c r="Q30" s="178"/>
      <x:c r="R30" s="178"/>
      <x:c r="S30" s="178"/>
      <x:c r="T30" s="178"/>
      <x:c r="U30" s="178"/>
      <x:c r="V30" s="178"/>
      <x:c r="W30" s="178"/>
      <x:c r="X30" s="178"/>
      <x:c r="Y30" s="178"/>
      <x:c r="Z30" s="178"/>
    </x:row>
    <x:row r="31">
      <x:c r="A31" s="178"/>
      <x:c r="B31" s="178"/>
      <x:c r="C31" s="178"/>
      <x:c r="D31" s="178"/>
      <x:c r="E31" s="178"/>
      <x:c r="F31" s="178"/>
      <x:c r="G31" s="178"/>
      <x:c r="H31" s="178"/>
      <x:c r="I31" s="178"/>
      <x:c r="J31" s="178"/>
      <x:c r="K31" s="178"/>
      <x:c r="L31" s="178"/>
      <x:c r="M31" s="178"/>
      <x:c r="N31" s="178"/>
      <x:c r="O31" s="178"/>
      <x:c r="P31" s="178"/>
      <x:c r="Q31" s="178"/>
      <x:c r="R31" s="178"/>
      <x:c r="S31" s="178"/>
      <x:c r="T31" s="178"/>
      <x:c r="U31" s="178"/>
      <x:c r="V31" s="178"/>
      <x:c r="W31" s="178"/>
      <x:c r="X31" s="178"/>
      <x:c r="Y31" s="178"/>
      <x:c r="Z31" s="178"/>
    </x:row>
    <x:row r="32">
      <x:c r="A32" s="178"/>
      <x:c r="B32" s="178"/>
      <x:c r="C32" s="178"/>
      <x:c r="D32" s="178"/>
      <x:c r="E32" s="178"/>
      <x:c r="F32" s="178"/>
      <x:c r="G32" s="178"/>
      <x:c r="H32" s="178"/>
      <x:c r="I32" s="178"/>
      <x:c r="J32" s="178"/>
      <x:c r="K32" s="178"/>
      <x:c r="L32" s="178"/>
      <x:c r="M32" s="178"/>
      <x:c r="N32" s="178"/>
      <x:c r="O32" s="178"/>
      <x:c r="P32" s="178"/>
      <x:c r="Q32" s="178"/>
      <x:c r="R32" s="178"/>
      <x:c r="S32" s="178"/>
      <x:c r="T32" s="178"/>
      <x:c r="U32" s="178"/>
      <x:c r="V32" s="178"/>
      <x:c r="W32" s="178"/>
      <x:c r="X32" s="178"/>
      <x:c r="Y32" s="178"/>
      <x:c r="Z32" s="178"/>
    </x:row>
    <x:row r="33">
      <x:c r="A33" s="178"/>
      <x:c r="B33" s="178"/>
      <x:c r="C33" s="178"/>
      <x:c r="D33" s="178"/>
      <x:c r="E33" s="178"/>
      <x:c r="F33" s="178"/>
      <x:c r="G33" s="178"/>
      <x:c r="H33" s="178"/>
      <x:c r="I33" s="178"/>
      <x:c r="J33" s="178"/>
      <x:c r="K33" s="178"/>
      <x:c r="L33" s="178"/>
      <x:c r="M33" s="178"/>
      <x:c r="N33" s="178"/>
      <x:c r="O33" s="178"/>
      <x:c r="P33" s="178"/>
      <x:c r="Q33" s="178"/>
      <x:c r="R33" s="178"/>
      <x:c r="S33" s="178"/>
      <x:c r="T33" s="178"/>
      <x:c r="U33" s="178"/>
      <x:c r="V33" s="178"/>
      <x:c r="W33" s="178"/>
      <x:c r="X33" s="178"/>
      <x:c r="Y33" s="178"/>
      <x:c r="Z33" s="178"/>
    </x:row>
    <x:row r="34">
      <x:c r="A34" s="178"/>
      <x:c r="B34" s="178"/>
      <x:c r="C34" s="178"/>
      <x:c r="D34" s="178"/>
      <x:c r="E34" s="178"/>
      <x:c r="F34" s="178"/>
      <x:c r="G34" s="178"/>
      <x:c r="H34" s="178"/>
      <x:c r="I34" s="178"/>
      <x:c r="J34" s="178"/>
      <x:c r="K34" s="178"/>
      <x:c r="L34" s="178"/>
      <x:c r="M34" s="178"/>
      <x:c r="N34" s="178"/>
      <x:c r="O34" s="178"/>
      <x:c r="P34" s="178"/>
      <x:c r="Q34" s="178"/>
      <x:c r="R34" s="178"/>
      <x:c r="S34" s="178"/>
      <x:c r="T34" s="178"/>
      <x:c r="U34" s="178"/>
      <x:c r="V34" s="178"/>
      <x:c r="W34" s="178"/>
      <x:c r="X34" s="178"/>
      <x:c r="Y34" s="178"/>
      <x:c r="Z34" s="178"/>
    </x:row>
    <x:row r="35">
      <x:c r="A35" s="178"/>
      <x:c r="B35" s="178"/>
      <x:c r="C35" s="178"/>
      <x:c r="D35" s="178"/>
      <x:c r="E35" s="178"/>
      <x:c r="F35" s="178"/>
      <x:c r="G35" s="178"/>
      <x:c r="H35" s="178"/>
      <x:c r="I35" s="178"/>
      <x:c r="J35" s="178"/>
      <x:c r="K35" s="178"/>
      <x:c r="L35" s="178"/>
      <x:c r="M35" s="178"/>
      <x:c r="N35" s="178"/>
      <x:c r="O35" s="178"/>
      <x:c r="P35" s="178"/>
      <x:c r="Q35" s="178"/>
      <x:c r="R35" s="178"/>
      <x:c r="S35" s="178"/>
      <x:c r="T35" s="178"/>
      <x:c r="U35" s="178"/>
      <x:c r="V35" s="178"/>
      <x:c r="W35" s="178"/>
      <x:c r="X35" s="178"/>
      <x:c r="Y35" s="178"/>
      <x:c r="Z35" s="178"/>
    </x:row>
    <x:row r="36">
      <x:c r="A36" s="178"/>
      <x:c r="B36" s="178"/>
      <x:c r="C36" s="178"/>
      <x:c r="D36" s="178"/>
      <x:c r="E36" s="178"/>
      <x:c r="F36" s="178"/>
      <x:c r="G36" s="178"/>
      <x:c r="H36" s="178"/>
      <x:c r="I36" s="178"/>
      <x:c r="J36" s="178"/>
      <x:c r="K36" s="178"/>
      <x:c r="L36" s="178"/>
      <x:c r="M36" s="178"/>
      <x:c r="N36" s="178"/>
      <x:c r="O36" s="178"/>
      <x:c r="P36" s="178"/>
      <x:c r="Q36" s="178"/>
      <x:c r="R36" s="178"/>
      <x:c r="S36" s="178"/>
      <x:c r="T36" s="178"/>
      <x:c r="U36" s="178"/>
      <x:c r="V36" s="178"/>
      <x:c r="W36" s="178"/>
      <x:c r="X36" s="178"/>
      <x:c r="Y36" s="178"/>
      <x:c r="Z36" s="178"/>
    </x:row>
    <x:row r="37">
      <x:c r="A37" s="178"/>
      <x:c r="B37" s="178"/>
      <x:c r="C37" s="178"/>
      <x:c r="D37" s="178"/>
      <x:c r="E37" s="178"/>
      <x:c r="F37" s="178"/>
      <x:c r="G37" s="178"/>
      <x:c r="H37" s="178"/>
      <x:c r="I37" s="178"/>
      <x:c r="J37" s="178"/>
      <x:c r="K37" s="178"/>
      <x:c r="L37" s="178"/>
      <x:c r="M37" s="178"/>
      <x:c r="N37" s="178"/>
      <x:c r="O37" s="178"/>
      <x:c r="P37" s="178"/>
      <x:c r="Q37" s="178"/>
      <x:c r="R37" s="178"/>
      <x:c r="S37" s="178"/>
      <x:c r="T37" s="178"/>
      <x:c r="U37" s="178"/>
      <x:c r="V37" s="178"/>
      <x:c r="W37" s="178"/>
      <x:c r="X37" s="178"/>
      <x:c r="Y37" s="178"/>
      <x:c r="Z37" s="178"/>
    </x:row>
    <x:row r="38">
      <x:c r="A38" s="178"/>
      <x:c r="B38" s="178"/>
      <x:c r="C38" s="178"/>
      <x:c r="D38" s="178"/>
      <x:c r="E38" s="178"/>
      <x:c r="F38" s="178"/>
      <x:c r="G38" s="178"/>
      <x:c r="H38" s="178"/>
      <x:c r="I38" s="178"/>
      <x:c r="J38" s="178"/>
      <x:c r="K38" s="178"/>
      <x:c r="L38" s="178"/>
      <x:c r="M38" s="178"/>
      <x:c r="N38" s="178"/>
      <x:c r="O38" s="178"/>
      <x:c r="P38" s="178"/>
      <x:c r="Q38" s="178"/>
      <x:c r="R38" s="178"/>
      <x:c r="S38" s="178"/>
      <x:c r="T38" s="178"/>
      <x:c r="U38" s="178"/>
      <x:c r="V38" s="178"/>
      <x:c r="W38" s="178"/>
      <x:c r="X38" s="178"/>
      <x:c r="Y38" s="178"/>
      <x:c r="Z38" s="178"/>
    </x:row>
    <x:row r="39">
      <x:c r="A39" s="178"/>
      <x:c r="B39" s="178"/>
      <x:c r="C39" s="178"/>
      <x:c r="D39" s="178"/>
      <x:c r="E39" s="178"/>
      <x:c r="F39" s="178"/>
      <x:c r="G39" s="178"/>
      <x:c r="H39" s="178"/>
      <x:c r="I39" s="178"/>
      <x:c r="J39" s="178"/>
      <x:c r="K39" s="178"/>
      <x:c r="L39" s="178"/>
      <x:c r="M39" s="178"/>
      <x:c r="N39" s="178"/>
      <x:c r="O39" s="178"/>
      <x:c r="P39" s="178"/>
      <x:c r="Q39" s="178"/>
      <x:c r="R39" s="178"/>
      <x:c r="S39" s="178"/>
      <x:c r="T39" s="178"/>
      <x:c r="U39" s="178"/>
      <x:c r="V39" s="178"/>
      <x:c r="W39" s="178"/>
      <x:c r="X39" s="178"/>
      <x:c r="Y39" s="178"/>
      <x:c r="Z39" s="178"/>
    </x:row>
    <x:row r="40">
      <x:c r="A40" s="178"/>
      <x:c r="B40" s="178"/>
      <x:c r="C40" s="178"/>
      <x:c r="D40" s="178"/>
      <x:c r="E40" s="178"/>
      <x:c r="F40" s="178"/>
      <x:c r="G40" s="178"/>
      <x:c r="H40" s="178"/>
      <x:c r="I40" s="178"/>
      <x:c r="J40" s="178"/>
      <x:c r="K40" s="178"/>
      <x:c r="L40" s="178"/>
      <x:c r="M40" s="178"/>
      <x:c r="N40" s="178"/>
      <x:c r="O40" s="178"/>
      <x:c r="P40" s="178"/>
      <x:c r="Q40" s="178"/>
      <x:c r="R40" s="178"/>
      <x:c r="S40" s="178"/>
      <x:c r="T40" s="178"/>
      <x:c r="U40" s="178"/>
      <x:c r="V40" s="178"/>
      <x:c r="W40" s="178"/>
      <x:c r="X40" s="178"/>
      <x:c r="Y40" s="178"/>
      <x:c r="Z40" s="178"/>
    </x:row>
    <x:row r="41">
      <x:c r="A41" s="178"/>
      <x:c r="B41" s="178"/>
      <x:c r="C41" s="178"/>
      <x:c r="D41" s="178"/>
      <x:c r="E41" s="178"/>
      <x:c r="F41" s="178"/>
      <x:c r="G41" s="178"/>
      <x:c r="H41" s="178"/>
      <x:c r="I41" s="178"/>
      <x:c r="J41" s="178"/>
      <x:c r="K41" s="178"/>
      <x:c r="L41" s="178"/>
      <x:c r="M41" s="178"/>
      <x:c r="N41" s="178"/>
      <x:c r="O41" s="178"/>
      <x:c r="P41" s="178"/>
      <x:c r="Q41" s="178"/>
      <x:c r="R41" s="178"/>
      <x:c r="S41" s="178"/>
      <x:c r="T41" s="178"/>
      <x:c r="U41" s="178"/>
      <x:c r="V41" s="178"/>
      <x:c r="W41" s="178"/>
      <x:c r="X41" s="178"/>
      <x:c r="Y41" s="178"/>
      <x:c r="Z41" s="178"/>
    </x:row>
    <x:row r="42">
      <x:c r="A42" s="178"/>
      <x:c r="B42" s="178"/>
      <x:c r="C42" s="178"/>
      <x:c r="D42" s="178"/>
      <x:c r="E42" s="178"/>
      <x:c r="F42" s="178"/>
      <x:c r="G42" s="178"/>
      <x:c r="H42" s="178"/>
      <x:c r="I42" s="178"/>
      <x:c r="J42" s="178"/>
      <x:c r="K42" s="178"/>
      <x:c r="L42" s="178"/>
      <x:c r="M42" s="178"/>
      <x:c r="N42" s="178"/>
      <x:c r="O42" s="178"/>
      <x:c r="P42" s="178"/>
      <x:c r="Q42" s="178"/>
      <x:c r="R42" s="178"/>
      <x:c r="S42" s="178"/>
      <x:c r="T42" s="178"/>
      <x:c r="U42" s="178"/>
      <x:c r="V42" s="178"/>
      <x:c r="W42" s="178"/>
      <x:c r="X42" s="178"/>
      <x:c r="Y42" s="178"/>
      <x:c r="Z42" s="178"/>
    </x:row>
    <x:row r="43">
      <x:c r="A43" s="178"/>
      <x:c r="B43" s="178"/>
      <x:c r="C43" s="178"/>
      <x:c r="D43" s="178"/>
      <x:c r="E43" s="178"/>
      <x:c r="F43" s="178"/>
      <x:c r="G43" s="178"/>
      <x:c r="H43" s="178"/>
      <x:c r="I43" s="178"/>
      <x:c r="J43" s="178"/>
      <x:c r="K43" s="178"/>
      <x:c r="L43" s="178"/>
      <x:c r="M43" s="178"/>
      <x:c r="N43" s="178"/>
      <x:c r="O43" s="178"/>
      <x:c r="P43" s="178"/>
      <x:c r="Q43" s="178"/>
      <x:c r="R43" s="178"/>
      <x:c r="S43" s="178"/>
      <x:c r="T43" s="178"/>
      <x:c r="U43" s="178"/>
      <x:c r="V43" s="178"/>
      <x:c r="W43" s="178"/>
      <x:c r="X43" s="178"/>
      <x:c r="Y43" s="178"/>
      <x:c r="Z43" s="178"/>
    </x:row>
    <x:row r="44">
      <x:c r="A44" s="178"/>
      <x:c r="B44" s="178"/>
      <x:c r="C44" s="178"/>
      <x:c r="D44" s="178"/>
      <x:c r="E44" s="178"/>
      <x:c r="F44" s="178"/>
      <x:c r="G44" s="178"/>
      <x:c r="H44" s="178"/>
      <x:c r="I44" s="178"/>
      <x:c r="J44" s="178"/>
      <x:c r="K44" s="178"/>
      <x:c r="L44" s="178"/>
      <x:c r="M44" s="178"/>
      <x:c r="N44" s="178"/>
      <x:c r="O44" s="178"/>
      <x:c r="P44" s="178"/>
      <x:c r="Q44" s="178"/>
      <x:c r="R44" s="178"/>
      <x:c r="S44" s="178"/>
      <x:c r="T44" s="178"/>
      <x:c r="U44" s="178"/>
      <x:c r="V44" s="178"/>
      <x:c r="W44" s="178"/>
      <x:c r="X44" s="178"/>
      <x:c r="Y44" s="178"/>
      <x:c r="Z44" s="178"/>
    </x:row>
    <x:row r="45">
      <x:c r="A45" s="156" t="str">
        <x:v>Estimated results assume every scheduled and extra payment posts exactly as modeled. A shorter projected term or lower estimated interest does not account for lender rules, opportunity cost, taxes, or changes to your circumstances.</x:v>
      </x:c>
      <x:c r="B45" s="157"/>
      <x:c r="C45" s="157"/>
      <x:c r="D45" s="157"/>
      <x:c r="E45" s="157"/>
      <x:c r="F45" s="157"/>
      <x:c r="G45" s="157"/>
      <x:c r="H45" s="157"/>
      <x:c r="I45" s="157"/>
      <x:c r="J45" s="157"/>
      <x:c r="K45" s="157"/>
      <x:c r="L45" s="157"/>
      <x:c r="M45" s="157"/>
      <x:c r="N45" s="158"/>
      <x:c r="O45" s="178"/>
      <x:c r="P45" s="178"/>
      <x:c r="Q45" s="178"/>
      <x:c r="R45" s="178"/>
      <x:c r="S45" s="178"/>
      <x:c r="T45" s="178"/>
      <x:c r="U45" s="178"/>
      <x:c r="V45" s="178"/>
      <x:c r="W45" s="178"/>
      <x:c r="X45" s="178"/>
      <x:c r="Y45" s="178"/>
      <x:c r="Z45" s="178"/>
    </x:row>
    <x:row r="46">
      <x:c r="A46" s="159"/>
      <x:c r="B46" s="160"/>
      <x:c r="C46" s="160"/>
      <x:c r="D46" s="160"/>
      <x:c r="E46" s="160"/>
      <x:c r="F46" s="160"/>
      <x:c r="G46" s="160"/>
      <x:c r="H46" s="160"/>
      <x:c r="I46" s="160"/>
      <x:c r="J46" s="160"/>
      <x:c r="K46" s="160"/>
      <x:c r="L46" s="160"/>
      <x:c r="M46" s="160"/>
      <x:c r="N46" s="161"/>
      <x:c r="O46" s="178"/>
      <x:c r="P46" s="178"/>
      <x:c r="Q46" s="178"/>
      <x:c r="R46" s="178"/>
      <x:c r="S46" s="178"/>
      <x:c r="T46" s="178"/>
      <x:c r="U46" s="178"/>
      <x:c r="V46" s="178"/>
      <x:c r="W46" s="178"/>
      <x:c r="X46" s="178"/>
      <x:c r="Y46" s="178"/>
      <x:c r="Z46" s="178"/>
    </x:row>
    <x:row r="47">
      <x:c r="A47" s="162"/>
      <x:c r="B47" s="163"/>
      <x:c r="C47" s="163"/>
      <x:c r="D47" s="163"/>
      <x:c r="E47" s="163"/>
      <x:c r="F47" s="163"/>
      <x:c r="G47" s="163"/>
      <x:c r="H47" s="163"/>
      <x:c r="I47" s="163"/>
      <x:c r="J47" s="163"/>
      <x:c r="K47" s="163"/>
      <x:c r="L47" s="163"/>
      <x:c r="M47" s="163"/>
      <x:c r="N47" s="164"/>
      <x:c r="O47" s="178"/>
      <x:c r="P47" s="178"/>
      <x:c r="Q47" s="178"/>
      <x:c r="R47" s="178"/>
      <x:c r="S47" s="178"/>
      <x:c r="T47" s="178"/>
      <x:c r="U47" s="178"/>
      <x:c r="V47" s="178"/>
      <x:c r="W47" s="178"/>
      <x:c r="X47" s="178"/>
      <x:c r="Y47" s="178"/>
      <x:c r="Z47" s="178"/>
    </x:row>
    <x:row r="48">
      <x:c r="A48" s="178"/>
      <x:c r="B48" s="178"/>
      <x:c r="C48" s="178"/>
      <x:c r="D48" s="178"/>
      <x:c r="E48" s="178"/>
      <x:c r="F48" s="178"/>
      <x:c r="G48" s="178"/>
      <x:c r="H48" s="178"/>
      <x:c r="I48" s="178"/>
      <x:c r="J48" s="178"/>
      <x:c r="K48" s="178"/>
      <x:c r="L48" s="178"/>
      <x:c r="M48" s="178"/>
      <x:c r="N48" s="178"/>
      <x:c r="O48" s="178"/>
      <x:c r="P48" s="178"/>
      <x:c r="Q48" s="178"/>
      <x:c r="R48" s="178"/>
      <x:c r="S48" s="178"/>
      <x:c r="T48" s="178"/>
      <x:c r="U48" s="178"/>
      <x:c r="V48" s="178"/>
      <x:c r="W48" s="178"/>
      <x:c r="X48" s="178"/>
      <x:c r="Y48" s="178"/>
      <x:c r="Z48" s="178"/>
    </x:row>
    <x:row r="49">
      <x:c r="A49" s="178"/>
      <x:c r="B49" s="178"/>
      <x:c r="C49" s="178"/>
      <x:c r="D49" s="178"/>
      <x:c r="E49" s="178"/>
      <x:c r="F49" s="178"/>
      <x:c r="G49" s="178"/>
      <x:c r="H49" s="178"/>
      <x:c r="I49" s="178"/>
      <x:c r="J49" s="178"/>
      <x:c r="K49" s="178"/>
      <x:c r="L49" s="178"/>
      <x:c r="M49" s="178"/>
      <x:c r="N49" s="178"/>
      <x:c r="O49" s="178"/>
      <x:c r="P49" s="178"/>
      <x:c r="Q49" s="178"/>
      <x:c r="R49" s="178"/>
      <x:c r="S49" s="178"/>
      <x:c r="T49" s="178"/>
      <x:c r="U49" s="178"/>
      <x:c r="V49" s="178"/>
      <x:c r="W49" s="178"/>
      <x:c r="X49" s="178"/>
      <x:c r="Y49" s="178"/>
      <x:c r="Z49" s="178"/>
    </x:row>
    <x:row r="50">
      <x:c r="A50" s="178"/>
      <x:c r="B50" s="178"/>
      <x:c r="C50" s="178"/>
      <x:c r="D50" s="178"/>
      <x:c r="E50" s="178"/>
      <x:c r="F50" s="178"/>
      <x:c r="G50" s="178"/>
      <x:c r="H50" s="178"/>
      <x:c r="I50" s="178"/>
      <x:c r="J50" s="178"/>
      <x:c r="K50" s="178"/>
      <x:c r="L50" s="178"/>
      <x:c r="M50" s="178"/>
      <x:c r="N50" s="178"/>
      <x:c r="O50" s="178"/>
      <x:c r="P50" s="178"/>
      <x:c r="Q50" s="178"/>
      <x:c r="R50" s="178"/>
      <x:c r="S50" s="178"/>
      <x:c r="T50" s="178"/>
      <x:c r="U50" s="178"/>
      <x:c r="V50" s="178"/>
      <x:c r="W50" s="178"/>
      <x:c r="X50" s="178"/>
      <x:c r="Y50" s="178"/>
      <x:c r="Z50" s="178"/>
    </x:row>
    <x:row r="51">
      <x:c r="A51" s="178"/>
      <x:c r="B51" s="178"/>
      <x:c r="C51" s="178"/>
      <x:c r="D51" s="178"/>
      <x:c r="E51" s="178"/>
      <x:c r="F51" s="178"/>
      <x:c r="G51" s="178"/>
      <x:c r="H51" s="178"/>
      <x:c r="I51" s="178"/>
      <x:c r="J51" s="178"/>
      <x:c r="K51" s="178"/>
      <x:c r="L51" s="178"/>
      <x:c r="M51" s="178"/>
      <x:c r="N51" s="178"/>
      <x:c r="O51" s="178"/>
      <x:c r="P51" s="178"/>
      <x:c r="Q51" s="178"/>
      <x:c r="R51" s="178"/>
      <x:c r="S51" s="178"/>
      <x:c r="T51" s="178"/>
      <x:c r="U51" s="178"/>
      <x:c r="V51" s="178"/>
      <x:c r="W51" s="178"/>
      <x:c r="X51" s="178"/>
      <x:c r="Y51" s="178"/>
      <x:c r="Z51" s="178"/>
    </x:row>
    <x:row r="52">
      <x:c r="A52" s="178"/>
      <x:c r="B52" s="178"/>
      <x:c r="C52" s="178"/>
      <x:c r="D52" s="178"/>
      <x:c r="E52" s="178"/>
      <x:c r="F52" s="178"/>
      <x:c r="G52" s="178"/>
      <x:c r="H52" s="178"/>
      <x:c r="I52" s="178"/>
      <x:c r="J52" s="178"/>
      <x:c r="K52" s="178"/>
      <x:c r="L52" s="178"/>
      <x:c r="M52" s="178"/>
      <x:c r="N52" s="178"/>
      <x:c r="O52" s="178"/>
      <x:c r="P52" s="178"/>
      <x:c r="Q52" s="178"/>
      <x:c r="R52" s="178"/>
      <x:c r="S52" s="178"/>
      <x:c r="T52" s="178"/>
      <x:c r="U52" s="178"/>
      <x:c r="V52" s="178"/>
      <x:c r="W52" s="178"/>
      <x:c r="X52" s="178"/>
      <x:c r="Y52" s="178"/>
      <x:c r="Z52" s="178"/>
    </x:row>
    <x:row r="53">
      <x:c r="A53" s="178"/>
      <x:c r="B53" s="178"/>
      <x:c r="C53" s="178"/>
      <x:c r="D53" s="178"/>
      <x:c r="E53" s="178"/>
      <x:c r="F53" s="178"/>
      <x:c r="G53" s="178"/>
      <x:c r="H53" s="178"/>
      <x:c r="I53" s="178"/>
      <x:c r="J53" s="178"/>
      <x:c r="K53" s="178"/>
      <x:c r="L53" s="178"/>
      <x:c r="M53" s="178"/>
      <x:c r="N53" s="178"/>
      <x:c r="O53" s="178"/>
      <x:c r="P53" s="178"/>
      <x:c r="Q53" s="178"/>
      <x:c r="R53" s="178"/>
      <x:c r="S53" s="178"/>
      <x:c r="T53" s="178"/>
      <x:c r="U53" s="178"/>
      <x:c r="V53" s="178"/>
      <x:c r="W53" s="178"/>
      <x:c r="X53" s="178"/>
      <x:c r="Y53" s="178"/>
      <x:c r="Z53" s="178"/>
    </x:row>
    <x:row r="54">
      <x:c r="A54" s="178"/>
      <x:c r="B54" s="178"/>
      <x:c r="C54" s="178"/>
      <x:c r="D54" s="178"/>
      <x:c r="E54" s="178"/>
      <x:c r="F54" s="178"/>
      <x:c r="G54" s="178"/>
      <x:c r="H54" s="178"/>
      <x:c r="I54" s="178"/>
      <x:c r="J54" s="178"/>
      <x:c r="K54" s="178"/>
      <x:c r="L54" s="178"/>
      <x:c r="M54" s="178"/>
      <x:c r="N54" s="178"/>
      <x:c r="O54" s="178"/>
      <x:c r="P54" s="178"/>
      <x:c r="Q54" s="178"/>
      <x:c r="R54" s="178"/>
      <x:c r="S54" s="178"/>
      <x:c r="T54" s="178"/>
      <x:c r="U54" s="178"/>
      <x:c r="V54" s="178"/>
      <x:c r="W54" s="178"/>
      <x:c r="X54" s="178"/>
      <x:c r="Y54" s="178"/>
      <x:c r="Z54" s="178"/>
    </x:row>
    <x:row r="55">
      <x:c r="A55" s="178"/>
      <x:c r="B55" s="178"/>
      <x:c r="C55" s="178"/>
      <x:c r="D55" s="178"/>
      <x:c r="E55" s="178"/>
      <x:c r="F55" s="178"/>
      <x:c r="G55" s="178"/>
      <x:c r="H55" s="178"/>
      <x:c r="I55" s="178"/>
      <x:c r="J55" s="178"/>
      <x:c r="K55" s="178"/>
      <x:c r="L55" s="178"/>
      <x:c r="M55" s="178"/>
      <x:c r="N55" s="178"/>
      <x:c r="O55" s="178"/>
      <x:c r="P55" s="178"/>
      <x:c r="Q55" s="178"/>
      <x:c r="R55" s="178"/>
      <x:c r="S55" s="178"/>
      <x:c r="T55" s="178"/>
      <x:c r="U55" s="178"/>
      <x:c r="V55" s="178"/>
      <x:c r="W55" s="178"/>
      <x:c r="X55" s="178"/>
      <x:c r="Y55" s="178"/>
      <x:c r="Z55" s="178"/>
    </x:row>
    <x:row r="56">
      <x:c r="A56" s="178"/>
      <x:c r="B56" s="178"/>
      <x:c r="C56" s="178"/>
      <x:c r="D56" s="178"/>
      <x:c r="E56" s="178"/>
      <x:c r="F56" s="178"/>
      <x:c r="G56" s="178"/>
      <x:c r="H56" s="178"/>
      <x:c r="I56" s="178"/>
      <x:c r="J56" s="178"/>
      <x:c r="K56" s="178"/>
      <x:c r="L56" s="178"/>
      <x:c r="M56" s="178"/>
      <x:c r="N56" s="178"/>
      <x:c r="O56" s="178"/>
      <x:c r="P56" s="178"/>
      <x:c r="Q56" s="178"/>
      <x:c r="R56" s="178"/>
      <x:c r="S56" s="178"/>
      <x:c r="T56" s="178"/>
      <x:c r="U56" s="178"/>
      <x:c r="V56" s="178"/>
      <x:c r="W56" s="178"/>
      <x:c r="X56" s="178"/>
      <x:c r="Y56" s="178"/>
      <x:c r="Z56" s="178"/>
    </x:row>
    <x:row r="57">
      <x:c r="A57" s="178"/>
      <x:c r="B57" s="178"/>
      <x:c r="C57" s="178"/>
      <x:c r="D57" s="178"/>
      <x:c r="E57" s="178"/>
      <x:c r="F57" s="178"/>
      <x:c r="G57" s="178"/>
      <x:c r="H57" s="178"/>
      <x:c r="I57" s="178"/>
      <x:c r="J57" s="178"/>
      <x:c r="K57" s="178"/>
      <x:c r="L57" s="178"/>
      <x:c r="M57" s="178"/>
      <x:c r="N57" s="178"/>
      <x:c r="O57" s="178"/>
      <x:c r="P57" s="178"/>
      <x:c r="Q57" s="178"/>
      <x:c r="R57" s="178"/>
      <x:c r="S57" s="178"/>
      <x:c r="T57" s="178"/>
      <x:c r="U57" s="178"/>
      <x:c r="V57" s="178"/>
      <x:c r="W57" s="178"/>
      <x:c r="X57" s="178"/>
      <x:c r="Y57" s="178"/>
      <x:c r="Z57" s="178"/>
    </x:row>
    <x:row r="58">
      <x:c r="A58" s="178"/>
      <x:c r="B58" s="178"/>
      <x:c r="C58" s="178"/>
      <x:c r="D58" s="178"/>
      <x:c r="E58" s="178"/>
      <x:c r="F58" s="178"/>
      <x:c r="G58" s="178"/>
      <x:c r="H58" s="178"/>
      <x:c r="I58" s="178"/>
      <x:c r="J58" s="178"/>
      <x:c r="K58" s="178"/>
      <x:c r="L58" s="178"/>
      <x:c r="M58" s="178"/>
      <x:c r="N58" s="178"/>
      <x:c r="O58" s="178"/>
      <x:c r="P58" s="178"/>
      <x:c r="Q58" s="178"/>
      <x:c r="R58" s="178"/>
      <x:c r="S58" s="178"/>
      <x:c r="T58" s="178"/>
      <x:c r="U58" s="178"/>
      <x:c r="V58" s="178"/>
      <x:c r="W58" s="178"/>
      <x:c r="X58" s="178"/>
      <x:c r="Y58" s="178"/>
      <x:c r="Z58" s="178"/>
    </x:row>
    <x:row r="59">
      <x:c r="A59" s="178"/>
      <x:c r="B59" s="178"/>
      <x:c r="C59" s="178"/>
      <x:c r="D59" s="178"/>
      <x:c r="E59" s="178"/>
      <x:c r="F59" s="178"/>
      <x:c r="G59" s="178"/>
      <x:c r="H59" s="178"/>
      <x:c r="I59" s="178"/>
      <x:c r="J59" s="178"/>
      <x:c r="K59" s="178"/>
      <x:c r="L59" s="178"/>
      <x:c r="M59" s="178"/>
      <x:c r="N59" s="178"/>
      <x:c r="O59" s="178"/>
      <x:c r="P59" s="178"/>
      <x:c r="Q59" s="178"/>
      <x:c r="R59" s="178"/>
      <x:c r="S59" s="178"/>
      <x:c r="T59" s="178"/>
      <x:c r="U59" s="178"/>
      <x:c r="V59" s="178"/>
      <x:c r="W59" s="178"/>
      <x:c r="X59" s="178"/>
      <x:c r="Y59" s="178"/>
      <x:c r="Z59" s="178"/>
    </x:row>
    <x:row r="60">
      <x:c r="A60" s="178"/>
      <x:c r="B60" s="178"/>
      <x:c r="C60" s="178"/>
      <x:c r="D60" s="178"/>
      <x:c r="E60" s="178"/>
      <x:c r="F60" s="178"/>
      <x:c r="G60" s="178"/>
      <x:c r="H60" s="178"/>
      <x:c r="I60" s="178"/>
      <x:c r="J60" s="178"/>
      <x:c r="K60" s="178"/>
      <x:c r="L60" s="178"/>
      <x:c r="M60" s="178"/>
      <x:c r="N60" s="178"/>
      <x:c r="O60" s="178"/>
      <x:c r="P60" s="178"/>
      <x:c r="Q60" s="178"/>
      <x:c r="R60" s="178"/>
      <x:c r="S60" s="178"/>
      <x:c r="T60" s="178"/>
      <x:c r="U60" s="178"/>
      <x:c r="V60" s="178"/>
      <x:c r="W60" s="178"/>
      <x:c r="X60" s="178"/>
      <x:c r="Y60" s="178"/>
      <x:c r="Z60" s="178"/>
    </x:row>
    <x:row r="61">
      <x:c r="A61" s="178"/>
      <x:c r="B61" s="178"/>
      <x:c r="C61" s="178"/>
      <x:c r="D61" s="178"/>
      <x:c r="E61" s="178"/>
      <x:c r="F61" s="178"/>
      <x:c r="G61" s="178"/>
      <x:c r="H61" s="178"/>
      <x:c r="I61" s="178"/>
      <x:c r="J61" s="178"/>
      <x:c r="K61" s="178"/>
      <x:c r="L61" s="178"/>
      <x:c r="M61" s="178"/>
      <x:c r="N61" s="178"/>
      <x:c r="O61" s="178"/>
      <x:c r="P61" s="178"/>
      <x:c r="Q61" s="178"/>
      <x:c r="R61" s="178"/>
      <x:c r="S61" s="178"/>
      <x:c r="T61" s="178"/>
      <x:c r="U61" s="178"/>
      <x:c r="V61" s="178"/>
      <x:c r="W61" s="178"/>
      <x:c r="X61" s="178"/>
      <x:c r="Y61" s="178"/>
      <x:c r="Z61" s="178"/>
    </x:row>
    <x:row r="62">
      <x:c r="A62" s="178"/>
      <x:c r="B62" s="178"/>
      <x:c r="C62" s="178"/>
      <x:c r="D62" s="178"/>
      <x:c r="E62" s="178"/>
      <x:c r="F62" s="178"/>
      <x:c r="G62" s="178"/>
      <x:c r="H62" s="178"/>
      <x:c r="I62" s="178"/>
      <x:c r="J62" s="178"/>
      <x:c r="K62" s="178"/>
      <x:c r="L62" s="178"/>
      <x:c r="M62" s="178"/>
      <x:c r="N62" s="178"/>
      <x:c r="O62" s="178"/>
      <x:c r="P62" s="178"/>
      <x:c r="Q62" s="178"/>
      <x:c r="R62" s="178"/>
      <x:c r="S62" s="178"/>
      <x:c r="T62" s="178"/>
      <x:c r="U62" s="178"/>
      <x:c r="V62" s="178"/>
      <x:c r="W62" s="178"/>
      <x:c r="X62" s="178"/>
      <x:c r="Y62" s="178"/>
      <x:c r="Z62" s="178"/>
    </x:row>
    <x:row r="63">
      <x:c r="A63" s="178"/>
      <x:c r="B63" s="178"/>
      <x:c r="C63" s="178"/>
      <x:c r="D63" s="178"/>
      <x:c r="E63" s="178"/>
      <x:c r="F63" s="178"/>
      <x:c r="G63" s="178"/>
      <x:c r="H63" s="178"/>
      <x:c r="I63" s="178"/>
      <x:c r="J63" s="178"/>
      <x:c r="K63" s="178"/>
      <x:c r="L63" s="178"/>
      <x:c r="M63" s="178"/>
      <x:c r="N63" s="178"/>
      <x:c r="O63" s="178"/>
      <x:c r="P63" s="178"/>
      <x:c r="Q63" s="178"/>
      <x:c r="R63" s="178"/>
      <x:c r="S63" s="178"/>
      <x:c r="T63" s="178"/>
      <x:c r="U63" s="178"/>
      <x:c r="V63" s="178"/>
      <x:c r="W63" s="178"/>
      <x:c r="X63" s="178"/>
      <x:c r="Y63" s="178"/>
      <x:c r="Z63" s="178"/>
    </x:row>
    <x:row r="64">
      <x:c r="A64" s="178"/>
      <x:c r="B64" s="178"/>
      <x:c r="C64" s="178"/>
      <x:c r="D64" s="178"/>
      <x:c r="E64" s="178"/>
      <x:c r="F64" s="178"/>
      <x:c r="G64" s="178"/>
      <x:c r="H64" s="178"/>
      <x:c r="I64" s="178"/>
      <x:c r="J64" s="178"/>
      <x:c r="K64" s="178"/>
      <x:c r="L64" s="178"/>
      <x:c r="M64" s="178"/>
      <x:c r="N64" s="178"/>
      <x:c r="O64" s="178"/>
      <x:c r="P64" s="178"/>
      <x:c r="Q64" s="178"/>
      <x:c r="R64" s="178"/>
      <x:c r="S64" s="178"/>
      <x:c r="T64" s="178"/>
      <x:c r="U64" s="178"/>
      <x:c r="V64" s="178"/>
      <x:c r="W64" s="178"/>
      <x:c r="X64" s="178"/>
      <x:c r="Y64" s="178"/>
      <x:c r="Z64" s="178"/>
    </x:row>
    <x:row r="65">
      <x:c r="A65" s="178"/>
      <x:c r="B65" s="178"/>
      <x:c r="C65" s="178"/>
      <x:c r="D65" s="178"/>
      <x:c r="E65" s="178"/>
      <x:c r="F65" s="178"/>
      <x:c r="G65" s="178"/>
      <x:c r="H65" s="178"/>
      <x:c r="I65" s="178"/>
      <x:c r="J65" s="178"/>
      <x:c r="K65" s="178"/>
      <x:c r="L65" s="178"/>
      <x:c r="M65" s="178"/>
      <x:c r="N65" s="178"/>
      <x:c r="O65" s="178"/>
      <x:c r="P65" s="178"/>
      <x:c r="Q65" s="178"/>
      <x:c r="R65" s="178"/>
      <x:c r="S65" s="178"/>
      <x:c r="T65" s="178"/>
      <x:c r="U65" s="178"/>
      <x:c r="V65" s="178"/>
      <x:c r="W65" s="178"/>
      <x:c r="X65" s="178"/>
      <x:c r="Y65" s="178"/>
      <x:c r="Z65" s="178"/>
    </x:row>
    <x:row r="66">
      <x:c r="A66" s="178"/>
      <x:c r="B66" s="178"/>
      <x:c r="C66" s="178"/>
      <x:c r="D66" s="178"/>
      <x:c r="E66" s="178"/>
      <x:c r="F66" s="178"/>
      <x:c r="G66" s="178"/>
      <x:c r="H66" s="178"/>
      <x:c r="I66" s="178"/>
      <x:c r="J66" s="178"/>
      <x:c r="K66" s="178"/>
      <x:c r="L66" s="178"/>
      <x:c r="M66" s="178"/>
      <x:c r="N66" s="178"/>
      <x:c r="O66" s="178"/>
      <x:c r="P66" s="178"/>
      <x:c r="Q66" s="178"/>
      <x:c r="R66" s="178"/>
      <x:c r="S66" s="178"/>
      <x:c r="T66" s="178"/>
      <x:c r="U66" s="178"/>
      <x:c r="V66" s="178"/>
      <x:c r="W66" s="178"/>
      <x:c r="X66" s="178"/>
      <x:c r="Y66" s="178"/>
      <x:c r="Z66" s="178"/>
    </x:row>
    <x:row r="67">
      <x:c r="A67" s="178"/>
      <x:c r="B67" s="178"/>
      <x:c r="C67" s="178"/>
      <x:c r="D67" s="178"/>
      <x:c r="E67" s="178"/>
      <x:c r="F67" s="178"/>
      <x:c r="G67" s="178"/>
      <x:c r="H67" s="178"/>
      <x:c r="I67" s="178"/>
      <x:c r="J67" s="178"/>
      <x:c r="K67" s="178"/>
      <x:c r="L67" s="178"/>
      <x:c r="M67" s="178"/>
      <x:c r="N67" s="178"/>
      <x:c r="O67" s="178"/>
      <x:c r="P67" s="178"/>
      <x:c r="Q67" s="178"/>
      <x:c r="R67" s="178"/>
      <x:c r="S67" s="178"/>
      <x:c r="T67" s="178"/>
      <x:c r="U67" s="178"/>
      <x:c r="V67" s="178"/>
      <x:c r="W67" s="178"/>
      <x:c r="X67" s="178"/>
      <x:c r="Y67" s="178"/>
      <x:c r="Z67" s="178"/>
    </x:row>
    <x:row r="68">
      <x:c r="A68" s="178"/>
      <x:c r="B68" s="178"/>
      <x:c r="C68" s="178"/>
      <x:c r="D68" s="178"/>
      <x:c r="E68" s="178"/>
      <x:c r="F68" s="178"/>
      <x:c r="G68" s="178"/>
      <x:c r="H68" s="178"/>
      <x:c r="I68" s="178"/>
      <x:c r="J68" s="178"/>
      <x:c r="K68" s="178"/>
      <x:c r="L68" s="178"/>
      <x:c r="M68" s="178"/>
      <x:c r="N68" s="178"/>
      <x:c r="O68" s="178"/>
      <x:c r="P68" s="178"/>
      <x:c r="Q68" s="178"/>
      <x:c r="R68" s="178"/>
      <x:c r="S68" s="178"/>
      <x:c r="T68" s="178"/>
      <x:c r="U68" s="178"/>
      <x:c r="V68" s="178"/>
      <x:c r="W68" s="178"/>
      <x:c r="X68" s="178"/>
      <x:c r="Y68" s="178"/>
      <x:c r="Z68" s="178"/>
    </x:row>
    <x:row r="69">
      <x:c r="A69" s="178"/>
      <x:c r="B69" s="178"/>
      <x:c r="C69" s="178"/>
      <x:c r="D69" s="178"/>
      <x:c r="E69" s="178"/>
      <x:c r="F69" s="178"/>
      <x:c r="G69" s="178"/>
      <x:c r="H69" s="178"/>
      <x:c r="I69" s="178"/>
      <x:c r="J69" s="178"/>
      <x:c r="K69" s="178"/>
      <x:c r="L69" s="178"/>
      <x:c r="M69" s="178"/>
      <x:c r="N69" s="178"/>
      <x:c r="O69" s="178"/>
      <x:c r="P69" s="178"/>
      <x:c r="Q69" s="178"/>
      <x:c r="R69" s="178"/>
      <x:c r="S69" s="178"/>
      <x:c r="T69" s="178"/>
      <x:c r="U69" s="178"/>
      <x:c r="V69" s="178"/>
      <x:c r="W69" s="178"/>
      <x:c r="X69" s="178"/>
      <x:c r="Y69" s="178"/>
      <x:c r="Z69" s="178"/>
    </x:row>
    <x:row r="70">
      <x:c r="A70" s="178"/>
      <x:c r="B70" s="178"/>
      <x:c r="C70" s="178"/>
      <x:c r="D70" s="178"/>
      <x:c r="E70" s="178"/>
      <x:c r="F70" s="178"/>
      <x:c r="G70" s="178"/>
      <x:c r="H70" s="178"/>
      <x:c r="I70" s="178"/>
      <x:c r="J70" s="178"/>
      <x:c r="K70" s="178"/>
      <x:c r="L70" s="178"/>
      <x:c r="M70" s="178"/>
      <x:c r="N70" s="178"/>
      <x:c r="O70" s="178"/>
      <x:c r="P70" s="178"/>
      <x:c r="Q70" s="178"/>
      <x:c r="R70" s="178"/>
      <x:c r="S70" s="178"/>
      <x:c r="T70" s="178"/>
      <x:c r="U70" s="178"/>
      <x:c r="V70" s="178"/>
      <x:c r="W70" s="178"/>
      <x:c r="X70" s="178"/>
      <x:c r="Y70" s="178"/>
      <x:c r="Z70" s="178"/>
    </x:row>
    <x:row r="71">
      <x:c r="A71" s="178"/>
      <x:c r="B71" s="178"/>
      <x:c r="C71" s="178"/>
      <x:c r="D71" s="178"/>
      <x:c r="E71" s="178"/>
      <x:c r="F71" s="178"/>
      <x:c r="G71" s="178"/>
      <x:c r="H71" s="178"/>
      <x:c r="I71" s="178"/>
      <x:c r="J71" s="178"/>
      <x:c r="K71" s="178"/>
      <x:c r="L71" s="178"/>
      <x:c r="M71" s="178"/>
      <x:c r="N71" s="178"/>
      <x:c r="O71" s="178"/>
      <x:c r="P71" s="178"/>
      <x:c r="Q71" s="178"/>
      <x:c r="R71" s="178"/>
      <x:c r="S71" s="178"/>
      <x:c r="T71" s="178"/>
      <x:c r="U71" s="178"/>
      <x:c r="V71" s="178"/>
      <x:c r="W71" s="178"/>
      <x:c r="X71" s="178"/>
      <x:c r="Y71" s="178"/>
      <x:c r="Z71" s="178"/>
    </x:row>
    <x:row r="72">
      <x:c r="A72" s="178"/>
      <x:c r="B72" s="178"/>
      <x:c r="C72" s="178"/>
      <x:c r="D72" s="178"/>
      <x:c r="E72" s="178"/>
      <x:c r="F72" s="178"/>
      <x:c r="G72" s="178"/>
      <x:c r="H72" s="178"/>
      <x:c r="I72" s="178"/>
      <x:c r="J72" s="178"/>
      <x:c r="K72" s="178"/>
      <x:c r="L72" s="178"/>
      <x:c r="M72" s="178"/>
      <x:c r="N72" s="178"/>
      <x:c r="O72" s="178"/>
      <x:c r="P72" s="178"/>
      <x:c r="Q72" s="178"/>
      <x:c r="R72" s="178"/>
      <x:c r="S72" s="178"/>
      <x:c r="T72" s="178"/>
      <x:c r="U72" s="178"/>
      <x:c r="V72" s="178"/>
      <x:c r="W72" s="178"/>
      <x:c r="X72" s="178"/>
      <x:c r="Y72" s="178"/>
      <x:c r="Z72" s="178"/>
    </x:row>
    <x:row r="73">
      <x:c r="A73" s="178"/>
      <x:c r="B73" s="178"/>
      <x:c r="C73" s="178"/>
      <x:c r="D73" s="178"/>
      <x:c r="E73" s="178"/>
      <x:c r="F73" s="178"/>
      <x:c r="G73" s="178"/>
      <x:c r="H73" s="178"/>
      <x:c r="I73" s="178"/>
      <x:c r="J73" s="178"/>
      <x:c r="K73" s="178"/>
      <x:c r="L73" s="178"/>
      <x:c r="M73" s="178"/>
      <x:c r="N73" s="178"/>
      <x:c r="O73" s="178"/>
      <x:c r="P73" s="178"/>
      <x:c r="Q73" s="178"/>
      <x:c r="R73" s="178"/>
      <x:c r="S73" s="178"/>
      <x:c r="T73" s="178"/>
      <x:c r="U73" s="178"/>
      <x:c r="V73" s="178"/>
      <x:c r="W73" s="178"/>
      <x:c r="X73" s="178"/>
      <x:c r="Y73" s="178"/>
      <x:c r="Z73" s="178"/>
    </x:row>
    <x:row r="74">
      <x:c r="A74" s="178"/>
      <x:c r="B74" s="178"/>
      <x:c r="C74" s="178"/>
      <x:c r="D74" s="178"/>
      <x:c r="E74" s="178"/>
      <x:c r="F74" s="178"/>
      <x:c r="G74" s="178"/>
      <x:c r="H74" s="178"/>
      <x:c r="I74" s="178"/>
      <x:c r="J74" s="178"/>
      <x:c r="K74" s="178"/>
      <x:c r="L74" s="178"/>
      <x:c r="M74" s="178"/>
      <x:c r="N74" s="178"/>
      <x:c r="O74" s="178"/>
      <x:c r="P74" s="178"/>
      <x:c r="Q74" s="178"/>
      <x:c r="R74" s="178"/>
      <x:c r="S74" s="178"/>
      <x:c r="T74" s="178"/>
      <x:c r="U74" s="178"/>
      <x:c r="V74" s="178"/>
      <x:c r="W74" s="178"/>
      <x:c r="X74" s="178"/>
      <x:c r="Y74" s="178"/>
      <x:c r="Z74" s="178"/>
    </x:row>
    <x:row r="75">
      <x:c r="A75" s="178"/>
      <x:c r="B75" s="178"/>
      <x:c r="C75" s="178"/>
      <x:c r="D75" s="178"/>
      <x:c r="E75" s="178"/>
      <x:c r="F75" s="178"/>
      <x:c r="G75" s="178"/>
      <x:c r="H75" s="178"/>
      <x:c r="I75" s="178"/>
      <x:c r="J75" s="178"/>
      <x:c r="K75" s="178"/>
      <x:c r="L75" s="178"/>
      <x:c r="M75" s="178"/>
      <x:c r="N75" s="178"/>
      <x:c r="O75" s="178"/>
      <x:c r="P75" s="178"/>
      <x:c r="Q75" s="178"/>
      <x:c r="R75" s="178"/>
      <x:c r="S75" s="178"/>
      <x:c r="T75" s="178"/>
      <x:c r="U75" s="178"/>
      <x:c r="V75" s="178"/>
      <x:c r="W75" s="178"/>
      <x:c r="X75" s="178"/>
      <x:c r="Y75" s="178"/>
      <x:c r="Z75" s="178"/>
    </x:row>
    <x:row r="76">
      <x:c r="A76" s="178"/>
      <x:c r="B76" s="178"/>
      <x:c r="C76" s="178"/>
      <x:c r="D76" s="178"/>
      <x:c r="E76" s="178"/>
      <x:c r="F76" s="178"/>
      <x:c r="G76" s="178"/>
      <x:c r="H76" s="178"/>
      <x:c r="I76" s="178"/>
      <x:c r="J76" s="178"/>
      <x:c r="K76" s="178"/>
      <x:c r="L76" s="178"/>
      <x:c r="M76" s="178"/>
      <x:c r="N76" s="178"/>
      <x:c r="O76" s="178"/>
      <x:c r="P76" s="178"/>
      <x:c r="Q76" s="178"/>
      <x:c r="R76" s="178"/>
      <x:c r="S76" s="178"/>
      <x:c r="T76" s="178"/>
      <x:c r="U76" s="178"/>
      <x:c r="V76" s="178"/>
      <x:c r="W76" s="178"/>
      <x:c r="X76" s="178"/>
      <x:c r="Y76" s="178"/>
      <x:c r="Z76" s="178"/>
    </x:row>
    <x:row r="77">
      <x:c r="A77" s="178"/>
      <x:c r="B77" s="178"/>
      <x:c r="C77" s="178"/>
      <x:c r="D77" s="178"/>
      <x:c r="E77" s="178"/>
      <x:c r="F77" s="178"/>
      <x:c r="G77" s="178"/>
      <x:c r="H77" s="178"/>
      <x:c r="I77" s="178"/>
      <x:c r="J77" s="178"/>
      <x:c r="K77" s="178"/>
      <x:c r="L77" s="178"/>
      <x:c r="M77" s="178"/>
      <x:c r="N77" s="178"/>
      <x:c r="O77" s="178"/>
      <x:c r="P77" s="178"/>
      <x:c r="Q77" s="178"/>
      <x:c r="R77" s="178"/>
      <x:c r="S77" s="178"/>
      <x:c r="T77" s="178"/>
      <x:c r="U77" s="178"/>
      <x:c r="V77" s="178"/>
      <x:c r="W77" s="178"/>
      <x:c r="X77" s="178"/>
      <x:c r="Y77" s="178"/>
      <x:c r="Z77" s="178"/>
    </x:row>
    <x:row r="78">
      <x:c r="A78" s="178"/>
      <x:c r="B78" s="178"/>
      <x:c r="C78" s="178"/>
      <x:c r="D78" s="178"/>
      <x:c r="E78" s="178"/>
      <x:c r="F78" s="178"/>
      <x:c r="G78" s="178"/>
      <x:c r="H78" s="178"/>
      <x:c r="I78" s="178"/>
      <x:c r="J78" s="178"/>
      <x:c r="K78" s="178"/>
      <x:c r="L78" s="178"/>
      <x:c r="M78" s="178"/>
      <x:c r="N78" s="178"/>
      <x:c r="O78" s="178"/>
      <x:c r="P78" s="178"/>
      <x:c r="Q78" s="178"/>
      <x:c r="R78" s="178"/>
      <x:c r="S78" s="178"/>
      <x:c r="T78" s="178"/>
      <x:c r="U78" s="178"/>
      <x:c r="V78" s="178"/>
      <x:c r="W78" s="178"/>
      <x:c r="X78" s="178"/>
      <x:c r="Y78" s="178"/>
      <x:c r="Z78" s="178"/>
    </x:row>
    <x:row r="79">
      <x:c r="A79" s="178"/>
      <x:c r="B79" s="178"/>
      <x:c r="C79" s="178"/>
      <x:c r="D79" s="178"/>
      <x:c r="E79" s="178"/>
      <x:c r="F79" s="178"/>
      <x:c r="G79" s="178"/>
      <x:c r="H79" s="178"/>
      <x:c r="I79" s="178"/>
      <x:c r="J79" s="178"/>
      <x:c r="K79" s="178"/>
      <x:c r="L79" s="178"/>
      <x:c r="M79" s="178"/>
      <x:c r="N79" s="178"/>
      <x:c r="O79" s="178"/>
      <x:c r="P79" s="178"/>
      <x:c r="Q79" s="178"/>
      <x:c r="R79" s="178"/>
      <x:c r="S79" s="178"/>
      <x:c r="T79" s="178"/>
      <x:c r="U79" s="178"/>
      <x:c r="V79" s="178"/>
      <x:c r="W79" s="178"/>
      <x:c r="X79" s="178"/>
      <x:c r="Y79" s="178"/>
      <x:c r="Z79" s="178"/>
    </x:row>
    <x:row r="80">
      <x:c r="A80" s="178"/>
      <x:c r="B80" s="178"/>
      <x:c r="C80" s="178"/>
      <x:c r="D80" s="178"/>
      <x:c r="E80" s="178"/>
      <x:c r="F80" s="178"/>
      <x:c r="G80" s="178"/>
      <x:c r="H80" s="178"/>
      <x:c r="I80" s="178"/>
      <x:c r="J80" s="178"/>
      <x:c r="K80" s="178"/>
      <x:c r="L80" s="178"/>
      <x:c r="M80" s="178"/>
      <x:c r="N80" s="178"/>
      <x:c r="O80" s="178"/>
      <x:c r="P80" s="178"/>
      <x:c r="Q80" s="178"/>
      <x:c r="R80" s="178"/>
      <x:c r="S80" s="178"/>
      <x:c r="T80" s="178"/>
      <x:c r="U80" s="178"/>
      <x:c r="V80" s="178"/>
      <x:c r="W80" s="178"/>
      <x:c r="X80" s="178"/>
      <x:c r="Y80" s="178"/>
      <x:c r="Z80" s="178"/>
    </x:row>
    <x:row r="81">
      <x:c r="A81" s="178"/>
      <x:c r="B81" s="178"/>
      <x:c r="C81" s="178"/>
      <x:c r="D81" s="178"/>
      <x:c r="E81" s="178"/>
      <x:c r="F81" s="178"/>
      <x:c r="G81" s="178"/>
      <x:c r="H81" s="178"/>
      <x:c r="I81" s="178"/>
      <x:c r="J81" s="178"/>
      <x:c r="K81" s="178"/>
      <x:c r="L81" s="178"/>
      <x:c r="M81" s="178"/>
      <x:c r="N81" s="178"/>
      <x:c r="O81" s="178"/>
      <x:c r="P81" s="178"/>
      <x:c r="Q81" s="178"/>
      <x:c r="R81" s="178"/>
      <x:c r="S81" s="178"/>
      <x:c r="T81" s="178"/>
      <x:c r="U81" s="178"/>
      <x:c r="V81" s="178"/>
      <x:c r="W81" s="178"/>
      <x:c r="X81" s="178"/>
      <x:c r="Y81" s="178"/>
      <x:c r="Z81" s="178"/>
    </x:row>
    <x:row r="82">
      <x:c r="A82" s="178"/>
      <x:c r="B82" s="178"/>
      <x:c r="C82" s="178"/>
      <x:c r="D82" s="178"/>
      <x:c r="E82" s="178"/>
      <x:c r="F82" s="178"/>
      <x:c r="G82" s="178"/>
      <x:c r="H82" s="178"/>
      <x:c r="I82" s="178"/>
      <x:c r="J82" s="178"/>
      <x:c r="K82" s="178"/>
      <x:c r="L82" s="178"/>
      <x:c r="M82" s="178"/>
      <x:c r="N82" s="178"/>
      <x:c r="O82" s="178"/>
      <x:c r="P82" s="178"/>
      <x:c r="Q82" s="178"/>
      <x:c r="R82" s="178"/>
      <x:c r="S82" s="178"/>
      <x:c r="T82" s="178"/>
      <x:c r="U82" s="178"/>
      <x:c r="V82" s="178"/>
      <x:c r="W82" s="178"/>
      <x:c r="X82" s="178"/>
      <x:c r="Y82" s="178"/>
      <x:c r="Z82" s="178"/>
    </x:row>
    <x:row r="83">
      <x:c r="A83" s="178"/>
      <x:c r="B83" s="178"/>
      <x:c r="C83" s="178"/>
      <x:c r="D83" s="178"/>
      <x:c r="E83" s="178"/>
      <x:c r="F83" s="178"/>
      <x:c r="G83" s="178"/>
      <x:c r="H83" s="178"/>
      <x:c r="I83" s="178"/>
      <x:c r="J83" s="178"/>
      <x:c r="K83" s="178"/>
      <x:c r="L83" s="178"/>
      <x:c r="M83" s="178"/>
      <x:c r="N83" s="178"/>
      <x:c r="O83" s="178"/>
      <x:c r="P83" s="178"/>
      <x:c r="Q83" s="178"/>
      <x:c r="R83" s="178"/>
      <x:c r="S83" s="178"/>
      <x:c r="T83" s="178"/>
      <x:c r="U83" s="178"/>
      <x:c r="V83" s="178"/>
      <x:c r="W83" s="178"/>
      <x:c r="X83" s="178"/>
      <x:c r="Y83" s="178"/>
      <x:c r="Z83" s="178"/>
    </x:row>
    <x:row r="84">
      <x:c r="A84" s="178"/>
      <x:c r="B84" s="178"/>
      <x:c r="C84" s="178"/>
      <x:c r="D84" s="178"/>
      <x:c r="E84" s="178"/>
      <x:c r="F84" s="178"/>
      <x:c r="G84" s="178"/>
      <x:c r="H84" s="178"/>
      <x:c r="I84" s="178"/>
      <x:c r="J84" s="178"/>
      <x:c r="K84" s="178"/>
      <x:c r="L84" s="178"/>
      <x:c r="M84" s="178"/>
      <x:c r="N84" s="178"/>
      <x:c r="O84" s="178"/>
      <x:c r="P84" s="178"/>
      <x:c r="Q84" s="178"/>
      <x:c r="R84" s="178"/>
      <x:c r="S84" s="178"/>
      <x:c r="T84" s="178"/>
      <x:c r="U84" s="178"/>
      <x:c r="V84" s="178"/>
      <x:c r="W84" s="178"/>
      <x:c r="X84" s="178"/>
      <x:c r="Y84" s="178"/>
      <x:c r="Z84" s="178"/>
    </x:row>
    <x:row r="85">
      <x:c r="A85" s="178"/>
      <x:c r="B85" s="178"/>
      <x:c r="C85" s="178"/>
      <x:c r="D85" s="178"/>
      <x:c r="E85" s="178"/>
      <x:c r="F85" s="178"/>
      <x:c r="G85" s="178"/>
      <x:c r="H85" s="178"/>
      <x:c r="I85" s="178"/>
      <x:c r="J85" s="178"/>
      <x:c r="K85" s="178"/>
      <x:c r="L85" s="178"/>
      <x:c r="M85" s="178"/>
      <x:c r="N85" s="178"/>
      <x:c r="O85" s="178"/>
      <x:c r="P85" s="178"/>
      <x:c r="Q85" s="178"/>
      <x:c r="R85" s="178"/>
      <x:c r="S85" s="178"/>
      <x:c r="T85" s="178"/>
      <x:c r="U85" s="178"/>
      <x:c r="V85" s="178"/>
      <x:c r="W85" s="178"/>
      <x:c r="X85" s="178"/>
      <x:c r="Y85" s="178"/>
      <x:c r="Z85" s="178"/>
    </x:row>
    <x:row r="86">
      <x:c r="A86" s="178"/>
      <x:c r="B86" s="178"/>
      <x:c r="C86" s="178"/>
      <x:c r="D86" s="178"/>
      <x:c r="E86" s="178"/>
      <x:c r="F86" s="178"/>
      <x:c r="G86" s="178"/>
      <x:c r="H86" s="178"/>
      <x:c r="I86" s="178"/>
      <x:c r="J86" s="178"/>
      <x:c r="K86" s="178"/>
      <x:c r="L86" s="178"/>
      <x:c r="M86" s="178"/>
      <x:c r="N86" s="178"/>
      <x:c r="O86" s="178"/>
      <x:c r="P86" s="178"/>
      <x:c r="Q86" s="178"/>
      <x:c r="R86" s="178"/>
      <x:c r="S86" s="178"/>
      <x:c r="T86" s="178"/>
      <x:c r="U86" s="178"/>
      <x:c r="V86" s="178"/>
      <x:c r="W86" s="178"/>
      <x:c r="X86" s="178"/>
      <x:c r="Y86" s="178"/>
      <x:c r="Z86" s="178"/>
    </x:row>
    <x:row r="87">
      <x:c r="A87" s="178"/>
      <x:c r="B87" s="178"/>
      <x:c r="C87" s="178"/>
      <x:c r="D87" s="178"/>
      <x:c r="E87" s="178"/>
      <x:c r="F87" s="178"/>
      <x:c r="G87" s="178"/>
      <x:c r="H87" s="178"/>
      <x:c r="I87" s="178"/>
      <x:c r="J87" s="178"/>
      <x:c r="K87" s="178"/>
      <x:c r="L87" s="178"/>
      <x:c r="M87" s="178"/>
      <x:c r="N87" s="178"/>
      <x:c r="O87" s="178"/>
      <x:c r="P87" s="178"/>
      <x:c r="Q87" s="178"/>
      <x:c r="R87" s="178"/>
      <x:c r="S87" s="178"/>
      <x:c r="T87" s="178"/>
      <x:c r="U87" s="178"/>
      <x:c r="V87" s="178"/>
      <x:c r="W87" s="178"/>
      <x:c r="X87" s="178"/>
      <x:c r="Y87" s="178"/>
      <x:c r="Z87" s="178"/>
    </x:row>
    <x:row r="88">
      <x:c r="A88" s="178"/>
      <x:c r="B88" s="178"/>
      <x:c r="C88" s="178"/>
      <x:c r="D88" s="178"/>
      <x:c r="E88" s="178"/>
      <x:c r="F88" s="178"/>
      <x:c r="G88" s="178"/>
      <x:c r="H88" s="178"/>
      <x:c r="I88" s="178"/>
      <x:c r="J88" s="178"/>
      <x:c r="K88" s="178"/>
      <x:c r="L88" s="178"/>
      <x:c r="M88" s="178"/>
      <x:c r="N88" s="178"/>
      <x:c r="O88" s="178"/>
      <x:c r="P88" s="178"/>
      <x:c r="Q88" s="178"/>
      <x:c r="R88" s="178"/>
      <x:c r="S88" s="178"/>
      <x:c r="T88" s="178"/>
      <x:c r="U88" s="178"/>
      <x:c r="V88" s="178"/>
      <x:c r="W88" s="178"/>
      <x:c r="X88" s="178"/>
      <x:c r="Y88" s="178"/>
      <x:c r="Z88" s="178"/>
    </x:row>
    <x:row r="89">
      <x:c r="A89" s="178"/>
      <x:c r="B89" s="178"/>
      <x:c r="C89" s="178"/>
      <x:c r="D89" s="178"/>
      <x:c r="E89" s="178"/>
      <x:c r="F89" s="178"/>
      <x:c r="G89" s="178"/>
      <x:c r="H89" s="178"/>
      <x:c r="I89" s="178"/>
      <x:c r="J89" s="178"/>
      <x:c r="K89" s="178"/>
      <x:c r="L89" s="178"/>
      <x:c r="M89" s="178"/>
      <x:c r="N89" s="178"/>
      <x:c r="O89" s="178"/>
      <x:c r="P89" s="178"/>
      <x:c r="Q89" s="178"/>
      <x:c r="R89" s="178"/>
      <x:c r="S89" s="178"/>
      <x:c r="T89" s="178"/>
      <x:c r="U89" s="178"/>
      <x:c r="V89" s="178"/>
      <x:c r="W89" s="178"/>
      <x:c r="X89" s="178"/>
      <x:c r="Y89" s="178"/>
      <x:c r="Z89" s="178"/>
    </x:row>
    <x:row r="90">
      <x:c r="A90" s="178"/>
      <x:c r="B90" s="178"/>
      <x:c r="C90" s="178"/>
      <x:c r="D90" s="178"/>
      <x:c r="E90" s="178"/>
      <x:c r="F90" s="178"/>
      <x:c r="G90" s="178"/>
      <x:c r="H90" s="178"/>
      <x:c r="I90" s="178"/>
      <x:c r="J90" s="178"/>
      <x:c r="K90" s="178"/>
      <x:c r="L90" s="178"/>
      <x:c r="M90" s="178"/>
      <x:c r="N90" s="178"/>
      <x:c r="O90" s="178"/>
      <x:c r="P90" s="178"/>
      <x:c r="Q90" s="178"/>
      <x:c r="R90" s="178"/>
      <x:c r="S90" s="178"/>
      <x:c r="T90" s="178"/>
      <x:c r="U90" s="178"/>
      <x:c r="V90" s="178"/>
      <x:c r="W90" s="178"/>
      <x:c r="X90" s="178"/>
      <x:c r="Y90" s="178"/>
      <x:c r="Z90" s="178"/>
    </x:row>
    <x:row r="91">
      <x:c r="A91" s="178"/>
      <x:c r="B91" s="178"/>
      <x:c r="C91" s="178"/>
      <x:c r="D91" s="178"/>
      <x:c r="E91" s="178"/>
      <x:c r="F91" s="178"/>
      <x:c r="G91" s="178"/>
      <x:c r="H91" s="178"/>
      <x:c r="I91" s="178"/>
      <x:c r="J91" s="178"/>
      <x:c r="K91" s="178"/>
      <x:c r="L91" s="178"/>
      <x:c r="M91" s="178"/>
      <x:c r="N91" s="178"/>
      <x:c r="O91" s="178"/>
      <x:c r="P91" s="178"/>
      <x:c r="Q91" s="178"/>
      <x:c r="R91" s="178"/>
      <x:c r="S91" s="178"/>
      <x:c r="T91" s="178"/>
      <x:c r="U91" s="178"/>
      <x:c r="V91" s="178"/>
      <x:c r="W91" s="178"/>
      <x:c r="X91" s="178"/>
      <x:c r="Y91" s="178"/>
      <x:c r="Z91" s="178"/>
    </x:row>
    <x:row r="92">
      <x:c r="A92" s="178"/>
      <x:c r="B92" s="178"/>
      <x:c r="C92" s="178"/>
      <x:c r="D92" s="178"/>
      <x:c r="E92" s="178"/>
      <x:c r="F92" s="178"/>
      <x:c r="G92" s="178"/>
      <x:c r="H92" s="178"/>
      <x:c r="I92" s="178"/>
      <x:c r="J92" s="178"/>
      <x:c r="K92" s="178"/>
      <x:c r="L92" s="178"/>
      <x:c r="M92" s="178"/>
      <x:c r="N92" s="178"/>
      <x:c r="O92" s="178"/>
      <x:c r="P92" s="178"/>
      <x:c r="Q92" s="178"/>
      <x:c r="R92" s="178"/>
      <x:c r="S92" s="178"/>
      <x:c r="T92" s="178"/>
      <x:c r="U92" s="178"/>
      <x:c r="V92" s="178"/>
      <x:c r="W92" s="178"/>
      <x:c r="X92" s="178"/>
      <x:c r="Y92" s="178"/>
      <x:c r="Z92" s="178"/>
    </x:row>
    <x:row r="93">
      <x:c r="A93" s="178"/>
      <x:c r="B93" s="178"/>
      <x:c r="C93" s="178"/>
      <x:c r="D93" s="178"/>
      <x:c r="E93" s="178"/>
      <x:c r="F93" s="178"/>
      <x:c r="G93" s="178"/>
      <x:c r="H93" s="178"/>
      <x:c r="I93" s="178"/>
      <x:c r="J93" s="178"/>
      <x:c r="K93" s="178"/>
      <x:c r="L93" s="178"/>
      <x:c r="M93" s="178"/>
      <x:c r="N93" s="178"/>
      <x:c r="O93" s="178"/>
      <x:c r="P93" s="178"/>
      <x:c r="Q93" s="178"/>
      <x:c r="R93" s="178"/>
      <x:c r="S93" s="178"/>
      <x:c r="T93" s="178"/>
      <x:c r="U93" s="178"/>
      <x:c r="V93" s="178"/>
      <x:c r="W93" s="178"/>
      <x:c r="X93" s="178"/>
      <x:c r="Y93" s="178"/>
      <x:c r="Z93" s="178"/>
    </x:row>
    <x:row r="94">
      <x:c r="A94" s="178"/>
      <x:c r="B94" s="178"/>
      <x:c r="C94" s="178"/>
      <x:c r="D94" s="178"/>
      <x:c r="E94" s="178"/>
      <x:c r="F94" s="178"/>
      <x:c r="G94" s="178"/>
      <x:c r="H94" s="178"/>
      <x:c r="I94" s="178"/>
      <x:c r="J94" s="178"/>
      <x:c r="K94" s="178"/>
      <x:c r="L94" s="178"/>
      <x:c r="M94" s="178"/>
      <x:c r="N94" s="178"/>
      <x:c r="O94" s="178"/>
      <x:c r="P94" s="178"/>
      <x:c r="Q94" s="178"/>
      <x:c r="R94" s="178"/>
      <x:c r="S94" s="178"/>
      <x:c r="T94" s="178"/>
      <x:c r="U94" s="178"/>
      <x:c r="V94" s="178"/>
      <x:c r="W94" s="178"/>
      <x:c r="X94" s="178"/>
      <x:c r="Y94" s="178"/>
      <x:c r="Z94" s="178"/>
    </x:row>
    <x:row r="95">
      <x:c r="A95" s="178"/>
      <x:c r="B95" s="178"/>
      <x:c r="C95" s="178"/>
      <x:c r="D95" s="178"/>
      <x:c r="E95" s="178"/>
      <x:c r="F95" s="178"/>
      <x:c r="G95" s="178"/>
      <x:c r="H95" s="178"/>
      <x:c r="I95" s="178"/>
      <x:c r="J95" s="178"/>
      <x:c r="K95" s="178"/>
      <x:c r="L95" s="178"/>
      <x:c r="M95" s="178"/>
      <x:c r="N95" s="178"/>
      <x:c r="O95" s="178"/>
      <x:c r="P95" s="178"/>
      <x:c r="Q95" s="178"/>
      <x:c r="R95" s="178"/>
      <x:c r="S95" s="178"/>
      <x:c r="T95" s="178"/>
      <x:c r="U95" s="178"/>
      <x:c r="V95" s="178"/>
      <x:c r="W95" s="178"/>
      <x:c r="X95" s="178"/>
      <x:c r="Y95" s="178"/>
      <x:c r="Z95" s="178"/>
    </x:row>
    <x:row r="96">
      <x:c r="A96" s="178"/>
      <x:c r="B96" s="178"/>
      <x:c r="C96" s="178"/>
      <x:c r="D96" s="178"/>
      <x:c r="E96" s="178"/>
      <x:c r="F96" s="178"/>
      <x:c r="G96" s="178"/>
      <x:c r="H96" s="178"/>
      <x:c r="I96" s="178"/>
      <x:c r="J96" s="178"/>
      <x:c r="K96" s="178"/>
      <x:c r="L96" s="178"/>
      <x:c r="M96" s="178"/>
      <x:c r="N96" s="178"/>
      <x:c r="O96" s="178"/>
      <x:c r="P96" s="178"/>
      <x:c r="Q96" s="178"/>
      <x:c r="R96" s="178"/>
      <x:c r="S96" s="178"/>
      <x:c r="T96" s="178"/>
      <x:c r="U96" s="178"/>
      <x:c r="V96" s="178"/>
      <x:c r="W96" s="178"/>
      <x:c r="X96" s="178"/>
      <x:c r="Y96" s="178"/>
      <x:c r="Z96" s="178"/>
    </x:row>
    <x:row r="97">
      <x:c r="A97" s="178"/>
      <x:c r="B97" s="178"/>
      <x:c r="C97" s="178"/>
      <x:c r="D97" s="178"/>
      <x:c r="E97" s="178"/>
      <x:c r="F97" s="178"/>
      <x:c r="G97" s="178"/>
      <x:c r="H97" s="178"/>
      <x:c r="I97" s="178"/>
      <x:c r="J97" s="178"/>
      <x:c r="K97" s="178"/>
      <x:c r="L97" s="178"/>
      <x:c r="M97" s="178"/>
      <x:c r="N97" s="178"/>
      <x:c r="O97" s="178"/>
      <x:c r="P97" s="178"/>
      <x:c r="Q97" s="178"/>
      <x:c r="R97" s="178"/>
      <x:c r="S97" s="178"/>
      <x:c r="T97" s="178"/>
      <x:c r="U97" s="178"/>
      <x:c r="V97" s="178"/>
      <x:c r="W97" s="178"/>
      <x:c r="X97" s="178"/>
      <x:c r="Y97" s="178"/>
      <x:c r="Z97" s="178"/>
    </x:row>
    <x:row r="98">
      <x:c r="A98" s="178"/>
      <x:c r="B98" s="178"/>
      <x:c r="C98" s="178"/>
      <x:c r="D98" s="178"/>
      <x:c r="E98" s="178"/>
      <x:c r="F98" s="178"/>
      <x:c r="G98" s="178"/>
      <x:c r="H98" s="178"/>
      <x:c r="I98" s="178"/>
      <x:c r="J98" s="178"/>
      <x:c r="K98" s="178"/>
      <x:c r="L98" s="178"/>
      <x:c r="M98" s="178"/>
      <x:c r="N98" s="178"/>
      <x:c r="O98" s="178"/>
      <x:c r="P98" s="178"/>
      <x:c r="Q98" s="178"/>
      <x:c r="R98" s="178"/>
      <x:c r="S98" s="178"/>
      <x:c r="T98" s="178"/>
      <x:c r="U98" s="178"/>
      <x:c r="V98" s="178"/>
      <x:c r="W98" s="178"/>
      <x:c r="X98" s="178"/>
      <x:c r="Y98" s="178"/>
      <x:c r="Z98" s="178"/>
    </x:row>
    <x:row r="99">
      <x:c r="A99" s="178"/>
      <x:c r="B99" s="178"/>
      <x:c r="C99" s="178"/>
      <x:c r="D99" s="178"/>
      <x:c r="E99" s="178"/>
      <x:c r="F99" s="178"/>
      <x:c r="G99" s="178"/>
      <x:c r="H99" s="178"/>
      <x:c r="I99" s="178"/>
      <x:c r="J99" s="178"/>
      <x:c r="K99" s="178"/>
      <x:c r="L99" s="178"/>
      <x:c r="M99" s="178"/>
      <x:c r="N99" s="178"/>
      <x:c r="O99" s="178"/>
      <x:c r="P99" s="178"/>
      <x:c r="Q99" s="178"/>
      <x:c r="R99" s="178"/>
      <x:c r="S99" s="178"/>
      <x:c r="T99" s="178"/>
      <x:c r="U99" s="178"/>
      <x:c r="V99" s="178"/>
      <x:c r="W99" s="178"/>
      <x:c r="X99" s="178"/>
      <x:c r="Y99" s="178"/>
      <x:c r="Z99" s="178"/>
    </x:row>
    <x:row r="100">
      <x:c r="A100" s="178"/>
      <x:c r="B100" s="178"/>
      <x:c r="C100" s="178"/>
      <x:c r="D100" s="178"/>
      <x:c r="E100" s="178"/>
      <x:c r="F100" s="178"/>
      <x:c r="G100" s="178"/>
      <x:c r="H100" s="178"/>
      <x:c r="I100" s="178"/>
      <x:c r="J100" s="178"/>
      <x:c r="K100" s="178"/>
      <x:c r="L100" s="178"/>
      <x:c r="M100" s="178"/>
      <x:c r="N100" s="178"/>
      <x:c r="O100" s="178"/>
      <x:c r="P100" s="178"/>
      <x:c r="Q100" s="178"/>
      <x:c r="R100" s="178"/>
      <x:c r="S100" s="178"/>
      <x:c r="T100" s="178"/>
      <x:c r="U100" s="178"/>
      <x:c r="V100" s="178"/>
      <x:c r="W100" s="178"/>
      <x:c r="X100" s="178"/>
      <x:c r="Y100" s="178"/>
      <x:c r="Z100" s="178"/>
    </x:row>
    <x:row r="101">
      <x:c r="A101" s="178"/>
      <x:c r="B101" s="178"/>
      <x:c r="C101" s="178"/>
      <x:c r="D101" s="178"/>
      <x:c r="E101" s="178"/>
      <x:c r="F101" s="178"/>
      <x:c r="G101" s="178"/>
      <x:c r="H101" s="178"/>
      <x:c r="I101" s="178"/>
      <x:c r="J101" s="178"/>
      <x:c r="K101" s="178"/>
      <x:c r="L101" s="178"/>
      <x:c r="M101" s="178"/>
      <x:c r="N101" s="178"/>
      <x:c r="O101" s="178"/>
      <x:c r="P101" s="178"/>
      <x:c r="Q101" s="178"/>
      <x:c r="R101" s="178"/>
      <x:c r="S101" s="178"/>
      <x:c r="T101" s="178"/>
      <x:c r="U101" s="178"/>
      <x:c r="V101" s="178"/>
      <x:c r="W101" s="178"/>
      <x:c r="X101" s="178"/>
      <x:c r="Y101" s="178"/>
      <x:c r="Z101" s="178"/>
    </x:row>
    <x:row r="102">
      <x:c r="A102" s="178"/>
      <x:c r="B102" s="178"/>
      <x:c r="C102" s="178"/>
      <x:c r="D102" s="178"/>
      <x:c r="E102" s="178"/>
      <x:c r="F102" s="178"/>
      <x:c r="G102" s="178"/>
      <x:c r="H102" s="178"/>
      <x:c r="I102" s="178"/>
      <x:c r="J102" s="178"/>
      <x:c r="K102" s="178"/>
      <x:c r="L102" s="178"/>
      <x:c r="M102" s="178"/>
      <x:c r="N102" s="178"/>
      <x:c r="O102" s="178"/>
      <x:c r="P102" s="178"/>
      <x:c r="Q102" s="178"/>
      <x:c r="R102" s="178"/>
      <x:c r="S102" s="178"/>
      <x:c r="T102" s="178"/>
      <x:c r="U102" s="178"/>
      <x:c r="V102" s="178"/>
      <x:c r="W102" s="178"/>
      <x:c r="X102" s="178"/>
      <x:c r="Y102" s="178"/>
      <x:c r="Z102" s="178"/>
    </x:row>
    <x:row r="103">
      <x:c r="A103" s="178"/>
      <x:c r="B103" s="178"/>
      <x:c r="C103" s="178"/>
      <x:c r="D103" s="178"/>
      <x:c r="E103" s="178"/>
      <x:c r="F103" s="178"/>
      <x:c r="G103" s="178"/>
      <x:c r="H103" s="178"/>
      <x:c r="I103" s="178"/>
      <x:c r="J103" s="178"/>
      <x:c r="K103" s="178"/>
      <x:c r="L103" s="178"/>
      <x:c r="M103" s="178"/>
      <x:c r="N103" s="178"/>
      <x:c r="O103" s="178"/>
      <x:c r="P103" s="178"/>
      <x:c r="Q103" s="178"/>
      <x:c r="R103" s="178"/>
      <x:c r="S103" s="178"/>
      <x:c r="T103" s="178"/>
      <x:c r="U103" s="178"/>
      <x:c r="V103" s="178"/>
      <x:c r="W103" s="178"/>
      <x:c r="X103" s="178"/>
      <x:c r="Y103" s="178"/>
      <x:c r="Z103" s="178"/>
    </x:row>
    <x:row r="104">
      <x:c r="A104" s="178"/>
      <x:c r="B104" s="178"/>
      <x:c r="C104" s="178"/>
      <x:c r="D104" s="178"/>
      <x:c r="E104" s="178"/>
      <x:c r="F104" s="178"/>
      <x:c r="G104" s="178"/>
      <x:c r="H104" s="178"/>
      <x:c r="I104" s="178"/>
      <x:c r="J104" s="178"/>
      <x:c r="K104" s="178"/>
      <x:c r="L104" s="178"/>
      <x:c r="M104" s="178"/>
      <x:c r="N104" s="178"/>
      <x:c r="O104" s="178"/>
      <x:c r="P104" s="178"/>
      <x:c r="Q104" s="178"/>
      <x:c r="R104" s="178"/>
      <x:c r="S104" s="178"/>
      <x:c r="T104" s="178"/>
      <x:c r="U104" s="178"/>
      <x:c r="V104" s="178"/>
      <x:c r="W104" s="178"/>
      <x:c r="X104" s="178"/>
      <x:c r="Y104" s="178"/>
      <x:c r="Z104" s="178"/>
    </x:row>
    <x:row r="105">
      <x:c r="A105" s="178"/>
      <x:c r="B105" s="178"/>
      <x:c r="C105" s="178"/>
      <x:c r="D105" s="178"/>
      <x:c r="E105" s="178"/>
      <x:c r="F105" s="178"/>
      <x:c r="G105" s="178"/>
      <x:c r="H105" s="178"/>
      <x:c r="I105" s="178"/>
      <x:c r="J105" s="178"/>
      <x:c r="K105" s="178"/>
      <x:c r="L105" s="178"/>
      <x:c r="M105" s="178"/>
      <x:c r="N105" s="178"/>
      <x:c r="O105" s="178"/>
      <x:c r="P105" s="178"/>
      <x:c r="Q105" s="178"/>
      <x:c r="R105" s="178"/>
      <x:c r="S105" s="178"/>
      <x:c r="T105" s="178"/>
      <x:c r="U105" s="178"/>
      <x:c r="V105" s="178"/>
      <x:c r="W105" s="178"/>
      <x:c r="X105" s="178"/>
      <x:c r="Y105" s="178"/>
      <x:c r="Z105" s="178"/>
    </x:row>
    <x:row r="106">
      <x:c r="A106" s="178"/>
      <x:c r="B106" s="178"/>
      <x:c r="C106" s="178"/>
      <x:c r="D106" s="178"/>
      <x:c r="E106" s="178"/>
      <x:c r="F106" s="178"/>
      <x:c r="G106" s="178"/>
      <x:c r="H106" s="178"/>
      <x:c r="I106" s="178"/>
      <x:c r="J106" s="178"/>
      <x:c r="K106" s="178"/>
      <x:c r="L106" s="178"/>
      <x:c r="M106" s="178"/>
      <x:c r="N106" s="178"/>
      <x:c r="O106" s="178"/>
      <x:c r="P106" s="178"/>
      <x:c r="Q106" s="178"/>
      <x:c r="R106" s="178"/>
      <x:c r="S106" s="178"/>
      <x:c r="T106" s="178"/>
      <x:c r="U106" s="178"/>
      <x:c r="V106" s="178"/>
      <x:c r="W106" s="178"/>
      <x:c r="X106" s="178"/>
      <x:c r="Y106" s="178"/>
      <x:c r="Z106" s="178"/>
    </x:row>
    <x:row r="107">
      <x:c r="A107" s="178"/>
      <x:c r="B107" s="178"/>
      <x:c r="C107" s="178"/>
      <x:c r="D107" s="178"/>
      <x:c r="E107" s="178"/>
      <x:c r="F107" s="178"/>
      <x:c r="G107" s="178"/>
      <x:c r="H107" s="178"/>
      <x:c r="I107" s="178"/>
      <x:c r="J107" s="178"/>
      <x:c r="K107" s="178"/>
      <x:c r="L107" s="178"/>
      <x:c r="M107" s="178"/>
      <x:c r="N107" s="178"/>
      <x:c r="O107" s="178"/>
      <x:c r="P107" s="178"/>
      <x:c r="Q107" s="178"/>
      <x:c r="R107" s="178"/>
      <x:c r="S107" s="178"/>
      <x:c r="T107" s="178"/>
      <x:c r="U107" s="178"/>
      <x:c r="V107" s="178"/>
      <x:c r="W107" s="178"/>
      <x:c r="X107" s="178"/>
      <x:c r="Y107" s="178"/>
      <x:c r="Z107" s="178"/>
    </x:row>
    <x:row r="108">
      <x:c r="A108" s="178"/>
      <x:c r="B108" s="178"/>
      <x:c r="C108" s="178"/>
      <x:c r="D108" s="178"/>
      <x:c r="E108" s="178"/>
      <x:c r="F108" s="178"/>
      <x:c r="G108" s="178"/>
      <x:c r="H108" s="178"/>
      <x:c r="I108" s="178"/>
      <x:c r="J108" s="178"/>
      <x:c r="K108" s="178"/>
      <x:c r="L108" s="178"/>
      <x:c r="M108" s="178"/>
      <x:c r="N108" s="178"/>
      <x:c r="O108" s="178"/>
      <x:c r="P108" s="178"/>
      <x:c r="Q108" s="178"/>
      <x:c r="R108" s="178"/>
      <x:c r="S108" s="178"/>
      <x:c r="T108" s="178"/>
      <x:c r="U108" s="178"/>
      <x:c r="V108" s="178"/>
      <x:c r="W108" s="178"/>
      <x:c r="X108" s="178"/>
      <x:c r="Y108" s="178"/>
      <x:c r="Z108" s="178"/>
    </x:row>
    <x:row r="109">
      <x:c r="A109" s="178"/>
      <x:c r="B109" s="178"/>
      <x:c r="C109" s="178"/>
      <x:c r="D109" s="178"/>
      <x:c r="E109" s="178"/>
      <x:c r="F109" s="178"/>
      <x:c r="G109" s="178"/>
      <x:c r="H109" s="178"/>
      <x:c r="I109" s="178"/>
      <x:c r="J109" s="178"/>
      <x:c r="K109" s="178"/>
      <x:c r="L109" s="178"/>
      <x:c r="M109" s="178"/>
      <x:c r="N109" s="178"/>
      <x:c r="O109" s="178"/>
      <x:c r="P109" s="178"/>
      <x:c r="Q109" s="178"/>
      <x:c r="R109" s="178"/>
      <x:c r="S109" s="178"/>
      <x:c r="T109" s="178"/>
      <x:c r="U109" s="178"/>
      <x:c r="V109" s="178"/>
      <x:c r="W109" s="178"/>
      <x:c r="X109" s="178"/>
      <x:c r="Y109" s="178"/>
      <x:c r="Z109" s="178"/>
    </x:row>
    <x:row r="110">
      <x:c r="A110" s="178"/>
      <x:c r="B110" s="178"/>
      <x:c r="C110" s="178"/>
      <x:c r="D110" s="178"/>
      <x:c r="E110" s="178"/>
      <x:c r="F110" s="178"/>
      <x:c r="G110" s="178"/>
      <x:c r="H110" s="178"/>
      <x:c r="I110" s="178"/>
      <x:c r="J110" s="178"/>
      <x:c r="K110" s="178"/>
      <x:c r="L110" s="178"/>
      <x:c r="M110" s="178"/>
      <x:c r="N110" s="178"/>
      <x:c r="O110" s="178"/>
      <x:c r="P110" s="178"/>
      <x:c r="Q110" s="178"/>
      <x:c r="R110" s="178"/>
      <x:c r="S110" s="178"/>
      <x:c r="T110" s="178"/>
      <x:c r="U110" s="178"/>
      <x:c r="V110" s="178"/>
      <x:c r="W110" s="178"/>
      <x:c r="X110" s="178"/>
      <x:c r="Y110" s="178"/>
      <x:c r="Z110" s="178"/>
    </x:row>
    <x:row r="111">
      <x:c r="A111" s="178"/>
      <x:c r="B111" s="178"/>
      <x:c r="C111" s="178"/>
      <x:c r="D111" s="178"/>
      <x:c r="E111" s="178"/>
      <x:c r="F111" s="178"/>
      <x:c r="G111" s="178"/>
      <x:c r="H111" s="178"/>
      <x:c r="I111" s="178"/>
      <x:c r="J111" s="178"/>
      <x:c r="K111" s="178"/>
      <x:c r="L111" s="178"/>
      <x:c r="M111" s="178"/>
      <x:c r="N111" s="178"/>
      <x:c r="O111" s="178"/>
      <x:c r="P111" s="178"/>
      <x:c r="Q111" s="178"/>
      <x:c r="R111" s="178"/>
      <x:c r="S111" s="178"/>
      <x:c r="T111" s="178"/>
      <x:c r="U111" s="178"/>
      <x:c r="V111" s="178"/>
      <x:c r="W111" s="178"/>
      <x:c r="X111" s="178"/>
      <x:c r="Y111" s="178"/>
      <x:c r="Z111" s="178"/>
    </x:row>
    <x:row r="112">
      <x:c r="A112" s="178"/>
      <x:c r="B112" s="178"/>
      <x:c r="C112" s="178"/>
      <x:c r="D112" s="178"/>
      <x:c r="E112" s="178"/>
      <x:c r="F112" s="178"/>
      <x:c r="G112" s="178"/>
      <x:c r="H112" s="178"/>
      <x:c r="I112" s="178"/>
      <x:c r="J112" s="178"/>
      <x:c r="K112" s="178"/>
      <x:c r="L112" s="178"/>
      <x:c r="M112" s="178"/>
      <x:c r="N112" s="178"/>
      <x:c r="O112" s="178"/>
      <x:c r="P112" s="178"/>
      <x:c r="Q112" s="178"/>
      <x:c r="R112" s="178"/>
      <x:c r="S112" s="178"/>
      <x:c r="T112" s="178"/>
      <x:c r="U112" s="178"/>
      <x:c r="V112" s="178"/>
      <x:c r="W112" s="178"/>
      <x:c r="X112" s="178"/>
      <x:c r="Y112" s="178"/>
      <x:c r="Z112" s="178"/>
    </x:row>
    <x:row r="113">
      <x:c r="A113" s="178"/>
      <x:c r="B113" s="178"/>
      <x:c r="C113" s="178"/>
      <x:c r="D113" s="178"/>
      <x:c r="E113" s="178"/>
      <x:c r="F113" s="178"/>
      <x:c r="G113" s="178"/>
      <x:c r="H113" s="178"/>
      <x:c r="I113" s="178"/>
      <x:c r="J113" s="178"/>
      <x:c r="K113" s="178"/>
      <x:c r="L113" s="178"/>
      <x:c r="M113" s="178"/>
      <x:c r="N113" s="178"/>
      <x:c r="O113" s="178"/>
      <x:c r="P113" s="178"/>
      <x:c r="Q113" s="178"/>
      <x:c r="R113" s="178"/>
      <x:c r="S113" s="178"/>
      <x:c r="T113" s="178"/>
      <x:c r="U113" s="178"/>
      <x:c r="V113" s="178"/>
      <x:c r="W113" s="178"/>
      <x:c r="X113" s="178"/>
      <x:c r="Y113" s="178"/>
      <x:c r="Z113" s="178"/>
    </x:row>
    <x:row r="114">
      <x:c r="A114" s="178"/>
      <x:c r="B114" s="178"/>
      <x:c r="C114" s="178"/>
      <x:c r="D114" s="178"/>
      <x:c r="E114" s="178"/>
      <x:c r="F114" s="178"/>
      <x:c r="G114" s="178"/>
      <x:c r="H114" s="178"/>
      <x:c r="I114" s="178"/>
      <x:c r="J114" s="178"/>
      <x:c r="K114" s="178"/>
      <x:c r="L114" s="178"/>
      <x:c r="M114" s="178"/>
      <x:c r="N114" s="178"/>
      <x:c r="O114" s="178"/>
      <x:c r="P114" s="178"/>
      <x:c r="Q114" s="178"/>
      <x:c r="R114" s="178"/>
      <x:c r="S114" s="178"/>
      <x:c r="T114" s="178"/>
      <x:c r="U114" s="178"/>
      <x:c r="V114" s="178"/>
      <x:c r="W114" s="178"/>
      <x:c r="X114" s="178"/>
      <x:c r="Y114" s="178"/>
      <x:c r="Z114" s="178"/>
    </x:row>
    <x:row r="115">
      <x:c r="A115" s="178"/>
      <x:c r="B115" s="178"/>
      <x:c r="C115" s="178"/>
      <x:c r="D115" s="178"/>
      <x:c r="E115" s="178"/>
      <x:c r="F115" s="178"/>
      <x:c r="G115" s="178"/>
      <x:c r="H115" s="178"/>
      <x:c r="I115" s="178"/>
      <x:c r="J115" s="178"/>
      <x:c r="K115" s="178"/>
      <x:c r="L115" s="178"/>
      <x:c r="M115" s="178"/>
      <x:c r="N115" s="178"/>
      <x:c r="O115" s="178"/>
      <x:c r="P115" s="178"/>
      <x:c r="Q115" s="178"/>
      <x:c r="R115" s="178"/>
      <x:c r="S115" s="178"/>
      <x:c r="T115" s="178"/>
      <x:c r="U115" s="178"/>
      <x:c r="V115" s="178"/>
      <x:c r="W115" s="178"/>
      <x:c r="X115" s="178"/>
      <x:c r="Y115" s="178"/>
      <x:c r="Z115" s="178"/>
    </x:row>
    <x:row r="116">
      <x:c r="A116" s="178"/>
      <x:c r="B116" s="178"/>
      <x:c r="C116" s="178"/>
      <x:c r="D116" s="178"/>
      <x:c r="E116" s="178"/>
      <x:c r="F116" s="178"/>
      <x:c r="G116" s="178"/>
      <x:c r="H116" s="178"/>
      <x:c r="I116" s="178"/>
      <x:c r="J116" s="178"/>
      <x:c r="K116" s="178"/>
      <x:c r="L116" s="178"/>
      <x:c r="M116" s="178"/>
      <x:c r="N116" s="178"/>
      <x:c r="O116" s="178"/>
      <x:c r="P116" s="178"/>
      <x:c r="Q116" s="178"/>
      <x:c r="R116" s="178"/>
      <x:c r="S116" s="178"/>
      <x:c r="T116" s="178"/>
      <x:c r="U116" s="178"/>
      <x:c r="V116" s="178"/>
      <x:c r="W116" s="178"/>
      <x:c r="X116" s="178"/>
      <x:c r="Y116" s="178"/>
      <x:c r="Z116" s="178"/>
    </x:row>
    <x:row r="117">
      <x:c r="A117" s="178"/>
      <x:c r="B117" s="178"/>
      <x:c r="C117" s="178"/>
      <x:c r="D117" s="178"/>
      <x:c r="E117" s="178"/>
      <x:c r="F117" s="178"/>
      <x:c r="G117" s="178"/>
      <x:c r="H117" s="178"/>
      <x:c r="I117" s="178"/>
      <x:c r="J117" s="178"/>
      <x:c r="K117" s="178"/>
      <x:c r="L117" s="178"/>
      <x:c r="M117" s="178"/>
      <x:c r="N117" s="178"/>
      <x:c r="O117" s="178"/>
      <x:c r="P117" s="178"/>
      <x:c r="Q117" s="178"/>
      <x:c r="R117" s="178"/>
      <x:c r="S117" s="178"/>
      <x:c r="T117" s="178"/>
      <x:c r="U117" s="178"/>
      <x:c r="V117" s="178"/>
      <x:c r="W117" s="178"/>
      <x:c r="X117" s="178"/>
      <x:c r="Y117" s="178"/>
      <x:c r="Z117" s="178"/>
    </x:row>
    <x:row r="118">
      <x:c r="A118" s="178"/>
      <x:c r="B118" s="178"/>
      <x:c r="C118" s="178"/>
      <x:c r="D118" s="178"/>
      <x:c r="E118" s="178"/>
      <x:c r="F118" s="178"/>
      <x:c r="G118" s="178"/>
      <x:c r="H118" s="178"/>
      <x:c r="I118" s="178"/>
      <x:c r="J118" s="178"/>
      <x:c r="K118" s="178"/>
      <x:c r="L118" s="178"/>
      <x:c r="M118" s="178"/>
      <x:c r="N118" s="178"/>
      <x:c r="O118" s="178"/>
      <x:c r="P118" s="178"/>
      <x:c r="Q118" s="178"/>
      <x:c r="R118" s="178"/>
      <x:c r="S118" s="178"/>
      <x:c r="T118" s="178"/>
      <x:c r="U118" s="178"/>
      <x:c r="V118" s="178"/>
      <x:c r="W118" s="178"/>
      <x:c r="X118" s="178"/>
      <x:c r="Y118" s="178"/>
      <x:c r="Z118" s="178"/>
    </x:row>
    <x:row r="119">
      <x:c r="A119" s="178"/>
      <x:c r="B119" s="178"/>
      <x:c r="C119" s="178"/>
      <x:c r="D119" s="178"/>
      <x:c r="E119" s="178"/>
      <x:c r="F119" s="178"/>
      <x:c r="G119" s="178"/>
      <x:c r="H119" s="178"/>
      <x:c r="I119" s="178"/>
      <x:c r="J119" s="178"/>
      <x:c r="K119" s="178"/>
      <x:c r="L119" s="178"/>
      <x:c r="M119" s="178"/>
      <x:c r="N119" s="178"/>
      <x:c r="O119" s="178"/>
      <x:c r="P119" s="178"/>
      <x:c r="Q119" s="178"/>
      <x:c r="R119" s="178"/>
      <x:c r="S119" s="178"/>
      <x:c r="T119" s="178"/>
      <x:c r="U119" s="178"/>
      <x:c r="V119" s="178"/>
      <x:c r="W119" s="178"/>
      <x:c r="X119" s="178"/>
      <x:c r="Y119" s="178"/>
      <x:c r="Z119" s="178"/>
    </x:row>
    <x:row r="120">
      <x:c r="A120" s="178"/>
      <x:c r="B120" s="178"/>
      <x:c r="C120" s="178"/>
      <x:c r="D120" s="178"/>
      <x:c r="E120" s="178"/>
      <x:c r="F120" s="178"/>
      <x:c r="G120" s="178"/>
      <x:c r="H120" s="178"/>
      <x:c r="I120" s="178"/>
      <x:c r="J120" s="178"/>
      <x:c r="K120" s="178"/>
      <x:c r="L120" s="178"/>
      <x:c r="M120" s="178"/>
      <x:c r="N120" s="178"/>
      <x:c r="O120" s="178"/>
      <x:c r="P120" s="178"/>
      <x:c r="Q120" s="178"/>
      <x:c r="R120" s="178"/>
      <x:c r="S120" s="178"/>
      <x:c r="T120" s="178"/>
      <x:c r="U120" s="178"/>
      <x:c r="V120" s="178"/>
      <x:c r="W120" s="178"/>
      <x:c r="X120" s="178"/>
      <x:c r="Y120" s="178"/>
      <x:c r="Z120" s="178"/>
    </x:row>
    <x:row r="121">
      <x:c r="A121" s="178"/>
      <x:c r="B121" s="178"/>
      <x:c r="C121" s="178"/>
      <x:c r="D121" s="178"/>
      <x:c r="E121" s="178"/>
      <x:c r="F121" s="178"/>
      <x:c r="G121" s="178"/>
      <x:c r="H121" s="178"/>
      <x:c r="I121" s="178"/>
      <x:c r="J121" s="178"/>
      <x:c r="K121" s="178"/>
      <x:c r="L121" s="178"/>
      <x:c r="M121" s="178"/>
      <x:c r="N121" s="178"/>
      <x:c r="O121" s="178"/>
      <x:c r="P121" s="178"/>
      <x:c r="Q121" s="178"/>
      <x:c r="R121" s="178"/>
      <x:c r="S121" s="178"/>
      <x:c r="T121" s="178"/>
      <x:c r="U121" s="178"/>
      <x:c r="V121" s="178"/>
      <x:c r="W121" s="178"/>
      <x:c r="X121" s="178"/>
      <x:c r="Y121" s="178"/>
      <x:c r="Z121" s="178"/>
    </x:row>
    <x:row r="122">
      <x:c r="A122" s="178"/>
      <x:c r="B122" s="178"/>
      <x:c r="C122" s="178"/>
      <x:c r="D122" s="178"/>
      <x:c r="E122" s="178"/>
      <x:c r="F122" s="178"/>
      <x:c r="G122" s="178"/>
      <x:c r="H122" s="178"/>
      <x:c r="I122" s="178"/>
      <x:c r="J122" s="178"/>
      <x:c r="K122" s="178"/>
      <x:c r="L122" s="178"/>
      <x:c r="M122" s="178"/>
      <x:c r="N122" s="178"/>
      <x:c r="O122" s="178"/>
      <x:c r="P122" s="178"/>
      <x:c r="Q122" s="178"/>
      <x:c r="R122" s="178"/>
      <x:c r="S122" s="178"/>
      <x:c r="T122" s="178"/>
      <x:c r="U122" s="178"/>
      <x:c r="V122" s="178"/>
      <x:c r="W122" s="178"/>
      <x:c r="X122" s="178"/>
      <x:c r="Y122" s="178"/>
      <x:c r="Z122" s="178"/>
    </x:row>
    <x:row r="123">
      <x:c r="A123" s="178"/>
      <x:c r="B123" s="178"/>
      <x:c r="C123" s="178"/>
      <x:c r="D123" s="178"/>
      <x:c r="E123" s="178"/>
      <x:c r="F123" s="178"/>
      <x:c r="G123" s="178"/>
      <x:c r="H123" s="178"/>
      <x:c r="I123" s="178"/>
      <x:c r="J123" s="178"/>
      <x:c r="K123" s="178"/>
      <x:c r="L123" s="178"/>
      <x:c r="M123" s="178"/>
      <x:c r="N123" s="178"/>
      <x:c r="O123" s="178"/>
      <x:c r="P123" s="178"/>
      <x:c r="Q123" s="178"/>
      <x:c r="R123" s="178"/>
      <x:c r="S123" s="178"/>
      <x:c r="T123" s="178"/>
      <x:c r="U123" s="178"/>
      <x:c r="V123" s="178"/>
      <x:c r="W123" s="178"/>
      <x:c r="X123" s="178"/>
      <x:c r="Y123" s="178"/>
      <x:c r="Z123" s="178"/>
    </x:row>
    <x:row r="124">
      <x:c r="A124" s="178"/>
      <x:c r="B124" s="178"/>
      <x:c r="C124" s="178"/>
      <x:c r="D124" s="178"/>
      <x:c r="E124" s="178"/>
      <x:c r="F124" s="178"/>
      <x:c r="G124" s="178"/>
      <x:c r="H124" s="178"/>
      <x:c r="I124" s="178"/>
      <x:c r="J124" s="178"/>
      <x:c r="K124" s="178"/>
      <x:c r="L124" s="178"/>
      <x:c r="M124" s="178"/>
      <x:c r="N124" s="178"/>
      <x:c r="O124" s="178"/>
      <x:c r="P124" s="178"/>
      <x:c r="Q124" s="178"/>
      <x:c r="R124" s="178"/>
      <x:c r="S124" s="178"/>
      <x:c r="T124" s="178"/>
      <x:c r="U124" s="178"/>
      <x:c r="V124" s="178"/>
      <x:c r="W124" s="178"/>
      <x:c r="X124" s="178"/>
      <x:c r="Y124" s="178"/>
      <x:c r="Z124" s="178"/>
    </x:row>
    <x:row r="125">
      <x:c r="A125" s="178"/>
      <x:c r="B125" s="178"/>
      <x:c r="C125" s="178"/>
      <x:c r="D125" s="178"/>
      <x:c r="E125" s="178"/>
      <x:c r="F125" s="178"/>
      <x:c r="G125" s="178"/>
      <x:c r="H125" s="178"/>
      <x:c r="I125" s="178"/>
      <x:c r="J125" s="178"/>
      <x:c r="K125" s="178"/>
      <x:c r="L125" s="178"/>
      <x:c r="M125" s="178"/>
      <x:c r="N125" s="178"/>
      <x:c r="O125" s="178"/>
      <x:c r="P125" s="178"/>
      <x:c r="Q125" s="178"/>
      <x:c r="R125" s="178"/>
      <x:c r="S125" s="178"/>
      <x:c r="T125" s="178"/>
      <x:c r="U125" s="178"/>
      <x:c r="V125" s="178"/>
      <x:c r="W125" s="178"/>
      <x:c r="X125" s="178"/>
      <x:c r="Y125" s="178"/>
      <x:c r="Z125" s="178"/>
    </x:row>
    <x:row r="126">
      <x:c r="A126" s="178"/>
      <x:c r="B126" s="178"/>
      <x:c r="C126" s="178"/>
      <x:c r="D126" s="178"/>
      <x:c r="E126" s="178"/>
      <x:c r="F126" s="178"/>
      <x:c r="G126" s="178"/>
      <x:c r="H126" s="178"/>
      <x:c r="I126" s="178"/>
      <x:c r="J126" s="178"/>
      <x:c r="K126" s="178"/>
      <x:c r="L126" s="178"/>
      <x:c r="M126" s="178"/>
      <x:c r="N126" s="178"/>
      <x:c r="O126" s="178"/>
      <x:c r="P126" s="178"/>
      <x:c r="Q126" s="178"/>
      <x:c r="R126" s="178"/>
      <x:c r="S126" s="178"/>
      <x:c r="T126" s="178"/>
      <x:c r="U126" s="178"/>
      <x:c r="V126" s="178"/>
      <x:c r="W126" s="178"/>
      <x:c r="X126" s="178"/>
      <x:c r="Y126" s="178"/>
      <x:c r="Z126" s="178"/>
    </x:row>
    <x:row r="127">
      <x:c r="A127" s="178"/>
      <x:c r="B127" s="178"/>
      <x:c r="C127" s="178"/>
      <x:c r="D127" s="178"/>
      <x:c r="E127" s="178"/>
      <x:c r="F127" s="178"/>
      <x:c r="G127" s="178"/>
      <x:c r="H127" s="178"/>
      <x:c r="I127" s="178"/>
      <x:c r="J127" s="178"/>
      <x:c r="K127" s="178"/>
      <x:c r="L127" s="178"/>
      <x:c r="M127" s="178"/>
      <x:c r="N127" s="178"/>
      <x:c r="O127" s="178"/>
      <x:c r="P127" s="178"/>
      <x:c r="Q127" s="178"/>
      <x:c r="R127" s="178"/>
      <x:c r="S127" s="178"/>
      <x:c r="T127" s="178"/>
      <x:c r="U127" s="178"/>
      <x:c r="V127" s="178"/>
      <x:c r="W127" s="178"/>
      <x:c r="X127" s="178"/>
      <x:c r="Y127" s="178"/>
      <x:c r="Z127" s="178"/>
    </x:row>
    <x:row r="128">
      <x:c r="A128" s="178"/>
      <x:c r="B128" s="178"/>
      <x:c r="C128" s="178"/>
      <x:c r="D128" s="178"/>
      <x:c r="E128" s="178"/>
      <x:c r="F128" s="178"/>
      <x:c r="G128" s="178"/>
      <x:c r="H128" s="178"/>
      <x:c r="I128" s="178"/>
      <x:c r="J128" s="178"/>
      <x:c r="K128" s="178"/>
      <x:c r="L128" s="178"/>
      <x:c r="M128" s="178"/>
      <x:c r="N128" s="178"/>
      <x:c r="O128" s="178"/>
      <x:c r="P128" s="178"/>
      <x:c r="Q128" s="178"/>
      <x:c r="R128" s="178"/>
      <x:c r="S128" s="178"/>
      <x:c r="T128" s="178"/>
      <x:c r="U128" s="178"/>
      <x:c r="V128" s="178"/>
      <x:c r="W128" s="178"/>
      <x:c r="X128" s="178"/>
      <x:c r="Y128" s="178"/>
      <x:c r="Z128" s="178"/>
    </x:row>
    <x:row r="129">
      <x:c r="A129" s="178"/>
      <x:c r="B129" s="178"/>
      <x:c r="C129" s="178"/>
      <x:c r="D129" s="178"/>
      <x:c r="E129" s="178"/>
      <x:c r="F129" s="178"/>
      <x:c r="G129" s="178"/>
      <x:c r="H129" s="178"/>
      <x:c r="I129" s="178"/>
      <x:c r="J129" s="178"/>
      <x:c r="K129" s="178"/>
      <x:c r="L129" s="178"/>
      <x:c r="M129" s="178"/>
      <x:c r="N129" s="178"/>
      <x:c r="O129" s="178"/>
      <x:c r="P129" s="178"/>
      <x:c r="Q129" s="178"/>
      <x:c r="R129" s="178"/>
      <x:c r="S129" s="178"/>
      <x:c r="T129" s="178"/>
      <x:c r="U129" s="178"/>
      <x:c r="V129" s="178"/>
      <x:c r="W129" s="178"/>
      <x:c r="X129" s="178"/>
      <x:c r="Y129" s="178"/>
      <x:c r="Z129" s="178"/>
    </x:row>
    <x:row r="130">
      <x:c r="A130" s="178"/>
      <x:c r="B130" s="178"/>
      <x:c r="C130" s="178"/>
      <x:c r="D130" s="178"/>
      <x:c r="E130" s="178"/>
      <x:c r="F130" s="178"/>
      <x:c r="G130" s="178"/>
      <x:c r="H130" s="178"/>
      <x:c r="I130" s="178"/>
      <x:c r="J130" s="178"/>
      <x:c r="K130" s="178"/>
      <x:c r="L130" s="178"/>
      <x:c r="M130" s="178"/>
      <x:c r="N130" s="178"/>
      <x:c r="O130" s="178"/>
      <x:c r="P130" s="178"/>
      <x:c r="Q130" s="178"/>
      <x:c r="R130" s="178"/>
      <x:c r="S130" s="178"/>
      <x:c r="T130" s="178"/>
      <x:c r="U130" s="178"/>
      <x:c r="V130" s="178"/>
      <x:c r="W130" s="178"/>
      <x:c r="X130" s="178"/>
      <x:c r="Y130" s="178"/>
      <x:c r="Z130" s="178"/>
    </x:row>
    <x:row r="131">
      <x:c r="A131" s="178"/>
      <x:c r="B131" s="178"/>
      <x:c r="C131" s="178"/>
      <x:c r="D131" s="178"/>
      <x:c r="E131" s="178"/>
      <x:c r="F131" s="178"/>
      <x:c r="G131" s="178"/>
      <x:c r="H131" s="178"/>
      <x:c r="I131" s="178"/>
      <x:c r="J131" s="178"/>
      <x:c r="K131" s="178"/>
      <x:c r="L131" s="178"/>
      <x:c r="M131" s="178"/>
      <x:c r="N131" s="178"/>
      <x:c r="O131" s="178"/>
      <x:c r="P131" s="178"/>
      <x:c r="Q131" s="178"/>
      <x:c r="R131" s="178"/>
      <x:c r="S131" s="178"/>
      <x:c r="T131" s="178"/>
      <x:c r="U131" s="178"/>
      <x:c r="V131" s="178"/>
      <x:c r="W131" s="178"/>
      <x:c r="X131" s="178"/>
      <x:c r="Y131" s="178"/>
      <x:c r="Z131" s="178"/>
    </x:row>
    <x:row r="132">
      <x:c r="A132" s="178"/>
      <x:c r="B132" s="178"/>
      <x:c r="C132" s="178"/>
      <x:c r="D132" s="178"/>
      <x:c r="E132" s="178"/>
      <x:c r="F132" s="178"/>
      <x:c r="G132" s="178"/>
      <x:c r="H132" s="178"/>
      <x:c r="I132" s="178"/>
      <x:c r="J132" s="178"/>
      <x:c r="K132" s="178"/>
      <x:c r="L132" s="178"/>
      <x:c r="M132" s="178"/>
      <x:c r="N132" s="178"/>
      <x:c r="O132" s="178"/>
      <x:c r="P132" s="178"/>
      <x:c r="Q132" s="178"/>
      <x:c r="R132" s="178"/>
      <x:c r="S132" s="178"/>
      <x:c r="T132" s="178"/>
      <x:c r="U132" s="178"/>
      <x:c r="V132" s="178"/>
      <x:c r="W132" s="178"/>
      <x:c r="X132" s="178"/>
      <x:c r="Y132" s="178"/>
      <x:c r="Z132" s="178"/>
    </x:row>
    <x:row r="133">
      <x:c r="A133" s="178"/>
      <x:c r="B133" s="178"/>
      <x:c r="C133" s="178"/>
      <x:c r="D133" s="178"/>
      <x:c r="E133" s="178"/>
      <x:c r="F133" s="178"/>
      <x:c r="G133" s="178"/>
      <x:c r="H133" s="178"/>
      <x:c r="I133" s="178"/>
      <x:c r="J133" s="178"/>
      <x:c r="K133" s="178"/>
      <x:c r="L133" s="178"/>
      <x:c r="M133" s="178"/>
      <x:c r="N133" s="178"/>
      <x:c r="O133" s="178"/>
      <x:c r="P133" s="178"/>
      <x:c r="Q133" s="178"/>
      <x:c r="R133" s="178"/>
      <x:c r="S133" s="178"/>
      <x:c r="T133" s="178"/>
      <x:c r="U133" s="178"/>
      <x:c r="V133" s="178"/>
      <x:c r="W133" s="178"/>
      <x:c r="X133" s="178"/>
      <x:c r="Y133" s="178"/>
      <x:c r="Z133" s="178"/>
    </x:row>
    <x:row r="134">
      <x:c r="A134" s="178"/>
      <x:c r="B134" s="178"/>
      <x:c r="C134" s="178"/>
      <x:c r="D134" s="178"/>
      <x:c r="E134" s="178"/>
      <x:c r="F134" s="178"/>
      <x:c r="G134" s="178"/>
      <x:c r="H134" s="178"/>
      <x:c r="I134" s="178"/>
      <x:c r="J134" s="178"/>
      <x:c r="K134" s="178"/>
      <x:c r="L134" s="178"/>
      <x:c r="M134" s="178"/>
      <x:c r="N134" s="178"/>
      <x:c r="O134" s="178"/>
      <x:c r="P134" s="178"/>
      <x:c r="Q134" s="178"/>
      <x:c r="R134" s="178"/>
      <x:c r="S134" s="178"/>
      <x:c r="T134" s="178"/>
      <x:c r="U134" s="178"/>
      <x:c r="V134" s="178"/>
      <x:c r="W134" s="178"/>
      <x:c r="X134" s="178"/>
      <x:c r="Y134" s="178"/>
      <x:c r="Z134" s="178"/>
    </x:row>
    <x:row r="135">
      <x:c r="A135" s="178"/>
      <x:c r="B135" s="178"/>
      <x:c r="C135" s="178"/>
      <x:c r="D135" s="178"/>
      <x:c r="E135" s="178"/>
      <x:c r="F135" s="178"/>
      <x:c r="G135" s="178"/>
      <x:c r="H135" s="178"/>
      <x:c r="I135" s="178"/>
      <x:c r="J135" s="178"/>
      <x:c r="K135" s="178"/>
      <x:c r="L135" s="178"/>
      <x:c r="M135" s="178"/>
      <x:c r="N135" s="178"/>
      <x:c r="O135" s="178"/>
      <x:c r="P135" s="178"/>
      <x:c r="Q135" s="178"/>
      <x:c r="R135" s="178"/>
      <x:c r="S135" s="178"/>
      <x:c r="T135" s="178"/>
      <x:c r="U135" s="178"/>
      <x:c r="V135" s="178"/>
      <x:c r="W135" s="178"/>
      <x:c r="X135" s="178"/>
      <x:c r="Y135" s="178"/>
      <x:c r="Z135" s="178"/>
    </x:row>
    <x:row r="136">
      <x:c r="A136" s="178"/>
      <x:c r="B136" s="178"/>
      <x:c r="C136" s="178"/>
      <x:c r="D136" s="178"/>
      <x:c r="E136" s="178"/>
      <x:c r="F136" s="178"/>
      <x:c r="G136" s="178"/>
      <x:c r="H136" s="178"/>
      <x:c r="I136" s="178"/>
      <x:c r="J136" s="178"/>
      <x:c r="K136" s="178"/>
      <x:c r="L136" s="178"/>
      <x:c r="M136" s="178"/>
      <x:c r="N136" s="178"/>
      <x:c r="O136" s="178"/>
      <x:c r="P136" s="178"/>
      <x:c r="Q136" s="178"/>
      <x:c r="R136" s="178"/>
      <x:c r="S136" s="178"/>
      <x:c r="T136" s="178"/>
      <x:c r="U136" s="178"/>
      <x:c r="V136" s="178"/>
      <x:c r="W136" s="178"/>
      <x:c r="X136" s="178"/>
      <x:c r="Y136" s="178"/>
      <x:c r="Z136" s="178"/>
    </x:row>
    <x:row r="137">
      <x:c r="A137" s="178"/>
      <x:c r="B137" s="178"/>
      <x:c r="C137" s="178"/>
      <x:c r="D137" s="178"/>
      <x:c r="E137" s="178"/>
      <x:c r="F137" s="178"/>
      <x:c r="G137" s="178"/>
      <x:c r="H137" s="178"/>
      <x:c r="I137" s="178"/>
      <x:c r="J137" s="178"/>
      <x:c r="K137" s="178"/>
      <x:c r="L137" s="178"/>
      <x:c r="M137" s="178"/>
      <x:c r="N137" s="178"/>
      <x:c r="O137" s="178"/>
      <x:c r="P137" s="178"/>
      <x:c r="Q137" s="178"/>
      <x:c r="R137" s="178"/>
      <x:c r="S137" s="178"/>
      <x:c r="T137" s="178"/>
      <x:c r="U137" s="178"/>
      <x:c r="V137" s="178"/>
      <x:c r="W137" s="178"/>
      <x:c r="X137" s="178"/>
      <x:c r="Y137" s="178"/>
      <x:c r="Z137" s="178"/>
    </x:row>
    <x:row r="138">
      <x:c r="A138" s="178"/>
      <x:c r="B138" s="178"/>
      <x:c r="C138" s="178"/>
      <x:c r="D138" s="178"/>
      <x:c r="E138" s="178"/>
      <x:c r="F138" s="178"/>
      <x:c r="G138" s="178"/>
      <x:c r="H138" s="178"/>
      <x:c r="I138" s="178"/>
      <x:c r="J138" s="178"/>
      <x:c r="K138" s="178"/>
      <x:c r="L138" s="178"/>
      <x:c r="M138" s="178"/>
      <x:c r="N138" s="178"/>
      <x:c r="O138" s="178"/>
      <x:c r="P138" s="178"/>
      <x:c r="Q138" s="178"/>
      <x:c r="R138" s="178"/>
      <x:c r="S138" s="178"/>
      <x:c r="T138" s="178"/>
      <x:c r="U138" s="178"/>
      <x:c r="V138" s="178"/>
      <x:c r="W138" s="178"/>
      <x:c r="X138" s="178"/>
      <x:c r="Y138" s="178"/>
      <x:c r="Z138" s="178"/>
    </x:row>
    <x:row r="139">
      <x:c r="A139" s="178"/>
      <x:c r="B139" s="178"/>
      <x:c r="C139" s="178"/>
      <x:c r="D139" s="178"/>
      <x:c r="E139" s="178"/>
      <x:c r="F139" s="178"/>
      <x:c r="G139" s="178"/>
      <x:c r="H139" s="178"/>
      <x:c r="I139" s="178"/>
      <x:c r="J139" s="178"/>
      <x:c r="K139" s="178"/>
      <x:c r="L139" s="178"/>
      <x:c r="M139" s="178"/>
      <x:c r="N139" s="178"/>
      <x:c r="O139" s="178"/>
      <x:c r="P139" s="178"/>
      <x:c r="Q139" s="178"/>
      <x:c r="R139" s="178"/>
      <x:c r="S139" s="178"/>
      <x:c r="T139" s="178"/>
      <x:c r="U139" s="178"/>
      <x:c r="V139" s="178"/>
      <x:c r="W139" s="178"/>
      <x:c r="X139" s="178"/>
      <x:c r="Y139" s="178"/>
      <x:c r="Z139" s="178"/>
    </x:row>
    <x:row r="140">
      <x:c r="A140" s="178"/>
      <x:c r="B140" s="178"/>
      <x:c r="C140" s="178"/>
      <x:c r="D140" s="178"/>
      <x:c r="E140" s="178"/>
      <x:c r="F140" s="178"/>
      <x:c r="G140" s="178"/>
      <x:c r="H140" s="178"/>
      <x:c r="I140" s="178"/>
      <x:c r="J140" s="178"/>
      <x:c r="K140" s="178"/>
      <x:c r="L140" s="178"/>
      <x:c r="M140" s="178"/>
      <x:c r="N140" s="178"/>
      <x:c r="O140" s="178"/>
      <x:c r="P140" s="178"/>
      <x:c r="Q140" s="178"/>
      <x:c r="R140" s="178"/>
      <x:c r="S140" s="178"/>
      <x:c r="T140" s="178"/>
      <x:c r="U140" s="178"/>
      <x:c r="V140" s="178"/>
      <x:c r="W140" s="178"/>
      <x:c r="X140" s="178"/>
      <x:c r="Y140" s="178"/>
      <x:c r="Z140" s="178"/>
    </x:row>
    <x:row r="141">
      <x:c r="A141" s="178"/>
      <x:c r="B141" s="178"/>
      <x:c r="C141" s="178"/>
      <x:c r="D141" s="178"/>
      <x:c r="E141" s="178"/>
      <x:c r="F141" s="178"/>
      <x:c r="G141" s="178"/>
      <x:c r="H141" s="178"/>
      <x:c r="I141" s="178"/>
      <x:c r="J141" s="178"/>
      <x:c r="K141" s="178"/>
      <x:c r="L141" s="178"/>
      <x:c r="M141" s="178"/>
      <x:c r="N141" s="178"/>
      <x:c r="O141" s="178"/>
      <x:c r="P141" s="178"/>
      <x:c r="Q141" s="178"/>
      <x:c r="R141" s="178"/>
      <x:c r="S141" s="178"/>
      <x:c r="T141" s="178"/>
      <x:c r="U141" s="178"/>
      <x:c r="V141" s="178"/>
      <x:c r="W141" s="178"/>
      <x:c r="X141" s="178"/>
      <x:c r="Y141" s="178"/>
      <x:c r="Z141" s="178"/>
    </x:row>
    <x:row r="142">
      <x:c r="A142" s="178"/>
      <x:c r="B142" s="178"/>
      <x:c r="C142" s="178"/>
      <x:c r="D142" s="178"/>
      <x:c r="E142" s="178"/>
      <x:c r="F142" s="178"/>
      <x:c r="G142" s="178"/>
      <x:c r="H142" s="178"/>
      <x:c r="I142" s="178"/>
      <x:c r="J142" s="178"/>
      <x:c r="K142" s="178"/>
      <x:c r="L142" s="178"/>
      <x:c r="M142" s="178"/>
      <x:c r="N142" s="178"/>
      <x:c r="O142" s="178"/>
      <x:c r="P142" s="178"/>
      <x:c r="Q142" s="178"/>
      <x:c r="R142" s="178"/>
      <x:c r="S142" s="178"/>
      <x:c r="T142" s="178"/>
      <x:c r="U142" s="178"/>
      <x:c r="V142" s="178"/>
      <x:c r="W142" s="178"/>
      <x:c r="X142" s="178"/>
      <x:c r="Y142" s="178"/>
      <x:c r="Z142" s="178"/>
    </x:row>
    <x:row r="143">
      <x:c r="A143" s="178"/>
      <x:c r="B143" s="178"/>
      <x:c r="C143" s="178"/>
      <x:c r="D143" s="178"/>
      <x:c r="E143" s="178"/>
      <x:c r="F143" s="178"/>
      <x:c r="G143" s="178"/>
      <x:c r="H143" s="178"/>
      <x:c r="I143" s="178"/>
      <x:c r="J143" s="178"/>
      <x:c r="K143" s="178"/>
      <x:c r="L143" s="178"/>
      <x:c r="M143" s="178"/>
      <x:c r="N143" s="178"/>
      <x:c r="O143" s="178"/>
      <x:c r="P143" s="178"/>
      <x:c r="Q143" s="178"/>
      <x:c r="R143" s="178"/>
      <x:c r="S143" s="178"/>
      <x:c r="T143" s="178"/>
      <x:c r="U143" s="178"/>
      <x:c r="V143" s="178"/>
      <x:c r="W143" s="178"/>
      <x:c r="X143" s="178"/>
      <x:c r="Y143" s="178"/>
      <x:c r="Z143" s="178"/>
    </x:row>
    <x:row r="144">
      <x:c r="A144" s="178"/>
      <x:c r="B144" s="178"/>
      <x:c r="C144" s="178"/>
      <x:c r="D144" s="178"/>
      <x:c r="E144" s="178"/>
      <x:c r="F144" s="178"/>
      <x:c r="G144" s="178"/>
      <x:c r="H144" s="178"/>
      <x:c r="I144" s="178"/>
      <x:c r="J144" s="178"/>
      <x:c r="K144" s="178"/>
      <x:c r="L144" s="178"/>
      <x:c r="M144" s="178"/>
      <x:c r="N144" s="178"/>
      <x:c r="O144" s="178"/>
      <x:c r="P144" s="178"/>
      <x:c r="Q144" s="178"/>
      <x:c r="R144" s="178"/>
      <x:c r="S144" s="178"/>
      <x:c r="T144" s="178"/>
      <x:c r="U144" s="178"/>
      <x:c r="V144" s="178"/>
      <x:c r="W144" s="178"/>
      <x:c r="X144" s="178"/>
      <x:c r="Y144" s="178"/>
      <x:c r="Z144" s="178"/>
    </x:row>
    <x:row r="145">
      <x:c r="A145" s="178"/>
      <x:c r="B145" s="178"/>
      <x:c r="C145" s="178"/>
      <x:c r="D145" s="178"/>
      <x:c r="E145" s="178"/>
      <x:c r="F145" s="178"/>
      <x:c r="G145" s="178"/>
      <x:c r="H145" s="178"/>
      <x:c r="I145" s="178"/>
      <x:c r="J145" s="178"/>
      <x:c r="K145" s="178"/>
      <x:c r="L145" s="178"/>
      <x:c r="M145" s="178"/>
      <x:c r="N145" s="178"/>
      <x:c r="O145" s="178"/>
      <x:c r="P145" s="178"/>
      <x:c r="Q145" s="178"/>
      <x:c r="R145" s="178"/>
      <x:c r="S145" s="178"/>
      <x:c r="T145" s="178"/>
      <x:c r="U145" s="178"/>
      <x:c r="V145" s="178"/>
      <x:c r="W145" s="178"/>
      <x:c r="X145" s="178"/>
      <x:c r="Y145" s="178"/>
      <x:c r="Z145" s="178"/>
    </x:row>
    <x:row r="146">
      <x:c r="A146" s="178"/>
      <x:c r="B146" s="178"/>
      <x:c r="C146" s="178"/>
      <x:c r="D146" s="178"/>
      <x:c r="E146" s="178"/>
      <x:c r="F146" s="178"/>
      <x:c r="G146" s="178"/>
      <x:c r="H146" s="178"/>
      <x:c r="I146" s="178"/>
      <x:c r="J146" s="178"/>
      <x:c r="K146" s="178"/>
      <x:c r="L146" s="178"/>
      <x:c r="M146" s="178"/>
      <x:c r="N146" s="178"/>
      <x:c r="O146" s="178"/>
      <x:c r="P146" s="178"/>
      <x:c r="Q146" s="178"/>
      <x:c r="R146" s="178"/>
      <x:c r="S146" s="178"/>
      <x:c r="T146" s="178"/>
      <x:c r="U146" s="178"/>
      <x:c r="V146" s="178"/>
      <x:c r="W146" s="178"/>
      <x:c r="X146" s="178"/>
      <x:c r="Y146" s="178"/>
      <x:c r="Z146" s="178"/>
    </x:row>
    <x:row r="147">
      <x:c r="A147" s="178"/>
      <x:c r="B147" s="178"/>
      <x:c r="C147" s="178"/>
      <x:c r="D147" s="178"/>
      <x:c r="E147" s="178"/>
      <x:c r="F147" s="178"/>
      <x:c r="G147" s="178"/>
      <x:c r="H147" s="178"/>
      <x:c r="I147" s="178"/>
      <x:c r="J147" s="178"/>
      <x:c r="K147" s="178"/>
      <x:c r="L147" s="178"/>
      <x:c r="M147" s="178"/>
      <x:c r="N147" s="178"/>
      <x:c r="O147" s="178"/>
      <x:c r="P147" s="178"/>
      <x:c r="Q147" s="178"/>
      <x:c r="R147" s="178"/>
      <x:c r="S147" s="178"/>
      <x:c r="T147" s="178"/>
      <x:c r="U147" s="178"/>
      <x:c r="V147" s="178"/>
      <x:c r="W147" s="178"/>
      <x:c r="X147" s="178"/>
      <x:c r="Y147" s="178"/>
      <x:c r="Z147" s="178"/>
    </x:row>
    <x:row r="148">
      <x:c r="A148" s="178"/>
      <x:c r="B148" s="178"/>
      <x:c r="C148" s="178"/>
      <x:c r="D148" s="178"/>
      <x:c r="E148" s="178"/>
      <x:c r="F148" s="178"/>
      <x:c r="G148" s="178"/>
      <x:c r="H148" s="178"/>
      <x:c r="I148" s="178"/>
      <x:c r="J148" s="178"/>
      <x:c r="K148" s="178"/>
      <x:c r="L148" s="178"/>
      <x:c r="M148" s="178"/>
      <x:c r="N148" s="178"/>
      <x:c r="O148" s="178"/>
      <x:c r="P148" s="178"/>
      <x:c r="Q148" s="178"/>
      <x:c r="R148" s="178"/>
      <x:c r="S148" s="178"/>
      <x:c r="T148" s="178"/>
      <x:c r="U148" s="178"/>
      <x:c r="V148" s="178"/>
      <x:c r="W148" s="178"/>
      <x:c r="X148" s="178"/>
      <x:c r="Y148" s="178"/>
      <x:c r="Z148" s="178"/>
    </x:row>
    <x:row r="149">
      <x:c r="A149" s="178"/>
      <x:c r="B149" s="178"/>
      <x:c r="C149" s="178"/>
      <x:c r="D149" s="178"/>
      <x:c r="E149" s="178"/>
      <x:c r="F149" s="178"/>
      <x:c r="G149" s="178"/>
      <x:c r="H149" s="178"/>
      <x:c r="I149" s="178"/>
      <x:c r="J149" s="178"/>
      <x:c r="K149" s="178"/>
      <x:c r="L149" s="178"/>
      <x:c r="M149" s="178"/>
      <x:c r="N149" s="178"/>
      <x:c r="O149" s="178"/>
      <x:c r="P149" s="178"/>
      <x:c r="Q149" s="178"/>
      <x:c r="R149" s="178"/>
      <x:c r="S149" s="178"/>
      <x:c r="T149" s="178"/>
      <x:c r="U149" s="178"/>
      <x:c r="V149" s="178"/>
      <x:c r="W149" s="178"/>
      <x:c r="X149" s="178"/>
      <x:c r="Y149" s="178"/>
      <x:c r="Z149" s="178"/>
    </x:row>
    <x:row r="150">
      <x:c r="A150" s="178"/>
      <x:c r="B150" s="178"/>
      <x:c r="C150" s="178"/>
      <x:c r="D150" s="178"/>
      <x:c r="E150" s="178"/>
      <x:c r="F150" s="178"/>
      <x:c r="G150" s="178"/>
      <x:c r="H150" s="178"/>
      <x:c r="I150" s="178"/>
      <x:c r="J150" s="178"/>
      <x:c r="K150" s="178"/>
      <x:c r="L150" s="178"/>
      <x:c r="M150" s="178"/>
      <x:c r="N150" s="178"/>
      <x:c r="O150" s="178"/>
      <x:c r="P150" s="178"/>
      <x:c r="Q150" s="178"/>
      <x:c r="R150" s="178"/>
      <x:c r="S150" s="178"/>
      <x:c r="T150" s="178"/>
      <x:c r="U150" s="178"/>
      <x:c r="V150" s="178"/>
      <x:c r="W150" s="178"/>
      <x:c r="X150" s="178"/>
      <x:c r="Y150" s="178"/>
      <x:c r="Z150" s="178"/>
    </x:row>
    <x:row r="151">
      <x:c r="A151" s="178"/>
      <x:c r="B151" s="178"/>
      <x:c r="C151" s="178"/>
      <x:c r="D151" s="178"/>
      <x:c r="E151" s="178"/>
      <x:c r="F151" s="178"/>
      <x:c r="G151" s="178"/>
      <x:c r="H151" s="178"/>
      <x:c r="I151" s="178"/>
      <x:c r="J151" s="178"/>
      <x:c r="K151" s="178"/>
      <x:c r="L151" s="178"/>
      <x:c r="M151" s="178"/>
      <x:c r="N151" s="178"/>
      <x:c r="O151" s="178"/>
      <x:c r="P151" s="178"/>
      <x:c r="Q151" s="178"/>
      <x:c r="R151" s="178"/>
      <x:c r="S151" s="178"/>
      <x:c r="T151" s="178"/>
      <x:c r="U151" s="178"/>
      <x:c r="V151" s="178"/>
      <x:c r="W151" s="178"/>
      <x:c r="X151" s="178"/>
      <x:c r="Y151" s="178"/>
      <x:c r="Z151" s="178"/>
    </x:row>
    <x:row r="152">
      <x:c r="A152" s="178"/>
      <x:c r="B152" s="178"/>
      <x:c r="C152" s="178"/>
      <x:c r="D152" s="178"/>
      <x:c r="E152" s="178"/>
      <x:c r="F152" s="178"/>
      <x:c r="G152" s="178"/>
      <x:c r="H152" s="178"/>
      <x:c r="I152" s="178"/>
      <x:c r="J152" s="178"/>
      <x:c r="K152" s="178"/>
      <x:c r="L152" s="178"/>
      <x:c r="M152" s="178"/>
      <x:c r="N152" s="178"/>
      <x:c r="O152" s="178"/>
      <x:c r="P152" s="178"/>
      <x:c r="Q152" s="178"/>
      <x:c r="R152" s="178"/>
      <x:c r="S152" s="178"/>
      <x:c r="T152" s="178"/>
      <x:c r="U152" s="178"/>
      <x:c r="V152" s="178"/>
      <x:c r="W152" s="178"/>
      <x:c r="X152" s="178"/>
      <x:c r="Y152" s="178"/>
      <x:c r="Z152" s="178"/>
    </x:row>
    <x:row r="153">
      <x:c r="A153" s="178"/>
      <x:c r="B153" s="178"/>
      <x:c r="C153" s="178"/>
      <x:c r="D153" s="178"/>
      <x:c r="E153" s="178"/>
      <x:c r="F153" s="178"/>
      <x:c r="G153" s="178"/>
      <x:c r="H153" s="178"/>
      <x:c r="I153" s="178"/>
      <x:c r="J153" s="178"/>
      <x:c r="K153" s="178"/>
      <x:c r="L153" s="178"/>
      <x:c r="M153" s="178"/>
      <x:c r="N153" s="178"/>
      <x:c r="O153" s="178"/>
      <x:c r="P153" s="178"/>
      <x:c r="Q153" s="178"/>
      <x:c r="R153" s="178"/>
      <x:c r="S153" s="178"/>
      <x:c r="T153" s="178"/>
      <x:c r="U153" s="178"/>
      <x:c r="V153" s="178"/>
      <x:c r="W153" s="178"/>
      <x:c r="X153" s="178"/>
      <x:c r="Y153" s="178"/>
      <x:c r="Z153" s="178"/>
    </x:row>
    <x:row r="154">
      <x:c r="A154" s="178"/>
      <x:c r="B154" s="178"/>
      <x:c r="C154" s="178"/>
      <x:c r="D154" s="178"/>
      <x:c r="E154" s="178"/>
      <x:c r="F154" s="178"/>
      <x:c r="G154" s="178"/>
      <x:c r="H154" s="178"/>
      <x:c r="I154" s="178"/>
      <x:c r="J154" s="178"/>
      <x:c r="K154" s="178"/>
      <x:c r="L154" s="178"/>
      <x:c r="M154" s="178"/>
      <x:c r="N154" s="178"/>
      <x:c r="O154" s="178"/>
      <x:c r="P154" s="178"/>
      <x:c r="Q154" s="178"/>
      <x:c r="R154" s="178"/>
      <x:c r="S154" s="178"/>
      <x:c r="T154" s="178"/>
      <x:c r="U154" s="178"/>
      <x:c r="V154" s="178"/>
      <x:c r="W154" s="178"/>
      <x:c r="X154" s="178"/>
      <x:c r="Y154" s="178"/>
      <x:c r="Z154" s="178"/>
    </x:row>
    <x:row r="155">
      <x:c r="A155" s="178"/>
      <x:c r="B155" s="178"/>
      <x:c r="C155" s="178"/>
      <x:c r="D155" s="178"/>
      <x:c r="E155" s="178"/>
      <x:c r="F155" s="178"/>
      <x:c r="G155" s="178"/>
      <x:c r="H155" s="178"/>
      <x:c r="I155" s="178"/>
      <x:c r="J155" s="178"/>
      <x:c r="K155" s="178"/>
      <x:c r="L155" s="178"/>
      <x:c r="M155" s="178"/>
      <x:c r="N155" s="178"/>
      <x:c r="O155" s="178"/>
      <x:c r="P155" s="178"/>
      <x:c r="Q155" s="178"/>
      <x:c r="R155" s="178"/>
      <x:c r="S155" s="178"/>
      <x:c r="T155" s="178"/>
      <x:c r="U155" s="178"/>
      <x:c r="V155" s="178"/>
      <x:c r="W155" s="178"/>
      <x:c r="X155" s="178"/>
      <x:c r="Y155" s="178"/>
      <x:c r="Z155" s="178"/>
    </x:row>
    <x:row r="156">
      <x:c r="A156" s="178"/>
      <x:c r="B156" s="178"/>
      <x:c r="C156" s="178"/>
      <x:c r="D156" s="178"/>
      <x:c r="E156" s="178"/>
      <x:c r="F156" s="178"/>
      <x:c r="G156" s="178"/>
      <x:c r="H156" s="178"/>
      <x:c r="I156" s="178"/>
      <x:c r="J156" s="178"/>
      <x:c r="K156" s="178"/>
      <x:c r="L156" s="178"/>
      <x:c r="M156" s="178"/>
      <x:c r="N156" s="178"/>
      <x:c r="O156" s="178"/>
      <x:c r="P156" s="178"/>
      <x:c r="Q156" s="178"/>
      <x:c r="R156" s="178"/>
      <x:c r="S156" s="178"/>
      <x:c r="T156" s="178"/>
      <x:c r="U156" s="178"/>
      <x:c r="V156" s="178"/>
      <x:c r="W156" s="178"/>
      <x:c r="X156" s="178"/>
      <x:c r="Y156" s="178"/>
      <x:c r="Z156" s="178"/>
    </x:row>
    <x:row r="157">
      <x:c r="A157" s="178"/>
      <x:c r="B157" s="178"/>
      <x:c r="C157" s="178"/>
      <x:c r="D157" s="178"/>
      <x:c r="E157" s="178"/>
      <x:c r="F157" s="178"/>
      <x:c r="G157" s="178"/>
      <x:c r="H157" s="178"/>
      <x:c r="I157" s="178"/>
      <x:c r="J157" s="178"/>
      <x:c r="K157" s="178"/>
      <x:c r="L157" s="178"/>
      <x:c r="M157" s="178"/>
      <x:c r="N157" s="178"/>
      <x:c r="O157" s="178"/>
      <x:c r="P157" s="178"/>
      <x:c r="Q157" s="178"/>
      <x:c r="R157" s="178"/>
      <x:c r="S157" s="178"/>
      <x:c r="T157" s="178"/>
      <x:c r="U157" s="178"/>
      <x:c r="V157" s="178"/>
      <x:c r="W157" s="178"/>
      <x:c r="X157" s="178"/>
      <x:c r="Y157" s="178"/>
      <x:c r="Z157" s="178"/>
    </x:row>
    <x:row r="158">
      <x:c r="A158" s="178"/>
      <x:c r="B158" s="178"/>
      <x:c r="C158" s="178"/>
      <x:c r="D158" s="178"/>
      <x:c r="E158" s="178"/>
      <x:c r="F158" s="178"/>
      <x:c r="G158" s="178"/>
      <x:c r="H158" s="178"/>
      <x:c r="I158" s="178"/>
      <x:c r="J158" s="178"/>
      <x:c r="K158" s="178"/>
      <x:c r="L158" s="178"/>
      <x:c r="M158" s="178"/>
      <x:c r="N158" s="178"/>
      <x:c r="O158" s="178"/>
      <x:c r="P158" s="178"/>
      <x:c r="Q158" s="178"/>
      <x:c r="R158" s="178"/>
      <x:c r="S158" s="178"/>
      <x:c r="T158" s="178"/>
      <x:c r="U158" s="178"/>
      <x:c r="V158" s="178"/>
      <x:c r="W158" s="178"/>
      <x:c r="X158" s="178"/>
      <x:c r="Y158" s="178"/>
      <x:c r="Z158" s="178"/>
    </x:row>
    <x:row r="159">
      <x:c r="A159" s="178"/>
      <x:c r="B159" s="178"/>
      <x:c r="C159" s="178"/>
      <x:c r="D159" s="178"/>
      <x:c r="E159" s="178"/>
      <x:c r="F159" s="178"/>
      <x:c r="G159" s="178"/>
      <x:c r="H159" s="178"/>
      <x:c r="I159" s="178"/>
      <x:c r="J159" s="178"/>
      <x:c r="K159" s="178"/>
      <x:c r="L159" s="178"/>
      <x:c r="M159" s="178"/>
      <x:c r="N159" s="178"/>
      <x:c r="O159" s="178"/>
      <x:c r="P159" s="178"/>
      <x:c r="Q159" s="178"/>
      <x:c r="R159" s="178"/>
      <x:c r="S159" s="178"/>
      <x:c r="T159" s="178"/>
      <x:c r="U159" s="178"/>
      <x:c r="V159" s="178"/>
      <x:c r="W159" s="178"/>
      <x:c r="X159" s="178"/>
      <x:c r="Y159" s="178"/>
      <x:c r="Z159" s="178"/>
    </x:row>
    <x:row r="160">
      <x:c r="A160" s="178"/>
      <x:c r="B160" s="178"/>
      <x:c r="C160" s="178"/>
      <x:c r="D160" s="178"/>
      <x:c r="E160" s="178"/>
      <x:c r="F160" s="178"/>
      <x:c r="G160" s="178"/>
      <x:c r="H160" s="178"/>
      <x:c r="I160" s="178"/>
      <x:c r="J160" s="178"/>
      <x:c r="K160" s="178"/>
      <x:c r="L160" s="178"/>
      <x:c r="M160" s="178"/>
      <x:c r="N160" s="178"/>
      <x:c r="O160" s="178"/>
      <x:c r="P160" s="178"/>
      <x:c r="Q160" s="178"/>
      <x:c r="R160" s="178"/>
      <x:c r="S160" s="178"/>
      <x:c r="T160" s="178"/>
      <x:c r="U160" s="178"/>
      <x:c r="V160" s="178"/>
      <x:c r="W160" s="178"/>
      <x:c r="X160" s="178"/>
      <x:c r="Y160" s="178"/>
      <x:c r="Z160" s="178"/>
    </x:row>
    <x:row r="161">
      <x:c r="A161" s="178"/>
      <x:c r="B161" s="178"/>
      <x:c r="C161" s="178"/>
      <x:c r="D161" s="178"/>
      <x:c r="E161" s="178"/>
      <x:c r="F161" s="178"/>
      <x:c r="G161" s="178"/>
      <x:c r="H161" s="178"/>
      <x:c r="I161" s="178"/>
      <x:c r="J161" s="178"/>
      <x:c r="K161" s="178"/>
      <x:c r="L161" s="178"/>
      <x:c r="M161" s="178"/>
      <x:c r="N161" s="178"/>
      <x:c r="O161" s="178"/>
      <x:c r="P161" s="178"/>
      <x:c r="Q161" s="178"/>
      <x:c r="R161" s="178"/>
      <x:c r="S161" s="178"/>
      <x:c r="T161" s="178"/>
      <x:c r="U161" s="178"/>
      <x:c r="V161" s="178"/>
      <x:c r="W161" s="178"/>
      <x:c r="X161" s="178"/>
      <x:c r="Y161" s="178"/>
      <x:c r="Z161" s="178"/>
    </x:row>
    <x:row r="162">
      <x:c r="A162" s="178"/>
      <x:c r="B162" s="178"/>
      <x:c r="C162" s="178"/>
      <x:c r="D162" s="178"/>
      <x:c r="E162" s="178"/>
      <x:c r="F162" s="178"/>
      <x:c r="G162" s="178"/>
      <x:c r="H162" s="178"/>
      <x:c r="I162" s="178"/>
      <x:c r="J162" s="178"/>
      <x:c r="K162" s="178"/>
      <x:c r="L162" s="178"/>
      <x:c r="M162" s="178"/>
      <x:c r="N162" s="178"/>
      <x:c r="O162" s="178"/>
      <x:c r="P162" s="178"/>
      <x:c r="Q162" s="178"/>
      <x:c r="R162" s="178"/>
      <x:c r="S162" s="178"/>
      <x:c r="T162" s="178"/>
      <x:c r="U162" s="178"/>
      <x:c r="V162" s="178"/>
      <x:c r="W162" s="178"/>
      <x:c r="X162" s="178"/>
      <x:c r="Y162" s="178"/>
      <x:c r="Z162" s="178"/>
    </x:row>
    <x:row r="163">
      <x:c r="A163" s="178"/>
      <x:c r="B163" s="178"/>
      <x:c r="C163" s="178"/>
      <x:c r="D163" s="178"/>
      <x:c r="E163" s="178"/>
      <x:c r="F163" s="178"/>
      <x:c r="G163" s="178"/>
      <x:c r="H163" s="178"/>
      <x:c r="I163" s="178"/>
      <x:c r="J163" s="178"/>
      <x:c r="K163" s="178"/>
      <x:c r="L163" s="178"/>
      <x:c r="M163" s="178"/>
      <x:c r="N163" s="178"/>
      <x:c r="O163" s="178"/>
      <x:c r="P163" s="178"/>
      <x:c r="Q163" s="178"/>
      <x:c r="R163" s="178"/>
      <x:c r="S163" s="178"/>
      <x:c r="T163" s="178"/>
      <x:c r="U163" s="178"/>
      <x:c r="V163" s="178"/>
      <x:c r="W163" s="178"/>
      <x:c r="X163" s="178"/>
      <x:c r="Y163" s="178"/>
      <x:c r="Z163" s="178"/>
    </x:row>
    <x:row r="164">
      <x:c r="A164" s="178"/>
      <x:c r="B164" s="178"/>
      <x:c r="C164" s="178"/>
      <x:c r="D164" s="178"/>
      <x:c r="E164" s="178"/>
      <x:c r="F164" s="178"/>
      <x:c r="G164" s="178"/>
      <x:c r="H164" s="178"/>
      <x:c r="I164" s="178"/>
      <x:c r="J164" s="178"/>
      <x:c r="K164" s="178"/>
      <x:c r="L164" s="178"/>
      <x:c r="M164" s="178"/>
      <x:c r="N164" s="178"/>
      <x:c r="O164" s="178"/>
      <x:c r="P164" s="178"/>
      <x:c r="Q164" s="178"/>
      <x:c r="R164" s="178"/>
      <x:c r="S164" s="178"/>
      <x:c r="T164" s="178"/>
      <x:c r="U164" s="178"/>
      <x:c r="V164" s="178"/>
      <x:c r="W164" s="178"/>
      <x:c r="X164" s="178"/>
      <x:c r="Y164" s="178"/>
      <x:c r="Z164" s="178"/>
    </x:row>
    <x:row r="165">
      <x:c r="A165" s="178"/>
      <x:c r="B165" s="178"/>
      <x:c r="C165" s="178"/>
      <x:c r="D165" s="178"/>
      <x:c r="E165" s="178"/>
      <x:c r="F165" s="178"/>
      <x:c r="G165" s="178"/>
      <x:c r="H165" s="178"/>
      <x:c r="I165" s="178"/>
      <x:c r="J165" s="178"/>
      <x:c r="K165" s="178"/>
      <x:c r="L165" s="178"/>
      <x:c r="M165" s="178"/>
      <x:c r="N165" s="178"/>
      <x:c r="O165" s="178"/>
      <x:c r="P165" s="178"/>
      <x:c r="Q165" s="178"/>
      <x:c r="R165" s="178"/>
      <x:c r="S165" s="178"/>
      <x:c r="T165" s="178"/>
      <x:c r="U165" s="178"/>
      <x:c r="V165" s="178"/>
      <x:c r="W165" s="178"/>
      <x:c r="X165" s="178"/>
      <x:c r="Y165" s="178"/>
      <x:c r="Z165" s="178"/>
    </x:row>
    <x:row r="166">
      <x:c r="A166" s="178"/>
      <x:c r="B166" s="178"/>
      <x:c r="C166" s="178"/>
      <x:c r="D166" s="178"/>
      <x:c r="E166" s="178"/>
      <x:c r="F166" s="178"/>
      <x:c r="G166" s="178"/>
      <x:c r="H166" s="178"/>
      <x:c r="I166" s="178"/>
      <x:c r="J166" s="178"/>
      <x:c r="K166" s="178"/>
      <x:c r="L166" s="178"/>
      <x:c r="M166" s="178"/>
      <x:c r="N166" s="178"/>
      <x:c r="O166" s="178"/>
      <x:c r="P166" s="178"/>
      <x:c r="Q166" s="178"/>
      <x:c r="R166" s="178"/>
      <x:c r="S166" s="178"/>
      <x:c r="T166" s="178"/>
      <x:c r="U166" s="178"/>
      <x:c r="V166" s="178"/>
      <x:c r="W166" s="178"/>
      <x:c r="X166" s="178"/>
      <x:c r="Y166" s="178"/>
      <x:c r="Z166" s="178"/>
    </x:row>
    <x:row r="167">
      <x:c r="A167" s="178"/>
      <x:c r="B167" s="178"/>
      <x:c r="C167" s="178"/>
      <x:c r="D167" s="178"/>
      <x:c r="E167" s="178"/>
      <x:c r="F167" s="178"/>
      <x:c r="G167" s="178"/>
      <x:c r="H167" s="178"/>
      <x:c r="I167" s="178"/>
      <x:c r="J167" s="178"/>
      <x:c r="K167" s="178"/>
      <x:c r="L167" s="178"/>
      <x:c r="M167" s="178"/>
      <x:c r="N167" s="178"/>
      <x:c r="O167" s="178"/>
      <x:c r="P167" s="178"/>
      <x:c r="Q167" s="178"/>
      <x:c r="R167" s="178"/>
      <x:c r="S167" s="178"/>
      <x:c r="T167" s="178"/>
      <x:c r="U167" s="178"/>
      <x:c r="V167" s="178"/>
      <x:c r="W167" s="178"/>
      <x:c r="X167" s="178"/>
      <x:c r="Y167" s="178"/>
      <x:c r="Z167" s="178"/>
    </x:row>
    <x:row r="168">
      <x:c r="A168" s="178"/>
      <x:c r="B168" s="178"/>
      <x:c r="C168" s="178"/>
      <x:c r="D168" s="178"/>
      <x:c r="E168" s="178"/>
      <x:c r="F168" s="178"/>
      <x:c r="G168" s="178"/>
      <x:c r="H168" s="178"/>
      <x:c r="I168" s="178"/>
      <x:c r="J168" s="178"/>
      <x:c r="K168" s="178"/>
      <x:c r="L168" s="178"/>
      <x:c r="M168" s="178"/>
      <x:c r="N168" s="178"/>
      <x:c r="O168" s="178"/>
      <x:c r="P168" s="178"/>
      <x:c r="Q168" s="178"/>
      <x:c r="R168" s="178"/>
      <x:c r="S168" s="178"/>
      <x:c r="T168" s="178"/>
      <x:c r="U168" s="178"/>
      <x:c r="V168" s="178"/>
      <x:c r="W168" s="178"/>
      <x:c r="X168" s="178"/>
      <x:c r="Y168" s="178"/>
      <x:c r="Z168" s="178"/>
    </x:row>
    <x:row r="169">
      <x:c r="A169" s="178"/>
      <x:c r="B169" s="178"/>
      <x:c r="C169" s="178"/>
      <x:c r="D169" s="178"/>
      <x:c r="E169" s="178"/>
      <x:c r="F169" s="178"/>
      <x:c r="G169" s="178"/>
      <x:c r="H169" s="178"/>
      <x:c r="I169" s="178"/>
      <x:c r="J169" s="178"/>
      <x:c r="K169" s="178"/>
      <x:c r="L169" s="178"/>
      <x:c r="M169" s="178"/>
      <x:c r="N169" s="178"/>
      <x:c r="O169" s="178"/>
      <x:c r="P169" s="178"/>
      <x:c r="Q169" s="178"/>
      <x:c r="R169" s="178"/>
      <x:c r="S169" s="178"/>
      <x:c r="T169" s="178"/>
      <x:c r="U169" s="178"/>
      <x:c r="V169" s="178"/>
      <x:c r="W169" s="178"/>
      <x:c r="X169" s="178"/>
      <x:c r="Y169" s="178"/>
      <x:c r="Z169" s="178"/>
    </x:row>
    <x:row r="170">
      <x:c r="A170" s="178"/>
      <x:c r="B170" s="178"/>
      <x:c r="C170" s="178"/>
      <x:c r="D170" s="178"/>
      <x:c r="E170" s="178"/>
      <x:c r="F170" s="178"/>
      <x:c r="G170" s="178"/>
      <x:c r="H170" s="178"/>
      <x:c r="I170" s="178"/>
      <x:c r="J170" s="178"/>
      <x:c r="K170" s="178"/>
      <x:c r="L170" s="178"/>
      <x:c r="M170" s="178"/>
      <x:c r="N170" s="178"/>
      <x:c r="O170" s="178"/>
      <x:c r="P170" s="178"/>
      <x:c r="Q170" s="178"/>
      <x:c r="R170" s="178"/>
      <x:c r="S170" s="178"/>
      <x:c r="T170" s="178"/>
      <x:c r="U170" s="178"/>
      <x:c r="V170" s="178"/>
      <x:c r="W170" s="178"/>
      <x:c r="X170" s="178"/>
      <x:c r="Y170" s="178"/>
      <x:c r="Z170" s="178"/>
    </x:row>
    <x:row r="171">
      <x:c r="A171" s="178"/>
      <x:c r="B171" s="178"/>
      <x:c r="C171" s="178"/>
      <x:c r="D171" s="178"/>
      <x:c r="E171" s="178"/>
      <x:c r="F171" s="178"/>
      <x:c r="G171" s="178"/>
      <x:c r="H171" s="178"/>
      <x:c r="I171" s="178"/>
      <x:c r="J171" s="178"/>
      <x:c r="K171" s="178"/>
      <x:c r="L171" s="178"/>
      <x:c r="M171" s="178"/>
      <x:c r="N171" s="178"/>
      <x:c r="O171" s="178"/>
      <x:c r="P171" s="178"/>
      <x:c r="Q171" s="178"/>
      <x:c r="R171" s="178"/>
      <x:c r="S171" s="178"/>
      <x:c r="T171" s="178"/>
      <x:c r="U171" s="178"/>
      <x:c r="V171" s="178"/>
      <x:c r="W171" s="178"/>
      <x:c r="X171" s="178"/>
      <x:c r="Y171" s="178"/>
      <x:c r="Z171" s="178"/>
    </x:row>
    <x:row r="172">
      <x:c r="A172" s="178"/>
      <x:c r="B172" s="178"/>
      <x:c r="C172" s="178"/>
      <x:c r="D172" s="178"/>
      <x:c r="E172" s="178"/>
      <x:c r="F172" s="178"/>
      <x:c r="G172" s="178"/>
      <x:c r="H172" s="178"/>
      <x:c r="I172" s="178"/>
      <x:c r="J172" s="178"/>
      <x:c r="K172" s="178"/>
      <x:c r="L172" s="178"/>
      <x:c r="M172" s="178"/>
      <x:c r="N172" s="178"/>
      <x:c r="O172" s="178"/>
      <x:c r="P172" s="178"/>
      <x:c r="Q172" s="178"/>
      <x:c r="R172" s="178"/>
      <x:c r="S172" s="178"/>
      <x:c r="T172" s="178"/>
      <x:c r="U172" s="178"/>
      <x:c r="V172" s="178"/>
      <x:c r="W172" s="178"/>
      <x:c r="X172" s="178"/>
      <x:c r="Y172" s="178"/>
      <x:c r="Z172" s="178"/>
    </x:row>
    <x:row r="173">
      <x:c r="A173" s="178"/>
      <x:c r="B173" s="178"/>
      <x:c r="C173" s="178"/>
      <x:c r="D173" s="178"/>
      <x:c r="E173" s="178"/>
      <x:c r="F173" s="178"/>
      <x:c r="G173" s="178"/>
      <x:c r="H173" s="178"/>
      <x:c r="I173" s="178"/>
      <x:c r="J173" s="178"/>
      <x:c r="K173" s="178"/>
      <x:c r="L173" s="178"/>
      <x:c r="M173" s="178"/>
      <x:c r="N173" s="178"/>
      <x:c r="O173" s="178"/>
      <x:c r="P173" s="178"/>
      <x:c r="Q173" s="178"/>
      <x:c r="R173" s="178"/>
      <x:c r="S173" s="178"/>
      <x:c r="T173" s="178"/>
      <x:c r="U173" s="178"/>
      <x:c r="V173" s="178"/>
      <x:c r="W173" s="178"/>
      <x:c r="X173" s="178"/>
      <x:c r="Y173" s="178"/>
      <x:c r="Z173" s="178"/>
    </x:row>
    <x:row r="174">
      <x:c r="A174" s="178"/>
      <x:c r="B174" s="178"/>
      <x:c r="C174" s="178"/>
      <x:c r="D174" s="178"/>
      <x:c r="E174" s="178"/>
      <x:c r="F174" s="178"/>
      <x:c r="G174" s="178"/>
      <x:c r="H174" s="178"/>
      <x:c r="I174" s="178"/>
      <x:c r="J174" s="178"/>
      <x:c r="K174" s="178"/>
      <x:c r="L174" s="178"/>
      <x:c r="M174" s="178"/>
      <x:c r="N174" s="178"/>
      <x:c r="O174" s="178"/>
      <x:c r="P174" s="178"/>
      <x:c r="Q174" s="178"/>
      <x:c r="R174" s="178"/>
      <x:c r="S174" s="178"/>
      <x:c r="T174" s="178"/>
      <x:c r="U174" s="178"/>
      <x:c r="V174" s="178"/>
      <x:c r="W174" s="178"/>
      <x:c r="X174" s="178"/>
      <x:c r="Y174" s="178"/>
      <x:c r="Z174" s="178"/>
    </x:row>
    <x:row r="175">
      <x:c r="A175" s="178"/>
      <x:c r="B175" s="178"/>
      <x:c r="C175" s="178"/>
      <x:c r="D175" s="178"/>
      <x:c r="E175" s="178"/>
      <x:c r="F175" s="178"/>
      <x:c r="G175" s="178"/>
      <x:c r="H175" s="178"/>
      <x:c r="I175" s="178"/>
      <x:c r="J175" s="178"/>
      <x:c r="K175" s="178"/>
      <x:c r="L175" s="178"/>
      <x:c r="M175" s="178"/>
      <x:c r="N175" s="178"/>
      <x:c r="O175" s="178"/>
      <x:c r="P175" s="178"/>
      <x:c r="Q175" s="178"/>
      <x:c r="R175" s="178"/>
      <x:c r="S175" s="178"/>
      <x:c r="T175" s="178"/>
      <x:c r="U175" s="178"/>
      <x:c r="V175" s="178"/>
      <x:c r="W175" s="178"/>
      <x:c r="X175" s="178"/>
      <x:c r="Y175" s="178"/>
      <x:c r="Z175" s="178"/>
    </x:row>
    <x:row r="176">
      <x:c r="A176" s="178"/>
      <x:c r="B176" s="178"/>
      <x:c r="C176" s="178"/>
      <x:c r="D176" s="178"/>
      <x:c r="E176" s="178"/>
      <x:c r="F176" s="178"/>
      <x:c r="G176" s="178"/>
      <x:c r="H176" s="178"/>
      <x:c r="I176" s="178"/>
      <x:c r="J176" s="178"/>
      <x:c r="K176" s="178"/>
      <x:c r="L176" s="178"/>
      <x:c r="M176" s="178"/>
      <x:c r="N176" s="178"/>
      <x:c r="O176" s="178"/>
      <x:c r="P176" s="178"/>
      <x:c r="Q176" s="178"/>
      <x:c r="R176" s="178"/>
      <x:c r="S176" s="178"/>
      <x:c r="T176" s="178"/>
      <x:c r="U176" s="178"/>
      <x:c r="V176" s="178"/>
      <x:c r="W176" s="178"/>
      <x:c r="X176" s="178"/>
      <x:c r="Y176" s="178"/>
      <x:c r="Z176" s="178"/>
    </x:row>
    <x:row r="177">
      <x:c r="A177" s="178"/>
      <x:c r="B177" s="178"/>
      <x:c r="C177" s="178"/>
      <x:c r="D177" s="178"/>
      <x:c r="E177" s="178"/>
      <x:c r="F177" s="178"/>
      <x:c r="G177" s="178"/>
      <x:c r="H177" s="178"/>
      <x:c r="I177" s="178"/>
      <x:c r="J177" s="178"/>
      <x:c r="K177" s="178"/>
      <x:c r="L177" s="178"/>
      <x:c r="M177" s="178"/>
      <x:c r="N177" s="178"/>
      <x:c r="O177" s="178"/>
      <x:c r="P177" s="178"/>
      <x:c r="Q177" s="178"/>
      <x:c r="R177" s="178"/>
      <x:c r="S177" s="178"/>
      <x:c r="T177" s="178"/>
      <x:c r="U177" s="178"/>
      <x:c r="V177" s="178"/>
      <x:c r="W177" s="178"/>
      <x:c r="X177" s="178"/>
      <x:c r="Y177" s="178"/>
      <x:c r="Z177" s="178"/>
    </x:row>
    <x:row r="178">
      <x:c r="A178" s="178"/>
      <x:c r="B178" s="178"/>
      <x:c r="C178" s="178"/>
      <x:c r="D178" s="178"/>
      <x:c r="E178" s="178"/>
      <x:c r="F178" s="178"/>
      <x:c r="G178" s="178"/>
      <x:c r="H178" s="178"/>
      <x:c r="I178" s="178"/>
      <x:c r="J178" s="178"/>
      <x:c r="K178" s="178"/>
      <x:c r="L178" s="178"/>
      <x:c r="M178" s="178"/>
      <x:c r="N178" s="178"/>
      <x:c r="O178" s="178"/>
      <x:c r="P178" s="178"/>
      <x:c r="Q178" s="178"/>
      <x:c r="R178" s="178"/>
      <x:c r="S178" s="178"/>
      <x:c r="T178" s="178"/>
      <x:c r="U178" s="178"/>
      <x:c r="V178" s="178"/>
      <x:c r="W178" s="178"/>
      <x:c r="X178" s="178"/>
      <x:c r="Y178" s="178"/>
      <x:c r="Z178" s="178"/>
    </x:row>
    <x:row r="179">
      <x:c r="A179" s="178"/>
      <x:c r="B179" s="178"/>
      <x:c r="C179" s="178"/>
      <x:c r="D179" s="178"/>
      <x:c r="E179" s="178"/>
      <x:c r="F179" s="178"/>
      <x:c r="G179" s="178"/>
      <x:c r="H179" s="178"/>
      <x:c r="I179" s="178"/>
      <x:c r="J179" s="178"/>
      <x:c r="K179" s="178"/>
      <x:c r="L179" s="178"/>
      <x:c r="M179" s="178"/>
      <x:c r="N179" s="178"/>
      <x:c r="O179" s="178"/>
      <x:c r="P179" s="178"/>
      <x:c r="Q179" s="178"/>
      <x:c r="R179" s="178"/>
      <x:c r="S179" s="178"/>
      <x:c r="T179" s="178"/>
      <x:c r="U179" s="178"/>
      <x:c r="V179" s="178"/>
      <x:c r="W179" s="178"/>
      <x:c r="X179" s="178"/>
      <x:c r="Y179" s="178"/>
      <x:c r="Z179" s="178"/>
    </x:row>
    <x:row r="180">
      <x:c r="A180" s="178"/>
      <x:c r="B180" s="178"/>
      <x:c r="C180" s="178"/>
      <x:c r="D180" s="178"/>
      <x:c r="E180" s="178"/>
      <x:c r="F180" s="178"/>
      <x:c r="G180" s="178"/>
      <x:c r="H180" s="178"/>
      <x:c r="I180" s="178"/>
      <x:c r="J180" s="178"/>
      <x:c r="K180" s="178"/>
      <x:c r="L180" s="178"/>
      <x:c r="M180" s="178"/>
      <x:c r="N180" s="178"/>
      <x:c r="O180" s="178"/>
      <x:c r="P180" s="178"/>
      <x:c r="Q180" s="178"/>
      <x:c r="R180" s="178"/>
      <x:c r="S180" s="178"/>
      <x:c r="T180" s="178"/>
      <x:c r="U180" s="178"/>
      <x:c r="V180" s="178"/>
      <x:c r="W180" s="178"/>
      <x:c r="X180" s="178"/>
      <x:c r="Y180" s="178"/>
      <x:c r="Z180" s="178"/>
    </x:row>
    <x:row r="181">
      <x:c r="A181" s="178"/>
      <x:c r="B181" s="178"/>
      <x:c r="C181" s="178"/>
      <x:c r="D181" s="178"/>
      <x:c r="E181" s="178"/>
      <x:c r="F181" s="178"/>
      <x:c r="G181" s="178"/>
      <x:c r="H181" s="178"/>
      <x:c r="I181" s="178"/>
      <x:c r="J181" s="178"/>
      <x:c r="K181" s="178"/>
      <x:c r="L181" s="178"/>
      <x:c r="M181" s="178"/>
      <x:c r="N181" s="178"/>
      <x:c r="O181" s="178"/>
      <x:c r="P181" s="178"/>
      <x:c r="Q181" s="178"/>
      <x:c r="R181" s="178"/>
      <x:c r="S181" s="178"/>
      <x:c r="T181" s="178"/>
      <x:c r="U181" s="178"/>
      <x:c r="V181" s="178"/>
      <x:c r="W181" s="178"/>
      <x:c r="X181" s="178"/>
      <x:c r="Y181" s="178"/>
      <x:c r="Z181" s="178"/>
    </x:row>
    <x:row r="182">
      <x:c r="A182" s="178"/>
      <x:c r="B182" s="178"/>
      <x:c r="C182" s="178"/>
      <x:c r="D182" s="178"/>
      <x:c r="E182" s="178"/>
      <x:c r="F182" s="178"/>
      <x:c r="G182" s="178"/>
      <x:c r="H182" s="178"/>
      <x:c r="I182" s="178"/>
      <x:c r="J182" s="178"/>
      <x:c r="K182" s="178"/>
      <x:c r="L182" s="178"/>
      <x:c r="M182" s="178"/>
      <x:c r="N182" s="178"/>
      <x:c r="O182" s="178"/>
      <x:c r="P182" s="178"/>
      <x:c r="Q182" s="178"/>
      <x:c r="R182" s="178"/>
      <x:c r="S182" s="178"/>
      <x:c r="T182" s="178"/>
      <x:c r="U182" s="178"/>
      <x:c r="V182" s="178"/>
      <x:c r="W182" s="178"/>
      <x:c r="X182" s="178"/>
      <x:c r="Y182" s="178"/>
      <x:c r="Z182" s="178"/>
    </x:row>
    <x:row r="183">
      <x:c r="A183" s="178"/>
      <x:c r="B183" s="178"/>
      <x:c r="C183" s="178"/>
      <x:c r="D183" s="178"/>
      <x:c r="E183" s="178"/>
      <x:c r="F183" s="178"/>
      <x:c r="G183" s="178"/>
      <x:c r="H183" s="178"/>
      <x:c r="I183" s="178"/>
      <x:c r="J183" s="178"/>
      <x:c r="K183" s="178"/>
      <x:c r="L183" s="178"/>
      <x:c r="M183" s="178"/>
      <x:c r="N183" s="178"/>
      <x:c r="O183" s="178"/>
      <x:c r="P183" s="178"/>
      <x:c r="Q183" s="178"/>
      <x:c r="R183" s="178"/>
      <x:c r="S183" s="178"/>
      <x:c r="T183" s="178"/>
      <x:c r="U183" s="178"/>
      <x:c r="V183" s="178"/>
      <x:c r="W183" s="178"/>
      <x:c r="X183" s="178"/>
      <x:c r="Y183" s="178"/>
      <x:c r="Z183" s="178"/>
    </x:row>
    <x:row r="184">
      <x:c r="A184" s="178"/>
      <x:c r="B184" s="178"/>
      <x:c r="C184" s="178"/>
      <x:c r="D184" s="178"/>
      <x:c r="E184" s="178"/>
      <x:c r="F184" s="178"/>
      <x:c r="G184" s="178"/>
      <x:c r="H184" s="178"/>
      <x:c r="I184" s="178"/>
      <x:c r="J184" s="178"/>
      <x:c r="K184" s="178"/>
      <x:c r="L184" s="178"/>
      <x:c r="M184" s="178"/>
      <x:c r="N184" s="178"/>
      <x:c r="O184" s="178"/>
      <x:c r="P184" s="178"/>
      <x:c r="Q184" s="178"/>
      <x:c r="R184" s="178"/>
      <x:c r="S184" s="178"/>
      <x:c r="T184" s="178"/>
      <x:c r="U184" s="178"/>
      <x:c r="V184" s="178"/>
      <x:c r="W184" s="178"/>
      <x:c r="X184" s="178"/>
      <x:c r="Y184" s="178"/>
      <x:c r="Z184" s="178"/>
    </x:row>
    <x:row r="185">
      <x:c r="A185" s="178"/>
      <x:c r="B185" s="178"/>
      <x:c r="C185" s="178"/>
      <x:c r="D185" s="178"/>
      <x:c r="E185" s="178"/>
      <x:c r="F185" s="178"/>
      <x:c r="G185" s="178"/>
      <x:c r="H185" s="178"/>
      <x:c r="I185" s="178"/>
      <x:c r="J185" s="178"/>
      <x:c r="K185" s="178"/>
      <x:c r="L185" s="178"/>
      <x:c r="M185" s="178"/>
      <x:c r="N185" s="178"/>
      <x:c r="O185" s="178"/>
      <x:c r="P185" s="178"/>
      <x:c r="Q185" s="178"/>
      <x:c r="R185" s="178"/>
      <x:c r="S185" s="178"/>
      <x:c r="T185" s="178"/>
      <x:c r="U185" s="178"/>
      <x:c r="V185" s="178"/>
      <x:c r="W185" s="178"/>
      <x:c r="X185" s="178"/>
      <x:c r="Y185" s="178"/>
      <x:c r="Z185" s="178"/>
    </x:row>
    <x:row r="186">
      <x:c r="A186" s="178"/>
      <x:c r="B186" s="178"/>
      <x:c r="C186" s="178"/>
      <x:c r="D186" s="178"/>
      <x:c r="E186" s="178"/>
      <x:c r="F186" s="178"/>
      <x:c r="G186" s="178"/>
      <x:c r="H186" s="178"/>
      <x:c r="I186" s="178"/>
      <x:c r="J186" s="178"/>
      <x:c r="K186" s="178"/>
      <x:c r="L186" s="178"/>
      <x:c r="M186" s="178"/>
      <x:c r="N186" s="178"/>
      <x:c r="O186" s="178"/>
      <x:c r="P186" s="178"/>
      <x:c r="Q186" s="178"/>
      <x:c r="R186" s="178"/>
      <x:c r="S186" s="178"/>
      <x:c r="T186" s="178"/>
      <x:c r="U186" s="178"/>
      <x:c r="V186" s="178"/>
      <x:c r="W186" s="178"/>
      <x:c r="X186" s="178"/>
      <x:c r="Y186" s="178"/>
      <x:c r="Z186" s="178"/>
    </x:row>
    <x:row r="187">
      <x:c r="A187" s="178"/>
      <x:c r="B187" s="178"/>
      <x:c r="C187" s="178"/>
      <x:c r="D187" s="178"/>
      <x:c r="E187" s="178"/>
      <x:c r="F187" s="178"/>
      <x:c r="G187" s="178"/>
      <x:c r="H187" s="178"/>
      <x:c r="I187" s="178"/>
      <x:c r="J187" s="178"/>
      <x:c r="K187" s="178"/>
      <x:c r="L187" s="178"/>
      <x:c r="M187" s="178"/>
      <x:c r="N187" s="178"/>
      <x:c r="O187" s="178"/>
      <x:c r="P187" s="178"/>
      <x:c r="Q187" s="178"/>
      <x:c r="R187" s="178"/>
      <x:c r="S187" s="178"/>
      <x:c r="T187" s="178"/>
      <x:c r="U187" s="178"/>
      <x:c r="V187" s="178"/>
      <x:c r="W187" s="178"/>
      <x:c r="X187" s="178"/>
      <x:c r="Y187" s="178"/>
      <x:c r="Z187" s="178"/>
    </x:row>
    <x:row r="188">
      <x:c r="A188" s="178"/>
      <x:c r="B188" s="178"/>
      <x:c r="C188" s="178"/>
      <x:c r="D188" s="178"/>
      <x:c r="E188" s="178"/>
      <x:c r="F188" s="178"/>
      <x:c r="G188" s="178"/>
      <x:c r="H188" s="178"/>
      <x:c r="I188" s="178"/>
      <x:c r="J188" s="178"/>
      <x:c r="K188" s="178"/>
      <x:c r="L188" s="178"/>
      <x:c r="M188" s="178"/>
      <x:c r="N188" s="178"/>
      <x:c r="O188" s="178"/>
      <x:c r="P188" s="178"/>
      <x:c r="Q188" s="178"/>
      <x:c r="R188" s="178"/>
      <x:c r="S188" s="178"/>
      <x:c r="T188" s="178"/>
      <x:c r="U188" s="178"/>
      <x:c r="V188" s="178"/>
      <x:c r="W188" s="178"/>
      <x:c r="X188" s="178"/>
      <x:c r="Y188" s="178"/>
      <x:c r="Z188" s="178"/>
    </x:row>
    <x:row r="189">
      <x:c r="A189" s="178"/>
      <x:c r="B189" s="178"/>
      <x:c r="C189" s="178"/>
      <x:c r="D189" s="178"/>
      <x:c r="E189" s="178"/>
      <x:c r="F189" s="178"/>
      <x:c r="G189" s="178"/>
      <x:c r="H189" s="178"/>
      <x:c r="I189" s="178"/>
      <x:c r="J189" s="178"/>
      <x:c r="K189" s="178"/>
      <x:c r="L189" s="178"/>
      <x:c r="M189" s="178"/>
      <x:c r="N189" s="178"/>
      <x:c r="O189" s="178"/>
      <x:c r="P189" s="178"/>
      <x:c r="Q189" s="178"/>
      <x:c r="R189" s="178"/>
      <x:c r="S189" s="178"/>
      <x:c r="T189" s="178"/>
      <x:c r="U189" s="178"/>
      <x:c r="V189" s="178"/>
      <x:c r="W189" s="178"/>
      <x:c r="X189" s="178"/>
      <x:c r="Y189" s="178"/>
      <x:c r="Z189" s="178"/>
    </x:row>
    <x:row r="190">
      <x:c r="A190" s="178"/>
      <x:c r="B190" s="178"/>
      <x:c r="C190" s="178"/>
      <x:c r="D190" s="178"/>
      <x:c r="E190" s="178"/>
      <x:c r="F190" s="178"/>
      <x:c r="G190" s="178"/>
      <x:c r="H190" s="178"/>
      <x:c r="I190" s="178"/>
      <x:c r="J190" s="178"/>
      <x:c r="K190" s="178"/>
      <x:c r="L190" s="178"/>
      <x:c r="M190" s="178"/>
      <x:c r="N190" s="178"/>
      <x:c r="O190" s="178"/>
      <x:c r="P190" s="178"/>
      <x:c r="Q190" s="178"/>
      <x:c r="R190" s="178"/>
      <x:c r="S190" s="178"/>
      <x:c r="T190" s="178"/>
      <x:c r="U190" s="178"/>
      <x:c r="V190" s="178"/>
      <x:c r="W190" s="178"/>
      <x:c r="X190" s="178"/>
      <x:c r="Y190" s="178"/>
      <x:c r="Z190" s="178"/>
    </x:row>
    <x:row r="191">
      <x:c r="A191" s="178"/>
      <x:c r="B191" s="178"/>
      <x:c r="C191" s="178"/>
      <x:c r="D191" s="178"/>
      <x:c r="E191" s="178"/>
      <x:c r="F191" s="178"/>
      <x:c r="G191" s="178"/>
      <x:c r="H191" s="178"/>
      <x:c r="I191" s="178"/>
      <x:c r="J191" s="178"/>
      <x:c r="K191" s="178"/>
      <x:c r="L191" s="178"/>
      <x:c r="M191" s="178"/>
      <x:c r="N191" s="178"/>
      <x:c r="O191" s="178"/>
      <x:c r="P191" s="178"/>
      <x:c r="Q191" s="178"/>
      <x:c r="R191" s="178"/>
      <x:c r="S191" s="178"/>
      <x:c r="T191" s="178"/>
      <x:c r="U191" s="178"/>
      <x:c r="V191" s="178"/>
      <x:c r="W191" s="178"/>
      <x:c r="X191" s="178"/>
      <x:c r="Y191" s="178"/>
      <x:c r="Z191" s="178"/>
    </x:row>
    <x:row r="192">
      <x:c r="A192" s="178"/>
      <x:c r="B192" s="178"/>
      <x:c r="C192" s="178"/>
      <x:c r="D192" s="178"/>
      <x:c r="E192" s="178"/>
      <x:c r="F192" s="178"/>
      <x:c r="G192" s="178"/>
      <x:c r="H192" s="178"/>
      <x:c r="I192" s="178"/>
      <x:c r="J192" s="178"/>
      <x:c r="K192" s="178"/>
      <x:c r="L192" s="178"/>
      <x:c r="M192" s="178"/>
      <x:c r="N192" s="178"/>
      <x:c r="O192" s="178"/>
      <x:c r="P192" s="178"/>
      <x:c r="Q192" s="178"/>
      <x:c r="R192" s="178"/>
      <x:c r="S192" s="178"/>
      <x:c r="T192" s="178"/>
      <x:c r="U192" s="178"/>
      <x:c r="V192" s="178"/>
      <x:c r="W192" s="178"/>
      <x:c r="X192" s="178"/>
      <x:c r="Y192" s="178"/>
      <x:c r="Z192" s="178"/>
    </x:row>
    <x:row r="193">
      <x:c r="A193" s="178"/>
      <x:c r="B193" s="178"/>
      <x:c r="C193" s="178"/>
      <x:c r="D193" s="178"/>
      <x:c r="E193" s="178"/>
      <x:c r="F193" s="178"/>
      <x:c r="G193" s="178"/>
      <x:c r="H193" s="178"/>
      <x:c r="I193" s="178"/>
      <x:c r="J193" s="178"/>
      <x:c r="K193" s="178"/>
      <x:c r="L193" s="178"/>
      <x:c r="M193" s="178"/>
      <x:c r="N193" s="178"/>
      <x:c r="O193" s="178"/>
      <x:c r="P193" s="178"/>
      <x:c r="Q193" s="178"/>
      <x:c r="R193" s="178"/>
      <x:c r="S193" s="178"/>
      <x:c r="T193" s="178"/>
      <x:c r="U193" s="178"/>
      <x:c r="V193" s="178"/>
      <x:c r="W193" s="178"/>
      <x:c r="X193" s="178"/>
      <x:c r="Y193" s="178"/>
      <x:c r="Z193" s="178"/>
    </x:row>
    <x:row r="194">
      <x:c r="A194" s="178"/>
      <x:c r="B194" s="178"/>
      <x:c r="C194" s="178"/>
      <x:c r="D194" s="178"/>
      <x:c r="E194" s="178"/>
      <x:c r="F194" s="178"/>
      <x:c r="G194" s="178"/>
      <x:c r="H194" s="178"/>
      <x:c r="I194" s="178"/>
      <x:c r="J194" s="178"/>
      <x:c r="K194" s="178"/>
      <x:c r="L194" s="178"/>
      <x:c r="M194" s="178"/>
      <x:c r="N194" s="178"/>
      <x:c r="O194" s="178"/>
      <x:c r="P194" s="178"/>
      <x:c r="Q194" s="178"/>
      <x:c r="R194" s="178"/>
      <x:c r="S194" s="178"/>
      <x:c r="T194" s="178"/>
      <x:c r="U194" s="178"/>
      <x:c r="V194" s="178"/>
      <x:c r="W194" s="178"/>
      <x:c r="X194" s="178"/>
      <x:c r="Y194" s="178"/>
      <x:c r="Z194" s="178"/>
    </x:row>
    <x:row r="195">
      <x:c r="A195" s="178"/>
      <x:c r="B195" s="178"/>
      <x:c r="C195" s="178"/>
      <x:c r="D195" s="178"/>
      <x:c r="E195" s="178"/>
      <x:c r="F195" s="178"/>
      <x:c r="G195" s="178"/>
      <x:c r="H195" s="178"/>
      <x:c r="I195" s="178"/>
      <x:c r="J195" s="178"/>
      <x:c r="K195" s="178"/>
      <x:c r="L195" s="178"/>
      <x:c r="M195" s="178"/>
      <x:c r="N195" s="178"/>
      <x:c r="O195" s="178"/>
      <x:c r="P195" s="178"/>
      <x:c r="Q195" s="178"/>
      <x:c r="R195" s="178"/>
      <x:c r="S195" s="178"/>
      <x:c r="T195" s="178"/>
      <x:c r="U195" s="178"/>
      <x:c r="V195" s="178"/>
      <x:c r="W195" s="178"/>
      <x:c r="X195" s="178"/>
      <x:c r="Y195" s="178"/>
      <x:c r="Z195" s="178"/>
    </x:row>
    <x:row r="196">
      <x:c r="A196" s="178"/>
      <x:c r="B196" s="178"/>
      <x:c r="C196" s="178"/>
      <x:c r="D196" s="178"/>
      <x:c r="E196" s="178"/>
      <x:c r="F196" s="178"/>
      <x:c r="G196" s="178"/>
      <x:c r="H196" s="178"/>
      <x:c r="I196" s="178"/>
      <x:c r="J196" s="178"/>
      <x:c r="K196" s="178"/>
      <x:c r="L196" s="178"/>
      <x:c r="M196" s="178"/>
      <x:c r="N196" s="178"/>
      <x:c r="O196" s="178"/>
      <x:c r="P196" s="178"/>
      <x:c r="Q196" s="178"/>
      <x:c r="R196" s="178"/>
      <x:c r="S196" s="178"/>
      <x:c r="T196" s="178"/>
      <x:c r="U196" s="178"/>
      <x:c r="V196" s="178"/>
      <x:c r="W196" s="178"/>
      <x:c r="X196" s="178"/>
      <x:c r="Y196" s="178"/>
      <x:c r="Z196" s="178"/>
    </x:row>
    <x:row r="197">
      <x:c r="A197" s="178"/>
      <x:c r="B197" s="178"/>
      <x:c r="C197" s="178"/>
      <x:c r="D197" s="178"/>
      <x:c r="E197" s="178"/>
      <x:c r="F197" s="178"/>
      <x:c r="G197" s="178"/>
      <x:c r="H197" s="178"/>
      <x:c r="I197" s="178"/>
      <x:c r="J197" s="178"/>
      <x:c r="K197" s="178"/>
      <x:c r="L197" s="178"/>
      <x:c r="M197" s="178"/>
      <x:c r="N197" s="178"/>
      <x:c r="O197" s="178"/>
      <x:c r="P197" s="178"/>
      <x:c r="Q197" s="178"/>
      <x:c r="R197" s="178"/>
      <x:c r="S197" s="178"/>
      <x:c r="T197" s="178"/>
      <x:c r="U197" s="178"/>
      <x:c r="V197" s="178"/>
      <x:c r="W197" s="178"/>
      <x:c r="X197" s="178"/>
      <x:c r="Y197" s="178"/>
      <x:c r="Z197" s="178"/>
    </x:row>
    <x:row r="198">
      <x:c r="A198" s="178"/>
      <x:c r="B198" s="178"/>
      <x:c r="C198" s="178"/>
      <x:c r="D198" s="178"/>
      <x:c r="E198" s="178"/>
      <x:c r="F198" s="178"/>
      <x:c r="G198" s="178"/>
      <x:c r="H198" s="178"/>
      <x:c r="I198" s="178"/>
      <x:c r="J198" s="178"/>
      <x:c r="K198" s="178"/>
      <x:c r="L198" s="178"/>
      <x:c r="M198" s="178"/>
      <x:c r="N198" s="178"/>
      <x:c r="O198" s="178"/>
      <x:c r="P198" s="178"/>
      <x:c r="Q198" s="178"/>
      <x:c r="R198" s="178"/>
      <x:c r="S198" s="178"/>
      <x:c r="T198" s="178"/>
      <x:c r="U198" s="178"/>
      <x:c r="V198" s="178"/>
      <x:c r="W198" s="178"/>
      <x:c r="X198" s="178"/>
      <x:c r="Y198" s="178"/>
      <x:c r="Z198" s="178"/>
    </x:row>
    <x:row r="199">
      <x:c r="A199" s="178"/>
      <x:c r="B199" s="178"/>
      <x:c r="C199" s="178"/>
      <x:c r="D199" s="178"/>
      <x:c r="E199" s="178"/>
      <x:c r="F199" s="178"/>
      <x:c r="G199" s="178"/>
      <x:c r="H199" s="178"/>
      <x:c r="I199" s="178"/>
      <x:c r="J199" s="178"/>
      <x:c r="K199" s="178"/>
      <x:c r="L199" s="178"/>
      <x:c r="M199" s="178"/>
      <x:c r="N199" s="178"/>
      <x:c r="O199" s="178"/>
      <x:c r="P199" s="178"/>
      <x:c r="Q199" s="178"/>
      <x:c r="R199" s="178"/>
      <x:c r="S199" s="178"/>
      <x:c r="T199" s="178"/>
      <x:c r="U199" s="178"/>
      <x:c r="V199" s="178"/>
      <x:c r="W199" s="178"/>
      <x:c r="X199" s="178"/>
      <x:c r="Y199" s="178"/>
      <x:c r="Z199" s="178"/>
    </x:row>
    <x:row r="200">
      <x:c r="A200" s="178"/>
      <x:c r="B200" s="178"/>
      <x:c r="C200" s="178"/>
      <x:c r="D200" s="178"/>
      <x:c r="E200" s="178"/>
      <x:c r="F200" s="178"/>
      <x:c r="G200" s="178"/>
      <x:c r="H200" s="178"/>
      <x:c r="I200" s="178"/>
      <x:c r="J200" s="178"/>
      <x:c r="K200" s="178"/>
      <x:c r="L200" s="178"/>
      <x:c r="M200" s="178"/>
      <x:c r="N200" s="178"/>
      <x:c r="O200" s="178"/>
      <x:c r="P200" s="178"/>
      <x:c r="Q200" s="178"/>
      <x:c r="R200" s="178"/>
      <x:c r="S200" s="178"/>
      <x:c r="T200" s="178"/>
      <x:c r="U200" s="178"/>
      <x:c r="V200" s="178"/>
      <x:c r="W200" s="178"/>
      <x:c r="X200" s="178"/>
      <x:c r="Y200" s="178"/>
      <x:c r="Z200" s="178"/>
    </x:row>
    <x:row r="201">
      <x:c r="A201" s="178"/>
      <x:c r="B201" s="178"/>
      <x:c r="C201" s="178"/>
      <x:c r="D201" s="178"/>
      <x:c r="E201" s="178"/>
      <x:c r="F201" s="178"/>
      <x:c r="G201" s="178"/>
      <x:c r="H201" s="178"/>
      <x:c r="I201" s="178"/>
      <x:c r="J201" s="178"/>
      <x:c r="K201" s="178"/>
      <x:c r="L201" s="178"/>
      <x:c r="M201" s="178"/>
      <x:c r="N201" s="178"/>
      <x:c r="O201" s="178"/>
      <x:c r="P201" s="178"/>
      <x:c r="Q201" s="178"/>
      <x:c r="R201" s="178"/>
      <x:c r="S201" s="178"/>
      <x:c r="T201" s="178"/>
      <x:c r="U201" s="178"/>
      <x:c r="V201" s="178"/>
      <x:c r="W201" s="178"/>
      <x:c r="X201" s="178"/>
      <x:c r="Y201" s="178"/>
      <x:c r="Z201" s="178"/>
    </x:row>
    <x:row r="202">
      <x:c r="A202" s="178"/>
      <x:c r="B202" s="178"/>
      <x:c r="C202" s="178"/>
      <x:c r="D202" s="178"/>
      <x:c r="E202" s="178"/>
      <x:c r="F202" s="178"/>
      <x:c r="G202" s="178"/>
      <x:c r="H202" s="178"/>
      <x:c r="I202" s="178"/>
      <x:c r="J202" s="178"/>
      <x:c r="K202" s="178"/>
      <x:c r="L202" s="178"/>
      <x:c r="M202" s="178"/>
      <x:c r="N202" s="178"/>
      <x:c r="O202" s="178"/>
      <x:c r="P202" s="178"/>
      <x:c r="Q202" s="178"/>
      <x:c r="R202" s="178"/>
      <x:c r="S202" s="178"/>
      <x:c r="T202" s="178"/>
      <x:c r="U202" s="178"/>
      <x:c r="V202" s="178"/>
      <x:c r="W202" s="178"/>
      <x:c r="X202" s="178"/>
      <x:c r="Y202" s="178"/>
      <x:c r="Z202" s="178"/>
    </x:row>
    <x:row r="203">
      <x:c r="A203" s="178"/>
      <x:c r="B203" s="178"/>
      <x:c r="C203" s="178"/>
      <x:c r="D203" s="178"/>
      <x:c r="E203" s="178"/>
      <x:c r="F203" s="178"/>
      <x:c r="G203" s="178"/>
      <x:c r="H203" s="178"/>
      <x:c r="I203" s="178"/>
      <x:c r="J203" s="178"/>
      <x:c r="K203" s="178"/>
      <x:c r="L203" s="178"/>
      <x:c r="M203" s="178"/>
      <x:c r="N203" s="178"/>
      <x:c r="O203" s="178"/>
      <x:c r="P203" s="178"/>
      <x:c r="Q203" s="178"/>
      <x:c r="R203" s="178"/>
      <x:c r="S203" s="178"/>
      <x:c r="T203" s="178"/>
      <x:c r="U203" s="178"/>
      <x:c r="V203" s="178"/>
      <x:c r="W203" s="178"/>
      <x:c r="X203" s="178"/>
      <x:c r="Y203" s="178"/>
      <x:c r="Z203" s="178"/>
    </x:row>
    <x:row r="204">
      <x:c r="A204" s="178"/>
      <x:c r="B204" s="178"/>
      <x:c r="C204" s="178"/>
      <x:c r="D204" s="178"/>
      <x:c r="E204" s="178"/>
      <x:c r="F204" s="178"/>
      <x:c r="G204" s="178"/>
      <x:c r="H204" s="178"/>
      <x:c r="I204" s="178"/>
      <x:c r="J204" s="178"/>
      <x:c r="K204" s="178"/>
      <x:c r="L204" s="178"/>
      <x:c r="M204" s="178"/>
      <x:c r="N204" s="178"/>
      <x:c r="O204" s="178"/>
      <x:c r="P204" s="178"/>
      <x:c r="Q204" s="178"/>
      <x:c r="R204" s="178"/>
      <x:c r="S204" s="178"/>
      <x:c r="T204" s="178"/>
      <x:c r="U204" s="178"/>
      <x:c r="V204" s="178"/>
      <x:c r="W204" s="178"/>
      <x:c r="X204" s="178"/>
      <x:c r="Y204" s="178"/>
      <x:c r="Z204" s="178"/>
    </x:row>
    <x:row r="205">
      <x:c r="A205" s="178"/>
      <x:c r="B205" s="178"/>
      <x:c r="C205" s="178"/>
      <x:c r="D205" s="178"/>
      <x:c r="E205" s="178"/>
      <x:c r="F205" s="178"/>
      <x:c r="G205" s="178"/>
      <x:c r="H205" s="178"/>
      <x:c r="I205" s="178"/>
      <x:c r="J205" s="178"/>
      <x:c r="K205" s="178"/>
      <x:c r="L205" s="178"/>
      <x:c r="M205" s="178"/>
      <x:c r="N205" s="178"/>
      <x:c r="O205" s="178"/>
      <x:c r="P205" s="178"/>
      <x:c r="Q205" s="178"/>
      <x:c r="R205" s="178"/>
      <x:c r="S205" s="178"/>
      <x:c r="T205" s="178"/>
      <x:c r="U205" s="178"/>
      <x:c r="V205" s="178"/>
      <x:c r="W205" s="178"/>
      <x:c r="X205" s="178"/>
      <x:c r="Y205" s="178"/>
      <x:c r="Z205" s="178"/>
    </x:row>
    <x:row r="206">
      <x:c r="A206" s="178"/>
      <x:c r="B206" s="178"/>
      <x:c r="C206" s="178"/>
      <x:c r="D206" s="178"/>
      <x:c r="E206" s="178"/>
      <x:c r="F206" s="178"/>
      <x:c r="G206" s="178"/>
      <x:c r="H206" s="178"/>
      <x:c r="I206" s="178"/>
      <x:c r="J206" s="178"/>
      <x:c r="K206" s="178"/>
      <x:c r="L206" s="178"/>
      <x:c r="M206" s="178"/>
      <x:c r="N206" s="178"/>
      <x:c r="O206" s="178"/>
      <x:c r="P206" s="178"/>
      <x:c r="Q206" s="178"/>
      <x:c r="R206" s="178"/>
      <x:c r="S206" s="178"/>
      <x:c r="T206" s="178"/>
      <x:c r="U206" s="178"/>
      <x:c r="V206" s="178"/>
      <x:c r="W206" s="178"/>
      <x:c r="X206" s="178"/>
      <x:c r="Y206" s="178"/>
      <x:c r="Z206" s="178"/>
    </x:row>
    <x:row r="207">
      <x:c r="A207" s="178"/>
      <x:c r="B207" s="178"/>
      <x:c r="C207" s="178"/>
      <x:c r="D207" s="178"/>
      <x:c r="E207" s="178"/>
      <x:c r="F207" s="178"/>
      <x:c r="G207" s="178"/>
      <x:c r="H207" s="178"/>
      <x:c r="I207" s="178"/>
      <x:c r="J207" s="178"/>
      <x:c r="K207" s="178"/>
      <x:c r="L207" s="178"/>
      <x:c r="M207" s="178"/>
      <x:c r="N207" s="178"/>
      <x:c r="O207" s="178"/>
      <x:c r="P207" s="178"/>
      <x:c r="Q207" s="178"/>
      <x:c r="R207" s="178"/>
      <x:c r="S207" s="178"/>
      <x:c r="T207" s="178"/>
      <x:c r="U207" s="178"/>
      <x:c r="V207" s="178"/>
      <x:c r="W207" s="178"/>
      <x:c r="X207" s="178"/>
      <x:c r="Y207" s="178"/>
      <x:c r="Z207" s="178"/>
    </x:row>
    <x:row r="208">
      <x:c r="A208" s="178"/>
      <x:c r="B208" s="178"/>
      <x:c r="C208" s="178"/>
      <x:c r="D208" s="178"/>
      <x:c r="E208" s="178"/>
      <x:c r="F208" s="178"/>
      <x:c r="G208" s="178"/>
      <x:c r="H208" s="178"/>
      <x:c r="I208" s="178"/>
      <x:c r="J208" s="178"/>
      <x:c r="K208" s="178"/>
      <x:c r="L208" s="178"/>
      <x:c r="M208" s="178"/>
      <x:c r="N208" s="178"/>
      <x:c r="O208" s="178"/>
      <x:c r="P208" s="178"/>
      <x:c r="Q208" s="178"/>
      <x:c r="R208" s="178"/>
      <x:c r="S208" s="178"/>
      <x:c r="T208" s="178"/>
      <x:c r="U208" s="178"/>
      <x:c r="V208" s="178"/>
      <x:c r="W208" s="178"/>
      <x:c r="X208" s="178"/>
      <x:c r="Y208" s="178"/>
      <x:c r="Z208" s="178"/>
    </x:row>
    <x:row r="209">
      <x:c r="A209" s="178"/>
      <x:c r="B209" s="178"/>
      <x:c r="C209" s="178"/>
      <x:c r="D209" s="178"/>
      <x:c r="E209" s="178"/>
      <x:c r="F209" s="178"/>
      <x:c r="G209" s="178"/>
      <x:c r="H209" s="178"/>
      <x:c r="I209" s="178"/>
      <x:c r="J209" s="178"/>
      <x:c r="K209" s="178"/>
      <x:c r="L209" s="178"/>
      <x:c r="M209" s="178"/>
      <x:c r="N209" s="178"/>
      <x:c r="O209" s="178"/>
      <x:c r="P209" s="178"/>
      <x:c r="Q209" s="178"/>
      <x:c r="R209" s="178"/>
      <x:c r="S209" s="178"/>
      <x:c r="T209" s="178"/>
      <x:c r="U209" s="178"/>
      <x:c r="V209" s="178"/>
      <x:c r="W209" s="178"/>
      <x:c r="X209" s="178"/>
      <x:c r="Y209" s="178"/>
      <x:c r="Z209" s="178"/>
    </x:row>
    <x:row r="210">
      <x:c r="A210" s="178"/>
      <x:c r="B210" s="178"/>
      <x:c r="C210" s="178"/>
      <x:c r="D210" s="178"/>
      <x:c r="E210" s="178"/>
      <x:c r="F210" s="178"/>
      <x:c r="G210" s="178"/>
      <x:c r="H210" s="178"/>
      <x:c r="I210" s="178"/>
      <x:c r="J210" s="178"/>
      <x:c r="K210" s="178"/>
      <x:c r="L210" s="178"/>
      <x:c r="M210" s="178"/>
      <x:c r="N210" s="178"/>
      <x:c r="O210" s="178"/>
      <x:c r="P210" s="178"/>
      <x:c r="Q210" s="178"/>
      <x:c r="R210" s="178"/>
      <x:c r="S210" s="178"/>
      <x:c r="T210" s="178"/>
      <x:c r="U210" s="178"/>
      <x:c r="V210" s="178"/>
      <x:c r="W210" s="178"/>
      <x:c r="X210" s="178"/>
      <x:c r="Y210" s="178"/>
      <x:c r="Z210" s="178"/>
    </x:row>
    <x:row r="211">
      <x:c r="A211" s="178"/>
      <x:c r="B211" s="178"/>
      <x:c r="C211" s="178"/>
      <x:c r="D211" s="178"/>
      <x:c r="E211" s="178"/>
      <x:c r="F211" s="178"/>
      <x:c r="G211" s="178"/>
      <x:c r="H211" s="178"/>
      <x:c r="I211" s="178"/>
      <x:c r="J211" s="178"/>
      <x:c r="K211" s="178"/>
      <x:c r="L211" s="178"/>
      <x:c r="M211" s="178"/>
      <x:c r="N211" s="178"/>
      <x:c r="O211" s="178"/>
      <x:c r="P211" s="178"/>
      <x:c r="Q211" s="178"/>
      <x:c r="R211" s="178"/>
      <x:c r="S211" s="178"/>
      <x:c r="T211" s="178"/>
      <x:c r="U211" s="178"/>
      <x:c r="V211" s="178"/>
      <x:c r="W211" s="178"/>
      <x:c r="X211" s="178"/>
      <x:c r="Y211" s="178"/>
      <x:c r="Z211" s="178"/>
    </x:row>
    <x:row r="212">
      <x:c r="A212" s="178"/>
      <x:c r="B212" s="178"/>
      <x:c r="C212" s="178"/>
      <x:c r="D212" s="178"/>
      <x:c r="E212" s="178"/>
      <x:c r="F212" s="178"/>
      <x:c r="G212" s="178"/>
      <x:c r="H212" s="178"/>
      <x:c r="I212" s="178"/>
      <x:c r="J212" s="178"/>
      <x:c r="K212" s="178"/>
      <x:c r="L212" s="178"/>
      <x:c r="M212" s="178"/>
      <x:c r="N212" s="178"/>
      <x:c r="O212" s="178"/>
      <x:c r="P212" s="178"/>
      <x:c r="Q212" s="178"/>
      <x:c r="R212" s="178"/>
      <x:c r="S212" s="178"/>
      <x:c r="T212" s="178"/>
      <x:c r="U212" s="178"/>
      <x:c r="V212" s="178"/>
      <x:c r="W212" s="178"/>
      <x:c r="X212" s="178"/>
      <x:c r="Y212" s="178"/>
      <x:c r="Z212" s="178"/>
    </x:row>
    <x:row r="213">
      <x:c r="A213" s="178"/>
      <x:c r="B213" s="178"/>
      <x:c r="C213" s="178"/>
      <x:c r="D213" s="178"/>
      <x:c r="E213" s="178"/>
      <x:c r="F213" s="178"/>
      <x:c r="G213" s="178"/>
      <x:c r="H213" s="178"/>
      <x:c r="I213" s="178"/>
      <x:c r="J213" s="178"/>
      <x:c r="K213" s="178"/>
      <x:c r="L213" s="178"/>
      <x:c r="M213" s="178"/>
      <x:c r="N213" s="178"/>
      <x:c r="O213" s="178"/>
      <x:c r="P213" s="178"/>
      <x:c r="Q213" s="178"/>
      <x:c r="R213" s="178"/>
      <x:c r="S213" s="178"/>
      <x:c r="T213" s="178"/>
      <x:c r="U213" s="178"/>
      <x:c r="V213" s="178"/>
      <x:c r="W213" s="178"/>
      <x:c r="X213" s="178"/>
      <x:c r="Y213" s="178"/>
      <x:c r="Z213" s="178"/>
    </x:row>
    <x:row r="214">
      <x:c r="A214" s="178"/>
      <x:c r="B214" s="178"/>
      <x:c r="C214" s="178"/>
      <x:c r="D214" s="178"/>
      <x:c r="E214" s="178"/>
      <x:c r="F214" s="178"/>
      <x:c r="G214" s="178"/>
      <x:c r="H214" s="178"/>
      <x:c r="I214" s="178"/>
      <x:c r="J214" s="178"/>
      <x:c r="K214" s="178"/>
      <x:c r="L214" s="178"/>
      <x:c r="M214" s="178"/>
      <x:c r="N214" s="178"/>
      <x:c r="O214" s="178"/>
      <x:c r="P214" s="178"/>
      <x:c r="Q214" s="178"/>
      <x:c r="R214" s="178"/>
      <x:c r="S214" s="178"/>
      <x:c r="T214" s="178"/>
      <x:c r="U214" s="178"/>
      <x:c r="V214" s="178"/>
      <x:c r="W214" s="178"/>
      <x:c r="X214" s="178"/>
      <x:c r="Y214" s="178"/>
      <x:c r="Z214" s="178"/>
    </x:row>
    <x:row r="215">
      <x:c r="A215" s="178"/>
      <x:c r="B215" s="178"/>
      <x:c r="C215" s="178"/>
      <x:c r="D215" s="178"/>
      <x:c r="E215" s="178"/>
      <x:c r="F215" s="178"/>
      <x:c r="G215" s="178"/>
      <x:c r="H215" s="178"/>
      <x:c r="I215" s="178"/>
      <x:c r="J215" s="178"/>
      <x:c r="K215" s="178"/>
      <x:c r="L215" s="178"/>
      <x:c r="M215" s="178"/>
      <x:c r="N215" s="178"/>
      <x:c r="O215" s="178"/>
      <x:c r="P215" s="178"/>
      <x:c r="Q215" s="178"/>
      <x:c r="R215" s="178"/>
      <x:c r="S215" s="178"/>
      <x:c r="T215" s="178"/>
      <x:c r="U215" s="178"/>
      <x:c r="V215" s="178"/>
      <x:c r="W215" s="178"/>
      <x:c r="X215" s="178"/>
      <x:c r="Y215" s="178"/>
      <x:c r="Z215" s="178"/>
    </x:row>
    <x:row r="216">
      <x:c r="A216" s="178"/>
      <x:c r="B216" s="178"/>
      <x:c r="C216" s="178"/>
      <x:c r="D216" s="178"/>
      <x:c r="E216" s="178"/>
      <x:c r="F216" s="178"/>
      <x:c r="G216" s="178"/>
      <x:c r="H216" s="178"/>
      <x:c r="I216" s="178"/>
      <x:c r="J216" s="178"/>
      <x:c r="K216" s="178"/>
      <x:c r="L216" s="178"/>
      <x:c r="M216" s="178"/>
      <x:c r="N216" s="178"/>
      <x:c r="O216" s="178"/>
      <x:c r="P216" s="178"/>
      <x:c r="Q216" s="178"/>
      <x:c r="R216" s="178"/>
      <x:c r="S216" s="178"/>
      <x:c r="T216" s="178"/>
      <x:c r="U216" s="178"/>
      <x:c r="V216" s="178"/>
      <x:c r="W216" s="178"/>
      <x:c r="X216" s="178"/>
      <x:c r="Y216" s="178"/>
      <x:c r="Z216" s="178"/>
    </x:row>
    <x:row r="217">
      <x:c r="A217" s="178"/>
      <x:c r="B217" s="178"/>
      <x:c r="C217" s="178"/>
      <x:c r="D217" s="178"/>
      <x:c r="E217" s="178"/>
      <x:c r="F217" s="178"/>
      <x:c r="G217" s="178"/>
      <x:c r="H217" s="178"/>
      <x:c r="I217" s="178"/>
      <x:c r="J217" s="178"/>
      <x:c r="K217" s="178"/>
      <x:c r="L217" s="178"/>
      <x:c r="M217" s="178"/>
      <x:c r="N217" s="178"/>
      <x:c r="O217" s="178"/>
      <x:c r="P217" s="178"/>
      <x:c r="Q217" s="178"/>
      <x:c r="R217" s="178"/>
      <x:c r="S217" s="178"/>
      <x:c r="T217" s="178"/>
      <x:c r="U217" s="178"/>
      <x:c r="V217" s="178"/>
      <x:c r="W217" s="178"/>
      <x:c r="X217" s="178"/>
      <x:c r="Y217" s="178"/>
      <x:c r="Z217" s="178"/>
    </x:row>
    <x:row r="218">
      <x:c r="A218" s="178"/>
      <x:c r="B218" s="178"/>
      <x:c r="C218" s="178"/>
      <x:c r="D218" s="178"/>
      <x:c r="E218" s="178"/>
      <x:c r="F218" s="178"/>
      <x:c r="G218" s="178"/>
      <x:c r="H218" s="178"/>
      <x:c r="I218" s="178"/>
      <x:c r="J218" s="178"/>
      <x:c r="K218" s="178"/>
      <x:c r="L218" s="178"/>
      <x:c r="M218" s="178"/>
      <x:c r="N218" s="178"/>
      <x:c r="O218" s="178"/>
      <x:c r="P218" s="178"/>
      <x:c r="Q218" s="178"/>
      <x:c r="R218" s="178"/>
      <x:c r="S218" s="178"/>
      <x:c r="T218" s="178"/>
      <x:c r="U218" s="178"/>
      <x:c r="V218" s="178"/>
      <x:c r="W218" s="178"/>
      <x:c r="X218" s="178"/>
      <x:c r="Y218" s="178"/>
      <x:c r="Z218" s="178"/>
    </x:row>
    <x:row r="219">
      <x:c r="A219" s="178"/>
      <x:c r="B219" s="178"/>
      <x:c r="C219" s="178"/>
      <x:c r="D219" s="178"/>
      <x:c r="E219" s="178"/>
      <x:c r="F219" s="178"/>
      <x:c r="G219" s="178"/>
      <x:c r="H219" s="178"/>
      <x:c r="I219" s="178"/>
      <x:c r="J219" s="178"/>
      <x:c r="K219" s="178"/>
      <x:c r="L219" s="178"/>
      <x:c r="M219" s="178"/>
      <x:c r="N219" s="178"/>
      <x:c r="O219" s="178"/>
      <x:c r="P219" s="178"/>
      <x:c r="Q219" s="178"/>
      <x:c r="R219" s="178"/>
      <x:c r="S219" s="178"/>
      <x:c r="T219" s="178"/>
      <x:c r="U219" s="178"/>
      <x:c r="V219" s="178"/>
      <x:c r="W219" s="178"/>
      <x:c r="X219" s="178"/>
      <x:c r="Y219" s="178"/>
      <x:c r="Z219" s="178"/>
    </x:row>
    <x:row r="220">
      <x:c r="A220" s="178"/>
      <x:c r="B220" s="178"/>
      <x:c r="C220" s="178"/>
      <x:c r="D220" s="178"/>
      <x:c r="E220" s="178"/>
      <x:c r="F220" s="178"/>
      <x:c r="G220" s="178"/>
      <x:c r="H220" s="178"/>
      <x:c r="I220" s="178"/>
      <x:c r="J220" s="178"/>
      <x:c r="K220" s="178"/>
      <x:c r="L220" s="178"/>
      <x:c r="M220" s="178"/>
      <x:c r="N220" s="178"/>
      <x:c r="O220" s="178"/>
      <x:c r="P220" s="178"/>
      <x:c r="Q220" s="178"/>
      <x:c r="R220" s="178"/>
      <x:c r="S220" s="178"/>
      <x:c r="T220" s="178"/>
      <x:c r="U220" s="178"/>
      <x:c r="V220" s="178"/>
      <x:c r="W220" s="178"/>
      <x:c r="X220" s="178"/>
      <x:c r="Y220" s="178"/>
      <x:c r="Z220" s="178"/>
    </x:row>
    <x:row r="221">
      <x:c r="A221" s="178"/>
      <x:c r="B221" s="178"/>
      <x:c r="C221" s="178"/>
      <x:c r="D221" s="178"/>
      <x:c r="E221" s="178"/>
      <x:c r="F221" s="178"/>
      <x:c r="G221" s="178"/>
      <x:c r="H221" s="178"/>
      <x:c r="I221" s="178"/>
      <x:c r="J221" s="178"/>
      <x:c r="K221" s="178"/>
      <x:c r="L221" s="178"/>
      <x:c r="M221" s="178"/>
      <x:c r="N221" s="178"/>
      <x:c r="O221" s="178"/>
      <x:c r="P221" s="178"/>
      <x:c r="Q221" s="178"/>
      <x:c r="R221" s="178"/>
      <x:c r="S221" s="178"/>
      <x:c r="T221" s="178"/>
      <x:c r="U221" s="178"/>
      <x:c r="V221" s="178"/>
      <x:c r="W221" s="178"/>
      <x:c r="X221" s="178"/>
      <x:c r="Y221" s="178"/>
      <x:c r="Z221" s="178"/>
    </x:row>
    <x:row r="222">
      <x:c r="A222" s="178"/>
      <x:c r="B222" s="178"/>
      <x:c r="C222" s="178"/>
      <x:c r="D222" s="178"/>
      <x:c r="E222" s="178"/>
      <x:c r="F222" s="178"/>
      <x:c r="G222" s="178"/>
      <x:c r="H222" s="178"/>
      <x:c r="I222" s="178"/>
      <x:c r="J222" s="178"/>
      <x:c r="K222" s="178"/>
      <x:c r="L222" s="178"/>
      <x:c r="M222" s="178"/>
      <x:c r="N222" s="178"/>
      <x:c r="O222" s="178"/>
      <x:c r="P222" s="178"/>
      <x:c r="Q222" s="178"/>
      <x:c r="R222" s="178"/>
      <x:c r="S222" s="178"/>
      <x:c r="T222" s="178"/>
      <x:c r="U222" s="178"/>
      <x:c r="V222" s="178"/>
      <x:c r="W222" s="178"/>
      <x:c r="X222" s="178"/>
      <x:c r="Y222" s="178"/>
      <x:c r="Z222" s="178"/>
    </x:row>
    <x:row r="223">
      <x:c r="A223" s="178"/>
      <x:c r="B223" s="178"/>
      <x:c r="C223" s="178"/>
      <x:c r="D223" s="178"/>
      <x:c r="E223" s="178"/>
      <x:c r="F223" s="178"/>
      <x:c r="G223" s="178"/>
      <x:c r="H223" s="178"/>
      <x:c r="I223" s="178"/>
      <x:c r="J223" s="178"/>
      <x:c r="K223" s="178"/>
      <x:c r="L223" s="178"/>
      <x:c r="M223" s="178"/>
      <x:c r="N223" s="178"/>
      <x:c r="O223" s="178"/>
      <x:c r="P223" s="178"/>
      <x:c r="Q223" s="178"/>
      <x:c r="R223" s="178"/>
      <x:c r="S223" s="178"/>
      <x:c r="T223" s="178"/>
      <x:c r="U223" s="178"/>
      <x:c r="V223" s="178"/>
      <x:c r="W223" s="178"/>
      <x:c r="X223" s="178"/>
      <x:c r="Y223" s="178"/>
      <x:c r="Z223" s="178"/>
    </x:row>
    <x:row r="224">
      <x:c r="A224" s="178"/>
      <x:c r="B224" s="178"/>
      <x:c r="C224" s="178"/>
      <x:c r="D224" s="178"/>
      <x:c r="E224" s="178"/>
      <x:c r="F224" s="178"/>
      <x:c r="G224" s="178"/>
      <x:c r="H224" s="178"/>
      <x:c r="I224" s="178"/>
      <x:c r="J224" s="178"/>
      <x:c r="K224" s="178"/>
      <x:c r="L224" s="178"/>
      <x:c r="M224" s="178"/>
      <x:c r="N224" s="178"/>
      <x:c r="O224" s="178"/>
      <x:c r="P224" s="178"/>
      <x:c r="Q224" s="178"/>
      <x:c r="R224" s="178"/>
      <x:c r="S224" s="178"/>
      <x:c r="T224" s="178"/>
      <x:c r="U224" s="178"/>
      <x:c r="V224" s="178"/>
      <x:c r="W224" s="178"/>
      <x:c r="X224" s="178"/>
      <x:c r="Y224" s="178"/>
      <x:c r="Z224" s="178"/>
    </x:row>
    <x:row r="225">
      <x:c r="A225" s="178"/>
      <x:c r="B225" s="178"/>
      <x:c r="C225" s="178"/>
      <x:c r="D225" s="178"/>
      <x:c r="E225" s="178"/>
      <x:c r="F225" s="178"/>
      <x:c r="G225" s="178"/>
      <x:c r="H225" s="178"/>
      <x:c r="I225" s="178"/>
      <x:c r="J225" s="178"/>
      <x:c r="K225" s="178"/>
      <x:c r="L225" s="178"/>
      <x:c r="M225" s="178"/>
      <x:c r="N225" s="178"/>
      <x:c r="O225" s="178"/>
      <x:c r="P225" s="178"/>
      <x:c r="Q225" s="178"/>
      <x:c r="R225" s="178"/>
      <x:c r="S225" s="178"/>
      <x:c r="T225" s="178"/>
      <x:c r="U225" s="178"/>
      <x:c r="V225" s="178"/>
      <x:c r="W225" s="178"/>
      <x:c r="X225" s="178"/>
      <x:c r="Y225" s="178"/>
      <x:c r="Z225" s="178"/>
    </x:row>
    <x:row r="226">
      <x:c r="A226" s="178"/>
      <x:c r="B226" s="178"/>
      <x:c r="C226" s="178"/>
      <x:c r="D226" s="178"/>
      <x:c r="E226" s="178"/>
      <x:c r="F226" s="178"/>
      <x:c r="G226" s="178"/>
      <x:c r="H226" s="178"/>
      <x:c r="I226" s="178"/>
      <x:c r="J226" s="178"/>
      <x:c r="K226" s="178"/>
      <x:c r="L226" s="178"/>
      <x:c r="M226" s="178"/>
      <x:c r="N226" s="178"/>
      <x:c r="O226" s="178"/>
      <x:c r="P226" s="178"/>
      <x:c r="Q226" s="178"/>
      <x:c r="R226" s="178"/>
      <x:c r="S226" s="178"/>
      <x:c r="T226" s="178"/>
      <x:c r="U226" s="178"/>
      <x:c r="V226" s="178"/>
      <x:c r="W226" s="178"/>
      <x:c r="X226" s="178"/>
      <x:c r="Y226" s="178"/>
      <x:c r="Z226" s="178"/>
    </x:row>
    <x:row r="227">
      <x:c r="A227" s="178"/>
      <x:c r="B227" s="178"/>
      <x:c r="C227" s="178"/>
      <x:c r="D227" s="178"/>
      <x:c r="E227" s="178"/>
      <x:c r="F227" s="178"/>
      <x:c r="G227" s="178"/>
      <x:c r="H227" s="178"/>
      <x:c r="I227" s="178"/>
      <x:c r="J227" s="178"/>
      <x:c r="K227" s="178"/>
      <x:c r="L227" s="178"/>
      <x:c r="M227" s="178"/>
      <x:c r="N227" s="178"/>
      <x:c r="O227" s="178"/>
      <x:c r="P227" s="178"/>
      <x:c r="Q227" s="178"/>
      <x:c r="R227" s="178"/>
      <x:c r="S227" s="178"/>
      <x:c r="T227" s="178"/>
      <x:c r="U227" s="178"/>
      <x:c r="V227" s="178"/>
      <x:c r="W227" s="178"/>
      <x:c r="X227" s="178"/>
      <x:c r="Y227" s="178"/>
      <x:c r="Z227" s="178"/>
    </x:row>
    <x:row r="228">
      <x:c r="A228" s="178"/>
      <x:c r="B228" s="178"/>
      <x:c r="C228" s="178"/>
      <x:c r="D228" s="178"/>
      <x:c r="E228" s="178"/>
      <x:c r="F228" s="178"/>
      <x:c r="G228" s="178"/>
      <x:c r="H228" s="178"/>
      <x:c r="I228" s="178"/>
      <x:c r="J228" s="178"/>
      <x:c r="K228" s="178"/>
      <x:c r="L228" s="178"/>
      <x:c r="M228" s="178"/>
      <x:c r="N228" s="178"/>
      <x:c r="O228" s="178"/>
      <x:c r="P228" s="178"/>
      <x:c r="Q228" s="178"/>
      <x:c r="R228" s="178"/>
      <x:c r="S228" s="178"/>
      <x:c r="T228" s="178"/>
      <x:c r="U228" s="178"/>
      <x:c r="V228" s="178"/>
      <x:c r="W228" s="178"/>
      <x:c r="X228" s="178"/>
      <x:c r="Y228" s="178"/>
      <x:c r="Z228" s="178"/>
    </x:row>
    <x:row r="229">
      <x:c r="A229" s="178"/>
      <x:c r="B229" s="178"/>
      <x:c r="C229" s="178"/>
      <x:c r="D229" s="178"/>
      <x:c r="E229" s="178"/>
      <x:c r="F229" s="178"/>
      <x:c r="G229" s="178"/>
      <x:c r="H229" s="178"/>
      <x:c r="I229" s="178"/>
      <x:c r="J229" s="178"/>
      <x:c r="K229" s="178"/>
      <x:c r="L229" s="178"/>
      <x:c r="M229" s="178"/>
      <x:c r="N229" s="178"/>
      <x:c r="O229" s="178"/>
      <x:c r="P229" s="178"/>
      <x:c r="Q229" s="178"/>
      <x:c r="R229" s="178"/>
      <x:c r="S229" s="178"/>
      <x:c r="T229" s="178"/>
      <x:c r="U229" s="178"/>
      <x:c r="V229" s="178"/>
      <x:c r="W229" s="178"/>
      <x:c r="X229" s="178"/>
      <x:c r="Y229" s="178"/>
      <x:c r="Z229" s="178"/>
    </x:row>
    <x:row r="230">
      <x:c r="A230" s="178"/>
      <x:c r="B230" s="178"/>
      <x:c r="C230" s="178"/>
      <x:c r="D230" s="178"/>
      <x:c r="E230" s="178"/>
      <x:c r="F230" s="178"/>
      <x:c r="G230" s="178"/>
      <x:c r="H230" s="178"/>
      <x:c r="I230" s="178"/>
      <x:c r="J230" s="178"/>
      <x:c r="K230" s="178"/>
      <x:c r="L230" s="178"/>
      <x:c r="M230" s="178"/>
      <x:c r="N230" s="178"/>
      <x:c r="O230" s="178"/>
      <x:c r="P230" s="178"/>
      <x:c r="Q230" s="178"/>
      <x:c r="R230" s="178"/>
      <x:c r="S230" s="178"/>
      <x:c r="T230" s="178"/>
      <x:c r="U230" s="178"/>
      <x:c r="V230" s="178"/>
      <x:c r="W230" s="178"/>
      <x:c r="X230" s="178"/>
      <x:c r="Y230" s="178"/>
      <x:c r="Z230" s="178"/>
    </x:row>
    <x:row r="231">
      <x:c r="A231" s="178"/>
      <x:c r="B231" s="178"/>
      <x:c r="C231" s="178"/>
      <x:c r="D231" s="178"/>
      <x:c r="E231" s="178"/>
      <x:c r="F231" s="178"/>
      <x:c r="G231" s="178"/>
      <x:c r="H231" s="178"/>
      <x:c r="I231" s="178"/>
      <x:c r="J231" s="178"/>
      <x:c r="K231" s="178"/>
      <x:c r="L231" s="178"/>
      <x:c r="M231" s="178"/>
      <x:c r="N231" s="178"/>
      <x:c r="O231" s="178"/>
      <x:c r="P231" s="178"/>
      <x:c r="Q231" s="178"/>
      <x:c r="R231" s="178"/>
      <x:c r="S231" s="178"/>
      <x:c r="T231" s="178"/>
      <x:c r="U231" s="178"/>
      <x:c r="V231" s="178"/>
      <x:c r="W231" s="178"/>
      <x:c r="X231" s="178"/>
      <x:c r="Y231" s="178"/>
      <x:c r="Z231" s="178"/>
    </x:row>
    <x:row r="232">
      <x:c r="A232" s="178"/>
      <x:c r="B232" s="178"/>
      <x:c r="C232" s="178"/>
      <x:c r="D232" s="178"/>
      <x:c r="E232" s="178"/>
      <x:c r="F232" s="178"/>
      <x:c r="G232" s="178"/>
      <x:c r="H232" s="178"/>
      <x:c r="I232" s="178"/>
      <x:c r="J232" s="178"/>
      <x:c r="K232" s="178"/>
      <x:c r="L232" s="178"/>
      <x:c r="M232" s="178"/>
      <x:c r="N232" s="178"/>
      <x:c r="O232" s="178"/>
      <x:c r="P232" s="178"/>
      <x:c r="Q232" s="178"/>
      <x:c r="R232" s="178"/>
      <x:c r="S232" s="178"/>
      <x:c r="T232" s="178"/>
      <x:c r="U232" s="178"/>
      <x:c r="V232" s="178"/>
      <x:c r="W232" s="178"/>
      <x:c r="X232" s="178"/>
      <x:c r="Y232" s="178"/>
      <x:c r="Z232" s="178"/>
    </x:row>
    <x:row r="233">
      <x:c r="A233" s="178"/>
      <x:c r="B233" s="178"/>
      <x:c r="C233" s="178"/>
      <x:c r="D233" s="178"/>
      <x:c r="E233" s="178"/>
      <x:c r="F233" s="178"/>
      <x:c r="G233" s="178"/>
      <x:c r="H233" s="178"/>
      <x:c r="I233" s="178"/>
      <x:c r="J233" s="178"/>
      <x:c r="K233" s="178"/>
      <x:c r="L233" s="178"/>
      <x:c r="M233" s="178"/>
      <x:c r="N233" s="178"/>
      <x:c r="O233" s="178"/>
      <x:c r="P233" s="178"/>
      <x:c r="Q233" s="178"/>
      <x:c r="R233" s="178"/>
      <x:c r="S233" s="178"/>
      <x:c r="T233" s="178"/>
      <x:c r="U233" s="178"/>
      <x:c r="V233" s="178"/>
      <x:c r="W233" s="178"/>
      <x:c r="X233" s="178"/>
      <x:c r="Y233" s="178"/>
      <x:c r="Z233" s="178"/>
    </x:row>
    <x:row r="234">
      <x:c r="A234" s="178"/>
      <x:c r="B234" s="178"/>
      <x:c r="C234" s="178"/>
      <x:c r="D234" s="178"/>
      <x:c r="E234" s="178"/>
      <x:c r="F234" s="178"/>
      <x:c r="G234" s="178"/>
      <x:c r="H234" s="178"/>
      <x:c r="I234" s="178"/>
      <x:c r="J234" s="178"/>
      <x:c r="K234" s="178"/>
      <x:c r="L234" s="178"/>
      <x:c r="M234" s="178"/>
      <x:c r="N234" s="178"/>
      <x:c r="O234" s="178"/>
      <x:c r="P234" s="178"/>
      <x:c r="Q234" s="178"/>
      <x:c r="R234" s="178"/>
      <x:c r="S234" s="178"/>
      <x:c r="T234" s="178"/>
      <x:c r="U234" s="178"/>
      <x:c r="V234" s="178"/>
      <x:c r="W234" s="178"/>
      <x:c r="X234" s="178"/>
      <x:c r="Y234" s="178"/>
      <x:c r="Z234" s="178"/>
    </x:row>
    <x:row r="235">
      <x:c r="A235" s="178"/>
      <x:c r="B235" s="178"/>
      <x:c r="C235" s="178"/>
      <x:c r="D235" s="178"/>
      <x:c r="E235" s="178"/>
      <x:c r="F235" s="178"/>
      <x:c r="G235" s="178"/>
      <x:c r="H235" s="178"/>
      <x:c r="I235" s="178"/>
      <x:c r="J235" s="178"/>
      <x:c r="K235" s="178"/>
      <x:c r="L235" s="178"/>
      <x:c r="M235" s="178"/>
      <x:c r="N235" s="178"/>
      <x:c r="O235" s="178"/>
      <x:c r="P235" s="178"/>
      <x:c r="Q235" s="178"/>
      <x:c r="R235" s="178"/>
      <x:c r="S235" s="178"/>
      <x:c r="T235" s="178"/>
      <x:c r="U235" s="178"/>
      <x:c r="V235" s="178"/>
      <x:c r="W235" s="178"/>
      <x:c r="X235" s="178"/>
      <x:c r="Y235" s="178"/>
      <x:c r="Z235" s="178"/>
    </x:row>
    <x:row r="236">
      <x:c r="A236" s="178"/>
      <x:c r="B236" s="178"/>
      <x:c r="C236" s="178"/>
      <x:c r="D236" s="178"/>
      <x:c r="E236" s="178"/>
      <x:c r="F236" s="178"/>
      <x:c r="G236" s="178"/>
      <x:c r="H236" s="178"/>
      <x:c r="I236" s="178"/>
      <x:c r="J236" s="178"/>
      <x:c r="K236" s="178"/>
      <x:c r="L236" s="178"/>
      <x:c r="M236" s="178"/>
      <x:c r="N236" s="178"/>
      <x:c r="O236" s="178"/>
      <x:c r="P236" s="178"/>
      <x:c r="Q236" s="178"/>
      <x:c r="R236" s="178"/>
      <x:c r="S236" s="178"/>
      <x:c r="T236" s="178"/>
      <x:c r="U236" s="178"/>
      <x:c r="V236" s="178"/>
      <x:c r="W236" s="178"/>
      <x:c r="X236" s="178"/>
      <x:c r="Y236" s="178"/>
      <x:c r="Z236" s="178"/>
    </x:row>
    <x:row r="237">
      <x:c r="A237" s="178"/>
      <x:c r="B237" s="178"/>
      <x:c r="C237" s="178"/>
      <x:c r="D237" s="178"/>
      <x:c r="E237" s="178"/>
      <x:c r="F237" s="178"/>
      <x:c r="G237" s="178"/>
      <x:c r="H237" s="178"/>
      <x:c r="I237" s="178"/>
      <x:c r="J237" s="178"/>
      <x:c r="K237" s="178"/>
      <x:c r="L237" s="178"/>
      <x:c r="M237" s="178"/>
      <x:c r="N237" s="178"/>
      <x:c r="O237" s="178"/>
      <x:c r="P237" s="178"/>
      <x:c r="Q237" s="178"/>
      <x:c r="R237" s="178"/>
      <x:c r="S237" s="178"/>
      <x:c r="T237" s="178"/>
      <x:c r="U237" s="178"/>
      <x:c r="V237" s="178"/>
      <x:c r="W237" s="178"/>
      <x:c r="X237" s="178"/>
      <x:c r="Y237" s="178"/>
      <x:c r="Z237" s="178"/>
    </x:row>
    <x:row r="238">
      <x:c r="A238" s="178"/>
      <x:c r="B238" s="178"/>
      <x:c r="C238" s="178"/>
      <x:c r="D238" s="178"/>
      <x:c r="E238" s="178"/>
      <x:c r="F238" s="178"/>
      <x:c r="G238" s="178"/>
      <x:c r="H238" s="178"/>
      <x:c r="I238" s="178"/>
      <x:c r="J238" s="178"/>
      <x:c r="K238" s="178"/>
      <x:c r="L238" s="178"/>
      <x:c r="M238" s="178"/>
      <x:c r="N238" s="178"/>
      <x:c r="O238" s="178"/>
      <x:c r="P238" s="178"/>
      <x:c r="Q238" s="178"/>
      <x:c r="R238" s="178"/>
      <x:c r="S238" s="178"/>
      <x:c r="T238" s="178"/>
      <x:c r="U238" s="178"/>
      <x:c r="V238" s="178"/>
      <x:c r="W238" s="178"/>
      <x:c r="X238" s="178"/>
      <x:c r="Y238" s="178"/>
      <x:c r="Z238" s="178"/>
    </x:row>
    <x:row r="239">
      <x:c r="A239" s="178"/>
      <x:c r="B239" s="178"/>
      <x:c r="C239" s="178"/>
      <x:c r="D239" s="178"/>
      <x:c r="E239" s="178"/>
      <x:c r="F239" s="178"/>
      <x:c r="G239" s="178"/>
      <x:c r="H239" s="178"/>
      <x:c r="I239" s="178"/>
      <x:c r="J239" s="178"/>
      <x:c r="K239" s="178"/>
      <x:c r="L239" s="178"/>
      <x:c r="M239" s="178"/>
      <x:c r="N239" s="178"/>
      <x:c r="O239" s="178"/>
      <x:c r="P239" s="178"/>
      <x:c r="Q239" s="178"/>
      <x:c r="R239" s="178"/>
      <x:c r="S239" s="178"/>
      <x:c r="T239" s="178"/>
      <x:c r="U239" s="178"/>
      <x:c r="V239" s="178"/>
      <x:c r="W239" s="178"/>
      <x:c r="X239" s="178"/>
      <x:c r="Y239" s="178"/>
      <x:c r="Z239" s="178"/>
    </x:row>
    <x:row r="240">
      <x:c r="A240" s="178"/>
      <x:c r="B240" s="178"/>
      <x:c r="C240" s="178"/>
      <x:c r="D240" s="178"/>
      <x:c r="E240" s="178"/>
      <x:c r="F240" s="178"/>
      <x:c r="G240" s="178"/>
      <x:c r="H240" s="178"/>
      <x:c r="I240" s="178"/>
      <x:c r="J240" s="178"/>
      <x:c r="K240" s="178"/>
      <x:c r="L240" s="178"/>
      <x:c r="M240" s="178"/>
      <x:c r="N240" s="178"/>
      <x:c r="O240" s="178"/>
      <x:c r="P240" s="178"/>
      <x:c r="Q240" s="178"/>
      <x:c r="R240" s="178"/>
      <x:c r="S240" s="178"/>
      <x:c r="T240" s="178"/>
      <x:c r="U240" s="178"/>
      <x:c r="V240" s="178"/>
      <x:c r="W240" s="178"/>
      <x:c r="X240" s="178"/>
      <x:c r="Y240" s="178"/>
      <x:c r="Z240" s="178"/>
    </x:row>
    <x:row r="241">
      <x:c r="A241" s="178"/>
      <x:c r="B241" s="178"/>
      <x:c r="C241" s="178"/>
      <x:c r="D241" s="178"/>
      <x:c r="E241" s="178"/>
      <x:c r="F241" s="178"/>
      <x:c r="G241" s="178"/>
      <x:c r="H241" s="178"/>
      <x:c r="I241" s="178"/>
      <x:c r="J241" s="178"/>
      <x:c r="K241" s="178"/>
      <x:c r="L241" s="178"/>
      <x:c r="M241" s="178"/>
      <x:c r="N241" s="178"/>
      <x:c r="O241" s="178"/>
      <x:c r="P241" s="178"/>
      <x:c r="Q241" s="178"/>
      <x:c r="R241" s="178"/>
      <x:c r="S241" s="178"/>
      <x:c r="T241" s="178"/>
      <x:c r="U241" s="178"/>
      <x:c r="V241" s="178"/>
      <x:c r="W241" s="178"/>
      <x:c r="X241" s="178"/>
      <x:c r="Y241" s="178"/>
      <x:c r="Z241" s="178"/>
    </x:row>
    <x:row r="242">
      <x:c r="A242" s="178"/>
      <x:c r="B242" s="178"/>
      <x:c r="C242" s="178"/>
      <x:c r="D242" s="178"/>
      <x:c r="E242" s="178"/>
      <x:c r="F242" s="178"/>
      <x:c r="G242" s="178"/>
      <x:c r="H242" s="178"/>
      <x:c r="I242" s="178"/>
      <x:c r="J242" s="178"/>
      <x:c r="K242" s="178"/>
      <x:c r="L242" s="178"/>
      <x:c r="M242" s="178"/>
      <x:c r="N242" s="178"/>
      <x:c r="O242" s="178"/>
      <x:c r="P242" s="178"/>
      <x:c r="Q242" s="178"/>
      <x:c r="R242" s="178"/>
      <x:c r="S242" s="178"/>
      <x:c r="T242" s="178"/>
      <x:c r="U242" s="178"/>
      <x:c r="V242" s="178"/>
      <x:c r="W242" s="178"/>
      <x:c r="X242" s="178"/>
      <x:c r="Y242" s="178"/>
      <x:c r="Z242" s="178"/>
    </x:row>
    <x:row r="243">
      <x:c r="A243" s="178"/>
      <x:c r="B243" s="178"/>
      <x:c r="C243" s="178"/>
      <x:c r="D243" s="178"/>
      <x:c r="E243" s="178"/>
      <x:c r="F243" s="178"/>
      <x:c r="G243" s="178"/>
      <x:c r="H243" s="178"/>
      <x:c r="I243" s="178"/>
      <x:c r="J243" s="178"/>
      <x:c r="K243" s="178"/>
      <x:c r="L243" s="178"/>
      <x:c r="M243" s="178"/>
      <x:c r="N243" s="178"/>
      <x:c r="O243" s="178"/>
      <x:c r="P243" s="178"/>
      <x:c r="Q243" s="178"/>
      <x:c r="R243" s="178"/>
      <x:c r="S243" s="178"/>
      <x:c r="T243" s="178"/>
      <x:c r="U243" s="178"/>
      <x:c r="V243" s="178"/>
      <x:c r="W243" s="178"/>
      <x:c r="X243" s="178"/>
      <x:c r="Y243" s="178"/>
      <x:c r="Z243" s="178"/>
    </x:row>
    <x:row r="244">
      <x:c r="A244" s="178"/>
      <x:c r="B244" s="178"/>
      <x:c r="C244" s="178"/>
      <x:c r="D244" s="178"/>
      <x:c r="E244" s="178"/>
      <x:c r="F244" s="178"/>
      <x:c r="G244" s="178"/>
      <x:c r="H244" s="178"/>
      <x:c r="I244" s="178"/>
      <x:c r="J244" s="178"/>
      <x:c r="K244" s="178"/>
      <x:c r="L244" s="178"/>
      <x:c r="M244" s="178"/>
      <x:c r="N244" s="178"/>
      <x:c r="O244" s="178"/>
      <x:c r="P244" s="178"/>
      <x:c r="Q244" s="178"/>
      <x:c r="R244" s="178"/>
      <x:c r="S244" s="178"/>
      <x:c r="T244" s="178"/>
      <x:c r="U244" s="178"/>
      <x:c r="V244" s="178"/>
      <x:c r="W244" s="178"/>
      <x:c r="X244" s="178"/>
      <x:c r="Y244" s="178"/>
      <x:c r="Z244" s="178"/>
    </x:row>
    <x:row r="245">
      <x:c r="A245" s="178"/>
      <x:c r="B245" s="178"/>
      <x:c r="C245" s="178"/>
      <x:c r="D245" s="178"/>
      <x:c r="E245" s="178"/>
      <x:c r="F245" s="178"/>
      <x:c r="G245" s="178"/>
      <x:c r="H245" s="178"/>
      <x:c r="I245" s="178"/>
      <x:c r="J245" s="178"/>
      <x:c r="K245" s="178"/>
      <x:c r="L245" s="178"/>
      <x:c r="M245" s="178"/>
      <x:c r="N245" s="178"/>
      <x:c r="O245" s="178"/>
      <x:c r="P245" s="178"/>
      <x:c r="Q245" s="178"/>
      <x:c r="R245" s="178"/>
      <x:c r="S245" s="178"/>
      <x:c r="T245" s="178"/>
      <x:c r="U245" s="178"/>
      <x:c r="V245" s="178"/>
      <x:c r="W245" s="178"/>
      <x:c r="X245" s="178"/>
      <x:c r="Y245" s="178"/>
      <x:c r="Z245" s="178"/>
    </x:row>
    <x:row r="246">
      <x:c r="A246" s="178"/>
      <x:c r="B246" s="178"/>
      <x:c r="C246" s="178"/>
      <x:c r="D246" s="178"/>
      <x:c r="E246" s="178"/>
      <x:c r="F246" s="178"/>
      <x:c r="G246" s="178"/>
      <x:c r="H246" s="178"/>
      <x:c r="I246" s="178"/>
      <x:c r="J246" s="178"/>
      <x:c r="K246" s="178"/>
      <x:c r="L246" s="178"/>
      <x:c r="M246" s="178"/>
      <x:c r="N246" s="178"/>
      <x:c r="O246" s="178"/>
      <x:c r="P246" s="178"/>
      <x:c r="Q246" s="178"/>
      <x:c r="R246" s="178"/>
      <x:c r="S246" s="178"/>
      <x:c r="T246" s="178"/>
      <x:c r="U246" s="178"/>
      <x:c r="V246" s="178"/>
      <x:c r="W246" s="178"/>
      <x:c r="X246" s="178"/>
      <x:c r="Y246" s="178"/>
      <x:c r="Z246" s="178"/>
    </x:row>
    <x:row r="247">
      <x:c r="A247" s="178"/>
      <x:c r="B247" s="178"/>
      <x:c r="C247" s="178"/>
      <x:c r="D247" s="178"/>
      <x:c r="E247" s="178"/>
      <x:c r="F247" s="178"/>
      <x:c r="G247" s="178"/>
      <x:c r="H247" s="178"/>
      <x:c r="I247" s="178"/>
      <x:c r="J247" s="178"/>
      <x:c r="K247" s="178"/>
      <x:c r="L247" s="178"/>
      <x:c r="M247" s="178"/>
      <x:c r="N247" s="178"/>
      <x:c r="O247" s="178"/>
      <x:c r="P247" s="178"/>
      <x:c r="Q247" s="178"/>
      <x:c r="R247" s="178"/>
      <x:c r="S247" s="178"/>
      <x:c r="T247" s="178"/>
      <x:c r="U247" s="178"/>
      <x:c r="V247" s="178"/>
      <x:c r="W247" s="178"/>
      <x:c r="X247" s="178"/>
      <x:c r="Y247" s="178"/>
      <x:c r="Z247" s="178"/>
    </x:row>
    <x:row r="248">
      <x:c r="A248" s="178"/>
      <x:c r="B248" s="178"/>
      <x:c r="C248" s="178"/>
      <x:c r="D248" s="178"/>
      <x:c r="E248" s="178"/>
      <x:c r="F248" s="178"/>
      <x:c r="G248" s="178"/>
      <x:c r="H248" s="178"/>
      <x:c r="I248" s="178"/>
      <x:c r="J248" s="178"/>
      <x:c r="K248" s="178"/>
      <x:c r="L248" s="178"/>
      <x:c r="M248" s="178"/>
      <x:c r="N248" s="178"/>
      <x:c r="O248" s="178"/>
      <x:c r="P248" s="178"/>
      <x:c r="Q248" s="178"/>
      <x:c r="R248" s="178"/>
      <x:c r="S248" s="178"/>
      <x:c r="T248" s="178"/>
      <x:c r="U248" s="178"/>
      <x:c r="V248" s="178"/>
      <x:c r="W248" s="178"/>
      <x:c r="X248" s="178"/>
      <x:c r="Y248" s="178"/>
      <x:c r="Z248" s="178"/>
    </x:row>
    <x:row r="249">
      <x:c r="A249" s="178"/>
      <x:c r="B249" s="178"/>
      <x:c r="C249" s="178"/>
      <x:c r="D249" s="178"/>
      <x:c r="E249" s="178"/>
      <x:c r="F249" s="178"/>
      <x:c r="G249" s="178"/>
      <x:c r="H249" s="178"/>
      <x:c r="I249" s="178"/>
      <x:c r="J249" s="178"/>
      <x:c r="K249" s="178"/>
      <x:c r="L249" s="178"/>
      <x:c r="M249" s="178"/>
      <x:c r="N249" s="178"/>
      <x:c r="O249" s="178"/>
      <x:c r="P249" s="178"/>
      <x:c r="Q249" s="178"/>
      <x:c r="R249" s="178"/>
      <x:c r="S249" s="178"/>
      <x:c r="T249" s="178"/>
      <x:c r="U249" s="178"/>
      <x:c r="V249" s="178"/>
      <x:c r="W249" s="178"/>
      <x:c r="X249" s="178"/>
      <x:c r="Y249" s="178"/>
      <x:c r="Z249" s="178"/>
    </x:row>
    <x:row r="250">
      <x:c r="A250" s="178"/>
      <x:c r="B250" s="178"/>
      <x:c r="C250" s="178"/>
      <x:c r="D250" s="178"/>
      <x:c r="E250" s="178"/>
      <x:c r="F250" s="178"/>
      <x:c r="G250" s="178"/>
      <x:c r="H250" s="178"/>
      <x:c r="I250" s="178"/>
      <x:c r="J250" s="178"/>
      <x:c r="K250" s="178"/>
      <x:c r="L250" s="178"/>
      <x:c r="M250" s="178"/>
      <x:c r="N250" s="178"/>
      <x:c r="O250" s="178"/>
      <x:c r="P250" s="178"/>
      <x:c r="Q250" s="178"/>
      <x:c r="R250" s="178"/>
      <x:c r="S250" s="178"/>
      <x:c r="T250" s="178"/>
      <x:c r="U250" s="178"/>
      <x:c r="V250" s="178"/>
      <x:c r="W250" s="178"/>
      <x:c r="X250" s="178"/>
      <x:c r="Y250" s="178"/>
      <x:c r="Z250" s="178"/>
    </x:row>
    <x:row r="251">
      <x:c r="A251" s="178"/>
      <x:c r="B251" s="178"/>
      <x:c r="C251" s="178"/>
      <x:c r="D251" s="178"/>
      <x:c r="E251" s="178"/>
      <x:c r="F251" s="178"/>
      <x:c r="G251" s="178"/>
      <x:c r="H251" s="178"/>
      <x:c r="I251" s="178"/>
      <x:c r="J251" s="178"/>
      <x:c r="K251" s="178"/>
      <x:c r="L251" s="178"/>
      <x:c r="M251" s="178"/>
      <x:c r="N251" s="178"/>
      <x:c r="O251" s="178"/>
      <x:c r="P251" s="178"/>
      <x:c r="Q251" s="178"/>
      <x:c r="R251" s="178"/>
      <x:c r="S251" s="178"/>
      <x:c r="T251" s="178"/>
      <x:c r="U251" s="178"/>
      <x:c r="V251" s="178"/>
      <x:c r="W251" s="178"/>
      <x:c r="X251" s="178"/>
      <x:c r="Y251" s="178"/>
      <x:c r="Z251" s="178"/>
    </x:row>
    <x:row r="252">
      <x:c r="A252" s="178"/>
      <x:c r="B252" s="178"/>
      <x:c r="C252" s="178"/>
      <x:c r="D252" s="178"/>
      <x:c r="E252" s="178"/>
      <x:c r="F252" s="178"/>
      <x:c r="G252" s="178"/>
      <x:c r="H252" s="178"/>
      <x:c r="I252" s="178"/>
      <x:c r="J252" s="178"/>
      <x:c r="K252" s="178"/>
      <x:c r="L252" s="178"/>
      <x:c r="M252" s="178"/>
      <x:c r="N252" s="178"/>
      <x:c r="O252" s="178"/>
      <x:c r="P252" s="178"/>
      <x:c r="Q252" s="178"/>
      <x:c r="R252" s="178"/>
      <x:c r="S252" s="178"/>
      <x:c r="T252" s="178"/>
      <x:c r="U252" s="178"/>
      <x:c r="V252" s="178"/>
      <x:c r="W252" s="178"/>
      <x:c r="X252" s="178"/>
      <x:c r="Y252" s="178"/>
      <x:c r="Z252" s="178"/>
    </x:row>
    <x:row r="253">
      <x:c r="A253" s="178"/>
      <x:c r="B253" s="178"/>
      <x:c r="C253" s="178"/>
      <x:c r="D253" s="178"/>
      <x:c r="E253" s="178"/>
      <x:c r="F253" s="178"/>
      <x:c r="G253" s="178"/>
      <x:c r="H253" s="178"/>
      <x:c r="I253" s="178"/>
      <x:c r="J253" s="178"/>
      <x:c r="K253" s="178"/>
      <x:c r="L253" s="178"/>
      <x:c r="M253" s="178"/>
      <x:c r="N253" s="178"/>
      <x:c r="O253" s="178"/>
      <x:c r="P253" s="178"/>
      <x:c r="Q253" s="178"/>
      <x:c r="R253" s="178"/>
      <x:c r="S253" s="178"/>
      <x:c r="T253" s="178"/>
      <x:c r="U253" s="178"/>
      <x:c r="V253" s="178"/>
      <x:c r="W253" s="178"/>
      <x:c r="X253" s="178"/>
      <x:c r="Y253" s="178"/>
      <x:c r="Z253" s="178"/>
    </x:row>
    <x:row r="254">
      <x:c r="A254" s="178"/>
      <x:c r="B254" s="178"/>
      <x:c r="C254" s="178"/>
      <x:c r="D254" s="178"/>
      <x:c r="E254" s="178"/>
      <x:c r="F254" s="178"/>
      <x:c r="G254" s="178"/>
      <x:c r="H254" s="178"/>
      <x:c r="I254" s="178"/>
      <x:c r="J254" s="178"/>
      <x:c r="K254" s="178"/>
      <x:c r="L254" s="178"/>
      <x:c r="M254" s="178"/>
      <x:c r="N254" s="178"/>
      <x:c r="O254" s="178"/>
      <x:c r="P254" s="178"/>
      <x:c r="Q254" s="178"/>
      <x:c r="R254" s="178"/>
      <x:c r="S254" s="178"/>
      <x:c r="T254" s="178"/>
      <x:c r="U254" s="178"/>
      <x:c r="V254" s="178"/>
      <x:c r="W254" s="178"/>
      <x:c r="X254" s="178"/>
      <x:c r="Y254" s="178"/>
      <x:c r="Z254" s="178"/>
    </x:row>
    <x:row r="255">
      <x:c r="A255" s="178"/>
      <x:c r="B255" s="178"/>
      <x:c r="C255" s="178"/>
      <x:c r="D255" s="178"/>
      <x:c r="E255" s="178"/>
      <x:c r="F255" s="178"/>
      <x:c r="G255" s="178"/>
      <x:c r="H255" s="178"/>
      <x:c r="I255" s="178"/>
      <x:c r="J255" s="178"/>
      <x:c r="K255" s="178"/>
      <x:c r="L255" s="178"/>
      <x:c r="M255" s="178"/>
      <x:c r="N255" s="178"/>
      <x:c r="O255" s="178"/>
      <x:c r="P255" s="178"/>
      <x:c r="Q255" s="178"/>
      <x:c r="R255" s="178"/>
      <x:c r="S255" s="178"/>
      <x:c r="T255" s="178"/>
      <x:c r="U255" s="178"/>
      <x:c r="V255" s="178"/>
      <x:c r="W255" s="178"/>
      <x:c r="X255" s="178"/>
      <x:c r="Y255" s="178"/>
      <x:c r="Z255" s="178"/>
    </x:row>
    <x:row r="256">
      <x:c r="A256" s="178"/>
      <x:c r="B256" s="178"/>
      <x:c r="C256" s="178"/>
      <x:c r="D256" s="178"/>
      <x:c r="E256" s="178"/>
      <x:c r="F256" s="178"/>
      <x:c r="G256" s="178"/>
      <x:c r="H256" s="178"/>
      <x:c r="I256" s="178"/>
      <x:c r="J256" s="178"/>
      <x:c r="K256" s="178"/>
      <x:c r="L256" s="178"/>
      <x:c r="M256" s="178"/>
      <x:c r="N256" s="178"/>
      <x:c r="O256" s="178"/>
      <x:c r="P256" s="178"/>
      <x:c r="Q256" s="178"/>
      <x:c r="R256" s="178"/>
      <x:c r="S256" s="178"/>
      <x:c r="T256" s="178"/>
      <x:c r="U256" s="178"/>
      <x:c r="V256" s="178"/>
      <x:c r="W256" s="178"/>
      <x:c r="X256" s="178"/>
      <x:c r="Y256" s="178"/>
      <x:c r="Z256" s="178"/>
    </x:row>
    <x:row r="257">
      <x:c r="A257" s="178"/>
      <x:c r="B257" s="178"/>
      <x:c r="C257" s="178"/>
      <x:c r="D257" s="178"/>
      <x:c r="E257" s="178"/>
      <x:c r="F257" s="178"/>
      <x:c r="G257" s="178"/>
      <x:c r="H257" s="178"/>
      <x:c r="I257" s="178"/>
      <x:c r="J257" s="178"/>
      <x:c r="K257" s="178"/>
      <x:c r="L257" s="178"/>
      <x:c r="M257" s="178"/>
      <x:c r="N257" s="178"/>
      <x:c r="O257" s="178"/>
      <x:c r="P257" s="178"/>
      <x:c r="Q257" s="178"/>
      <x:c r="R257" s="178"/>
      <x:c r="S257" s="178"/>
      <x:c r="T257" s="178"/>
      <x:c r="U257" s="178"/>
      <x:c r="V257" s="178"/>
      <x:c r="W257" s="178"/>
      <x:c r="X257" s="178"/>
      <x:c r="Y257" s="178"/>
      <x:c r="Z257" s="178"/>
    </x:row>
    <x:row r="258">
      <x:c r="A258" s="178"/>
      <x:c r="B258" s="178"/>
      <x:c r="C258" s="178"/>
      <x:c r="D258" s="178"/>
      <x:c r="E258" s="178"/>
      <x:c r="F258" s="178"/>
      <x:c r="G258" s="178"/>
      <x:c r="H258" s="178"/>
      <x:c r="I258" s="178"/>
      <x:c r="J258" s="178"/>
      <x:c r="K258" s="178"/>
      <x:c r="L258" s="178"/>
      <x:c r="M258" s="178"/>
      <x:c r="N258" s="178"/>
      <x:c r="O258" s="178"/>
      <x:c r="P258" s="178"/>
      <x:c r="Q258" s="178"/>
      <x:c r="R258" s="178"/>
      <x:c r="S258" s="178"/>
      <x:c r="T258" s="178"/>
      <x:c r="U258" s="178"/>
      <x:c r="V258" s="178"/>
      <x:c r="W258" s="178"/>
      <x:c r="X258" s="178"/>
      <x:c r="Y258" s="178"/>
      <x:c r="Z258" s="178"/>
    </x:row>
    <x:row r="259">
      <x:c r="A259" s="178"/>
      <x:c r="B259" s="178"/>
      <x:c r="C259" s="178"/>
      <x:c r="D259" s="178"/>
      <x:c r="E259" s="178"/>
      <x:c r="F259" s="178"/>
      <x:c r="G259" s="178"/>
      <x:c r="H259" s="178"/>
      <x:c r="I259" s="178"/>
      <x:c r="J259" s="178"/>
      <x:c r="K259" s="178"/>
      <x:c r="L259" s="178"/>
      <x:c r="M259" s="178"/>
      <x:c r="N259" s="178"/>
      <x:c r="O259" s="178"/>
      <x:c r="P259" s="178"/>
      <x:c r="Q259" s="178"/>
      <x:c r="R259" s="178"/>
      <x:c r="S259" s="178"/>
      <x:c r="T259" s="178"/>
      <x:c r="U259" s="178"/>
      <x:c r="V259" s="178"/>
      <x:c r="W259" s="178"/>
      <x:c r="X259" s="178"/>
      <x:c r="Y259" s="178"/>
      <x:c r="Z259" s="178"/>
    </x:row>
    <x:row r="260">
      <x:c r="A260" s="178"/>
      <x:c r="B260" s="178"/>
      <x:c r="C260" s="178"/>
      <x:c r="D260" s="178"/>
      <x:c r="E260" s="178"/>
      <x:c r="F260" s="178"/>
      <x:c r="G260" s="178"/>
      <x:c r="H260" s="178"/>
      <x:c r="I260" s="178"/>
      <x:c r="J260" s="178"/>
      <x:c r="K260" s="178"/>
      <x:c r="L260" s="178"/>
      <x:c r="M260" s="178"/>
      <x:c r="N260" s="178"/>
      <x:c r="O260" s="178"/>
      <x:c r="P260" s="178"/>
      <x:c r="Q260" s="178"/>
      <x:c r="R260" s="178"/>
      <x:c r="S260" s="178"/>
      <x:c r="T260" s="178"/>
      <x:c r="U260" s="178"/>
      <x:c r="V260" s="178"/>
      <x:c r="W260" s="178"/>
      <x:c r="X260" s="178"/>
      <x:c r="Y260" s="178"/>
      <x:c r="Z260" s="178"/>
    </x:row>
    <x:row r="261">
      <x:c r="A261" s="178"/>
      <x:c r="B261" s="178"/>
      <x:c r="C261" s="178"/>
      <x:c r="D261" s="178"/>
      <x:c r="E261" s="178"/>
      <x:c r="F261" s="178"/>
      <x:c r="G261" s="178"/>
      <x:c r="H261" s="178"/>
      <x:c r="I261" s="178"/>
      <x:c r="J261" s="178"/>
      <x:c r="K261" s="178"/>
      <x:c r="L261" s="178"/>
      <x:c r="M261" s="178"/>
      <x:c r="N261" s="178"/>
      <x:c r="O261" s="178"/>
      <x:c r="P261" s="178"/>
      <x:c r="Q261" s="178"/>
      <x:c r="R261" s="178"/>
      <x:c r="S261" s="178"/>
      <x:c r="T261" s="178"/>
      <x:c r="U261" s="178"/>
      <x:c r="V261" s="178"/>
      <x:c r="W261" s="178"/>
      <x:c r="X261" s="178"/>
      <x:c r="Y261" s="178"/>
      <x:c r="Z261" s="178"/>
    </x:row>
    <x:row r="262">
      <x:c r="A262" s="178"/>
      <x:c r="B262" s="178"/>
      <x:c r="C262" s="178"/>
      <x:c r="D262" s="178"/>
      <x:c r="E262" s="178"/>
      <x:c r="F262" s="178"/>
      <x:c r="G262" s="178"/>
      <x:c r="H262" s="178"/>
      <x:c r="I262" s="178"/>
      <x:c r="J262" s="178"/>
      <x:c r="K262" s="178"/>
      <x:c r="L262" s="178"/>
      <x:c r="M262" s="178"/>
      <x:c r="N262" s="178"/>
      <x:c r="O262" s="178"/>
      <x:c r="P262" s="178"/>
      <x:c r="Q262" s="178"/>
      <x:c r="R262" s="178"/>
      <x:c r="S262" s="178"/>
      <x:c r="T262" s="178"/>
      <x:c r="U262" s="178"/>
      <x:c r="V262" s="178"/>
      <x:c r="W262" s="178"/>
      <x:c r="X262" s="178"/>
      <x:c r="Y262" s="178"/>
      <x:c r="Z262" s="178"/>
    </x:row>
    <x:row r="263">
      <x:c r="A263" s="178"/>
      <x:c r="B263" s="178"/>
      <x:c r="C263" s="178"/>
      <x:c r="D263" s="178"/>
      <x:c r="E263" s="178"/>
      <x:c r="F263" s="178"/>
      <x:c r="G263" s="178"/>
      <x:c r="H263" s="178"/>
      <x:c r="I263" s="178"/>
      <x:c r="J263" s="178"/>
      <x:c r="K263" s="178"/>
      <x:c r="L263" s="178"/>
      <x:c r="M263" s="178"/>
      <x:c r="N263" s="178"/>
      <x:c r="O263" s="178"/>
      <x:c r="P263" s="178"/>
      <x:c r="Q263" s="178"/>
      <x:c r="R263" s="178"/>
      <x:c r="S263" s="178"/>
      <x:c r="T263" s="178"/>
      <x:c r="U263" s="178"/>
      <x:c r="V263" s="178"/>
      <x:c r="W263" s="178"/>
      <x:c r="X263" s="178"/>
      <x:c r="Y263" s="178"/>
      <x:c r="Z263" s="178"/>
    </x:row>
    <x:row r="264">
      <x:c r="A264" s="178"/>
      <x:c r="B264" s="178"/>
      <x:c r="C264" s="178"/>
      <x:c r="D264" s="178"/>
      <x:c r="E264" s="178"/>
      <x:c r="F264" s="178"/>
      <x:c r="G264" s="178"/>
      <x:c r="H264" s="178"/>
      <x:c r="I264" s="178"/>
      <x:c r="J264" s="178"/>
      <x:c r="K264" s="178"/>
      <x:c r="L264" s="178"/>
      <x:c r="M264" s="178"/>
      <x:c r="N264" s="178"/>
      <x:c r="O264" s="178"/>
      <x:c r="P264" s="178"/>
      <x:c r="Q264" s="178"/>
      <x:c r="R264" s="178"/>
      <x:c r="S264" s="178"/>
      <x:c r="T264" s="178"/>
      <x:c r="U264" s="178"/>
      <x:c r="V264" s="178"/>
      <x:c r="W264" s="178"/>
      <x:c r="X264" s="178"/>
      <x:c r="Y264" s="178"/>
      <x:c r="Z264" s="178"/>
    </x:row>
    <x:row r="265">
      <x:c r="A265" s="178"/>
      <x:c r="B265" s="178"/>
      <x:c r="C265" s="178"/>
      <x:c r="D265" s="178"/>
      <x:c r="E265" s="178"/>
      <x:c r="F265" s="178"/>
      <x:c r="G265" s="178"/>
      <x:c r="H265" s="178"/>
      <x:c r="I265" s="178"/>
      <x:c r="J265" s="178"/>
      <x:c r="K265" s="178"/>
      <x:c r="L265" s="178"/>
      <x:c r="M265" s="178"/>
      <x:c r="N265" s="178"/>
      <x:c r="O265" s="178"/>
      <x:c r="P265" s="178"/>
      <x:c r="Q265" s="178"/>
      <x:c r="R265" s="178"/>
      <x:c r="S265" s="178"/>
      <x:c r="T265" s="178"/>
      <x:c r="U265" s="178"/>
      <x:c r="V265" s="178"/>
      <x:c r="W265" s="178"/>
      <x:c r="X265" s="178"/>
      <x:c r="Y265" s="178"/>
      <x:c r="Z265" s="178"/>
    </x:row>
    <x:row r="266">
      <x:c r="A266" s="178"/>
      <x:c r="B266" s="178"/>
      <x:c r="C266" s="178"/>
      <x:c r="D266" s="178"/>
      <x:c r="E266" s="178"/>
      <x:c r="F266" s="178"/>
      <x:c r="G266" s="178"/>
      <x:c r="H266" s="178"/>
      <x:c r="I266" s="178"/>
      <x:c r="J266" s="178"/>
      <x:c r="K266" s="178"/>
      <x:c r="L266" s="178"/>
      <x:c r="M266" s="178"/>
      <x:c r="N266" s="178"/>
      <x:c r="O266" s="178"/>
      <x:c r="P266" s="178"/>
      <x:c r="Q266" s="178"/>
      <x:c r="R266" s="178"/>
      <x:c r="S266" s="178"/>
      <x:c r="T266" s="178"/>
      <x:c r="U266" s="178"/>
      <x:c r="V266" s="178"/>
      <x:c r="W266" s="178"/>
      <x:c r="X266" s="178"/>
      <x:c r="Y266" s="178"/>
      <x:c r="Z266" s="178"/>
    </x:row>
    <x:row r="267">
      <x:c r="A267" s="178"/>
      <x:c r="B267" s="178"/>
      <x:c r="C267" s="178"/>
      <x:c r="D267" s="178"/>
      <x:c r="E267" s="178"/>
      <x:c r="F267" s="178"/>
      <x:c r="G267" s="178"/>
      <x:c r="H267" s="178"/>
      <x:c r="I267" s="178"/>
      <x:c r="J267" s="178"/>
      <x:c r="K267" s="178"/>
      <x:c r="L267" s="178"/>
      <x:c r="M267" s="178"/>
      <x:c r="N267" s="178"/>
      <x:c r="O267" s="178"/>
      <x:c r="P267" s="178"/>
      <x:c r="Q267" s="178"/>
      <x:c r="R267" s="178"/>
      <x:c r="S267" s="178"/>
      <x:c r="T267" s="178"/>
      <x:c r="U267" s="178"/>
      <x:c r="V267" s="178"/>
      <x:c r="W267" s="178"/>
      <x:c r="X267" s="178"/>
      <x:c r="Y267" s="178"/>
      <x:c r="Z267" s="178"/>
    </x:row>
    <x:row r="268">
      <x:c r="A268" s="178"/>
      <x:c r="B268" s="178"/>
      <x:c r="C268" s="178"/>
      <x:c r="D268" s="178"/>
      <x:c r="E268" s="178"/>
      <x:c r="F268" s="178"/>
      <x:c r="G268" s="178"/>
      <x:c r="H268" s="178"/>
      <x:c r="I268" s="178"/>
      <x:c r="J268" s="178"/>
      <x:c r="K268" s="178"/>
      <x:c r="L268" s="178"/>
      <x:c r="M268" s="178"/>
      <x:c r="N268" s="178"/>
      <x:c r="O268" s="178"/>
      <x:c r="P268" s="178"/>
      <x:c r="Q268" s="178"/>
      <x:c r="R268" s="178"/>
      <x:c r="S268" s="178"/>
      <x:c r="T268" s="178"/>
      <x:c r="U268" s="178"/>
      <x:c r="V268" s="178"/>
      <x:c r="W268" s="178"/>
      <x:c r="X268" s="178"/>
      <x:c r="Y268" s="178"/>
      <x:c r="Z268" s="178"/>
    </x:row>
    <x:row r="269">
      <x:c r="A269" s="178"/>
      <x:c r="B269" s="178"/>
      <x:c r="C269" s="178"/>
      <x:c r="D269" s="178"/>
      <x:c r="E269" s="178"/>
      <x:c r="F269" s="178"/>
      <x:c r="G269" s="178"/>
      <x:c r="H269" s="178"/>
      <x:c r="I269" s="178"/>
      <x:c r="J269" s="178"/>
      <x:c r="K269" s="178"/>
      <x:c r="L269" s="178"/>
      <x:c r="M269" s="178"/>
      <x:c r="N269" s="178"/>
      <x:c r="O269" s="178"/>
      <x:c r="P269" s="178"/>
      <x:c r="Q269" s="178"/>
      <x:c r="R269" s="178"/>
      <x:c r="S269" s="178"/>
      <x:c r="T269" s="178"/>
      <x:c r="U269" s="178"/>
      <x:c r="V269" s="178"/>
      <x:c r="W269" s="178"/>
      <x:c r="X269" s="178"/>
      <x:c r="Y269" s="178"/>
      <x:c r="Z269" s="178"/>
    </x:row>
    <x:row r="270">
      <x:c r="A270" s="178"/>
      <x:c r="B270" s="178"/>
      <x:c r="C270" s="178"/>
      <x:c r="D270" s="178"/>
      <x:c r="E270" s="178"/>
      <x:c r="F270" s="178"/>
      <x:c r="G270" s="178"/>
      <x:c r="H270" s="178"/>
      <x:c r="I270" s="178"/>
      <x:c r="J270" s="178"/>
      <x:c r="K270" s="178"/>
      <x:c r="L270" s="178"/>
      <x:c r="M270" s="178"/>
      <x:c r="N270" s="178"/>
      <x:c r="O270" s="178"/>
      <x:c r="P270" s="178"/>
      <x:c r="Q270" s="178"/>
      <x:c r="R270" s="178"/>
      <x:c r="S270" s="178"/>
      <x:c r="T270" s="178"/>
      <x:c r="U270" s="178"/>
      <x:c r="V270" s="178"/>
      <x:c r="W270" s="178"/>
      <x:c r="X270" s="178"/>
      <x:c r="Y270" s="178"/>
      <x:c r="Z270" s="178"/>
    </x:row>
    <x:row r="271">
      <x:c r="A271" s="178"/>
      <x:c r="B271" s="178"/>
      <x:c r="C271" s="178"/>
      <x:c r="D271" s="178"/>
      <x:c r="E271" s="178"/>
      <x:c r="F271" s="178"/>
      <x:c r="G271" s="178"/>
      <x:c r="H271" s="178"/>
      <x:c r="I271" s="178"/>
      <x:c r="J271" s="178"/>
      <x:c r="K271" s="178"/>
      <x:c r="L271" s="178"/>
      <x:c r="M271" s="178"/>
      <x:c r="N271" s="178"/>
      <x:c r="O271" s="178"/>
      <x:c r="P271" s="178"/>
      <x:c r="Q271" s="178"/>
      <x:c r="R271" s="178"/>
      <x:c r="S271" s="178"/>
      <x:c r="T271" s="178"/>
      <x:c r="U271" s="178"/>
      <x:c r="V271" s="178"/>
      <x:c r="W271" s="178"/>
      <x:c r="X271" s="178"/>
      <x:c r="Y271" s="178"/>
      <x:c r="Z271" s="178"/>
    </x:row>
    <x:row r="272">
      <x:c r="A272" s="178"/>
      <x:c r="B272" s="178"/>
      <x:c r="C272" s="178"/>
      <x:c r="D272" s="178"/>
      <x:c r="E272" s="178"/>
      <x:c r="F272" s="178"/>
      <x:c r="G272" s="178"/>
      <x:c r="H272" s="178"/>
      <x:c r="I272" s="178"/>
      <x:c r="J272" s="178"/>
      <x:c r="K272" s="178"/>
      <x:c r="L272" s="178"/>
      <x:c r="M272" s="178"/>
      <x:c r="N272" s="178"/>
      <x:c r="O272" s="178"/>
      <x:c r="P272" s="178"/>
      <x:c r="Q272" s="178"/>
      <x:c r="R272" s="178"/>
      <x:c r="S272" s="178"/>
      <x:c r="T272" s="178"/>
      <x:c r="U272" s="178"/>
      <x:c r="V272" s="178"/>
      <x:c r="W272" s="178"/>
      <x:c r="X272" s="178"/>
      <x:c r="Y272" s="178"/>
      <x:c r="Z272" s="178"/>
    </x:row>
    <x:row r="273">
      <x:c r="A273" s="178"/>
      <x:c r="B273" s="178"/>
      <x:c r="C273" s="178"/>
      <x:c r="D273" s="178"/>
      <x:c r="E273" s="178"/>
      <x:c r="F273" s="178"/>
      <x:c r="G273" s="178"/>
      <x:c r="H273" s="178"/>
      <x:c r="I273" s="178"/>
      <x:c r="J273" s="178"/>
      <x:c r="K273" s="178"/>
      <x:c r="L273" s="178"/>
      <x:c r="M273" s="178"/>
      <x:c r="N273" s="178"/>
      <x:c r="O273" s="178"/>
      <x:c r="P273" s="178"/>
      <x:c r="Q273" s="178"/>
      <x:c r="R273" s="178"/>
      <x:c r="S273" s="178"/>
      <x:c r="T273" s="178"/>
      <x:c r="U273" s="178"/>
      <x:c r="V273" s="178"/>
      <x:c r="W273" s="178"/>
      <x:c r="X273" s="178"/>
      <x:c r="Y273" s="178"/>
      <x:c r="Z273" s="178"/>
    </x:row>
    <x:row r="274">
      <x:c r="A274" s="178"/>
      <x:c r="B274" s="178"/>
      <x:c r="C274" s="178"/>
      <x:c r="D274" s="178"/>
      <x:c r="E274" s="178"/>
      <x:c r="F274" s="178"/>
      <x:c r="G274" s="178"/>
      <x:c r="H274" s="178"/>
      <x:c r="I274" s="178"/>
      <x:c r="J274" s="178"/>
      <x:c r="K274" s="178"/>
      <x:c r="L274" s="178"/>
      <x:c r="M274" s="178"/>
      <x:c r="N274" s="178"/>
      <x:c r="O274" s="178"/>
      <x:c r="P274" s="178"/>
      <x:c r="Q274" s="178"/>
      <x:c r="R274" s="178"/>
      <x:c r="S274" s="178"/>
      <x:c r="T274" s="178"/>
      <x:c r="U274" s="178"/>
      <x:c r="V274" s="178"/>
      <x:c r="W274" s="178"/>
      <x:c r="X274" s="178"/>
      <x:c r="Y274" s="178"/>
      <x:c r="Z274" s="178"/>
    </x:row>
    <x:row r="275">
      <x:c r="A275" s="178"/>
      <x:c r="B275" s="178"/>
      <x:c r="C275" s="178"/>
      <x:c r="D275" s="178"/>
      <x:c r="E275" s="178"/>
      <x:c r="F275" s="178"/>
      <x:c r="G275" s="178"/>
      <x:c r="H275" s="178"/>
      <x:c r="I275" s="178"/>
      <x:c r="J275" s="178"/>
      <x:c r="K275" s="178"/>
      <x:c r="L275" s="178"/>
      <x:c r="M275" s="178"/>
      <x:c r="N275" s="178"/>
      <x:c r="O275" s="178"/>
      <x:c r="P275" s="178"/>
      <x:c r="Q275" s="178"/>
      <x:c r="R275" s="178"/>
      <x:c r="S275" s="178"/>
      <x:c r="T275" s="178"/>
      <x:c r="U275" s="178"/>
      <x:c r="V275" s="178"/>
      <x:c r="W275" s="178"/>
      <x:c r="X275" s="178"/>
      <x:c r="Y275" s="178"/>
      <x:c r="Z275" s="178"/>
    </x:row>
    <x:row r="276">
      <x:c r="A276" s="178"/>
      <x:c r="B276" s="178"/>
      <x:c r="C276" s="178"/>
      <x:c r="D276" s="178"/>
      <x:c r="E276" s="178"/>
      <x:c r="F276" s="178"/>
      <x:c r="G276" s="178"/>
      <x:c r="H276" s="178"/>
      <x:c r="I276" s="178"/>
      <x:c r="J276" s="178"/>
      <x:c r="K276" s="178"/>
      <x:c r="L276" s="178"/>
      <x:c r="M276" s="178"/>
      <x:c r="N276" s="178"/>
      <x:c r="O276" s="178"/>
      <x:c r="P276" s="178"/>
      <x:c r="Q276" s="178"/>
      <x:c r="R276" s="178"/>
      <x:c r="S276" s="178"/>
      <x:c r="T276" s="178"/>
      <x:c r="U276" s="178"/>
      <x:c r="V276" s="178"/>
      <x:c r="W276" s="178"/>
      <x:c r="X276" s="178"/>
      <x:c r="Y276" s="178"/>
      <x:c r="Z276" s="178"/>
    </x:row>
    <x:row r="277">
      <x:c r="A277" s="178"/>
      <x:c r="B277" s="178"/>
      <x:c r="C277" s="178"/>
      <x:c r="D277" s="178"/>
      <x:c r="E277" s="178"/>
      <x:c r="F277" s="178"/>
      <x:c r="G277" s="178"/>
      <x:c r="H277" s="178"/>
      <x:c r="I277" s="178"/>
      <x:c r="J277" s="178"/>
      <x:c r="K277" s="178"/>
      <x:c r="L277" s="178"/>
      <x:c r="M277" s="178"/>
      <x:c r="N277" s="178"/>
      <x:c r="O277" s="178"/>
      <x:c r="P277" s="178"/>
      <x:c r="Q277" s="178"/>
      <x:c r="R277" s="178"/>
      <x:c r="S277" s="178"/>
      <x:c r="T277" s="178"/>
      <x:c r="U277" s="178"/>
      <x:c r="V277" s="178"/>
      <x:c r="W277" s="178"/>
      <x:c r="X277" s="178"/>
      <x:c r="Y277" s="178"/>
      <x:c r="Z277" s="178"/>
    </x:row>
    <x:row r="278">
      <x:c r="A278" s="178"/>
      <x:c r="B278" s="178"/>
      <x:c r="C278" s="178"/>
      <x:c r="D278" s="178"/>
      <x:c r="E278" s="178"/>
      <x:c r="F278" s="178"/>
      <x:c r="G278" s="178"/>
      <x:c r="H278" s="178"/>
      <x:c r="I278" s="178"/>
      <x:c r="J278" s="178"/>
      <x:c r="K278" s="178"/>
      <x:c r="L278" s="178"/>
      <x:c r="M278" s="178"/>
      <x:c r="N278" s="178"/>
      <x:c r="O278" s="178"/>
      <x:c r="P278" s="178"/>
      <x:c r="Q278" s="178"/>
      <x:c r="R278" s="178"/>
      <x:c r="S278" s="178"/>
      <x:c r="T278" s="178"/>
      <x:c r="U278" s="178"/>
      <x:c r="V278" s="178"/>
      <x:c r="W278" s="178"/>
      <x:c r="X278" s="178"/>
      <x:c r="Y278" s="178"/>
      <x:c r="Z278" s="178"/>
    </x:row>
    <x:row r="279">
      <x:c r="A279" s="178"/>
      <x:c r="B279" s="178"/>
      <x:c r="C279" s="178"/>
      <x:c r="D279" s="178"/>
      <x:c r="E279" s="178"/>
      <x:c r="F279" s="178"/>
      <x:c r="G279" s="178"/>
      <x:c r="H279" s="178"/>
      <x:c r="I279" s="178"/>
      <x:c r="J279" s="178"/>
      <x:c r="K279" s="178"/>
      <x:c r="L279" s="178"/>
      <x:c r="M279" s="178"/>
      <x:c r="N279" s="178"/>
      <x:c r="O279" s="178"/>
      <x:c r="P279" s="178"/>
      <x:c r="Q279" s="178"/>
      <x:c r="R279" s="178"/>
      <x:c r="S279" s="178"/>
      <x:c r="T279" s="178"/>
      <x:c r="U279" s="178"/>
      <x:c r="V279" s="178"/>
      <x:c r="W279" s="178"/>
      <x:c r="X279" s="178"/>
      <x:c r="Y279" s="178"/>
      <x:c r="Z279" s="178"/>
    </x:row>
    <x:row r="280">
      <x:c r="A280" s="178"/>
      <x:c r="B280" s="178"/>
      <x:c r="C280" s="178"/>
      <x:c r="D280" s="178"/>
      <x:c r="E280" s="178"/>
      <x:c r="F280" s="178"/>
      <x:c r="G280" s="178"/>
      <x:c r="H280" s="178"/>
      <x:c r="I280" s="178"/>
      <x:c r="J280" s="178"/>
      <x:c r="K280" s="178"/>
      <x:c r="L280" s="178"/>
      <x:c r="M280" s="178"/>
      <x:c r="N280" s="178"/>
      <x:c r="O280" s="178"/>
      <x:c r="P280" s="178"/>
      <x:c r="Q280" s="178"/>
      <x:c r="R280" s="178"/>
      <x:c r="S280" s="178"/>
      <x:c r="T280" s="178"/>
      <x:c r="U280" s="178"/>
      <x:c r="V280" s="178"/>
      <x:c r="W280" s="178"/>
      <x:c r="X280" s="178"/>
      <x:c r="Y280" s="178"/>
      <x:c r="Z280" s="178"/>
    </x:row>
    <x:row r="281">
      <x:c r="A281" s="178"/>
      <x:c r="B281" s="178"/>
      <x:c r="C281" s="178"/>
      <x:c r="D281" s="178"/>
      <x:c r="E281" s="178"/>
      <x:c r="F281" s="178"/>
      <x:c r="G281" s="178"/>
      <x:c r="H281" s="178"/>
      <x:c r="I281" s="178"/>
      <x:c r="J281" s="178"/>
      <x:c r="K281" s="178"/>
      <x:c r="L281" s="178"/>
      <x:c r="M281" s="178"/>
      <x:c r="N281" s="178"/>
      <x:c r="O281" s="178"/>
      <x:c r="P281" s="178"/>
      <x:c r="Q281" s="178"/>
      <x:c r="R281" s="178"/>
      <x:c r="S281" s="178"/>
      <x:c r="T281" s="178"/>
      <x:c r="U281" s="178"/>
      <x:c r="V281" s="178"/>
      <x:c r="W281" s="178"/>
      <x:c r="X281" s="178"/>
      <x:c r="Y281" s="178"/>
      <x:c r="Z281" s="178"/>
    </x:row>
    <x:row r="282">
      <x:c r="A282" s="178"/>
      <x:c r="B282" s="178"/>
      <x:c r="C282" s="178"/>
      <x:c r="D282" s="178"/>
      <x:c r="E282" s="178"/>
      <x:c r="F282" s="178"/>
      <x:c r="G282" s="178"/>
      <x:c r="H282" s="178"/>
      <x:c r="I282" s="178"/>
      <x:c r="J282" s="178"/>
      <x:c r="K282" s="178"/>
      <x:c r="L282" s="178"/>
      <x:c r="M282" s="178"/>
      <x:c r="N282" s="178"/>
      <x:c r="O282" s="178"/>
      <x:c r="P282" s="178"/>
      <x:c r="Q282" s="178"/>
      <x:c r="R282" s="178"/>
      <x:c r="S282" s="178"/>
      <x:c r="T282" s="178"/>
      <x:c r="U282" s="178"/>
      <x:c r="V282" s="178"/>
      <x:c r="W282" s="178"/>
      <x:c r="X282" s="178"/>
      <x:c r="Y282" s="178"/>
      <x:c r="Z282" s="178"/>
    </x:row>
    <x:row r="283">
      <x:c r="A283" s="178"/>
      <x:c r="B283" s="178"/>
      <x:c r="C283" s="178"/>
      <x:c r="D283" s="178"/>
      <x:c r="E283" s="178"/>
      <x:c r="F283" s="178"/>
      <x:c r="G283" s="178"/>
      <x:c r="H283" s="178"/>
      <x:c r="I283" s="178"/>
      <x:c r="J283" s="178"/>
      <x:c r="K283" s="178"/>
      <x:c r="L283" s="178"/>
      <x:c r="M283" s="178"/>
      <x:c r="N283" s="178"/>
      <x:c r="O283" s="178"/>
      <x:c r="P283" s="178"/>
      <x:c r="Q283" s="178"/>
      <x:c r="R283" s="178"/>
      <x:c r="S283" s="178"/>
      <x:c r="T283" s="178"/>
      <x:c r="U283" s="178"/>
      <x:c r="V283" s="178"/>
      <x:c r="W283" s="178"/>
      <x:c r="X283" s="178"/>
      <x:c r="Y283" s="178"/>
      <x:c r="Z283" s="178"/>
    </x:row>
    <x:row r="284">
      <x:c r="A284" s="178"/>
      <x:c r="B284" s="178"/>
      <x:c r="C284" s="178"/>
      <x:c r="D284" s="178"/>
      <x:c r="E284" s="178"/>
      <x:c r="F284" s="178"/>
      <x:c r="G284" s="178"/>
      <x:c r="H284" s="178"/>
      <x:c r="I284" s="178"/>
      <x:c r="J284" s="178"/>
      <x:c r="K284" s="178"/>
      <x:c r="L284" s="178"/>
      <x:c r="M284" s="178"/>
      <x:c r="N284" s="178"/>
      <x:c r="O284" s="178"/>
      <x:c r="P284" s="178"/>
      <x:c r="Q284" s="178"/>
      <x:c r="R284" s="178"/>
      <x:c r="S284" s="178"/>
      <x:c r="T284" s="178"/>
      <x:c r="U284" s="178"/>
      <x:c r="V284" s="178"/>
      <x:c r="W284" s="178"/>
      <x:c r="X284" s="178"/>
      <x:c r="Y284" s="178"/>
      <x:c r="Z284" s="178"/>
    </x:row>
    <x:row r="285">
      <x:c r="A285" s="178"/>
      <x:c r="B285" s="178"/>
      <x:c r="C285" s="178"/>
      <x:c r="D285" s="178"/>
      <x:c r="E285" s="178"/>
      <x:c r="F285" s="178"/>
      <x:c r="G285" s="178"/>
      <x:c r="H285" s="178"/>
      <x:c r="I285" s="178"/>
      <x:c r="J285" s="178"/>
      <x:c r="K285" s="178"/>
      <x:c r="L285" s="178"/>
      <x:c r="M285" s="178"/>
      <x:c r="N285" s="178"/>
      <x:c r="O285" s="178"/>
      <x:c r="P285" s="178"/>
      <x:c r="Q285" s="178"/>
      <x:c r="R285" s="178"/>
      <x:c r="S285" s="178"/>
      <x:c r="T285" s="178"/>
      <x:c r="U285" s="178"/>
      <x:c r="V285" s="178"/>
      <x:c r="W285" s="178"/>
      <x:c r="X285" s="178"/>
      <x:c r="Y285" s="178"/>
      <x:c r="Z285" s="178"/>
    </x:row>
    <x:row r="286">
      <x:c r="A286" s="178"/>
      <x:c r="B286" s="178"/>
      <x:c r="C286" s="178"/>
      <x:c r="D286" s="178"/>
      <x:c r="E286" s="178"/>
      <x:c r="F286" s="178"/>
      <x:c r="G286" s="178"/>
      <x:c r="H286" s="178"/>
      <x:c r="I286" s="178"/>
      <x:c r="J286" s="178"/>
      <x:c r="K286" s="178"/>
      <x:c r="L286" s="178"/>
      <x:c r="M286" s="178"/>
      <x:c r="N286" s="178"/>
      <x:c r="O286" s="178"/>
      <x:c r="P286" s="178"/>
      <x:c r="Q286" s="178"/>
      <x:c r="R286" s="178"/>
      <x:c r="S286" s="178"/>
      <x:c r="T286" s="178"/>
      <x:c r="U286" s="178"/>
      <x:c r="V286" s="178"/>
      <x:c r="W286" s="178"/>
      <x:c r="X286" s="178"/>
      <x:c r="Y286" s="178"/>
      <x:c r="Z286" s="178"/>
    </x:row>
    <x:row r="287">
      <x:c r="A287" s="178"/>
      <x:c r="B287" s="178"/>
      <x:c r="C287" s="178"/>
      <x:c r="D287" s="178"/>
      <x:c r="E287" s="178"/>
      <x:c r="F287" s="178"/>
      <x:c r="G287" s="178"/>
      <x:c r="H287" s="178"/>
      <x:c r="I287" s="178"/>
      <x:c r="J287" s="178"/>
      <x:c r="K287" s="178"/>
      <x:c r="L287" s="178"/>
      <x:c r="M287" s="178"/>
      <x:c r="N287" s="178"/>
      <x:c r="O287" s="178"/>
      <x:c r="P287" s="178"/>
      <x:c r="Q287" s="178"/>
      <x:c r="R287" s="178"/>
      <x:c r="S287" s="178"/>
      <x:c r="T287" s="178"/>
      <x:c r="U287" s="178"/>
      <x:c r="V287" s="178"/>
      <x:c r="W287" s="178"/>
      <x:c r="X287" s="178"/>
      <x:c r="Y287" s="178"/>
      <x:c r="Z287" s="178"/>
    </x:row>
    <x:row r="288">
      <x:c r="A288" s="178"/>
      <x:c r="B288" s="178"/>
      <x:c r="C288" s="178"/>
      <x:c r="D288" s="178"/>
      <x:c r="E288" s="178"/>
      <x:c r="F288" s="178"/>
      <x:c r="G288" s="178"/>
      <x:c r="H288" s="178"/>
      <x:c r="I288" s="178"/>
      <x:c r="J288" s="178"/>
      <x:c r="K288" s="178"/>
      <x:c r="L288" s="178"/>
      <x:c r="M288" s="178"/>
      <x:c r="N288" s="178"/>
      <x:c r="O288" s="178"/>
      <x:c r="P288" s="178"/>
      <x:c r="Q288" s="178"/>
      <x:c r="R288" s="178"/>
      <x:c r="S288" s="178"/>
      <x:c r="T288" s="178"/>
      <x:c r="U288" s="178"/>
      <x:c r="V288" s="178"/>
      <x:c r="W288" s="178"/>
      <x:c r="X288" s="178"/>
      <x:c r="Y288" s="178"/>
      <x:c r="Z288" s="178"/>
    </x:row>
    <x:row r="289">
      <x:c r="A289" s="178"/>
      <x:c r="B289" s="178"/>
      <x:c r="C289" s="178"/>
      <x:c r="D289" s="178"/>
      <x:c r="E289" s="178"/>
      <x:c r="F289" s="178"/>
      <x:c r="G289" s="178"/>
      <x:c r="H289" s="178"/>
      <x:c r="I289" s="178"/>
      <x:c r="J289" s="178"/>
      <x:c r="K289" s="178"/>
      <x:c r="L289" s="178"/>
      <x:c r="M289" s="178"/>
      <x:c r="N289" s="178"/>
      <x:c r="O289" s="178"/>
      <x:c r="P289" s="178"/>
      <x:c r="Q289" s="178"/>
      <x:c r="R289" s="178"/>
      <x:c r="S289" s="178"/>
      <x:c r="T289" s="178"/>
      <x:c r="U289" s="178"/>
      <x:c r="V289" s="178"/>
      <x:c r="W289" s="178"/>
      <x:c r="X289" s="178"/>
      <x:c r="Y289" s="178"/>
      <x:c r="Z289" s="178"/>
    </x:row>
    <x:row r="290">
      <x:c r="A290" s="178"/>
      <x:c r="B290" s="178"/>
      <x:c r="C290" s="178"/>
      <x:c r="D290" s="178"/>
      <x:c r="E290" s="178"/>
      <x:c r="F290" s="178"/>
      <x:c r="G290" s="178"/>
      <x:c r="H290" s="178"/>
      <x:c r="I290" s="178"/>
      <x:c r="J290" s="178"/>
      <x:c r="K290" s="178"/>
      <x:c r="L290" s="178"/>
      <x:c r="M290" s="178"/>
      <x:c r="N290" s="178"/>
      <x:c r="O290" s="178"/>
      <x:c r="P290" s="178"/>
      <x:c r="Q290" s="178"/>
      <x:c r="R290" s="178"/>
      <x:c r="S290" s="178"/>
      <x:c r="T290" s="178"/>
      <x:c r="U290" s="178"/>
      <x:c r="V290" s="178"/>
      <x:c r="W290" s="178"/>
      <x:c r="X290" s="178"/>
      <x:c r="Y290" s="178"/>
      <x:c r="Z290" s="178"/>
    </x:row>
    <x:row r="291">
      <x:c r="A291" s="178"/>
      <x:c r="B291" s="178"/>
      <x:c r="C291" s="178"/>
      <x:c r="D291" s="178"/>
      <x:c r="E291" s="178"/>
      <x:c r="F291" s="178"/>
      <x:c r="G291" s="178"/>
      <x:c r="H291" s="178"/>
      <x:c r="I291" s="178"/>
      <x:c r="J291" s="178"/>
      <x:c r="K291" s="178"/>
      <x:c r="L291" s="178"/>
      <x:c r="M291" s="178"/>
      <x:c r="N291" s="178"/>
      <x:c r="O291" s="178"/>
      <x:c r="P291" s="178"/>
      <x:c r="Q291" s="178"/>
      <x:c r="R291" s="178"/>
      <x:c r="S291" s="178"/>
      <x:c r="T291" s="178"/>
      <x:c r="U291" s="178"/>
      <x:c r="V291" s="178"/>
      <x:c r="W291" s="178"/>
      <x:c r="X291" s="178"/>
      <x:c r="Y291" s="178"/>
      <x:c r="Z291" s="178"/>
    </x:row>
    <x:row r="292">
      <x:c r="A292" s="178"/>
      <x:c r="B292" s="178"/>
      <x:c r="C292" s="178"/>
      <x:c r="D292" s="178"/>
      <x:c r="E292" s="178"/>
      <x:c r="F292" s="178"/>
      <x:c r="G292" s="178"/>
      <x:c r="H292" s="178"/>
      <x:c r="I292" s="178"/>
      <x:c r="J292" s="178"/>
      <x:c r="K292" s="178"/>
      <x:c r="L292" s="178"/>
      <x:c r="M292" s="178"/>
      <x:c r="N292" s="178"/>
      <x:c r="O292" s="178"/>
      <x:c r="P292" s="178"/>
      <x:c r="Q292" s="178"/>
      <x:c r="R292" s="178"/>
      <x:c r="S292" s="178"/>
      <x:c r="T292" s="178"/>
      <x:c r="U292" s="178"/>
      <x:c r="V292" s="178"/>
      <x:c r="W292" s="178"/>
      <x:c r="X292" s="178"/>
      <x:c r="Y292" s="178"/>
      <x:c r="Z292" s="178"/>
    </x:row>
    <x:row r="293">
      <x:c r="A293" s="178"/>
      <x:c r="B293" s="178"/>
      <x:c r="C293" s="178"/>
      <x:c r="D293" s="178"/>
      <x:c r="E293" s="178"/>
      <x:c r="F293" s="178"/>
      <x:c r="G293" s="178"/>
      <x:c r="H293" s="178"/>
      <x:c r="I293" s="178"/>
      <x:c r="J293" s="178"/>
      <x:c r="K293" s="178"/>
      <x:c r="L293" s="178"/>
      <x:c r="M293" s="178"/>
      <x:c r="N293" s="178"/>
      <x:c r="O293" s="178"/>
      <x:c r="P293" s="178"/>
      <x:c r="Q293" s="178"/>
      <x:c r="R293" s="178"/>
      <x:c r="S293" s="178"/>
      <x:c r="T293" s="178"/>
      <x:c r="U293" s="178"/>
      <x:c r="V293" s="178"/>
      <x:c r="W293" s="178"/>
      <x:c r="X293" s="178"/>
      <x:c r="Y293" s="178"/>
      <x:c r="Z293" s="178"/>
    </x:row>
    <x:row r="294">
      <x:c r="A294" s="178"/>
      <x:c r="B294" s="178"/>
      <x:c r="C294" s="178"/>
      <x:c r="D294" s="178"/>
      <x:c r="E294" s="178"/>
      <x:c r="F294" s="178"/>
      <x:c r="G294" s="178"/>
      <x:c r="H294" s="178"/>
      <x:c r="I294" s="178"/>
      <x:c r="J294" s="178"/>
      <x:c r="K294" s="178"/>
      <x:c r="L294" s="178"/>
      <x:c r="M294" s="178"/>
      <x:c r="N294" s="178"/>
      <x:c r="O294" s="178"/>
      <x:c r="P294" s="178"/>
      <x:c r="Q294" s="178"/>
      <x:c r="R294" s="178"/>
      <x:c r="S294" s="178"/>
      <x:c r="T294" s="178"/>
      <x:c r="U294" s="178"/>
      <x:c r="V294" s="178"/>
      <x:c r="W294" s="178"/>
      <x:c r="X294" s="178"/>
      <x:c r="Y294" s="178"/>
      <x:c r="Z294" s="178"/>
    </x:row>
    <x:row r="295">
      <x:c r="A295" s="178"/>
      <x:c r="B295" s="178"/>
      <x:c r="C295" s="178"/>
      <x:c r="D295" s="178"/>
      <x:c r="E295" s="178"/>
      <x:c r="F295" s="178"/>
      <x:c r="G295" s="178"/>
      <x:c r="H295" s="178"/>
      <x:c r="I295" s="178"/>
      <x:c r="J295" s="178"/>
      <x:c r="K295" s="178"/>
      <x:c r="L295" s="178"/>
      <x:c r="M295" s="178"/>
      <x:c r="N295" s="178"/>
      <x:c r="O295" s="178"/>
      <x:c r="P295" s="178"/>
      <x:c r="Q295" s="178"/>
      <x:c r="R295" s="178"/>
      <x:c r="S295" s="178"/>
      <x:c r="T295" s="178"/>
      <x:c r="U295" s="178"/>
      <x:c r="V295" s="178"/>
      <x:c r="W295" s="178"/>
      <x:c r="X295" s="178"/>
      <x:c r="Y295" s="178"/>
      <x:c r="Z295" s="178"/>
    </x:row>
    <x:row r="296">
      <x:c r="A296" s="178"/>
      <x:c r="B296" s="178"/>
      <x:c r="C296" s="178"/>
      <x:c r="D296" s="178"/>
      <x:c r="E296" s="178"/>
      <x:c r="F296" s="178"/>
      <x:c r="G296" s="178"/>
      <x:c r="H296" s="178"/>
      <x:c r="I296" s="178"/>
      <x:c r="J296" s="178"/>
      <x:c r="K296" s="178"/>
      <x:c r="L296" s="178"/>
      <x:c r="M296" s="178"/>
      <x:c r="N296" s="178"/>
      <x:c r="O296" s="178"/>
      <x:c r="P296" s="178"/>
      <x:c r="Q296" s="178"/>
      <x:c r="R296" s="178"/>
      <x:c r="S296" s="178"/>
      <x:c r="T296" s="178"/>
      <x:c r="U296" s="178"/>
      <x:c r="V296" s="178"/>
      <x:c r="W296" s="178"/>
      <x:c r="X296" s="178"/>
      <x:c r="Y296" s="178"/>
      <x:c r="Z296" s="178"/>
    </x:row>
    <x:row r="297">
      <x:c r="A297" s="178"/>
      <x:c r="B297" s="178"/>
      <x:c r="C297" s="178"/>
      <x:c r="D297" s="178"/>
      <x:c r="E297" s="178"/>
      <x:c r="F297" s="178"/>
      <x:c r="G297" s="178"/>
      <x:c r="H297" s="178"/>
      <x:c r="I297" s="178"/>
      <x:c r="J297" s="178"/>
      <x:c r="K297" s="178"/>
      <x:c r="L297" s="178"/>
      <x:c r="M297" s="178"/>
      <x:c r="N297" s="178"/>
      <x:c r="O297" s="178"/>
      <x:c r="P297" s="178"/>
      <x:c r="Q297" s="178"/>
      <x:c r="R297" s="178"/>
      <x:c r="S297" s="178"/>
      <x:c r="T297" s="178"/>
      <x:c r="U297" s="178"/>
      <x:c r="V297" s="178"/>
      <x:c r="W297" s="178"/>
      <x:c r="X297" s="178"/>
      <x:c r="Y297" s="178"/>
      <x:c r="Z297" s="178"/>
    </x:row>
    <x:row r="298">
      <x:c r="A298" s="178"/>
      <x:c r="B298" s="178"/>
      <x:c r="C298" s="178"/>
      <x:c r="D298" s="178"/>
      <x:c r="E298" s="178"/>
      <x:c r="F298" s="178"/>
      <x:c r="G298" s="178"/>
      <x:c r="H298" s="178"/>
      <x:c r="I298" s="178"/>
      <x:c r="J298" s="178"/>
      <x:c r="K298" s="178"/>
      <x:c r="L298" s="178"/>
      <x:c r="M298" s="178"/>
      <x:c r="N298" s="178"/>
      <x:c r="O298" s="178"/>
      <x:c r="P298" s="178"/>
      <x:c r="Q298" s="178"/>
      <x:c r="R298" s="178"/>
      <x:c r="S298" s="178"/>
      <x:c r="T298" s="178"/>
      <x:c r="U298" s="178"/>
      <x:c r="V298" s="178"/>
      <x:c r="W298" s="178"/>
      <x:c r="X298" s="178"/>
      <x:c r="Y298" s="178"/>
      <x:c r="Z298" s="178"/>
    </x:row>
    <x:row r="299">
      <x:c r="A299" s="178"/>
      <x:c r="B299" s="178"/>
      <x:c r="C299" s="178"/>
      <x:c r="D299" s="178"/>
      <x:c r="E299" s="178"/>
      <x:c r="F299" s="178"/>
      <x:c r="G299" s="178"/>
      <x:c r="H299" s="178"/>
      <x:c r="I299" s="178"/>
      <x:c r="J299" s="178"/>
      <x:c r="K299" s="178"/>
      <x:c r="L299" s="178"/>
      <x:c r="M299" s="178"/>
      <x:c r="N299" s="178"/>
      <x:c r="O299" s="178"/>
      <x:c r="P299" s="178"/>
      <x:c r="Q299" s="178"/>
      <x:c r="R299" s="178"/>
      <x:c r="S299" s="178"/>
      <x:c r="T299" s="178"/>
      <x:c r="U299" s="178"/>
      <x:c r="V299" s="178"/>
      <x:c r="W299" s="178"/>
      <x:c r="X299" s="178"/>
      <x:c r="Y299" s="178"/>
      <x:c r="Z299" s="178"/>
    </x:row>
    <x:row r="300">
      <x:c r="A300" s="178"/>
      <x:c r="B300" s="178"/>
      <x:c r="C300" s="178"/>
      <x:c r="D300" s="178"/>
      <x:c r="E300" s="178"/>
      <x:c r="F300" s="178"/>
      <x:c r="G300" s="178"/>
      <x:c r="H300" s="178"/>
      <x:c r="I300" s="178"/>
      <x:c r="J300" s="178"/>
      <x:c r="K300" s="178"/>
      <x:c r="L300" s="178"/>
      <x:c r="M300" s="178"/>
      <x:c r="N300" s="178"/>
      <x:c r="O300" s="178"/>
      <x:c r="P300" s="178"/>
      <x:c r="Q300" s="178"/>
      <x:c r="R300" s="178"/>
      <x:c r="S300" s="178"/>
      <x:c r="T300" s="178"/>
      <x:c r="U300" s="178"/>
      <x:c r="V300" s="178"/>
      <x:c r="W300" s="178"/>
      <x:c r="X300" s="178"/>
      <x:c r="Y300" s="178"/>
      <x:c r="Z300" s="178"/>
    </x:row>
    <x:row r="301">
      <x:c r="A301" s="178"/>
      <x:c r="B301" s="178"/>
      <x:c r="C301" s="178"/>
      <x:c r="D301" s="178"/>
      <x:c r="E301" s="178"/>
      <x:c r="F301" s="178"/>
      <x:c r="G301" s="178"/>
      <x:c r="H301" s="178"/>
      <x:c r="I301" s="178"/>
      <x:c r="J301" s="178"/>
      <x:c r="K301" s="178"/>
      <x:c r="L301" s="178"/>
      <x:c r="M301" s="178"/>
      <x:c r="N301" s="178"/>
      <x:c r="O301" s="178"/>
      <x:c r="P301" s="178"/>
      <x:c r="Q301" s="178"/>
      <x:c r="R301" s="178"/>
      <x:c r="S301" s="178"/>
      <x:c r="T301" s="178"/>
      <x:c r="U301" s="178"/>
      <x:c r="V301" s="178"/>
      <x:c r="W301" s="178"/>
      <x:c r="X301" s="178"/>
      <x:c r="Y301" s="178"/>
      <x:c r="Z301" s="178"/>
    </x:row>
    <x:row r="302">
      <x:c r="A302" s="178"/>
      <x:c r="B302" s="178"/>
      <x:c r="C302" s="178"/>
      <x:c r="D302" s="178"/>
      <x:c r="E302" s="178"/>
      <x:c r="F302" s="178"/>
      <x:c r="G302" s="178"/>
      <x:c r="H302" s="178"/>
      <x:c r="I302" s="178"/>
      <x:c r="J302" s="178"/>
      <x:c r="K302" s="178"/>
      <x:c r="L302" s="178"/>
      <x:c r="M302" s="178"/>
      <x:c r="N302" s="178"/>
      <x:c r="O302" s="178"/>
      <x:c r="P302" s="178"/>
      <x:c r="Q302" s="178"/>
      <x:c r="R302" s="178"/>
      <x:c r="S302" s="178"/>
      <x:c r="T302" s="178"/>
      <x:c r="U302" s="178"/>
      <x:c r="V302" s="178"/>
      <x:c r="W302" s="178"/>
      <x:c r="X302" s="178"/>
      <x:c r="Y302" s="178"/>
      <x:c r="Z302" s="178"/>
    </x:row>
    <x:row r="303">
      <x:c r="A303" s="178"/>
      <x:c r="B303" s="178"/>
      <x:c r="C303" s="178"/>
      <x:c r="D303" s="178"/>
      <x:c r="E303" s="178"/>
      <x:c r="F303" s="178"/>
      <x:c r="G303" s="178"/>
      <x:c r="H303" s="178"/>
      <x:c r="I303" s="178"/>
      <x:c r="J303" s="178"/>
      <x:c r="K303" s="178"/>
      <x:c r="L303" s="178"/>
      <x:c r="M303" s="178"/>
      <x:c r="N303" s="178"/>
      <x:c r="O303" s="178"/>
      <x:c r="P303" s="178"/>
      <x:c r="Q303" s="178"/>
      <x:c r="R303" s="178"/>
      <x:c r="S303" s="178"/>
      <x:c r="T303" s="178"/>
      <x:c r="U303" s="178"/>
      <x:c r="V303" s="178"/>
      <x:c r="W303" s="178"/>
      <x:c r="X303" s="178"/>
      <x:c r="Y303" s="178"/>
      <x:c r="Z303" s="178"/>
    </x:row>
    <x:row r="304">
      <x:c r="A304" s="178"/>
      <x:c r="B304" s="178"/>
      <x:c r="C304" s="178"/>
      <x:c r="D304" s="178"/>
      <x:c r="E304" s="178"/>
      <x:c r="F304" s="178"/>
      <x:c r="G304" s="178"/>
      <x:c r="H304" s="178"/>
      <x:c r="I304" s="178"/>
      <x:c r="J304" s="178"/>
      <x:c r="K304" s="178"/>
      <x:c r="L304" s="178"/>
      <x:c r="M304" s="178"/>
      <x:c r="N304" s="178"/>
      <x:c r="O304" s="178"/>
      <x:c r="P304" s="178"/>
      <x:c r="Q304" s="178"/>
      <x:c r="R304" s="178"/>
      <x:c r="S304" s="178"/>
      <x:c r="T304" s="178"/>
      <x:c r="U304" s="178"/>
      <x:c r="V304" s="178"/>
      <x:c r="W304" s="178"/>
      <x:c r="X304" s="178"/>
      <x:c r="Y304" s="178"/>
      <x:c r="Z304" s="178"/>
    </x:row>
    <x:row r="305">
      <x:c r="A305" s="178"/>
      <x:c r="B305" s="178"/>
      <x:c r="C305" s="178"/>
      <x:c r="D305" s="178"/>
      <x:c r="E305" s="178"/>
      <x:c r="F305" s="178"/>
      <x:c r="G305" s="178"/>
      <x:c r="H305" s="178"/>
      <x:c r="I305" s="178"/>
      <x:c r="J305" s="178"/>
      <x:c r="K305" s="178"/>
      <x:c r="L305" s="178"/>
      <x:c r="M305" s="178"/>
      <x:c r="N305" s="178"/>
      <x:c r="O305" s="178"/>
      <x:c r="P305" s="178"/>
      <x:c r="Q305" s="178"/>
      <x:c r="R305" s="178"/>
      <x:c r="S305" s="178"/>
      <x:c r="T305" s="178"/>
      <x:c r="U305" s="178"/>
      <x:c r="V305" s="178"/>
      <x:c r="W305" s="178"/>
      <x:c r="X305" s="178"/>
      <x:c r="Y305" s="178"/>
      <x:c r="Z305" s="178"/>
    </x:row>
    <x:row r="306">
      <x:c r="A306" s="178"/>
      <x:c r="B306" s="178"/>
      <x:c r="C306" s="178"/>
      <x:c r="D306" s="178"/>
      <x:c r="E306" s="178"/>
      <x:c r="F306" s="178"/>
      <x:c r="G306" s="178"/>
      <x:c r="H306" s="178"/>
      <x:c r="I306" s="178"/>
      <x:c r="J306" s="178"/>
      <x:c r="K306" s="178"/>
      <x:c r="L306" s="178"/>
      <x:c r="M306" s="178"/>
      <x:c r="N306" s="178"/>
      <x:c r="O306" s="178"/>
      <x:c r="P306" s="178"/>
      <x:c r="Q306" s="178"/>
      <x:c r="R306" s="178"/>
      <x:c r="S306" s="178"/>
      <x:c r="T306" s="178"/>
      <x:c r="U306" s="178"/>
      <x:c r="V306" s="178"/>
      <x:c r="W306" s="178"/>
      <x:c r="X306" s="178"/>
      <x:c r="Y306" s="178"/>
      <x:c r="Z306" s="178"/>
    </x:row>
    <x:row r="307">
      <x:c r="A307" s="178"/>
      <x:c r="B307" s="178"/>
      <x:c r="C307" s="178"/>
      <x:c r="D307" s="178"/>
      <x:c r="E307" s="178"/>
      <x:c r="F307" s="178"/>
      <x:c r="G307" s="178"/>
      <x:c r="H307" s="178"/>
      <x:c r="I307" s="178"/>
      <x:c r="J307" s="178"/>
      <x:c r="K307" s="178"/>
      <x:c r="L307" s="178"/>
      <x:c r="M307" s="178"/>
      <x:c r="N307" s="178"/>
      <x:c r="O307" s="178"/>
      <x:c r="P307" s="178"/>
      <x:c r="Q307" s="178"/>
      <x:c r="R307" s="178"/>
      <x:c r="S307" s="178"/>
      <x:c r="T307" s="178"/>
      <x:c r="U307" s="178"/>
      <x:c r="V307" s="178"/>
      <x:c r="W307" s="178"/>
      <x:c r="X307" s="178"/>
      <x:c r="Y307" s="178"/>
      <x:c r="Z307" s="178"/>
    </x:row>
    <x:row r="308">
      <x:c r="A308" s="178"/>
      <x:c r="B308" s="178"/>
      <x:c r="C308" s="178"/>
      <x:c r="D308" s="178"/>
      <x:c r="E308" s="178"/>
      <x:c r="F308" s="178"/>
      <x:c r="G308" s="178"/>
      <x:c r="H308" s="178"/>
      <x:c r="I308" s="178"/>
      <x:c r="J308" s="178"/>
      <x:c r="K308" s="178"/>
      <x:c r="L308" s="178"/>
      <x:c r="M308" s="178"/>
      <x:c r="N308" s="178"/>
      <x:c r="O308" s="178"/>
      <x:c r="P308" s="178"/>
      <x:c r="Q308" s="178"/>
      <x:c r="R308" s="178"/>
      <x:c r="S308" s="178"/>
      <x:c r="T308" s="178"/>
      <x:c r="U308" s="178"/>
      <x:c r="V308" s="178"/>
      <x:c r="W308" s="178"/>
      <x:c r="X308" s="178"/>
      <x:c r="Y308" s="178"/>
      <x:c r="Z308" s="178"/>
    </x:row>
    <x:row r="309">
      <x:c r="A309" s="178"/>
      <x:c r="B309" s="178"/>
      <x:c r="C309" s="178"/>
      <x:c r="D309" s="178"/>
      <x:c r="E309" s="178"/>
      <x:c r="F309" s="178"/>
      <x:c r="G309" s="178"/>
      <x:c r="H309" s="178"/>
      <x:c r="I309" s="178"/>
      <x:c r="J309" s="178"/>
      <x:c r="K309" s="178"/>
      <x:c r="L309" s="178"/>
      <x:c r="M309" s="178"/>
      <x:c r="N309" s="178"/>
      <x:c r="O309" s="178"/>
      <x:c r="P309" s="178"/>
      <x:c r="Q309" s="178"/>
      <x:c r="R309" s="178"/>
      <x:c r="S309" s="178"/>
      <x:c r="T309" s="178"/>
      <x:c r="U309" s="178"/>
      <x:c r="V309" s="178"/>
      <x:c r="W309" s="178"/>
      <x:c r="X309" s="178"/>
      <x:c r="Y309" s="178"/>
      <x:c r="Z309" s="178"/>
    </x:row>
    <x:row r="310">
      <x:c r="A310" s="178"/>
      <x:c r="B310" s="178"/>
      <x:c r="C310" s="178"/>
      <x:c r="D310" s="178"/>
      <x:c r="E310" s="178"/>
      <x:c r="F310" s="178"/>
      <x:c r="G310" s="178"/>
      <x:c r="H310" s="178"/>
      <x:c r="I310" s="178"/>
      <x:c r="J310" s="178"/>
      <x:c r="K310" s="178"/>
      <x:c r="L310" s="178"/>
      <x:c r="M310" s="178"/>
      <x:c r="N310" s="178"/>
      <x:c r="O310" s="178"/>
      <x:c r="P310" s="178"/>
      <x:c r="Q310" s="178"/>
      <x:c r="R310" s="178"/>
      <x:c r="S310" s="178"/>
      <x:c r="T310" s="178"/>
      <x:c r="U310" s="178"/>
      <x:c r="V310" s="178"/>
      <x:c r="W310" s="178"/>
      <x:c r="X310" s="178"/>
      <x:c r="Y310" s="178"/>
      <x:c r="Z310" s="178"/>
    </x:row>
    <x:row r="311">
      <x:c r="A311" s="178"/>
      <x:c r="B311" s="178"/>
      <x:c r="C311" s="178"/>
      <x:c r="D311" s="178"/>
      <x:c r="E311" s="178"/>
      <x:c r="F311" s="178"/>
      <x:c r="G311" s="178"/>
      <x:c r="H311" s="178"/>
      <x:c r="I311" s="178"/>
      <x:c r="J311" s="178"/>
      <x:c r="K311" s="178"/>
      <x:c r="L311" s="178"/>
      <x:c r="M311" s="178"/>
      <x:c r="N311" s="178"/>
      <x:c r="O311" s="178"/>
      <x:c r="P311" s="178"/>
      <x:c r="Q311" s="178"/>
      <x:c r="R311" s="178"/>
      <x:c r="S311" s="178"/>
      <x:c r="T311" s="178"/>
      <x:c r="U311" s="178"/>
      <x:c r="V311" s="178"/>
      <x:c r="W311" s="178"/>
      <x:c r="X311" s="178"/>
      <x:c r="Y311" s="178"/>
      <x:c r="Z311" s="178"/>
    </x:row>
    <x:row r="312">
      <x:c r="A312" s="178"/>
      <x:c r="B312" s="178"/>
      <x:c r="C312" s="178"/>
      <x:c r="D312" s="178"/>
      <x:c r="E312" s="178"/>
      <x:c r="F312" s="178"/>
      <x:c r="G312" s="178"/>
      <x:c r="H312" s="178"/>
      <x:c r="I312" s="178"/>
      <x:c r="J312" s="178"/>
      <x:c r="K312" s="178"/>
      <x:c r="L312" s="178"/>
      <x:c r="M312" s="178"/>
      <x:c r="N312" s="178"/>
      <x:c r="O312" s="178"/>
      <x:c r="P312" s="178"/>
      <x:c r="Q312" s="178"/>
      <x:c r="R312" s="178"/>
      <x:c r="S312" s="178"/>
      <x:c r="T312" s="178"/>
      <x:c r="U312" s="178"/>
      <x:c r="V312" s="178"/>
      <x:c r="W312" s="178"/>
      <x:c r="X312" s="178"/>
      <x:c r="Y312" s="178"/>
      <x:c r="Z312" s="178"/>
    </x:row>
    <x:row r="313">
      <x:c r="A313" s="178"/>
      <x:c r="B313" s="178"/>
      <x:c r="C313" s="178"/>
      <x:c r="D313" s="178"/>
      <x:c r="E313" s="178"/>
      <x:c r="F313" s="178"/>
      <x:c r="G313" s="178"/>
      <x:c r="H313" s="178"/>
      <x:c r="I313" s="178"/>
      <x:c r="J313" s="178"/>
      <x:c r="K313" s="178"/>
      <x:c r="L313" s="178"/>
      <x:c r="M313" s="178"/>
      <x:c r="N313" s="178"/>
      <x:c r="O313" s="178"/>
      <x:c r="P313" s="178"/>
      <x:c r="Q313" s="178"/>
      <x:c r="R313" s="178"/>
      <x:c r="S313" s="178"/>
      <x:c r="T313" s="178"/>
      <x:c r="U313" s="178"/>
      <x:c r="V313" s="178"/>
      <x:c r="W313" s="178"/>
      <x:c r="X313" s="178"/>
      <x:c r="Y313" s="178"/>
      <x:c r="Z313" s="178"/>
    </x:row>
    <x:row r="314">
      <x:c r="A314" s="178"/>
      <x:c r="B314" s="178"/>
      <x:c r="C314" s="178"/>
      <x:c r="D314" s="178"/>
      <x:c r="E314" s="178"/>
      <x:c r="F314" s="178"/>
      <x:c r="G314" s="178"/>
      <x:c r="H314" s="178"/>
      <x:c r="I314" s="178"/>
      <x:c r="J314" s="178"/>
      <x:c r="K314" s="178"/>
      <x:c r="L314" s="178"/>
      <x:c r="M314" s="178"/>
      <x:c r="N314" s="178"/>
      <x:c r="O314" s="178"/>
      <x:c r="P314" s="178"/>
      <x:c r="Q314" s="178"/>
      <x:c r="R314" s="178"/>
      <x:c r="S314" s="178"/>
      <x:c r="T314" s="178"/>
      <x:c r="U314" s="178"/>
      <x:c r="V314" s="178"/>
      <x:c r="W314" s="178"/>
      <x:c r="X314" s="178"/>
      <x:c r="Y314" s="178"/>
      <x:c r="Z314" s="178"/>
    </x:row>
    <x:row r="315">
      <x:c r="A315" s="178"/>
      <x:c r="B315" s="178"/>
      <x:c r="C315" s="178"/>
      <x:c r="D315" s="178"/>
      <x:c r="E315" s="178"/>
      <x:c r="F315" s="178"/>
      <x:c r="G315" s="178"/>
      <x:c r="H315" s="178"/>
      <x:c r="I315" s="178"/>
      <x:c r="J315" s="178"/>
      <x:c r="K315" s="178"/>
      <x:c r="L315" s="178"/>
      <x:c r="M315" s="178"/>
      <x:c r="N315" s="178"/>
      <x:c r="O315" s="178"/>
      <x:c r="P315" s="178"/>
      <x:c r="Q315" s="178"/>
      <x:c r="R315" s="178"/>
      <x:c r="S315" s="178"/>
      <x:c r="T315" s="178"/>
      <x:c r="U315" s="178"/>
      <x:c r="V315" s="178"/>
      <x:c r="W315" s="178"/>
      <x:c r="X315" s="178"/>
      <x:c r="Y315" s="178"/>
      <x:c r="Z315" s="178"/>
    </x:row>
    <x:row r="316">
      <x:c r="A316" s="178"/>
      <x:c r="B316" s="178"/>
      <x:c r="C316" s="178"/>
      <x:c r="D316" s="178"/>
      <x:c r="E316" s="178"/>
      <x:c r="F316" s="178"/>
      <x:c r="G316" s="178"/>
      <x:c r="H316" s="178"/>
      <x:c r="I316" s="178"/>
      <x:c r="J316" s="178"/>
      <x:c r="K316" s="178"/>
      <x:c r="L316" s="178"/>
      <x:c r="M316" s="178"/>
      <x:c r="N316" s="178"/>
      <x:c r="O316" s="178"/>
      <x:c r="P316" s="178"/>
      <x:c r="Q316" s="178"/>
      <x:c r="R316" s="178"/>
      <x:c r="S316" s="178"/>
      <x:c r="T316" s="178"/>
      <x:c r="U316" s="178"/>
      <x:c r="V316" s="178"/>
      <x:c r="W316" s="178"/>
      <x:c r="X316" s="178"/>
      <x:c r="Y316" s="178"/>
      <x:c r="Z316" s="178"/>
    </x:row>
    <x:row r="317">
      <x:c r="A317" s="178"/>
      <x:c r="B317" s="178"/>
      <x:c r="C317" s="178"/>
      <x:c r="D317" s="178"/>
      <x:c r="E317" s="178"/>
      <x:c r="F317" s="178"/>
      <x:c r="G317" s="178"/>
      <x:c r="H317" s="178"/>
      <x:c r="I317" s="178"/>
      <x:c r="J317" s="178"/>
      <x:c r="K317" s="178"/>
      <x:c r="L317" s="178"/>
      <x:c r="M317" s="178"/>
      <x:c r="N317" s="178"/>
      <x:c r="O317" s="178"/>
      <x:c r="P317" s="178"/>
      <x:c r="Q317" s="178"/>
      <x:c r="R317" s="178"/>
      <x:c r="S317" s="178"/>
      <x:c r="T317" s="178"/>
      <x:c r="U317" s="178"/>
      <x:c r="V317" s="178"/>
      <x:c r="W317" s="178"/>
      <x:c r="X317" s="178"/>
      <x:c r="Y317" s="178"/>
      <x:c r="Z317" s="178"/>
    </x:row>
    <x:row r="318">
      <x:c r="A318" s="178"/>
      <x:c r="B318" s="178"/>
      <x:c r="C318" s="178"/>
      <x:c r="D318" s="178"/>
      <x:c r="E318" s="178"/>
      <x:c r="F318" s="178"/>
      <x:c r="G318" s="178"/>
      <x:c r="H318" s="178"/>
      <x:c r="I318" s="178"/>
      <x:c r="J318" s="178"/>
      <x:c r="K318" s="178"/>
      <x:c r="L318" s="178"/>
      <x:c r="M318" s="178"/>
      <x:c r="N318" s="178"/>
      <x:c r="O318" s="178"/>
      <x:c r="P318" s="178"/>
      <x:c r="Q318" s="178"/>
      <x:c r="R318" s="178"/>
      <x:c r="S318" s="178"/>
      <x:c r="T318" s="178"/>
      <x:c r="U318" s="178"/>
      <x:c r="V318" s="178"/>
      <x:c r="W318" s="178"/>
      <x:c r="X318" s="178"/>
      <x:c r="Y318" s="178"/>
      <x:c r="Z318" s="178"/>
    </x:row>
    <x:row r="319">
      <x:c r="A319" s="178"/>
      <x:c r="B319" s="178"/>
      <x:c r="C319" s="178"/>
      <x:c r="D319" s="178"/>
      <x:c r="E319" s="178"/>
      <x:c r="F319" s="178"/>
      <x:c r="G319" s="178"/>
      <x:c r="H319" s="178"/>
      <x:c r="I319" s="178"/>
      <x:c r="J319" s="178"/>
      <x:c r="K319" s="178"/>
      <x:c r="L319" s="178"/>
      <x:c r="M319" s="178"/>
      <x:c r="N319" s="178"/>
      <x:c r="O319" s="178"/>
      <x:c r="P319" s="178"/>
      <x:c r="Q319" s="178"/>
      <x:c r="R319" s="178"/>
      <x:c r="S319" s="178"/>
      <x:c r="T319" s="178"/>
      <x:c r="U319" s="178"/>
      <x:c r="V319" s="178"/>
      <x:c r="W319" s="178"/>
      <x:c r="X319" s="178"/>
      <x:c r="Y319" s="178"/>
      <x:c r="Z319" s="178"/>
    </x:row>
    <x:row r="320">
      <x:c r="A320" s="178"/>
      <x:c r="B320" s="178"/>
      <x:c r="C320" s="178"/>
      <x:c r="D320" s="178"/>
      <x:c r="E320" s="178"/>
      <x:c r="F320" s="178"/>
      <x:c r="G320" s="178"/>
      <x:c r="H320" s="178"/>
      <x:c r="I320" s="178"/>
      <x:c r="J320" s="178"/>
      <x:c r="K320" s="178"/>
      <x:c r="L320" s="178"/>
      <x:c r="M320" s="178"/>
      <x:c r="N320" s="178"/>
      <x:c r="O320" s="178"/>
      <x:c r="P320" s="178"/>
      <x:c r="Q320" s="178"/>
      <x:c r="R320" s="178"/>
      <x:c r="S320" s="178"/>
      <x:c r="T320" s="178"/>
      <x:c r="U320" s="178"/>
      <x:c r="V320" s="178"/>
      <x:c r="W320" s="178"/>
      <x:c r="X320" s="178"/>
      <x:c r="Y320" s="178"/>
      <x:c r="Z320" s="178"/>
    </x:row>
    <x:row r="321">
      <x:c r="A321" s="178"/>
      <x:c r="B321" s="178"/>
      <x:c r="C321" s="178"/>
      <x:c r="D321" s="178"/>
      <x:c r="E321" s="178"/>
      <x:c r="F321" s="178"/>
      <x:c r="G321" s="178"/>
      <x:c r="H321" s="178"/>
      <x:c r="I321" s="178"/>
      <x:c r="J321" s="178"/>
      <x:c r="K321" s="178"/>
      <x:c r="L321" s="178"/>
      <x:c r="M321" s="178"/>
      <x:c r="N321" s="178"/>
      <x:c r="O321" s="178"/>
      <x:c r="P321" s="178"/>
      <x:c r="Q321" s="178"/>
      <x:c r="R321" s="178"/>
      <x:c r="S321" s="178"/>
      <x:c r="T321" s="178"/>
      <x:c r="U321" s="178"/>
      <x:c r="V321" s="178"/>
      <x:c r="W321" s="178"/>
      <x:c r="X321" s="178"/>
      <x:c r="Y321" s="178"/>
      <x:c r="Z321" s="178"/>
    </x:row>
    <x:row r="322">
      <x:c r="A322" s="178"/>
      <x:c r="B322" s="178"/>
      <x:c r="C322" s="178"/>
      <x:c r="D322" s="178"/>
      <x:c r="E322" s="178"/>
      <x:c r="F322" s="178"/>
      <x:c r="G322" s="178"/>
      <x:c r="H322" s="178"/>
      <x:c r="I322" s="178"/>
      <x:c r="J322" s="178"/>
      <x:c r="K322" s="178"/>
      <x:c r="L322" s="178"/>
      <x:c r="M322" s="178"/>
      <x:c r="N322" s="178"/>
      <x:c r="O322" s="178"/>
      <x:c r="P322" s="178"/>
      <x:c r="Q322" s="178"/>
      <x:c r="R322" s="178"/>
      <x:c r="S322" s="178"/>
      <x:c r="T322" s="178"/>
      <x:c r="U322" s="178"/>
      <x:c r="V322" s="178"/>
      <x:c r="W322" s="178"/>
      <x:c r="X322" s="178"/>
      <x:c r="Y322" s="178"/>
      <x:c r="Z322" s="178"/>
    </x:row>
    <x:row r="323">
      <x:c r="A323" s="178"/>
      <x:c r="B323" s="178"/>
      <x:c r="C323" s="178"/>
      <x:c r="D323" s="178"/>
      <x:c r="E323" s="178"/>
      <x:c r="F323" s="178"/>
      <x:c r="G323" s="178"/>
      <x:c r="H323" s="178"/>
      <x:c r="I323" s="178"/>
      <x:c r="J323" s="178"/>
      <x:c r="K323" s="178"/>
      <x:c r="L323" s="178"/>
      <x:c r="M323" s="178"/>
      <x:c r="N323" s="178"/>
      <x:c r="O323" s="178"/>
      <x:c r="P323" s="178"/>
      <x:c r="Q323" s="178"/>
      <x:c r="R323" s="178"/>
      <x:c r="S323" s="178"/>
      <x:c r="T323" s="178"/>
      <x:c r="U323" s="178"/>
      <x:c r="V323" s="178"/>
      <x:c r="W323" s="178"/>
      <x:c r="X323" s="178"/>
      <x:c r="Y323" s="178"/>
      <x:c r="Z323" s="178"/>
    </x:row>
    <x:row r="324">
      <x:c r="A324" s="178"/>
      <x:c r="B324" s="178"/>
      <x:c r="C324" s="178"/>
      <x:c r="D324" s="178"/>
      <x:c r="E324" s="178"/>
      <x:c r="F324" s="178"/>
      <x:c r="G324" s="178"/>
      <x:c r="H324" s="178"/>
      <x:c r="I324" s="178"/>
      <x:c r="J324" s="178"/>
      <x:c r="K324" s="178"/>
      <x:c r="L324" s="178"/>
      <x:c r="M324" s="178"/>
      <x:c r="N324" s="178"/>
      <x:c r="O324" s="178"/>
      <x:c r="P324" s="178"/>
      <x:c r="Q324" s="178"/>
      <x:c r="R324" s="178"/>
      <x:c r="S324" s="178"/>
      <x:c r="T324" s="178"/>
      <x:c r="U324" s="178"/>
      <x:c r="V324" s="178"/>
      <x:c r="W324" s="178"/>
      <x:c r="X324" s="178"/>
      <x:c r="Y324" s="178"/>
      <x:c r="Z324" s="178"/>
    </x:row>
    <x:row r="325">
      <x:c r="A325" s="178"/>
      <x:c r="B325" s="178"/>
      <x:c r="C325" s="178"/>
      <x:c r="D325" s="178"/>
      <x:c r="E325" s="178"/>
      <x:c r="F325" s="178"/>
      <x:c r="G325" s="178"/>
      <x:c r="H325" s="178"/>
      <x:c r="I325" s="178"/>
      <x:c r="J325" s="178"/>
      <x:c r="K325" s="178"/>
      <x:c r="L325" s="178"/>
      <x:c r="M325" s="178"/>
      <x:c r="N325" s="178"/>
      <x:c r="O325" s="178"/>
      <x:c r="P325" s="178"/>
      <x:c r="Q325" s="178"/>
      <x:c r="R325" s="178"/>
      <x:c r="S325" s="178"/>
      <x:c r="T325" s="178"/>
      <x:c r="U325" s="178"/>
      <x:c r="V325" s="178"/>
      <x:c r="W325" s="178"/>
      <x:c r="X325" s="178"/>
      <x:c r="Y325" s="178"/>
      <x:c r="Z325" s="178"/>
    </x:row>
    <x:row r="326">
      <x:c r="A326" s="178"/>
      <x:c r="B326" s="178"/>
      <x:c r="C326" s="178"/>
      <x:c r="D326" s="178"/>
      <x:c r="E326" s="178"/>
      <x:c r="F326" s="178"/>
      <x:c r="G326" s="178"/>
      <x:c r="H326" s="178"/>
      <x:c r="I326" s="178"/>
      <x:c r="J326" s="178"/>
      <x:c r="K326" s="178"/>
      <x:c r="L326" s="178"/>
      <x:c r="M326" s="178"/>
      <x:c r="N326" s="178"/>
      <x:c r="O326" s="178"/>
      <x:c r="P326" s="178"/>
      <x:c r="Q326" s="178"/>
      <x:c r="R326" s="178"/>
      <x:c r="S326" s="178"/>
      <x:c r="T326" s="178"/>
      <x:c r="U326" s="178"/>
      <x:c r="V326" s="178"/>
      <x:c r="W326" s="178"/>
      <x:c r="X326" s="178"/>
      <x:c r="Y326" s="178"/>
      <x:c r="Z326" s="178"/>
    </x:row>
    <x:row r="327">
      <x:c r="A327" s="178"/>
      <x:c r="B327" s="178"/>
      <x:c r="C327" s="178"/>
      <x:c r="D327" s="178"/>
      <x:c r="E327" s="178"/>
      <x:c r="F327" s="178"/>
      <x:c r="G327" s="178"/>
      <x:c r="H327" s="178"/>
      <x:c r="I327" s="178"/>
      <x:c r="J327" s="178"/>
      <x:c r="K327" s="178"/>
      <x:c r="L327" s="178"/>
      <x:c r="M327" s="178"/>
      <x:c r="N327" s="178"/>
      <x:c r="O327" s="178"/>
      <x:c r="P327" s="178"/>
      <x:c r="Q327" s="178"/>
      <x:c r="R327" s="178"/>
      <x:c r="S327" s="178"/>
      <x:c r="T327" s="178"/>
      <x:c r="U327" s="178"/>
      <x:c r="V327" s="178"/>
      <x:c r="W327" s="178"/>
      <x:c r="X327" s="178"/>
      <x:c r="Y327" s="178"/>
      <x:c r="Z327" s="178"/>
    </x:row>
    <x:row r="328">
      <x:c r="A328" s="178"/>
      <x:c r="B328" s="178"/>
      <x:c r="C328" s="178"/>
      <x:c r="D328" s="178"/>
      <x:c r="E328" s="178"/>
      <x:c r="F328" s="178"/>
      <x:c r="G328" s="178"/>
      <x:c r="H328" s="178"/>
      <x:c r="I328" s="178"/>
      <x:c r="J328" s="178"/>
      <x:c r="K328" s="178"/>
      <x:c r="L328" s="178"/>
      <x:c r="M328" s="178"/>
      <x:c r="N328" s="178"/>
      <x:c r="O328" s="178"/>
      <x:c r="P328" s="178"/>
      <x:c r="Q328" s="178"/>
      <x:c r="R328" s="178"/>
      <x:c r="S328" s="178"/>
      <x:c r="T328" s="178"/>
      <x:c r="U328" s="178"/>
      <x:c r="V328" s="178"/>
      <x:c r="W328" s="178"/>
      <x:c r="X328" s="178"/>
      <x:c r="Y328" s="178"/>
      <x:c r="Z328" s="178"/>
    </x:row>
    <x:row r="329">
      <x:c r="A329" s="178"/>
      <x:c r="B329" s="178"/>
      <x:c r="C329" s="178"/>
      <x:c r="D329" s="178"/>
      <x:c r="E329" s="178"/>
      <x:c r="F329" s="178"/>
      <x:c r="G329" s="178"/>
      <x:c r="H329" s="178"/>
      <x:c r="I329" s="178"/>
      <x:c r="J329" s="178"/>
      <x:c r="K329" s="178"/>
      <x:c r="L329" s="178"/>
      <x:c r="M329" s="178"/>
      <x:c r="N329" s="178"/>
      <x:c r="O329" s="178"/>
      <x:c r="P329" s="178"/>
      <x:c r="Q329" s="178"/>
      <x:c r="R329" s="178"/>
      <x:c r="S329" s="178"/>
      <x:c r="T329" s="178"/>
      <x:c r="U329" s="178"/>
      <x:c r="V329" s="178"/>
      <x:c r="W329" s="178"/>
      <x:c r="X329" s="178"/>
      <x:c r="Y329" s="178"/>
      <x:c r="Z329" s="178"/>
    </x:row>
    <x:row r="330">
      <x:c r="A330" s="178"/>
      <x:c r="B330" s="178"/>
      <x:c r="C330" s="178"/>
      <x:c r="D330" s="178"/>
      <x:c r="E330" s="178"/>
      <x:c r="F330" s="178"/>
      <x:c r="G330" s="178"/>
      <x:c r="H330" s="178"/>
      <x:c r="I330" s="178"/>
      <x:c r="J330" s="178"/>
      <x:c r="K330" s="178"/>
      <x:c r="L330" s="178"/>
      <x:c r="M330" s="178"/>
      <x:c r="N330" s="178"/>
      <x:c r="O330" s="178"/>
      <x:c r="P330" s="178"/>
      <x:c r="Q330" s="178"/>
      <x:c r="R330" s="178"/>
      <x:c r="S330" s="178"/>
      <x:c r="T330" s="178"/>
      <x:c r="U330" s="178"/>
      <x:c r="V330" s="178"/>
      <x:c r="W330" s="178"/>
      <x:c r="X330" s="178"/>
      <x:c r="Y330" s="178"/>
      <x:c r="Z330" s="178"/>
    </x:row>
    <x:row r="331">
      <x:c r="A331" s="178"/>
      <x:c r="B331" s="178"/>
      <x:c r="C331" s="178"/>
      <x:c r="D331" s="178"/>
      <x:c r="E331" s="178"/>
      <x:c r="F331" s="178"/>
      <x:c r="G331" s="178"/>
      <x:c r="H331" s="178"/>
      <x:c r="I331" s="178"/>
      <x:c r="J331" s="178"/>
      <x:c r="K331" s="178"/>
      <x:c r="L331" s="178"/>
      <x:c r="M331" s="178"/>
      <x:c r="N331" s="178"/>
      <x:c r="O331" s="178"/>
      <x:c r="P331" s="178"/>
      <x:c r="Q331" s="178"/>
      <x:c r="R331" s="178"/>
      <x:c r="S331" s="178"/>
      <x:c r="T331" s="178"/>
      <x:c r="U331" s="178"/>
      <x:c r="V331" s="178"/>
      <x:c r="W331" s="178"/>
      <x:c r="X331" s="178"/>
      <x:c r="Y331" s="178"/>
      <x:c r="Z331" s="178"/>
    </x:row>
    <x:row r="332">
      <x:c r="A332" s="178"/>
      <x:c r="B332" s="178"/>
      <x:c r="C332" s="178"/>
      <x:c r="D332" s="178"/>
      <x:c r="E332" s="178"/>
      <x:c r="F332" s="178"/>
      <x:c r="G332" s="178"/>
      <x:c r="H332" s="178"/>
      <x:c r="I332" s="178"/>
      <x:c r="J332" s="178"/>
      <x:c r="K332" s="178"/>
      <x:c r="L332" s="178"/>
      <x:c r="M332" s="178"/>
      <x:c r="N332" s="178"/>
      <x:c r="O332" s="178"/>
      <x:c r="P332" s="178"/>
      <x:c r="Q332" s="178"/>
      <x:c r="R332" s="178"/>
      <x:c r="S332" s="178"/>
      <x:c r="T332" s="178"/>
      <x:c r="U332" s="178"/>
      <x:c r="V332" s="178"/>
      <x:c r="W332" s="178"/>
      <x:c r="X332" s="178"/>
      <x:c r="Y332" s="178"/>
      <x:c r="Z332" s="178"/>
    </x:row>
    <x:row r="333">
      <x:c r="A333" s="178"/>
      <x:c r="B333" s="178"/>
      <x:c r="C333" s="178"/>
      <x:c r="D333" s="178"/>
      <x:c r="E333" s="178"/>
      <x:c r="F333" s="178"/>
      <x:c r="G333" s="178"/>
      <x:c r="H333" s="178"/>
      <x:c r="I333" s="178"/>
      <x:c r="J333" s="178"/>
      <x:c r="K333" s="178"/>
      <x:c r="L333" s="178"/>
      <x:c r="M333" s="178"/>
      <x:c r="N333" s="178"/>
      <x:c r="O333" s="178"/>
      <x:c r="P333" s="178"/>
      <x:c r="Q333" s="178"/>
      <x:c r="R333" s="178"/>
      <x:c r="S333" s="178"/>
      <x:c r="T333" s="178"/>
      <x:c r="U333" s="178"/>
      <x:c r="V333" s="178"/>
      <x:c r="W333" s="178"/>
      <x:c r="X333" s="178"/>
      <x:c r="Y333" s="178"/>
      <x:c r="Z333" s="178"/>
    </x:row>
    <x:row r="334">
      <x:c r="A334" s="178"/>
      <x:c r="B334" s="178"/>
      <x:c r="C334" s="178"/>
      <x:c r="D334" s="178"/>
      <x:c r="E334" s="178"/>
      <x:c r="F334" s="178"/>
      <x:c r="G334" s="178"/>
      <x:c r="H334" s="178"/>
      <x:c r="I334" s="178"/>
      <x:c r="J334" s="178"/>
      <x:c r="K334" s="178"/>
      <x:c r="L334" s="178"/>
      <x:c r="M334" s="178"/>
      <x:c r="N334" s="178"/>
      <x:c r="O334" s="178"/>
      <x:c r="P334" s="178"/>
      <x:c r="Q334" s="178"/>
      <x:c r="R334" s="178"/>
      <x:c r="S334" s="178"/>
      <x:c r="T334" s="178"/>
      <x:c r="U334" s="178"/>
      <x:c r="V334" s="178"/>
      <x:c r="W334" s="178"/>
      <x:c r="X334" s="178"/>
      <x:c r="Y334" s="178"/>
      <x:c r="Z334" s="178"/>
    </x:row>
    <x:row r="335">
      <x:c r="A335" s="178"/>
      <x:c r="B335" s="178"/>
      <x:c r="C335" s="178"/>
      <x:c r="D335" s="178"/>
      <x:c r="E335" s="178"/>
      <x:c r="F335" s="178"/>
      <x:c r="G335" s="178"/>
      <x:c r="H335" s="178"/>
      <x:c r="I335" s="178"/>
      <x:c r="J335" s="178"/>
      <x:c r="K335" s="178"/>
      <x:c r="L335" s="178"/>
      <x:c r="M335" s="178"/>
      <x:c r="N335" s="178"/>
      <x:c r="O335" s="178"/>
      <x:c r="P335" s="178"/>
      <x:c r="Q335" s="178"/>
      <x:c r="R335" s="178"/>
      <x:c r="S335" s="178"/>
      <x:c r="T335" s="178"/>
      <x:c r="U335" s="178"/>
      <x:c r="V335" s="178"/>
      <x:c r="W335" s="178"/>
      <x:c r="X335" s="178"/>
      <x:c r="Y335" s="178"/>
      <x:c r="Z335" s="178"/>
    </x:row>
    <x:row r="336">
      <x:c r="A336" s="178"/>
      <x:c r="B336" s="178"/>
      <x:c r="C336" s="178"/>
      <x:c r="D336" s="178"/>
      <x:c r="E336" s="178"/>
      <x:c r="F336" s="178"/>
      <x:c r="G336" s="178"/>
      <x:c r="H336" s="178"/>
      <x:c r="I336" s="178"/>
      <x:c r="J336" s="178"/>
      <x:c r="K336" s="178"/>
      <x:c r="L336" s="178"/>
      <x:c r="M336" s="178"/>
      <x:c r="N336" s="178"/>
      <x:c r="O336" s="178"/>
      <x:c r="P336" s="178"/>
      <x:c r="Q336" s="178"/>
      <x:c r="R336" s="178"/>
      <x:c r="S336" s="178"/>
      <x:c r="T336" s="178"/>
      <x:c r="U336" s="178"/>
      <x:c r="V336" s="178"/>
      <x:c r="W336" s="178"/>
      <x:c r="X336" s="178"/>
      <x:c r="Y336" s="178"/>
      <x:c r="Z336" s="178"/>
    </x:row>
    <x:row r="337">
      <x:c r="A337" s="178"/>
      <x:c r="B337" s="178"/>
      <x:c r="C337" s="178"/>
      <x:c r="D337" s="178"/>
      <x:c r="E337" s="178"/>
      <x:c r="F337" s="178"/>
      <x:c r="G337" s="178"/>
      <x:c r="H337" s="178"/>
      <x:c r="I337" s="178"/>
      <x:c r="J337" s="178"/>
      <x:c r="K337" s="178"/>
      <x:c r="L337" s="178"/>
      <x:c r="M337" s="178"/>
      <x:c r="N337" s="178"/>
      <x:c r="O337" s="178"/>
      <x:c r="P337" s="178"/>
      <x:c r="Q337" s="178"/>
      <x:c r="R337" s="178"/>
      <x:c r="S337" s="178"/>
      <x:c r="T337" s="178"/>
      <x:c r="U337" s="178"/>
      <x:c r="V337" s="178"/>
      <x:c r="W337" s="178"/>
      <x:c r="X337" s="178"/>
      <x:c r="Y337" s="178"/>
      <x:c r="Z337" s="178"/>
    </x:row>
    <x:row r="338">
      <x:c r="A338" s="178"/>
      <x:c r="B338" s="178"/>
      <x:c r="C338" s="178"/>
      <x:c r="D338" s="178"/>
      <x:c r="E338" s="178"/>
      <x:c r="F338" s="178"/>
      <x:c r="G338" s="178"/>
      <x:c r="H338" s="178"/>
      <x:c r="I338" s="178"/>
      <x:c r="J338" s="178"/>
      <x:c r="K338" s="178"/>
      <x:c r="L338" s="178"/>
      <x:c r="M338" s="178"/>
      <x:c r="N338" s="178"/>
      <x:c r="O338" s="178"/>
      <x:c r="P338" s="178"/>
      <x:c r="Q338" s="178"/>
      <x:c r="R338" s="178"/>
      <x:c r="S338" s="178"/>
      <x:c r="T338" s="178"/>
      <x:c r="U338" s="178"/>
      <x:c r="V338" s="178"/>
      <x:c r="W338" s="178"/>
      <x:c r="X338" s="178"/>
      <x:c r="Y338" s="178"/>
      <x:c r="Z338" s="178"/>
    </x:row>
    <x:row r="339">
      <x:c r="A339" s="178"/>
      <x:c r="B339" s="178"/>
      <x:c r="C339" s="178"/>
      <x:c r="D339" s="178"/>
      <x:c r="E339" s="178"/>
      <x:c r="F339" s="178"/>
      <x:c r="G339" s="178"/>
      <x:c r="H339" s="178"/>
      <x:c r="I339" s="178"/>
      <x:c r="J339" s="178"/>
      <x:c r="K339" s="178"/>
      <x:c r="L339" s="178"/>
      <x:c r="M339" s="178"/>
      <x:c r="N339" s="178"/>
      <x:c r="O339" s="178"/>
      <x:c r="P339" s="178"/>
      <x:c r="Q339" s="178"/>
      <x:c r="R339" s="178"/>
      <x:c r="S339" s="178"/>
      <x:c r="T339" s="178"/>
      <x:c r="U339" s="178"/>
      <x:c r="V339" s="178"/>
      <x:c r="W339" s="178"/>
      <x:c r="X339" s="178"/>
      <x:c r="Y339" s="178"/>
      <x:c r="Z339" s="178"/>
    </x:row>
    <x:row r="340">
      <x:c r="A340" s="178"/>
      <x:c r="B340" s="178"/>
      <x:c r="C340" s="178"/>
      <x:c r="D340" s="178"/>
      <x:c r="E340" s="178"/>
      <x:c r="F340" s="178"/>
      <x:c r="G340" s="178"/>
      <x:c r="H340" s="178"/>
      <x:c r="I340" s="178"/>
      <x:c r="J340" s="178"/>
      <x:c r="K340" s="178"/>
      <x:c r="L340" s="178"/>
      <x:c r="M340" s="178"/>
      <x:c r="N340" s="178"/>
      <x:c r="O340" s="178"/>
      <x:c r="P340" s="178"/>
      <x:c r="Q340" s="178"/>
      <x:c r="R340" s="178"/>
      <x:c r="S340" s="178"/>
      <x:c r="T340" s="178"/>
      <x:c r="U340" s="178"/>
      <x:c r="V340" s="178"/>
      <x:c r="W340" s="178"/>
      <x:c r="X340" s="178"/>
      <x:c r="Y340" s="178"/>
      <x:c r="Z340" s="178"/>
    </x:row>
    <x:row r="341">
      <x:c r="A341" s="178"/>
      <x:c r="B341" s="178"/>
      <x:c r="C341" s="178"/>
      <x:c r="D341" s="178"/>
      <x:c r="E341" s="178"/>
      <x:c r="F341" s="178"/>
      <x:c r="G341" s="178"/>
      <x:c r="H341" s="178"/>
      <x:c r="I341" s="178"/>
      <x:c r="J341" s="178"/>
      <x:c r="K341" s="178"/>
      <x:c r="L341" s="178"/>
      <x:c r="M341" s="178"/>
      <x:c r="N341" s="178"/>
      <x:c r="O341" s="178"/>
      <x:c r="P341" s="178"/>
      <x:c r="Q341" s="178"/>
      <x:c r="R341" s="178"/>
      <x:c r="S341" s="178"/>
      <x:c r="T341" s="178"/>
      <x:c r="U341" s="178"/>
      <x:c r="V341" s="178"/>
      <x:c r="W341" s="178"/>
      <x:c r="X341" s="178"/>
      <x:c r="Y341" s="178"/>
      <x:c r="Z341" s="178"/>
    </x:row>
    <x:row r="342">
      <x:c r="A342" s="178"/>
      <x:c r="B342" s="178"/>
      <x:c r="C342" s="178"/>
      <x:c r="D342" s="178"/>
      <x:c r="E342" s="178"/>
      <x:c r="F342" s="178"/>
      <x:c r="G342" s="178"/>
      <x:c r="H342" s="178"/>
      <x:c r="I342" s="178"/>
      <x:c r="J342" s="178"/>
      <x:c r="K342" s="178"/>
      <x:c r="L342" s="178"/>
      <x:c r="M342" s="178"/>
      <x:c r="N342" s="178"/>
      <x:c r="O342" s="178"/>
      <x:c r="P342" s="178"/>
      <x:c r="Q342" s="178"/>
      <x:c r="R342" s="178"/>
      <x:c r="S342" s="178"/>
      <x:c r="T342" s="178"/>
      <x:c r="U342" s="178"/>
      <x:c r="V342" s="178"/>
      <x:c r="W342" s="178"/>
      <x:c r="X342" s="178"/>
      <x:c r="Y342" s="178"/>
      <x:c r="Z342" s="178"/>
    </x:row>
    <x:row r="343">
      <x:c r="A343" s="178"/>
      <x:c r="B343" s="178"/>
      <x:c r="C343" s="178"/>
      <x:c r="D343" s="178"/>
      <x:c r="E343" s="178"/>
      <x:c r="F343" s="178"/>
      <x:c r="G343" s="178"/>
      <x:c r="H343" s="178"/>
      <x:c r="I343" s="178"/>
      <x:c r="J343" s="178"/>
      <x:c r="K343" s="178"/>
      <x:c r="L343" s="178"/>
      <x:c r="M343" s="178"/>
      <x:c r="N343" s="178"/>
      <x:c r="O343" s="178"/>
      <x:c r="P343" s="178"/>
      <x:c r="Q343" s="178"/>
      <x:c r="R343" s="178"/>
      <x:c r="S343" s="178"/>
      <x:c r="T343" s="178"/>
      <x:c r="U343" s="178"/>
      <x:c r="V343" s="178"/>
      <x:c r="W343" s="178"/>
      <x:c r="X343" s="178"/>
      <x:c r="Y343" s="178"/>
      <x:c r="Z343" s="178"/>
    </x:row>
    <x:row r="344">
      <x:c r="A344" s="178"/>
      <x:c r="B344" s="178"/>
      <x:c r="C344" s="178"/>
      <x:c r="D344" s="178"/>
      <x:c r="E344" s="178"/>
      <x:c r="F344" s="178"/>
      <x:c r="G344" s="178"/>
      <x:c r="H344" s="178"/>
      <x:c r="I344" s="178"/>
      <x:c r="J344" s="178"/>
      <x:c r="K344" s="178"/>
      <x:c r="L344" s="178"/>
      <x:c r="M344" s="178"/>
      <x:c r="N344" s="178"/>
      <x:c r="O344" s="178"/>
      <x:c r="P344" s="178"/>
      <x:c r="Q344" s="178"/>
      <x:c r="R344" s="178"/>
      <x:c r="S344" s="178"/>
      <x:c r="T344" s="178"/>
      <x:c r="U344" s="178"/>
      <x:c r="V344" s="178"/>
      <x:c r="W344" s="178"/>
      <x:c r="X344" s="178"/>
      <x:c r="Y344" s="178"/>
      <x:c r="Z344" s="178"/>
    </x:row>
    <x:row r="345">
      <x:c r="A345" s="178"/>
      <x:c r="B345" s="178"/>
      <x:c r="C345" s="178"/>
      <x:c r="D345" s="178"/>
      <x:c r="E345" s="178"/>
      <x:c r="F345" s="178"/>
      <x:c r="G345" s="178"/>
      <x:c r="H345" s="178"/>
      <x:c r="I345" s="178"/>
      <x:c r="J345" s="178"/>
      <x:c r="K345" s="178"/>
      <x:c r="L345" s="178"/>
      <x:c r="M345" s="178"/>
      <x:c r="N345" s="178"/>
      <x:c r="O345" s="178"/>
      <x:c r="P345" s="178"/>
      <x:c r="Q345" s="178"/>
      <x:c r="R345" s="178"/>
      <x:c r="S345" s="178"/>
      <x:c r="T345" s="178"/>
      <x:c r="U345" s="178"/>
      <x:c r="V345" s="178"/>
      <x:c r="W345" s="178"/>
      <x:c r="X345" s="178"/>
      <x:c r="Y345" s="178"/>
      <x:c r="Z345" s="178"/>
    </x:row>
    <x:row r="346">
      <x:c r="A346" s="178"/>
      <x:c r="B346" s="178"/>
      <x:c r="C346" s="178"/>
      <x:c r="D346" s="178"/>
      <x:c r="E346" s="178"/>
      <x:c r="F346" s="178"/>
      <x:c r="G346" s="178"/>
      <x:c r="H346" s="178"/>
      <x:c r="I346" s="178"/>
      <x:c r="J346" s="178"/>
      <x:c r="K346" s="178"/>
      <x:c r="L346" s="178"/>
      <x:c r="M346" s="178"/>
      <x:c r="N346" s="178"/>
      <x:c r="O346" s="178"/>
      <x:c r="P346" s="178"/>
      <x:c r="Q346" s="178"/>
      <x:c r="R346" s="178"/>
      <x:c r="S346" s="178"/>
      <x:c r="T346" s="178"/>
      <x:c r="U346" s="178"/>
      <x:c r="V346" s="178"/>
      <x:c r="W346" s="178"/>
      <x:c r="X346" s="178"/>
      <x:c r="Y346" s="178"/>
      <x:c r="Z346" s="178"/>
    </x:row>
    <x:row r="347">
      <x:c r="A347" s="178"/>
      <x:c r="B347" s="178"/>
      <x:c r="C347" s="178"/>
      <x:c r="D347" s="178"/>
      <x:c r="E347" s="178"/>
      <x:c r="F347" s="178"/>
      <x:c r="G347" s="178"/>
      <x:c r="H347" s="178"/>
      <x:c r="I347" s="178"/>
      <x:c r="J347" s="178"/>
      <x:c r="K347" s="178"/>
      <x:c r="L347" s="178"/>
      <x:c r="M347" s="178"/>
      <x:c r="N347" s="178"/>
      <x:c r="O347" s="178"/>
      <x:c r="P347" s="178"/>
      <x:c r="Q347" s="178"/>
      <x:c r="R347" s="178"/>
      <x:c r="S347" s="178"/>
      <x:c r="T347" s="178"/>
      <x:c r="U347" s="178"/>
      <x:c r="V347" s="178"/>
      <x:c r="W347" s="178"/>
      <x:c r="X347" s="178"/>
      <x:c r="Y347" s="178"/>
      <x:c r="Z347" s="178"/>
    </x:row>
    <x:row r="348">
      <x:c r="A348" s="178"/>
      <x:c r="B348" s="178"/>
      <x:c r="C348" s="178"/>
      <x:c r="D348" s="178"/>
      <x:c r="E348" s="178"/>
      <x:c r="F348" s="178"/>
      <x:c r="G348" s="178"/>
      <x:c r="H348" s="178"/>
      <x:c r="I348" s="178"/>
      <x:c r="J348" s="178"/>
      <x:c r="K348" s="178"/>
      <x:c r="L348" s="178"/>
      <x:c r="M348" s="178"/>
      <x:c r="N348" s="178"/>
      <x:c r="O348" s="178"/>
      <x:c r="P348" s="178"/>
      <x:c r="Q348" s="178"/>
      <x:c r="R348" s="178"/>
      <x:c r="S348" s="178"/>
      <x:c r="T348" s="178"/>
      <x:c r="U348" s="178"/>
      <x:c r="V348" s="178"/>
      <x:c r="W348" s="178"/>
      <x:c r="X348" s="178"/>
      <x:c r="Y348" s="178"/>
      <x:c r="Z348" s="178"/>
    </x:row>
    <x:row r="349">
      <x:c r="A349" s="178"/>
      <x:c r="B349" s="178"/>
      <x:c r="C349" s="178"/>
      <x:c r="D349" s="178"/>
      <x:c r="E349" s="178"/>
      <x:c r="F349" s="178"/>
      <x:c r="G349" s="178"/>
      <x:c r="H349" s="178"/>
      <x:c r="I349" s="178"/>
      <x:c r="J349" s="178"/>
      <x:c r="K349" s="178"/>
      <x:c r="L349" s="178"/>
      <x:c r="M349" s="178"/>
      <x:c r="N349" s="178"/>
      <x:c r="O349" s="178"/>
      <x:c r="P349" s="178"/>
      <x:c r="Q349" s="178"/>
      <x:c r="R349" s="178"/>
      <x:c r="S349" s="178"/>
      <x:c r="T349" s="178"/>
      <x:c r="U349" s="178"/>
      <x:c r="V349" s="178"/>
      <x:c r="W349" s="178"/>
      <x:c r="X349" s="178"/>
      <x:c r="Y349" s="178"/>
      <x:c r="Z349" s="178"/>
    </x:row>
    <x:row r="350">
      <x:c r="A350" s="178"/>
      <x:c r="B350" s="178"/>
      <x:c r="C350" s="178"/>
      <x:c r="D350" s="178"/>
      <x:c r="E350" s="178"/>
      <x:c r="F350" s="178"/>
      <x:c r="G350" s="178"/>
      <x:c r="H350" s="178"/>
      <x:c r="I350" s="178"/>
      <x:c r="J350" s="178"/>
      <x:c r="K350" s="178"/>
      <x:c r="L350" s="178"/>
      <x:c r="M350" s="178"/>
      <x:c r="N350" s="178"/>
      <x:c r="O350" s="178"/>
      <x:c r="P350" s="178"/>
      <x:c r="Q350" s="178"/>
      <x:c r="R350" s="178"/>
      <x:c r="S350" s="178"/>
      <x:c r="T350" s="178"/>
      <x:c r="U350" s="178"/>
      <x:c r="V350" s="178"/>
      <x:c r="W350" s="178"/>
      <x:c r="X350" s="178"/>
      <x:c r="Y350" s="178"/>
      <x:c r="Z350" s="178"/>
    </x:row>
    <x:row r="351">
      <x:c r="A351" s="178"/>
      <x:c r="B351" s="178"/>
      <x:c r="C351" s="178"/>
      <x:c r="D351" s="178"/>
      <x:c r="E351" s="178"/>
      <x:c r="F351" s="178"/>
      <x:c r="G351" s="178"/>
      <x:c r="H351" s="178"/>
      <x:c r="I351" s="178"/>
      <x:c r="J351" s="178"/>
      <x:c r="K351" s="178"/>
      <x:c r="L351" s="178"/>
      <x:c r="M351" s="178"/>
      <x:c r="N351" s="178"/>
      <x:c r="O351" s="178"/>
      <x:c r="P351" s="178"/>
      <x:c r="Q351" s="178"/>
      <x:c r="R351" s="178"/>
      <x:c r="S351" s="178"/>
      <x:c r="T351" s="178"/>
      <x:c r="U351" s="178"/>
      <x:c r="V351" s="178"/>
      <x:c r="W351" s="178"/>
      <x:c r="X351" s="178"/>
      <x:c r="Y351" s="178"/>
      <x:c r="Z351" s="178"/>
    </x:row>
    <x:row r="352">
      <x:c r="A352" s="178"/>
      <x:c r="B352" s="178"/>
      <x:c r="C352" s="178"/>
      <x:c r="D352" s="178"/>
      <x:c r="E352" s="178"/>
      <x:c r="F352" s="178"/>
      <x:c r="G352" s="178"/>
      <x:c r="H352" s="178"/>
      <x:c r="I352" s="178"/>
      <x:c r="J352" s="178"/>
      <x:c r="K352" s="178"/>
      <x:c r="L352" s="178"/>
      <x:c r="M352" s="178"/>
      <x:c r="N352" s="178"/>
      <x:c r="O352" s="178"/>
      <x:c r="P352" s="178"/>
      <x:c r="Q352" s="178"/>
      <x:c r="R352" s="178"/>
      <x:c r="S352" s="178"/>
      <x:c r="T352" s="178"/>
      <x:c r="U352" s="178"/>
      <x:c r="V352" s="178"/>
      <x:c r="W352" s="178"/>
      <x:c r="X352" s="178"/>
      <x:c r="Y352" s="178"/>
      <x:c r="Z352" s="178"/>
    </x:row>
    <x:row r="353">
      <x:c r="A353" s="178"/>
      <x:c r="B353" s="178"/>
      <x:c r="C353" s="178"/>
      <x:c r="D353" s="178"/>
      <x:c r="E353" s="178"/>
      <x:c r="F353" s="178"/>
      <x:c r="G353" s="178"/>
      <x:c r="H353" s="178"/>
      <x:c r="I353" s="178"/>
      <x:c r="J353" s="178"/>
      <x:c r="K353" s="178"/>
      <x:c r="L353" s="178"/>
      <x:c r="M353" s="178"/>
      <x:c r="N353" s="178"/>
      <x:c r="O353" s="178"/>
      <x:c r="P353" s="178"/>
      <x:c r="Q353" s="178"/>
      <x:c r="R353" s="178"/>
      <x:c r="S353" s="178"/>
      <x:c r="T353" s="178"/>
      <x:c r="U353" s="178"/>
      <x:c r="V353" s="178"/>
      <x:c r="W353" s="178"/>
      <x:c r="X353" s="178"/>
      <x:c r="Y353" s="178"/>
      <x:c r="Z353" s="178"/>
    </x:row>
    <x:row r="354">
      <x:c r="A354" s="178"/>
      <x:c r="B354" s="178"/>
      <x:c r="C354" s="178"/>
      <x:c r="D354" s="178"/>
      <x:c r="E354" s="178"/>
      <x:c r="F354" s="178"/>
      <x:c r="G354" s="178"/>
      <x:c r="H354" s="178"/>
      <x:c r="I354" s="178"/>
      <x:c r="J354" s="178"/>
      <x:c r="K354" s="178"/>
      <x:c r="L354" s="178"/>
      <x:c r="M354" s="178"/>
      <x:c r="N354" s="178"/>
      <x:c r="O354" s="178"/>
      <x:c r="P354" s="178"/>
      <x:c r="Q354" s="178"/>
      <x:c r="R354" s="178"/>
      <x:c r="S354" s="178"/>
      <x:c r="T354" s="178"/>
      <x:c r="U354" s="178"/>
      <x:c r="V354" s="178"/>
      <x:c r="W354" s="178"/>
      <x:c r="X354" s="178"/>
      <x:c r="Y354" s="178"/>
      <x:c r="Z354" s="178"/>
    </x:row>
    <x:row r="355">
      <x:c r="A355" s="178"/>
      <x:c r="B355" s="178"/>
      <x:c r="C355" s="178"/>
      <x:c r="D355" s="178"/>
      <x:c r="E355" s="178"/>
      <x:c r="F355" s="178"/>
      <x:c r="G355" s="178"/>
      <x:c r="H355" s="178"/>
      <x:c r="I355" s="178"/>
      <x:c r="J355" s="178"/>
      <x:c r="K355" s="178"/>
      <x:c r="L355" s="178"/>
      <x:c r="M355" s="178"/>
      <x:c r="N355" s="178"/>
      <x:c r="O355" s="178"/>
      <x:c r="P355" s="178"/>
      <x:c r="Q355" s="178"/>
      <x:c r="R355" s="178"/>
      <x:c r="S355" s="178"/>
      <x:c r="T355" s="178"/>
      <x:c r="U355" s="178"/>
      <x:c r="V355" s="178"/>
      <x:c r="W355" s="178"/>
      <x:c r="X355" s="178"/>
      <x:c r="Y355" s="178"/>
      <x:c r="Z355" s="178"/>
    </x:row>
    <x:row r="356">
      <x:c r="A356" s="178"/>
      <x:c r="B356" s="178"/>
      <x:c r="C356" s="178"/>
      <x:c r="D356" s="178"/>
      <x:c r="E356" s="178"/>
      <x:c r="F356" s="178"/>
      <x:c r="G356" s="178"/>
      <x:c r="H356" s="178"/>
      <x:c r="I356" s="178"/>
      <x:c r="J356" s="178"/>
      <x:c r="K356" s="178"/>
      <x:c r="L356" s="178"/>
      <x:c r="M356" s="178"/>
      <x:c r="N356" s="178"/>
      <x:c r="O356" s="178"/>
      <x:c r="P356" s="178"/>
      <x:c r="Q356" s="178"/>
      <x:c r="R356" s="178"/>
      <x:c r="S356" s="178"/>
      <x:c r="T356" s="178"/>
      <x:c r="U356" s="178"/>
      <x:c r="V356" s="178"/>
      <x:c r="W356" s="178"/>
      <x:c r="X356" s="178"/>
      <x:c r="Y356" s="178"/>
      <x:c r="Z356" s="178"/>
    </x:row>
    <x:row r="357">
      <x:c r="A357" s="178"/>
      <x:c r="B357" s="178"/>
      <x:c r="C357" s="178"/>
      <x:c r="D357" s="178"/>
      <x:c r="E357" s="178"/>
      <x:c r="F357" s="178"/>
      <x:c r="G357" s="178"/>
      <x:c r="H357" s="178"/>
      <x:c r="I357" s="178"/>
      <x:c r="J357" s="178"/>
      <x:c r="K357" s="178"/>
      <x:c r="L357" s="178"/>
      <x:c r="M357" s="178"/>
      <x:c r="N357" s="178"/>
      <x:c r="O357" s="178"/>
      <x:c r="P357" s="178"/>
      <x:c r="Q357" s="178"/>
      <x:c r="R357" s="178"/>
      <x:c r="S357" s="178"/>
      <x:c r="T357" s="178"/>
      <x:c r="U357" s="178"/>
      <x:c r="V357" s="178"/>
      <x:c r="W357" s="178"/>
      <x:c r="X357" s="178"/>
      <x:c r="Y357" s="178"/>
      <x:c r="Z357" s="178"/>
    </x:row>
    <x:row r="358">
      <x:c r="A358" s="178"/>
      <x:c r="B358" s="178"/>
      <x:c r="C358" s="178"/>
      <x:c r="D358" s="178"/>
      <x:c r="E358" s="178"/>
      <x:c r="F358" s="178"/>
      <x:c r="G358" s="178"/>
      <x:c r="H358" s="178"/>
      <x:c r="I358" s="178"/>
      <x:c r="J358" s="178"/>
      <x:c r="K358" s="178"/>
      <x:c r="L358" s="178"/>
      <x:c r="M358" s="178"/>
      <x:c r="N358" s="178"/>
      <x:c r="O358" s="178"/>
      <x:c r="P358" s="178"/>
      <x:c r="Q358" s="178"/>
      <x:c r="R358" s="178"/>
      <x:c r="S358" s="178"/>
      <x:c r="T358" s="178"/>
      <x:c r="U358" s="178"/>
      <x:c r="V358" s="178"/>
      <x:c r="W358" s="178"/>
      <x:c r="X358" s="178"/>
      <x:c r="Y358" s="178"/>
      <x:c r="Z358" s="178"/>
    </x:row>
    <x:row r="359">
      <x:c r="A359" s="178"/>
      <x:c r="B359" s="178"/>
      <x:c r="C359" s="178"/>
      <x:c r="D359" s="178"/>
      <x:c r="E359" s="178"/>
      <x:c r="F359" s="178"/>
      <x:c r="G359" s="178"/>
      <x:c r="H359" s="178"/>
      <x:c r="I359" s="178"/>
      <x:c r="J359" s="178"/>
      <x:c r="K359" s="178"/>
      <x:c r="L359" s="178"/>
      <x:c r="M359" s="178"/>
      <x:c r="N359" s="178"/>
      <x:c r="O359" s="178"/>
      <x:c r="P359" s="178"/>
      <x:c r="Q359" s="178"/>
      <x:c r="R359" s="178"/>
      <x:c r="S359" s="178"/>
      <x:c r="T359" s="178"/>
      <x:c r="U359" s="178"/>
      <x:c r="V359" s="178"/>
      <x:c r="W359" s="178"/>
      <x:c r="X359" s="178"/>
      <x:c r="Y359" s="178"/>
      <x:c r="Z359" s="178"/>
    </x:row>
    <x:row r="360">
      <x:c r="A360" s="178"/>
      <x:c r="B360" s="178"/>
      <x:c r="C360" s="178"/>
      <x:c r="D360" s="178"/>
      <x:c r="E360" s="178"/>
      <x:c r="F360" s="178"/>
      <x:c r="G360" s="178"/>
      <x:c r="H360" s="178"/>
      <x:c r="I360" s="178"/>
      <x:c r="J360" s="178"/>
      <x:c r="K360" s="178"/>
      <x:c r="L360" s="178"/>
      <x:c r="M360" s="178"/>
      <x:c r="N360" s="178"/>
      <x:c r="O360" s="178"/>
      <x:c r="P360" s="178"/>
      <x:c r="Q360" s="178"/>
      <x:c r="R360" s="178"/>
      <x:c r="S360" s="178"/>
      <x:c r="T360" s="178"/>
      <x:c r="U360" s="178"/>
      <x:c r="V360" s="178"/>
      <x:c r="W360" s="178"/>
      <x:c r="X360" s="178"/>
      <x:c r="Y360" s="178"/>
      <x:c r="Z360" s="178"/>
    </x:row>
    <x:row r="361">
      <x:c r="A361" s="178"/>
      <x:c r="B361" s="178"/>
      <x:c r="C361" s="178"/>
      <x:c r="D361" s="178"/>
      <x:c r="E361" s="178"/>
      <x:c r="F361" s="178"/>
      <x:c r="G361" s="178"/>
      <x:c r="H361" s="178"/>
      <x:c r="I361" s="178"/>
      <x:c r="J361" s="178"/>
      <x:c r="K361" s="178"/>
      <x:c r="L361" s="178"/>
      <x:c r="M361" s="178"/>
      <x:c r="N361" s="178"/>
      <x:c r="O361" s="178"/>
      <x:c r="P361" s="178"/>
      <x:c r="Q361" s="178"/>
      <x:c r="R361" s="178"/>
      <x:c r="S361" s="178"/>
      <x:c r="T361" s="178"/>
      <x:c r="U361" s="178"/>
      <x:c r="V361" s="178"/>
      <x:c r="W361" s="178"/>
      <x:c r="X361" s="178"/>
      <x:c r="Y361" s="178"/>
      <x:c r="Z361" s="178"/>
    </x:row>
    <x:row r="362">
      <x:c r="A362" s="178"/>
      <x:c r="B362" s="178"/>
      <x:c r="C362" s="178"/>
      <x:c r="D362" s="178"/>
      <x:c r="E362" s="178"/>
      <x:c r="F362" s="178"/>
      <x:c r="G362" s="178"/>
      <x:c r="H362" s="178"/>
      <x:c r="I362" s="178"/>
      <x:c r="J362" s="178"/>
      <x:c r="K362" s="178"/>
      <x:c r="L362" s="178"/>
      <x:c r="M362" s="178"/>
      <x:c r="N362" s="178"/>
      <x:c r="O362" s="178"/>
      <x:c r="P362" s="178"/>
      <x:c r="Q362" s="178"/>
      <x:c r="R362" s="178"/>
      <x:c r="S362" s="178"/>
      <x:c r="T362" s="178"/>
      <x:c r="U362" s="178"/>
      <x:c r="V362" s="178"/>
      <x:c r="W362" s="178"/>
      <x:c r="X362" s="178"/>
      <x:c r="Y362" s="178"/>
      <x:c r="Z362" s="178"/>
    </x:row>
    <x:row r="363">
      <x:c r="A363" s="178"/>
      <x:c r="B363" s="178"/>
      <x:c r="C363" s="178"/>
      <x:c r="D363" s="178"/>
      <x:c r="E363" s="178"/>
      <x:c r="F363" s="178"/>
      <x:c r="G363" s="178"/>
      <x:c r="H363" s="178"/>
      <x:c r="I363" s="178"/>
      <x:c r="J363" s="178"/>
      <x:c r="K363" s="178"/>
      <x:c r="L363" s="178"/>
      <x:c r="M363" s="178"/>
      <x:c r="N363" s="178"/>
      <x:c r="O363" s="178"/>
      <x:c r="P363" s="178"/>
      <x:c r="Q363" s="178"/>
      <x:c r="R363" s="178"/>
      <x:c r="S363" s="178"/>
      <x:c r="T363" s="178"/>
      <x:c r="U363" s="178"/>
      <x:c r="V363" s="178"/>
      <x:c r="W363" s="178"/>
      <x:c r="X363" s="178"/>
      <x:c r="Y363" s="178"/>
      <x:c r="Z363" s="178"/>
    </x:row>
    <x:row r="364">
      <x:c r="A364" s="178"/>
      <x:c r="B364" s="178"/>
      <x:c r="C364" s="178"/>
      <x:c r="D364" s="178"/>
      <x:c r="E364" s="178"/>
      <x:c r="F364" s="178"/>
      <x:c r="G364" s="178"/>
      <x:c r="H364" s="178"/>
      <x:c r="I364" s="178"/>
      <x:c r="J364" s="178"/>
      <x:c r="K364" s="178"/>
      <x:c r="L364" s="178"/>
      <x:c r="M364" s="178"/>
      <x:c r="N364" s="178"/>
      <x:c r="O364" s="178"/>
      <x:c r="P364" s="178"/>
      <x:c r="Q364" s="178"/>
      <x:c r="R364" s="178"/>
      <x:c r="S364" s="178"/>
      <x:c r="T364" s="178"/>
      <x:c r="U364" s="178"/>
      <x:c r="V364" s="178"/>
      <x:c r="W364" s="178"/>
      <x:c r="X364" s="178"/>
      <x:c r="Y364" s="178"/>
      <x:c r="Z364" s="178"/>
    </x:row>
    <x:row r="365">
      <x:c r="A365" s="178"/>
      <x:c r="B365" s="178"/>
      <x:c r="C365" s="178"/>
      <x:c r="D365" s="178"/>
      <x:c r="E365" s="178"/>
      <x:c r="F365" s="178"/>
      <x:c r="G365" s="178"/>
      <x:c r="H365" s="178"/>
      <x:c r="I365" s="178"/>
      <x:c r="J365" s="178"/>
      <x:c r="K365" s="178"/>
      <x:c r="L365" s="178"/>
      <x:c r="M365" s="178"/>
      <x:c r="N365" s="178"/>
      <x:c r="O365" s="178"/>
      <x:c r="P365" s="178"/>
      <x:c r="Q365" s="178"/>
      <x:c r="R365" s="178"/>
      <x:c r="S365" s="178"/>
      <x:c r="T365" s="178"/>
      <x:c r="U365" s="178"/>
      <x:c r="V365" s="178"/>
      <x:c r="W365" s="178"/>
      <x:c r="X365" s="178"/>
      <x:c r="Y365" s="178"/>
      <x:c r="Z365" s="178"/>
    </x:row>
    <x:row r="366">
      <x:c r="A366" s="178"/>
      <x:c r="B366" s="178"/>
      <x:c r="C366" s="178"/>
      <x:c r="D366" s="178"/>
      <x:c r="E366" s="178"/>
      <x:c r="F366" s="178"/>
      <x:c r="G366" s="178"/>
      <x:c r="H366" s="178"/>
      <x:c r="I366" s="178"/>
      <x:c r="J366" s="178"/>
      <x:c r="K366" s="178"/>
      <x:c r="L366" s="178"/>
      <x:c r="M366" s="178"/>
      <x:c r="N366" s="178"/>
      <x:c r="O366" s="178"/>
      <x:c r="P366" s="178"/>
      <x:c r="Q366" s="178"/>
      <x:c r="R366" s="178"/>
      <x:c r="S366" s="178"/>
      <x:c r="T366" s="178"/>
      <x:c r="U366" s="178"/>
      <x:c r="V366" s="178"/>
      <x:c r="W366" s="178"/>
      <x:c r="X366" s="178"/>
      <x:c r="Y366" s="178"/>
      <x:c r="Z366" s="178"/>
    </x:row>
    <x:row r="367">
      <x:c r="A367" s="178"/>
      <x:c r="B367" s="178"/>
      <x:c r="C367" s="178"/>
      <x:c r="D367" s="178"/>
      <x:c r="E367" s="178"/>
      <x:c r="F367" s="178"/>
      <x:c r="G367" s="178"/>
      <x:c r="H367" s="178"/>
      <x:c r="I367" s="178"/>
      <x:c r="J367" s="178"/>
      <x:c r="K367" s="178"/>
      <x:c r="L367" s="178"/>
      <x:c r="M367" s="178"/>
      <x:c r="N367" s="178"/>
      <x:c r="O367" s="178"/>
      <x:c r="P367" s="178"/>
      <x:c r="Q367" s="178"/>
      <x:c r="R367" s="178"/>
      <x:c r="S367" s="178"/>
      <x:c r="T367" s="178"/>
      <x:c r="U367" s="178"/>
      <x:c r="V367" s="178"/>
      <x:c r="W367" s="178"/>
      <x:c r="X367" s="178"/>
      <x:c r="Y367" s="178"/>
      <x:c r="Z367" s="178"/>
    </x:row>
    <x:row r="368">
      <x:c r="A368" s="178"/>
      <x:c r="B368" s="178"/>
      <x:c r="C368" s="178"/>
      <x:c r="D368" s="178"/>
      <x:c r="E368" s="178"/>
      <x:c r="F368" s="178"/>
      <x:c r="G368" s="178"/>
      <x:c r="H368" s="178"/>
      <x:c r="I368" s="178"/>
      <x:c r="J368" s="178"/>
      <x:c r="K368" s="178"/>
      <x:c r="L368" s="178"/>
      <x:c r="M368" s="178"/>
      <x:c r="N368" s="178"/>
      <x:c r="O368" s="178"/>
      <x:c r="P368" s="178"/>
      <x:c r="Q368" s="178"/>
      <x:c r="R368" s="178"/>
      <x:c r="S368" s="178"/>
      <x:c r="T368" s="178"/>
      <x:c r="U368" s="178"/>
      <x:c r="V368" s="178"/>
      <x:c r="W368" s="178"/>
      <x:c r="X368" s="178"/>
      <x:c r="Y368" s="178"/>
      <x:c r="Z368" s="178"/>
    </x:row>
    <x:row r="369">
      <x:c r="A369" s="178"/>
      <x:c r="B369" s="178"/>
      <x:c r="C369" s="178"/>
      <x:c r="D369" s="178"/>
      <x:c r="E369" s="178"/>
      <x:c r="F369" s="178"/>
      <x:c r="G369" s="178"/>
      <x:c r="H369" s="178"/>
      <x:c r="I369" s="178"/>
      <x:c r="J369" s="178"/>
      <x:c r="K369" s="178"/>
      <x:c r="L369" s="178"/>
      <x:c r="M369" s="178"/>
      <x:c r="N369" s="178"/>
      <x:c r="O369" s="178"/>
      <x:c r="P369" s="178"/>
      <x:c r="Q369" s="178"/>
      <x:c r="R369" s="178"/>
      <x:c r="S369" s="178"/>
      <x:c r="T369" s="178"/>
      <x:c r="U369" s="178"/>
      <x:c r="V369" s="178"/>
      <x:c r="W369" s="178"/>
      <x:c r="X369" s="178"/>
      <x:c r="Y369" s="178"/>
      <x:c r="Z369" s="178"/>
    </x:row>
    <x:row r="370">
      <x:c r="A370" s="178"/>
      <x:c r="B370" s="178"/>
      <x:c r="C370" s="178"/>
      <x:c r="D370" s="178"/>
      <x:c r="E370" s="178"/>
      <x:c r="F370" s="178"/>
      <x:c r="G370" s="178"/>
      <x:c r="H370" s="178"/>
      <x:c r="I370" s="178"/>
      <x:c r="J370" s="178"/>
      <x:c r="K370" s="178"/>
      <x:c r="L370" s="178"/>
      <x:c r="M370" s="178"/>
      <x:c r="N370" s="178"/>
      <x:c r="O370" s="178"/>
      <x:c r="P370" s="178"/>
      <x:c r="Q370" s="178"/>
      <x:c r="R370" s="178"/>
      <x:c r="S370" s="178"/>
      <x:c r="T370" s="178"/>
      <x:c r="U370" s="178"/>
      <x:c r="V370" s="178"/>
      <x:c r="W370" s="178"/>
      <x:c r="X370" s="178"/>
      <x:c r="Y370" s="178"/>
      <x:c r="Z370" s="178"/>
    </x:row>
    <x:row r="371">
      <x:c r="A371" s="178"/>
      <x:c r="B371" s="178"/>
      <x:c r="C371" s="178"/>
      <x:c r="D371" s="178"/>
      <x:c r="E371" s="178"/>
      <x:c r="F371" s="178"/>
      <x:c r="G371" s="178"/>
      <x:c r="H371" s="178"/>
      <x:c r="I371" s="178"/>
      <x:c r="J371" s="178"/>
      <x:c r="K371" s="178"/>
      <x:c r="L371" s="178"/>
      <x:c r="M371" s="178"/>
      <x:c r="N371" s="178"/>
      <x:c r="O371" s="178"/>
      <x:c r="P371" s="178"/>
      <x:c r="Q371" s="178"/>
      <x:c r="R371" s="178"/>
      <x:c r="S371" s="178"/>
      <x:c r="T371" s="178"/>
      <x:c r="U371" s="178"/>
      <x:c r="V371" s="178"/>
      <x:c r="W371" s="178"/>
      <x:c r="X371" s="178"/>
      <x:c r="Y371" s="178"/>
      <x:c r="Z371" s="178"/>
    </x:row>
    <x:row r="372">
      <x:c r="A372" s="178"/>
      <x:c r="B372" s="178"/>
      <x:c r="C372" s="178"/>
      <x:c r="D372" s="178"/>
      <x:c r="E372" s="178"/>
      <x:c r="F372" s="178"/>
      <x:c r="G372" s="178"/>
      <x:c r="H372" s="178"/>
      <x:c r="I372" s="178"/>
      <x:c r="J372" s="178"/>
      <x:c r="K372" s="178"/>
      <x:c r="L372" s="178"/>
      <x:c r="M372" s="178"/>
      <x:c r="N372" s="178"/>
      <x:c r="O372" s="178"/>
      <x:c r="P372" s="178"/>
      <x:c r="Q372" s="178"/>
      <x:c r="R372" s="178"/>
      <x:c r="S372" s="178"/>
      <x:c r="T372" s="178"/>
      <x:c r="U372" s="178"/>
      <x:c r="V372" s="178"/>
      <x:c r="W372" s="178"/>
      <x:c r="X372" s="178"/>
      <x:c r="Y372" s="178"/>
      <x:c r="Z372" s="178"/>
    </x:row>
    <x:row r="373">
      <x:c r="A373" s="178"/>
      <x:c r="B373" s="178"/>
      <x:c r="C373" s="178"/>
      <x:c r="D373" s="178"/>
      <x:c r="E373" s="178"/>
      <x:c r="F373" s="178"/>
      <x:c r="G373" s="178"/>
      <x:c r="H373" s="178"/>
      <x:c r="I373" s="178"/>
      <x:c r="J373" s="178"/>
      <x:c r="K373" s="178"/>
      <x:c r="L373" s="178"/>
      <x:c r="M373" s="178"/>
      <x:c r="N373" s="178"/>
      <x:c r="O373" s="178"/>
      <x:c r="P373" s="178"/>
      <x:c r="Q373" s="178"/>
      <x:c r="R373" s="178"/>
      <x:c r="S373" s="178"/>
      <x:c r="T373" s="178"/>
      <x:c r="U373" s="178"/>
      <x:c r="V373" s="178"/>
      <x:c r="W373" s="178"/>
      <x:c r="X373" s="178"/>
      <x:c r="Y373" s="178"/>
      <x:c r="Z373" s="178"/>
    </x:row>
    <x:row r="374">
      <x:c r="A374" s="178"/>
      <x:c r="B374" s="178"/>
      <x:c r="C374" s="178"/>
      <x:c r="D374" s="178"/>
      <x:c r="E374" s="178"/>
      <x:c r="F374" s="178"/>
      <x:c r="G374" s="178"/>
      <x:c r="H374" s="178"/>
      <x:c r="I374" s="178"/>
      <x:c r="J374" s="178"/>
      <x:c r="K374" s="178"/>
      <x:c r="L374" s="178"/>
      <x:c r="M374" s="178"/>
      <x:c r="N374" s="178"/>
      <x:c r="O374" s="178"/>
      <x:c r="P374" s="178"/>
      <x:c r="Q374" s="178"/>
      <x:c r="R374" s="178"/>
      <x:c r="S374" s="178"/>
      <x:c r="T374" s="178"/>
      <x:c r="U374" s="178"/>
      <x:c r="V374" s="178"/>
      <x:c r="W374" s="178"/>
      <x:c r="X374" s="178"/>
      <x:c r="Y374" s="178"/>
      <x:c r="Z374" s="178"/>
    </x:row>
    <x:row r="375">
      <x:c r="A375" s="178"/>
      <x:c r="B375" s="178"/>
      <x:c r="C375" s="178"/>
      <x:c r="D375" s="178"/>
      <x:c r="E375" s="178"/>
      <x:c r="F375" s="178"/>
      <x:c r="G375" s="178"/>
      <x:c r="H375" s="178"/>
      <x:c r="I375" s="178"/>
      <x:c r="J375" s="178"/>
      <x:c r="K375" s="178"/>
      <x:c r="L375" s="178"/>
      <x:c r="M375" s="178"/>
      <x:c r="N375" s="178"/>
      <x:c r="O375" s="178"/>
      <x:c r="P375" s="178"/>
      <x:c r="Q375" s="178"/>
      <x:c r="R375" s="178"/>
      <x:c r="S375" s="178"/>
      <x:c r="T375" s="178"/>
      <x:c r="U375" s="178"/>
      <x:c r="V375" s="178"/>
      <x:c r="W375" s="178"/>
      <x:c r="X375" s="178"/>
      <x:c r="Y375" s="178"/>
      <x:c r="Z375" s="178"/>
    </x:row>
    <x:row r="376">
      <x:c r="A376" s="178"/>
      <x:c r="B376" s="178"/>
      <x:c r="C376" s="178"/>
      <x:c r="D376" s="178"/>
      <x:c r="E376" s="178"/>
      <x:c r="F376" s="178"/>
      <x:c r="G376" s="178"/>
      <x:c r="H376" s="178"/>
      <x:c r="I376" s="178"/>
      <x:c r="J376" s="178"/>
      <x:c r="K376" s="178"/>
      <x:c r="L376" s="178"/>
      <x:c r="M376" s="178"/>
      <x:c r="N376" s="178"/>
      <x:c r="O376" s="178"/>
      <x:c r="P376" s="178"/>
      <x:c r="Q376" s="178"/>
      <x:c r="R376" s="178"/>
      <x:c r="S376" s="178"/>
      <x:c r="T376" s="178"/>
      <x:c r="U376" s="178"/>
      <x:c r="V376" s="178"/>
      <x:c r="W376" s="178"/>
      <x:c r="X376" s="178"/>
      <x:c r="Y376" s="178"/>
      <x:c r="Z376" s="178"/>
    </x:row>
    <x:row r="377">
      <x:c r="A377" s="178"/>
      <x:c r="B377" s="178"/>
      <x:c r="C377" s="178"/>
      <x:c r="D377" s="178"/>
      <x:c r="E377" s="178"/>
      <x:c r="F377" s="178"/>
      <x:c r="G377" s="178"/>
      <x:c r="H377" s="178"/>
      <x:c r="I377" s="178"/>
      <x:c r="J377" s="178"/>
      <x:c r="K377" s="178"/>
      <x:c r="L377" s="178"/>
      <x:c r="M377" s="178"/>
      <x:c r="N377" s="178"/>
      <x:c r="O377" s="178"/>
      <x:c r="P377" s="178"/>
      <x:c r="Q377" s="178"/>
      <x:c r="R377" s="178"/>
      <x:c r="S377" s="178"/>
      <x:c r="T377" s="178"/>
      <x:c r="U377" s="178"/>
      <x:c r="V377" s="178"/>
      <x:c r="W377" s="178"/>
      <x:c r="X377" s="178"/>
      <x:c r="Y377" s="178"/>
      <x:c r="Z377" s="178"/>
    </x:row>
    <x:row r="378">
      <x:c r="A378" s="178"/>
      <x:c r="B378" s="178"/>
      <x:c r="C378" s="178"/>
      <x:c r="D378" s="178"/>
      <x:c r="E378" s="178"/>
      <x:c r="F378" s="178"/>
      <x:c r="G378" s="178"/>
      <x:c r="H378" s="178"/>
      <x:c r="I378" s="178"/>
      <x:c r="J378" s="178"/>
      <x:c r="K378" s="178"/>
      <x:c r="L378" s="178"/>
      <x:c r="M378" s="178"/>
      <x:c r="N378" s="178"/>
      <x:c r="O378" s="178"/>
      <x:c r="P378" s="178"/>
      <x:c r="Q378" s="178"/>
      <x:c r="R378" s="178"/>
      <x:c r="S378" s="178"/>
      <x:c r="T378" s="178"/>
      <x:c r="U378" s="178"/>
      <x:c r="V378" s="178"/>
      <x:c r="W378" s="178"/>
      <x:c r="X378" s="178"/>
      <x:c r="Y378" s="178"/>
      <x:c r="Z378" s="178"/>
    </x:row>
    <x:row r="379">
      <x:c r="A379" s="178"/>
      <x:c r="B379" s="178"/>
      <x:c r="C379" s="178"/>
      <x:c r="D379" s="178"/>
      <x:c r="E379" s="178"/>
      <x:c r="F379" s="178"/>
      <x:c r="G379" s="178"/>
      <x:c r="H379" s="178"/>
      <x:c r="I379" s="178"/>
      <x:c r="J379" s="178"/>
      <x:c r="K379" s="178"/>
      <x:c r="L379" s="178"/>
      <x:c r="M379" s="178"/>
      <x:c r="N379" s="178"/>
      <x:c r="O379" s="178"/>
      <x:c r="P379" s="178"/>
      <x:c r="Q379" s="178"/>
      <x:c r="R379" s="178"/>
      <x:c r="S379" s="178"/>
      <x:c r="T379" s="178"/>
      <x:c r="U379" s="178"/>
      <x:c r="V379" s="178"/>
      <x:c r="W379" s="178"/>
      <x:c r="X379" s="178"/>
      <x:c r="Y379" s="178"/>
      <x:c r="Z379" s="178"/>
    </x:row>
    <x:row r="380">
      <x:c r="A380" s="178"/>
      <x:c r="B380" s="178"/>
      <x:c r="C380" s="178"/>
      <x:c r="D380" s="178"/>
      <x:c r="E380" s="178"/>
      <x:c r="F380" s="178"/>
      <x:c r="G380" s="178"/>
      <x:c r="H380" s="178"/>
      <x:c r="I380" s="178"/>
      <x:c r="J380" s="178"/>
      <x:c r="K380" s="178"/>
      <x:c r="L380" s="178"/>
      <x:c r="M380" s="178"/>
      <x:c r="N380" s="178"/>
      <x:c r="O380" s="178"/>
      <x:c r="P380" s="178"/>
      <x:c r="Q380" s="178"/>
      <x:c r="R380" s="178"/>
      <x:c r="S380" s="178"/>
      <x:c r="T380" s="178"/>
      <x:c r="U380" s="178"/>
      <x:c r="V380" s="178"/>
      <x:c r="W380" s="178"/>
      <x:c r="X380" s="178"/>
      <x:c r="Y380" s="178"/>
      <x:c r="Z380" s="178"/>
    </x:row>
    <x:row r="381">
      <x:c r="A381" s="178"/>
      <x:c r="B381" s="178"/>
      <x:c r="C381" s="178"/>
      <x:c r="D381" s="178"/>
      <x:c r="E381" s="178"/>
      <x:c r="F381" s="178"/>
      <x:c r="G381" s="178"/>
      <x:c r="H381" s="178"/>
      <x:c r="I381" s="178"/>
      <x:c r="J381" s="178"/>
      <x:c r="K381" s="178"/>
      <x:c r="L381" s="178"/>
      <x:c r="M381" s="178"/>
      <x:c r="N381" s="178"/>
      <x:c r="O381" s="178"/>
      <x:c r="P381" s="178"/>
      <x:c r="Q381" s="178"/>
      <x:c r="R381" s="178"/>
      <x:c r="S381" s="178"/>
      <x:c r="T381" s="178"/>
      <x:c r="U381" s="178"/>
      <x:c r="V381" s="178"/>
      <x:c r="W381" s="178"/>
      <x:c r="X381" s="178"/>
      <x:c r="Y381" s="178"/>
      <x:c r="Z381" s="178"/>
    </x:row>
    <x:row r="382">
      <x:c r="A382" s="178"/>
      <x:c r="B382" s="178"/>
      <x:c r="C382" s="178"/>
      <x:c r="D382" s="178"/>
      <x:c r="E382" s="178"/>
      <x:c r="F382" s="178"/>
      <x:c r="G382" s="178"/>
      <x:c r="H382" s="178"/>
      <x:c r="I382" s="178"/>
      <x:c r="J382" s="178"/>
      <x:c r="K382" s="178"/>
      <x:c r="L382" s="178"/>
      <x:c r="M382" s="178"/>
      <x:c r="N382" s="178"/>
      <x:c r="O382" s="178"/>
      <x:c r="P382" s="178"/>
      <x:c r="Q382" s="178"/>
      <x:c r="R382" s="178"/>
      <x:c r="S382" s="178"/>
      <x:c r="T382" s="178"/>
      <x:c r="U382" s="178"/>
      <x:c r="V382" s="178"/>
      <x:c r="W382" s="178"/>
      <x:c r="X382" s="178"/>
      <x:c r="Y382" s="178"/>
      <x:c r="Z382" s="178"/>
    </x:row>
    <x:row r="383">
      <x:c r="A383" s="178"/>
      <x:c r="B383" s="178"/>
      <x:c r="C383" s="178"/>
      <x:c r="D383" s="178"/>
      <x:c r="E383" s="178"/>
      <x:c r="F383" s="178"/>
      <x:c r="G383" s="178"/>
      <x:c r="H383" s="178"/>
      <x:c r="I383" s="178"/>
      <x:c r="J383" s="178"/>
      <x:c r="K383" s="178"/>
      <x:c r="L383" s="178"/>
      <x:c r="M383" s="178"/>
      <x:c r="N383" s="178"/>
      <x:c r="O383" s="178"/>
      <x:c r="P383" s="178"/>
      <x:c r="Q383" s="178"/>
      <x:c r="R383" s="178"/>
      <x:c r="S383" s="178"/>
      <x:c r="T383" s="178"/>
      <x:c r="U383" s="178"/>
      <x:c r="V383" s="178"/>
      <x:c r="W383" s="178"/>
      <x:c r="X383" s="178"/>
      <x:c r="Y383" s="178"/>
      <x:c r="Z383" s="178"/>
    </x:row>
    <x:row r="384">
      <x:c r="A384" s="178"/>
      <x:c r="B384" s="178"/>
      <x:c r="C384" s="178"/>
      <x:c r="D384" s="178"/>
      <x:c r="E384" s="178"/>
      <x:c r="F384" s="178"/>
      <x:c r="G384" s="178"/>
      <x:c r="H384" s="178"/>
      <x:c r="I384" s="178"/>
      <x:c r="J384" s="178"/>
      <x:c r="K384" s="178"/>
      <x:c r="L384" s="178"/>
      <x:c r="M384" s="178"/>
      <x:c r="N384" s="178"/>
      <x:c r="O384" s="178"/>
      <x:c r="P384" s="178"/>
      <x:c r="Q384" s="178"/>
      <x:c r="R384" s="178"/>
      <x:c r="S384" s="178"/>
      <x:c r="T384" s="178"/>
      <x:c r="U384" s="178"/>
      <x:c r="V384" s="178"/>
      <x:c r="W384" s="178"/>
      <x:c r="X384" s="178"/>
      <x:c r="Y384" s="178"/>
      <x:c r="Z384" s="178"/>
    </x:row>
    <x:row r="385">
      <x:c r="A385" s="178"/>
      <x:c r="B385" s="178"/>
      <x:c r="C385" s="178"/>
      <x:c r="D385" s="178"/>
      <x:c r="E385" s="178"/>
      <x:c r="F385" s="178"/>
      <x:c r="G385" s="178"/>
      <x:c r="H385" s="178"/>
      <x:c r="I385" s="178"/>
      <x:c r="J385" s="178"/>
      <x:c r="K385" s="178"/>
      <x:c r="L385" s="178"/>
      <x:c r="M385" s="178"/>
      <x:c r="N385" s="178"/>
      <x:c r="O385" s="178"/>
      <x:c r="P385" s="178"/>
      <x:c r="Q385" s="178"/>
      <x:c r="R385" s="178"/>
      <x:c r="S385" s="178"/>
      <x:c r="T385" s="178"/>
      <x:c r="U385" s="178"/>
      <x:c r="V385" s="178"/>
      <x:c r="W385" s="178"/>
      <x:c r="X385" s="178"/>
      <x:c r="Y385" s="178"/>
      <x:c r="Z385" s="178"/>
    </x:row>
    <x:row r="386">
      <x:c r="A386" s="178"/>
      <x:c r="B386" s="178"/>
      <x:c r="C386" s="178"/>
      <x:c r="D386" s="178"/>
      <x:c r="E386" s="178"/>
      <x:c r="F386" s="178"/>
      <x:c r="G386" s="178"/>
      <x:c r="H386" s="178"/>
      <x:c r="I386" s="178"/>
      <x:c r="J386" s="178"/>
      <x:c r="K386" s="178"/>
      <x:c r="L386" s="178"/>
      <x:c r="M386" s="178"/>
      <x:c r="N386" s="178"/>
      <x:c r="O386" s="178"/>
      <x:c r="P386" s="178"/>
      <x:c r="Q386" s="178"/>
      <x:c r="R386" s="178"/>
      <x:c r="S386" s="178"/>
      <x:c r="T386" s="178"/>
      <x:c r="U386" s="178"/>
      <x:c r="V386" s="178"/>
      <x:c r="W386" s="178"/>
      <x:c r="X386" s="178"/>
      <x:c r="Y386" s="178"/>
      <x:c r="Z386" s="178"/>
    </x:row>
    <x:row r="387">
      <x:c r="A387" s="178"/>
      <x:c r="B387" s="178"/>
      <x:c r="C387" s="178"/>
      <x:c r="D387" s="178"/>
      <x:c r="E387" s="178"/>
      <x:c r="F387" s="178"/>
      <x:c r="G387" s="178"/>
      <x:c r="H387" s="178"/>
      <x:c r="I387" s="178"/>
      <x:c r="J387" s="178"/>
      <x:c r="K387" s="178"/>
      <x:c r="L387" s="178"/>
      <x:c r="M387" s="178"/>
      <x:c r="N387" s="178"/>
      <x:c r="O387" s="178"/>
      <x:c r="P387" s="178"/>
      <x:c r="Q387" s="178"/>
      <x:c r="R387" s="178"/>
      <x:c r="S387" s="178"/>
      <x:c r="T387" s="178"/>
      <x:c r="U387" s="178"/>
      <x:c r="V387" s="178"/>
      <x:c r="W387" s="178"/>
      <x:c r="X387" s="178"/>
      <x:c r="Y387" s="178"/>
      <x:c r="Z387" s="178"/>
    </x:row>
    <x:row r="388">
      <x:c r="A388" s="178"/>
      <x:c r="B388" s="178"/>
      <x:c r="C388" s="178"/>
      <x:c r="D388" s="178"/>
      <x:c r="E388" s="178"/>
      <x:c r="F388" s="178"/>
      <x:c r="G388" s="178"/>
      <x:c r="H388" s="178"/>
      <x:c r="I388" s="178"/>
      <x:c r="J388" s="178"/>
      <x:c r="K388" s="178"/>
      <x:c r="L388" s="178"/>
      <x:c r="M388" s="178"/>
      <x:c r="N388" s="178"/>
      <x:c r="O388" s="178"/>
      <x:c r="P388" s="178"/>
      <x:c r="Q388" s="178"/>
      <x:c r="R388" s="178"/>
      <x:c r="S388" s="178"/>
      <x:c r="T388" s="178"/>
      <x:c r="U388" s="178"/>
      <x:c r="V388" s="178"/>
      <x:c r="W388" s="178"/>
      <x:c r="X388" s="178"/>
      <x:c r="Y388" s="178"/>
      <x:c r="Z388" s="178"/>
    </x:row>
    <x:row r="389">
      <x:c r="A389" s="178"/>
      <x:c r="B389" s="178"/>
      <x:c r="C389" s="178"/>
      <x:c r="D389" s="178"/>
      <x:c r="E389" s="178"/>
      <x:c r="F389" s="178"/>
      <x:c r="G389" s="178"/>
      <x:c r="H389" s="178"/>
      <x:c r="I389" s="178"/>
      <x:c r="J389" s="178"/>
      <x:c r="K389" s="178"/>
      <x:c r="L389" s="178"/>
      <x:c r="M389" s="178"/>
      <x:c r="N389" s="178"/>
      <x:c r="O389" s="178"/>
      <x:c r="P389" s="178"/>
      <x:c r="Q389" s="178"/>
      <x:c r="R389" s="178"/>
      <x:c r="S389" s="178"/>
      <x:c r="T389" s="178"/>
      <x:c r="U389" s="178"/>
      <x:c r="V389" s="178"/>
      <x:c r="W389" s="178"/>
      <x:c r="X389" s="178"/>
      <x:c r="Y389" s="178"/>
      <x:c r="Z389" s="178"/>
    </x:row>
    <x:row r="390">
      <x:c r="A390" s="178"/>
      <x:c r="B390" s="178"/>
      <x:c r="C390" s="178"/>
      <x:c r="D390" s="178"/>
      <x:c r="E390" s="178"/>
      <x:c r="F390" s="178"/>
      <x:c r="G390" s="178"/>
      <x:c r="H390" s="178"/>
      <x:c r="I390" s="178"/>
      <x:c r="J390" s="178"/>
      <x:c r="K390" s="178"/>
      <x:c r="L390" s="178"/>
      <x:c r="M390" s="178"/>
      <x:c r="N390" s="178"/>
      <x:c r="O390" s="178"/>
      <x:c r="P390" s="178"/>
      <x:c r="Q390" s="178"/>
      <x:c r="R390" s="178"/>
      <x:c r="S390" s="178"/>
      <x:c r="T390" s="178"/>
      <x:c r="U390" s="178"/>
      <x:c r="V390" s="178"/>
      <x:c r="W390" s="178"/>
      <x:c r="X390" s="178"/>
      <x:c r="Y390" s="178"/>
      <x:c r="Z390" s="178"/>
    </x:row>
    <x:row r="391">
      <x:c r="A391" s="178"/>
      <x:c r="B391" s="178"/>
      <x:c r="C391" s="178"/>
      <x:c r="D391" s="178"/>
      <x:c r="E391" s="178"/>
      <x:c r="F391" s="178"/>
      <x:c r="G391" s="178"/>
      <x:c r="H391" s="178"/>
      <x:c r="I391" s="178"/>
      <x:c r="J391" s="178"/>
      <x:c r="K391" s="178"/>
      <x:c r="L391" s="178"/>
      <x:c r="M391" s="178"/>
      <x:c r="N391" s="178"/>
      <x:c r="O391" s="178"/>
      <x:c r="P391" s="178"/>
      <x:c r="Q391" s="178"/>
      <x:c r="R391" s="178"/>
      <x:c r="S391" s="178"/>
      <x:c r="T391" s="178"/>
      <x:c r="U391" s="178"/>
      <x:c r="V391" s="178"/>
      <x:c r="W391" s="178"/>
      <x:c r="X391" s="178"/>
      <x:c r="Y391" s="178"/>
      <x:c r="Z391" s="178"/>
    </x:row>
    <x:row r="392">
      <x:c r="A392" s="178"/>
      <x:c r="B392" s="178"/>
      <x:c r="C392" s="178"/>
      <x:c r="D392" s="178"/>
      <x:c r="E392" s="178"/>
      <x:c r="F392" s="178"/>
      <x:c r="G392" s="178"/>
      <x:c r="H392" s="178"/>
      <x:c r="I392" s="178"/>
      <x:c r="J392" s="178"/>
      <x:c r="K392" s="178"/>
      <x:c r="L392" s="178"/>
      <x:c r="M392" s="178"/>
      <x:c r="N392" s="178"/>
      <x:c r="O392" s="178"/>
      <x:c r="P392" s="178"/>
      <x:c r="Q392" s="178"/>
      <x:c r="R392" s="178"/>
      <x:c r="S392" s="178"/>
      <x:c r="T392" s="178"/>
      <x:c r="U392" s="178"/>
      <x:c r="V392" s="178"/>
      <x:c r="W392" s="178"/>
      <x:c r="X392" s="178"/>
      <x:c r="Y392" s="178"/>
      <x:c r="Z392" s="178"/>
    </x:row>
    <x:row r="393">
      <x:c r="A393" s="178"/>
      <x:c r="B393" s="178"/>
      <x:c r="C393" s="178"/>
      <x:c r="D393" s="178"/>
      <x:c r="E393" s="178"/>
      <x:c r="F393" s="178"/>
      <x:c r="G393" s="178"/>
      <x:c r="H393" s="178"/>
      <x:c r="I393" s="178"/>
      <x:c r="J393" s="178"/>
      <x:c r="K393" s="178"/>
      <x:c r="L393" s="178"/>
      <x:c r="M393" s="178"/>
      <x:c r="N393" s="178"/>
      <x:c r="O393" s="178"/>
      <x:c r="P393" s="178"/>
      <x:c r="Q393" s="178"/>
      <x:c r="R393" s="178"/>
      <x:c r="S393" s="178"/>
      <x:c r="T393" s="178"/>
      <x:c r="U393" s="178"/>
      <x:c r="V393" s="178"/>
      <x:c r="W393" s="178"/>
      <x:c r="X393" s="178"/>
      <x:c r="Y393" s="178"/>
      <x:c r="Z393" s="178"/>
    </x:row>
    <x:row r="394">
      <x:c r="A394" s="178"/>
      <x:c r="B394" s="178"/>
      <x:c r="C394" s="178"/>
      <x:c r="D394" s="178"/>
      <x:c r="E394" s="178"/>
      <x:c r="F394" s="178"/>
      <x:c r="G394" s="178"/>
      <x:c r="H394" s="178"/>
      <x:c r="I394" s="178"/>
      <x:c r="J394" s="178"/>
      <x:c r="K394" s="178"/>
      <x:c r="L394" s="178"/>
      <x:c r="M394" s="178"/>
      <x:c r="N394" s="178"/>
      <x:c r="O394" s="178"/>
      <x:c r="P394" s="178"/>
      <x:c r="Q394" s="178"/>
      <x:c r="R394" s="178"/>
      <x:c r="S394" s="178"/>
      <x:c r="T394" s="178"/>
      <x:c r="U394" s="178"/>
      <x:c r="V394" s="178"/>
      <x:c r="W394" s="178"/>
      <x:c r="X394" s="178"/>
      <x:c r="Y394" s="178"/>
      <x:c r="Z394" s="178"/>
    </x:row>
    <x:row r="395">
      <x:c r="A395" s="178"/>
      <x:c r="B395" s="178"/>
      <x:c r="C395" s="178"/>
      <x:c r="D395" s="178"/>
      <x:c r="E395" s="178"/>
      <x:c r="F395" s="178"/>
      <x:c r="G395" s="178"/>
      <x:c r="H395" s="178"/>
      <x:c r="I395" s="178"/>
      <x:c r="J395" s="178"/>
      <x:c r="K395" s="178"/>
      <x:c r="L395" s="178"/>
      <x:c r="M395" s="178"/>
      <x:c r="N395" s="178"/>
      <x:c r="O395" s="178"/>
      <x:c r="P395" s="178"/>
      <x:c r="Q395" s="178"/>
      <x:c r="R395" s="178"/>
      <x:c r="S395" s="178"/>
      <x:c r="T395" s="178"/>
      <x:c r="U395" s="178"/>
      <x:c r="V395" s="178"/>
      <x:c r="W395" s="178"/>
      <x:c r="X395" s="178"/>
      <x:c r="Y395" s="178"/>
      <x:c r="Z395" s="178"/>
    </x:row>
    <x:row r="396">
      <x:c r="A396" s="178"/>
      <x:c r="B396" s="178"/>
      <x:c r="C396" s="178"/>
      <x:c r="D396" s="178"/>
      <x:c r="E396" s="178"/>
      <x:c r="F396" s="178"/>
      <x:c r="G396" s="178"/>
      <x:c r="H396" s="178"/>
      <x:c r="I396" s="178"/>
      <x:c r="J396" s="178"/>
      <x:c r="K396" s="178"/>
      <x:c r="L396" s="178"/>
      <x:c r="M396" s="178"/>
      <x:c r="N396" s="178"/>
      <x:c r="O396" s="178"/>
      <x:c r="P396" s="178"/>
      <x:c r="Q396" s="178"/>
      <x:c r="R396" s="178"/>
      <x:c r="S396" s="178"/>
      <x:c r="T396" s="178"/>
      <x:c r="U396" s="178"/>
      <x:c r="V396" s="178"/>
      <x:c r="W396" s="178"/>
      <x:c r="X396" s="178"/>
      <x:c r="Y396" s="178"/>
      <x:c r="Z396" s="178"/>
    </x:row>
    <x:row r="397">
      <x:c r="A397" s="178"/>
      <x:c r="B397" s="178"/>
      <x:c r="C397" s="178"/>
      <x:c r="D397" s="178"/>
      <x:c r="E397" s="178"/>
      <x:c r="F397" s="178"/>
      <x:c r="G397" s="178"/>
      <x:c r="H397" s="178"/>
      <x:c r="I397" s="178"/>
      <x:c r="J397" s="178"/>
      <x:c r="K397" s="178"/>
      <x:c r="L397" s="178"/>
      <x:c r="M397" s="178"/>
      <x:c r="N397" s="178"/>
      <x:c r="O397" s="178"/>
      <x:c r="P397" s="178"/>
      <x:c r="Q397" s="178"/>
      <x:c r="R397" s="178"/>
      <x:c r="S397" s="178"/>
      <x:c r="T397" s="178"/>
      <x:c r="U397" s="178"/>
      <x:c r="V397" s="178"/>
      <x:c r="W397" s="178"/>
      <x:c r="X397" s="178"/>
      <x:c r="Y397" s="178"/>
      <x:c r="Z397" s="178"/>
    </x:row>
    <x:row r="398">
      <x:c r="A398" s="178"/>
      <x:c r="B398" s="178"/>
      <x:c r="C398" s="178"/>
      <x:c r="D398" s="178"/>
      <x:c r="E398" s="178"/>
      <x:c r="F398" s="178"/>
      <x:c r="G398" s="178"/>
      <x:c r="H398" s="178"/>
      <x:c r="I398" s="178"/>
      <x:c r="J398" s="178"/>
      <x:c r="K398" s="178"/>
      <x:c r="L398" s="178"/>
      <x:c r="M398" s="178"/>
      <x:c r="N398" s="178"/>
      <x:c r="O398" s="178"/>
      <x:c r="P398" s="178"/>
      <x:c r="Q398" s="178"/>
      <x:c r="R398" s="178"/>
      <x:c r="S398" s="178"/>
      <x:c r="T398" s="178"/>
      <x:c r="U398" s="178"/>
      <x:c r="V398" s="178"/>
      <x:c r="W398" s="178"/>
      <x:c r="X398" s="178"/>
      <x:c r="Y398" s="178"/>
      <x:c r="Z398" s="178"/>
    </x:row>
    <x:row r="399">
      <x:c r="A399" s="178"/>
      <x:c r="B399" s="178"/>
      <x:c r="C399" s="178"/>
      <x:c r="D399" s="178"/>
      <x:c r="E399" s="178"/>
      <x:c r="F399" s="178"/>
      <x:c r="G399" s="178"/>
      <x:c r="H399" s="178"/>
      <x:c r="I399" s="178"/>
      <x:c r="J399" s="178"/>
      <x:c r="K399" s="178"/>
      <x:c r="L399" s="178"/>
      <x:c r="M399" s="178"/>
      <x:c r="N399" s="178"/>
      <x:c r="O399" s="178"/>
      <x:c r="P399" s="178"/>
      <x:c r="Q399" s="178"/>
      <x:c r="R399" s="178"/>
      <x:c r="S399" s="178"/>
      <x:c r="T399" s="178"/>
      <x:c r="U399" s="178"/>
      <x:c r="V399" s="178"/>
      <x:c r="W399" s="178"/>
      <x:c r="X399" s="178"/>
      <x:c r="Y399" s="178"/>
      <x:c r="Z399" s="178"/>
    </x:row>
    <x:row r="400">
      <x:c r="A400" s="178"/>
      <x:c r="B400" s="178"/>
      <x:c r="C400" s="178"/>
      <x:c r="D400" s="178"/>
      <x:c r="E400" s="178"/>
      <x:c r="F400" s="178"/>
      <x:c r="G400" s="178"/>
      <x:c r="H400" s="178"/>
      <x:c r="I400" s="178"/>
      <x:c r="J400" s="178"/>
      <x:c r="K400" s="178"/>
      <x:c r="L400" s="178"/>
      <x:c r="M400" s="178"/>
      <x:c r="N400" s="178"/>
      <x:c r="O400" s="178"/>
      <x:c r="P400" s="178"/>
      <x:c r="Q400" s="178"/>
      <x:c r="R400" s="178"/>
      <x:c r="S400" s="178"/>
      <x:c r="T400" s="178"/>
      <x:c r="U400" s="178"/>
      <x:c r="V400" s="178"/>
      <x:c r="W400" s="178"/>
      <x:c r="X400" s="178"/>
      <x:c r="Y400" s="178"/>
      <x:c r="Z400" s="178"/>
    </x:row>
    <x:row r="401">
      <x:c r="A401" s="178"/>
      <x:c r="B401" s="178"/>
      <x:c r="C401" s="178"/>
      <x:c r="D401" s="178"/>
      <x:c r="E401" s="178"/>
      <x:c r="F401" s="178"/>
      <x:c r="G401" s="178"/>
      <x:c r="H401" s="178"/>
      <x:c r="I401" s="178"/>
      <x:c r="J401" s="178"/>
      <x:c r="K401" s="178"/>
      <x:c r="L401" s="178"/>
      <x:c r="M401" s="178"/>
      <x:c r="N401" s="178"/>
      <x:c r="O401" s="178"/>
      <x:c r="P401" s="178"/>
      <x:c r="Q401" s="178"/>
      <x:c r="R401" s="178"/>
      <x:c r="S401" s="178"/>
      <x:c r="T401" s="178"/>
      <x:c r="U401" s="178"/>
      <x:c r="V401" s="178"/>
      <x:c r="W401" s="178"/>
      <x:c r="X401" s="178"/>
      <x:c r="Y401" s="178"/>
      <x:c r="Z401" s="178"/>
    </x:row>
    <x:row r="402">
      <x:c r="A402" s="178"/>
      <x:c r="B402" s="178"/>
      <x:c r="C402" s="178"/>
      <x:c r="D402" s="178"/>
      <x:c r="E402" s="178"/>
      <x:c r="F402" s="178"/>
      <x:c r="G402" s="178"/>
      <x:c r="H402" s="178"/>
      <x:c r="I402" s="178"/>
      <x:c r="J402" s="178"/>
      <x:c r="K402" s="178"/>
      <x:c r="L402" s="178"/>
      <x:c r="M402" s="178"/>
      <x:c r="N402" s="178"/>
      <x:c r="O402" s="178"/>
      <x:c r="P402" s="178"/>
      <x:c r="Q402" s="178"/>
      <x:c r="R402" s="178"/>
      <x:c r="S402" s="178"/>
      <x:c r="T402" s="178"/>
      <x:c r="U402" s="178"/>
      <x:c r="V402" s="178"/>
      <x:c r="W402" s="178"/>
      <x:c r="X402" s="178"/>
      <x:c r="Y402" s="178"/>
      <x:c r="Z402" s="178"/>
    </x:row>
    <x:row r="403">
      <x:c r="A403" s="178"/>
      <x:c r="B403" s="178"/>
      <x:c r="C403" s="178"/>
      <x:c r="D403" s="178"/>
      <x:c r="E403" s="178"/>
      <x:c r="F403" s="178"/>
      <x:c r="G403" s="178"/>
      <x:c r="H403" s="178"/>
      <x:c r="I403" s="178"/>
      <x:c r="J403" s="178"/>
      <x:c r="K403" s="178"/>
      <x:c r="L403" s="178"/>
      <x:c r="M403" s="178"/>
      <x:c r="N403" s="178"/>
      <x:c r="O403" s="178"/>
      <x:c r="P403" s="178"/>
      <x:c r="Q403" s="178"/>
      <x:c r="R403" s="178"/>
      <x:c r="S403" s="178"/>
      <x:c r="T403" s="178"/>
      <x:c r="U403" s="178"/>
      <x:c r="V403" s="178"/>
      <x:c r="W403" s="178"/>
      <x:c r="X403" s="178"/>
      <x:c r="Y403" s="178"/>
      <x:c r="Z403" s="178"/>
    </x:row>
    <x:row r="404">
      <x:c r="A404" s="178"/>
      <x:c r="B404" s="178"/>
      <x:c r="C404" s="178"/>
      <x:c r="D404" s="178"/>
      <x:c r="E404" s="178"/>
      <x:c r="F404" s="178"/>
      <x:c r="G404" s="178"/>
      <x:c r="H404" s="178"/>
      <x:c r="I404" s="178"/>
      <x:c r="J404" s="178"/>
      <x:c r="K404" s="178"/>
      <x:c r="L404" s="178"/>
      <x:c r="M404" s="178"/>
      <x:c r="N404" s="178"/>
      <x:c r="O404" s="178"/>
      <x:c r="P404" s="178"/>
      <x:c r="Q404" s="178"/>
      <x:c r="R404" s="178"/>
      <x:c r="S404" s="178"/>
      <x:c r="T404" s="178"/>
      <x:c r="U404" s="178"/>
      <x:c r="V404" s="178"/>
      <x:c r="W404" s="178"/>
      <x:c r="X404" s="178"/>
      <x:c r="Y404" s="178"/>
      <x:c r="Z404" s="178"/>
    </x:row>
    <x:row r="405">
      <x:c r="A405" s="178"/>
      <x:c r="B405" s="178"/>
      <x:c r="C405" s="178"/>
      <x:c r="D405" s="178"/>
      <x:c r="E405" s="178"/>
      <x:c r="F405" s="178"/>
      <x:c r="G405" s="178"/>
      <x:c r="H405" s="178"/>
      <x:c r="I405" s="178"/>
      <x:c r="J405" s="178"/>
      <x:c r="K405" s="178"/>
      <x:c r="L405" s="178"/>
      <x:c r="M405" s="178"/>
      <x:c r="N405" s="178"/>
      <x:c r="O405" s="178"/>
      <x:c r="P405" s="178"/>
      <x:c r="Q405" s="178"/>
      <x:c r="R405" s="178"/>
      <x:c r="S405" s="178"/>
      <x:c r="T405" s="178"/>
      <x:c r="U405" s="178"/>
      <x:c r="V405" s="178"/>
      <x:c r="W405" s="178"/>
      <x:c r="X405" s="178"/>
      <x:c r="Y405" s="178"/>
      <x:c r="Z405" s="178"/>
    </x:row>
    <x:row r="406">
      <x:c r="A406" s="178"/>
      <x:c r="B406" s="178"/>
      <x:c r="C406" s="178"/>
      <x:c r="D406" s="178"/>
      <x:c r="E406" s="178"/>
      <x:c r="F406" s="178"/>
      <x:c r="G406" s="178"/>
      <x:c r="H406" s="178"/>
      <x:c r="I406" s="178"/>
      <x:c r="J406" s="178"/>
      <x:c r="K406" s="178"/>
      <x:c r="L406" s="178"/>
      <x:c r="M406" s="178"/>
      <x:c r="N406" s="178"/>
      <x:c r="O406" s="178"/>
      <x:c r="P406" s="178"/>
      <x:c r="Q406" s="178"/>
      <x:c r="R406" s="178"/>
      <x:c r="S406" s="178"/>
      <x:c r="T406" s="178"/>
      <x:c r="U406" s="178"/>
      <x:c r="V406" s="178"/>
      <x:c r="W406" s="178"/>
      <x:c r="X406" s="178"/>
      <x:c r="Y406" s="178"/>
      <x:c r="Z406" s="178"/>
    </x:row>
    <x:row r="407">
      <x:c r="A407" s="178"/>
      <x:c r="B407" s="178"/>
      <x:c r="C407" s="178"/>
      <x:c r="D407" s="178"/>
      <x:c r="E407" s="178"/>
      <x:c r="F407" s="178"/>
      <x:c r="G407" s="178"/>
      <x:c r="H407" s="178"/>
      <x:c r="I407" s="178"/>
      <x:c r="J407" s="178"/>
      <x:c r="K407" s="178"/>
      <x:c r="L407" s="178"/>
      <x:c r="M407" s="178"/>
      <x:c r="N407" s="178"/>
      <x:c r="O407" s="178"/>
      <x:c r="P407" s="178"/>
      <x:c r="Q407" s="178"/>
      <x:c r="R407" s="178"/>
      <x:c r="S407" s="178"/>
      <x:c r="T407" s="178"/>
      <x:c r="U407" s="178"/>
      <x:c r="V407" s="178"/>
      <x:c r="W407" s="178"/>
      <x:c r="X407" s="178"/>
      <x:c r="Y407" s="178"/>
      <x:c r="Z407" s="178"/>
    </x:row>
    <x:row r="408">
      <x:c r="A408" s="178"/>
      <x:c r="B408" s="178"/>
      <x:c r="C408" s="178"/>
      <x:c r="D408" s="178"/>
      <x:c r="E408" s="178"/>
      <x:c r="F408" s="178"/>
      <x:c r="G408" s="178"/>
      <x:c r="H408" s="178"/>
      <x:c r="I408" s="178"/>
      <x:c r="J408" s="178"/>
      <x:c r="K408" s="178"/>
      <x:c r="L408" s="178"/>
      <x:c r="M408" s="178"/>
      <x:c r="N408" s="178"/>
      <x:c r="O408" s="178"/>
      <x:c r="P408" s="178"/>
      <x:c r="Q408" s="178"/>
      <x:c r="R408" s="178"/>
      <x:c r="S408" s="178"/>
      <x:c r="T408" s="178"/>
      <x:c r="U408" s="178"/>
      <x:c r="V408" s="178"/>
      <x:c r="W408" s="178"/>
      <x:c r="X408" s="178"/>
      <x:c r="Y408" s="178"/>
      <x:c r="Z408" s="178"/>
    </x:row>
    <x:row r="409">
      <x:c r="A409" s="178"/>
      <x:c r="B409" s="178"/>
      <x:c r="C409" s="178"/>
      <x:c r="D409" s="178"/>
      <x:c r="E409" s="178"/>
      <x:c r="F409" s="178"/>
      <x:c r="G409" s="178"/>
      <x:c r="H409" s="178"/>
      <x:c r="I409" s="178"/>
      <x:c r="J409" s="178"/>
      <x:c r="K409" s="178"/>
      <x:c r="L409" s="178"/>
      <x:c r="M409" s="178"/>
      <x:c r="N409" s="178"/>
      <x:c r="O409" s="178"/>
      <x:c r="P409" s="178"/>
      <x:c r="Q409" s="178"/>
      <x:c r="R409" s="178"/>
      <x:c r="S409" s="178"/>
      <x:c r="T409" s="178"/>
      <x:c r="U409" s="178"/>
      <x:c r="V409" s="178"/>
      <x:c r="W409" s="178"/>
      <x:c r="X409" s="178"/>
      <x:c r="Y409" s="178"/>
      <x:c r="Z409" s="178"/>
    </x:row>
    <x:row r="410">
      <x:c r="A410" s="178"/>
      <x:c r="B410" s="178"/>
      <x:c r="C410" s="178"/>
      <x:c r="D410" s="178"/>
      <x:c r="E410" s="178"/>
      <x:c r="F410" s="178"/>
      <x:c r="G410" s="178"/>
      <x:c r="H410" s="178"/>
      <x:c r="I410" s="178"/>
      <x:c r="J410" s="178"/>
      <x:c r="K410" s="178"/>
      <x:c r="L410" s="178"/>
      <x:c r="M410" s="178"/>
      <x:c r="N410" s="178"/>
      <x:c r="O410" s="178"/>
      <x:c r="P410" s="178"/>
      <x:c r="Q410" s="178"/>
      <x:c r="R410" s="178"/>
      <x:c r="S410" s="178"/>
      <x:c r="T410" s="178"/>
      <x:c r="U410" s="178"/>
      <x:c r="V410" s="178"/>
      <x:c r="W410" s="178"/>
      <x:c r="X410" s="178"/>
      <x:c r="Y410" s="178"/>
      <x:c r="Z410" s="178"/>
    </x:row>
    <x:row r="411">
      <x:c r="A411" s="178"/>
      <x:c r="B411" s="178"/>
      <x:c r="C411" s="178"/>
      <x:c r="D411" s="178"/>
      <x:c r="E411" s="178"/>
      <x:c r="F411" s="178"/>
      <x:c r="G411" s="178"/>
      <x:c r="H411" s="178"/>
      <x:c r="I411" s="178"/>
      <x:c r="J411" s="178"/>
      <x:c r="K411" s="178"/>
      <x:c r="L411" s="178"/>
      <x:c r="M411" s="178"/>
      <x:c r="N411" s="178"/>
      <x:c r="O411" s="178"/>
      <x:c r="P411" s="178"/>
      <x:c r="Q411" s="178"/>
      <x:c r="R411" s="178"/>
      <x:c r="S411" s="178"/>
      <x:c r="T411" s="178"/>
      <x:c r="U411" s="178"/>
      <x:c r="V411" s="178"/>
      <x:c r="W411" s="178"/>
      <x:c r="X411" s="178"/>
      <x:c r="Y411" s="178"/>
      <x:c r="Z411" s="178"/>
    </x:row>
    <x:row r="412">
      <x:c r="A412" s="178"/>
      <x:c r="B412" s="178"/>
      <x:c r="C412" s="178"/>
      <x:c r="D412" s="178"/>
      <x:c r="E412" s="178"/>
      <x:c r="F412" s="178"/>
      <x:c r="G412" s="178"/>
      <x:c r="H412" s="178"/>
      <x:c r="I412" s="178"/>
      <x:c r="J412" s="178"/>
      <x:c r="K412" s="178"/>
      <x:c r="L412" s="178"/>
      <x:c r="M412" s="178"/>
      <x:c r="N412" s="178"/>
      <x:c r="O412" s="178"/>
      <x:c r="P412" s="178"/>
      <x:c r="Q412" s="178"/>
      <x:c r="R412" s="178"/>
      <x:c r="S412" s="178"/>
      <x:c r="T412" s="178"/>
      <x:c r="U412" s="178"/>
      <x:c r="V412" s="178"/>
      <x:c r="W412" s="178"/>
      <x:c r="X412" s="178"/>
      <x:c r="Y412" s="178"/>
      <x:c r="Z412" s="178"/>
    </x:row>
    <x:row r="413">
      <x:c r="A413" s="178"/>
      <x:c r="B413" s="178"/>
      <x:c r="C413" s="178"/>
      <x:c r="D413" s="178"/>
      <x:c r="E413" s="178"/>
      <x:c r="F413" s="178"/>
      <x:c r="G413" s="178"/>
      <x:c r="H413" s="178"/>
      <x:c r="I413" s="178"/>
      <x:c r="J413" s="178"/>
      <x:c r="K413" s="178"/>
      <x:c r="L413" s="178"/>
      <x:c r="M413" s="178"/>
      <x:c r="N413" s="178"/>
      <x:c r="O413" s="178"/>
      <x:c r="P413" s="178"/>
      <x:c r="Q413" s="178"/>
      <x:c r="R413" s="178"/>
      <x:c r="S413" s="178"/>
      <x:c r="T413" s="178"/>
      <x:c r="U413" s="178"/>
      <x:c r="V413" s="178"/>
      <x:c r="W413" s="178"/>
      <x:c r="X413" s="178"/>
      <x:c r="Y413" s="178"/>
      <x:c r="Z413" s="178"/>
    </x:row>
    <x:row r="414">
      <x:c r="A414" s="178"/>
      <x:c r="B414" s="178"/>
      <x:c r="C414" s="178"/>
      <x:c r="D414" s="178"/>
      <x:c r="E414" s="178"/>
      <x:c r="F414" s="178"/>
      <x:c r="G414" s="178"/>
      <x:c r="H414" s="178"/>
      <x:c r="I414" s="178"/>
      <x:c r="J414" s="178"/>
      <x:c r="K414" s="178"/>
      <x:c r="L414" s="178"/>
      <x:c r="M414" s="178"/>
      <x:c r="N414" s="178"/>
      <x:c r="O414" s="178"/>
      <x:c r="P414" s="178"/>
      <x:c r="Q414" s="178"/>
      <x:c r="R414" s="178"/>
      <x:c r="S414" s="178"/>
      <x:c r="T414" s="178"/>
      <x:c r="U414" s="178"/>
      <x:c r="V414" s="178"/>
      <x:c r="W414" s="178"/>
      <x:c r="X414" s="178"/>
      <x:c r="Y414" s="178"/>
      <x:c r="Z414" s="178"/>
    </x:row>
    <x:row r="415">
      <x:c r="A415" s="178"/>
      <x:c r="B415" s="178"/>
      <x:c r="C415" s="178"/>
      <x:c r="D415" s="178"/>
      <x:c r="E415" s="178"/>
      <x:c r="F415" s="178"/>
      <x:c r="G415" s="178"/>
      <x:c r="H415" s="178"/>
      <x:c r="I415" s="178"/>
      <x:c r="J415" s="178"/>
      <x:c r="K415" s="178"/>
      <x:c r="L415" s="178"/>
      <x:c r="M415" s="178"/>
      <x:c r="N415" s="178"/>
      <x:c r="O415" s="178"/>
      <x:c r="P415" s="178"/>
      <x:c r="Q415" s="178"/>
      <x:c r="R415" s="178"/>
      <x:c r="S415" s="178"/>
      <x:c r="T415" s="178"/>
      <x:c r="U415" s="178"/>
      <x:c r="V415" s="178"/>
      <x:c r="W415" s="178"/>
      <x:c r="X415" s="178"/>
      <x:c r="Y415" s="178"/>
      <x:c r="Z415" s="178"/>
    </x:row>
    <x:row r="416">
      <x:c r="A416" s="178"/>
      <x:c r="B416" s="178"/>
      <x:c r="C416" s="178"/>
      <x:c r="D416" s="178"/>
      <x:c r="E416" s="178"/>
      <x:c r="F416" s="178"/>
      <x:c r="G416" s="178"/>
      <x:c r="H416" s="178"/>
      <x:c r="I416" s="178"/>
      <x:c r="J416" s="178"/>
      <x:c r="K416" s="178"/>
      <x:c r="L416" s="178"/>
      <x:c r="M416" s="178"/>
      <x:c r="N416" s="178"/>
      <x:c r="O416" s="178"/>
      <x:c r="P416" s="178"/>
      <x:c r="Q416" s="178"/>
      <x:c r="R416" s="178"/>
      <x:c r="S416" s="178"/>
      <x:c r="T416" s="178"/>
      <x:c r="U416" s="178"/>
      <x:c r="V416" s="178"/>
      <x:c r="W416" s="178"/>
      <x:c r="X416" s="178"/>
      <x:c r="Y416" s="178"/>
      <x:c r="Z416" s="178"/>
    </x:row>
    <x:row r="417">
      <x:c r="A417" s="178"/>
      <x:c r="B417" s="178"/>
      <x:c r="C417" s="178"/>
      <x:c r="D417" s="178"/>
      <x:c r="E417" s="178"/>
      <x:c r="F417" s="178"/>
      <x:c r="G417" s="178"/>
      <x:c r="H417" s="178"/>
      <x:c r="I417" s="178"/>
      <x:c r="J417" s="178"/>
      <x:c r="K417" s="178"/>
      <x:c r="L417" s="178"/>
      <x:c r="M417" s="178"/>
      <x:c r="N417" s="178"/>
      <x:c r="O417" s="178"/>
      <x:c r="P417" s="178"/>
      <x:c r="Q417" s="178"/>
      <x:c r="R417" s="178"/>
      <x:c r="S417" s="178"/>
      <x:c r="T417" s="178"/>
      <x:c r="U417" s="178"/>
      <x:c r="V417" s="178"/>
      <x:c r="W417" s="178"/>
      <x:c r="X417" s="178"/>
      <x:c r="Y417" s="178"/>
      <x:c r="Z417" s="178"/>
    </x:row>
    <x:row r="418">
      <x:c r="A418" s="178"/>
      <x:c r="B418" s="178"/>
      <x:c r="C418" s="178"/>
      <x:c r="D418" s="178"/>
      <x:c r="E418" s="178"/>
      <x:c r="F418" s="178"/>
      <x:c r="G418" s="178"/>
      <x:c r="H418" s="178"/>
      <x:c r="I418" s="178"/>
      <x:c r="J418" s="178"/>
      <x:c r="K418" s="178"/>
      <x:c r="L418" s="178"/>
      <x:c r="M418" s="178"/>
      <x:c r="N418" s="178"/>
      <x:c r="O418" s="178"/>
      <x:c r="P418" s="178"/>
      <x:c r="Q418" s="178"/>
      <x:c r="R418" s="178"/>
      <x:c r="S418" s="178"/>
      <x:c r="T418" s="178"/>
      <x:c r="U418" s="178"/>
      <x:c r="V418" s="178"/>
      <x:c r="W418" s="178"/>
      <x:c r="X418" s="178"/>
      <x:c r="Y418" s="178"/>
      <x:c r="Z418" s="178"/>
    </x:row>
    <x:row r="419">
      <x:c r="A419" s="178"/>
      <x:c r="B419" s="178"/>
      <x:c r="C419" s="178"/>
      <x:c r="D419" s="178"/>
      <x:c r="E419" s="178"/>
      <x:c r="F419" s="178"/>
      <x:c r="G419" s="178"/>
      <x:c r="H419" s="178"/>
      <x:c r="I419" s="178"/>
      <x:c r="J419" s="178"/>
      <x:c r="K419" s="178"/>
      <x:c r="L419" s="178"/>
      <x:c r="M419" s="178"/>
      <x:c r="N419" s="178"/>
      <x:c r="O419" s="178"/>
      <x:c r="P419" s="178"/>
      <x:c r="Q419" s="178"/>
      <x:c r="R419" s="178"/>
      <x:c r="S419" s="178"/>
      <x:c r="T419" s="178"/>
      <x:c r="U419" s="178"/>
      <x:c r="V419" s="178"/>
      <x:c r="W419" s="178"/>
      <x:c r="X419" s="178"/>
      <x:c r="Y419" s="178"/>
      <x:c r="Z419" s="178"/>
    </x:row>
    <x:row r="420">
      <x:c r="A420" s="178"/>
      <x:c r="B420" s="178"/>
      <x:c r="C420" s="178"/>
      <x:c r="D420" s="178"/>
      <x:c r="E420" s="178"/>
      <x:c r="F420" s="178"/>
      <x:c r="G420" s="178"/>
      <x:c r="H420" s="178"/>
      <x:c r="I420" s="178"/>
      <x:c r="J420" s="178"/>
      <x:c r="K420" s="178"/>
      <x:c r="L420" s="178"/>
      <x:c r="M420" s="178"/>
      <x:c r="N420" s="178"/>
      <x:c r="O420" s="178"/>
      <x:c r="P420" s="178"/>
      <x:c r="Q420" s="178"/>
      <x:c r="R420" s="178"/>
      <x:c r="S420" s="178"/>
      <x:c r="T420" s="178"/>
      <x:c r="U420" s="178"/>
      <x:c r="V420" s="178"/>
      <x:c r="W420" s="178"/>
      <x:c r="X420" s="178"/>
      <x:c r="Y420" s="178"/>
      <x:c r="Z420" s="178"/>
    </x:row>
    <x:row r="421">
      <x:c r="A421" s="178"/>
      <x:c r="B421" s="178"/>
      <x:c r="C421" s="178"/>
      <x:c r="D421" s="178"/>
      <x:c r="E421" s="178"/>
      <x:c r="F421" s="178"/>
      <x:c r="G421" s="178"/>
      <x:c r="H421" s="178"/>
      <x:c r="I421" s="178"/>
      <x:c r="J421" s="178"/>
      <x:c r="K421" s="178"/>
      <x:c r="L421" s="178"/>
      <x:c r="M421" s="178"/>
      <x:c r="N421" s="178"/>
      <x:c r="O421" s="178"/>
      <x:c r="P421" s="178"/>
      <x:c r="Q421" s="178"/>
      <x:c r="R421" s="178"/>
      <x:c r="S421" s="178"/>
      <x:c r="T421" s="178"/>
      <x:c r="U421" s="178"/>
      <x:c r="V421" s="178"/>
      <x:c r="W421" s="178"/>
      <x:c r="X421" s="178"/>
      <x:c r="Y421" s="178"/>
      <x:c r="Z421" s="178"/>
    </x:row>
    <x:row r="422">
      <x:c r="A422" s="178"/>
      <x:c r="B422" s="178"/>
      <x:c r="C422" s="178"/>
      <x:c r="D422" s="178"/>
      <x:c r="E422" s="178"/>
      <x:c r="F422" s="178"/>
      <x:c r="G422" s="178"/>
      <x:c r="H422" s="178"/>
      <x:c r="I422" s="178"/>
      <x:c r="J422" s="178"/>
      <x:c r="K422" s="178"/>
      <x:c r="L422" s="178"/>
      <x:c r="M422" s="178"/>
      <x:c r="N422" s="178"/>
      <x:c r="O422" s="178"/>
      <x:c r="P422" s="178"/>
      <x:c r="Q422" s="178"/>
      <x:c r="R422" s="178"/>
      <x:c r="S422" s="178"/>
      <x:c r="T422" s="178"/>
      <x:c r="U422" s="178"/>
      <x:c r="V422" s="178"/>
      <x:c r="W422" s="178"/>
      <x:c r="X422" s="178"/>
      <x:c r="Y422" s="178"/>
      <x:c r="Z422" s="178"/>
    </x:row>
    <x:row r="423">
      <x:c r="A423" s="178"/>
      <x:c r="B423" s="178"/>
      <x:c r="C423" s="178"/>
      <x:c r="D423" s="178"/>
      <x:c r="E423" s="178"/>
      <x:c r="F423" s="178"/>
      <x:c r="G423" s="178"/>
      <x:c r="H423" s="178"/>
      <x:c r="I423" s="178"/>
      <x:c r="J423" s="178"/>
      <x:c r="K423" s="178"/>
      <x:c r="L423" s="178"/>
      <x:c r="M423" s="178"/>
      <x:c r="N423" s="178"/>
      <x:c r="O423" s="178"/>
      <x:c r="P423" s="178"/>
      <x:c r="Q423" s="178"/>
      <x:c r="R423" s="178"/>
      <x:c r="S423" s="178"/>
      <x:c r="T423" s="178"/>
      <x:c r="U423" s="178"/>
      <x:c r="V423" s="178"/>
      <x:c r="W423" s="178"/>
      <x:c r="X423" s="178"/>
      <x:c r="Y423" s="178"/>
      <x:c r="Z423" s="178"/>
    </x:row>
    <x:row r="424">
      <x:c r="A424" s="178"/>
      <x:c r="B424" s="178"/>
      <x:c r="C424" s="178"/>
      <x:c r="D424" s="178"/>
      <x:c r="E424" s="178"/>
      <x:c r="F424" s="178"/>
      <x:c r="G424" s="178"/>
      <x:c r="H424" s="178"/>
      <x:c r="I424" s="178"/>
      <x:c r="J424" s="178"/>
      <x:c r="K424" s="178"/>
      <x:c r="L424" s="178"/>
      <x:c r="M424" s="178"/>
      <x:c r="N424" s="178"/>
      <x:c r="O424" s="178"/>
      <x:c r="P424" s="178"/>
      <x:c r="Q424" s="178"/>
      <x:c r="R424" s="178"/>
      <x:c r="S424" s="178"/>
      <x:c r="T424" s="178"/>
      <x:c r="U424" s="178"/>
      <x:c r="V424" s="178"/>
      <x:c r="W424" s="178"/>
      <x:c r="X424" s="178"/>
      <x:c r="Y424" s="178"/>
      <x:c r="Z424" s="178"/>
    </x:row>
    <x:row r="425">
      <x:c r="A425" s="178"/>
      <x:c r="B425" s="178"/>
      <x:c r="C425" s="178"/>
      <x:c r="D425" s="178"/>
      <x:c r="E425" s="178"/>
      <x:c r="F425" s="178"/>
      <x:c r="G425" s="178"/>
      <x:c r="H425" s="178"/>
      <x:c r="I425" s="178"/>
      <x:c r="J425" s="178"/>
      <x:c r="K425" s="178"/>
      <x:c r="L425" s="178"/>
      <x:c r="M425" s="178"/>
      <x:c r="N425" s="178"/>
      <x:c r="O425" s="178"/>
      <x:c r="P425" s="178"/>
      <x:c r="Q425" s="178"/>
      <x:c r="R425" s="178"/>
      <x:c r="S425" s="178"/>
      <x:c r="T425" s="178"/>
      <x:c r="U425" s="178"/>
      <x:c r="V425" s="178"/>
      <x:c r="W425" s="178"/>
      <x:c r="X425" s="178"/>
      <x:c r="Y425" s="178"/>
      <x:c r="Z425" s="178"/>
    </x:row>
    <x:row r="426">
      <x:c r="A426" s="178"/>
      <x:c r="B426" s="178"/>
      <x:c r="C426" s="178"/>
      <x:c r="D426" s="178"/>
      <x:c r="E426" s="178"/>
      <x:c r="F426" s="178"/>
      <x:c r="G426" s="178"/>
      <x:c r="H426" s="178"/>
      <x:c r="I426" s="178"/>
      <x:c r="J426" s="178"/>
      <x:c r="K426" s="178"/>
      <x:c r="L426" s="178"/>
      <x:c r="M426" s="178"/>
      <x:c r="N426" s="178"/>
      <x:c r="O426" s="178"/>
      <x:c r="P426" s="178"/>
      <x:c r="Q426" s="178"/>
      <x:c r="R426" s="178"/>
      <x:c r="S426" s="178"/>
      <x:c r="T426" s="178"/>
      <x:c r="U426" s="178"/>
      <x:c r="V426" s="178"/>
      <x:c r="W426" s="178"/>
      <x:c r="X426" s="178"/>
      <x:c r="Y426" s="178"/>
      <x:c r="Z426" s="178"/>
    </x:row>
    <x:row r="427">
      <x:c r="A427" s="178"/>
      <x:c r="B427" s="178"/>
      <x:c r="C427" s="178"/>
      <x:c r="D427" s="178"/>
      <x:c r="E427" s="178"/>
      <x:c r="F427" s="178"/>
      <x:c r="G427" s="178"/>
      <x:c r="H427" s="178"/>
      <x:c r="I427" s="178"/>
      <x:c r="J427" s="178"/>
      <x:c r="K427" s="178"/>
      <x:c r="L427" s="178"/>
      <x:c r="M427" s="178"/>
      <x:c r="N427" s="178"/>
      <x:c r="O427" s="178"/>
      <x:c r="P427" s="178"/>
      <x:c r="Q427" s="178"/>
      <x:c r="R427" s="178"/>
      <x:c r="S427" s="178"/>
      <x:c r="T427" s="178"/>
      <x:c r="U427" s="178"/>
      <x:c r="V427" s="178"/>
      <x:c r="W427" s="178"/>
      <x:c r="X427" s="178"/>
      <x:c r="Y427" s="178"/>
      <x:c r="Z427" s="178"/>
    </x:row>
    <x:row r="428">
      <x:c r="A428" s="178"/>
      <x:c r="B428" s="178"/>
      <x:c r="C428" s="178"/>
      <x:c r="D428" s="178"/>
      <x:c r="E428" s="178"/>
      <x:c r="F428" s="178"/>
      <x:c r="G428" s="178"/>
      <x:c r="H428" s="178"/>
      <x:c r="I428" s="178"/>
      <x:c r="J428" s="178"/>
      <x:c r="K428" s="178"/>
      <x:c r="L428" s="178"/>
      <x:c r="M428" s="178"/>
      <x:c r="N428" s="178"/>
      <x:c r="O428" s="178"/>
      <x:c r="P428" s="178"/>
      <x:c r="Q428" s="178"/>
      <x:c r="R428" s="178"/>
      <x:c r="S428" s="178"/>
      <x:c r="T428" s="178"/>
      <x:c r="U428" s="178"/>
      <x:c r="V428" s="178"/>
      <x:c r="W428" s="178"/>
      <x:c r="X428" s="178"/>
      <x:c r="Y428" s="178"/>
      <x:c r="Z428" s="178"/>
    </x:row>
    <x:row r="429">
      <x:c r="A429" s="178"/>
      <x:c r="B429" s="178"/>
      <x:c r="C429" s="178"/>
      <x:c r="D429" s="178"/>
      <x:c r="E429" s="178"/>
      <x:c r="F429" s="178"/>
      <x:c r="G429" s="178"/>
      <x:c r="H429" s="178"/>
      <x:c r="I429" s="178"/>
      <x:c r="J429" s="178"/>
      <x:c r="K429" s="178"/>
      <x:c r="L429" s="178"/>
      <x:c r="M429" s="178"/>
      <x:c r="N429" s="178"/>
      <x:c r="O429" s="178"/>
      <x:c r="P429" s="178"/>
      <x:c r="Q429" s="178"/>
      <x:c r="R429" s="178"/>
      <x:c r="S429" s="178"/>
      <x:c r="T429" s="178"/>
      <x:c r="U429" s="178"/>
      <x:c r="V429" s="178"/>
      <x:c r="W429" s="178"/>
      <x:c r="X429" s="178"/>
      <x:c r="Y429" s="178"/>
      <x:c r="Z429" s="178"/>
    </x:row>
    <x:row r="430">
      <x:c r="A430" s="178"/>
      <x:c r="B430" s="178"/>
      <x:c r="C430" s="178"/>
      <x:c r="D430" s="178"/>
      <x:c r="E430" s="178"/>
      <x:c r="F430" s="178"/>
      <x:c r="G430" s="178"/>
      <x:c r="H430" s="178"/>
      <x:c r="I430" s="178"/>
      <x:c r="J430" s="178"/>
      <x:c r="K430" s="178"/>
      <x:c r="L430" s="178"/>
      <x:c r="M430" s="178"/>
      <x:c r="N430" s="178"/>
      <x:c r="O430" s="178"/>
      <x:c r="P430" s="178"/>
      <x:c r="Q430" s="178"/>
      <x:c r="R430" s="178"/>
      <x:c r="S430" s="178"/>
      <x:c r="T430" s="178"/>
      <x:c r="U430" s="178"/>
      <x:c r="V430" s="178"/>
      <x:c r="W430" s="178"/>
      <x:c r="X430" s="178"/>
      <x:c r="Y430" s="178"/>
      <x:c r="Z430" s="178"/>
    </x:row>
    <x:row r="431">
      <x:c r="A431" s="178"/>
      <x:c r="B431" s="178"/>
      <x:c r="C431" s="178"/>
      <x:c r="D431" s="178"/>
      <x:c r="E431" s="178"/>
      <x:c r="F431" s="178"/>
      <x:c r="G431" s="178"/>
      <x:c r="H431" s="178"/>
      <x:c r="I431" s="178"/>
      <x:c r="J431" s="178"/>
      <x:c r="K431" s="178"/>
      <x:c r="L431" s="178"/>
      <x:c r="M431" s="178"/>
      <x:c r="N431" s="178"/>
      <x:c r="O431" s="178"/>
      <x:c r="P431" s="178"/>
      <x:c r="Q431" s="178"/>
      <x:c r="R431" s="178"/>
      <x:c r="S431" s="178"/>
      <x:c r="T431" s="178"/>
      <x:c r="U431" s="178"/>
      <x:c r="V431" s="178"/>
      <x:c r="W431" s="178"/>
      <x:c r="X431" s="178"/>
      <x:c r="Y431" s="178"/>
      <x:c r="Z431" s="178"/>
    </x:row>
    <x:row r="432">
      <x:c r="A432" s="178"/>
      <x:c r="B432" s="178"/>
      <x:c r="C432" s="178"/>
      <x:c r="D432" s="178"/>
      <x:c r="E432" s="178"/>
      <x:c r="F432" s="178"/>
      <x:c r="G432" s="178"/>
      <x:c r="H432" s="178"/>
      <x:c r="I432" s="178"/>
      <x:c r="J432" s="178"/>
      <x:c r="K432" s="178"/>
      <x:c r="L432" s="178"/>
      <x:c r="M432" s="178"/>
      <x:c r="N432" s="178"/>
      <x:c r="O432" s="178"/>
      <x:c r="P432" s="178"/>
      <x:c r="Q432" s="178"/>
      <x:c r="R432" s="178"/>
      <x:c r="S432" s="178"/>
      <x:c r="T432" s="178"/>
      <x:c r="U432" s="178"/>
      <x:c r="V432" s="178"/>
      <x:c r="W432" s="178"/>
      <x:c r="X432" s="178"/>
      <x:c r="Y432" s="178"/>
      <x:c r="Z432" s="178"/>
    </x:row>
    <x:row r="433">
      <x:c r="A433" s="178"/>
      <x:c r="B433" s="178"/>
      <x:c r="C433" s="178"/>
      <x:c r="D433" s="178"/>
      <x:c r="E433" s="178"/>
      <x:c r="F433" s="178"/>
      <x:c r="G433" s="178"/>
      <x:c r="H433" s="178"/>
      <x:c r="I433" s="178"/>
      <x:c r="J433" s="178"/>
      <x:c r="K433" s="178"/>
      <x:c r="L433" s="178"/>
      <x:c r="M433" s="178"/>
      <x:c r="N433" s="178"/>
      <x:c r="O433" s="178"/>
      <x:c r="P433" s="178"/>
      <x:c r="Q433" s="178"/>
      <x:c r="R433" s="178"/>
      <x:c r="S433" s="178"/>
      <x:c r="T433" s="178"/>
      <x:c r="U433" s="178"/>
      <x:c r="V433" s="178"/>
      <x:c r="W433" s="178"/>
      <x:c r="X433" s="178"/>
      <x:c r="Y433" s="178"/>
      <x:c r="Z433" s="178"/>
    </x:row>
    <x:row r="434">
      <x:c r="A434" s="178"/>
      <x:c r="B434" s="178"/>
      <x:c r="C434" s="178"/>
      <x:c r="D434" s="178"/>
      <x:c r="E434" s="178"/>
      <x:c r="F434" s="178"/>
      <x:c r="G434" s="178"/>
      <x:c r="H434" s="178"/>
      <x:c r="I434" s="178"/>
      <x:c r="J434" s="178"/>
      <x:c r="K434" s="178"/>
      <x:c r="L434" s="178"/>
      <x:c r="M434" s="178"/>
      <x:c r="N434" s="178"/>
      <x:c r="O434" s="178"/>
      <x:c r="P434" s="178"/>
      <x:c r="Q434" s="178"/>
      <x:c r="R434" s="178"/>
      <x:c r="S434" s="178"/>
      <x:c r="T434" s="178"/>
      <x:c r="U434" s="178"/>
      <x:c r="V434" s="178"/>
      <x:c r="W434" s="178"/>
      <x:c r="X434" s="178"/>
      <x:c r="Y434" s="178"/>
      <x:c r="Z434" s="178"/>
    </x:row>
    <x:row r="435">
      <x:c r="A435" s="178"/>
      <x:c r="B435" s="178"/>
      <x:c r="C435" s="178"/>
      <x:c r="D435" s="178"/>
      <x:c r="E435" s="178"/>
      <x:c r="F435" s="178"/>
      <x:c r="G435" s="178"/>
      <x:c r="H435" s="178"/>
      <x:c r="I435" s="178"/>
      <x:c r="J435" s="178"/>
      <x:c r="K435" s="178"/>
      <x:c r="L435" s="178"/>
      <x:c r="M435" s="178"/>
      <x:c r="N435" s="178"/>
      <x:c r="O435" s="178"/>
      <x:c r="P435" s="178"/>
      <x:c r="Q435" s="178"/>
      <x:c r="R435" s="178"/>
      <x:c r="S435" s="178"/>
      <x:c r="T435" s="178"/>
      <x:c r="U435" s="178"/>
      <x:c r="V435" s="178"/>
      <x:c r="W435" s="178"/>
      <x:c r="X435" s="178"/>
      <x:c r="Y435" s="178"/>
      <x:c r="Z435" s="178"/>
    </x:row>
    <x:row r="436">
      <x:c r="A436" s="178"/>
      <x:c r="B436" s="178"/>
      <x:c r="C436" s="178"/>
      <x:c r="D436" s="178"/>
      <x:c r="E436" s="178"/>
      <x:c r="F436" s="178"/>
      <x:c r="G436" s="178"/>
      <x:c r="H436" s="178"/>
      <x:c r="I436" s="178"/>
      <x:c r="J436" s="178"/>
      <x:c r="K436" s="178"/>
      <x:c r="L436" s="178"/>
      <x:c r="M436" s="178"/>
      <x:c r="N436" s="178"/>
      <x:c r="O436" s="178"/>
      <x:c r="P436" s="178"/>
      <x:c r="Q436" s="178"/>
      <x:c r="R436" s="178"/>
      <x:c r="S436" s="178"/>
      <x:c r="T436" s="178"/>
      <x:c r="U436" s="178"/>
      <x:c r="V436" s="178"/>
      <x:c r="W436" s="178"/>
      <x:c r="X436" s="178"/>
      <x:c r="Y436" s="178"/>
      <x:c r="Z436" s="178"/>
    </x:row>
    <x:row r="437">
      <x:c r="A437" s="178"/>
      <x:c r="B437" s="178"/>
      <x:c r="C437" s="178"/>
      <x:c r="D437" s="178"/>
      <x:c r="E437" s="178"/>
      <x:c r="F437" s="178"/>
      <x:c r="G437" s="178"/>
      <x:c r="H437" s="178"/>
      <x:c r="I437" s="178"/>
      <x:c r="J437" s="178"/>
      <x:c r="K437" s="178"/>
      <x:c r="L437" s="178"/>
      <x:c r="M437" s="178"/>
      <x:c r="N437" s="178"/>
      <x:c r="O437" s="178"/>
      <x:c r="P437" s="178"/>
      <x:c r="Q437" s="178"/>
      <x:c r="R437" s="178"/>
      <x:c r="S437" s="178"/>
      <x:c r="T437" s="178"/>
      <x:c r="U437" s="178"/>
      <x:c r="V437" s="178"/>
      <x:c r="W437" s="178"/>
      <x:c r="X437" s="178"/>
      <x:c r="Y437" s="178"/>
      <x:c r="Z437" s="178"/>
    </x:row>
    <x:row r="438">
      <x:c r="A438" s="178"/>
      <x:c r="B438" s="178"/>
      <x:c r="C438" s="178"/>
      <x:c r="D438" s="178"/>
      <x:c r="E438" s="178"/>
      <x:c r="F438" s="178"/>
      <x:c r="G438" s="178"/>
      <x:c r="H438" s="178"/>
      <x:c r="I438" s="178"/>
      <x:c r="J438" s="178"/>
      <x:c r="K438" s="178"/>
      <x:c r="L438" s="178"/>
      <x:c r="M438" s="178"/>
      <x:c r="N438" s="178"/>
      <x:c r="O438" s="178"/>
      <x:c r="P438" s="178"/>
      <x:c r="Q438" s="178"/>
      <x:c r="R438" s="178"/>
      <x:c r="S438" s="178"/>
      <x:c r="T438" s="178"/>
      <x:c r="U438" s="178"/>
      <x:c r="V438" s="178"/>
      <x:c r="W438" s="178"/>
      <x:c r="X438" s="178"/>
      <x:c r="Y438" s="178"/>
      <x:c r="Z438" s="178"/>
    </x:row>
    <x:row r="439">
      <x:c r="A439" s="178"/>
      <x:c r="B439" s="178"/>
      <x:c r="C439" s="178"/>
      <x:c r="D439" s="178"/>
      <x:c r="E439" s="178"/>
      <x:c r="F439" s="178"/>
      <x:c r="G439" s="178"/>
      <x:c r="H439" s="178"/>
      <x:c r="I439" s="178"/>
      <x:c r="J439" s="178"/>
      <x:c r="K439" s="178"/>
      <x:c r="L439" s="178"/>
      <x:c r="M439" s="178"/>
      <x:c r="N439" s="178"/>
      <x:c r="O439" s="178"/>
      <x:c r="P439" s="178"/>
      <x:c r="Q439" s="178"/>
      <x:c r="R439" s="178"/>
      <x:c r="S439" s="178"/>
      <x:c r="T439" s="178"/>
      <x:c r="U439" s="178"/>
      <x:c r="V439" s="178"/>
      <x:c r="W439" s="178"/>
      <x:c r="X439" s="178"/>
      <x:c r="Y439" s="178"/>
      <x:c r="Z439" s="178"/>
    </x:row>
    <x:row r="440">
      <x:c r="A440" s="178"/>
      <x:c r="B440" s="178"/>
      <x:c r="C440" s="178"/>
      <x:c r="D440" s="178"/>
      <x:c r="E440" s="178"/>
      <x:c r="F440" s="178"/>
      <x:c r="G440" s="178"/>
      <x:c r="H440" s="178"/>
      <x:c r="I440" s="178"/>
      <x:c r="J440" s="178"/>
      <x:c r="K440" s="178"/>
      <x:c r="L440" s="178"/>
      <x:c r="M440" s="178"/>
      <x:c r="N440" s="178"/>
      <x:c r="O440" s="178"/>
      <x:c r="P440" s="178"/>
      <x:c r="Q440" s="178"/>
      <x:c r="R440" s="178"/>
      <x:c r="S440" s="178"/>
      <x:c r="T440" s="178"/>
      <x:c r="U440" s="178"/>
      <x:c r="V440" s="178"/>
      <x:c r="W440" s="178"/>
      <x:c r="X440" s="178"/>
      <x:c r="Y440" s="178"/>
      <x:c r="Z440" s="178"/>
    </x:row>
    <x:row r="441">
      <x:c r="A441" s="178"/>
      <x:c r="B441" s="178"/>
      <x:c r="C441" s="178"/>
      <x:c r="D441" s="178"/>
      <x:c r="E441" s="178"/>
      <x:c r="F441" s="178"/>
      <x:c r="G441" s="178"/>
      <x:c r="H441" s="178"/>
      <x:c r="I441" s="178"/>
      <x:c r="J441" s="178"/>
      <x:c r="K441" s="178"/>
      <x:c r="L441" s="178"/>
      <x:c r="M441" s="178"/>
      <x:c r="N441" s="178"/>
      <x:c r="O441" s="178"/>
      <x:c r="P441" s="178"/>
      <x:c r="Q441" s="178"/>
      <x:c r="R441" s="178"/>
      <x:c r="S441" s="178"/>
      <x:c r="T441" s="178"/>
      <x:c r="U441" s="178"/>
      <x:c r="V441" s="178"/>
      <x:c r="W441" s="178"/>
      <x:c r="X441" s="178"/>
      <x:c r="Y441" s="178"/>
      <x:c r="Z441" s="178"/>
    </x:row>
    <x:row r="442">
      <x:c r="A442" s="178"/>
      <x:c r="B442" s="178"/>
      <x:c r="C442" s="178"/>
      <x:c r="D442" s="178"/>
      <x:c r="E442" s="178"/>
      <x:c r="F442" s="178"/>
      <x:c r="G442" s="178"/>
      <x:c r="H442" s="178"/>
      <x:c r="I442" s="178"/>
      <x:c r="J442" s="178"/>
      <x:c r="K442" s="178"/>
      <x:c r="L442" s="178"/>
      <x:c r="M442" s="178"/>
      <x:c r="N442" s="178"/>
      <x:c r="O442" s="178"/>
      <x:c r="P442" s="178"/>
      <x:c r="Q442" s="178"/>
      <x:c r="R442" s="178"/>
      <x:c r="S442" s="178"/>
      <x:c r="T442" s="178"/>
      <x:c r="U442" s="178"/>
      <x:c r="V442" s="178"/>
      <x:c r="W442" s="178"/>
      <x:c r="X442" s="178"/>
      <x:c r="Y442" s="178"/>
      <x:c r="Z442" s="178"/>
    </x:row>
    <x:row r="443">
      <x:c r="A443" s="178"/>
      <x:c r="B443" s="178"/>
      <x:c r="C443" s="178"/>
      <x:c r="D443" s="178"/>
      <x:c r="E443" s="178"/>
      <x:c r="F443" s="178"/>
      <x:c r="G443" s="178"/>
      <x:c r="H443" s="178"/>
      <x:c r="I443" s="178"/>
      <x:c r="J443" s="178"/>
      <x:c r="K443" s="178"/>
      <x:c r="L443" s="178"/>
      <x:c r="M443" s="178"/>
      <x:c r="N443" s="178"/>
      <x:c r="O443" s="178"/>
      <x:c r="P443" s="178"/>
      <x:c r="Q443" s="178"/>
      <x:c r="R443" s="178"/>
      <x:c r="S443" s="178"/>
      <x:c r="T443" s="178"/>
      <x:c r="U443" s="178"/>
      <x:c r="V443" s="178"/>
      <x:c r="W443" s="178"/>
      <x:c r="X443" s="178"/>
      <x:c r="Y443" s="178"/>
      <x:c r="Z443" s="178"/>
    </x:row>
    <x:row r="444">
      <x:c r="A444" s="178"/>
      <x:c r="B444" s="178"/>
      <x:c r="C444" s="178"/>
      <x:c r="D444" s="178"/>
      <x:c r="E444" s="178"/>
      <x:c r="F444" s="178"/>
      <x:c r="G444" s="178"/>
      <x:c r="H444" s="178"/>
      <x:c r="I444" s="178"/>
      <x:c r="J444" s="178"/>
      <x:c r="K444" s="178"/>
      <x:c r="L444" s="178"/>
      <x:c r="M444" s="178"/>
      <x:c r="N444" s="178"/>
      <x:c r="O444" s="178"/>
      <x:c r="P444" s="178"/>
      <x:c r="Q444" s="178"/>
      <x:c r="R444" s="178"/>
      <x:c r="S444" s="178"/>
      <x:c r="T444" s="178"/>
      <x:c r="U444" s="178"/>
      <x:c r="V444" s="178"/>
      <x:c r="W444" s="178"/>
      <x:c r="X444" s="178"/>
      <x:c r="Y444" s="178"/>
      <x:c r="Z444" s="178"/>
    </x:row>
    <x:row r="445">
      <x:c r="A445" s="178"/>
      <x:c r="B445" s="178"/>
      <x:c r="C445" s="178"/>
      <x:c r="D445" s="178"/>
      <x:c r="E445" s="178"/>
      <x:c r="F445" s="178"/>
      <x:c r="G445" s="178"/>
      <x:c r="H445" s="178"/>
      <x:c r="I445" s="178"/>
      <x:c r="J445" s="178"/>
      <x:c r="K445" s="178"/>
      <x:c r="L445" s="178"/>
      <x:c r="M445" s="178"/>
      <x:c r="N445" s="178"/>
      <x:c r="O445" s="178"/>
      <x:c r="P445" s="178"/>
      <x:c r="Q445" s="178"/>
      <x:c r="R445" s="178"/>
      <x:c r="S445" s="178"/>
      <x:c r="T445" s="178"/>
      <x:c r="U445" s="178"/>
      <x:c r="V445" s="178"/>
      <x:c r="W445" s="178"/>
      <x:c r="X445" s="178"/>
      <x:c r="Y445" s="178"/>
      <x:c r="Z445" s="178"/>
    </x:row>
    <x:row r="446">
      <x:c r="A446" s="178"/>
      <x:c r="B446" s="178"/>
      <x:c r="C446" s="178"/>
      <x:c r="D446" s="178"/>
      <x:c r="E446" s="178"/>
      <x:c r="F446" s="178"/>
      <x:c r="G446" s="178"/>
      <x:c r="H446" s="178"/>
      <x:c r="I446" s="178"/>
      <x:c r="J446" s="178"/>
      <x:c r="K446" s="178"/>
      <x:c r="L446" s="178"/>
      <x:c r="M446" s="178"/>
      <x:c r="N446" s="178"/>
      <x:c r="O446" s="178"/>
      <x:c r="P446" s="178"/>
      <x:c r="Q446" s="178"/>
      <x:c r="R446" s="178"/>
      <x:c r="S446" s="178"/>
      <x:c r="T446" s="178"/>
      <x:c r="U446" s="178"/>
      <x:c r="V446" s="178"/>
      <x:c r="W446" s="178"/>
      <x:c r="X446" s="178"/>
      <x:c r="Y446" s="178"/>
      <x:c r="Z446" s="178"/>
    </x:row>
    <x:row r="447">
      <x:c r="A447" s="178"/>
      <x:c r="B447" s="178"/>
      <x:c r="C447" s="178"/>
      <x:c r="D447" s="178"/>
      <x:c r="E447" s="178"/>
      <x:c r="F447" s="178"/>
      <x:c r="G447" s="178"/>
      <x:c r="H447" s="178"/>
      <x:c r="I447" s="178"/>
      <x:c r="J447" s="178"/>
      <x:c r="K447" s="178"/>
      <x:c r="L447" s="178"/>
      <x:c r="M447" s="178"/>
      <x:c r="N447" s="178"/>
      <x:c r="O447" s="178"/>
      <x:c r="P447" s="178"/>
      <x:c r="Q447" s="178"/>
      <x:c r="R447" s="178"/>
      <x:c r="S447" s="178"/>
      <x:c r="T447" s="178"/>
      <x:c r="U447" s="178"/>
      <x:c r="V447" s="178"/>
      <x:c r="W447" s="178"/>
      <x:c r="X447" s="178"/>
      <x:c r="Y447" s="178"/>
      <x:c r="Z447" s="178"/>
    </x:row>
    <x:row r="448">
      <x:c r="A448" s="178"/>
      <x:c r="B448" s="178"/>
      <x:c r="C448" s="178"/>
      <x:c r="D448" s="178"/>
      <x:c r="E448" s="178"/>
      <x:c r="F448" s="178"/>
      <x:c r="G448" s="178"/>
      <x:c r="H448" s="178"/>
      <x:c r="I448" s="178"/>
      <x:c r="J448" s="178"/>
      <x:c r="K448" s="178"/>
      <x:c r="L448" s="178"/>
      <x:c r="M448" s="178"/>
      <x:c r="N448" s="178"/>
      <x:c r="O448" s="178"/>
      <x:c r="P448" s="178"/>
      <x:c r="Q448" s="178"/>
      <x:c r="R448" s="178"/>
      <x:c r="S448" s="178"/>
      <x:c r="T448" s="178"/>
      <x:c r="U448" s="178"/>
      <x:c r="V448" s="178"/>
      <x:c r="W448" s="178"/>
      <x:c r="X448" s="178"/>
      <x:c r="Y448" s="178"/>
      <x:c r="Z448" s="178"/>
    </x:row>
    <x:row r="449">
      <x:c r="A449" s="178"/>
      <x:c r="B449" s="178"/>
      <x:c r="C449" s="178"/>
      <x:c r="D449" s="178"/>
      <x:c r="E449" s="178"/>
      <x:c r="F449" s="178"/>
      <x:c r="G449" s="178"/>
      <x:c r="H449" s="178"/>
      <x:c r="I449" s="178"/>
      <x:c r="J449" s="178"/>
      <x:c r="K449" s="178"/>
      <x:c r="L449" s="178"/>
      <x:c r="M449" s="178"/>
      <x:c r="N449" s="178"/>
      <x:c r="O449" s="178"/>
      <x:c r="P449" s="178"/>
      <x:c r="Q449" s="178"/>
      <x:c r="R449" s="178"/>
      <x:c r="S449" s="178"/>
      <x:c r="T449" s="178"/>
      <x:c r="U449" s="178"/>
      <x:c r="V449" s="178"/>
      <x:c r="W449" s="178"/>
      <x:c r="X449" s="178"/>
      <x:c r="Y449" s="178"/>
      <x:c r="Z449" s="178"/>
    </x:row>
    <x:row r="450">
      <x:c r="A450" s="178"/>
      <x:c r="B450" s="178"/>
      <x:c r="C450" s="178"/>
      <x:c r="D450" s="178"/>
      <x:c r="E450" s="178"/>
      <x:c r="F450" s="178"/>
      <x:c r="G450" s="178"/>
      <x:c r="H450" s="178"/>
      <x:c r="I450" s="178"/>
      <x:c r="J450" s="178"/>
      <x:c r="K450" s="178"/>
      <x:c r="L450" s="178"/>
      <x:c r="M450" s="178"/>
      <x:c r="N450" s="178"/>
      <x:c r="O450" s="178"/>
      <x:c r="P450" s="178"/>
      <x:c r="Q450" s="178"/>
      <x:c r="R450" s="178"/>
      <x:c r="S450" s="178"/>
      <x:c r="T450" s="178"/>
      <x:c r="U450" s="178"/>
      <x:c r="V450" s="178"/>
      <x:c r="W450" s="178"/>
      <x:c r="X450" s="178"/>
      <x:c r="Y450" s="178"/>
      <x:c r="Z450" s="178"/>
    </x:row>
    <x:row r="451">
      <x:c r="A451" s="178"/>
      <x:c r="B451" s="178"/>
      <x:c r="C451" s="178"/>
      <x:c r="D451" s="178"/>
      <x:c r="E451" s="178"/>
      <x:c r="F451" s="178"/>
      <x:c r="G451" s="178"/>
      <x:c r="H451" s="178"/>
      <x:c r="I451" s="178"/>
      <x:c r="J451" s="178"/>
      <x:c r="K451" s="178"/>
      <x:c r="L451" s="178"/>
      <x:c r="M451" s="178"/>
      <x:c r="N451" s="178"/>
      <x:c r="O451" s="178"/>
      <x:c r="P451" s="178"/>
      <x:c r="Q451" s="178"/>
      <x:c r="R451" s="178"/>
      <x:c r="S451" s="178"/>
      <x:c r="T451" s="178"/>
      <x:c r="U451" s="178"/>
      <x:c r="V451" s="178"/>
      <x:c r="W451" s="178"/>
      <x:c r="X451" s="178"/>
      <x:c r="Y451" s="178"/>
      <x:c r="Z451" s="178"/>
    </x:row>
    <x:row r="452">
      <x:c r="A452" s="178"/>
      <x:c r="B452" s="178"/>
      <x:c r="C452" s="178"/>
      <x:c r="D452" s="178"/>
      <x:c r="E452" s="178"/>
      <x:c r="F452" s="178"/>
      <x:c r="G452" s="178"/>
      <x:c r="H452" s="178"/>
      <x:c r="I452" s="178"/>
      <x:c r="J452" s="178"/>
      <x:c r="K452" s="178"/>
      <x:c r="L452" s="178"/>
      <x:c r="M452" s="178"/>
      <x:c r="N452" s="178"/>
      <x:c r="O452" s="178"/>
      <x:c r="P452" s="178"/>
      <x:c r="Q452" s="178"/>
      <x:c r="R452" s="178"/>
      <x:c r="S452" s="178"/>
      <x:c r="T452" s="178"/>
      <x:c r="U452" s="178"/>
      <x:c r="V452" s="178"/>
      <x:c r="W452" s="178"/>
      <x:c r="X452" s="178"/>
      <x:c r="Y452" s="178"/>
      <x:c r="Z452" s="178"/>
    </x:row>
    <x:row r="453">
      <x:c r="A453" s="178"/>
      <x:c r="B453" s="178"/>
      <x:c r="C453" s="178"/>
      <x:c r="D453" s="178"/>
      <x:c r="E453" s="178"/>
      <x:c r="F453" s="178"/>
      <x:c r="G453" s="178"/>
      <x:c r="H453" s="178"/>
      <x:c r="I453" s="178"/>
      <x:c r="J453" s="178"/>
      <x:c r="K453" s="178"/>
      <x:c r="L453" s="178"/>
      <x:c r="M453" s="178"/>
      <x:c r="N453" s="178"/>
      <x:c r="O453" s="178"/>
      <x:c r="P453" s="178"/>
      <x:c r="Q453" s="178"/>
      <x:c r="R453" s="178"/>
      <x:c r="S453" s="178"/>
      <x:c r="T453" s="178"/>
      <x:c r="U453" s="178"/>
      <x:c r="V453" s="178"/>
      <x:c r="W453" s="178"/>
      <x:c r="X453" s="178"/>
      <x:c r="Y453" s="178"/>
      <x:c r="Z453" s="178"/>
    </x:row>
    <x:row r="454">
      <x:c r="A454" s="178"/>
      <x:c r="B454" s="178"/>
      <x:c r="C454" s="178"/>
      <x:c r="D454" s="178"/>
      <x:c r="E454" s="178"/>
      <x:c r="F454" s="178"/>
      <x:c r="G454" s="178"/>
      <x:c r="H454" s="178"/>
      <x:c r="I454" s="178"/>
      <x:c r="J454" s="178"/>
      <x:c r="K454" s="178"/>
      <x:c r="L454" s="178"/>
      <x:c r="M454" s="178"/>
      <x:c r="N454" s="178"/>
      <x:c r="O454" s="178"/>
      <x:c r="P454" s="178"/>
      <x:c r="Q454" s="178"/>
      <x:c r="R454" s="178"/>
      <x:c r="S454" s="178"/>
      <x:c r="T454" s="178"/>
      <x:c r="U454" s="178"/>
      <x:c r="V454" s="178"/>
      <x:c r="W454" s="178"/>
      <x:c r="X454" s="178"/>
      <x:c r="Y454" s="178"/>
      <x:c r="Z454" s="178"/>
    </x:row>
    <x:row r="455">
      <x:c r="A455" s="178"/>
      <x:c r="B455" s="178"/>
      <x:c r="C455" s="178"/>
      <x:c r="D455" s="178"/>
      <x:c r="E455" s="178"/>
      <x:c r="F455" s="178"/>
      <x:c r="G455" s="178"/>
      <x:c r="H455" s="178"/>
      <x:c r="I455" s="178"/>
      <x:c r="J455" s="178"/>
      <x:c r="K455" s="178"/>
      <x:c r="L455" s="178"/>
      <x:c r="M455" s="178"/>
      <x:c r="N455" s="178"/>
      <x:c r="O455" s="178"/>
      <x:c r="P455" s="178"/>
      <x:c r="Q455" s="178"/>
      <x:c r="R455" s="178"/>
      <x:c r="S455" s="178"/>
      <x:c r="T455" s="178"/>
      <x:c r="U455" s="178"/>
      <x:c r="V455" s="178"/>
      <x:c r="W455" s="178"/>
      <x:c r="X455" s="178"/>
      <x:c r="Y455" s="178"/>
      <x:c r="Z455" s="178"/>
    </x:row>
    <x:row r="456">
      <x:c r="A456" s="178"/>
      <x:c r="B456" s="178"/>
      <x:c r="C456" s="178"/>
      <x:c r="D456" s="178"/>
      <x:c r="E456" s="178"/>
      <x:c r="F456" s="178"/>
      <x:c r="G456" s="178"/>
      <x:c r="H456" s="178"/>
      <x:c r="I456" s="178"/>
      <x:c r="J456" s="178"/>
      <x:c r="K456" s="178"/>
      <x:c r="L456" s="178"/>
      <x:c r="M456" s="178"/>
      <x:c r="N456" s="178"/>
      <x:c r="O456" s="178"/>
      <x:c r="P456" s="178"/>
      <x:c r="Q456" s="178"/>
      <x:c r="R456" s="178"/>
      <x:c r="S456" s="178"/>
      <x:c r="T456" s="178"/>
      <x:c r="U456" s="178"/>
      <x:c r="V456" s="178"/>
      <x:c r="W456" s="178"/>
      <x:c r="X456" s="178"/>
      <x:c r="Y456" s="178"/>
      <x:c r="Z456" s="178"/>
    </x:row>
    <x:row r="457">
      <x:c r="A457" s="178"/>
      <x:c r="B457" s="178"/>
      <x:c r="C457" s="178"/>
      <x:c r="D457" s="178"/>
      <x:c r="E457" s="178"/>
      <x:c r="F457" s="178"/>
      <x:c r="G457" s="178"/>
      <x:c r="H457" s="178"/>
      <x:c r="I457" s="178"/>
      <x:c r="J457" s="178"/>
      <x:c r="K457" s="178"/>
      <x:c r="L457" s="178"/>
      <x:c r="M457" s="178"/>
      <x:c r="N457" s="178"/>
      <x:c r="O457" s="178"/>
      <x:c r="P457" s="178"/>
      <x:c r="Q457" s="178"/>
      <x:c r="R457" s="178"/>
      <x:c r="S457" s="178"/>
      <x:c r="T457" s="178"/>
      <x:c r="U457" s="178"/>
      <x:c r="V457" s="178"/>
      <x:c r="W457" s="178"/>
      <x:c r="X457" s="178"/>
      <x:c r="Y457" s="178"/>
      <x:c r="Z457" s="178"/>
    </x:row>
    <x:row r="458">
      <x:c r="A458" s="178"/>
      <x:c r="B458" s="178"/>
      <x:c r="C458" s="178"/>
      <x:c r="D458" s="178"/>
      <x:c r="E458" s="178"/>
      <x:c r="F458" s="178"/>
      <x:c r="G458" s="178"/>
      <x:c r="H458" s="178"/>
      <x:c r="I458" s="178"/>
      <x:c r="J458" s="178"/>
      <x:c r="K458" s="178"/>
      <x:c r="L458" s="178"/>
      <x:c r="M458" s="178"/>
      <x:c r="N458" s="178"/>
      <x:c r="O458" s="178"/>
      <x:c r="P458" s="178"/>
      <x:c r="Q458" s="178"/>
      <x:c r="R458" s="178"/>
      <x:c r="S458" s="178"/>
      <x:c r="T458" s="178"/>
      <x:c r="U458" s="178"/>
      <x:c r="V458" s="178"/>
      <x:c r="W458" s="178"/>
      <x:c r="X458" s="178"/>
      <x:c r="Y458" s="178"/>
      <x:c r="Z458" s="178"/>
    </x:row>
    <x:row r="459">
      <x:c r="A459" s="178"/>
      <x:c r="B459" s="178"/>
      <x:c r="C459" s="178"/>
      <x:c r="D459" s="178"/>
      <x:c r="E459" s="178"/>
      <x:c r="F459" s="178"/>
      <x:c r="G459" s="178"/>
      <x:c r="H459" s="178"/>
      <x:c r="I459" s="178"/>
      <x:c r="J459" s="178"/>
      <x:c r="K459" s="178"/>
      <x:c r="L459" s="178"/>
      <x:c r="M459" s="178"/>
      <x:c r="N459" s="178"/>
      <x:c r="O459" s="178"/>
      <x:c r="P459" s="178"/>
      <x:c r="Q459" s="178"/>
      <x:c r="R459" s="178"/>
      <x:c r="S459" s="178"/>
      <x:c r="T459" s="178"/>
      <x:c r="U459" s="178"/>
      <x:c r="V459" s="178"/>
      <x:c r="W459" s="178"/>
      <x:c r="X459" s="178"/>
      <x:c r="Y459" s="178"/>
      <x:c r="Z459" s="178"/>
    </x:row>
    <x:row r="460">
      <x:c r="A460" s="178"/>
      <x:c r="B460" s="178"/>
      <x:c r="C460" s="178"/>
      <x:c r="D460" s="178"/>
      <x:c r="E460" s="178"/>
      <x:c r="F460" s="178"/>
      <x:c r="G460" s="178"/>
      <x:c r="H460" s="178"/>
      <x:c r="I460" s="178"/>
      <x:c r="J460" s="178"/>
      <x:c r="K460" s="178"/>
      <x:c r="L460" s="178"/>
      <x:c r="M460" s="178"/>
      <x:c r="N460" s="178"/>
      <x:c r="O460" s="178"/>
      <x:c r="P460" s="178"/>
      <x:c r="Q460" s="178"/>
      <x:c r="R460" s="178"/>
      <x:c r="S460" s="178"/>
      <x:c r="T460" s="178"/>
      <x:c r="U460" s="178"/>
      <x:c r="V460" s="178"/>
      <x:c r="W460" s="178"/>
      <x:c r="X460" s="178"/>
      <x:c r="Y460" s="178"/>
      <x:c r="Z460" s="178"/>
    </x:row>
    <x:row r="461">
      <x:c r="A461" s="178"/>
      <x:c r="B461" s="178"/>
      <x:c r="C461" s="178"/>
      <x:c r="D461" s="178"/>
      <x:c r="E461" s="178"/>
      <x:c r="F461" s="178"/>
      <x:c r="G461" s="178"/>
      <x:c r="H461" s="178"/>
      <x:c r="I461" s="178"/>
      <x:c r="J461" s="178"/>
      <x:c r="K461" s="178"/>
      <x:c r="L461" s="178"/>
      <x:c r="M461" s="178"/>
      <x:c r="N461" s="178"/>
      <x:c r="O461" s="178"/>
      <x:c r="P461" s="178"/>
      <x:c r="Q461" s="178"/>
      <x:c r="R461" s="178"/>
      <x:c r="S461" s="178"/>
      <x:c r="T461" s="178"/>
      <x:c r="U461" s="178"/>
      <x:c r="V461" s="178"/>
      <x:c r="W461" s="178"/>
      <x:c r="X461" s="178"/>
      <x:c r="Y461" s="178"/>
      <x:c r="Z461" s="178"/>
    </x:row>
    <x:row r="462">
      <x:c r="A462" s="178"/>
      <x:c r="B462" s="178"/>
      <x:c r="C462" s="178"/>
      <x:c r="D462" s="178"/>
      <x:c r="E462" s="178"/>
      <x:c r="F462" s="178"/>
      <x:c r="G462" s="178"/>
      <x:c r="H462" s="178"/>
      <x:c r="I462" s="178"/>
      <x:c r="J462" s="178"/>
      <x:c r="K462" s="178"/>
      <x:c r="L462" s="178"/>
      <x:c r="M462" s="178"/>
      <x:c r="N462" s="178"/>
      <x:c r="O462" s="178"/>
      <x:c r="P462" s="178"/>
      <x:c r="Q462" s="178"/>
      <x:c r="R462" s="178"/>
      <x:c r="S462" s="178"/>
      <x:c r="T462" s="178"/>
      <x:c r="U462" s="178"/>
      <x:c r="V462" s="178"/>
      <x:c r="W462" s="178"/>
      <x:c r="X462" s="178"/>
      <x:c r="Y462" s="178"/>
      <x:c r="Z462" s="178"/>
    </x:row>
    <x:row r="463">
      <x:c r="A463" s="178"/>
      <x:c r="B463" s="178"/>
      <x:c r="C463" s="178"/>
      <x:c r="D463" s="178"/>
      <x:c r="E463" s="178"/>
      <x:c r="F463" s="178"/>
      <x:c r="G463" s="178"/>
      <x:c r="H463" s="178"/>
      <x:c r="I463" s="178"/>
      <x:c r="J463" s="178"/>
      <x:c r="K463" s="178"/>
      <x:c r="L463" s="178"/>
      <x:c r="M463" s="178"/>
      <x:c r="N463" s="178"/>
      <x:c r="O463" s="178"/>
      <x:c r="P463" s="178"/>
      <x:c r="Q463" s="178"/>
      <x:c r="R463" s="178"/>
      <x:c r="S463" s="178"/>
      <x:c r="T463" s="178"/>
      <x:c r="U463" s="178"/>
      <x:c r="V463" s="178"/>
      <x:c r="W463" s="178"/>
      <x:c r="X463" s="178"/>
      <x:c r="Y463" s="178"/>
      <x:c r="Z463" s="178"/>
    </x:row>
    <x:row r="464">
      <x:c r="A464" s="178"/>
      <x:c r="B464" s="178"/>
      <x:c r="C464" s="178"/>
      <x:c r="D464" s="178"/>
      <x:c r="E464" s="178"/>
      <x:c r="F464" s="178"/>
      <x:c r="G464" s="178"/>
      <x:c r="H464" s="178"/>
      <x:c r="I464" s="178"/>
      <x:c r="J464" s="178"/>
      <x:c r="K464" s="178"/>
      <x:c r="L464" s="178"/>
      <x:c r="M464" s="178"/>
      <x:c r="N464" s="178"/>
      <x:c r="O464" s="178"/>
      <x:c r="P464" s="178"/>
      <x:c r="Q464" s="178"/>
      <x:c r="R464" s="178"/>
      <x:c r="S464" s="178"/>
      <x:c r="T464" s="178"/>
      <x:c r="U464" s="178"/>
      <x:c r="V464" s="178"/>
      <x:c r="W464" s="178"/>
      <x:c r="X464" s="178"/>
      <x:c r="Y464" s="178"/>
      <x:c r="Z464" s="178"/>
    </x:row>
    <x:row r="465">
      <x:c r="A465" s="178"/>
      <x:c r="B465" s="178"/>
      <x:c r="C465" s="178"/>
      <x:c r="D465" s="178"/>
      <x:c r="E465" s="178"/>
      <x:c r="F465" s="178"/>
      <x:c r="G465" s="178"/>
      <x:c r="H465" s="178"/>
      <x:c r="I465" s="178"/>
      <x:c r="J465" s="178"/>
      <x:c r="K465" s="178"/>
      <x:c r="L465" s="178"/>
      <x:c r="M465" s="178"/>
      <x:c r="N465" s="178"/>
      <x:c r="O465" s="178"/>
      <x:c r="P465" s="178"/>
      <x:c r="Q465" s="178"/>
      <x:c r="R465" s="178"/>
      <x:c r="S465" s="178"/>
      <x:c r="T465" s="178"/>
      <x:c r="U465" s="178"/>
      <x:c r="V465" s="178"/>
      <x:c r="W465" s="178"/>
      <x:c r="X465" s="178"/>
      <x:c r="Y465" s="178"/>
      <x:c r="Z465" s="178"/>
    </x:row>
    <x:row r="466">
      <x:c r="A466" s="178"/>
      <x:c r="B466" s="178"/>
      <x:c r="C466" s="178"/>
      <x:c r="D466" s="178"/>
      <x:c r="E466" s="178"/>
      <x:c r="F466" s="178"/>
      <x:c r="G466" s="178"/>
      <x:c r="H466" s="178"/>
      <x:c r="I466" s="178"/>
      <x:c r="J466" s="178"/>
      <x:c r="K466" s="178"/>
      <x:c r="L466" s="178"/>
      <x:c r="M466" s="178"/>
      <x:c r="N466" s="178"/>
      <x:c r="O466" s="178"/>
      <x:c r="P466" s="178"/>
      <x:c r="Q466" s="178"/>
      <x:c r="R466" s="178"/>
      <x:c r="S466" s="178"/>
      <x:c r="T466" s="178"/>
      <x:c r="U466" s="178"/>
      <x:c r="V466" s="178"/>
      <x:c r="W466" s="178"/>
      <x:c r="X466" s="178"/>
      <x:c r="Y466" s="178"/>
      <x:c r="Z466" s="178"/>
    </x:row>
    <x:row r="467">
      <x:c r="A467" s="178"/>
      <x:c r="B467" s="178"/>
      <x:c r="C467" s="178"/>
      <x:c r="D467" s="178"/>
      <x:c r="E467" s="178"/>
      <x:c r="F467" s="178"/>
      <x:c r="G467" s="178"/>
      <x:c r="H467" s="178"/>
      <x:c r="I467" s="178"/>
      <x:c r="J467" s="178"/>
      <x:c r="K467" s="178"/>
      <x:c r="L467" s="178"/>
      <x:c r="M467" s="178"/>
      <x:c r="N467" s="178"/>
      <x:c r="O467" s="178"/>
      <x:c r="P467" s="178"/>
      <x:c r="Q467" s="178"/>
      <x:c r="R467" s="178"/>
      <x:c r="S467" s="178"/>
      <x:c r="T467" s="178"/>
      <x:c r="U467" s="178"/>
      <x:c r="V467" s="178"/>
      <x:c r="W467" s="178"/>
      <x:c r="X467" s="178"/>
      <x:c r="Y467" s="178"/>
      <x:c r="Z467" s="178"/>
    </x:row>
    <x:row r="468">
      <x:c r="A468" s="178"/>
      <x:c r="B468" s="178"/>
      <x:c r="C468" s="178"/>
      <x:c r="D468" s="178"/>
      <x:c r="E468" s="178"/>
      <x:c r="F468" s="178"/>
      <x:c r="G468" s="178"/>
      <x:c r="H468" s="178"/>
      <x:c r="I468" s="178"/>
      <x:c r="J468" s="178"/>
      <x:c r="K468" s="178"/>
      <x:c r="L468" s="178"/>
      <x:c r="M468" s="178"/>
      <x:c r="N468" s="178"/>
      <x:c r="O468" s="178"/>
      <x:c r="P468" s="178"/>
      <x:c r="Q468" s="178"/>
      <x:c r="R468" s="178"/>
      <x:c r="S468" s="178"/>
      <x:c r="T468" s="178"/>
      <x:c r="U468" s="178"/>
      <x:c r="V468" s="178"/>
      <x:c r="W468" s="178"/>
      <x:c r="X468" s="178"/>
      <x:c r="Y468" s="178"/>
      <x:c r="Z468" s="178"/>
    </x:row>
    <x:row r="469">
      <x:c r="A469" s="178"/>
      <x:c r="B469" s="178"/>
      <x:c r="C469" s="178"/>
      <x:c r="D469" s="178"/>
      <x:c r="E469" s="178"/>
      <x:c r="F469" s="178"/>
      <x:c r="G469" s="178"/>
      <x:c r="H469" s="178"/>
      <x:c r="I469" s="178"/>
      <x:c r="J469" s="178"/>
      <x:c r="K469" s="178"/>
      <x:c r="L469" s="178"/>
      <x:c r="M469" s="178"/>
      <x:c r="N469" s="178"/>
      <x:c r="O469" s="178"/>
      <x:c r="P469" s="178"/>
      <x:c r="Q469" s="178"/>
      <x:c r="R469" s="178"/>
      <x:c r="S469" s="178"/>
      <x:c r="T469" s="178"/>
      <x:c r="U469" s="178"/>
      <x:c r="V469" s="178"/>
      <x:c r="W469" s="178"/>
      <x:c r="X469" s="178"/>
      <x:c r="Y469" s="178"/>
      <x:c r="Z469" s="178"/>
    </x:row>
    <x:row r="470">
      <x:c r="A470" s="178"/>
      <x:c r="B470" s="178"/>
      <x:c r="C470" s="178"/>
      <x:c r="D470" s="178"/>
      <x:c r="E470" s="178"/>
      <x:c r="F470" s="178"/>
      <x:c r="G470" s="178"/>
      <x:c r="H470" s="178"/>
      <x:c r="I470" s="178"/>
      <x:c r="J470" s="178"/>
      <x:c r="K470" s="178"/>
      <x:c r="L470" s="178"/>
      <x:c r="M470" s="178"/>
      <x:c r="N470" s="178"/>
      <x:c r="O470" s="178"/>
      <x:c r="P470" s="178"/>
      <x:c r="Q470" s="178"/>
      <x:c r="R470" s="178"/>
      <x:c r="S470" s="178"/>
      <x:c r="T470" s="178"/>
      <x:c r="U470" s="178"/>
      <x:c r="V470" s="178"/>
      <x:c r="W470" s="178"/>
      <x:c r="X470" s="178"/>
      <x:c r="Y470" s="178"/>
      <x:c r="Z470" s="178"/>
    </x:row>
    <x:row r="471">
      <x:c r="A471" s="178"/>
      <x:c r="B471" s="178"/>
      <x:c r="C471" s="178"/>
      <x:c r="D471" s="178"/>
      <x:c r="E471" s="178"/>
      <x:c r="F471" s="178"/>
      <x:c r="G471" s="178"/>
      <x:c r="H471" s="178"/>
      <x:c r="I471" s="178"/>
      <x:c r="J471" s="178"/>
      <x:c r="K471" s="178"/>
      <x:c r="L471" s="178"/>
      <x:c r="M471" s="178"/>
      <x:c r="N471" s="178"/>
      <x:c r="O471" s="178"/>
      <x:c r="P471" s="178"/>
      <x:c r="Q471" s="178"/>
      <x:c r="R471" s="178"/>
      <x:c r="S471" s="178"/>
      <x:c r="T471" s="178"/>
      <x:c r="U471" s="178"/>
      <x:c r="V471" s="178"/>
      <x:c r="W471" s="178"/>
      <x:c r="X471" s="178"/>
      <x:c r="Y471" s="178"/>
      <x:c r="Z471" s="178"/>
    </x:row>
    <x:row r="472">
      <x:c r="A472" s="178"/>
      <x:c r="B472" s="178"/>
      <x:c r="C472" s="178"/>
      <x:c r="D472" s="178"/>
      <x:c r="E472" s="178"/>
      <x:c r="F472" s="178"/>
      <x:c r="G472" s="178"/>
      <x:c r="H472" s="178"/>
      <x:c r="I472" s="178"/>
      <x:c r="J472" s="178"/>
      <x:c r="K472" s="178"/>
      <x:c r="L472" s="178"/>
      <x:c r="M472" s="178"/>
      <x:c r="N472" s="178"/>
      <x:c r="O472" s="178"/>
      <x:c r="P472" s="178"/>
      <x:c r="Q472" s="178"/>
      <x:c r="R472" s="178"/>
      <x:c r="S472" s="178"/>
      <x:c r="T472" s="178"/>
      <x:c r="U472" s="178"/>
      <x:c r="V472" s="178"/>
      <x:c r="W472" s="178"/>
      <x:c r="X472" s="178"/>
      <x:c r="Y472" s="178"/>
      <x:c r="Z472" s="178"/>
    </x:row>
    <x:row r="473">
      <x:c r="A473" s="178"/>
      <x:c r="B473" s="178"/>
      <x:c r="C473" s="178"/>
      <x:c r="D473" s="178"/>
      <x:c r="E473" s="178"/>
      <x:c r="F473" s="178"/>
      <x:c r="G473" s="178"/>
      <x:c r="H473" s="178"/>
      <x:c r="I473" s="178"/>
      <x:c r="J473" s="178"/>
      <x:c r="K473" s="178"/>
      <x:c r="L473" s="178"/>
      <x:c r="M473" s="178"/>
      <x:c r="N473" s="178"/>
      <x:c r="O473" s="178"/>
      <x:c r="P473" s="178"/>
      <x:c r="Q473" s="178"/>
      <x:c r="R473" s="178"/>
      <x:c r="S473" s="178"/>
      <x:c r="T473" s="178"/>
      <x:c r="U473" s="178"/>
      <x:c r="V473" s="178"/>
      <x:c r="W473" s="178"/>
      <x:c r="X473" s="178"/>
      <x:c r="Y473" s="178"/>
      <x:c r="Z473" s="178"/>
    </x:row>
    <x:row r="474">
      <x:c r="A474" s="178"/>
      <x:c r="B474" s="178"/>
      <x:c r="C474" s="178"/>
      <x:c r="D474" s="178"/>
      <x:c r="E474" s="178"/>
      <x:c r="F474" s="178"/>
      <x:c r="G474" s="178"/>
      <x:c r="H474" s="178"/>
      <x:c r="I474" s="178"/>
      <x:c r="J474" s="178"/>
      <x:c r="K474" s="178"/>
      <x:c r="L474" s="178"/>
      <x:c r="M474" s="178"/>
      <x:c r="N474" s="178"/>
      <x:c r="O474" s="178"/>
      <x:c r="P474" s="178"/>
      <x:c r="Q474" s="178"/>
      <x:c r="R474" s="178"/>
      <x:c r="S474" s="178"/>
      <x:c r="T474" s="178"/>
      <x:c r="U474" s="178"/>
      <x:c r="V474" s="178"/>
      <x:c r="W474" s="178"/>
      <x:c r="X474" s="178"/>
      <x:c r="Y474" s="178"/>
      <x:c r="Z474" s="178"/>
    </x:row>
    <x:row r="475">
      <x:c r="A475" s="178"/>
      <x:c r="B475" s="178"/>
      <x:c r="C475" s="178"/>
      <x:c r="D475" s="178"/>
      <x:c r="E475" s="178"/>
      <x:c r="F475" s="178"/>
      <x:c r="G475" s="178"/>
      <x:c r="H475" s="178"/>
      <x:c r="I475" s="178"/>
      <x:c r="J475" s="178"/>
      <x:c r="K475" s="178"/>
      <x:c r="L475" s="178"/>
      <x:c r="M475" s="178"/>
      <x:c r="N475" s="178"/>
      <x:c r="O475" s="178"/>
      <x:c r="P475" s="178"/>
      <x:c r="Q475" s="178"/>
      <x:c r="R475" s="178"/>
      <x:c r="S475" s="178"/>
      <x:c r="T475" s="178"/>
      <x:c r="U475" s="178"/>
      <x:c r="V475" s="178"/>
      <x:c r="W475" s="178"/>
      <x:c r="X475" s="178"/>
      <x:c r="Y475" s="178"/>
      <x:c r="Z475" s="178"/>
    </x:row>
    <x:row r="476">
      <x:c r="A476" s="178"/>
      <x:c r="B476" s="178"/>
      <x:c r="C476" s="178"/>
      <x:c r="D476" s="178"/>
      <x:c r="E476" s="178"/>
      <x:c r="F476" s="178"/>
      <x:c r="G476" s="178"/>
      <x:c r="H476" s="178"/>
      <x:c r="I476" s="178"/>
      <x:c r="J476" s="178"/>
      <x:c r="K476" s="178"/>
      <x:c r="L476" s="178"/>
      <x:c r="M476" s="178"/>
      <x:c r="N476" s="178"/>
      <x:c r="O476" s="178"/>
      <x:c r="P476" s="178"/>
      <x:c r="Q476" s="178"/>
      <x:c r="R476" s="178"/>
      <x:c r="S476" s="178"/>
      <x:c r="T476" s="178"/>
      <x:c r="U476" s="178"/>
      <x:c r="V476" s="178"/>
      <x:c r="W476" s="178"/>
      <x:c r="X476" s="178"/>
      <x:c r="Y476" s="178"/>
      <x:c r="Z476" s="178"/>
    </x:row>
    <x:row r="477">
      <x:c r="A477" s="178"/>
      <x:c r="B477" s="178"/>
      <x:c r="C477" s="178"/>
      <x:c r="D477" s="178"/>
      <x:c r="E477" s="178"/>
      <x:c r="F477" s="178"/>
      <x:c r="G477" s="178"/>
      <x:c r="H477" s="178"/>
      <x:c r="I477" s="178"/>
      <x:c r="J477" s="178"/>
      <x:c r="K477" s="178"/>
      <x:c r="L477" s="178"/>
      <x:c r="M477" s="178"/>
      <x:c r="N477" s="178"/>
      <x:c r="O477" s="178"/>
      <x:c r="P477" s="178"/>
      <x:c r="Q477" s="178"/>
      <x:c r="R477" s="178"/>
      <x:c r="S477" s="178"/>
      <x:c r="T477" s="178"/>
      <x:c r="U477" s="178"/>
      <x:c r="V477" s="178"/>
      <x:c r="W477" s="178"/>
      <x:c r="X477" s="178"/>
      <x:c r="Y477" s="178"/>
      <x:c r="Z477" s="178"/>
    </x:row>
    <x:row r="478">
      <x:c r="A478" s="178"/>
      <x:c r="B478" s="178"/>
      <x:c r="C478" s="178"/>
      <x:c r="D478" s="178"/>
      <x:c r="E478" s="178"/>
      <x:c r="F478" s="178"/>
      <x:c r="G478" s="178"/>
      <x:c r="H478" s="178"/>
      <x:c r="I478" s="178"/>
      <x:c r="J478" s="178"/>
      <x:c r="K478" s="178"/>
      <x:c r="L478" s="178"/>
      <x:c r="M478" s="178"/>
      <x:c r="N478" s="178"/>
      <x:c r="O478" s="178"/>
      <x:c r="P478" s="178"/>
      <x:c r="Q478" s="178"/>
      <x:c r="R478" s="178"/>
      <x:c r="S478" s="178"/>
      <x:c r="T478" s="178"/>
      <x:c r="U478" s="178"/>
      <x:c r="V478" s="178"/>
      <x:c r="W478" s="178"/>
      <x:c r="X478" s="178"/>
      <x:c r="Y478" s="178"/>
      <x:c r="Z478" s="178"/>
    </x:row>
    <x:row r="479">
      <x:c r="A479" s="178"/>
      <x:c r="B479" s="178"/>
      <x:c r="C479" s="178"/>
      <x:c r="D479" s="178"/>
      <x:c r="E479" s="178"/>
      <x:c r="F479" s="178"/>
      <x:c r="G479" s="178"/>
      <x:c r="H479" s="178"/>
      <x:c r="I479" s="178"/>
      <x:c r="J479" s="178"/>
      <x:c r="K479" s="178"/>
      <x:c r="L479" s="178"/>
      <x:c r="M479" s="178"/>
      <x:c r="N479" s="178"/>
      <x:c r="O479" s="178"/>
      <x:c r="P479" s="178"/>
      <x:c r="Q479" s="178"/>
      <x:c r="R479" s="178"/>
      <x:c r="S479" s="178"/>
      <x:c r="T479" s="178"/>
      <x:c r="U479" s="178"/>
      <x:c r="V479" s="178"/>
      <x:c r="W479" s="178"/>
      <x:c r="X479" s="178"/>
      <x:c r="Y479" s="178"/>
      <x:c r="Z479" s="178"/>
    </x:row>
    <x:row r="480">
      <x:c r="A480" s="178"/>
      <x:c r="B480" s="178"/>
      <x:c r="C480" s="178"/>
      <x:c r="D480" s="178"/>
      <x:c r="E480" s="178"/>
      <x:c r="F480" s="178"/>
      <x:c r="G480" s="178"/>
      <x:c r="H480" s="178"/>
      <x:c r="I480" s="178"/>
      <x:c r="J480" s="178"/>
      <x:c r="K480" s="178"/>
      <x:c r="L480" s="178"/>
      <x:c r="M480" s="178"/>
      <x:c r="N480" s="178"/>
      <x:c r="O480" s="178"/>
      <x:c r="P480" s="178"/>
      <x:c r="Q480" s="178"/>
      <x:c r="R480" s="178"/>
      <x:c r="S480" s="178"/>
      <x:c r="T480" s="178"/>
      <x:c r="U480" s="178"/>
      <x:c r="V480" s="178"/>
      <x:c r="W480" s="178"/>
      <x:c r="X480" s="178"/>
      <x:c r="Y480" s="178"/>
      <x:c r="Z480" s="178"/>
    </x:row>
    <x:row r="481">
      <x:c r="A481" s="178"/>
      <x:c r="B481" s="178"/>
      <x:c r="C481" s="178"/>
      <x:c r="D481" s="178"/>
      <x:c r="E481" s="178"/>
      <x:c r="F481" s="178"/>
      <x:c r="G481" s="178"/>
      <x:c r="H481" s="178"/>
      <x:c r="I481" s="178"/>
      <x:c r="J481" s="178"/>
      <x:c r="K481" s="178"/>
      <x:c r="L481" s="178"/>
      <x:c r="M481" s="178"/>
      <x:c r="N481" s="178"/>
      <x:c r="O481" s="178"/>
      <x:c r="P481" s="178"/>
      <x:c r="Q481" s="178"/>
      <x:c r="R481" s="178"/>
      <x:c r="S481" s="178"/>
      <x:c r="T481" s="178"/>
      <x:c r="U481" s="178"/>
      <x:c r="V481" s="178"/>
      <x:c r="W481" s="178"/>
      <x:c r="X481" s="178"/>
      <x:c r="Y481" s="178"/>
      <x:c r="Z481" s="178"/>
    </x:row>
    <x:row r="482">
      <x:c r="A482" s="178"/>
      <x:c r="B482" s="178"/>
      <x:c r="C482" s="178"/>
      <x:c r="D482" s="178"/>
      <x:c r="E482" s="178"/>
      <x:c r="F482" s="178"/>
      <x:c r="G482" s="178"/>
      <x:c r="H482" s="178"/>
      <x:c r="I482" s="178"/>
      <x:c r="J482" s="178"/>
      <x:c r="K482" s="178"/>
      <x:c r="L482" s="178"/>
      <x:c r="M482" s="178"/>
      <x:c r="N482" s="178"/>
      <x:c r="O482" s="178"/>
      <x:c r="P482" s="178"/>
      <x:c r="Q482" s="178"/>
      <x:c r="R482" s="178"/>
      <x:c r="S482" s="178"/>
      <x:c r="T482" s="178"/>
      <x:c r="U482" s="178"/>
      <x:c r="V482" s="178"/>
      <x:c r="W482" s="178"/>
      <x:c r="X482" s="178"/>
      <x:c r="Y482" s="178"/>
      <x:c r="Z482" s="178"/>
    </x:row>
    <x:row r="483">
      <x:c r="A483" s="178"/>
      <x:c r="B483" s="178"/>
      <x:c r="C483" s="178"/>
      <x:c r="D483" s="178"/>
      <x:c r="E483" s="178"/>
      <x:c r="F483" s="178"/>
      <x:c r="G483" s="178"/>
      <x:c r="H483" s="178"/>
      <x:c r="I483" s="178"/>
      <x:c r="J483" s="178"/>
      <x:c r="K483" s="178"/>
      <x:c r="L483" s="178"/>
      <x:c r="M483" s="178"/>
      <x:c r="N483" s="178"/>
      <x:c r="O483" s="178"/>
      <x:c r="P483" s="178"/>
      <x:c r="Q483" s="178"/>
      <x:c r="R483" s="178"/>
      <x:c r="S483" s="178"/>
      <x:c r="T483" s="178"/>
      <x:c r="U483" s="178"/>
      <x:c r="V483" s="178"/>
      <x:c r="W483" s="178"/>
      <x:c r="X483" s="178"/>
      <x:c r="Y483" s="178"/>
      <x:c r="Z483" s="178"/>
    </x:row>
    <x:row r="484">
      <x:c r="A484" s="178"/>
      <x:c r="B484" s="178"/>
      <x:c r="C484" s="178"/>
      <x:c r="D484" s="178"/>
      <x:c r="E484" s="178"/>
      <x:c r="F484" s="178"/>
      <x:c r="G484" s="178"/>
      <x:c r="H484" s="178"/>
      <x:c r="I484" s="178"/>
      <x:c r="J484" s="178"/>
      <x:c r="K484" s="178"/>
      <x:c r="L484" s="178"/>
      <x:c r="M484" s="178"/>
      <x:c r="N484" s="178"/>
      <x:c r="O484" s="178"/>
      <x:c r="P484" s="178"/>
      <x:c r="Q484" s="178"/>
      <x:c r="R484" s="178"/>
      <x:c r="S484" s="178"/>
      <x:c r="T484" s="178"/>
      <x:c r="U484" s="178"/>
      <x:c r="V484" s="178"/>
      <x:c r="W484" s="178"/>
      <x:c r="X484" s="178"/>
      <x:c r="Y484" s="178"/>
      <x:c r="Z484" s="178"/>
    </x:row>
    <x:row r="485">
      <x:c r="A485" s="178"/>
      <x:c r="B485" s="178"/>
      <x:c r="C485" s="178"/>
      <x:c r="D485" s="178"/>
      <x:c r="E485" s="178"/>
      <x:c r="F485" s="178"/>
      <x:c r="G485" s="178"/>
      <x:c r="H485" s="178"/>
      <x:c r="I485" s="178"/>
      <x:c r="J485" s="178"/>
      <x:c r="K485" s="178"/>
      <x:c r="L485" s="178"/>
      <x:c r="M485" s="178"/>
      <x:c r="N485" s="178"/>
      <x:c r="O485" s="178"/>
      <x:c r="P485" s="178"/>
      <x:c r="Q485" s="178"/>
      <x:c r="R485" s="178"/>
      <x:c r="S485" s="178"/>
      <x:c r="T485" s="178"/>
      <x:c r="U485" s="178"/>
      <x:c r="V485" s="178"/>
      <x:c r="W485" s="178"/>
      <x:c r="X485" s="178"/>
      <x:c r="Y485" s="178"/>
      <x:c r="Z485" s="178"/>
    </x:row>
    <x:row r="486">
      <x:c r="A486" s="178"/>
      <x:c r="B486" s="178"/>
      <x:c r="C486" s="178"/>
      <x:c r="D486" s="178"/>
      <x:c r="E486" s="178"/>
      <x:c r="F486" s="178"/>
      <x:c r="G486" s="178"/>
      <x:c r="H486" s="178"/>
      <x:c r="I486" s="178"/>
      <x:c r="J486" s="178"/>
      <x:c r="K486" s="178"/>
      <x:c r="L486" s="178"/>
      <x:c r="M486" s="178"/>
      <x:c r="N486" s="178"/>
      <x:c r="O486" s="178"/>
      <x:c r="P486" s="178"/>
      <x:c r="Q486" s="178"/>
      <x:c r="R486" s="178"/>
      <x:c r="S486" s="178"/>
      <x:c r="T486" s="178"/>
      <x:c r="U486" s="178"/>
      <x:c r="V486" s="178"/>
      <x:c r="W486" s="178"/>
      <x:c r="X486" s="178"/>
      <x:c r="Y486" s="178"/>
      <x:c r="Z486" s="178"/>
    </x:row>
    <x:row r="487">
      <x:c r="A487" s="178"/>
      <x:c r="B487" s="178"/>
      <x:c r="C487" s="178"/>
      <x:c r="D487" s="178"/>
      <x:c r="E487" s="178"/>
      <x:c r="F487" s="178"/>
      <x:c r="G487" s="178"/>
      <x:c r="H487" s="178"/>
      <x:c r="I487" s="178"/>
      <x:c r="J487" s="178"/>
      <x:c r="K487" s="178"/>
      <x:c r="L487" s="178"/>
      <x:c r="M487" s="178"/>
      <x:c r="N487" s="178"/>
      <x:c r="O487" s="178"/>
      <x:c r="P487" s="178"/>
      <x:c r="Q487" s="178"/>
      <x:c r="R487" s="178"/>
      <x:c r="S487" s="178"/>
      <x:c r="T487" s="178"/>
      <x:c r="U487" s="178"/>
      <x:c r="V487" s="178"/>
      <x:c r="W487" s="178"/>
      <x:c r="X487" s="178"/>
      <x:c r="Y487" s="178"/>
      <x:c r="Z487" s="178"/>
    </x:row>
    <x:row r="488">
      <x:c r="A488" s="178"/>
      <x:c r="B488" s="178"/>
      <x:c r="C488" s="178"/>
      <x:c r="D488" s="178"/>
      <x:c r="E488" s="178"/>
      <x:c r="F488" s="178"/>
      <x:c r="G488" s="178"/>
      <x:c r="H488" s="178"/>
      <x:c r="I488" s="178"/>
      <x:c r="J488" s="178"/>
      <x:c r="K488" s="178"/>
      <x:c r="L488" s="178"/>
      <x:c r="M488" s="178"/>
      <x:c r="N488" s="178"/>
      <x:c r="O488" s="178"/>
      <x:c r="P488" s="178"/>
      <x:c r="Q488" s="178"/>
      <x:c r="R488" s="178"/>
      <x:c r="S488" s="178"/>
      <x:c r="T488" s="178"/>
      <x:c r="U488" s="178"/>
      <x:c r="V488" s="178"/>
      <x:c r="W488" s="178"/>
      <x:c r="X488" s="178"/>
      <x:c r="Y488" s="178"/>
      <x:c r="Z488" s="178"/>
    </x:row>
    <x:row r="489">
      <x:c r="A489" s="178"/>
      <x:c r="B489" s="178"/>
      <x:c r="C489" s="178"/>
      <x:c r="D489" s="178"/>
      <x:c r="E489" s="178"/>
      <x:c r="F489" s="178"/>
      <x:c r="G489" s="178"/>
      <x:c r="H489" s="178"/>
      <x:c r="I489" s="178"/>
      <x:c r="J489" s="178"/>
      <x:c r="K489" s="178"/>
      <x:c r="L489" s="178"/>
      <x:c r="M489" s="178"/>
      <x:c r="N489" s="178"/>
      <x:c r="O489" s="178"/>
      <x:c r="P489" s="178"/>
      <x:c r="Q489" s="178"/>
      <x:c r="R489" s="178"/>
      <x:c r="S489" s="178"/>
      <x:c r="T489" s="178"/>
      <x:c r="U489" s="178"/>
      <x:c r="V489" s="178"/>
      <x:c r="W489" s="178"/>
      <x:c r="X489" s="178"/>
      <x:c r="Y489" s="178"/>
      <x:c r="Z489" s="178"/>
    </x:row>
    <x:row r="490">
      <x:c r="A490" s="178"/>
      <x:c r="B490" s="178"/>
      <x:c r="C490" s="178"/>
      <x:c r="D490" s="178"/>
      <x:c r="E490" s="178"/>
      <x:c r="F490" s="178"/>
      <x:c r="G490" s="178"/>
      <x:c r="H490" s="178"/>
      <x:c r="I490" s="178"/>
      <x:c r="J490" s="178"/>
      <x:c r="K490" s="178"/>
      <x:c r="L490" s="178"/>
      <x:c r="M490" s="178"/>
      <x:c r="N490" s="178"/>
      <x:c r="O490" s="178"/>
      <x:c r="P490" s="178"/>
      <x:c r="Q490" s="178"/>
      <x:c r="R490" s="178"/>
      <x:c r="S490" s="178"/>
      <x:c r="T490" s="178"/>
      <x:c r="U490" s="178"/>
      <x:c r="V490" s="178"/>
      <x:c r="W490" s="178"/>
      <x:c r="X490" s="178"/>
      <x:c r="Y490" s="178"/>
      <x:c r="Z490" s="178"/>
    </x:row>
    <x:row r="491">
      <x:c r="A491" s="178"/>
      <x:c r="B491" s="178"/>
      <x:c r="C491" s="178"/>
      <x:c r="D491" s="178"/>
      <x:c r="E491" s="178"/>
      <x:c r="F491" s="178"/>
      <x:c r="G491" s="178"/>
      <x:c r="H491" s="178"/>
      <x:c r="I491" s="178"/>
      <x:c r="J491" s="178"/>
      <x:c r="K491" s="178"/>
      <x:c r="L491" s="178"/>
      <x:c r="M491" s="178"/>
      <x:c r="N491" s="178"/>
      <x:c r="O491" s="178"/>
      <x:c r="P491" s="178"/>
      <x:c r="Q491" s="178"/>
      <x:c r="R491" s="178"/>
      <x:c r="S491" s="178"/>
      <x:c r="T491" s="178"/>
      <x:c r="U491" s="178"/>
      <x:c r="V491" s="178"/>
      <x:c r="W491" s="178"/>
      <x:c r="X491" s="178"/>
      <x:c r="Y491" s="178"/>
      <x:c r="Z491" s="178"/>
    </x:row>
    <x:row r="492">
      <x:c r="A492" s="178"/>
      <x:c r="B492" s="178"/>
      <x:c r="C492" s="178"/>
      <x:c r="D492" s="178"/>
      <x:c r="E492" s="178"/>
      <x:c r="F492" s="178"/>
      <x:c r="G492" s="178"/>
      <x:c r="H492" s="178"/>
      <x:c r="I492" s="178"/>
      <x:c r="J492" s="178"/>
      <x:c r="K492" s="178"/>
      <x:c r="L492" s="178"/>
      <x:c r="M492" s="178"/>
      <x:c r="N492" s="178"/>
      <x:c r="O492" s="178"/>
      <x:c r="P492" s="178"/>
      <x:c r="Q492" s="178"/>
      <x:c r="R492" s="178"/>
      <x:c r="S492" s="178"/>
      <x:c r="T492" s="178"/>
      <x:c r="U492" s="178"/>
      <x:c r="V492" s="178"/>
      <x:c r="W492" s="178"/>
      <x:c r="X492" s="178"/>
      <x:c r="Y492" s="178"/>
      <x:c r="Z492" s="178"/>
    </x:row>
    <x:row r="493">
      <x:c r="A493" s="178"/>
      <x:c r="B493" s="178"/>
      <x:c r="C493" s="178"/>
      <x:c r="D493" s="178"/>
      <x:c r="E493" s="178"/>
      <x:c r="F493" s="178"/>
      <x:c r="G493" s="178"/>
      <x:c r="H493" s="178"/>
      <x:c r="I493" s="178"/>
      <x:c r="J493" s="178"/>
      <x:c r="K493" s="178"/>
      <x:c r="L493" s="178"/>
      <x:c r="M493" s="178"/>
      <x:c r="N493" s="178"/>
      <x:c r="O493" s="178"/>
      <x:c r="P493" s="178"/>
      <x:c r="Q493" s="178"/>
      <x:c r="R493" s="178"/>
      <x:c r="S493" s="178"/>
      <x:c r="T493" s="178"/>
      <x:c r="U493" s="178"/>
      <x:c r="V493" s="178"/>
      <x:c r="W493" s="178"/>
      <x:c r="X493" s="178"/>
      <x:c r="Y493" s="178"/>
      <x:c r="Z493" s="178"/>
    </x:row>
    <x:row r="494">
      <x:c r="A494" s="178"/>
      <x:c r="B494" s="178"/>
      <x:c r="C494" s="178"/>
      <x:c r="D494" s="178"/>
      <x:c r="E494" s="178"/>
      <x:c r="F494" s="178"/>
      <x:c r="G494" s="178"/>
      <x:c r="H494" s="178"/>
      <x:c r="I494" s="178"/>
      <x:c r="J494" s="178"/>
      <x:c r="K494" s="178"/>
      <x:c r="L494" s="178"/>
      <x:c r="M494" s="178"/>
      <x:c r="N494" s="178"/>
      <x:c r="O494" s="178"/>
      <x:c r="P494" s="178"/>
      <x:c r="Q494" s="178"/>
      <x:c r="R494" s="178"/>
      <x:c r="S494" s="178"/>
      <x:c r="T494" s="178"/>
      <x:c r="U494" s="178"/>
      <x:c r="V494" s="178"/>
      <x:c r="W494" s="178"/>
      <x:c r="X494" s="178"/>
      <x:c r="Y494" s="178"/>
      <x:c r="Z494" s="178"/>
    </x:row>
    <x:row r="495">
      <x:c r="A495" s="178"/>
      <x:c r="B495" s="178"/>
      <x:c r="C495" s="178"/>
      <x:c r="D495" s="178"/>
      <x:c r="E495" s="178"/>
      <x:c r="F495" s="178"/>
      <x:c r="G495" s="178"/>
      <x:c r="H495" s="178"/>
      <x:c r="I495" s="178"/>
      <x:c r="J495" s="178"/>
      <x:c r="K495" s="178"/>
      <x:c r="L495" s="178"/>
      <x:c r="M495" s="178"/>
      <x:c r="N495" s="178"/>
      <x:c r="O495" s="178"/>
      <x:c r="P495" s="178"/>
      <x:c r="Q495" s="178"/>
      <x:c r="R495" s="178"/>
      <x:c r="S495" s="178"/>
      <x:c r="T495" s="178"/>
      <x:c r="U495" s="178"/>
      <x:c r="V495" s="178"/>
      <x:c r="W495" s="178"/>
      <x:c r="X495" s="178"/>
      <x:c r="Y495" s="178"/>
      <x:c r="Z495" s="178"/>
    </x:row>
    <x:row r="496">
      <x:c r="A496" s="178"/>
      <x:c r="B496" s="178"/>
      <x:c r="C496" s="178"/>
      <x:c r="D496" s="178"/>
      <x:c r="E496" s="178"/>
      <x:c r="F496" s="178"/>
      <x:c r="G496" s="178"/>
      <x:c r="H496" s="178"/>
      <x:c r="I496" s="178"/>
      <x:c r="J496" s="178"/>
      <x:c r="K496" s="178"/>
      <x:c r="L496" s="178"/>
      <x:c r="M496" s="178"/>
      <x:c r="N496" s="178"/>
      <x:c r="O496" s="178"/>
      <x:c r="P496" s="178"/>
      <x:c r="Q496" s="178"/>
      <x:c r="R496" s="178"/>
      <x:c r="S496" s="178"/>
      <x:c r="T496" s="178"/>
      <x:c r="U496" s="178"/>
      <x:c r="V496" s="178"/>
      <x:c r="W496" s="178"/>
      <x:c r="X496" s="178"/>
      <x:c r="Y496" s="178"/>
      <x:c r="Z496" s="178"/>
    </x:row>
    <x:row r="497">
      <x:c r="A497" s="178"/>
      <x:c r="B497" s="178"/>
      <x:c r="C497" s="178"/>
      <x:c r="D497" s="178"/>
      <x:c r="E497" s="178"/>
      <x:c r="F497" s="178"/>
      <x:c r="G497" s="178"/>
      <x:c r="H497" s="178"/>
      <x:c r="I497" s="178"/>
      <x:c r="J497" s="178"/>
      <x:c r="K497" s="178"/>
      <x:c r="L497" s="178"/>
      <x:c r="M497" s="178"/>
      <x:c r="N497" s="178"/>
      <x:c r="O497" s="178"/>
      <x:c r="P497" s="178"/>
      <x:c r="Q497" s="178"/>
      <x:c r="R497" s="178"/>
      <x:c r="S497" s="178"/>
      <x:c r="T497" s="178"/>
      <x:c r="U497" s="178"/>
      <x:c r="V497" s="178"/>
      <x:c r="W497" s="178"/>
      <x:c r="X497" s="178"/>
      <x:c r="Y497" s="178"/>
      <x:c r="Z497" s="178"/>
    </x:row>
    <x:row r="498">
      <x:c r="A498" s="178"/>
      <x:c r="B498" s="178"/>
      <x:c r="C498" s="178"/>
      <x:c r="D498" s="178"/>
      <x:c r="E498" s="178"/>
      <x:c r="F498" s="178"/>
      <x:c r="G498" s="178"/>
      <x:c r="H498" s="178"/>
      <x:c r="I498" s="178"/>
      <x:c r="J498" s="178"/>
      <x:c r="K498" s="178"/>
      <x:c r="L498" s="178"/>
      <x:c r="M498" s="178"/>
      <x:c r="N498" s="178"/>
      <x:c r="O498" s="178"/>
      <x:c r="P498" s="178"/>
      <x:c r="Q498" s="178"/>
      <x:c r="R498" s="178"/>
      <x:c r="S498" s="178"/>
      <x:c r="T498" s="178"/>
      <x:c r="U498" s="178"/>
      <x:c r="V498" s="178"/>
      <x:c r="W498" s="178"/>
      <x:c r="X498" s="178"/>
      <x:c r="Y498" s="178"/>
      <x:c r="Z498" s="178"/>
    </x:row>
    <x:row r="499">
      <x:c r="A499" s="178"/>
      <x:c r="B499" s="178"/>
      <x:c r="C499" s="178"/>
      <x:c r="D499" s="178"/>
      <x:c r="E499" s="178"/>
      <x:c r="F499" s="178"/>
      <x:c r="G499" s="178"/>
      <x:c r="H499" s="178"/>
      <x:c r="I499" s="178"/>
      <x:c r="J499" s="178"/>
      <x:c r="K499" s="178"/>
      <x:c r="L499" s="178"/>
      <x:c r="M499" s="178"/>
      <x:c r="N499" s="178"/>
      <x:c r="O499" s="178"/>
      <x:c r="P499" s="178"/>
      <x:c r="Q499" s="178"/>
      <x:c r="R499" s="178"/>
      <x:c r="S499" s="178"/>
      <x:c r="T499" s="178"/>
      <x:c r="U499" s="178"/>
      <x:c r="V499" s="178"/>
      <x:c r="W499" s="178"/>
      <x:c r="X499" s="178"/>
      <x:c r="Y499" s="178"/>
      <x:c r="Z499" s="178"/>
    </x:row>
    <x:row r="500">
      <x:c r="A500" s="178"/>
      <x:c r="B500" s="178"/>
      <x:c r="C500" s="178"/>
      <x:c r="D500" s="178"/>
      <x:c r="E500" s="178"/>
      <x:c r="F500" s="178"/>
      <x:c r="G500" s="178"/>
      <x:c r="H500" s="178"/>
      <x:c r="I500" s="178"/>
      <x:c r="J500" s="178"/>
      <x:c r="K500" s="178"/>
      <x:c r="L500" s="178"/>
      <x:c r="M500" s="178"/>
      <x:c r="N500" s="178"/>
      <x:c r="O500" s="178"/>
      <x:c r="P500" s="178"/>
      <x:c r="Q500" s="178"/>
      <x:c r="R500" s="178"/>
      <x:c r="S500" s="178"/>
      <x:c r="T500" s="178"/>
      <x:c r="U500" s="178"/>
      <x:c r="V500" s="178"/>
      <x:c r="W500" s="178"/>
      <x:c r="X500" s="178"/>
      <x:c r="Y500" s="178"/>
      <x:c r="Z500" s="178"/>
    </x:row>
    <x:row r="501">
      <x:c r="A501" s="178"/>
      <x:c r="B501" s="178"/>
      <x:c r="C501" s="178"/>
      <x:c r="D501" s="178"/>
      <x:c r="E501" s="178"/>
      <x:c r="F501" s="178"/>
      <x:c r="G501" s="178"/>
      <x:c r="H501" s="178"/>
      <x:c r="I501" s="178"/>
      <x:c r="J501" s="178"/>
      <x:c r="K501" s="178"/>
      <x:c r="L501" s="178"/>
      <x:c r="M501" s="178"/>
      <x:c r="N501" s="178"/>
      <x:c r="O501" s="178"/>
      <x:c r="P501" s="178"/>
      <x:c r="Q501" s="178"/>
      <x:c r="R501" s="178"/>
      <x:c r="S501" s="178"/>
      <x:c r="T501" s="178"/>
      <x:c r="U501" s="178"/>
      <x:c r="V501" s="178"/>
      <x:c r="W501" s="178"/>
      <x:c r="X501" s="178"/>
      <x:c r="Y501" s="178"/>
      <x:c r="Z501" s="178"/>
    </x:row>
    <x:row r="502">
      <x:c r="A502" s="178"/>
      <x:c r="B502" s="178"/>
      <x:c r="C502" s="178"/>
      <x:c r="D502" s="178"/>
      <x:c r="E502" s="178"/>
      <x:c r="F502" s="178"/>
      <x:c r="G502" s="178"/>
      <x:c r="H502" s="178"/>
      <x:c r="I502" s="178"/>
      <x:c r="J502" s="178"/>
      <x:c r="K502" s="178"/>
      <x:c r="L502" s="178"/>
      <x:c r="M502" s="178"/>
      <x:c r="N502" s="178"/>
      <x:c r="O502" s="178"/>
      <x:c r="P502" s="178"/>
      <x:c r="Q502" s="178"/>
      <x:c r="R502" s="178"/>
      <x:c r="S502" s="178"/>
      <x:c r="T502" s="178"/>
      <x:c r="U502" s="178"/>
      <x:c r="V502" s="178"/>
      <x:c r="W502" s="178"/>
      <x:c r="X502" s="178"/>
      <x:c r="Y502" s="178"/>
      <x:c r="Z502" s="178"/>
    </x:row>
    <x:row r="503">
      <x:c r="A503" s="178"/>
      <x:c r="B503" s="178"/>
      <x:c r="C503" s="178"/>
      <x:c r="D503" s="178"/>
      <x:c r="E503" s="178"/>
      <x:c r="F503" s="178"/>
      <x:c r="G503" s="178"/>
      <x:c r="H503" s="178"/>
      <x:c r="I503" s="178"/>
      <x:c r="J503" s="178"/>
      <x:c r="K503" s="178"/>
      <x:c r="L503" s="178"/>
      <x:c r="M503" s="178"/>
      <x:c r="N503" s="178"/>
      <x:c r="O503" s="178"/>
      <x:c r="P503" s="178"/>
      <x:c r="Q503" s="178"/>
      <x:c r="R503" s="178"/>
      <x:c r="S503" s="178"/>
      <x:c r="T503" s="178"/>
      <x:c r="U503" s="178"/>
      <x:c r="V503" s="178"/>
      <x:c r="W503" s="178"/>
      <x:c r="X503" s="178"/>
      <x:c r="Y503" s="178"/>
      <x:c r="Z503" s="178"/>
    </x:row>
    <x:row r="504">
      <x:c r="A504" s="178"/>
      <x:c r="B504" s="178"/>
      <x:c r="C504" s="178"/>
      <x:c r="D504" s="178"/>
      <x:c r="E504" s="178"/>
      <x:c r="F504" s="178"/>
      <x:c r="G504" s="178"/>
      <x:c r="H504" s="178"/>
      <x:c r="I504" s="178"/>
      <x:c r="J504" s="178"/>
      <x:c r="K504" s="178"/>
      <x:c r="L504" s="178"/>
      <x:c r="M504" s="178"/>
      <x:c r="N504" s="178"/>
      <x:c r="O504" s="178"/>
      <x:c r="P504" s="178"/>
      <x:c r="Q504" s="178"/>
      <x:c r="R504" s="178"/>
      <x:c r="S504" s="178"/>
      <x:c r="T504" s="178"/>
      <x:c r="U504" s="178"/>
      <x:c r="V504" s="178"/>
      <x:c r="W504" s="178"/>
      <x:c r="X504" s="178"/>
      <x:c r="Y504" s="178"/>
      <x:c r="Z504" s="178"/>
    </x:row>
    <x:row r="505">
      <x:c r="A505" s="178"/>
      <x:c r="B505" s="178"/>
      <x:c r="C505" s="178"/>
      <x:c r="D505" s="178"/>
      <x:c r="E505" s="178"/>
      <x:c r="F505" s="178"/>
      <x:c r="G505" s="178"/>
      <x:c r="H505" s="178"/>
      <x:c r="I505" s="178"/>
      <x:c r="J505" s="178"/>
      <x:c r="K505" s="178"/>
      <x:c r="L505" s="178"/>
      <x:c r="M505" s="178"/>
      <x:c r="N505" s="178"/>
      <x:c r="O505" s="178"/>
      <x:c r="P505" s="178"/>
      <x:c r="Q505" s="178"/>
      <x:c r="R505" s="178"/>
      <x:c r="S505" s="178"/>
      <x:c r="T505" s="178"/>
      <x:c r="U505" s="178"/>
      <x:c r="V505" s="178"/>
      <x:c r="W505" s="178"/>
      <x:c r="X505" s="178"/>
      <x:c r="Y505" s="178"/>
      <x:c r="Z505" s="178"/>
    </x:row>
    <x:row r="506">
      <x:c r="A506" s="178"/>
      <x:c r="B506" s="178"/>
      <x:c r="C506" s="178"/>
      <x:c r="D506" s="178"/>
      <x:c r="E506" s="178"/>
      <x:c r="F506" s="178"/>
      <x:c r="G506" s="178"/>
      <x:c r="H506" s="178"/>
      <x:c r="I506" s="178"/>
      <x:c r="J506" s="178"/>
      <x:c r="K506" s="178"/>
      <x:c r="L506" s="178"/>
      <x:c r="M506" s="178"/>
      <x:c r="N506" s="178"/>
      <x:c r="O506" s="178"/>
      <x:c r="P506" s="178"/>
      <x:c r="Q506" s="178"/>
      <x:c r="R506" s="178"/>
      <x:c r="S506" s="178"/>
      <x:c r="T506" s="178"/>
      <x:c r="U506" s="178"/>
      <x:c r="V506" s="178"/>
      <x:c r="W506" s="178"/>
      <x:c r="X506" s="178"/>
      <x:c r="Y506" s="178"/>
      <x:c r="Z506" s="178"/>
    </x:row>
    <x:row r="507">
      <x:c r="A507" s="178"/>
      <x:c r="B507" s="178"/>
      <x:c r="C507" s="178"/>
      <x:c r="D507" s="178"/>
      <x:c r="E507" s="178"/>
      <x:c r="F507" s="178"/>
      <x:c r="G507" s="178"/>
      <x:c r="H507" s="178"/>
      <x:c r="I507" s="178"/>
      <x:c r="J507" s="178"/>
      <x:c r="K507" s="178"/>
      <x:c r="L507" s="178"/>
      <x:c r="M507" s="178"/>
      <x:c r="N507" s="178"/>
      <x:c r="O507" s="178"/>
      <x:c r="P507" s="178"/>
      <x:c r="Q507" s="178"/>
      <x:c r="R507" s="178"/>
      <x:c r="S507" s="178"/>
      <x:c r="T507" s="178"/>
      <x:c r="U507" s="178"/>
      <x:c r="V507" s="178"/>
      <x:c r="W507" s="178"/>
      <x:c r="X507" s="178"/>
      <x:c r="Y507" s="178"/>
      <x:c r="Z507" s="178"/>
    </x:row>
    <x:row r="508">
      <x:c r="A508" s="178"/>
      <x:c r="B508" s="178"/>
      <x:c r="C508" s="178"/>
      <x:c r="D508" s="178"/>
      <x:c r="E508" s="178"/>
      <x:c r="F508" s="178"/>
      <x:c r="G508" s="178"/>
      <x:c r="H508" s="178"/>
      <x:c r="I508" s="178"/>
      <x:c r="J508" s="178"/>
      <x:c r="K508" s="178"/>
      <x:c r="L508" s="178"/>
      <x:c r="M508" s="178"/>
      <x:c r="N508" s="178"/>
      <x:c r="O508" s="178"/>
      <x:c r="P508" s="178"/>
      <x:c r="Q508" s="178"/>
      <x:c r="R508" s="178"/>
      <x:c r="S508" s="178"/>
      <x:c r="T508" s="178"/>
      <x:c r="U508" s="178"/>
      <x:c r="V508" s="178"/>
      <x:c r="W508" s="178"/>
      <x:c r="X508" s="178"/>
      <x:c r="Y508" s="178"/>
      <x:c r="Z508" s="178"/>
    </x:row>
    <x:row r="509">
      <x:c r="A509" s="178"/>
      <x:c r="B509" s="178"/>
      <x:c r="C509" s="178"/>
      <x:c r="D509" s="178"/>
      <x:c r="E509" s="178"/>
      <x:c r="F509" s="178"/>
      <x:c r="G509" s="178"/>
      <x:c r="H509" s="178"/>
      <x:c r="I509" s="178"/>
      <x:c r="J509" s="178"/>
      <x:c r="K509" s="178"/>
      <x:c r="L509" s="178"/>
      <x:c r="M509" s="178"/>
      <x:c r="N509" s="178"/>
      <x:c r="O509" s="178"/>
      <x:c r="P509" s="178"/>
      <x:c r="Q509" s="178"/>
      <x:c r="R509" s="178"/>
      <x:c r="S509" s="178"/>
      <x:c r="T509" s="178"/>
      <x:c r="U509" s="178"/>
      <x:c r="V509" s="178"/>
      <x:c r="W509" s="178"/>
      <x:c r="X509" s="178"/>
      <x:c r="Y509" s="178"/>
      <x:c r="Z509" s="178"/>
    </x:row>
    <x:row r="510">
      <x:c r="A510" s="178"/>
      <x:c r="B510" s="178"/>
      <x:c r="C510" s="178"/>
      <x:c r="D510" s="178"/>
      <x:c r="E510" s="178"/>
      <x:c r="F510" s="178"/>
      <x:c r="G510" s="178"/>
      <x:c r="H510" s="178"/>
      <x:c r="I510" s="178"/>
      <x:c r="J510" s="178"/>
      <x:c r="K510" s="178"/>
      <x:c r="L510" s="178"/>
      <x:c r="M510" s="178"/>
      <x:c r="N510" s="178"/>
      <x:c r="O510" s="178"/>
      <x:c r="P510" s="178"/>
      <x:c r="Q510" s="178"/>
      <x:c r="R510" s="178"/>
      <x:c r="S510" s="178"/>
      <x:c r="T510" s="178"/>
      <x:c r="U510" s="178"/>
      <x:c r="V510" s="178"/>
      <x:c r="W510" s="178"/>
      <x:c r="X510" s="178"/>
      <x:c r="Y510" s="178"/>
      <x:c r="Z510" s="178"/>
    </x:row>
    <x:row r="511">
      <x:c r="A511" s="178"/>
      <x:c r="B511" s="178"/>
      <x:c r="C511" s="178"/>
      <x:c r="D511" s="178"/>
      <x:c r="E511" s="178"/>
      <x:c r="F511" s="178"/>
      <x:c r="G511" s="178"/>
      <x:c r="H511" s="178"/>
      <x:c r="I511" s="178"/>
      <x:c r="J511" s="178"/>
      <x:c r="K511" s="178"/>
      <x:c r="L511" s="178"/>
      <x:c r="M511" s="178"/>
      <x:c r="N511" s="178"/>
      <x:c r="O511" s="178"/>
      <x:c r="P511" s="178"/>
      <x:c r="Q511" s="178"/>
      <x:c r="R511" s="178"/>
      <x:c r="S511" s="178"/>
      <x:c r="T511" s="178"/>
      <x:c r="U511" s="178"/>
      <x:c r="V511" s="178"/>
      <x:c r="W511" s="178"/>
      <x:c r="X511" s="178"/>
      <x:c r="Y511" s="178"/>
      <x:c r="Z511" s="178"/>
    </x:row>
    <x:row r="512">
      <x:c r="A512" s="178"/>
      <x:c r="B512" s="178"/>
      <x:c r="C512" s="178"/>
      <x:c r="D512" s="178"/>
      <x:c r="E512" s="178"/>
      <x:c r="F512" s="178"/>
      <x:c r="G512" s="178"/>
      <x:c r="H512" s="178"/>
      <x:c r="I512" s="178"/>
      <x:c r="J512" s="178"/>
      <x:c r="K512" s="178"/>
      <x:c r="L512" s="178"/>
      <x:c r="M512" s="178"/>
      <x:c r="N512" s="178"/>
      <x:c r="O512" s="178"/>
      <x:c r="P512" s="178"/>
      <x:c r="Q512" s="178"/>
      <x:c r="R512" s="178"/>
      <x:c r="S512" s="178"/>
      <x:c r="T512" s="178"/>
      <x:c r="U512" s="178"/>
      <x:c r="V512" s="178"/>
      <x:c r="W512" s="178"/>
      <x:c r="X512" s="178"/>
      <x:c r="Y512" s="178"/>
      <x:c r="Z512" s="178"/>
    </x:row>
    <x:row r="513">
      <x:c r="A513" s="178"/>
      <x:c r="B513" s="178"/>
      <x:c r="C513" s="178"/>
      <x:c r="D513" s="178"/>
      <x:c r="E513" s="178"/>
      <x:c r="F513" s="178"/>
      <x:c r="G513" s="178"/>
      <x:c r="H513" s="178"/>
      <x:c r="I513" s="178"/>
      <x:c r="J513" s="178"/>
      <x:c r="K513" s="178"/>
      <x:c r="L513" s="178"/>
      <x:c r="M513" s="178"/>
      <x:c r="N513" s="178"/>
      <x:c r="O513" s="178"/>
      <x:c r="P513" s="178"/>
      <x:c r="Q513" s="178"/>
      <x:c r="R513" s="178"/>
      <x:c r="S513" s="178"/>
      <x:c r="T513" s="178"/>
      <x:c r="U513" s="178"/>
      <x:c r="V513" s="178"/>
      <x:c r="W513" s="178"/>
      <x:c r="X513" s="178"/>
      <x:c r="Y513" s="178"/>
      <x:c r="Z513" s="178"/>
    </x:row>
    <x:row r="514">
      <x:c r="A514" s="178"/>
      <x:c r="B514" s="178"/>
      <x:c r="C514" s="178"/>
      <x:c r="D514" s="178"/>
      <x:c r="E514" s="178"/>
      <x:c r="F514" s="178"/>
      <x:c r="G514" s="178"/>
      <x:c r="H514" s="178"/>
      <x:c r="I514" s="178"/>
      <x:c r="J514" s="178"/>
      <x:c r="K514" s="178"/>
      <x:c r="L514" s="178"/>
      <x:c r="M514" s="178"/>
      <x:c r="N514" s="178"/>
      <x:c r="O514" s="178"/>
      <x:c r="P514" s="178"/>
      <x:c r="Q514" s="178"/>
      <x:c r="R514" s="178"/>
      <x:c r="S514" s="178"/>
      <x:c r="T514" s="178"/>
      <x:c r="U514" s="178"/>
      <x:c r="V514" s="178"/>
      <x:c r="W514" s="178"/>
      <x:c r="X514" s="178"/>
      <x:c r="Y514" s="178"/>
      <x:c r="Z514" s="178"/>
    </x:row>
    <x:row r="515">
      <x:c r="A515" s="178"/>
      <x:c r="B515" s="178"/>
      <x:c r="C515" s="178"/>
      <x:c r="D515" s="178"/>
      <x:c r="E515" s="178"/>
      <x:c r="F515" s="178"/>
      <x:c r="G515" s="178"/>
      <x:c r="H515" s="178"/>
      <x:c r="I515" s="178"/>
      <x:c r="J515" s="178"/>
      <x:c r="K515" s="178"/>
      <x:c r="L515" s="178"/>
      <x:c r="M515" s="178"/>
      <x:c r="N515" s="178"/>
      <x:c r="O515" s="178"/>
      <x:c r="P515" s="178"/>
      <x:c r="Q515" s="178"/>
      <x:c r="R515" s="178"/>
      <x:c r="S515" s="178"/>
      <x:c r="T515" s="178"/>
      <x:c r="U515" s="178"/>
      <x:c r="V515" s="178"/>
      <x:c r="W515" s="178"/>
      <x:c r="X515" s="178"/>
      <x:c r="Y515" s="178"/>
      <x:c r="Z515" s="178"/>
    </x:row>
    <x:row r="516">
      <x:c r="A516" s="178"/>
      <x:c r="B516" s="178"/>
      <x:c r="C516" s="178"/>
      <x:c r="D516" s="178"/>
      <x:c r="E516" s="178"/>
      <x:c r="F516" s="178"/>
      <x:c r="G516" s="178"/>
      <x:c r="H516" s="178"/>
      <x:c r="I516" s="178"/>
      <x:c r="J516" s="178"/>
      <x:c r="K516" s="178"/>
      <x:c r="L516" s="178"/>
      <x:c r="M516" s="178"/>
      <x:c r="N516" s="178"/>
      <x:c r="O516" s="178"/>
      <x:c r="P516" s="178"/>
      <x:c r="Q516" s="178"/>
      <x:c r="R516" s="178"/>
      <x:c r="S516" s="178"/>
      <x:c r="T516" s="178"/>
      <x:c r="U516" s="178"/>
      <x:c r="V516" s="178"/>
      <x:c r="W516" s="178"/>
      <x:c r="X516" s="178"/>
      <x:c r="Y516" s="178"/>
      <x:c r="Z516" s="178"/>
    </x:row>
    <x:row r="517">
      <x:c r="A517" s="178"/>
      <x:c r="B517" s="178"/>
      <x:c r="C517" s="178"/>
      <x:c r="D517" s="178"/>
      <x:c r="E517" s="178"/>
      <x:c r="F517" s="178"/>
      <x:c r="G517" s="178"/>
      <x:c r="H517" s="178"/>
      <x:c r="I517" s="178"/>
      <x:c r="J517" s="178"/>
      <x:c r="K517" s="178"/>
      <x:c r="L517" s="178"/>
      <x:c r="M517" s="178"/>
      <x:c r="N517" s="178"/>
      <x:c r="O517" s="178"/>
      <x:c r="P517" s="178"/>
      <x:c r="Q517" s="178"/>
      <x:c r="R517" s="178"/>
      <x:c r="S517" s="178"/>
      <x:c r="T517" s="178"/>
      <x:c r="U517" s="178"/>
      <x:c r="V517" s="178"/>
      <x:c r="W517" s="178"/>
      <x:c r="X517" s="178"/>
      <x:c r="Y517" s="178"/>
      <x:c r="Z517" s="178"/>
    </x:row>
    <x:row r="518">
      <x:c r="A518" s="178"/>
      <x:c r="B518" s="178"/>
      <x:c r="C518" s="178"/>
      <x:c r="D518" s="178"/>
      <x:c r="E518" s="178"/>
      <x:c r="F518" s="178"/>
      <x:c r="G518" s="178"/>
      <x:c r="H518" s="178"/>
      <x:c r="I518" s="178"/>
      <x:c r="J518" s="178"/>
      <x:c r="K518" s="178"/>
      <x:c r="L518" s="178"/>
      <x:c r="M518" s="178"/>
      <x:c r="N518" s="178"/>
      <x:c r="O518" s="178"/>
      <x:c r="P518" s="178"/>
      <x:c r="Q518" s="178"/>
      <x:c r="R518" s="178"/>
      <x:c r="S518" s="178"/>
      <x:c r="T518" s="178"/>
      <x:c r="U518" s="178"/>
      <x:c r="V518" s="178"/>
      <x:c r="W518" s="178"/>
      <x:c r="X518" s="178"/>
      <x:c r="Y518" s="178"/>
      <x:c r="Z518" s="178"/>
    </x:row>
    <x:row r="519">
      <x:c r="A519" s="178"/>
      <x:c r="B519" s="178"/>
      <x:c r="C519" s="178"/>
      <x:c r="D519" s="178"/>
      <x:c r="E519" s="178"/>
      <x:c r="F519" s="178"/>
      <x:c r="G519" s="178"/>
      <x:c r="H519" s="178"/>
      <x:c r="I519" s="178"/>
      <x:c r="J519" s="178"/>
      <x:c r="K519" s="178"/>
      <x:c r="L519" s="178"/>
      <x:c r="M519" s="178"/>
      <x:c r="N519" s="178"/>
      <x:c r="O519" s="178"/>
      <x:c r="P519" s="178"/>
      <x:c r="Q519" s="178"/>
      <x:c r="R519" s="178"/>
      <x:c r="S519" s="178"/>
      <x:c r="T519" s="178"/>
      <x:c r="U519" s="178"/>
      <x:c r="V519" s="178"/>
      <x:c r="W519" s="178"/>
      <x:c r="X519" s="178"/>
      <x:c r="Y519" s="178"/>
      <x:c r="Z519" s="178"/>
    </x:row>
    <x:row r="520">
      <x:c r="A520" s="178"/>
      <x:c r="B520" s="178"/>
      <x:c r="C520" s="178"/>
      <x:c r="D520" s="178"/>
      <x:c r="E520" s="178"/>
      <x:c r="F520" s="178"/>
      <x:c r="G520" s="178"/>
      <x:c r="H520" s="178"/>
      <x:c r="I520" s="178"/>
      <x:c r="J520" s="178"/>
      <x:c r="K520" s="178"/>
      <x:c r="L520" s="178"/>
      <x:c r="M520" s="178"/>
      <x:c r="N520" s="178"/>
      <x:c r="O520" s="178"/>
      <x:c r="P520" s="178"/>
      <x:c r="Q520" s="178"/>
      <x:c r="R520" s="178"/>
      <x:c r="S520" s="178"/>
      <x:c r="T520" s="178"/>
      <x:c r="U520" s="178"/>
      <x:c r="V520" s="178"/>
      <x:c r="W520" s="178"/>
      <x:c r="X520" s="178"/>
      <x:c r="Y520" s="178"/>
      <x:c r="Z520" s="178"/>
    </x:row>
    <x:row r="521">
      <x:c r="A521" s="178"/>
      <x:c r="B521" s="178"/>
      <x:c r="C521" s="178"/>
      <x:c r="D521" s="178"/>
      <x:c r="E521" s="178"/>
      <x:c r="F521" s="178"/>
      <x:c r="G521" s="178"/>
      <x:c r="H521" s="178"/>
      <x:c r="I521" s="178"/>
      <x:c r="J521" s="178"/>
      <x:c r="K521" s="178"/>
      <x:c r="L521" s="178"/>
      <x:c r="M521" s="178"/>
      <x:c r="N521" s="178"/>
      <x:c r="O521" s="178"/>
      <x:c r="P521" s="178"/>
      <x:c r="Q521" s="178"/>
      <x:c r="R521" s="178"/>
      <x:c r="S521" s="178"/>
      <x:c r="T521" s="178"/>
      <x:c r="U521" s="178"/>
      <x:c r="V521" s="178"/>
      <x:c r="W521" s="178"/>
      <x:c r="X521" s="178"/>
      <x:c r="Y521" s="178"/>
      <x:c r="Z521" s="178"/>
    </x:row>
    <x:row r="522">
      <x:c r="A522" s="178"/>
      <x:c r="B522" s="178"/>
      <x:c r="C522" s="178"/>
      <x:c r="D522" s="178"/>
      <x:c r="E522" s="178"/>
      <x:c r="F522" s="178"/>
      <x:c r="G522" s="178"/>
      <x:c r="H522" s="178"/>
      <x:c r="I522" s="178"/>
      <x:c r="J522" s="178"/>
      <x:c r="K522" s="178"/>
      <x:c r="L522" s="178"/>
      <x:c r="M522" s="178"/>
      <x:c r="N522" s="178"/>
      <x:c r="O522" s="178"/>
      <x:c r="P522" s="178"/>
      <x:c r="Q522" s="178"/>
      <x:c r="R522" s="178"/>
      <x:c r="S522" s="178"/>
      <x:c r="T522" s="178"/>
      <x:c r="U522" s="178"/>
      <x:c r="V522" s="178"/>
      <x:c r="W522" s="178"/>
      <x:c r="X522" s="178"/>
      <x:c r="Y522" s="178"/>
      <x:c r="Z522" s="178"/>
    </x:row>
    <x:row r="523">
      <x:c r="A523" s="178"/>
      <x:c r="B523" s="178"/>
      <x:c r="C523" s="178"/>
      <x:c r="D523" s="178"/>
      <x:c r="E523" s="178"/>
      <x:c r="F523" s="178"/>
      <x:c r="G523" s="178"/>
      <x:c r="H523" s="178"/>
      <x:c r="I523" s="178"/>
      <x:c r="J523" s="178"/>
      <x:c r="K523" s="178"/>
      <x:c r="L523" s="178"/>
      <x:c r="M523" s="178"/>
      <x:c r="N523" s="178"/>
      <x:c r="O523" s="178"/>
      <x:c r="P523" s="178"/>
      <x:c r="Q523" s="178"/>
      <x:c r="R523" s="178"/>
      <x:c r="S523" s="178"/>
      <x:c r="T523" s="178"/>
      <x:c r="U523" s="178"/>
      <x:c r="V523" s="178"/>
      <x:c r="W523" s="178"/>
      <x:c r="X523" s="178"/>
      <x:c r="Y523" s="178"/>
      <x:c r="Z523" s="178"/>
    </x:row>
    <x:row r="524">
      <x:c r="A524" s="178"/>
      <x:c r="B524" s="178"/>
      <x:c r="C524" s="178"/>
      <x:c r="D524" s="178"/>
      <x:c r="E524" s="178"/>
      <x:c r="F524" s="178"/>
      <x:c r="G524" s="178"/>
      <x:c r="H524" s="178"/>
      <x:c r="I524" s="178"/>
      <x:c r="J524" s="178"/>
      <x:c r="K524" s="178"/>
      <x:c r="L524" s="178"/>
      <x:c r="M524" s="178"/>
      <x:c r="N524" s="178"/>
      <x:c r="O524" s="178"/>
      <x:c r="P524" s="178"/>
      <x:c r="Q524" s="178"/>
      <x:c r="R524" s="178"/>
      <x:c r="S524" s="178"/>
      <x:c r="T524" s="178"/>
      <x:c r="U524" s="178"/>
      <x:c r="V524" s="178"/>
      <x:c r="W524" s="178"/>
      <x:c r="X524" s="178"/>
      <x:c r="Y524" s="178"/>
      <x:c r="Z524" s="178"/>
    </x:row>
    <x:row r="525">
      <x:c r="A525" s="178"/>
      <x:c r="B525" s="178"/>
      <x:c r="C525" s="178"/>
      <x:c r="D525" s="178"/>
      <x:c r="E525" s="178"/>
      <x:c r="F525" s="178"/>
      <x:c r="G525" s="178"/>
      <x:c r="H525" s="178"/>
      <x:c r="I525" s="178"/>
      <x:c r="J525" s="178"/>
      <x:c r="K525" s="178"/>
      <x:c r="L525" s="178"/>
      <x:c r="M525" s="178"/>
      <x:c r="N525" s="178"/>
      <x:c r="O525" s="178"/>
      <x:c r="P525" s="178"/>
      <x:c r="Q525" s="178"/>
      <x:c r="R525" s="178"/>
      <x:c r="S525" s="178"/>
      <x:c r="T525" s="178"/>
      <x:c r="U525" s="178"/>
      <x:c r="V525" s="178"/>
      <x:c r="W525" s="178"/>
      <x:c r="X525" s="178"/>
      <x:c r="Y525" s="178"/>
      <x:c r="Z525" s="178"/>
    </x:row>
    <x:row r="526">
      <x:c r="A526" s="178"/>
      <x:c r="B526" s="178"/>
      <x:c r="C526" s="178"/>
      <x:c r="D526" s="178"/>
      <x:c r="E526" s="178"/>
      <x:c r="F526" s="178"/>
      <x:c r="G526" s="178"/>
      <x:c r="H526" s="178"/>
      <x:c r="I526" s="178"/>
      <x:c r="J526" s="178"/>
      <x:c r="K526" s="178"/>
      <x:c r="L526" s="178"/>
      <x:c r="M526" s="178"/>
      <x:c r="N526" s="178"/>
      <x:c r="O526" s="178"/>
      <x:c r="P526" s="178"/>
      <x:c r="Q526" s="178"/>
      <x:c r="R526" s="178"/>
      <x:c r="S526" s="178"/>
      <x:c r="T526" s="178"/>
      <x:c r="U526" s="178"/>
      <x:c r="V526" s="178"/>
      <x:c r="W526" s="178"/>
      <x:c r="X526" s="178"/>
      <x:c r="Y526" s="178"/>
      <x:c r="Z526" s="178"/>
    </x:row>
    <x:row r="527">
      <x:c r="A527" s="178"/>
      <x:c r="B527" s="178"/>
      <x:c r="C527" s="178"/>
      <x:c r="D527" s="178"/>
      <x:c r="E527" s="178"/>
      <x:c r="F527" s="178"/>
      <x:c r="G527" s="178"/>
      <x:c r="H527" s="178"/>
      <x:c r="I527" s="178"/>
      <x:c r="J527" s="178"/>
      <x:c r="K527" s="178"/>
      <x:c r="L527" s="178"/>
      <x:c r="M527" s="178"/>
      <x:c r="N527" s="178"/>
      <x:c r="O527" s="178"/>
      <x:c r="P527" s="178"/>
      <x:c r="Q527" s="178"/>
      <x:c r="R527" s="178"/>
      <x:c r="S527" s="178"/>
      <x:c r="T527" s="178"/>
      <x:c r="U527" s="178"/>
      <x:c r="V527" s="178"/>
      <x:c r="W527" s="178"/>
      <x:c r="X527" s="178"/>
      <x:c r="Y527" s="178"/>
      <x:c r="Z527" s="178"/>
    </x:row>
    <x:row r="528">
      <x:c r="A528" s="178"/>
      <x:c r="B528" s="178"/>
      <x:c r="C528" s="178"/>
      <x:c r="D528" s="178"/>
      <x:c r="E528" s="178"/>
      <x:c r="F528" s="178"/>
      <x:c r="G528" s="178"/>
      <x:c r="H528" s="178"/>
      <x:c r="I528" s="178"/>
      <x:c r="J528" s="178"/>
      <x:c r="K528" s="178"/>
      <x:c r="L528" s="178"/>
      <x:c r="M528" s="178"/>
      <x:c r="N528" s="178"/>
      <x:c r="O528" s="178"/>
      <x:c r="P528" s="178"/>
      <x:c r="Q528" s="178"/>
      <x:c r="R528" s="178"/>
      <x:c r="S528" s="178"/>
      <x:c r="T528" s="178"/>
      <x:c r="U528" s="178"/>
      <x:c r="V528" s="178"/>
      <x:c r="W528" s="178"/>
      <x:c r="X528" s="178"/>
      <x:c r="Y528" s="178"/>
      <x:c r="Z528" s="178"/>
    </x:row>
    <x:row r="529">
      <x:c r="A529" s="178"/>
      <x:c r="B529" s="178"/>
      <x:c r="C529" s="178"/>
      <x:c r="D529" s="178"/>
      <x:c r="E529" s="178"/>
      <x:c r="F529" s="178"/>
      <x:c r="G529" s="178"/>
      <x:c r="H529" s="178"/>
      <x:c r="I529" s="178"/>
      <x:c r="J529" s="178"/>
      <x:c r="K529" s="178"/>
      <x:c r="L529" s="178"/>
      <x:c r="M529" s="178"/>
      <x:c r="N529" s="178"/>
      <x:c r="O529" s="178"/>
      <x:c r="P529" s="178"/>
      <x:c r="Q529" s="178"/>
      <x:c r="R529" s="178"/>
      <x:c r="S529" s="178"/>
      <x:c r="T529" s="178"/>
      <x:c r="U529" s="178"/>
      <x:c r="V529" s="178"/>
      <x:c r="W529" s="178"/>
      <x:c r="X529" s="178"/>
      <x:c r="Y529" s="178"/>
      <x:c r="Z529" s="178"/>
    </x:row>
    <x:row r="530">
      <x:c r="A530" s="178"/>
      <x:c r="B530" s="178"/>
      <x:c r="C530" s="178"/>
      <x:c r="D530" s="178"/>
      <x:c r="E530" s="178"/>
      <x:c r="F530" s="178"/>
      <x:c r="G530" s="178"/>
      <x:c r="H530" s="178"/>
      <x:c r="I530" s="178"/>
      <x:c r="J530" s="178"/>
      <x:c r="K530" s="178"/>
      <x:c r="L530" s="178"/>
      <x:c r="M530" s="178"/>
      <x:c r="N530" s="178"/>
      <x:c r="O530" s="178"/>
      <x:c r="P530" s="178"/>
      <x:c r="Q530" s="178"/>
      <x:c r="R530" s="178"/>
      <x:c r="S530" s="178"/>
      <x:c r="T530" s="178"/>
      <x:c r="U530" s="178"/>
      <x:c r="V530" s="178"/>
      <x:c r="W530" s="178"/>
      <x:c r="X530" s="178"/>
      <x:c r="Y530" s="178"/>
      <x:c r="Z530" s="178"/>
    </x:row>
    <x:row r="531">
      <x:c r="A531" s="178"/>
      <x:c r="B531" s="178"/>
      <x:c r="C531" s="178"/>
      <x:c r="D531" s="178"/>
      <x:c r="E531" s="178"/>
      <x:c r="F531" s="178"/>
      <x:c r="G531" s="178"/>
      <x:c r="H531" s="178"/>
      <x:c r="I531" s="178"/>
      <x:c r="J531" s="178"/>
      <x:c r="K531" s="178"/>
      <x:c r="L531" s="178"/>
      <x:c r="M531" s="178"/>
      <x:c r="N531" s="178"/>
      <x:c r="O531" s="178"/>
      <x:c r="P531" s="178"/>
      <x:c r="Q531" s="178"/>
      <x:c r="R531" s="178"/>
      <x:c r="S531" s="178"/>
      <x:c r="T531" s="178"/>
      <x:c r="U531" s="178"/>
      <x:c r="V531" s="178"/>
      <x:c r="W531" s="178"/>
      <x:c r="X531" s="178"/>
      <x:c r="Y531" s="178"/>
      <x:c r="Z531" s="178"/>
    </x:row>
    <x:row r="532">
      <x:c r="A532" s="178"/>
      <x:c r="B532" s="178"/>
      <x:c r="C532" s="178"/>
      <x:c r="D532" s="178"/>
      <x:c r="E532" s="178"/>
      <x:c r="F532" s="178"/>
      <x:c r="G532" s="178"/>
      <x:c r="H532" s="178"/>
      <x:c r="I532" s="178"/>
      <x:c r="J532" s="178"/>
      <x:c r="K532" s="178"/>
      <x:c r="L532" s="178"/>
      <x:c r="M532" s="178"/>
      <x:c r="N532" s="178"/>
      <x:c r="O532" s="178"/>
      <x:c r="P532" s="178"/>
      <x:c r="Q532" s="178"/>
      <x:c r="R532" s="178"/>
      <x:c r="S532" s="178"/>
      <x:c r="T532" s="178"/>
      <x:c r="U532" s="178"/>
      <x:c r="V532" s="178"/>
      <x:c r="W532" s="178"/>
      <x:c r="X532" s="178"/>
      <x:c r="Y532" s="178"/>
      <x:c r="Z532" s="178"/>
    </x:row>
    <x:row r="533">
      <x:c r="A533" s="178"/>
      <x:c r="B533" s="178"/>
      <x:c r="C533" s="178"/>
      <x:c r="D533" s="178"/>
      <x:c r="E533" s="178"/>
      <x:c r="F533" s="178"/>
      <x:c r="G533" s="178"/>
      <x:c r="H533" s="178"/>
      <x:c r="I533" s="178"/>
      <x:c r="J533" s="178"/>
      <x:c r="K533" s="178"/>
      <x:c r="L533" s="178"/>
      <x:c r="M533" s="178"/>
      <x:c r="N533" s="178"/>
      <x:c r="O533" s="178"/>
      <x:c r="P533" s="178"/>
      <x:c r="Q533" s="178"/>
      <x:c r="R533" s="178"/>
      <x:c r="S533" s="178"/>
      <x:c r="T533" s="178"/>
      <x:c r="U533" s="178"/>
      <x:c r="V533" s="178"/>
      <x:c r="W533" s="178"/>
      <x:c r="X533" s="178"/>
      <x:c r="Y533" s="178"/>
      <x:c r="Z533" s="178"/>
    </x:row>
    <x:row r="534">
      <x:c r="A534" s="178"/>
      <x:c r="B534" s="178"/>
      <x:c r="C534" s="178"/>
      <x:c r="D534" s="178"/>
      <x:c r="E534" s="178"/>
      <x:c r="F534" s="178"/>
      <x:c r="G534" s="178"/>
      <x:c r="H534" s="178"/>
      <x:c r="I534" s="178"/>
      <x:c r="J534" s="178"/>
      <x:c r="K534" s="178"/>
      <x:c r="L534" s="178"/>
      <x:c r="M534" s="178"/>
      <x:c r="N534" s="178"/>
      <x:c r="O534" s="178"/>
      <x:c r="P534" s="178"/>
      <x:c r="Q534" s="178"/>
      <x:c r="R534" s="178"/>
      <x:c r="S534" s="178"/>
      <x:c r="T534" s="178"/>
      <x:c r="U534" s="178"/>
      <x:c r="V534" s="178"/>
      <x:c r="W534" s="178"/>
      <x:c r="X534" s="178"/>
      <x:c r="Y534" s="178"/>
      <x:c r="Z534" s="178"/>
    </x:row>
    <x:row r="535">
      <x:c r="A535" s="178"/>
      <x:c r="B535" s="178"/>
      <x:c r="C535" s="178"/>
      <x:c r="D535" s="178"/>
      <x:c r="E535" s="178"/>
      <x:c r="F535" s="178"/>
      <x:c r="G535" s="178"/>
      <x:c r="H535" s="178"/>
      <x:c r="I535" s="178"/>
      <x:c r="J535" s="178"/>
      <x:c r="K535" s="178"/>
      <x:c r="L535" s="178"/>
      <x:c r="M535" s="178"/>
      <x:c r="N535" s="178"/>
      <x:c r="O535" s="178"/>
      <x:c r="P535" s="178"/>
      <x:c r="Q535" s="178"/>
      <x:c r="R535" s="178"/>
      <x:c r="S535" s="178"/>
      <x:c r="T535" s="178"/>
      <x:c r="U535" s="178"/>
      <x:c r="V535" s="178"/>
      <x:c r="W535" s="178"/>
      <x:c r="X535" s="178"/>
      <x:c r="Y535" s="178"/>
      <x:c r="Z535" s="178"/>
    </x:row>
    <x:row r="536">
      <x:c r="A536" s="178"/>
      <x:c r="B536" s="178"/>
      <x:c r="C536" s="178"/>
      <x:c r="D536" s="178"/>
      <x:c r="E536" s="178"/>
      <x:c r="F536" s="178"/>
      <x:c r="G536" s="178"/>
      <x:c r="H536" s="178"/>
      <x:c r="I536" s="178"/>
      <x:c r="J536" s="178"/>
      <x:c r="K536" s="178"/>
      <x:c r="L536" s="178"/>
      <x:c r="M536" s="178"/>
      <x:c r="N536" s="178"/>
      <x:c r="O536" s="178"/>
      <x:c r="P536" s="178"/>
      <x:c r="Q536" s="178"/>
      <x:c r="R536" s="178"/>
      <x:c r="S536" s="178"/>
      <x:c r="T536" s="178"/>
      <x:c r="U536" s="178"/>
      <x:c r="V536" s="178"/>
      <x:c r="W536" s="178"/>
      <x:c r="X536" s="178"/>
      <x:c r="Y536" s="178"/>
      <x:c r="Z536" s="178"/>
    </x:row>
    <x:row r="537">
      <x:c r="A537" s="178"/>
      <x:c r="B537" s="178"/>
      <x:c r="C537" s="178"/>
      <x:c r="D537" s="178"/>
      <x:c r="E537" s="178"/>
      <x:c r="F537" s="178"/>
      <x:c r="G537" s="178"/>
      <x:c r="H537" s="178"/>
      <x:c r="I537" s="178"/>
      <x:c r="J537" s="178"/>
      <x:c r="K537" s="178"/>
      <x:c r="L537" s="178"/>
      <x:c r="M537" s="178"/>
      <x:c r="N537" s="178"/>
      <x:c r="O537" s="178"/>
      <x:c r="P537" s="178"/>
      <x:c r="Q537" s="178"/>
      <x:c r="R537" s="178"/>
      <x:c r="S537" s="178"/>
      <x:c r="T537" s="178"/>
      <x:c r="U537" s="178"/>
      <x:c r="V537" s="178"/>
      <x:c r="W537" s="178"/>
      <x:c r="X537" s="178"/>
      <x:c r="Y537" s="178"/>
      <x:c r="Z537" s="178"/>
    </x:row>
    <x:row r="538">
      <x:c r="A538" s="178"/>
      <x:c r="B538" s="178"/>
      <x:c r="C538" s="178"/>
      <x:c r="D538" s="178"/>
      <x:c r="E538" s="178"/>
      <x:c r="F538" s="178"/>
      <x:c r="G538" s="178"/>
      <x:c r="H538" s="178"/>
      <x:c r="I538" s="178"/>
      <x:c r="J538" s="178"/>
      <x:c r="K538" s="178"/>
      <x:c r="L538" s="178"/>
      <x:c r="M538" s="178"/>
      <x:c r="N538" s="178"/>
      <x:c r="O538" s="178"/>
      <x:c r="P538" s="178"/>
      <x:c r="Q538" s="178"/>
      <x:c r="R538" s="178"/>
      <x:c r="S538" s="178"/>
      <x:c r="T538" s="178"/>
      <x:c r="U538" s="178"/>
      <x:c r="V538" s="178"/>
      <x:c r="W538" s="178"/>
      <x:c r="X538" s="178"/>
      <x:c r="Y538" s="178"/>
      <x:c r="Z538" s="178"/>
    </x:row>
    <x:row r="539">
      <x:c r="A539" s="178"/>
      <x:c r="B539" s="178"/>
      <x:c r="C539" s="178"/>
      <x:c r="D539" s="178"/>
      <x:c r="E539" s="178"/>
      <x:c r="F539" s="178"/>
      <x:c r="G539" s="178"/>
      <x:c r="H539" s="178"/>
      <x:c r="I539" s="178"/>
      <x:c r="J539" s="178"/>
      <x:c r="K539" s="178"/>
      <x:c r="L539" s="178"/>
      <x:c r="M539" s="178"/>
      <x:c r="N539" s="178"/>
      <x:c r="O539" s="178"/>
      <x:c r="P539" s="178"/>
      <x:c r="Q539" s="178"/>
      <x:c r="R539" s="178"/>
      <x:c r="S539" s="178"/>
      <x:c r="T539" s="178"/>
      <x:c r="U539" s="178"/>
      <x:c r="V539" s="178"/>
      <x:c r="W539" s="178"/>
      <x:c r="X539" s="178"/>
      <x:c r="Y539" s="178"/>
      <x:c r="Z539" s="178"/>
    </x:row>
    <x:row r="540">
      <x:c r="A540" s="178"/>
      <x:c r="B540" s="178"/>
      <x:c r="C540" s="178"/>
      <x:c r="D540" s="178"/>
      <x:c r="E540" s="178"/>
      <x:c r="F540" s="178"/>
      <x:c r="G540" s="178"/>
      <x:c r="H540" s="178"/>
      <x:c r="I540" s="178"/>
      <x:c r="J540" s="178"/>
      <x:c r="K540" s="178"/>
      <x:c r="L540" s="178"/>
      <x:c r="M540" s="178"/>
      <x:c r="N540" s="178"/>
      <x:c r="O540" s="178"/>
      <x:c r="P540" s="178"/>
      <x:c r="Q540" s="178"/>
      <x:c r="R540" s="178"/>
      <x:c r="S540" s="178"/>
      <x:c r="T540" s="178"/>
      <x:c r="U540" s="178"/>
      <x:c r="V540" s="178"/>
      <x:c r="W540" s="178"/>
      <x:c r="X540" s="178"/>
      <x:c r="Y540" s="178"/>
      <x:c r="Z540" s="178"/>
    </x:row>
    <x:row r="541">
      <x:c r="A541" s="178"/>
      <x:c r="B541" s="178"/>
      <x:c r="C541" s="178"/>
      <x:c r="D541" s="178"/>
      <x:c r="E541" s="178"/>
      <x:c r="F541" s="178"/>
      <x:c r="G541" s="178"/>
      <x:c r="H541" s="178"/>
      <x:c r="I541" s="178"/>
      <x:c r="J541" s="178"/>
      <x:c r="K541" s="178"/>
      <x:c r="L541" s="178"/>
      <x:c r="M541" s="178"/>
      <x:c r="N541" s="178"/>
      <x:c r="O541" s="178"/>
      <x:c r="P541" s="178"/>
      <x:c r="Q541" s="178"/>
      <x:c r="R541" s="178"/>
      <x:c r="S541" s="178"/>
      <x:c r="T541" s="178"/>
      <x:c r="U541" s="178"/>
      <x:c r="V541" s="178"/>
      <x:c r="W541" s="178"/>
      <x:c r="X541" s="178"/>
      <x:c r="Y541" s="178"/>
      <x:c r="Z541" s="178"/>
    </x:row>
    <x:row r="542">
      <x:c r="A542" s="178"/>
      <x:c r="B542" s="178"/>
      <x:c r="C542" s="178"/>
      <x:c r="D542" s="178"/>
      <x:c r="E542" s="178"/>
      <x:c r="F542" s="178"/>
      <x:c r="G542" s="178"/>
      <x:c r="H542" s="178"/>
      <x:c r="I542" s="178"/>
      <x:c r="J542" s="178"/>
      <x:c r="K542" s="178"/>
      <x:c r="L542" s="178"/>
      <x:c r="M542" s="178"/>
      <x:c r="N542" s="178"/>
      <x:c r="O542" s="178"/>
      <x:c r="P542" s="178"/>
      <x:c r="Q542" s="178"/>
      <x:c r="R542" s="178"/>
      <x:c r="S542" s="178"/>
      <x:c r="T542" s="178"/>
      <x:c r="U542" s="178"/>
      <x:c r="V542" s="178"/>
      <x:c r="W542" s="178"/>
      <x:c r="X542" s="178"/>
      <x:c r="Y542" s="178"/>
      <x:c r="Z542" s="178"/>
    </x:row>
    <x:row r="543">
      <x:c r="A543" s="178"/>
      <x:c r="B543" s="178"/>
      <x:c r="C543" s="178"/>
      <x:c r="D543" s="178"/>
      <x:c r="E543" s="178"/>
      <x:c r="F543" s="178"/>
      <x:c r="G543" s="178"/>
      <x:c r="H543" s="178"/>
      <x:c r="I543" s="178"/>
      <x:c r="J543" s="178"/>
      <x:c r="K543" s="178"/>
      <x:c r="L543" s="178"/>
      <x:c r="M543" s="178"/>
      <x:c r="N543" s="178"/>
      <x:c r="O543" s="178"/>
      <x:c r="P543" s="178"/>
      <x:c r="Q543" s="178"/>
      <x:c r="R543" s="178"/>
      <x:c r="S543" s="178"/>
      <x:c r="T543" s="178"/>
      <x:c r="U543" s="178"/>
      <x:c r="V543" s="178"/>
      <x:c r="W543" s="178"/>
      <x:c r="X543" s="178"/>
      <x:c r="Y543" s="178"/>
      <x:c r="Z543" s="178"/>
    </x:row>
    <x:row r="544">
      <x:c r="A544" s="178"/>
      <x:c r="B544" s="178"/>
      <x:c r="C544" s="178"/>
      <x:c r="D544" s="178"/>
      <x:c r="E544" s="178"/>
      <x:c r="F544" s="178"/>
      <x:c r="G544" s="178"/>
      <x:c r="H544" s="178"/>
      <x:c r="I544" s="178"/>
      <x:c r="J544" s="178"/>
      <x:c r="K544" s="178"/>
      <x:c r="L544" s="178"/>
      <x:c r="M544" s="178"/>
      <x:c r="N544" s="178"/>
      <x:c r="O544" s="178"/>
      <x:c r="P544" s="178"/>
      <x:c r="Q544" s="178"/>
      <x:c r="R544" s="178"/>
      <x:c r="S544" s="178"/>
      <x:c r="T544" s="178"/>
      <x:c r="U544" s="178"/>
      <x:c r="V544" s="178"/>
      <x:c r="W544" s="178"/>
      <x:c r="X544" s="178"/>
      <x:c r="Y544" s="178"/>
      <x:c r="Z544" s="178"/>
    </x:row>
    <x:row r="545">
      <x:c r="A545" s="178"/>
      <x:c r="B545" s="178"/>
      <x:c r="C545" s="178"/>
      <x:c r="D545" s="178"/>
      <x:c r="E545" s="178"/>
      <x:c r="F545" s="178"/>
      <x:c r="G545" s="178"/>
      <x:c r="H545" s="178"/>
      <x:c r="I545" s="178"/>
      <x:c r="J545" s="178"/>
      <x:c r="K545" s="178"/>
      <x:c r="L545" s="178"/>
      <x:c r="M545" s="178"/>
      <x:c r="N545" s="178"/>
      <x:c r="O545" s="178"/>
      <x:c r="P545" s="178"/>
      <x:c r="Q545" s="178"/>
      <x:c r="R545" s="178"/>
      <x:c r="S545" s="178"/>
      <x:c r="T545" s="178"/>
      <x:c r="U545" s="178"/>
      <x:c r="V545" s="178"/>
      <x:c r="W545" s="178"/>
      <x:c r="X545" s="178"/>
      <x:c r="Y545" s="178"/>
      <x:c r="Z545" s="178"/>
    </x:row>
    <x:row r="546">
      <x:c r="A546" s="178"/>
      <x:c r="B546" s="178"/>
      <x:c r="C546" s="178"/>
      <x:c r="D546" s="178"/>
      <x:c r="E546" s="178"/>
      <x:c r="F546" s="178"/>
      <x:c r="G546" s="178"/>
      <x:c r="H546" s="178"/>
      <x:c r="I546" s="178"/>
      <x:c r="J546" s="178"/>
      <x:c r="K546" s="178"/>
      <x:c r="L546" s="178"/>
      <x:c r="M546" s="178"/>
      <x:c r="N546" s="178"/>
      <x:c r="O546" s="178"/>
      <x:c r="P546" s="178"/>
      <x:c r="Q546" s="178"/>
      <x:c r="R546" s="178"/>
      <x:c r="S546" s="178"/>
      <x:c r="T546" s="178"/>
      <x:c r="U546" s="178"/>
      <x:c r="V546" s="178"/>
      <x:c r="W546" s="178"/>
      <x:c r="X546" s="178"/>
      <x:c r="Y546" s="178"/>
      <x:c r="Z546" s="178"/>
    </x:row>
    <x:row r="547">
      <x:c r="A547" s="178"/>
      <x:c r="B547" s="178"/>
      <x:c r="C547" s="178"/>
      <x:c r="D547" s="178"/>
      <x:c r="E547" s="178"/>
      <x:c r="F547" s="178"/>
      <x:c r="G547" s="178"/>
      <x:c r="H547" s="178"/>
      <x:c r="I547" s="178"/>
      <x:c r="J547" s="178"/>
      <x:c r="K547" s="178"/>
      <x:c r="L547" s="178"/>
      <x:c r="M547" s="178"/>
      <x:c r="N547" s="178"/>
      <x:c r="O547" s="178"/>
      <x:c r="P547" s="178"/>
      <x:c r="Q547" s="178"/>
      <x:c r="R547" s="178"/>
      <x:c r="S547" s="178"/>
      <x:c r="T547" s="178"/>
      <x:c r="U547" s="178"/>
      <x:c r="V547" s="178"/>
      <x:c r="W547" s="178"/>
      <x:c r="X547" s="178"/>
      <x:c r="Y547" s="178"/>
      <x:c r="Z547" s="178"/>
    </x:row>
    <x:row r="548">
      <x:c r="A548" s="178"/>
      <x:c r="B548" s="178"/>
      <x:c r="C548" s="178"/>
      <x:c r="D548" s="178"/>
      <x:c r="E548" s="178"/>
      <x:c r="F548" s="178"/>
      <x:c r="G548" s="178"/>
      <x:c r="H548" s="178"/>
      <x:c r="I548" s="178"/>
      <x:c r="J548" s="178"/>
      <x:c r="K548" s="178"/>
      <x:c r="L548" s="178"/>
      <x:c r="M548" s="178"/>
      <x:c r="N548" s="178"/>
      <x:c r="O548" s="178"/>
      <x:c r="P548" s="178"/>
      <x:c r="Q548" s="178"/>
      <x:c r="R548" s="178"/>
      <x:c r="S548" s="178"/>
      <x:c r="T548" s="178"/>
      <x:c r="U548" s="178"/>
      <x:c r="V548" s="178"/>
      <x:c r="W548" s="178"/>
      <x:c r="X548" s="178"/>
      <x:c r="Y548" s="178"/>
      <x:c r="Z548" s="178"/>
    </x:row>
    <x:row r="549">
      <x:c r="A549" s="178"/>
      <x:c r="B549" s="178"/>
      <x:c r="C549" s="178"/>
      <x:c r="D549" s="178"/>
      <x:c r="E549" s="178"/>
      <x:c r="F549" s="178"/>
      <x:c r="G549" s="178"/>
      <x:c r="H549" s="178"/>
      <x:c r="I549" s="178"/>
      <x:c r="J549" s="178"/>
      <x:c r="K549" s="178"/>
      <x:c r="L549" s="178"/>
      <x:c r="M549" s="178"/>
      <x:c r="N549" s="178"/>
      <x:c r="O549" s="178"/>
      <x:c r="P549" s="178"/>
      <x:c r="Q549" s="178"/>
      <x:c r="R549" s="178"/>
      <x:c r="S549" s="178"/>
      <x:c r="T549" s="178"/>
      <x:c r="U549" s="178"/>
      <x:c r="V549" s="178"/>
      <x:c r="W549" s="178"/>
      <x:c r="X549" s="178"/>
      <x:c r="Y549" s="178"/>
      <x:c r="Z549" s="178"/>
    </x:row>
    <x:row r="550">
      <x:c r="A550" s="178"/>
      <x:c r="B550" s="178"/>
      <x:c r="C550" s="178"/>
      <x:c r="D550" s="178"/>
      <x:c r="E550" s="178"/>
      <x:c r="F550" s="178"/>
      <x:c r="G550" s="178"/>
      <x:c r="H550" s="178"/>
      <x:c r="I550" s="178"/>
      <x:c r="J550" s="178"/>
      <x:c r="K550" s="178"/>
      <x:c r="L550" s="178"/>
      <x:c r="M550" s="178"/>
      <x:c r="N550" s="178"/>
      <x:c r="O550" s="178"/>
      <x:c r="P550" s="178"/>
      <x:c r="Q550" s="178"/>
      <x:c r="R550" s="178"/>
      <x:c r="S550" s="178"/>
      <x:c r="T550" s="178"/>
      <x:c r="U550" s="178"/>
      <x:c r="V550" s="178"/>
      <x:c r="W550" s="178"/>
      <x:c r="X550" s="178"/>
      <x:c r="Y550" s="178"/>
      <x:c r="Z550" s="178"/>
    </x:row>
    <x:row r="551">
      <x:c r="A551" s="178"/>
      <x:c r="B551" s="178"/>
      <x:c r="C551" s="178"/>
      <x:c r="D551" s="178"/>
      <x:c r="E551" s="178"/>
      <x:c r="F551" s="178"/>
      <x:c r="G551" s="178"/>
      <x:c r="H551" s="178"/>
      <x:c r="I551" s="178"/>
      <x:c r="J551" s="178"/>
      <x:c r="K551" s="178"/>
      <x:c r="L551" s="178"/>
      <x:c r="M551" s="178"/>
      <x:c r="N551" s="178"/>
      <x:c r="O551" s="178"/>
      <x:c r="P551" s="178"/>
      <x:c r="Q551" s="178"/>
      <x:c r="R551" s="178"/>
      <x:c r="S551" s="178"/>
      <x:c r="T551" s="178"/>
      <x:c r="U551" s="178"/>
      <x:c r="V551" s="178"/>
      <x:c r="W551" s="178"/>
      <x:c r="X551" s="178"/>
      <x:c r="Y551" s="178"/>
      <x:c r="Z551" s="178"/>
    </x:row>
    <x:row r="552">
      <x:c r="A552" s="178"/>
      <x:c r="B552" s="178"/>
      <x:c r="C552" s="178"/>
      <x:c r="D552" s="178"/>
      <x:c r="E552" s="178"/>
      <x:c r="F552" s="178"/>
      <x:c r="G552" s="178"/>
      <x:c r="H552" s="178"/>
      <x:c r="I552" s="178"/>
      <x:c r="J552" s="178"/>
      <x:c r="K552" s="178"/>
      <x:c r="L552" s="178"/>
      <x:c r="M552" s="178"/>
      <x:c r="N552" s="178"/>
      <x:c r="O552" s="178"/>
      <x:c r="P552" s="178"/>
      <x:c r="Q552" s="178"/>
      <x:c r="R552" s="178"/>
      <x:c r="S552" s="178"/>
      <x:c r="T552" s="178"/>
      <x:c r="U552" s="178"/>
      <x:c r="V552" s="178"/>
      <x:c r="W552" s="178"/>
      <x:c r="X552" s="178"/>
      <x:c r="Y552" s="178"/>
      <x:c r="Z552" s="178"/>
    </x:row>
    <x:row r="553">
      <x:c r="A553" s="178"/>
      <x:c r="B553" s="178"/>
      <x:c r="C553" s="178"/>
      <x:c r="D553" s="178"/>
      <x:c r="E553" s="178"/>
      <x:c r="F553" s="178"/>
      <x:c r="G553" s="178"/>
      <x:c r="H553" s="178"/>
      <x:c r="I553" s="178"/>
      <x:c r="J553" s="178"/>
      <x:c r="K553" s="178"/>
      <x:c r="L553" s="178"/>
      <x:c r="M553" s="178"/>
      <x:c r="N553" s="178"/>
      <x:c r="O553" s="178"/>
      <x:c r="P553" s="178"/>
      <x:c r="Q553" s="178"/>
      <x:c r="R553" s="178"/>
      <x:c r="S553" s="178"/>
      <x:c r="T553" s="178"/>
      <x:c r="U553" s="178"/>
      <x:c r="V553" s="178"/>
      <x:c r="W553" s="178"/>
      <x:c r="X553" s="178"/>
      <x:c r="Y553" s="178"/>
      <x:c r="Z553" s="178"/>
    </x:row>
    <x:row r="554">
      <x:c r="A554" s="178"/>
      <x:c r="B554" s="178"/>
      <x:c r="C554" s="178"/>
      <x:c r="D554" s="178"/>
      <x:c r="E554" s="178"/>
      <x:c r="F554" s="178"/>
      <x:c r="G554" s="178"/>
      <x:c r="H554" s="178"/>
      <x:c r="I554" s="178"/>
      <x:c r="J554" s="178"/>
      <x:c r="K554" s="178"/>
      <x:c r="L554" s="178"/>
      <x:c r="M554" s="178"/>
      <x:c r="N554" s="178"/>
      <x:c r="O554" s="178"/>
      <x:c r="P554" s="178"/>
      <x:c r="Q554" s="178"/>
      <x:c r="R554" s="178"/>
      <x:c r="S554" s="178"/>
      <x:c r="T554" s="178"/>
      <x:c r="U554" s="178"/>
      <x:c r="V554" s="178"/>
      <x:c r="W554" s="178"/>
      <x:c r="X554" s="178"/>
      <x:c r="Y554" s="178"/>
      <x:c r="Z554" s="178"/>
    </x:row>
    <x:row r="555">
      <x:c r="A555" s="178"/>
      <x:c r="B555" s="178"/>
      <x:c r="C555" s="178"/>
      <x:c r="D555" s="178"/>
      <x:c r="E555" s="178"/>
      <x:c r="F555" s="178"/>
      <x:c r="G555" s="178"/>
      <x:c r="H555" s="178"/>
      <x:c r="I555" s="178"/>
      <x:c r="J555" s="178"/>
      <x:c r="K555" s="178"/>
      <x:c r="L555" s="178"/>
      <x:c r="M555" s="178"/>
      <x:c r="N555" s="178"/>
      <x:c r="O555" s="178"/>
      <x:c r="P555" s="178"/>
      <x:c r="Q555" s="178"/>
      <x:c r="R555" s="178"/>
      <x:c r="S555" s="178"/>
      <x:c r="T555" s="178"/>
      <x:c r="U555" s="178"/>
      <x:c r="V555" s="178"/>
      <x:c r="W555" s="178"/>
      <x:c r="X555" s="178"/>
      <x:c r="Y555" s="178"/>
      <x:c r="Z555" s="178"/>
    </x:row>
    <x:row r="556">
      <x:c r="A556" s="178"/>
      <x:c r="B556" s="178"/>
      <x:c r="C556" s="178"/>
      <x:c r="D556" s="178"/>
      <x:c r="E556" s="178"/>
      <x:c r="F556" s="178"/>
      <x:c r="G556" s="178"/>
      <x:c r="H556" s="178"/>
      <x:c r="I556" s="178"/>
      <x:c r="J556" s="178"/>
      <x:c r="K556" s="178"/>
      <x:c r="L556" s="178"/>
      <x:c r="M556" s="178"/>
      <x:c r="N556" s="178"/>
      <x:c r="O556" s="178"/>
      <x:c r="P556" s="178"/>
      <x:c r="Q556" s="178"/>
      <x:c r="R556" s="178"/>
      <x:c r="S556" s="178"/>
      <x:c r="T556" s="178"/>
      <x:c r="U556" s="178"/>
      <x:c r="V556" s="178"/>
      <x:c r="W556" s="178"/>
      <x:c r="X556" s="178"/>
      <x:c r="Y556" s="178"/>
      <x:c r="Z556" s="178"/>
    </x:row>
    <x:row r="557">
      <x:c r="A557" s="178"/>
      <x:c r="B557" s="178"/>
      <x:c r="C557" s="178"/>
      <x:c r="D557" s="178"/>
      <x:c r="E557" s="178"/>
      <x:c r="F557" s="178"/>
      <x:c r="G557" s="178"/>
      <x:c r="H557" s="178"/>
      <x:c r="I557" s="178"/>
      <x:c r="J557" s="178"/>
      <x:c r="K557" s="178"/>
      <x:c r="L557" s="178"/>
      <x:c r="M557" s="178"/>
      <x:c r="N557" s="178"/>
      <x:c r="O557" s="178"/>
      <x:c r="P557" s="178"/>
      <x:c r="Q557" s="178"/>
      <x:c r="R557" s="178"/>
      <x:c r="S557" s="178"/>
      <x:c r="T557" s="178"/>
      <x:c r="U557" s="178"/>
      <x:c r="V557" s="178"/>
      <x:c r="W557" s="178"/>
      <x:c r="X557" s="178"/>
      <x:c r="Y557" s="178"/>
      <x:c r="Z557" s="178"/>
    </x:row>
    <x:row r="558">
      <x:c r="A558" s="178"/>
      <x:c r="B558" s="178"/>
      <x:c r="C558" s="178"/>
      <x:c r="D558" s="178"/>
      <x:c r="E558" s="178"/>
      <x:c r="F558" s="178"/>
      <x:c r="G558" s="178"/>
      <x:c r="H558" s="178"/>
      <x:c r="I558" s="178"/>
      <x:c r="J558" s="178"/>
      <x:c r="K558" s="178"/>
      <x:c r="L558" s="178"/>
      <x:c r="M558" s="178"/>
      <x:c r="N558" s="178"/>
      <x:c r="O558" s="178"/>
      <x:c r="P558" s="178"/>
      <x:c r="Q558" s="178"/>
      <x:c r="R558" s="178"/>
      <x:c r="S558" s="178"/>
      <x:c r="T558" s="178"/>
      <x:c r="U558" s="178"/>
      <x:c r="V558" s="178"/>
      <x:c r="W558" s="178"/>
      <x:c r="X558" s="178"/>
      <x:c r="Y558" s="178"/>
      <x:c r="Z558" s="178"/>
    </x:row>
    <x:row r="559">
      <x:c r="A559" s="178"/>
      <x:c r="B559" s="178"/>
      <x:c r="C559" s="178"/>
      <x:c r="D559" s="178"/>
      <x:c r="E559" s="178"/>
      <x:c r="F559" s="178"/>
      <x:c r="G559" s="178"/>
      <x:c r="H559" s="178"/>
      <x:c r="I559" s="178"/>
      <x:c r="J559" s="178"/>
      <x:c r="K559" s="178"/>
      <x:c r="L559" s="178"/>
      <x:c r="M559" s="178"/>
      <x:c r="N559" s="178"/>
      <x:c r="O559" s="178"/>
      <x:c r="P559" s="178"/>
      <x:c r="Q559" s="178"/>
      <x:c r="R559" s="178"/>
      <x:c r="S559" s="178"/>
      <x:c r="T559" s="178"/>
      <x:c r="U559" s="178"/>
      <x:c r="V559" s="178"/>
      <x:c r="W559" s="178"/>
      <x:c r="X559" s="178"/>
      <x:c r="Y559" s="178"/>
      <x:c r="Z559" s="178"/>
    </x:row>
    <x:row r="560">
      <x:c r="A560" s="178"/>
      <x:c r="B560" s="178"/>
      <x:c r="C560" s="178"/>
      <x:c r="D560" s="178"/>
      <x:c r="E560" s="178"/>
      <x:c r="F560" s="178"/>
      <x:c r="G560" s="178"/>
      <x:c r="H560" s="178"/>
      <x:c r="I560" s="178"/>
      <x:c r="J560" s="178"/>
      <x:c r="K560" s="178"/>
      <x:c r="L560" s="178"/>
      <x:c r="M560" s="178"/>
      <x:c r="N560" s="178"/>
      <x:c r="O560" s="178"/>
      <x:c r="P560" s="178"/>
      <x:c r="Q560" s="178"/>
      <x:c r="R560" s="178"/>
      <x:c r="S560" s="178"/>
      <x:c r="T560" s="178"/>
      <x:c r="U560" s="178"/>
      <x:c r="V560" s="178"/>
      <x:c r="W560" s="178"/>
      <x:c r="X560" s="178"/>
      <x:c r="Y560" s="178"/>
      <x:c r="Z560" s="178"/>
    </x:row>
    <x:row r="561">
      <x:c r="A561" s="178"/>
      <x:c r="B561" s="178"/>
      <x:c r="C561" s="178"/>
      <x:c r="D561" s="178"/>
      <x:c r="E561" s="178"/>
      <x:c r="F561" s="178"/>
      <x:c r="G561" s="178"/>
      <x:c r="H561" s="178"/>
      <x:c r="I561" s="178"/>
      <x:c r="J561" s="178"/>
      <x:c r="K561" s="178"/>
      <x:c r="L561" s="178"/>
      <x:c r="M561" s="178"/>
      <x:c r="N561" s="178"/>
      <x:c r="O561" s="178"/>
      <x:c r="P561" s="178"/>
      <x:c r="Q561" s="178"/>
      <x:c r="R561" s="178"/>
      <x:c r="S561" s="178"/>
      <x:c r="T561" s="178"/>
      <x:c r="U561" s="178"/>
      <x:c r="V561" s="178"/>
      <x:c r="W561" s="178"/>
      <x:c r="X561" s="178"/>
      <x:c r="Y561" s="178"/>
      <x:c r="Z561" s="178"/>
    </x:row>
    <x:row r="562">
      <x:c r="A562" s="178"/>
      <x:c r="B562" s="178"/>
      <x:c r="C562" s="178"/>
      <x:c r="D562" s="178"/>
      <x:c r="E562" s="178"/>
      <x:c r="F562" s="178"/>
      <x:c r="G562" s="178"/>
      <x:c r="H562" s="178"/>
      <x:c r="I562" s="178"/>
      <x:c r="J562" s="178"/>
      <x:c r="K562" s="178"/>
      <x:c r="L562" s="178"/>
      <x:c r="M562" s="178"/>
      <x:c r="N562" s="178"/>
      <x:c r="O562" s="178"/>
      <x:c r="P562" s="178"/>
      <x:c r="Q562" s="178"/>
      <x:c r="R562" s="178"/>
      <x:c r="S562" s="178"/>
      <x:c r="T562" s="178"/>
      <x:c r="U562" s="178"/>
      <x:c r="V562" s="178"/>
      <x:c r="W562" s="178"/>
      <x:c r="X562" s="178"/>
      <x:c r="Y562" s="178"/>
      <x:c r="Z562" s="178"/>
    </x:row>
    <x:row r="563">
      <x:c r="A563" s="178"/>
      <x:c r="B563" s="178"/>
      <x:c r="C563" s="178"/>
      <x:c r="D563" s="178"/>
      <x:c r="E563" s="178"/>
      <x:c r="F563" s="178"/>
      <x:c r="G563" s="178"/>
      <x:c r="H563" s="178"/>
      <x:c r="I563" s="178"/>
      <x:c r="J563" s="178"/>
      <x:c r="K563" s="178"/>
      <x:c r="L563" s="178"/>
      <x:c r="M563" s="178"/>
      <x:c r="N563" s="178"/>
      <x:c r="O563" s="178"/>
      <x:c r="P563" s="178"/>
      <x:c r="Q563" s="178"/>
      <x:c r="R563" s="178"/>
      <x:c r="S563" s="178"/>
      <x:c r="T563" s="178"/>
      <x:c r="U563" s="178"/>
      <x:c r="V563" s="178"/>
      <x:c r="W563" s="178"/>
      <x:c r="X563" s="178"/>
      <x:c r="Y563" s="178"/>
      <x:c r="Z563" s="178"/>
    </x:row>
    <x:row r="564">
      <x:c r="A564" s="178"/>
      <x:c r="B564" s="178"/>
      <x:c r="C564" s="178"/>
      <x:c r="D564" s="178"/>
      <x:c r="E564" s="178"/>
      <x:c r="F564" s="178"/>
      <x:c r="G564" s="178"/>
      <x:c r="H564" s="178"/>
      <x:c r="I564" s="178"/>
      <x:c r="J564" s="178"/>
      <x:c r="K564" s="178"/>
      <x:c r="L564" s="178"/>
      <x:c r="M564" s="178"/>
      <x:c r="N564" s="178"/>
      <x:c r="O564" s="178"/>
      <x:c r="P564" s="178"/>
      <x:c r="Q564" s="178"/>
      <x:c r="R564" s="178"/>
      <x:c r="S564" s="178"/>
      <x:c r="T564" s="178"/>
      <x:c r="U564" s="178"/>
      <x:c r="V564" s="178"/>
      <x:c r="W564" s="178"/>
      <x:c r="X564" s="178"/>
      <x:c r="Y564" s="178"/>
      <x:c r="Z564" s="178"/>
    </x:row>
    <x:row r="565">
      <x:c r="A565" s="178"/>
      <x:c r="B565" s="178"/>
      <x:c r="C565" s="178"/>
      <x:c r="D565" s="178"/>
      <x:c r="E565" s="178"/>
      <x:c r="F565" s="178"/>
      <x:c r="G565" s="178"/>
      <x:c r="H565" s="178"/>
      <x:c r="I565" s="178"/>
      <x:c r="J565" s="178"/>
      <x:c r="K565" s="178"/>
      <x:c r="L565" s="178"/>
      <x:c r="M565" s="178"/>
      <x:c r="N565" s="178"/>
      <x:c r="O565" s="178"/>
      <x:c r="P565" s="178"/>
      <x:c r="Q565" s="178"/>
      <x:c r="R565" s="178"/>
      <x:c r="S565" s="178"/>
      <x:c r="T565" s="178"/>
      <x:c r="U565" s="178"/>
      <x:c r="V565" s="178"/>
      <x:c r="W565" s="178"/>
      <x:c r="X565" s="178"/>
      <x:c r="Y565" s="178"/>
      <x:c r="Z565" s="178"/>
    </x:row>
    <x:row r="566">
      <x:c r="A566" s="178"/>
      <x:c r="B566" s="178"/>
      <x:c r="C566" s="178"/>
      <x:c r="D566" s="178"/>
      <x:c r="E566" s="178"/>
      <x:c r="F566" s="178"/>
      <x:c r="G566" s="178"/>
      <x:c r="H566" s="178"/>
      <x:c r="I566" s="178"/>
      <x:c r="J566" s="178"/>
      <x:c r="K566" s="178"/>
      <x:c r="L566" s="178"/>
      <x:c r="M566" s="178"/>
      <x:c r="N566" s="178"/>
      <x:c r="O566" s="178"/>
      <x:c r="P566" s="178"/>
      <x:c r="Q566" s="178"/>
      <x:c r="R566" s="178"/>
      <x:c r="S566" s="178"/>
      <x:c r="T566" s="178"/>
      <x:c r="U566" s="178"/>
      <x:c r="V566" s="178"/>
      <x:c r="W566" s="178"/>
      <x:c r="X566" s="178"/>
      <x:c r="Y566" s="178"/>
      <x:c r="Z566" s="178"/>
    </x:row>
    <x:row r="567">
      <x:c r="A567" s="178"/>
      <x:c r="B567" s="178"/>
      <x:c r="C567" s="178"/>
      <x:c r="D567" s="178"/>
      <x:c r="E567" s="178"/>
      <x:c r="F567" s="178"/>
      <x:c r="G567" s="178"/>
      <x:c r="H567" s="178"/>
      <x:c r="I567" s="178"/>
      <x:c r="J567" s="178"/>
      <x:c r="K567" s="178"/>
      <x:c r="L567" s="178"/>
      <x:c r="M567" s="178"/>
      <x:c r="N567" s="178"/>
      <x:c r="O567" s="178"/>
      <x:c r="P567" s="178"/>
      <x:c r="Q567" s="178"/>
      <x:c r="R567" s="178"/>
      <x:c r="S567" s="178"/>
      <x:c r="T567" s="178"/>
      <x:c r="U567" s="178"/>
      <x:c r="V567" s="178"/>
      <x:c r="W567" s="178"/>
      <x:c r="X567" s="178"/>
      <x:c r="Y567" s="178"/>
      <x:c r="Z567" s="178"/>
    </x:row>
    <x:row r="568">
      <x:c r="A568" s="178"/>
      <x:c r="B568" s="178"/>
      <x:c r="C568" s="178"/>
      <x:c r="D568" s="178"/>
      <x:c r="E568" s="178"/>
      <x:c r="F568" s="178"/>
      <x:c r="G568" s="178"/>
      <x:c r="H568" s="178"/>
      <x:c r="I568" s="178"/>
      <x:c r="J568" s="178"/>
      <x:c r="K568" s="178"/>
      <x:c r="L568" s="178"/>
      <x:c r="M568" s="178"/>
      <x:c r="N568" s="178"/>
      <x:c r="O568" s="178"/>
      <x:c r="P568" s="178"/>
      <x:c r="Q568" s="178"/>
      <x:c r="R568" s="178"/>
      <x:c r="S568" s="178"/>
      <x:c r="T568" s="178"/>
      <x:c r="U568" s="178"/>
      <x:c r="V568" s="178"/>
      <x:c r="W568" s="178"/>
      <x:c r="X568" s="178"/>
      <x:c r="Y568" s="178"/>
      <x:c r="Z568" s="178"/>
    </x:row>
    <x:row r="569">
      <x:c r="A569" s="178"/>
      <x:c r="B569" s="178"/>
      <x:c r="C569" s="178"/>
      <x:c r="D569" s="178"/>
      <x:c r="E569" s="178"/>
      <x:c r="F569" s="178"/>
      <x:c r="G569" s="178"/>
      <x:c r="H569" s="178"/>
      <x:c r="I569" s="178"/>
      <x:c r="J569" s="178"/>
      <x:c r="K569" s="178"/>
      <x:c r="L569" s="178"/>
      <x:c r="M569" s="178"/>
      <x:c r="N569" s="178"/>
      <x:c r="O569" s="178"/>
      <x:c r="P569" s="178"/>
      <x:c r="Q569" s="178"/>
      <x:c r="R569" s="178"/>
      <x:c r="S569" s="178"/>
      <x:c r="T569" s="178"/>
      <x:c r="U569" s="178"/>
      <x:c r="V569" s="178"/>
      <x:c r="W569" s="178"/>
      <x:c r="X569" s="178"/>
      <x:c r="Y569" s="178"/>
      <x:c r="Z569" s="178"/>
    </x:row>
    <x:row r="570">
      <x:c r="A570" s="178"/>
      <x:c r="B570" s="178"/>
      <x:c r="C570" s="178"/>
      <x:c r="D570" s="178"/>
      <x:c r="E570" s="178"/>
      <x:c r="F570" s="178"/>
      <x:c r="G570" s="178"/>
      <x:c r="H570" s="178"/>
      <x:c r="I570" s="178"/>
      <x:c r="J570" s="178"/>
      <x:c r="K570" s="178"/>
      <x:c r="L570" s="178"/>
      <x:c r="M570" s="178"/>
      <x:c r="N570" s="178"/>
      <x:c r="O570" s="178"/>
      <x:c r="P570" s="178"/>
      <x:c r="Q570" s="178"/>
      <x:c r="R570" s="178"/>
      <x:c r="S570" s="178"/>
      <x:c r="T570" s="178"/>
      <x:c r="U570" s="178"/>
      <x:c r="V570" s="178"/>
      <x:c r="W570" s="178"/>
      <x:c r="X570" s="178"/>
      <x:c r="Y570" s="178"/>
      <x:c r="Z570" s="178"/>
    </x:row>
    <x:row r="571">
      <x:c r="A571" s="178"/>
      <x:c r="B571" s="178"/>
      <x:c r="C571" s="178"/>
      <x:c r="D571" s="178"/>
      <x:c r="E571" s="178"/>
      <x:c r="F571" s="178"/>
      <x:c r="G571" s="178"/>
      <x:c r="H571" s="178"/>
      <x:c r="I571" s="178"/>
      <x:c r="J571" s="178"/>
      <x:c r="K571" s="178"/>
      <x:c r="L571" s="178"/>
      <x:c r="M571" s="178"/>
      <x:c r="N571" s="178"/>
      <x:c r="O571" s="178"/>
      <x:c r="P571" s="178"/>
      <x:c r="Q571" s="178"/>
      <x:c r="R571" s="178"/>
      <x:c r="S571" s="178"/>
      <x:c r="T571" s="178"/>
      <x:c r="U571" s="178"/>
      <x:c r="V571" s="178"/>
      <x:c r="W571" s="178"/>
      <x:c r="X571" s="178"/>
      <x:c r="Y571" s="178"/>
      <x:c r="Z571" s="178"/>
    </x:row>
    <x:row r="572">
      <x:c r="A572" s="178"/>
      <x:c r="B572" s="178"/>
      <x:c r="C572" s="178"/>
      <x:c r="D572" s="178"/>
      <x:c r="E572" s="178"/>
      <x:c r="F572" s="178"/>
      <x:c r="G572" s="178"/>
      <x:c r="H572" s="178"/>
      <x:c r="I572" s="178"/>
      <x:c r="J572" s="178"/>
      <x:c r="K572" s="178"/>
      <x:c r="L572" s="178"/>
      <x:c r="M572" s="178"/>
      <x:c r="N572" s="178"/>
      <x:c r="O572" s="178"/>
      <x:c r="P572" s="178"/>
      <x:c r="Q572" s="178"/>
      <x:c r="R572" s="178"/>
      <x:c r="S572" s="178"/>
      <x:c r="T572" s="178"/>
      <x:c r="U572" s="178"/>
      <x:c r="V572" s="178"/>
      <x:c r="W572" s="178"/>
      <x:c r="X572" s="178"/>
      <x:c r="Y572" s="178"/>
      <x:c r="Z572" s="178"/>
    </x:row>
    <x:row r="573">
      <x:c r="A573" s="178"/>
      <x:c r="B573" s="178"/>
      <x:c r="C573" s="178"/>
      <x:c r="D573" s="178"/>
      <x:c r="E573" s="178"/>
      <x:c r="F573" s="178"/>
      <x:c r="G573" s="178"/>
      <x:c r="H573" s="178"/>
      <x:c r="I573" s="178"/>
      <x:c r="J573" s="178"/>
      <x:c r="K573" s="178"/>
      <x:c r="L573" s="178"/>
      <x:c r="M573" s="178"/>
      <x:c r="N573" s="178"/>
      <x:c r="O573" s="178"/>
      <x:c r="P573" s="178"/>
      <x:c r="Q573" s="178"/>
      <x:c r="R573" s="178"/>
      <x:c r="S573" s="178"/>
      <x:c r="T573" s="178"/>
      <x:c r="U573" s="178"/>
      <x:c r="V573" s="178"/>
      <x:c r="W573" s="178"/>
      <x:c r="X573" s="178"/>
      <x:c r="Y573" s="178"/>
      <x:c r="Z573" s="178"/>
    </x:row>
    <x:row r="574">
      <x:c r="A574" s="178"/>
      <x:c r="B574" s="178"/>
      <x:c r="C574" s="178"/>
      <x:c r="D574" s="178"/>
      <x:c r="E574" s="178"/>
      <x:c r="F574" s="178"/>
      <x:c r="G574" s="178"/>
      <x:c r="H574" s="178"/>
      <x:c r="I574" s="178"/>
      <x:c r="J574" s="178"/>
      <x:c r="K574" s="178"/>
      <x:c r="L574" s="178"/>
      <x:c r="M574" s="178"/>
      <x:c r="N574" s="178"/>
      <x:c r="O574" s="178"/>
      <x:c r="P574" s="178"/>
      <x:c r="Q574" s="178"/>
      <x:c r="R574" s="178"/>
      <x:c r="S574" s="178"/>
      <x:c r="T574" s="178"/>
      <x:c r="U574" s="178"/>
      <x:c r="V574" s="178"/>
      <x:c r="W574" s="178"/>
      <x:c r="X574" s="178"/>
      <x:c r="Y574" s="178"/>
      <x:c r="Z574" s="178"/>
    </x:row>
    <x:row r="575">
      <x:c r="A575" s="178"/>
      <x:c r="B575" s="178"/>
      <x:c r="C575" s="178"/>
      <x:c r="D575" s="178"/>
      <x:c r="E575" s="178"/>
      <x:c r="F575" s="178"/>
      <x:c r="G575" s="178"/>
      <x:c r="H575" s="178"/>
      <x:c r="I575" s="178"/>
      <x:c r="J575" s="178"/>
      <x:c r="K575" s="178"/>
      <x:c r="L575" s="178"/>
      <x:c r="M575" s="178"/>
      <x:c r="N575" s="178"/>
      <x:c r="O575" s="178"/>
      <x:c r="P575" s="178"/>
      <x:c r="Q575" s="178"/>
      <x:c r="R575" s="178"/>
      <x:c r="S575" s="178"/>
      <x:c r="T575" s="178"/>
      <x:c r="U575" s="178"/>
      <x:c r="V575" s="178"/>
      <x:c r="W575" s="178"/>
      <x:c r="X575" s="178"/>
      <x:c r="Y575" s="178"/>
      <x:c r="Z575" s="178"/>
    </x:row>
    <x:row r="576">
      <x:c r="A576" s="178"/>
      <x:c r="B576" s="178"/>
      <x:c r="C576" s="178"/>
      <x:c r="D576" s="178"/>
      <x:c r="E576" s="178"/>
      <x:c r="F576" s="178"/>
      <x:c r="G576" s="178"/>
      <x:c r="H576" s="178"/>
      <x:c r="I576" s="178"/>
      <x:c r="J576" s="178"/>
      <x:c r="K576" s="178"/>
      <x:c r="L576" s="178"/>
      <x:c r="M576" s="178"/>
      <x:c r="N576" s="178"/>
      <x:c r="O576" s="178"/>
      <x:c r="P576" s="178"/>
      <x:c r="Q576" s="178"/>
      <x:c r="R576" s="178"/>
      <x:c r="S576" s="178"/>
      <x:c r="T576" s="178"/>
      <x:c r="U576" s="178"/>
      <x:c r="V576" s="178"/>
      <x:c r="W576" s="178"/>
      <x:c r="X576" s="178"/>
      <x:c r="Y576" s="178"/>
      <x:c r="Z576" s="178"/>
    </x:row>
    <x:row r="577">
      <x:c r="A577" s="178"/>
      <x:c r="B577" s="178"/>
      <x:c r="C577" s="178"/>
      <x:c r="D577" s="178"/>
      <x:c r="E577" s="178"/>
      <x:c r="F577" s="178"/>
      <x:c r="G577" s="178"/>
      <x:c r="H577" s="178"/>
      <x:c r="I577" s="178"/>
      <x:c r="J577" s="178"/>
      <x:c r="K577" s="178"/>
      <x:c r="L577" s="178"/>
      <x:c r="M577" s="178"/>
      <x:c r="N577" s="178"/>
      <x:c r="O577" s="178"/>
      <x:c r="P577" s="178"/>
      <x:c r="Q577" s="178"/>
      <x:c r="R577" s="178"/>
      <x:c r="S577" s="178"/>
      <x:c r="T577" s="178"/>
      <x:c r="U577" s="178"/>
      <x:c r="V577" s="178"/>
      <x:c r="W577" s="178"/>
      <x:c r="X577" s="178"/>
      <x:c r="Y577" s="178"/>
      <x:c r="Z577" s="178"/>
    </x:row>
    <x:row r="578">
      <x:c r="A578" s="178"/>
      <x:c r="B578" s="178"/>
      <x:c r="C578" s="178"/>
      <x:c r="D578" s="178"/>
      <x:c r="E578" s="178"/>
      <x:c r="F578" s="178"/>
      <x:c r="G578" s="178"/>
      <x:c r="H578" s="178"/>
      <x:c r="I578" s="178"/>
      <x:c r="J578" s="178"/>
      <x:c r="K578" s="178"/>
      <x:c r="L578" s="178"/>
      <x:c r="M578" s="178"/>
      <x:c r="N578" s="178"/>
      <x:c r="O578" s="178"/>
      <x:c r="P578" s="178"/>
      <x:c r="Q578" s="178"/>
      <x:c r="R578" s="178"/>
      <x:c r="S578" s="178"/>
      <x:c r="T578" s="178"/>
      <x:c r="U578" s="178"/>
      <x:c r="V578" s="178"/>
      <x:c r="W578" s="178"/>
      <x:c r="X578" s="178"/>
      <x:c r="Y578" s="178"/>
      <x:c r="Z578" s="178"/>
    </x:row>
    <x:row r="579">
      <x:c r="A579" s="178"/>
      <x:c r="B579" s="178"/>
      <x:c r="C579" s="178"/>
      <x:c r="D579" s="178"/>
      <x:c r="E579" s="178"/>
      <x:c r="F579" s="178"/>
      <x:c r="G579" s="178"/>
      <x:c r="H579" s="178"/>
      <x:c r="I579" s="178"/>
      <x:c r="J579" s="178"/>
      <x:c r="K579" s="178"/>
      <x:c r="L579" s="178"/>
      <x:c r="M579" s="178"/>
      <x:c r="N579" s="178"/>
      <x:c r="O579" s="178"/>
      <x:c r="P579" s="178"/>
      <x:c r="Q579" s="178"/>
      <x:c r="R579" s="178"/>
      <x:c r="S579" s="178"/>
      <x:c r="T579" s="178"/>
      <x:c r="U579" s="178"/>
      <x:c r="V579" s="178"/>
      <x:c r="W579" s="178"/>
      <x:c r="X579" s="178"/>
      <x:c r="Y579" s="178"/>
      <x:c r="Z579" s="178"/>
    </x:row>
    <x:row r="580">
      <x:c r="A580" s="178"/>
      <x:c r="B580" s="178"/>
      <x:c r="C580" s="178"/>
      <x:c r="D580" s="178"/>
      <x:c r="E580" s="178"/>
      <x:c r="F580" s="178"/>
      <x:c r="G580" s="178"/>
      <x:c r="H580" s="178"/>
      <x:c r="I580" s="178"/>
      <x:c r="J580" s="178"/>
      <x:c r="K580" s="178"/>
      <x:c r="L580" s="178"/>
      <x:c r="M580" s="178"/>
      <x:c r="N580" s="178"/>
      <x:c r="O580" s="178"/>
      <x:c r="P580" s="178"/>
      <x:c r="Q580" s="178"/>
      <x:c r="R580" s="178"/>
      <x:c r="S580" s="178"/>
      <x:c r="T580" s="178"/>
      <x:c r="U580" s="178"/>
      <x:c r="V580" s="178"/>
      <x:c r="W580" s="178"/>
      <x:c r="X580" s="178"/>
      <x:c r="Y580" s="178"/>
      <x:c r="Z580" s="178"/>
    </x:row>
    <x:row r="581">
      <x:c r="A581" s="178"/>
      <x:c r="B581" s="178"/>
      <x:c r="C581" s="178"/>
      <x:c r="D581" s="178"/>
      <x:c r="E581" s="178"/>
      <x:c r="F581" s="178"/>
      <x:c r="G581" s="178"/>
      <x:c r="H581" s="178"/>
      <x:c r="I581" s="178"/>
      <x:c r="J581" s="178"/>
      <x:c r="K581" s="178"/>
      <x:c r="L581" s="178"/>
      <x:c r="M581" s="178"/>
      <x:c r="N581" s="178"/>
      <x:c r="O581" s="178"/>
      <x:c r="P581" s="178"/>
      <x:c r="Q581" s="178"/>
      <x:c r="R581" s="178"/>
      <x:c r="S581" s="178"/>
      <x:c r="T581" s="178"/>
      <x:c r="U581" s="178"/>
      <x:c r="V581" s="178"/>
      <x:c r="W581" s="178"/>
      <x:c r="X581" s="178"/>
      <x:c r="Y581" s="178"/>
      <x:c r="Z581" s="178"/>
    </x:row>
    <x:row r="582">
      <x:c r="A582" s="178"/>
      <x:c r="B582" s="178"/>
      <x:c r="C582" s="178"/>
      <x:c r="D582" s="178"/>
      <x:c r="E582" s="178"/>
      <x:c r="F582" s="178"/>
      <x:c r="G582" s="178"/>
      <x:c r="H582" s="178"/>
      <x:c r="I582" s="178"/>
      <x:c r="J582" s="178"/>
      <x:c r="K582" s="178"/>
      <x:c r="L582" s="178"/>
      <x:c r="M582" s="178"/>
      <x:c r="N582" s="178"/>
      <x:c r="O582" s="178"/>
      <x:c r="P582" s="178"/>
      <x:c r="Q582" s="178"/>
      <x:c r="R582" s="178"/>
      <x:c r="S582" s="178"/>
      <x:c r="T582" s="178"/>
      <x:c r="U582" s="178"/>
      <x:c r="V582" s="178"/>
      <x:c r="W582" s="178"/>
      <x:c r="X582" s="178"/>
      <x:c r="Y582" s="178"/>
      <x:c r="Z582" s="178"/>
    </x:row>
    <x:row r="583">
      <x:c r="A583" s="178"/>
      <x:c r="B583" s="178"/>
      <x:c r="C583" s="178"/>
      <x:c r="D583" s="178"/>
      <x:c r="E583" s="178"/>
      <x:c r="F583" s="178"/>
      <x:c r="G583" s="178"/>
      <x:c r="H583" s="178"/>
      <x:c r="I583" s="178"/>
      <x:c r="J583" s="178"/>
      <x:c r="K583" s="178"/>
      <x:c r="L583" s="178"/>
      <x:c r="M583" s="178"/>
      <x:c r="N583" s="178"/>
      <x:c r="O583" s="178"/>
      <x:c r="P583" s="178"/>
      <x:c r="Q583" s="178"/>
      <x:c r="R583" s="178"/>
      <x:c r="S583" s="178"/>
      <x:c r="T583" s="178"/>
      <x:c r="U583" s="178"/>
      <x:c r="V583" s="178"/>
      <x:c r="W583" s="178"/>
      <x:c r="X583" s="178"/>
      <x:c r="Y583" s="178"/>
      <x:c r="Z583" s="178"/>
    </x:row>
    <x:row r="584">
      <x:c r="A584" s="178"/>
      <x:c r="B584" s="178"/>
      <x:c r="C584" s="178"/>
      <x:c r="D584" s="178"/>
      <x:c r="E584" s="178"/>
      <x:c r="F584" s="178"/>
      <x:c r="G584" s="178"/>
      <x:c r="H584" s="178"/>
      <x:c r="I584" s="178"/>
      <x:c r="J584" s="178"/>
      <x:c r="K584" s="178"/>
      <x:c r="L584" s="178"/>
      <x:c r="M584" s="178"/>
      <x:c r="N584" s="178"/>
      <x:c r="O584" s="178"/>
      <x:c r="P584" s="178"/>
      <x:c r="Q584" s="178"/>
      <x:c r="R584" s="178"/>
      <x:c r="S584" s="178"/>
      <x:c r="T584" s="178"/>
      <x:c r="U584" s="178"/>
      <x:c r="V584" s="178"/>
      <x:c r="W584" s="178"/>
      <x:c r="X584" s="178"/>
      <x:c r="Y584" s="178"/>
      <x:c r="Z584" s="178"/>
    </x:row>
    <x:row r="585">
      <x:c r="A585" s="178"/>
      <x:c r="B585" s="178"/>
      <x:c r="C585" s="178"/>
      <x:c r="D585" s="178"/>
      <x:c r="E585" s="178"/>
      <x:c r="F585" s="178"/>
      <x:c r="G585" s="178"/>
      <x:c r="H585" s="178"/>
      <x:c r="I585" s="178"/>
      <x:c r="J585" s="178"/>
      <x:c r="K585" s="178"/>
      <x:c r="L585" s="178"/>
      <x:c r="M585" s="178"/>
      <x:c r="N585" s="178"/>
      <x:c r="O585" s="178"/>
      <x:c r="P585" s="178"/>
      <x:c r="Q585" s="178"/>
      <x:c r="R585" s="178"/>
      <x:c r="S585" s="178"/>
      <x:c r="T585" s="178"/>
      <x:c r="U585" s="178"/>
      <x:c r="V585" s="178"/>
      <x:c r="W585" s="178"/>
      <x:c r="X585" s="178"/>
      <x:c r="Y585" s="178"/>
      <x:c r="Z585" s="178"/>
    </x:row>
    <x:row r="586">
      <x:c r="A586" s="178"/>
      <x:c r="B586" s="178"/>
      <x:c r="C586" s="178"/>
      <x:c r="D586" s="178"/>
      <x:c r="E586" s="178"/>
      <x:c r="F586" s="178"/>
      <x:c r="G586" s="178"/>
      <x:c r="H586" s="178"/>
      <x:c r="I586" s="178"/>
      <x:c r="J586" s="178"/>
      <x:c r="K586" s="178"/>
      <x:c r="L586" s="178"/>
      <x:c r="M586" s="178"/>
      <x:c r="N586" s="178"/>
      <x:c r="O586" s="178"/>
      <x:c r="P586" s="178"/>
      <x:c r="Q586" s="178"/>
      <x:c r="R586" s="178"/>
      <x:c r="S586" s="178"/>
      <x:c r="T586" s="178"/>
      <x:c r="U586" s="178"/>
      <x:c r="V586" s="178"/>
      <x:c r="W586" s="178"/>
      <x:c r="X586" s="178"/>
      <x:c r="Y586" s="178"/>
      <x:c r="Z586" s="178"/>
    </x:row>
    <x:row r="587">
      <x:c r="A587" s="178"/>
      <x:c r="B587" s="178"/>
      <x:c r="C587" s="178"/>
      <x:c r="D587" s="178"/>
      <x:c r="E587" s="178"/>
      <x:c r="F587" s="178"/>
      <x:c r="G587" s="178"/>
      <x:c r="H587" s="178"/>
      <x:c r="I587" s="178"/>
      <x:c r="J587" s="178"/>
      <x:c r="K587" s="178"/>
      <x:c r="L587" s="178"/>
      <x:c r="M587" s="178"/>
      <x:c r="N587" s="178"/>
      <x:c r="O587" s="178"/>
      <x:c r="P587" s="178"/>
      <x:c r="Q587" s="178"/>
      <x:c r="R587" s="178"/>
      <x:c r="S587" s="178"/>
      <x:c r="T587" s="178"/>
      <x:c r="U587" s="178"/>
      <x:c r="V587" s="178"/>
      <x:c r="W587" s="178"/>
      <x:c r="X587" s="178"/>
      <x:c r="Y587" s="178"/>
      <x:c r="Z587" s="178"/>
    </x:row>
    <x:row r="588">
      <x:c r="A588" s="178"/>
      <x:c r="B588" s="178"/>
      <x:c r="C588" s="178"/>
      <x:c r="D588" s="178"/>
      <x:c r="E588" s="178"/>
      <x:c r="F588" s="178"/>
      <x:c r="G588" s="178"/>
      <x:c r="H588" s="178"/>
      <x:c r="I588" s="178"/>
      <x:c r="J588" s="178"/>
      <x:c r="K588" s="178"/>
      <x:c r="L588" s="178"/>
      <x:c r="M588" s="178"/>
      <x:c r="N588" s="178"/>
      <x:c r="O588" s="178"/>
      <x:c r="P588" s="178"/>
      <x:c r="Q588" s="178"/>
      <x:c r="R588" s="178"/>
      <x:c r="S588" s="178"/>
      <x:c r="T588" s="178"/>
      <x:c r="U588" s="178"/>
      <x:c r="V588" s="178"/>
      <x:c r="W588" s="178"/>
      <x:c r="X588" s="178"/>
      <x:c r="Y588" s="178"/>
      <x:c r="Z588" s="178"/>
    </x:row>
    <x:row r="589">
      <x:c r="A589" s="178"/>
      <x:c r="B589" s="178"/>
      <x:c r="C589" s="178"/>
      <x:c r="D589" s="178"/>
      <x:c r="E589" s="178"/>
      <x:c r="F589" s="178"/>
      <x:c r="G589" s="178"/>
      <x:c r="H589" s="178"/>
      <x:c r="I589" s="178"/>
      <x:c r="J589" s="178"/>
      <x:c r="K589" s="178"/>
      <x:c r="L589" s="178"/>
      <x:c r="M589" s="178"/>
      <x:c r="N589" s="178"/>
      <x:c r="O589" s="178"/>
      <x:c r="P589" s="178"/>
      <x:c r="Q589" s="178"/>
      <x:c r="R589" s="178"/>
      <x:c r="S589" s="178"/>
      <x:c r="T589" s="178"/>
      <x:c r="U589" s="178"/>
      <x:c r="V589" s="178"/>
      <x:c r="W589" s="178"/>
      <x:c r="X589" s="178"/>
      <x:c r="Y589" s="178"/>
      <x:c r="Z589" s="178"/>
    </x:row>
    <x:row r="590">
      <x:c r="A590" s="178"/>
      <x:c r="B590" s="178"/>
      <x:c r="C590" s="178"/>
      <x:c r="D590" s="178"/>
      <x:c r="E590" s="178"/>
      <x:c r="F590" s="178"/>
      <x:c r="G590" s="178"/>
      <x:c r="H590" s="178"/>
      <x:c r="I590" s="178"/>
      <x:c r="J590" s="178"/>
      <x:c r="K590" s="178"/>
      <x:c r="L590" s="178"/>
      <x:c r="M590" s="178"/>
      <x:c r="N590" s="178"/>
      <x:c r="O590" s="178"/>
      <x:c r="P590" s="178"/>
      <x:c r="Q590" s="178"/>
      <x:c r="R590" s="178"/>
      <x:c r="S590" s="178"/>
      <x:c r="T590" s="178"/>
      <x:c r="U590" s="178"/>
      <x:c r="V590" s="178"/>
      <x:c r="W590" s="178"/>
      <x:c r="X590" s="178"/>
      <x:c r="Y590" s="178"/>
      <x:c r="Z590" s="178"/>
    </x:row>
    <x:row r="591">
      <x:c r="A591" s="178"/>
      <x:c r="B591" s="178"/>
      <x:c r="C591" s="178"/>
      <x:c r="D591" s="178"/>
      <x:c r="E591" s="178"/>
      <x:c r="F591" s="178"/>
      <x:c r="G591" s="178"/>
      <x:c r="H591" s="178"/>
      <x:c r="I591" s="178"/>
      <x:c r="J591" s="178"/>
      <x:c r="K591" s="178"/>
      <x:c r="L591" s="178"/>
      <x:c r="M591" s="178"/>
      <x:c r="N591" s="178"/>
      <x:c r="O591" s="178"/>
      <x:c r="P591" s="178"/>
      <x:c r="Q591" s="178"/>
      <x:c r="R591" s="178"/>
      <x:c r="S591" s="178"/>
      <x:c r="T591" s="178"/>
      <x:c r="U591" s="178"/>
      <x:c r="V591" s="178"/>
      <x:c r="W591" s="178"/>
      <x:c r="X591" s="178"/>
      <x:c r="Y591" s="178"/>
      <x:c r="Z591" s="178"/>
    </x:row>
    <x:row r="592">
      <x:c r="A592" s="178"/>
      <x:c r="B592" s="178"/>
      <x:c r="C592" s="178"/>
      <x:c r="D592" s="178"/>
      <x:c r="E592" s="178"/>
      <x:c r="F592" s="178"/>
      <x:c r="G592" s="178"/>
      <x:c r="H592" s="178"/>
      <x:c r="I592" s="178"/>
      <x:c r="J592" s="178"/>
      <x:c r="K592" s="178"/>
      <x:c r="L592" s="178"/>
      <x:c r="M592" s="178"/>
      <x:c r="N592" s="178"/>
      <x:c r="O592" s="178"/>
      <x:c r="P592" s="178"/>
      <x:c r="Q592" s="178"/>
      <x:c r="R592" s="178"/>
      <x:c r="S592" s="178"/>
      <x:c r="T592" s="178"/>
      <x:c r="U592" s="178"/>
      <x:c r="V592" s="178"/>
      <x:c r="W592" s="178"/>
      <x:c r="X592" s="178"/>
      <x:c r="Y592" s="178"/>
      <x:c r="Z592" s="178"/>
    </x:row>
    <x:row r="593">
      <x:c r="A593" s="178"/>
      <x:c r="B593" s="178"/>
      <x:c r="C593" s="178"/>
      <x:c r="D593" s="178"/>
      <x:c r="E593" s="178"/>
      <x:c r="F593" s="178"/>
      <x:c r="G593" s="178"/>
      <x:c r="H593" s="178"/>
      <x:c r="I593" s="178"/>
      <x:c r="J593" s="178"/>
      <x:c r="K593" s="178"/>
      <x:c r="L593" s="178"/>
      <x:c r="M593" s="178"/>
      <x:c r="N593" s="178"/>
      <x:c r="O593" s="178"/>
      <x:c r="P593" s="178"/>
      <x:c r="Q593" s="178"/>
      <x:c r="R593" s="178"/>
      <x:c r="S593" s="178"/>
      <x:c r="T593" s="178"/>
      <x:c r="U593" s="178"/>
      <x:c r="V593" s="178"/>
      <x:c r="W593" s="178"/>
      <x:c r="X593" s="178"/>
      <x:c r="Y593" s="178"/>
      <x:c r="Z593" s="178"/>
    </x:row>
    <x:row r="594">
      <x:c r="A594" s="178"/>
      <x:c r="B594" s="178"/>
      <x:c r="C594" s="178"/>
      <x:c r="D594" s="178"/>
      <x:c r="E594" s="178"/>
      <x:c r="F594" s="178"/>
      <x:c r="G594" s="178"/>
      <x:c r="H594" s="178"/>
      <x:c r="I594" s="178"/>
      <x:c r="J594" s="178"/>
      <x:c r="K594" s="178"/>
      <x:c r="L594" s="178"/>
      <x:c r="M594" s="178"/>
      <x:c r="N594" s="178"/>
      <x:c r="O594" s="178"/>
      <x:c r="P594" s="178"/>
      <x:c r="Q594" s="178"/>
      <x:c r="R594" s="178"/>
      <x:c r="S594" s="178"/>
      <x:c r="T594" s="178"/>
      <x:c r="U594" s="178"/>
      <x:c r="V594" s="178"/>
      <x:c r="W594" s="178"/>
      <x:c r="X594" s="178"/>
      <x:c r="Y594" s="178"/>
      <x:c r="Z594" s="178"/>
    </x:row>
    <x:row r="595">
      <x:c r="A595" s="178"/>
      <x:c r="B595" s="178"/>
      <x:c r="C595" s="178"/>
      <x:c r="D595" s="178"/>
      <x:c r="E595" s="178"/>
      <x:c r="F595" s="178"/>
      <x:c r="G595" s="178"/>
      <x:c r="H595" s="178"/>
      <x:c r="I595" s="178"/>
      <x:c r="J595" s="178"/>
      <x:c r="K595" s="178"/>
      <x:c r="L595" s="178"/>
      <x:c r="M595" s="178"/>
      <x:c r="N595" s="178"/>
      <x:c r="O595" s="178"/>
      <x:c r="P595" s="178"/>
      <x:c r="Q595" s="178"/>
      <x:c r="R595" s="178"/>
      <x:c r="S595" s="178"/>
      <x:c r="T595" s="178"/>
      <x:c r="U595" s="178"/>
      <x:c r="V595" s="178"/>
      <x:c r="W595" s="178"/>
      <x:c r="X595" s="178"/>
      <x:c r="Y595" s="178"/>
      <x:c r="Z595" s="178"/>
    </x:row>
    <x:row r="596">
      <x:c r="A596" s="178"/>
      <x:c r="B596" s="178"/>
      <x:c r="C596" s="178"/>
      <x:c r="D596" s="178"/>
      <x:c r="E596" s="178"/>
      <x:c r="F596" s="178"/>
      <x:c r="G596" s="178"/>
      <x:c r="H596" s="178"/>
      <x:c r="I596" s="178"/>
      <x:c r="J596" s="178"/>
      <x:c r="K596" s="178"/>
      <x:c r="L596" s="178"/>
      <x:c r="M596" s="178"/>
      <x:c r="N596" s="178"/>
      <x:c r="O596" s="178"/>
      <x:c r="P596" s="178"/>
      <x:c r="Q596" s="178"/>
      <x:c r="R596" s="178"/>
      <x:c r="S596" s="178"/>
      <x:c r="T596" s="178"/>
      <x:c r="U596" s="178"/>
      <x:c r="V596" s="178"/>
      <x:c r="W596" s="178"/>
      <x:c r="X596" s="178"/>
      <x:c r="Y596" s="178"/>
      <x:c r="Z596" s="178"/>
    </x:row>
    <x:row r="597">
      <x:c r="A597" s="178"/>
      <x:c r="B597" s="178"/>
      <x:c r="C597" s="178"/>
      <x:c r="D597" s="178"/>
      <x:c r="E597" s="178"/>
      <x:c r="F597" s="178"/>
      <x:c r="G597" s="178"/>
      <x:c r="H597" s="178"/>
      <x:c r="I597" s="178"/>
      <x:c r="J597" s="178"/>
      <x:c r="K597" s="178"/>
      <x:c r="L597" s="178"/>
      <x:c r="M597" s="178"/>
      <x:c r="N597" s="178"/>
      <x:c r="O597" s="178"/>
      <x:c r="P597" s="178"/>
      <x:c r="Q597" s="178"/>
      <x:c r="R597" s="178"/>
      <x:c r="S597" s="178"/>
      <x:c r="T597" s="178"/>
      <x:c r="U597" s="178"/>
      <x:c r="V597" s="178"/>
      <x:c r="W597" s="178"/>
      <x:c r="X597" s="178"/>
      <x:c r="Y597" s="178"/>
      <x:c r="Z597" s="178"/>
    </x:row>
    <x:row r="598">
      <x:c r="A598" s="178"/>
      <x:c r="B598" s="178"/>
      <x:c r="C598" s="178"/>
      <x:c r="D598" s="178"/>
      <x:c r="E598" s="178"/>
      <x:c r="F598" s="178"/>
      <x:c r="G598" s="178"/>
      <x:c r="H598" s="178"/>
      <x:c r="I598" s="178"/>
      <x:c r="J598" s="178"/>
      <x:c r="K598" s="178"/>
      <x:c r="L598" s="178"/>
      <x:c r="M598" s="178"/>
      <x:c r="N598" s="178"/>
      <x:c r="O598" s="178"/>
      <x:c r="P598" s="178"/>
      <x:c r="Q598" s="178"/>
      <x:c r="R598" s="178"/>
      <x:c r="S598" s="178"/>
      <x:c r="T598" s="178"/>
      <x:c r="U598" s="178"/>
      <x:c r="V598" s="178"/>
      <x:c r="W598" s="178"/>
      <x:c r="X598" s="178"/>
      <x:c r="Y598" s="178"/>
      <x:c r="Z598" s="178"/>
    </x:row>
    <x:row r="599">
      <x:c r="A599" s="178"/>
      <x:c r="B599" s="178"/>
      <x:c r="C599" s="178"/>
      <x:c r="D599" s="178"/>
      <x:c r="E599" s="178"/>
      <x:c r="F599" s="178"/>
      <x:c r="G599" s="178"/>
      <x:c r="H599" s="178"/>
      <x:c r="I599" s="178"/>
      <x:c r="J599" s="178"/>
      <x:c r="K599" s="178"/>
      <x:c r="L599" s="178"/>
      <x:c r="M599" s="178"/>
      <x:c r="N599" s="178"/>
      <x:c r="O599" s="178"/>
      <x:c r="P599" s="178"/>
      <x:c r="Q599" s="178"/>
      <x:c r="R599" s="178"/>
      <x:c r="S599" s="178"/>
      <x:c r="T599" s="178"/>
      <x:c r="U599" s="178"/>
      <x:c r="V599" s="178"/>
      <x:c r="W599" s="178"/>
      <x:c r="X599" s="178"/>
      <x:c r="Y599" s="178"/>
      <x:c r="Z599" s="178"/>
    </x:row>
    <x:row r="600">
      <x:c r="A600" s="178"/>
      <x:c r="B600" s="178"/>
      <x:c r="C600" s="178"/>
      <x:c r="D600" s="178"/>
      <x:c r="E600" s="178"/>
      <x:c r="F600" s="178"/>
      <x:c r="G600" s="178"/>
      <x:c r="H600" s="178"/>
      <x:c r="I600" s="178"/>
      <x:c r="J600" s="178"/>
      <x:c r="K600" s="178"/>
      <x:c r="L600" s="178"/>
      <x:c r="M600" s="178"/>
      <x:c r="N600" s="178"/>
      <x:c r="O600" s="178"/>
      <x:c r="P600" s="178"/>
      <x:c r="Q600" s="178"/>
      <x:c r="R600" s="178"/>
      <x:c r="S600" s="178"/>
      <x:c r="T600" s="178"/>
      <x:c r="U600" s="178"/>
      <x:c r="V600" s="178"/>
      <x:c r="W600" s="178"/>
      <x:c r="X600" s="178"/>
      <x:c r="Y600" s="178"/>
      <x:c r="Z600" s="178"/>
    </x:row>
  </x:sheetData>
  <x:mergeCells>
    <x:mergeCell ref="A1:N2"/>
    <x:mergeCell ref="A3:N3"/>
    <x:mergeCell ref="A5:D5"/>
    <x:mergeCell ref="F5:I5"/>
    <x:mergeCell ref="K5:N5"/>
    <x:mergeCell ref="A14:N14"/>
    <x:mergeCell ref="I16:N16"/>
    <x:mergeCell ref="I17:N17"/>
    <x:mergeCell ref="I18:N18"/>
    <x:mergeCell ref="I19:N19"/>
    <x:mergeCell ref="I20:N20"/>
    <x:mergeCell ref="B20:H20"/>
    <x:mergeCell ref="A23:N23"/>
    <x:mergeCell ref="A45:N47"/>
  </x:mergeCells>
  <x:pageMargins left="0.7" right="0.7" top="0.75" bottom="0.75" header="0.3" footer="0.3"/>
  <x:drawing xmlns:r="http://schemas.openxmlformats.org/officeDocument/2006/relationships" r:id="R3620f4d8723b43df"/>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5" hidden="0" customWidth="1"/>
    <x:col min="4" max="4" width="12" hidden="0" customWidth="1"/>
    <x:col min="5" max="5" width="13" hidden="0" customWidth="1"/>
    <x:col min="6" max="6" width="13" hidden="0" customWidth="1"/>
    <x:col min="7" max="7" width="13" hidden="0" customWidth="1"/>
    <x:col min="8" max="8" width="15" hidden="0" customWidth="1"/>
    <x:col min="9" max="9" width="15" hidden="0" customWidth="1"/>
    <x:col min="10" max="10" width="12" hidden="0" customWidth="1"/>
    <x:col min="11" max="11" width="13" hidden="0" customWidth="1"/>
    <x:col min="12" max="12" width="13" hidden="0" customWidth="1"/>
    <x:col min="13" max="13" width="13" hidden="0" customWidth="1"/>
    <x:col min="14" max="14" width="13" hidden="0" customWidth="1"/>
    <x:col min="15" max="15" width="13" hidden="0" customWidth="1"/>
    <x:col min="16" max="16" width="15" hidden="0" customWidth="1"/>
    <x:col min="17" max="17" width="15" hidden="0" customWidth="1"/>
    <x:col min="18" max="18" width="12" hidden="0" customWidth="1"/>
    <x:col min="19" max="19" width="13" hidden="0" customWidth="1"/>
    <x:col min="20" max="20" width="13" hidden="0" customWidth="1"/>
    <x:col min="21" max="21" width="13" hidden="0" customWidth="1"/>
    <x:col min="22" max="22" width="13" hidden="0" customWidth="1"/>
    <x:col min="23" max="23" width="13" hidden="0" customWidth="1"/>
    <x:col min="24" max="24" width="15" hidden="0" customWidth="1"/>
  </x:cols>
  <x:sheetData>
    <x:row r="1">
      <x:c r="A1" s="5" t="str">
        <x:v>Amortization engine</x:v>
      </x:c>
      <x:c r="B1" s="5"/>
      <x:c r="C1" s="5"/>
      <x:c r="D1" s="5"/>
      <x:c r="E1" s="5"/>
      <x:c r="F1" s="5"/>
      <x:c r="G1" s="5"/>
      <x:c r="H1" s="5"/>
      <x:c r="I1" s="5"/>
      <x:c r="J1" s="5"/>
      <x:c r="K1" s="5"/>
      <x:c r="L1" s="5"/>
      <x:c r="M1" s="5"/>
      <x:c r="N1" s="5"/>
      <x:c r="O1" s="5"/>
      <x:c r="P1" s="5"/>
      <x:c r="Q1" s="5"/>
      <x:c r="R1" s="5"/>
      <x:c r="S1" s="5"/>
      <x:c r="T1" s="5"/>
      <x:c r="U1" s="5"/>
      <x:c r="V1" s="5"/>
      <x:c r="W1" s="5"/>
      <x:c r="X1" s="5"/>
      <x:c r="Y1" s="1"/>
      <x:c r="Z1" s="1"/>
    </x:row>
    <x:row r="2">
      <x:c r="A2" s="5"/>
      <x:c r="B2" s="5"/>
      <x:c r="C2" s="5"/>
      <x:c r="D2" s="5"/>
      <x:c r="E2" s="5"/>
      <x:c r="F2" s="5"/>
      <x:c r="G2" s="5"/>
      <x:c r="H2" s="5"/>
      <x:c r="I2" s="5"/>
      <x:c r="J2" s="5"/>
      <x:c r="K2" s="5"/>
      <x:c r="L2" s="5"/>
      <x:c r="M2" s="5"/>
      <x:c r="N2" s="5"/>
      <x:c r="O2" s="5"/>
      <x:c r="P2" s="5"/>
      <x:c r="Q2" s="5"/>
      <x:c r="R2" s="5"/>
      <x:c r="S2" s="5"/>
      <x:c r="T2" s="5"/>
      <x:c r="U2" s="5"/>
      <x:c r="V2" s="5"/>
      <x:c r="W2" s="5"/>
      <x:c r="X2" s="5"/>
      <x:c r="Y2" s="1"/>
      <x:c r="Z2" s="1"/>
    </x:row>
    <x:row r="3">
      <x:c r="A3" s="8" t="str">
        <x:v>Formula sheet · baseline plus two extra-payment strategies · do not edit.</x:v>
      </x:c>
      <x:c r="B3" s="8"/>
      <x:c r="C3" s="8"/>
      <x:c r="D3" s="8"/>
      <x:c r="E3" s="8"/>
      <x:c r="F3" s="8"/>
      <x:c r="G3" s="8"/>
      <x:c r="H3" s="8"/>
      <x:c r="I3" s="8"/>
      <x:c r="J3" s="8"/>
      <x:c r="K3" s="8"/>
      <x:c r="L3" s="8"/>
      <x:c r="M3" s="8"/>
      <x:c r="N3" s="8"/>
      <x:c r="O3" s="8"/>
      <x:c r="P3" s="8"/>
      <x:c r="Q3" s="8"/>
      <x:c r="R3" s="8"/>
      <x:c r="S3" s="8"/>
      <x:c r="T3" s="8"/>
      <x:c r="U3" s="8"/>
      <x:c r="V3" s="8"/>
      <x:c r="W3" s="8"/>
      <x:c r="X3" s="8"/>
      <x:c r="Y3" s="1"/>
      <x:c r="Z3" s="1"/>
    </x:row>
    <x:row r="4">
      <x:c r="A4" s="93" t="str">
        <x:v>Timing</x:v>
      </x:c>
      <x:c r="B4" s="93" t="str"/>
      <x:c r="C4" s="93" t="str">
        <x:v>Baseline</x:v>
      </x:c>
      <x:c r="D4" s="93" t="str"/>
      <x:c r="E4" s="93" t="str"/>
      <x:c r="F4" s="93" t="str"/>
      <x:c r="G4" s="93" t="str"/>
      <x:c r="H4" s="93" t="str"/>
      <x:c r="I4" s="93" t="str">
        <x:v>Strategy A</x:v>
      </x:c>
      <x:c r="J4" s="93" t="str"/>
      <x:c r="K4" s="93" t="str"/>
      <x:c r="L4" s="93" t="str"/>
      <x:c r="M4" s="93" t="str"/>
      <x:c r="N4" s="93" t="str"/>
      <x:c r="O4" s="93" t="str"/>
      <x:c r="P4" s="93" t="str"/>
      <x:c r="Q4" s="93" t="str">
        <x:v>Strategy B</x:v>
      </x:c>
      <x:c r="R4" s="93" t="str"/>
      <x:c r="S4" s="93" t="str"/>
      <x:c r="T4" s="93" t="str"/>
      <x:c r="U4" s="93" t="str"/>
      <x:c r="V4" s="93" t="str"/>
      <x:c r="W4" s="93" t="str"/>
      <x:c r="X4" s="93" t="str"/>
      <x:c r="Y4" s="1"/>
      <x:c r="Z4" s="1"/>
    </x:row>
    <x:row r="5">
      <x:c r="A5" s="98" t="str">
        <x:v>Payment #</x:v>
      </x:c>
      <x:c r="B5" s="98" t="str">
        <x:v>Payment date</x:v>
      </x:c>
      <x:c r="C5" s="98" t="str">
        <x:v>Begin balance</x:v>
      </x:c>
      <x:c r="D5" s="98" t="str">
        <x:v>Interest</x:v>
      </x:c>
      <x:c r="E5" s="98" t="str">
        <x:v>Scheduled</x:v>
      </x:c>
      <x:c r="F5" s="98" t="str">
        <x:v>Total paid</x:v>
      </x:c>
      <x:c r="G5" s="98" t="str">
        <x:v>Principal</x:v>
      </x:c>
      <x:c r="H5" s="98" t="str">
        <x:v>End balance</x:v>
      </x:c>
      <x:c r="I5" s="98" t="str">
        <x:v>Begin balance</x:v>
      </x:c>
      <x:c r="J5" s="98" t="str">
        <x:v>Interest</x:v>
      </x:c>
      <x:c r="K5" s="98" t="str">
        <x:v>Scheduled</x:v>
      </x:c>
      <x:c r="L5" s="98" t="str">
        <x:v>Monthly extra</x:v>
      </x:c>
      <x:c r="M5" s="98" t="str">
        <x:v>One-time extra</x:v>
      </x:c>
      <x:c r="N5" s="98" t="str">
        <x:v>Total paid</x:v>
      </x:c>
      <x:c r="O5" s="98" t="str">
        <x:v>Principal</x:v>
      </x:c>
      <x:c r="P5" s="98" t="str">
        <x:v>End balance</x:v>
      </x:c>
      <x:c r="Q5" s="98" t="str">
        <x:v>Begin balance</x:v>
      </x:c>
      <x:c r="R5" s="98" t="str">
        <x:v>Interest</x:v>
      </x:c>
      <x:c r="S5" s="98" t="str">
        <x:v>Scheduled</x:v>
      </x:c>
      <x:c r="T5" s="98" t="str">
        <x:v>Monthly extra</x:v>
      </x:c>
      <x:c r="U5" s="98" t="str">
        <x:v>One-time extra</x:v>
      </x:c>
      <x:c r="V5" s="98" t="str">
        <x:v>Total paid</x:v>
      </x:c>
      <x:c r="W5" s="98" t="str">
        <x:v>Principal</x:v>
      </x:c>
      <x:c r="X5" s="98" t="str">
        <x:v>End balance</x:v>
      </x:c>
      <x:c r="Y5" s="1"/>
      <x:c r="Z5" s="1"/>
    </x:row>
    <x:row r="6">
      <x:c r="A6" s="100" t="n">
        <x:v>1</x:v>
      </x:c>
      <x:c r="B6" s="103" t="n">
        <x:f>'Your Mortgage'!$C$9</x:f>
        <x:v>46235</x:v>
      </x:c>
      <x:c r="C6" s="104" t="n">
        <x:f>'Your Mortgage'!$C$6</x:f>
        <x:v>325000</x:v>
      </x:c>
      <x:c r="D6" s="104" t="n">
        <x:f>IF(C6&gt;0,C6*'Your Mortgage'!$C$7/12,0)</x:f>
        <x:v>1760.4166666666667</x:v>
      </x:c>
      <x:c r="E6" s="104" t="n">
        <x:f>IF(C6&gt;0,MIN('Your Mortgage'!$C$11,C6+D6),0)</x:f>
        <x:v>2054.2210763521375</x:v>
      </x:c>
      <x:c r="F6" s="104" t="n">
        <x:f>E6</x:f>
        <x:v>2054.2210763521375</x:v>
      </x:c>
      <x:c r="G6" s="104" t="n">
        <x:f>MAX(0,F6-D6)</x:f>
        <x:v>293.8044096854708</x:v>
      </x:c>
      <x:c r="H6" s="104" t="n">
        <x:f>MAX(0,C6-G6)</x:f>
        <x:v>324706.1955903145</x:v>
      </x:c>
      <x:c r="I6" s="105" t="n">
        <x:f>'Your Mortgage'!$C$6</x:f>
        <x:v>325000</x:v>
      </x:c>
      <x:c r="J6" s="105" t="n">
        <x:f>IF(I6&gt;0,I6*'Your Mortgage'!$C$7/12,0)</x:f>
        <x:v>1760.4166666666667</x:v>
      </x:c>
      <x:c r="K6" s="105" t="n">
        <x:f>IF(I6&gt;0,MIN('Your Mortgage'!$C$11,I6+J6),0)</x:f>
        <x:v>2054.2210763521375</x:v>
      </x:c>
      <x:c r="L6" s="105" t="n">
        <x:f>IF(I6&gt;0,MIN('Your Mortgage'!$F$6,MAX(0,I6+J6-K6)),0)</x:f>
        <x:v>250</x:v>
      </x:c>
      <x:c r="M6" s="105" t="n">
        <x:f>IF(AND(A6='Your Mortgage'!$F$8,I6&gt;0),MIN('Your Mortgage'!$F$7,MAX(0,I6+J6-K6-L6)),0)</x:f>
        <x:v>0</x:v>
      </x:c>
      <x:c r="N6" s="105" t="n">
        <x:f>K6+L6+M6</x:f>
        <x:v>2304.2210763521375</x:v>
      </x:c>
      <x:c r="O6" s="105" t="n">
        <x:f>MAX(0,N6-J6)</x:f>
        <x:v>543.8044096854708</x:v>
      </x:c>
      <x:c r="P6" s="105" t="n">
        <x:f>MAX(0,I6-O6)</x:f>
        <x:v>324456.1955903145</x:v>
      </x:c>
      <x:c r="Q6" s="106" t="n">
        <x:f>'Your Mortgage'!$C$6</x:f>
        <x:v>325000</x:v>
      </x:c>
      <x:c r="R6" s="106" t="n">
        <x:f>IF(Q6&gt;0,Q6*'Your Mortgage'!$C$7/12,0)</x:f>
        <x:v>1760.4166666666667</x:v>
      </x:c>
      <x:c r="S6" s="106" t="n">
        <x:f>IF(Q6&gt;0,MIN('Your Mortgage'!$C$11,Q6+R6),0)</x:f>
        <x:v>2054.2210763521375</x:v>
      </x:c>
      <x:c r="T6" s="106" t="n">
        <x:f>IF(Q6&gt;0,MIN('Your Mortgage'!$I$6,MAX(0,Q6+R6-S6)),0)</x:f>
        <x:v>500</x:v>
      </x:c>
      <x:c r="U6" s="106" t="n">
        <x:f>IF(AND(A6='Your Mortgage'!$I$8,Q6&gt;0),MIN('Your Mortgage'!$I$7,MAX(0,Q6+R6-S6-T6)),0)</x:f>
        <x:v>0</x:v>
      </x:c>
      <x:c r="V6" s="106" t="n">
        <x:f>S6+T6+U6</x:f>
        <x:v>2554.2210763521375</x:v>
      </x:c>
      <x:c r="W6" s="106" t="n">
        <x:f>MAX(0,V6-R6)</x:f>
        <x:v>793.8044096854708</x:v>
      </x:c>
      <x:c r="X6" s="106" t="n">
        <x:f>MAX(0,Q6-W6)</x:f>
        <x:v>324206.1955903145</x:v>
      </x:c>
      <x:c r="Y6" s="1"/>
      <x:c r="Z6" s="1"/>
    </x:row>
    <x:row r="7">
      <x:c r="A7" s="100" t="n">
        <x:f>A6+1</x:f>
        <x:v>2</x:v>
      </x:c>
      <x:c r="B7" s="103" t="n">
        <x:f>EDATE(B6,1)</x:f>
        <x:v>46266</x:v>
      </x:c>
      <x:c r="C7" s="104" t="n">
        <x:f>H6</x:f>
        <x:v>324706.1955903145</x:v>
      </x:c>
      <x:c r="D7" s="104" t="n">
        <x:f>IF(C7&gt;0,C7*'Your Mortgage'!$C$7/12,0)</x:f>
        <x:v>1758.8252261142036</x:v>
      </x:c>
      <x:c r="E7" s="104" t="n">
        <x:f>IF(C7&gt;0,MIN('Your Mortgage'!$C$11,C7+D7),0)</x:f>
        <x:v>2054.2210763521375</x:v>
      </x:c>
      <x:c r="F7" s="104" t="n">
        <x:f>E7</x:f>
        <x:v>2054.2210763521375</x:v>
      </x:c>
      <x:c r="G7" s="104" t="n">
        <x:f>MAX(0,F7-D7)</x:f>
        <x:v>295.3958502379339</x:v>
      </x:c>
      <x:c r="H7" s="104" t="n">
        <x:f>MAX(0,C7-G7)</x:f>
        <x:v>324410.7997400766</x:v>
      </x:c>
      <x:c r="I7" s="105" t="n">
        <x:f>P6</x:f>
        <x:v>324456.1955903145</x:v>
      </x:c>
      <x:c r="J7" s="105" t="n">
        <x:f>IF(I7&gt;0,I7*'Your Mortgage'!$C$7/12,0)</x:f>
        <x:v>1757.471059447537</x:v>
      </x:c>
      <x:c r="K7" s="105" t="n">
        <x:f>IF(I7&gt;0,MIN('Your Mortgage'!$C$11,I7+J7),0)</x:f>
        <x:v>2054.2210763521375</x:v>
      </x:c>
      <x:c r="L7" s="105" t="n">
        <x:f>IF(I7&gt;0,MIN('Your Mortgage'!$F$6,MAX(0,I7+J7-K7)),0)</x:f>
        <x:v>250</x:v>
      </x:c>
      <x:c r="M7" s="105" t="n">
        <x:f>IF(AND(A7='Your Mortgage'!$F$8,I7&gt;0),MIN('Your Mortgage'!$F$7,MAX(0,I7+J7-K7-L7)),0)</x:f>
        <x:v>0</x:v>
      </x:c>
      <x:c r="N7" s="105" t="n">
        <x:f>K7+L7+M7</x:f>
        <x:v>2304.2210763521375</x:v>
      </x:c>
      <x:c r="O7" s="105" t="n">
        <x:f>MAX(0,N7-J7)</x:f>
        <x:v>546.7500169046004</x:v>
      </x:c>
      <x:c r="P7" s="105" t="n">
        <x:f>MAX(0,I7-O7)</x:f>
        <x:v>323909.4455734099</x:v>
      </x:c>
      <x:c r="Q7" s="106" t="n">
        <x:f>X6</x:f>
        <x:v>324206.1955903145</x:v>
      </x:c>
      <x:c r="R7" s="106" t="n">
        <x:f>IF(Q7&gt;0,Q7*'Your Mortgage'!$C$7/12,0)</x:f>
        <x:v>1756.1168927808703</x:v>
      </x:c>
      <x:c r="S7" s="106" t="n">
        <x:f>IF(Q7&gt;0,MIN('Your Mortgage'!$C$11,Q7+R7),0)</x:f>
        <x:v>2054.2210763521375</x:v>
      </x:c>
      <x:c r="T7" s="106" t="n">
        <x:f>IF(Q7&gt;0,MIN('Your Mortgage'!$I$6,MAX(0,Q7+R7-S7)),0)</x:f>
        <x:v>500</x:v>
      </x:c>
      <x:c r="U7" s="106" t="n">
        <x:f>IF(AND(A7='Your Mortgage'!$I$8,Q7&gt;0),MIN('Your Mortgage'!$I$7,MAX(0,Q7+R7-S7-T7)),0)</x:f>
        <x:v>0</x:v>
      </x:c>
      <x:c r="V7" s="106" t="n">
        <x:f>S7+T7+U7</x:f>
        <x:v>2554.2210763521375</x:v>
      </x:c>
      <x:c r="W7" s="106" t="n">
        <x:f>MAX(0,V7-R7)</x:f>
        <x:v>798.1041835712672</x:v>
      </x:c>
      <x:c r="X7" s="106" t="n">
        <x:f>MAX(0,Q7-W7)</x:f>
        <x:v>323408.0914067433</x:v>
      </x:c>
      <x:c r="Y7" s="1"/>
      <x:c r="Z7" s="1"/>
    </x:row>
    <x:row r="8">
      <x:c r="A8" s="100" t="n">
        <x:f>A7+1</x:f>
        <x:v>3</x:v>
      </x:c>
      <x:c r="B8" s="103" t="n">
        <x:f>EDATE(B7,1)</x:f>
        <x:v>46296</x:v>
      </x:c>
      <x:c r="C8" s="104" t="n">
        <x:f>H7</x:f>
        <x:v>324410.7997400766</x:v>
      </x:c>
      <x:c r="D8" s="104" t="n">
        <x:f>IF(C8&gt;0,C8*'Your Mortgage'!$C$7/12,0)</x:f>
        <x:v>1757.2251652587483</x:v>
      </x:c>
      <x:c r="E8" s="104" t="n">
        <x:f>IF(C8&gt;0,MIN('Your Mortgage'!$C$11,C8+D8),0)</x:f>
        <x:v>2054.2210763521375</x:v>
      </x:c>
      <x:c r="F8" s="104" t="n">
        <x:f>E8</x:f>
        <x:v>2054.2210763521375</x:v>
      </x:c>
      <x:c r="G8" s="104" t="n">
        <x:f>MAX(0,F8-D8)</x:f>
        <x:v>296.99591109338917</x:v>
      </x:c>
      <x:c r="H8" s="104" t="n">
        <x:f>MAX(0,C8-G8)</x:f>
        <x:v>324113.8038289832</x:v>
      </x:c>
      <x:c r="I8" s="105" t="n">
        <x:f>P7</x:f>
        <x:v>323909.4455734099</x:v>
      </x:c>
      <x:c r="J8" s="105" t="n">
        <x:f>IF(I8&gt;0,I8*'Your Mortgage'!$C$7/12,0)</x:f>
        <x:v>1754.5094968559704</x:v>
      </x:c>
      <x:c r="K8" s="105" t="n">
        <x:f>IF(I8&gt;0,MIN('Your Mortgage'!$C$11,I8+J8),0)</x:f>
        <x:v>2054.2210763521375</x:v>
      </x:c>
      <x:c r="L8" s="105" t="n">
        <x:f>IF(I8&gt;0,MIN('Your Mortgage'!$F$6,MAX(0,I8+J8-K8)),0)</x:f>
        <x:v>250</x:v>
      </x:c>
      <x:c r="M8" s="105" t="n">
        <x:f>IF(AND(A8='Your Mortgage'!$F$8,I8&gt;0),MIN('Your Mortgage'!$F$7,MAX(0,I8+J8-K8-L8)),0)</x:f>
        <x:v>0</x:v>
      </x:c>
      <x:c r="N8" s="105" t="n">
        <x:f>K8+L8+M8</x:f>
        <x:v>2304.2210763521375</x:v>
      </x:c>
      <x:c r="O8" s="105" t="n">
        <x:f>MAX(0,N8-J8)</x:f>
        <x:v>549.7115794961671</x:v>
      </x:c>
      <x:c r="P8" s="105" t="n">
        <x:f>MAX(0,I8-O8)</x:f>
        <x:v>323359.73399391375</x:v>
      </x:c>
      <x:c r="Q8" s="106" t="n">
        <x:f>X7</x:f>
        <x:v>323408.0914067433</x:v>
      </x:c>
      <x:c r="R8" s="106" t="n">
        <x:f>IF(Q8&gt;0,Q8*'Your Mortgage'!$C$7/12,0)</x:f>
        <x:v>1751.7938284531929</x:v>
      </x:c>
      <x:c r="S8" s="106" t="n">
        <x:f>IF(Q8&gt;0,MIN('Your Mortgage'!$C$11,Q8+R8),0)</x:f>
        <x:v>2054.2210763521375</x:v>
      </x:c>
      <x:c r="T8" s="106" t="n">
        <x:f>IF(Q8&gt;0,MIN('Your Mortgage'!$I$6,MAX(0,Q8+R8-S8)),0)</x:f>
        <x:v>500</x:v>
      </x:c>
      <x:c r="U8" s="106" t="n">
        <x:f>IF(AND(A8='Your Mortgage'!$I$8,Q8&gt;0),MIN('Your Mortgage'!$I$7,MAX(0,Q8+R8-S8-T8)),0)</x:f>
        <x:v>0</x:v>
      </x:c>
      <x:c r="V8" s="106" t="n">
        <x:f>S8+T8+U8</x:f>
        <x:v>2554.2210763521375</x:v>
      </x:c>
      <x:c r="W8" s="106" t="n">
        <x:f>MAX(0,V8-R8)</x:f>
        <x:v>802.4272478989446</x:v>
      </x:c>
      <x:c r="X8" s="106" t="n">
        <x:f>MAX(0,Q8-W8)</x:f>
        <x:v>322605.66415884433</x:v>
      </x:c>
      <x:c r="Y8" s="1"/>
      <x:c r="Z8" s="1"/>
    </x:row>
    <x:row r="9">
      <x:c r="A9" s="100" t="n">
        <x:f>A8+1</x:f>
        <x:v>4</x:v>
      </x:c>
      <x:c r="B9" s="103" t="n">
        <x:f>EDATE(B8,1)</x:f>
        <x:v>46327</x:v>
      </x:c>
      <x:c r="C9" s="104" t="n">
        <x:f>H8</x:f>
        <x:v>324113.8038289832</x:v>
      </x:c>
      <x:c r="D9" s="104" t="n">
        <x:f>IF(C9&gt;0,C9*'Your Mortgage'!$C$7/12,0)</x:f>
        <x:v>1755.6164374069924</x:v>
      </x:c>
      <x:c r="E9" s="104" t="n">
        <x:f>IF(C9&gt;0,MIN('Your Mortgage'!$C$11,C9+D9),0)</x:f>
        <x:v>2054.2210763521375</x:v>
      </x:c>
      <x:c r="F9" s="104" t="n">
        <x:f>E9</x:f>
        <x:v>2054.2210763521375</x:v>
      </x:c>
      <x:c r="G9" s="104" t="n">
        <x:f>MAX(0,F9-D9)</x:f>
        <x:v>298.6046389451451</x:v>
      </x:c>
      <x:c r="H9" s="104" t="n">
        <x:f>MAX(0,C9-G9)</x:f>
        <x:v>323815.1991900381</x:v>
      </x:c>
      <x:c r="I9" s="105" t="n">
        <x:f>P8</x:f>
        <x:v>323359.73399391375</x:v>
      </x:c>
      <x:c r="J9" s="105" t="n">
        <x:f>IF(I9&gt;0,I9*'Your Mortgage'!$C$7/12,0)</x:f>
        <x:v>1751.5318924670328</x:v>
      </x:c>
      <x:c r="K9" s="105" t="n">
        <x:f>IF(I9&gt;0,MIN('Your Mortgage'!$C$11,I9+J9),0)</x:f>
        <x:v>2054.2210763521375</x:v>
      </x:c>
      <x:c r="L9" s="105" t="n">
        <x:f>IF(I9&gt;0,MIN('Your Mortgage'!$F$6,MAX(0,I9+J9-K9)),0)</x:f>
        <x:v>250</x:v>
      </x:c>
      <x:c r="M9" s="105" t="n">
        <x:f>IF(AND(A9='Your Mortgage'!$F$8,I9&gt;0),MIN('Your Mortgage'!$F$7,MAX(0,I9+J9-K9-L9)),0)</x:f>
        <x:v>0</x:v>
      </x:c>
      <x:c r="N9" s="105" t="n">
        <x:f>K9+L9+M9</x:f>
        <x:v>2304.2210763521375</x:v>
      </x:c>
      <x:c r="O9" s="105" t="n">
        <x:f>MAX(0,N9-J9)</x:f>
        <x:v>552.6891838851047</x:v>
      </x:c>
      <x:c r="P9" s="105" t="n">
        <x:f>MAX(0,I9-O9)</x:f>
        <x:v>322807.04481002863</x:v>
      </x:c>
      <x:c r="Q9" s="106" t="n">
        <x:f>X8</x:f>
        <x:v>322605.66415884433</x:v>
      </x:c>
      <x:c r="R9" s="106" t="n">
        <x:f>IF(Q9&gt;0,Q9*'Your Mortgage'!$C$7/12,0)</x:f>
        <x:v>1747.4473475270736</x:v>
      </x:c>
      <x:c r="S9" s="106" t="n">
        <x:f>IF(Q9&gt;0,MIN('Your Mortgage'!$C$11,Q9+R9),0)</x:f>
        <x:v>2054.2210763521375</x:v>
      </x:c>
      <x:c r="T9" s="106" t="n">
        <x:f>IF(Q9&gt;0,MIN('Your Mortgage'!$I$6,MAX(0,Q9+R9-S9)),0)</x:f>
        <x:v>500</x:v>
      </x:c>
      <x:c r="U9" s="106" t="n">
        <x:f>IF(AND(A9='Your Mortgage'!$I$8,Q9&gt;0),MIN('Your Mortgage'!$I$7,MAX(0,Q9+R9-S9-T9)),0)</x:f>
        <x:v>0</x:v>
      </x:c>
      <x:c r="V9" s="106" t="n">
        <x:f>S9+T9+U9</x:f>
        <x:v>2554.2210763521375</x:v>
      </x:c>
      <x:c r="W9" s="106" t="n">
        <x:f>MAX(0,V9-R9)</x:f>
        <x:v>806.7737288250639</x:v>
      </x:c>
      <x:c r="X9" s="106" t="n">
        <x:f>MAX(0,Q9-W9)</x:f>
        <x:v>321798.8904300193</x:v>
      </x:c>
      <x:c r="Y9" s="1"/>
      <x:c r="Z9" s="1"/>
    </x:row>
    <x:row r="10">
      <x:c r="A10" s="100" t="n">
        <x:f>A9+1</x:f>
        <x:v>5</x:v>
      </x:c>
      <x:c r="B10" s="103" t="n">
        <x:f>EDATE(B9,1)</x:f>
        <x:v>46357</x:v>
      </x:c>
      <x:c r="C10" s="104" t="n">
        <x:f>H9</x:f>
        <x:v>323815.1991900381</x:v>
      </x:c>
      <x:c r="D10" s="104" t="n">
        <x:f>IF(C10&gt;0,C10*'Your Mortgage'!$C$7/12,0)</x:f>
        <x:v>1753.9989956127063</x:v>
      </x:c>
      <x:c r="E10" s="104" t="n">
        <x:f>IF(C10&gt;0,MIN('Your Mortgage'!$C$11,C10+D10),0)</x:f>
        <x:v>2054.2210763521375</x:v>
      </x:c>
      <x:c r="F10" s="104" t="n">
        <x:f>E10</x:f>
        <x:v>2054.2210763521375</x:v>
      </x:c>
      <x:c r="G10" s="104" t="n">
        <x:f>MAX(0,F10-D10)</x:f>
        <x:v>300.22208073943125</x:v>
      </x:c>
      <x:c r="H10" s="104" t="n">
        <x:f>MAX(0,C10-G10)</x:f>
        <x:v>323514.97710929863</x:v>
      </x:c>
      <x:c r="I10" s="105" t="n">
        <x:f>P9</x:f>
        <x:v>322807.04481002863</x:v>
      </x:c>
      <x:c r="J10" s="105" t="n">
        <x:f>IF(I10&gt;0,I10*'Your Mortgage'!$C$7/12,0)</x:f>
        <x:v>1748.5381593876552</x:v>
      </x:c>
      <x:c r="K10" s="105" t="n">
        <x:f>IF(I10&gt;0,MIN('Your Mortgage'!$C$11,I10+J10),0)</x:f>
        <x:v>2054.2210763521375</x:v>
      </x:c>
      <x:c r="L10" s="105" t="n">
        <x:f>IF(I10&gt;0,MIN('Your Mortgage'!$F$6,MAX(0,I10+J10-K10)),0)</x:f>
        <x:v>250</x:v>
      </x:c>
      <x:c r="M10" s="105" t="n">
        <x:f>IF(AND(A10='Your Mortgage'!$F$8,I10&gt;0),MIN('Your Mortgage'!$F$7,MAX(0,I10+J10-K10-L10)),0)</x:f>
        <x:v>0</x:v>
      </x:c>
      <x:c r="N10" s="105" t="n">
        <x:f>K10+L10+M10</x:f>
        <x:v>2304.2210763521375</x:v>
      </x:c>
      <x:c r="O10" s="105" t="n">
        <x:f>MAX(0,N10-J10)</x:f>
        <x:v>555.6829169644823</x:v>
      </x:c>
      <x:c r="P10" s="105" t="n">
        <x:f>MAX(0,I10-O10)</x:f>
        <x:v>322251.36189306417</x:v>
      </x:c>
      <x:c r="Q10" s="106" t="n">
        <x:f>X9</x:f>
        <x:v>321798.8904300193</x:v>
      </x:c>
      <x:c r="R10" s="106" t="n">
        <x:f>IF(Q10&gt;0,Q10*'Your Mortgage'!$C$7/12,0)</x:f>
        <x:v>1743.0773231626044</x:v>
      </x:c>
      <x:c r="S10" s="106" t="n">
        <x:f>IF(Q10&gt;0,MIN('Your Mortgage'!$C$11,Q10+R10),0)</x:f>
        <x:v>2054.2210763521375</x:v>
      </x:c>
      <x:c r="T10" s="106" t="n">
        <x:f>IF(Q10&gt;0,MIN('Your Mortgage'!$I$6,MAX(0,Q10+R10-S10)),0)</x:f>
        <x:v>500</x:v>
      </x:c>
      <x:c r="U10" s="106" t="n">
        <x:f>IF(AND(A10='Your Mortgage'!$I$8,Q10&gt;0),MIN('Your Mortgage'!$I$7,MAX(0,Q10+R10-S10-T10)),0)</x:f>
        <x:v>0</x:v>
      </x:c>
      <x:c r="V10" s="106" t="n">
        <x:f>S10+T10+U10</x:f>
        <x:v>2554.2210763521375</x:v>
      </x:c>
      <x:c r="W10" s="106" t="n">
        <x:f>MAX(0,V10-R10)</x:f>
        <x:v>811.1437531895331</x:v>
      </x:c>
      <x:c r="X10" s="106" t="n">
        <x:f>MAX(0,Q10-W10)</x:f>
        <x:v>320987.74667682976</x:v>
      </x:c>
      <x:c r="Y10" s="1"/>
      <x:c r="Z10" s="1"/>
    </x:row>
    <x:row r="11">
      <x:c r="A11" s="100" t="n">
        <x:f>A10+1</x:f>
        <x:v>6</x:v>
      </x:c>
      <x:c r="B11" s="103" t="n">
        <x:f>EDATE(B10,1)</x:f>
        <x:v>46388</x:v>
      </x:c>
      <x:c r="C11" s="104" t="n">
        <x:f>H10</x:f>
        <x:v>323514.97710929863</x:v>
      </x:c>
      <x:c r="D11" s="104" t="n">
        <x:f>IF(C11&gt;0,C11*'Your Mortgage'!$C$7/12,0)</x:f>
        <x:v>1752.3727926753675</x:v>
      </x:c>
      <x:c r="E11" s="104" t="n">
        <x:f>IF(C11&gt;0,MIN('Your Mortgage'!$C$11,C11+D11),0)</x:f>
        <x:v>2054.2210763521375</x:v>
      </x:c>
      <x:c r="F11" s="104" t="n">
        <x:f>E11</x:f>
        <x:v>2054.2210763521375</x:v>
      </x:c>
      <x:c r="G11" s="104" t="n">
        <x:f>MAX(0,F11-D11)</x:f>
        <x:v>301.84828367677005</x:v>
      </x:c>
      <x:c r="H11" s="104" t="n">
        <x:f>MAX(0,C11-G11)</x:f>
        <x:v>323213.12882562185</x:v>
      </x:c>
      <x:c r="I11" s="105" t="n">
        <x:f>P10</x:f>
        <x:v>322251.36189306417</x:v>
      </x:c>
      <x:c r="J11" s="105" t="n">
        <x:f>IF(I11&gt;0,I11*'Your Mortgage'!$C$7/12,0)</x:f>
        <x:v>1745.5282102540978</x:v>
      </x:c>
      <x:c r="K11" s="105" t="n">
        <x:f>IF(I11&gt;0,MIN('Your Mortgage'!$C$11,I11+J11),0)</x:f>
        <x:v>2054.2210763521375</x:v>
      </x:c>
      <x:c r="L11" s="105" t="n">
        <x:f>IF(I11&gt;0,MIN('Your Mortgage'!$F$6,MAX(0,I11+J11-K11)),0)</x:f>
        <x:v>250</x:v>
      </x:c>
      <x:c r="M11" s="105" t="n">
        <x:f>IF(AND(A11='Your Mortgage'!$F$8,I11&gt;0),MIN('Your Mortgage'!$F$7,MAX(0,I11+J11-K11-L11)),0)</x:f>
        <x:v>0</x:v>
      </x:c>
      <x:c r="N11" s="105" t="n">
        <x:f>K11+L11+M11</x:f>
        <x:v>2304.2210763521375</x:v>
      </x:c>
      <x:c r="O11" s="105" t="n">
        <x:f>MAX(0,N11-J11)</x:f>
        <x:v>558.6928660980398</x:v>
      </x:c>
      <x:c r="P11" s="105" t="n">
        <x:f>MAX(0,I11-O11)</x:f>
        <x:v>321692.66902696615</x:v>
      </x:c>
      <x:c r="Q11" s="106" t="n">
        <x:f>X10</x:f>
        <x:v>320987.74667682976</x:v>
      </x:c>
      <x:c r="R11" s="106" t="n">
        <x:f>IF(Q11&gt;0,Q11*'Your Mortgage'!$C$7/12,0)</x:f>
        <x:v>1738.683627832828</x:v>
      </x:c>
      <x:c r="S11" s="106" t="n">
        <x:f>IF(Q11&gt;0,MIN('Your Mortgage'!$C$11,Q11+R11),0)</x:f>
        <x:v>2054.2210763521375</x:v>
      </x:c>
      <x:c r="T11" s="106" t="n">
        <x:f>IF(Q11&gt;0,MIN('Your Mortgage'!$I$6,MAX(0,Q11+R11-S11)),0)</x:f>
        <x:v>500</x:v>
      </x:c>
      <x:c r="U11" s="106" t="n">
        <x:f>IF(AND(A11='Your Mortgage'!$I$8,Q11&gt;0),MIN('Your Mortgage'!$I$7,MAX(0,Q11+R11-S11-T11)),0)</x:f>
        <x:v>0</x:v>
      </x:c>
      <x:c r="V11" s="106" t="n">
        <x:f>S11+T11+U11</x:f>
        <x:v>2554.2210763521375</x:v>
      </x:c>
      <x:c r="W11" s="106" t="n">
        <x:f>MAX(0,V11-R11)</x:f>
        <x:v>815.5374485193095</x:v>
      </x:c>
      <x:c r="X11" s="106" t="n">
        <x:f>MAX(0,Q11-W11)</x:f>
        <x:v>320172.20922831044</x:v>
      </x:c>
      <x:c r="Y11" s="1"/>
      <x:c r="Z11" s="1"/>
    </x:row>
    <x:row r="12">
      <x:c r="A12" s="100" t="n">
        <x:f>A11+1</x:f>
        <x:v>7</x:v>
      </x:c>
      <x:c r="B12" s="103" t="n">
        <x:f>EDATE(B11,1)</x:f>
        <x:v>46419</x:v>
      </x:c>
      <x:c r="C12" s="104" t="n">
        <x:f>H11</x:f>
        <x:v>323213.12882562185</x:v>
      </x:c>
      <x:c r="D12" s="104" t="n">
        <x:f>IF(C12&gt;0,C12*'Your Mortgage'!$C$7/12,0)</x:f>
        <x:v>1750.737781138785</x:v>
      </x:c>
      <x:c r="E12" s="104" t="n">
        <x:f>IF(C12&gt;0,MIN('Your Mortgage'!$C$11,C12+D12),0)</x:f>
        <x:v>2054.2210763521375</x:v>
      </x:c>
      <x:c r="F12" s="104" t="n">
        <x:f>E12</x:f>
        <x:v>2054.2210763521375</x:v>
      </x:c>
      <x:c r="G12" s="104" t="n">
        <x:f>MAX(0,F12-D12)</x:f>
        <x:v>303.48329521335245</x:v>
      </x:c>
      <x:c r="H12" s="104" t="n">
        <x:f>MAX(0,C12-G12)</x:f>
        <x:v>322909.6455304085</x:v>
      </x:c>
      <x:c r="I12" s="105" t="n">
        <x:f>P11</x:f>
        <x:v>321692.66902696615</x:v>
      </x:c>
      <x:c r="J12" s="105" t="n">
        <x:f>IF(I12&gt;0,I12*'Your Mortgage'!$C$7/12,0)</x:f>
        <x:v>1742.5019572294002</x:v>
      </x:c>
      <x:c r="K12" s="105" t="n">
        <x:f>IF(I12&gt;0,MIN('Your Mortgage'!$C$11,I12+J12),0)</x:f>
        <x:v>2054.2210763521375</x:v>
      </x:c>
      <x:c r="L12" s="105" t="n">
        <x:f>IF(I12&gt;0,MIN('Your Mortgage'!$F$6,MAX(0,I12+J12-K12)),0)</x:f>
        <x:v>250</x:v>
      </x:c>
      <x:c r="M12" s="105" t="n">
        <x:f>IF(AND(A12='Your Mortgage'!$F$8,I12&gt;0),MIN('Your Mortgage'!$F$7,MAX(0,I12+J12-K12-L12)),0)</x:f>
        <x:v>0</x:v>
      </x:c>
      <x:c r="N12" s="105" t="n">
        <x:f>K12+L12+M12</x:f>
        <x:v>2304.2210763521375</x:v>
      </x:c>
      <x:c r="O12" s="105" t="n">
        <x:f>MAX(0,N12-J12)</x:f>
        <x:v>561.7191191227373</x:v>
      </x:c>
      <x:c r="P12" s="105" t="n">
        <x:f>MAX(0,I12-O12)</x:f>
        <x:v>321130.94990784343</x:v>
      </x:c>
      <x:c r="Q12" s="106" t="n">
        <x:f>X11</x:f>
        <x:v>320172.20922831044</x:v>
      </x:c>
      <x:c r="R12" s="106" t="n">
        <x:f>IF(Q12&gt;0,Q12*'Your Mortgage'!$C$7/12,0)</x:f>
        <x:v>1734.266133320015</x:v>
      </x:c>
      <x:c r="S12" s="106" t="n">
        <x:f>IF(Q12&gt;0,MIN('Your Mortgage'!$C$11,Q12+R12),0)</x:f>
        <x:v>2054.2210763521375</x:v>
      </x:c>
      <x:c r="T12" s="106" t="n">
        <x:f>IF(Q12&gt;0,MIN('Your Mortgage'!$I$6,MAX(0,Q12+R12-S12)),0)</x:f>
        <x:v>500</x:v>
      </x:c>
      <x:c r="U12" s="106" t="n">
        <x:f>IF(AND(A12='Your Mortgage'!$I$8,Q12&gt;0),MIN('Your Mortgage'!$I$7,MAX(0,Q12+R12-S12-T12)),0)</x:f>
        <x:v>0</x:v>
      </x:c>
      <x:c r="V12" s="106" t="n">
        <x:f>S12+T12+U12</x:f>
        <x:v>2554.2210763521375</x:v>
      </x:c>
      <x:c r="W12" s="106" t="n">
        <x:f>MAX(0,V12-R12)</x:f>
        <x:v>819.9549430321226</x:v>
      </x:c>
      <x:c r="X12" s="106" t="n">
        <x:f>MAX(0,Q12-W12)</x:f>
        <x:v>319352.2542852783</x:v>
      </x:c>
      <x:c r="Y12" s="1"/>
      <x:c r="Z12" s="1"/>
    </x:row>
    <x:row r="13">
      <x:c r="A13" s="100" t="n">
        <x:f>A12+1</x:f>
        <x:v>8</x:v>
      </x:c>
      <x:c r="B13" s="103" t="n">
        <x:f>EDATE(B12,1)</x:f>
        <x:v>46447</x:v>
      </x:c>
      <x:c r="C13" s="104" t="n">
        <x:f>H12</x:f>
        <x:v>322909.6455304085</x:v>
      </x:c>
      <x:c r="D13" s="104" t="n">
        <x:f>IF(C13&gt;0,C13*'Your Mortgage'!$C$7/12,0)</x:f>
        <x:v>1749.0939132897126</x:v>
      </x:c>
      <x:c r="E13" s="104" t="n">
        <x:f>IF(C13&gt;0,MIN('Your Mortgage'!$C$11,C13+D13),0)</x:f>
        <x:v>2054.2210763521375</x:v>
      </x:c>
      <x:c r="F13" s="104" t="n">
        <x:f>E13</x:f>
        <x:v>2054.2210763521375</x:v>
      </x:c>
      <x:c r="G13" s="104" t="n">
        <x:f>MAX(0,F13-D13)</x:f>
        <x:v>305.12716306242487</x:v>
      </x:c>
      <x:c r="H13" s="104" t="n">
        <x:f>MAX(0,C13-G13)</x:f>
        <x:v>322604.5183673461</x:v>
      </x:c>
      <x:c r="I13" s="105" t="n">
        <x:f>P12</x:f>
        <x:v>321130.94990784343</x:v>
      </x:c>
      <x:c r="J13" s="105" t="n">
        <x:f>IF(I13&gt;0,I13*'Your Mortgage'!$C$7/12,0)</x:f>
        <x:v>1739.4593120008185</x:v>
      </x:c>
      <x:c r="K13" s="105" t="n">
        <x:f>IF(I13&gt;0,MIN('Your Mortgage'!$C$11,I13+J13),0)</x:f>
        <x:v>2054.2210763521375</x:v>
      </x:c>
      <x:c r="L13" s="105" t="n">
        <x:f>IF(I13&gt;0,MIN('Your Mortgage'!$F$6,MAX(0,I13+J13-K13)),0)</x:f>
        <x:v>250</x:v>
      </x:c>
      <x:c r="M13" s="105" t="n">
        <x:f>IF(AND(A13='Your Mortgage'!$F$8,I13&gt;0),MIN('Your Mortgage'!$F$7,MAX(0,I13+J13-K13-L13)),0)</x:f>
        <x:v>0</x:v>
      </x:c>
      <x:c r="N13" s="105" t="n">
        <x:f>K13+L13+M13</x:f>
        <x:v>2304.2210763521375</x:v>
      </x:c>
      <x:c r="O13" s="105" t="n">
        <x:f>MAX(0,N13-J13)</x:f>
        <x:v>564.761764351319</x:v>
      </x:c>
      <x:c r="P13" s="105" t="n">
        <x:f>MAX(0,I13-O13)</x:f>
        <x:v>320566.1881434921</x:v>
      </x:c>
      <x:c r="Q13" s="106" t="n">
        <x:f>X12</x:f>
        <x:v>319352.2542852783</x:v>
      </x:c>
      <x:c r="R13" s="106" t="n">
        <x:f>IF(Q13&gt;0,Q13*'Your Mortgage'!$C$7/12,0)</x:f>
        <x:v>1729.8247107119244</x:v>
      </x:c>
      <x:c r="S13" s="106" t="n">
        <x:f>IF(Q13&gt;0,MIN('Your Mortgage'!$C$11,Q13+R13),0)</x:f>
        <x:v>2054.2210763521375</x:v>
      </x:c>
      <x:c r="T13" s="106" t="n">
        <x:f>IF(Q13&gt;0,MIN('Your Mortgage'!$I$6,MAX(0,Q13+R13-S13)),0)</x:f>
        <x:v>500</x:v>
      </x:c>
      <x:c r="U13" s="106" t="n">
        <x:f>IF(AND(A13='Your Mortgage'!$I$8,Q13&gt;0),MIN('Your Mortgage'!$I$7,MAX(0,Q13+R13-S13-T13)),0)</x:f>
        <x:v>0</x:v>
      </x:c>
      <x:c r="V13" s="106" t="n">
        <x:f>S13+T13+U13</x:f>
        <x:v>2554.2210763521375</x:v>
      </x:c>
      <x:c r="W13" s="106" t="n">
        <x:f>MAX(0,V13-R13)</x:f>
        <x:v>824.3963656402132</x:v>
      </x:c>
      <x:c r="X13" s="106" t="n">
        <x:f>MAX(0,Q13-W13)</x:f>
        <x:v>318527.8579196381</x:v>
      </x:c>
      <x:c r="Y13" s="1"/>
      <x:c r="Z13" s="1"/>
    </x:row>
    <x:row r="14">
      <x:c r="A14" s="100" t="n">
        <x:f>A13+1</x:f>
        <x:v>9</x:v>
      </x:c>
      <x:c r="B14" s="103" t="n">
        <x:f>EDATE(B13,1)</x:f>
        <x:v>46478</x:v>
      </x:c>
      <x:c r="C14" s="104" t="n">
        <x:f>H13</x:f>
        <x:v>322604.5183673461</x:v>
      </x:c>
      <x:c r="D14" s="104" t="n">
        <x:f>IF(C14&gt;0,C14*'Your Mortgage'!$C$7/12,0)</x:f>
        <x:v>1747.441141156458</x:v>
      </x:c>
      <x:c r="E14" s="104" t="n">
        <x:f>IF(C14&gt;0,MIN('Your Mortgage'!$C$11,C14+D14),0)</x:f>
        <x:v>2054.2210763521375</x:v>
      </x:c>
      <x:c r="F14" s="104" t="n">
        <x:f>E14</x:f>
        <x:v>2054.2210763521375</x:v>
      </x:c>
      <x:c r="G14" s="104" t="n">
        <x:f>MAX(0,F14-D14)</x:f>
        <x:v>306.7799351956796</x:v>
      </x:c>
      <x:c r="H14" s="104" t="n">
        <x:f>MAX(0,C14-G14)</x:f>
        <x:v>322297.7384321504</x:v>
      </x:c>
      <x:c r="I14" s="105" t="n">
        <x:f>P13</x:f>
        <x:v>320566.1881434921</x:v>
      </x:c>
      <x:c r="J14" s="105" t="n">
        <x:f>IF(I14&gt;0,I14*'Your Mortgage'!$C$7/12,0)</x:f>
        <x:v>1736.400185777249</x:v>
      </x:c>
      <x:c r="K14" s="105" t="n">
        <x:f>IF(I14&gt;0,MIN('Your Mortgage'!$C$11,I14+J14),0)</x:f>
        <x:v>2054.2210763521375</x:v>
      </x:c>
      <x:c r="L14" s="105" t="n">
        <x:f>IF(I14&gt;0,MIN('Your Mortgage'!$F$6,MAX(0,I14+J14-K14)),0)</x:f>
        <x:v>250</x:v>
      </x:c>
      <x:c r="M14" s="105" t="n">
        <x:f>IF(AND(A14='Your Mortgage'!$F$8,I14&gt;0),MIN('Your Mortgage'!$F$7,MAX(0,I14+J14-K14-L14)),0)</x:f>
        <x:v>0</x:v>
      </x:c>
      <x:c r="N14" s="105" t="n">
        <x:f>K14+L14+M14</x:f>
        <x:v>2304.2210763521375</x:v>
      </x:c>
      <x:c r="O14" s="105" t="n">
        <x:f>MAX(0,N14-J14)</x:f>
        <x:v>567.8208905748886</x:v>
      </x:c>
      <x:c r="P14" s="105" t="n">
        <x:f>MAX(0,I14-O14)</x:f>
        <x:v>319998.3672529172</x:v>
      </x:c>
      <x:c r="Q14" s="106" t="n">
        <x:f>X13</x:f>
        <x:v>318527.8579196381</x:v>
      </x:c>
      <x:c r="R14" s="106" t="n">
        <x:f>IF(Q14&gt;0,Q14*'Your Mortgage'!$C$7/12,0)</x:f>
        <x:v>1725.3592303980397</x:v>
      </x:c>
      <x:c r="S14" s="106" t="n">
        <x:f>IF(Q14&gt;0,MIN('Your Mortgage'!$C$11,Q14+R14),0)</x:f>
        <x:v>2054.2210763521375</x:v>
      </x:c>
      <x:c r="T14" s="106" t="n">
        <x:f>IF(Q14&gt;0,MIN('Your Mortgage'!$I$6,MAX(0,Q14+R14-S14)),0)</x:f>
        <x:v>500</x:v>
      </x:c>
      <x:c r="U14" s="106" t="n">
        <x:f>IF(AND(A14='Your Mortgage'!$I$8,Q14&gt;0),MIN('Your Mortgage'!$I$7,MAX(0,Q14+R14-S14-T14)),0)</x:f>
        <x:v>0</x:v>
      </x:c>
      <x:c r="V14" s="106" t="n">
        <x:f>S14+T14+U14</x:f>
        <x:v>2554.2210763521375</x:v>
      </x:c>
      <x:c r="W14" s="106" t="n">
        <x:f>MAX(0,V14-R14)</x:f>
        <x:v>828.8618459540978</x:v>
      </x:c>
      <x:c r="X14" s="106" t="n">
        <x:f>MAX(0,Q14-W14)</x:f>
        <x:v>317698.996073684</x:v>
      </x:c>
      <x:c r="Y14" s="1"/>
      <x:c r="Z14" s="1"/>
    </x:row>
    <x:row r="15">
      <x:c r="A15" s="100" t="n">
        <x:f>A14+1</x:f>
        <x:v>10</x:v>
      </x:c>
      <x:c r="B15" s="103" t="n">
        <x:f>EDATE(B14,1)</x:f>
        <x:v>46508</x:v>
      </x:c>
      <x:c r="C15" s="104" t="n">
        <x:f>H14</x:f>
        <x:v>322297.7384321504</x:v>
      </x:c>
      <x:c r="D15" s="104" t="n">
        <x:f>IF(C15&gt;0,C15*'Your Mortgage'!$C$7/12,0)</x:f>
        <x:v>1745.7794165074813</x:v>
      </x:c>
      <x:c r="E15" s="104" t="n">
        <x:f>IF(C15&gt;0,MIN('Your Mortgage'!$C$11,C15+D15),0)</x:f>
        <x:v>2054.2210763521375</x:v>
      </x:c>
      <x:c r="F15" s="104" t="n">
        <x:f>E15</x:f>
        <x:v>2054.2210763521375</x:v>
      </x:c>
      <x:c r="G15" s="104" t="n">
        <x:f>MAX(0,F15-D15)</x:f>
        <x:v>308.4416598446562</x:v>
      </x:c>
      <x:c r="H15" s="104" t="n">
        <x:f>MAX(0,C15-G15)</x:f>
        <x:v>321989.29677230574</x:v>
      </x:c>
      <x:c r="I15" s="105" t="n">
        <x:f>P14</x:f>
        <x:v>319998.3672529172</x:v>
      </x:c>
      <x:c r="J15" s="105" t="n">
        <x:f>IF(I15&gt;0,I15*'Your Mortgage'!$C$7/12,0)</x:f>
        <x:v>1733.3244892866348</x:v>
      </x:c>
      <x:c r="K15" s="105" t="n">
        <x:f>IF(I15&gt;0,MIN('Your Mortgage'!$C$11,I15+J15),0)</x:f>
        <x:v>2054.2210763521375</x:v>
      </x:c>
      <x:c r="L15" s="105" t="n">
        <x:f>IF(I15&gt;0,MIN('Your Mortgage'!$F$6,MAX(0,I15+J15-K15)),0)</x:f>
        <x:v>250</x:v>
      </x:c>
      <x:c r="M15" s="105" t="n">
        <x:f>IF(AND(A15='Your Mortgage'!$F$8,I15&gt;0),MIN('Your Mortgage'!$F$7,MAX(0,I15+J15-K15-L15)),0)</x:f>
        <x:v>0</x:v>
      </x:c>
      <x:c r="N15" s="105" t="n">
        <x:f>K15+L15+M15</x:f>
        <x:v>2304.2210763521375</x:v>
      </x:c>
      <x:c r="O15" s="105" t="n">
        <x:f>MAX(0,N15-J15)</x:f>
        <x:v>570.8965870655027</x:v>
      </x:c>
      <x:c r="P15" s="105" t="n">
        <x:f>MAX(0,I15-O15)</x:f>
        <x:v>319427.4706658517</x:v>
      </x:c>
      <x:c r="Q15" s="106" t="n">
        <x:f>X14</x:f>
        <x:v>317698.996073684</x:v>
      </x:c>
      <x:c r="R15" s="106" t="n">
        <x:f>IF(Q15&gt;0,Q15*'Your Mortgage'!$C$7/12,0)</x:f>
        <x:v>1720.8695620657884</x:v>
      </x:c>
      <x:c r="S15" s="106" t="n">
        <x:f>IF(Q15&gt;0,MIN('Your Mortgage'!$C$11,Q15+R15),0)</x:f>
        <x:v>2054.2210763521375</x:v>
      </x:c>
      <x:c r="T15" s="106" t="n">
        <x:f>IF(Q15&gt;0,MIN('Your Mortgage'!$I$6,MAX(0,Q15+R15-S15)),0)</x:f>
        <x:v>500</x:v>
      </x:c>
      <x:c r="U15" s="106" t="n">
        <x:f>IF(AND(A15='Your Mortgage'!$I$8,Q15&gt;0),MIN('Your Mortgage'!$I$7,MAX(0,Q15+R15-S15-T15)),0)</x:f>
        <x:v>0</x:v>
      </x:c>
      <x:c r="V15" s="106" t="n">
        <x:f>S15+T15+U15</x:f>
        <x:v>2554.2210763521375</x:v>
      </x:c>
      <x:c r="W15" s="106" t="n">
        <x:f>MAX(0,V15-R15)</x:f>
        <x:v>833.3515142863491</x:v>
      </x:c>
      <x:c r="X15" s="106" t="n">
        <x:f>MAX(0,Q15-W15)</x:f>
        <x:v>316865.64455939765</x:v>
      </x:c>
      <x:c r="Y15" s="1"/>
      <x:c r="Z15" s="1"/>
    </x:row>
    <x:row r="16">
      <x:c r="A16" s="100" t="n">
        <x:f>A15+1</x:f>
        <x:v>11</x:v>
      </x:c>
      <x:c r="B16" s="103" t="n">
        <x:f>EDATE(B15,1)</x:f>
        <x:v>46539</x:v>
      </x:c>
      <x:c r="C16" s="104" t="n">
        <x:f>H15</x:f>
        <x:v>321989.29677230574</x:v>
      </x:c>
      <x:c r="D16" s="104" t="n">
        <x:f>IF(C16&gt;0,C16*'Your Mortgage'!$C$7/12,0)</x:f>
        <x:v>1744.1086908499894</x:v>
      </x:c>
      <x:c r="E16" s="104" t="n">
        <x:f>IF(C16&gt;0,MIN('Your Mortgage'!$C$11,C16+D16),0)</x:f>
        <x:v>2054.2210763521375</x:v>
      </x:c>
      <x:c r="F16" s="104" t="n">
        <x:f>E16</x:f>
        <x:v>2054.2210763521375</x:v>
      </x:c>
      <x:c r="G16" s="104" t="n">
        <x:f>MAX(0,F16-D16)</x:f>
        <x:v>310.1123855021481</x:v>
      </x:c>
      <x:c r="H16" s="104" t="n">
        <x:f>MAX(0,C16-G16)</x:f>
        <x:v>321679.1843868036</x:v>
      </x:c>
      <x:c r="I16" s="105" t="n">
        <x:f>P15</x:f>
        <x:v>319427.4706658517</x:v>
      </x:c>
      <x:c r="J16" s="105" t="n">
        <x:f>IF(I16&gt;0,I16*'Your Mortgage'!$C$7/12,0)</x:f>
        <x:v>1730.2321327733634</x:v>
      </x:c>
      <x:c r="K16" s="105" t="n">
        <x:f>IF(I16&gt;0,MIN('Your Mortgage'!$C$11,I16+J16),0)</x:f>
        <x:v>2054.2210763521375</x:v>
      </x:c>
      <x:c r="L16" s="105" t="n">
        <x:f>IF(I16&gt;0,MIN('Your Mortgage'!$F$6,MAX(0,I16+J16-K16)),0)</x:f>
        <x:v>250</x:v>
      </x:c>
      <x:c r="M16" s="105" t="n">
        <x:f>IF(AND(A16='Your Mortgage'!$F$8,I16&gt;0),MIN('Your Mortgage'!$F$7,MAX(0,I16+J16-K16-L16)),0)</x:f>
        <x:v>0</x:v>
      </x:c>
      <x:c r="N16" s="105" t="n">
        <x:f>K16+L16+M16</x:f>
        <x:v>2304.2210763521375</x:v>
      </x:c>
      <x:c r="O16" s="105" t="n">
        <x:f>MAX(0,N16-J16)</x:f>
        <x:v>573.9889435787741</x:v>
      </x:c>
      <x:c r="P16" s="105" t="n">
        <x:f>MAX(0,I16-O16)</x:f>
        <x:v>318853.48172227293</x:v>
      </x:c>
      <x:c r="Q16" s="106" t="n">
        <x:f>X15</x:f>
        <x:v>316865.64455939765</x:v>
      </x:c>
      <x:c r="R16" s="106" t="n">
        <x:f>IF(Q16&gt;0,Q16*'Your Mortgage'!$C$7/12,0)</x:f>
        <x:v>1716.3555746967374</x:v>
      </x:c>
      <x:c r="S16" s="106" t="n">
        <x:f>IF(Q16&gt;0,MIN('Your Mortgage'!$C$11,Q16+R16),0)</x:f>
        <x:v>2054.2210763521375</x:v>
      </x:c>
      <x:c r="T16" s="106" t="n">
        <x:f>IF(Q16&gt;0,MIN('Your Mortgage'!$I$6,MAX(0,Q16+R16-S16)),0)</x:f>
        <x:v>500</x:v>
      </x:c>
      <x:c r="U16" s="106" t="n">
        <x:f>IF(AND(A16='Your Mortgage'!$I$8,Q16&gt;0),MIN('Your Mortgage'!$I$7,MAX(0,Q16+R16-S16-T16)),0)</x:f>
        <x:v>0</x:v>
      </x:c>
      <x:c r="V16" s="106" t="n">
        <x:f>S16+T16+U16</x:f>
        <x:v>2554.2210763521375</x:v>
      </x:c>
      <x:c r="W16" s="106" t="n">
        <x:f>MAX(0,V16-R16)</x:f>
        <x:v>837.8655016554001</x:v>
      </x:c>
      <x:c r="X16" s="106" t="n">
        <x:f>MAX(0,Q16-W16)</x:f>
        <x:v>316027.7790577423</x:v>
      </x:c>
      <x:c r="Y16" s="1"/>
      <x:c r="Z16" s="1"/>
    </x:row>
    <x:row r="17">
      <x:c r="A17" s="100" t="n">
        <x:f>A16+1</x:f>
        <x:v>12</x:v>
      </x:c>
      <x:c r="B17" s="103" t="n">
        <x:f>EDATE(B16,1)</x:f>
        <x:v>46569</x:v>
      </x:c>
      <x:c r="C17" s="104" t="n">
        <x:f>H16</x:f>
        <x:v>321679.1843868036</x:v>
      </x:c>
      <x:c r="D17" s="104" t="n">
        <x:f>IF(C17&gt;0,C17*'Your Mortgage'!$C$7/12,0)</x:f>
        <x:v>1742.4289154285195</x:v>
      </x:c>
      <x:c r="E17" s="104" t="n">
        <x:f>IF(C17&gt;0,MIN('Your Mortgage'!$C$11,C17+D17),0)</x:f>
        <x:v>2054.2210763521375</x:v>
      </x:c>
      <x:c r="F17" s="104" t="n">
        <x:f>E17</x:f>
        <x:v>2054.2210763521375</x:v>
      </x:c>
      <x:c r="G17" s="104" t="n">
        <x:f>MAX(0,F17-D17)</x:f>
        <x:v>311.792160923618</x:v>
      </x:c>
      <x:c r="H17" s="104" t="n">
        <x:f>MAX(0,C17-G17)</x:f>
        <x:v>321367.39222588</x:v>
      </x:c>
      <x:c r="I17" s="105" t="n">
        <x:f>P16</x:f>
        <x:v>318853.48172227293</x:v>
      </x:c>
      <x:c r="J17" s="105" t="n">
        <x:f>IF(I17&gt;0,I17*'Your Mortgage'!$C$7/12,0)</x:f>
        <x:v>1727.1230259956453</x:v>
      </x:c>
      <x:c r="K17" s="105" t="n">
        <x:f>IF(I17&gt;0,MIN('Your Mortgage'!$C$11,I17+J17),0)</x:f>
        <x:v>2054.2210763521375</x:v>
      </x:c>
      <x:c r="L17" s="105" t="n">
        <x:f>IF(I17&gt;0,MIN('Your Mortgage'!$F$6,MAX(0,I17+J17-K17)),0)</x:f>
        <x:v>250</x:v>
      </x:c>
      <x:c r="M17" s="105" t="n">
        <x:f>IF(AND(A17='Your Mortgage'!$F$8,I17&gt;0),MIN('Your Mortgage'!$F$7,MAX(0,I17+J17-K17-L17)),0)</x:f>
        <x:v>5000</x:v>
      </x:c>
      <x:c r="N17" s="105" t="n">
        <x:f>K17+L17+M17</x:f>
        <x:v>7304.221076352138</x:v>
      </x:c>
      <x:c r="O17" s="105" t="n">
        <x:f>MAX(0,N17-J17)</x:f>
        <x:v>5577.098050356492</x:v>
      </x:c>
      <x:c r="P17" s="105" t="n">
        <x:f>MAX(0,I17-O17)</x:f>
        <x:v>313276.38367191644</x:v>
      </x:c>
      <x:c r="Q17" s="106" t="n">
        <x:f>X16</x:f>
        <x:v>316027.7790577423</x:v>
      </x:c>
      <x:c r="R17" s="106" t="n">
        <x:f>IF(Q17&gt;0,Q17*'Your Mortgage'!$C$7/12,0)</x:f>
        <x:v>1711.8171365627707</x:v>
      </x:c>
      <x:c r="S17" s="106" t="n">
        <x:f>IF(Q17&gt;0,MIN('Your Mortgage'!$C$11,Q17+R17),0)</x:f>
        <x:v>2054.2210763521375</x:v>
      </x:c>
      <x:c r="T17" s="106" t="n">
        <x:f>IF(Q17&gt;0,MIN('Your Mortgage'!$I$6,MAX(0,Q17+R17-S17)),0)</x:f>
        <x:v>500</x:v>
      </x:c>
      <x:c r="U17" s="106" t="n">
        <x:f>IF(AND(A17='Your Mortgage'!$I$8,Q17&gt;0),MIN('Your Mortgage'!$I$7,MAX(0,Q17+R17-S17-T17)),0)</x:f>
        <x:v>0</x:v>
      </x:c>
      <x:c r="V17" s="106" t="n">
        <x:f>S17+T17+U17</x:f>
        <x:v>2554.2210763521375</x:v>
      </x:c>
      <x:c r="W17" s="106" t="n">
        <x:f>MAX(0,V17-R17)</x:f>
        <x:v>842.4039397893669</x:v>
      </x:c>
      <x:c r="X17" s="106" t="n">
        <x:f>MAX(0,Q17-W17)</x:f>
        <x:v>315185.3751179529</x:v>
      </x:c>
      <x:c r="Y17" s="1"/>
      <x:c r="Z17" s="1"/>
    </x:row>
    <x:row r="18">
      <x:c r="A18" s="100" t="n">
        <x:f>A17+1</x:f>
        <x:v>13</x:v>
      </x:c>
      <x:c r="B18" s="103" t="n">
        <x:f>EDATE(B17,1)</x:f>
        <x:v>46600</x:v>
      </x:c>
      <x:c r="C18" s="104" t="n">
        <x:f>H17</x:f>
        <x:v>321367.39222588</x:v>
      </x:c>
      <x:c r="D18" s="104" t="n">
        <x:f>IF(C18&gt;0,C18*'Your Mortgage'!$C$7/12,0)</x:f>
        <x:v>1740.7400412235168</x:v>
      </x:c>
      <x:c r="E18" s="104" t="n">
        <x:f>IF(C18&gt;0,MIN('Your Mortgage'!$C$11,C18+D18),0)</x:f>
        <x:v>2054.2210763521375</x:v>
      </x:c>
      <x:c r="F18" s="104" t="n">
        <x:f>E18</x:f>
        <x:v>2054.2210763521375</x:v>
      </x:c>
      <x:c r="G18" s="104" t="n">
        <x:f>MAX(0,F18-D18)</x:f>
        <x:v>313.48103512862076</x:v>
      </x:c>
      <x:c r="H18" s="104" t="n">
        <x:f>MAX(0,C18-G18)</x:f>
        <x:v>321053.91119075136</x:v>
      </x:c>
      <x:c r="I18" s="105" t="n">
        <x:f>P17</x:f>
        <x:v>313276.38367191644</x:v>
      </x:c>
      <x:c r="J18" s="105" t="n">
        <x:f>IF(I18&gt;0,I18*'Your Mortgage'!$C$7/12,0)</x:f>
        <x:v>1696.9137448895474</x:v>
      </x:c>
      <x:c r="K18" s="105" t="n">
        <x:f>IF(I18&gt;0,MIN('Your Mortgage'!$C$11,I18+J18),0)</x:f>
        <x:v>2054.2210763521375</x:v>
      </x:c>
      <x:c r="L18" s="105" t="n">
        <x:f>IF(I18&gt;0,MIN('Your Mortgage'!$F$6,MAX(0,I18+J18-K18)),0)</x:f>
        <x:v>250</x:v>
      </x:c>
      <x:c r="M18" s="105" t="n">
        <x:f>IF(AND(A18='Your Mortgage'!$F$8,I18&gt;0),MIN('Your Mortgage'!$F$7,MAX(0,I18+J18-K18-L18)),0)</x:f>
        <x:v>0</x:v>
      </x:c>
      <x:c r="N18" s="105" t="n">
        <x:f>K18+L18+M18</x:f>
        <x:v>2304.2210763521375</x:v>
      </x:c>
      <x:c r="O18" s="105" t="n">
        <x:f>MAX(0,N18-J18)</x:f>
        <x:v>607.3073314625901</x:v>
      </x:c>
      <x:c r="P18" s="105" t="n">
        <x:f>MAX(0,I18-O18)</x:f>
        <x:v>312669.0763404539</x:v>
      </x:c>
      <x:c r="Q18" s="106" t="n">
        <x:f>X17</x:f>
        <x:v>315185.3751179529</x:v>
      </x:c>
      <x:c r="R18" s="106" t="n">
        <x:f>IF(Q18&gt;0,Q18*'Your Mortgage'!$C$7/12,0)</x:f>
        <x:v>1707.2541152222448</x:v>
      </x:c>
      <x:c r="S18" s="106" t="n">
        <x:f>IF(Q18&gt;0,MIN('Your Mortgage'!$C$11,Q18+R18),0)</x:f>
        <x:v>2054.2210763521375</x:v>
      </x:c>
      <x:c r="T18" s="106" t="n">
        <x:f>IF(Q18&gt;0,MIN('Your Mortgage'!$I$6,MAX(0,Q18+R18-S18)),0)</x:f>
        <x:v>500</x:v>
      </x:c>
      <x:c r="U18" s="106" t="n">
        <x:f>IF(AND(A18='Your Mortgage'!$I$8,Q18&gt;0),MIN('Your Mortgage'!$I$7,MAX(0,Q18+R18-S18-T18)),0)</x:f>
        <x:v>0</x:v>
      </x:c>
      <x:c r="V18" s="106" t="n">
        <x:f>S18+T18+U18</x:f>
        <x:v>2554.2210763521375</x:v>
      </x:c>
      <x:c r="W18" s="106" t="n">
        <x:f>MAX(0,V18-R18)</x:f>
        <x:v>846.9669611298928</x:v>
      </x:c>
      <x:c r="X18" s="106" t="n">
        <x:f>MAX(0,Q18-W18)</x:f>
        <x:v>314338.40815682296</x:v>
      </x:c>
      <x:c r="Y18" s="1"/>
      <x:c r="Z18" s="1"/>
    </x:row>
    <x:row r="19">
      <x:c r="A19" s="100" t="n">
        <x:f>A18+1</x:f>
        <x:v>14</x:v>
      </x:c>
      <x:c r="B19" s="103" t="n">
        <x:f>EDATE(B18,1)</x:f>
        <x:v>46631</x:v>
      </x:c>
      <x:c r="C19" s="104" t="n">
        <x:f>H18</x:f>
        <x:v>321053.91119075136</x:v>
      </x:c>
      <x:c r="D19" s="104" t="n">
        <x:f>IF(C19&gt;0,C19*'Your Mortgage'!$C$7/12,0)</x:f>
        <x:v>1739.0420189499034</x:v>
      </x:c>
      <x:c r="E19" s="104" t="n">
        <x:f>IF(C19&gt;0,MIN('Your Mortgage'!$C$11,C19+D19),0)</x:f>
        <x:v>2054.2210763521375</x:v>
      </x:c>
      <x:c r="F19" s="104" t="n">
        <x:f>E19</x:f>
        <x:v>2054.2210763521375</x:v>
      </x:c>
      <x:c r="G19" s="104" t="n">
        <x:f>MAX(0,F19-D19)</x:f>
        <x:v>315.1790574022341</x:v>
      </x:c>
      <x:c r="H19" s="104" t="n">
        <x:f>MAX(0,C19-G19)</x:f>
        <x:v>320738.7321333491</x:v>
      </x:c>
      <x:c r="I19" s="105" t="n">
        <x:f>P18</x:f>
        <x:v>312669.0763404539</x:v>
      </x:c>
      <x:c r="J19" s="105" t="n">
        <x:f>IF(I19&gt;0,I19*'Your Mortgage'!$C$7/12,0)</x:f>
        <x:v>1693.6241635107917</x:v>
      </x:c>
      <x:c r="K19" s="105" t="n">
        <x:f>IF(I19&gt;0,MIN('Your Mortgage'!$C$11,I19+J19),0)</x:f>
        <x:v>2054.2210763521375</x:v>
      </x:c>
      <x:c r="L19" s="105" t="n">
        <x:f>IF(I19&gt;0,MIN('Your Mortgage'!$F$6,MAX(0,I19+J19-K19)),0)</x:f>
        <x:v>250</x:v>
      </x:c>
      <x:c r="M19" s="105" t="n">
        <x:f>IF(AND(A19='Your Mortgage'!$F$8,I19&gt;0),MIN('Your Mortgage'!$F$7,MAX(0,I19+J19-K19-L19)),0)</x:f>
        <x:v>0</x:v>
      </x:c>
      <x:c r="N19" s="105" t="n">
        <x:f>K19+L19+M19</x:f>
        <x:v>2304.2210763521375</x:v>
      </x:c>
      <x:c r="O19" s="105" t="n">
        <x:f>MAX(0,N19-J19)</x:f>
        <x:v>610.5969128413458</x:v>
      </x:c>
      <x:c r="P19" s="105" t="n">
        <x:f>MAX(0,I19-O19)</x:f>
        <x:v>312058.4794276125</x:v>
      </x:c>
      <x:c r="Q19" s="106" t="n">
        <x:f>X18</x:f>
        <x:v>314338.40815682296</x:v>
      </x:c>
      <x:c r="R19" s="106" t="n">
        <x:f>IF(Q19&gt;0,Q19*'Your Mortgage'!$C$7/12,0)</x:f>
        <x:v>1702.6663775161244</x:v>
      </x:c>
      <x:c r="S19" s="106" t="n">
        <x:f>IF(Q19&gt;0,MIN('Your Mortgage'!$C$11,Q19+R19),0)</x:f>
        <x:v>2054.2210763521375</x:v>
      </x:c>
      <x:c r="T19" s="106" t="n">
        <x:f>IF(Q19&gt;0,MIN('Your Mortgage'!$I$6,MAX(0,Q19+R19-S19)),0)</x:f>
        <x:v>500</x:v>
      </x:c>
      <x:c r="U19" s="106" t="n">
        <x:f>IF(AND(A19='Your Mortgage'!$I$8,Q19&gt;0),MIN('Your Mortgage'!$I$7,MAX(0,Q19+R19-S19-T19)),0)</x:f>
        <x:v>0</x:v>
      </x:c>
      <x:c r="V19" s="106" t="n">
        <x:f>S19+T19+U19</x:f>
        <x:v>2554.2210763521375</x:v>
      </x:c>
      <x:c r="W19" s="106" t="n">
        <x:f>MAX(0,V19-R19)</x:f>
        <x:v>851.5546988360131</x:v>
      </x:c>
      <x:c r="X19" s="106" t="n">
        <x:f>MAX(0,Q19-W19)</x:f>
        <x:v>313486.85345798696</x:v>
      </x:c>
      <x:c r="Y19" s="1"/>
      <x:c r="Z19" s="1"/>
    </x:row>
    <x:row r="20">
      <x:c r="A20" s="100" t="n">
        <x:f>A19+1</x:f>
        <x:v>15</x:v>
      </x:c>
      <x:c r="B20" s="103" t="n">
        <x:f>EDATE(B19,1)</x:f>
        <x:v>46661</x:v>
      </x:c>
      <x:c r="C20" s="104" t="n">
        <x:f>H19</x:f>
        <x:v>320738.7321333491</x:v>
      </x:c>
      <x:c r="D20" s="104" t="n">
        <x:f>IF(C20&gt;0,C20*'Your Mortgage'!$C$7/12,0)</x:f>
        <x:v>1737.334799055641</x:v>
      </x:c>
      <x:c r="E20" s="104" t="n">
        <x:f>IF(C20&gt;0,MIN('Your Mortgage'!$C$11,C20+D20),0)</x:f>
        <x:v>2054.2210763521375</x:v>
      </x:c>
      <x:c r="F20" s="104" t="n">
        <x:f>E20</x:f>
        <x:v>2054.2210763521375</x:v>
      </x:c>
      <x:c r="G20" s="104" t="n">
        <x:f>MAX(0,F20-D20)</x:f>
        <x:v>316.8862772964965</x:v>
      </x:c>
      <x:c r="H20" s="104" t="n">
        <x:f>MAX(0,C20-G20)</x:f>
        <x:v>320421.8458560526</x:v>
      </x:c>
      <x:c r="I20" s="105" t="n">
        <x:f>P19</x:f>
        <x:v>312058.4794276125</x:v>
      </x:c>
      <x:c r="J20" s="105" t="n">
        <x:f>IF(I20&gt;0,I20*'Your Mortgage'!$C$7/12,0)</x:f>
        <x:v>1690.3167635662346</x:v>
      </x:c>
      <x:c r="K20" s="105" t="n">
        <x:f>IF(I20&gt;0,MIN('Your Mortgage'!$C$11,I20+J20),0)</x:f>
        <x:v>2054.2210763521375</x:v>
      </x:c>
      <x:c r="L20" s="105" t="n">
        <x:f>IF(I20&gt;0,MIN('Your Mortgage'!$F$6,MAX(0,I20+J20-K20)),0)</x:f>
        <x:v>250</x:v>
      </x:c>
      <x:c r="M20" s="105" t="n">
        <x:f>IF(AND(A20='Your Mortgage'!$F$8,I20&gt;0),MIN('Your Mortgage'!$F$7,MAX(0,I20+J20-K20-L20)),0)</x:f>
        <x:v>0</x:v>
      </x:c>
      <x:c r="N20" s="105" t="n">
        <x:f>K20+L20+M20</x:f>
        <x:v>2304.2210763521375</x:v>
      </x:c>
      <x:c r="O20" s="105" t="n">
        <x:f>MAX(0,N20-J20)</x:f>
        <x:v>613.9043127859029</x:v>
      </x:c>
      <x:c r="P20" s="105" t="n">
        <x:f>MAX(0,I20-O20)</x:f>
        <x:v>311444.5751148266</x:v>
      </x:c>
      <x:c r="Q20" s="106" t="n">
        <x:f>X19</x:f>
        <x:v>313486.85345798696</x:v>
      </x:c>
      <x:c r="R20" s="106" t="n">
        <x:f>IF(Q20&gt;0,Q20*'Your Mortgage'!$C$7/12,0)</x:f>
        <x:v>1698.0537895640962</x:v>
      </x:c>
      <x:c r="S20" s="106" t="n">
        <x:f>IF(Q20&gt;0,MIN('Your Mortgage'!$C$11,Q20+R20),0)</x:f>
        <x:v>2054.2210763521375</x:v>
      </x:c>
      <x:c r="T20" s="106" t="n">
        <x:f>IF(Q20&gt;0,MIN('Your Mortgage'!$I$6,MAX(0,Q20+R20-S20)),0)</x:f>
        <x:v>500</x:v>
      </x:c>
      <x:c r="U20" s="106" t="n">
        <x:f>IF(AND(A20='Your Mortgage'!$I$8,Q20&gt;0),MIN('Your Mortgage'!$I$7,MAX(0,Q20+R20-S20-T20)),0)</x:f>
        <x:v>0</x:v>
      </x:c>
      <x:c r="V20" s="106" t="n">
        <x:f>S20+T20+U20</x:f>
        <x:v>2554.2210763521375</x:v>
      </x:c>
      <x:c r="W20" s="106" t="n">
        <x:f>MAX(0,V20-R20)</x:f>
        <x:v>856.1672867880413</x:v>
      </x:c>
      <x:c r="X20" s="106" t="n">
        <x:f>MAX(0,Q20-W20)</x:f>
        <x:v>312630.6861711989</x:v>
      </x:c>
      <x:c r="Y20" s="1"/>
      <x:c r="Z20" s="1"/>
    </x:row>
    <x:row r="21">
      <x:c r="A21" s="100" t="n">
        <x:f>A20+1</x:f>
        <x:v>16</x:v>
      </x:c>
      <x:c r="B21" s="103" t="n">
        <x:f>EDATE(B20,1)</x:f>
        <x:v>46692</x:v>
      </x:c>
      <x:c r="C21" s="104" t="n">
        <x:f>H20</x:f>
        <x:v>320421.8458560526</x:v>
      </x:c>
      <x:c r="D21" s="104" t="n">
        <x:f>IF(C21&gt;0,C21*'Your Mortgage'!$C$7/12,0)</x:f>
        <x:v>1735.618331720285</x:v>
      </x:c>
      <x:c r="E21" s="104" t="n">
        <x:f>IF(C21&gt;0,MIN('Your Mortgage'!$C$11,C21+D21),0)</x:f>
        <x:v>2054.2210763521375</x:v>
      </x:c>
      <x:c r="F21" s="104" t="n">
        <x:f>E21</x:f>
        <x:v>2054.2210763521375</x:v>
      </x:c>
      <x:c r="G21" s="104" t="n">
        <x:f>MAX(0,F21-D21)</x:f>
        <x:v>318.6027446318526</x:v>
      </x:c>
      <x:c r="H21" s="104" t="n">
        <x:f>MAX(0,C21-G21)</x:f>
        <x:v>320103.2431114207</x:v>
      </x:c>
      <x:c r="I21" s="105" t="n">
        <x:f>P20</x:f>
        <x:v>311444.5751148266</x:v>
      </x:c>
      <x:c r="J21" s="105" t="n">
        <x:f>IF(I21&gt;0,I21*'Your Mortgage'!$C$7/12,0)</x:f>
        <x:v>1686.9914485386444</x:v>
      </x:c>
      <x:c r="K21" s="105" t="n">
        <x:f>IF(I21&gt;0,MIN('Your Mortgage'!$C$11,I21+J21),0)</x:f>
        <x:v>2054.2210763521375</x:v>
      </x:c>
      <x:c r="L21" s="105" t="n">
        <x:f>IF(I21&gt;0,MIN('Your Mortgage'!$F$6,MAX(0,I21+J21-K21)),0)</x:f>
        <x:v>250</x:v>
      </x:c>
      <x:c r="M21" s="105" t="n">
        <x:f>IF(AND(A21='Your Mortgage'!$F$8,I21&gt;0),MIN('Your Mortgage'!$F$7,MAX(0,I21+J21-K21-L21)),0)</x:f>
        <x:v>0</x:v>
      </x:c>
      <x:c r="N21" s="105" t="n">
        <x:f>K21+L21+M21</x:f>
        <x:v>2304.2210763521375</x:v>
      </x:c>
      <x:c r="O21" s="105" t="n">
        <x:f>MAX(0,N21-J21)</x:f>
        <x:v>617.2296278134932</x:v>
      </x:c>
      <x:c r="P21" s="105" t="n">
        <x:f>MAX(0,I21-O21)</x:f>
        <x:v>310827.3454870131</x:v>
      </x:c>
      <x:c r="Q21" s="106" t="n">
        <x:f>X20</x:f>
        <x:v>312630.6861711989</x:v>
      </x:c>
      <x:c r="R21" s="106" t="n">
        <x:f>IF(Q21&gt;0,Q21*'Your Mortgage'!$C$7/12,0)</x:f>
        <x:v>1693.4162167606607</x:v>
      </x:c>
      <x:c r="S21" s="106" t="n">
        <x:f>IF(Q21&gt;0,MIN('Your Mortgage'!$C$11,Q21+R21),0)</x:f>
        <x:v>2054.2210763521375</x:v>
      </x:c>
      <x:c r="T21" s="106" t="n">
        <x:f>IF(Q21&gt;0,MIN('Your Mortgage'!$I$6,MAX(0,Q21+R21-S21)),0)</x:f>
        <x:v>500</x:v>
      </x:c>
      <x:c r="U21" s="106" t="n">
        <x:f>IF(AND(A21='Your Mortgage'!$I$8,Q21&gt;0),MIN('Your Mortgage'!$I$7,MAX(0,Q21+R21-S21-T21)),0)</x:f>
        <x:v>0</x:v>
      </x:c>
      <x:c r="V21" s="106" t="n">
        <x:f>S21+T21+U21</x:f>
        <x:v>2554.2210763521375</x:v>
      </x:c>
      <x:c r="W21" s="106" t="n">
        <x:f>MAX(0,V21-R21)</x:f>
        <x:v>860.8048595914768</x:v>
      </x:c>
      <x:c r="X21" s="106" t="n">
        <x:f>MAX(0,Q21-W21)</x:f>
        <x:v>311769.88131160743</x:v>
      </x:c>
      <x:c r="Y21" s="1"/>
      <x:c r="Z21" s="1"/>
    </x:row>
    <x:row r="22">
      <x:c r="A22" s="100" t="n">
        <x:f>A21+1</x:f>
        <x:v>17</x:v>
      </x:c>
      <x:c r="B22" s="103" t="n">
        <x:f>EDATE(B21,1)</x:f>
        <x:v>46722</x:v>
      </x:c>
      <x:c r="C22" s="104" t="n">
        <x:f>H21</x:f>
        <x:v>320103.2431114207</x:v>
      </x:c>
      <x:c r="D22" s="104" t="n">
        <x:f>IF(C22&gt;0,C22*'Your Mortgage'!$C$7/12,0)</x:f>
        <x:v>1733.8925668535287</x:v>
      </x:c>
      <x:c r="E22" s="104" t="n">
        <x:f>IF(C22&gt;0,MIN('Your Mortgage'!$C$11,C22+D22),0)</x:f>
        <x:v>2054.2210763521375</x:v>
      </x:c>
      <x:c r="F22" s="104" t="n">
        <x:f>E22</x:f>
        <x:v>2054.2210763521375</x:v>
      </x:c>
      <x:c r="G22" s="104" t="n">
        <x:f>MAX(0,F22-D22)</x:f>
        <x:v>320.3285094986088</x:v>
      </x:c>
      <x:c r="H22" s="104" t="n">
        <x:f>MAX(0,C22-G22)</x:f>
        <x:v>319782.9146019221</x:v>
      </x:c>
      <x:c r="I22" s="105" t="n">
        <x:f>P21</x:f>
        <x:v>310827.3454870131</x:v>
      </x:c>
      <x:c r="J22" s="105" t="n">
        <x:f>IF(I22&gt;0,I22*'Your Mortgage'!$C$7/12,0)</x:f>
        <x:v>1683.6481213879879</x:v>
      </x:c>
      <x:c r="K22" s="105" t="n">
        <x:f>IF(I22&gt;0,MIN('Your Mortgage'!$C$11,I22+J22),0)</x:f>
        <x:v>2054.2210763521375</x:v>
      </x:c>
      <x:c r="L22" s="105" t="n">
        <x:f>IF(I22&gt;0,MIN('Your Mortgage'!$F$6,MAX(0,I22+J22-K22)),0)</x:f>
        <x:v>250</x:v>
      </x:c>
      <x:c r="M22" s="105" t="n">
        <x:f>IF(AND(A22='Your Mortgage'!$F$8,I22&gt;0),MIN('Your Mortgage'!$F$7,MAX(0,I22+J22-K22-L22)),0)</x:f>
        <x:v>0</x:v>
      </x:c>
      <x:c r="N22" s="105" t="n">
        <x:f>K22+L22+M22</x:f>
        <x:v>2304.2210763521375</x:v>
      </x:c>
      <x:c r="O22" s="105" t="n">
        <x:f>MAX(0,N22-J22)</x:f>
        <x:v>620.5729549641496</x:v>
      </x:c>
      <x:c r="P22" s="105" t="n">
        <x:f>MAX(0,I22-O22)</x:f>
        <x:v>310206.772532049</x:v>
      </x:c>
      <x:c r="Q22" s="106" t="n">
        <x:f>X21</x:f>
        <x:v>311769.88131160743</x:v>
      </x:c>
      <x:c r="R22" s="106" t="n">
        <x:f>IF(Q22&gt;0,Q22*'Your Mortgage'!$C$7/12,0)</x:f>
        <x:v>1688.753523771207</x:v>
      </x:c>
      <x:c r="S22" s="106" t="n">
        <x:f>IF(Q22&gt;0,MIN('Your Mortgage'!$C$11,Q22+R22),0)</x:f>
        <x:v>2054.2210763521375</x:v>
      </x:c>
      <x:c r="T22" s="106" t="n">
        <x:f>IF(Q22&gt;0,MIN('Your Mortgage'!$I$6,MAX(0,Q22+R22-S22)),0)</x:f>
        <x:v>500</x:v>
      </x:c>
      <x:c r="U22" s="106" t="n">
        <x:f>IF(AND(A22='Your Mortgage'!$I$8,Q22&gt;0),MIN('Your Mortgage'!$I$7,MAX(0,Q22+R22-S22-T22)),0)</x:f>
        <x:v>0</x:v>
      </x:c>
      <x:c r="V22" s="106" t="n">
        <x:f>S22+T22+U22</x:f>
        <x:v>2554.2210763521375</x:v>
      </x:c>
      <x:c r="W22" s="106" t="n">
        <x:f>MAX(0,V22-R22)</x:f>
        <x:v>865.4675525809305</x:v>
      </x:c>
      <x:c r="X22" s="106" t="n">
        <x:f>MAX(0,Q22-W22)</x:f>
        <x:v>310904.4137590265</x:v>
      </x:c>
      <x:c r="Y22" s="1"/>
      <x:c r="Z22" s="1"/>
    </x:row>
    <x:row r="23">
      <x:c r="A23" s="100" t="n">
        <x:f>A22+1</x:f>
        <x:v>18</x:v>
      </x:c>
      <x:c r="B23" s="103" t="n">
        <x:f>EDATE(B22,1)</x:f>
        <x:v>46753</x:v>
      </x:c>
      <x:c r="C23" s="104" t="n">
        <x:f>H22</x:f>
        <x:v>319782.9146019221</x:v>
      </x:c>
      <x:c r="D23" s="104" t="n">
        <x:f>IF(C23&gt;0,C23*'Your Mortgage'!$C$7/12,0)</x:f>
        <x:v>1732.1574540937447</x:v>
      </x:c>
      <x:c r="E23" s="104" t="n">
        <x:f>IF(C23&gt;0,MIN('Your Mortgage'!$C$11,C23+D23),0)</x:f>
        <x:v>2054.2210763521375</x:v>
      </x:c>
      <x:c r="F23" s="104" t="n">
        <x:f>E23</x:f>
        <x:v>2054.2210763521375</x:v>
      </x:c>
      <x:c r="G23" s="104" t="n">
        <x:f>MAX(0,F23-D23)</x:f>
        <x:v>322.0636222583928</x:v>
      </x:c>
      <x:c r="H23" s="104" t="n">
        <x:f>MAX(0,C23-G23)</x:f>
        <x:v>319460.8509796637</x:v>
      </x:c>
      <x:c r="I23" s="105" t="n">
        <x:f>P22</x:f>
        <x:v>310206.772532049</x:v>
      </x:c>
      <x:c r="J23" s="105" t="n">
        <x:f>IF(I23&gt;0,I23*'Your Mortgage'!$C$7/12,0)</x:f>
        <x:v>1680.2866845485987</x:v>
      </x:c>
      <x:c r="K23" s="105" t="n">
        <x:f>IF(I23&gt;0,MIN('Your Mortgage'!$C$11,I23+J23),0)</x:f>
        <x:v>2054.2210763521375</x:v>
      </x:c>
      <x:c r="L23" s="105" t="n">
        <x:f>IF(I23&gt;0,MIN('Your Mortgage'!$F$6,MAX(0,I23+J23-K23)),0)</x:f>
        <x:v>250</x:v>
      </x:c>
      <x:c r="M23" s="105" t="n">
        <x:f>IF(AND(A23='Your Mortgage'!$F$8,I23&gt;0),MIN('Your Mortgage'!$F$7,MAX(0,I23+J23-K23-L23)),0)</x:f>
        <x:v>0</x:v>
      </x:c>
      <x:c r="N23" s="105" t="n">
        <x:f>K23+L23+M23</x:f>
        <x:v>2304.2210763521375</x:v>
      </x:c>
      <x:c r="O23" s="105" t="n">
        <x:f>MAX(0,N23-J23)</x:f>
        <x:v>623.9343918035388</x:v>
      </x:c>
      <x:c r="P23" s="105" t="n">
        <x:f>MAX(0,I23-O23)</x:f>
        <x:v>309582.83814024547</x:v>
      </x:c>
      <x:c r="Q23" s="106" t="n">
        <x:f>X22</x:f>
        <x:v>310904.4137590265</x:v>
      </x:c>
      <x:c r="R23" s="106" t="n">
        <x:f>IF(Q23&gt;0,Q23*'Your Mortgage'!$C$7/12,0)</x:f>
        <x:v>1684.0655745280603</x:v>
      </x:c>
      <x:c r="S23" s="106" t="n">
        <x:f>IF(Q23&gt;0,MIN('Your Mortgage'!$C$11,Q23+R23),0)</x:f>
        <x:v>2054.2210763521375</x:v>
      </x:c>
      <x:c r="T23" s="106" t="n">
        <x:f>IF(Q23&gt;0,MIN('Your Mortgage'!$I$6,MAX(0,Q23+R23-S23)),0)</x:f>
        <x:v>500</x:v>
      </x:c>
      <x:c r="U23" s="106" t="n">
        <x:f>IF(AND(A23='Your Mortgage'!$I$8,Q23&gt;0),MIN('Your Mortgage'!$I$7,MAX(0,Q23+R23-S23-T23)),0)</x:f>
        <x:v>0</x:v>
      </x:c>
      <x:c r="V23" s="106" t="n">
        <x:f>S23+T23+U23</x:f>
        <x:v>2554.2210763521375</x:v>
      </x:c>
      <x:c r="W23" s="106" t="n">
        <x:f>MAX(0,V23-R23)</x:f>
        <x:v>870.1555018240772</x:v>
      </x:c>
      <x:c r="X23" s="106" t="n">
        <x:f>MAX(0,Q23-W23)</x:f>
        <x:v>310034.2582572024</x:v>
      </x:c>
      <x:c r="Y23" s="1"/>
      <x:c r="Z23" s="1"/>
    </x:row>
    <x:row r="24">
      <x:c r="A24" s="100" t="n">
        <x:f>A23+1</x:f>
        <x:v>19</x:v>
      </x:c>
      <x:c r="B24" s="103" t="n">
        <x:f>EDATE(B23,1)</x:f>
        <x:v>46784</x:v>
      </x:c>
      <x:c r="C24" s="104" t="n">
        <x:f>H23</x:f>
        <x:v>319460.8509796637</x:v>
      </x:c>
      <x:c r="D24" s="104" t="n">
        <x:f>IF(C24&gt;0,C24*'Your Mortgage'!$C$7/12,0)</x:f>
        <x:v>1730.4129428065119</x:v>
      </x:c>
      <x:c r="E24" s="104" t="n">
        <x:f>IF(C24&gt;0,MIN('Your Mortgage'!$C$11,C24+D24),0)</x:f>
        <x:v>2054.2210763521375</x:v>
      </x:c>
      <x:c r="F24" s="104" t="n">
        <x:f>E24</x:f>
        <x:v>2054.2210763521375</x:v>
      </x:c>
      <x:c r="G24" s="104" t="n">
        <x:f>MAX(0,F24-D24)</x:f>
        <x:v>323.80813354562565</x:v>
      </x:c>
      <x:c r="H24" s="104" t="n">
        <x:f>MAX(0,C24-G24)</x:f>
        <x:v>319137.0428461181</x:v>
      </x:c>
      <x:c r="I24" s="105" t="n">
        <x:f>P23</x:f>
        <x:v>309582.83814024547</x:v>
      </x:c>
      <x:c r="J24" s="105" t="n">
        <x:f>IF(I24&gt;0,I24*'Your Mortgage'!$C$7/12,0)</x:f>
        <x:v>1676.9070399263298</x:v>
      </x:c>
      <x:c r="K24" s="105" t="n">
        <x:f>IF(I24&gt;0,MIN('Your Mortgage'!$C$11,I24+J24),0)</x:f>
        <x:v>2054.2210763521375</x:v>
      </x:c>
      <x:c r="L24" s="105" t="n">
        <x:f>IF(I24&gt;0,MIN('Your Mortgage'!$F$6,MAX(0,I24+J24-K24)),0)</x:f>
        <x:v>250</x:v>
      </x:c>
      <x:c r="M24" s="105" t="n">
        <x:f>IF(AND(A24='Your Mortgage'!$F$8,I24&gt;0),MIN('Your Mortgage'!$F$7,MAX(0,I24+J24-K24-L24)),0)</x:f>
        <x:v>0</x:v>
      </x:c>
      <x:c r="N24" s="105" t="n">
        <x:f>K24+L24+M24</x:f>
        <x:v>2304.2210763521375</x:v>
      </x:c>
      <x:c r="O24" s="105" t="n">
        <x:f>MAX(0,N24-J24)</x:f>
        <x:v>627.3140364258077</x:v>
      </x:c>
      <x:c r="P24" s="105" t="n">
        <x:f>MAX(0,I24-O24)</x:f>
        <x:v>308955.5241038197</x:v>
      </x:c>
      <x:c r="Q24" s="106" t="n">
        <x:f>X23</x:f>
        <x:v>310034.2582572024</x:v>
      </x:c>
      <x:c r="R24" s="106" t="n">
        <x:f>IF(Q24&gt;0,Q24*'Your Mortgage'!$C$7/12,0)</x:f>
        <x:v>1679.3522322265133</x:v>
      </x:c>
      <x:c r="S24" s="106" t="n">
        <x:f>IF(Q24&gt;0,MIN('Your Mortgage'!$C$11,Q24+R24),0)</x:f>
        <x:v>2054.2210763521375</x:v>
      </x:c>
      <x:c r="T24" s="106" t="n">
        <x:f>IF(Q24&gt;0,MIN('Your Mortgage'!$I$6,MAX(0,Q24+R24-S24)),0)</x:f>
        <x:v>500</x:v>
      </x:c>
      <x:c r="U24" s="106" t="n">
        <x:f>IF(AND(A24='Your Mortgage'!$I$8,Q24&gt;0),MIN('Your Mortgage'!$I$7,MAX(0,Q24+R24-S24-T24)),0)</x:f>
        <x:v>0</x:v>
      </x:c>
      <x:c r="V24" s="106" t="n">
        <x:f>S24+T24+U24</x:f>
        <x:v>2554.2210763521375</x:v>
      </x:c>
      <x:c r="W24" s="106" t="n">
        <x:f>MAX(0,V24-R24)</x:f>
        <x:v>874.8688441256243</x:v>
      </x:c>
      <x:c r="X24" s="106" t="n">
        <x:f>MAX(0,Q24-W24)</x:f>
        <x:v>309159.38941307674</x:v>
      </x:c>
      <x:c r="Y24" s="1"/>
      <x:c r="Z24" s="1"/>
    </x:row>
    <x:row r="25">
      <x:c r="A25" s="100" t="n">
        <x:f>A24+1</x:f>
        <x:v>20</x:v>
      </x:c>
      <x:c r="B25" s="103" t="n">
        <x:f>EDATE(B24,1)</x:f>
        <x:v>46813</x:v>
      </x:c>
      <x:c r="C25" s="104" t="n">
        <x:f>H24</x:f>
        <x:v>319137.0428461181</x:v>
      </x:c>
      <x:c r="D25" s="104" t="n">
        <x:f>IF(C25&gt;0,C25*'Your Mortgage'!$C$7/12,0)</x:f>
        <x:v>1728.6589820831398</x:v>
      </x:c>
      <x:c r="E25" s="104" t="n">
        <x:f>IF(C25&gt;0,MIN('Your Mortgage'!$C$11,C25+D25),0)</x:f>
        <x:v>2054.2210763521375</x:v>
      </x:c>
      <x:c r="F25" s="104" t="n">
        <x:f>E25</x:f>
        <x:v>2054.2210763521375</x:v>
      </x:c>
      <x:c r="G25" s="104" t="n">
        <x:f>MAX(0,F25-D25)</x:f>
        <x:v>325.5620942689977</x:v>
      </x:c>
      <x:c r="H25" s="104" t="n">
        <x:f>MAX(0,C25-G25)</x:f>
        <x:v>318811.4807518491</x:v>
      </x:c>
      <x:c r="I25" s="105" t="n">
        <x:f>P24</x:f>
        <x:v>308955.5241038197</x:v>
      </x:c>
      <x:c r="J25" s="105" t="n">
        <x:f>IF(I25&gt;0,I25*'Your Mortgage'!$C$7/12,0)</x:f>
        <x:v>1673.50908889569</x:v>
      </x:c>
      <x:c r="K25" s="105" t="n">
        <x:f>IF(I25&gt;0,MIN('Your Mortgage'!$C$11,I25+J25),0)</x:f>
        <x:v>2054.2210763521375</x:v>
      </x:c>
      <x:c r="L25" s="105" t="n">
        <x:f>IF(I25&gt;0,MIN('Your Mortgage'!$F$6,MAX(0,I25+J25-K25)),0)</x:f>
        <x:v>250</x:v>
      </x:c>
      <x:c r="M25" s="105" t="n">
        <x:f>IF(AND(A25='Your Mortgage'!$F$8,I25&gt;0),MIN('Your Mortgage'!$F$7,MAX(0,I25+J25-K25-L25)),0)</x:f>
        <x:v>0</x:v>
      </x:c>
      <x:c r="N25" s="105" t="n">
        <x:f>K25+L25+M25</x:f>
        <x:v>2304.2210763521375</x:v>
      </x:c>
      <x:c r="O25" s="105" t="n">
        <x:f>MAX(0,N25-J25)</x:f>
        <x:v>630.7119874564476</x:v>
      </x:c>
      <x:c r="P25" s="105" t="n">
        <x:f>MAX(0,I25-O25)</x:f>
        <x:v>308324.81211636326</x:v>
      </x:c>
      <x:c r="Q25" s="106" t="n">
        <x:f>X24</x:f>
        <x:v>309159.38941307674</x:v>
      </x:c>
      <x:c r="R25" s="106" t="n">
        <x:f>IF(Q25&gt;0,Q25*'Your Mortgage'!$C$7/12,0)</x:f>
        <x:v>1674.6133593208324</x:v>
      </x:c>
      <x:c r="S25" s="106" t="n">
        <x:f>IF(Q25&gt;0,MIN('Your Mortgage'!$C$11,Q25+R25),0)</x:f>
        <x:v>2054.2210763521375</x:v>
      </x:c>
      <x:c r="T25" s="106" t="n">
        <x:f>IF(Q25&gt;0,MIN('Your Mortgage'!$I$6,MAX(0,Q25+R25-S25)),0)</x:f>
        <x:v>500</x:v>
      </x:c>
      <x:c r="U25" s="106" t="n">
        <x:f>IF(AND(A25='Your Mortgage'!$I$8,Q25&gt;0),MIN('Your Mortgage'!$I$7,MAX(0,Q25+R25-S25-T25)),0)</x:f>
        <x:v>0</x:v>
      </x:c>
      <x:c r="V25" s="106" t="n">
        <x:f>S25+T25+U25</x:f>
        <x:v>2554.2210763521375</x:v>
      </x:c>
      <x:c r="W25" s="106" t="n">
        <x:f>MAX(0,V25-R25)</x:f>
        <x:v>879.6077170313051</x:v>
      </x:c>
      <x:c r="X25" s="106" t="n">
        <x:f>MAX(0,Q25-W25)</x:f>
        <x:v>308279.7816960454</x:v>
      </x:c>
      <x:c r="Y25" s="1"/>
      <x:c r="Z25" s="1"/>
    </x:row>
    <x:row r="26">
      <x:c r="A26" s="100" t="n">
        <x:f>A25+1</x:f>
        <x:v>21</x:v>
      </x:c>
      <x:c r="B26" s="103" t="n">
        <x:f>EDATE(B25,1)</x:f>
        <x:v>46844</x:v>
      </x:c>
      <x:c r="C26" s="104" t="n">
        <x:f>H25</x:f>
        <x:v>318811.4807518491</x:v>
      </x:c>
      <x:c r="D26" s="104" t="n">
        <x:f>IF(C26&gt;0,C26*'Your Mortgage'!$C$7/12,0)</x:f>
        <x:v>1726.8955207391828</x:v>
      </x:c>
      <x:c r="E26" s="104" t="n">
        <x:f>IF(C26&gt;0,MIN('Your Mortgage'!$C$11,C26+D26),0)</x:f>
        <x:v>2054.2210763521375</x:v>
      </x:c>
      <x:c r="F26" s="104" t="n">
        <x:f>E26</x:f>
        <x:v>2054.2210763521375</x:v>
      </x:c>
      <x:c r="G26" s="104" t="n">
        <x:f>MAX(0,F26-D26)</x:f>
        <x:v>327.32555561295476</x:v>
      </x:c>
      <x:c r="H26" s="104" t="n">
        <x:f>MAX(0,C26-G26)</x:f>
        <x:v>318484.15519623616</x:v>
      </x:c>
      <x:c r="I26" s="105" t="n">
        <x:f>P25</x:f>
        <x:v>308324.81211636326</x:v>
      </x:c>
      <x:c r="J26" s="105" t="n">
        <x:f>IF(I26&gt;0,I26*'Your Mortgage'!$C$7/12,0)</x:f>
        <x:v>1670.0927322969676</x:v>
      </x:c>
      <x:c r="K26" s="105" t="n">
        <x:f>IF(I26&gt;0,MIN('Your Mortgage'!$C$11,I26+J26),0)</x:f>
        <x:v>2054.2210763521375</x:v>
      </x:c>
      <x:c r="L26" s="105" t="n">
        <x:f>IF(I26&gt;0,MIN('Your Mortgage'!$F$6,MAX(0,I26+J26-K26)),0)</x:f>
        <x:v>250</x:v>
      </x:c>
      <x:c r="M26" s="105" t="n">
        <x:f>IF(AND(A26='Your Mortgage'!$F$8,I26&gt;0),MIN('Your Mortgage'!$F$7,MAX(0,I26+J26-K26-L26)),0)</x:f>
        <x:v>0</x:v>
      </x:c>
      <x:c r="N26" s="105" t="n">
        <x:f>K26+L26+M26</x:f>
        <x:v>2304.2210763521375</x:v>
      </x:c>
      <x:c r="O26" s="105" t="n">
        <x:f>MAX(0,N26-J26)</x:f>
        <x:v>634.1283440551699</x:v>
      </x:c>
      <x:c r="P26" s="105" t="n">
        <x:f>MAX(0,I26-O26)</x:f>
        <x:v>307690.6837723081</x:v>
      </x:c>
      <x:c r="Q26" s="106" t="n">
        <x:f>X25</x:f>
        <x:v>308279.7816960454</x:v>
      </x:c>
      <x:c r="R26" s="106" t="n">
        <x:f>IF(Q26&gt;0,Q26*'Your Mortgage'!$C$7/12,0)</x:f>
        <x:v>1669.8488175202463</x:v>
      </x:c>
      <x:c r="S26" s="106" t="n">
        <x:f>IF(Q26&gt;0,MIN('Your Mortgage'!$C$11,Q26+R26),0)</x:f>
        <x:v>2054.2210763521375</x:v>
      </x:c>
      <x:c r="T26" s="106" t="n">
        <x:f>IF(Q26&gt;0,MIN('Your Mortgage'!$I$6,MAX(0,Q26+R26-S26)),0)</x:f>
        <x:v>500</x:v>
      </x:c>
      <x:c r="U26" s="106" t="n">
        <x:f>IF(AND(A26='Your Mortgage'!$I$8,Q26&gt;0),MIN('Your Mortgage'!$I$7,MAX(0,Q26+R26-S26-T26)),0)</x:f>
        <x:v>0</x:v>
      </x:c>
      <x:c r="V26" s="106" t="n">
        <x:f>S26+T26+U26</x:f>
        <x:v>2554.2210763521375</x:v>
      </x:c>
      <x:c r="W26" s="106" t="n">
        <x:f>MAX(0,V26-R26)</x:f>
        <x:v>884.3722588318913</x:v>
      </x:c>
      <x:c r="X26" s="106" t="n">
        <x:f>MAX(0,Q26-W26)</x:f>
        <x:v>307395.40943721356</x:v>
      </x:c>
      <x:c r="Y26" s="1"/>
      <x:c r="Z26" s="1"/>
    </x:row>
    <x:row r="27">
      <x:c r="A27" s="100" t="n">
        <x:f>A26+1</x:f>
        <x:v>22</x:v>
      </x:c>
      <x:c r="B27" s="103" t="n">
        <x:f>EDATE(B26,1)</x:f>
        <x:v>46874</x:v>
      </x:c>
      <x:c r="C27" s="104" t="n">
        <x:f>H26</x:f>
        <x:v>318484.15519623616</x:v>
      </x:c>
      <x:c r="D27" s="104" t="n">
        <x:f>IF(C27&gt;0,C27*'Your Mortgage'!$C$7/12,0)</x:f>
        <x:v>1725.122507312946</x:v>
      </x:c>
      <x:c r="E27" s="104" t="n">
        <x:f>IF(C27&gt;0,MIN('Your Mortgage'!$C$11,C27+D27),0)</x:f>
        <x:v>2054.2210763521375</x:v>
      </x:c>
      <x:c r="F27" s="104" t="n">
        <x:f>E27</x:f>
        <x:v>2054.2210763521375</x:v>
      </x:c>
      <x:c r="G27" s="104" t="n">
        <x:f>MAX(0,F27-D27)</x:f>
        <x:v>329.0985690391915</x:v>
      </x:c>
      <x:c r="H27" s="104" t="n">
        <x:f>MAX(0,C27-G27)</x:f>
        <x:v>318155.05662719696</x:v>
      </x:c>
      <x:c r="I27" s="105" t="n">
        <x:f>P26</x:f>
        <x:v>307690.6837723081</x:v>
      </x:c>
      <x:c r="J27" s="105" t="n">
        <x:f>IF(I27&gt;0,I27*'Your Mortgage'!$C$7/12,0)</x:f>
        <x:v>1666.6578704333358</x:v>
      </x:c>
      <x:c r="K27" s="105" t="n">
        <x:f>IF(I27&gt;0,MIN('Your Mortgage'!$C$11,I27+J27),0)</x:f>
        <x:v>2054.2210763521375</x:v>
      </x:c>
      <x:c r="L27" s="105" t="n">
        <x:f>IF(I27&gt;0,MIN('Your Mortgage'!$F$6,MAX(0,I27+J27-K27)),0)</x:f>
        <x:v>250</x:v>
      </x:c>
      <x:c r="M27" s="105" t="n">
        <x:f>IF(AND(A27='Your Mortgage'!$F$8,I27&gt;0),MIN('Your Mortgage'!$F$7,MAX(0,I27+J27-K27-L27)),0)</x:f>
        <x:v>0</x:v>
      </x:c>
      <x:c r="N27" s="105" t="n">
        <x:f>K27+L27+M27</x:f>
        <x:v>2304.2210763521375</x:v>
      </x:c>
      <x:c r="O27" s="105" t="n">
        <x:f>MAX(0,N27-J27)</x:f>
        <x:v>637.5632059188017</x:v>
      </x:c>
      <x:c r="P27" s="105" t="n">
        <x:f>MAX(0,I27-O27)</x:f>
        <x:v>307053.1205663893</x:v>
      </x:c>
      <x:c r="Q27" s="106" t="n">
        <x:f>X26</x:f>
        <x:v>307395.40943721356</x:v>
      </x:c>
      <x:c r="R27" s="106" t="n">
        <x:f>IF(Q27&gt;0,Q27*'Your Mortgage'!$C$7/12,0)</x:f>
        <x:v>1665.0584677849067</x:v>
      </x:c>
      <x:c r="S27" s="106" t="n">
        <x:f>IF(Q27&gt;0,MIN('Your Mortgage'!$C$11,Q27+R27),0)</x:f>
        <x:v>2054.2210763521375</x:v>
      </x:c>
      <x:c r="T27" s="106" t="n">
        <x:f>IF(Q27&gt;0,MIN('Your Mortgage'!$I$6,MAX(0,Q27+R27-S27)),0)</x:f>
        <x:v>500</x:v>
      </x:c>
      <x:c r="U27" s="106" t="n">
        <x:f>IF(AND(A27='Your Mortgage'!$I$8,Q27&gt;0),MIN('Your Mortgage'!$I$7,MAX(0,Q27+R27-S27-T27)),0)</x:f>
        <x:v>0</x:v>
      </x:c>
      <x:c r="V27" s="106" t="n">
        <x:f>S27+T27+U27</x:f>
        <x:v>2554.2210763521375</x:v>
      </x:c>
      <x:c r="W27" s="106" t="n">
        <x:f>MAX(0,V27-R27)</x:f>
        <x:v>889.1626085672308</x:v>
      </x:c>
      <x:c r="X27" s="106" t="n">
        <x:f>MAX(0,Q27-W27)</x:f>
        <x:v>306506.24682864634</x:v>
      </x:c>
      <x:c r="Y27" s="1"/>
      <x:c r="Z27" s="1"/>
    </x:row>
    <x:row r="28">
      <x:c r="A28" s="100" t="n">
        <x:f>A27+1</x:f>
        <x:v>23</x:v>
      </x:c>
      <x:c r="B28" s="103" t="n">
        <x:f>EDATE(B27,1)</x:f>
        <x:v>46905</x:v>
      </x:c>
      <x:c r="C28" s="104" t="n">
        <x:f>H27</x:f>
        <x:v>318155.05662719696</x:v>
      </x:c>
      <x:c r="D28" s="104" t="n">
        <x:f>IF(C28&gt;0,C28*'Your Mortgage'!$C$7/12,0)</x:f>
        <x:v>1723.3398900639834</x:v>
      </x:c>
      <x:c r="E28" s="104" t="n">
        <x:f>IF(C28&gt;0,MIN('Your Mortgage'!$C$11,C28+D28),0)</x:f>
        <x:v>2054.2210763521375</x:v>
      </x:c>
      <x:c r="F28" s="104" t="n">
        <x:f>E28</x:f>
        <x:v>2054.2210763521375</x:v>
      </x:c>
      <x:c r="G28" s="104" t="n">
        <x:f>MAX(0,F28-D28)</x:f>
        <x:v>330.88118628815414</x:v>
      </x:c>
      <x:c r="H28" s="104" t="n">
        <x:f>MAX(0,C28-G28)</x:f>
        <x:v>317824.1754409088</x:v>
      </x:c>
      <x:c r="I28" s="105" t="n">
        <x:f>P27</x:f>
        <x:v>307053.1205663893</x:v>
      </x:c>
      <x:c r="J28" s="105" t="n">
        <x:f>IF(I28&gt;0,I28*'Your Mortgage'!$C$7/12,0)</x:f>
        <x:v>1663.204403067942</x:v>
      </x:c>
      <x:c r="K28" s="105" t="n">
        <x:f>IF(I28&gt;0,MIN('Your Mortgage'!$C$11,I28+J28),0)</x:f>
        <x:v>2054.2210763521375</x:v>
      </x:c>
      <x:c r="L28" s="105" t="n">
        <x:f>IF(I28&gt;0,MIN('Your Mortgage'!$F$6,MAX(0,I28+J28-K28)),0)</x:f>
        <x:v>250</x:v>
      </x:c>
      <x:c r="M28" s="105" t="n">
        <x:f>IF(AND(A28='Your Mortgage'!$F$8,I28&gt;0),MIN('Your Mortgage'!$F$7,MAX(0,I28+J28-K28-L28)),0)</x:f>
        <x:v>0</x:v>
      </x:c>
      <x:c r="N28" s="105" t="n">
        <x:f>K28+L28+M28</x:f>
        <x:v>2304.2210763521375</x:v>
      </x:c>
      <x:c r="O28" s="105" t="n">
        <x:f>MAX(0,N28-J28)</x:f>
        <x:v>641.0166732841956</x:v>
      </x:c>
      <x:c r="P28" s="105" t="n">
        <x:f>MAX(0,I28-O28)</x:f>
        <x:v>306412.1038931051</x:v>
      </x:c>
      <x:c r="Q28" s="106" t="n">
        <x:f>X27</x:f>
        <x:v>306506.24682864634</x:v>
      </x:c>
      <x:c r="R28" s="106" t="n">
        <x:f>IF(Q28&gt;0,Q28*'Your Mortgage'!$C$7/12,0)</x:f>
        <x:v>1660.2421703218345</x:v>
      </x:c>
      <x:c r="S28" s="106" t="n">
        <x:f>IF(Q28&gt;0,MIN('Your Mortgage'!$C$11,Q28+R28),0)</x:f>
        <x:v>2054.2210763521375</x:v>
      </x:c>
      <x:c r="T28" s="106" t="n">
        <x:f>IF(Q28&gt;0,MIN('Your Mortgage'!$I$6,MAX(0,Q28+R28-S28)),0)</x:f>
        <x:v>500</x:v>
      </x:c>
      <x:c r="U28" s="106" t="n">
        <x:f>IF(AND(A28='Your Mortgage'!$I$8,Q28&gt;0),MIN('Your Mortgage'!$I$7,MAX(0,Q28+R28-S28-T28)),0)</x:f>
        <x:v>0</x:v>
      </x:c>
      <x:c r="V28" s="106" t="n">
        <x:f>S28+T28+U28</x:f>
        <x:v>2554.2210763521375</x:v>
      </x:c>
      <x:c r="W28" s="106" t="n">
        <x:f>MAX(0,V28-R28)</x:f>
        <x:v>893.978906030303</x:v>
      </x:c>
      <x:c r="X28" s="106" t="n">
        <x:f>MAX(0,Q28-W28)</x:f>
        <x:v>305612.26792261604</x:v>
      </x:c>
      <x:c r="Y28" s="1"/>
      <x:c r="Z28" s="1"/>
    </x:row>
    <x:row r="29">
      <x:c r="A29" s="100" t="n">
        <x:f>A28+1</x:f>
        <x:v>24</x:v>
      </x:c>
      <x:c r="B29" s="103" t="n">
        <x:f>EDATE(B28,1)</x:f>
        <x:v>46935</x:v>
      </x:c>
      <x:c r="C29" s="104" t="n">
        <x:f>H28</x:f>
        <x:v>317824.1754409088</x:v>
      </x:c>
      <x:c r="D29" s="104" t="n">
        <x:f>IF(C29&gt;0,C29*'Your Mortgage'!$C$7/12,0)</x:f>
        <x:v>1721.5476169715894</x:v>
      </x:c>
      <x:c r="E29" s="104" t="n">
        <x:f>IF(C29&gt;0,MIN('Your Mortgage'!$C$11,C29+D29),0)</x:f>
        <x:v>2054.2210763521375</x:v>
      </x:c>
      <x:c r="F29" s="104" t="n">
        <x:f>E29</x:f>
        <x:v>2054.2210763521375</x:v>
      </x:c>
      <x:c r="G29" s="104" t="n">
        <x:f>MAX(0,F29-D29)</x:f>
        <x:v>332.67345938054814</x:v>
      </x:c>
      <x:c r="H29" s="104" t="n">
        <x:f>MAX(0,C29-G29)</x:f>
        <x:v>317491.50198152824</x:v>
      </x:c>
      <x:c r="I29" s="105" t="n">
        <x:f>P28</x:f>
        <x:v>306412.1038931051</x:v>
      </x:c>
      <x:c r="J29" s="105" t="n">
        <x:f>IF(I29&gt;0,I29*'Your Mortgage'!$C$7/12,0)</x:f>
        <x:v>1659.7322294209862</x:v>
      </x:c>
      <x:c r="K29" s="105" t="n">
        <x:f>IF(I29&gt;0,MIN('Your Mortgage'!$C$11,I29+J29),0)</x:f>
        <x:v>2054.2210763521375</x:v>
      </x:c>
      <x:c r="L29" s="105" t="n">
        <x:f>IF(I29&gt;0,MIN('Your Mortgage'!$F$6,MAX(0,I29+J29-K29)),0)</x:f>
        <x:v>250</x:v>
      </x:c>
      <x:c r="M29" s="105" t="n">
        <x:f>IF(AND(A29='Your Mortgage'!$F$8,I29&gt;0),MIN('Your Mortgage'!$F$7,MAX(0,I29+J29-K29-L29)),0)</x:f>
        <x:v>0</x:v>
      </x:c>
      <x:c r="N29" s="105" t="n">
        <x:f>K29+L29+M29</x:f>
        <x:v>2304.2210763521375</x:v>
      </x:c>
      <x:c r="O29" s="105" t="n">
        <x:f>MAX(0,N29-J29)</x:f>
        <x:v>644.4888469311513</x:v>
      </x:c>
      <x:c r="P29" s="105" t="n">
        <x:f>MAX(0,I29-O29)</x:f>
        <x:v>305767.615046174</x:v>
      </x:c>
      <x:c r="Q29" s="106" t="n">
        <x:f>X28</x:f>
        <x:v>305612.26792261604</x:v>
      </x:c>
      <x:c r="R29" s="106" t="n">
        <x:f>IF(Q29&gt;0,Q29*'Your Mortgage'!$C$7/12,0)</x:f>
        <x:v>1655.399784580837</x:v>
      </x:c>
      <x:c r="S29" s="106" t="n">
        <x:f>IF(Q29&gt;0,MIN('Your Mortgage'!$C$11,Q29+R29),0)</x:f>
        <x:v>2054.2210763521375</x:v>
      </x:c>
      <x:c r="T29" s="106" t="n">
        <x:f>IF(Q29&gt;0,MIN('Your Mortgage'!$I$6,MAX(0,Q29+R29-S29)),0)</x:f>
        <x:v>500</x:v>
      </x:c>
      <x:c r="U29" s="106" t="n">
        <x:f>IF(AND(A29='Your Mortgage'!$I$8,Q29&gt;0),MIN('Your Mortgage'!$I$7,MAX(0,Q29+R29-S29-T29)),0)</x:f>
        <x:v>0</x:v>
      </x:c>
      <x:c r="V29" s="106" t="n">
        <x:f>S29+T29+U29</x:f>
        <x:v>2554.2210763521375</x:v>
      </x:c>
      <x:c r="W29" s="106" t="n">
        <x:f>MAX(0,V29-R29)</x:f>
        <x:v>898.8212917713006</x:v>
      </x:c>
      <x:c r="X29" s="106" t="n">
        <x:f>MAX(0,Q29-W29)</x:f>
        <x:v>304713.44663084473</x:v>
      </x:c>
      <x:c r="Y29" s="1"/>
      <x:c r="Z29" s="1"/>
    </x:row>
    <x:row r="30">
      <x:c r="A30" s="100" t="n">
        <x:f>A29+1</x:f>
        <x:v>25</x:v>
      </x:c>
      <x:c r="B30" s="103" t="n">
        <x:f>EDATE(B29,1)</x:f>
        <x:v>46966</x:v>
      </x:c>
      <x:c r="C30" s="104" t="n">
        <x:f>H29</x:f>
        <x:v>317491.50198152824</x:v>
      </x:c>
      <x:c r="D30" s="104" t="n">
        <x:f>IF(C30&gt;0,C30*'Your Mortgage'!$C$7/12,0)</x:f>
        <x:v>1719.7456357332778</x:v>
      </x:c>
      <x:c r="E30" s="104" t="n">
        <x:f>IF(C30&gt;0,MIN('Your Mortgage'!$C$11,C30+D30),0)</x:f>
        <x:v>2054.2210763521375</x:v>
      </x:c>
      <x:c r="F30" s="104" t="n">
        <x:f>E30</x:f>
        <x:v>2054.2210763521375</x:v>
      </x:c>
      <x:c r="G30" s="104" t="n">
        <x:f>MAX(0,F30-D30)</x:f>
        <x:v>334.4754406188597</x:v>
      </x:c>
      <x:c r="H30" s="104" t="n">
        <x:f>MAX(0,C30-G30)</x:f>
        <x:v>317157.02654090937</x:v>
      </x:c>
      <x:c r="I30" s="105" t="n">
        <x:f>P29</x:f>
        <x:v>305767.615046174</x:v>
      </x:c>
      <x:c r="J30" s="105" t="n">
        <x:f>IF(I30&gt;0,I30*'Your Mortgage'!$C$7/12,0)</x:f>
        <x:v>1656.241248166776</x:v>
      </x:c>
      <x:c r="K30" s="105" t="n">
        <x:f>IF(I30&gt;0,MIN('Your Mortgage'!$C$11,I30+J30),0)</x:f>
        <x:v>2054.2210763521375</x:v>
      </x:c>
      <x:c r="L30" s="105" t="n">
        <x:f>IF(I30&gt;0,MIN('Your Mortgage'!$F$6,MAX(0,I30+J30-K30)),0)</x:f>
        <x:v>250</x:v>
      </x:c>
      <x:c r="M30" s="105" t="n">
        <x:f>IF(AND(A30='Your Mortgage'!$F$8,I30&gt;0),MIN('Your Mortgage'!$F$7,MAX(0,I30+J30-K30-L30)),0)</x:f>
        <x:v>0</x:v>
      </x:c>
      <x:c r="N30" s="105" t="n">
        <x:f>K30+L30+M30</x:f>
        <x:v>2304.2210763521375</x:v>
      </x:c>
      <x:c r="O30" s="105" t="n">
        <x:f>MAX(0,N30-J30)</x:f>
        <x:v>647.9798281853616</x:v>
      </x:c>
      <x:c r="P30" s="105" t="n">
        <x:f>MAX(0,I30-O30)</x:f>
        <x:v>305119.63521798863</x:v>
      </x:c>
      <x:c r="Q30" s="106" t="n">
        <x:f>X29</x:f>
        <x:v>304713.44663084473</x:v>
      </x:c>
      <x:c r="R30" s="106" t="n">
        <x:f>IF(Q30&gt;0,Q30*'Your Mortgage'!$C$7/12,0)</x:f>
        <x:v>1650.531169250409</x:v>
      </x:c>
      <x:c r="S30" s="106" t="n">
        <x:f>IF(Q30&gt;0,MIN('Your Mortgage'!$C$11,Q30+R30),0)</x:f>
        <x:v>2054.2210763521375</x:v>
      </x:c>
      <x:c r="T30" s="106" t="n">
        <x:f>IF(Q30&gt;0,MIN('Your Mortgage'!$I$6,MAX(0,Q30+R30-S30)),0)</x:f>
        <x:v>500</x:v>
      </x:c>
      <x:c r="U30" s="106" t="n">
        <x:f>IF(AND(A30='Your Mortgage'!$I$8,Q30&gt;0),MIN('Your Mortgage'!$I$7,MAX(0,Q30+R30-S30-T30)),0)</x:f>
        <x:v>0</x:v>
      </x:c>
      <x:c r="V30" s="106" t="n">
        <x:f>S30+T30+U30</x:f>
        <x:v>2554.2210763521375</x:v>
      </x:c>
      <x:c r="W30" s="106" t="n">
        <x:f>MAX(0,V30-R30)</x:f>
        <x:v>903.6899071017285</x:v>
      </x:c>
      <x:c r="X30" s="106" t="n">
        <x:f>MAX(0,Q30-W30)</x:f>
        <x:v>303809.756723743</x:v>
      </x:c>
      <x:c r="Y30" s="1"/>
      <x:c r="Z30" s="1"/>
    </x:row>
    <x:row r="31">
      <x:c r="A31" s="100" t="n">
        <x:f>A30+1</x:f>
        <x:v>26</x:v>
      </x:c>
      <x:c r="B31" s="103" t="n">
        <x:f>EDATE(B30,1)</x:f>
        <x:v>46997</x:v>
      </x:c>
      <x:c r="C31" s="104" t="n">
        <x:f>H30</x:f>
        <x:v>317157.02654090937</x:v>
      </x:c>
      <x:c r="D31" s="104" t="n">
        <x:f>IF(C31&gt;0,C31*'Your Mortgage'!$C$7/12,0)</x:f>
        <x:v>1717.9338937632592</x:v>
      </x:c>
      <x:c r="E31" s="104" t="n">
        <x:f>IF(C31&gt;0,MIN('Your Mortgage'!$C$11,C31+D31),0)</x:f>
        <x:v>2054.2210763521375</x:v>
      </x:c>
      <x:c r="F31" s="104" t="n">
        <x:f>E31</x:f>
        <x:v>2054.2210763521375</x:v>
      </x:c>
      <x:c r="G31" s="104" t="n">
        <x:f>MAX(0,F31-D31)</x:f>
        <x:v>336.2871825888783</x:v>
      </x:c>
      <x:c r="H31" s="104" t="n">
        <x:f>MAX(0,C31-G31)</x:f>
        <x:v>316820.7393583205</x:v>
      </x:c>
      <x:c r="I31" s="105" t="n">
        <x:f>P30</x:f>
        <x:v>305119.63521798863</x:v>
      </x:c>
      <x:c r="J31" s="105" t="n">
        <x:f>IF(I31&gt;0,I31*'Your Mortgage'!$C$7/12,0)</x:f>
        <x:v>1652.7313574307718</x:v>
      </x:c>
      <x:c r="K31" s="105" t="n">
        <x:f>IF(I31&gt;0,MIN('Your Mortgage'!$C$11,I31+J31),0)</x:f>
        <x:v>2054.2210763521375</x:v>
      </x:c>
      <x:c r="L31" s="105" t="n">
        <x:f>IF(I31&gt;0,MIN('Your Mortgage'!$F$6,MAX(0,I31+J31-K31)),0)</x:f>
        <x:v>250</x:v>
      </x:c>
      <x:c r="M31" s="105" t="n">
        <x:f>IF(AND(A31='Your Mortgage'!$F$8,I31&gt;0),MIN('Your Mortgage'!$F$7,MAX(0,I31+J31-K31-L31)),0)</x:f>
        <x:v>0</x:v>
      </x:c>
      <x:c r="N31" s="105" t="n">
        <x:f>K31+L31+M31</x:f>
        <x:v>2304.2210763521375</x:v>
      </x:c>
      <x:c r="O31" s="105" t="n">
        <x:f>MAX(0,N31-J31)</x:f>
        <x:v>651.4897189213657</x:v>
      </x:c>
      <x:c r="P31" s="105" t="n">
        <x:f>MAX(0,I31-O31)</x:f>
        <x:v>304468.14549906726</x:v>
      </x:c>
      <x:c r="Q31" s="106" t="n">
        <x:f>X30</x:f>
        <x:v>303809.756723743</x:v>
      </x:c>
      <x:c r="R31" s="106" t="n">
        <x:f>IF(Q31&gt;0,Q31*'Your Mortgage'!$C$7/12,0)</x:f>
        <x:v>1645.636182253608</x:v>
      </x:c>
      <x:c r="S31" s="106" t="n">
        <x:f>IF(Q31&gt;0,MIN('Your Mortgage'!$C$11,Q31+R31),0)</x:f>
        <x:v>2054.2210763521375</x:v>
      </x:c>
      <x:c r="T31" s="106" t="n">
        <x:f>IF(Q31&gt;0,MIN('Your Mortgage'!$I$6,MAX(0,Q31+R31-S31)),0)</x:f>
        <x:v>500</x:v>
      </x:c>
      <x:c r="U31" s="106" t="n">
        <x:f>IF(AND(A31='Your Mortgage'!$I$8,Q31&gt;0),MIN('Your Mortgage'!$I$7,MAX(0,Q31+R31-S31-T31)),0)</x:f>
        <x:v>0</x:v>
      </x:c>
      <x:c r="V31" s="106" t="n">
        <x:f>S31+T31+U31</x:f>
        <x:v>2554.2210763521375</x:v>
      </x:c>
      <x:c r="W31" s="106" t="n">
        <x:f>MAX(0,V31-R31)</x:f>
        <x:v>908.5848940985295</x:v>
      </x:c>
      <x:c r="X31" s="106" t="n">
        <x:f>MAX(0,Q31-W31)</x:f>
        <x:v>302901.1718296445</x:v>
      </x:c>
      <x:c r="Y31" s="1"/>
      <x:c r="Z31" s="1"/>
    </x:row>
    <x:row r="32">
      <x:c r="A32" s="100" t="n">
        <x:f>A31+1</x:f>
        <x:v>27</x:v>
      </x:c>
      <x:c r="B32" s="103" t="n">
        <x:f>EDATE(B31,1)</x:f>
        <x:v>47027</x:v>
      </x:c>
      <x:c r="C32" s="104" t="n">
        <x:f>H31</x:f>
        <x:v>316820.7393583205</x:v>
      </x:c>
      <x:c r="D32" s="104" t="n">
        <x:f>IF(C32&gt;0,C32*'Your Mortgage'!$C$7/12,0)</x:f>
        <x:v>1716.1123381909026</x:v>
      </x:c>
      <x:c r="E32" s="104" t="n">
        <x:f>IF(C32&gt;0,MIN('Your Mortgage'!$C$11,C32+D32),0)</x:f>
        <x:v>2054.2210763521375</x:v>
      </x:c>
      <x:c r="F32" s="104" t="n">
        <x:f>E32</x:f>
        <x:v>2054.2210763521375</x:v>
      </x:c>
      <x:c r="G32" s="104" t="n">
        <x:f>MAX(0,F32-D32)</x:f>
        <x:v>338.1087381612349</x:v>
      </x:c>
      <x:c r="H32" s="104" t="n">
        <x:f>MAX(0,C32-G32)</x:f>
        <x:v>316482.63062015927</x:v>
      </x:c>
      <x:c r="I32" s="105" t="n">
        <x:f>P31</x:f>
        <x:v>304468.14549906726</x:v>
      </x:c>
      <x:c r="J32" s="105" t="n">
        <x:f>IF(I32&gt;0,I32*'Your Mortgage'!$C$7/12,0)</x:f>
        <x:v>1649.2024547866142</x:v>
      </x:c>
      <x:c r="K32" s="105" t="n">
        <x:f>IF(I32&gt;0,MIN('Your Mortgage'!$C$11,I32+J32),0)</x:f>
        <x:v>2054.2210763521375</x:v>
      </x:c>
      <x:c r="L32" s="105" t="n">
        <x:f>IF(I32&gt;0,MIN('Your Mortgage'!$F$6,MAX(0,I32+J32-K32)),0)</x:f>
        <x:v>250</x:v>
      </x:c>
      <x:c r="M32" s="105" t="n">
        <x:f>IF(AND(A32='Your Mortgage'!$F$8,I32&gt;0),MIN('Your Mortgage'!$F$7,MAX(0,I32+J32-K32-L32)),0)</x:f>
        <x:v>0</x:v>
      </x:c>
      <x:c r="N32" s="105" t="n">
        <x:f>K32+L32+M32</x:f>
        <x:v>2304.2210763521375</x:v>
      </x:c>
      <x:c r="O32" s="105" t="n">
        <x:f>MAX(0,N32-J32)</x:f>
        <x:v>655.0186215655233</x:v>
      </x:c>
      <x:c r="P32" s="105" t="n">
        <x:f>MAX(0,I32-O32)</x:f>
        <x:v>303813.1268775017</x:v>
      </x:c>
      <x:c r="Q32" s="106" t="n">
        <x:f>X31</x:f>
        <x:v>302901.1718296445</x:v>
      </x:c>
      <x:c r="R32" s="106" t="n">
        <x:f>IF(Q32&gt;0,Q32*'Your Mortgage'!$C$7/12,0)</x:f>
        <x:v>1640.7146807439076</x:v>
      </x:c>
      <x:c r="S32" s="106" t="n">
        <x:f>IF(Q32&gt;0,MIN('Your Mortgage'!$C$11,Q32+R32),0)</x:f>
        <x:v>2054.2210763521375</x:v>
      </x:c>
      <x:c r="T32" s="106" t="n">
        <x:f>IF(Q32&gt;0,MIN('Your Mortgage'!$I$6,MAX(0,Q32+R32-S32)),0)</x:f>
        <x:v>500</x:v>
      </x:c>
      <x:c r="U32" s="106" t="n">
        <x:f>IF(AND(A32='Your Mortgage'!$I$8,Q32&gt;0),MIN('Your Mortgage'!$I$7,MAX(0,Q32+R32-S32-T32)),0)</x:f>
        <x:v>0</x:v>
      </x:c>
      <x:c r="V32" s="106" t="n">
        <x:f>S32+T32+U32</x:f>
        <x:v>2554.2210763521375</x:v>
      </x:c>
      <x:c r="W32" s="106" t="n">
        <x:f>MAX(0,V32-R32)</x:f>
        <x:v>913.5063956082299</x:v>
      </x:c>
      <x:c r="X32" s="106" t="n">
        <x:f>MAX(0,Q32-W32)</x:f>
        <x:v>301987.66543403623</x:v>
      </x:c>
      <x:c r="Y32" s="1"/>
      <x:c r="Z32" s="1"/>
    </x:row>
    <x:row r="33">
      <x:c r="A33" s="100" t="n">
        <x:f>A32+1</x:f>
        <x:v>28</x:v>
      </x:c>
      <x:c r="B33" s="103" t="n">
        <x:f>EDATE(B32,1)</x:f>
        <x:v>47058</x:v>
      </x:c>
      <x:c r="C33" s="104" t="n">
        <x:f>H32</x:f>
        <x:v>316482.63062015927</x:v>
      </x:c>
      <x:c r="D33" s="104" t="n">
        <x:f>IF(C33&gt;0,C33*'Your Mortgage'!$C$7/12,0)</x:f>
        <x:v>1714.280915859196</x:v>
      </x:c>
      <x:c r="E33" s="104" t="n">
        <x:f>IF(C33&gt;0,MIN('Your Mortgage'!$C$11,C33+D33),0)</x:f>
        <x:v>2054.2210763521375</x:v>
      </x:c>
      <x:c r="F33" s="104" t="n">
        <x:f>E33</x:f>
        <x:v>2054.2210763521375</x:v>
      </x:c>
      <x:c r="G33" s="104" t="n">
        <x:f>MAX(0,F33-D33)</x:f>
        <x:v>339.94016049294146</x:v>
      </x:c>
      <x:c r="H33" s="104" t="n">
        <x:f>MAX(0,C33-G33)</x:f>
        <x:v>316142.6904596663</x:v>
      </x:c>
      <x:c r="I33" s="105" t="n">
        <x:f>P32</x:f>
        <x:v>303813.1268775017</x:v>
      </x:c>
      <x:c r="J33" s="105" t="n">
        <x:f>IF(I33&gt;0,I33*'Your Mortgage'!$C$7/12,0)</x:f>
        <x:v>1645.6544372531343</x:v>
      </x:c>
      <x:c r="K33" s="105" t="n">
        <x:f>IF(I33&gt;0,MIN('Your Mortgage'!$C$11,I33+J33),0)</x:f>
        <x:v>2054.2210763521375</x:v>
      </x:c>
      <x:c r="L33" s="105" t="n">
        <x:f>IF(I33&gt;0,MIN('Your Mortgage'!$F$6,MAX(0,I33+J33-K33)),0)</x:f>
        <x:v>250</x:v>
      </x:c>
      <x:c r="M33" s="105" t="n">
        <x:f>IF(AND(A33='Your Mortgage'!$F$8,I33&gt;0),MIN('Your Mortgage'!$F$7,MAX(0,I33+J33-K33-L33)),0)</x:f>
        <x:v>0</x:v>
      </x:c>
      <x:c r="N33" s="105" t="n">
        <x:f>K33+L33+M33</x:f>
        <x:v>2304.2210763521375</x:v>
      </x:c>
      <x:c r="O33" s="105" t="n">
        <x:f>MAX(0,N33-J33)</x:f>
        <x:v>658.5666390990032</x:v>
      </x:c>
      <x:c r="P33" s="105" t="n">
        <x:f>MAX(0,I33-O33)</x:f>
        <x:v>303154.56023840274</x:v>
      </x:c>
      <x:c r="Q33" s="106" t="n">
        <x:f>X32</x:f>
        <x:v>301987.66543403623</x:v>
      </x:c>
      <x:c r="R33" s="106" t="n">
        <x:f>IF(Q33&gt;0,Q33*'Your Mortgage'!$C$7/12,0)</x:f>
        <x:v>1635.7665211010296</x:v>
      </x:c>
      <x:c r="S33" s="106" t="n">
        <x:f>IF(Q33&gt;0,MIN('Your Mortgage'!$C$11,Q33+R33),0)</x:f>
        <x:v>2054.2210763521375</x:v>
      </x:c>
      <x:c r="T33" s="106" t="n">
        <x:f>IF(Q33&gt;0,MIN('Your Mortgage'!$I$6,MAX(0,Q33+R33-S33)),0)</x:f>
        <x:v>500</x:v>
      </x:c>
      <x:c r="U33" s="106" t="n">
        <x:f>IF(AND(A33='Your Mortgage'!$I$8,Q33&gt;0),MIN('Your Mortgage'!$I$7,MAX(0,Q33+R33-S33-T33)),0)</x:f>
        <x:v>0</x:v>
      </x:c>
      <x:c r="V33" s="106" t="n">
        <x:f>S33+T33+U33</x:f>
        <x:v>2554.2210763521375</x:v>
      </x:c>
      <x:c r="W33" s="106" t="n">
        <x:f>MAX(0,V33-R33)</x:f>
        <x:v>918.4545552511079</x:v>
      </x:c>
      <x:c r="X33" s="106" t="n">
        <x:f>MAX(0,Q33-W33)</x:f>
        <x:v>301069.2108787851</x:v>
      </x:c>
      <x:c r="Y33" s="1"/>
      <x:c r="Z33" s="1"/>
    </x:row>
    <x:row r="34">
      <x:c r="A34" s="100" t="n">
        <x:f>A33+1</x:f>
        <x:v>29</x:v>
      </x:c>
      <x:c r="B34" s="103" t="n">
        <x:f>EDATE(B33,1)</x:f>
        <x:v>47088</x:v>
      </x:c>
      <x:c r="C34" s="104" t="n">
        <x:f>H33</x:f>
        <x:v>316142.6904596663</x:v>
      </x:c>
      <x:c r="D34" s="104" t="n">
        <x:f>IF(C34&gt;0,C34*'Your Mortgage'!$C$7/12,0)</x:f>
        <x:v>1712.4395733231925</x:v>
      </x:c>
      <x:c r="E34" s="104" t="n">
        <x:f>IF(C34&gt;0,MIN('Your Mortgage'!$C$11,C34+D34),0)</x:f>
        <x:v>2054.2210763521375</x:v>
      </x:c>
      <x:c r="F34" s="104" t="n">
        <x:f>E34</x:f>
        <x:v>2054.2210763521375</x:v>
      </x:c>
      <x:c r="G34" s="104" t="n">
        <x:f>MAX(0,F34-D34)</x:f>
        <x:v>341.78150302894505</x:v>
      </x:c>
      <x:c r="H34" s="104" t="n">
        <x:f>MAX(0,C34-G34)</x:f>
        <x:v>315800.9089566374</x:v>
      </x:c>
      <x:c r="I34" s="105" t="n">
        <x:f>P33</x:f>
        <x:v>303154.56023840274</x:v>
      </x:c>
      <x:c r="J34" s="105" t="n">
        <x:f>IF(I34&gt;0,I34*'Your Mortgage'!$C$7/12,0)</x:f>
        <x:v>1642.087201291348</x:v>
      </x:c>
      <x:c r="K34" s="105" t="n">
        <x:f>IF(I34&gt;0,MIN('Your Mortgage'!$C$11,I34+J34),0)</x:f>
        <x:v>2054.2210763521375</x:v>
      </x:c>
      <x:c r="L34" s="105" t="n">
        <x:f>IF(I34&gt;0,MIN('Your Mortgage'!$F$6,MAX(0,I34+J34-K34)),0)</x:f>
        <x:v>250</x:v>
      </x:c>
      <x:c r="M34" s="105" t="n">
        <x:f>IF(AND(A34='Your Mortgage'!$F$8,I34&gt;0),MIN('Your Mortgage'!$F$7,MAX(0,I34+J34-K34-L34)),0)</x:f>
        <x:v>0</x:v>
      </x:c>
      <x:c r="N34" s="105" t="n">
        <x:f>K34+L34+M34</x:f>
        <x:v>2304.2210763521375</x:v>
      </x:c>
      <x:c r="O34" s="105" t="n">
        <x:f>MAX(0,N34-J34)</x:f>
        <x:v>662.1338750607895</x:v>
      </x:c>
      <x:c r="P34" s="105" t="n">
        <x:f>MAX(0,I34-O34)</x:f>
        <x:v>302492.426363342</x:v>
      </x:c>
      <x:c r="Q34" s="106" t="n">
        <x:f>X33</x:f>
        <x:v>301069.2108787851</x:v>
      </x:c>
      <x:c r="R34" s="106" t="n">
        <x:f>IF(Q34&gt;0,Q34*'Your Mortgage'!$C$7/12,0)</x:f>
        <x:v>1630.791558926753</x:v>
      </x:c>
      <x:c r="S34" s="106" t="n">
        <x:f>IF(Q34&gt;0,MIN('Your Mortgage'!$C$11,Q34+R34),0)</x:f>
        <x:v>2054.2210763521375</x:v>
      </x:c>
      <x:c r="T34" s="106" t="n">
        <x:f>IF(Q34&gt;0,MIN('Your Mortgage'!$I$6,MAX(0,Q34+R34-S34)),0)</x:f>
        <x:v>500</x:v>
      </x:c>
      <x:c r="U34" s="106" t="n">
        <x:f>IF(AND(A34='Your Mortgage'!$I$8,Q34&gt;0),MIN('Your Mortgage'!$I$7,MAX(0,Q34+R34-S34-T34)),0)</x:f>
        <x:v>0</x:v>
      </x:c>
      <x:c r="V34" s="106" t="n">
        <x:f>S34+T34+U34</x:f>
        <x:v>2554.2210763521375</x:v>
      </x:c>
      <x:c r="W34" s="106" t="n">
        <x:f>MAX(0,V34-R34)</x:f>
        <x:v>923.4295174253846</x:v>
      </x:c>
      <x:c r="X34" s="106" t="n">
        <x:f>MAX(0,Q34-W34)</x:f>
        <x:v>300145.78136135975</x:v>
      </x:c>
      <x:c r="Y34" s="1"/>
      <x:c r="Z34" s="1"/>
    </x:row>
    <x:row r="35">
      <x:c r="A35" s="100" t="n">
        <x:f>A34+1</x:f>
        <x:v>30</x:v>
      </x:c>
      <x:c r="B35" s="103" t="n">
        <x:f>EDATE(B34,1)</x:f>
        <x:v>47119</x:v>
      </x:c>
      <x:c r="C35" s="104" t="n">
        <x:f>H34</x:f>
        <x:v>315800.9089566374</x:v>
      </x:c>
      <x:c r="D35" s="104" t="n">
        <x:f>IF(C35&gt;0,C35*'Your Mortgage'!$C$7/12,0)</x:f>
        <x:v>1710.5882568484524</x:v>
      </x:c>
      <x:c r="E35" s="104" t="n">
        <x:f>IF(C35&gt;0,MIN('Your Mortgage'!$C$11,C35+D35),0)</x:f>
        <x:v>2054.2210763521375</x:v>
      </x:c>
      <x:c r="F35" s="104" t="n">
        <x:f>E35</x:f>
        <x:v>2054.2210763521375</x:v>
      </x:c>
      <x:c r="G35" s="104" t="n">
        <x:f>MAX(0,F35-D35)</x:f>
        <x:v>343.63281950368514</x:v>
      </x:c>
      <x:c r="H35" s="104" t="n">
        <x:f>MAX(0,C35-G35)</x:f>
        <x:v>315457.2761371337</x:v>
      </x:c>
      <x:c r="I35" s="105" t="n">
        <x:f>P34</x:f>
        <x:v>302492.426363342</x:v>
      </x:c>
      <x:c r="J35" s="105" t="n">
        <x:f>IF(I35&gt;0,I35*'Your Mortgage'!$C$7/12,0)</x:f>
        <x:v>1638.5006428014358</x:v>
      </x:c>
      <x:c r="K35" s="105" t="n">
        <x:f>IF(I35&gt;0,MIN('Your Mortgage'!$C$11,I35+J35),0)</x:f>
        <x:v>2054.2210763521375</x:v>
      </x:c>
      <x:c r="L35" s="105" t="n">
        <x:f>IF(I35&gt;0,MIN('Your Mortgage'!$F$6,MAX(0,I35+J35-K35)),0)</x:f>
        <x:v>250</x:v>
      </x:c>
      <x:c r="M35" s="105" t="n">
        <x:f>IF(AND(A35='Your Mortgage'!$F$8,I35&gt;0),MIN('Your Mortgage'!$F$7,MAX(0,I35+J35-K35-L35)),0)</x:f>
        <x:v>0</x:v>
      </x:c>
      <x:c r="N35" s="105" t="n">
        <x:f>K35+L35+M35</x:f>
        <x:v>2304.2210763521375</x:v>
      </x:c>
      <x:c r="O35" s="105" t="n">
        <x:f>MAX(0,N35-J35)</x:f>
        <x:v>665.7204335507017</x:v>
      </x:c>
      <x:c r="P35" s="105" t="n">
        <x:f>MAX(0,I35-O35)</x:f>
        <x:v>301826.70592979126</x:v>
      </x:c>
      <x:c r="Q35" s="106" t="n">
        <x:f>X34</x:f>
        <x:v>300145.78136135975</x:v>
      </x:c>
      <x:c r="R35" s="106" t="n">
        <x:f>IF(Q35&gt;0,Q35*'Your Mortgage'!$C$7/12,0)</x:f>
        <x:v>1625.7896490406986</x:v>
      </x:c>
      <x:c r="S35" s="106" t="n">
        <x:f>IF(Q35&gt;0,MIN('Your Mortgage'!$C$11,Q35+R35),0)</x:f>
        <x:v>2054.2210763521375</x:v>
      </x:c>
      <x:c r="T35" s="106" t="n">
        <x:f>IF(Q35&gt;0,MIN('Your Mortgage'!$I$6,MAX(0,Q35+R35-S35)),0)</x:f>
        <x:v>500</x:v>
      </x:c>
      <x:c r="U35" s="106" t="n">
        <x:f>IF(AND(A35='Your Mortgage'!$I$8,Q35&gt;0),MIN('Your Mortgage'!$I$7,MAX(0,Q35+R35-S35-T35)),0)</x:f>
        <x:v>0</x:v>
      </x:c>
      <x:c r="V35" s="106" t="n">
        <x:f>S35+T35+U35</x:f>
        <x:v>2554.2210763521375</x:v>
      </x:c>
      <x:c r="W35" s="106" t="n">
        <x:f>MAX(0,V35-R35)</x:f>
        <x:v>928.4314273114389</x:v>
      </x:c>
      <x:c r="X35" s="106" t="n">
        <x:f>MAX(0,Q35-W35)</x:f>
        <x:v>299217.3499340483</x:v>
      </x:c>
      <x:c r="Y35" s="1"/>
      <x:c r="Z35" s="1"/>
    </x:row>
    <x:row r="36">
      <x:c r="A36" s="100" t="n">
        <x:f>A35+1</x:f>
        <x:v>31</x:v>
      </x:c>
      <x:c r="B36" s="103" t="n">
        <x:f>EDATE(B35,1)</x:f>
        <x:v>47150</x:v>
      </x:c>
      <x:c r="C36" s="104" t="n">
        <x:f>H35</x:f>
        <x:v>315457.2761371337</x:v>
      </x:c>
      <x:c r="D36" s="104" t="n">
        <x:f>IF(C36&gt;0,C36*'Your Mortgage'!$C$7/12,0)</x:f>
        <x:v>1708.7269124094744</x:v>
      </x:c>
      <x:c r="E36" s="104" t="n">
        <x:f>IF(C36&gt;0,MIN('Your Mortgage'!$C$11,C36+D36),0)</x:f>
        <x:v>2054.2210763521375</x:v>
      </x:c>
      <x:c r="F36" s="104" t="n">
        <x:f>E36</x:f>
        <x:v>2054.2210763521375</x:v>
      </x:c>
      <x:c r="G36" s="104" t="n">
        <x:f>MAX(0,F36-D36)</x:f>
        <x:v>345.49416394266314</x:v>
      </x:c>
      <x:c r="H36" s="104" t="n">
        <x:f>MAX(0,C36-G36)</x:f>
        <x:v>315111.7819731911</x:v>
      </x:c>
      <x:c r="I36" s="105" t="n">
        <x:f>P35</x:f>
        <x:v>301826.70592979126</x:v>
      </x:c>
      <x:c r="J36" s="105" t="n">
        <x:f>IF(I36&gt;0,I36*'Your Mortgage'!$C$7/12,0)</x:f>
        <x:v>1634.8946571197027</x:v>
      </x:c>
      <x:c r="K36" s="105" t="n">
        <x:f>IF(I36&gt;0,MIN('Your Mortgage'!$C$11,I36+J36),0)</x:f>
        <x:v>2054.2210763521375</x:v>
      </x:c>
      <x:c r="L36" s="105" t="n">
        <x:f>IF(I36&gt;0,MIN('Your Mortgage'!$F$6,MAX(0,I36+J36-K36)),0)</x:f>
        <x:v>250</x:v>
      </x:c>
      <x:c r="M36" s="105" t="n">
        <x:f>IF(AND(A36='Your Mortgage'!$F$8,I36&gt;0),MIN('Your Mortgage'!$F$7,MAX(0,I36+J36-K36-L36)),0)</x:f>
        <x:v>0</x:v>
      </x:c>
      <x:c r="N36" s="105" t="n">
        <x:f>K36+L36+M36</x:f>
        <x:v>2304.2210763521375</x:v>
      </x:c>
      <x:c r="O36" s="105" t="n">
        <x:f>MAX(0,N36-J36)</x:f>
        <x:v>669.3264192324348</x:v>
      </x:c>
      <x:c r="P36" s="105" t="n">
        <x:f>MAX(0,I36-O36)</x:f>
        <x:v>301157.37951055885</x:v>
      </x:c>
      <x:c r="Q36" s="106" t="n">
        <x:f>X35</x:f>
        <x:v>299217.3499340483</x:v>
      </x:c>
      <x:c r="R36" s="106" t="n">
        <x:f>IF(Q36&gt;0,Q36*'Your Mortgage'!$C$7/12,0)</x:f>
        <x:v>1620.760645476095</x:v>
      </x:c>
      <x:c r="S36" s="106" t="n">
        <x:f>IF(Q36&gt;0,MIN('Your Mortgage'!$C$11,Q36+R36),0)</x:f>
        <x:v>2054.2210763521375</x:v>
      </x:c>
      <x:c r="T36" s="106" t="n">
        <x:f>IF(Q36&gt;0,MIN('Your Mortgage'!$I$6,MAX(0,Q36+R36-S36)),0)</x:f>
        <x:v>500</x:v>
      </x:c>
      <x:c r="U36" s="106" t="n">
        <x:f>IF(AND(A36='Your Mortgage'!$I$8,Q36&gt;0),MIN('Your Mortgage'!$I$7,MAX(0,Q36+R36-S36-T36)),0)</x:f>
        <x:v>0</x:v>
      </x:c>
      <x:c r="V36" s="106" t="n">
        <x:f>S36+T36+U36</x:f>
        <x:v>2554.2210763521375</x:v>
      </x:c>
      <x:c r="W36" s="106" t="n">
        <x:f>MAX(0,V36-R36)</x:f>
        <x:v>933.4604308760424</x:v>
      </x:c>
      <x:c r="X36" s="106" t="n">
        <x:f>MAX(0,Q36-W36)</x:f>
        <x:v>298283.88950317225</x:v>
      </x:c>
      <x:c r="Y36" s="1"/>
      <x:c r="Z36" s="1"/>
    </x:row>
    <x:row r="37">
      <x:c r="A37" s="100" t="n">
        <x:f>A36+1</x:f>
        <x:v>32</x:v>
      </x:c>
      <x:c r="B37" s="103" t="n">
        <x:f>EDATE(B36,1)</x:f>
        <x:v>47178</x:v>
      </x:c>
      <x:c r="C37" s="104" t="n">
        <x:f>H36</x:f>
        <x:v>315111.7819731911</x:v>
      </x:c>
      <x:c r="D37" s="104" t="n">
        <x:f>IF(C37&gt;0,C37*'Your Mortgage'!$C$7/12,0)</x:f>
        <x:v>1706.8554856881183</x:v>
      </x:c>
      <x:c r="E37" s="104" t="n">
        <x:f>IF(C37&gt;0,MIN('Your Mortgage'!$C$11,C37+D37),0)</x:f>
        <x:v>2054.2210763521375</x:v>
      </x:c>
      <x:c r="F37" s="104" t="n">
        <x:f>E37</x:f>
        <x:v>2054.2210763521375</x:v>
      </x:c>
      <x:c r="G37" s="104" t="n">
        <x:f>MAX(0,F37-D37)</x:f>
        <x:v>347.36559066401924</x:v>
      </x:c>
      <x:c r="H37" s="104" t="n">
        <x:f>MAX(0,C37-G37)</x:f>
        <x:v>314764.41638252704</x:v>
      </x:c>
      <x:c r="I37" s="105" t="n">
        <x:f>P36</x:f>
        <x:v>301157.37951055885</x:v>
      </x:c>
      <x:c r="J37" s="105" t="n">
        <x:f>IF(I37&gt;0,I37*'Your Mortgage'!$C$7/12,0)</x:f>
        <x:v>1631.2691390155271</x:v>
      </x:c>
      <x:c r="K37" s="105" t="n">
        <x:f>IF(I37&gt;0,MIN('Your Mortgage'!$C$11,I37+J37),0)</x:f>
        <x:v>2054.2210763521375</x:v>
      </x:c>
      <x:c r="L37" s="105" t="n">
        <x:f>IF(I37&gt;0,MIN('Your Mortgage'!$F$6,MAX(0,I37+J37-K37)),0)</x:f>
        <x:v>250</x:v>
      </x:c>
      <x:c r="M37" s="105" t="n">
        <x:f>IF(AND(A37='Your Mortgage'!$F$8,I37&gt;0),MIN('Your Mortgage'!$F$7,MAX(0,I37+J37-K37-L37)),0)</x:f>
        <x:v>0</x:v>
      </x:c>
      <x:c r="N37" s="105" t="n">
        <x:f>K37+L37+M37</x:f>
        <x:v>2304.2210763521375</x:v>
      </x:c>
      <x:c r="O37" s="105" t="n">
        <x:f>MAX(0,N37-J37)</x:f>
        <x:v>672.9519373366104</x:v>
      </x:c>
      <x:c r="P37" s="105" t="n">
        <x:f>MAX(0,I37-O37)</x:f>
        <x:v>300484.42757322226</x:v>
      </x:c>
      <x:c r="Q37" s="106" t="n">
        <x:f>X36</x:f>
        <x:v>298283.88950317225</x:v>
      </x:c>
      <x:c r="R37" s="106" t="n">
        <x:f>IF(Q37&gt;0,Q37*'Your Mortgage'!$C$7/12,0)</x:f>
        <x:v>1615.7044014755165</x:v>
      </x:c>
      <x:c r="S37" s="106" t="n">
        <x:f>IF(Q37&gt;0,MIN('Your Mortgage'!$C$11,Q37+R37),0)</x:f>
        <x:v>2054.2210763521375</x:v>
      </x:c>
      <x:c r="T37" s="106" t="n">
        <x:f>IF(Q37&gt;0,MIN('Your Mortgage'!$I$6,MAX(0,Q37+R37-S37)),0)</x:f>
        <x:v>500</x:v>
      </x:c>
      <x:c r="U37" s="106" t="n">
        <x:f>IF(AND(A37='Your Mortgage'!$I$8,Q37&gt;0),MIN('Your Mortgage'!$I$7,MAX(0,Q37+R37-S37-T37)),0)</x:f>
        <x:v>0</x:v>
      </x:c>
      <x:c r="V37" s="106" t="n">
        <x:f>S37+T37+U37</x:f>
        <x:v>2554.2210763521375</x:v>
      </x:c>
      <x:c r="W37" s="106" t="n">
        <x:f>MAX(0,V37-R37)</x:f>
        <x:v>938.516674876621</x:v>
      </x:c>
      <x:c r="X37" s="106" t="n">
        <x:f>MAX(0,Q37-W37)</x:f>
        <x:v>297345.3728282956</x:v>
      </x:c>
      <x:c r="Y37" s="1"/>
      <x:c r="Z37" s="1"/>
    </x:row>
    <x:row r="38">
      <x:c r="A38" s="100" t="n">
        <x:f>A37+1</x:f>
        <x:v>33</x:v>
      </x:c>
      <x:c r="B38" s="103" t="n">
        <x:f>EDATE(B37,1)</x:f>
        <x:v>47209</x:v>
      </x:c>
      <x:c r="C38" s="104" t="n">
        <x:f>H37</x:f>
        <x:v>314764.41638252704</x:v>
      </x:c>
      <x:c r="D38" s="104" t="n">
        <x:f>IF(C38&gt;0,C38*'Your Mortgage'!$C$7/12,0)</x:f>
        <x:v>1704.9739220720214</x:v>
      </x:c>
      <x:c r="E38" s="104" t="n">
        <x:f>IF(C38&gt;0,MIN('Your Mortgage'!$C$11,C38+D38),0)</x:f>
        <x:v>2054.2210763521375</x:v>
      </x:c>
      <x:c r="F38" s="104" t="n">
        <x:f>E38</x:f>
        <x:v>2054.2210763521375</x:v>
      </x:c>
      <x:c r="G38" s="104" t="n">
        <x:f>MAX(0,F38-D38)</x:f>
        <x:v>349.2471542801161</x:v>
      </x:c>
      <x:c r="H38" s="104" t="n">
        <x:f>MAX(0,C38-G38)</x:f>
        <x:v>314415.1692282469</x:v>
      </x:c>
      <x:c r="I38" s="105" t="n">
        <x:f>P37</x:f>
        <x:v>300484.42757322226</x:v>
      </x:c>
      <x:c r="J38" s="105" t="n">
        <x:f>IF(I38&gt;0,I38*'Your Mortgage'!$C$7/12,0)</x:f>
        <x:v>1627.6239826882872</x:v>
      </x:c>
      <x:c r="K38" s="105" t="n">
        <x:f>IF(I38&gt;0,MIN('Your Mortgage'!$C$11,I38+J38),0)</x:f>
        <x:v>2054.2210763521375</x:v>
      </x:c>
      <x:c r="L38" s="105" t="n">
        <x:f>IF(I38&gt;0,MIN('Your Mortgage'!$F$6,MAX(0,I38+J38-K38)),0)</x:f>
        <x:v>250</x:v>
      </x:c>
      <x:c r="M38" s="105" t="n">
        <x:f>IF(AND(A38='Your Mortgage'!$F$8,I38&gt;0),MIN('Your Mortgage'!$F$7,MAX(0,I38+J38-K38-L38)),0)</x:f>
        <x:v>0</x:v>
      </x:c>
      <x:c r="N38" s="105" t="n">
        <x:f>K38+L38+M38</x:f>
        <x:v>2304.2210763521375</x:v>
      </x:c>
      <x:c r="O38" s="105" t="n">
        <x:f>MAX(0,N38-J38)</x:f>
        <x:v>676.5970936638503</x:v>
      </x:c>
      <x:c r="P38" s="105" t="n">
        <x:f>MAX(0,I38-O38)</x:f>
        <x:v>299807.8304795584</x:v>
      </x:c>
      <x:c r="Q38" s="106" t="n">
        <x:f>X37</x:f>
        <x:v>297345.3728282956</x:v>
      </x:c>
      <x:c r="R38" s="106" t="n">
        <x:f>IF(Q38&gt;0,Q38*'Your Mortgage'!$C$7/12,0)</x:f>
        <x:v>1610.6207694866014</x:v>
      </x:c>
      <x:c r="S38" s="106" t="n">
        <x:f>IF(Q38&gt;0,MIN('Your Mortgage'!$C$11,Q38+R38),0)</x:f>
        <x:v>2054.2210763521375</x:v>
      </x:c>
      <x:c r="T38" s="106" t="n">
        <x:f>IF(Q38&gt;0,MIN('Your Mortgage'!$I$6,MAX(0,Q38+R38-S38)),0)</x:f>
        <x:v>500</x:v>
      </x:c>
      <x:c r="U38" s="106" t="n">
        <x:f>IF(AND(A38='Your Mortgage'!$I$8,Q38&gt;0),MIN('Your Mortgage'!$I$7,MAX(0,Q38+R38-S38-T38)),0)</x:f>
        <x:v>0</x:v>
      </x:c>
      <x:c r="V38" s="106" t="n">
        <x:f>S38+T38+U38</x:f>
        <x:v>2554.2210763521375</x:v>
      </x:c>
      <x:c r="W38" s="106" t="n">
        <x:f>MAX(0,V38-R38)</x:f>
        <x:v>943.6003068655361</x:v>
      </x:c>
      <x:c r="X38" s="106" t="n">
        <x:f>MAX(0,Q38-W38)</x:f>
        <x:v>296401.7725214301</x:v>
      </x:c>
      <x:c r="Y38" s="1"/>
      <x:c r="Z38" s="1"/>
    </x:row>
    <x:row r="39">
      <x:c r="A39" s="100" t="n">
        <x:f>A38+1</x:f>
        <x:v>34</x:v>
      </x:c>
      <x:c r="B39" s="103" t="n">
        <x:f>EDATE(B38,1)</x:f>
        <x:v>47239</x:v>
      </x:c>
      <x:c r="C39" s="104" t="n">
        <x:f>H38</x:f>
        <x:v>314415.1692282469</x:v>
      </x:c>
      <x:c r="D39" s="104" t="n">
        <x:f>IF(C39&gt;0,C39*'Your Mortgage'!$C$7/12,0)</x:f>
        <x:v>1703.082166653004</x:v>
      </x:c>
      <x:c r="E39" s="104" t="n">
        <x:f>IF(C39&gt;0,MIN('Your Mortgage'!$C$11,C39+D39),0)</x:f>
        <x:v>2054.2210763521375</x:v>
      </x:c>
      <x:c r="F39" s="104" t="n">
        <x:f>E39</x:f>
        <x:v>2054.2210763521375</x:v>
      </x:c>
      <x:c r="G39" s="104" t="n">
        <x:f>MAX(0,F39-D39)</x:f>
        <x:v>351.1389096991336</x:v>
      </x:c>
      <x:c r="H39" s="104" t="n">
        <x:f>MAX(0,C39-G39)</x:f>
        <x:v>314064.03031854774</x:v>
      </x:c>
      <x:c r="I39" s="105" t="n">
        <x:f>P38</x:f>
        <x:v>299807.8304795584</x:v>
      </x:c>
      <x:c r="J39" s="105" t="n">
        <x:f>IF(I39&gt;0,I39*'Your Mortgage'!$C$7/12,0)</x:f>
        <x:v>1623.9590817642747</x:v>
      </x:c>
      <x:c r="K39" s="105" t="n">
        <x:f>IF(I39&gt;0,MIN('Your Mortgage'!$C$11,I39+J39),0)</x:f>
        <x:v>2054.2210763521375</x:v>
      </x:c>
      <x:c r="L39" s="105" t="n">
        <x:f>IF(I39&gt;0,MIN('Your Mortgage'!$F$6,MAX(0,I39+J39-K39)),0)</x:f>
        <x:v>250</x:v>
      </x:c>
      <x:c r="M39" s="105" t="n">
        <x:f>IF(AND(A39='Your Mortgage'!$F$8,I39&gt;0),MIN('Your Mortgage'!$F$7,MAX(0,I39+J39-K39-L39)),0)</x:f>
        <x:v>0</x:v>
      </x:c>
      <x:c r="N39" s="105" t="n">
        <x:f>K39+L39+M39</x:f>
        <x:v>2304.2210763521375</x:v>
      </x:c>
      <x:c r="O39" s="105" t="n">
        <x:f>MAX(0,N39-J39)</x:f>
        <x:v>680.2619945878628</x:v>
      </x:c>
      <x:c r="P39" s="105" t="n">
        <x:f>MAX(0,I39-O39)</x:f>
        <x:v>299127.56848497054</x:v>
      </x:c>
      <x:c r="Q39" s="106" t="n">
        <x:f>X38</x:f>
        <x:v>296401.7725214301</x:v>
      </x:c>
      <x:c r="R39" s="106" t="n">
        <x:f>IF(Q39&gt;0,Q39*'Your Mortgage'!$C$7/12,0)</x:f>
        <x:v>1605.5096011577464</x:v>
      </x:c>
      <x:c r="S39" s="106" t="n">
        <x:f>IF(Q39&gt;0,MIN('Your Mortgage'!$C$11,Q39+R39),0)</x:f>
        <x:v>2054.2210763521375</x:v>
      </x:c>
      <x:c r="T39" s="106" t="n">
        <x:f>IF(Q39&gt;0,MIN('Your Mortgage'!$I$6,MAX(0,Q39+R39-S39)),0)</x:f>
        <x:v>500</x:v>
      </x:c>
      <x:c r="U39" s="106" t="n">
        <x:f>IF(AND(A39='Your Mortgage'!$I$8,Q39&gt;0),MIN('Your Mortgage'!$I$7,MAX(0,Q39+R39-S39-T39)),0)</x:f>
        <x:v>0</x:v>
      </x:c>
      <x:c r="V39" s="106" t="n">
        <x:f>S39+T39+U39</x:f>
        <x:v>2554.2210763521375</x:v>
      </x:c>
      <x:c r="W39" s="106" t="n">
        <x:f>MAX(0,V39-R39)</x:f>
        <x:v>948.7114751943911</x:v>
      </x:c>
      <x:c r="X39" s="106" t="n">
        <x:f>MAX(0,Q39-W39)</x:f>
        <x:v>295453.0610462357</x:v>
      </x:c>
      <x:c r="Y39" s="1"/>
      <x:c r="Z39" s="1"/>
    </x:row>
    <x:row r="40">
      <x:c r="A40" s="100" t="n">
        <x:f>A39+1</x:f>
        <x:v>35</x:v>
      </x:c>
      <x:c r="B40" s="103" t="n">
        <x:f>EDATE(B39,1)</x:f>
        <x:v>47270</x:v>
      </x:c>
      <x:c r="C40" s="104" t="n">
        <x:f>H39</x:f>
        <x:v>314064.03031854774</x:v>
      </x:c>
      <x:c r="D40" s="104" t="n">
        <x:f>IF(C40&gt;0,C40*'Your Mortgage'!$C$7/12,0)</x:f>
        <x:v>1701.180164225467</x:v>
      </x:c>
      <x:c r="E40" s="104" t="n">
        <x:f>IF(C40&gt;0,MIN('Your Mortgage'!$C$11,C40+D40),0)</x:f>
        <x:v>2054.2210763521375</x:v>
      </x:c>
      <x:c r="F40" s="104" t="n">
        <x:f>E40</x:f>
        <x:v>2054.2210763521375</x:v>
      </x:c>
      <x:c r="G40" s="104" t="n">
        <x:f>MAX(0,F40-D40)</x:f>
        <x:v>353.0409121266705</x:v>
      </x:c>
      <x:c r="H40" s="104" t="n">
        <x:f>MAX(0,C40-G40)</x:f>
        <x:v>313710.9894064211</x:v>
      </x:c>
      <x:c r="I40" s="105" t="n">
        <x:f>P39</x:f>
        <x:v>299127.56848497054</x:v>
      </x:c>
      <x:c r="J40" s="105" t="n">
        <x:f>IF(I40&gt;0,I40*'Your Mortgage'!$C$7/12,0)</x:f>
        <x:v>1620.2743292935904</x:v>
      </x:c>
      <x:c r="K40" s="105" t="n">
        <x:f>IF(I40&gt;0,MIN('Your Mortgage'!$C$11,I40+J40),0)</x:f>
        <x:v>2054.2210763521375</x:v>
      </x:c>
      <x:c r="L40" s="105" t="n">
        <x:f>IF(I40&gt;0,MIN('Your Mortgage'!$F$6,MAX(0,I40+J40-K40)),0)</x:f>
        <x:v>250</x:v>
      </x:c>
      <x:c r="M40" s="105" t="n">
        <x:f>IF(AND(A40='Your Mortgage'!$F$8,I40&gt;0),MIN('Your Mortgage'!$F$7,MAX(0,I40+J40-K40-L40)),0)</x:f>
        <x:v>0</x:v>
      </x:c>
      <x:c r="N40" s="105" t="n">
        <x:f>K40+L40+M40</x:f>
        <x:v>2304.2210763521375</x:v>
      </x:c>
      <x:c r="O40" s="105" t="n">
        <x:f>MAX(0,N40-J40)</x:f>
        <x:v>683.9467470585471</x:v>
      </x:c>
      <x:c r="P40" s="105" t="n">
        <x:f>MAX(0,I40-O40)</x:f>
        <x:v>298443.621737912</x:v>
      </x:c>
      <x:c r="Q40" s="106" t="n">
        <x:f>X39</x:f>
        <x:v>295453.0610462357</x:v>
      </x:c>
      <x:c r="R40" s="106" t="n">
        <x:f>IF(Q40&gt;0,Q40*'Your Mortgage'!$C$7/12,0)</x:f>
        <x:v>1600.370747333777</x:v>
      </x:c>
      <x:c r="S40" s="106" t="n">
        <x:f>IF(Q40&gt;0,MIN('Your Mortgage'!$C$11,Q40+R40),0)</x:f>
        <x:v>2054.2210763521375</x:v>
      </x:c>
      <x:c r="T40" s="106" t="n">
        <x:f>IF(Q40&gt;0,MIN('Your Mortgage'!$I$6,MAX(0,Q40+R40-S40)),0)</x:f>
        <x:v>500</x:v>
      </x:c>
      <x:c r="U40" s="106" t="n">
        <x:f>IF(AND(A40='Your Mortgage'!$I$8,Q40&gt;0),MIN('Your Mortgage'!$I$7,MAX(0,Q40+R40-S40-T40)),0)</x:f>
        <x:v>0</x:v>
      </x:c>
      <x:c r="V40" s="106" t="n">
        <x:f>S40+T40+U40</x:f>
        <x:v>2554.2210763521375</x:v>
      </x:c>
      <x:c r="W40" s="106" t="n">
        <x:f>MAX(0,V40-R40)</x:f>
        <x:v>953.8503290183605</x:v>
      </x:c>
      <x:c r="X40" s="106" t="n">
        <x:f>MAX(0,Q40-W40)</x:f>
        <x:v>294499.21071721736</x:v>
      </x:c>
      <x:c r="Y40" s="1"/>
      <x:c r="Z40" s="1"/>
    </x:row>
    <x:row r="41">
      <x:c r="A41" s="100" t="n">
        <x:f>A40+1</x:f>
        <x:v>36</x:v>
      </x:c>
      <x:c r="B41" s="103" t="n">
        <x:f>EDATE(B40,1)</x:f>
        <x:v>47300</x:v>
      </x:c>
      <x:c r="C41" s="104" t="n">
        <x:f>H40</x:f>
        <x:v>313710.9894064211</x:v>
      </x:c>
      <x:c r="D41" s="104" t="n">
        <x:f>IF(C41&gt;0,C41*'Your Mortgage'!$C$7/12,0)</x:f>
        <x:v>1699.2678592847808</x:v>
      </x:c>
      <x:c r="E41" s="104" t="n">
        <x:f>IF(C41&gt;0,MIN('Your Mortgage'!$C$11,C41+D41),0)</x:f>
        <x:v>2054.2210763521375</x:v>
      </x:c>
      <x:c r="F41" s="104" t="n">
        <x:f>E41</x:f>
        <x:v>2054.2210763521375</x:v>
      </x:c>
      <x:c r="G41" s="104" t="n">
        <x:f>MAX(0,F41-D41)</x:f>
        <x:v>354.9532170673567</x:v>
      </x:c>
      <x:c r="H41" s="104" t="n">
        <x:f>MAX(0,C41-G41)</x:f>
        <x:v>313356.03618935373</x:v>
      </x:c>
      <x:c r="I41" s="105" t="n">
        <x:f>P40</x:f>
        <x:v>298443.621737912</x:v>
      </x:c>
      <x:c r="J41" s="105" t="n">
        <x:f>IF(I41&gt;0,I41*'Your Mortgage'!$C$7/12,0)</x:f>
        <x:v>1616.5696177470234</x:v>
      </x:c>
      <x:c r="K41" s="105" t="n">
        <x:f>IF(I41&gt;0,MIN('Your Mortgage'!$C$11,I41+J41),0)</x:f>
        <x:v>2054.2210763521375</x:v>
      </x:c>
      <x:c r="L41" s="105" t="n">
        <x:f>IF(I41&gt;0,MIN('Your Mortgage'!$F$6,MAX(0,I41+J41-K41)),0)</x:f>
        <x:v>250</x:v>
      </x:c>
      <x:c r="M41" s="105" t="n">
        <x:f>IF(AND(A41='Your Mortgage'!$F$8,I41&gt;0),MIN('Your Mortgage'!$F$7,MAX(0,I41+J41-K41-L41)),0)</x:f>
        <x:v>0</x:v>
      </x:c>
      <x:c r="N41" s="105" t="n">
        <x:f>K41+L41+M41</x:f>
        <x:v>2304.2210763521375</x:v>
      </x:c>
      <x:c r="O41" s="105" t="n">
        <x:f>MAX(0,N41-J41)</x:f>
        <x:v>687.6514586051142</x:v>
      </x:c>
      <x:c r="P41" s="105" t="n">
        <x:f>MAX(0,I41-O41)</x:f>
        <x:v>297755.9702793069</x:v>
      </x:c>
      <x:c r="Q41" s="106" t="n">
        <x:f>X40</x:f>
        <x:v>294499.21071721736</x:v>
      </x:c>
      <x:c r="R41" s="106" t="n">
        <x:f>IF(Q41&gt;0,Q41*'Your Mortgage'!$C$7/12,0)</x:f>
        <x:v>1595.204058051594</x:v>
      </x:c>
      <x:c r="S41" s="106" t="n">
        <x:f>IF(Q41&gt;0,MIN('Your Mortgage'!$C$11,Q41+R41),0)</x:f>
        <x:v>2054.2210763521375</x:v>
      </x:c>
      <x:c r="T41" s="106" t="n">
        <x:f>IF(Q41&gt;0,MIN('Your Mortgage'!$I$6,MAX(0,Q41+R41-S41)),0)</x:f>
        <x:v>500</x:v>
      </x:c>
      <x:c r="U41" s="106" t="n">
        <x:f>IF(AND(A41='Your Mortgage'!$I$8,Q41&gt;0),MIN('Your Mortgage'!$I$7,MAX(0,Q41+R41-S41-T41)),0)</x:f>
        <x:v>0</x:v>
      </x:c>
      <x:c r="V41" s="106" t="n">
        <x:f>S41+T41+U41</x:f>
        <x:v>2554.2210763521375</x:v>
      </x:c>
      <x:c r="W41" s="106" t="n">
        <x:f>MAX(0,V41-R41)</x:f>
        <x:v>959.0170183005434</x:v>
      </x:c>
      <x:c r="X41" s="106" t="n">
        <x:f>MAX(0,Q41-W41)</x:f>
        <x:v>293540.1936989168</x:v>
      </x:c>
      <x:c r="Y41" s="1"/>
      <x:c r="Z41" s="1"/>
    </x:row>
    <x:row r="42">
      <x:c r="A42" s="100" t="n">
        <x:f>A41+1</x:f>
        <x:v>37</x:v>
      </x:c>
      <x:c r="B42" s="103" t="n">
        <x:f>EDATE(B41,1)</x:f>
        <x:v>47331</x:v>
      </x:c>
      <x:c r="C42" s="104" t="n">
        <x:f>H41</x:f>
        <x:v>313356.03618935373</x:v>
      </x:c>
      <x:c r="D42" s="104" t="n">
        <x:f>IF(C42&gt;0,C42*'Your Mortgage'!$C$7/12,0)</x:f>
        <x:v>1697.3451960256662</x:v>
      </x:c>
      <x:c r="E42" s="104" t="n">
        <x:f>IF(C42&gt;0,MIN('Your Mortgage'!$C$11,C42+D42),0)</x:f>
        <x:v>2054.2210763521375</x:v>
      </x:c>
      <x:c r="F42" s="104" t="n">
        <x:f>E42</x:f>
        <x:v>2054.2210763521375</x:v>
      </x:c>
      <x:c r="G42" s="104" t="n">
        <x:f>MAX(0,F42-D42)</x:f>
        <x:v>356.87588032647136</x:v>
      </x:c>
      <x:c r="H42" s="104" t="n">
        <x:f>MAX(0,C42-G42)</x:f>
        <x:v>312999.16030902724</x:v>
      </x:c>
      <x:c r="I42" s="105" t="n">
        <x:f>P41</x:f>
        <x:v>297755.9702793069</x:v>
      </x:c>
      <x:c r="J42" s="105" t="n">
        <x:f>IF(I42&gt;0,I42*'Your Mortgage'!$C$7/12,0)</x:f>
        <x:v>1612.8448390129124</x:v>
      </x:c>
      <x:c r="K42" s="105" t="n">
        <x:f>IF(I42&gt;0,MIN('Your Mortgage'!$C$11,I42+J42),0)</x:f>
        <x:v>2054.2210763521375</x:v>
      </x:c>
      <x:c r="L42" s="105" t="n">
        <x:f>IF(I42&gt;0,MIN('Your Mortgage'!$F$6,MAX(0,I42+J42-K42)),0)</x:f>
        <x:v>250</x:v>
      </x:c>
      <x:c r="M42" s="105" t="n">
        <x:f>IF(AND(A42='Your Mortgage'!$F$8,I42&gt;0),MIN('Your Mortgage'!$F$7,MAX(0,I42+J42-K42-L42)),0)</x:f>
        <x:v>0</x:v>
      </x:c>
      <x:c r="N42" s="105" t="n">
        <x:f>K42+L42+M42</x:f>
        <x:v>2304.2210763521375</x:v>
      </x:c>
      <x:c r="O42" s="105" t="n">
        <x:f>MAX(0,N42-J42)</x:f>
        <x:v>691.3762373392251</x:v>
      </x:c>
      <x:c r="P42" s="105" t="n">
        <x:f>MAX(0,I42-O42)</x:f>
        <x:v>297064.59404196765</x:v>
      </x:c>
      <x:c r="Q42" s="106" t="n">
        <x:f>X41</x:f>
        <x:v>293540.1936989168</x:v>
      </x:c>
      <x:c r="R42" s="106" t="n">
        <x:f>IF(Q42&gt;0,Q42*'Your Mortgage'!$C$7/12,0)</x:f>
        <x:v>1590.0093825357997</x:v>
      </x:c>
      <x:c r="S42" s="106" t="n">
        <x:f>IF(Q42&gt;0,MIN('Your Mortgage'!$C$11,Q42+R42),0)</x:f>
        <x:v>2054.2210763521375</x:v>
      </x:c>
      <x:c r="T42" s="106" t="n">
        <x:f>IF(Q42&gt;0,MIN('Your Mortgage'!$I$6,MAX(0,Q42+R42-S42)),0)</x:f>
        <x:v>500</x:v>
      </x:c>
      <x:c r="U42" s="106" t="n">
        <x:f>IF(AND(A42='Your Mortgage'!$I$8,Q42&gt;0),MIN('Your Mortgage'!$I$7,MAX(0,Q42+R42-S42-T42)),0)</x:f>
        <x:v>0</x:v>
      </x:c>
      <x:c r="V42" s="106" t="n">
        <x:f>S42+T42+U42</x:f>
        <x:v>2554.2210763521375</x:v>
      </x:c>
      <x:c r="W42" s="106" t="n">
        <x:f>MAX(0,V42-R42)</x:f>
        <x:v>964.2116938163379</x:v>
      </x:c>
      <x:c r="X42" s="106" t="n">
        <x:f>MAX(0,Q42-W42)</x:f>
        <x:v>292575.98200510046</x:v>
      </x:c>
      <x:c r="Y42" s="1"/>
      <x:c r="Z42" s="1"/>
    </x:row>
    <x:row r="43">
      <x:c r="A43" s="100" t="n">
        <x:f>A42+1</x:f>
        <x:v>38</x:v>
      </x:c>
      <x:c r="B43" s="103" t="n">
        <x:f>EDATE(B42,1)</x:f>
        <x:v>47362</x:v>
      </x:c>
      <x:c r="C43" s="104" t="n">
        <x:f>H42</x:f>
        <x:v>312999.16030902724</x:v>
      </x:c>
      <x:c r="D43" s="104" t="n">
        <x:f>IF(C43&gt;0,C43*'Your Mortgage'!$C$7/12,0)</x:f>
        <x:v>1695.4121183405643</x:v>
      </x:c>
      <x:c r="E43" s="104" t="n">
        <x:f>IF(C43&gt;0,MIN('Your Mortgage'!$C$11,C43+D43),0)</x:f>
        <x:v>2054.2210763521375</x:v>
      </x:c>
      <x:c r="F43" s="104" t="n">
        <x:f>E43</x:f>
        <x:v>2054.2210763521375</x:v>
      </x:c>
      <x:c r="G43" s="104" t="n">
        <x:f>MAX(0,F43-D43)</x:f>
        <x:v>358.80895801157317</x:v>
      </x:c>
      <x:c r="H43" s="104" t="n">
        <x:f>MAX(0,C43-G43)</x:f>
        <x:v>312640.3513510157</x:v>
      </x:c>
      <x:c r="I43" s="105" t="n">
        <x:f>P42</x:f>
        <x:v>297064.59404196765</x:v>
      </x:c>
      <x:c r="J43" s="105" t="n">
        <x:f>IF(I43&gt;0,I43*'Your Mortgage'!$C$7/12,0)</x:f>
        <x:v>1609.0998843939915</x:v>
      </x:c>
      <x:c r="K43" s="105" t="n">
        <x:f>IF(I43&gt;0,MIN('Your Mortgage'!$C$11,I43+J43),0)</x:f>
        <x:v>2054.2210763521375</x:v>
      </x:c>
      <x:c r="L43" s="105" t="n">
        <x:f>IF(I43&gt;0,MIN('Your Mortgage'!$F$6,MAX(0,I43+J43-K43)),0)</x:f>
        <x:v>250</x:v>
      </x:c>
      <x:c r="M43" s="105" t="n">
        <x:f>IF(AND(A43='Your Mortgage'!$F$8,I43&gt;0),MIN('Your Mortgage'!$F$7,MAX(0,I43+J43-K43-L43)),0)</x:f>
        <x:v>0</x:v>
      </x:c>
      <x:c r="N43" s="105" t="n">
        <x:f>K43+L43+M43</x:f>
        <x:v>2304.2210763521375</x:v>
      </x:c>
      <x:c r="O43" s="105" t="n">
        <x:f>MAX(0,N43-J43)</x:f>
        <x:v>695.121191958146</x:v>
      </x:c>
      <x:c r="P43" s="105" t="n">
        <x:f>MAX(0,I43-O43)</x:f>
        <x:v>296369.4728500095</x:v>
      </x:c>
      <x:c r="Q43" s="106" t="n">
        <x:f>X42</x:f>
        <x:v>292575.98200510046</x:v>
      </x:c>
      <x:c r="R43" s="106" t="n">
        <x:f>IF(Q43&gt;0,Q43*'Your Mortgage'!$C$7/12,0)</x:f>
        <x:v>1584.7865691942943</x:v>
      </x:c>
      <x:c r="S43" s="106" t="n">
        <x:f>IF(Q43&gt;0,MIN('Your Mortgage'!$C$11,Q43+R43),0)</x:f>
        <x:v>2054.2210763521375</x:v>
      </x:c>
      <x:c r="T43" s="106" t="n">
        <x:f>IF(Q43&gt;0,MIN('Your Mortgage'!$I$6,MAX(0,Q43+R43-S43)),0)</x:f>
        <x:v>500</x:v>
      </x:c>
      <x:c r="U43" s="106" t="n">
        <x:f>IF(AND(A43='Your Mortgage'!$I$8,Q43&gt;0),MIN('Your Mortgage'!$I$7,MAX(0,Q43+R43-S43-T43)),0)</x:f>
        <x:v>0</x:v>
      </x:c>
      <x:c r="V43" s="106" t="n">
        <x:f>S43+T43+U43</x:f>
        <x:v>2554.2210763521375</x:v>
      </x:c>
      <x:c r="W43" s="106" t="n">
        <x:f>MAX(0,V43-R43)</x:f>
        <x:v>969.4345071578432</x:v>
      </x:c>
      <x:c r="X43" s="106" t="n">
        <x:f>MAX(0,Q43-W43)</x:f>
        <x:v>291606.54749794264</x:v>
      </x:c>
      <x:c r="Y43" s="1"/>
      <x:c r="Z43" s="1"/>
    </x:row>
    <x:row r="44">
      <x:c r="A44" s="100" t="n">
        <x:f>A43+1</x:f>
        <x:v>39</x:v>
      </x:c>
      <x:c r="B44" s="103" t="n">
        <x:f>EDATE(B43,1)</x:f>
        <x:v>47392</x:v>
      </x:c>
      <x:c r="C44" s="104" t="n">
        <x:f>H43</x:f>
        <x:v>312640.3513510157</x:v>
      </x:c>
      <x:c r="D44" s="104" t="n">
        <x:f>IF(C44&gt;0,C44*'Your Mortgage'!$C$7/12,0)</x:f>
        <x:v>1693.4685698180017</x:v>
      </x:c>
      <x:c r="E44" s="104" t="n">
        <x:f>IF(C44&gt;0,MIN('Your Mortgage'!$C$11,C44+D44),0)</x:f>
        <x:v>2054.2210763521375</x:v>
      </x:c>
      <x:c r="F44" s="104" t="n">
        <x:f>E44</x:f>
        <x:v>2054.2210763521375</x:v>
      </x:c>
      <x:c r="G44" s="104" t="n">
        <x:f>MAX(0,F44-D44)</x:f>
        <x:v>360.7525065341358</x:v>
      </x:c>
      <x:c r="H44" s="104" t="n">
        <x:f>MAX(0,C44-G44)</x:f>
        <x:v>312279.5988444815</x:v>
      </x:c>
      <x:c r="I44" s="105" t="n">
        <x:f>P43</x:f>
        <x:v>296369.4728500095</x:v>
      </x:c>
      <x:c r="J44" s="105" t="n">
        <x:f>IF(I44&gt;0,I44*'Your Mortgage'!$C$7/12,0)</x:f>
        <x:v>1605.334644604218</x:v>
      </x:c>
      <x:c r="K44" s="105" t="n">
        <x:f>IF(I44&gt;0,MIN('Your Mortgage'!$C$11,I44+J44),0)</x:f>
        <x:v>2054.2210763521375</x:v>
      </x:c>
      <x:c r="L44" s="105" t="n">
        <x:f>IF(I44&gt;0,MIN('Your Mortgage'!$F$6,MAX(0,I44+J44-K44)),0)</x:f>
        <x:v>250</x:v>
      </x:c>
      <x:c r="M44" s="105" t="n">
        <x:f>IF(AND(A44='Your Mortgage'!$F$8,I44&gt;0),MIN('Your Mortgage'!$F$7,MAX(0,I44+J44-K44-L44)),0)</x:f>
        <x:v>0</x:v>
      </x:c>
      <x:c r="N44" s="105" t="n">
        <x:f>K44+L44+M44</x:f>
        <x:v>2304.2210763521375</x:v>
      </x:c>
      <x:c r="O44" s="105" t="n">
        <x:f>MAX(0,N44-J44)</x:f>
        <x:v>698.8864317479195</x:v>
      </x:c>
      <x:c r="P44" s="105" t="n">
        <x:f>MAX(0,I44-O44)</x:f>
        <x:v>295670.5864182616</x:v>
      </x:c>
      <x:c r="Q44" s="106" t="n">
        <x:f>X43</x:f>
        <x:v>291606.54749794264</x:v>
      </x:c>
      <x:c r="R44" s="106" t="n">
        <x:f>IF(Q44&gt;0,Q44*'Your Mortgage'!$C$7/12,0)</x:f>
        <x:v>1579.535465613856</x:v>
      </x:c>
      <x:c r="S44" s="106" t="n">
        <x:f>IF(Q44&gt;0,MIN('Your Mortgage'!$C$11,Q44+R44),0)</x:f>
        <x:v>2054.2210763521375</x:v>
      </x:c>
      <x:c r="T44" s="106" t="n">
        <x:f>IF(Q44&gt;0,MIN('Your Mortgage'!$I$6,MAX(0,Q44+R44-S44)),0)</x:f>
        <x:v>500</x:v>
      </x:c>
      <x:c r="U44" s="106" t="n">
        <x:f>IF(AND(A44='Your Mortgage'!$I$8,Q44&gt;0),MIN('Your Mortgage'!$I$7,MAX(0,Q44+R44-S44-T44)),0)</x:f>
        <x:v>0</x:v>
      </x:c>
      <x:c r="V44" s="106" t="n">
        <x:f>S44+T44+U44</x:f>
        <x:v>2554.2210763521375</x:v>
      </x:c>
      <x:c r="W44" s="106" t="n">
        <x:f>MAX(0,V44-R44)</x:f>
        <x:v>974.6856107382814</x:v>
      </x:c>
      <x:c r="X44" s="106" t="n">
        <x:f>MAX(0,Q44-W44)</x:f>
        <x:v>290631.86188720434</x:v>
      </x:c>
      <x:c r="Y44" s="1"/>
      <x:c r="Z44" s="1"/>
    </x:row>
    <x:row r="45">
      <x:c r="A45" s="100" t="n">
        <x:f>A44+1</x:f>
        <x:v>40</x:v>
      </x:c>
      <x:c r="B45" s="103" t="n">
        <x:f>EDATE(B44,1)</x:f>
        <x:v>47423</x:v>
      </x:c>
      <x:c r="C45" s="104" t="n">
        <x:f>H44</x:f>
        <x:v>312279.5988444815</x:v>
      </x:c>
      <x:c r="D45" s="104" t="n">
        <x:f>IF(C45&gt;0,C45*'Your Mortgage'!$C$7/12,0)</x:f>
        <x:v>1691.5144937409416</x:v>
      </x:c>
      <x:c r="E45" s="104" t="n">
        <x:f>IF(C45&gt;0,MIN('Your Mortgage'!$C$11,C45+D45),0)</x:f>
        <x:v>2054.2210763521375</x:v>
      </x:c>
      <x:c r="F45" s="104" t="n">
        <x:f>E45</x:f>
        <x:v>2054.2210763521375</x:v>
      </x:c>
      <x:c r="G45" s="104" t="n">
        <x:f>MAX(0,F45-D45)</x:f>
        <x:v>362.7065826111959</x:v>
      </x:c>
      <x:c r="H45" s="104" t="n">
        <x:f>MAX(0,C45-G45)</x:f>
        <x:v>311916.8922618703</x:v>
      </x:c>
      <x:c r="I45" s="105" t="n">
        <x:f>P44</x:f>
        <x:v>295670.5864182616</x:v>
      </x:c>
      <x:c r="J45" s="105" t="n">
        <x:f>IF(I45&gt;0,I45*'Your Mortgage'!$C$7/12,0)</x:f>
        <x:v>1601.5490097655836</x:v>
      </x:c>
      <x:c r="K45" s="105" t="n">
        <x:f>IF(I45&gt;0,MIN('Your Mortgage'!$C$11,I45+J45),0)</x:f>
        <x:v>2054.2210763521375</x:v>
      </x:c>
      <x:c r="L45" s="105" t="n">
        <x:f>IF(I45&gt;0,MIN('Your Mortgage'!$F$6,MAX(0,I45+J45-K45)),0)</x:f>
        <x:v>250</x:v>
      </x:c>
      <x:c r="M45" s="105" t="n">
        <x:f>IF(AND(A45='Your Mortgage'!$F$8,I45&gt;0),MIN('Your Mortgage'!$F$7,MAX(0,I45+J45-K45-L45)),0)</x:f>
        <x:v>0</x:v>
      </x:c>
      <x:c r="N45" s="105" t="n">
        <x:f>K45+L45+M45</x:f>
        <x:v>2304.2210763521375</x:v>
      </x:c>
      <x:c r="O45" s="105" t="n">
        <x:f>MAX(0,N45-J45)</x:f>
        <x:v>702.6720665865539</x:v>
      </x:c>
      <x:c r="P45" s="105" t="n">
        <x:f>MAX(0,I45-O45)</x:f>
        <x:v>294967.914351675</x:v>
      </x:c>
      <x:c r="Q45" s="106" t="n">
        <x:f>X44</x:f>
        <x:v>290631.86188720434</x:v>
      </x:c>
      <x:c r="R45" s="106" t="n">
        <x:f>IF(Q45&gt;0,Q45*'Your Mortgage'!$C$7/12,0)</x:f>
        <x:v>1574.2559185556902</x:v>
      </x:c>
      <x:c r="S45" s="106" t="n">
        <x:f>IF(Q45&gt;0,MIN('Your Mortgage'!$C$11,Q45+R45),0)</x:f>
        <x:v>2054.2210763521375</x:v>
      </x:c>
      <x:c r="T45" s="106" t="n">
        <x:f>IF(Q45&gt;0,MIN('Your Mortgage'!$I$6,MAX(0,Q45+R45-S45)),0)</x:f>
        <x:v>500</x:v>
      </x:c>
      <x:c r="U45" s="106" t="n">
        <x:f>IF(AND(A45='Your Mortgage'!$I$8,Q45&gt;0),MIN('Your Mortgage'!$I$7,MAX(0,Q45+R45-S45-T45)),0)</x:f>
        <x:v>0</x:v>
      </x:c>
      <x:c r="V45" s="106" t="n">
        <x:f>S45+T45+U45</x:f>
        <x:v>2554.2210763521375</x:v>
      </x:c>
      <x:c r="W45" s="106" t="n">
        <x:f>MAX(0,V45-R45)</x:f>
        <x:v>979.9651577964473</x:v>
      </x:c>
      <x:c r="X45" s="106" t="n">
        <x:f>MAX(0,Q45-W45)</x:f>
        <x:v>289651.8967294079</x:v>
      </x:c>
      <x:c r="Y45" s="1"/>
      <x:c r="Z45" s="1"/>
    </x:row>
    <x:row r="46">
      <x:c r="A46" s="100" t="n">
        <x:f>A45+1</x:f>
        <x:v>41</x:v>
      </x:c>
      <x:c r="B46" s="103" t="n">
        <x:f>EDATE(B45,1)</x:f>
        <x:v>47453</x:v>
      </x:c>
      <x:c r="C46" s="104" t="n">
        <x:f>H45</x:f>
        <x:v>311916.8922618703</x:v>
      </x:c>
      <x:c r="D46" s="104" t="n">
        <x:f>IF(C46&gt;0,C46*'Your Mortgage'!$C$7/12,0)</x:f>
        <x:v>1689.5498330851308</x:v>
      </x:c>
      <x:c r="E46" s="104" t="n">
        <x:f>IF(C46&gt;0,MIN('Your Mortgage'!$C$11,C46+D46),0)</x:f>
        <x:v>2054.2210763521375</x:v>
      </x:c>
      <x:c r="F46" s="104" t="n">
        <x:f>E46</x:f>
        <x:v>2054.2210763521375</x:v>
      </x:c>
      <x:c r="G46" s="104" t="n">
        <x:f>MAX(0,F46-D46)</x:f>
        <x:v>364.67124326700673</x:v>
      </x:c>
      <x:c r="H46" s="104" t="n">
        <x:f>MAX(0,C46-G46)</x:f>
        <x:v>311552.2210186033</x:v>
      </x:c>
      <x:c r="I46" s="105" t="n">
        <x:f>P45</x:f>
        <x:v>294967.914351675</x:v>
      </x:c>
      <x:c r="J46" s="105" t="n">
        <x:f>IF(I46&gt;0,I46*'Your Mortgage'!$C$7/12,0)</x:f>
        <x:v>1597.7428694049065</x:v>
      </x:c>
      <x:c r="K46" s="105" t="n">
        <x:f>IF(I46&gt;0,MIN('Your Mortgage'!$C$11,I46+J46),0)</x:f>
        <x:v>2054.2210763521375</x:v>
      </x:c>
      <x:c r="L46" s="105" t="n">
        <x:f>IF(I46&gt;0,MIN('Your Mortgage'!$F$6,MAX(0,I46+J46-K46)),0)</x:f>
        <x:v>250</x:v>
      </x:c>
      <x:c r="M46" s="105" t="n">
        <x:f>IF(AND(A46='Your Mortgage'!$F$8,I46&gt;0),MIN('Your Mortgage'!$F$7,MAX(0,I46+J46-K46-L46)),0)</x:f>
        <x:v>0</x:v>
      </x:c>
      <x:c r="N46" s="105" t="n">
        <x:f>K46+L46+M46</x:f>
        <x:v>2304.2210763521375</x:v>
      </x:c>
      <x:c r="O46" s="105" t="n">
        <x:f>MAX(0,N46-J46)</x:f>
        <x:v>706.478206947231</x:v>
      </x:c>
      <x:c r="P46" s="105" t="n">
        <x:f>MAX(0,I46-O46)</x:f>
        <x:v>294261.4361447278</x:v>
      </x:c>
      <x:c r="Q46" s="106" t="n">
        <x:f>X45</x:f>
        <x:v>289651.8967294079</x:v>
      </x:c>
      <x:c r="R46" s="106" t="n">
        <x:f>IF(Q46&gt;0,Q46*'Your Mortgage'!$C$7/12,0)</x:f>
        <x:v>1568.9477739509593</x:v>
      </x:c>
      <x:c r="S46" s="106" t="n">
        <x:f>IF(Q46&gt;0,MIN('Your Mortgage'!$C$11,Q46+R46),0)</x:f>
        <x:v>2054.2210763521375</x:v>
      </x:c>
      <x:c r="T46" s="106" t="n">
        <x:f>IF(Q46&gt;0,MIN('Your Mortgage'!$I$6,MAX(0,Q46+R46-S46)),0)</x:f>
        <x:v>500</x:v>
      </x:c>
      <x:c r="U46" s="106" t="n">
        <x:f>IF(AND(A46='Your Mortgage'!$I$8,Q46&gt;0),MIN('Your Mortgage'!$I$7,MAX(0,Q46+R46-S46-T46)),0)</x:f>
        <x:v>0</x:v>
      </x:c>
      <x:c r="V46" s="106" t="n">
        <x:f>S46+T46+U46</x:f>
        <x:v>2554.2210763521375</x:v>
      </x:c>
      <x:c r="W46" s="106" t="n">
        <x:f>MAX(0,V46-R46)</x:f>
        <x:v>985.2733024011782</x:v>
      </x:c>
      <x:c r="X46" s="106" t="n">
        <x:f>MAX(0,Q46-W46)</x:f>
        <x:v>288666.6234270067</x:v>
      </x:c>
      <x:c r="Y46" s="1"/>
      <x:c r="Z46" s="1"/>
    </x:row>
    <x:row r="47">
      <x:c r="A47" s="100" t="n">
        <x:f>A46+1</x:f>
        <x:v>42</x:v>
      </x:c>
      <x:c r="B47" s="103" t="n">
        <x:f>EDATE(B46,1)</x:f>
        <x:v>47484</x:v>
      </x:c>
      <x:c r="C47" s="104" t="n">
        <x:f>H46</x:f>
        <x:v>311552.2210186033</x:v>
      </x:c>
      <x:c r="D47" s="104" t="n">
        <x:f>IF(C47&gt;0,C47*'Your Mortgage'!$C$7/12,0)</x:f>
        <x:v>1687.5745305174348</x:v>
      </x:c>
      <x:c r="E47" s="104" t="n">
        <x:f>IF(C47&gt;0,MIN('Your Mortgage'!$C$11,C47+D47),0)</x:f>
        <x:v>2054.2210763521375</x:v>
      </x:c>
      <x:c r="F47" s="104" t="n">
        <x:f>E47</x:f>
        <x:v>2054.2210763521375</x:v>
      </x:c>
      <x:c r="G47" s="104" t="n">
        <x:f>MAX(0,F47-D47)</x:f>
        <x:v>366.6465458347027</x:v>
      </x:c>
      <x:c r="H47" s="104" t="n">
        <x:f>MAX(0,C47-G47)</x:f>
        <x:v>311185.5744727686</x:v>
      </x:c>
      <x:c r="I47" s="105" t="n">
        <x:f>P46</x:f>
        <x:v>294261.4361447278</x:v>
      </x:c>
      <x:c r="J47" s="105" t="n">
        <x:f>IF(I47&gt;0,I47*'Your Mortgage'!$C$7/12,0)</x:f>
        <x:v>1593.916112450609</x:v>
      </x:c>
      <x:c r="K47" s="105" t="n">
        <x:f>IF(I47&gt;0,MIN('Your Mortgage'!$C$11,I47+J47),0)</x:f>
        <x:v>2054.2210763521375</x:v>
      </x:c>
      <x:c r="L47" s="105" t="n">
        <x:f>IF(I47&gt;0,MIN('Your Mortgage'!$F$6,MAX(0,I47+J47-K47)),0)</x:f>
        <x:v>250</x:v>
      </x:c>
      <x:c r="M47" s="105" t="n">
        <x:f>IF(AND(A47='Your Mortgage'!$F$8,I47&gt;0),MIN('Your Mortgage'!$F$7,MAX(0,I47+J47-K47-L47)),0)</x:f>
        <x:v>0</x:v>
      </x:c>
      <x:c r="N47" s="105" t="n">
        <x:f>K47+L47+M47</x:f>
        <x:v>2304.2210763521375</x:v>
      </x:c>
      <x:c r="O47" s="105" t="n">
        <x:f>MAX(0,N47-J47)</x:f>
        <x:v>710.3049639015285</x:v>
      </x:c>
      <x:c r="P47" s="105" t="n">
        <x:f>MAX(0,I47-O47)</x:f>
        <x:v>293551.1311808263</x:v>
      </x:c>
      <x:c r="Q47" s="106" t="n">
        <x:f>X46</x:f>
        <x:v>288666.6234270067</x:v>
      </x:c>
      <x:c r="R47" s="106" t="n">
        <x:f>IF(Q47&gt;0,Q47*'Your Mortgage'!$C$7/12,0)</x:f>
        <x:v>1563.6108768962865</x:v>
      </x:c>
      <x:c r="S47" s="106" t="n">
        <x:f>IF(Q47&gt;0,MIN('Your Mortgage'!$C$11,Q47+R47),0)</x:f>
        <x:v>2054.2210763521375</x:v>
      </x:c>
      <x:c r="T47" s="106" t="n">
        <x:f>IF(Q47&gt;0,MIN('Your Mortgage'!$I$6,MAX(0,Q47+R47-S47)),0)</x:f>
        <x:v>500</x:v>
      </x:c>
      <x:c r="U47" s="106" t="n">
        <x:f>IF(AND(A47='Your Mortgage'!$I$8,Q47&gt;0),MIN('Your Mortgage'!$I$7,MAX(0,Q47+R47-S47-T47)),0)</x:f>
        <x:v>0</x:v>
      </x:c>
      <x:c r="V47" s="106" t="n">
        <x:f>S47+T47+U47</x:f>
        <x:v>2554.2210763521375</x:v>
      </x:c>
      <x:c r="W47" s="106" t="n">
        <x:f>MAX(0,V47-R47)</x:f>
        <x:v>990.610199455851</x:v>
      </x:c>
      <x:c r="X47" s="106" t="n">
        <x:f>MAX(0,Q47-W47)</x:f>
        <x:v>287676.01322755084</x:v>
      </x:c>
      <x:c r="Y47" s="1"/>
      <x:c r="Z47" s="1"/>
    </x:row>
    <x:row r="48">
      <x:c r="A48" s="100" t="n">
        <x:f>A47+1</x:f>
        <x:v>43</x:v>
      </x:c>
      <x:c r="B48" s="103" t="n">
        <x:f>EDATE(B47,1)</x:f>
        <x:v>47515</x:v>
      </x:c>
      <x:c r="C48" s="104" t="n">
        <x:f>H47</x:f>
        <x:v>311185.5744727686</x:v>
      </x:c>
      <x:c r="D48" s="104" t="n">
        <x:f>IF(C48&gt;0,C48*'Your Mortgage'!$C$7/12,0)</x:f>
        <x:v>1685.5885283941632</x:v>
      </x:c>
      <x:c r="E48" s="104" t="n">
        <x:f>IF(C48&gt;0,MIN('Your Mortgage'!$C$11,C48+D48),0)</x:f>
        <x:v>2054.2210763521375</x:v>
      </x:c>
      <x:c r="F48" s="104" t="n">
        <x:f>E48</x:f>
        <x:v>2054.2210763521375</x:v>
      </x:c>
      <x:c r="G48" s="104" t="n">
        <x:f>MAX(0,F48-D48)</x:f>
        <x:v>368.63254795797434</x:v>
      </x:c>
      <x:c r="H48" s="104" t="n">
        <x:f>MAX(0,C48-G48)</x:f>
        <x:v>310816.9419248106</x:v>
      </x:c>
      <x:c r="I48" s="105" t="n">
        <x:f>P47</x:f>
        <x:v>293551.1311808263</x:v>
      </x:c>
      <x:c r="J48" s="105" t="n">
        <x:f>IF(I48&gt;0,I48*'Your Mortgage'!$C$7/12,0)</x:f>
        <x:v>1590.0686272294759</x:v>
      </x:c>
      <x:c r="K48" s="105" t="n">
        <x:f>IF(I48&gt;0,MIN('Your Mortgage'!$C$11,I48+J48),0)</x:f>
        <x:v>2054.2210763521375</x:v>
      </x:c>
      <x:c r="L48" s="105" t="n">
        <x:f>IF(I48&gt;0,MIN('Your Mortgage'!$F$6,MAX(0,I48+J48-K48)),0)</x:f>
        <x:v>250</x:v>
      </x:c>
      <x:c r="M48" s="105" t="n">
        <x:f>IF(AND(A48='Your Mortgage'!$F$8,I48&gt;0),MIN('Your Mortgage'!$F$7,MAX(0,I48+J48-K48-L48)),0)</x:f>
        <x:v>0</x:v>
      </x:c>
      <x:c r="N48" s="105" t="n">
        <x:f>K48+L48+M48</x:f>
        <x:v>2304.2210763521375</x:v>
      </x:c>
      <x:c r="O48" s="105" t="n">
        <x:f>MAX(0,N48-J48)</x:f>
        <x:v>714.1524491226617</x:v>
      </x:c>
      <x:c r="P48" s="105" t="n">
        <x:f>MAX(0,I48-O48)</x:f>
        <x:v>292836.9787317036</x:v>
      </x:c>
      <x:c r="Q48" s="106" t="n">
        <x:f>X47</x:f>
        <x:v>287676.01322755084</x:v>
      </x:c>
      <x:c r="R48" s="106" t="n">
        <x:f>IF(Q48&gt;0,Q48*'Your Mortgage'!$C$7/12,0)</x:f>
        <x:v>1558.2450716492338</x:v>
      </x:c>
      <x:c r="S48" s="106" t="n">
        <x:f>IF(Q48&gt;0,MIN('Your Mortgage'!$C$11,Q48+R48),0)</x:f>
        <x:v>2054.2210763521375</x:v>
      </x:c>
      <x:c r="T48" s="106" t="n">
        <x:f>IF(Q48&gt;0,MIN('Your Mortgage'!$I$6,MAX(0,Q48+R48-S48)),0)</x:f>
        <x:v>500</x:v>
      </x:c>
      <x:c r="U48" s="106" t="n">
        <x:f>IF(AND(A48='Your Mortgage'!$I$8,Q48&gt;0),MIN('Your Mortgage'!$I$7,MAX(0,Q48+R48-S48-T48)),0)</x:f>
        <x:v>0</x:v>
      </x:c>
      <x:c r="V48" s="106" t="n">
        <x:f>S48+T48+U48</x:f>
        <x:v>2554.2210763521375</x:v>
      </x:c>
      <x:c r="W48" s="106" t="n">
        <x:f>MAX(0,V48-R48)</x:f>
        <x:v>995.9760047029038</x:v>
      </x:c>
      <x:c r="X48" s="106" t="n">
        <x:f>MAX(0,Q48-W48)</x:f>
        <x:v>286680.0372228479</x:v>
      </x:c>
      <x:c r="Y48" s="1"/>
      <x:c r="Z48" s="1"/>
    </x:row>
    <x:row r="49">
      <x:c r="A49" s="100" t="n">
        <x:f>A48+1</x:f>
        <x:v>44</x:v>
      </x:c>
      <x:c r="B49" s="103" t="n">
        <x:f>EDATE(B48,1)</x:f>
        <x:v>47543</x:v>
      </x:c>
      <x:c r="C49" s="104" t="n">
        <x:f>H48</x:f>
        <x:v>310816.9419248106</x:v>
      </x:c>
      <x:c r="D49" s="104" t="n">
        <x:f>IF(C49&gt;0,C49*'Your Mortgage'!$C$7/12,0)</x:f>
        <x:v>1683.5917687593908</x:v>
      </x:c>
      <x:c r="E49" s="104" t="n">
        <x:f>IF(C49&gt;0,MIN('Your Mortgage'!$C$11,C49+D49),0)</x:f>
        <x:v>2054.2210763521375</x:v>
      </x:c>
      <x:c r="F49" s="104" t="n">
        <x:f>E49</x:f>
        <x:v>2054.2210763521375</x:v>
      </x:c>
      <x:c r="G49" s="104" t="n">
        <x:f>MAX(0,F49-D49)</x:f>
        <x:v>370.6293075927467</x:v>
      </x:c>
      <x:c r="H49" s="104" t="n">
        <x:f>MAX(0,C49-G49)</x:f>
        <x:v>310446.31261721783</x:v>
      </x:c>
      <x:c r="I49" s="105" t="n">
        <x:f>P48</x:f>
        <x:v>292836.9787317036</x:v>
      </x:c>
      <x:c r="J49" s="105" t="n">
        <x:f>IF(I49&gt;0,I49*'Your Mortgage'!$C$7/12,0)</x:f>
        <x:v>1586.2003014633945</x:v>
      </x:c>
      <x:c r="K49" s="105" t="n">
        <x:f>IF(I49&gt;0,MIN('Your Mortgage'!$C$11,I49+J49),0)</x:f>
        <x:v>2054.2210763521375</x:v>
      </x:c>
      <x:c r="L49" s="105" t="n">
        <x:f>IF(I49&gt;0,MIN('Your Mortgage'!$F$6,MAX(0,I49+J49-K49)),0)</x:f>
        <x:v>250</x:v>
      </x:c>
      <x:c r="M49" s="105" t="n">
        <x:f>IF(AND(A49='Your Mortgage'!$F$8,I49&gt;0),MIN('Your Mortgage'!$F$7,MAX(0,I49+J49-K49-L49)),0)</x:f>
        <x:v>0</x:v>
      </x:c>
      <x:c r="N49" s="105" t="n">
        <x:f>K49+L49+M49</x:f>
        <x:v>2304.2210763521375</x:v>
      </x:c>
      <x:c r="O49" s="105" t="n">
        <x:f>MAX(0,N49-J49)</x:f>
        <x:v>718.0207748887431</x:v>
      </x:c>
      <x:c r="P49" s="105" t="n">
        <x:f>MAX(0,I49-O49)</x:f>
        <x:v>292118.95795681485</x:v>
      </x:c>
      <x:c r="Q49" s="106" t="n">
        <x:f>X48</x:f>
        <x:v>286680.0372228479</x:v>
      </x:c>
      <x:c r="R49" s="106" t="n">
        <x:f>IF(Q49&gt;0,Q49*'Your Mortgage'!$C$7/12,0)</x:f>
        <x:v>1552.8502016237596</x:v>
      </x:c>
      <x:c r="S49" s="106" t="n">
        <x:f>IF(Q49&gt;0,MIN('Your Mortgage'!$C$11,Q49+R49),0)</x:f>
        <x:v>2054.2210763521375</x:v>
      </x:c>
      <x:c r="T49" s="106" t="n">
        <x:f>IF(Q49&gt;0,MIN('Your Mortgage'!$I$6,MAX(0,Q49+R49-S49)),0)</x:f>
        <x:v>500</x:v>
      </x:c>
      <x:c r="U49" s="106" t="n">
        <x:f>IF(AND(A49='Your Mortgage'!$I$8,Q49&gt;0),MIN('Your Mortgage'!$I$7,MAX(0,Q49+R49-S49-T49)),0)</x:f>
        <x:v>0</x:v>
      </x:c>
      <x:c r="V49" s="106" t="n">
        <x:f>S49+T49+U49</x:f>
        <x:v>2554.2210763521375</x:v>
      </x:c>
      <x:c r="W49" s="106" t="n">
        <x:f>MAX(0,V49-R49)</x:f>
        <x:v>1001.3708747283779</x:v>
      </x:c>
      <x:c r="X49" s="106" t="n">
        <x:f>MAX(0,Q49-W49)</x:f>
        <x:v>285678.66634811956</x:v>
      </x:c>
      <x:c r="Y49" s="1"/>
      <x:c r="Z49" s="1"/>
    </x:row>
    <x:row r="50">
      <x:c r="A50" s="100" t="n">
        <x:f>A49+1</x:f>
        <x:v>45</x:v>
      </x:c>
      <x:c r="B50" s="103" t="n">
        <x:f>EDATE(B49,1)</x:f>
        <x:v>47574</x:v>
      </x:c>
      <x:c r="C50" s="104" t="n">
        <x:f>H49</x:f>
        <x:v>310446.31261721783</x:v>
      </x:c>
      <x:c r="D50" s="104" t="n">
        <x:f>IF(C50&gt;0,C50*'Your Mortgage'!$C$7/12,0)</x:f>
        <x:v>1681.5841933432632</x:v>
      </x:c>
      <x:c r="E50" s="104" t="n">
        <x:f>IF(C50&gt;0,MIN('Your Mortgage'!$C$11,C50+D50),0)</x:f>
        <x:v>2054.2210763521375</x:v>
      </x:c>
      <x:c r="F50" s="104" t="n">
        <x:f>E50</x:f>
        <x:v>2054.2210763521375</x:v>
      </x:c>
      <x:c r="G50" s="104" t="n">
        <x:f>MAX(0,F50-D50)</x:f>
        <x:v>372.6368830088743</x:v>
      </x:c>
      <x:c r="H50" s="104" t="n">
        <x:f>MAX(0,C50-G50)</x:f>
        <x:v>310073.67573420895</x:v>
      </x:c>
      <x:c r="I50" s="105" t="n">
        <x:f>P49</x:f>
        <x:v>292118.95795681485</x:v>
      </x:c>
      <x:c r="J50" s="105" t="n">
        <x:f>IF(I50&gt;0,I50*'Your Mortgage'!$C$7/12,0)</x:f>
        <x:v>1582.3110222660805</x:v>
      </x:c>
      <x:c r="K50" s="105" t="n">
        <x:f>IF(I50&gt;0,MIN('Your Mortgage'!$C$11,I50+J50),0)</x:f>
        <x:v>2054.2210763521375</x:v>
      </x:c>
      <x:c r="L50" s="105" t="n">
        <x:f>IF(I50&gt;0,MIN('Your Mortgage'!$F$6,MAX(0,I50+J50-K50)),0)</x:f>
        <x:v>250</x:v>
      </x:c>
      <x:c r="M50" s="105" t="n">
        <x:f>IF(AND(A50='Your Mortgage'!$F$8,I50&gt;0),MIN('Your Mortgage'!$F$7,MAX(0,I50+J50-K50-L50)),0)</x:f>
        <x:v>0</x:v>
      </x:c>
      <x:c r="N50" s="105" t="n">
        <x:f>K50+L50+M50</x:f>
        <x:v>2304.2210763521375</x:v>
      </x:c>
      <x:c r="O50" s="105" t="n">
        <x:f>MAX(0,N50-J50)</x:f>
        <x:v>721.910054086057</x:v>
      </x:c>
      <x:c r="P50" s="105" t="n">
        <x:f>MAX(0,I50-O50)</x:f>
        <x:v>291397.0479027288</x:v>
      </x:c>
      <x:c r="Q50" s="106" t="n">
        <x:f>X49</x:f>
        <x:v>285678.66634811956</x:v>
      </x:c>
      <x:c r="R50" s="106" t="n">
        <x:f>IF(Q50&gt;0,Q50*'Your Mortgage'!$C$7/12,0)</x:f>
        <x:v>1547.4261093856476</x:v>
      </x:c>
      <x:c r="S50" s="106" t="n">
        <x:f>IF(Q50&gt;0,MIN('Your Mortgage'!$C$11,Q50+R50),0)</x:f>
        <x:v>2054.2210763521375</x:v>
      </x:c>
      <x:c r="T50" s="106" t="n">
        <x:f>IF(Q50&gt;0,MIN('Your Mortgage'!$I$6,MAX(0,Q50+R50-S50)),0)</x:f>
        <x:v>500</x:v>
      </x:c>
      <x:c r="U50" s="106" t="n">
        <x:f>IF(AND(A50='Your Mortgage'!$I$8,Q50&gt;0),MIN('Your Mortgage'!$I$7,MAX(0,Q50+R50-S50-T50)),0)</x:f>
        <x:v>0</x:v>
      </x:c>
      <x:c r="V50" s="106" t="n">
        <x:f>S50+T50+U50</x:f>
        <x:v>2554.2210763521375</x:v>
      </x:c>
      <x:c r="W50" s="106" t="n">
        <x:f>MAX(0,V50-R50)</x:f>
        <x:v>1006.7949669664899</x:v>
      </x:c>
      <x:c r="X50" s="106" t="n">
        <x:f>MAX(0,Q50-W50)</x:f>
        <x:v>284671.87138115306</x:v>
      </x:c>
      <x:c r="Y50" s="1"/>
      <x:c r="Z50" s="1"/>
    </x:row>
    <x:row r="51">
      <x:c r="A51" s="100" t="n">
        <x:f>A50+1</x:f>
        <x:v>46</x:v>
      </x:c>
      <x:c r="B51" s="103" t="n">
        <x:f>EDATE(B50,1)</x:f>
        <x:v>47604</x:v>
      </x:c>
      <x:c r="C51" s="104" t="n">
        <x:f>H50</x:f>
        <x:v>310073.67573420895</x:v>
      </x:c>
      <x:c r="D51" s="104" t="n">
        <x:f>IF(C51&gt;0,C51*'Your Mortgage'!$C$7/12,0)</x:f>
        <x:v>1679.5657435602986</x:v>
      </x:c>
      <x:c r="E51" s="104" t="n">
        <x:f>IF(C51&gt;0,MIN('Your Mortgage'!$C$11,C51+D51),0)</x:f>
        <x:v>2054.2210763521375</x:v>
      </x:c>
      <x:c r="F51" s="104" t="n">
        <x:f>E51</x:f>
        <x:v>2054.2210763521375</x:v>
      </x:c>
      <x:c r="G51" s="104" t="n">
        <x:f>MAX(0,F51-D51)</x:f>
        <x:v>374.6553327918389</x:v>
      </x:c>
      <x:c r="H51" s="104" t="n">
        <x:f>MAX(0,C51-G51)</x:f>
        <x:v>309699.0204014171</x:v>
      </x:c>
      <x:c r="I51" s="105" t="n">
        <x:f>P50</x:f>
        <x:v>291397.0479027288</x:v>
      </x:c>
      <x:c r="J51" s="105" t="n">
        <x:f>IF(I51&gt;0,I51*'Your Mortgage'!$C$7/12,0)</x:f>
        <x:v>1578.4006761397811</x:v>
      </x:c>
      <x:c r="K51" s="105" t="n">
        <x:f>IF(I51&gt;0,MIN('Your Mortgage'!$C$11,I51+J51),0)</x:f>
        <x:v>2054.2210763521375</x:v>
      </x:c>
      <x:c r="L51" s="105" t="n">
        <x:f>IF(I51&gt;0,MIN('Your Mortgage'!$F$6,MAX(0,I51+J51-K51)),0)</x:f>
        <x:v>250</x:v>
      </x:c>
      <x:c r="M51" s="105" t="n">
        <x:f>IF(AND(A51='Your Mortgage'!$F$8,I51&gt;0),MIN('Your Mortgage'!$F$7,MAX(0,I51+J51-K51-L51)),0)</x:f>
        <x:v>0</x:v>
      </x:c>
      <x:c r="N51" s="105" t="n">
        <x:f>K51+L51+M51</x:f>
        <x:v>2304.2210763521375</x:v>
      </x:c>
      <x:c r="O51" s="105" t="n">
        <x:f>MAX(0,N51-J51)</x:f>
        <x:v>725.8204002123564</x:v>
      </x:c>
      <x:c r="P51" s="105" t="n">
        <x:f>MAX(0,I51-O51)</x:f>
        <x:v>290671.2275025164</x:v>
      </x:c>
      <x:c r="Q51" s="106" t="n">
        <x:f>X50</x:f>
        <x:v>284671.87138115306</x:v>
      </x:c>
      <x:c r="R51" s="106" t="n">
        <x:f>IF(Q51&gt;0,Q51*'Your Mortgage'!$C$7/12,0)</x:f>
        <x:v>1541.9726366479124</x:v>
      </x:c>
      <x:c r="S51" s="106" t="n">
        <x:f>IF(Q51&gt;0,MIN('Your Mortgage'!$C$11,Q51+R51),0)</x:f>
        <x:v>2054.2210763521375</x:v>
      </x:c>
      <x:c r="T51" s="106" t="n">
        <x:f>IF(Q51&gt;0,MIN('Your Mortgage'!$I$6,MAX(0,Q51+R51-S51)),0)</x:f>
        <x:v>500</x:v>
      </x:c>
      <x:c r="U51" s="106" t="n">
        <x:f>IF(AND(A51='Your Mortgage'!$I$8,Q51&gt;0),MIN('Your Mortgage'!$I$7,MAX(0,Q51+R51-S51-T51)),0)</x:f>
        <x:v>0</x:v>
      </x:c>
      <x:c r="V51" s="106" t="n">
        <x:f>S51+T51+U51</x:f>
        <x:v>2554.2210763521375</x:v>
      </x:c>
      <x:c r="W51" s="106" t="n">
        <x:f>MAX(0,V51-R51)</x:f>
        <x:v>1012.2484397042251</x:v>
      </x:c>
      <x:c r="X51" s="106" t="n">
        <x:f>MAX(0,Q51-W51)</x:f>
        <x:v>283659.6229414488</x:v>
      </x:c>
      <x:c r="Y51" s="1"/>
      <x:c r="Z51" s="1"/>
    </x:row>
    <x:row r="52">
      <x:c r="A52" s="100" t="n">
        <x:f>A51+1</x:f>
        <x:v>47</x:v>
      </x:c>
      <x:c r="B52" s="103" t="n">
        <x:f>EDATE(B51,1)</x:f>
        <x:v>47635</x:v>
      </x:c>
      <x:c r="C52" s="104" t="n">
        <x:f>H51</x:f>
        <x:v>309699.0204014171</x:v>
      </x:c>
      <x:c r="D52" s="104" t="n">
        <x:f>IF(C52&gt;0,C52*'Your Mortgage'!$C$7/12,0)</x:f>
        <x:v>1677.5363605076761</x:v>
      </x:c>
      <x:c r="E52" s="104" t="n">
        <x:f>IF(C52&gt;0,MIN('Your Mortgage'!$C$11,C52+D52),0)</x:f>
        <x:v>2054.2210763521375</x:v>
      </x:c>
      <x:c r="F52" s="104" t="n">
        <x:f>E52</x:f>
        <x:v>2054.2210763521375</x:v>
      </x:c>
      <x:c r="G52" s="104" t="n">
        <x:f>MAX(0,F52-D52)</x:f>
        <x:v>376.6847158444614</x:v>
      </x:c>
      <x:c r="H52" s="104" t="n">
        <x:f>MAX(0,C52-G52)</x:f>
        <x:v>309322.33568557265</x:v>
      </x:c>
      <x:c r="I52" s="105" t="n">
        <x:f>P51</x:f>
        <x:v>290671.2275025164</x:v>
      </x:c>
      <x:c r="J52" s="105" t="n">
        <x:f>IF(I52&gt;0,I52*'Your Mortgage'!$C$7/12,0)</x:f>
        <x:v>1574.4691489719642</x:v>
      </x:c>
      <x:c r="K52" s="105" t="n">
        <x:f>IF(I52&gt;0,MIN('Your Mortgage'!$C$11,I52+J52),0)</x:f>
        <x:v>2054.2210763521375</x:v>
      </x:c>
      <x:c r="L52" s="105" t="n">
        <x:f>IF(I52&gt;0,MIN('Your Mortgage'!$F$6,MAX(0,I52+J52-K52)),0)</x:f>
        <x:v>250</x:v>
      </x:c>
      <x:c r="M52" s="105" t="n">
        <x:f>IF(AND(A52='Your Mortgage'!$F$8,I52&gt;0),MIN('Your Mortgage'!$F$7,MAX(0,I52+J52-K52-L52)),0)</x:f>
        <x:v>0</x:v>
      </x:c>
      <x:c r="N52" s="105" t="n">
        <x:f>K52+L52+M52</x:f>
        <x:v>2304.2210763521375</x:v>
      </x:c>
      <x:c r="O52" s="105" t="n">
        <x:f>MAX(0,N52-J52)</x:f>
        <x:v>729.7519273801734</x:v>
      </x:c>
      <x:c r="P52" s="105" t="n">
        <x:f>MAX(0,I52-O52)</x:f>
        <x:v>289941.47557513625</x:v>
      </x:c>
      <x:c r="Q52" s="106" t="n">
        <x:f>X51</x:f>
        <x:v>283659.6229414488</x:v>
      </x:c>
      <x:c r="R52" s="106" t="n">
        <x:f>IF(Q52&gt;0,Q52*'Your Mortgage'!$C$7/12,0)</x:f>
        <x:v>1536.489624266181</x:v>
      </x:c>
      <x:c r="S52" s="106" t="n">
        <x:f>IF(Q52&gt;0,MIN('Your Mortgage'!$C$11,Q52+R52),0)</x:f>
        <x:v>2054.2210763521375</x:v>
      </x:c>
      <x:c r="T52" s="106" t="n">
        <x:f>IF(Q52&gt;0,MIN('Your Mortgage'!$I$6,MAX(0,Q52+R52-S52)),0)</x:f>
        <x:v>500</x:v>
      </x:c>
      <x:c r="U52" s="106" t="n">
        <x:f>IF(AND(A52='Your Mortgage'!$I$8,Q52&gt;0),MIN('Your Mortgage'!$I$7,MAX(0,Q52+R52-S52-T52)),0)</x:f>
        <x:v>0</x:v>
      </x:c>
      <x:c r="V52" s="106" t="n">
        <x:f>S52+T52+U52</x:f>
        <x:v>2554.2210763521375</x:v>
      </x:c>
      <x:c r="W52" s="106" t="n">
        <x:f>MAX(0,V52-R52)</x:f>
        <x:v>1017.7314520859566</x:v>
      </x:c>
      <x:c r="X52" s="106" t="n">
        <x:f>MAX(0,Q52-W52)</x:f>
        <x:v>282641.89148936287</x:v>
      </x:c>
      <x:c r="Y52" s="1"/>
      <x:c r="Z52" s="1"/>
    </x:row>
    <x:row r="53">
      <x:c r="A53" s="100" t="n">
        <x:f>A52+1</x:f>
        <x:v>48</x:v>
      </x:c>
      <x:c r="B53" s="103" t="n">
        <x:f>EDATE(B52,1)</x:f>
        <x:v>47665</x:v>
      </x:c>
      <x:c r="C53" s="104" t="n">
        <x:f>H52</x:f>
        <x:v>309322.33568557265</x:v>
      </x:c>
      <x:c r="D53" s="104" t="n">
        <x:f>IF(C53&gt;0,C53*'Your Mortgage'!$C$7/12,0)</x:f>
        <x:v>1675.4959849635186</x:v>
      </x:c>
      <x:c r="E53" s="104" t="n">
        <x:f>IF(C53&gt;0,MIN('Your Mortgage'!$C$11,C53+D53),0)</x:f>
        <x:v>2054.2210763521375</x:v>
      </x:c>
      <x:c r="F53" s="104" t="n">
        <x:f>E53</x:f>
        <x:v>2054.2210763521375</x:v>
      </x:c>
      <x:c r="G53" s="104" t="n">
        <x:f>MAX(0,F53-D53)</x:f>
        <x:v>378.7250913886189</x:v>
      </x:c>
      <x:c r="H53" s="104" t="n">
        <x:f>MAX(0,C53-G53)</x:f>
        <x:v>308943.610594184</x:v>
      </x:c>
      <x:c r="I53" s="105" t="n">
        <x:f>P52</x:f>
        <x:v>289941.47557513625</x:v>
      </x:c>
      <x:c r="J53" s="105" t="n">
        <x:f>IF(I53&gt;0,I53*'Your Mortgage'!$C$7/12,0)</x:f>
        <x:v>1570.516326031988</x:v>
      </x:c>
      <x:c r="K53" s="105" t="n">
        <x:f>IF(I53&gt;0,MIN('Your Mortgage'!$C$11,I53+J53),0)</x:f>
        <x:v>2054.2210763521375</x:v>
      </x:c>
      <x:c r="L53" s="105" t="n">
        <x:f>IF(I53&gt;0,MIN('Your Mortgage'!$F$6,MAX(0,I53+J53-K53)),0)</x:f>
        <x:v>250</x:v>
      </x:c>
      <x:c r="M53" s="105" t="n">
        <x:f>IF(AND(A53='Your Mortgage'!$F$8,I53&gt;0),MIN('Your Mortgage'!$F$7,MAX(0,I53+J53-K53-L53)),0)</x:f>
        <x:v>0</x:v>
      </x:c>
      <x:c r="N53" s="105" t="n">
        <x:f>K53+L53+M53</x:f>
        <x:v>2304.2210763521375</x:v>
      </x:c>
      <x:c r="O53" s="105" t="n">
        <x:f>MAX(0,N53-J53)</x:f>
        <x:v>733.7047503201495</x:v>
      </x:c>
      <x:c r="P53" s="105" t="n">
        <x:f>MAX(0,I53-O53)</x:f>
        <x:v>289207.7708248161</x:v>
      </x:c>
      <x:c r="Q53" s="106" t="n">
        <x:f>X52</x:f>
        <x:v>282641.89148936287</x:v>
      </x:c>
      <x:c r="R53" s="106" t="n">
        <x:f>IF(Q53&gt;0,Q53*'Your Mortgage'!$C$7/12,0)</x:f>
        <x:v>1530.9769122340488</x:v>
      </x:c>
      <x:c r="S53" s="106" t="n">
        <x:f>IF(Q53&gt;0,MIN('Your Mortgage'!$C$11,Q53+R53),0)</x:f>
        <x:v>2054.2210763521375</x:v>
      </x:c>
      <x:c r="T53" s="106" t="n">
        <x:f>IF(Q53&gt;0,MIN('Your Mortgage'!$I$6,MAX(0,Q53+R53-S53)),0)</x:f>
        <x:v>500</x:v>
      </x:c>
      <x:c r="U53" s="106" t="n">
        <x:f>IF(AND(A53='Your Mortgage'!$I$8,Q53&gt;0),MIN('Your Mortgage'!$I$7,MAX(0,Q53+R53-S53-T53)),0)</x:f>
        <x:v>0</x:v>
      </x:c>
      <x:c r="V53" s="106" t="n">
        <x:f>S53+T53+U53</x:f>
        <x:v>2554.2210763521375</x:v>
      </x:c>
      <x:c r="W53" s="106" t="n">
        <x:f>MAX(0,V53-R53)</x:f>
        <x:v>1023.2441641180887</x:v>
      </x:c>
      <x:c r="X53" s="106" t="n">
        <x:f>MAX(0,Q53-W53)</x:f>
        <x:v>281618.6473252448</x:v>
      </x:c>
      <x:c r="Y53" s="1"/>
      <x:c r="Z53" s="1"/>
    </x:row>
    <x:row r="54">
      <x:c r="A54" s="100" t="n">
        <x:f>A53+1</x:f>
        <x:v>49</x:v>
      </x:c>
      <x:c r="B54" s="103" t="n">
        <x:f>EDATE(B53,1)</x:f>
        <x:v>47696</x:v>
      </x:c>
      <x:c r="C54" s="104" t="n">
        <x:f>H53</x:f>
        <x:v>308943.610594184</x:v>
      </x:c>
      <x:c r="D54" s="104" t="n">
        <x:f>IF(C54&gt;0,C54*'Your Mortgage'!$C$7/12,0)</x:f>
        <x:v>1673.4445573851635</x:v>
      </x:c>
      <x:c r="E54" s="104" t="n">
        <x:f>IF(C54&gt;0,MIN('Your Mortgage'!$C$11,C54+D54),0)</x:f>
        <x:v>2054.2210763521375</x:v>
      </x:c>
      <x:c r="F54" s="104" t="n">
        <x:f>E54</x:f>
        <x:v>2054.2210763521375</x:v>
      </x:c>
      <x:c r="G54" s="104" t="n">
        <x:f>MAX(0,F54-D54)</x:f>
        <x:v>380.776518966974</x:v>
      </x:c>
      <x:c r="H54" s="104" t="n">
        <x:f>MAX(0,C54-G54)</x:f>
        <x:v>308562.834075217</x:v>
      </x:c>
      <x:c r="I54" s="105" t="n">
        <x:f>P53</x:f>
        <x:v>289207.7708248161</x:v>
      </x:c>
      <x:c r="J54" s="105" t="n">
        <x:f>IF(I54&gt;0,I54*'Your Mortgage'!$C$7/12,0)</x:f>
        <x:v>1566.5420919677538</x:v>
      </x:c>
      <x:c r="K54" s="105" t="n">
        <x:f>IF(I54&gt;0,MIN('Your Mortgage'!$C$11,I54+J54),0)</x:f>
        <x:v>2054.2210763521375</x:v>
      </x:c>
      <x:c r="L54" s="105" t="n">
        <x:f>IF(I54&gt;0,MIN('Your Mortgage'!$F$6,MAX(0,I54+J54-K54)),0)</x:f>
        <x:v>250</x:v>
      </x:c>
      <x:c r="M54" s="105" t="n">
        <x:f>IF(AND(A54='Your Mortgage'!$F$8,I54&gt;0),MIN('Your Mortgage'!$F$7,MAX(0,I54+J54-K54-L54)),0)</x:f>
        <x:v>0</x:v>
      </x:c>
      <x:c r="N54" s="105" t="n">
        <x:f>K54+L54+M54</x:f>
        <x:v>2304.2210763521375</x:v>
      </x:c>
      <x:c r="O54" s="105" t="n">
        <x:f>MAX(0,N54-J54)</x:f>
        <x:v>737.6789843843837</x:v>
      </x:c>
      <x:c r="P54" s="105" t="n">
        <x:f>MAX(0,I54-O54)</x:f>
        <x:v>288470.0918404317</x:v>
      </x:c>
      <x:c r="Q54" s="106" t="n">
        <x:f>X53</x:f>
        <x:v>281618.6473252448</x:v>
      </x:c>
      <x:c r="R54" s="106" t="n">
        <x:f>IF(Q54&gt;0,Q54*'Your Mortgage'!$C$7/12,0)</x:f>
        <x:v>1525.4343396784095</x:v>
      </x:c>
      <x:c r="S54" s="106" t="n">
        <x:f>IF(Q54&gt;0,MIN('Your Mortgage'!$C$11,Q54+R54),0)</x:f>
        <x:v>2054.2210763521375</x:v>
      </x:c>
      <x:c r="T54" s="106" t="n">
        <x:f>IF(Q54&gt;0,MIN('Your Mortgage'!$I$6,MAX(0,Q54+R54-S54)),0)</x:f>
        <x:v>500</x:v>
      </x:c>
      <x:c r="U54" s="106" t="n">
        <x:f>IF(AND(A54='Your Mortgage'!$I$8,Q54&gt;0),MIN('Your Mortgage'!$I$7,MAX(0,Q54+R54-S54-T54)),0)</x:f>
        <x:v>0</x:v>
      </x:c>
      <x:c r="V54" s="106" t="n">
        <x:f>S54+T54+U54</x:f>
        <x:v>2554.2210763521375</x:v>
      </x:c>
      <x:c r="W54" s="106" t="n">
        <x:f>MAX(0,V54-R54)</x:f>
        <x:v>1028.786736673728</x:v>
      </x:c>
      <x:c r="X54" s="106" t="n">
        <x:f>MAX(0,Q54-W54)</x:f>
        <x:v>280589.86058857106</x:v>
      </x:c>
      <x:c r="Y54" s="1"/>
      <x:c r="Z54" s="1"/>
    </x:row>
    <x:row r="55">
      <x:c r="A55" s="100" t="n">
        <x:f>A54+1</x:f>
        <x:v>50</x:v>
      </x:c>
      <x:c r="B55" s="103" t="n">
        <x:f>EDATE(B54,1)</x:f>
        <x:v>47727</x:v>
      </x:c>
      <x:c r="C55" s="104" t="n">
        <x:f>H54</x:f>
        <x:v>308562.834075217</x:v>
      </x:c>
      <x:c r="D55" s="104" t="n">
        <x:f>IF(C55&gt;0,C55*'Your Mortgage'!$C$7/12,0)</x:f>
        <x:v>1671.3820179074255</x:v>
      </x:c>
      <x:c r="E55" s="104" t="n">
        <x:f>IF(C55&gt;0,MIN('Your Mortgage'!$C$11,C55+D55),0)</x:f>
        <x:v>2054.2210763521375</x:v>
      </x:c>
      <x:c r="F55" s="104" t="n">
        <x:f>E55</x:f>
        <x:v>2054.2210763521375</x:v>
      </x:c>
      <x:c r="G55" s="104" t="n">
        <x:f>MAX(0,F55-D55)</x:f>
        <x:v>382.839058444712</x:v>
      </x:c>
      <x:c r="H55" s="104" t="n">
        <x:f>MAX(0,C55-G55)</x:f>
        <x:v>308179.9950167723</x:v>
      </x:c>
      <x:c r="I55" s="105" t="n">
        <x:f>P54</x:f>
        <x:v>288470.0918404317</x:v>
      </x:c>
      <x:c r="J55" s="105" t="n">
        <x:f>IF(I55&gt;0,I55*'Your Mortgage'!$C$7/12,0)</x:f>
        <x:v>1562.5463308023382</x:v>
      </x:c>
      <x:c r="K55" s="105" t="n">
        <x:f>IF(I55&gt;0,MIN('Your Mortgage'!$C$11,I55+J55),0)</x:f>
        <x:v>2054.2210763521375</x:v>
      </x:c>
      <x:c r="L55" s="105" t="n">
        <x:f>IF(I55&gt;0,MIN('Your Mortgage'!$F$6,MAX(0,I55+J55-K55)),0)</x:f>
        <x:v>250</x:v>
      </x:c>
      <x:c r="M55" s="105" t="n">
        <x:f>IF(AND(A55='Your Mortgage'!$F$8,I55&gt;0),MIN('Your Mortgage'!$F$7,MAX(0,I55+J55-K55-L55)),0)</x:f>
        <x:v>0</x:v>
      </x:c>
      <x:c r="N55" s="105" t="n">
        <x:f>K55+L55+M55</x:f>
        <x:v>2304.2210763521375</x:v>
      </x:c>
      <x:c r="O55" s="105" t="n">
        <x:f>MAX(0,N55-J55)</x:f>
        <x:v>741.6747455497994</x:v>
      </x:c>
      <x:c r="P55" s="105" t="n">
        <x:f>MAX(0,I55-O55)</x:f>
        <x:v>287728.4170948819</x:v>
      </x:c>
      <x:c r="Q55" s="106" t="n">
        <x:f>X54</x:f>
        <x:v>280589.86058857106</x:v>
      </x:c>
      <x:c r="R55" s="106" t="n">
        <x:f>IF(Q55&gt;0,Q55*'Your Mortgage'!$C$7/12,0)</x:f>
        <x:v>1519.86174485476</x:v>
      </x:c>
      <x:c r="S55" s="106" t="n">
        <x:f>IF(Q55&gt;0,MIN('Your Mortgage'!$C$11,Q55+R55),0)</x:f>
        <x:v>2054.2210763521375</x:v>
      </x:c>
      <x:c r="T55" s="106" t="n">
        <x:f>IF(Q55&gt;0,MIN('Your Mortgage'!$I$6,MAX(0,Q55+R55-S55)),0)</x:f>
        <x:v>500</x:v>
      </x:c>
      <x:c r="U55" s="106" t="n">
        <x:f>IF(AND(A55='Your Mortgage'!$I$8,Q55&gt;0),MIN('Your Mortgage'!$I$7,MAX(0,Q55+R55-S55-T55)),0)</x:f>
        <x:v>0</x:v>
      </x:c>
      <x:c r="V55" s="106" t="n">
        <x:f>S55+T55+U55</x:f>
        <x:v>2554.2210763521375</x:v>
      </x:c>
      <x:c r="W55" s="106" t="n">
        <x:f>MAX(0,V55-R55)</x:f>
        <x:v>1034.3593314973775</x:v>
      </x:c>
      <x:c r="X55" s="106" t="n">
        <x:f>MAX(0,Q55-W55)</x:f>
        <x:v>279555.50125707366</x:v>
      </x:c>
      <x:c r="Y55" s="1"/>
      <x:c r="Z55" s="1"/>
    </x:row>
    <x:row r="56">
      <x:c r="A56" s="100" t="n">
        <x:f>A55+1</x:f>
        <x:v>51</x:v>
      </x:c>
      <x:c r="B56" s="103" t="n">
        <x:f>EDATE(B55,1)</x:f>
        <x:v>47757</x:v>
      </x:c>
      <x:c r="C56" s="104" t="n">
        <x:f>H55</x:f>
        <x:v>308179.9950167723</x:v>
      </x:c>
      <x:c r="D56" s="104" t="n">
        <x:f>IF(C56&gt;0,C56*'Your Mortgage'!$C$7/12,0)</x:f>
        <x:v>1669.30830634085</x:v>
      </x:c>
      <x:c r="E56" s="104" t="n">
        <x:f>IF(C56&gt;0,MIN('Your Mortgage'!$C$11,C56+D56),0)</x:f>
        <x:v>2054.2210763521375</x:v>
      </x:c>
      <x:c r="F56" s="104" t="n">
        <x:f>E56</x:f>
        <x:v>2054.2210763521375</x:v>
      </x:c>
      <x:c r="G56" s="104" t="n">
        <x:f>MAX(0,F56-D56)</x:f>
        <x:v>384.9127700112874</x:v>
      </x:c>
      <x:c r="H56" s="104" t="n">
        <x:f>MAX(0,C56-G56)</x:f>
        <x:v>307795.082246761</x:v>
      </x:c>
      <x:c r="I56" s="105" t="n">
        <x:f>P55</x:f>
        <x:v>287728.4170948819</x:v>
      </x:c>
      <x:c r="J56" s="105" t="n">
        <x:f>IF(I56&gt;0,I56*'Your Mortgage'!$C$7/12,0)</x:f>
        <x:v>1558.5289259306103</x:v>
      </x:c>
      <x:c r="K56" s="105" t="n">
        <x:f>IF(I56&gt;0,MIN('Your Mortgage'!$C$11,I56+J56),0)</x:f>
        <x:v>2054.2210763521375</x:v>
      </x:c>
      <x:c r="L56" s="105" t="n">
        <x:f>IF(I56&gt;0,MIN('Your Mortgage'!$F$6,MAX(0,I56+J56-K56)),0)</x:f>
        <x:v>250</x:v>
      </x:c>
      <x:c r="M56" s="105" t="n">
        <x:f>IF(AND(A56='Your Mortgage'!$F$8,I56&gt;0),MIN('Your Mortgage'!$F$7,MAX(0,I56+J56-K56-L56)),0)</x:f>
        <x:v>0</x:v>
      </x:c>
      <x:c r="N56" s="105" t="n">
        <x:f>K56+L56+M56</x:f>
        <x:v>2304.2210763521375</x:v>
      </x:c>
      <x:c r="O56" s="105" t="n">
        <x:f>MAX(0,N56-J56)</x:f>
        <x:v>745.6921504215272</x:v>
      </x:c>
      <x:c r="P56" s="105" t="n">
        <x:f>MAX(0,I56-O56)</x:f>
        <x:v>286982.7249444604</x:v>
      </x:c>
      <x:c r="Q56" s="106" t="n">
        <x:f>X55</x:f>
        <x:v>279555.50125707366</x:v>
      </x:c>
      <x:c r="R56" s="106" t="n">
        <x:f>IF(Q56&gt;0,Q56*'Your Mortgage'!$C$7/12,0)</x:f>
        <x:v>1514.2589651424823</x:v>
      </x:c>
      <x:c r="S56" s="106" t="n">
        <x:f>IF(Q56&gt;0,MIN('Your Mortgage'!$C$11,Q56+R56),0)</x:f>
        <x:v>2054.2210763521375</x:v>
      </x:c>
      <x:c r="T56" s="106" t="n">
        <x:f>IF(Q56&gt;0,MIN('Your Mortgage'!$I$6,MAX(0,Q56+R56-S56)),0)</x:f>
        <x:v>500</x:v>
      </x:c>
      <x:c r="U56" s="106" t="n">
        <x:f>IF(AND(A56='Your Mortgage'!$I$8,Q56&gt;0),MIN('Your Mortgage'!$I$7,MAX(0,Q56+R56-S56-T56)),0)</x:f>
        <x:v>0</x:v>
      </x:c>
      <x:c r="V56" s="106" t="n">
        <x:f>S56+T56+U56</x:f>
        <x:v>2554.2210763521375</x:v>
      </x:c>
      <x:c r="W56" s="106" t="n">
        <x:f>MAX(0,V56-R56)</x:f>
        <x:v>1039.9621112096552</x:v>
      </x:c>
      <x:c r="X56" s="106" t="n">
        <x:f>MAX(0,Q56-W56)</x:f>
        <x:v>278515.539145864</x:v>
      </x:c>
      <x:c r="Y56" s="1"/>
      <x:c r="Z56" s="1"/>
    </x:row>
    <x:row r="57">
      <x:c r="A57" s="100" t="n">
        <x:f>A56+1</x:f>
        <x:v>52</x:v>
      </x:c>
      <x:c r="B57" s="103" t="n">
        <x:f>EDATE(B56,1)</x:f>
        <x:v>47788</x:v>
      </x:c>
      <x:c r="C57" s="104" t="n">
        <x:f>H56</x:f>
        <x:v>307795.082246761</x:v>
      </x:c>
      <x:c r="D57" s="104" t="n">
        <x:f>IF(C57&gt;0,C57*'Your Mortgage'!$C$7/12,0)</x:f>
        <x:v>1667.2233621699554</x:v>
      </x:c>
      <x:c r="E57" s="104" t="n">
        <x:f>IF(C57&gt;0,MIN('Your Mortgage'!$C$11,C57+D57),0)</x:f>
        <x:v>2054.2210763521375</x:v>
      </x:c>
      <x:c r="F57" s="104" t="n">
        <x:f>E57</x:f>
        <x:v>2054.2210763521375</x:v>
      </x:c>
      <x:c r="G57" s="104" t="n">
        <x:f>MAX(0,F57-D57)</x:f>
        <x:v>386.9977141821821</x:v>
      </x:c>
      <x:c r="H57" s="104" t="n">
        <x:f>MAX(0,C57-G57)</x:f>
        <x:v>307408.0845325788</x:v>
      </x:c>
      <x:c r="I57" s="105" t="n">
        <x:f>P56</x:f>
        <x:v>286982.7249444604</x:v>
      </x:c>
      <x:c r="J57" s="105" t="n">
        <x:f>IF(I57&gt;0,I57*'Your Mortgage'!$C$7/12,0)</x:f>
        <x:v>1554.489760115827</x:v>
      </x:c>
      <x:c r="K57" s="105" t="n">
        <x:f>IF(I57&gt;0,MIN('Your Mortgage'!$C$11,I57+J57),0)</x:f>
        <x:v>2054.2210763521375</x:v>
      </x:c>
      <x:c r="L57" s="105" t="n">
        <x:f>IF(I57&gt;0,MIN('Your Mortgage'!$F$6,MAX(0,I57+J57-K57)),0)</x:f>
        <x:v>250</x:v>
      </x:c>
      <x:c r="M57" s="105" t="n">
        <x:f>IF(AND(A57='Your Mortgage'!$F$8,I57&gt;0),MIN('Your Mortgage'!$F$7,MAX(0,I57+J57-K57-L57)),0)</x:f>
        <x:v>0</x:v>
      </x:c>
      <x:c r="N57" s="105" t="n">
        <x:f>K57+L57+M57</x:f>
        <x:v>2304.2210763521375</x:v>
      </x:c>
      <x:c r="O57" s="105" t="n">
        <x:f>MAX(0,N57-J57)</x:f>
        <x:v>749.7313162363105</x:v>
      </x:c>
      <x:c r="P57" s="105" t="n">
        <x:f>MAX(0,I57-O57)</x:f>
        <x:v>286232.99362822407</x:v>
      </x:c>
      <x:c r="Q57" s="106" t="n">
        <x:f>X56</x:f>
        <x:v>278515.539145864</x:v>
      </x:c>
      <x:c r="R57" s="106" t="n">
        <x:f>IF(Q57&gt;0,Q57*'Your Mortgage'!$C$7/12,0)</x:f>
        <x:v>1508.6258370400967</x:v>
      </x:c>
      <x:c r="S57" s="106" t="n">
        <x:f>IF(Q57&gt;0,MIN('Your Mortgage'!$C$11,Q57+R57),0)</x:f>
        <x:v>2054.2210763521375</x:v>
      </x:c>
      <x:c r="T57" s="106" t="n">
        <x:f>IF(Q57&gt;0,MIN('Your Mortgage'!$I$6,MAX(0,Q57+R57-S57)),0)</x:f>
        <x:v>500</x:v>
      </x:c>
      <x:c r="U57" s="106" t="n">
        <x:f>IF(AND(A57='Your Mortgage'!$I$8,Q57&gt;0),MIN('Your Mortgage'!$I$7,MAX(0,Q57+R57-S57-T57)),0)</x:f>
        <x:v>0</x:v>
      </x:c>
      <x:c r="V57" s="106" t="n">
        <x:f>S57+T57+U57</x:f>
        <x:v>2554.2210763521375</x:v>
      </x:c>
      <x:c r="W57" s="106" t="n">
        <x:f>MAX(0,V57-R57)</x:f>
        <x:v>1045.5952393120408</x:v>
      </x:c>
      <x:c r="X57" s="106" t="n">
        <x:f>MAX(0,Q57-W57)</x:f>
        <x:v>277469.943906552</x:v>
      </x:c>
      <x:c r="Y57" s="1"/>
      <x:c r="Z57" s="1"/>
    </x:row>
    <x:row r="58">
      <x:c r="A58" s="100" t="n">
        <x:f>A57+1</x:f>
        <x:v>53</x:v>
      </x:c>
      <x:c r="B58" s="103" t="n">
        <x:f>EDATE(B57,1)</x:f>
        <x:v>47818</x:v>
      </x:c>
      <x:c r="C58" s="104" t="n">
        <x:f>H57</x:f>
        <x:v>307408.0845325788</x:v>
      </x:c>
      <x:c r="D58" s="104" t="n">
        <x:f>IF(C58&gt;0,C58*'Your Mortgage'!$C$7/12,0)</x:f>
        <x:v>1665.1271245514688</x:v>
      </x:c>
      <x:c r="E58" s="104" t="n">
        <x:f>IF(C58&gt;0,MIN('Your Mortgage'!$C$11,C58+D58),0)</x:f>
        <x:v>2054.2210763521375</x:v>
      </x:c>
      <x:c r="F58" s="104" t="n">
        <x:f>E58</x:f>
        <x:v>2054.2210763521375</x:v>
      </x:c>
      <x:c r="G58" s="104" t="n">
        <x:f>MAX(0,F58-D58)</x:f>
        <x:v>389.0939518006687</x:v>
      </x:c>
      <x:c r="H58" s="104" t="n">
        <x:f>MAX(0,C58-G58)</x:f>
        <x:v>307018.99058077816</x:v>
      </x:c>
      <x:c r="I58" s="105" t="n">
        <x:f>P57</x:f>
        <x:v>286232.99362822407</x:v>
      </x:c>
      <x:c r="J58" s="105" t="n">
        <x:f>IF(I58&gt;0,I58*'Your Mortgage'!$C$7/12,0)</x:f>
        <x:v>1550.4287154862138</x:v>
      </x:c>
      <x:c r="K58" s="105" t="n">
        <x:f>IF(I58&gt;0,MIN('Your Mortgage'!$C$11,I58+J58),0)</x:f>
        <x:v>2054.2210763521375</x:v>
      </x:c>
      <x:c r="L58" s="105" t="n">
        <x:f>IF(I58&gt;0,MIN('Your Mortgage'!$F$6,MAX(0,I58+J58-K58)),0)</x:f>
        <x:v>250</x:v>
      </x:c>
      <x:c r="M58" s="105" t="n">
        <x:f>IF(AND(A58='Your Mortgage'!$F$8,I58&gt;0),MIN('Your Mortgage'!$F$7,MAX(0,I58+J58-K58-L58)),0)</x:f>
        <x:v>0</x:v>
      </x:c>
      <x:c r="N58" s="105" t="n">
        <x:f>K58+L58+M58</x:f>
        <x:v>2304.2210763521375</x:v>
      </x:c>
      <x:c r="O58" s="105" t="n">
        <x:f>MAX(0,N58-J58)</x:f>
        <x:v>753.7923608659237</x:v>
      </x:c>
      <x:c r="P58" s="105" t="n">
        <x:f>MAX(0,I58-O58)</x:f>
        <x:v>285479.20126735815</x:v>
      </x:c>
      <x:c r="Q58" s="106" t="n">
        <x:f>X57</x:f>
        <x:v>277469.943906552</x:v>
      </x:c>
      <x:c r="R58" s="106" t="n">
        <x:f>IF(Q58&gt;0,Q58*'Your Mortgage'!$C$7/12,0)</x:f>
        <x:v>1502.9621961604898</x:v>
      </x:c>
      <x:c r="S58" s="106" t="n">
        <x:f>IF(Q58&gt;0,MIN('Your Mortgage'!$C$11,Q58+R58),0)</x:f>
        <x:v>2054.2210763521375</x:v>
      </x:c>
      <x:c r="T58" s="106" t="n">
        <x:f>IF(Q58&gt;0,MIN('Your Mortgage'!$I$6,MAX(0,Q58+R58-S58)),0)</x:f>
        <x:v>500</x:v>
      </x:c>
      <x:c r="U58" s="106" t="n">
        <x:f>IF(AND(A58='Your Mortgage'!$I$8,Q58&gt;0),MIN('Your Mortgage'!$I$7,MAX(0,Q58+R58-S58-T58)),0)</x:f>
        <x:v>0</x:v>
      </x:c>
      <x:c r="V58" s="106" t="n">
        <x:f>S58+T58+U58</x:f>
        <x:v>2554.2210763521375</x:v>
      </x:c>
      <x:c r="W58" s="106" t="n">
        <x:f>MAX(0,V58-R58)</x:f>
        <x:v>1051.2588801916477</x:v>
      </x:c>
      <x:c r="X58" s="106" t="n">
        <x:f>MAX(0,Q58-W58)</x:f>
        <x:v>276418.6850263603</x:v>
      </x:c>
      <x:c r="Y58" s="1"/>
      <x:c r="Z58" s="1"/>
    </x:row>
    <x:row r="59">
      <x:c r="A59" s="100" t="n">
        <x:f>A58+1</x:f>
        <x:v>54</x:v>
      </x:c>
      <x:c r="B59" s="103" t="n">
        <x:f>EDATE(B58,1)</x:f>
        <x:v>47849</x:v>
      </x:c>
      <x:c r="C59" s="104" t="n">
        <x:f>H58</x:f>
        <x:v>307018.99058077816</x:v>
      </x:c>
      <x:c r="D59" s="104" t="n">
        <x:f>IF(C59&gt;0,C59*'Your Mortgage'!$C$7/12,0)</x:f>
        <x:v>1663.0195323125483</x:v>
      </x:c>
      <x:c r="E59" s="104" t="n">
        <x:f>IF(C59&gt;0,MIN('Your Mortgage'!$C$11,C59+D59),0)</x:f>
        <x:v>2054.2210763521375</x:v>
      </x:c>
      <x:c r="F59" s="104" t="n">
        <x:f>E59</x:f>
        <x:v>2054.2210763521375</x:v>
      </x:c>
      <x:c r="G59" s="104" t="n">
        <x:f>MAX(0,F59-D59)</x:f>
        <x:v>391.2015440395892</x:v>
      </x:c>
      <x:c r="H59" s="104" t="n">
        <x:f>MAX(0,C59-G59)</x:f>
        <x:v>306627.78903673857</x:v>
      </x:c>
      <x:c r="I59" s="105" t="n">
        <x:f>P58</x:f>
        <x:v>285479.20126735815</x:v>
      </x:c>
      <x:c r="J59" s="105" t="n">
        <x:f>IF(I59&gt;0,I59*'Your Mortgage'!$C$7/12,0)</x:f>
        <x:v>1546.3456735315233</x:v>
      </x:c>
      <x:c r="K59" s="105" t="n">
        <x:f>IF(I59&gt;0,MIN('Your Mortgage'!$C$11,I59+J59),0)</x:f>
        <x:v>2054.2210763521375</x:v>
      </x:c>
      <x:c r="L59" s="105" t="n">
        <x:f>IF(I59&gt;0,MIN('Your Mortgage'!$F$6,MAX(0,I59+J59-K59)),0)</x:f>
        <x:v>250</x:v>
      </x:c>
      <x:c r="M59" s="105" t="n">
        <x:f>IF(AND(A59='Your Mortgage'!$F$8,I59&gt;0),MIN('Your Mortgage'!$F$7,MAX(0,I59+J59-K59-L59)),0)</x:f>
        <x:v>0</x:v>
      </x:c>
      <x:c r="N59" s="105" t="n">
        <x:f>K59+L59+M59</x:f>
        <x:v>2304.2210763521375</x:v>
      </x:c>
      <x:c r="O59" s="105" t="n">
        <x:f>MAX(0,N59-J59)</x:f>
        <x:v>757.8754028206142</x:v>
      </x:c>
      <x:c r="P59" s="105" t="n">
        <x:f>MAX(0,I59-O59)</x:f>
        <x:v>284721.32586453756</x:v>
      </x:c>
      <x:c r="Q59" s="106" t="n">
        <x:f>X58</x:f>
        <x:v>276418.6850263603</x:v>
      </x:c>
      <x:c r="R59" s="106" t="n">
        <x:f>IF(Q59&gt;0,Q59*'Your Mortgage'!$C$7/12,0)</x:f>
        <x:v>1497.2678772261186</x:v>
      </x:c>
      <x:c r="S59" s="106" t="n">
        <x:f>IF(Q59&gt;0,MIN('Your Mortgage'!$C$11,Q59+R59),0)</x:f>
        <x:v>2054.2210763521375</x:v>
      </x:c>
      <x:c r="T59" s="106" t="n">
        <x:f>IF(Q59&gt;0,MIN('Your Mortgage'!$I$6,MAX(0,Q59+R59-S59)),0)</x:f>
        <x:v>500</x:v>
      </x:c>
      <x:c r="U59" s="106" t="n">
        <x:f>IF(AND(A59='Your Mortgage'!$I$8,Q59&gt;0),MIN('Your Mortgage'!$I$7,MAX(0,Q59+R59-S59-T59)),0)</x:f>
        <x:v>0</x:v>
      </x:c>
      <x:c r="V59" s="106" t="n">
        <x:f>S59+T59+U59</x:f>
        <x:v>2554.2210763521375</x:v>
      </x:c>
      <x:c r="W59" s="106" t="n">
        <x:f>MAX(0,V59-R59)</x:f>
        <x:v>1056.953199126019</x:v>
      </x:c>
      <x:c r="X59" s="106" t="n">
        <x:f>MAX(0,Q59-W59)</x:f>
        <x:v>275361.7318272343</x:v>
      </x:c>
      <x:c r="Y59" s="1"/>
      <x:c r="Z59" s="1"/>
    </x:row>
    <x:row r="60">
      <x:c r="A60" s="100" t="n">
        <x:f>A59+1</x:f>
        <x:v>55</x:v>
      </x:c>
      <x:c r="B60" s="103" t="n">
        <x:f>EDATE(B59,1)</x:f>
        <x:v>47880</x:v>
      </x:c>
      <x:c r="C60" s="104" t="n">
        <x:f>H59</x:f>
        <x:v>306627.78903673857</x:v>
      </x:c>
      <x:c r="D60" s="104" t="n">
        <x:f>IF(C60&gt;0,C60*'Your Mortgage'!$C$7/12,0)</x:f>
        <x:v>1660.9005239490007</x:v>
      </x:c>
      <x:c r="E60" s="104" t="n">
        <x:f>IF(C60&gt;0,MIN('Your Mortgage'!$C$11,C60+D60),0)</x:f>
        <x:v>2054.2210763521375</x:v>
      </x:c>
      <x:c r="F60" s="104" t="n">
        <x:f>E60</x:f>
        <x:v>2054.2210763521375</x:v>
      </x:c>
      <x:c r="G60" s="104" t="n">
        <x:f>MAX(0,F60-D60)</x:f>
        <x:v>393.32055240313684</x:v>
      </x:c>
      <x:c r="H60" s="104" t="n">
        <x:f>MAX(0,C60-G60)</x:f>
        <x:v>306234.4684843354</x:v>
      </x:c>
      <x:c r="I60" s="105" t="n">
        <x:f>P59</x:f>
        <x:v>284721.32586453756</x:v>
      </x:c>
      <x:c r="J60" s="105" t="n">
        <x:f>IF(I60&gt;0,I60*'Your Mortgage'!$C$7/12,0)</x:f>
        <x:v>1542.2405150995785</x:v>
      </x:c>
      <x:c r="K60" s="105" t="n">
        <x:f>IF(I60&gt;0,MIN('Your Mortgage'!$C$11,I60+J60),0)</x:f>
        <x:v>2054.2210763521375</x:v>
      </x:c>
      <x:c r="L60" s="105" t="n">
        <x:f>IF(I60&gt;0,MIN('Your Mortgage'!$F$6,MAX(0,I60+J60-K60)),0)</x:f>
        <x:v>250</x:v>
      </x:c>
      <x:c r="M60" s="105" t="n">
        <x:f>IF(AND(A60='Your Mortgage'!$F$8,I60&gt;0),MIN('Your Mortgage'!$F$7,MAX(0,I60+J60-K60-L60)),0)</x:f>
        <x:v>0</x:v>
      </x:c>
      <x:c r="N60" s="105" t="n">
        <x:f>K60+L60+M60</x:f>
        <x:v>2304.2210763521375</x:v>
      </x:c>
      <x:c r="O60" s="105" t="n">
        <x:f>MAX(0,N60-J60)</x:f>
        <x:v>761.980561252559</x:v>
      </x:c>
      <x:c r="P60" s="105" t="n">
        <x:f>MAX(0,I60-O60)</x:f>
        <x:v>283959.345303285</x:v>
      </x:c>
      <x:c r="Q60" s="106" t="n">
        <x:f>X59</x:f>
        <x:v>275361.7318272343</x:v>
      </x:c>
      <x:c r="R60" s="106" t="n">
        <x:f>IF(Q60&gt;0,Q60*'Your Mortgage'!$C$7/12,0)</x:f>
        <x:v>1491.542714064186</x:v>
      </x:c>
      <x:c r="S60" s="106" t="n">
        <x:f>IF(Q60&gt;0,MIN('Your Mortgage'!$C$11,Q60+R60),0)</x:f>
        <x:v>2054.2210763521375</x:v>
      </x:c>
      <x:c r="T60" s="106" t="n">
        <x:f>IF(Q60&gt;0,MIN('Your Mortgage'!$I$6,MAX(0,Q60+R60-S60)),0)</x:f>
        <x:v>500</x:v>
      </x:c>
      <x:c r="U60" s="106" t="n">
        <x:f>IF(AND(A60='Your Mortgage'!$I$8,Q60&gt;0),MIN('Your Mortgage'!$I$7,MAX(0,Q60+R60-S60-T60)),0)</x:f>
        <x:v>0</x:v>
      </x:c>
      <x:c r="V60" s="106" t="n">
        <x:f>S60+T60+U60</x:f>
        <x:v>2554.2210763521375</x:v>
      </x:c>
      <x:c r="W60" s="106" t="n">
        <x:f>MAX(0,V60-R60)</x:f>
        <x:v>1062.6783622879516</x:v>
      </x:c>
      <x:c r="X60" s="106" t="n">
        <x:f>MAX(0,Q60-W60)</x:f>
        <x:v>274299.0534649464</x:v>
      </x:c>
      <x:c r="Y60" s="1"/>
      <x:c r="Z60" s="1"/>
    </x:row>
    <x:row r="61">
      <x:c r="A61" s="100" t="n">
        <x:f>A60+1</x:f>
        <x:v>56</x:v>
      </x:c>
      <x:c r="B61" s="103" t="n">
        <x:f>EDATE(B60,1)</x:f>
        <x:v>47908</x:v>
      </x:c>
      <x:c r="C61" s="104" t="n">
        <x:f>H60</x:f>
        <x:v>306234.4684843354</x:v>
      </x:c>
      <x:c r="D61" s="104" t="n">
        <x:f>IF(C61&gt;0,C61*'Your Mortgage'!$C$7/12,0)</x:f>
        <x:v>1658.7700376234834</x:v>
      </x:c>
      <x:c r="E61" s="104" t="n">
        <x:f>IF(C61&gt;0,MIN('Your Mortgage'!$C$11,C61+D61),0)</x:f>
        <x:v>2054.2210763521375</x:v>
      </x:c>
      <x:c r="F61" s="104" t="n">
        <x:f>E61</x:f>
        <x:v>2054.2210763521375</x:v>
      </x:c>
      <x:c r="G61" s="104" t="n">
        <x:f>MAX(0,F61-D61)</x:f>
        <x:v>395.4510387286541</x:v>
      </x:c>
      <x:c r="H61" s="104" t="n">
        <x:f>MAX(0,C61-G61)</x:f>
        <x:v>305839.01744560676</x:v>
      </x:c>
      <x:c r="I61" s="105" t="n">
        <x:f>P60</x:f>
        <x:v>283959.345303285</x:v>
      </x:c>
      <x:c r="J61" s="105" t="n">
        <x:f>IF(I61&gt;0,I61*'Your Mortgage'!$C$7/12,0)</x:f>
        <x:v>1538.1131203927937</x:v>
      </x:c>
      <x:c r="K61" s="105" t="n">
        <x:f>IF(I61&gt;0,MIN('Your Mortgage'!$C$11,I61+J61),0)</x:f>
        <x:v>2054.2210763521375</x:v>
      </x:c>
      <x:c r="L61" s="105" t="n">
        <x:f>IF(I61&gt;0,MIN('Your Mortgage'!$F$6,MAX(0,I61+J61-K61)),0)</x:f>
        <x:v>250</x:v>
      </x:c>
      <x:c r="M61" s="105" t="n">
        <x:f>IF(AND(A61='Your Mortgage'!$F$8,I61&gt;0),MIN('Your Mortgage'!$F$7,MAX(0,I61+J61-K61-L61)),0)</x:f>
        <x:v>0</x:v>
      </x:c>
      <x:c r="N61" s="105" t="n">
        <x:f>K61+L61+M61</x:f>
        <x:v>2304.2210763521375</x:v>
      </x:c>
      <x:c r="O61" s="105" t="n">
        <x:f>MAX(0,N61-J61)</x:f>
        <x:v>766.1079559593438</x:v>
      </x:c>
      <x:c r="P61" s="105" t="n">
        <x:f>MAX(0,I61-O61)</x:f>
        <x:v>283193.23734732566</x:v>
      </x:c>
      <x:c r="Q61" s="106" t="n">
        <x:f>X60</x:f>
        <x:v>274299.0534649464</x:v>
      </x:c>
      <x:c r="R61" s="106" t="n">
        <x:f>IF(Q61&gt;0,Q61*'Your Mortgage'!$C$7/12,0)</x:f>
        <x:v>1485.786539601793</x:v>
      </x:c>
      <x:c r="S61" s="106" t="n">
        <x:f>IF(Q61&gt;0,MIN('Your Mortgage'!$C$11,Q61+R61),0)</x:f>
        <x:v>2054.2210763521375</x:v>
      </x:c>
      <x:c r="T61" s="106" t="n">
        <x:f>IF(Q61&gt;0,MIN('Your Mortgage'!$I$6,MAX(0,Q61+R61-S61)),0)</x:f>
        <x:v>500</x:v>
      </x:c>
      <x:c r="U61" s="106" t="n">
        <x:f>IF(AND(A61='Your Mortgage'!$I$8,Q61&gt;0),MIN('Your Mortgage'!$I$7,MAX(0,Q61+R61-S61-T61)),0)</x:f>
        <x:v>0</x:v>
      </x:c>
      <x:c r="V61" s="106" t="n">
        <x:f>S61+T61+U61</x:f>
        <x:v>2554.2210763521375</x:v>
      </x:c>
      <x:c r="W61" s="106" t="n">
        <x:f>MAX(0,V61-R61)</x:f>
        <x:v>1068.4345367503445</x:v>
      </x:c>
      <x:c r="X61" s="106" t="n">
        <x:f>MAX(0,Q61-W61)</x:f>
        <x:v>273230.618928196</x:v>
      </x:c>
      <x:c r="Y61" s="1"/>
      <x:c r="Z61" s="1"/>
    </x:row>
    <x:row r="62">
      <x:c r="A62" s="100" t="n">
        <x:f>A61+1</x:f>
        <x:v>57</x:v>
      </x:c>
      <x:c r="B62" s="103" t="n">
        <x:f>EDATE(B61,1)</x:f>
        <x:v>47939</x:v>
      </x:c>
      <x:c r="C62" s="104" t="n">
        <x:f>H61</x:f>
        <x:v>305839.01744560676</x:v>
      </x:c>
      <x:c r="D62" s="104" t="n">
        <x:f>IF(C62&gt;0,C62*'Your Mortgage'!$C$7/12,0)</x:f>
        <x:v>1656.6280111637034</x:v>
      </x:c>
      <x:c r="E62" s="104" t="n">
        <x:f>IF(C62&gt;0,MIN('Your Mortgage'!$C$11,C62+D62),0)</x:f>
        <x:v>2054.2210763521375</x:v>
      </x:c>
      <x:c r="F62" s="104" t="n">
        <x:f>E62</x:f>
        <x:v>2054.2210763521375</x:v>
      </x:c>
      <x:c r="G62" s="104" t="n">
        <x:f>MAX(0,F62-D62)</x:f>
        <x:v>397.59306518843414</x:v>
      </x:c>
      <x:c r="H62" s="104" t="n">
        <x:f>MAX(0,C62-G62)</x:f>
        <x:v>305441.4243804183</x:v>
      </x:c>
      <x:c r="I62" s="105" t="n">
        <x:f>P61</x:f>
        <x:v>283193.23734732566</x:v>
      </x:c>
      <x:c r="J62" s="105" t="n">
        <x:f>IF(I62&gt;0,I62*'Your Mortgage'!$C$7/12,0)</x:f>
        <x:v>1533.9633689646807</x:v>
      </x:c>
      <x:c r="K62" s="105" t="n">
        <x:f>IF(I62&gt;0,MIN('Your Mortgage'!$C$11,I62+J62),0)</x:f>
        <x:v>2054.2210763521375</x:v>
      </x:c>
      <x:c r="L62" s="105" t="n">
        <x:f>IF(I62&gt;0,MIN('Your Mortgage'!$F$6,MAX(0,I62+J62-K62)),0)</x:f>
        <x:v>250</x:v>
      </x:c>
      <x:c r="M62" s="105" t="n">
        <x:f>IF(AND(A62='Your Mortgage'!$F$8,I62&gt;0),MIN('Your Mortgage'!$F$7,MAX(0,I62+J62-K62-L62)),0)</x:f>
        <x:v>0</x:v>
      </x:c>
      <x:c r="N62" s="105" t="n">
        <x:f>K62+L62+M62</x:f>
        <x:v>2304.2210763521375</x:v>
      </x:c>
      <x:c r="O62" s="105" t="n">
        <x:f>MAX(0,N62-J62)</x:f>
        <x:v>770.2577073874568</x:v>
      </x:c>
      <x:c r="P62" s="105" t="n">
        <x:f>MAX(0,I62-O62)</x:f>
        <x:v>282422.9796399382</x:v>
      </x:c>
      <x:c r="Q62" s="106" t="n">
        <x:f>X61</x:f>
        <x:v>273230.618928196</x:v>
      </x:c>
      <x:c r="R62" s="106" t="n">
        <x:f>IF(Q62&gt;0,Q62*'Your Mortgage'!$C$7/12,0)</x:f>
        <x:v>1479.999185861062</x:v>
      </x:c>
      <x:c r="S62" s="106" t="n">
        <x:f>IF(Q62&gt;0,MIN('Your Mortgage'!$C$11,Q62+R62),0)</x:f>
        <x:v>2054.2210763521375</x:v>
      </x:c>
      <x:c r="T62" s="106" t="n">
        <x:f>IF(Q62&gt;0,MIN('Your Mortgage'!$I$6,MAX(0,Q62+R62-S62)),0)</x:f>
        <x:v>500</x:v>
      </x:c>
      <x:c r="U62" s="106" t="n">
        <x:f>IF(AND(A62='Your Mortgage'!$I$8,Q62&gt;0),MIN('Your Mortgage'!$I$7,MAX(0,Q62+R62-S62-T62)),0)</x:f>
        <x:v>0</x:v>
      </x:c>
      <x:c r="V62" s="106" t="n">
        <x:f>S62+T62+U62</x:f>
        <x:v>2554.2210763521375</x:v>
      </x:c>
      <x:c r="W62" s="106" t="n">
        <x:f>MAX(0,V62-R62)</x:f>
        <x:v>1074.2218904910756</x:v>
      </x:c>
      <x:c r="X62" s="106" t="n">
        <x:f>MAX(0,Q62-W62)</x:f>
        <x:v>272156.39703770494</x:v>
      </x:c>
      <x:c r="Y62" s="1"/>
      <x:c r="Z62" s="1"/>
    </x:row>
    <x:row r="63">
      <x:c r="A63" s="100" t="n">
        <x:f>A62+1</x:f>
        <x:v>58</x:v>
      </x:c>
      <x:c r="B63" s="103" t="n">
        <x:f>EDATE(B62,1)</x:f>
        <x:v>47969</x:v>
      </x:c>
      <x:c r="C63" s="104" t="n">
        <x:f>H62</x:f>
        <x:v>305441.4243804183</x:v>
      </x:c>
      <x:c r="D63" s="104" t="n">
        <x:f>IF(C63&gt;0,C63*'Your Mortgage'!$C$7/12,0)</x:f>
        <x:v>1654.4743820605993</x:v>
      </x:c>
      <x:c r="E63" s="104" t="n">
        <x:f>IF(C63&gt;0,MIN('Your Mortgage'!$C$11,C63+D63),0)</x:f>
        <x:v>2054.2210763521375</x:v>
      </x:c>
      <x:c r="F63" s="104" t="n">
        <x:f>E63</x:f>
        <x:v>2054.2210763521375</x:v>
      </x:c>
      <x:c r="G63" s="104" t="n">
        <x:f>MAX(0,F63-D63)</x:f>
        <x:v>399.74669429153823</x:v>
      </x:c>
      <x:c r="H63" s="104" t="n">
        <x:f>MAX(0,C63-G63)</x:f>
        <x:v>305041.6776861268</x:v>
      </x:c>
      <x:c r="I63" s="105" t="n">
        <x:f>P62</x:f>
        <x:v>282422.9796399382</x:v>
      </x:c>
      <x:c r="J63" s="105" t="n">
        <x:f>IF(I63&gt;0,I63*'Your Mortgage'!$C$7/12,0)</x:f>
        <x:v>1529.7911397163323</x:v>
      </x:c>
      <x:c r="K63" s="105" t="n">
        <x:f>IF(I63&gt;0,MIN('Your Mortgage'!$C$11,I63+J63),0)</x:f>
        <x:v>2054.2210763521375</x:v>
      </x:c>
      <x:c r="L63" s="105" t="n">
        <x:f>IF(I63&gt;0,MIN('Your Mortgage'!$F$6,MAX(0,I63+J63-K63)),0)</x:f>
        <x:v>250</x:v>
      </x:c>
      <x:c r="M63" s="105" t="n">
        <x:f>IF(AND(A63='Your Mortgage'!$F$8,I63&gt;0),MIN('Your Mortgage'!$F$7,MAX(0,I63+J63-K63-L63)),0)</x:f>
        <x:v>0</x:v>
      </x:c>
      <x:c r="N63" s="105" t="n">
        <x:f>K63+L63+M63</x:f>
        <x:v>2304.2210763521375</x:v>
      </x:c>
      <x:c r="O63" s="105" t="n">
        <x:f>MAX(0,N63-J63)</x:f>
        <x:v>774.4299366358052</x:v>
      </x:c>
      <x:c r="P63" s="105" t="n">
        <x:f>MAX(0,I63-O63)</x:f>
        <x:v>281648.5497033024</x:v>
      </x:c>
      <x:c r="Q63" s="106" t="n">
        <x:f>X62</x:f>
        <x:v>272156.39703770494</x:v>
      </x:c>
      <x:c r="R63" s="106" t="n">
        <x:f>IF(Q63&gt;0,Q63*'Your Mortgage'!$C$7/12,0)</x:f>
        <x:v>1474.1804839542353</x:v>
      </x:c>
      <x:c r="S63" s="106" t="n">
        <x:f>IF(Q63&gt;0,MIN('Your Mortgage'!$C$11,Q63+R63),0)</x:f>
        <x:v>2054.2210763521375</x:v>
      </x:c>
      <x:c r="T63" s="106" t="n">
        <x:f>IF(Q63&gt;0,MIN('Your Mortgage'!$I$6,MAX(0,Q63+R63-S63)),0)</x:f>
        <x:v>500</x:v>
      </x:c>
      <x:c r="U63" s="106" t="n">
        <x:f>IF(AND(A63='Your Mortgage'!$I$8,Q63&gt;0),MIN('Your Mortgage'!$I$7,MAX(0,Q63+R63-S63-T63)),0)</x:f>
        <x:v>0</x:v>
      </x:c>
      <x:c r="V63" s="106" t="n">
        <x:f>S63+T63+U63</x:f>
        <x:v>2554.2210763521375</x:v>
      </x:c>
      <x:c r="W63" s="106" t="n">
        <x:f>MAX(0,V63-R63)</x:f>
        <x:v>1080.0405923979022</x:v>
      </x:c>
      <x:c r="X63" s="106" t="n">
        <x:f>MAX(0,Q63-W63)</x:f>
        <x:v>271076.356445307</x:v>
      </x:c>
      <x:c r="Y63" s="1"/>
      <x:c r="Z63" s="1"/>
    </x:row>
    <x:row r="64">
      <x:c r="A64" s="100" t="n">
        <x:f>A63+1</x:f>
        <x:v>59</x:v>
      </x:c>
      <x:c r="B64" s="103" t="n">
        <x:f>EDATE(B63,1)</x:f>
        <x:v>48000</x:v>
      </x:c>
      <x:c r="C64" s="104" t="n">
        <x:f>H63</x:f>
        <x:v>305041.6776861268</x:v>
      </x:c>
      <x:c r="D64" s="104" t="n">
        <x:f>IF(C64&gt;0,C64*'Your Mortgage'!$C$7/12,0)</x:f>
        <x:v>1652.3090874665202</x:v>
      </x:c>
      <x:c r="E64" s="104" t="n">
        <x:f>IF(C64&gt;0,MIN('Your Mortgage'!$C$11,C64+D64),0)</x:f>
        <x:v>2054.2210763521375</x:v>
      </x:c>
      <x:c r="F64" s="104" t="n">
        <x:f>E64</x:f>
        <x:v>2054.2210763521375</x:v>
      </x:c>
      <x:c r="G64" s="104" t="n">
        <x:f>MAX(0,F64-D64)</x:f>
        <x:v>401.91198888561735</x:v>
      </x:c>
      <x:c r="H64" s="104" t="n">
        <x:f>MAX(0,C64-G64)</x:f>
        <x:v>304639.7656972412</x:v>
      </x:c>
      <x:c r="I64" s="105" t="n">
        <x:f>P63</x:f>
        <x:v>281648.5497033024</x:v>
      </x:c>
      <x:c r="J64" s="105" t="n">
        <x:f>IF(I64&gt;0,I64*'Your Mortgage'!$C$7/12,0)</x:f>
        <x:v>1525.596310892888</x:v>
      </x:c>
      <x:c r="K64" s="105" t="n">
        <x:f>IF(I64&gt;0,MIN('Your Mortgage'!$C$11,I64+J64),0)</x:f>
        <x:v>2054.2210763521375</x:v>
      </x:c>
      <x:c r="L64" s="105" t="n">
        <x:f>IF(I64&gt;0,MIN('Your Mortgage'!$F$6,MAX(0,I64+J64-K64)),0)</x:f>
        <x:v>250</x:v>
      </x:c>
      <x:c r="M64" s="105" t="n">
        <x:f>IF(AND(A64='Your Mortgage'!$F$8,I64&gt;0),MIN('Your Mortgage'!$F$7,MAX(0,I64+J64-K64-L64)),0)</x:f>
        <x:v>0</x:v>
      </x:c>
      <x:c r="N64" s="105" t="n">
        <x:f>K64+L64+M64</x:f>
        <x:v>2304.2210763521375</x:v>
      </x:c>
      <x:c r="O64" s="105" t="n">
        <x:f>MAX(0,N64-J64)</x:f>
        <x:v>778.6247654592496</x:v>
      </x:c>
      <x:c r="P64" s="105" t="n">
        <x:f>MAX(0,I64-O64)</x:f>
        <x:v>280869.9249378431</x:v>
      </x:c>
      <x:c r="Q64" s="106" t="n">
        <x:f>X63</x:f>
        <x:v>271076.356445307</x:v>
      </x:c>
      <x:c r="R64" s="106" t="n">
        <x:f>IF(Q64&gt;0,Q64*'Your Mortgage'!$C$7/12,0)</x:f>
        <x:v>1468.3302640787463</x:v>
      </x:c>
      <x:c r="S64" s="106" t="n">
        <x:f>IF(Q64&gt;0,MIN('Your Mortgage'!$C$11,Q64+R64),0)</x:f>
        <x:v>2054.2210763521375</x:v>
      </x:c>
      <x:c r="T64" s="106" t="n">
        <x:f>IF(Q64&gt;0,MIN('Your Mortgage'!$I$6,MAX(0,Q64+R64-S64)),0)</x:f>
        <x:v>500</x:v>
      </x:c>
      <x:c r="U64" s="106" t="n">
        <x:f>IF(AND(A64='Your Mortgage'!$I$8,Q64&gt;0),MIN('Your Mortgage'!$I$7,MAX(0,Q64+R64-S64-T64)),0)</x:f>
        <x:v>0</x:v>
      </x:c>
      <x:c r="V64" s="106" t="n">
        <x:f>S64+T64+U64</x:f>
        <x:v>2554.2210763521375</x:v>
      </x:c>
      <x:c r="W64" s="106" t="n">
        <x:f>MAX(0,V64-R64)</x:f>
        <x:v>1085.8908122733912</x:v>
      </x:c>
      <x:c r="X64" s="106" t="n">
        <x:f>MAX(0,Q64-W64)</x:f>
        <x:v>269990.46563303366</x:v>
      </x:c>
      <x:c r="Y64" s="1"/>
      <x:c r="Z64" s="1"/>
    </x:row>
    <x:row r="65">
      <x:c r="A65" s="100" t="n">
        <x:f>A64+1</x:f>
        <x:v>60</x:v>
      </x:c>
      <x:c r="B65" s="103" t="n">
        <x:f>EDATE(B64,1)</x:f>
        <x:v>48030</x:v>
      </x:c>
      <x:c r="C65" s="104" t="n">
        <x:f>H64</x:f>
        <x:v>304639.7656972412</x:v>
      </x:c>
      <x:c r="D65" s="104" t="n">
        <x:f>IF(C65&gt;0,C65*'Your Mortgage'!$C$7/12,0)</x:f>
        <x:v>1650.1320641933899</x:v>
      </x:c>
      <x:c r="E65" s="104" t="n">
        <x:f>IF(C65&gt;0,MIN('Your Mortgage'!$C$11,C65+D65),0)</x:f>
        <x:v>2054.2210763521375</x:v>
      </x:c>
      <x:c r="F65" s="104" t="n">
        <x:f>E65</x:f>
        <x:v>2054.2210763521375</x:v>
      </x:c>
      <x:c r="G65" s="104" t="n">
        <x:f>MAX(0,F65-D65)</x:f>
        <x:v>404.08901215874766</x:v>
      </x:c>
      <x:c r="H65" s="104" t="n">
        <x:f>MAX(0,C65-G65)</x:f>
        <x:v>304235.67668508244</x:v>
      </x:c>
      <x:c r="I65" s="105" t="n">
        <x:f>P64</x:f>
        <x:v>280869.9249378431</x:v>
      </x:c>
      <x:c r="J65" s="105" t="n">
        <x:f>IF(I65&gt;0,I65*'Your Mortgage'!$C$7/12,0)</x:f>
        <x:v>1521.3787600799835</x:v>
      </x:c>
      <x:c r="K65" s="105" t="n">
        <x:f>IF(I65&gt;0,MIN('Your Mortgage'!$C$11,I65+J65),0)</x:f>
        <x:v>2054.2210763521375</x:v>
      </x:c>
      <x:c r="L65" s="105" t="n">
        <x:f>IF(I65&gt;0,MIN('Your Mortgage'!$F$6,MAX(0,I65+J65-K65)),0)</x:f>
        <x:v>250</x:v>
      </x:c>
      <x:c r="M65" s="105" t="n">
        <x:f>IF(AND(A65='Your Mortgage'!$F$8,I65&gt;0),MIN('Your Mortgage'!$F$7,MAX(0,I65+J65-K65-L65)),0)</x:f>
        <x:v>0</x:v>
      </x:c>
      <x:c r="N65" s="105" t="n">
        <x:f>K65+L65+M65</x:f>
        <x:v>2304.2210763521375</x:v>
      </x:c>
      <x:c r="O65" s="105" t="n">
        <x:f>MAX(0,N65-J65)</x:f>
        <x:v>782.842316272154</x:v>
      </x:c>
      <x:c r="P65" s="105" t="n">
        <x:f>MAX(0,I65-O65)</x:f>
        <x:v>280087.08262157097</x:v>
      </x:c>
      <x:c r="Q65" s="106" t="n">
        <x:f>X64</x:f>
        <x:v>269990.46563303366</x:v>
      </x:c>
      <x:c r="R65" s="106" t="n">
        <x:f>IF(Q65&gt;0,Q65*'Your Mortgage'!$C$7/12,0)</x:f>
        <x:v>1462.4483555122658</x:v>
      </x:c>
      <x:c r="S65" s="106" t="n">
        <x:f>IF(Q65&gt;0,MIN('Your Mortgage'!$C$11,Q65+R65),0)</x:f>
        <x:v>2054.2210763521375</x:v>
      </x:c>
      <x:c r="T65" s="106" t="n">
        <x:f>IF(Q65&gt;0,MIN('Your Mortgage'!$I$6,MAX(0,Q65+R65-S65)),0)</x:f>
        <x:v>500</x:v>
      </x:c>
      <x:c r="U65" s="106" t="n">
        <x:f>IF(AND(A65='Your Mortgage'!$I$8,Q65&gt;0),MIN('Your Mortgage'!$I$7,MAX(0,Q65+R65-S65-T65)),0)</x:f>
        <x:v>0</x:v>
      </x:c>
      <x:c r="V65" s="106" t="n">
        <x:f>S65+T65+U65</x:f>
        <x:v>2554.2210763521375</x:v>
      </x:c>
      <x:c r="W65" s="106" t="n">
        <x:f>MAX(0,V65-R65)</x:f>
        <x:v>1091.7727208398717</x:v>
      </x:c>
      <x:c r="X65" s="106" t="n">
        <x:f>MAX(0,Q65-W65)</x:f>
        <x:v>268898.6929121938</x:v>
      </x:c>
      <x:c r="Y65" s="1"/>
      <x:c r="Z65" s="1"/>
    </x:row>
    <x:row r="66">
      <x:c r="A66" s="100" t="n">
        <x:f>A65+1</x:f>
        <x:v>61</x:v>
      </x:c>
      <x:c r="B66" s="103" t="n">
        <x:f>EDATE(B65,1)</x:f>
        <x:v>48061</x:v>
      </x:c>
      <x:c r="C66" s="104" t="n">
        <x:f>H65</x:f>
        <x:v>304235.67668508244</x:v>
      </x:c>
      <x:c r="D66" s="104" t="n">
        <x:f>IF(C66&gt;0,C66*'Your Mortgage'!$C$7/12,0)</x:f>
        <x:v>1647.9432487108634</x:v>
      </x:c>
      <x:c r="E66" s="104" t="n">
        <x:f>IF(C66&gt;0,MIN('Your Mortgage'!$C$11,C66+D66),0)</x:f>
        <x:v>2054.2210763521375</x:v>
      </x:c>
      <x:c r="F66" s="104" t="n">
        <x:f>E66</x:f>
        <x:v>2054.2210763521375</x:v>
      </x:c>
      <x:c r="G66" s="104" t="n">
        <x:f>MAX(0,F66-D66)</x:f>
        <x:v>406.27782764127414</x:v>
      </x:c>
      <x:c r="H66" s="104" t="n">
        <x:f>MAX(0,C66-G66)</x:f>
        <x:v>303829.39885744115</x:v>
      </x:c>
      <x:c r="I66" s="105" t="n">
        <x:f>P65</x:f>
        <x:v>280087.08262157097</x:v>
      </x:c>
      <x:c r="J66" s="105" t="n">
        <x:f>IF(I66&gt;0,I66*'Your Mortgage'!$C$7/12,0)</x:f>
        <x:v>1517.1383642001763</x:v>
      </x:c>
      <x:c r="K66" s="105" t="n">
        <x:f>IF(I66&gt;0,MIN('Your Mortgage'!$C$11,I66+J66),0)</x:f>
        <x:v>2054.2210763521375</x:v>
      </x:c>
      <x:c r="L66" s="105" t="n">
        <x:f>IF(I66&gt;0,MIN('Your Mortgage'!$F$6,MAX(0,I66+J66-K66)),0)</x:f>
        <x:v>250</x:v>
      </x:c>
      <x:c r="M66" s="105" t="n">
        <x:f>IF(AND(A66='Your Mortgage'!$F$8,I66&gt;0),MIN('Your Mortgage'!$F$7,MAX(0,I66+J66-K66-L66)),0)</x:f>
        <x:v>0</x:v>
      </x:c>
      <x:c r="N66" s="105" t="n">
        <x:f>K66+L66+M66</x:f>
        <x:v>2304.2210763521375</x:v>
      </x:c>
      <x:c r="O66" s="105" t="n">
        <x:f>MAX(0,N66-J66)</x:f>
        <x:v>787.0827121519612</x:v>
      </x:c>
      <x:c r="P66" s="105" t="n">
        <x:f>MAX(0,I66-O66)</x:f>
        <x:v>279299.999909419</x:v>
      </x:c>
      <x:c r="Q66" s="106" t="n">
        <x:f>X65</x:f>
        <x:v>268898.6929121938</x:v>
      </x:c>
      <x:c r="R66" s="106" t="n">
        <x:f>IF(Q66&gt;0,Q66*'Your Mortgage'!$C$7/12,0)</x:f>
        <x:v>1456.5345866077162</x:v>
      </x:c>
      <x:c r="S66" s="106" t="n">
        <x:f>IF(Q66&gt;0,MIN('Your Mortgage'!$C$11,Q66+R66),0)</x:f>
        <x:v>2054.2210763521375</x:v>
      </x:c>
      <x:c r="T66" s="106" t="n">
        <x:f>IF(Q66&gt;0,MIN('Your Mortgage'!$I$6,MAX(0,Q66+R66-S66)),0)</x:f>
        <x:v>500</x:v>
      </x:c>
      <x:c r="U66" s="106" t="n">
        <x:f>IF(AND(A66='Your Mortgage'!$I$8,Q66&gt;0),MIN('Your Mortgage'!$I$7,MAX(0,Q66+R66-S66-T66)),0)</x:f>
        <x:v>0</x:v>
      </x:c>
      <x:c r="V66" s="106" t="n">
        <x:f>S66+T66+U66</x:f>
        <x:v>2554.2210763521375</x:v>
      </x:c>
      <x:c r="W66" s="106" t="n">
        <x:f>MAX(0,V66-R66)</x:f>
        <x:v>1097.6864897444214</x:v>
      </x:c>
      <x:c r="X66" s="106" t="n">
        <x:f>MAX(0,Q66-W66)</x:f>
        <x:v>267801.00642244937</x:v>
      </x:c>
      <x:c r="Y66" s="1"/>
      <x:c r="Z66" s="1"/>
    </x:row>
    <x:row r="67">
      <x:c r="A67" s="100" t="n">
        <x:f>A66+1</x:f>
        <x:v>62</x:v>
      </x:c>
      <x:c r="B67" s="103" t="n">
        <x:f>EDATE(B66,1)</x:f>
        <x:v>48092</x:v>
      </x:c>
      <x:c r="C67" s="104" t="n">
        <x:f>H66</x:f>
        <x:v>303829.39885744115</x:v>
      </x:c>
      <x:c r="D67" s="104" t="n">
        <x:f>IF(C67&gt;0,C67*'Your Mortgage'!$C$7/12,0)</x:f>
        <x:v>1645.742577144473</x:v>
      </x:c>
      <x:c r="E67" s="104" t="n">
        <x:f>IF(C67&gt;0,MIN('Your Mortgage'!$C$11,C67+D67),0)</x:f>
        <x:v>2054.2210763521375</x:v>
      </x:c>
      <x:c r="F67" s="104" t="n">
        <x:f>E67</x:f>
        <x:v>2054.2210763521375</x:v>
      </x:c>
      <x:c r="G67" s="104" t="n">
        <x:f>MAX(0,F67-D67)</x:f>
        <x:v>408.4784992076645</x:v>
      </x:c>
      <x:c r="H67" s="104" t="n">
        <x:f>MAX(0,C67-G67)</x:f>
        <x:v>303420.9203582335</x:v>
      </x:c>
      <x:c r="I67" s="105" t="n">
        <x:f>P66</x:f>
        <x:v>279299.999909419</x:v>
      </x:c>
      <x:c r="J67" s="105" t="n">
        <x:f>IF(I67&gt;0,I67*'Your Mortgage'!$C$7/12,0)</x:f>
        <x:v>1512.8749995093528</x:v>
      </x:c>
      <x:c r="K67" s="105" t="n">
        <x:f>IF(I67&gt;0,MIN('Your Mortgage'!$C$11,I67+J67),0)</x:f>
        <x:v>2054.2210763521375</x:v>
      </x:c>
      <x:c r="L67" s="105" t="n">
        <x:f>IF(I67&gt;0,MIN('Your Mortgage'!$F$6,MAX(0,I67+J67-K67)),0)</x:f>
        <x:v>250</x:v>
      </x:c>
      <x:c r="M67" s="105" t="n">
        <x:f>IF(AND(A67='Your Mortgage'!$F$8,I67&gt;0),MIN('Your Mortgage'!$F$7,MAX(0,I67+J67-K67-L67)),0)</x:f>
        <x:v>0</x:v>
      </x:c>
      <x:c r="N67" s="105" t="n">
        <x:f>K67+L67+M67</x:f>
        <x:v>2304.2210763521375</x:v>
      </x:c>
      <x:c r="O67" s="105" t="n">
        <x:f>MAX(0,N67-J67)</x:f>
        <x:v>791.3460768427847</x:v>
      </x:c>
      <x:c r="P67" s="105" t="n">
        <x:f>MAX(0,I67-O67)</x:f>
        <x:v>278508.6538325762</x:v>
      </x:c>
      <x:c r="Q67" s="106" t="n">
        <x:f>X66</x:f>
        <x:v>267801.00642244937</x:v>
      </x:c>
      <x:c r="R67" s="106" t="n">
        <x:f>IF(Q67&gt;0,Q67*'Your Mortgage'!$C$7/12,0)</x:f>
        <x:v>1450.5887847882675</x:v>
      </x:c>
      <x:c r="S67" s="106" t="n">
        <x:f>IF(Q67&gt;0,MIN('Your Mortgage'!$C$11,Q67+R67),0)</x:f>
        <x:v>2054.2210763521375</x:v>
      </x:c>
      <x:c r="T67" s="106" t="n">
        <x:f>IF(Q67&gt;0,MIN('Your Mortgage'!$I$6,MAX(0,Q67+R67-S67)),0)</x:f>
        <x:v>500</x:v>
      </x:c>
      <x:c r="U67" s="106" t="n">
        <x:f>IF(AND(A67='Your Mortgage'!$I$8,Q67&gt;0),MIN('Your Mortgage'!$I$7,MAX(0,Q67+R67-S67-T67)),0)</x:f>
        <x:v>0</x:v>
      </x:c>
      <x:c r="V67" s="106" t="n">
        <x:f>S67+T67+U67</x:f>
        <x:v>2554.2210763521375</x:v>
      </x:c>
      <x:c r="W67" s="106" t="n">
        <x:f>MAX(0,V67-R67)</x:f>
        <x:v>1103.63229156387</x:v>
      </x:c>
      <x:c r="X67" s="106" t="n">
        <x:f>MAX(0,Q67-W67)</x:f>
        <x:v>266697.3741308855</x:v>
      </x:c>
      <x:c r="Y67" s="1"/>
      <x:c r="Z67" s="1"/>
    </x:row>
    <x:row r="68">
      <x:c r="A68" s="100" t="n">
        <x:f>A67+1</x:f>
        <x:v>63</x:v>
      </x:c>
      <x:c r="B68" s="103" t="n">
        <x:f>EDATE(B67,1)</x:f>
        <x:v>48122</x:v>
      </x:c>
      <x:c r="C68" s="104" t="n">
        <x:f>H67</x:f>
        <x:v>303420.9203582335</x:v>
      </x:c>
      <x:c r="D68" s="104" t="n">
        <x:f>IF(C68&gt;0,C68*'Your Mortgage'!$C$7/12,0)</x:f>
        <x:v>1643.529985273765</x:v>
      </x:c>
      <x:c r="E68" s="104" t="n">
        <x:f>IF(C68&gt;0,MIN('Your Mortgage'!$C$11,C68+D68),0)</x:f>
        <x:v>2054.2210763521375</x:v>
      </x:c>
      <x:c r="F68" s="104" t="n">
        <x:f>E68</x:f>
        <x:v>2054.2210763521375</x:v>
      </x:c>
      <x:c r="G68" s="104" t="n">
        <x:f>MAX(0,F68-D68)</x:f>
        <x:v>410.69109107837244</x:v>
      </x:c>
      <x:c r="H68" s="104" t="n">
        <x:f>MAX(0,C68-G68)</x:f>
        <x:v>303010.2292671551</x:v>
      </x:c>
      <x:c r="I68" s="105" t="n">
        <x:f>P67</x:f>
        <x:v>278508.6538325762</x:v>
      </x:c>
      <x:c r="J68" s="105" t="n">
        <x:f>IF(I68&gt;0,I68*'Your Mortgage'!$C$7/12,0)</x:f>
        <x:v>1508.588541593121</x:v>
      </x:c>
      <x:c r="K68" s="105" t="n">
        <x:f>IF(I68&gt;0,MIN('Your Mortgage'!$C$11,I68+J68),0)</x:f>
        <x:v>2054.2210763521375</x:v>
      </x:c>
      <x:c r="L68" s="105" t="n">
        <x:f>IF(I68&gt;0,MIN('Your Mortgage'!$F$6,MAX(0,I68+J68-K68)),0)</x:f>
        <x:v>250</x:v>
      </x:c>
      <x:c r="M68" s="105" t="n">
        <x:f>IF(AND(A68='Your Mortgage'!$F$8,I68&gt;0),MIN('Your Mortgage'!$F$7,MAX(0,I68+J68-K68-L68)),0)</x:f>
        <x:v>0</x:v>
      </x:c>
      <x:c r="N68" s="105" t="n">
        <x:f>K68+L68+M68</x:f>
        <x:v>2304.2210763521375</x:v>
      </x:c>
      <x:c r="O68" s="105" t="n">
        <x:f>MAX(0,N68-J68)</x:f>
        <x:v>795.6325347590166</x:v>
      </x:c>
      <x:c r="P68" s="105" t="n">
        <x:f>MAX(0,I68-O68)</x:f>
        <x:v>277713.0212978172</x:v>
      </x:c>
      <x:c r="Q68" s="106" t="n">
        <x:f>X67</x:f>
        <x:v>266697.3741308855</x:v>
      </x:c>
      <x:c r="R68" s="106" t="n">
        <x:f>IF(Q68&gt;0,Q68*'Your Mortgage'!$C$7/12,0)</x:f>
        <x:v>1444.6107765422967</x:v>
      </x:c>
      <x:c r="S68" s="106" t="n">
        <x:f>IF(Q68&gt;0,MIN('Your Mortgage'!$C$11,Q68+R68),0)</x:f>
        <x:v>2054.2210763521375</x:v>
      </x:c>
      <x:c r="T68" s="106" t="n">
        <x:f>IF(Q68&gt;0,MIN('Your Mortgage'!$I$6,MAX(0,Q68+R68-S68)),0)</x:f>
        <x:v>500</x:v>
      </x:c>
      <x:c r="U68" s="106" t="n">
        <x:f>IF(AND(A68='Your Mortgage'!$I$8,Q68&gt;0),MIN('Your Mortgage'!$I$7,MAX(0,Q68+R68-S68-T68)),0)</x:f>
        <x:v>0</x:v>
      </x:c>
      <x:c r="V68" s="106" t="n">
        <x:f>S68+T68+U68</x:f>
        <x:v>2554.2210763521375</x:v>
      </x:c>
      <x:c r="W68" s="106" t="n">
        <x:f>MAX(0,V68-R68)</x:f>
        <x:v>1109.6102998098409</x:v>
      </x:c>
      <x:c r="X68" s="106" t="n">
        <x:f>MAX(0,Q68-W68)</x:f>
        <x:v>265587.7638310757</x:v>
      </x:c>
      <x:c r="Y68" s="1"/>
      <x:c r="Z68" s="1"/>
    </x:row>
    <x:row r="69">
      <x:c r="A69" s="100" t="n">
        <x:f>A68+1</x:f>
        <x:v>64</x:v>
      </x:c>
      <x:c r="B69" s="103" t="n">
        <x:f>EDATE(B68,1)</x:f>
        <x:v>48153</x:v>
      </x:c>
      <x:c r="C69" s="104" t="n">
        <x:f>H68</x:f>
        <x:v>303010.2292671551</x:v>
      </x:c>
      <x:c r="D69" s="104" t="n">
        <x:f>IF(C69&gt;0,C69*'Your Mortgage'!$C$7/12,0)</x:f>
        <x:v>1641.3054085304236</x:v>
      </x:c>
      <x:c r="E69" s="104" t="n">
        <x:f>IF(C69&gt;0,MIN('Your Mortgage'!$C$11,C69+D69),0)</x:f>
        <x:v>2054.2210763521375</x:v>
      </x:c>
      <x:c r="F69" s="104" t="n">
        <x:f>E69</x:f>
        <x:v>2054.2210763521375</x:v>
      </x:c>
      <x:c r="G69" s="104" t="n">
        <x:f>MAX(0,F69-D69)</x:f>
        <x:v>412.9156678217139</x:v>
      </x:c>
      <x:c r="H69" s="104" t="n">
        <x:f>MAX(0,C69-G69)</x:f>
        <x:v>302597.3135993334</x:v>
      </x:c>
      <x:c r="I69" s="105" t="n">
        <x:f>P68</x:f>
        <x:v>277713.0212978172</x:v>
      </x:c>
      <x:c r="J69" s="105" t="n">
        <x:f>IF(I69&gt;0,I69*'Your Mortgage'!$C$7/12,0)</x:f>
        <x:v>1504.2788653631762</x:v>
      </x:c>
      <x:c r="K69" s="105" t="n">
        <x:f>IF(I69&gt;0,MIN('Your Mortgage'!$C$11,I69+J69),0)</x:f>
        <x:v>2054.2210763521375</x:v>
      </x:c>
      <x:c r="L69" s="105" t="n">
        <x:f>IF(I69&gt;0,MIN('Your Mortgage'!$F$6,MAX(0,I69+J69-K69)),0)</x:f>
        <x:v>250</x:v>
      </x:c>
      <x:c r="M69" s="105" t="n">
        <x:f>IF(AND(A69='Your Mortgage'!$F$8,I69&gt;0),MIN('Your Mortgage'!$F$7,MAX(0,I69+J69-K69-L69)),0)</x:f>
        <x:v>0</x:v>
      </x:c>
      <x:c r="N69" s="105" t="n">
        <x:f>K69+L69+M69</x:f>
        <x:v>2304.2210763521375</x:v>
      </x:c>
      <x:c r="O69" s="105" t="n">
        <x:f>MAX(0,N69-J69)</x:f>
        <x:v>799.9422109889613</x:v>
      </x:c>
      <x:c r="P69" s="105" t="n">
        <x:f>MAX(0,I69-O69)</x:f>
        <x:v>276913.0790868282</x:v>
      </x:c>
      <x:c r="Q69" s="106" t="n">
        <x:f>X68</x:f>
        <x:v>265587.7638310757</x:v>
      </x:c>
      <x:c r="R69" s="106" t="n">
        <x:f>IF(Q69&gt;0,Q69*'Your Mortgage'!$C$7/12,0)</x:f>
        <x:v>1438.6003874183268</x:v>
      </x:c>
      <x:c r="S69" s="106" t="n">
        <x:f>IF(Q69&gt;0,MIN('Your Mortgage'!$C$11,Q69+R69),0)</x:f>
        <x:v>2054.2210763521375</x:v>
      </x:c>
      <x:c r="T69" s="106" t="n">
        <x:f>IF(Q69&gt;0,MIN('Your Mortgage'!$I$6,MAX(0,Q69+R69-S69)),0)</x:f>
        <x:v>500</x:v>
      </x:c>
      <x:c r="U69" s="106" t="n">
        <x:f>IF(AND(A69='Your Mortgage'!$I$8,Q69&gt;0),MIN('Your Mortgage'!$I$7,MAX(0,Q69+R69-S69-T69)),0)</x:f>
        <x:v>0</x:v>
      </x:c>
      <x:c r="V69" s="106" t="n">
        <x:f>S69+T69+U69</x:f>
        <x:v>2554.2210763521375</x:v>
      </x:c>
      <x:c r="W69" s="106" t="n">
        <x:f>MAX(0,V69-R69)</x:f>
        <x:v>1115.6206889338107</x:v>
      </x:c>
      <x:c r="X69" s="106" t="n">
        <x:f>MAX(0,Q69-W69)</x:f>
        <x:v>264472.14314214187</x:v>
      </x:c>
      <x:c r="Y69" s="1"/>
      <x:c r="Z69" s="1"/>
    </x:row>
    <x:row r="70">
      <x:c r="A70" s="100" t="n">
        <x:f>A69+1</x:f>
        <x:v>65</x:v>
      </x:c>
      <x:c r="B70" s="103" t="n">
        <x:f>EDATE(B69,1)</x:f>
        <x:v>48183</x:v>
      </x:c>
      <x:c r="C70" s="104" t="n">
        <x:f>H69</x:f>
        <x:v>302597.3135993334</x:v>
      </x:c>
      <x:c r="D70" s="104" t="n">
        <x:f>IF(C70&gt;0,C70*'Your Mortgage'!$C$7/12,0)</x:f>
        <x:v>1639.0687819963894</x:v>
      </x:c>
      <x:c r="E70" s="104" t="n">
        <x:f>IF(C70&gt;0,MIN('Your Mortgage'!$C$11,C70+D70),0)</x:f>
        <x:v>2054.2210763521375</x:v>
      </x:c>
      <x:c r="F70" s="104" t="n">
        <x:f>E70</x:f>
        <x:v>2054.2210763521375</x:v>
      </x:c>
      <x:c r="G70" s="104" t="n">
        <x:f>MAX(0,F70-D70)</x:f>
        <x:v>415.15229435574815</x:v>
      </x:c>
      <x:c r="H70" s="104" t="n">
        <x:f>MAX(0,C70-G70)</x:f>
        <x:v>302182.16130497766</x:v>
      </x:c>
      <x:c r="I70" s="105" t="n">
        <x:f>P69</x:f>
        <x:v>276913.0790868282</x:v>
      </x:c>
      <x:c r="J70" s="105" t="n">
        <x:f>IF(I70&gt;0,I70*'Your Mortgage'!$C$7/12,0)</x:f>
        <x:v>1499.9458450536529</x:v>
      </x:c>
      <x:c r="K70" s="105" t="n">
        <x:f>IF(I70&gt;0,MIN('Your Mortgage'!$C$11,I70+J70),0)</x:f>
        <x:v>2054.2210763521375</x:v>
      </x:c>
      <x:c r="L70" s="105" t="n">
        <x:f>IF(I70&gt;0,MIN('Your Mortgage'!$F$6,MAX(0,I70+J70-K70)),0)</x:f>
        <x:v>250</x:v>
      </x:c>
      <x:c r="M70" s="105" t="n">
        <x:f>IF(AND(A70='Your Mortgage'!$F$8,I70&gt;0),MIN('Your Mortgage'!$F$7,MAX(0,I70+J70-K70-L70)),0)</x:f>
        <x:v>0</x:v>
      </x:c>
      <x:c r="N70" s="105" t="n">
        <x:f>K70+L70+M70</x:f>
        <x:v>2304.2210763521375</x:v>
      </x:c>
      <x:c r="O70" s="105" t="n">
        <x:f>MAX(0,N70-J70)</x:f>
        <x:v>804.2752312984846</x:v>
      </x:c>
      <x:c r="P70" s="105" t="n">
        <x:f>MAX(0,I70-O70)</x:f>
        <x:v>276108.80385552975</x:v>
      </x:c>
      <x:c r="Q70" s="106" t="n">
        <x:f>X69</x:f>
        <x:v>264472.14314214187</x:v>
      </x:c>
      <x:c r="R70" s="106" t="n">
        <x:f>IF(Q70&gt;0,Q70*'Your Mortgage'!$C$7/12,0)</x:f>
        <x:v>1432.5574420199353</x:v>
      </x:c>
      <x:c r="S70" s="106" t="n">
        <x:f>IF(Q70&gt;0,MIN('Your Mortgage'!$C$11,Q70+R70),0)</x:f>
        <x:v>2054.2210763521375</x:v>
      </x:c>
      <x:c r="T70" s="106" t="n">
        <x:f>IF(Q70&gt;0,MIN('Your Mortgage'!$I$6,MAX(0,Q70+R70-S70)),0)</x:f>
        <x:v>500</x:v>
      </x:c>
      <x:c r="U70" s="106" t="n">
        <x:f>IF(AND(A70='Your Mortgage'!$I$8,Q70&gt;0),MIN('Your Mortgage'!$I$7,MAX(0,Q70+R70-S70-T70)),0)</x:f>
        <x:v>0</x:v>
      </x:c>
      <x:c r="V70" s="106" t="n">
        <x:f>S70+T70+U70</x:f>
        <x:v>2554.2210763521375</x:v>
      </x:c>
      <x:c r="W70" s="106" t="n">
        <x:f>MAX(0,V70-R70)</x:f>
        <x:v>1121.6636343322023</x:v>
      </x:c>
      <x:c r="X70" s="106" t="n">
        <x:f>MAX(0,Q70-W70)</x:f>
        <x:v>263350.4795078097</x:v>
      </x:c>
      <x:c r="Y70" s="1"/>
      <x:c r="Z70" s="1"/>
    </x:row>
    <x:row r="71">
      <x:c r="A71" s="100" t="n">
        <x:f>A70+1</x:f>
        <x:v>66</x:v>
      </x:c>
      <x:c r="B71" s="103" t="n">
        <x:f>EDATE(B70,1)</x:f>
        <x:v>48214</x:v>
      </x:c>
      <x:c r="C71" s="104" t="n">
        <x:f>H70</x:f>
        <x:v>302182.16130497766</x:v>
      </x:c>
      <x:c r="D71" s="104" t="n">
        <x:f>IF(C71&gt;0,C71*'Your Mortgage'!$C$7/12,0)</x:f>
        <x:v>1636.8200404019624</x:v>
      </x:c>
      <x:c r="E71" s="104" t="n">
        <x:f>IF(C71&gt;0,MIN('Your Mortgage'!$C$11,C71+D71),0)</x:f>
        <x:v>2054.2210763521375</x:v>
      </x:c>
      <x:c r="F71" s="104" t="n">
        <x:f>E71</x:f>
        <x:v>2054.2210763521375</x:v>
      </x:c>
      <x:c r="G71" s="104" t="n">
        <x:f>MAX(0,F71-D71)</x:f>
        <x:v>417.4010359501751</x:v>
      </x:c>
      <x:c r="H71" s="104" t="n">
        <x:f>MAX(0,C71-G71)</x:f>
        <x:v>301764.7602690275</x:v>
      </x:c>
      <x:c r="I71" s="105" t="n">
        <x:f>P70</x:f>
        <x:v>276108.80385552975</x:v>
      </x:c>
      <x:c r="J71" s="105" t="n">
        <x:f>IF(I71&gt;0,I71*'Your Mortgage'!$C$7/12,0)</x:f>
        <x:v>1495.5893542174529</x:v>
      </x:c>
      <x:c r="K71" s="105" t="n">
        <x:f>IF(I71&gt;0,MIN('Your Mortgage'!$C$11,I71+J71),0)</x:f>
        <x:v>2054.2210763521375</x:v>
      </x:c>
      <x:c r="L71" s="105" t="n">
        <x:f>IF(I71&gt;0,MIN('Your Mortgage'!$F$6,MAX(0,I71+J71-K71)),0)</x:f>
        <x:v>250</x:v>
      </x:c>
      <x:c r="M71" s="105" t="n">
        <x:f>IF(AND(A71='Your Mortgage'!$F$8,I71&gt;0),MIN('Your Mortgage'!$F$7,MAX(0,I71+J71-K71-L71)),0)</x:f>
        <x:v>0</x:v>
      </x:c>
      <x:c r="N71" s="105" t="n">
        <x:f>K71+L71+M71</x:f>
        <x:v>2304.2210763521375</x:v>
      </x:c>
      <x:c r="O71" s="105" t="n">
        <x:f>MAX(0,N71-J71)</x:f>
        <x:v>808.6317221346847</x:v>
      </x:c>
      <x:c r="P71" s="105" t="n">
        <x:f>MAX(0,I71-O71)</x:f>
        <x:v>275300.17213339504</x:v>
      </x:c>
      <x:c r="Q71" s="106" t="n">
        <x:f>X70</x:f>
        <x:v>263350.4795078097</x:v>
      </x:c>
      <x:c r="R71" s="106" t="n">
        <x:f>IF(Q71&gt;0,Q71*'Your Mortgage'!$C$7/12,0)</x:f>
        <x:v>1426.4817640006358</x:v>
      </x:c>
      <x:c r="S71" s="106" t="n">
        <x:f>IF(Q71&gt;0,MIN('Your Mortgage'!$C$11,Q71+R71),0)</x:f>
        <x:v>2054.2210763521375</x:v>
      </x:c>
      <x:c r="T71" s="106" t="n">
        <x:f>IF(Q71&gt;0,MIN('Your Mortgage'!$I$6,MAX(0,Q71+R71-S71)),0)</x:f>
        <x:v>500</x:v>
      </x:c>
      <x:c r="U71" s="106" t="n">
        <x:f>IF(AND(A71='Your Mortgage'!$I$8,Q71&gt;0),MIN('Your Mortgage'!$I$7,MAX(0,Q71+R71-S71-T71)),0)</x:f>
        <x:v>0</x:v>
      </x:c>
      <x:c r="V71" s="106" t="n">
        <x:f>S71+T71+U71</x:f>
        <x:v>2554.2210763521375</x:v>
      </x:c>
      <x:c r="W71" s="106" t="n">
        <x:f>MAX(0,V71-R71)</x:f>
        <x:v>1127.7393123515017</x:v>
      </x:c>
      <x:c r="X71" s="106" t="n">
        <x:f>MAX(0,Q71-W71)</x:f>
        <x:v>262222.7401954582</x:v>
      </x:c>
      <x:c r="Y71" s="1"/>
      <x:c r="Z71" s="1"/>
    </x:row>
    <x:row r="72">
      <x:c r="A72" s="100" t="n">
        <x:f>A71+1</x:f>
        <x:v>67</x:v>
      </x:c>
      <x:c r="B72" s="103" t="n">
        <x:f>EDATE(B71,1)</x:f>
        <x:v>48245</x:v>
      </x:c>
      <x:c r="C72" s="104" t="n">
        <x:f>H71</x:f>
        <x:v>301764.7602690275</x:v>
      </x:c>
      <x:c r="D72" s="104" t="n">
        <x:f>IF(C72&gt;0,C72*'Your Mortgage'!$C$7/12,0)</x:f>
        <x:v>1634.559118123899</x:v>
      </x:c>
      <x:c r="E72" s="104" t="n">
        <x:f>IF(C72&gt;0,MIN('Your Mortgage'!$C$11,C72+D72),0)</x:f>
        <x:v>2054.2210763521375</x:v>
      </x:c>
      <x:c r="F72" s="104" t="n">
        <x:f>E72</x:f>
        <x:v>2054.2210763521375</x:v>
      </x:c>
      <x:c r="G72" s="104" t="n">
        <x:f>MAX(0,F72-D72)</x:f>
        <x:v>419.6619582282385</x:v>
      </x:c>
      <x:c r="H72" s="104" t="n">
        <x:f>MAX(0,C72-G72)</x:f>
        <x:v>301345.0983107993</x:v>
      </x:c>
      <x:c r="I72" s="105" t="n">
        <x:f>P71</x:f>
        <x:v>275300.17213339504</x:v>
      </x:c>
      <x:c r="J72" s="105" t="n">
        <x:f>IF(I72&gt;0,I72*'Your Mortgage'!$C$7/12,0)</x:f>
        <x:v>1491.2092657225567</x:v>
      </x:c>
      <x:c r="K72" s="105" t="n">
        <x:f>IF(I72&gt;0,MIN('Your Mortgage'!$C$11,I72+J72),0)</x:f>
        <x:v>2054.2210763521375</x:v>
      </x:c>
      <x:c r="L72" s="105" t="n">
        <x:f>IF(I72&gt;0,MIN('Your Mortgage'!$F$6,MAX(0,I72+J72-K72)),0)</x:f>
        <x:v>250</x:v>
      </x:c>
      <x:c r="M72" s="105" t="n">
        <x:f>IF(AND(A72='Your Mortgage'!$F$8,I72&gt;0),MIN('Your Mortgage'!$F$7,MAX(0,I72+J72-K72-L72)),0)</x:f>
        <x:v>0</x:v>
      </x:c>
      <x:c r="N72" s="105" t="n">
        <x:f>K72+L72+M72</x:f>
        <x:v>2304.2210763521375</x:v>
      </x:c>
      <x:c r="O72" s="105" t="n">
        <x:f>MAX(0,N72-J72)</x:f>
        <x:v>813.0118106295809</x:v>
      </x:c>
      <x:c r="P72" s="105" t="n">
        <x:f>MAX(0,I72-O72)</x:f>
        <x:v>274487.16032276547</x:v>
      </x:c>
      <x:c r="Q72" s="106" t="n">
        <x:f>X71</x:f>
        <x:v>262222.7401954582</x:v>
      </x:c>
      <x:c r="R72" s="106" t="n">
        <x:f>IF(Q72&gt;0,Q72*'Your Mortgage'!$C$7/12,0)</x:f>
        <x:v>1420.3731760587318</x:v>
      </x:c>
      <x:c r="S72" s="106" t="n">
        <x:f>IF(Q72&gt;0,MIN('Your Mortgage'!$C$11,Q72+R72),0)</x:f>
        <x:v>2054.2210763521375</x:v>
      </x:c>
      <x:c r="T72" s="106" t="n">
        <x:f>IF(Q72&gt;0,MIN('Your Mortgage'!$I$6,MAX(0,Q72+R72-S72)),0)</x:f>
        <x:v>500</x:v>
      </x:c>
      <x:c r="U72" s="106" t="n">
        <x:f>IF(AND(A72='Your Mortgage'!$I$8,Q72&gt;0),MIN('Your Mortgage'!$I$7,MAX(0,Q72+R72-S72-T72)),0)</x:f>
        <x:v>0</x:v>
      </x:c>
      <x:c r="V72" s="106" t="n">
        <x:f>S72+T72+U72</x:f>
        <x:v>2554.2210763521375</x:v>
      </x:c>
      <x:c r="W72" s="106" t="n">
        <x:f>MAX(0,V72-R72)</x:f>
        <x:v>1133.8479002934057</x:v>
      </x:c>
      <x:c r="X72" s="106" t="n">
        <x:f>MAX(0,Q72-W72)</x:f>
        <x:v>261088.89229516475</x:v>
      </x:c>
      <x:c r="Y72" s="1"/>
      <x:c r="Z72" s="1"/>
    </x:row>
    <x:row r="73">
      <x:c r="A73" s="100" t="n">
        <x:f>A72+1</x:f>
        <x:v>68</x:v>
      </x:c>
      <x:c r="B73" s="103" t="n">
        <x:f>EDATE(B72,1)</x:f>
        <x:v>48274</x:v>
      </x:c>
      <x:c r="C73" s="104" t="n">
        <x:f>H72</x:f>
        <x:v>301345.0983107993</x:v>
      </x:c>
      <x:c r="D73" s="104" t="n">
        <x:f>IF(C73&gt;0,C73*'Your Mortgage'!$C$7/12,0)</x:f>
        <x:v>1632.285949183496</x:v>
      </x:c>
      <x:c r="E73" s="104" t="n">
        <x:f>IF(C73&gt;0,MIN('Your Mortgage'!$C$11,C73+D73),0)</x:f>
        <x:v>2054.2210763521375</x:v>
      </x:c>
      <x:c r="F73" s="104" t="n">
        <x:f>E73</x:f>
        <x:v>2054.2210763521375</x:v>
      </x:c>
      <x:c r="G73" s="104" t="n">
        <x:f>MAX(0,F73-D73)</x:f>
        <x:v>421.93512716864143</x:v>
      </x:c>
      <x:c r="H73" s="104" t="n">
        <x:f>MAX(0,C73-G73)</x:f>
        <x:v>300923.1631836306</x:v>
      </x:c>
      <x:c r="I73" s="105" t="n">
        <x:f>P72</x:f>
        <x:v>274487.16032276547</x:v>
      </x:c>
      <x:c r="J73" s="105" t="n">
        <x:f>IF(I73&gt;0,I73*'Your Mortgage'!$C$7/12,0)</x:f>
        <x:v>1486.805451748313</x:v>
      </x:c>
      <x:c r="K73" s="105" t="n">
        <x:f>IF(I73&gt;0,MIN('Your Mortgage'!$C$11,I73+J73),0)</x:f>
        <x:v>2054.2210763521375</x:v>
      </x:c>
      <x:c r="L73" s="105" t="n">
        <x:f>IF(I73&gt;0,MIN('Your Mortgage'!$F$6,MAX(0,I73+J73-K73)),0)</x:f>
        <x:v>250</x:v>
      </x:c>
      <x:c r="M73" s="105" t="n">
        <x:f>IF(AND(A73='Your Mortgage'!$F$8,I73&gt;0),MIN('Your Mortgage'!$F$7,MAX(0,I73+J73-K73-L73)),0)</x:f>
        <x:v>0</x:v>
      </x:c>
      <x:c r="N73" s="105" t="n">
        <x:f>K73+L73+M73</x:f>
        <x:v>2304.2210763521375</x:v>
      </x:c>
      <x:c r="O73" s="105" t="n">
        <x:f>MAX(0,N73-J73)</x:f>
        <x:v>817.4156246038244</x:v>
      </x:c>
      <x:c r="P73" s="105" t="n">
        <x:f>MAX(0,I73-O73)</x:f>
        <x:v>273669.74469816167</x:v>
      </x:c>
      <x:c r="Q73" s="106" t="n">
        <x:f>X72</x:f>
        <x:v>261088.89229516475</x:v>
      </x:c>
      <x:c r="R73" s="106" t="n">
        <x:f>IF(Q73&gt;0,Q73*'Your Mortgage'!$C$7/12,0)</x:f>
        <x:v>1414.2314999321425</x:v>
      </x:c>
      <x:c r="S73" s="106" t="n">
        <x:f>IF(Q73&gt;0,MIN('Your Mortgage'!$C$11,Q73+R73),0)</x:f>
        <x:v>2054.2210763521375</x:v>
      </x:c>
      <x:c r="T73" s="106" t="n">
        <x:f>IF(Q73&gt;0,MIN('Your Mortgage'!$I$6,MAX(0,Q73+R73-S73)),0)</x:f>
        <x:v>500</x:v>
      </x:c>
      <x:c r="U73" s="106" t="n">
        <x:f>IF(AND(A73='Your Mortgage'!$I$8,Q73&gt;0),MIN('Your Mortgage'!$I$7,MAX(0,Q73+R73-S73-T73)),0)</x:f>
        <x:v>0</x:v>
      </x:c>
      <x:c r="V73" s="106" t="n">
        <x:f>S73+T73+U73</x:f>
        <x:v>2554.2210763521375</x:v>
      </x:c>
      <x:c r="W73" s="106" t="n">
        <x:f>MAX(0,V73-R73)</x:f>
        <x:v>1139.989576419995</x:v>
      </x:c>
      <x:c r="X73" s="106" t="n">
        <x:f>MAX(0,Q73-W73)</x:f>
        <x:v>259948.90271874476</x:v>
      </x:c>
      <x:c r="Y73" s="1"/>
      <x:c r="Z73" s="1"/>
    </x:row>
    <x:row r="74">
      <x:c r="A74" s="100" t="n">
        <x:f>A73+1</x:f>
        <x:v>69</x:v>
      </x:c>
      <x:c r="B74" s="103" t="n">
        <x:f>EDATE(B73,1)</x:f>
        <x:v>48305</x:v>
      </x:c>
      <x:c r="C74" s="104" t="n">
        <x:f>H73</x:f>
        <x:v>300923.1631836306</x:v>
      </x:c>
      <x:c r="D74" s="104" t="n">
        <x:f>IF(C74&gt;0,C74*'Your Mortgage'!$C$7/12,0)</x:f>
        <x:v>1630.000467244666</x:v>
      </x:c>
      <x:c r="E74" s="104" t="n">
        <x:f>IF(C74&gt;0,MIN('Your Mortgage'!$C$11,C74+D74),0)</x:f>
        <x:v>2054.2210763521375</x:v>
      </x:c>
      <x:c r="F74" s="104" t="n">
        <x:f>E74</x:f>
        <x:v>2054.2210763521375</x:v>
      </x:c>
      <x:c r="G74" s="104" t="n">
        <x:f>MAX(0,F74-D74)</x:f>
        <x:v>424.22060910747155</x:v>
      </x:c>
      <x:c r="H74" s="104" t="n">
        <x:f>MAX(0,C74-G74)</x:f>
        <x:v>300498.94257452316</x:v>
      </x:c>
      <x:c r="I74" s="105" t="n">
        <x:f>P73</x:f>
        <x:v>273669.74469816167</x:v>
      </x:c>
      <x:c r="J74" s="105" t="n">
        <x:f>IF(I74&gt;0,I74*'Your Mortgage'!$C$7/12,0)</x:f>
        <x:v>1482.377783781709</x:v>
      </x:c>
      <x:c r="K74" s="105" t="n">
        <x:f>IF(I74&gt;0,MIN('Your Mortgage'!$C$11,I74+J74),0)</x:f>
        <x:v>2054.2210763521375</x:v>
      </x:c>
      <x:c r="L74" s="105" t="n">
        <x:f>IF(I74&gt;0,MIN('Your Mortgage'!$F$6,MAX(0,I74+J74-K74)),0)</x:f>
        <x:v>250</x:v>
      </x:c>
      <x:c r="M74" s="105" t="n">
        <x:f>IF(AND(A74='Your Mortgage'!$F$8,I74&gt;0),MIN('Your Mortgage'!$F$7,MAX(0,I74+J74-K74-L74)),0)</x:f>
        <x:v>0</x:v>
      </x:c>
      <x:c r="N74" s="105" t="n">
        <x:f>K74+L74+M74</x:f>
        <x:v>2304.2210763521375</x:v>
      </x:c>
      <x:c r="O74" s="105" t="n">
        <x:f>MAX(0,N74-J74)</x:f>
        <x:v>821.8432925704285</x:v>
      </x:c>
      <x:c r="P74" s="105" t="n">
        <x:f>MAX(0,I74-O74)</x:f>
        <x:v>272847.9014055912</x:v>
      </x:c>
      <x:c r="Q74" s="106" t="n">
        <x:f>X73</x:f>
        <x:v>259948.90271874476</x:v>
      </x:c>
      <x:c r="R74" s="106" t="n">
        <x:f>IF(Q74&gt;0,Q74*'Your Mortgage'!$C$7/12,0)</x:f>
        <x:v>1408.0565563932007</x:v>
      </x:c>
      <x:c r="S74" s="106" t="n">
        <x:f>IF(Q74&gt;0,MIN('Your Mortgage'!$C$11,Q74+R74),0)</x:f>
        <x:v>2054.2210763521375</x:v>
      </x:c>
      <x:c r="T74" s="106" t="n">
        <x:f>IF(Q74&gt;0,MIN('Your Mortgage'!$I$6,MAX(0,Q74+R74-S74)),0)</x:f>
        <x:v>500</x:v>
      </x:c>
      <x:c r="U74" s="106" t="n">
        <x:f>IF(AND(A74='Your Mortgage'!$I$8,Q74&gt;0),MIN('Your Mortgage'!$I$7,MAX(0,Q74+R74-S74-T74)),0)</x:f>
        <x:v>0</x:v>
      </x:c>
      <x:c r="V74" s="106" t="n">
        <x:f>S74+T74+U74</x:f>
        <x:v>2554.2210763521375</x:v>
      </x:c>
      <x:c r="W74" s="106" t="n">
        <x:f>MAX(0,V74-R74)</x:f>
        <x:v>1146.1645199589368</x:v>
      </x:c>
      <x:c r="X74" s="106" t="n">
        <x:f>MAX(0,Q74-W74)</x:f>
        <x:v>258802.73819878584</x:v>
      </x:c>
      <x:c r="Y74" s="1"/>
      <x:c r="Z74" s="1"/>
    </x:row>
    <x:row r="75">
      <x:c r="A75" s="100" t="n">
        <x:f>A74+1</x:f>
        <x:v>70</x:v>
      </x:c>
      <x:c r="B75" s="103" t="n">
        <x:f>EDATE(B74,1)</x:f>
        <x:v>48335</x:v>
      </x:c>
      <x:c r="C75" s="104" t="n">
        <x:f>H74</x:f>
        <x:v>300498.94257452316</x:v>
      </x:c>
      <x:c r="D75" s="104" t="n">
        <x:f>IF(C75&gt;0,C75*'Your Mortgage'!$C$7/12,0)</x:f>
        <x:v>1627.7026056120005</x:v>
      </x:c>
      <x:c r="E75" s="104" t="n">
        <x:f>IF(C75&gt;0,MIN('Your Mortgage'!$C$11,C75+D75),0)</x:f>
        <x:v>2054.2210763521375</x:v>
      </x:c>
      <x:c r="F75" s="104" t="n">
        <x:f>E75</x:f>
        <x:v>2054.2210763521375</x:v>
      </x:c>
      <x:c r="G75" s="104" t="n">
        <x:f>MAX(0,F75-D75)</x:f>
        <x:v>426.518470740137</x:v>
      </x:c>
      <x:c r="H75" s="104" t="n">
        <x:f>MAX(0,C75-G75)</x:f>
        <x:v>300072.42410378304</x:v>
      </x:c>
      <x:c r="I75" s="105" t="n">
        <x:f>P74</x:f>
        <x:v>272847.9014055912</x:v>
      </x:c>
      <x:c r="J75" s="105" t="n">
        <x:f>IF(I75&gt;0,I75*'Your Mortgage'!$C$7/12,0)</x:f>
        <x:v>1477.9261326136193</x:v>
      </x:c>
      <x:c r="K75" s="105" t="n">
        <x:f>IF(I75&gt;0,MIN('Your Mortgage'!$C$11,I75+J75),0)</x:f>
        <x:v>2054.2210763521375</x:v>
      </x:c>
      <x:c r="L75" s="105" t="n">
        <x:f>IF(I75&gt;0,MIN('Your Mortgage'!$F$6,MAX(0,I75+J75-K75)),0)</x:f>
        <x:v>250</x:v>
      </x:c>
      <x:c r="M75" s="105" t="n">
        <x:f>IF(AND(A75='Your Mortgage'!$F$8,I75&gt;0),MIN('Your Mortgage'!$F$7,MAX(0,I75+J75-K75-L75)),0)</x:f>
        <x:v>0</x:v>
      </x:c>
      <x:c r="N75" s="105" t="n">
        <x:f>K75+L75+M75</x:f>
        <x:v>2304.2210763521375</x:v>
      </x:c>
      <x:c r="O75" s="105" t="n">
        <x:f>MAX(0,N75-J75)</x:f>
        <x:v>826.2949437385182</x:v>
      </x:c>
      <x:c r="P75" s="105" t="n">
        <x:f>MAX(0,I75-O75)</x:f>
        <x:v>272021.60646185273</x:v>
      </x:c>
      <x:c r="Q75" s="106" t="n">
        <x:f>X74</x:f>
        <x:v>258802.73819878584</x:v>
      </x:c>
      <x:c r="R75" s="106" t="n">
        <x:f>IF(Q75&gt;0,Q75*'Your Mortgage'!$C$7/12,0)</x:f>
        <x:v>1401.8481652434232</x:v>
      </x:c>
      <x:c r="S75" s="106" t="n">
        <x:f>IF(Q75&gt;0,MIN('Your Mortgage'!$C$11,Q75+R75),0)</x:f>
        <x:v>2054.2210763521375</x:v>
      </x:c>
      <x:c r="T75" s="106" t="n">
        <x:f>IF(Q75&gt;0,MIN('Your Mortgage'!$I$6,MAX(0,Q75+R75-S75)),0)</x:f>
        <x:v>500</x:v>
      </x:c>
      <x:c r="U75" s="106" t="n">
        <x:f>IF(AND(A75='Your Mortgage'!$I$8,Q75&gt;0),MIN('Your Mortgage'!$I$7,MAX(0,Q75+R75-S75-T75)),0)</x:f>
        <x:v>0</x:v>
      </x:c>
      <x:c r="V75" s="106" t="n">
        <x:f>S75+T75+U75</x:f>
        <x:v>2554.2210763521375</x:v>
      </x:c>
      <x:c r="W75" s="106" t="n">
        <x:f>MAX(0,V75-R75)</x:f>
        <x:v>1152.3729111087143</x:v>
      </x:c>
      <x:c r="X75" s="106" t="n">
        <x:f>MAX(0,Q75-W75)</x:f>
        <x:v>257650.36528767712</x:v>
      </x:c>
      <x:c r="Y75" s="1"/>
      <x:c r="Z75" s="1"/>
    </x:row>
    <x:row r="76">
      <x:c r="A76" s="100" t="n">
        <x:f>A75+1</x:f>
        <x:v>71</x:v>
      </x:c>
      <x:c r="B76" s="103" t="n">
        <x:f>EDATE(B75,1)</x:f>
        <x:v>48366</x:v>
      </x:c>
      <x:c r="C76" s="104" t="n">
        <x:f>H75</x:f>
        <x:v>300072.42410378304</x:v>
      </x:c>
      <x:c r="D76" s="104" t="n">
        <x:f>IF(C76&gt;0,C76*'Your Mortgage'!$C$7/12,0)</x:f>
        <x:v>1625.3922972288249</x:v>
      </x:c>
      <x:c r="E76" s="104" t="n">
        <x:f>IF(C76&gt;0,MIN('Your Mortgage'!$C$11,C76+D76),0)</x:f>
        <x:v>2054.2210763521375</x:v>
      </x:c>
      <x:c r="F76" s="104" t="n">
        <x:f>E76</x:f>
        <x:v>2054.2210763521375</x:v>
      </x:c>
      <x:c r="G76" s="104" t="n">
        <x:f>MAX(0,F76-D76)</x:f>
        <x:v>428.82877912331264</x:v>
      </x:c>
      <x:c r="H76" s="104" t="n">
        <x:f>MAX(0,C76-G76)</x:f>
        <x:v>299643.5953246597</x:v>
      </x:c>
      <x:c r="I76" s="105" t="n">
        <x:f>P75</x:f>
        <x:v>272021.60646185273</x:v>
      </x:c>
      <x:c r="J76" s="105" t="n">
        <x:f>IF(I76&gt;0,I76*'Your Mortgage'!$C$7/12,0)</x:f>
        <x:v>1473.4503683350358</x:v>
      </x:c>
      <x:c r="K76" s="105" t="n">
        <x:f>IF(I76&gt;0,MIN('Your Mortgage'!$C$11,I76+J76),0)</x:f>
        <x:v>2054.2210763521375</x:v>
      </x:c>
      <x:c r="L76" s="105" t="n">
        <x:f>IF(I76&gt;0,MIN('Your Mortgage'!$F$6,MAX(0,I76+J76-K76)),0)</x:f>
        <x:v>250</x:v>
      </x:c>
      <x:c r="M76" s="105" t="n">
        <x:f>IF(AND(A76='Your Mortgage'!$F$8,I76&gt;0),MIN('Your Mortgage'!$F$7,MAX(0,I76+J76-K76-L76)),0)</x:f>
        <x:v>0</x:v>
      </x:c>
      <x:c r="N76" s="105" t="n">
        <x:f>K76+L76+M76</x:f>
        <x:v>2304.2210763521375</x:v>
      </x:c>
      <x:c r="O76" s="105" t="n">
        <x:f>MAX(0,N76-J76)</x:f>
        <x:v>830.7707080171017</x:v>
      </x:c>
      <x:c r="P76" s="105" t="n">
        <x:f>MAX(0,I76-O76)</x:f>
        <x:v>271190.8357538356</x:v>
      </x:c>
      <x:c r="Q76" s="106" t="n">
        <x:f>X75</x:f>
        <x:v>257650.36528767712</x:v>
      </x:c>
      <x:c r="R76" s="106" t="n">
        <x:f>IF(Q76&gt;0,Q76*'Your Mortgage'!$C$7/12,0)</x:f>
        <x:v>1395.6061453082511</x:v>
      </x:c>
      <x:c r="S76" s="106" t="n">
        <x:f>IF(Q76&gt;0,MIN('Your Mortgage'!$C$11,Q76+R76),0)</x:f>
        <x:v>2054.2210763521375</x:v>
      </x:c>
      <x:c r="T76" s="106" t="n">
        <x:f>IF(Q76&gt;0,MIN('Your Mortgage'!$I$6,MAX(0,Q76+R76-S76)),0)</x:f>
        <x:v>500</x:v>
      </x:c>
      <x:c r="U76" s="106" t="n">
        <x:f>IF(AND(A76='Your Mortgage'!$I$8,Q76&gt;0),MIN('Your Mortgage'!$I$7,MAX(0,Q76+R76-S76-T76)),0)</x:f>
        <x:v>0</x:v>
      </x:c>
      <x:c r="V76" s="106" t="n">
        <x:f>S76+T76+U76</x:f>
        <x:v>2554.2210763521375</x:v>
      </x:c>
      <x:c r="W76" s="106" t="n">
        <x:f>MAX(0,V76-R76)</x:f>
        <x:v>1158.6149310438864</x:v>
      </x:c>
      <x:c r="X76" s="106" t="n">
        <x:f>MAX(0,Q76-W76)</x:f>
        <x:v>256491.75035663325</x:v>
      </x:c>
      <x:c r="Y76" s="1"/>
      <x:c r="Z76" s="1"/>
    </x:row>
    <x:row r="77">
      <x:c r="A77" s="100" t="n">
        <x:f>A76+1</x:f>
        <x:v>72</x:v>
      </x:c>
      <x:c r="B77" s="103" t="n">
        <x:f>EDATE(B76,1)</x:f>
        <x:v>48396</x:v>
      </x:c>
      <x:c r="C77" s="104" t="n">
        <x:f>H76</x:f>
        <x:v>299643.5953246597</x:v>
      </x:c>
      <x:c r="D77" s="104" t="n">
        <x:f>IF(C77&gt;0,C77*'Your Mortgage'!$C$7/12,0)</x:f>
        <x:v>1623.0694746752404</x:v>
      </x:c>
      <x:c r="E77" s="104" t="n">
        <x:f>IF(C77&gt;0,MIN('Your Mortgage'!$C$11,C77+D77),0)</x:f>
        <x:v>2054.2210763521375</x:v>
      </x:c>
      <x:c r="F77" s="104" t="n">
        <x:f>E77</x:f>
        <x:v>2054.2210763521375</x:v>
      </x:c>
      <x:c r="G77" s="104" t="n">
        <x:f>MAX(0,F77-D77)</x:f>
        <x:v>431.15160167689714</x:v>
      </x:c>
      <x:c r="H77" s="104" t="n">
        <x:f>MAX(0,C77-G77)</x:f>
        <x:v>299212.44372298283</x:v>
      </x:c>
      <x:c r="I77" s="105" t="n">
        <x:f>P76</x:f>
        <x:v>271190.8357538356</x:v>
      </x:c>
      <x:c r="J77" s="105" t="n">
        <x:f>IF(I77&gt;0,I77*'Your Mortgage'!$C$7/12,0)</x:f>
        <x:v>1468.9503603332762</x:v>
      </x:c>
      <x:c r="K77" s="105" t="n">
        <x:f>IF(I77&gt;0,MIN('Your Mortgage'!$C$11,I77+J77),0)</x:f>
        <x:v>2054.2210763521375</x:v>
      </x:c>
      <x:c r="L77" s="105" t="n">
        <x:f>IF(I77&gt;0,MIN('Your Mortgage'!$F$6,MAX(0,I77+J77-K77)),0)</x:f>
        <x:v>250</x:v>
      </x:c>
      <x:c r="M77" s="105" t="n">
        <x:f>IF(AND(A77='Your Mortgage'!$F$8,I77&gt;0),MIN('Your Mortgage'!$F$7,MAX(0,I77+J77-K77-L77)),0)</x:f>
        <x:v>0</x:v>
      </x:c>
      <x:c r="N77" s="105" t="n">
        <x:f>K77+L77+M77</x:f>
        <x:v>2304.2210763521375</x:v>
      </x:c>
      <x:c r="O77" s="105" t="n">
        <x:f>MAX(0,N77-J77)</x:f>
        <x:v>835.2707160188613</x:v>
      </x:c>
      <x:c r="P77" s="105" t="n">
        <x:f>MAX(0,I77-O77)</x:f>
        <x:v>270355.56503781676</x:v>
      </x:c>
      <x:c r="Q77" s="106" t="n">
        <x:f>X76</x:f>
        <x:v>256491.75035663325</x:v>
      </x:c>
      <x:c r="R77" s="106" t="n">
        <x:f>IF(Q77&gt;0,Q77*'Your Mortgage'!$C$7/12,0)</x:f>
        <x:v>1389.3303144317633</x:v>
      </x:c>
      <x:c r="S77" s="106" t="n">
        <x:f>IF(Q77&gt;0,MIN('Your Mortgage'!$C$11,Q77+R77),0)</x:f>
        <x:v>2054.2210763521375</x:v>
      </x:c>
      <x:c r="T77" s="106" t="n">
        <x:f>IF(Q77&gt;0,MIN('Your Mortgage'!$I$6,MAX(0,Q77+R77-S77)),0)</x:f>
        <x:v>500</x:v>
      </x:c>
      <x:c r="U77" s="106" t="n">
        <x:f>IF(AND(A77='Your Mortgage'!$I$8,Q77&gt;0),MIN('Your Mortgage'!$I$7,MAX(0,Q77+R77-S77-T77)),0)</x:f>
        <x:v>0</x:v>
      </x:c>
      <x:c r="V77" s="106" t="n">
        <x:f>S77+T77+U77</x:f>
        <x:v>2554.2210763521375</x:v>
      </x:c>
      <x:c r="W77" s="106" t="n">
        <x:f>MAX(0,V77-R77)</x:f>
        <x:v>1164.8907619203742</x:v>
      </x:c>
      <x:c r="X77" s="106" t="n">
        <x:f>MAX(0,Q77-W77)</x:f>
        <x:v>255326.85959471288</x:v>
      </x:c>
      <x:c r="Y77" s="1"/>
      <x:c r="Z77" s="1"/>
    </x:row>
    <x:row r="78">
      <x:c r="A78" s="100" t="n">
        <x:f>A77+1</x:f>
        <x:v>73</x:v>
      </x:c>
      <x:c r="B78" s="103" t="n">
        <x:f>EDATE(B77,1)</x:f>
        <x:v>48427</x:v>
      </x:c>
      <x:c r="C78" s="104" t="n">
        <x:f>H77</x:f>
        <x:v>299212.44372298283</x:v>
      </x:c>
      <x:c r="D78" s="104" t="n">
        <x:f>IF(C78&gt;0,C78*'Your Mortgage'!$C$7/12,0)</x:f>
        <x:v>1620.734070166157</x:v>
      </x:c>
      <x:c r="E78" s="104" t="n">
        <x:f>IF(C78&gt;0,MIN('Your Mortgage'!$C$11,C78+D78),0)</x:f>
        <x:v>2054.2210763521375</x:v>
      </x:c>
      <x:c r="F78" s="104" t="n">
        <x:f>E78</x:f>
        <x:v>2054.2210763521375</x:v>
      </x:c>
      <x:c r="G78" s="104" t="n">
        <x:f>MAX(0,F78-D78)</x:f>
        <x:v>433.4870061859806</x:v>
      </x:c>
      <x:c r="H78" s="104" t="n">
        <x:f>MAX(0,C78-G78)</x:f>
        <x:v>298778.95671679685</x:v>
      </x:c>
      <x:c r="I78" s="105" t="n">
        <x:f>P77</x:f>
        <x:v>270355.56503781676</x:v>
      </x:c>
      <x:c r="J78" s="105" t="n">
        <x:f>IF(I78&gt;0,I78*'Your Mortgage'!$C$7/12,0)</x:f>
        <x:v>1464.4259772881742</x:v>
      </x:c>
      <x:c r="K78" s="105" t="n">
        <x:f>IF(I78&gt;0,MIN('Your Mortgage'!$C$11,I78+J78),0)</x:f>
        <x:v>2054.2210763521375</x:v>
      </x:c>
      <x:c r="L78" s="105" t="n">
        <x:f>IF(I78&gt;0,MIN('Your Mortgage'!$F$6,MAX(0,I78+J78-K78)),0)</x:f>
        <x:v>250</x:v>
      </x:c>
      <x:c r="M78" s="105" t="n">
        <x:f>IF(AND(A78='Your Mortgage'!$F$8,I78&gt;0),MIN('Your Mortgage'!$F$7,MAX(0,I78+J78-K78-L78)),0)</x:f>
        <x:v>0</x:v>
      </x:c>
      <x:c r="N78" s="105" t="n">
        <x:f>K78+L78+M78</x:f>
        <x:v>2304.2210763521375</x:v>
      </x:c>
      <x:c r="O78" s="105" t="n">
        <x:f>MAX(0,N78-J78)</x:f>
        <x:v>839.7950990639633</x:v>
      </x:c>
      <x:c r="P78" s="105" t="n">
        <x:f>MAX(0,I78-O78)</x:f>
        <x:v>269515.7699387528</x:v>
      </x:c>
      <x:c r="Q78" s="106" t="n">
        <x:f>X77</x:f>
        <x:v>255326.85959471288</x:v>
      </x:c>
      <x:c r="R78" s="106" t="n">
        <x:f>IF(Q78&gt;0,Q78*'Your Mortgage'!$C$7/12,0)</x:f>
        <x:v>1383.0204894713615</x:v>
      </x:c>
      <x:c r="S78" s="106" t="n">
        <x:f>IF(Q78&gt;0,MIN('Your Mortgage'!$C$11,Q78+R78),0)</x:f>
        <x:v>2054.2210763521375</x:v>
      </x:c>
      <x:c r="T78" s="106" t="n">
        <x:f>IF(Q78&gt;0,MIN('Your Mortgage'!$I$6,MAX(0,Q78+R78-S78)),0)</x:f>
        <x:v>500</x:v>
      </x:c>
      <x:c r="U78" s="106" t="n">
        <x:f>IF(AND(A78='Your Mortgage'!$I$8,Q78&gt;0),MIN('Your Mortgage'!$I$7,MAX(0,Q78+R78-S78-T78)),0)</x:f>
        <x:v>0</x:v>
      </x:c>
      <x:c r="V78" s="106" t="n">
        <x:f>S78+T78+U78</x:f>
        <x:v>2554.2210763521375</x:v>
      </x:c>
      <x:c r="W78" s="106" t="n">
        <x:f>MAX(0,V78-R78)</x:f>
        <x:v>1171.200586880776</x:v>
      </x:c>
      <x:c r="X78" s="106" t="n">
        <x:f>MAX(0,Q78-W78)</x:f>
        <x:v>254155.6590078321</x:v>
      </x:c>
      <x:c r="Y78" s="1"/>
      <x:c r="Z78" s="1"/>
    </x:row>
    <x:row r="79">
      <x:c r="A79" s="100" t="n">
        <x:f>A78+1</x:f>
        <x:v>74</x:v>
      </x:c>
      <x:c r="B79" s="103" t="n">
        <x:f>EDATE(B78,1)</x:f>
        <x:v>48458</x:v>
      </x:c>
      <x:c r="C79" s="104" t="n">
        <x:f>H78</x:f>
        <x:v>298778.95671679685</x:v>
      </x:c>
      <x:c r="D79" s="104" t="n">
        <x:f>IF(C79&gt;0,C79*'Your Mortgage'!$C$7/12,0)</x:f>
        <x:v>1618.3860155493164</x:v>
      </x:c>
      <x:c r="E79" s="104" t="n">
        <x:f>IF(C79&gt;0,MIN('Your Mortgage'!$C$11,C79+D79),0)</x:f>
        <x:v>2054.2210763521375</x:v>
      </x:c>
      <x:c r="F79" s="104" t="n">
        <x:f>E79</x:f>
        <x:v>2054.2210763521375</x:v>
      </x:c>
      <x:c r="G79" s="104" t="n">
        <x:f>MAX(0,F79-D79)</x:f>
        <x:v>435.8350608028211</x:v>
      </x:c>
      <x:c r="H79" s="104" t="n">
        <x:f>MAX(0,C79-G79)</x:f>
        <x:v>298343.12165599404</x:v>
      </x:c>
      <x:c r="I79" s="105" t="n">
        <x:f>P78</x:f>
        <x:v>269515.7699387528</x:v>
      </x:c>
      <x:c r="J79" s="105" t="n">
        <x:f>IF(I79&gt;0,I79*'Your Mortgage'!$C$7/12,0)</x:f>
        <x:v>1459.8770871682445</x:v>
      </x:c>
      <x:c r="K79" s="105" t="n">
        <x:f>IF(I79&gt;0,MIN('Your Mortgage'!$C$11,I79+J79),0)</x:f>
        <x:v>2054.2210763521375</x:v>
      </x:c>
      <x:c r="L79" s="105" t="n">
        <x:f>IF(I79&gt;0,MIN('Your Mortgage'!$F$6,MAX(0,I79+J79-K79)),0)</x:f>
        <x:v>250</x:v>
      </x:c>
      <x:c r="M79" s="105" t="n">
        <x:f>IF(AND(A79='Your Mortgage'!$F$8,I79&gt;0),MIN('Your Mortgage'!$F$7,MAX(0,I79+J79-K79-L79)),0)</x:f>
        <x:v>0</x:v>
      </x:c>
      <x:c r="N79" s="105" t="n">
        <x:f>K79+L79+M79</x:f>
        <x:v>2304.2210763521375</x:v>
      </x:c>
      <x:c r="O79" s="105" t="n">
        <x:f>MAX(0,N79-J79)</x:f>
        <x:v>844.343989183893</x:v>
      </x:c>
      <x:c r="P79" s="105" t="n">
        <x:f>MAX(0,I79-O79)</x:f>
        <x:v>268671.4259495689</x:v>
      </x:c>
      <x:c r="Q79" s="106" t="n">
        <x:f>X78</x:f>
        <x:v>254155.6590078321</x:v>
      </x:c>
      <x:c r="R79" s="106" t="n">
        <x:f>IF(Q79&gt;0,Q79*'Your Mortgage'!$C$7/12,0)</x:f>
        <x:v>1376.6764862924238</x:v>
      </x:c>
      <x:c r="S79" s="106" t="n">
        <x:f>IF(Q79&gt;0,MIN('Your Mortgage'!$C$11,Q79+R79),0)</x:f>
        <x:v>2054.2210763521375</x:v>
      </x:c>
      <x:c r="T79" s="106" t="n">
        <x:f>IF(Q79&gt;0,MIN('Your Mortgage'!$I$6,MAX(0,Q79+R79-S79)),0)</x:f>
        <x:v>500</x:v>
      </x:c>
      <x:c r="U79" s="106" t="n">
        <x:f>IF(AND(A79='Your Mortgage'!$I$8,Q79&gt;0),MIN('Your Mortgage'!$I$7,MAX(0,Q79+R79-S79-T79)),0)</x:f>
        <x:v>0</x:v>
      </x:c>
      <x:c r="V79" s="106" t="n">
        <x:f>S79+T79+U79</x:f>
        <x:v>2554.2210763521375</x:v>
      </x:c>
      <x:c r="W79" s="106" t="n">
        <x:f>MAX(0,V79-R79)</x:f>
        <x:v>1177.5445900597138</x:v>
      </x:c>
      <x:c r="X79" s="106" t="n">
        <x:f>MAX(0,Q79-W79)</x:f>
        <x:v>252978.11441777236</x:v>
      </x:c>
      <x:c r="Y79" s="1"/>
      <x:c r="Z79" s="1"/>
    </x:row>
    <x:row r="80">
      <x:c r="A80" s="100" t="n">
        <x:f>A79+1</x:f>
        <x:v>75</x:v>
      </x:c>
      <x:c r="B80" s="103" t="n">
        <x:f>EDATE(B79,1)</x:f>
        <x:v>48488</x:v>
      </x:c>
      <x:c r="C80" s="104" t="n">
        <x:f>H79</x:f>
        <x:v>298343.12165599404</x:v>
      </x:c>
      <x:c r="D80" s="104" t="n">
        <x:f>IF(C80&gt;0,C80*'Your Mortgage'!$C$7/12,0)</x:f>
        <x:v>1616.025242303301</x:v>
      </x:c>
      <x:c r="E80" s="104" t="n">
        <x:f>IF(C80&gt;0,MIN('Your Mortgage'!$C$11,C80+D80),0)</x:f>
        <x:v>2054.2210763521375</x:v>
      </x:c>
      <x:c r="F80" s="104" t="n">
        <x:f>E80</x:f>
        <x:v>2054.2210763521375</x:v>
      </x:c>
      <x:c r="G80" s="104" t="n">
        <x:f>MAX(0,F80-D80)</x:f>
        <x:v>438.19583404883656</x:v>
      </x:c>
      <x:c r="H80" s="104" t="n">
        <x:f>MAX(0,C80-G80)</x:f>
        <x:v>297904.9258219452</x:v>
      </x:c>
      <x:c r="I80" s="105" t="n">
        <x:f>P79</x:f>
        <x:v>268671.4259495689</x:v>
      </x:c>
      <x:c r="J80" s="105" t="n">
        <x:f>IF(I80&gt;0,I80*'Your Mortgage'!$C$7/12,0)</x:f>
        <x:v>1455.3035572268318</x:v>
      </x:c>
      <x:c r="K80" s="105" t="n">
        <x:f>IF(I80&gt;0,MIN('Your Mortgage'!$C$11,I80+J80),0)</x:f>
        <x:v>2054.2210763521375</x:v>
      </x:c>
      <x:c r="L80" s="105" t="n">
        <x:f>IF(I80&gt;0,MIN('Your Mortgage'!$F$6,MAX(0,I80+J80-K80)),0)</x:f>
        <x:v>250</x:v>
      </x:c>
      <x:c r="M80" s="105" t="n">
        <x:f>IF(AND(A80='Your Mortgage'!$F$8,I80&gt;0),MIN('Your Mortgage'!$F$7,MAX(0,I80+J80-K80-L80)),0)</x:f>
        <x:v>0</x:v>
      </x:c>
      <x:c r="N80" s="105" t="n">
        <x:f>K80+L80+M80</x:f>
        <x:v>2304.2210763521375</x:v>
      </x:c>
      <x:c r="O80" s="105" t="n">
        <x:f>MAX(0,N80-J80)</x:f>
        <x:v>848.9175191253057</x:v>
      </x:c>
      <x:c r="P80" s="105" t="n">
        <x:f>MAX(0,I80-O80)</x:f>
        <x:v>267822.5084304436</x:v>
      </x:c>
      <x:c r="Q80" s="106" t="n">
        <x:f>X79</x:f>
        <x:v>252978.11441777236</x:v>
      </x:c>
      <x:c r="R80" s="106" t="n">
        <x:f>IF(Q80&gt;0,Q80*'Your Mortgage'!$C$7/12,0)</x:f>
        <x:v>1370.2981197629335</x:v>
      </x:c>
      <x:c r="S80" s="106" t="n">
        <x:f>IF(Q80&gt;0,MIN('Your Mortgage'!$C$11,Q80+R80),0)</x:f>
        <x:v>2054.2210763521375</x:v>
      </x:c>
      <x:c r="T80" s="106" t="n">
        <x:f>IF(Q80&gt;0,MIN('Your Mortgage'!$I$6,MAX(0,Q80+R80-S80)),0)</x:f>
        <x:v>500</x:v>
      </x:c>
      <x:c r="U80" s="106" t="n">
        <x:f>IF(AND(A80='Your Mortgage'!$I$8,Q80&gt;0),MIN('Your Mortgage'!$I$7,MAX(0,Q80+R80-S80-T80)),0)</x:f>
        <x:v>0</x:v>
      </x:c>
      <x:c r="V80" s="106" t="n">
        <x:f>S80+T80+U80</x:f>
        <x:v>2554.2210763521375</x:v>
      </x:c>
      <x:c r="W80" s="106" t="n">
        <x:f>MAX(0,V80-R80)</x:f>
        <x:v>1183.922956589204</x:v>
      </x:c>
      <x:c r="X80" s="106" t="n">
        <x:f>MAX(0,Q80-W80)</x:f>
        <x:v>251794.19146118316</x:v>
      </x:c>
      <x:c r="Y80" s="1"/>
      <x:c r="Z80" s="1"/>
    </x:row>
    <x:row r="81">
      <x:c r="A81" s="100" t="n">
        <x:f>A80+1</x:f>
        <x:v>76</x:v>
      </x:c>
      <x:c r="B81" s="103" t="n">
        <x:f>EDATE(B80,1)</x:f>
        <x:v>48519</x:v>
      </x:c>
      <x:c r="C81" s="104" t="n">
        <x:f>H80</x:f>
        <x:v>297904.9258219452</x:v>
      </x:c>
      <x:c r="D81" s="104" t="n">
        <x:f>IF(C81&gt;0,C81*'Your Mortgage'!$C$7/12,0)</x:f>
        <x:v>1613.6516815355365</x:v>
      </x:c>
      <x:c r="E81" s="104" t="n">
        <x:f>IF(C81&gt;0,MIN('Your Mortgage'!$C$11,C81+D81),0)</x:f>
        <x:v>2054.2210763521375</x:v>
      </x:c>
      <x:c r="F81" s="104" t="n">
        <x:f>E81</x:f>
        <x:v>2054.2210763521375</x:v>
      </x:c>
      <x:c r="G81" s="104" t="n">
        <x:f>MAX(0,F81-D81)</x:f>
        <x:v>440.56939481660106</x:v>
      </x:c>
      <x:c r="H81" s="104" t="n">
        <x:f>MAX(0,C81-G81)</x:f>
        <x:v>297464.3564271286</x:v>
      </x:c>
      <x:c r="I81" s="105" t="n">
        <x:f>P80</x:f>
        <x:v>267822.5084304436</x:v>
      </x:c>
      <x:c r="J81" s="105" t="n">
        <x:f>IF(I81&gt;0,I81*'Your Mortgage'!$C$7/12,0)</x:f>
        <x:v>1450.705253998236</x:v>
      </x:c>
      <x:c r="K81" s="105" t="n">
        <x:f>IF(I81&gt;0,MIN('Your Mortgage'!$C$11,I81+J81),0)</x:f>
        <x:v>2054.2210763521375</x:v>
      </x:c>
      <x:c r="L81" s="105" t="n">
        <x:f>IF(I81&gt;0,MIN('Your Mortgage'!$F$6,MAX(0,I81+J81-K81)),0)</x:f>
        <x:v>250</x:v>
      </x:c>
      <x:c r="M81" s="105" t="n">
        <x:f>IF(AND(A81='Your Mortgage'!$F$8,I81&gt;0),MIN('Your Mortgage'!$F$7,MAX(0,I81+J81-K81-L81)),0)</x:f>
        <x:v>0</x:v>
      </x:c>
      <x:c r="N81" s="105" t="n">
        <x:f>K81+L81+M81</x:f>
        <x:v>2304.2210763521375</x:v>
      </x:c>
      <x:c r="O81" s="105" t="n">
        <x:f>MAX(0,N81-J81)</x:f>
        <x:v>853.5158223539015</x:v>
      </x:c>
      <x:c r="P81" s="105" t="n">
        <x:f>MAX(0,I81-O81)</x:f>
        <x:v>266968.9926080897</x:v>
      </x:c>
      <x:c r="Q81" s="106" t="n">
        <x:f>X80</x:f>
        <x:v>251794.19146118316</x:v>
      </x:c>
      <x:c r="R81" s="106" t="n">
        <x:f>IF(Q81&gt;0,Q81*'Your Mortgage'!$C$7/12,0)</x:f>
        <x:v>1363.8852037480754</x:v>
      </x:c>
      <x:c r="S81" s="106" t="n">
        <x:f>IF(Q81&gt;0,MIN('Your Mortgage'!$C$11,Q81+R81),0)</x:f>
        <x:v>2054.2210763521375</x:v>
      </x:c>
      <x:c r="T81" s="106" t="n">
        <x:f>IF(Q81&gt;0,MIN('Your Mortgage'!$I$6,MAX(0,Q81+R81-S81)),0)</x:f>
        <x:v>500</x:v>
      </x:c>
      <x:c r="U81" s="106" t="n">
        <x:f>IF(AND(A81='Your Mortgage'!$I$8,Q81&gt;0),MIN('Your Mortgage'!$I$7,MAX(0,Q81+R81-S81-T81)),0)</x:f>
        <x:v>0</x:v>
      </x:c>
      <x:c r="V81" s="106" t="n">
        <x:f>S81+T81+U81</x:f>
        <x:v>2554.2210763521375</x:v>
      </x:c>
      <x:c r="W81" s="106" t="n">
        <x:f>MAX(0,V81-R81)</x:f>
        <x:v>1190.3358726040622</x:v>
      </x:c>
      <x:c r="X81" s="106" t="n">
        <x:f>MAX(0,Q81-W81)</x:f>
        <x:v>250603.85558857908</x:v>
      </x:c>
      <x:c r="Y81" s="1"/>
      <x:c r="Z81" s="1"/>
    </x:row>
    <x:row r="82">
      <x:c r="A82" s="100" t="n">
        <x:f>A81+1</x:f>
        <x:v>77</x:v>
      </x:c>
      <x:c r="B82" s="103" t="n">
        <x:f>EDATE(B81,1)</x:f>
        <x:v>48549</x:v>
      </x:c>
      <x:c r="C82" s="104" t="n">
        <x:f>H81</x:f>
        <x:v>297464.3564271286</x:v>
      </x:c>
      <x:c r="D82" s="104" t="n">
        <x:f>IF(C82&gt;0,C82*'Your Mortgage'!$C$7/12,0)</x:f>
        <x:v>1611.26526398028</x:v>
      </x:c>
      <x:c r="E82" s="104" t="n">
        <x:f>IF(C82&gt;0,MIN('Your Mortgage'!$C$11,C82+D82),0)</x:f>
        <x:v>2054.2210763521375</x:v>
      </x:c>
      <x:c r="F82" s="104" t="n">
        <x:f>E82</x:f>
        <x:v>2054.2210763521375</x:v>
      </x:c>
      <x:c r="G82" s="104" t="n">
        <x:f>MAX(0,F82-D82)</x:f>
        <x:v>442.9558123718575</x:v>
      </x:c>
      <x:c r="H82" s="104" t="n">
        <x:f>MAX(0,C82-G82)</x:f>
        <x:v>297021.40061475674</x:v>
      </x:c>
      <x:c r="I82" s="105" t="n">
        <x:f>P81</x:f>
        <x:v>266968.9926080897</x:v>
      </x:c>
      <x:c r="J82" s="105" t="n">
        <x:f>IF(I82&gt;0,I82*'Your Mortgage'!$C$7/12,0)</x:f>
        <x:v>1446.0820432938192</x:v>
      </x:c>
      <x:c r="K82" s="105" t="n">
        <x:f>IF(I82&gt;0,MIN('Your Mortgage'!$C$11,I82+J82),0)</x:f>
        <x:v>2054.2210763521375</x:v>
      </x:c>
      <x:c r="L82" s="105" t="n">
        <x:f>IF(I82&gt;0,MIN('Your Mortgage'!$F$6,MAX(0,I82+J82-K82)),0)</x:f>
        <x:v>250</x:v>
      </x:c>
      <x:c r="M82" s="105" t="n">
        <x:f>IF(AND(A82='Your Mortgage'!$F$8,I82&gt;0),MIN('Your Mortgage'!$F$7,MAX(0,I82+J82-K82-L82)),0)</x:f>
        <x:v>0</x:v>
      </x:c>
      <x:c r="N82" s="105" t="n">
        <x:f>K82+L82+M82</x:f>
        <x:v>2304.2210763521375</x:v>
      </x:c>
      <x:c r="O82" s="105" t="n">
        <x:f>MAX(0,N82-J82)</x:f>
        <x:v>858.1390330583183</x:v>
      </x:c>
      <x:c r="P82" s="105" t="n">
        <x:f>MAX(0,I82-O82)</x:f>
        <x:v>266110.8535750314</x:v>
      </x:c>
      <x:c r="Q82" s="106" t="n">
        <x:f>X81</x:f>
        <x:v>250603.85558857908</x:v>
      </x:c>
      <x:c r="R82" s="106" t="n">
        <x:f>IF(Q82&gt;0,Q82*'Your Mortgage'!$C$7/12,0)</x:f>
        <x:v>1357.4375511048036</x:v>
      </x:c>
      <x:c r="S82" s="106" t="n">
        <x:f>IF(Q82&gt;0,MIN('Your Mortgage'!$C$11,Q82+R82),0)</x:f>
        <x:v>2054.2210763521375</x:v>
      </x:c>
      <x:c r="T82" s="106" t="n">
        <x:f>IF(Q82&gt;0,MIN('Your Mortgage'!$I$6,MAX(0,Q82+R82-S82)),0)</x:f>
        <x:v>500</x:v>
      </x:c>
      <x:c r="U82" s="106" t="n">
        <x:f>IF(AND(A82='Your Mortgage'!$I$8,Q82&gt;0),MIN('Your Mortgage'!$I$7,MAX(0,Q82+R82-S82-T82)),0)</x:f>
        <x:v>0</x:v>
      </x:c>
      <x:c r="V82" s="106" t="n">
        <x:f>S82+T82+U82</x:f>
        <x:v>2554.2210763521375</x:v>
      </x:c>
      <x:c r="W82" s="106" t="n">
        <x:f>MAX(0,V82-R82)</x:f>
        <x:v>1196.783525247334</x:v>
      </x:c>
      <x:c r="X82" s="106" t="n">
        <x:f>MAX(0,Q82-W82)</x:f>
        <x:v>249407.07206333175</x:v>
      </x:c>
      <x:c r="Y82" s="1"/>
      <x:c r="Z82" s="1"/>
    </x:row>
    <x:row r="83">
      <x:c r="A83" s="100" t="n">
        <x:f>A82+1</x:f>
        <x:v>78</x:v>
      </x:c>
      <x:c r="B83" s="103" t="n">
        <x:f>EDATE(B82,1)</x:f>
        <x:v>48580</x:v>
      </x:c>
      <x:c r="C83" s="104" t="n">
        <x:f>H82</x:f>
        <x:v>297021.40061475674</x:v>
      </x:c>
      <x:c r="D83" s="104" t="n">
        <x:f>IF(C83&gt;0,C83*'Your Mortgage'!$C$7/12,0)</x:f>
        <x:v>1608.865919996599</x:v>
      </x:c>
      <x:c r="E83" s="104" t="n">
        <x:f>IF(C83&gt;0,MIN('Your Mortgage'!$C$11,C83+D83),0)</x:f>
        <x:v>2054.2210763521375</x:v>
      </x:c>
      <x:c r="F83" s="104" t="n">
        <x:f>E83</x:f>
        <x:v>2054.2210763521375</x:v>
      </x:c>
      <x:c r="G83" s="104" t="n">
        <x:f>MAX(0,F83-D83)</x:f>
        <x:v>445.3551563555386</x:v>
      </x:c>
      <x:c r="H83" s="104" t="n">
        <x:f>MAX(0,C83-G83)</x:f>
        <x:v>296576.0454584012</x:v>
      </x:c>
      <x:c r="I83" s="105" t="n">
        <x:f>P82</x:f>
        <x:v>266110.8535750314</x:v>
      </x:c>
      <x:c r="J83" s="105" t="n">
        <x:f>IF(I83&gt;0,I83*'Your Mortgage'!$C$7/12,0)</x:f>
        <x:v>1441.4337901980869</x:v>
      </x:c>
      <x:c r="K83" s="105" t="n">
        <x:f>IF(I83&gt;0,MIN('Your Mortgage'!$C$11,I83+J83),0)</x:f>
        <x:v>2054.2210763521375</x:v>
      </x:c>
      <x:c r="L83" s="105" t="n">
        <x:f>IF(I83&gt;0,MIN('Your Mortgage'!$F$6,MAX(0,I83+J83-K83)),0)</x:f>
        <x:v>250</x:v>
      </x:c>
      <x:c r="M83" s="105" t="n">
        <x:f>IF(AND(A83='Your Mortgage'!$F$8,I83&gt;0),MIN('Your Mortgage'!$F$7,MAX(0,I83+J83-K83-L83)),0)</x:f>
        <x:v>0</x:v>
      </x:c>
      <x:c r="N83" s="105" t="n">
        <x:f>K83+L83+M83</x:f>
        <x:v>2304.2210763521375</x:v>
      </x:c>
      <x:c r="O83" s="105" t="n">
        <x:f>MAX(0,N83-J83)</x:f>
        <x:v>862.7872861540507</x:v>
      </x:c>
      <x:c r="P83" s="105" t="n">
        <x:f>MAX(0,I83-O83)</x:f>
        <x:v>265248.06628887734</x:v>
      </x:c>
      <x:c r="Q83" s="106" t="n">
        <x:f>X82</x:f>
        <x:v>249407.07206333175</x:v>
      </x:c>
      <x:c r="R83" s="106" t="n">
        <x:f>IF(Q83&gt;0,Q83*'Your Mortgage'!$C$7/12,0)</x:f>
        <x:v>1350.9549736763804</x:v>
      </x:c>
      <x:c r="S83" s="106" t="n">
        <x:f>IF(Q83&gt;0,MIN('Your Mortgage'!$C$11,Q83+R83),0)</x:f>
        <x:v>2054.2210763521375</x:v>
      </x:c>
      <x:c r="T83" s="106" t="n">
        <x:f>IF(Q83&gt;0,MIN('Your Mortgage'!$I$6,MAX(0,Q83+R83-S83)),0)</x:f>
        <x:v>500</x:v>
      </x:c>
      <x:c r="U83" s="106" t="n">
        <x:f>IF(AND(A83='Your Mortgage'!$I$8,Q83&gt;0),MIN('Your Mortgage'!$I$7,MAX(0,Q83+R83-S83-T83)),0)</x:f>
        <x:v>0</x:v>
      </x:c>
      <x:c r="V83" s="106" t="n">
        <x:f>S83+T83+U83</x:f>
        <x:v>2554.2210763521375</x:v>
      </x:c>
      <x:c r="W83" s="106" t="n">
        <x:f>MAX(0,V83-R83)</x:f>
        <x:v>1203.266102675757</x:v>
      </x:c>
      <x:c r="X83" s="106" t="n">
        <x:f>MAX(0,Q83-W83)</x:f>
        <x:v>248203.805960656</x:v>
      </x:c>
      <x:c r="Y83" s="1"/>
      <x:c r="Z83" s="1"/>
    </x:row>
    <x:row r="84">
      <x:c r="A84" s="100" t="n">
        <x:f>A83+1</x:f>
        <x:v>79</x:v>
      </x:c>
      <x:c r="B84" s="103" t="n">
        <x:f>EDATE(B83,1)</x:f>
        <x:v>48611</x:v>
      </x:c>
      <x:c r="C84" s="104" t="n">
        <x:f>H83</x:f>
        <x:v>296576.0454584012</x:v>
      </x:c>
      <x:c r="D84" s="104" t="n">
        <x:f>IF(C84&gt;0,C84*'Your Mortgage'!$C$7/12,0)</x:f>
        <x:v>1606.4535795663398</x:v>
      </x:c>
      <x:c r="E84" s="104" t="n">
        <x:f>IF(C84&gt;0,MIN('Your Mortgage'!$C$11,C84+D84),0)</x:f>
        <x:v>2054.2210763521375</x:v>
      </x:c>
      <x:c r="F84" s="104" t="n">
        <x:f>E84</x:f>
        <x:v>2054.2210763521375</x:v>
      </x:c>
      <x:c r="G84" s="104" t="n">
        <x:f>MAX(0,F84-D84)</x:f>
        <x:v>447.7674967857977</x:v>
      </x:c>
      <x:c r="H84" s="104" t="n">
        <x:f>MAX(0,C84-G84)</x:f>
        <x:v>296128.2779616154</x:v>
      </x:c>
      <x:c r="I84" s="105" t="n">
        <x:f>P83</x:f>
        <x:v>265248.06628887734</x:v>
      </x:c>
      <x:c r="J84" s="105" t="n">
        <x:f>IF(I84&gt;0,I84*'Your Mortgage'!$C$7/12,0)</x:f>
        <x:v>1436.7603590647523</x:v>
      </x:c>
      <x:c r="K84" s="105" t="n">
        <x:f>IF(I84&gt;0,MIN('Your Mortgage'!$C$11,I84+J84),0)</x:f>
        <x:v>2054.2210763521375</x:v>
      </x:c>
      <x:c r="L84" s="105" t="n">
        <x:f>IF(I84&gt;0,MIN('Your Mortgage'!$F$6,MAX(0,I84+J84-K84)),0)</x:f>
        <x:v>250</x:v>
      </x:c>
      <x:c r="M84" s="105" t="n">
        <x:f>IF(AND(A84='Your Mortgage'!$F$8,I84&gt;0),MIN('Your Mortgage'!$F$7,MAX(0,I84+J84-K84-L84)),0)</x:f>
        <x:v>0</x:v>
      </x:c>
      <x:c r="N84" s="105" t="n">
        <x:f>K84+L84+M84</x:f>
        <x:v>2304.2210763521375</x:v>
      </x:c>
      <x:c r="O84" s="105" t="n">
        <x:f>MAX(0,N84-J84)</x:f>
        <x:v>867.4607172873853</x:v>
      </x:c>
      <x:c r="P84" s="105" t="n">
        <x:f>MAX(0,I84-O84)</x:f>
        <x:v>264380.60557158996</x:v>
      </x:c>
      <x:c r="Q84" s="106" t="n">
        <x:f>X83</x:f>
        <x:v>248203.805960656</x:v>
      </x:c>
      <x:c r="R84" s="106" t="n">
        <x:f>IF(Q84&gt;0,Q84*'Your Mortgage'!$C$7/12,0)</x:f>
        <x:v>1344.4372822868866</x:v>
      </x:c>
      <x:c r="S84" s="106" t="n">
        <x:f>IF(Q84&gt;0,MIN('Your Mortgage'!$C$11,Q84+R84),0)</x:f>
        <x:v>2054.2210763521375</x:v>
      </x:c>
      <x:c r="T84" s="106" t="n">
        <x:f>IF(Q84&gt;0,MIN('Your Mortgage'!$I$6,MAX(0,Q84+R84-S84)),0)</x:f>
        <x:v>500</x:v>
      </x:c>
      <x:c r="U84" s="106" t="n">
        <x:f>IF(AND(A84='Your Mortgage'!$I$8,Q84&gt;0),MIN('Your Mortgage'!$I$7,MAX(0,Q84+R84-S84-T84)),0)</x:f>
        <x:v>0</x:v>
      </x:c>
      <x:c r="V84" s="106" t="n">
        <x:f>S84+T84+U84</x:f>
        <x:v>2554.2210763521375</x:v>
      </x:c>
      <x:c r="W84" s="106" t="n">
        <x:f>MAX(0,V84-R84)</x:f>
        <x:v>1209.783794065251</x:v>
      </x:c>
      <x:c r="X84" s="106" t="n">
        <x:f>MAX(0,Q84-W84)</x:f>
        <x:v>246994.02216659076</x:v>
      </x:c>
      <x:c r="Y84" s="1"/>
      <x:c r="Z84" s="1"/>
    </x:row>
    <x:row r="85">
      <x:c r="A85" s="100" t="n">
        <x:f>A84+1</x:f>
        <x:v>80</x:v>
      </x:c>
      <x:c r="B85" s="103" t="n">
        <x:f>EDATE(B84,1)</x:f>
        <x:v>48639</x:v>
      </x:c>
      <x:c r="C85" s="104" t="n">
        <x:f>H84</x:f>
        <x:v>296128.2779616154</x:v>
      </x:c>
      <x:c r="D85" s="104" t="n">
        <x:f>IF(C85&gt;0,C85*'Your Mortgage'!$C$7/12,0)</x:f>
        <x:v>1604.0281722920836</x:v>
      </x:c>
      <x:c r="E85" s="104" t="n">
        <x:f>IF(C85&gt;0,MIN('Your Mortgage'!$C$11,C85+D85),0)</x:f>
        <x:v>2054.2210763521375</x:v>
      </x:c>
      <x:c r="F85" s="104" t="n">
        <x:f>E85</x:f>
        <x:v>2054.2210763521375</x:v>
      </x:c>
      <x:c r="G85" s="104" t="n">
        <x:f>MAX(0,F85-D85)</x:f>
        <x:v>450.19290406005393</x:v>
      </x:c>
      <x:c r="H85" s="104" t="n">
        <x:f>MAX(0,C85-G85)</x:f>
        <x:v>295678.08505755535</x:v>
      </x:c>
      <x:c r="I85" s="105" t="n">
        <x:f>P84</x:f>
        <x:v>264380.60557158996</x:v>
      </x:c>
      <x:c r="J85" s="105" t="n">
        <x:f>IF(I85&gt;0,I85*'Your Mortgage'!$C$7/12,0)</x:f>
        <x:v>1432.061613512779</x:v>
      </x:c>
      <x:c r="K85" s="105" t="n">
        <x:f>IF(I85&gt;0,MIN('Your Mortgage'!$C$11,I85+J85),0)</x:f>
        <x:v>2054.2210763521375</x:v>
      </x:c>
      <x:c r="L85" s="105" t="n">
        <x:f>IF(I85&gt;0,MIN('Your Mortgage'!$F$6,MAX(0,I85+J85-K85)),0)</x:f>
        <x:v>250</x:v>
      </x:c>
      <x:c r="M85" s="105" t="n">
        <x:f>IF(AND(A85='Your Mortgage'!$F$8,I85&gt;0),MIN('Your Mortgage'!$F$7,MAX(0,I85+J85-K85-L85)),0)</x:f>
        <x:v>0</x:v>
      </x:c>
      <x:c r="N85" s="105" t="n">
        <x:f>K85+L85+M85</x:f>
        <x:v>2304.2210763521375</x:v>
      </x:c>
      <x:c r="O85" s="105" t="n">
        <x:f>MAX(0,N85-J85)</x:f>
        <x:v>872.1594628393584</x:v>
      </x:c>
      <x:c r="P85" s="105" t="n">
        <x:f>MAX(0,I85-O85)</x:f>
        <x:v>263508.4461087506</x:v>
      </x:c>
      <x:c r="Q85" s="106" t="n">
        <x:f>X84</x:f>
        <x:v>246994.02216659076</x:v>
      </x:c>
      <x:c r="R85" s="106" t="n">
        <x:f>IF(Q85&gt;0,Q85*'Your Mortgage'!$C$7/12,0)</x:f>
        <x:v>1337.8842867357</x:v>
      </x:c>
      <x:c r="S85" s="106" t="n">
        <x:f>IF(Q85&gt;0,MIN('Your Mortgage'!$C$11,Q85+R85),0)</x:f>
        <x:v>2054.2210763521375</x:v>
      </x:c>
      <x:c r="T85" s="106" t="n">
        <x:f>IF(Q85&gt;0,MIN('Your Mortgage'!$I$6,MAX(0,Q85+R85-S85)),0)</x:f>
        <x:v>500</x:v>
      </x:c>
      <x:c r="U85" s="106" t="n">
        <x:f>IF(AND(A85='Your Mortgage'!$I$8,Q85&gt;0),MIN('Your Mortgage'!$I$7,MAX(0,Q85+R85-S85-T85)),0)</x:f>
        <x:v>0</x:v>
      </x:c>
      <x:c r="V85" s="106" t="n">
        <x:f>S85+T85+U85</x:f>
        <x:v>2554.2210763521375</x:v>
      </x:c>
      <x:c r="W85" s="106" t="n">
        <x:f>MAX(0,V85-R85)</x:f>
        <x:v>1216.3367896164375</x:v>
      </x:c>
      <x:c r="X85" s="106" t="n">
        <x:f>MAX(0,Q85-W85)</x:f>
        <x:v>245777.68537697432</x:v>
      </x:c>
      <x:c r="Y85" s="1"/>
      <x:c r="Z85" s="1"/>
    </x:row>
    <x:row r="86">
      <x:c r="A86" s="100" t="n">
        <x:f>A85+1</x:f>
        <x:v>81</x:v>
      </x:c>
      <x:c r="B86" s="103" t="n">
        <x:f>EDATE(B85,1)</x:f>
        <x:v>48670</x:v>
      </x:c>
      <x:c r="C86" s="104" t="n">
        <x:f>H85</x:f>
        <x:v>295678.08505755535</x:v>
      </x:c>
      <x:c r="D86" s="104" t="n">
        <x:f>IF(C86&gt;0,C86*'Your Mortgage'!$C$7/12,0)</x:f>
        <x:v>1601.5896273950914</x:v>
      </x:c>
      <x:c r="E86" s="104" t="n">
        <x:f>IF(C86&gt;0,MIN('Your Mortgage'!$C$11,C86+D86),0)</x:f>
        <x:v>2054.2210763521375</x:v>
      </x:c>
      <x:c r="F86" s="104" t="n">
        <x:f>E86</x:f>
        <x:v>2054.2210763521375</x:v>
      </x:c>
      <x:c r="G86" s="104" t="n">
        <x:f>MAX(0,F86-D86)</x:f>
        <x:v>452.63144895704613</x:v>
      </x:c>
      <x:c r="H86" s="104" t="n">
        <x:f>MAX(0,C86-G86)</x:f>
        <x:v>295225.4536085983</x:v>
      </x:c>
      <x:c r="I86" s="105" t="n">
        <x:f>P85</x:f>
        <x:v>263508.4461087506</x:v>
      </x:c>
      <x:c r="J86" s="105" t="n">
        <x:f>IF(I86&gt;0,I86*'Your Mortgage'!$C$7/12,0)</x:f>
        <x:v>1427.337416422399</x:v>
      </x:c>
      <x:c r="K86" s="105" t="n">
        <x:f>IF(I86&gt;0,MIN('Your Mortgage'!$C$11,I86+J86),0)</x:f>
        <x:v>2054.2210763521375</x:v>
      </x:c>
      <x:c r="L86" s="105" t="n">
        <x:f>IF(I86&gt;0,MIN('Your Mortgage'!$F$6,MAX(0,I86+J86-K86)),0)</x:f>
        <x:v>250</x:v>
      </x:c>
      <x:c r="M86" s="105" t="n">
        <x:f>IF(AND(A86='Your Mortgage'!$F$8,I86&gt;0),MIN('Your Mortgage'!$F$7,MAX(0,I86+J86-K86-L86)),0)</x:f>
        <x:v>0</x:v>
      </x:c>
      <x:c r="N86" s="105" t="n">
        <x:f>K86+L86+M86</x:f>
        <x:v>2304.2210763521375</x:v>
      </x:c>
      <x:c r="O86" s="105" t="n">
        <x:f>MAX(0,N86-J86)</x:f>
        <x:v>876.8836599297385</x:v>
      </x:c>
      <x:c r="P86" s="105" t="n">
        <x:f>MAX(0,I86-O86)</x:f>
        <x:v>262631.56244882086</x:v>
      </x:c>
      <x:c r="Q86" s="106" t="n">
        <x:f>X85</x:f>
        <x:v>245777.68537697432</x:v>
      </x:c>
      <x:c r="R86" s="106" t="n">
        <x:f>IF(Q86&gt;0,Q86*'Your Mortgage'!$C$7/12,0)</x:f>
        <x:v>1331.2957957919443</x:v>
      </x:c>
      <x:c r="S86" s="106" t="n">
        <x:f>IF(Q86&gt;0,MIN('Your Mortgage'!$C$11,Q86+R86),0)</x:f>
        <x:v>2054.2210763521375</x:v>
      </x:c>
      <x:c r="T86" s="106" t="n">
        <x:f>IF(Q86&gt;0,MIN('Your Mortgage'!$I$6,MAX(0,Q86+R86-S86)),0)</x:f>
        <x:v>500</x:v>
      </x:c>
      <x:c r="U86" s="106" t="n">
        <x:f>IF(AND(A86='Your Mortgage'!$I$8,Q86&gt;0),MIN('Your Mortgage'!$I$7,MAX(0,Q86+R86-S86-T86)),0)</x:f>
        <x:v>0</x:v>
      </x:c>
      <x:c r="V86" s="106" t="n">
        <x:f>S86+T86+U86</x:f>
        <x:v>2554.2210763521375</x:v>
      </x:c>
      <x:c r="W86" s="106" t="n">
        <x:f>MAX(0,V86-R86)</x:f>
        <x:v>1222.9252805601932</x:v>
      </x:c>
      <x:c r="X86" s="106" t="n">
        <x:f>MAX(0,Q86-W86)</x:f>
        <x:v>244554.76009641413</x:v>
      </x:c>
      <x:c r="Y86" s="1"/>
      <x:c r="Z86" s="1"/>
    </x:row>
    <x:row r="87">
      <x:c r="A87" s="100" t="n">
        <x:f>A86+1</x:f>
        <x:v>82</x:v>
      </x:c>
      <x:c r="B87" s="103" t="n">
        <x:f>EDATE(B86,1)</x:f>
        <x:v>48700</x:v>
      </x:c>
      <x:c r="C87" s="104" t="n">
        <x:f>H86</x:f>
        <x:v>295225.4536085983</x:v>
      </x:c>
      <x:c r="D87" s="104" t="n">
        <x:f>IF(C87&gt;0,C87*'Your Mortgage'!$C$7/12,0)</x:f>
        <x:v>1599.1378737132409</x:v>
      </x:c>
      <x:c r="E87" s="104" t="n">
        <x:f>IF(C87&gt;0,MIN('Your Mortgage'!$C$11,C87+D87),0)</x:f>
        <x:v>2054.2210763521375</x:v>
      </x:c>
      <x:c r="F87" s="104" t="n">
        <x:f>E87</x:f>
        <x:v>2054.2210763521375</x:v>
      </x:c>
      <x:c r="G87" s="104" t="n">
        <x:f>MAX(0,F87-D87)</x:f>
        <x:v>455.08320263889664</x:v>
      </x:c>
      <x:c r="H87" s="104" t="n">
        <x:f>MAX(0,C87-G87)</x:f>
        <x:v>294770.37040595943</x:v>
      </x:c>
      <x:c r="I87" s="105" t="n">
        <x:f>P86</x:f>
        <x:v>262631.56244882086</x:v>
      </x:c>
      <x:c r="J87" s="105" t="n">
        <x:f>IF(I87&gt;0,I87*'Your Mortgage'!$C$7/12,0)</x:f>
        <x:v>1422.587629931113</x:v>
      </x:c>
      <x:c r="K87" s="105" t="n">
        <x:f>IF(I87&gt;0,MIN('Your Mortgage'!$C$11,I87+J87),0)</x:f>
        <x:v>2054.2210763521375</x:v>
      </x:c>
      <x:c r="L87" s="105" t="n">
        <x:f>IF(I87&gt;0,MIN('Your Mortgage'!$F$6,MAX(0,I87+J87-K87)),0)</x:f>
        <x:v>250</x:v>
      </x:c>
      <x:c r="M87" s="105" t="n">
        <x:f>IF(AND(A87='Your Mortgage'!$F$8,I87&gt;0),MIN('Your Mortgage'!$F$7,MAX(0,I87+J87-K87-L87)),0)</x:f>
        <x:v>0</x:v>
      </x:c>
      <x:c r="N87" s="105" t="n">
        <x:f>K87+L87+M87</x:f>
        <x:v>2304.2210763521375</x:v>
      </x:c>
      <x:c r="O87" s="105" t="n">
        <x:f>MAX(0,N87-J87)</x:f>
        <x:v>881.6334464210245</x:v>
      </x:c>
      <x:c r="P87" s="105" t="n">
        <x:f>MAX(0,I87-O87)</x:f>
        <x:v>261749.92900239982</x:v>
      </x:c>
      <x:c r="Q87" s="106" t="n">
        <x:f>X86</x:f>
        <x:v>244554.76009641413</x:v>
      </x:c>
      <x:c r="R87" s="106" t="n">
        <x:f>IF(Q87&gt;0,Q87*'Your Mortgage'!$C$7/12,0)</x:f>
        <x:v>1324.67161718891</x:v>
      </x:c>
      <x:c r="S87" s="106" t="n">
        <x:f>IF(Q87&gt;0,MIN('Your Mortgage'!$C$11,Q87+R87),0)</x:f>
        <x:v>2054.2210763521375</x:v>
      </x:c>
      <x:c r="T87" s="106" t="n">
        <x:f>IF(Q87&gt;0,MIN('Your Mortgage'!$I$6,MAX(0,Q87+R87-S87)),0)</x:f>
        <x:v>500</x:v>
      </x:c>
      <x:c r="U87" s="106" t="n">
        <x:f>IF(AND(A87='Your Mortgage'!$I$8,Q87&gt;0),MIN('Your Mortgage'!$I$7,MAX(0,Q87+R87-S87-T87)),0)</x:f>
        <x:v>0</x:v>
      </x:c>
      <x:c r="V87" s="106" t="n">
        <x:f>S87+T87+U87</x:f>
        <x:v>2554.2210763521375</x:v>
      </x:c>
      <x:c r="W87" s="106" t="n">
        <x:f>MAX(0,V87-R87)</x:f>
        <x:v>1229.5494591632275</x:v>
      </x:c>
      <x:c r="X87" s="106" t="n">
        <x:f>MAX(0,Q87-W87)</x:f>
        <x:v>243325.21063725092</x:v>
      </x:c>
      <x:c r="Y87" s="1"/>
      <x:c r="Z87" s="1"/>
    </x:row>
    <x:row r="88">
      <x:c r="A88" s="100" t="n">
        <x:f>A87+1</x:f>
        <x:v>83</x:v>
      </x:c>
      <x:c r="B88" s="103" t="n">
        <x:f>EDATE(B87,1)</x:f>
        <x:v>48731</x:v>
      </x:c>
      <x:c r="C88" s="104" t="n">
        <x:f>H87</x:f>
        <x:v>294770.37040595943</x:v>
      </x:c>
      <x:c r="D88" s="104" t="n">
        <x:f>IF(C88&gt;0,C88*'Your Mortgage'!$C$7/12,0)</x:f>
        <x:v>1596.6728396989467</x:v>
      </x:c>
      <x:c r="E88" s="104" t="n">
        <x:f>IF(C88&gt;0,MIN('Your Mortgage'!$C$11,C88+D88),0)</x:f>
        <x:v>2054.2210763521375</x:v>
      </x:c>
      <x:c r="F88" s="104" t="n">
        <x:f>E88</x:f>
        <x:v>2054.2210763521375</x:v>
      </x:c>
      <x:c r="G88" s="104" t="n">
        <x:f>MAX(0,F88-D88)</x:f>
        <x:v>457.54823665319077</x:v>
      </x:c>
      <x:c r="H88" s="104" t="n">
        <x:f>MAX(0,C88-G88)</x:f>
        <x:v>294312.8221693062</x:v>
      </x:c>
      <x:c r="I88" s="105" t="n">
        <x:f>P87</x:f>
        <x:v>261749.92900239982</x:v>
      </x:c>
      <x:c r="J88" s="105" t="n">
        <x:f>IF(I88&gt;0,I88*'Your Mortgage'!$C$7/12,0)</x:f>
        <x:v>1417.8121154296657</x:v>
      </x:c>
      <x:c r="K88" s="105" t="n">
        <x:f>IF(I88&gt;0,MIN('Your Mortgage'!$C$11,I88+J88),0)</x:f>
        <x:v>2054.2210763521375</x:v>
      </x:c>
      <x:c r="L88" s="105" t="n">
        <x:f>IF(I88&gt;0,MIN('Your Mortgage'!$F$6,MAX(0,I88+J88-K88)),0)</x:f>
        <x:v>250</x:v>
      </x:c>
      <x:c r="M88" s="105" t="n">
        <x:f>IF(AND(A88='Your Mortgage'!$F$8,I88&gt;0),MIN('Your Mortgage'!$F$7,MAX(0,I88+J88-K88-L88)),0)</x:f>
        <x:v>0</x:v>
      </x:c>
      <x:c r="N88" s="105" t="n">
        <x:f>K88+L88+M88</x:f>
        <x:v>2304.2210763521375</x:v>
      </x:c>
      <x:c r="O88" s="105" t="n">
        <x:f>MAX(0,N88-J88)</x:f>
        <x:v>886.4089609224718</x:v>
      </x:c>
      <x:c r="P88" s="105" t="n">
        <x:f>MAX(0,I88-O88)</x:f>
        <x:v>260863.52004147734</x:v>
      </x:c>
      <x:c r="Q88" s="106" t="n">
        <x:f>X87</x:f>
        <x:v>243325.21063725092</x:v>
      </x:c>
      <x:c r="R88" s="106" t="n">
        <x:f>IF(Q88&gt;0,Q88*'Your Mortgage'!$C$7/12,0)</x:f>
        <x:v>1318.0115576184426</x:v>
      </x:c>
      <x:c r="S88" s="106" t="n">
        <x:f>IF(Q88&gt;0,MIN('Your Mortgage'!$C$11,Q88+R88),0)</x:f>
        <x:v>2054.2210763521375</x:v>
      </x:c>
      <x:c r="T88" s="106" t="n">
        <x:f>IF(Q88&gt;0,MIN('Your Mortgage'!$I$6,MAX(0,Q88+R88-S88)),0)</x:f>
        <x:v>500</x:v>
      </x:c>
      <x:c r="U88" s="106" t="n">
        <x:f>IF(AND(A88='Your Mortgage'!$I$8,Q88&gt;0),MIN('Your Mortgage'!$I$7,MAX(0,Q88+R88-S88-T88)),0)</x:f>
        <x:v>0</x:v>
      </x:c>
      <x:c r="V88" s="106" t="n">
        <x:f>S88+T88+U88</x:f>
        <x:v>2554.2210763521375</x:v>
      </x:c>
      <x:c r="W88" s="106" t="n">
        <x:f>MAX(0,V88-R88)</x:f>
        <x:v>1236.209518733695</x:v>
      </x:c>
      <x:c r="X88" s="106" t="n">
        <x:f>MAX(0,Q88-W88)</x:f>
        <x:v>242089.00111851722</x:v>
      </x:c>
      <x:c r="Y88" s="1"/>
      <x:c r="Z88" s="1"/>
    </x:row>
    <x:row r="89">
      <x:c r="A89" s="100" t="n">
        <x:f>A88+1</x:f>
        <x:v>84</x:v>
      </x:c>
      <x:c r="B89" s="103" t="n">
        <x:f>EDATE(B88,1)</x:f>
        <x:v>48761</x:v>
      </x:c>
      <x:c r="C89" s="104" t="n">
        <x:f>H88</x:f>
        <x:v>294312.8221693062</x:v>
      </x:c>
      <x:c r="D89" s="104" t="n">
        <x:f>IF(C89&gt;0,C89*'Your Mortgage'!$C$7/12,0)</x:f>
        <x:v>1594.1944534170755</x:v>
      </x:c>
      <x:c r="E89" s="104" t="n">
        <x:f>IF(C89&gt;0,MIN('Your Mortgage'!$C$11,C89+D89),0)</x:f>
        <x:v>2054.2210763521375</x:v>
      </x:c>
      <x:c r="F89" s="104" t="n">
        <x:f>E89</x:f>
        <x:v>2054.2210763521375</x:v>
      </x:c>
      <x:c r="G89" s="104" t="n">
        <x:f>MAX(0,F89-D89)</x:f>
        <x:v>460.02662293506205</x:v>
      </x:c>
      <x:c r="H89" s="104" t="n">
        <x:f>MAX(0,C89-G89)</x:f>
        <x:v>293852.79554637114</x:v>
      </x:c>
      <x:c r="I89" s="105" t="n">
        <x:f>P88</x:f>
        <x:v>260863.52004147734</x:v>
      </x:c>
      <x:c r="J89" s="105" t="n">
        <x:f>IF(I89&gt;0,I89*'Your Mortgage'!$C$7/12,0)</x:f>
        <x:v>1413.0107335580024</x:v>
      </x:c>
      <x:c r="K89" s="105" t="n">
        <x:f>IF(I89&gt;0,MIN('Your Mortgage'!$C$11,I89+J89),0)</x:f>
        <x:v>2054.2210763521375</x:v>
      </x:c>
      <x:c r="L89" s="105" t="n">
        <x:f>IF(I89&gt;0,MIN('Your Mortgage'!$F$6,MAX(0,I89+J89-K89)),0)</x:f>
        <x:v>250</x:v>
      </x:c>
      <x:c r="M89" s="105" t="n">
        <x:f>IF(AND(A89='Your Mortgage'!$F$8,I89&gt;0),MIN('Your Mortgage'!$F$7,MAX(0,I89+J89-K89-L89)),0)</x:f>
        <x:v>0</x:v>
      </x:c>
      <x:c r="N89" s="105" t="n">
        <x:f>K89+L89+M89</x:f>
        <x:v>2304.2210763521375</x:v>
      </x:c>
      <x:c r="O89" s="105" t="n">
        <x:f>MAX(0,N89-J89)</x:f>
        <x:v>891.2103427941352</x:v>
      </x:c>
      <x:c r="P89" s="105" t="n">
        <x:f>MAX(0,I89-O89)</x:f>
        <x:v>259972.3096986832</x:v>
      </x:c>
      <x:c r="Q89" s="106" t="n">
        <x:f>X88</x:f>
        <x:v>242089.00111851722</x:v>
      </x:c>
      <x:c r="R89" s="106" t="n">
        <x:f>IF(Q89&gt;0,Q89*'Your Mortgage'!$C$7/12,0)</x:f>
        <x:v>1311.3154227253017</x:v>
      </x:c>
      <x:c r="S89" s="106" t="n">
        <x:f>IF(Q89&gt;0,MIN('Your Mortgage'!$C$11,Q89+R89),0)</x:f>
        <x:v>2054.2210763521375</x:v>
      </x:c>
      <x:c r="T89" s="106" t="n">
        <x:f>IF(Q89&gt;0,MIN('Your Mortgage'!$I$6,MAX(0,Q89+R89-S89)),0)</x:f>
        <x:v>500</x:v>
      </x:c>
      <x:c r="U89" s="106" t="n">
        <x:f>IF(AND(A89='Your Mortgage'!$I$8,Q89&gt;0),MIN('Your Mortgage'!$I$7,MAX(0,Q89+R89-S89-T89)),0)</x:f>
        <x:v>0</x:v>
      </x:c>
      <x:c r="V89" s="106" t="n">
        <x:f>S89+T89+U89</x:f>
        <x:v>2554.2210763521375</x:v>
      </x:c>
      <x:c r="W89" s="106" t="n">
        <x:f>MAX(0,V89-R89)</x:f>
        <x:v>1242.9056536268358</x:v>
      </x:c>
      <x:c r="X89" s="106" t="n">
        <x:f>MAX(0,Q89-W89)</x:f>
        <x:v>240846.0954648904</x:v>
      </x:c>
      <x:c r="Y89" s="1"/>
      <x:c r="Z89" s="1"/>
    </x:row>
    <x:row r="90">
      <x:c r="A90" s="100" t="n">
        <x:f>A89+1</x:f>
        <x:v>85</x:v>
      </x:c>
      <x:c r="B90" s="103" t="n">
        <x:f>EDATE(B89,1)</x:f>
        <x:v>48792</x:v>
      </x:c>
      <x:c r="C90" s="104" t="n">
        <x:f>H89</x:f>
        <x:v>293852.79554637114</x:v>
      </x:c>
      <x:c r="D90" s="104" t="n">
        <x:f>IF(C90&gt;0,C90*'Your Mortgage'!$C$7/12,0)</x:f>
        <x:v>1591.7026425428437</x:v>
      </x:c>
      <x:c r="E90" s="104" t="n">
        <x:f>IF(C90&gt;0,MIN('Your Mortgage'!$C$11,C90+D90),0)</x:f>
        <x:v>2054.2210763521375</x:v>
      </x:c>
      <x:c r="F90" s="104" t="n">
        <x:f>E90</x:f>
        <x:v>2054.2210763521375</x:v>
      </x:c>
      <x:c r="G90" s="104" t="n">
        <x:f>MAX(0,F90-D90)</x:f>
        <x:v>462.5184338092938</x:v>
      </x:c>
      <x:c r="H90" s="104" t="n">
        <x:f>MAX(0,C90-G90)</x:f>
        <x:v>293390.27711256186</x:v>
      </x:c>
      <x:c r="I90" s="105" t="n">
        <x:f>P89</x:f>
        <x:v>259972.3096986832</x:v>
      </x:c>
      <x:c r="J90" s="105" t="n">
        <x:f>IF(I90&gt;0,I90*'Your Mortgage'!$C$7/12,0)</x:f>
        <x:v>1408.183344201201</x:v>
      </x:c>
      <x:c r="K90" s="105" t="n">
        <x:f>IF(I90&gt;0,MIN('Your Mortgage'!$C$11,I90+J90),0)</x:f>
        <x:v>2054.2210763521375</x:v>
      </x:c>
      <x:c r="L90" s="105" t="n">
        <x:f>IF(I90&gt;0,MIN('Your Mortgage'!$F$6,MAX(0,I90+J90-K90)),0)</x:f>
        <x:v>250</x:v>
      </x:c>
      <x:c r="M90" s="105" t="n">
        <x:f>IF(AND(A90='Your Mortgage'!$F$8,I90&gt;0),MIN('Your Mortgage'!$F$7,MAX(0,I90+J90-K90-L90)),0)</x:f>
        <x:v>0</x:v>
      </x:c>
      <x:c r="N90" s="105" t="n">
        <x:f>K90+L90+M90</x:f>
        <x:v>2304.2210763521375</x:v>
      </x:c>
      <x:c r="O90" s="105" t="n">
        <x:f>MAX(0,N90-J90)</x:f>
        <x:v>896.0377321509366</x:v>
      </x:c>
      <x:c r="P90" s="105" t="n">
        <x:f>MAX(0,I90-O90)</x:f>
        <x:v>259076.27196653228</x:v>
      </x:c>
      <x:c r="Q90" s="106" t="n">
        <x:f>X89</x:f>
        <x:v>240846.0954648904</x:v>
      </x:c>
      <x:c r="R90" s="106" t="n">
        <x:f>IF(Q90&gt;0,Q90*'Your Mortgage'!$C$7/12,0)</x:f>
        <x:v>1304.5830171014898</x:v>
      </x:c>
      <x:c r="S90" s="106" t="n">
        <x:f>IF(Q90&gt;0,MIN('Your Mortgage'!$C$11,Q90+R90),0)</x:f>
        <x:v>2054.2210763521375</x:v>
      </x:c>
      <x:c r="T90" s="106" t="n">
        <x:f>IF(Q90&gt;0,MIN('Your Mortgage'!$I$6,MAX(0,Q90+R90-S90)),0)</x:f>
        <x:v>500</x:v>
      </x:c>
      <x:c r="U90" s="106" t="n">
        <x:f>IF(AND(A90='Your Mortgage'!$I$8,Q90&gt;0),MIN('Your Mortgage'!$I$7,MAX(0,Q90+R90-S90-T90)),0)</x:f>
        <x:v>0</x:v>
      </x:c>
      <x:c r="V90" s="106" t="n">
        <x:f>S90+T90+U90</x:f>
        <x:v>2554.2210763521375</x:v>
      </x:c>
      <x:c r="W90" s="106" t="n">
        <x:f>MAX(0,V90-R90)</x:f>
        <x:v>1249.6380592506478</x:v>
      </x:c>
      <x:c r="X90" s="106" t="n">
        <x:f>MAX(0,Q90-W90)</x:f>
        <x:v>239596.45740563973</x:v>
      </x:c>
      <x:c r="Y90" s="1"/>
      <x:c r="Z90" s="1"/>
    </x:row>
    <x:row r="91">
      <x:c r="A91" s="100" t="n">
        <x:f>A90+1</x:f>
        <x:v>86</x:v>
      </x:c>
      <x:c r="B91" s="103" t="n">
        <x:f>EDATE(B90,1)</x:f>
        <x:v>48823</x:v>
      </x:c>
      <x:c r="C91" s="104" t="n">
        <x:f>H90</x:f>
        <x:v>293390.27711256186</x:v>
      </x:c>
      <x:c r="D91" s="104" t="n">
        <x:f>IF(C91&gt;0,C91*'Your Mortgage'!$C$7/12,0)</x:f>
        <x:v>1589.19733435971</x:v>
      </x:c>
      <x:c r="E91" s="104" t="n">
        <x:f>IF(C91&gt;0,MIN('Your Mortgage'!$C$11,C91+D91),0)</x:f>
        <x:v>2054.2210763521375</x:v>
      </x:c>
      <x:c r="F91" s="104" t="n">
        <x:f>E91</x:f>
        <x:v>2054.2210763521375</x:v>
      </x:c>
      <x:c r="G91" s="104" t="n">
        <x:f>MAX(0,F91-D91)</x:f>
        <x:v>465.0237419924274</x:v>
      </x:c>
      <x:c r="H91" s="104" t="n">
        <x:f>MAX(0,C91-G91)</x:f>
        <x:v>292925.25337056944</x:v>
      </x:c>
      <x:c r="I91" s="105" t="n">
        <x:f>P90</x:f>
        <x:v>259076.27196653228</x:v>
      </x:c>
      <x:c r="J91" s="105" t="n">
        <x:f>IF(I91&gt;0,I91*'Your Mortgage'!$C$7/12,0)</x:f>
        <x:v>1403.3298064853832</x:v>
      </x:c>
      <x:c r="K91" s="105" t="n">
        <x:f>IF(I91&gt;0,MIN('Your Mortgage'!$C$11,I91+J91),0)</x:f>
        <x:v>2054.2210763521375</x:v>
      </x:c>
      <x:c r="L91" s="105" t="n">
        <x:f>IF(I91&gt;0,MIN('Your Mortgage'!$F$6,MAX(0,I91+J91-K91)),0)</x:f>
        <x:v>250</x:v>
      </x:c>
      <x:c r="M91" s="105" t="n">
        <x:f>IF(AND(A91='Your Mortgage'!$F$8,I91&gt;0),MIN('Your Mortgage'!$F$7,MAX(0,I91+J91-K91-L91)),0)</x:f>
        <x:v>0</x:v>
      </x:c>
      <x:c r="N91" s="105" t="n">
        <x:f>K91+L91+M91</x:f>
        <x:v>2304.2210763521375</x:v>
      </x:c>
      <x:c r="O91" s="105" t="n">
        <x:f>MAX(0,N91-J91)</x:f>
        <x:v>900.8912698667543</x:v>
      </x:c>
      <x:c r="P91" s="105" t="n">
        <x:f>MAX(0,I91-O91)</x:f>
        <x:v>258175.38069666552</x:v>
      </x:c>
      <x:c r="Q91" s="106" t="n">
        <x:f>X90</x:f>
        <x:v>239596.45740563973</x:v>
      </x:c>
      <x:c r="R91" s="106" t="n">
        <x:f>IF(Q91&gt;0,Q91*'Your Mortgage'!$C$7/12,0)</x:f>
        <x:v>1297.8141442805486</x:v>
      </x:c>
      <x:c r="S91" s="106" t="n">
        <x:f>IF(Q91&gt;0,MIN('Your Mortgage'!$C$11,Q91+R91),0)</x:f>
        <x:v>2054.2210763521375</x:v>
      </x:c>
      <x:c r="T91" s="106" t="n">
        <x:f>IF(Q91&gt;0,MIN('Your Mortgage'!$I$6,MAX(0,Q91+R91-S91)),0)</x:f>
        <x:v>500</x:v>
      </x:c>
      <x:c r="U91" s="106" t="n">
        <x:f>IF(AND(A91='Your Mortgage'!$I$8,Q91&gt;0),MIN('Your Mortgage'!$I$7,MAX(0,Q91+R91-S91-T91)),0)</x:f>
        <x:v>0</x:v>
      </x:c>
      <x:c r="V91" s="106" t="n">
        <x:f>S91+T91+U91</x:f>
        <x:v>2554.2210763521375</x:v>
      </x:c>
      <x:c r="W91" s="106" t="n">
        <x:f>MAX(0,V91-R91)</x:f>
        <x:v>1256.406932071589</x:v>
      </x:c>
      <x:c r="X91" s="106" t="n">
        <x:f>MAX(0,Q91-W91)</x:f>
        <x:v>238340.05047356815</x:v>
      </x:c>
      <x:c r="Y91" s="1"/>
      <x:c r="Z91" s="1"/>
    </x:row>
    <x:row r="92">
      <x:c r="A92" s="100" t="n">
        <x:f>A91+1</x:f>
        <x:v>87</x:v>
      </x:c>
      <x:c r="B92" s="103" t="n">
        <x:f>EDATE(B91,1)</x:f>
        <x:v>48853</x:v>
      </x:c>
      <x:c r="C92" s="104" t="n">
        <x:f>H91</x:f>
        <x:v>292925.25337056944</x:v>
      </x:c>
      <x:c r="D92" s="104" t="n">
        <x:f>IF(C92&gt;0,C92*'Your Mortgage'!$C$7/12,0)</x:f>
        <x:v>1586.6784557572512</x:v>
      </x:c>
      <x:c r="E92" s="104" t="n">
        <x:f>IF(C92&gt;0,MIN('Your Mortgage'!$C$11,C92+D92),0)</x:f>
        <x:v>2054.2210763521375</x:v>
      </x:c>
      <x:c r="F92" s="104" t="n">
        <x:f>E92</x:f>
        <x:v>2054.2210763521375</x:v>
      </x:c>
      <x:c r="G92" s="104" t="n">
        <x:f>MAX(0,F92-D92)</x:f>
        <x:v>467.54262059488633</x:v>
      </x:c>
      <x:c r="H92" s="104" t="n">
        <x:f>MAX(0,C92-G92)</x:f>
        <x:v>292457.71074997453</x:v>
      </x:c>
      <x:c r="I92" s="105" t="n">
        <x:f>P91</x:f>
        <x:v>258175.38069666552</x:v>
      </x:c>
      <x:c r="J92" s="105" t="n">
        <x:f>IF(I92&gt;0,I92*'Your Mortgage'!$C$7/12,0)</x:f>
        <x:v>1398.449978773605</x:v>
      </x:c>
      <x:c r="K92" s="105" t="n">
        <x:f>IF(I92&gt;0,MIN('Your Mortgage'!$C$11,I92+J92),0)</x:f>
        <x:v>2054.2210763521375</x:v>
      </x:c>
      <x:c r="L92" s="105" t="n">
        <x:f>IF(I92&gt;0,MIN('Your Mortgage'!$F$6,MAX(0,I92+J92-K92)),0)</x:f>
        <x:v>250</x:v>
      </x:c>
      <x:c r="M92" s="105" t="n">
        <x:f>IF(AND(A92='Your Mortgage'!$F$8,I92&gt;0),MIN('Your Mortgage'!$F$7,MAX(0,I92+J92-K92-L92)),0)</x:f>
        <x:v>0</x:v>
      </x:c>
      <x:c r="N92" s="105" t="n">
        <x:f>K92+L92+M92</x:f>
        <x:v>2304.2210763521375</x:v>
      </x:c>
      <x:c r="O92" s="105" t="n">
        <x:f>MAX(0,N92-J92)</x:f>
        <x:v>905.7710975785326</x:v>
      </x:c>
      <x:c r="P92" s="105" t="n">
        <x:f>MAX(0,I92-O92)</x:f>
        <x:v>257269.60959908698</x:v>
      </x:c>
      <x:c r="Q92" s="106" t="n">
        <x:f>X91</x:f>
        <x:v>238340.05047356815</x:v>
      </x:c>
      <x:c r="R92" s="106" t="n">
        <x:f>IF(Q92&gt;0,Q92*'Your Mortgage'!$C$7/12,0)</x:f>
        <x:v>1291.0086067318275</x:v>
      </x:c>
      <x:c r="S92" s="106" t="n">
        <x:f>IF(Q92&gt;0,MIN('Your Mortgage'!$C$11,Q92+R92),0)</x:f>
        <x:v>2054.2210763521375</x:v>
      </x:c>
      <x:c r="T92" s="106" t="n">
        <x:f>IF(Q92&gt;0,MIN('Your Mortgage'!$I$6,MAX(0,Q92+R92-S92)),0)</x:f>
        <x:v>500</x:v>
      </x:c>
      <x:c r="U92" s="106" t="n">
        <x:f>IF(AND(A92='Your Mortgage'!$I$8,Q92&gt;0),MIN('Your Mortgage'!$I$7,MAX(0,Q92+R92-S92-T92)),0)</x:f>
        <x:v>0</x:v>
      </x:c>
      <x:c r="V92" s="106" t="n">
        <x:f>S92+T92+U92</x:f>
        <x:v>2554.2210763521375</x:v>
      </x:c>
      <x:c r="W92" s="106" t="n">
        <x:f>MAX(0,V92-R92)</x:f>
        <x:v>1263.21246962031</x:v>
      </x:c>
      <x:c r="X92" s="106" t="n">
        <x:f>MAX(0,Q92-W92)</x:f>
        <x:v>237076.83800394784</x:v>
      </x:c>
      <x:c r="Y92" s="1"/>
      <x:c r="Z92" s="1"/>
    </x:row>
    <x:row r="93">
      <x:c r="A93" s="100" t="n">
        <x:f>A92+1</x:f>
        <x:v>88</x:v>
      </x:c>
      <x:c r="B93" s="103" t="n">
        <x:f>EDATE(B92,1)</x:f>
        <x:v>48884</x:v>
      </x:c>
      <x:c r="C93" s="104" t="n">
        <x:f>H92</x:f>
        <x:v>292457.71074997453</x:v>
      </x:c>
      <x:c r="D93" s="104" t="n">
        <x:f>IF(C93&gt;0,C93*'Your Mortgage'!$C$7/12,0)</x:f>
        <x:v>1584.1459332290287</x:v>
      </x:c>
      <x:c r="E93" s="104" t="n">
        <x:f>IF(C93&gt;0,MIN('Your Mortgage'!$C$11,C93+D93),0)</x:f>
        <x:v>2054.2210763521375</x:v>
      </x:c>
      <x:c r="F93" s="104" t="n">
        <x:f>E93</x:f>
        <x:v>2054.2210763521375</x:v>
      </x:c>
      <x:c r="G93" s="104" t="n">
        <x:f>MAX(0,F93-D93)</x:f>
        <x:v>470.0751431231088</x:v>
      </x:c>
      <x:c r="H93" s="104" t="n">
        <x:f>MAX(0,C93-G93)</x:f>
        <x:v>291987.6356068514</x:v>
      </x:c>
      <x:c r="I93" s="105" t="n">
        <x:f>P92</x:f>
        <x:v>257269.60959908698</x:v>
      </x:c>
      <x:c r="J93" s="105" t="n">
        <x:f>IF(I93&gt;0,I93*'Your Mortgage'!$C$7/12,0)</x:f>
        <x:v>1393.5437186617212</x:v>
      </x:c>
      <x:c r="K93" s="105" t="n">
        <x:f>IF(I93&gt;0,MIN('Your Mortgage'!$C$11,I93+J93),0)</x:f>
        <x:v>2054.2210763521375</x:v>
      </x:c>
      <x:c r="L93" s="105" t="n">
        <x:f>IF(I93&gt;0,MIN('Your Mortgage'!$F$6,MAX(0,I93+J93-K93)),0)</x:f>
        <x:v>250</x:v>
      </x:c>
      <x:c r="M93" s="105" t="n">
        <x:f>IF(AND(A93='Your Mortgage'!$F$8,I93&gt;0),MIN('Your Mortgage'!$F$7,MAX(0,I93+J93-K93-L93)),0)</x:f>
        <x:v>0</x:v>
      </x:c>
      <x:c r="N93" s="105" t="n">
        <x:f>K93+L93+M93</x:f>
        <x:v>2304.2210763521375</x:v>
      </x:c>
      <x:c r="O93" s="105" t="n">
        <x:f>MAX(0,N93-J93)</x:f>
        <x:v>910.6773576904163</x:v>
      </x:c>
      <x:c r="P93" s="105" t="n">
        <x:f>MAX(0,I93-O93)</x:f>
        <x:v>256358.93224139657</x:v>
      </x:c>
      <x:c r="Q93" s="106" t="n">
        <x:f>X92</x:f>
        <x:v>237076.83800394784</x:v>
      </x:c>
      <x:c r="R93" s="106" t="n">
        <x:f>IF(Q93&gt;0,Q93*'Your Mortgage'!$C$7/12,0)</x:f>
        <x:v>1284.1662058547174</x:v>
      </x:c>
      <x:c r="S93" s="106" t="n">
        <x:f>IF(Q93&gt;0,MIN('Your Mortgage'!$C$11,Q93+R93),0)</x:f>
        <x:v>2054.2210763521375</x:v>
      </x:c>
      <x:c r="T93" s="106" t="n">
        <x:f>IF(Q93&gt;0,MIN('Your Mortgage'!$I$6,MAX(0,Q93+R93-S93)),0)</x:f>
        <x:v>500</x:v>
      </x:c>
      <x:c r="U93" s="106" t="n">
        <x:f>IF(AND(A93='Your Mortgage'!$I$8,Q93&gt;0),MIN('Your Mortgage'!$I$7,MAX(0,Q93+R93-S93-T93)),0)</x:f>
        <x:v>0</x:v>
      </x:c>
      <x:c r="V93" s="106" t="n">
        <x:f>S93+T93+U93</x:f>
        <x:v>2554.2210763521375</x:v>
      </x:c>
      <x:c r="W93" s="106" t="n">
        <x:f>MAX(0,V93-R93)</x:f>
        <x:v>1270.05487049742</x:v>
      </x:c>
      <x:c r="X93" s="106" t="n">
        <x:f>MAX(0,Q93-W93)</x:f>
        <x:v>235806.78313345043</x:v>
      </x:c>
      <x:c r="Y93" s="1"/>
      <x:c r="Z93" s="1"/>
    </x:row>
    <x:row r="94">
      <x:c r="A94" s="100" t="n">
        <x:f>A93+1</x:f>
        <x:v>89</x:v>
      </x:c>
      <x:c r="B94" s="103" t="n">
        <x:f>EDATE(B93,1)</x:f>
        <x:v>48914</x:v>
      </x:c>
      <x:c r="C94" s="104" t="n">
        <x:f>H93</x:f>
        <x:v>291987.6356068514</x:v>
      </x:c>
      <x:c r="D94" s="104" t="n">
        <x:f>IF(C94&gt;0,C94*'Your Mortgage'!$C$7/12,0)</x:f>
        <x:v>1581.5996928704453</x:v>
      </x:c>
      <x:c r="E94" s="104" t="n">
        <x:f>IF(C94&gt;0,MIN('Your Mortgage'!$C$11,C94+D94),0)</x:f>
        <x:v>2054.2210763521375</x:v>
      </x:c>
      <x:c r="F94" s="104" t="n">
        <x:f>E94</x:f>
        <x:v>2054.2210763521375</x:v>
      </x:c>
      <x:c r="G94" s="104" t="n">
        <x:f>MAX(0,F94-D94)</x:f>
        <x:v>472.6213834816922</x:v>
      </x:c>
      <x:c r="H94" s="104" t="n">
        <x:f>MAX(0,C94-G94)</x:f>
        <x:v>291515.0142233697</x:v>
      </x:c>
      <x:c r="I94" s="105" t="n">
        <x:f>P93</x:f>
        <x:v>256358.93224139657</x:v>
      </x:c>
      <x:c r="J94" s="105" t="n">
        <x:f>IF(I94&gt;0,I94*'Your Mortgage'!$C$7/12,0)</x:f>
        <x:v>1388.6108829742316</x:v>
      </x:c>
      <x:c r="K94" s="105" t="n">
        <x:f>IF(I94&gt;0,MIN('Your Mortgage'!$C$11,I94+J94),0)</x:f>
        <x:v>2054.2210763521375</x:v>
      </x:c>
      <x:c r="L94" s="105" t="n">
        <x:f>IF(I94&gt;0,MIN('Your Mortgage'!$F$6,MAX(0,I94+J94-K94)),0)</x:f>
        <x:v>250</x:v>
      </x:c>
      <x:c r="M94" s="105" t="n">
        <x:f>IF(AND(A94='Your Mortgage'!$F$8,I94&gt;0),MIN('Your Mortgage'!$F$7,MAX(0,I94+J94-K94-L94)),0)</x:f>
        <x:v>0</x:v>
      </x:c>
      <x:c r="N94" s="105" t="n">
        <x:f>K94+L94+M94</x:f>
        <x:v>2304.2210763521375</x:v>
      </x:c>
      <x:c r="O94" s="105" t="n">
        <x:f>MAX(0,N94-J94)</x:f>
        <x:v>915.610193377906</x:v>
      </x:c>
      <x:c r="P94" s="105" t="n">
        <x:f>MAX(0,I94-O94)</x:f>
        <x:v>255443.32204801866</x:v>
      </x:c>
      <x:c r="Q94" s="106" t="n">
        <x:f>X93</x:f>
        <x:v>235806.78313345043</x:v>
      </x:c>
      <x:c r="R94" s="106" t="n">
        <x:f>IF(Q94&gt;0,Q94*'Your Mortgage'!$C$7/12,0)</x:f>
        <x:v>1277.2867419728566</x:v>
      </x:c>
      <x:c r="S94" s="106" t="n">
        <x:f>IF(Q94&gt;0,MIN('Your Mortgage'!$C$11,Q94+R94),0)</x:f>
        <x:v>2054.2210763521375</x:v>
      </x:c>
      <x:c r="T94" s="106" t="n">
        <x:f>IF(Q94&gt;0,MIN('Your Mortgage'!$I$6,MAX(0,Q94+R94-S94)),0)</x:f>
        <x:v>500</x:v>
      </x:c>
      <x:c r="U94" s="106" t="n">
        <x:f>IF(AND(A94='Your Mortgage'!$I$8,Q94&gt;0),MIN('Your Mortgage'!$I$7,MAX(0,Q94+R94-S94-T94)),0)</x:f>
        <x:v>0</x:v>
      </x:c>
      <x:c r="V94" s="106" t="n">
        <x:f>S94+T94+U94</x:f>
        <x:v>2554.2210763521375</x:v>
      </x:c>
      <x:c r="W94" s="106" t="n">
        <x:f>MAX(0,V94-R94)</x:f>
        <x:v>1276.934334379281</x:v>
      </x:c>
      <x:c r="X94" s="106" t="n">
        <x:f>MAX(0,Q94-W94)</x:f>
        <x:v>234529.84879907116</x:v>
      </x:c>
      <x:c r="Y94" s="1"/>
      <x:c r="Z94" s="1"/>
    </x:row>
    <x:row r="95">
      <x:c r="A95" s="100" t="n">
        <x:f>A94+1</x:f>
        <x:v>90</x:v>
      </x:c>
      <x:c r="B95" s="103" t="n">
        <x:f>EDATE(B94,1)</x:f>
        <x:v>48945</x:v>
      </x:c>
      <x:c r="C95" s="104" t="n">
        <x:f>H94</x:f>
        <x:v>291515.0142233697</x:v>
      </x:c>
      <x:c r="D95" s="104" t="n">
        <x:f>IF(C95&gt;0,C95*'Your Mortgage'!$C$7/12,0)</x:f>
        <x:v>1579.039660376586</x:v>
      </x:c>
      <x:c r="E95" s="104" t="n">
        <x:f>IF(C95&gt;0,MIN('Your Mortgage'!$C$11,C95+D95),0)</x:f>
        <x:v>2054.2210763521375</x:v>
      </x:c>
      <x:c r="F95" s="104" t="n">
        <x:f>E95</x:f>
        <x:v>2054.2210763521375</x:v>
      </x:c>
      <x:c r="G95" s="104" t="n">
        <x:f>MAX(0,F95-D95)</x:f>
        <x:v>475.18141597555154</x:v>
      </x:c>
      <x:c r="H95" s="104" t="n">
        <x:f>MAX(0,C95-G95)</x:f>
        <x:v>291039.83280739415</x:v>
      </x:c>
      <x:c r="I95" s="105" t="n">
        <x:f>P94</x:f>
        <x:v>255443.32204801866</x:v>
      </x:c>
      <x:c r="J95" s="105" t="n">
        <x:f>IF(I95&gt;0,I95*'Your Mortgage'!$C$7/12,0)</x:f>
        <x:v>1383.651327760101</x:v>
      </x:c>
      <x:c r="K95" s="105" t="n">
        <x:f>IF(I95&gt;0,MIN('Your Mortgage'!$C$11,I95+J95),0)</x:f>
        <x:v>2054.2210763521375</x:v>
      </x:c>
      <x:c r="L95" s="105" t="n">
        <x:f>IF(I95&gt;0,MIN('Your Mortgage'!$F$6,MAX(0,I95+J95-K95)),0)</x:f>
        <x:v>250</x:v>
      </x:c>
      <x:c r="M95" s="105" t="n">
        <x:f>IF(AND(A95='Your Mortgage'!$F$8,I95&gt;0),MIN('Your Mortgage'!$F$7,MAX(0,I95+J95-K95-L95)),0)</x:f>
        <x:v>0</x:v>
      </x:c>
      <x:c r="N95" s="105" t="n">
        <x:f>K95+L95+M95</x:f>
        <x:v>2304.2210763521375</x:v>
      </x:c>
      <x:c r="O95" s="105" t="n">
        <x:f>MAX(0,N95-J95)</x:f>
        <x:v>920.5697485920366</x:v>
      </x:c>
      <x:c r="P95" s="105" t="n">
        <x:f>MAX(0,I95-O95)</x:f>
        <x:v>254522.75229942662</x:v>
      </x:c>
      <x:c r="Q95" s="106" t="n">
        <x:f>X94</x:f>
        <x:v>234529.84879907116</x:v>
      </x:c>
      <x:c r="R95" s="106" t="n">
        <x:f>IF(Q95&gt;0,Q95*'Your Mortgage'!$C$7/12,0)</x:f>
        <x:v>1270.3700143283022</x:v>
      </x:c>
      <x:c r="S95" s="106" t="n">
        <x:f>IF(Q95&gt;0,MIN('Your Mortgage'!$C$11,Q95+R95),0)</x:f>
        <x:v>2054.2210763521375</x:v>
      </x:c>
      <x:c r="T95" s="106" t="n">
        <x:f>IF(Q95&gt;0,MIN('Your Mortgage'!$I$6,MAX(0,Q95+R95-S95)),0)</x:f>
        <x:v>500</x:v>
      </x:c>
      <x:c r="U95" s="106" t="n">
        <x:f>IF(AND(A95='Your Mortgage'!$I$8,Q95&gt;0),MIN('Your Mortgage'!$I$7,MAX(0,Q95+R95-S95-T95)),0)</x:f>
        <x:v>0</x:v>
      </x:c>
      <x:c r="V95" s="106" t="n">
        <x:f>S95+T95+U95</x:f>
        <x:v>2554.2210763521375</x:v>
      </x:c>
      <x:c r="W95" s="106" t="n">
        <x:f>MAX(0,V95-R95)</x:f>
        <x:v>1283.8510620238353</x:v>
      </x:c>
      <x:c r="X95" s="106" t="n">
        <x:f>MAX(0,Q95-W95)</x:f>
        <x:v>233245.99773704732</x:v>
      </x:c>
      <x:c r="Y95" s="1"/>
      <x:c r="Z95" s="1"/>
    </x:row>
    <x:row r="96">
      <x:c r="A96" s="100" t="n">
        <x:f>A95+1</x:f>
        <x:v>91</x:v>
      </x:c>
      <x:c r="B96" s="103" t="n">
        <x:f>EDATE(B95,1)</x:f>
        <x:v>48976</x:v>
      </x:c>
      <x:c r="C96" s="104" t="n">
        <x:f>H95</x:f>
        <x:v>291039.83280739415</x:v>
      </x:c>
      <x:c r="D96" s="104" t="n">
        <x:f>IF(C96&gt;0,C96*'Your Mortgage'!$C$7/12,0)</x:f>
        <x:v>1576.4657610400518</x:v>
      </x:c>
      <x:c r="E96" s="104" t="n">
        <x:f>IF(C96&gt;0,MIN('Your Mortgage'!$C$11,C96+D96),0)</x:f>
        <x:v>2054.2210763521375</x:v>
      </x:c>
      <x:c r="F96" s="104" t="n">
        <x:f>E96</x:f>
        <x:v>2054.2210763521375</x:v>
      </x:c>
      <x:c r="G96" s="104" t="n">
        <x:f>MAX(0,F96-D96)</x:f>
        <x:v>477.7553153120857</x:v>
      </x:c>
      <x:c r="H96" s="104" t="n">
        <x:f>MAX(0,C96-G96)</x:f>
        <x:v>290562.0774920821</x:v>
      </x:c>
      <x:c r="I96" s="105" t="n">
        <x:f>P95</x:f>
        <x:v>254522.75229942662</x:v>
      </x:c>
      <x:c r="J96" s="105" t="n">
        <x:f>IF(I96&gt;0,I96*'Your Mortgage'!$C$7/12,0)</x:f>
        <x:v>1378.6649082885608</x:v>
      </x:c>
      <x:c r="K96" s="105" t="n">
        <x:f>IF(I96&gt;0,MIN('Your Mortgage'!$C$11,I96+J96),0)</x:f>
        <x:v>2054.2210763521375</x:v>
      </x:c>
      <x:c r="L96" s="105" t="n">
        <x:f>IF(I96&gt;0,MIN('Your Mortgage'!$F$6,MAX(0,I96+J96-K96)),0)</x:f>
        <x:v>250</x:v>
      </x:c>
      <x:c r="M96" s="105" t="n">
        <x:f>IF(AND(A96='Your Mortgage'!$F$8,I96&gt;0),MIN('Your Mortgage'!$F$7,MAX(0,I96+J96-K96-L96)),0)</x:f>
        <x:v>0</x:v>
      </x:c>
      <x:c r="N96" s="105" t="n">
        <x:f>K96+L96+M96</x:f>
        <x:v>2304.2210763521375</x:v>
      </x:c>
      <x:c r="O96" s="105" t="n">
        <x:f>MAX(0,N96-J96)</x:f>
        <x:v>925.5561680635767</x:v>
      </x:c>
      <x:c r="P96" s="105" t="n">
        <x:f>MAX(0,I96-O96)</x:f>
        <x:v>253597.19613136305</x:v>
      </x:c>
      <x:c r="Q96" s="106" t="n">
        <x:f>X95</x:f>
        <x:v>233245.99773704732</x:v>
      </x:c>
      <x:c r="R96" s="106" t="n">
        <x:f>IF(Q96&gt;0,Q96*'Your Mortgage'!$C$7/12,0)</x:f>
        <x:v>1263.415821075673</x:v>
      </x:c>
      <x:c r="S96" s="106" t="n">
        <x:f>IF(Q96&gt;0,MIN('Your Mortgage'!$C$11,Q96+R96),0)</x:f>
        <x:v>2054.2210763521375</x:v>
      </x:c>
      <x:c r="T96" s="106" t="n">
        <x:f>IF(Q96&gt;0,MIN('Your Mortgage'!$I$6,MAX(0,Q96+R96-S96)),0)</x:f>
        <x:v>500</x:v>
      </x:c>
      <x:c r="U96" s="106" t="n">
        <x:f>IF(AND(A96='Your Mortgage'!$I$8,Q96&gt;0),MIN('Your Mortgage'!$I$7,MAX(0,Q96+R96-S96-T96)),0)</x:f>
        <x:v>0</x:v>
      </x:c>
      <x:c r="V96" s="106" t="n">
        <x:f>S96+T96+U96</x:f>
        <x:v>2554.2210763521375</x:v>
      </x:c>
      <x:c r="W96" s="106" t="n">
        <x:f>MAX(0,V96-R96)</x:f>
        <x:v>1290.8052552764645</x:v>
      </x:c>
      <x:c r="X96" s="106" t="n">
        <x:f>MAX(0,Q96-W96)</x:f>
        <x:v>231955.19248177085</x:v>
      </x:c>
      <x:c r="Y96" s="1"/>
      <x:c r="Z96" s="1"/>
    </x:row>
    <x:row r="97">
      <x:c r="A97" s="100" t="n">
        <x:f>A96+1</x:f>
        <x:v>92</x:v>
      </x:c>
      <x:c r="B97" s="103" t="n">
        <x:f>EDATE(B96,1)</x:f>
        <x:v>49004</x:v>
      </x:c>
      <x:c r="C97" s="104" t="n">
        <x:f>H96</x:f>
        <x:v>290562.0774920821</x:v>
      </x:c>
      <x:c r="D97" s="104" t="n">
        <x:f>IF(C97&gt;0,C97*'Your Mortgage'!$C$7/12,0)</x:f>
        <x:v>1573.8779197487781</x:v>
      </x:c>
      <x:c r="E97" s="104" t="n">
        <x:f>IF(C97&gt;0,MIN('Your Mortgage'!$C$11,C97+D97),0)</x:f>
        <x:v>2054.2210763521375</x:v>
      </x:c>
      <x:c r="F97" s="104" t="n">
        <x:f>E97</x:f>
        <x:v>2054.2210763521375</x:v>
      </x:c>
      <x:c r="G97" s="104" t="n">
        <x:f>MAX(0,F97-D97)</x:f>
        <x:v>480.3431566033594</x:v>
      </x:c>
      <x:c r="H97" s="104" t="n">
        <x:f>MAX(0,C97-G97)</x:f>
        <x:v>290081.73433547874</x:v>
      </x:c>
      <x:c r="I97" s="105" t="n">
        <x:f>P96</x:f>
        <x:v>253597.19613136305</x:v>
      </x:c>
      <x:c r="J97" s="105" t="n">
        <x:f>IF(I97&gt;0,I97*'Your Mortgage'!$C$7/12,0)</x:f>
        <x:v>1373.651479044883</x:v>
      </x:c>
      <x:c r="K97" s="105" t="n">
        <x:f>IF(I97&gt;0,MIN('Your Mortgage'!$C$11,I97+J97),0)</x:f>
        <x:v>2054.2210763521375</x:v>
      </x:c>
      <x:c r="L97" s="105" t="n">
        <x:f>IF(I97&gt;0,MIN('Your Mortgage'!$F$6,MAX(0,I97+J97-K97)),0)</x:f>
        <x:v>250</x:v>
      </x:c>
      <x:c r="M97" s="105" t="n">
        <x:f>IF(AND(A97='Your Mortgage'!$F$8,I97&gt;0),MIN('Your Mortgage'!$F$7,MAX(0,I97+J97-K97-L97)),0)</x:f>
        <x:v>0</x:v>
      </x:c>
      <x:c r="N97" s="105" t="n">
        <x:f>K97+L97+M97</x:f>
        <x:v>2304.2210763521375</x:v>
      </x:c>
      <x:c r="O97" s="105" t="n">
        <x:f>MAX(0,N97-J97)</x:f>
        <x:v>930.5695973072545</x:v>
      </x:c>
      <x:c r="P97" s="105" t="n">
        <x:f>MAX(0,I97-O97)</x:f>
        <x:v>252666.6265340558</x:v>
      </x:c>
      <x:c r="Q97" s="106" t="n">
        <x:f>X96</x:f>
        <x:v>231955.19248177085</x:v>
      </x:c>
      <x:c r="R97" s="106" t="n">
        <x:f>IF(Q97&gt;0,Q97*'Your Mortgage'!$C$7/12,0)</x:f>
        <x:v>1256.4239592762588</x:v>
      </x:c>
      <x:c r="S97" s="106" t="n">
        <x:f>IF(Q97&gt;0,MIN('Your Mortgage'!$C$11,Q97+R97),0)</x:f>
        <x:v>2054.2210763521375</x:v>
      </x:c>
      <x:c r="T97" s="106" t="n">
        <x:f>IF(Q97&gt;0,MIN('Your Mortgage'!$I$6,MAX(0,Q97+R97-S97)),0)</x:f>
        <x:v>500</x:v>
      </x:c>
      <x:c r="U97" s="106" t="n">
        <x:f>IF(AND(A97='Your Mortgage'!$I$8,Q97&gt;0),MIN('Your Mortgage'!$I$7,MAX(0,Q97+R97-S97-T97)),0)</x:f>
        <x:v>0</x:v>
      </x:c>
      <x:c r="V97" s="106" t="n">
        <x:f>S97+T97+U97</x:f>
        <x:v>2554.2210763521375</x:v>
      </x:c>
      <x:c r="W97" s="106" t="n">
        <x:f>MAX(0,V97-R97)</x:f>
        <x:v>1297.7971170758788</x:v>
      </x:c>
      <x:c r="X97" s="106" t="n">
        <x:f>MAX(0,Q97-W97)</x:f>
        <x:v>230657.39536469497</x:v>
      </x:c>
      <x:c r="Y97" s="1"/>
      <x:c r="Z97" s="1"/>
    </x:row>
    <x:row r="98">
      <x:c r="A98" s="100" t="n">
        <x:f>A97+1</x:f>
        <x:v>93</x:v>
      </x:c>
      <x:c r="B98" s="103" t="n">
        <x:f>EDATE(B97,1)</x:f>
        <x:v>49035</x:v>
      </x:c>
      <x:c r="C98" s="104" t="n">
        <x:f>H97</x:f>
        <x:v>290081.73433547874</x:v>
      </x:c>
      <x:c r="D98" s="104" t="n">
        <x:f>IF(C98&gt;0,C98*'Your Mortgage'!$C$7/12,0)</x:f>
        <x:v>1571.2760609838433</x:v>
      </x:c>
      <x:c r="E98" s="104" t="n">
        <x:f>IF(C98&gt;0,MIN('Your Mortgage'!$C$11,C98+D98),0)</x:f>
        <x:v>2054.2210763521375</x:v>
      </x:c>
      <x:c r="F98" s="104" t="n">
        <x:f>E98</x:f>
        <x:v>2054.2210763521375</x:v>
      </x:c>
      <x:c r="G98" s="104" t="n">
        <x:f>MAX(0,F98-D98)</x:f>
        <x:v>482.9450153682942</x:v>
      </x:c>
      <x:c r="H98" s="104" t="n">
        <x:f>MAX(0,C98-G98)</x:f>
        <x:v>289598.78932011046</x:v>
      </x:c>
      <x:c r="I98" s="105" t="n">
        <x:f>P97</x:f>
        <x:v>252666.6265340558</x:v>
      </x:c>
      <x:c r="J98" s="105" t="n">
        <x:f>IF(I98&gt;0,I98*'Your Mortgage'!$C$7/12,0)</x:f>
        <x:v>1368.6108937261358</x:v>
      </x:c>
      <x:c r="K98" s="105" t="n">
        <x:f>IF(I98&gt;0,MIN('Your Mortgage'!$C$11,I98+J98),0)</x:f>
        <x:v>2054.2210763521375</x:v>
      </x:c>
      <x:c r="L98" s="105" t="n">
        <x:f>IF(I98&gt;0,MIN('Your Mortgage'!$F$6,MAX(0,I98+J98-K98)),0)</x:f>
        <x:v>250</x:v>
      </x:c>
      <x:c r="M98" s="105" t="n">
        <x:f>IF(AND(A98='Your Mortgage'!$F$8,I98&gt;0),MIN('Your Mortgage'!$F$7,MAX(0,I98+J98-K98-L98)),0)</x:f>
        <x:v>0</x:v>
      </x:c>
      <x:c r="N98" s="105" t="n">
        <x:f>K98+L98+M98</x:f>
        <x:v>2304.2210763521375</x:v>
      </x:c>
      <x:c r="O98" s="105" t="n">
        <x:f>MAX(0,N98-J98)</x:f>
        <x:v>935.6101826260017</x:v>
      </x:c>
      <x:c r="P98" s="105" t="n">
        <x:f>MAX(0,I98-O98)</x:f>
        <x:v>251731.0163514298</x:v>
      </x:c>
      <x:c r="Q98" s="106" t="n">
        <x:f>X97</x:f>
        <x:v>230657.39536469497</x:v>
      </x:c>
      <x:c r="R98" s="106" t="n">
        <x:f>IF(Q98&gt;0,Q98*'Your Mortgage'!$C$7/12,0)</x:f>
        <x:v>1249.3942248920978</x:v>
      </x:c>
      <x:c r="S98" s="106" t="n">
        <x:f>IF(Q98&gt;0,MIN('Your Mortgage'!$C$11,Q98+R98),0)</x:f>
        <x:v>2054.2210763521375</x:v>
      </x:c>
      <x:c r="T98" s="106" t="n">
        <x:f>IF(Q98&gt;0,MIN('Your Mortgage'!$I$6,MAX(0,Q98+R98-S98)),0)</x:f>
        <x:v>500</x:v>
      </x:c>
      <x:c r="U98" s="106" t="n">
        <x:f>IF(AND(A98='Your Mortgage'!$I$8,Q98&gt;0),MIN('Your Mortgage'!$I$7,MAX(0,Q98+R98-S98-T98)),0)</x:f>
        <x:v>0</x:v>
      </x:c>
      <x:c r="V98" s="106" t="n">
        <x:f>S98+T98+U98</x:f>
        <x:v>2554.2210763521375</x:v>
      </x:c>
      <x:c r="W98" s="106" t="n">
        <x:f>MAX(0,V98-R98)</x:f>
        <x:v>1304.8268514600397</x:v>
      </x:c>
      <x:c r="X98" s="106" t="n">
        <x:f>MAX(0,Q98-W98)</x:f>
        <x:v>229352.56851323493</x:v>
      </x:c>
      <x:c r="Y98" s="1"/>
      <x:c r="Z98" s="1"/>
    </x:row>
    <x:row r="99">
      <x:c r="A99" s="100" t="n">
        <x:f>A98+1</x:f>
        <x:v>94</x:v>
      </x:c>
      <x:c r="B99" s="103" t="n">
        <x:f>EDATE(B98,1)</x:f>
        <x:v>49065</x:v>
      </x:c>
      <x:c r="C99" s="104" t="n">
        <x:f>H98</x:f>
        <x:v>289598.78932011046</x:v>
      </x:c>
      <x:c r="D99" s="104" t="n">
        <x:f>IF(C99&gt;0,C99*'Your Mortgage'!$C$7/12,0)</x:f>
        <x:v>1568.660108817265</x:v>
      </x:c>
      <x:c r="E99" s="104" t="n">
        <x:f>IF(C99&gt;0,MIN('Your Mortgage'!$C$11,C99+D99),0)</x:f>
        <x:v>2054.2210763521375</x:v>
      </x:c>
      <x:c r="F99" s="104" t="n">
        <x:f>E99</x:f>
        <x:v>2054.2210763521375</x:v>
      </x:c>
      <x:c r="G99" s="104" t="n">
        <x:f>MAX(0,F99-D99)</x:f>
        <x:v>485.5609675348726</x:v>
      </x:c>
      <x:c r="H99" s="104" t="n">
        <x:f>MAX(0,C99-G99)</x:f>
        <x:v>289113.22835257556</x:v>
      </x:c>
      <x:c r="I99" s="105" t="n">
        <x:f>P98</x:f>
        <x:v>251731.0163514298</x:v>
      </x:c>
      <x:c r="J99" s="105" t="n">
        <x:f>IF(I99&gt;0,I99*'Your Mortgage'!$C$7/12,0)</x:f>
        <x:v>1363.5430052369115</x:v>
      </x:c>
      <x:c r="K99" s="105" t="n">
        <x:f>IF(I99&gt;0,MIN('Your Mortgage'!$C$11,I99+J99),0)</x:f>
        <x:v>2054.2210763521375</x:v>
      </x:c>
      <x:c r="L99" s="105" t="n">
        <x:f>IF(I99&gt;0,MIN('Your Mortgage'!$F$6,MAX(0,I99+J99-K99)),0)</x:f>
        <x:v>250</x:v>
      </x:c>
      <x:c r="M99" s="105" t="n">
        <x:f>IF(AND(A99='Your Mortgage'!$F$8,I99&gt;0),MIN('Your Mortgage'!$F$7,MAX(0,I99+J99-K99-L99)),0)</x:f>
        <x:v>0</x:v>
      </x:c>
      <x:c r="N99" s="105" t="n">
        <x:f>K99+L99+M99</x:f>
        <x:v>2304.2210763521375</x:v>
      </x:c>
      <x:c r="O99" s="105" t="n">
        <x:f>MAX(0,N99-J99)</x:f>
        <x:v>940.678071115226</x:v>
      </x:c>
      <x:c r="P99" s="105" t="n">
        <x:f>MAX(0,I99-O99)</x:f>
        <x:v>250790.33828031458</x:v>
      </x:c>
      <x:c r="Q99" s="106" t="n">
        <x:f>X98</x:f>
        <x:v>229352.56851323493</x:v>
      </x:c>
      <x:c r="R99" s="106" t="n">
        <x:f>IF(Q99&gt;0,Q99*'Your Mortgage'!$C$7/12,0)</x:f>
        <x:v>1242.3264127800226</x:v>
      </x:c>
      <x:c r="S99" s="106" t="n">
        <x:f>IF(Q99&gt;0,MIN('Your Mortgage'!$C$11,Q99+R99),0)</x:f>
        <x:v>2054.2210763521375</x:v>
      </x:c>
      <x:c r="T99" s="106" t="n">
        <x:f>IF(Q99&gt;0,MIN('Your Mortgage'!$I$6,MAX(0,Q99+R99-S99)),0)</x:f>
        <x:v>500</x:v>
      </x:c>
      <x:c r="U99" s="106" t="n">
        <x:f>IF(AND(A99='Your Mortgage'!$I$8,Q99&gt;0),MIN('Your Mortgage'!$I$7,MAX(0,Q99+R99-S99-T99)),0)</x:f>
        <x:v>0</x:v>
      </x:c>
      <x:c r="V99" s="106" t="n">
        <x:f>S99+T99+U99</x:f>
        <x:v>2554.2210763521375</x:v>
      </x:c>
      <x:c r="W99" s="106" t="n">
        <x:f>MAX(0,V99-R99)</x:f>
        <x:v>1311.894663572115</x:v>
      </x:c>
      <x:c r="X99" s="106" t="n">
        <x:f>MAX(0,Q99-W99)</x:f>
        <x:v>228040.67384966282</x:v>
      </x:c>
      <x:c r="Y99" s="1"/>
      <x:c r="Z99" s="1"/>
    </x:row>
    <x:row r="100">
      <x:c r="A100" s="100" t="n">
        <x:f>A99+1</x:f>
        <x:v>95</x:v>
      </x:c>
      <x:c r="B100" s="103" t="n">
        <x:f>EDATE(B99,1)</x:f>
        <x:v>49096</x:v>
      </x:c>
      <x:c r="C100" s="104" t="n">
        <x:f>H99</x:f>
        <x:v>289113.22835257556</x:v>
      </x:c>
      <x:c r="D100" s="104" t="n">
        <x:f>IF(C100&gt;0,C100*'Your Mortgage'!$C$7/12,0)</x:f>
        <x:v>1566.0299869097844</x:v>
      </x:c>
      <x:c r="E100" s="104" t="n">
        <x:f>IF(C100&gt;0,MIN('Your Mortgage'!$C$11,C100+D100),0)</x:f>
        <x:v>2054.2210763521375</x:v>
      </x:c>
      <x:c r="F100" s="104" t="n">
        <x:f>E100</x:f>
        <x:v>2054.2210763521375</x:v>
      </x:c>
      <x:c r="G100" s="104" t="n">
        <x:f>MAX(0,F100-D100)</x:f>
        <x:v>488.19108944235313</x:v>
      </x:c>
      <x:c r="H100" s="104" t="n">
        <x:f>MAX(0,C100-G100)</x:f>
        <x:v>288625.0372631332</x:v>
      </x:c>
      <x:c r="I100" s="105" t="n">
        <x:f>P99</x:f>
        <x:v>250790.33828031458</x:v>
      </x:c>
      <x:c r="J100" s="105" t="n">
        <x:f>IF(I100&gt;0,I100*'Your Mortgage'!$C$7/12,0)</x:f>
        <x:v>1358.4476656850372</x:v>
      </x:c>
      <x:c r="K100" s="105" t="n">
        <x:f>IF(I100&gt;0,MIN('Your Mortgage'!$C$11,I100+J100),0)</x:f>
        <x:v>2054.2210763521375</x:v>
      </x:c>
      <x:c r="L100" s="105" t="n">
        <x:f>IF(I100&gt;0,MIN('Your Mortgage'!$F$6,MAX(0,I100+J100-K100)),0)</x:f>
        <x:v>250</x:v>
      </x:c>
      <x:c r="M100" s="105" t="n">
        <x:f>IF(AND(A100='Your Mortgage'!$F$8,I100&gt;0),MIN('Your Mortgage'!$F$7,MAX(0,I100+J100-K100-L100)),0)</x:f>
        <x:v>0</x:v>
      </x:c>
      <x:c r="N100" s="105" t="n">
        <x:f>K100+L100+M100</x:f>
        <x:v>2304.2210763521375</x:v>
      </x:c>
      <x:c r="O100" s="105" t="n">
        <x:f>MAX(0,N100-J100)</x:f>
        <x:v>945.7734106671003</x:v>
      </x:c>
      <x:c r="P100" s="105" t="n">
        <x:f>MAX(0,I100-O100)</x:f>
        <x:v>249844.56486964747</x:v>
      </x:c>
      <x:c r="Q100" s="106" t="n">
        <x:f>X99</x:f>
        <x:v>228040.67384966282</x:v>
      </x:c>
      <x:c r="R100" s="106" t="n">
        <x:f>IF(Q100&gt;0,Q100*'Your Mortgage'!$C$7/12,0)</x:f>
        <x:v>1235.2203166856737</x:v>
      </x:c>
      <x:c r="S100" s="106" t="n">
        <x:f>IF(Q100&gt;0,MIN('Your Mortgage'!$C$11,Q100+R100),0)</x:f>
        <x:v>2054.2210763521375</x:v>
      </x:c>
      <x:c r="T100" s="106" t="n">
        <x:f>IF(Q100&gt;0,MIN('Your Mortgage'!$I$6,MAX(0,Q100+R100-S100)),0)</x:f>
        <x:v>500</x:v>
      </x:c>
      <x:c r="U100" s="106" t="n">
        <x:f>IF(AND(A100='Your Mortgage'!$I$8,Q100&gt;0),MIN('Your Mortgage'!$I$7,MAX(0,Q100+R100-S100-T100)),0)</x:f>
        <x:v>0</x:v>
      </x:c>
      <x:c r="V100" s="106" t="n">
        <x:f>S100+T100+U100</x:f>
        <x:v>2554.2210763521375</x:v>
      </x:c>
      <x:c r="W100" s="106" t="n">
        <x:f>MAX(0,V100-R100)</x:f>
        <x:v>1319.0007596664639</x:v>
      </x:c>
      <x:c r="X100" s="106" t="n">
        <x:f>MAX(0,Q100-W100)</x:f>
        <x:v>226721.67308999636</x:v>
      </x:c>
      <x:c r="Y100" s="1"/>
      <x:c r="Z100" s="1"/>
    </x:row>
    <x:row r="101">
      <x:c r="A101" s="100" t="n">
        <x:f>A100+1</x:f>
        <x:v>96</x:v>
      </x:c>
      <x:c r="B101" s="103" t="n">
        <x:f>EDATE(B100,1)</x:f>
        <x:v>49126</x:v>
      </x:c>
      <x:c r="C101" s="104" t="n">
        <x:f>H100</x:f>
        <x:v>288625.0372631332</x:v>
      </x:c>
      <x:c r="D101" s="104" t="n">
        <x:f>IF(C101&gt;0,C101*'Your Mortgage'!$C$7/12,0)</x:f>
        <x:v>1563.3856185086381</x:v>
      </x:c>
      <x:c r="E101" s="104" t="n">
        <x:f>IF(C101&gt;0,MIN('Your Mortgage'!$C$11,C101+D101),0)</x:f>
        <x:v>2054.2210763521375</x:v>
      </x:c>
      <x:c r="F101" s="104" t="n">
        <x:f>E101</x:f>
        <x:v>2054.2210763521375</x:v>
      </x:c>
      <x:c r="G101" s="104" t="n">
        <x:f>MAX(0,F101-D101)</x:f>
        <x:v>490.8354578434994</x:v>
      </x:c>
      <x:c r="H101" s="104" t="n">
        <x:f>MAX(0,C101-G101)</x:f>
        <x:v>288134.2018052897</x:v>
      </x:c>
      <x:c r="I101" s="105" t="n">
        <x:f>P100</x:f>
        <x:v>249844.56486964747</x:v>
      </x:c>
      <x:c r="J101" s="105" t="n">
        <x:f>IF(I101&gt;0,I101*'Your Mortgage'!$C$7/12,0)</x:f>
        <x:v>1353.324726377257</x:v>
      </x:c>
      <x:c r="K101" s="105" t="n">
        <x:f>IF(I101&gt;0,MIN('Your Mortgage'!$C$11,I101+J101),0)</x:f>
        <x:v>2054.2210763521375</x:v>
      </x:c>
      <x:c r="L101" s="105" t="n">
        <x:f>IF(I101&gt;0,MIN('Your Mortgage'!$F$6,MAX(0,I101+J101-K101)),0)</x:f>
        <x:v>250</x:v>
      </x:c>
      <x:c r="M101" s="105" t="n">
        <x:f>IF(AND(A101='Your Mortgage'!$F$8,I101&gt;0),MIN('Your Mortgage'!$F$7,MAX(0,I101+J101-K101-L101)),0)</x:f>
        <x:v>0</x:v>
      </x:c>
      <x:c r="N101" s="105" t="n">
        <x:f>K101+L101+M101</x:f>
        <x:v>2304.2210763521375</x:v>
      </x:c>
      <x:c r="O101" s="105" t="n">
        <x:f>MAX(0,N101-J101)</x:f>
        <x:v>950.8963499748804</x:v>
      </x:c>
      <x:c r="P101" s="105" t="n">
        <x:f>MAX(0,I101-O101)</x:f>
        <x:v>248893.6685196726</x:v>
      </x:c>
      <x:c r="Q101" s="106" t="n">
        <x:f>X100</x:f>
        <x:v>226721.67308999636</x:v>
      </x:c>
      <x:c r="R101" s="106" t="n">
        <x:f>IF(Q101&gt;0,Q101*'Your Mortgage'!$C$7/12,0)</x:f>
        <x:v>1228.0757292374803</x:v>
      </x:c>
      <x:c r="S101" s="106" t="n">
        <x:f>IF(Q101&gt;0,MIN('Your Mortgage'!$C$11,Q101+R101),0)</x:f>
        <x:v>2054.2210763521375</x:v>
      </x:c>
      <x:c r="T101" s="106" t="n">
        <x:f>IF(Q101&gt;0,MIN('Your Mortgage'!$I$6,MAX(0,Q101+R101-S101)),0)</x:f>
        <x:v>500</x:v>
      </x:c>
      <x:c r="U101" s="106" t="n">
        <x:f>IF(AND(A101='Your Mortgage'!$I$8,Q101&gt;0),MIN('Your Mortgage'!$I$7,MAX(0,Q101+R101-S101-T101)),0)</x:f>
        <x:v>0</x:v>
      </x:c>
      <x:c r="V101" s="106" t="n">
        <x:f>S101+T101+U101</x:f>
        <x:v>2554.2210763521375</x:v>
      </x:c>
      <x:c r="W101" s="106" t="n">
        <x:f>MAX(0,V101-R101)</x:f>
        <x:v>1326.1453471146572</x:v>
      </x:c>
      <x:c r="X101" s="106" t="n">
        <x:f>MAX(0,Q101-W101)</x:f>
        <x:v>225395.5277428817</x:v>
      </x:c>
      <x:c r="Y101" s="1"/>
      <x:c r="Z101" s="1"/>
    </x:row>
    <x:row r="102">
      <x:c r="A102" s="100" t="n">
        <x:f>A101+1</x:f>
        <x:v>97</x:v>
      </x:c>
      <x:c r="B102" s="103" t="n">
        <x:f>EDATE(B101,1)</x:f>
        <x:v>49157</x:v>
      </x:c>
      <x:c r="C102" s="104" t="n">
        <x:f>H101</x:f>
        <x:v>288134.2018052897</x:v>
      </x:c>
      <x:c r="D102" s="104" t="n">
        <x:f>IF(C102&gt;0,C102*'Your Mortgage'!$C$7/12,0)</x:f>
        <x:v>1560.7269264453196</x:v>
      </x:c>
      <x:c r="E102" s="104" t="n">
        <x:f>IF(C102&gt;0,MIN('Your Mortgage'!$C$11,C102+D102),0)</x:f>
        <x:v>2054.2210763521375</x:v>
      </x:c>
      <x:c r="F102" s="104" t="n">
        <x:f>E102</x:f>
        <x:v>2054.2210763521375</x:v>
      </x:c>
      <x:c r="G102" s="104" t="n">
        <x:f>MAX(0,F102-D102)</x:f>
        <x:v>493.49414990681794</x:v>
      </x:c>
      <x:c r="H102" s="104" t="n">
        <x:f>MAX(0,C102-G102)</x:f>
        <x:v>287640.7076553829</x:v>
      </x:c>
      <x:c r="I102" s="105" t="n">
        <x:f>P101</x:f>
        <x:v>248893.6685196726</x:v>
      </x:c>
      <x:c r="J102" s="105" t="n">
        <x:f>IF(I102&gt;0,I102*'Your Mortgage'!$C$7/12,0)</x:f>
        <x:v>1348.1740378148932</x:v>
      </x:c>
      <x:c r="K102" s="105" t="n">
        <x:f>IF(I102&gt;0,MIN('Your Mortgage'!$C$11,I102+J102),0)</x:f>
        <x:v>2054.2210763521375</x:v>
      </x:c>
      <x:c r="L102" s="105" t="n">
        <x:f>IF(I102&gt;0,MIN('Your Mortgage'!$F$6,MAX(0,I102+J102-K102)),0)</x:f>
        <x:v>250</x:v>
      </x:c>
      <x:c r="M102" s="105" t="n">
        <x:f>IF(AND(A102='Your Mortgage'!$F$8,I102&gt;0),MIN('Your Mortgage'!$F$7,MAX(0,I102+J102-K102-L102)),0)</x:f>
        <x:v>0</x:v>
      </x:c>
      <x:c r="N102" s="105" t="n">
        <x:f>K102+L102+M102</x:f>
        <x:v>2304.2210763521375</x:v>
      </x:c>
      <x:c r="O102" s="105" t="n">
        <x:f>MAX(0,N102-J102)</x:f>
        <x:v>956.0470385372444</x:v>
      </x:c>
      <x:c r="P102" s="105" t="n">
        <x:f>MAX(0,I102-O102)</x:f>
        <x:v>247937.62148113534</x:v>
      </x:c>
      <x:c r="Q102" s="106" t="n">
        <x:f>X101</x:f>
        <x:v>225395.5277428817</x:v>
      </x:c>
      <x:c r="R102" s="106" t="n">
        <x:f>IF(Q102&gt;0,Q102*'Your Mortgage'!$C$7/12,0)</x:f>
        <x:v>1220.8924419406092</x:v>
      </x:c>
      <x:c r="S102" s="106" t="n">
        <x:f>IF(Q102&gt;0,MIN('Your Mortgage'!$C$11,Q102+R102),0)</x:f>
        <x:v>2054.2210763521375</x:v>
      </x:c>
      <x:c r="T102" s="106" t="n">
        <x:f>IF(Q102&gt;0,MIN('Your Mortgage'!$I$6,MAX(0,Q102+R102-S102)),0)</x:f>
        <x:v>500</x:v>
      </x:c>
      <x:c r="U102" s="106" t="n">
        <x:f>IF(AND(A102='Your Mortgage'!$I$8,Q102&gt;0),MIN('Your Mortgage'!$I$7,MAX(0,Q102+R102-S102-T102)),0)</x:f>
        <x:v>0</x:v>
      </x:c>
      <x:c r="V102" s="106" t="n">
        <x:f>S102+T102+U102</x:f>
        <x:v>2554.2210763521375</x:v>
      </x:c>
      <x:c r="W102" s="106" t="n">
        <x:f>MAX(0,V102-R102)</x:f>
        <x:v>1333.3286344115284</x:v>
      </x:c>
      <x:c r="X102" s="106" t="n">
        <x:f>MAX(0,Q102-W102)</x:f>
        <x:v>224062.19910847017</x:v>
      </x:c>
      <x:c r="Y102" s="1"/>
      <x:c r="Z102" s="1"/>
    </x:row>
    <x:row r="103">
      <x:c r="A103" s="100" t="n">
        <x:f>A102+1</x:f>
        <x:v>98</x:v>
      </x:c>
      <x:c r="B103" s="103" t="n">
        <x:f>EDATE(B102,1)</x:f>
        <x:v>49188</x:v>
      </x:c>
      <x:c r="C103" s="104" t="n">
        <x:f>H102</x:f>
        <x:v>287640.7076553829</x:v>
      </x:c>
      <x:c r="D103" s="104" t="n">
        <x:f>IF(C103&gt;0,C103*'Your Mortgage'!$C$7/12,0)</x:f>
        <x:v>1558.0538331333244</x:v>
      </x:c>
      <x:c r="E103" s="104" t="n">
        <x:f>IF(C103&gt;0,MIN('Your Mortgage'!$C$11,C103+D103),0)</x:f>
        <x:v>2054.2210763521375</x:v>
      </x:c>
      <x:c r="F103" s="104" t="n">
        <x:f>E103</x:f>
        <x:v>2054.2210763521375</x:v>
      </x:c>
      <x:c r="G103" s="104" t="n">
        <x:f>MAX(0,F103-D103)</x:f>
        <x:v>496.16724321881316</x:v>
      </x:c>
      <x:c r="H103" s="104" t="n">
        <x:f>MAX(0,C103-G103)</x:f>
        <x:v>287144.5404121641</x:v>
      </x:c>
      <x:c r="I103" s="105" t="n">
        <x:f>P102</x:f>
        <x:v>247937.62148113534</x:v>
      </x:c>
      <x:c r="J103" s="105" t="n">
        <x:f>IF(I103&gt;0,I103*'Your Mortgage'!$C$7/12,0)</x:f>
        <x:v>1342.9954496894832</x:v>
      </x:c>
      <x:c r="K103" s="105" t="n">
        <x:f>IF(I103&gt;0,MIN('Your Mortgage'!$C$11,I103+J103),0)</x:f>
        <x:v>2054.2210763521375</x:v>
      </x:c>
      <x:c r="L103" s="105" t="n">
        <x:f>IF(I103&gt;0,MIN('Your Mortgage'!$F$6,MAX(0,I103+J103-K103)),0)</x:f>
        <x:v>250</x:v>
      </x:c>
      <x:c r="M103" s="105" t="n">
        <x:f>IF(AND(A103='Your Mortgage'!$F$8,I103&gt;0),MIN('Your Mortgage'!$F$7,MAX(0,I103+J103-K103-L103)),0)</x:f>
        <x:v>0</x:v>
      </x:c>
      <x:c r="N103" s="105" t="n">
        <x:f>K103+L103+M103</x:f>
        <x:v>2304.2210763521375</x:v>
      </x:c>
      <x:c r="O103" s="105" t="n">
        <x:f>MAX(0,N103-J103)</x:f>
        <x:v>961.2256266626543</x:v>
      </x:c>
      <x:c r="P103" s="105" t="n">
        <x:f>MAX(0,I103-O103)</x:f>
        <x:v>246976.39585447268</x:v>
      </x:c>
      <x:c r="Q103" s="106" t="n">
        <x:f>X102</x:f>
        <x:v>224062.19910847017</x:v>
      </x:c>
      <x:c r="R103" s="106" t="n">
        <x:f>IF(Q103&gt;0,Q103*'Your Mortgage'!$C$7/12,0)</x:f>
        <x:v>1213.6702451708802</x:v>
      </x:c>
      <x:c r="S103" s="106" t="n">
        <x:f>IF(Q103&gt;0,MIN('Your Mortgage'!$C$11,Q103+R103),0)</x:f>
        <x:v>2054.2210763521375</x:v>
      </x:c>
      <x:c r="T103" s="106" t="n">
        <x:f>IF(Q103&gt;0,MIN('Your Mortgage'!$I$6,MAX(0,Q103+R103-S103)),0)</x:f>
        <x:v>500</x:v>
      </x:c>
      <x:c r="U103" s="106" t="n">
        <x:f>IF(AND(A103='Your Mortgage'!$I$8,Q103&gt;0),MIN('Your Mortgage'!$I$7,MAX(0,Q103+R103-S103-T103)),0)</x:f>
        <x:v>0</x:v>
      </x:c>
      <x:c r="V103" s="106" t="n">
        <x:f>S103+T103+U103</x:f>
        <x:v>2554.2210763521375</x:v>
      </x:c>
      <x:c r="W103" s="106" t="n">
        <x:f>MAX(0,V103-R103)</x:f>
        <x:v>1340.5508311812573</x:v>
      </x:c>
      <x:c r="X103" s="106" t="n">
        <x:f>MAX(0,Q103-W103)</x:f>
        <x:v>222721.6482772889</x:v>
      </x:c>
      <x:c r="Y103" s="1"/>
      <x:c r="Z103" s="1"/>
    </x:row>
    <x:row r="104">
      <x:c r="A104" s="100" t="n">
        <x:f>A103+1</x:f>
        <x:v>99</x:v>
      </x:c>
      <x:c r="B104" s="103" t="n">
        <x:f>EDATE(B103,1)</x:f>
        <x:v>49218</x:v>
      </x:c>
      <x:c r="C104" s="104" t="n">
        <x:f>H103</x:f>
        <x:v>287144.5404121641</x:v>
      </x:c>
      <x:c r="D104" s="104" t="n">
        <x:f>IF(C104&gt;0,C104*'Your Mortgage'!$C$7/12,0)</x:f>
        <x:v>1555.366260565889</x:v>
      </x:c>
      <x:c r="E104" s="104" t="n">
        <x:f>IF(C104&gt;0,MIN('Your Mortgage'!$C$11,C104+D104),0)</x:f>
        <x:v>2054.2210763521375</x:v>
      </x:c>
      <x:c r="F104" s="104" t="n">
        <x:f>E104</x:f>
        <x:v>2054.2210763521375</x:v>
      </x:c>
      <x:c r="G104" s="104" t="n">
        <x:f>MAX(0,F104-D104)</x:f>
        <x:v>498.85481578624854</x:v>
      </x:c>
      <x:c r="H104" s="104" t="n">
        <x:f>MAX(0,C104-G104)</x:f>
        <x:v>286645.6855963779</x:v>
      </x:c>
      <x:c r="I104" s="105" t="n">
        <x:f>P103</x:f>
        <x:v>246976.39585447268</x:v>
      </x:c>
      <x:c r="J104" s="105" t="n">
        <x:f>IF(I104&gt;0,I104*'Your Mortgage'!$C$7/12,0)</x:f>
        <x:v>1337.7888108783939</x:v>
      </x:c>
      <x:c r="K104" s="105" t="n">
        <x:f>IF(I104&gt;0,MIN('Your Mortgage'!$C$11,I104+J104),0)</x:f>
        <x:v>2054.2210763521375</x:v>
      </x:c>
      <x:c r="L104" s="105" t="n">
        <x:f>IF(I104&gt;0,MIN('Your Mortgage'!$F$6,MAX(0,I104+J104-K104)),0)</x:f>
        <x:v>250</x:v>
      </x:c>
      <x:c r="M104" s="105" t="n">
        <x:f>IF(AND(A104='Your Mortgage'!$F$8,I104&gt;0),MIN('Your Mortgage'!$F$7,MAX(0,I104+J104-K104-L104)),0)</x:f>
        <x:v>0</x:v>
      </x:c>
      <x:c r="N104" s="105" t="n">
        <x:f>K104+L104+M104</x:f>
        <x:v>2304.2210763521375</x:v>
      </x:c>
      <x:c r="O104" s="105" t="n">
        <x:f>MAX(0,N104-J104)</x:f>
        <x:v>966.4322654737437</x:v>
      </x:c>
      <x:c r="P104" s="105" t="n">
        <x:f>MAX(0,I104-O104)</x:f>
        <x:v>246009.96358899894</x:v>
      </x:c>
      <x:c r="Q104" s="106" t="n">
        <x:f>X103</x:f>
        <x:v>222721.6482772889</x:v>
      </x:c>
      <x:c r="R104" s="106" t="n">
        <x:f>IF(Q104&gt;0,Q104*'Your Mortgage'!$C$7/12,0)</x:f>
        <x:v>1206.4089281686483</x:v>
      </x:c>
      <x:c r="S104" s="106" t="n">
        <x:f>IF(Q104&gt;0,MIN('Your Mortgage'!$C$11,Q104+R104),0)</x:f>
        <x:v>2054.2210763521375</x:v>
      </x:c>
      <x:c r="T104" s="106" t="n">
        <x:f>IF(Q104&gt;0,MIN('Your Mortgage'!$I$6,MAX(0,Q104+R104-S104)),0)</x:f>
        <x:v>500</x:v>
      </x:c>
      <x:c r="U104" s="106" t="n">
        <x:f>IF(AND(A104='Your Mortgage'!$I$8,Q104&gt;0),MIN('Your Mortgage'!$I$7,MAX(0,Q104+R104-S104-T104)),0)</x:f>
        <x:v>0</x:v>
      </x:c>
      <x:c r="V104" s="106" t="n">
        <x:f>S104+T104+U104</x:f>
        <x:v>2554.2210763521375</x:v>
      </x:c>
      <x:c r="W104" s="106" t="n">
        <x:f>MAX(0,V104-R104)</x:f>
        <x:v>1347.8121481834892</x:v>
      </x:c>
      <x:c r="X104" s="106" t="n">
        <x:f>MAX(0,Q104-W104)</x:f>
        <x:v>221373.83612910542</x:v>
      </x:c>
      <x:c r="Y104" s="1"/>
      <x:c r="Z104" s="1"/>
    </x:row>
    <x:row r="105">
      <x:c r="A105" s="100" t="n">
        <x:f>A104+1</x:f>
        <x:v>100</x:v>
      </x:c>
      <x:c r="B105" s="103" t="n">
        <x:f>EDATE(B104,1)</x:f>
        <x:v>49249</x:v>
      </x:c>
      <x:c r="C105" s="104" t="n">
        <x:f>H104</x:f>
        <x:v>286645.6855963779</x:v>
      </x:c>
      <x:c r="D105" s="104" t="n">
        <x:f>IF(C105&gt;0,C105*'Your Mortgage'!$C$7/12,0)</x:f>
        <x:v>1552.6641303137137</x:v>
      </x:c>
      <x:c r="E105" s="104" t="n">
        <x:f>IF(C105&gt;0,MIN('Your Mortgage'!$C$11,C105+D105),0)</x:f>
        <x:v>2054.2210763521375</x:v>
      </x:c>
      <x:c r="F105" s="104" t="n">
        <x:f>E105</x:f>
        <x:v>2054.2210763521375</x:v>
      </x:c>
      <x:c r="G105" s="104" t="n">
        <x:f>MAX(0,F105-D105)</x:f>
        <x:v>501.5569460384238</x:v>
      </x:c>
      <x:c r="H105" s="104" t="n">
        <x:f>MAX(0,C105-G105)</x:f>
        <x:v>286144.12865033944</x:v>
      </x:c>
      <x:c r="I105" s="105" t="n">
        <x:f>P104</x:f>
        <x:v>246009.96358899894</x:v>
      </x:c>
      <x:c r="J105" s="105" t="n">
        <x:f>IF(I105&gt;0,I105*'Your Mortgage'!$C$7/12,0)</x:f>
        <x:v>1332.553969440411</x:v>
      </x:c>
      <x:c r="K105" s="105" t="n">
        <x:f>IF(I105&gt;0,MIN('Your Mortgage'!$C$11,I105+J105),0)</x:f>
        <x:v>2054.2210763521375</x:v>
      </x:c>
      <x:c r="L105" s="105" t="n">
        <x:f>IF(I105&gt;0,MIN('Your Mortgage'!$F$6,MAX(0,I105+J105-K105)),0)</x:f>
        <x:v>250</x:v>
      </x:c>
      <x:c r="M105" s="105" t="n">
        <x:f>IF(AND(A105='Your Mortgage'!$F$8,I105&gt;0),MIN('Your Mortgage'!$F$7,MAX(0,I105+J105-K105-L105)),0)</x:f>
        <x:v>0</x:v>
      </x:c>
      <x:c r="N105" s="105" t="n">
        <x:f>K105+L105+M105</x:f>
        <x:v>2304.2210763521375</x:v>
      </x:c>
      <x:c r="O105" s="105" t="n">
        <x:f>MAX(0,N105-J105)</x:f>
        <x:v>971.6671069117265</x:v>
      </x:c>
      <x:c r="P105" s="105" t="n">
        <x:f>MAX(0,I105-O105)</x:f>
        <x:v>245038.29648208723</x:v>
      </x:c>
      <x:c r="Q105" s="106" t="n">
        <x:f>X104</x:f>
        <x:v>221373.83612910542</x:v>
      </x:c>
      <x:c r="R105" s="106" t="n">
        <x:f>IF(Q105&gt;0,Q105*'Your Mortgage'!$C$7/12,0)</x:f>
        <x:v>1199.1082790326543</x:v>
      </x:c>
      <x:c r="S105" s="106" t="n">
        <x:f>IF(Q105&gt;0,MIN('Your Mortgage'!$C$11,Q105+R105),0)</x:f>
        <x:v>2054.2210763521375</x:v>
      </x:c>
      <x:c r="T105" s="106" t="n">
        <x:f>IF(Q105&gt;0,MIN('Your Mortgage'!$I$6,MAX(0,Q105+R105-S105)),0)</x:f>
        <x:v>500</x:v>
      </x:c>
      <x:c r="U105" s="106" t="n">
        <x:f>IF(AND(A105='Your Mortgage'!$I$8,Q105&gt;0),MIN('Your Mortgage'!$I$7,MAX(0,Q105+R105-S105-T105)),0)</x:f>
        <x:v>0</x:v>
      </x:c>
      <x:c r="V105" s="106" t="n">
        <x:f>S105+T105+U105</x:f>
        <x:v>2554.2210763521375</x:v>
      </x:c>
      <x:c r="W105" s="106" t="n">
        <x:f>MAX(0,V105-R105)</x:f>
        <x:v>1355.1127973194832</x:v>
      </x:c>
      <x:c r="X105" s="106" t="n">
        <x:f>MAX(0,Q105-W105)</x:f>
        <x:v>220018.72333178594</x:v>
      </x:c>
      <x:c r="Y105" s="1"/>
      <x:c r="Z105" s="1"/>
    </x:row>
    <x:row r="106">
      <x:c r="A106" s="100" t="n">
        <x:f>A105+1</x:f>
        <x:v>101</x:v>
      </x:c>
      <x:c r="B106" s="103" t="n">
        <x:f>EDATE(B105,1)</x:f>
        <x:v>49279</x:v>
      </x:c>
      <x:c r="C106" s="104" t="n">
        <x:f>H105</x:f>
        <x:v>286144.12865033944</x:v>
      </x:c>
      <x:c r="D106" s="104" t="n">
        <x:f>IF(C106&gt;0,C106*'Your Mortgage'!$C$7/12,0)</x:f>
        <x:v>1549.947363522672</x:v>
      </x:c>
      <x:c r="E106" s="104" t="n">
        <x:f>IF(C106&gt;0,MIN('Your Mortgage'!$C$11,C106+D106),0)</x:f>
        <x:v>2054.2210763521375</x:v>
      </x:c>
      <x:c r="F106" s="104" t="n">
        <x:f>E106</x:f>
        <x:v>2054.2210763521375</x:v>
      </x:c>
      <x:c r="G106" s="104" t="n">
        <x:f>MAX(0,F106-D106)</x:f>
        <x:v>504.27371282946547</x:v>
      </x:c>
      <x:c r="H106" s="104" t="n">
        <x:f>MAX(0,C106-G106)</x:f>
        <x:v>285639.85493751</x:v>
      </x:c>
      <x:c r="I106" s="105" t="n">
        <x:f>P105</x:f>
        <x:v>245038.29648208723</x:v>
      </x:c>
      <x:c r="J106" s="105" t="n">
        <x:f>IF(I106&gt;0,I106*'Your Mortgage'!$C$7/12,0)</x:f>
        <x:v>1327.290772611306</x:v>
      </x:c>
      <x:c r="K106" s="105" t="n">
        <x:f>IF(I106&gt;0,MIN('Your Mortgage'!$C$11,I106+J106),0)</x:f>
        <x:v>2054.2210763521375</x:v>
      </x:c>
      <x:c r="L106" s="105" t="n">
        <x:f>IF(I106&gt;0,MIN('Your Mortgage'!$F$6,MAX(0,I106+J106-K106)),0)</x:f>
        <x:v>250</x:v>
      </x:c>
      <x:c r="M106" s="105" t="n">
        <x:f>IF(AND(A106='Your Mortgage'!$F$8,I106&gt;0),MIN('Your Mortgage'!$F$7,MAX(0,I106+J106-K106-L106)),0)</x:f>
        <x:v>0</x:v>
      </x:c>
      <x:c r="N106" s="105" t="n">
        <x:f>K106+L106+M106</x:f>
        <x:v>2304.2210763521375</x:v>
      </x:c>
      <x:c r="O106" s="105" t="n">
        <x:f>MAX(0,N106-J106)</x:f>
        <x:v>976.9303037408315</x:v>
      </x:c>
      <x:c r="P106" s="105" t="n">
        <x:f>MAX(0,I106-O106)</x:f>
        <x:v>244061.3661783464</x:v>
      </x:c>
      <x:c r="Q106" s="106" t="n">
        <x:f>X105</x:f>
        <x:v>220018.72333178594</x:v>
      </x:c>
      <x:c r="R106" s="106" t="n">
        <x:f>IF(Q106&gt;0,Q106*'Your Mortgage'!$C$7/12,0)</x:f>
        <x:v>1191.7680847138406</x:v>
      </x:c>
      <x:c r="S106" s="106" t="n">
        <x:f>IF(Q106&gt;0,MIN('Your Mortgage'!$C$11,Q106+R106),0)</x:f>
        <x:v>2054.2210763521375</x:v>
      </x:c>
      <x:c r="T106" s="106" t="n">
        <x:f>IF(Q106&gt;0,MIN('Your Mortgage'!$I$6,MAX(0,Q106+R106-S106)),0)</x:f>
        <x:v>500</x:v>
      </x:c>
      <x:c r="U106" s="106" t="n">
        <x:f>IF(AND(A106='Your Mortgage'!$I$8,Q106&gt;0),MIN('Your Mortgage'!$I$7,MAX(0,Q106+R106-S106-T106)),0)</x:f>
        <x:v>0</x:v>
      </x:c>
      <x:c r="V106" s="106" t="n">
        <x:f>S106+T106+U106</x:f>
        <x:v>2554.2210763521375</x:v>
      </x:c>
      <x:c r="W106" s="106" t="n">
        <x:f>MAX(0,V106-R106)</x:f>
        <x:v>1362.452991638297</x:v>
      </x:c>
      <x:c r="X106" s="106" t="n">
        <x:f>MAX(0,Q106-W106)</x:f>
        <x:v>218656.27034014763</x:v>
      </x:c>
      <x:c r="Y106" s="1"/>
      <x:c r="Z106" s="1"/>
    </x:row>
    <x:row r="107">
      <x:c r="A107" s="100" t="n">
        <x:f>A106+1</x:f>
        <x:v>102</x:v>
      </x:c>
      <x:c r="B107" s="103" t="n">
        <x:f>EDATE(B106,1)</x:f>
        <x:v>49310</x:v>
      </x:c>
      <x:c r="C107" s="104" t="n">
        <x:f>H106</x:f>
        <x:v>285639.85493751</x:v>
      </x:c>
      <x:c r="D107" s="104" t="n">
        <x:f>IF(C107&gt;0,C107*'Your Mortgage'!$C$7/12,0)</x:f>
        <x:v>1547.2158809115124</x:v>
      </x:c>
      <x:c r="E107" s="104" t="n">
        <x:f>IF(C107&gt;0,MIN('Your Mortgage'!$C$11,C107+D107),0)</x:f>
        <x:v>2054.2210763521375</x:v>
      </x:c>
      <x:c r="F107" s="104" t="n">
        <x:f>E107</x:f>
        <x:v>2054.2210763521375</x:v>
      </x:c>
      <x:c r="G107" s="104" t="n">
        <x:f>MAX(0,F107-D107)</x:f>
        <x:v>507.00519544062513</x:v>
      </x:c>
      <x:c r="H107" s="104" t="n">
        <x:f>MAX(0,C107-G107)</x:f>
        <x:v>285132.8497420694</x:v>
      </x:c>
      <x:c r="I107" s="105" t="n">
        <x:f>P106</x:f>
        <x:v>244061.3661783464</x:v>
      </x:c>
      <x:c r="J107" s="105" t="n">
        <x:f>IF(I107&gt;0,I107*'Your Mortgage'!$C$7/12,0)</x:f>
        <x:v>1321.9990667993764</x:v>
      </x:c>
      <x:c r="K107" s="105" t="n">
        <x:f>IF(I107&gt;0,MIN('Your Mortgage'!$C$11,I107+J107),0)</x:f>
        <x:v>2054.2210763521375</x:v>
      </x:c>
      <x:c r="L107" s="105" t="n">
        <x:f>IF(I107&gt;0,MIN('Your Mortgage'!$F$6,MAX(0,I107+J107-K107)),0)</x:f>
        <x:v>250</x:v>
      </x:c>
      <x:c r="M107" s="105" t="n">
        <x:f>IF(AND(A107='Your Mortgage'!$F$8,I107&gt;0),MIN('Your Mortgage'!$F$7,MAX(0,I107+J107-K107-L107)),0)</x:f>
        <x:v>0</x:v>
      </x:c>
      <x:c r="N107" s="105" t="n">
        <x:f>K107+L107+M107</x:f>
        <x:v>2304.2210763521375</x:v>
      </x:c>
      <x:c r="O107" s="105" t="n">
        <x:f>MAX(0,N107-J107)</x:f>
        <x:v>982.2220095527612</x:v>
      </x:c>
      <x:c r="P107" s="105" t="n">
        <x:f>MAX(0,I107-O107)</x:f>
        <x:v>243079.14416879363</x:v>
      </x:c>
      <x:c r="Q107" s="106" t="n">
        <x:f>X106</x:f>
        <x:v>218656.27034014763</x:v>
      </x:c>
      <x:c r="R107" s="106" t="n">
        <x:f>IF(Q107&gt;0,Q107*'Your Mortgage'!$C$7/12,0)</x:f>
        <x:v>1184.388131009133</x:v>
      </x:c>
      <x:c r="S107" s="106" t="n">
        <x:f>IF(Q107&gt;0,MIN('Your Mortgage'!$C$11,Q107+R107),0)</x:f>
        <x:v>2054.2210763521375</x:v>
      </x:c>
      <x:c r="T107" s="106" t="n">
        <x:f>IF(Q107&gt;0,MIN('Your Mortgage'!$I$6,MAX(0,Q107+R107-S107)),0)</x:f>
        <x:v>500</x:v>
      </x:c>
      <x:c r="U107" s="106" t="n">
        <x:f>IF(AND(A107='Your Mortgage'!$I$8,Q107&gt;0),MIN('Your Mortgage'!$I$7,MAX(0,Q107+R107-S107-T107)),0)</x:f>
        <x:v>0</x:v>
      </x:c>
      <x:c r="V107" s="106" t="n">
        <x:f>S107+T107+U107</x:f>
        <x:v>2554.2210763521375</x:v>
      </x:c>
      <x:c r="W107" s="106" t="n">
        <x:f>MAX(0,V107-R107)</x:f>
        <x:v>1369.8329453430044</x:v>
      </x:c>
      <x:c r="X107" s="106" t="n">
        <x:f>MAX(0,Q107-W107)</x:f>
        <x:v>217286.43739480464</x:v>
      </x:c>
      <x:c r="Y107" s="1"/>
      <x:c r="Z107" s="1"/>
    </x:row>
    <x:row r="108">
      <x:c r="A108" s="100" t="n">
        <x:f>A107+1</x:f>
        <x:v>103</x:v>
      </x:c>
      <x:c r="B108" s="103" t="n">
        <x:f>EDATE(B107,1)</x:f>
        <x:v>49341</x:v>
      </x:c>
      <x:c r="C108" s="104" t="n">
        <x:f>H107</x:f>
        <x:v>285132.8497420694</x:v>
      </x:c>
      <x:c r="D108" s="104" t="n">
        <x:f>IF(C108&gt;0,C108*'Your Mortgage'!$C$7/12,0)</x:f>
        <x:v>1544.4696027695425</x:v>
      </x:c>
      <x:c r="E108" s="104" t="n">
        <x:f>IF(C108&gt;0,MIN('Your Mortgage'!$C$11,C108+D108),0)</x:f>
        <x:v>2054.2210763521375</x:v>
      </x:c>
      <x:c r="F108" s="104" t="n">
        <x:f>E108</x:f>
        <x:v>2054.2210763521375</x:v>
      </x:c>
      <x:c r="G108" s="104" t="n">
        <x:f>MAX(0,F108-D108)</x:f>
        <x:v>509.75147358259505</x:v>
      </x:c>
      <x:c r="H108" s="104" t="n">
        <x:f>MAX(0,C108-G108)</x:f>
        <x:v>284623.0982684868</x:v>
      </x:c>
      <x:c r="I108" s="105" t="n">
        <x:f>P107</x:f>
        <x:v>243079.14416879363</x:v>
      </x:c>
      <x:c r="J108" s="105" t="n">
        <x:f>IF(I108&gt;0,I108*'Your Mortgage'!$C$7/12,0)</x:f>
        <x:v>1316.6786975809655</x:v>
      </x:c>
      <x:c r="K108" s="105" t="n">
        <x:f>IF(I108&gt;0,MIN('Your Mortgage'!$C$11,I108+J108),0)</x:f>
        <x:v>2054.2210763521375</x:v>
      </x:c>
      <x:c r="L108" s="105" t="n">
        <x:f>IF(I108&gt;0,MIN('Your Mortgage'!$F$6,MAX(0,I108+J108-K108)),0)</x:f>
        <x:v>250</x:v>
      </x:c>
      <x:c r="M108" s="105" t="n">
        <x:f>IF(AND(A108='Your Mortgage'!$F$8,I108&gt;0),MIN('Your Mortgage'!$F$7,MAX(0,I108+J108-K108-L108)),0)</x:f>
        <x:v>0</x:v>
      </x:c>
      <x:c r="N108" s="105" t="n">
        <x:f>K108+L108+M108</x:f>
        <x:v>2304.2210763521375</x:v>
      </x:c>
      <x:c r="O108" s="105" t="n">
        <x:f>MAX(0,N108-J108)</x:f>
        <x:v>987.542378771172</x:v>
      </x:c>
      <x:c r="P108" s="105" t="n">
        <x:f>MAX(0,I108-O108)</x:f>
        <x:v>242091.60179002245</x:v>
      </x:c>
      <x:c r="Q108" s="106" t="n">
        <x:f>X107</x:f>
        <x:v>217286.43739480464</x:v>
      </x:c>
      <x:c r="R108" s="106" t="n">
        <x:f>IF(Q108&gt;0,Q108*'Your Mortgage'!$C$7/12,0)</x:f>
        <x:v>1176.9682025551917</x:v>
      </x:c>
      <x:c r="S108" s="106" t="n">
        <x:f>IF(Q108&gt;0,MIN('Your Mortgage'!$C$11,Q108+R108),0)</x:f>
        <x:v>2054.2210763521375</x:v>
      </x:c>
      <x:c r="T108" s="106" t="n">
        <x:f>IF(Q108&gt;0,MIN('Your Mortgage'!$I$6,MAX(0,Q108+R108-S108)),0)</x:f>
        <x:v>500</x:v>
      </x:c>
      <x:c r="U108" s="106" t="n">
        <x:f>IF(AND(A108='Your Mortgage'!$I$8,Q108&gt;0),MIN('Your Mortgage'!$I$7,MAX(0,Q108+R108-S108-T108)),0)</x:f>
        <x:v>0</x:v>
      </x:c>
      <x:c r="V108" s="106" t="n">
        <x:f>S108+T108+U108</x:f>
        <x:v>2554.2210763521375</x:v>
      </x:c>
      <x:c r="W108" s="106" t="n">
        <x:f>MAX(0,V108-R108)</x:f>
        <x:v>1377.2528737969458</x:v>
      </x:c>
      <x:c r="X108" s="106" t="n">
        <x:f>MAX(0,Q108-W108)</x:f>
        <x:v>215909.1845210077</x:v>
      </x:c>
      <x:c r="Y108" s="1"/>
      <x:c r="Z108" s="1"/>
    </x:row>
    <x:row r="109">
      <x:c r="A109" s="100" t="n">
        <x:f>A108+1</x:f>
        <x:v>104</x:v>
      </x:c>
      <x:c r="B109" s="103" t="n">
        <x:f>EDATE(B108,1)</x:f>
        <x:v>49369</x:v>
      </x:c>
      <x:c r="C109" s="104" t="n">
        <x:f>H108</x:f>
        <x:v>284623.0982684868</x:v>
      </x:c>
      <x:c r="D109" s="104" t="n">
        <x:f>IF(C109&gt;0,C109*'Your Mortgage'!$C$7/12,0)</x:f>
        <x:v>1541.7084489543033</x:v>
      </x:c>
      <x:c r="E109" s="104" t="n">
        <x:f>IF(C109&gt;0,MIN('Your Mortgage'!$C$11,C109+D109),0)</x:f>
        <x:v>2054.2210763521375</x:v>
      </x:c>
      <x:c r="F109" s="104" t="n">
        <x:f>E109</x:f>
        <x:v>2054.2210763521375</x:v>
      </x:c>
      <x:c r="G109" s="104" t="n">
        <x:f>MAX(0,F109-D109)</x:f>
        <x:v>512.5126273978342</x:v>
      </x:c>
      <x:c r="H109" s="104" t="n">
        <x:f>MAX(0,C109-G109)</x:f>
        <x:v>284110.58564108895</x:v>
      </x:c>
      <x:c r="I109" s="105" t="n">
        <x:f>P108</x:f>
        <x:v>242091.60179002245</x:v>
      </x:c>
      <x:c r="J109" s="105" t="n">
        <x:f>IF(I109&gt;0,I109*'Your Mortgage'!$C$7/12,0)</x:f>
        <x:v>1311.329509695955</x:v>
      </x:c>
      <x:c r="K109" s="105" t="n">
        <x:f>IF(I109&gt;0,MIN('Your Mortgage'!$C$11,I109+J109),0)</x:f>
        <x:v>2054.2210763521375</x:v>
      </x:c>
      <x:c r="L109" s="105" t="n">
        <x:f>IF(I109&gt;0,MIN('Your Mortgage'!$F$6,MAX(0,I109+J109-K109)),0)</x:f>
        <x:v>250</x:v>
      </x:c>
      <x:c r="M109" s="105" t="n">
        <x:f>IF(AND(A109='Your Mortgage'!$F$8,I109&gt;0),MIN('Your Mortgage'!$F$7,MAX(0,I109+J109-K109-L109)),0)</x:f>
        <x:v>0</x:v>
      </x:c>
      <x:c r="N109" s="105" t="n">
        <x:f>K109+L109+M109</x:f>
        <x:v>2304.2210763521375</x:v>
      </x:c>
      <x:c r="O109" s="105" t="n">
        <x:f>MAX(0,N109-J109)</x:f>
        <x:v>992.8915666561825</x:v>
      </x:c>
      <x:c r="P109" s="105" t="n">
        <x:f>MAX(0,I109-O109)</x:f>
        <x:v>241098.71022336627</x:v>
      </x:c>
      <x:c r="Q109" s="106" t="n">
        <x:f>X108</x:f>
        <x:v>215909.1845210077</x:v>
      </x:c>
      <x:c r="R109" s="106" t="n">
        <x:f>IF(Q109&gt;0,Q109*'Your Mortgage'!$C$7/12,0)</x:f>
        <x:v>1169.508082822125</x:v>
      </x:c>
      <x:c r="S109" s="106" t="n">
        <x:f>IF(Q109&gt;0,MIN('Your Mortgage'!$C$11,Q109+R109),0)</x:f>
        <x:v>2054.2210763521375</x:v>
      </x:c>
      <x:c r="T109" s="106" t="n">
        <x:f>IF(Q109&gt;0,MIN('Your Mortgage'!$I$6,MAX(0,Q109+R109-S109)),0)</x:f>
        <x:v>500</x:v>
      </x:c>
      <x:c r="U109" s="106" t="n">
        <x:f>IF(AND(A109='Your Mortgage'!$I$8,Q109&gt;0),MIN('Your Mortgage'!$I$7,MAX(0,Q109+R109-S109-T109)),0)</x:f>
        <x:v>0</x:v>
      </x:c>
      <x:c r="V109" s="106" t="n">
        <x:f>S109+T109+U109</x:f>
        <x:v>2554.2210763521375</x:v>
      </x:c>
      <x:c r="W109" s="106" t="n">
        <x:f>MAX(0,V109-R109)</x:f>
        <x:v>1384.7129935300125</x:v>
      </x:c>
      <x:c r="X109" s="106" t="n">
        <x:f>MAX(0,Q109-W109)</x:f>
        <x:v>214524.4715274777</x:v>
      </x:c>
      <x:c r="Y109" s="1"/>
      <x:c r="Z109" s="1"/>
    </x:row>
    <x:row r="110">
      <x:c r="A110" s="100" t="n">
        <x:f>A109+1</x:f>
        <x:v>105</x:v>
      </x:c>
      <x:c r="B110" s="103" t="n">
        <x:f>EDATE(B109,1)</x:f>
        <x:v>49400</x:v>
      </x:c>
      <x:c r="C110" s="104" t="n">
        <x:f>H109</x:f>
        <x:v>284110.58564108895</x:v>
      </x:c>
      <x:c r="D110" s="104" t="n">
        <x:f>IF(C110&gt;0,C110*'Your Mortgage'!$C$7/12,0)</x:f>
        <x:v>1538.932338889232</x:v>
      </x:c>
      <x:c r="E110" s="104" t="n">
        <x:f>IF(C110&gt;0,MIN('Your Mortgage'!$C$11,C110+D110),0)</x:f>
        <x:v>2054.2210763521375</x:v>
      </x:c>
      <x:c r="F110" s="104" t="n">
        <x:f>E110</x:f>
        <x:v>2054.2210763521375</x:v>
      </x:c>
      <x:c r="G110" s="104" t="n">
        <x:f>MAX(0,F110-D110)</x:f>
        <x:v>515.2887374629056</x:v>
      </x:c>
      <x:c r="H110" s="104" t="n">
        <x:f>MAX(0,C110-G110)</x:f>
        <x:v>283595.29690362606</x:v>
      </x:c>
      <x:c r="I110" s="105" t="n">
        <x:f>P109</x:f>
        <x:v>241098.71022336627</x:v>
      </x:c>
      <x:c r="J110" s="105" t="n">
        <x:f>IF(I110&gt;0,I110*'Your Mortgage'!$C$7/12,0)</x:f>
        <x:v>1305.9513470432341</x:v>
      </x:c>
      <x:c r="K110" s="105" t="n">
        <x:f>IF(I110&gt;0,MIN('Your Mortgage'!$C$11,I110+J110),0)</x:f>
        <x:v>2054.2210763521375</x:v>
      </x:c>
      <x:c r="L110" s="105" t="n">
        <x:f>IF(I110&gt;0,MIN('Your Mortgage'!$F$6,MAX(0,I110+J110-K110)),0)</x:f>
        <x:v>250</x:v>
      </x:c>
      <x:c r="M110" s="105" t="n">
        <x:f>IF(AND(A110='Your Mortgage'!$F$8,I110&gt;0),MIN('Your Mortgage'!$F$7,MAX(0,I110+J110-K110-L110)),0)</x:f>
        <x:v>0</x:v>
      </x:c>
      <x:c r="N110" s="105" t="n">
        <x:f>K110+L110+M110</x:f>
        <x:v>2304.2210763521375</x:v>
      </x:c>
      <x:c r="O110" s="105" t="n">
        <x:f>MAX(0,N110-J110)</x:f>
        <x:v>998.2697293089034</x:v>
      </x:c>
      <x:c r="P110" s="105" t="n">
        <x:f>MAX(0,I110-O110)</x:f>
        <x:v>240100.44049405737</x:v>
      </x:c>
      <x:c r="Q110" s="106" t="n">
        <x:f>X109</x:f>
        <x:v>214524.4715274777</x:v>
      </x:c>
      <x:c r="R110" s="106" t="n">
        <x:f>IF(Q110&gt;0,Q110*'Your Mortgage'!$C$7/12,0)</x:f>
        <x:v>1162.0075541071708</x:v>
      </x:c>
      <x:c r="S110" s="106" t="n">
        <x:f>IF(Q110&gt;0,MIN('Your Mortgage'!$C$11,Q110+R110),0)</x:f>
        <x:v>2054.2210763521375</x:v>
      </x:c>
      <x:c r="T110" s="106" t="n">
        <x:f>IF(Q110&gt;0,MIN('Your Mortgage'!$I$6,MAX(0,Q110+R110-S110)),0)</x:f>
        <x:v>500</x:v>
      </x:c>
      <x:c r="U110" s="106" t="n">
        <x:f>IF(AND(A110='Your Mortgage'!$I$8,Q110&gt;0),MIN('Your Mortgage'!$I$7,MAX(0,Q110+R110-S110-T110)),0)</x:f>
        <x:v>0</x:v>
      </x:c>
      <x:c r="V110" s="106" t="n">
        <x:f>S110+T110+U110</x:f>
        <x:v>2554.2210763521375</x:v>
      </x:c>
      <x:c r="W110" s="106" t="n">
        <x:f>MAX(0,V110-R110)</x:f>
        <x:v>1392.2135222449667</x:v>
      </x:c>
      <x:c r="X110" s="106" t="n">
        <x:f>MAX(0,Q110-W110)</x:f>
        <x:v>213132.25800523272</x:v>
      </x:c>
      <x:c r="Y110" s="1"/>
      <x:c r="Z110" s="1"/>
    </x:row>
    <x:row r="111">
      <x:c r="A111" s="100" t="n">
        <x:f>A110+1</x:f>
        <x:v>106</x:v>
      </x:c>
      <x:c r="B111" s="103" t="n">
        <x:f>EDATE(B110,1)</x:f>
        <x:v>49430</x:v>
      </x:c>
      <x:c r="C111" s="104" t="n">
        <x:f>H110</x:f>
        <x:v>283595.29690362606</x:v>
      </x:c>
      <x:c r="D111" s="104" t="n">
        <x:f>IF(C111&gt;0,C111*'Your Mortgage'!$C$7/12,0)</x:f>
        <x:v>1536.141191561308</x:v>
      </x:c>
      <x:c r="E111" s="104" t="n">
        <x:f>IF(C111&gt;0,MIN('Your Mortgage'!$C$11,C111+D111),0)</x:f>
        <x:v>2054.2210763521375</x:v>
      </x:c>
      <x:c r="F111" s="104" t="n">
        <x:f>E111</x:f>
        <x:v>2054.2210763521375</x:v>
      </x:c>
      <x:c r="G111" s="104" t="n">
        <x:f>MAX(0,F111-D111)</x:f>
        <x:v>518.0798847908295</x:v>
      </x:c>
      <x:c r="H111" s="104" t="n">
        <x:f>MAX(0,C111-G111)</x:f>
        <x:v>283077.21701883525</x:v>
      </x:c>
      <x:c r="I111" s="105" t="n">
        <x:f>P110</x:f>
        <x:v>240100.44049405737</x:v>
      </x:c>
      <x:c r="J111" s="105" t="n">
        <x:f>IF(I111&gt;0,I111*'Your Mortgage'!$C$7/12,0)</x:f>
        <x:v>1300.5440526761442</x:v>
      </x:c>
      <x:c r="K111" s="105" t="n">
        <x:f>IF(I111&gt;0,MIN('Your Mortgage'!$C$11,I111+J111),0)</x:f>
        <x:v>2054.2210763521375</x:v>
      </x:c>
      <x:c r="L111" s="105" t="n">
        <x:f>IF(I111&gt;0,MIN('Your Mortgage'!$F$6,MAX(0,I111+J111-K111)),0)</x:f>
        <x:v>250</x:v>
      </x:c>
      <x:c r="M111" s="105" t="n">
        <x:f>IF(AND(A111='Your Mortgage'!$F$8,I111&gt;0),MIN('Your Mortgage'!$F$7,MAX(0,I111+J111-K111-L111)),0)</x:f>
        <x:v>0</x:v>
      </x:c>
      <x:c r="N111" s="105" t="n">
        <x:f>K111+L111+M111</x:f>
        <x:v>2304.2210763521375</x:v>
      </x:c>
      <x:c r="O111" s="105" t="n">
        <x:f>MAX(0,N111-J111)</x:f>
        <x:v>1003.6770236759933</x:v>
      </x:c>
      <x:c r="P111" s="105" t="n">
        <x:f>MAX(0,I111-O111)</x:f>
        <x:v>239096.76347038138</x:v>
      </x:c>
      <x:c r="Q111" s="106" t="n">
        <x:f>X110</x:f>
        <x:v>213132.25800523272</x:v>
      </x:c>
      <x:c r="R111" s="106" t="n">
        <x:f>IF(Q111&gt;0,Q111*'Your Mortgage'!$C$7/12,0)</x:f>
        <x:v>1154.466397528344</x:v>
      </x:c>
      <x:c r="S111" s="106" t="n">
        <x:f>IF(Q111&gt;0,MIN('Your Mortgage'!$C$11,Q111+R111),0)</x:f>
        <x:v>2054.2210763521375</x:v>
      </x:c>
      <x:c r="T111" s="106" t="n">
        <x:f>IF(Q111&gt;0,MIN('Your Mortgage'!$I$6,MAX(0,Q111+R111-S111)),0)</x:f>
        <x:v>500</x:v>
      </x:c>
      <x:c r="U111" s="106" t="n">
        <x:f>IF(AND(A111='Your Mortgage'!$I$8,Q111&gt;0),MIN('Your Mortgage'!$I$7,MAX(0,Q111+R111-S111-T111)),0)</x:f>
        <x:v>0</x:v>
      </x:c>
      <x:c r="V111" s="106" t="n">
        <x:f>S111+T111+U111</x:f>
        <x:v>2554.2210763521375</x:v>
      </x:c>
      <x:c r="W111" s="106" t="n">
        <x:f>MAX(0,V111-R111)</x:f>
        <x:v>1399.7546788237935</x:v>
      </x:c>
      <x:c r="X111" s="106" t="n">
        <x:f>MAX(0,Q111-W111)</x:f>
        <x:v>211732.50332640894</x:v>
      </x:c>
      <x:c r="Y111" s="1"/>
      <x:c r="Z111" s="1"/>
    </x:row>
    <x:row r="112">
      <x:c r="A112" s="100" t="n">
        <x:f>A111+1</x:f>
        <x:v>107</x:v>
      </x:c>
      <x:c r="B112" s="103" t="n">
        <x:f>EDATE(B111,1)</x:f>
        <x:v>49461</x:v>
      </x:c>
      <x:c r="C112" s="104" t="n">
        <x:f>H111</x:f>
        <x:v>283077.21701883525</x:v>
      </x:c>
      <x:c r="D112" s="104" t="n">
        <x:f>IF(C112&gt;0,C112*'Your Mortgage'!$C$7/12,0)</x:f>
        <x:v>1533.334925518691</x:v>
      </x:c>
      <x:c r="E112" s="104" t="n">
        <x:f>IF(C112&gt;0,MIN('Your Mortgage'!$C$11,C112+D112),0)</x:f>
        <x:v>2054.2210763521375</x:v>
      </x:c>
      <x:c r="F112" s="104" t="n">
        <x:f>E112</x:f>
        <x:v>2054.2210763521375</x:v>
      </x:c>
      <x:c r="G112" s="104" t="n">
        <x:f>MAX(0,F112-D112)</x:f>
        <x:v>520.8861508334464</x:v>
      </x:c>
      <x:c r="H112" s="104" t="n">
        <x:f>MAX(0,C112-G112)</x:f>
        <x:v>282556.3308680018</x:v>
      </x:c>
      <x:c r="I112" s="105" t="n">
        <x:f>P111</x:f>
        <x:v>239096.76347038138</x:v>
      </x:c>
      <x:c r="J112" s="105" t="n">
        <x:f>IF(I112&gt;0,I112*'Your Mortgage'!$C$7/12,0)</x:f>
        <x:v>1295.1074687978992</x:v>
      </x:c>
      <x:c r="K112" s="105" t="n">
        <x:f>IF(I112&gt;0,MIN('Your Mortgage'!$C$11,I112+J112),0)</x:f>
        <x:v>2054.2210763521375</x:v>
      </x:c>
      <x:c r="L112" s="105" t="n">
        <x:f>IF(I112&gt;0,MIN('Your Mortgage'!$F$6,MAX(0,I112+J112-K112)),0)</x:f>
        <x:v>250</x:v>
      </x:c>
      <x:c r="M112" s="105" t="n">
        <x:f>IF(AND(A112='Your Mortgage'!$F$8,I112&gt;0),MIN('Your Mortgage'!$F$7,MAX(0,I112+J112-K112-L112)),0)</x:f>
        <x:v>0</x:v>
      </x:c>
      <x:c r="N112" s="105" t="n">
        <x:f>K112+L112+M112</x:f>
        <x:v>2304.2210763521375</x:v>
      </x:c>
      <x:c r="O112" s="105" t="n">
        <x:f>MAX(0,N112-J112)</x:f>
        <x:v>1009.1136075542383</x:v>
      </x:c>
      <x:c r="P112" s="105" t="n">
        <x:f>MAX(0,I112-O112)</x:f>
        <x:v>238087.64986282715</x:v>
      </x:c>
      <x:c r="Q112" s="106" t="n">
        <x:f>X111</x:f>
        <x:v>211732.50332640894</x:v>
      </x:c>
      <x:c r="R112" s="106" t="n">
        <x:f>IF(Q112&gt;0,Q112*'Your Mortgage'!$C$7/12,0)</x:f>
        <x:v>1146.8843930180485</x:v>
      </x:c>
      <x:c r="S112" s="106" t="n">
        <x:f>IF(Q112&gt;0,MIN('Your Mortgage'!$C$11,Q112+R112),0)</x:f>
        <x:v>2054.2210763521375</x:v>
      </x:c>
      <x:c r="T112" s="106" t="n">
        <x:f>IF(Q112&gt;0,MIN('Your Mortgage'!$I$6,MAX(0,Q112+R112-S112)),0)</x:f>
        <x:v>500</x:v>
      </x:c>
      <x:c r="U112" s="106" t="n">
        <x:f>IF(AND(A112='Your Mortgage'!$I$8,Q112&gt;0),MIN('Your Mortgage'!$I$7,MAX(0,Q112+R112-S112-T112)),0)</x:f>
        <x:v>0</x:v>
      </x:c>
      <x:c r="V112" s="106" t="n">
        <x:f>S112+T112+U112</x:f>
        <x:v>2554.2210763521375</x:v>
      </x:c>
      <x:c r="W112" s="106" t="n">
        <x:f>MAX(0,V112-R112)</x:f>
        <x:v>1407.336683334089</x:v>
      </x:c>
      <x:c r="X112" s="106" t="n">
        <x:f>MAX(0,Q112-W112)</x:f>
        <x:v>210325.16664307486</x:v>
      </x:c>
      <x:c r="Y112" s="1"/>
      <x:c r="Z112" s="1"/>
    </x:row>
    <x:row r="113">
      <x:c r="A113" s="100" t="n">
        <x:f>A112+1</x:f>
        <x:v>108</x:v>
      </x:c>
      <x:c r="B113" s="103" t="n">
        <x:f>EDATE(B112,1)</x:f>
        <x:v>49491</x:v>
      </x:c>
      <x:c r="C113" s="104" t="n">
        <x:f>H112</x:f>
        <x:v>282556.3308680018</x:v>
      </x:c>
      <x:c r="D113" s="104" t="n">
        <x:f>IF(C113&gt;0,C113*'Your Mortgage'!$C$7/12,0)</x:f>
        <x:v>1530.5134588683432</x:v>
      </x:c>
      <x:c r="E113" s="104" t="n">
        <x:f>IF(C113&gt;0,MIN('Your Mortgage'!$C$11,C113+D113),0)</x:f>
        <x:v>2054.2210763521375</x:v>
      </x:c>
      <x:c r="F113" s="104" t="n">
        <x:f>E113</x:f>
        <x:v>2054.2210763521375</x:v>
      </x:c>
      <x:c r="G113" s="104" t="n">
        <x:f>MAX(0,F113-D113)</x:f>
        <x:v>523.7076174837944</x:v>
      </x:c>
      <x:c r="H113" s="104" t="n">
        <x:f>MAX(0,C113-G113)</x:f>
        <x:v>282032.623250518</x:v>
      </x:c>
      <x:c r="I113" s="105" t="n">
        <x:f>P112</x:f>
        <x:v>238087.64986282715</x:v>
      </x:c>
      <x:c r="J113" s="105" t="n">
        <x:f>IF(I113&gt;0,I113*'Your Mortgage'!$C$7/12,0)</x:f>
        <x:v>1289.6414367569805</x:v>
      </x:c>
      <x:c r="K113" s="105" t="n">
        <x:f>IF(I113&gt;0,MIN('Your Mortgage'!$C$11,I113+J113),0)</x:f>
        <x:v>2054.2210763521375</x:v>
      </x:c>
      <x:c r="L113" s="105" t="n">
        <x:f>IF(I113&gt;0,MIN('Your Mortgage'!$F$6,MAX(0,I113+J113-K113)),0)</x:f>
        <x:v>250</x:v>
      </x:c>
      <x:c r="M113" s="105" t="n">
        <x:f>IF(AND(A113='Your Mortgage'!$F$8,I113&gt;0),MIN('Your Mortgage'!$F$7,MAX(0,I113+J113-K113-L113)),0)</x:f>
        <x:v>0</x:v>
      </x:c>
      <x:c r="N113" s="105" t="n">
        <x:f>K113+L113+M113</x:f>
        <x:v>2304.2210763521375</x:v>
      </x:c>
      <x:c r="O113" s="105" t="n">
        <x:f>MAX(0,N113-J113)</x:f>
        <x:v>1014.579639595157</x:v>
      </x:c>
      <x:c r="P113" s="105" t="n">
        <x:f>MAX(0,I113-O113)</x:f>
        <x:v>237073.070223232</x:v>
      </x:c>
      <x:c r="Q113" s="106" t="n">
        <x:f>X112</x:f>
        <x:v>210325.16664307486</x:v>
      </x:c>
      <x:c r="R113" s="106" t="n">
        <x:f>IF(Q113&gt;0,Q113*'Your Mortgage'!$C$7/12,0)</x:f>
        <x:v>1139.2613193166555</x:v>
      </x:c>
      <x:c r="S113" s="106" t="n">
        <x:f>IF(Q113&gt;0,MIN('Your Mortgage'!$C$11,Q113+R113),0)</x:f>
        <x:v>2054.2210763521375</x:v>
      </x:c>
      <x:c r="T113" s="106" t="n">
        <x:f>IF(Q113&gt;0,MIN('Your Mortgage'!$I$6,MAX(0,Q113+R113-S113)),0)</x:f>
        <x:v>500</x:v>
      </x:c>
      <x:c r="U113" s="106" t="n">
        <x:f>IF(AND(A113='Your Mortgage'!$I$8,Q113&gt;0),MIN('Your Mortgage'!$I$7,MAX(0,Q113+R113-S113-T113)),0)</x:f>
        <x:v>0</x:v>
      </x:c>
      <x:c r="V113" s="106" t="n">
        <x:f>S113+T113+U113</x:f>
        <x:v>2554.2210763521375</x:v>
      </x:c>
      <x:c r="W113" s="106" t="n">
        <x:f>MAX(0,V113-R113)</x:f>
        <x:v>1414.959757035482</x:v>
      </x:c>
      <x:c r="X113" s="106" t="n">
        <x:f>MAX(0,Q113-W113)</x:f>
        <x:v>208910.20688603938</x:v>
      </x:c>
      <x:c r="Y113" s="1"/>
      <x:c r="Z113" s="1"/>
    </x:row>
    <x:row r="114">
      <x:c r="A114" s="100" t="n">
        <x:f>A113+1</x:f>
        <x:v>109</x:v>
      </x:c>
      <x:c r="B114" s="103" t="n">
        <x:f>EDATE(B113,1)</x:f>
        <x:v>49522</x:v>
      </x:c>
      <x:c r="C114" s="104" t="n">
        <x:f>H113</x:f>
        <x:v>282032.623250518</x:v>
      </x:c>
      <x:c r="D114" s="104" t="n">
        <x:f>IF(C114&gt;0,C114*'Your Mortgage'!$C$7/12,0)</x:f>
        <x:v>1527.676709273639</x:v>
      </x:c>
      <x:c r="E114" s="104" t="n">
        <x:f>IF(C114&gt;0,MIN('Your Mortgage'!$C$11,C114+D114),0)</x:f>
        <x:v>2054.2210763521375</x:v>
      </x:c>
      <x:c r="F114" s="104" t="n">
        <x:f>E114</x:f>
        <x:v>2054.2210763521375</x:v>
      </x:c>
      <x:c r="G114" s="104" t="n">
        <x:f>MAX(0,F114-D114)</x:f>
        <x:v>526.5443670784985</x:v>
      </x:c>
      <x:c r="H114" s="104" t="n">
        <x:f>MAX(0,C114-G114)</x:f>
        <x:v>281506.0788834395</x:v>
      </x:c>
      <x:c r="I114" s="105" t="n">
        <x:f>P113</x:f>
        <x:v>237073.070223232</x:v>
      </x:c>
      <x:c r="J114" s="105" t="n">
        <x:f>IF(I114&gt;0,I114*'Your Mortgage'!$C$7/12,0)</x:f>
        <x:v>1284.1457970425067</x:v>
      </x:c>
      <x:c r="K114" s="105" t="n">
        <x:f>IF(I114&gt;0,MIN('Your Mortgage'!$C$11,I114+J114),0)</x:f>
        <x:v>2054.2210763521375</x:v>
      </x:c>
      <x:c r="L114" s="105" t="n">
        <x:f>IF(I114&gt;0,MIN('Your Mortgage'!$F$6,MAX(0,I114+J114-K114)),0)</x:f>
        <x:v>250</x:v>
      </x:c>
      <x:c r="M114" s="105" t="n">
        <x:f>IF(AND(A114='Your Mortgage'!$F$8,I114&gt;0),MIN('Your Mortgage'!$F$7,MAX(0,I114+J114-K114-L114)),0)</x:f>
        <x:v>0</x:v>
      </x:c>
      <x:c r="N114" s="105" t="n">
        <x:f>K114+L114+M114</x:f>
        <x:v>2304.2210763521375</x:v>
      </x:c>
      <x:c r="O114" s="105" t="n">
        <x:f>MAX(0,N114-J114)</x:f>
        <x:v>1020.0752793096308</x:v>
      </x:c>
      <x:c r="P114" s="105" t="n">
        <x:f>MAX(0,I114-O114)</x:f>
        <x:v>236052.9949439224</x:v>
      </x:c>
      <x:c r="Q114" s="106" t="n">
        <x:f>X113</x:f>
        <x:v>208910.20688603938</x:v>
      </x:c>
      <x:c r="R114" s="106" t="n">
        <x:f>IF(Q114&gt;0,Q114*'Your Mortgage'!$C$7/12,0)</x:f>
        <x:v>1131.5969539660466</x:v>
      </x:c>
      <x:c r="S114" s="106" t="n">
        <x:f>IF(Q114&gt;0,MIN('Your Mortgage'!$C$11,Q114+R114),0)</x:f>
        <x:v>2054.2210763521375</x:v>
      </x:c>
      <x:c r="T114" s="106" t="n">
        <x:f>IF(Q114&gt;0,MIN('Your Mortgage'!$I$6,MAX(0,Q114+R114-S114)),0)</x:f>
        <x:v>500</x:v>
      </x:c>
      <x:c r="U114" s="106" t="n">
        <x:f>IF(AND(A114='Your Mortgage'!$I$8,Q114&gt;0),MIN('Your Mortgage'!$I$7,MAX(0,Q114+R114-S114-T114)),0)</x:f>
        <x:v>0</x:v>
      </x:c>
      <x:c r="V114" s="106" t="n">
        <x:f>S114+T114+U114</x:f>
        <x:v>2554.2210763521375</x:v>
      </x:c>
      <x:c r="W114" s="106" t="n">
        <x:f>MAX(0,V114-R114)</x:f>
        <x:v>1422.624122386091</x:v>
      </x:c>
      <x:c r="X114" s="106" t="n">
        <x:f>MAX(0,Q114-W114)</x:f>
        <x:v>207487.58276365328</x:v>
      </x:c>
      <x:c r="Y114" s="1"/>
      <x:c r="Z114" s="1"/>
    </x:row>
    <x:row r="115">
      <x:c r="A115" s="100" t="n">
        <x:f>A114+1</x:f>
        <x:v>110</x:v>
      </x:c>
      <x:c r="B115" s="103" t="n">
        <x:f>EDATE(B114,1)</x:f>
        <x:v>49553</x:v>
      </x:c>
      <x:c r="C115" s="104" t="n">
        <x:f>H114</x:f>
        <x:v>281506.0788834395</x:v>
      </x:c>
      <x:c r="D115" s="104" t="n">
        <x:f>IF(C115&gt;0,C115*'Your Mortgage'!$C$7/12,0)</x:f>
        <x:v>1524.8245939519638</x:v>
      </x:c>
      <x:c r="E115" s="104" t="n">
        <x:f>IF(C115&gt;0,MIN('Your Mortgage'!$C$11,C115+D115),0)</x:f>
        <x:v>2054.2210763521375</x:v>
      </x:c>
      <x:c r="F115" s="104" t="n">
        <x:f>E115</x:f>
        <x:v>2054.2210763521375</x:v>
      </x:c>
      <x:c r="G115" s="104" t="n">
        <x:f>MAX(0,F115-D115)</x:f>
        <x:v>529.3964824001737</x:v>
      </x:c>
      <x:c r="H115" s="104" t="n">
        <x:f>MAX(0,C115-G115)</x:f>
        <x:v>280976.6824010393</x:v>
      </x:c>
      <x:c r="I115" s="105" t="n">
        <x:f>P114</x:f>
        <x:v>236052.9949439224</x:v>
      </x:c>
      <x:c r="J115" s="105" t="n">
        <x:f>IF(I115&gt;0,I115*'Your Mortgage'!$C$7/12,0)</x:f>
        <x:v>1278.6203892795795</x:v>
      </x:c>
      <x:c r="K115" s="105" t="n">
        <x:f>IF(I115&gt;0,MIN('Your Mortgage'!$C$11,I115+J115),0)</x:f>
        <x:v>2054.2210763521375</x:v>
      </x:c>
      <x:c r="L115" s="105" t="n">
        <x:f>IF(I115&gt;0,MIN('Your Mortgage'!$F$6,MAX(0,I115+J115-K115)),0)</x:f>
        <x:v>250</x:v>
      </x:c>
      <x:c r="M115" s="105" t="n">
        <x:f>IF(AND(A115='Your Mortgage'!$F$8,I115&gt;0),MIN('Your Mortgage'!$F$7,MAX(0,I115+J115-K115-L115)),0)</x:f>
        <x:v>0</x:v>
      </x:c>
      <x:c r="N115" s="105" t="n">
        <x:f>K115+L115+M115</x:f>
        <x:v>2304.2210763521375</x:v>
      </x:c>
      <x:c r="O115" s="105" t="n">
        <x:f>MAX(0,N115-J115)</x:f>
        <x:v>1025.600687072558</x:v>
      </x:c>
      <x:c r="P115" s="105" t="n">
        <x:f>MAX(0,I115-O115)</x:f>
        <x:v>235027.39425684983</x:v>
      </x:c>
      <x:c r="Q115" s="106" t="n">
        <x:f>X114</x:f>
        <x:v>207487.58276365328</x:v>
      </x:c>
      <x:c r="R115" s="106" t="n">
        <x:f>IF(Q115&gt;0,Q115*'Your Mortgage'!$C$7/12,0)</x:f>
        <x:v>1123.8910733031219</x:v>
      </x:c>
      <x:c r="S115" s="106" t="n">
        <x:f>IF(Q115&gt;0,MIN('Your Mortgage'!$C$11,Q115+R115),0)</x:f>
        <x:v>2054.2210763521375</x:v>
      </x:c>
      <x:c r="T115" s="106" t="n">
        <x:f>IF(Q115&gt;0,MIN('Your Mortgage'!$I$6,MAX(0,Q115+R115-S115)),0)</x:f>
        <x:v>500</x:v>
      </x:c>
      <x:c r="U115" s="106" t="n">
        <x:f>IF(AND(A115='Your Mortgage'!$I$8,Q115&gt;0),MIN('Your Mortgage'!$I$7,MAX(0,Q115+R115-S115-T115)),0)</x:f>
        <x:v>0</x:v>
      </x:c>
      <x:c r="V115" s="106" t="n">
        <x:f>S115+T115+U115</x:f>
        <x:v>2554.2210763521375</x:v>
      </x:c>
      <x:c r="W115" s="106" t="n">
        <x:f>MAX(0,V115-R115)</x:f>
        <x:v>1430.3300030490157</x:v>
      </x:c>
      <x:c r="X115" s="106" t="n">
        <x:f>MAX(0,Q115-W115)</x:f>
        <x:v>206057.25276060426</x:v>
      </x:c>
      <x:c r="Y115" s="1"/>
      <x:c r="Z115" s="1"/>
    </x:row>
    <x:row r="116">
      <x:c r="A116" s="100" t="n">
        <x:f>A115+1</x:f>
        <x:v>111</x:v>
      </x:c>
      <x:c r="B116" s="103" t="n">
        <x:f>EDATE(B115,1)</x:f>
        <x:v>49583</x:v>
      </x:c>
      <x:c r="C116" s="104" t="n">
        <x:f>H115</x:f>
        <x:v>280976.6824010393</x:v>
      </x:c>
      <x:c r="D116" s="104" t="n">
        <x:f>IF(C116&gt;0,C116*'Your Mortgage'!$C$7/12,0)</x:f>
        <x:v>1521.9570296722961</x:v>
      </x:c>
      <x:c r="E116" s="104" t="n">
        <x:f>IF(C116&gt;0,MIN('Your Mortgage'!$C$11,C116+D116),0)</x:f>
        <x:v>2054.2210763521375</x:v>
      </x:c>
      <x:c r="F116" s="104" t="n">
        <x:f>E116</x:f>
        <x:v>2054.2210763521375</x:v>
      </x:c>
      <x:c r="G116" s="104" t="n">
        <x:f>MAX(0,F116-D116)</x:f>
        <x:v>532.2640466798414</x:v>
      </x:c>
      <x:c r="H116" s="104" t="n">
        <x:f>MAX(0,C116-G116)</x:f>
        <x:v>280444.41835435946</x:v>
      </x:c>
      <x:c r="I116" s="105" t="n">
        <x:f>P115</x:f>
        <x:v>235027.39425684983</x:v>
      </x:c>
      <x:c r="J116" s="105" t="n">
        <x:f>IF(I116&gt;0,I116*'Your Mortgage'!$C$7/12,0)</x:f>
        <x:v>1273.0650522246033</x:v>
      </x:c>
      <x:c r="K116" s="105" t="n">
        <x:f>IF(I116&gt;0,MIN('Your Mortgage'!$C$11,I116+J116),0)</x:f>
        <x:v>2054.2210763521375</x:v>
      </x:c>
      <x:c r="L116" s="105" t="n">
        <x:f>IF(I116&gt;0,MIN('Your Mortgage'!$F$6,MAX(0,I116+J116-K116)),0)</x:f>
        <x:v>250</x:v>
      </x:c>
      <x:c r="M116" s="105" t="n">
        <x:f>IF(AND(A116='Your Mortgage'!$F$8,I116&gt;0),MIN('Your Mortgage'!$F$7,MAX(0,I116+J116-K116-L116)),0)</x:f>
        <x:v>0</x:v>
      </x:c>
      <x:c r="N116" s="105" t="n">
        <x:f>K116+L116+M116</x:f>
        <x:v>2304.2210763521375</x:v>
      </x:c>
      <x:c r="O116" s="105" t="n">
        <x:f>MAX(0,N116-J116)</x:f>
        <x:v>1031.1560241275342</x:v>
      </x:c>
      <x:c r="P116" s="105" t="n">
        <x:f>MAX(0,I116-O116)</x:f>
        <x:v>233996.2382327223</x:v>
      </x:c>
      <x:c r="Q116" s="106" t="n">
        <x:f>X115</x:f>
        <x:v>206057.25276060426</x:v>
      </x:c>
      <x:c r="R116" s="106" t="n">
        <x:f>IF(Q116&gt;0,Q116*'Your Mortgage'!$C$7/12,0)</x:f>
        <x:v>1116.143452453273</x:v>
      </x:c>
      <x:c r="S116" s="106" t="n">
        <x:f>IF(Q116&gt;0,MIN('Your Mortgage'!$C$11,Q116+R116),0)</x:f>
        <x:v>2054.2210763521375</x:v>
      </x:c>
      <x:c r="T116" s="106" t="n">
        <x:f>IF(Q116&gt;0,MIN('Your Mortgage'!$I$6,MAX(0,Q116+R116-S116)),0)</x:f>
        <x:v>500</x:v>
      </x:c>
      <x:c r="U116" s="106" t="n">
        <x:f>IF(AND(A116='Your Mortgage'!$I$8,Q116&gt;0),MIN('Your Mortgage'!$I$7,MAX(0,Q116+R116-S116-T116)),0)</x:f>
        <x:v>0</x:v>
      </x:c>
      <x:c r="V116" s="106" t="n">
        <x:f>S116+T116+U116</x:f>
        <x:v>2554.2210763521375</x:v>
      </x:c>
      <x:c r="W116" s="106" t="n">
        <x:f>MAX(0,V116-R116)</x:f>
        <x:v>1438.0776238988644</x:v>
      </x:c>
      <x:c r="X116" s="106" t="n">
        <x:f>MAX(0,Q116-W116)</x:f>
        <x:v>204619.1751367054</x:v>
      </x:c>
      <x:c r="Y116" s="1"/>
      <x:c r="Z116" s="1"/>
    </x:row>
    <x:row r="117">
      <x:c r="A117" s="100" t="n">
        <x:f>A116+1</x:f>
        <x:v>112</x:v>
      </x:c>
      <x:c r="B117" s="103" t="n">
        <x:f>EDATE(B116,1)</x:f>
        <x:v>49614</x:v>
      </x:c>
      <x:c r="C117" s="104" t="n">
        <x:f>H116</x:f>
        <x:v>280444.41835435946</x:v>
      </x:c>
      <x:c r="D117" s="104" t="n">
        <x:f>IF(C117&gt;0,C117*'Your Mortgage'!$C$7/12,0)</x:f>
        <x:v>1519.0739327527806</x:v>
      </x:c>
      <x:c r="E117" s="104" t="n">
        <x:f>IF(C117&gt;0,MIN('Your Mortgage'!$C$11,C117+D117),0)</x:f>
        <x:v>2054.2210763521375</x:v>
      </x:c>
      <x:c r="F117" s="104" t="n">
        <x:f>E117</x:f>
        <x:v>2054.2210763521375</x:v>
      </x:c>
      <x:c r="G117" s="104" t="n">
        <x:f>MAX(0,F117-D117)</x:f>
        <x:v>535.1471435993569</x:v>
      </x:c>
      <x:c r="H117" s="104" t="n">
        <x:f>MAX(0,C117-G117)</x:f>
        <x:v>279909.2712107601</x:v>
      </x:c>
      <x:c r="I117" s="105" t="n">
        <x:f>P116</x:f>
        <x:v>233996.2382327223</x:v>
      </x:c>
      <x:c r="J117" s="105" t="n">
        <x:f>IF(I117&gt;0,I117*'Your Mortgage'!$C$7/12,0)</x:f>
        <x:v>1267.4796237605792</x:v>
      </x:c>
      <x:c r="K117" s="105" t="n">
        <x:f>IF(I117&gt;0,MIN('Your Mortgage'!$C$11,I117+J117),0)</x:f>
        <x:v>2054.2210763521375</x:v>
      </x:c>
      <x:c r="L117" s="105" t="n">
        <x:f>IF(I117&gt;0,MIN('Your Mortgage'!$F$6,MAX(0,I117+J117-K117)),0)</x:f>
        <x:v>250</x:v>
      </x:c>
      <x:c r="M117" s="105" t="n">
        <x:f>IF(AND(A117='Your Mortgage'!$F$8,I117&gt;0),MIN('Your Mortgage'!$F$7,MAX(0,I117+J117-K117-L117)),0)</x:f>
        <x:v>0</x:v>
      </x:c>
      <x:c r="N117" s="105" t="n">
        <x:f>K117+L117+M117</x:f>
        <x:v>2304.2210763521375</x:v>
      </x:c>
      <x:c r="O117" s="105" t="n">
        <x:f>MAX(0,N117-J117)</x:f>
        <x:v>1036.7414525915583</x:v>
      </x:c>
      <x:c r="P117" s="105" t="n">
        <x:f>MAX(0,I117-O117)</x:f>
        <x:v>232959.49678013075</x:v>
      </x:c>
      <x:c r="Q117" s="106" t="n">
        <x:f>X116</x:f>
        <x:v>204619.1751367054</x:v>
      </x:c>
      <x:c r="R117" s="106" t="n">
        <x:f>IF(Q117&gt;0,Q117*'Your Mortgage'!$C$7/12,0)</x:f>
        <x:v>1108.3538653238209</x:v>
      </x:c>
      <x:c r="S117" s="106" t="n">
        <x:f>IF(Q117&gt;0,MIN('Your Mortgage'!$C$11,Q117+R117),0)</x:f>
        <x:v>2054.2210763521375</x:v>
      </x:c>
      <x:c r="T117" s="106" t="n">
        <x:f>IF(Q117&gt;0,MIN('Your Mortgage'!$I$6,MAX(0,Q117+R117-S117)),0)</x:f>
        <x:v>500</x:v>
      </x:c>
      <x:c r="U117" s="106" t="n">
        <x:f>IF(AND(A117='Your Mortgage'!$I$8,Q117&gt;0),MIN('Your Mortgage'!$I$7,MAX(0,Q117+R117-S117-T117)),0)</x:f>
        <x:v>0</x:v>
      </x:c>
      <x:c r="V117" s="106" t="n">
        <x:f>S117+T117+U117</x:f>
        <x:v>2554.2210763521375</x:v>
      </x:c>
      <x:c r="W117" s="106" t="n">
        <x:f>MAX(0,V117-R117)</x:f>
        <x:v>1445.8672110283167</x:v>
      </x:c>
      <x:c r="X117" s="106" t="n">
        <x:f>MAX(0,Q117-W117)</x:f>
        <x:v>203173.30792567707</x:v>
      </x:c>
      <x:c r="Y117" s="1"/>
      <x:c r="Z117" s="1"/>
    </x:row>
    <x:row r="118">
      <x:c r="A118" s="100" t="n">
        <x:f>A117+1</x:f>
        <x:v>113</x:v>
      </x:c>
      <x:c r="B118" s="103" t="n">
        <x:f>EDATE(B117,1)</x:f>
        <x:v>49644</x:v>
      </x:c>
      <x:c r="C118" s="104" t="n">
        <x:f>H117</x:f>
        <x:v>279909.2712107601</x:v>
      </x:c>
      <x:c r="D118" s="104" t="n">
        <x:f>IF(C118&gt;0,C118*'Your Mortgage'!$C$7/12,0)</x:f>
        <x:v>1516.175219058284</x:v>
      </x:c>
      <x:c r="E118" s="104" t="n">
        <x:f>IF(C118&gt;0,MIN('Your Mortgage'!$C$11,C118+D118),0)</x:f>
        <x:v>2054.2210763521375</x:v>
      </x:c>
      <x:c r="F118" s="104" t="n">
        <x:f>E118</x:f>
        <x:v>2054.2210763521375</x:v>
      </x:c>
      <x:c r="G118" s="104" t="n">
        <x:f>MAX(0,F118-D118)</x:f>
        <x:v>538.0458572938535</x:v>
      </x:c>
      <x:c r="H118" s="104" t="n">
        <x:f>MAX(0,C118-G118)</x:f>
        <x:v>279371.22535346623</x:v>
      </x:c>
      <x:c r="I118" s="105" t="n">
        <x:f>P117</x:f>
        <x:v>232959.49678013075</x:v>
      </x:c>
      <x:c r="J118" s="105" t="n">
        <x:f>IF(I118&gt;0,I118*'Your Mortgage'!$C$7/12,0)</x:f>
        <x:v>1261.863940892375</x:v>
      </x:c>
      <x:c r="K118" s="105" t="n">
        <x:f>IF(I118&gt;0,MIN('Your Mortgage'!$C$11,I118+J118),0)</x:f>
        <x:v>2054.2210763521375</x:v>
      </x:c>
      <x:c r="L118" s="105" t="n">
        <x:f>IF(I118&gt;0,MIN('Your Mortgage'!$F$6,MAX(0,I118+J118-K118)),0)</x:f>
        <x:v>250</x:v>
      </x:c>
      <x:c r="M118" s="105" t="n">
        <x:f>IF(AND(A118='Your Mortgage'!$F$8,I118&gt;0),MIN('Your Mortgage'!$F$7,MAX(0,I118+J118-K118-L118)),0)</x:f>
        <x:v>0</x:v>
      </x:c>
      <x:c r="N118" s="105" t="n">
        <x:f>K118+L118+M118</x:f>
        <x:v>2304.2210763521375</x:v>
      </x:c>
      <x:c r="O118" s="105" t="n">
        <x:f>MAX(0,N118-J118)</x:f>
        <x:v>1042.3571354597625</x:v>
      </x:c>
      <x:c r="P118" s="105" t="n">
        <x:f>MAX(0,I118-O118)</x:f>
        <x:v>231917.139644671</x:v>
      </x:c>
      <x:c r="Q118" s="106" t="n">
        <x:f>X117</x:f>
        <x:v>203173.30792567707</x:v>
      </x:c>
      <x:c r="R118" s="106" t="n">
        <x:f>IF(Q118&gt;0,Q118*'Your Mortgage'!$C$7/12,0)</x:f>
        <x:v>1100.5220845974175</x:v>
      </x:c>
      <x:c r="S118" s="106" t="n">
        <x:f>IF(Q118&gt;0,MIN('Your Mortgage'!$C$11,Q118+R118),0)</x:f>
        <x:v>2054.2210763521375</x:v>
      </x:c>
      <x:c r="T118" s="106" t="n">
        <x:f>IF(Q118&gt;0,MIN('Your Mortgage'!$I$6,MAX(0,Q118+R118-S118)),0)</x:f>
        <x:v>500</x:v>
      </x:c>
      <x:c r="U118" s="106" t="n">
        <x:f>IF(AND(A118='Your Mortgage'!$I$8,Q118&gt;0),MIN('Your Mortgage'!$I$7,MAX(0,Q118+R118-S118-T118)),0)</x:f>
        <x:v>0</x:v>
      </x:c>
      <x:c r="V118" s="106" t="n">
        <x:f>S118+T118+U118</x:f>
        <x:v>2554.2210763521375</x:v>
      </x:c>
      <x:c r="W118" s="106" t="n">
        <x:f>MAX(0,V118-R118)</x:f>
        <x:v>1453.69899175472</x:v>
      </x:c>
      <x:c r="X118" s="106" t="n">
        <x:f>MAX(0,Q118-W118)</x:f>
        <x:v>201719.60893392234</x:v>
      </x:c>
      <x:c r="Y118" s="1"/>
      <x:c r="Z118" s="1"/>
    </x:row>
    <x:row r="119">
      <x:c r="A119" s="100" t="n">
        <x:f>A118+1</x:f>
        <x:v>114</x:v>
      </x:c>
      <x:c r="B119" s="103" t="n">
        <x:f>EDATE(B118,1)</x:f>
        <x:v>49675</x:v>
      </x:c>
      <x:c r="C119" s="104" t="n">
        <x:f>H118</x:f>
        <x:v>279371.22535346623</x:v>
      </x:c>
      <x:c r="D119" s="104" t="n">
        <x:f>IF(C119&gt;0,C119*'Your Mortgage'!$C$7/12,0)</x:f>
        <x:v>1513.2608039979423</x:v>
      </x:c>
      <x:c r="E119" s="104" t="n">
        <x:f>IF(C119&gt;0,MIN('Your Mortgage'!$C$11,C119+D119),0)</x:f>
        <x:v>2054.2210763521375</x:v>
      </x:c>
      <x:c r="F119" s="104" t="n">
        <x:f>E119</x:f>
        <x:v>2054.2210763521375</x:v>
      </x:c>
      <x:c r="G119" s="104" t="n">
        <x:f>MAX(0,F119-D119)</x:f>
        <x:v>540.9602723541952</x:v>
      </x:c>
      <x:c r="H119" s="104" t="n">
        <x:f>MAX(0,C119-G119)</x:f>
        <x:v>278830.26508111204</x:v>
      </x:c>
      <x:c r="I119" s="105" t="n">
        <x:f>P118</x:f>
        <x:v>231917.139644671</x:v>
      </x:c>
      <x:c r="J119" s="105" t="n">
        <x:f>IF(I119&gt;0,I119*'Your Mortgage'!$C$7/12,0)</x:f>
        <x:v>1256.217839741968</x:v>
      </x:c>
      <x:c r="K119" s="105" t="n">
        <x:f>IF(I119&gt;0,MIN('Your Mortgage'!$C$11,I119+J119),0)</x:f>
        <x:v>2054.2210763521375</x:v>
      </x:c>
      <x:c r="L119" s="105" t="n">
        <x:f>IF(I119&gt;0,MIN('Your Mortgage'!$F$6,MAX(0,I119+J119-K119)),0)</x:f>
        <x:v>250</x:v>
      </x:c>
      <x:c r="M119" s="105" t="n">
        <x:f>IF(AND(A119='Your Mortgage'!$F$8,I119&gt;0),MIN('Your Mortgage'!$F$7,MAX(0,I119+J119-K119-L119)),0)</x:f>
        <x:v>0</x:v>
      </x:c>
      <x:c r="N119" s="105" t="n">
        <x:f>K119+L119+M119</x:f>
        <x:v>2304.2210763521375</x:v>
      </x:c>
      <x:c r="O119" s="105" t="n">
        <x:f>MAX(0,N119-J119)</x:f>
        <x:v>1048.0032366101696</x:v>
      </x:c>
      <x:c r="P119" s="105" t="n">
        <x:f>MAX(0,I119-O119)</x:f>
        <x:v>230869.13640806082</x:v>
      </x:c>
      <x:c r="Q119" s="106" t="n">
        <x:f>X118</x:f>
        <x:v>201719.60893392234</x:v>
      </x:c>
      <x:c r="R119" s="106" t="n">
        <x:f>IF(Q119&gt;0,Q119*'Your Mortgage'!$C$7/12,0)</x:f>
        <x:v>1092.6478817254126</x:v>
      </x:c>
      <x:c r="S119" s="106" t="n">
        <x:f>IF(Q119&gt;0,MIN('Your Mortgage'!$C$11,Q119+R119),0)</x:f>
        <x:v>2054.2210763521375</x:v>
      </x:c>
      <x:c r="T119" s="106" t="n">
        <x:f>IF(Q119&gt;0,MIN('Your Mortgage'!$I$6,MAX(0,Q119+R119-S119)),0)</x:f>
        <x:v>500</x:v>
      </x:c>
      <x:c r="U119" s="106" t="n">
        <x:f>IF(AND(A119='Your Mortgage'!$I$8,Q119&gt;0),MIN('Your Mortgage'!$I$7,MAX(0,Q119+R119-S119-T119)),0)</x:f>
        <x:v>0</x:v>
      </x:c>
      <x:c r="V119" s="106" t="n">
        <x:f>S119+T119+U119</x:f>
        <x:v>2554.2210763521375</x:v>
      </x:c>
      <x:c r="W119" s="106" t="n">
        <x:f>MAX(0,V119-R119)</x:f>
        <x:v>1461.573194626725</x:v>
      </x:c>
      <x:c r="X119" s="106" t="n">
        <x:f>MAX(0,Q119-W119)</x:f>
        <x:v>200258.03573929562</x:v>
      </x:c>
      <x:c r="Y119" s="1"/>
      <x:c r="Z119" s="1"/>
    </x:row>
    <x:row r="120">
      <x:c r="A120" s="100" t="n">
        <x:f>A119+1</x:f>
        <x:v>115</x:v>
      </x:c>
      <x:c r="B120" s="103" t="n">
        <x:f>EDATE(B119,1)</x:f>
        <x:v>49706</x:v>
      </x:c>
      <x:c r="C120" s="104" t="n">
        <x:f>H119</x:f>
        <x:v>278830.26508111204</x:v>
      </x:c>
      <x:c r="D120" s="104" t="n">
        <x:f>IF(C120&gt;0,C120*'Your Mortgage'!$C$7/12,0)</x:f>
        <x:v>1510.3306025226902</x:v>
      </x:c>
      <x:c r="E120" s="104" t="n">
        <x:f>IF(C120&gt;0,MIN('Your Mortgage'!$C$11,C120+D120),0)</x:f>
        <x:v>2054.2210763521375</x:v>
      </x:c>
      <x:c r="F120" s="104" t="n">
        <x:f>E120</x:f>
        <x:v>2054.2210763521375</x:v>
      </x:c>
      <x:c r="G120" s="104" t="n">
        <x:f>MAX(0,F120-D120)</x:f>
        <x:v>543.8904738294473</x:v>
      </x:c>
      <x:c r="H120" s="104" t="n">
        <x:f>MAX(0,C120-G120)</x:f>
        <x:v>278286.3746072826</x:v>
      </x:c>
      <x:c r="I120" s="105" t="n">
        <x:f>P119</x:f>
        <x:v>230869.13640806082</x:v>
      </x:c>
      <x:c r="J120" s="105" t="n">
        <x:f>IF(I120&gt;0,I120*'Your Mortgage'!$C$7/12,0)</x:f>
        <x:v>1250.5411555436629</x:v>
      </x:c>
      <x:c r="K120" s="105" t="n">
        <x:f>IF(I120&gt;0,MIN('Your Mortgage'!$C$11,I120+J120),0)</x:f>
        <x:v>2054.2210763521375</x:v>
      </x:c>
      <x:c r="L120" s="105" t="n">
        <x:f>IF(I120&gt;0,MIN('Your Mortgage'!$F$6,MAX(0,I120+J120-K120)),0)</x:f>
        <x:v>250</x:v>
      </x:c>
      <x:c r="M120" s="105" t="n">
        <x:f>IF(AND(A120='Your Mortgage'!$F$8,I120&gt;0),MIN('Your Mortgage'!$F$7,MAX(0,I120+J120-K120-L120)),0)</x:f>
        <x:v>0</x:v>
      </x:c>
      <x:c r="N120" s="105" t="n">
        <x:f>K120+L120+M120</x:f>
        <x:v>2304.2210763521375</x:v>
      </x:c>
      <x:c r="O120" s="105" t="n">
        <x:f>MAX(0,N120-J120)</x:f>
        <x:v>1053.6799208084747</x:v>
      </x:c>
      <x:c r="P120" s="105" t="n">
        <x:f>MAX(0,I120-O120)</x:f>
        <x:v>229815.45648725235</x:v>
      </x:c>
      <x:c r="Q120" s="106" t="n">
        <x:f>X119</x:f>
        <x:v>200258.03573929562</x:v>
      </x:c>
      <x:c r="R120" s="106" t="n">
        <x:f>IF(Q120&gt;0,Q120*'Your Mortgage'!$C$7/12,0)</x:f>
        <x:v>1084.7310269211846</x:v>
      </x:c>
      <x:c r="S120" s="106" t="n">
        <x:f>IF(Q120&gt;0,MIN('Your Mortgage'!$C$11,Q120+R120),0)</x:f>
        <x:v>2054.2210763521375</x:v>
      </x:c>
      <x:c r="T120" s="106" t="n">
        <x:f>IF(Q120&gt;0,MIN('Your Mortgage'!$I$6,MAX(0,Q120+R120-S120)),0)</x:f>
        <x:v>500</x:v>
      </x:c>
      <x:c r="U120" s="106" t="n">
        <x:f>IF(AND(A120='Your Mortgage'!$I$8,Q120&gt;0),MIN('Your Mortgage'!$I$7,MAX(0,Q120+R120-S120-T120)),0)</x:f>
        <x:v>0</x:v>
      </x:c>
      <x:c r="V120" s="106" t="n">
        <x:f>S120+T120+U120</x:f>
        <x:v>2554.2210763521375</x:v>
      </x:c>
      <x:c r="W120" s="106" t="n">
        <x:f>MAX(0,V120-R120)</x:f>
        <x:v>1469.490049430953</x:v>
      </x:c>
      <x:c r="X120" s="106" t="n">
        <x:f>MAX(0,Q120-W120)</x:f>
        <x:v>198788.54568986467</x:v>
      </x:c>
      <x:c r="Y120" s="1"/>
      <x:c r="Z120" s="1"/>
    </x:row>
    <x:row r="121">
      <x:c r="A121" s="100" t="n">
        <x:f>A120+1</x:f>
        <x:v>116</x:v>
      </x:c>
      <x:c r="B121" s="103" t="n">
        <x:f>EDATE(B120,1)</x:f>
        <x:v>49735</x:v>
      </x:c>
      <x:c r="C121" s="104" t="n">
        <x:f>H120</x:f>
        <x:v>278286.3746072826</x:v>
      </x:c>
      <x:c r="D121" s="104" t="n">
        <x:f>IF(C121&gt;0,C121*'Your Mortgage'!$C$7/12,0)</x:f>
        <x:v>1507.3845291227808</x:v>
      </x:c>
      <x:c r="E121" s="104" t="n">
        <x:f>IF(C121&gt;0,MIN('Your Mortgage'!$C$11,C121+D121),0)</x:f>
        <x:v>2054.2210763521375</x:v>
      </x:c>
      <x:c r="F121" s="104" t="n">
        <x:f>E121</x:f>
        <x:v>2054.2210763521375</x:v>
      </x:c>
      <x:c r="G121" s="104" t="n">
        <x:f>MAX(0,F121-D121)</x:f>
        <x:v>546.8365472293567</x:v>
      </x:c>
      <x:c r="H121" s="104" t="n">
        <x:f>MAX(0,C121-G121)</x:f>
        <x:v>277739.5380600532</x:v>
      </x:c>
      <x:c r="I121" s="105" t="n">
        <x:f>P120</x:f>
        <x:v>229815.45648725235</x:v>
      </x:c>
      <x:c r="J121" s="105" t="n">
        <x:f>IF(I121&gt;0,I121*'Your Mortgage'!$C$7/12,0)</x:f>
        <x:v>1244.8337226392835</x:v>
      </x:c>
      <x:c r="K121" s="105" t="n">
        <x:f>IF(I121&gt;0,MIN('Your Mortgage'!$C$11,I121+J121),0)</x:f>
        <x:v>2054.2210763521375</x:v>
      </x:c>
      <x:c r="L121" s="105" t="n">
        <x:f>IF(I121&gt;0,MIN('Your Mortgage'!$F$6,MAX(0,I121+J121-K121)),0)</x:f>
        <x:v>250</x:v>
      </x:c>
      <x:c r="M121" s="105" t="n">
        <x:f>IF(AND(A121='Your Mortgage'!$F$8,I121&gt;0),MIN('Your Mortgage'!$F$7,MAX(0,I121+J121-K121-L121)),0)</x:f>
        <x:v>0</x:v>
      </x:c>
      <x:c r="N121" s="105" t="n">
        <x:f>K121+L121+M121</x:f>
        <x:v>2304.2210763521375</x:v>
      </x:c>
      <x:c r="O121" s="105" t="n">
        <x:f>MAX(0,N121-J121)</x:f>
        <x:v>1059.387353712854</x:v>
      </x:c>
      <x:c r="P121" s="105" t="n">
        <x:f>MAX(0,I121-O121)</x:f>
        <x:v>228756.06913353948</x:v>
      </x:c>
      <x:c r="Q121" s="106" t="n">
        <x:f>X120</x:f>
        <x:v>198788.54568986467</x:v>
      </x:c>
      <x:c r="R121" s="106" t="n">
        <x:f>IF(Q121&gt;0,Q121*'Your Mortgage'!$C$7/12,0)</x:f>
        <x:v>1076.7712891534336</x:v>
      </x:c>
      <x:c r="S121" s="106" t="n">
        <x:f>IF(Q121&gt;0,MIN('Your Mortgage'!$C$11,Q121+R121),0)</x:f>
        <x:v>2054.2210763521375</x:v>
      </x:c>
      <x:c r="T121" s="106" t="n">
        <x:f>IF(Q121&gt;0,MIN('Your Mortgage'!$I$6,MAX(0,Q121+R121-S121)),0)</x:f>
        <x:v>500</x:v>
      </x:c>
      <x:c r="U121" s="106" t="n">
        <x:f>IF(AND(A121='Your Mortgage'!$I$8,Q121&gt;0),MIN('Your Mortgage'!$I$7,MAX(0,Q121+R121-S121-T121)),0)</x:f>
        <x:v>0</x:v>
      </x:c>
      <x:c r="V121" s="106" t="n">
        <x:f>S121+T121+U121</x:f>
        <x:v>2554.2210763521375</x:v>
      </x:c>
      <x:c r="W121" s="106" t="n">
        <x:f>MAX(0,V121-R121)</x:f>
        <x:v>1477.449787198704</x:v>
      </x:c>
      <x:c r="X121" s="106" t="n">
        <x:f>MAX(0,Q121-W121)</x:f>
        <x:v>197311.09590266595</x:v>
      </x:c>
      <x:c r="Y121" s="1"/>
      <x:c r="Z121" s="1"/>
    </x:row>
    <x:row r="122">
      <x:c r="A122" s="100" t="n">
        <x:f>A121+1</x:f>
        <x:v>117</x:v>
      </x:c>
      <x:c r="B122" s="103" t="n">
        <x:f>EDATE(B121,1)</x:f>
        <x:v>49766</x:v>
      </x:c>
      <x:c r="C122" s="104" t="n">
        <x:f>H121</x:f>
        <x:v>277739.5380600532</x:v>
      </x:c>
      <x:c r="D122" s="104" t="n">
        <x:f>IF(C122&gt;0,C122*'Your Mortgage'!$C$7/12,0)</x:f>
        <x:v>1504.422497825288</x:v>
      </x:c>
      <x:c r="E122" s="104" t="n">
        <x:f>IF(C122&gt;0,MIN('Your Mortgage'!$C$11,C122+D122),0)</x:f>
        <x:v>2054.2210763521375</x:v>
      </x:c>
      <x:c r="F122" s="104" t="n">
        <x:f>E122</x:f>
        <x:v>2054.2210763521375</x:v>
      </x:c>
      <x:c r="G122" s="104" t="n">
        <x:f>MAX(0,F122-D122)</x:f>
        <x:v>549.7985785268495</x:v>
      </x:c>
      <x:c r="H122" s="104" t="n">
        <x:f>MAX(0,C122-G122)</x:f>
        <x:v>277189.73948152637</x:v>
      </x:c>
      <x:c r="I122" s="105" t="n">
        <x:f>P121</x:f>
        <x:v>228756.06913353948</x:v>
      </x:c>
      <x:c r="J122" s="105" t="n">
        <x:f>IF(I122&gt;0,I122*'Your Mortgage'!$C$7/12,0)</x:f>
        <x:v>1239.095374473339</x:v>
      </x:c>
      <x:c r="K122" s="105" t="n">
        <x:f>IF(I122&gt;0,MIN('Your Mortgage'!$C$11,I122+J122),0)</x:f>
        <x:v>2054.2210763521375</x:v>
      </x:c>
      <x:c r="L122" s="105" t="n">
        <x:f>IF(I122&gt;0,MIN('Your Mortgage'!$F$6,MAX(0,I122+J122-K122)),0)</x:f>
        <x:v>250</x:v>
      </x:c>
      <x:c r="M122" s="105" t="n">
        <x:f>IF(AND(A122='Your Mortgage'!$F$8,I122&gt;0),MIN('Your Mortgage'!$F$7,MAX(0,I122+J122-K122-L122)),0)</x:f>
        <x:v>0</x:v>
      </x:c>
      <x:c r="N122" s="105" t="n">
        <x:f>K122+L122+M122</x:f>
        <x:v>2304.2210763521375</x:v>
      </x:c>
      <x:c r="O122" s="105" t="n">
        <x:f>MAX(0,N122-J122)</x:f>
        <x:v>1065.1257018787985</x:v>
      </x:c>
      <x:c r="P122" s="105" t="n">
        <x:f>MAX(0,I122-O122)</x:f>
        <x:v>227690.94343166068</x:v>
      </x:c>
      <x:c r="Q122" s="106" t="n">
        <x:f>X121</x:f>
        <x:v>197311.09590266595</x:v>
      </x:c>
      <x:c r="R122" s="106" t="n">
        <x:f>IF(Q122&gt;0,Q122*'Your Mortgage'!$C$7/12,0)</x:f>
        <x:v>1068.7684361394406</x:v>
      </x:c>
      <x:c r="S122" s="106" t="n">
        <x:f>IF(Q122&gt;0,MIN('Your Mortgage'!$C$11,Q122+R122),0)</x:f>
        <x:v>2054.2210763521375</x:v>
      </x:c>
      <x:c r="T122" s="106" t="n">
        <x:f>IF(Q122&gt;0,MIN('Your Mortgage'!$I$6,MAX(0,Q122+R122-S122)),0)</x:f>
        <x:v>500</x:v>
      </x:c>
      <x:c r="U122" s="106" t="n">
        <x:f>IF(AND(A122='Your Mortgage'!$I$8,Q122&gt;0),MIN('Your Mortgage'!$I$7,MAX(0,Q122+R122-S122-T122)),0)</x:f>
        <x:v>0</x:v>
      </x:c>
      <x:c r="V122" s="106" t="n">
        <x:f>S122+T122+U122</x:f>
        <x:v>2554.2210763521375</x:v>
      </x:c>
      <x:c r="W122" s="106" t="n">
        <x:f>MAX(0,V122-R122)</x:f>
        <x:v>1485.452640212697</x:v>
      </x:c>
      <x:c r="X122" s="106" t="n">
        <x:f>MAX(0,Q122-W122)</x:f>
        <x:v>195825.64326245326</x:v>
      </x:c>
      <x:c r="Y122" s="1"/>
      <x:c r="Z122" s="1"/>
    </x:row>
    <x:row r="123">
      <x:c r="A123" s="100" t="n">
        <x:f>A122+1</x:f>
        <x:v>118</x:v>
      </x:c>
      <x:c r="B123" s="103" t="n">
        <x:f>EDATE(B122,1)</x:f>
        <x:v>49796</x:v>
      </x:c>
      <x:c r="C123" s="104" t="n">
        <x:f>H122</x:f>
        <x:v>277189.73948152637</x:v>
      </x:c>
      <x:c r="D123" s="104" t="n">
        <x:f>IF(C123&gt;0,C123*'Your Mortgage'!$C$7/12,0)</x:f>
        <x:v>1501.4444221916012</x:v>
      </x:c>
      <x:c r="E123" s="104" t="n">
        <x:f>IF(C123&gt;0,MIN('Your Mortgage'!$C$11,C123+D123),0)</x:f>
        <x:v>2054.2210763521375</x:v>
      </x:c>
      <x:c r="F123" s="104" t="n">
        <x:f>E123</x:f>
        <x:v>2054.2210763521375</x:v>
      </x:c>
      <x:c r="G123" s="104" t="n">
        <x:f>MAX(0,F123-D123)</x:f>
        <x:v>552.7766541605363</x:v>
      </x:c>
      <x:c r="H123" s="104" t="n">
        <x:f>MAX(0,C123-G123)</x:f>
        <x:v>276636.96282736585</x:v>
      </x:c>
      <x:c r="I123" s="105" t="n">
        <x:f>P122</x:f>
        <x:v>227690.94343166068</x:v>
      </x:c>
      <x:c r="J123" s="105" t="n">
        <x:f>IF(I123&gt;0,I123*'Your Mortgage'!$C$7/12,0)</x:f>
        <x:v>1233.325943588162</x:v>
      </x:c>
      <x:c r="K123" s="105" t="n">
        <x:f>IF(I123&gt;0,MIN('Your Mortgage'!$C$11,I123+J123),0)</x:f>
        <x:v>2054.2210763521375</x:v>
      </x:c>
      <x:c r="L123" s="105" t="n">
        <x:f>IF(I123&gt;0,MIN('Your Mortgage'!$F$6,MAX(0,I123+J123-K123)),0)</x:f>
        <x:v>250</x:v>
      </x:c>
      <x:c r="M123" s="105" t="n">
        <x:f>IF(AND(A123='Your Mortgage'!$F$8,I123&gt;0),MIN('Your Mortgage'!$F$7,MAX(0,I123+J123-K123-L123)),0)</x:f>
        <x:v>0</x:v>
      </x:c>
      <x:c r="N123" s="105" t="n">
        <x:f>K123+L123+M123</x:f>
        <x:v>2304.2210763521375</x:v>
      </x:c>
      <x:c r="O123" s="105" t="n">
        <x:f>MAX(0,N123-J123)</x:f>
        <x:v>1070.8951327639754</x:v>
      </x:c>
      <x:c r="P123" s="105" t="n">
        <x:f>MAX(0,I123-O123)</x:f>
        <x:v>226620.0482988967</x:v>
      </x:c>
      <x:c r="Q123" s="106" t="n">
        <x:f>X122</x:f>
        <x:v>195825.64326245326</x:v>
      </x:c>
      <x:c r="R123" s="106" t="n">
        <x:f>IF(Q123&gt;0,Q123*'Your Mortgage'!$C$7/12,0)</x:f>
        <x:v>1060.7222343382884</x:v>
      </x:c>
      <x:c r="S123" s="106" t="n">
        <x:f>IF(Q123&gt;0,MIN('Your Mortgage'!$C$11,Q123+R123),0)</x:f>
        <x:v>2054.2210763521375</x:v>
      </x:c>
      <x:c r="T123" s="106" t="n">
        <x:f>IF(Q123&gt;0,MIN('Your Mortgage'!$I$6,MAX(0,Q123+R123-S123)),0)</x:f>
        <x:v>500</x:v>
      </x:c>
      <x:c r="U123" s="106" t="n">
        <x:f>IF(AND(A123='Your Mortgage'!$I$8,Q123&gt;0),MIN('Your Mortgage'!$I$7,MAX(0,Q123+R123-S123-T123)),0)</x:f>
        <x:v>0</x:v>
      </x:c>
      <x:c r="V123" s="106" t="n">
        <x:f>S123+T123+U123</x:f>
        <x:v>2554.2210763521375</x:v>
      </x:c>
      <x:c r="W123" s="106" t="n">
        <x:f>MAX(0,V123-R123)</x:f>
        <x:v>1493.498842013849</x:v>
      </x:c>
      <x:c r="X123" s="106" t="n">
        <x:f>MAX(0,Q123-W123)</x:f>
        <x:v>194332.1444204394</x:v>
      </x:c>
      <x:c r="Y123" s="1"/>
      <x:c r="Z123" s="1"/>
    </x:row>
    <x:row r="124">
      <x:c r="A124" s="100" t="n">
        <x:f>A123+1</x:f>
        <x:v>119</x:v>
      </x:c>
      <x:c r="B124" s="103" t="n">
        <x:f>EDATE(B123,1)</x:f>
        <x:v>49827</x:v>
      </x:c>
      <x:c r="C124" s="104" t="n">
        <x:f>H123</x:f>
        <x:v>276636.96282736585</x:v>
      </x:c>
      <x:c r="D124" s="104" t="n">
        <x:f>IF(C124&gt;0,C124*'Your Mortgage'!$C$7/12,0)</x:f>
        <x:v>1498.4502153148985</x:v>
      </x:c>
      <x:c r="E124" s="104" t="n">
        <x:f>IF(C124&gt;0,MIN('Your Mortgage'!$C$11,C124+D124),0)</x:f>
        <x:v>2054.2210763521375</x:v>
      </x:c>
      <x:c r="F124" s="104" t="n">
        <x:f>E124</x:f>
        <x:v>2054.2210763521375</x:v>
      </x:c>
      <x:c r="G124" s="104" t="n">
        <x:f>MAX(0,F124-D124)</x:f>
        <x:v>555.770861037239</x:v>
      </x:c>
      <x:c r="H124" s="104" t="n">
        <x:f>MAX(0,C124-G124)</x:f>
        <x:v>276081.1919663286</x:v>
      </x:c>
      <x:c r="I124" s="105" t="n">
        <x:f>P123</x:f>
        <x:v>226620.0482988967</x:v>
      </x:c>
      <x:c r="J124" s="105" t="n">
        <x:f>IF(I124&gt;0,I124*'Your Mortgage'!$C$7/12,0)</x:f>
        <x:v>1227.525261619024</x:v>
      </x:c>
      <x:c r="K124" s="105" t="n">
        <x:f>IF(I124&gt;0,MIN('Your Mortgage'!$C$11,I124+J124),0)</x:f>
        <x:v>2054.2210763521375</x:v>
      </x:c>
      <x:c r="L124" s="105" t="n">
        <x:f>IF(I124&gt;0,MIN('Your Mortgage'!$F$6,MAX(0,I124+J124-K124)),0)</x:f>
        <x:v>250</x:v>
      </x:c>
      <x:c r="M124" s="105" t="n">
        <x:f>IF(AND(A124='Your Mortgage'!$F$8,I124&gt;0),MIN('Your Mortgage'!$F$7,MAX(0,I124+J124-K124-L124)),0)</x:f>
        <x:v>0</x:v>
      </x:c>
      <x:c r="N124" s="105" t="n">
        <x:f>K124+L124+M124</x:f>
        <x:v>2304.2210763521375</x:v>
      </x:c>
      <x:c r="O124" s="105" t="n">
        <x:f>MAX(0,N124-J124)</x:f>
        <x:v>1076.6958147331136</x:v>
      </x:c>
      <x:c r="P124" s="105" t="n">
        <x:f>MAX(0,I124-O124)</x:f>
        <x:v>225543.3524841636</x:v>
      </x:c>
      <x:c r="Q124" s="106" t="n">
        <x:f>X123</x:f>
        <x:v>194332.1444204394</x:v>
      </x:c>
      <x:c r="R124" s="106" t="n">
        <x:f>IF(Q124&gt;0,Q124*'Your Mortgage'!$C$7/12,0)</x:f>
        <x:v>1052.632448944047</x:v>
      </x:c>
      <x:c r="S124" s="106" t="n">
        <x:f>IF(Q124&gt;0,MIN('Your Mortgage'!$C$11,Q124+R124),0)</x:f>
        <x:v>2054.2210763521375</x:v>
      </x:c>
      <x:c r="T124" s="106" t="n">
        <x:f>IF(Q124&gt;0,MIN('Your Mortgage'!$I$6,MAX(0,Q124+R124-S124)),0)</x:f>
        <x:v>500</x:v>
      </x:c>
      <x:c r="U124" s="106" t="n">
        <x:f>IF(AND(A124='Your Mortgage'!$I$8,Q124&gt;0),MIN('Your Mortgage'!$I$7,MAX(0,Q124+R124-S124-T124)),0)</x:f>
        <x:v>0</x:v>
      </x:c>
      <x:c r="V124" s="106" t="n">
        <x:f>S124+T124+U124</x:f>
        <x:v>2554.2210763521375</x:v>
      </x:c>
      <x:c r="W124" s="106" t="n">
        <x:f>MAX(0,V124-R124)</x:f>
        <x:v>1501.5886274080906</x:v>
      </x:c>
      <x:c r="X124" s="106" t="n">
        <x:f>MAX(0,Q124-W124)</x:f>
        <x:v>192830.55579303132</x:v>
      </x:c>
      <x:c r="Y124" s="1"/>
      <x:c r="Z124" s="1"/>
    </x:row>
    <x:row r="125">
      <x:c r="A125" s="100" t="n">
        <x:f>A124+1</x:f>
        <x:v>120</x:v>
      </x:c>
      <x:c r="B125" s="103" t="n">
        <x:f>EDATE(B124,1)</x:f>
        <x:v>49857</x:v>
      </x:c>
      <x:c r="C125" s="104" t="n">
        <x:f>H124</x:f>
        <x:v>276081.1919663286</x:v>
      </x:c>
      <x:c r="D125" s="104" t="n">
        <x:f>IF(C125&gt;0,C125*'Your Mortgage'!$C$7/12,0)</x:f>
        <x:v>1495.4397898176132</x:v>
      </x:c>
      <x:c r="E125" s="104" t="n">
        <x:f>IF(C125&gt;0,MIN('Your Mortgage'!$C$11,C125+D125),0)</x:f>
        <x:v>2054.2210763521375</x:v>
      </x:c>
      <x:c r="F125" s="104" t="n">
        <x:f>E125</x:f>
        <x:v>2054.2210763521375</x:v>
      </x:c>
      <x:c r="G125" s="104" t="n">
        <x:f>MAX(0,F125-D125)</x:f>
        <x:v>558.7812865345243</x:v>
      </x:c>
      <x:c r="H125" s="104" t="n">
        <x:f>MAX(0,C125-G125)</x:f>
        <x:v>275522.4106797941</x:v>
      </x:c>
      <x:c r="I125" s="105" t="n">
        <x:f>P124</x:f>
        <x:v>225543.3524841636</x:v>
      </x:c>
      <x:c r="J125" s="105" t="n">
        <x:f>IF(I125&gt;0,I125*'Your Mortgage'!$C$7/12,0)</x:f>
        <x:v>1221.6931592892195</x:v>
      </x:c>
      <x:c r="K125" s="105" t="n">
        <x:f>IF(I125&gt;0,MIN('Your Mortgage'!$C$11,I125+J125),0)</x:f>
        <x:v>2054.2210763521375</x:v>
      </x:c>
      <x:c r="L125" s="105" t="n">
        <x:f>IF(I125&gt;0,MIN('Your Mortgage'!$F$6,MAX(0,I125+J125-K125)),0)</x:f>
        <x:v>250</x:v>
      </x:c>
      <x:c r="M125" s="105" t="n">
        <x:f>IF(AND(A125='Your Mortgage'!$F$8,I125&gt;0),MIN('Your Mortgage'!$F$7,MAX(0,I125+J125-K125-L125)),0)</x:f>
        <x:v>0</x:v>
      </x:c>
      <x:c r="N125" s="105" t="n">
        <x:f>K125+L125+M125</x:f>
        <x:v>2304.2210763521375</x:v>
      </x:c>
      <x:c r="O125" s="105" t="n">
        <x:f>MAX(0,N125-J125)</x:f>
        <x:v>1082.527917062918</x:v>
      </x:c>
      <x:c r="P125" s="105" t="n">
        <x:f>MAX(0,I125-O125)</x:f>
        <x:v>224460.82456710067</x:v>
      </x:c>
      <x:c r="Q125" s="106" t="n">
        <x:f>X124</x:f>
        <x:v>192830.55579303132</x:v>
      </x:c>
      <x:c r="R125" s="106" t="n">
        <x:f>IF(Q125&gt;0,Q125*'Your Mortgage'!$C$7/12,0)</x:f>
        <x:v>1044.4988438789198</x:v>
      </x:c>
      <x:c r="S125" s="106" t="n">
        <x:f>IF(Q125&gt;0,MIN('Your Mortgage'!$C$11,Q125+R125),0)</x:f>
        <x:v>2054.2210763521375</x:v>
      </x:c>
      <x:c r="T125" s="106" t="n">
        <x:f>IF(Q125&gt;0,MIN('Your Mortgage'!$I$6,MAX(0,Q125+R125-S125)),0)</x:f>
        <x:v>500</x:v>
      </x:c>
      <x:c r="U125" s="106" t="n">
        <x:f>IF(AND(A125='Your Mortgage'!$I$8,Q125&gt;0),MIN('Your Mortgage'!$I$7,MAX(0,Q125+R125-S125-T125)),0)</x:f>
        <x:v>0</x:v>
      </x:c>
      <x:c r="V125" s="106" t="n">
        <x:f>S125+T125+U125</x:f>
        <x:v>2554.2210763521375</x:v>
      </x:c>
      <x:c r="W125" s="106" t="n">
        <x:f>MAX(0,V125-R125)</x:f>
        <x:v>1509.7222324732177</x:v>
      </x:c>
      <x:c r="X125" s="106" t="n">
        <x:f>MAX(0,Q125-W125)</x:f>
        <x:v>191320.8335605581</x:v>
      </x:c>
      <x:c r="Y125" s="1"/>
      <x:c r="Z125" s="1"/>
    </x:row>
    <x:row r="126">
      <x:c r="A126" s="100" t="n">
        <x:f>A125+1</x:f>
        <x:v>121</x:v>
      </x:c>
      <x:c r="B126" s="103" t="n">
        <x:f>EDATE(B125,1)</x:f>
        <x:v>49888</x:v>
      </x:c>
      <x:c r="C126" s="104" t="n">
        <x:f>H125</x:f>
        <x:v>275522.4106797941</x:v>
      </x:c>
      <x:c r="D126" s="104" t="n">
        <x:f>IF(C126&gt;0,C126*'Your Mortgage'!$C$7/12,0)</x:f>
        <x:v>1492.4130578488848</x:v>
      </x:c>
      <x:c r="E126" s="104" t="n">
        <x:f>IF(C126&gt;0,MIN('Your Mortgage'!$C$11,C126+D126),0)</x:f>
        <x:v>2054.2210763521375</x:v>
      </x:c>
      <x:c r="F126" s="104" t="n">
        <x:f>E126</x:f>
        <x:v>2054.2210763521375</x:v>
      </x:c>
      <x:c r="G126" s="104" t="n">
        <x:f>MAX(0,F126-D126)</x:f>
        <x:v>561.8080185032527</x:v>
      </x:c>
      <x:c r="H126" s="104" t="n">
        <x:f>MAX(0,C126-G126)</x:f>
        <x:v>274960.60266129085</x:v>
      </x:c>
      <x:c r="I126" s="105" t="n">
        <x:f>P125</x:f>
        <x:v>224460.82456710067</x:v>
      </x:c>
      <x:c r="J126" s="105" t="n">
        <x:f>IF(I126&gt;0,I126*'Your Mortgage'!$C$7/12,0)</x:f>
        <x:v>1215.8294664051286</x:v>
      </x:c>
      <x:c r="K126" s="105" t="n">
        <x:f>IF(I126&gt;0,MIN('Your Mortgage'!$C$11,I126+J126),0)</x:f>
        <x:v>2054.2210763521375</x:v>
      </x:c>
      <x:c r="L126" s="105" t="n">
        <x:f>IF(I126&gt;0,MIN('Your Mortgage'!$F$6,MAX(0,I126+J126-K126)),0)</x:f>
        <x:v>250</x:v>
      </x:c>
      <x:c r="M126" s="105" t="n">
        <x:f>IF(AND(A126='Your Mortgage'!$F$8,I126&gt;0),MIN('Your Mortgage'!$F$7,MAX(0,I126+J126-K126-L126)),0)</x:f>
        <x:v>0</x:v>
      </x:c>
      <x:c r="N126" s="105" t="n">
        <x:f>K126+L126+M126</x:f>
        <x:v>2304.2210763521375</x:v>
      </x:c>
      <x:c r="O126" s="105" t="n">
        <x:f>MAX(0,N126-J126)</x:f>
        <x:v>1088.3916099470089</x:v>
      </x:c>
      <x:c r="P126" s="105" t="n">
        <x:f>MAX(0,I126-O126)</x:f>
        <x:v>223372.43295715365</x:v>
      </x:c>
      <x:c r="Q126" s="106" t="n">
        <x:f>X125</x:f>
        <x:v>191320.8335605581</x:v>
      </x:c>
      <x:c r="R126" s="106" t="n">
        <x:f>IF(Q126&gt;0,Q126*'Your Mortgage'!$C$7/12,0)</x:f>
        <x:v>1036.3211817863564</x:v>
      </x:c>
      <x:c r="S126" s="106" t="n">
        <x:f>IF(Q126&gt;0,MIN('Your Mortgage'!$C$11,Q126+R126),0)</x:f>
        <x:v>2054.2210763521375</x:v>
      </x:c>
      <x:c r="T126" s="106" t="n">
        <x:f>IF(Q126&gt;0,MIN('Your Mortgage'!$I$6,MAX(0,Q126+R126-S126)),0)</x:f>
        <x:v>500</x:v>
      </x:c>
      <x:c r="U126" s="106" t="n">
        <x:f>IF(AND(A126='Your Mortgage'!$I$8,Q126&gt;0),MIN('Your Mortgage'!$I$7,MAX(0,Q126+R126-S126-T126)),0)</x:f>
        <x:v>0</x:v>
      </x:c>
      <x:c r="V126" s="106" t="n">
        <x:f>S126+T126+U126</x:f>
        <x:v>2554.2210763521375</x:v>
      </x:c>
      <x:c r="W126" s="106" t="n">
        <x:f>MAX(0,V126-R126)</x:f>
        <x:v>1517.899894565781</x:v>
      </x:c>
      <x:c r="X126" s="106" t="n">
        <x:f>MAX(0,Q126-W126)</x:f>
        <x:v>189802.9336659923</x:v>
      </x:c>
      <x:c r="Y126" s="1"/>
      <x:c r="Z126" s="1"/>
    </x:row>
    <x:row r="127">
      <x:c r="A127" s="100" t="n">
        <x:f>A126+1</x:f>
        <x:v>122</x:v>
      </x:c>
      <x:c r="B127" s="103" t="n">
        <x:f>EDATE(B126,1)</x:f>
        <x:v>49919</x:v>
      </x:c>
      <x:c r="C127" s="104" t="n">
        <x:f>H126</x:f>
        <x:v>274960.60266129085</x:v>
      </x:c>
      <x:c r="D127" s="104" t="n">
        <x:f>IF(C127&gt;0,C127*'Your Mortgage'!$C$7/12,0)</x:f>
        <x:v>1489.369931081992</x:v>
      </x:c>
      <x:c r="E127" s="104" t="n">
        <x:f>IF(C127&gt;0,MIN('Your Mortgage'!$C$11,C127+D127),0)</x:f>
        <x:v>2054.2210763521375</x:v>
      </x:c>
      <x:c r="F127" s="104" t="n">
        <x:f>E127</x:f>
        <x:v>2054.2210763521375</x:v>
      </x:c>
      <x:c r="G127" s="104" t="n">
        <x:f>MAX(0,F127-D127)</x:f>
        <x:v>564.8511452701455</x:v>
      </x:c>
      <x:c r="H127" s="104" t="n">
        <x:f>MAX(0,C127-G127)</x:f>
        <x:v>274395.7515160207</x:v>
      </x:c>
      <x:c r="I127" s="105" t="n">
        <x:f>P126</x:f>
        <x:v>223372.43295715365</x:v>
      </x:c>
      <x:c r="J127" s="105" t="n">
        <x:f>IF(I127&gt;0,I127*'Your Mortgage'!$C$7/12,0)</x:f>
        <x:v>1209.934011851249</x:v>
      </x:c>
      <x:c r="K127" s="105" t="n">
        <x:f>IF(I127&gt;0,MIN('Your Mortgage'!$C$11,I127+J127),0)</x:f>
        <x:v>2054.2210763521375</x:v>
      </x:c>
      <x:c r="L127" s="105" t="n">
        <x:f>IF(I127&gt;0,MIN('Your Mortgage'!$F$6,MAX(0,I127+J127-K127)),0)</x:f>
        <x:v>250</x:v>
      </x:c>
      <x:c r="M127" s="105" t="n">
        <x:f>IF(AND(A127='Your Mortgage'!$F$8,I127&gt;0),MIN('Your Mortgage'!$F$7,MAX(0,I127+J127-K127-L127)),0)</x:f>
        <x:v>0</x:v>
      </x:c>
      <x:c r="N127" s="105" t="n">
        <x:f>K127+L127+M127</x:f>
        <x:v>2304.2210763521375</x:v>
      </x:c>
      <x:c r="O127" s="105" t="n">
        <x:f>MAX(0,N127-J127)</x:f>
        <x:v>1094.2870645008886</x:v>
      </x:c>
      <x:c r="P127" s="105" t="n">
        <x:f>MAX(0,I127-O127)</x:f>
        <x:v>222278.14589265277</x:v>
      </x:c>
      <x:c r="Q127" s="106" t="n">
        <x:f>X126</x:f>
        <x:v>189802.9336659923</x:v>
      </x:c>
      <x:c r="R127" s="106" t="n">
        <x:f>IF(Q127&gt;0,Q127*'Your Mortgage'!$C$7/12,0)</x:f>
        <x:v>1028.099224024125</x:v>
      </x:c>
      <x:c r="S127" s="106" t="n">
        <x:f>IF(Q127&gt;0,MIN('Your Mortgage'!$C$11,Q127+R127),0)</x:f>
        <x:v>2054.2210763521375</x:v>
      </x:c>
      <x:c r="T127" s="106" t="n">
        <x:f>IF(Q127&gt;0,MIN('Your Mortgage'!$I$6,MAX(0,Q127+R127-S127)),0)</x:f>
        <x:v>500</x:v>
      </x:c>
      <x:c r="U127" s="106" t="n">
        <x:f>IF(AND(A127='Your Mortgage'!$I$8,Q127&gt;0),MIN('Your Mortgage'!$I$7,MAX(0,Q127+R127-S127-T127)),0)</x:f>
        <x:v>0</x:v>
      </x:c>
      <x:c r="V127" s="106" t="n">
        <x:f>S127+T127+U127</x:f>
        <x:v>2554.2210763521375</x:v>
      </x:c>
      <x:c r="W127" s="106" t="n">
        <x:f>MAX(0,V127-R127)</x:f>
        <x:v>1526.1218523280124</x:v>
      </x:c>
      <x:c r="X127" s="106" t="n">
        <x:f>MAX(0,Q127-W127)</x:f>
        <x:v>188276.8118136643</x:v>
      </x:c>
      <x:c r="Y127" s="1"/>
      <x:c r="Z127" s="1"/>
    </x:row>
    <x:row r="128">
      <x:c r="A128" s="100" t="n">
        <x:f>A127+1</x:f>
        <x:v>123</x:v>
      </x:c>
      <x:c r="B128" s="103" t="n">
        <x:f>EDATE(B127,1)</x:f>
        <x:v>49949</x:v>
      </x:c>
      <x:c r="C128" s="104" t="n">
        <x:f>H127</x:f>
        <x:v>274395.7515160207</x:v>
      </x:c>
      <x:c r="D128" s="104" t="n">
        <x:f>IF(C128&gt;0,C128*'Your Mortgage'!$C$7/12,0)</x:f>
        <x:v>1486.3103207117786</x:v>
      </x:c>
      <x:c r="E128" s="104" t="n">
        <x:f>IF(C128&gt;0,MIN('Your Mortgage'!$C$11,C128+D128),0)</x:f>
        <x:v>2054.2210763521375</x:v>
      </x:c>
      <x:c r="F128" s="104" t="n">
        <x:f>E128</x:f>
        <x:v>2054.2210763521375</x:v>
      </x:c>
      <x:c r="G128" s="104" t="n">
        <x:f>MAX(0,F128-D128)</x:f>
        <x:v>567.910755640359</x:v>
      </x:c>
      <x:c r="H128" s="104" t="n">
        <x:f>MAX(0,C128-G128)</x:f>
        <x:v>273827.8407603803</x:v>
      </x:c>
      <x:c r="I128" s="105" t="n">
        <x:f>P127</x:f>
        <x:v>222278.14589265277</x:v>
      </x:c>
      <x:c r="J128" s="105" t="n">
        <x:f>IF(I128&gt;0,I128*'Your Mortgage'!$C$7/12,0)</x:f>
        <x:v>1204.0066235852025</x:v>
      </x:c>
      <x:c r="K128" s="105" t="n">
        <x:f>IF(I128&gt;0,MIN('Your Mortgage'!$C$11,I128+J128),0)</x:f>
        <x:v>2054.2210763521375</x:v>
      </x:c>
      <x:c r="L128" s="105" t="n">
        <x:f>IF(I128&gt;0,MIN('Your Mortgage'!$F$6,MAX(0,I128+J128-K128)),0)</x:f>
        <x:v>250</x:v>
      </x:c>
      <x:c r="M128" s="105" t="n">
        <x:f>IF(AND(A128='Your Mortgage'!$F$8,I128&gt;0),MIN('Your Mortgage'!$F$7,MAX(0,I128+J128-K128-L128)),0)</x:f>
        <x:v>0</x:v>
      </x:c>
      <x:c r="N128" s="105" t="n">
        <x:f>K128+L128+M128</x:f>
        <x:v>2304.2210763521375</x:v>
      </x:c>
      <x:c r="O128" s="105" t="n">
        <x:f>MAX(0,N128-J128)</x:f>
        <x:v>1100.214452766935</x:v>
      </x:c>
      <x:c r="P128" s="105" t="n">
        <x:f>MAX(0,I128-O128)</x:f>
        <x:v>221177.93143988584</x:v>
      </x:c>
      <x:c r="Q128" s="106" t="n">
        <x:f>X127</x:f>
        <x:v>188276.8118136643</x:v>
      </x:c>
      <x:c r="R128" s="106" t="n">
        <x:f>IF(Q128&gt;0,Q128*'Your Mortgage'!$C$7/12,0)</x:f>
        <x:v>1019.8327306573483</x:v>
      </x:c>
      <x:c r="S128" s="106" t="n">
        <x:f>IF(Q128&gt;0,MIN('Your Mortgage'!$C$11,Q128+R128),0)</x:f>
        <x:v>2054.2210763521375</x:v>
      </x:c>
      <x:c r="T128" s="106" t="n">
        <x:f>IF(Q128&gt;0,MIN('Your Mortgage'!$I$6,MAX(0,Q128+R128-S128)),0)</x:f>
        <x:v>500</x:v>
      </x:c>
      <x:c r="U128" s="106" t="n">
        <x:f>IF(AND(A128='Your Mortgage'!$I$8,Q128&gt;0),MIN('Your Mortgage'!$I$7,MAX(0,Q128+R128-S128-T128)),0)</x:f>
        <x:v>0</x:v>
      </x:c>
      <x:c r="V128" s="106" t="n">
        <x:f>S128+T128+U128</x:f>
        <x:v>2554.2210763521375</x:v>
      </x:c>
      <x:c r="W128" s="106" t="n">
        <x:f>MAX(0,V128-R128)</x:f>
        <x:v>1534.3883456947892</x:v>
      </x:c>
      <x:c r="X128" s="106" t="n">
        <x:f>MAX(0,Q128-W128)</x:f>
        <x:v>186742.42346796952</x:v>
      </x:c>
      <x:c r="Y128" s="1"/>
      <x:c r="Z128" s="1"/>
    </x:row>
    <x:row r="129">
      <x:c r="A129" s="100" t="n">
        <x:f>A128+1</x:f>
        <x:v>124</x:v>
      </x:c>
      <x:c r="B129" s="103" t="n">
        <x:f>EDATE(B128,1)</x:f>
        <x:v>49980</x:v>
      </x:c>
      <x:c r="C129" s="104" t="n">
        <x:f>H128</x:f>
        <x:v>273827.8407603803</x:v>
      </x:c>
      <x:c r="D129" s="104" t="n">
        <x:f>IF(C129&gt;0,C129*'Your Mortgage'!$C$7/12,0)</x:f>
        <x:v>1483.2341374520602</x:v>
      </x:c>
      <x:c r="E129" s="104" t="n">
        <x:f>IF(C129&gt;0,MIN('Your Mortgage'!$C$11,C129+D129),0)</x:f>
        <x:v>2054.2210763521375</x:v>
      </x:c>
      <x:c r="F129" s="104" t="n">
        <x:f>E129</x:f>
        <x:v>2054.2210763521375</x:v>
      </x:c>
      <x:c r="G129" s="104" t="n">
        <x:f>MAX(0,F129-D129)</x:f>
        <x:v>570.9869389000773</x:v>
      </x:c>
      <x:c r="H129" s="104" t="n">
        <x:f>MAX(0,C129-G129)</x:f>
        <x:v>273256.85382148024</x:v>
      </x:c>
      <x:c r="I129" s="105" t="n">
        <x:f>P128</x:f>
        <x:v>221177.93143988584</x:v>
      </x:c>
      <x:c r="J129" s="105" t="n">
        <x:f>IF(I129&gt;0,I129*'Your Mortgage'!$C$7/12,0)</x:f>
        <x:v>1198.047128632715</x:v>
      </x:c>
      <x:c r="K129" s="105" t="n">
        <x:f>IF(I129&gt;0,MIN('Your Mortgage'!$C$11,I129+J129),0)</x:f>
        <x:v>2054.2210763521375</x:v>
      </x:c>
      <x:c r="L129" s="105" t="n">
        <x:f>IF(I129&gt;0,MIN('Your Mortgage'!$F$6,MAX(0,I129+J129-K129)),0)</x:f>
        <x:v>250</x:v>
      </x:c>
      <x:c r="M129" s="105" t="n">
        <x:f>IF(AND(A129='Your Mortgage'!$F$8,I129&gt;0),MIN('Your Mortgage'!$F$7,MAX(0,I129+J129-K129-L129)),0)</x:f>
        <x:v>0</x:v>
      </x:c>
      <x:c r="N129" s="105" t="n">
        <x:f>K129+L129+M129</x:f>
        <x:v>2304.2210763521375</x:v>
      </x:c>
      <x:c r="O129" s="105" t="n">
        <x:f>MAX(0,N129-J129)</x:f>
        <x:v>1106.1739477194226</x:v>
      </x:c>
      <x:c r="P129" s="105" t="n">
        <x:f>MAX(0,I129-O129)</x:f>
        <x:v>220071.75749216642</x:v>
      </x:c>
      <x:c r="Q129" s="106" t="n">
        <x:f>X128</x:f>
        <x:v>186742.42346796952</x:v>
      </x:c>
      <x:c r="R129" s="106" t="n">
        <x:f>IF(Q129&gt;0,Q129*'Your Mortgage'!$C$7/12,0)</x:f>
        <x:v>1011.5214604515016</x:v>
      </x:c>
      <x:c r="S129" s="106" t="n">
        <x:f>IF(Q129&gt;0,MIN('Your Mortgage'!$C$11,Q129+R129),0)</x:f>
        <x:v>2054.2210763521375</x:v>
      </x:c>
      <x:c r="T129" s="106" t="n">
        <x:f>IF(Q129&gt;0,MIN('Your Mortgage'!$I$6,MAX(0,Q129+R129-S129)),0)</x:f>
        <x:v>500</x:v>
      </x:c>
      <x:c r="U129" s="106" t="n">
        <x:f>IF(AND(A129='Your Mortgage'!$I$8,Q129&gt;0),MIN('Your Mortgage'!$I$7,MAX(0,Q129+R129-S129-T129)),0)</x:f>
        <x:v>0</x:v>
      </x:c>
      <x:c r="V129" s="106" t="n">
        <x:f>S129+T129+U129</x:f>
        <x:v>2554.2210763521375</x:v>
      </x:c>
      <x:c r="W129" s="106" t="n">
        <x:f>MAX(0,V129-R129)</x:f>
        <x:v>1542.6996159006358</x:v>
      </x:c>
      <x:c r="X129" s="106" t="n">
        <x:f>MAX(0,Q129-W129)</x:f>
        <x:v>185199.72385206888</x:v>
      </x:c>
      <x:c r="Y129" s="1"/>
      <x:c r="Z129" s="1"/>
    </x:row>
    <x:row r="130">
      <x:c r="A130" s="100" t="n">
        <x:f>A129+1</x:f>
        <x:v>125</x:v>
      </x:c>
      <x:c r="B130" s="103" t="n">
        <x:f>EDATE(B129,1)</x:f>
        <x:v>50010</x:v>
      </x:c>
      <x:c r="C130" s="104" t="n">
        <x:f>H129</x:f>
        <x:v>273256.85382148024</x:v>
      </x:c>
      <x:c r="D130" s="104" t="n">
        <x:f>IF(C130&gt;0,C130*'Your Mortgage'!$C$7/12,0)</x:f>
        <x:v>1480.1412915330181</x:v>
      </x:c>
      <x:c r="E130" s="104" t="n">
        <x:f>IF(C130&gt;0,MIN('Your Mortgage'!$C$11,C130+D130),0)</x:f>
        <x:v>2054.2210763521375</x:v>
      </x:c>
      <x:c r="F130" s="104" t="n">
        <x:f>E130</x:f>
        <x:v>2054.2210763521375</x:v>
      </x:c>
      <x:c r="G130" s="104" t="n">
        <x:f>MAX(0,F130-D130)</x:f>
        <x:v>574.0797848191194</x:v>
      </x:c>
      <x:c r="H130" s="104" t="n">
        <x:f>MAX(0,C130-G130)</x:f>
        <x:v>272682.77403666114</x:v>
      </x:c>
      <x:c r="I130" s="105" t="n">
        <x:f>P129</x:f>
        <x:v>220071.75749216642</x:v>
      </x:c>
      <x:c r="J130" s="105" t="n">
        <x:f>IF(I130&gt;0,I130*'Your Mortgage'!$C$7/12,0)</x:f>
        <x:v>1192.0553530825682</x:v>
      </x:c>
      <x:c r="K130" s="105" t="n">
        <x:f>IF(I130&gt;0,MIN('Your Mortgage'!$C$11,I130+J130),0)</x:f>
        <x:v>2054.2210763521375</x:v>
      </x:c>
      <x:c r="L130" s="105" t="n">
        <x:f>IF(I130&gt;0,MIN('Your Mortgage'!$F$6,MAX(0,I130+J130-K130)),0)</x:f>
        <x:v>250</x:v>
      </x:c>
      <x:c r="M130" s="105" t="n">
        <x:f>IF(AND(A130='Your Mortgage'!$F$8,I130&gt;0),MIN('Your Mortgage'!$F$7,MAX(0,I130+J130-K130-L130)),0)</x:f>
        <x:v>0</x:v>
      </x:c>
      <x:c r="N130" s="105" t="n">
        <x:f>K130+L130+M130</x:f>
        <x:v>2304.2210763521375</x:v>
      </x:c>
      <x:c r="O130" s="105" t="n">
        <x:f>MAX(0,N130-J130)</x:f>
        <x:v>1112.1657232695693</x:v>
      </x:c>
      <x:c r="P130" s="105" t="n">
        <x:f>MAX(0,I130-O130)</x:f>
        <x:v>218959.59176889685</x:v>
      </x:c>
      <x:c r="Q130" s="106" t="n">
        <x:f>X129</x:f>
        <x:v>185199.72385206888</x:v>
      </x:c>
      <x:c r="R130" s="106" t="n">
        <x:f>IF(Q130&gt;0,Q130*'Your Mortgage'!$C$7/12,0)</x:f>
        <x:v>1003.1651708653732</x:v>
      </x:c>
      <x:c r="S130" s="106" t="n">
        <x:f>IF(Q130&gt;0,MIN('Your Mortgage'!$C$11,Q130+R130),0)</x:f>
        <x:v>2054.2210763521375</x:v>
      </x:c>
      <x:c r="T130" s="106" t="n">
        <x:f>IF(Q130&gt;0,MIN('Your Mortgage'!$I$6,MAX(0,Q130+R130-S130)),0)</x:f>
        <x:v>500</x:v>
      </x:c>
      <x:c r="U130" s="106" t="n">
        <x:f>IF(AND(A130='Your Mortgage'!$I$8,Q130&gt;0),MIN('Your Mortgage'!$I$7,MAX(0,Q130+R130-S130-T130)),0)</x:f>
        <x:v>0</x:v>
      </x:c>
      <x:c r="V130" s="106" t="n">
        <x:f>S130+T130+U130</x:f>
        <x:v>2554.2210763521375</x:v>
      </x:c>
      <x:c r="W130" s="106" t="n">
        <x:f>MAX(0,V130-R130)</x:f>
        <x:v>1551.0559054867645</x:v>
      </x:c>
      <x:c r="X130" s="106" t="n">
        <x:f>MAX(0,Q130-W130)</x:f>
        <x:v>183648.6679465821</x:v>
      </x:c>
      <x:c r="Y130" s="1"/>
      <x:c r="Z130" s="1"/>
    </x:row>
    <x:row r="131">
      <x:c r="A131" s="100" t="n">
        <x:f>A130+1</x:f>
        <x:v>126</x:v>
      </x:c>
      <x:c r="B131" s="103" t="n">
        <x:f>EDATE(B130,1)</x:f>
        <x:v>50041</x:v>
      </x:c>
      <x:c r="C131" s="104" t="n">
        <x:f>H130</x:f>
        <x:v>272682.77403666114</x:v>
      </x:c>
      <x:c r="D131" s="104" t="n">
        <x:f>IF(C131&gt;0,C131*'Your Mortgage'!$C$7/12,0)</x:f>
        <x:v>1477.0316926985813</x:v>
      </x:c>
      <x:c r="E131" s="104" t="n">
        <x:f>IF(C131&gt;0,MIN('Your Mortgage'!$C$11,C131+D131),0)</x:f>
        <x:v>2054.2210763521375</x:v>
      </x:c>
      <x:c r="F131" s="104" t="n">
        <x:f>E131</x:f>
        <x:v>2054.2210763521375</x:v>
      </x:c>
      <x:c r="G131" s="104" t="n">
        <x:f>MAX(0,F131-D131)</x:f>
        <x:v>577.1893836535562</x:v>
      </x:c>
      <x:c r="H131" s="104" t="n">
        <x:f>MAX(0,C131-G131)</x:f>
        <x:v>272105.58465300757</x:v>
      </x:c>
      <x:c r="I131" s="105" t="n">
        <x:f>P130</x:f>
        <x:v>218959.59176889685</x:v>
      </x:c>
      <x:c r="J131" s="105" t="n">
        <x:f>IF(I131&gt;0,I131*'Your Mortgage'!$C$7/12,0)</x:f>
        <x:v>1186.0311220815247</x:v>
      </x:c>
      <x:c r="K131" s="105" t="n">
        <x:f>IF(I131&gt;0,MIN('Your Mortgage'!$C$11,I131+J131),0)</x:f>
        <x:v>2054.2210763521375</x:v>
      </x:c>
      <x:c r="L131" s="105" t="n">
        <x:f>IF(I131&gt;0,MIN('Your Mortgage'!$F$6,MAX(0,I131+J131-K131)),0)</x:f>
        <x:v>250</x:v>
      </x:c>
      <x:c r="M131" s="105" t="n">
        <x:f>IF(AND(A131='Your Mortgage'!$F$8,I131&gt;0),MIN('Your Mortgage'!$F$7,MAX(0,I131+J131-K131-L131)),0)</x:f>
        <x:v>0</x:v>
      </x:c>
      <x:c r="N131" s="105" t="n">
        <x:f>K131+L131+M131</x:f>
        <x:v>2304.2210763521375</x:v>
      </x:c>
      <x:c r="O131" s="105" t="n">
        <x:f>MAX(0,N131-J131)</x:f>
        <x:v>1118.1899542706128</x:v>
      </x:c>
      <x:c r="P131" s="105" t="n">
        <x:f>MAX(0,I131-O131)</x:f>
        <x:v>217841.40181462624</x:v>
      </x:c>
      <x:c r="Q131" s="106" t="n">
        <x:f>X130</x:f>
        <x:v>183648.6679465821</x:v>
      </x:c>
      <x:c r="R131" s="106" t="n">
        <x:f>IF(Q131&gt;0,Q131*'Your Mortgage'!$C$7/12,0)</x:f>
        <x:v>994.7636180439864</x:v>
      </x:c>
      <x:c r="S131" s="106" t="n">
        <x:f>IF(Q131&gt;0,MIN('Your Mortgage'!$C$11,Q131+R131),0)</x:f>
        <x:v>2054.2210763521375</x:v>
      </x:c>
      <x:c r="T131" s="106" t="n">
        <x:f>IF(Q131&gt;0,MIN('Your Mortgage'!$I$6,MAX(0,Q131+R131-S131)),0)</x:f>
        <x:v>500</x:v>
      </x:c>
      <x:c r="U131" s="106" t="n">
        <x:f>IF(AND(A131='Your Mortgage'!$I$8,Q131&gt;0),MIN('Your Mortgage'!$I$7,MAX(0,Q131+R131-S131-T131)),0)</x:f>
        <x:v>0</x:v>
      </x:c>
      <x:c r="V131" s="106" t="n">
        <x:f>S131+T131+U131</x:f>
        <x:v>2554.2210763521375</x:v>
      </x:c>
      <x:c r="W131" s="106" t="n">
        <x:f>MAX(0,V131-R131)</x:f>
        <x:v>1559.4574583081512</x:v>
      </x:c>
      <x:c r="X131" s="106" t="n">
        <x:f>MAX(0,Q131-W131)</x:f>
        <x:v>182089.21048827397</x:v>
      </x:c>
      <x:c r="Y131" s="1"/>
      <x:c r="Z131" s="1"/>
    </x:row>
    <x:row r="132">
      <x:c r="A132" s="100" t="n">
        <x:f>A131+1</x:f>
        <x:v>127</x:v>
      </x:c>
      <x:c r="B132" s="103" t="n">
        <x:f>EDATE(B131,1)</x:f>
        <x:v>50072</x:v>
      </x:c>
      <x:c r="C132" s="104" t="n">
        <x:f>H131</x:f>
        <x:v>272105.58465300757</x:v>
      </x:c>
      <x:c r="D132" s="104" t="n">
        <x:f>IF(C132&gt;0,C132*'Your Mortgage'!$C$7/12,0)</x:f>
        <x:v>1473.905250203791</x:v>
      </x:c>
      <x:c r="E132" s="104" t="n">
        <x:f>IF(C132&gt;0,MIN('Your Mortgage'!$C$11,C132+D132),0)</x:f>
        <x:v>2054.2210763521375</x:v>
      </x:c>
      <x:c r="F132" s="104" t="n">
        <x:f>E132</x:f>
        <x:v>2054.2210763521375</x:v>
      </x:c>
      <x:c r="G132" s="104" t="n">
        <x:f>MAX(0,F132-D132)</x:f>
        <x:v>580.3158261483466</x:v>
      </x:c>
      <x:c r="H132" s="104" t="n">
        <x:f>MAX(0,C132-G132)</x:f>
        <x:v>271525.26882685925</x:v>
      </x:c>
      <x:c r="I132" s="105" t="n">
        <x:f>P131</x:f>
        <x:v>217841.40181462624</x:v>
      </x:c>
      <x:c r="J132" s="105" t="n">
        <x:f>IF(I132&gt;0,I132*'Your Mortgage'!$C$7/12,0)</x:f>
        <x:v>1179.9742598292255</x:v>
      </x:c>
      <x:c r="K132" s="105" t="n">
        <x:f>IF(I132&gt;0,MIN('Your Mortgage'!$C$11,I132+J132),0)</x:f>
        <x:v>2054.2210763521375</x:v>
      </x:c>
      <x:c r="L132" s="105" t="n">
        <x:f>IF(I132&gt;0,MIN('Your Mortgage'!$F$6,MAX(0,I132+J132-K132)),0)</x:f>
        <x:v>250</x:v>
      </x:c>
      <x:c r="M132" s="105" t="n">
        <x:f>IF(AND(A132='Your Mortgage'!$F$8,I132&gt;0),MIN('Your Mortgage'!$F$7,MAX(0,I132+J132-K132-L132)),0)</x:f>
        <x:v>0</x:v>
      </x:c>
      <x:c r="N132" s="105" t="n">
        <x:f>K132+L132+M132</x:f>
        <x:v>2304.2210763521375</x:v>
      </x:c>
      <x:c r="O132" s="105" t="n">
        <x:f>MAX(0,N132-J132)</x:f>
        <x:v>1124.246816522912</x:v>
      </x:c>
      <x:c r="P132" s="105" t="n">
        <x:f>MAX(0,I132-O132)</x:f>
        <x:v>216717.15499810333</x:v>
      </x:c>
      <x:c r="Q132" s="106" t="n">
        <x:f>X131</x:f>
        <x:v>182089.21048827397</x:v>
      </x:c>
      <x:c r="R132" s="106" t="n">
        <x:f>IF(Q132&gt;0,Q132*'Your Mortgage'!$C$7/12,0)</x:f>
        <x:v>986.316556811484</x:v>
      </x:c>
      <x:c r="S132" s="106" t="n">
        <x:f>IF(Q132&gt;0,MIN('Your Mortgage'!$C$11,Q132+R132),0)</x:f>
        <x:v>2054.2210763521375</x:v>
      </x:c>
      <x:c r="T132" s="106" t="n">
        <x:f>IF(Q132&gt;0,MIN('Your Mortgage'!$I$6,MAX(0,Q132+R132-S132)),0)</x:f>
        <x:v>500</x:v>
      </x:c>
      <x:c r="U132" s="106" t="n">
        <x:f>IF(AND(A132='Your Mortgage'!$I$8,Q132&gt;0),MIN('Your Mortgage'!$I$7,MAX(0,Q132+R132-S132-T132)),0)</x:f>
        <x:v>0</x:v>
      </x:c>
      <x:c r="V132" s="106" t="n">
        <x:f>S132+T132+U132</x:f>
        <x:v>2554.2210763521375</x:v>
      </x:c>
      <x:c r="W132" s="106" t="n">
        <x:f>MAX(0,V132-R132)</x:f>
        <x:v>1567.9045195406534</x:v>
      </x:c>
      <x:c r="X132" s="106" t="n">
        <x:f>MAX(0,Q132-W132)</x:f>
        <x:v>180521.3059687333</x:v>
      </x:c>
      <x:c r="Y132" s="1"/>
      <x:c r="Z132" s="1"/>
    </x:row>
    <x:row r="133">
      <x:c r="A133" s="100" t="n">
        <x:f>A132+1</x:f>
        <x:v>128</x:v>
      </x:c>
      <x:c r="B133" s="103" t="n">
        <x:f>EDATE(B132,1)</x:f>
        <x:v>50100</x:v>
      </x:c>
      <x:c r="C133" s="104" t="n">
        <x:f>H132</x:f>
        <x:v>271525.26882685925</x:v>
      </x:c>
      <x:c r="D133" s="104" t="n">
        <x:f>IF(C133&gt;0,C133*'Your Mortgage'!$C$7/12,0)</x:f>
        <x:v>1470.7618728121543</x:v>
      </x:c>
      <x:c r="E133" s="104" t="n">
        <x:f>IF(C133&gt;0,MIN('Your Mortgage'!$C$11,C133+D133),0)</x:f>
        <x:v>2054.2210763521375</x:v>
      </x:c>
      <x:c r="F133" s="104" t="n">
        <x:f>E133</x:f>
        <x:v>2054.2210763521375</x:v>
      </x:c>
      <x:c r="G133" s="104" t="n">
        <x:f>MAX(0,F133-D133)</x:f>
        <x:v>583.4592035399833</x:v>
      </x:c>
      <x:c r="H133" s="104" t="n">
        <x:f>MAX(0,C133-G133)</x:f>
        <x:v>270941.80962331925</x:v>
      </x:c>
      <x:c r="I133" s="105" t="n">
        <x:f>P132</x:f>
        <x:v>216717.15499810333</x:v>
      </x:c>
      <x:c r="J133" s="105" t="n">
        <x:f>IF(I133&gt;0,I133*'Your Mortgage'!$C$7/12,0)</x:f>
        <x:v>1173.8845895730599</x:v>
      </x:c>
      <x:c r="K133" s="105" t="n">
        <x:f>IF(I133&gt;0,MIN('Your Mortgage'!$C$11,I133+J133),0)</x:f>
        <x:v>2054.2210763521375</x:v>
      </x:c>
      <x:c r="L133" s="105" t="n">
        <x:f>IF(I133&gt;0,MIN('Your Mortgage'!$F$6,MAX(0,I133+J133-K133)),0)</x:f>
        <x:v>250</x:v>
      </x:c>
      <x:c r="M133" s="105" t="n">
        <x:f>IF(AND(A133='Your Mortgage'!$F$8,I133&gt;0),MIN('Your Mortgage'!$F$7,MAX(0,I133+J133-K133-L133)),0)</x:f>
        <x:v>0</x:v>
      </x:c>
      <x:c r="N133" s="105" t="n">
        <x:f>K133+L133+M133</x:f>
        <x:v>2304.2210763521375</x:v>
      </x:c>
      <x:c r="O133" s="105" t="n">
        <x:f>MAX(0,N133-J133)</x:f>
        <x:v>1130.3364867790776</x:v>
      </x:c>
      <x:c r="P133" s="105" t="n">
        <x:f>MAX(0,I133-O133)</x:f>
        <x:v>215586.81851132427</x:v>
      </x:c>
      <x:c r="Q133" s="106" t="n">
        <x:f>X132</x:f>
        <x:v>180521.3059687333</x:v>
      </x:c>
      <x:c r="R133" s="106" t="n">
        <x:f>IF(Q133&gt;0,Q133*'Your Mortgage'!$C$7/12,0)</x:f>
        <x:v>977.823740663972</x:v>
      </x:c>
      <x:c r="S133" s="106" t="n">
        <x:f>IF(Q133&gt;0,MIN('Your Mortgage'!$C$11,Q133+R133),0)</x:f>
        <x:v>2054.2210763521375</x:v>
      </x:c>
      <x:c r="T133" s="106" t="n">
        <x:f>IF(Q133&gt;0,MIN('Your Mortgage'!$I$6,MAX(0,Q133+R133-S133)),0)</x:f>
        <x:v>500</x:v>
      </x:c>
      <x:c r="U133" s="106" t="n">
        <x:f>IF(AND(A133='Your Mortgage'!$I$8,Q133&gt;0),MIN('Your Mortgage'!$I$7,MAX(0,Q133+R133-S133-T133)),0)</x:f>
        <x:v>0</x:v>
      </x:c>
      <x:c r="V133" s="106" t="n">
        <x:f>S133+T133+U133</x:f>
        <x:v>2554.2210763521375</x:v>
      </x:c>
      <x:c r="W133" s="106" t="n">
        <x:f>MAX(0,V133-R133)</x:f>
        <x:v>1576.3973356881656</x:v>
      </x:c>
      <x:c r="X133" s="106" t="n">
        <x:f>MAX(0,Q133-W133)</x:f>
        <x:v>178944.90863304512</x:v>
      </x:c>
      <x:c r="Y133" s="1"/>
      <x:c r="Z133" s="1"/>
    </x:row>
    <x:row r="134">
      <x:c r="A134" s="100" t="n">
        <x:f>A133+1</x:f>
        <x:v>129</x:v>
      </x:c>
      <x:c r="B134" s="103" t="n">
        <x:f>EDATE(B133,1)</x:f>
        <x:v>50131</x:v>
      </x:c>
      <x:c r="C134" s="104" t="n">
        <x:f>H133</x:f>
        <x:v>270941.80962331925</x:v>
      </x:c>
      <x:c r="D134" s="104" t="n">
        <x:f>IF(C134&gt;0,C134*'Your Mortgage'!$C$7/12,0)</x:f>
        <x:v>1467.6014687929792</x:v>
      </x:c>
      <x:c r="E134" s="104" t="n">
        <x:f>IF(C134&gt;0,MIN('Your Mortgage'!$C$11,C134+D134),0)</x:f>
        <x:v>2054.2210763521375</x:v>
      </x:c>
      <x:c r="F134" s="104" t="n">
        <x:f>E134</x:f>
        <x:v>2054.2210763521375</x:v>
      </x:c>
      <x:c r="G134" s="104" t="n">
        <x:f>MAX(0,F134-D134)</x:f>
        <x:v>586.6196075591583</x:v>
      </x:c>
      <x:c r="H134" s="104" t="n">
        <x:f>MAX(0,C134-G134)</x:f>
        <x:v>270355.1900157601</x:v>
      </x:c>
      <x:c r="I134" s="105" t="n">
        <x:f>P133</x:f>
        <x:v>215586.81851132427</x:v>
      </x:c>
      <x:c r="J134" s="105" t="n">
        <x:f>IF(I134&gt;0,I134*'Your Mortgage'!$C$7/12,0)</x:f>
        <x:v>1167.7619336030064</x:v>
      </x:c>
      <x:c r="K134" s="105" t="n">
        <x:f>IF(I134&gt;0,MIN('Your Mortgage'!$C$11,I134+J134),0)</x:f>
        <x:v>2054.2210763521375</x:v>
      </x:c>
      <x:c r="L134" s="105" t="n">
        <x:f>IF(I134&gt;0,MIN('Your Mortgage'!$F$6,MAX(0,I134+J134-K134)),0)</x:f>
        <x:v>250</x:v>
      </x:c>
      <x:c r="M134" s="105" t="n">
        <x:f>IF(AND(A134='Your Mortgage'!$F$8,I134&gt;0),MIN('Your Mortgage'!$F$7,MAX(0,I134+J134-K134-L134)),0)</x:f>
        <x:v>0</x:v>
      </x:c>
      <x:c r="N134" s="105" t="n">
        <x:f>K134+L134+M134</x:f>
        <x:v>2304.2210763521375</x:v>
      </x:c>
      <x:c r="O134" s="105" t="n">
        <x:f>MAX(0,N134-J134)</x:f>
        <x:v>1136.4591427491312</x:v>
      </x:c>
      <x:c r="P134" s="105" t="n">
        <x:f>MAX(0,I134-O134)</x:f>
        <x:v>214450.35936857513</x:v>
      </x:c>
      <x:c r="Q134" s="106" t="n">
        <x:f>X133</x:f>
        <x:v>178944.90863304512</x:v>
      </x:c>
      <x:c r="R134" s="106" t="n">
        <x:f>IF(Q134&gt;0,Q134*'Your Mortgage'!$C$7/12,0)</x:f>
        <x:v>969.2849217623278</x:v>
      </x:c>
      <x:c r="S134" s="106" t="n">
        <x:f>IF(Q134&gt;0,MIN('Your Mortgage'!$C$11,Q134+R134),0)</x:f>
        <x:v>2054.2210763521375</x:v>
      </x:c>
      <x:c r="T134" s="106" t="n">
        <x:f>IF(Q134&gt;0,MIN('Your Mortgage'!$I$6,MAX(0,Q134+R134-S134)),0)</x:f>
        <x:v>500</x:v>
      </x:c>
      <x:c r="U134" s="106" t="n">
        <x:f>IF(AND(A134='Your Mortgage'!$I$8,Q134&gt;0),MIN('Your Mortgage'!$I$7,MAX(0,Q134+R134-S134-T134)),0)</x:f>
        <x:v>0</x:v>
      </x:c>
      <x:c r="V134" s="106" t="n">
        <x:f>S134+T134+U134</x:f>
        <x:v>2554.2210763521375</x:v>
      </x:c>
      <x:c r="W134" s="106" t="n">
        <x:f>MAX(0,V134-R134)</x:f>
        <x:v>1584.9361545898096</x:v>
      </x:c>
      <x:c r="X134" s="106" t="n">
        <x:f>MAX(0,Q134-W134)</x:f>
        <x:v>177359.9724784553</x:v>
      </x:c>
      <x:c r="Y134" s="1"/>
      <x:c r="Z134" s="1"/>
    </x:row>
    <x:row r="135">
      <x:c r="A135" s="100" t="n">
        <x:f>A134+1</x:f>
        <x:v>130</x:v>
      </x:c>
      <x:c r="B135" s="103" t="n">
        <x:f>EDATE(B134,1)</x:f>
        <x:v>50161</x:v>
      </x:c>
      <x:c r="C135" s="104" t="n">
        <x:f>H134</x:f>
        <x:v>270355.1900157601</x:v>
      </x:c>
      <x:c r="D135" s="104" t="n">
        <x:f>IF(C135&gt;0,C135*'Your Mortgage'!$C$7/12,0)</x:f>
        <x:v>1464.4239459187004</x:v>
      </x:c>
      <x:c r="E135" s="104" t="n">
        <x:f>IF(C135&gt;0,MIN('Your Mortgage'!$C$11,C135+D135),0)</x:f>
        <x:v>2054.2210763521375</x:v>
      </x:c>
      <x:c r="F135" s="104" t="n">
        <x:f>E135</x:f>
        <x:v>2054.2210763521375</x:v>
      </x:c>
      <x:c r="G135" s="104" t="n">
        <x:f>MAX(0,F135-D135)</x:f>
        <x:v>589.7971304334371</x:v>
      </x:c>
      <x:c r="H135" s="104" t="n">
        <x:f>MAX(0,C135-G135)</x:f>
        <x:v>269765.39288532664</x:v>
      </x:c>
      <x:c r="I135" s="105" t="n">
        <x:f>P134</x:f>
        <x:v>214450.35936857513</x:v>
      </x:c>
      <x:c r="J135" s="105" t="n">
        <x:f>IF(I135&gt;0,I135*'Your Mortgage'!$C$7/12,0)</x:f>
        <x:v>1161.6061132464486</x:v>
      </x:c>
      <x:c r="K135" s="105" t="n">
        <x:f>IF(I135&gt;0,MIN('Your Mortgage'!$C$11,I135+J135),0)</x:f>
        <x:v>2054.2210763521375</x:v>
      </x:c>
      <x:c r="L135" s="105" t="n">
        <x:f>IF(I135&gt;0,MIN('Your Mortgage'!$F$6,MAX(0,I135+J135-K135)),0)</x:f>
        <x:v>250</x:v>
      </x:c>
      <x:c r="M135" s="105" t="n">
        <x:f>IF(AND(A135='Your Mortgage'!$F$8,I135&gt;0),MIN('Your Mortgage'!$F$7,MAX(0,I135+J135-K135-L135)),0)</x:f>
        <x:v>0</x:v>
      </x:c>
      <x:c r="N135" s="105" t="n">
        <x:f>K135+L135+M135</x:f>
        <x:v>2304.2210763521375</x:v>
      </x:c>
      <x:c r="O135" s="105" t="n">
        <x:f>MAX(0,N135-J135)</x:f>
        <x:v>1142.614963105689</x:v>
      </x:c>
      <x:c r="P135" s="105" t="n">
        <x:f>MAX(0,I135-O135)</x:f>
        <x:v>213307.74440546945</x:v>
      </x:c>
      <x:c r="Q135" s="106" t="n">
        <x:f>X134</x:f>
        <x:v>177359.9724784553</x:v>
      </x:c>
      <x:c r="R135" s="106" t="n">
        <x:f>IF(Q135&gt;0,Q135*'Your Mortgage'!$C$7/12,0)</x:f>
        <x:v>960.6998509249662</x:v>
      </x:c>
      <x:c r="S135" s="106" t="n">
        <x:f>IF(Q135&gt;0,MIN('Your Mortgage'!$C$11,Q135+R135),0)</x:f>
        <x:v>2054.2210763521375</x:v>
      </x:c>
      <x:c r="T135" s="106" t="n">
        <x:f>IF(Q135&gt;0,MIN('Your Mortgage'!$I$6,MAX(0,Q135+R135-S135)),0)</x:f>
        <x:v>500</x:v>
      </x:c>
      <x:c r="U135" s="106" t="n">
        <x:f>IF(AND(A135='Your Mortgage'!$I$8,Q135&gt;0),MIN('Your Mortgage'!$I$7,MAX(0,Q135+R135-S135-T135)),0)</x:f>
        <x:v>0</x:v>
      </x:c>
      <x:c r="V135" s="106" t="n">
        <x:f>S135+T135+U135</x:f>
        <x:v>2554.2210763521375</x:v>
      </x:c>
      <x:c r="W135" s="106" t="n">
        <x:f>MAX(0,V135-R135)</x:f>
        <x:v>1593.5212254271714</x:v>
      </x:c>
      <x:c r="X135" s="106" t="n">
        <x:f>MAX(0,Q135-W135)</x:f>
        <x:v>175766.45125302815</x:v>
      </x:c>
      <x:c r="Y135" s="1"/>
      <x:c r="Z135" s="1"/>
    </x:row>
    <x:row r="136">
      <x:c r="A136" s="100" t="n">
        <x:f>A135+1</x:f>
        <x:v>131</x:v>
      </x:c>
      <x:c r="B136" s="103" t="n">
        <x:f>EDATE(B135,1)</x:f>
        <x:v>50192</x:v>
      </x:c>
      <x:c r="C136" s="104" t="n">
        <x:f>H135</x:f>
        <x:v>269765.39288532664</x:v>
      </x:c>
      <x:c r="D136" s="104" t="n">
        <x:f>IF(C136&gt;0,C136*'Your Mortgage'!$C$7/12,0)</x:f>
        <x:v>1461.229211462186</x:v>
      </x:c>
      <x:c r="E136" s="104" t="n">
        <x:f>IF(C136&gt;0,MIN('Your Mortgage'!$C$11,C136+D136),0)</x:f>
        <x:v>2054.2210763521375</x:v>
      </x:c>
      <x:c r="F136" s="104" t="n">
        <x:f>E136</x:f>
        <x:v>2054.2210763521375</x:v>
      </x:c>
      <x:c r="G136" s="104" t="n">
        <x:f>MAX(0,F136-D136)</x:f>
        <x:v>592.9918648899516</x:v>
      </x:c>
      <x:c r="H136" s="104" t="n">
        <x:f>MAX(0,C136-G136)</x:f>
        <x:v>269172.40102043666</x:v>
      </x:c>
      <x:c r="I136" s="105" t="n">
        <x:f>P135</x:f>
        <x:v>213307.74440546945</x:v>
      </x:c>
      <x:c r="J136" s="105" t="n">
        <x:f>IF(I136&gt;0,I136*'Your Mortgage'!$C$7/12,0)</x:f>
        <x:v>1155.4169488629595</x:v>
      </x:c>
      <x:c r="K136" s="105" t="n">
        <x:f>IF(I136&gt;0,MIN('Your Mortgage'!$C$11,I136+J136),0)</x:f>
        <x:v>2054.2210763521375</x:v>
      </x:c>
      <x:c r="L136" s="105" t="n">
        <x:f>IF(I136&gt;0,MIN('Your Mortgage'!$F$6,MAX(0,I136+J136-K136)),0)</x:f>
        <x:v>250</x:v>
      </x:c>
      <x:c r="M136" s="105" t="n">
        <x:f>IF(AND(A136='Your Mortgage'!$F$8,I136&gt;0),MIN('Your Mortgage'!$F$7,MAX(0,I136+J136-K136-L136)),0)</x:f>
        <x:v>0</x:v>
      </x:c>
      <x:c r="N136" s="105" t="n">
        <x:f>K136+L136+M136</x:f>
        <x:v>2304.2210763521375</x:v>
      </x:c>
      <x:c r="O136" s="105" t="n">
        <x:f>MAX(0,N136-J136)</x:f>
        <x:v>1148.804127489178</x:v>
      </x:c>
      <x:c r="P136" s="105" t="n">
        <x:f>MAX(0,I136-O136)</x:f>
        <x:v>212158.94027798026</x:v>
      </x:c>
      <x:c r="Q136" s="106" t="n">
        <x:f>X135</x:f>
        <x:v>175766.45125302815</x:v>
      </x:c>
      <x:c r="R136" s="106" t="n">
        <x:f>IF(Q136&gt;0,Q136*'Your Mortgage'!$C$7/12,0)</x:f>
        <x:v>952.0682776205691</x:v>
      </x:c>
      <x:c r="S136" s="106" t="n">
        <x:f>IF(Q136&gt;0,MIN('Your Mortgage'!$C$11,Q136+R136),0)</x:f>
        <x:v>2054.2210763521375</x:v>
      </x:c>
      <x:c r="T136" s="106" t="n">
        <x:f>IF(Q136&gt;0,MIN('Your Mortgage'!$I$6,MAX(0,Q136+R136-S136)),0)</x:f>
        <x:v>500</x:v>
      </x:c>
      <x:c r="U136" s="106" t="n">
        <x:f>IF(AND(A136='Your Mortgage'!$I$8,Q136&gt;0),MIN('Your Mortgage'!$I$7,MAX(0,Q136+R136-S136-T136)),0)</x:f>
        <x:v>0</x:v>
      </x:c>
      <x:c r="V136" s="106" t="n">
        <x:f>S136+T136+U136</x:f>
        <x:v>2554.2210763521375</x:v>
      </x:c>
      <x:c r="W136" s="106" t="n">
        <x:f>MAX(0,V136-R136)</x:f>
        <x:v>1602.1527987315685</x:v>
      </x:c>
      <x:c r="X136" s="106" t="n">
        <x:f>MAX(0,Q136-W136)</x:f>
        <x:v>174164.29845429657</x:v>
      </x:c>
      <x:c r="Y136" s="1"/>
      <x:c r="Z136" s="1"/>
    </x:row>
    <x:row r="137">
      <x:c r="A137" s="100" t="n">
        <x:f>A136+1</x:f>
        <x:v>132</x:v>
      </x:c>
      <x:c r="B137" s="103" t="n">
        <x:f>EDATE(B136,1)</x:f>
        <x:v>50222</x:v>
      </x:c>
      <x:c r="C137" s="104" t="n">
        <x:f>H136</x:f>
        <x:v>269172.40102043666</x:v>
      </x:c>
      <x:c r="D137" s="104" t="n">
        <x:f>IF(C137&gt;0,C137*'Your Mortgage'!$C$7/12,0)</x:f>
        <x:v>1458.0171721940321</x:v>
      </x:c>
      <x:c r="E137" s="104" t="n">
        <x:f>IF(C137&gt;0,MIN('Your Mortgage'!$C$11,C137+D137),0)</x:f>
        <x:v>2054.2210763521375</x:v>
      </x:c>
      <x:c r="F137" s="104" t="n">
        <x:f>E137</x:f>
        <x:v>2054.2210763521375</x:v>
      </x:c>
      <x:c r="G137" s="104" t="n">
        <x:f>MAX(0,F137-D137)</x:f>
        <x:v>596.2039041581054</x:v>
      </x:c>
      <x:c r="H137" s="104" t="n">
        <x:f>MAX(0,C137-G137)</x:f>
        <x:v>268576.1971162786</x:v>
      </x:c>
      <x:c r="I137" s="105" t="n">
        <x:f>P136</x:f>
        <x:v>212158.94027798026</x:v>
      </x:c>
      <x:c r="J137" s="105" t="n">
        <x:f>IF(I137&gt;0,I137*'Your Mortgage'!$C$7/12,0)</x:f>
        <x:v>1149.19425983906</x:v>
      </x:c>
      <x:c r="K137" s="105" t="n">
        <x:f>IF(I137&gt;0,MIN('Your Mortgage'!$C$11,I137+J137),0)</x:f>
        <x:v>2054.2210763521375</x:v>
      </x:c>
      <x:c r="L137" s="105" t="n">
        <x:f>IF(I137&gt;0,MIN('Your Mortgage'!$F$6,MAX(0,I137+J137-K137)),0)</x:f>
        <x:v>250</x:v>
      </x:c>
      <x:c r="M137" s="105" t="n">
        <x:f>IF(AND(A137='Your Mortgage'!$F$8,I137&gt;0),MIN('Your Mortgage'!$F$7,MAX(0,I137+J137-K137-L137)),0)</x:f>
        <x:v>0</x:v>
      </x:c>
      <x:c r="N137" s="105" t="n">
        <x:f>K137+L137+M137</x:f>
        <x:v>2304.2210763521375</x:v>
      </x:c>
      <x:c r="O137" s="105" t="n">
        <x:f>MAX(0,N137-J137)</x:f>
        <x:v>1155.0268165130776</x:v>
      </x:c>
      <x:c r="P137" s="105" t="n">
        <x:f>MAX(0,I137-O137)</x:f>
        <x:v>211003.9134614672</x:v>
      </x:c>
      <x:c r="Q137" s="106" t="n">
        <x:f>X136</x:f>
        <x:v>174164.29845429657</x:v>
      </x:c>
      <x:c r="R137" s="106" t="n">
        <x:f>IF(Q137&gt;0,Q137*'Your Mortgage'!$C$7/12,0)</x:f>
        <x:v>943.3899499607732</x:v>
      </x:c>
      <x:c r="S137" s="106" t="n">
        <x:f>IF(Q137&gt;0,MIN('Your Mortgage'!$C$11,Q137+R137),0)</x:f>
        <x:v>2054.2210763521375</x:v>
      </x:c>
      <x:c r="T137" s="106" t="n">
        <x:f>IF(Q137&gt;0,MIN('Your Mortgage'!$I$6,MAX(0,Q137+R137-S137)),0)</x:f>
        <x:v>500</x:v>
      </x:c>
      <x:c r="U137" s="106" t="n">
        <x:f>IF(AND(A137='Your Mortgage'!$I$8,Q137&gt;0),MIN('Your Mortgage'!$I$7,MAX(0,Q137+R137-S137-T137)),0)</x:f>
        <x:v>0</x:v>
      </x:c>
      <x:c r="V137" s="106" t="n">
        <x:f>S137+T137+U137</x:f>
        <x:v>2554.2210763521375</x:v>
      </x:c>
      <x:c r="W137" s="106" t="n">
        <x:f>MAX(0,V137-R137)</x:f>
        <x:v>1610.8311263913643</x:v>
      </x:c>
      <x:c r="X137" s="106" t="n">
        <x:f>MAX(0,Q137-W137)</x:f>
        <x:v>172553.4673279052</x:v>
      </x:c>
      <x:c r="Y137" s="1"/>
      <x:c r="Z137" s="1"/>
    </x:row>
    <x:row r="138">
      <x:c r="A138" s="100" t="n">
        <x:f>A137+1</x:f>
        <x:v>133</x:v>
      </x:c>
      <x:c r="B138" s="103" t="n">
        <x:f>EDATE(B137,1)</x:f>
        <x:v>50253</x:v>
      </x:c>
      <x:c r="C138" s="104" t="n">
        <x:f>H137</x:f>
        <x:v>268576.1971162786</x:v>
      </x:c>
      <x:c r="D138" s="104" t="n">
        <x:f>IF(C138&gt;0,C138*'Your Mortgage'!$C$7/12,0)</x:f>
        <x:v>1454.7877343798425</x:v>
      </x:c>
      <x:c r="E138" s="104" t="n">
        <x:f>IF(C138&gt;0,MIN('Your Mortgage'!$C$11,C138+D138),0)</x:f>
        <x:v>2054.2210763521375</x:v>
      </x:c>
      <x:c r="F138" s="104" t="n">
        <x:f>E138</x:f>
        <x:v>2054.2210763521375</x:v>
      </x:c>
      <x:c r="G138" s="104" t="n">
        <x:f>MAX(0,F138-D138)</x:f>
        <x:v>599.433341972295</x:v>
      </x:c>
      <x:c r="H138" s="104" t="n">
        <x:f>MAX(0,C138-G138)</x:f>
        <x:v>267976.7637743063</x:v>
      </x:c>
      <x:c r="I138" s="105" t="n">
        <x:f>P137</x:f>
        <x:v>211003.9134614672</x:v>
      </x:c>
      <x:c r="J138" s="105" t="n">
        <x:f>IF(I138&gt;0,I138*'Your Mortgage'!$C$7/12,0)</x:f>
        <x:v>1142.9378645829472</x:v>
      </x:c>
      <x:c r="K138" s="105" t="n">
        <x:f>IF(I138&gt;0,MIN('Your Mortgage'!$C$11,I138+J138),0)</x:f>
        <x:v>2054.2210763521375</x:v>
      </x:c>
      <x:c r="L138" s="105" t="n">
        <x:f>IF(I138&gt;0,MIN('Your Mortgage'!$F$6,MAX(0,I138+J138-K138)),0)</x:f>
        <x:v>250</x:v>
      </x:c>
      <x:c r="M138" s="105" t="n">
        <x:f>IF(AND(A138='Your Mortgage'!$F$8,I138&gt;0),MIN('Your Mortgage'!$F$7,MAX(0,I138+J138-K138-L138)),0)</x:f>
        <x:v>0</x:v>
      </x:c>
      <x:c r="N138" s="105" t="n">
        <x:f>K138+L138+M138</x:f>
        <x:v>2304.2210763521375</x:v>
      </x:c>
      <x:c r="O138" s="105" t="n">
        <x:f>MAX(0,N138-J138)</x:f>
        <x:v>1161.2832117691903</x:v>
      </x:c>
      <x:c r="P138" s="105" t="n">
        <x:f>MAX(0,I138-O138)</x:f>
        <x:v>209842.630249698</x:v>
      </x:c>
      <x:c r="Q138" s="106" t="n">
        <x:f>X137</x:f>
        <x:v>172553.4673279052</x:v>
      </x:c>
      <x:c r="R138" s="106" t="n">
        <x:f>IF(Q138&gt;0,Q138*'Your Mortgage'!$C$7/12,0)</x:f>
        <x:v>934.66461469282</x:v>
      </x:c>
      <x:c r="S138" s="106" t="n">
        <x:f>IF(Q138&gt;0,MIN('Your Mortgage'!$C$11,Q138+R138),0)</x:f>
        <x:v>2054.2210763521375</x:v>
      </x:c>
      <x:c r="T138" s="106" t="n">
        <x:f>IF(Q138&gt;0,MIN('Your Mortgage'!$I$6,MAX(0,Q138+R138-S138)),0)</x:f>
        <x:v>500</x:v>
      </x:c>
      <x:c r="U138" s="106" t="n">
        <x:f>IF(AND(A138='Your Mortgage'!$I$8,Q138&gt;0),MIN('Your Mortgage'!$I$7,MAX(0,Q138+R138-S138-T138)),0)</x:f>
        <x:v>0</x:v>
      </x:c>
      <x:c r="V138" s="106" t="n">
        <x:f>S138+T138+U138</x:f>
        <x:v>2554.2210763521375</x:v>
      </x:c>
      <x:c r="W138" s="106" t="n">
        <x:f>MAX(0,V138-R138)</x:f>
        <x:v>1619.5564616593174</x:v>
      </x:c>
      <x:c r="X138" s="106" t="n">
        <x:f>MAX(0,Q138-W138)</x:f>
        <x:v>170933.9108662459</x:v>
      </x:c>
      <x:c r="Y138" s="1"/>
      <x:c r="Z138" s="1"/>
    </x:row>
    <x:row r="139">
      <x:c r="A139" s="100" t="n">
        <x:f>A138+1</x:f>
        <x:v>134</x:v>
      </x:c>
      <x:c r="B139" s="103" t="n">
        <x:f>EDATE(B138,1)</x:f>
        <x:v>50284</x:v>
      </x:c>
      <x:c r="C139" s="104" t="n">
        <x:f>H138</x:f>
        <x:v>267976.7637743063</x:v>
      </x:c>
      <x:c r="D139" s="104" t="n">
        <x:f>IF(C139&gt;0,C139*'Your Mortgage'!$C$7/12,0)</x:f>
        <x:v>1451.5408037774923</x:v>
      </x:c>
      <x:c r="E139" s="104" t="n">
        <x:f>IF(C139&gt;0,MIN('Your Mortgage'!$C$11,C139+D139),0)</x:f>
        <x:v>2054.2210763521375</x:v>
      </x:c>
      <x:c r="F139" s="104" t="n">
        <x:f>E139</x:f>
        <x:v>2054.2210763521375</x:v>
      </x:c>
      <x:c r="G139" s="104" t="n">
        <x:f>MAX(0,F139-D139)</x:f>
        <x:v>602.6802725746452</x:v>
      </x:c>
      <x:c r="H139" s="104" t="n">
        <x:f>MAX(0,C139-G139)</x:f>
        <x:v>267374.0835017316</x:v>
      </x:c>
      <x:c r="I139" s="105" t="n">
        <x:f>P138</x:f>
        <x:v>209842.630249698</x:v>
      </x:c>
      <x:c r="J139" s="105" t="n">
        <x:f>IF(I139&gt;0,I139*'Your Mortgage'!$C$7/12,0)</x:f>
        <x:v>1136.6475805191976</x:v>
      </x:c>
      <x:c r="K139" s="105" t="n">
        <x:f>IF(I139&gt;0,MIN('Your Mortgage'!$C$11,I139+J139),0)</x:f>
        <x:v>2054.2210763521375</x:v>
      </x:c>
      <x:c r="L139" s="105" t="n">
        <x:f>IF(I139&gt;0,MIN('Your Mortgage'!$F$6,MAX(0,I139+J139-K139)),0)</x:f>
        <x:v>250</x:v>
      </x:c>
      <x:c r="M139" s="105" t="n">
        <x:f>IF(AND(A139='Your Mortgage'!$F$8,I139&gt;0),MIN('Your Mortgage'!$F$7,MAX(0,I139+J139-K139-L139)),0)</x:f>
        <x:v>0</x:v>
      </x:c>
      <x:c r="N139" s="105" t="n">
        <x:f>K139+L139+M139</x:f>
        <x:v>2304.2210763521375</x:v>
      </x:c>
      <x:c r="O139" s="105" t="n">
        <x:f>MAX(0,N139-J139)</x:f>
        <x:v>1167.57349583294</x:v>
      </x:c>
      <x:c r="P139" s="105" t="n">
        <x:f>MAX(0,I139-O139)</x:f>
        <x:v>208675.05675386506</x:v>
      </x:c>
      <x:c r="Q139" s="106" t="n">
        <x:f>X138</x:f>
        <x:v>170933.9108662459</x:v>
      </x:c>
      <x:c r="R139" s="106" t="n">
        <x:f>IF(Q139&gt;0,Q139*'Your Mortgage'!$C$7/12,0)</x:f>
        <x:v>925.8920171921653</x:v>
      </x:c>
      <x:c r="S139" s="106" t="n">
        <x:f>IF(Q139&gt;0,MIN('Your Mortgage'!$C$11,Q139+R139),0)</x:f>
        <x:v>2054.2210763521375</x:v>
      </x:c>
      <x:c r="T139" s="106" t="n">
        <x:f>IF(Q139&gt;0,MIN('Your Mortgage'!$I$6,MAX(0,Q139+R139-S139)),0)</x:f>
        <x:v>500</x:v>
      </x:c>
      <x:c r="U139" s="106" t="n">
        <x:f>IF(AND(A139='Your Mortgage'!$I$8,Q139&gt;0),MIN('Your Mortgage'!$I$7,MAX(0,Q139+R139-S139-T139)),0)</x:f>
        <x:v>0</x:v>
      </x:c>
      <x:c r="V139" s="106" t="n">
        <x:f>S139+T139+U139</x:f>
        <x:v>2554.2210763521375</x:v>
      </x:c>
      <x:c r="W139" s="106" t="n">
        <x:f>MAX(0,V139-R139)</x:f>
        <x:v>1628.329059159972</x:v>
      </x:c>
      <x:c r="X139" s="106" t="n">
        <x:f>MAX(0,Q139-W139)</x:f>
        <x:v>169305.58180708592</x:v>
      </x:c>
      <x:c r="Y139" s="1"/>
      <x:c r="Z139" s="1"/>
    </x:row>
    <x:row r="140">
      <x:c r="A140" s="100" t="n">
        <x:f>A139+1</x:f>
        <x:v>135</x:v>
      </x:c>
      <x:c r="B140" s="103" t="n">
        <x:f>EDATE(B139,1)</x:f>
        <x:v>50314</x:v>
      </x:c>
      <x:c r="C140" s="104" t="n">
        <x:f>H139</x:f>
        <x:v>267374.0835017316</x:v>
      </x:c>
      <x:c r="D140" s="104" t="n">
        <x:f>IF(C140&gt;0,C140*'Your Mortgage'!$C$7/12,0)</x:f>
        <x:v>1448.2762856343797</x:v>
      </x:c>
      <x:c r="E140" s="104" t="n">
        <x:f>IF(C140&gt;0,MIN('Your Mortgage'!$C$11,C140+D140),0)</x:f>
        <x:v>2054.2210763521375</x:v>
      </x:c>
      <x:c r="F140" s="104" t="n">
        <x:f>E140</x:f>
        <x:v>2054.2210763521375</x:v>
      </x:c>
      <x:c r="G140" s="104" t="n">
        <x:f>MAX(0,F140-D140)</x:f>
        <x:v>605.9447907177578</x:v>
      </x:c>
      <x:c r="H140" s="104" t="n">
        <x:f>MAX(0,C140-G140)</x:f>
        <x:v>266768.1387110139</x:v>
      </x:c>
      <x:c r="I140" s="105" t="n">
        <x:f>P139</x:f>
        <x:v>208675.05675386506</x:v>
      </x:c>
      <x:c r="J140" s="105" t="n">
        <x:f>IF(I140&gt;0,I140*'Your Mortgage'!$C$7/12,0)</x:f>
        <x:v>1130.3232240834357</x:v>
      </x:c>
      <x:c r="K140" s="105" t="n">
        <x:f>IF(I140&gt;0,MIN('Your Mortgage'!$C$11,I140+J140),0)</x:f>
        <x:v>2054.2210763521375</x:v>
      </x:c>
      <x:c r="L140" s="105" t="n">
        <x:f>IF(I140&gt;0,MIN('Your Mortgage'!$F$6,MAX(0,I140+J140-K140)),0)</x:f>
        <x:v>250</x:v>
      </x:c>
      <x:c r="M140" s="105" t="n">
        <x:f>IF(AND(A140='Your Mortgage'!$F$8,I140&gt;0),MIN('Your Mortgage'!$F$7,MAX(0,I140+J140-K140-L140)),0)</x:f>
        <x:v>0</x:v>
      </x:c>
      <x:c r="N140" s="105" t="n">
        <x:f>K140+L140+M140</x:f>
        <x:v>2304.2210763521375</x:v>
      </x:c>
      <x:c r="O140" s="105" t="n">
        <x:f>MAX(0,N140-J140)</x:f>
        <x:v>1173.8978522687019</x:v>
      </x:c>
      <x:c r="P140" s="105" t="n">
        <x:f>MAX(0,I140-O140)</x:f>
        <x:v>207501.15890159635</x:v>
      </x:c>
      <x:c r="Q140" s="106" t="n">
        <x:f>X139</x:f>
        <x:v>169305.58180708592</x:v>
      </x:c>
      <x:c r="R140" s="106" t="n">
        <x:f>IF(Q140&gt;0,Q140*'Your Mortgage'!$C$7/12,0)</x:f>
        <x:v>917.0719014550488</x:v>
      </x:c>
      <x:c r="S140" s="106" t="n">
        <x:f>IF(Q140&gt;0,MIN('Your Mortgage'!$C$11,Q140+R140),0)</x:f>
        <x:v>2054.2210763521375</x:v>
      </x:c>
      <x:c r="T140" s="106" t="n">
        <x:f>IF(Q140&gt;0,MIN('Your Mortgage'!$I$6,MAX(0,Q140+R140-S140)),0)</x:f>
        <x:v>500</x:v>
      </x:c>
      <x:c r="U140" s="106" t="n">
        <x:f>IF(AND(A140='Your Mortgage'!$I$8,Q140&gt;0),MIN('Your Mortgage'!$I$7,MAX(0,Q140+R140-S140-T140)),0)</x:f>
        <x:v>0</x:v>
      </x:c>
      <x:c r="V140" s="106" t="n">
        <x:f>S140+T140+U140</x:f>
        <x:v>2554.2210763521375</x:v>
      </x:c>
      <x:c r="W140" s="106" t="n">
        <x:f>MAX(0,V140-R140)</x:f>
        <x:v>1637.1491748970889</x:v>
      </x:c>
      <x:c r="X140" s="106" t="n">
        <x:f>MAX(0,Q140-W140)</x:f>
        <x:v>167668.43263218884</x:v>
      </x:c>
      <x:c r="Y140" s="1"/>
      <x:c r="Z140" s="1"/>
    </x:row>
    <x:row r="141">
      <x:c r="A141" s="100" t="n">
        <x:f>A140+1</x:f>
        <x:v>136</x:v>
      </x:c>
      <x:c r="B141" s="103" t="n">
        <x:f>EDATE(B140,1)</x:f>
        <x:v>50345</x:v>
      </x:c>
      <x:c r="C141" s="104" t="n">
        <x:f>H140</x:f>
        <x:v>266768.1387110139</x:v>
      </x:c>
      <x:c r="D141" s="104" t="n">
        <x:f>IF(C141&gt;0,C141*'Your Mortgage'!$C$7/12,0)</x:f>
        <x:v>1444.9940846846587</x:v>
      </x:c>
      <x:c r="E141" s="104" t="n">
        <x:f>IF(C141&gt;0,MIN('Your Mortgage'!$C$11,C141+D141),0)</x:f>
        <x:v>2054.2210763521375</x:v>
      </x:c>
      <x:c r="F141" s="104" t="n">
        <x:f>E141</x:f>
        <x:v>2054.2210763521375</x:v>
      </x:c>
      <x:c r="G141" s="104" t="n">
        <x:f>MAX(0,F141-D141)</x:f>
        <x:v>609.2269916674788</x:v>
      </x:c>
      <x:c r="H141" s="104" t="n">
        <x:f>MAX(0,C141-G141)</x:f>
        <x:v>266158.9117193464</x:v>
      </x:c>
      <x:c r="I141" s="105" t="n">
        <x:f>P140</x:f>
        <x:v>207501.15890159635</x:v>
      </x:c>
      <x:c r="J141" s="105" t="n">
        <x:f>IF(I141&gt;0,I141*'Your Mortgage'!$C$7/12,0)</x:f>
        <x:v>1123.9646107169804</x:v>
      </x:c>
      <x:c r="K141" s="105" t="n">
        <x:f>IF(I141&gt;0,MIN('Your Mortgage'!$C$11,I141+J141),0)</x:f>
        <x:v>2054.2210763521375</x:v>
      </x:c>
      <x:c r="L141" s="105" t="n">
        <x:f>IF(I141&gt;0,MIN('Your Mortgage'!$F$6,MAX(0,I141+J141-K141)),0)</x:f>
        <x:v>250</x:v>
      </x:c>
      <x:c r="M141" s="105" t="n">
        <x:f>IF(AND(A141='Your Mortgage'!$F$8,I141&gt;0),MIN('Your Mortgage'!$F$7,MAX(0,I141+J141-K141-L141)),0)</x:f>
        <x:v>0</x:v>
      </x:c>
      <x:c r="N141" s="105" t="n">
        <x:f>K141+L141+M141</x:f>
        <x:v>2304.2210763521375</x:v>
      </x:c>
      <x:c r="O141" s="105" t="n">
        <x:f>MAX(0,N141-J141)</x:f>
        <x:v>1180.2564656351572</x:v>
      </x:c>
      <x:c r="P141" s="105" t="n">
        <x:f>MAX(0,I141-O141)</x:f>
        <x:v>206320.9024359612</x:v>
      </x:c>
      <x:c r="Q141" s="106" t="n">
        <x:f>X140</x:f>
        <x:v>167668.43263218884</x:v>
      </x:c>
      <x:c r="R141" s="106" t="n">
        <x:f>IF(Q141&gt;0,Q141*'Your Mortgage'!$C$7/12,0)</x:f>
        <x:v>908.204010091023</x:v>
      </x:c>
      <x:c r="S141" s="106" t="n">
        <x:f>IF(Q141&gt;0,MIN('Your Mortgage'!$C$11,Q141+R141),0)</x:f>
        <x:v>2054.2210763521375</x:v>
      </x:c>
      <x:c r="T141" s="106" t="n">
        <x:f>IF(Q141&gt;0,MIN('Your Mortgage'!$I$6,MAX(0,Q141+R141-S141)),0)</x:f>
        <x:v>500</x:v>
      </x:c>
      <x:c r="U141" s="106" t="n">
        <x:f>IF(AND(A141='Your Mortgage'!$I$8,Q141&gt;0),MIN('Your Mortgage'!$I$7,MAX(0,Q141+R141-S141-T141)),0)</x:f>
        <x:v>0</x:v>
      </x:c>
      <x:c r="V141" s="106" t="n">
        <x:f>S141+T141+U141</x:f>
        <x:v>2554.2210763521375</x:v>
      </x:c>
      <x:c r="W141" s="106" t="n">
        <x:f>MAX(0,V141-R141)</x:f>
        <x:v>1646.0170662611145</x:v>
      </x:c>
      <x:c r="X141" s="106" t="n">
        <x:f>MAX(0,Q141-W141)</x:f>
        <x:v>166022.41556592772</x:v>
      </x:c>
      <x:c r="Y141" s="1"/>
      <x:c r="Z141" s="1"/>
    </x:row>
    <x:row r="142">
      <x:c r="A142" s="100" t="n">
        <x:f>A141+1</x:f>
        <x:v>137</x:v>
      </x:c>
      <x:c r="B142" s="103" t="n">
        <x:f>EDATE(B141,1)</x:f>
        <x:v>50375</x:v>
      </x:c>
      <x:c r="C142" s="104" t="n">
        <x:f>H141</x:f>
        <x:v>266158.9117193464</x:v>
      </x:c>
      <x:c r="D142" s="104" t="n">
        <x:f>IF(C142&gt;0,C142*'Your Mortgage'!$C$7/12,0)</x:f>
        <x:v>1441.6941051464598</x:v>
      </x:c>
      <x:c r="E142" s="104" t="n">
        <x:f>IF(C142&gt;0,MIN('Your Mortgage'!$C$11,C142+D142),0)</x:f>
        <x:v>2054.2210763521375</x:v>
      </x:c>
      <x:c r="F142" s="104" t="n">
        <x:f>E142</x:f>
        <x:v>2054.2210763521375</x:v>
      </x:c>
      <x:c r="G142" s="104" t="n">
        <x:f>MAX(0,F142-D142)</x:f>
        <x:v>612.5269712056777</x:v>
      </x:c>
      <x:c r="H142" s="104" t="n">
        <x:f>MAX(0,C142-G142)</x:f>
        <x:v>265546.38474814076</x:v>
      </x:c>
      <x:c r="I142" s="105" t="n">
        <x:f>P141</x:f>
        <x:v>206320.9024359612</x:v>
      </x:c>
      <x:c r="J142" s="105" t="n">
        <x:f>IF(I142&gt;0,I142*'Your Mortgage'!$C$7/12,0)</x:f>
        <x:v>1117.5715548614564</x:v>
      </x:c>
      <x:c r="K142" s="105" t="n">
        <x:f>IF(I142&gt;0,MIN('Your Mortgage'!$C$11,I142+J142),0)</x:f>
        <x:v>2054.2210763521375</x:v>
      </x:c>
      <x:c r="L142" s="105" t="n">
        <x:f>IF(I142&gt;0,MIN('Your Mortgage'!$F$6,MAX(0,I142+J142-K142)),0)</x:f>
        <x:v>250</x:v>
      </x:c>
      <x:c r="M142" s="105" t="n">
        <x:f>IF(AND(A142='Your Mortgage'!$F$8,I142&gt;0),MIN('Your Mortgage'!$F$7,MAX(0,I142+J142-K142-L142)),0)</x:f>
        <x:v>0</x:v>
      </x:c>
      <x:c r="N142" s="105" t="n">
        <x:f>K142+L142+M142</x:f>
        <x:v>2304.2210763521375</x:v>
      </x:c>
      <x:c r="O142" s="105" t="n">
        <x:f>MAX(0,N142-J142)</x:f>
        <x:v>1186.649521490681</x:v>
      </x:c>
      <x:c r="P142" s="105" t="n">
        <x:f>MAX(0,I142-O142)</x:f>
        <x:v>205134.25291447053</x:v>
      </x:c>
      <x:c r="Q142" s="106" t="n">
        <x:f>X141</x:f>
        <x:v>166022.41556592772</x:v>
      </x:c>
      <x:c r="R142" s="106" t="n">
        <x:f>IF(Q142&gt;0,Q142*'Your Mortgage'!$C$7/12,0)</x:f>
        <x:v>899.2880843154418</x:v>
      </x:c>
      <x:c r="S142" s="106" t="n">
        <x:f>IF(Q142&gt;0,MIN('Your Mortgage'!$C$11,Q142+R142),0)</x:f>
        <x:v>2054.2210763521375</x:v>
      </x:c>
      <x:c r="T142" s="106" t="n">
        <x:f>IF(Q142&gt;0,MIN('Your Mortgage'!$I$6,MAX(0,Q142+R142-S142)),0)</x:f>
        <x:v>500</x:v>
      </x:c>
      <x:c r="U142" s="106" t="n">
        <x:f>IF(AND(A142='Your Mortgage'!$I$8,Q142&gt;0),MIN('Your Mortgage'!$I$7,MAX(0,Q142+R142-S142-T142)),0)</x:f>
        <x:v>0</x:v>
      </x:c>
      <x:c r="V142" s="106" t="n">
        <x:f>S142+T142+U142</x:f>
        <x:v>2554.2210763521375</x:v>
      </x:c>
      <x:c r="W142" s="106" t="n">
        <x:f>MAX(0,V142-R142)</x:f>
        <x:v>1654.9329920366959</x:v>
      </x:c>
      <x:c r="X142" s="106" t="n">
        <x:f>MAX(0,Q142-W142)</x:f>
        <x:v>164367.48257389103</x:v>
      </x:c>
      <x:c r="Y142" s="1"/>
      <x:c r="Z142" s="1"/>
    </x:row>
    <x:row r="143">
      <x:c r="A143" s="100" t="n">
        <x:f>A142+1</x:f>
        <x:v>138</x:v>
      </x:c>
      <x:c r="B143" s="103" t="n">
        <x:f>EDATE(B142,1)</x:f>
        <x:v>50406</x:v>
      </x:c>
      <x:c r="C143" s="104" t="n">
        <x:f>H142</x:f>
        <x:v>265546.38474814076</x:v>
      </x:c>
      <x:c r="D143" s="104" t="n">
        <x:f>IF(C143&gt;0,C143*'Your Mortgage'!$C$7/12,0)</x:f>
        <x:v>1438.3762507190959</x:v>
      </x:c>
      <x:c r="E143" s="104" t="n">
        <x:f>IF(C143&gt;0,MIN('Your Mortgage'!$C$11,C143+D143),0)</x:f>
        <x:v>2054.2210763521375</x:v>
      </x:c>
      <x:c r="F143" s="104" t="n">
        <x:f>E143</x:f>
        <x:v>2054.2210763521375</x:v>
      </x:c>
      <x:c r="G143" s="104" t="n">
        <x:f>MAX(0,F143-D143)</x:f>
        <x:v>615.8448256330416</x:v>
      </x:c>
      <x:c r="H143" s="104" t="n">
        <x:f>MAX(0,C143-G143)</x:f>
        <x:v>264930.5399225077</x:v>
      </x:c>
      <x:c r="I143" s="105" t="n">
        <x:f>P142</x:f>
        <x:v>205134.25291447053</x:v>
      </x:c>
      <x:c r="J143" s="105" t="n">
        <x:f>IF(I143&gt;0,I143*'Your Mortgage'!$C$7/12,0)</x:f>
        <x:v>1111.1438699533821</x:v>
      </x:c>
      <x:c r="K143" s="105" t="n">
        <x:f>IF(I143&gt;0,MIN('Your Mortgage'!$C$11,I143+J143),0)</x:f>
        <x:v>2054.2210763521375</x:v>
      </x:c>
      <x:c r="L143" s="105" t="n">
        <x:f>IF(I143&gt;0,MIN('Your Mortgage'!$F$6,MAX(0,I143+J143-K143)),0)</x:f>
        <x:v>250</x:v>
      </x:c>
      <x:c r="M143" s="105" t="n">
        <x:f>IF(AND(A143='Your Mortgage'!$F$8,I143&gt;0),MIN('Your Mortgage'!$F$7,MAX(0,I143+J143-K143-L143)),0)</x:f>
        <x:v>0</x:v>
      </x:c>
      <x:c r="N143" s="105" t="n">
        <x:f>K143+L143+M143</x:f>
        <x:v>2304.2210763521375</x:v>
      </x:c>
      <x:c r="O143" s="105" t="n">
        <x:f>MAX(0,N143-J143)</x:f>
        <x:v>1193.0772063987554</x:v>
      </x:c>
      <x:c r="P143" s="105" t="n">
        <x:f>MAX(0,I143-O143)</x:f>
        <x:v>203941.17570807177</x:v>
      </x:c>
      <x:c r="Q143" s="106" t="n">
        <x:f>X142</x:f>
        <x:v>164367.48257389103</x:v>
      </x:c>
      <x:c r="R143" s="106" t="n">
        <x:f>IF(Q143&gt;0,Q143*'Your Mortgage'!$C$7/12,0)</x:f>
        <x:v>890.3238639419097</x:v>
      </x:c>
      <x:c r="S143" s="106" t="n">
        <x:f>IF(Q143&gt;0,MIN('Your Mortgage'!$C$11,Q143+R143),0)</x:f>
        <x:v>2054.2210763521375</x:v>
      </x:c>
      <x:c r="T143" s="106" t="n">
        <x:f>IF(Q143&gt;0,MIN('Your Mortgage'!$I$6,MAX(0,Q143+R143-S143)),0)</x:f>
        <x:v>500</x:v>
      </x:c>
      <x:c r="U143" s="106" t="n">
        <x:f>IF(AND(A143='Your Mortgage'!$I$8,Q143&gt;0),MIN('Your Mortgage'!$I$7,MAX(0,Q143+R143-S143-T143)),0)</x:f>
        <x:v>0</x:v>
      </x:c>
      <x:c r="V143" s="106" t="n">
        <x:f>S143+T143+U143</x:f>
        <x:v>2554.2210763521375</x:v>
      </x:c>
      <x:c r="W143" s="106" t="n">
        <x:f>MAX(0,V143-R143)</x:f>
        <x:v>1663.897212410228</x:v>
      </x:c>
      <x:c r="X143" s="106" t="n">
        <x:f>MAX(0,Q143-W143)</x:f>
        <x:v>162703.5853614808</x:v>
      </x:c>
      <x:c r="Y143" s="1"/>
      <x:c r="Z143" s="1"/>
    </x:row>
    <x:row r="144">
      <x:c r="A144" s="100" t="n">
        <x:f>A143+1</x:f>
        <x:v>139</x:v>
      </x:c>
      <x:c r="B144" s="103" t="n">
        <x:f>EDATE(B143,1)</x:f>
        <x:v>50437</x:v>
      </x:c>
      <x:c r="C144" s="104" t="n">
        <x:f>H143</x:f>
        <x:v>264930.5399225077</x:v>
      </x:c>
      <x:c r="D144" s="104" t="n">
        <x:f>IF(C144&gt;0,C144*'Your Mortgage'!$C$7/12,0)</x:f>
        <x:v>1435.0404245802501</x:v>
      </x:c>
      <x:c r="E144" s="104" t="n">
        <x:f>IF(C144&gt;0,MIN('Your Mortgage'!$C$11,C144+D144),0)</x:f>
        <x:v>2054.2210763521375</x:v>
      </x:c>
      <x:c r="F144" s="104" t="n">
        <x:f>E144</x:f>
        <x:v>2054.2210763521375</x:v>
      </x:c>
      <x:c r="G144" s="104" t="n">
        <x:f>MAX(0,F144-D144)</x:f>
        <x:v>619.1806517718874</x:v>
      </x:c>
      <x:c r="H144" s="104" t="n">
        <x:f>MAX(0,C144-G144)</x:f>
        <x:v>264311.3592707358</x:v>
      </x:c>
      <x:c r="I144" s="105" t="n">
        <x:f>P143</x:f>
        <x:v>203941.17570807177</x:v>
      </x:c>
      <x:c r="J144" s="105" t="n">
        <x:f>IF(I144&gt;0,I144*'Your Mortgage'!$C$7/12,0)</x:f>
        <x:v>1104.681368418722</x:v>
      </x:c>
      <x:c r="K144" s="105" t="n">
        <x:f>IF(I144&gt;0,MIN('Your Mortgage'!$C$11,I144+J144),0)</x:f>
        <x:v>2054.2210763521375</x:v>
      </x:c>
      <x:c r="L144" s="105" t="n">
        <x:f>IF(I144&gt;0,MIN('Your Mortgage'!$F$6,MAX(0,I144+J144-K144)),0)</x:f>
        <x:v>250</x:v>
      </x:c>
      <x:c r="M144" s="105" t="n">
        <x:f>IF(AND(A144='Your Mortgage'!$F$8,I144&gt;0),MIN('Your Mortgage'!$F$7,MAX(0,I144+J144-K144-L144)),0)</x:f>
        <x:v>0</x:v>
      </x:c>
      <x:c r="N144" s="105" t="n">
        <x:f>K144+L144+M144</x:f>
        <x:v>2304.2210763521375</x:v>
      </x:c>
      <x:c r="O144" s="105" t="n">
        <x:f>MAX(0,N144-J144)</x:f>
        <x:v>1199.5397079334155</x:v>
      </x:c>
      <x:c r="P144" s="105" t="n">
        <x:f>MAX(0,I144-O144)</x:f>
        <x:v>202741.63600013836</x:v>
      </x:c>
      <x:c r="Q144" s="106" t="n">
        <x:f>X143</x:f>
        <x:v>162703.5853614808</x:v>
      </x:c>
      <x:c r="R144" s="106" t="n">
        <x:f>IF(Q144&gt;0,Q144*'Your Mortgage'!$C$7/12,0)</x:f>
        <x:v>881.3110873746878</x:v>
      </x:c>
      <x:c r="S144" s="106" t="n">
        <x:f>IF(Q144&gt;0,MIN('Your Mortgage'!$C$11,Q144+R144),0)</x:f>
        <x:v>2054.2210763521375</x:v>
      </x:c>
      <x:c r="T144" s="106" t="n">
        <x:f>IF(Q144&gt;0,MIN('Your Mortgage'!$I$6,MAX(0,Q144+R144-S144)),0)</x:f>
        <x:v>500</x:v>
      </x:c>
      <x:c r="U144" s="106" t="n">
        <x:f>IF(AND(A144='Your Mortgage'!$I$8,Q144&gt;0),MIN('Your Mortgage'!$I$7,MAX(0,Q144+R144-S144-T144)),0)</x:f>
        <x:v>0</x:v>
      </x:c>
      <x:c r="V144" s="106" t="n">
        <x:f>S144+T144+U144</x:f>
        <x:v>2554.2210763521375</x:v>
      </x:c>
      <x:c r="W144" s="106" t="n">
        <x:f>MAX(0,V144-R144)</x:f>
        <x:v>1672.9099889774498</x:v>
      </x:c>
      <x:c r="X144" s="106" t="n">
        <x:f>MAX(0,Q144-W144)</x:f>
        <x:v>161030.67537250335</x:v>
      </x:c>
      <x:c r="Y144" s="1"/>
      <x:c r="Z144" s="1"/>
    </x:row>
    <x:row r="145">
      <x:c r="A145" s="100" t="n">
        <x:f>A144+1</x:f>
        <x:v>140</x:v>
      </x:c>
      <x:c r="B145" s="103" t="n">
        <x:f>EDATE(B144,1)</x:f>
        <x:v>50465</x:v>
      </x:c>
      <x:c r="C145" s="104" t="n">
        <x:f>H144</x:f>
        <x:v>264311.3592707358</x:v>
      </x:c>
      <x:c r="D145" s="104" t="n">
        <x:f>IF(C145&gt;0,C145*'Your Mortgage'!$C$7/12,0)</x:f>
        <x:v>1431.6865293831524</x:v>
      </x:c>
      <x:c r="E145" s="104" t="n">
        <x:f>IF(C145&gt;0,MIN('Your Mortgage'!$C$11,C145+D145),0)</x:f>
        <x:v>2054.2210763521375</x:v>
      </x:c>
      <x:c r="F145" s="104" t="n">
        <x:f>E145</x:f>
        <x:v>2054.2210763521375</x:v>
      </x:c>
      <x:c r="G145" s="104" t="n">
        <x:f>MAX(0,F145-D145)</x:f>
        <x:v>622.5345469689851</x:v>
      </x:c>
      <x:c r="H145" s="104" t="n">
        <x:f>MAX(0,C145-G145)</x:f>
        <x:v>263688.8247237668</x:v>
      </x:c>
      <x:c r="I145" s="105" t="n">
        <x:f>P144</x:f>
        <x:v>202741.63600013836</x:v>
      </x:c>
      <x:c r="J145" s="105" t="n">
        <x:f>IF(I145&gt;0,I145*'Your Mortgage'!$C$7/12,0)</x:f>
        <x:v>1098.183861667416</x:v>
      </x:c>
      <x:c r="K145" s="105" t="n">
        <x:f>IF(I145&gt;0,MIN('Your Mortgage'!$C$11,I145+J145),0)</x:f>
        <x:v>2054.2210763521375</x:v>
      </x:c>
      <x:c r="L145" s="105" t="n">
        <x:f>IF(I145&gt;0,MIN('Your Mortgage'!$F$6,MAX(0,I145+J145-K145)),0)</x:f>
        <x:v>250</x:v>
      </x:c>
      <x:c r="M145" s="105" t="n">
        <x:f>IF(AND(A145='Your Mortgage'!$F$8,I145&gt;0),MIN('Your Mortgage'!$F$7,MAX(0,I145+J145-K145-L145)),0)</x:f>
        <x:v>0</x:v>
      </x:c>
      <x:c r="N145" s="105" t="n">
        <x:f>K145+L145+M145</x:f>
        <x:v>2304.2210763521375</x:v>
      </x:c>
      <x:c r="O145" s="105" t="n">
        <x:f>MAX(0,N145-J145)</x:f>
        <x:v>1206.0372146847214</x:v>
      </x:c>
      <x:c r="P145" s="105" t="n">
        <x:f>MAX(0,I145-O145)</x:f>
        <x:v>201535.59878545365</x:v>
      </x:c>
      <x:c r="Q145" s="106" t="n">
        <x:f>X144</x:f>
        <x:v>161030.67537250335</x:v>
      </x:c>
      <x:c r="R145" s="106" t="n">
        <x:f>IF(Q145&gt;0,Q145*'Your Mortgage'!$C$7/12,0)</x:f>
        <x:v>872.2494916010597</x:v>
      </x:c>
      <x:c r="S145" s="106" t="n">
        <x:f>IF(Q145&gt;0,MIN('Your Mortgage'!$C$11,Q145+R145),0)</x:f>
        <x:v>2054.2210763521375</x:v>
      </x:c>
      <x:c r="T145" s="106" t="n">
        <x:f>IF(Q145&gt;0,MIN('Your Mortgage'!$I$6,MAX(0,Q145+R145-S145)),0)</x:f>
        <x:v>500</x:v>
      </x:c>
      <x:c r="U145" s="106" t="n">
        <x:f>IF(AND(A145='Your Mortgage'!$I$8,Q145&gt;0),MIN('Your Mortgage'!$I$7,MAX(0,Q145+R145-S145-T145)),0)</x:f>
        <x:v>0</x:v>
      </x:c>
      <x:c r="V145" s="106" t="n">
        <x:f>S145+T145+U145</x:f>
        <x:v>2554.2210763521375</x:v>
      </x:c>
      <x:c r="W145" s="106" t="n">
        <x:f>MAX(0,V145-R145)</x:f>
        <x:v>1681.971584751078</x:v>
      </x:c>
      <x:c r="X145" s="106" t="n">
        <x:f>MAX(0,Q145-W145)</x:f>
        <x:v>159348.70378775228</x:v>
      </x:c>
      <x:c r="Y145" s="1"/>
      <x:c r="Z145" s="1"/>
    </x:row>
    <x:row r="146">
      <x:c r="A146" s="100" t="n">
        <x:f>A145+1</x:f>
        <x:v>141</x:v>
      </x:c>
      <x:c r="B146" s="103" t="n">
        <x:f>EDATE(B145,1)</x:f>
        <x:v>50496</x:v>
      </x:c>
      <x:c r="C146" s="104" t="n">
        <x:f>H145</x:f>
        <x:v>263688.8247237668</x:v>
      </x:c>
      <x:c r="D146" s="104" t="n">
        <x:f>IF(C146&gt;0,C146*'Your Mortgage'!$C$7/12,0)</x:f>
        <x:v>1428.3144672537371</x:v>
      </x:c>
      <x:c r="E146" s="104" t="n">
        <x:f>IF(C146&gt;0,MIN('Your Mortgage'!$C$11,C146+D146),0)</x:f>
        <x:v>2054.2210763521375</x:v>
      </x:c>
      <x:c r="F146" s="104" t="n">
        <x:f>E146</x:f>
        <x:v>2054.2210763521375</x:v>
      </x:c>
      <x:c r="G146" s="104" t="n">
        <x:f>MAX(0,F146-D146)</x:f>
        <x:v>625.9066090984004</x:v>
      </x:c>
      <x:c r="H146" s="104" t="n">
        <x:f>MAX(0,C146-G146)</x:f>
        <x:v>263062.9181146684</x:v>
      </x:c>
      <x:c r="I146" s="105" t="n">
        <x:f>P145</x:f>
        <x:v>201535.59878545365</x:v>
      </x:c>
      <x:c r="J146" s="105" t="n">
        <x:f>IF(I146&gt;0,I146*'Your Mortgage'!$C$7/12,0)</x:f>
        <x:v>1091.651160087874</x:v>
      </x:c>
      <x:c r="K146" s="105" t="n">
        <x:f>IF(I146&gt;0,MIN('Your Mortgage'!$C$11,I146+J146),0)</x:f>
        <x:v>2054.2210763521375</x:v>
      </x:c>
      <x:c r="L146" s="105" t="n">
        <x:f>IF(I146&gt;0,MIN('Your Mortgage'!$F$6,MAX(0,I146+J146-K146)),0)</x:f>
        <x:v>250</x:v>
      </x:c>
      <x:c r="M146" s="105" t="n">
        <x:f>IF(AND(A146='Your Mortgage'!$F$8,I146&gt;0),MIN('Your Mortgage'!$F$7,MAX(0,I146+J146-K146-L146)),0)</x:f>
        <x:v>0</x:v>
      </x:c>
      <x:c r="N146" s="105" t="n">
        <x:f>K146+L146+M146</x:f>
        <x:v>2304.2210763521375</x:v>
      </x:c>
      <x:c r="O146" s="105" t="n">
        <x:f>MAX(0,N146-J146)</x:f>
        <x:v>1212.5699162642636</x:v>
      </x:c>
      <x:c r="P146" s="105" t="n">
        <x:f>MAX(0,I146-O146)</x:f>
        <x:v>200323.02886918938</x:v>
      </x:c>
      <x:c r="Q146" s="106" t="n">
        <x:f>X145</x:f>
        <x:v>159348.70378775228</x:v>
      </x:c>
      <x:c r="R146" s="106" t="n">
        <x:f>IF(Q146&gt;0,Q146*'Your Mortgage'!$C$7/12,0)</x:f>
        <x:v>863.1388121836582</x:v>
      </x:c>
      <x:c r="S146" s="106" t="n">
        <x:f>IF(Q146&gt;0,MIN('Your Mortgage'!$C$11,Q146+R146),0)</x:f>
        <x:v>2054.2210763521375</x:v>
      </x:c>
      <x:c r="T146" s="106" t="n">
        <x:f>IF(Q146&gt;0,MIN('Your Mortgage'!$I$6,MAX(0,Q146+R146-S146)),0)</x:f>
        <x:v>500</x:v>
      </x:c>
      <x:c r="U146" s="106" t="n">
        <x:f>IF(AND(A146='Your Mortgage'!$I$8,Q146&gt;0),MIN('Your Mortgage'!$I$7,MAX(0,Q146+R146-S146-T146)),0)</x:f>
        <x:v>0</x:v>
      </x:c>
      <x:c r="V146" s="106" t="n">
        <x:f>S146+T146+U146</x:f>
        <x:v>2554.2210763521375</x:v>
      </x:c>
      <x:c r="W146" s="106" t="n">
        <x:f>MAX(0,V146-R146)</x:f>
        <x:v>1691.0822641684795</x:v>
      </x:c>
      <x:c r="X146" s="106" t="n">
        <x:f>MAX(0,Q146-W146)</x:f>
        <x:v>157657.6215235838</x:v>
      </x:c>
      <x:c r="Y146" s="1"/>
      <x:c r="Z146" s="1"/>
    </x:row>
    <x:row r="147">
      <x:c r="A147" s="100" t="n">
        <x:f>A146+1</x:f>
        <x:v>142</x:v>
      </x:c>
      <x:c r="B147" s="103" t="n">
        <x:f>EDATE(B146,1)</x:f>
        <x:v>50526</x:v>
      </x:c>
      <x:c r="C147" s="104" t="n">
        <x:f>H146</x:f>
        <x:v>263062.9181146684</x:v>
      </x:c>
      <x:c r="D147" s="104" t="n">
        <x:f>IF(C147&gt;0,C147*'Your Mortgage'!$C$7/12,0)</x:f>
        <x:v>1424.924139787787</x:v>
      </x:c>
      <x:c r="E147" s="104" t="n">
        <x:f>IF(C147&gt;0,MIN('Your Mortgage'!$C$11,C147+D147),0)</x:f>
        <x:v>2054.2210763521375</x:v>
      </x:c>
      <x:c r="F147" s="104" t="n">
        <x:f>E147</x:f>
        <x:v>2054.2210763521375</x:v>
      </x:c>
      <x:c r="G147" s="104" t="n">
        <x:f>MAX(0,F147-D147)</x:f>
        <x:v>629.2969365643505</x:v>
      </x:c>
      <x:c r="H147" s="104" t="n">
        <x:f>MAX(0,C147-G147)</x:f>
        <x:v>262433.6211781041</x:v>
      </x:c>
      <x:c r="I147" s="105" t="n">
        <x:f>P146</x:f>
        <x:v>200323.02886918938</x:v>
      </x:c>
      <x:c r="J147" s="105" t="n">
        <x:f>IF(I147&gt;0,I147*'Your Mortgage'!$C$7/12,0)</x:f>
        <x:v>1085.0830730414425</x:v>
      </x:c>
      <x:c r="K147" s="105" t="n">
        <x:f>IF(I147&gt;0,MIN('Your Mortgage'!$C$11,I147+J147),0)</x:f>
        <x:v>2054.2210763521375</x:v>
      </x:c>
      <x:c r="L147" s="105" t="n">
        <x:f>IF(I147&gt;0,MIN('Your Mortgage'!$F$6,MAX(0,I147+J147-K147)),0)</x:f>
        <x:v>250</x:v>
      </x:c>
      <x:c r="M147" s="105" t="n">
        <x:f>IF(AND(A147='Your Mortgage'!$F$8,I147&gt;0),MIN('Your Mortgage'!$F$7,MAX(0,I147+J147-K147-L147)),0)</x:f>
        <x:v>0</x:v>
      </x:c>
      <x:c r="N147" s="105" t="n">
        <x:f>K147+L147+M147</x:f>
        <x:v>2304.2210763521375</x:v>
      </x:c>
      <x:c r="O147" s="105" t="n">
        <x:f>MAX(0,N147-J147)</x:f>
        <x:v>1219.138003310695</x:v>
      </x:c>
      <x:c r="P147" s="105" t="n">
        <x:f>MAX(0,I147-O147)</x:f>
        <x:v>199103.8908658787</x:v>
      </x:c>
      <x:c r="Q147" s="106" t="n">
        <x:f>X146</x:f>
        <x:v>157657.6215235838</x:v>
      </x:c>
      <x:c r="R147" s="106" t="n">
        <x:f>IF(Q147&gt;0,Q147*'Your Mortgage'!$C$7/12,0)</x:f>
        <x:v>853.9787832527455</x:v>
      </x:c>
      <x:c r="S147" s="106" t="n">
        <x:f>IF(Q147&gt;0,MIN('Your Mortgage'!$C$11,Q147+R147),0)</x:f>
        <x:v>2054.2210763521375</x:v>
      </x:c>
      <x:c r="T147" s="106" t="n">
        <x:f>IF(Q147&gt;0,MIN('Your Mortgage'!$I$6,MAX(0,Q147+R147-S147)),0)</x:f>
        <x:v>500</x:v>
      </x:c>
      <x:c r="U147" s="106" t="n">
        <x:f>IF(AND(A147='Your Mortgage'!$I$8,Q147&gt;0),MIN('Your Mortgage'!$I$7,MAX(0,Q147+R147-S147-T147)),0)</x:f>
        <x:v>0</x:v>
      </x:c>
      <x:c r="V147" s="106" t="n">
        <x:f>S147+T147+U147</x:f>
        <x:v>2554.2210763521375</x:v>
      </x:c>
      <x:c r="W147" s="106" t="n">
        <x:f>MAX(0,V147-R147)</x:f>
        <x:v>1700.242293099392</x:v>
      </x:c>
      <x:c r="X147" s="106" t="n">
        <x:f>MAX(0,Q147-W147)</x:f>
        <x:v>155957.37923048442</x:v>
      </x:c>
      <x:c r="Y147" s="1"/>
      <x:c r="Z147" s="1"/>
    </x:row>
    <x:row r="148">
      <x:c r="A148" s="100" t="n">
        <x:f>A147+1</x:f>
        <x:v>143</x:v>
      </x:c>
      <x:c r="B148" s="103" t="n">
        <x:f>EDATE(B147,1)</x:f>
        <x:v>50557</x:v>
      </x:c>
      <x:c r="C148" s="104" t="n">
        <x:f>H147</x:f>
        <x:v>262433.6211781041</x:v>
      </x:c>
      <x:c r="D148" s="104" t="n">
        <x:f>IF(C148&gt;0,C148*'Your Mortgage'!$C$7/12,0)</x:f>
        <x:v>1421.515448048064</x:v>
      </x:c>
      <x:c r="E148" s="104" t="n">
        <x:f>IF(C148&gt;0,MIN('Your Mortgage'!$C$11,C148+D148),0)</x:f>
        <x:v>2054.2210763521375</x:v>
      </x:c>
      <x:c r="F148" s="104" t="n">
        <x:f>E148</x:f>
        <x:v>2054.2210763521375</x:v>
      </x:c>
      <x:c r="G148" s="104" t="n">
        <x:f>MAX(0,F148-D148)</x:f>
        <x:v>632.7056283040736</x:v>
      </x:c>
      <x:c r="H148" s="104" t="n">
        <x:f>MAX(0,C148-G148)</x:f>
        <x:v>261800.9155498</x:v>
      </x:c>
      <x:c r="I148" s="105" t="n">
        <x:f>P147</x:f>
        <x:v>199103.8908658787</x:v>
      </x:c>
      <x:c r="J148" s="105" t="n">
        <x:f>IF(I148&gt;0,I148*'Your Mortgage'!$C$7/12,0)</x:f>
        <x:v>1078.479408856843</x:v>
      </x:c>
      <x:c r="K148" s="105" t="n">
        <x:f>IF(I148&gt;0,MIN('Your Mortgage'!$C$11,I148+J148),0)</x:f>
        <x:v>2054.2210763521375</x:v>
      </x:c>
      <x:c r="L148" s="105" t="n">
        <x:f>IF(I148&gt;0,MIN('Your Mortgage'!$F$6,MAX(0,I148+J148-K148)),0)</x:f>
        <x:v>250</x:v>
      </x:c>
      <x:c r="M148" s="105" t="n">
        <x:f>IF(AND(A148='Your Mortgage'!$F$8,I148&gt;0),MIN('Your Mortgage'!$F$7,MAX(0,I148+J148-K148-L148)),0)</x:f>
        <x:v>0</x:v>
      </x:c>
      <x:c r="N148" s="105" t="n">
        <x:f>K148+L148+M148</x:f>
        <x:v>2304.2210763521375</x:v>
      </x:c>
      <x:c r="O148" s="105" t="n">
        <x:f>MAX(0,N148-J148)</x:f>
        <x:v>1225.7416674952945</x:v>
      </x:c>
      <x:c r="P148" s="105" t="n">
        <x:f>MAX(0,I148-O148)</x:f>
        <x:v>197878.1491983834</x:v>
      </x:c>
      <x:c r="Q148" s="106" t="n">
        <x:f>X147</x:f>
        <x:v>155957.37923048442</x:v>
      </x:c>
      <x:c r="R148" s="106" t="n">
        <x:f>IF(Q148&gt;0,Q148*'Your Mortgage'!$C$7/12,0)</x:f>
        <x:v>844.7691374984573</x:v>
      </x:c>
      <x:c r="S148" s="106" t="n">
        <x:f>IF(Q148&gt;0,MIN('Your Mortgage'!$C$11,Q148+R148),0)</x:f>
        <x:v>2054.2210763521375</x:v>
      </x:c>
      <x:c r="T148" s="106" t="n">
        <x:f>IF(Q148&gt;0,MIN('Your Mortgage'!$I$6,MAX(0,Q148+R148-S148)),0)</x:f>
        <x:v>500</x:v>
      </x:c>
      <x:c r="U148" s="106" t="n">
        <x:f>IF(AND(A148='Your Mortgage'!$I$8,Q148&gt;0),MIN('Your Mortgage'!$I$7,MAX(0,Q148+R148-S148-T148)),0)</x:f>
        <x:v>0</x:v>
      </x:c>
      <x:c r="V148" s="106" t="n">
        <x:f>S148+T148+U148</x:f>
        <x:v>2554.2210763521375</x:v>
      </x:c>
      <x:c r="W148" s="106" t="n">
        <x:f>MAX(0,V148-R148)</x:f>
        <x:v>1709.45193885368</x:v>
      </x:c>
      <x:c r="X148" s="106" t="n">
        <x:f>MAX(0,Q148-W148)</x:f>
        <x:v>154247.92729163074</x:v>
      </x:c>
      <x:c r="Y148" s="1"/>
      <x:c r="Z148" s="1"/>
    </x:row>
    <x:row r="149">
      <x:c r="A149" s="100" t="n">
        <x:f>A148+1</x:f>
        <x:v>144</x:v>
      </x:c>
      <x:c r="B149" s="103" t="n">
        <x:f>EDATE(B148,1)</x:f>
        <x:v>50587</x:v>
      </x:c>
      <x:c r="C149" s="104" t="n">
        <x:f>H148</x:f>
        <x:v>261800.9155498</x:v>
      </x:c>
      <x:c r="D149" s="104" t="n">
        <x:f>IF(C149&gt;0,C149*'Your Mortgage'!$C$7/12,0)</x:f>
        <x:v>1418.0882925614167</x:v>
      </x:c>
      <x:c r="E149" s="104" t="n">
        <x:f>IF(C149&gt;0,MIN('Your Mortgage'!$C$11,C149+D149),0)</x:f>
        <x:v>2054.2210763521375</x:v>
      </x:c>
      <x:c r="F149" s="104" t="n">
        <x:f>E149</x:f>
        <x:v>2054.2210763521375</x:v>
      </x:c>
      <x:c r="G149" s="104" t="n">
        <x:f>MAX(0,F149-D149)</x:f>
        <x:v>636.1327837907209</x:v>
      </x:c>
      <x:c r="H149" s="104" t="n">
        <x:f>MAX(0,C149-G149)</x:f>
        <x:v>261164.78276600927</x:v>
      </x:c>
      <x:c r="I149" s="105" t="n">
        <x:f>P148</x:f>
        <x:v>197878.1491983834</x:v>
      </x:c>
      <x:c r="J149" s="105" t="n">
        <x:f>IF(I149&gt;0,I149*'Your Mortgage'!$C$7/12,0)</x:f>
        <x:v>1071.8399748245768</x:v>
      </x:c>
      <x:c r="K149" s="105" t="n">
        <x:f>IF(I149&gt;0,MIN('Your Mortgage'!$C$11,I149+J149),0)</x:f>
        <x:v>2054.2210763521375</x:v>
      </x:c>
      <x:c r="L149" s="105" t="n">
        <x:f>IF(I149&gt;0,MIN('Your Mortgage'!$F$6,MAX(0,I149+J149-K149)),0)</x:f>
        <x:v>250</x:v>
      </x:c>
      <x:c r="M149" s="105" t="n">
        <x:f>IF(AND(A149='Your Mortgage'!$F$8,I149&gt;0),MIN('Your Mortgage'!$F$7,MAX(0,I149+J149-K149-L149)),0)</x:f>
        <x:v>0</x:v>
      </x:c>
      <x:c r="N149" s="105" t="n">
        <x:f>K149+L149+M149</x:f>
        <x:v>2304.2210763521375</x:v>
      </x:c>
      <x:c r="O149" s="105" t="n">
        <x:f>MAX(0,N149-J149)</x:f>
        <x:v>1232.3811015275608</x:v>
      </x:c>
      <x:c r="P149" s="105" t="n">
        <x:f>MAX(0,I149-O149)</x:f>
        <x:v>196645.76809685584</x:v>
      </x:c>
      <x:c r="Q149" s="106" t="n">
        <x:f>X148</x:f>
        <x:v>154247.92729163074</x:v>
      </x:c>
      <x:c r="R149" s="106" t="n">
        <x:f>IF(Q149&gt;0,Q149*'Your Mortgage'!$C$7/12,0)</x:f>
        <x:v>835.5096061629998</x:v>
      </x:c>
      <x:c r="S149" s="106" t="n">
        <x:f>IF(Q149&gt;0,MIN('Your Mortgage'!$C$11,Q149+R149),0)</x:f>
        <x:v>2054.2210763521375</x:v>
      </x:c>
      <x:c r="T149" s="106" t="n">
        <x:f>IF(Q149&gt;0,MIN('Your Mortgage'!$I$6,MAX(0,Q149+R149-S149)),0)</x:f>
        <x:v>500</x:v>
      </x:c>
      <x:c r="U149" s="106" t="n">
        <x:f>IF(AND(A149='Your Mortgage'!$I$8,Q149&gt;0),MIN('Your Mortgage'!$I$7,MAX(0,Q149+R149-S149-T149)),0)</x:f>
        <x:v>0</x:v>
      </x:c>
      <x:c r="V149" s="106" t="n">
        <x:f>S149+T149+U149</x:f>
        <x:v>2554.2210763521375</x:v>
      </x:c>
      <x:c r="W149" s="106" t="n">
        <x:f>MAX(0,V149-R149)</x:f>
        <x:v>1718.7114701891378</x:v>
      </x:c>
      <x:c r="X149" s="106" t="n">
        <x:f>MAX(0,Q149-W149)</x:f>
        <x:v>152529.2158214416</x:v>
      </x:c>
      <x:c r="Y149" s="1"/>
      <x:c r="Z149" s="1"/>
    </x:row>
    <x:row r="150">
      <x:c r="A150" s="100" t="n">
        <x:f>A149+1</x:f>
        <x:v>145</x:v>
      </x:c>
      <x:c r="B150" s="103" t="n">
        <x:f>EDATE(B149,1)</x:f>
        <x:v>50618</x:v>
      </x:c>
      <x:c r="C150" s="104" t="n">
        <x:f>H149</x:f>
        <x:v>261164.78276600927</x:v>
      </x:c>
      <x:c r="D150" s="104" t="n">
        <x:f>IF(C150&gt;0,C150*'Your Mortgage'!$C$7/12,0)</x:f>
        <x:v>1414.6425733158837</x:v>
      </x:c>
      <x:c r="E150" s="104" t="n">
        <x:f>IF(C150&gt;0,MIN('Your Mortgage'!$C$11,C150+D150),0)</x:f>
        <x:v>2054.2210763521375</x:v>
      </x:c>
      <x:c r="F150" s="104" t="n">
        <x:f>E150</x:f>
        <x:v>2054.2210763521375</x:v>
      </x:c>
      <x:c r="G150" s="104" t="n">
        <x:f>MAX(0,F150-D150)</x:f>
        <x:v>639.5785030362538</x:v>
      </x:c>
      <x:c r="H150" s="104" t="n">
        <x:f>MAX(0,C150-G150)</x:f>
        <x:v>260525.204262973</x:v>
      </x:c>
      <x:c r="I150" s="105" t="n">
        <x:f>P149</x:f>
        <x:v>196645.76809685584</x:v>
      </x:c>
      <x:c r="J150" s="105" t="n">
        <x:f>IF(I150&gt;0,I150*'Your Mortgage'!$C$7/12,0)</x:f>
        <x:v>1065.1645771913024</x:v>
      </x:c>
      <x:c r="K150" s="105" t="n">
        <x:f>IF(I150&gt;0,MIN('Your Mortgage'!$C$11,I150+J150),0)</x:f>
        <x:v>2054.2210763521375</x:v>
      </x:c>
      <x:c r="L150" s="105" t="n">
        <x:f>IF(I150&gt;0,MIN('Your Mortgage'!$F$6,MAX(0,I150+J150-K150)),0)</x:f>
        <x:v>250</x:v>
      </x:c>
      <x:c r="M150" s="105" t="n">
        <x:f>IF(AND(A150='Your Mortgage'!$F$8,I150&gt;0),MIN('Your Mortgage'!$F$7,MAX(0,I150+J150-K150-L150)),0)</x:f>
        <x:v>0</x:v>
      </x:c>
      <x:c r="N150" s="105" t="n">
        <x:f>K150+L150+M150</x:f>
        <x:v>2304.2210763521375</x:v>
      </x:c>
      <x:c r="O150" s="105" t="n">
        <x:f>MAX(0,N150-J150)</x:f>
        <x:v>1239.056499160835</x:v>
      </x:c>
      <x:c r="P150" s="105" t="n">
        <x:f>MAX(0,I150-O150)</x:f>
        <x:v>195406.71159769502</x:v>
      </x:c>
      <x:c r="Q150" s="106" t="n">
        <x:f>X149</x:f>
        <x:v>152529.2158214416</x:v>
      </x:c>
      <x:c r="R150" s="106" t="n">
        <x:f>IF(Q150&gt;0,Q150*'Your Mortgage'!$C$7/12,0)</x:f>
        <x:v>826.1999190328088</x:v>
      </x:c>
      <x:c r="S150" s="106" t="n">
        <x:f>IF(Q150&gt;0,MIN('Your Mortgage'!$C$11,Q150+R150),0)</x:f>
        <x:v>2054.2210763521375</x:v>
      </x:c>
      <x:c r="T150" s="106" t="n">
        <x:f>IF(Q150&gt;0,MIN('Your Mortgage'!$I$6,MAX(0,Q150+R150-S150)),0)</x:f>
        <x:v>500</x:v>
      </x:c>
      <x:c r="U150" s="106" t="n">
        <x:f>IF(AND(A150='Your Mortgage'!$I$8,Q150&gt;0),MIN('Your Mortgage'!$I$7,MAX(0,Q150+R150-S150-T150)),0)</x:f>
        <x:v>0</x:v>
      </x:c>
      <x:c r="V150" s="106" t="n">
        <x:f>S150+T150+U150</x:f>
        <x:v>2554.2210763521375</x:v>
      </x:c>
      <x:c r="W150" s="106" t="n">
        <x:f>MAX(0,V150-R150)</x:f>
        <x:v>1728.0211573193287</x:v>
      </x:c>
      <x:c r="X150" s="106" t="n">
        <x:f>MAX(0,Q150-W150)</x:f>
        <x:v>150801.19466412227</x:v>
      </x:c>
      <x:c r="Y150" s="1"/>
      <x:c r="Z150" s="1"/>
    </x:row>
    <x:row r="151">
      <x:c r="A151" s="100" t="n">
        <x:f>A150+1</x:f>
        <x:v>146</x:v>
      </x:c>
      <x:c r="B151" s="103" t="n">
        <x:f>EDATE(B150,1)</x:f>
        <x:v>50649</x:v>
      </x:c>
      <x:c r="C151" s="104" t="n">
        <x:f>H150</x:f>
        <x:v>260525.204262973</x:v>
      </x:c>
      <x:c r="D151" s="104" t="n">
        <x:f>IF(C151&gt;0,C151*'Your Mortgage'!$C$7/12,0)</x:f>
        <x:v>1411.1781897577705</x:v>
      </x:c>
      <x:c r="E151" s="104" t="n">
        <x:f>IF(C151&gt;0,MIN('Your Mortgage'!$C$11,C151+D151),0)</x:f>
        <x:v>2054.2210763521375</x:v>
      </x:c>
      <x:c r="F151" s="104" t="n">
        <x:f>E151</x:f>
        <x:v>2054.2210763521375</x:v>
      </x:c>
      <x:c r="G151" s="104" t="n">
        <x:f>MAX(0,F151-D151)</x:f>
        <x:v>643.042886594367</x:v>
      </x:c>
      <x:c r="H151" s="104" t="n">
        <x:f>MAX(0,C151-G151)</x:f>
        <x:v>259882.16137637864</x:v>
      </x:c>
      <x:c r="I151" s="105" t="n">
        <x:f>P150</x:f>
        <x:v>195406.71159769502</x:v>
      </x:c>
      <x:c r="J151" s="105" t="n">
        <x:f>IF(I151&gt;0,I151*'Your Mortgage'!$C$7/12,0)</x:f>
        <x:v>1058.4530211541814</x:v>
      </x:c>
      <x:c r="K151" s="105" t="n">
        <x:f>IF(I151&gt;0,MIN('Your Mortgage'!$C$11,I151+J151),0)</x:f>
        <x:v>2054.2210763521375</x:v>
      </x:c>
      <x:c r="L151" s="105" t="n">
        <x:f>IF(I151&gt;0,MIN('Your Mortgage'!$F$6,MAX(0,I151+J151-K151)),0)</x:f>
        <x:v>250</x:v>
      </x:c>
      <x:c r="M151" s="105" t="n">
        <x:f>IF(AND(A151='Your Mortgage'!$F$8,I151&gt;0),MIN('Your Mortgage'!$F$7,MAX(0,I151+J151-K151-L151)),0)</x:f>
        <x:v>0</x:v>
      </x:c>
      <x:c r="N151" s="105" t="n">
        <x:f>K151+L151+M151</x:f>
        <x:v>2304.2210763521375</x:v>
      </x:c>
      <x:c r="O151" s="105" t="n">
        <x:f>MAX(0,N151-J151)</x:f>
        <x:v>1245.768055197956</x:v>
      </x:c>
      <x:c r="P151" s="105" t="n">
        <x:f>MAX(0,I151-O151)</x:f>
        <x:v>194160.94354249706</x:v>
      </x:c>
      <x:c r="Q151" s="106" t="n">
        <x:f>X150</x:f>
        <x:v>150801.19466412227</x:v>
      </x:c>
      <x:c r="R151" s="106" t="n">
        <x:f>IF(Q151&gt;0,Q151*'Your Mortgage'!$C$7/12,0)</x:f>
        <x:v>816.8398044306623</x:v>
      </x:c>
      <x:c r="S151" s="106" t="n">
        <x:f>IF(Q151&gt;0,MIN('Your Mortgage'!$C$11,Q151+R151),0)</x:f>
        <x:v>2054.2210763521375</x:v>
      </x:c>
      <x:c r="T151" s="106" t="n">
        <x:f>IF(Q151&gt;0,MIN('Your Mortgage'!$I$6,MAX(0,Q151+R151-S151)),0)</x:f>
        <x:v>500</x:v>
      </x:c>
      <x:c r="U151" s="106" t="n">
        <x:f>IF(AND(A151='Your Mortgage'!$I$8,Q151&gt;0),MIN('Your Mortgage'!$I$7,MAX(0,Q151+R151-S151-T151)),0)</x:f>
        <x:v>0</x:v>
      </x:c>
      <x:c r="V151" s="106" t="n">
        <x:f>S151+T151+U151</x:f>
        <x:v>2554.2210763521375</x:v>
      </x:c>
      <x:c r="W151" s="106" t="n">
        <x:f>MAX(0,V151-R151)</x:f>
        <x:v>1737.3812719214752</x:v>
      </x:c>
      <x:c r="X151" s="106" t="n">
        <x:f>MAX(0,Q151-W151)</x:f>
        <x:v>149063.8133922008</x:v>
      </x:c>
      <x:c r="Y151" s="1"/>
      <x:c r="Z151" s="1"/>
    </x:row>
    <x:row r="152">
      <x:c r="A152" s="100" t="n">
        <x:f>A151+1</x:f>
        <x:v>147</x:v>
      </x:c>
      <x:c r="B152" s="103" t="n">
        <x:f>EDATE(B151,1)</x:f>
        <x:v>50679</x:v>
      </x:c>
      <x:c r="C152" s="104" t="n">
        <x:f>H151</x:f>
        <x:v>259882.16137637864</x:v>
      </x:c>
      <x:c r="D152" s="104" t="n">
        <x:f>IF(C152&gt;0,C152*'Your Mortgage'!$C$7/12,0)</x:f>
        <x:v>1407.6950407887177</x:v>
      </x:c>
      <x:c r="E152" s="104" t="n">
        <x:f>IF(C152&gt;0,MIN('Your Mortgage'!$C$11,C152+D152),0)</x:f>
        <x:v>2054.2210763521375</x:v>
      </x:c>
      <x:c r="F152" s="104" t="n">
        <x:f>E152</x:f>
        <x:v>2054.2210763521375</x:v>
      </x:c>
      <x:c r="G152" s="104" t="n">
        <x:f>MAX(0,F152-D152)</x:f>
        <x:v>646.5260355634198</x:v>
      </x:c>
      <x:c r="H152" s="104" t="n">
        <x:f>MAX(0,C152-G152)</x:f>
        <x:v>259235.63534081524</x:v>
      </x:c>
      <x:c r="I152" s="105" t="n">
        <x:f>P151</x:f>
        <x:v>194160.94354249706</x:v>
      </x:c>
      <x:c r="J152" s="105" t="n">
        <x:f>IF(I152&gt;0,I152*'Your Mortgage'!$C$7/12,0)</x:f>
        <x:v>1051.7051108551925</x:v>
      </x:c>
      <x:c r="K152" s="105" t="n">
        <x:f>IF(I152&gt;0,MIN('Your Mortgage'!$C$11,I152+J152),0)</x:f>
        <x:v>2054.2210763521375</x:v>
      </x:c>
      <x:c r="L152" s="105" t="n">
        <x:f>IF(I152&gt;0,MIN('Your Mortgage'!$F$6,MAX(0,I152+J152-K152)),0)</x:f>
        <x:v>250</x:v>
      </x:c>
      <x:c r="M152" s="105" t="n">
        <x:f>IF(AND(A152='Your Mortgage'!$F$8,I152&gt;0),MIN('Your Mortgage'!$F$7,MAX(0,I152+J152-K152-L152)),0)</x:f>
        <x:v>0</x:v>
      </x:c>
      <x:c r="N152" s="105" t="n">
        <x:f>K152+L152+M152</x:f>
        <x:v>2304.2210763521375</x:v>
      </x:c>
      <x:c r="O152" s="105" t="n">
        <x:f>MAX(0,N152-J152)</x:f>
        <x:v>1252.515965496945</x:v>
      </x:c>
      <x:c r="P152" s="105" t="n">
        <x:f>MAX(0,I152-O152)</x:f>
        <x:v>192908.4275770001</x:v>
      </x:c>
      <x:c r="Q152" s="106" t="n">
        <x:f>X151</x:f>
        <x:v>149063.8133922008</x:v>
      </x:c>
      <x:c r="R152" s="106" t="n">
        <x:f>IF(Q152&gt;0,Q152*'Your Mortgage'!$C$7/12,0)</x:f>
        <x:v>807.4289892077544</x:v>
      </x:c>
      <x:c r="S152" s="106" t="n">
        <x:f>IF(Q152&gt;0,MIN('Your Mortgage'!$C$11,Q152+R152),0)</x:f>
        <x:v>2054.2210763521375</x:v>
      </x:c>
      <x:c r="T152" s="106" t="n">
        <x:f>IF(Q152&gt;0,MIN('Your Mortgage'!$I$6,MAX(0,Q152+R152-S152)),0)</x:f>
        <x:v>500</x:v>
      </x:c>
      <x:c r="U152" s="106" t="n">
        <x:f>IF(AND(A152='Your Mortgage'!$I$8,Q152&gt;0),MIN('Your Mortgage'!$I$7,MAX(0,Q152+R152-S152-T152)),0)</x:f>
        <x:v>0</x:v>
      </x:c>
      <x:c r="V152" s="106" t="n">
        <x:f>S152+T152+U152</x:f>
        <x:v>2554.2210763521375</x:v>
      </x:c>
      <x:c r="W152" s="106" t="n">
        <x:f>MAX(0,V152-R152)</x:f>
        <x:v>1746.792087144383</x:v>
      </x:c>
      <x:c r="X152" s="106" t="n">
        <x:f>MAX(0,Q152-W152)</x:f>
        <x:v>147317.0213050564</x:v>
      </x:c>
      <x:c r="Y152" s="1"/>
      <x:c r="Z152" s="1"/>
    </x:row>
    <x:row r="153">
      <x:c r="A153" s="100" t="n">
        <x:f>A152+1</x:f>
        <x:v>148</x:v>
      </x:c>
      <x:c r="B153" s="103" t="n">
        <x:f>EDATE(B152,1)</x:f>
        <x:v>50710</x:v>
      </x:c>
      <x:c r="C153" s="104" t="n">
        <x:f>H152</x:f>
        <x:v>259235.63534081524</x:v>
      </x:c>
      <x:c r="D153" s="104" t="n">
        <x:f>IF(C153&gt;0,C153*'Your Mortgage'!$C$7/12,0)</x:f>
        <x:v>1404.193024762749</x:v>
      </x:c>
      <x:c r="E153" s="104" t="n">
        <x:f>IF(C153&gt;0,MIN('Your Mortgage'!$C$11,C153+D153),0)</x:f>
        <x:v>2054.2210763521375</x:v>
      </x:c>
      <x:c r="F153" s="104" t="n">
        <x:f>E153</x:f>
        <x:v>2054.2210763521375</x:v>
      </x:c>
      <x:c r="G153" s="104" t="n">
        <x:f>MAX(0,F153-D153)</x:f>
        <x:v>650.0280515893885</x:v>
      </x:c>
      <x:c r="H153" s="104" t="n">
        <x:f>MAX(0,C153-G153)</x:f>
        <x:v>258585.60728922585</x:v>
      </x:c>
      <x:c r="I153" s="105" t="n">
        <x:f>P152</x:f>
        <x:v>192908.4275770001</x:v>
      </x:c>
      <x:c r="J153" s="105" t="n">
        <x:f>IF(I153&gt;0,I153*'Your Mortgage'!$C$7/12,0)</x:f>
        <x:v>1044.9206493754173</x:v>
      </x:c>
      <x:c r="K153" s="105" t="n">
        <x:f>IF(I153&gt;0,MIN('Your Mortgage'!$C$11,I153+J153),0)</x:f>
        <x:v>2054.2210763521375</x:v>
      </x:c>
      <x:c r="L153" s="105" t="n">
        <x:f>IF(I153&gt;0,MIN('Your Mortgage'!$F$6,MAX(0,I153+J153-K153)),0)</x:f>
        <x:v>250</x:v>
      </x:c>
      <x:c r="M153" s="105" t="n">
        <x:f>IF(AND(A153='Your Mortgage'!$F$8,I153&gt;0),MIN('Your Mortgage'!$F$7,MAX(0,I153+J153-K153-L153)),0)</x:f>
        <x:v>0</x:v>
      </x:c>
      <x:c r="N153" s="105" t="n">
        <x:f>K153+L153+M153</x:f>
        <x:v>2304.2210763521375</x:v>
      </x:c>
      <x:c r="O153" s="105" t="n">
        <x:f>MAX(0,N153-J153)</x:f>
        <x:v>1259.3004269767202</x:v>
      </x:c>
      <x:c r="P153" s="105" t="n">
        <x:f>MAX(0,I153-O153)</x:f>
        <x:v>191649.12715002339</x:v>
      </x:c>
      <x:c r="Q153" s="106" t="n">
        <x:f>X152</x:f>
        <x:v>147317.0213050564</x:v>
      </x:c>
      <x:c r="R153" s="106" t="n">
        <x:f>IF(Q153&gt;0,Q153*'Your Mortgage'!$C$7/12,0)</x:f>
        <x:v>797.9671987357223</x:v>
      </x:c>
      <x:c r="S153" s="106" t="n">
        <x:f>IF(Q153&gt;0,MIN('Your Mortgage'!$C$11,Q153+R153),0)</x:f>
        <x:v>2054.2210763521375</x:v>
      </x:c>
      <x:c r="T153" s="106" t="n">
        <x:f>IF(Q153&gt;0,MIN('Your Mortgage'!$I$6,MAX(0,Q153+R153-S153)),0)</x:f>
        <x:v>500</x:v>
      </x:c>
      <x:c r="U153" s="106" t="n">
        <x:f>IF(AND(A153='Your Mortgage'!$I$8,Q153&gt;0),MIN('Your Mortgage'!$I$7,MAX(0,Q153+R153-S153-T153)),0)</x:f>
        <x:v>0</x:v>
      </x:c>
      <x:c r="V153" s="106" t="n">
        <x:f>S153+T153+U153</x:f>
        <x:v>2554.2210763521375</x:v>
      </x:c>
      <x:c r="W153" s="106" t="n">
        <x:f>MAX(0,V153-R153)</x:f>
        <x:v>1756.2538776164151</x:v>
      </x:c>
      <x:c r="X153" s="106" t="n">
        <x:f>MAX(0,Q153-W153)</x:f>
        <x:v>145560.76742743998</x:v>
      </x:c>
      <x:c r="Y153" s="1"/>
      <x:c r="Z153" s="1"/>
    </x:row>
    <x:row r="154">
      <x:c r="A154" s="100" t="n">
        <x:f>A153+1</x:f>
        <x:v>149</x:v>
      </x:c>
      <x:c r="B154" s="103" t="n">
        <x:f>EDATE(B153,1)</x:f>
        <x:v>50740</x:v>
      </x:c>
      <x:c r="C154" s="104" t="n">
        <x:f>H153</x:f>
        <x:v>258585.60728922585</x:v>
      </x:c>
      <x:c r="D154" s="104" t="n">
        <x:f>IF(C154&gt;0,C154*'Your Mortgage'!$C$7/12,0)</x:f>
        <x:v>1400.6720394833067</x:v>
      </x:c>
      <x:c r="E154" s="104" t="n">
        <x:f>IF(C154&gt;0,MIN('Your Mortgage'!$C$11,C154+D154),0)</x:f>
        <x:v>2054.2210763521375</x:v>
      </x:c>
      <x:c r="F154" s="104" t="n">
        <x:f>E154</x:f>
        <x:v>2054.2210763521375</x:v>
      </x:c>
      <x:c r="G154" s="104" t="n">
        <x:f>MAX(0,F154-D154)</x:f>
        <x:v>653.5490368688309</x:v>
      </x:c>
      <x:c r="H154" s="104" t="n">
        <x:f>MAX(0,C154-G154)</x:f>
        <x:v>257932.05825235703</x:v>
      </x:c>
      <x:c r="I154" s="105" t="n">
        <x:f>P153</x:f>
        <x:v>191649.12715002339</x:v>
      </x:c>
      <x:c r="J154" s="105" t="n">
        <x:f>IF(I154&gt;0,I154*'Your Mortgage'!$C$7/12,0)</x:f>
        <x:v>1038.0994387292933</x:v>
      </x:c>
      <x:c r="K154" s="105" t="n">
        <x:f>IF(I154&gt;0,MIN('Your Mortgage'!$C$11,I154+J154),0)</x:f>
        <x:v>2054.2210763521375</x:v>
      </x:c>
      <x:c r="L154" s="105" t="n">
        <x:f>IF(I154&gt;0,MIN('Your Mortgage'!$F$6,MAX(0,I154+J154-K154)),0)</x:f>
        <x:v>250</x:v>
      </x:c>
      <x:c r="M154" s="105" t="n">
        <x:f>IF(AND(A154='Your Mortgage'!$F$8,I154&gt;0),MIN('Your Mortgage'!$F$7,MAX(0,I154+J154-K154-L154)),0)</x:f>
        <x:v>0</x:v>
      </x:c>
      <x:c r="N154" s="105" t="n">
        <x:f>K154+L154+M154</x:f>
        <x:v>2304.2210763521375</x:v>
      </x:c>
      <x:c r="O154" s="105" t="n">
        <x:f>MAX(0,N154-J154)</x:f>
        <x:v>1266.1216376228442</x:v>
      </x:c>
      <x:c r="P154" s="105" t="n">
        <x:f>MAX(0,I154-O154)</x:f>
        <x:v>190383.00551240053</x:v>
      </x:c>
      <x:c r="Q154" s="106" t="n">
        <x:f>X153</x:f>
        <x:v>145560.76742743998</x:v>
      </x:c>
      <x:c r="R154" s="106" t="n">
        <x:f>IF(Q154&gt;0,Q154*'Your Mortgage'!$C$7/12,0)</x:f>
        <x:v>788.4541568986333</x:v>
      </x:c>
      <x:c r="S154" s="106" t="n">
        <x:f>IF(Q154&gt;0,MIN('Your Mortgage'!$C$11,Q154+R154),0)</x:f>
        <x:v>2054.2210763521375</x:v>
      </x:c>
      <x:c r="T154" s="106" t="n">
        <x:f>IF(Q154&gt;0,MIN('Your Mortgage'!$I$6,MAX(0,Q154+R154-S154)),0)</x:f>
        <x:v>500</x:v>
      </x:c>
      <x:c r="U154" s="106" t="n">
        <x:f>IF(AND(A154='Your Mortgage'!$I$8,Q154&gt;0),MIN('Your Mortgage'!$I$7,MAX(0,Q154+R154-S154-T154)),0)</x:f>
        <x:v>0</x:v>
      </x:c>
      <x:c r="V154" s="106" t="n">
        <x:f>S154+T154+U154</x:f>
        <x:v>2554.2210763521375</x:v>
      </x:c>
      <x:c r="W154" s="106" t="n">
        <x:f>MAX(0,V154-R154)</x:f>
        <x:v>1765.7669194535042</x:v>
      </x:c>
      <x:c r="X154" s="106" t="n">
        <x:f>MAX(0,Q154-W154)</x:f>
        <x:v>143795.00050798646</x:v>
      </x:c>
      <x:c r="Y154" s="1"/>
      <x:c r="Z154" s="1"/>
    </x:row>
    <x:row r="155">
      <x:c r="A155" s="100" t="n">
        <x:f>A154+1</x:f>
        <x:v>150</x:v>
      </x:c>
      <x:c r="B155" s="103" t="n">
        <x:f>EDATE(B154,1)</x:f>
        <x:v>50771</x:v>
      </x:c>
      <x:c r="C155" s="104" t="n">
        <x:f>H154</x:f>
        <x:v>257932.05825235703</x:v>
      </x:c>
      <x:c r="D155" s="104" t="n">
        <x:f>IF(C155&gt;0,C155*'Your Mortgage'!$C$7/12,0)</x:f>
        <x:v>1397.1319822002672</x:v>
      </x:c>
      <x:c r="E155" s="104" t="n">
        <x:f>IF(C155&gt;0,MIN('Your Mortgage'!$C$11,C155+D155),0)</x:f>
        <x:v>2054.2210763521375</x:v>
      </x:c>
      <x:c r="F155" s="104" t="n">
        <x:f>E155</x:f>
        <x:v>2054.2210763521375</x:v>
      </x:c>
      <x:c r="G155" s="104" t="n">
        <x:f>MAX(0,F155-D155)</x:f>
        <x:v>657.0890941518703</x:v>
      </x:c>
      <x:c r="H155" s="104" t="n">
        <x:f>MAX(0,C155-G155)</x:f>
        <x:v>257274.96915820517</x:v>
      </x:c>
      <x:c r="I155" s="105" t="n">
        <x:f>P154</x:f>
        <x:v>190383.00551240053</x:v>
      </x:c>
      <x:c r="J155" s="105" t="n">
        <x:f>IF(I155&gt;0,I155*'Your Mortgage'!$C$7/12,0)</x:f>
        <x:v>1031.2412798588364</x:v>
      </x:c>
      <x:c r="K155" s="105" t="n">
        <x:f>IF(I155&gt;0,MIN('Your Mortgage'!$C$11,I155+J155),0)</x:f>
        <x:v>2054.2210763521375</x:v>
      </x:c>
      <x:c r="L155" s="105" t="n">
        <x:f>IF(I155&gt;0,MIN('Your Mortgage'!$F$6,MAX(0,I155+J155-K155)),0)</x:f>
        <x:v>250</x:v>
      </x:c>
      <x:c r="M155" s="105" t="n">
        <x:f>IF(AND(A155='Your Mortgage'!$F$8,I155&gt;0),MIN('Your Mortgage'!$F$7,MAX(0,I155+J155-K155-L155)),0)</x:f>
        <x:v>0</x:v>
      </x:c>
      <x:c r="N155" s="105" t="n">
        <x:f>K155+L155+M155</x:f>
        <x:v>2304.2210763521375</x:v>
      </x:c>
      <x:c r="O155" s="105" t="n">
        <x:f>MAX(0,N155-J155)</x:f>
        <x:v>1272.9797964933011</x:v>
      </x:c>
      <x:c r="P155" s="105" t="n">
        <x:f>MAX(0,I155-O155)</x:f>
        <x:v>189110.02571590722</x:v>
      </x:c>
      <x:c r="Q155" s="106" t="n">
        <x:f>X154</x:f>
        <x:v>143795.00050798646</x:v>
      </x:c>
      <x:c r="R155" s="106" t="n">
        <x:f>IF(Q155&gt;0,Q155*'Your Mortgage'!$C$7/12,0)</x:f>
        <x:v>778.8895860849267</x:v>
      </x:c>
      <x:c r="S155" s="106" t="n">
        <x:f>IF(Q155&gt;0,MIN('Your Mortgage'!$C$11,Q155+R155),0)</x:f>
        <x:v>2054.2210763521375</x:v>
      </x:c>
      <x:c r="T155" s="106" t="n">
        <x:f>IF(Q155&gt;0,MIN('Your Mortgage'!$I$6,MAX(0,Q155+R155-S155)),0)</x:f>
        <x:v>500</x:v>
      </x:c>
      <x:c r="U155" s="106" t="n">
        <x:f>IF(AND(A155='Your Mortgage'!$I$8,Q155&gt;0),MIN('Your Mortgage'!$I$7,MAX(0,Q155+R155-S155-T155)),0)</x:f>
        <x:v>0</x:v>
      </x:c>
      <x:c r="V155" s="106" t="n">
        <x:f>S155+T155+U155</x:f>
        <x:v>2554.2210763521375</x:v>
      </x:c>
      <x:c r="W155" s="106" t="n">
        <x:f>MAX(0,V155-R155)</x:f>
        <x:v>1775.331490267211</x:v>
      </x:c>
      <x:c r="X155" s="106" t="n">
        <x:f>MAX(0,Q155-W155)</x:f>
        <x:v>142019.66901771925</x:v>
      </x:c>
      <x:c r="Y155" s="1"/>
      <x:c r="Z155" s="1"/>
    </x:row>
    <x:row r="156">
      <x:c r="A156" s="100" t="n">
        <x:f>A155+1</x:f>
        <x:v>151</x:v>
      </x:c>
      <x:c r="B156" s="103" t="n">
        <x:f>EDATE(B155,1)</x:f>
        <x:v>50802</x:v>
      </x:c>
      <x:c r="C156" s="104" t="n">
        <x:f>H155</x:f>
        <x:v>257274.96915820517</x:v>
      </x:c>
      <x:c r="D156" s="104" t="n">
        <x:f>IF(C156&gt;0,C156*'Your Mortgage'!$C$7/12,0)</x:f>
        <x:v>1393.5727496069449</x:v>
      </x:c>
      <x:c r="E156" s="104" t="n">
        <x:f>IF(C156&gt;0,MIN('Your Mortgage'!$C$11,C156+D156),0)</x:f>
        <x:v>2054.2210763521375</x:v>
      </x:c>
      <x:c r="F156" s="104" t="n">
        <x:f>E156</x:f>
        <x:v>2054.2210763521375</x:v>
      </x:c>
      <x:c r="G156" s="104" t="n">
        <x:f>MAX(0,F156-D156)</x:f>
        <x:v>660.6483267451927</x:v>
      </x:c>
      <x:c r="H156" s="104" t="n">
        <x:f>MAX(0,C156-G156)</x:f>
        <x:v>256614.32083145998</x:v>
      </x:c>
      <x:c r="I156" s="105" t="n">
        <x:f>P155</x:f>
        <x:v>189110.02571590722</x:v>
      </x:c>
      <x:c r="J156" s="105" t="n">
        <x:f>IF(I156&gt;0,I156*'Your Mortgage'!$C$7/12,0)</x:f>
        <x:v>1024.3459726278309</x:v>
      </x:c>
      <x:c r="K156" s="105" t="n">
        <x:f>IF(I156&gt;0,MIN('Your Mortgage'!$C$11,I156+J156),0)</x:f>
        <x:v>2054.2210763521375</x:v>
      </x:c>
      <x:c r="L156" s="105" t="n">
        <x:f>IF(I156&gt;0,MIN('Your Mortgage'!$F$6,MAX(0,I156+J156-K156)),0)</x:f>
        <x:v>250</x:v>
      </x:c>
      <x:c r="M156" s="105" t="n">
        <x:f>IF(AND(A156='Your Mortgage'!$F$8,I156&gt;0),MIN('Your Mortgage'!$F$7,MAX(0,I156+J156-K156-L156)),0)</x:f>
        <x:v>0</x:v>
      </x:c>
      <x:c r="N156" s="105" t="n">
        <x:f>K156+L156+M156</x:f>
        <x:v>2304.2210763521375</x:v>
      </x:c>
      <x:c r="O156" s="105" t="n">
        <x:f>MAX(0,N156-J156)</x:f>
        <x:v>1279.8751037243067</x:v>
      </x:c>
      <x:c r="P156" s="105" t="n">
        <x:f>MAX(0,I156-O156)</x:f>
        <x:v>187830.15061218292</x:v>
      </x:c>
      <x:c r="Q156" s="106" t="n">
        <x:f>X155</x:f>
        <x:v>142019.66901771925</x:v>
      </x:c>
      <x:c r="R156" s="106" t="n">
        <x:f>IF(Q156&gt;0,Q156*'Your Mortgage'!$C$7/12,0)</x:f>
        <x:v>769.2732071793126</x:v>
      </x:c>
      <x:c r="S156" s="106" t="n">
        <x:f>IF(Q156&gt;0,MIN('Your Mortgage'!$C$11,Q156+R156),0)</x:f>
        <x:v>2054.2210763521375</x:v>
      </x:c>
      <x:c r="T156" s="106" t="n">
        <x:f>IF(Q156&gt;0,MIN('Your Mortgage'!$I$6,MAX(0,Q156+R156-S156)),0)</x:f>
        <x:v>500</x:v>
      </x:c>
      <x:c r="U156" s="106" t="n">
        <x:f>IF(AND(A156='Your Mortgage'!$I$8,Q156&gt;0),MIN('Your Mortgage'!$I$7,MAX(0,Q156+R156-S156-T156)),0)</x:f>
        <x:v>0</x:v>
      </x:c>
      <x:c r="V156" s="106" t="n">
        <x:f>S156+T156+U156</x:f>
        <x:v>2554.2210763521375</x:v>
      </x:c>
      <x:c r="W156" s="106" t="n">
        <x:f>MAX(0,V156-R156)</x:f>
        <x:v>1784.947869172825</x:v>
      </x:c>
      <x:c r="X156" s="106" t="n">
        <x:f>MAX(0,Q156-W156)</x:f>
        <x:v>140234.72114854644</x:v>
      </x:c>
      <x:c r="Y156" s="1"/>
      <x:c r="Z156" s="1"/>
    </x:row>
    <x:row r="157">
      <x:c r="A157" s="100" t="n">
        <x:f>A156+1</x:f>
        <x:v>152</x:v>
      </x:c>
      <x:c r="B157" s="103" t="n">
        <x:f>EDATE(B156,1)</x:f>
        <x:v>50830</x:v>
      </x:c>
      <x:c r="C157" s="104" t="n">
        <x:f>H156</x:f>
        <x:v>256614.32083145998</x:v>
      </x:c>
      <x:c r="D157" s="104" t="n">
        <x:f>IF(C157&gt;0,C157*'Your Mortgage'!$C$7/12,0)</x:f>
        <x:v>1389.994237837075</x:v>
      </x:c>
      <x:c r="E157" s="104" t="n">
        <x:f>IF(C157&gt;0,MIN('Your Mortgage'!$C$11,C157+D157),0)</x:f>
        <x:v>2054.2210763521375</x:v>
      </x:c>
      <x:c r="F157" s="104" t="n">
        <x:f>E157</x:f>
        <x:v>2054.2210763521375</x:v>
      </x:c>
      <x:c r="G157" s="104" t="n">
        <x:f>MAX(0,F157-D157)</x:f>
        <x:v>664.2268385150626</x:v>
      </x:c>
      <x:c r="H157" s="104" t="n">
        <x:f>MAX(0,C157-G157)</x:f>
        <x:v>255950.09399294492</x:v>
      </x:c>
      <x:c r="I157" s="105" t="n">
        <x:f>P156</x:f>
        <x:v>187830.15061218292</x:v>
      </x:c>
      <x:c r="J157" s="105" t="n">
        <x:f>IF(I157&gt;0,I157*'Your Mortgage'!$C$7/12,0)</x:f>
        <x:v>1017.4133158159908</x:v>
      </x:c>
      <x:c r="K157" s="105" t="n">
        <x:f>IF(I157&gt;0,MIN('Your Mortgage'!$C$11,I157+J157),0)</x:f>
        <x:v>2054.2210763521375</x:v>
      </x:c>
      <x:c r="L157" s="105" t="n">
        <x:f>IF(I157&gt;0,MIN('Your Mortgage'!$F$6,MAX(0,I157+J157-K157)),0)</x:f>
        <x:v>250</x:v>
      </x:c>
      <x:c r="M157" s="105" t="n">
        <x:f>IF(AND(A157='Your Mortgage'!$F$8,I157&gt;0),MIN('Your Mortgage'!$F$7,MAX(0,I157+J157-K157-L157)),0)</x:f>
        <x:v>0</x:v>
      </x:c>
      <x:c r="N157" s="105" t="n">
        <x:f>K157+L157+M157</x:f>
        <x:v>2304.2210763521375</x:v>
      </x:c>
      <x:c r="O157" s="105" t="n">
        <x:f>MAX(0,N157-J157)</x:f>
        <x:v>1286.8077605361468</x:v>
      </x:c>
      <x:c r="P157" s="105" t="n">
        <x:f>MAX(0,I157-O157)</x:f>
        <x:v>186543.34285164677</x:v>
      </x:c>
      <x:c r="Q157" s="106" t="n">
        <x:f>X156</x:f>
        <x:v>140234.72114854644</x:v>
      </x:c>
      <x:c r="R157" s="106" t="n">
        <x:f>IF(Q157&gt;0,Q157*'Your Mortgage'!$C$7/12,0)</x:f>
        <x:v>759.6047395546266</x:v>
      </x:c>
      <x:c r="S157" s="106" t="n">
        <x:f>IF(Q157&gt;0,MIN('Your Mortgage'!$C$11,Q157+R157),0)</x:f>
        <x:v>2054.2210763521375</x:v>
      </x:c>
      <x:c r="T157" s="106" t="n">
        <x:f>IF(Q157&gt;0,MIN('Your Mortgage'!$I$6,MAX(0,Q157+R157-S157)),0)</x:f>
        <x:v>500</x:v>
      </x:c>
      <x:c r="U157" s="106" t="n">
        <x:f>IF(AND(A157='Your Mortgage'!$I$8,Q157&gt;0),MIN('Your Mortgage'!$I$7,MAX(0,Q157+R157-S157-T157)),0)</x:f>
        <x:v>0</x:v>
      </x:c>
      <x:c r="V157" s="106" t="n">
        <x:f>S157+T157+U157</x:f>
        <x:v>2554.2210763521375</x:v>
      </x:c>
      <x:c r="W157" s="106" t="n">
        <x:f>MAX(0,V157-R157)</x:f>
        <x:v>1794.616336797511</x:v>
      </x:c>
      <x:c r="X157" s="106" t="n">
        <x:f>MAX(0,Q157-W157)</x:f>
        <x:v>138440.10481174893</x:v>
      </x:c>
      <x:c r="Y157" s="1"/>
      <x:c r="Z157" s="1"/>
    </x:row>
    <x:row r="158">
      <x:c r="A158" s="100" t="n">
        <x:f>A157+1</x:f>
        <x:v>153</x:v>
      </x:c>
      <x:c r="B158" s="103" t="n">
        <x:f>EDATE(B157,1)</x:f>
        <x:v>50861</x:v>
      </x:c>
      <x:c r="C158" s="104" t="n">
        <x:f>H157</x:f>
        <x:v>255950.09399294492</x:v>
      </x:c>
      <x:c r="D158" s="104" t="n">
        <x:f>IF(C158&gt;0,C158*'Your Mortgage'!$C$7/12,0)</x:f>
        <x:v>1386.396342461785</x:v>
      </x:c>
      <x:c r="E158" s="104" t="n">
        <x:f>IF(C158&gt;0,MIN('Your Mortgage'!$C$11,C158+D158),0)</x:f>
        <x:v>2054.2210763521375</x:v>
      </x:c>
      <x:c r="F158" s="104" t="n">
        <x:f>E158</x:f>
        <x:v>2054.2210763521375</x:v>
      </x:c>
      <x:c r="G158" s="104" t="n">
        <x:f>MAX(0,F158-D158)</x:f>
        <x:v>667.8247338903525</x:v>
      </x:c>
      <x:c r="H158" s="104" t="n">
        <x:f>MAX(0,C158-G158)</x:f>
        <x:v>255282.26925905456</x:v>
      </x:c>
      <x:c r="I158" s="105" t="n">
        <x:f>P157</x:f>
        <x:v>186543.34285164677</x:v>
      </x:c>
      <x:c r="J158" s="105" t="n">
        <x:f>IF(I158&gt;0,I158*'Your Mortgage'!$C$7/12,0)</x:f>
        <x:v>1010.4431071130866</x:v>
      </x:c>
      <x:c r="K158" s="105" t="n">
        <x:f>IF(I158&gt;0,MIN('Your Mortgage'!$C$11,I158+J158),0)</x:f>
        <x:v>2054.2210763521375</x:v>
      </x:c>
      <x:c r="L158" s="105" t="n">
        <x:f>IF(I158&gt;0,MIN('Your Mortgage'!$F$6,MAX(0,I158+J158-K158)),0)</x:f>
        <x:v>250</x:v>
      </x:c>
      <x:c r="M158" s="105" t="n">
        <x:f>IF(AND(A158='Your Mortgage'!$F$8,I158&gt;0),MIN('Your Mortgage'!$F$7,MAX(0,I158+J158-K158-L158)),0)</x:f>
        <x:v>0</x:v>
      </x:c>
      <x:c r="N158" s="105" t="n">
        <x:f>K158+L158+M158</x:f>
        <x:v>2304.2210763521375</x:v>
      </x:c>
      <x:c r="O158" s="105" t="n">
        <x:f>MAX(0,N158-J158)</x:f>
        <x:v>1293.777969239051</x:v>
      </x:c>
      <x:c r="P158" s="105" t="n">
        <x:f>MAX(0,I158-O158)</x:f>
        <x:v>185249.56488240772</x:v>
      </x:c>
      <x:c r="Q158" s="106" t="n">
        <x:f>X157</x:f>
        <x:v>138440.10481174893</x:v>
      </x:c>
      <x:c r="R158" s="106" t="n">
        <x:f>IF(Q158&gt;0,Q158*'Your Mortgage'!$C$7/12,0)</x:f>
        <x:v>749.8839010636401</x:v>
      </x:c>
      <x:c r="S158" s="106" t="n">
        <x:f>IF(Q158&gt;0,MIN('Your Mortgage'!$C$11,Q158+R158),0)</x:f>
        <x:v>2054.2210763521375</x:v>
      </x:c>
      <x:c r="T158" s="106" t="n">
        <x:f>IF(Q158&gt;0,MIN('Your Mortgage'!$I$6,MAX(0,Q158+R158-S158)),0)</x:f>
        <x:v>500</x:v>
      </x:c>
      <x:c r="U158" s="106" t="n">
        <x:f>IF(AND(A158='Your Mortgage'!$I$8,Q158&gt;0),MIN('Your Mortgage'!$I$7,MAX(0,Q158+R158-S158-T158)),0)</x:f>
        <x:v>0</x:v>
      </x:c>
      <x:c r="V158" s="106" t="n">
        <x:f>S158+T158+U158</x:f>
        <x:v>2554.2210763521375</x:v>
      </x:c>
      <x:c r="W158" s="106" t="n">
        <x:f>MAX(0,V158-R158)</x:f>
        <x:v>1804.3371752884973</x:v>
      </x:c>
      <x:c r="X158" s="106" t="n">
        <x:f>MAX(0,Q158-W158)</x:f>
        <x:v>136635.76763646043</x:v>
      </x:c>
      <x:c r="Y158" s="1"/>
      <x:c r="Z158" s="1"/>
    </x:row>
    <x:row r="159">
      <x:c r="A159" s="100" t="n">
        <x:f>A158+1</x:f>
        <x:v>154</x:v>
      </x:c>
      <x:c r="B159" s="103" t="n">
        <x:f>EDATE(B158,1)</x:f>
        <x:v>50891</x:v>
      </x:c>
      <x:c r="C159" s="104" t="n">
        <x:f>H158</x:f>
        <x:v>255282.26925905456</x:v>
      </x:c>
      <x:c r="D159" s="104" t="n">
        <x:f>IF(C159&gt;0,C159*'Your Mortgage'!$C$7/12,0)</x:f>
        <x:v>1382.7789584865457</x:v>
      </x:c>
      <x:c r="E159" s="104" t="n">
        <x:f>IF(C159&gt;0,MIN('Your Mortgage'!$C$11,C159+D159),0)</x:f>
        <x:v>2054.2210763521375</x:v>
      </x:c>
      <x:c r="F159" s="104" t="n">
        <x:f>E159</x:f>
        <x:v>2054.2210763521375</x:v>
      </x:c>
      <x:c r="G159" s="104" t="n">
        <x:f>MAX(0,F159-D159)</x:f>
        <x:v>671.4421178655919</x:v>
      </x:c>
      <x:c r="H159" s="104" t="n">
        <x:f>MAX(0,C159-G159)</x:f>
        <x:v>254610.82714118896</x:v>
      </x:c>
      <x:c r="I159" s="105" t="n">
        <x:f>P158</x:f>
        <x:v>185249.56488240772</x:v>
      </x:c>
      <x:c r="J159" s="105" t="n">
        <x:f>IF(I159&gt;0,I159*'Your Mortgage'!$C$7/12,0)</x:f>
        <x:v>1003.4351431130418</x:v>
      </x:c>
      <x:c r="K159" s="105" t="n">
        <x:f>IF(I159&gt;0,MIN('Your Mortgage'!$C$11,I159+J159),0)</x:f>
        <x:v>2054.2210763521375</x:v>
      </x:c>
      <x:c r="L159" s="105" t="n">
        <x:f>IF(I159&gt;0,MIN('Your Mortgage'!$F$6,MAX(0,I159+J159-K159)),0)</x:f>
        <x:v>250</x:v>
      </x:c>
      <x:c r="M159" s="105" t="n">
        <x:f>IF(AND(A159='Your Mortgage'!$F$8,I159&gt;0),MIN('Your Mortgage'!$F$7,MAX(0,I159+J159-K159-L159)),0)</x:f>
        <x:v>0</x:v>
      </x:c>
      <x:c r="N159" s="105" t="n">
        <x:f>K159+L159+M159</x:f>
        <x:v>2304.2210763521375</x:v>
      </x:c>
      <x:c r="O159" s="105" t="n">
        <x:f>MAX(0,N159-J159)</x:f>
        <x:v>1300.7859332390958</x:v>
      </x:c>
      <x:c r="P159" s="105" t="n">
        <x:f>MAX(0,I159-O159)</x:f>
        <x:v>183948.77894916863</x:v>
      </x:c>
      <x:c r="Q159" s="106" t="n">
        <x:f>X158</x:f>
        <x:v>136635.76763646043</x:v>
      </x:c>
      <x:c r="R159" s="106" t="n">
        <x:f>IF(Q159&gt;0,Q159*'Your Mortgage'!$C$7/12,0)</x:f>
        <x:v>740.1104080308273</x:v>
      </x:c>
      <x:c r="S159" s="106" t="n">
        <x:f>IF(Q159&gt;0,MIN('Your Mortgage'!$C$11,Q159+R159),0)</x:f>
        <x:v>2054.2210763521375</x:v>
      </x:c>
      <x:c r="T159" s="106" t="n">
        <x:f>IF(Q159&gt;0,MIN('Your Mortgage'!$I$6,MAX(0,Q159+R159-S159)),0)</x:f>
        <x:v>500</x:v>
      </x:c>
      <x:c r="U159" s="106" t="n">
        <x:f>IF(AND(A159='Your Mortgage'!$I$8,Q159&gt;0),MIN('Your Mortgage'!$I$7,MAX(0,Q159+R159-S159-T159)),0)</x:f>
        <x:v>0</x:v>
      </x:c>
      <x:c r="V159" s="106" t="n">
        <x:f>S159+T159+U159</x:f>
        <x:v>2554.2210763521375</x:v>
      </x:c>
      <x:c r="W159" s="106" t="n">
        <x:f>MAX(0,V159-R159)</x:f>
        <x:v>1814.1106683213102</x:v>
      </x:c>
      <x:c r="X159" s="106" t="n">
        <x:f>MAX(0,Q159-W159)</x:f>
        <x:v>134821.6569681391</x:v>
      </x:c>
      <x:c r="Y159" s="1"/>
      <x:c r="Z159" s="1"/>
    </x:row>
    <x:row r="160">
      <x:c r="A160" s="100" t="n">
        <x:f>A159+1</x:f>
        <x:v>155</x:v>
      </x:c>
      <x:c r="B160" s="103" t="n">
        <x:f>EDATE(B159,1)</x:f>
        <x:v>50922</x:v>
      </x:c>
      <x:c r="C160" s="104" t="n">
        <x:f>H159</x:f>
        <x:v>254610.82714118896</x:v>
      </x:c>
      <x:c r="D160" s="104" t="n">
        <x:f>IF(C160&gt;0,C160*'Your Mortgage'!$C$7/12,0)</x:f>
        <x:v>1379.141980348107</x:v>
      </x:c>
      <x:c r="E160" s="104" t="n">
        <x:f>IF(C160&gt;0,MIN('Your Mortgage'!$C$11,C160+D160),0)</x:f>
        <x:v>2054.2210763521375</x:v>
      </x:c>
      <x:c r="F160" s="104" t="n">
        <x:f>E160</x:f>
        <x:v>2054.2210763521375</x:v>
      </x:c>
      <x:c r="G160" s="104" t="n">
        <x:f>MAX(0,F160-D160)</x:f>
        <x:v>675.0790960040306</x:v>
      </x:c>
      <x:c r="H160" s="104" t="n">
        <x:f>MAX(0,C160-G160)</x:f>
        <x:v>253935.74804518494</x:v>
      </x:c>
      <x:c r="I160" s="105" t="n">
        <x:f>P159</x:f>
        <x:v>183948.77894916863</x:v>
      </x:c>
      <x:c r="J160" s="105" t="n">
        <x:f>IF(I160&gt;0,I160*'Your Mortgage'!$C$7/12,0)</x:f>
        <x:v>996.3892193079968</x:v>
      </x:c>
      <x:c r="K160" s="105" t="n">
        <x:f>IF(I160&gt;0,MIN('Your Mortgage'!$C$11,I160+J160),0)</x:f>
        <x:v>2054.2210763521375</x:v>
      </x:c>
      <x:c r="L160" s="105" t="n">
        <x:f>IF(I160&gt;0,MIN('Your Mortgage'!$F$6,MAX(0,I160+J160-K160)),0)</x:f>
        <x:v>250</x:v>
      </x:c>
      <x:c r="M160" s="105" t="n">
        <x:f>IF(AND(A160='Your Mortgage'!$F$8,I160&gt;0),MIN('Your Mortgage'!$F$7,MAX(0,I160+J160-K160-L160)),0)</x:f>
        <x:v>0</x:v>
      </x:c>
      <x:c r="N160" s="105" t="n">
        <x:f>K160+L160+M160</x:f>
        <x:v>2304.2210763521375</x:v>
      </x:c>
      <x:c r="O160" s="105" t="n">
        <x:f>MAX(0,N160-J160)</x:f>
        <x:v>1307.8318570441406</x:v>
      </x:c>
      <x:c r="P160" s="105" t="n">
        <x:f>MAX(0,I160-O160)</x:f>
        <x:v>182640.9470921245</x:v>
      </x:c>
      <x:c r="Q160" s="106" t="n">
        <x:f>X159</x:f>
        <x:v>134821.6569681391</x:v>
      </x:c>
      <x:c r="R160" s="106" t="n">
        <x:f>IF(Q160&gt;0,Q160*'Your Mortgage'!$C$7/12,0)</x:f>
        <x:v>730.2839752440868</x:v>
      </x:c>
      <x:c r="S160" s="106" t="n">
        <x:f>IF(Q160&gt;0,MIN('Your Mortgage'!$C$11,Q160+R160),0)</x:f>
        <x:v>2054.2210763521375</x:v>
      </x:c>
      <x:c r="T160" s="106" t="n">
        <x:f>IF(Q160&gt;0,MIN('Your Mortgage'!$I$6,MAX(0,Q160+R160-S160)),0)</x:f>
        <x:v>500</x:v>
      </x:c>
      <x:c r="U160" s="106" t="n">
        <x:f>IF(AND(A160='Your Mortgage'!$I$8,Q160&gt;0),MIN('Your Mortgage'!$I$7,MAX(0,Q160+R160-S160-T160)),0)</x:f>
        <x:v>0</x:v>
      </x:c>
      <x:c r="V160" s="106" t="n">
        <x:f>S160+T160+U160</x:f>
        <x:v>2554.2210763521375</x:v>
      </x:c>
      <x:c r="W160" s="106" t="n">
        <x:f>MAX(0,V160-R160)</x:f>
        <x:v>1823.9371011080507</x:v>
      </x:c>
      <x:c r="X160" s="106" t="n">
        <x:f>MAX(0,Q160-W160)</x:f>
        <x:v>132997.71986703106</x:v>
      </x:c>
      <x:c r="Y160" s="1"/>
      <x:c r="Z160" s="1"/>
    </x:row>
    <x:row r="161">
      <x:c r="A161" s="100" t="n">
        <x:f>A160+1</x:f>
        <x:v>156</x:v>
      </x:c>
      <x:c r="B161" s="103" t="n">
        <x:f>EDATE(B160,1)</x:f>
        <x:v>50952</x:v>
      </x:c>
      <x:c r="C161" s="104" t="n">
        <x:f>H160</x:f>
        <x:v>253935.74804518494</x:v>
      </x:c>
      <x:c r="D161" s="104" t="n">
        <x:f>IF(C161&gt;0,C161*'Your Mortgage'!$C$7/12,0)</x:f>
        <x:v>1375.4853019114187</x:v>
      </x:c>
      <x:c r="E161" s="104" t="n">
        <x:f>IF(C161&gt;0,MIN('Your Mortgage'!$C$11,C161+D161),0)</x:f>
        <x:v>2054.2210763521375</x:v>
      </x:c>
      <x:c r="F161" s="104" t="n">
        <x:f>E161</x:f>
        <x:v>2054.2210763521375</x:v>
      </x:c>
      <x:c r="G161" s="104" t="n">
        <x:f>MAX(0,F161-D161)</x:f>
        <x:v>678.7357744407188</x:v>
      </x:c>
      <x:c r="H161" s="104" t="n">
        <x:f>MAX(0,C161-G161)</x:f>
        <x:v>253257.01227074422</x:v>
      </x:c>
      <x:c r="I161" s="105" t="n">
        <x:f>P160</x:f>
        <x:v>182640.9470921245</x:v>
      </x:c>
      <x:c r="J161" s="105" t="n">
        <x:f>IF(I161&gt;0,I161*'Your Mortgage'!$C$7/12,0)</x:f>
        <x:v>989.305130082341</x:v>
      </x:c>
      <x:c r="K161" s="105" t="n">
        <x:f>IF(I161&gt;0,MIN('Your Mortgage'!$C$11,I161+J161),0)</x:f>
        <x:v>2054.2210763521375</x:v>
      </x:c>
      <x:c r="L161" s="105" t="n">
        <x:f>IF(I161&gt;0,MIN('Your Mortgage'!$F$6,MAX(0,I161+J161-K161)),0)</x:f>
        <x:v>250</x:v>
      </x:c>
      <x:c r="M161" s="105" t="n">
        <x:f>IF(AND(A161='Your Mortgage'!$F$8,I161&gt;0),MIN('Your Mortgage'!$F$7,MAX(0,I161+J161-K161-L161)),0)</x:f>
        <x:v>0</x:v>
      </x:c>
      <x:c r="N161" s="105" t="n">
        <x:f>K161+L161+M161</x:f>
        <x:v>2304.2210763521375</x:v>
      </x:c>
      <x:c r="O161" s="105" t="n">
        <x:f>MAX(0,N161-J161)</x:f>
        <x:v>1314.9159462697967</x:v>
      </x:c>
      <x:c r="P161" s="105" t="n">
        <x:f>MAX(0,I161-O161)</x:f>
        <x:v>181326.0311458547</x:v>
      </x:c>
      <x:c r="Q161" s="106" t="n">
        <x:f>X160</x:f>
        <x:v>132997.71986703106</x:v>
      </x:c>
      <x:c r="R161" s="106" t="n">
        <x:f>IF(Q161&gt;0,Q161*'Your Mortgage'!$C$7/12,0)</x:f>
        <x:v>720.4043159464183</x:v>
      </x:c>
      <x:c r="S161" s="106" t="n">
        <x:f>IF(Q161&gt;0,MIN('Your Mortgage'!$C$11,Q161+R161),0)</x:f>
        <x:v>2054.2210763521375</x:v>
      </x:c>
      <x:c r="T161" s="106" t="n">
        <x:f>IF(Q161&gt;0,MIN('Your Mortgage'!$I$6,MAX(0,Q161+R161-S161)),0)</x:f>
        <x:v>500</x:v>
      </x:c>
      <x:c r="U161" s="106" t="n">
        <x:f>IF(AND(A161='Your Mortgage'!$I$8,Q161&gt;0),MIN('Your Mortgage'!$I$7,MAX(0,Q161+R161-S161-T161)),0)</x:f>
        <x:v>0</x:v>
      </x:c>
      <x:c r="V161" s="106" t="n">
        <x:f>S161+T161+U161</x:f>
        <x:v>2554.2210763521375</x:v>
      </x:c>
      <x:c r="W161" s="106" t="n">
        <x:f>MAX(0,V161-R161)</x:f>
        <x:v>1833.8167604057194</x:v>
      </x:c>
      <x:c r="X161" s="106" t="n">
        <x:f>MAX(0,Q161-W161)</x:f>
        <x:v>131163.90310662534</x:v>
      </x:c>
      <x:c r="Y161" s="1"/>
      <x:c r="Z161" s="1"/>
    </x:row>
    <x:row r="162">
      <x:c r="A162" s="100" t="n">
        <x:f>A161+1</x:f>
        <x:v>157</x:v>
      </x:c>
      <x:c r="B162" s="103" t="n">
        <x:f>EDATE(B161,1)</x:f>
        <x:v>50983</x:v>
      </x:c>
      <x:c r="C162" s="104" t="n">
        <x:f>H161</x:f>
        <x:v>253257.01227074422</x:v>
      </x:c>
      <x:c r="D162" s="104" t="n">
        <x:f>IF(C162&gt;0,C162*'Your Mortgage'!$C$7/12,0)</x:f>
        <x:v>1371.8088164665312</x:v>
      </x:c>
      <x:c r="E162" s="104" t="n">
        <x:f>IF(C162&gt;0,MIN('Your Mortgage'!$C$11,C162+D162),0)</x:f>
        <x:v>2054.2210763521375</x:v>
      </x:c>
      <x:c r="F162" s="104" t="n">
        <x:f>E162</x:f>
        <x:v>2054.2210763521375</x:v>
      </x:c>
      <x:c r="G162" s="104" t="n">
        <x:f>MAX(0,F162-D162)</x:f>
        <x:v>682.4122598856063</x:v>
      </x:c>
      <x:c r="H162" s="104" t="n">
        <x:f>MAX(0,C162-G162)</x:f>
        <x:v>252574.60001085862</x:v>
      </x:c>
      <x:c r="I162" s="105" t="n">
        <x:f>P161</x:f>
        <x:v>181326.0311458547</x:v>
      </x:c>
      <x:c r="J162" s="105" t="n">
        <x:f>IF(I162&gt;0,I162*'Your Mortgage'!$C$7/12,0)</x:f>
        <x:v>982.1826687067131</x:v>
      </x:c>
      <x:c r="K162" s="105" t="n">
        <x:f>IF(I162&gt;0,MIN('Your Mortgage'!$C$11,I162+J162),0)</x:f>
        <x:v>2054.2210763521375</x:v>
      </x:c>
      <x:c r="L162" s="105" t="n">
        <x:f>IF(I162&gt;0,MIN('Your Mortgage'!$F$6,MAX(0,I162+J162-K162)),0)</x:f>
        <x:v>250</x:v>
      </x:c>
      <x:c r="M162" s="105" t="n">
        <x:f>IF(AND(A162='Your Mortgage'!$F$8,I162&gt;0),MIN('Your Mortgage'!$F$7,MAX(0,I162+J162-K162-L162)),0)</x:f>
        <x:v>0</x:v>
      </x:c>
      <x:c r="N162" s="105" t="n">
        <x:f>K162+L162+M162</x:f>
        <x:v>2304.2210763521375</x:v>
      </x:c>
      <x:c r="O162" s="105" t="n">
        <x:f>MAX(0,N162-J162)</x:f>
        <x:v>1322.0384076454243</x:v>
      </x:c>
      <x:c r="P162" s="105" t="n">
        <x:f>MAX(0,I162-O162)</x:f>
        <x:v>180003.9927382093</x:v>
      </x:c>
      <x:c r="Q162" s="106" t="n">
        <x:f>X161</x:f>
        <x:v>131163.90310662534</x:v>
      </x:c>
      <x:c r="R162" s="106" t="n">
        <x:f>IF(Q162&gt;0,Q162*'Your Mortgage'!$C$7/12,0)</x:f>
        <x:v>710.4711418275539</x:v>
      </x:c>
      <x:c r="S162" s="106" t="n">
        <x:f>IF(Q162&gt;0,MIN('Your Mortgage'!$C$11,Q162+R162),0)</x:f>
        <x:v>2054.2210763521375</x:v>
      </x:c>
      <x:c r="T162" s="106" t="n">
        <x:f>IF(Q162&gt;0,MIN('Your Mortgage'!$I$6,MAX(0,Q162+R162-S162)),0)</x:f>
        <x:v>500</x:v>
      </x:c>
      <x:c r="U162" s="106" t="n">
        <x:f>IF(AND(A162='Your Mortgage'!$I$8,Q162&gt;0),MIN('Your Mortgage'!$I$7,MAX(0,Q162+R162-S162-T162)),0)</x:f>
        <x:v>0</x:v>
      </x:c>
      <x:c r="V162" s="106" t="n">
        <x:f>S162+T162+U162</x:f>
        <x:v>2554.2210763521375</x:v>
      </x:c>
      <x:c r="W162" s="106" t="n">
        <x:f>MAX(0,V162-R162)</x:f>
        <x:v>1843.7499345245838</x:v>
      </x:c>
      <x:c r="X162" s="106" t="n">
        <x:f>MAX(0,Q162-W162)</x:f>
        <x:v>129320.15317210075</x:v>
      </x:c>
      <x:c r="Y162" s="1"/>
      <x:c r="Z162" s="1"/>
    </x:row>
    <x:row r="163">
      <x:c r="A163" s="100" t="n">
        <x:f>A162+1</x:f>
        <x:v>158</x:v>
      </x:c>
      <x:c r="B163" s="103" t="n">
        <x:f>EDATE(B162,1)</x:f>
        <x:v>51014</x:v>
      </x:c>
      <x:c r="C163" s="104" t="n">
        <x:f>H162</x:f>
        <x:v>252574.60001085862</x:v>
      </x:c>
      <x:c r="D163" s="104" t="n">
        <x:f>IF(C163&gt;0,C163*'Your Mortgage'!$C$7/12,0)</x:f>
        <x:v>1368.112416725484</x:v>
      </x:c>
      <x:c r="E163" s="104" t="n">
        <x:f>IF(C163&gt;0,MIN('Your Mortgage'!$C$11,C163+D163),0)</x:f>
        <x:v>2054.2210763521375</x:v>
      </x:c>
      <x:c r="F163" s="104" t="n">
        <x:f>E163</x:f>
        <x:v>2054.2210763521375</x:v>
      </x:c>
      <x:c r="G163" s="104" t="n">
        <x:f>MAX(0,F163-D163)</x:f>
        <x:v>686.1086596266534</x:v>
      </x:c>
      <x:c r="H163" s="104" t="n">
        <x:f>MAX(0,C163-G163)</x:f>
        <x:v>251888.49135123196</x:v>
      </x:c>
      <x:c r="I163" s="105" t="n">
        <x:f>P162</x:f>
        <x:v>180003.9927382093</x:v>
      </x:c>
      <x:c r="J163" s="105" t="n">
        <x:f>IF(I163&gt;0,I163*'Your Mortgage'!$C$7/12,0)</x:f>
        <x:v>975.021627331967</x:v>
      </x:c>
      <x:c r="K163" s="105" t="n">
        <x:f>IF(I163&gt;0,MIN('Your Mortgage'!$C$11,I163+J163),0)</x:f>
        <x:v>2054.2210763521375</x:v>
      </x:c>
      <x:c r="L163" s="105" t="n">
        <x:f>IF(I163&gt;0,MIN('Your Mortgage'!$F$6,MAX(0,I163+J163-K163)),0)</x:f>
        <x:v>250</x:v>
      </x:c>
      <x:c r="M163" s="105" t="n">
        <x:f>IF(AND(A163='Your Mortgage'!$F$8,I163&gt;0),MIN('Your Mortgage'!$F$7,MAX(0,I163+J163-K163-L163)),0)</x:f>
        <x:v>0</x:v>
      </x:c>
      <x:c r="N163" s="105" t="n">
        <x:f>K163+L163+M163</x:f>
        <x:v>2304.2210763521375</x:v>
      </x:c>
      <x:c r="O163" s="105" t="n">
        <x:f>MAX(0,N163-J163)</x:f>
        <x:v>1329.1994490201705</x:v>
      </x:c>
      <x:c r="P163" s="105" t="n">
        <x:f>MAX(0,I163-O163)</x:f>
        <x:v>178674.7932891891</x:v>
      </x:c>
      <x:c r="Q163" s="106" t="n">
        <x:f>X162</x:f>
        <x:v>129320.15317210075</x:v>
      </x:c>
      <x:c r="R163" s="106" t="n">
        <x:f>IF(Q163&gt;0,Q163*'Your Mortgage'!$C$7/12,0)</x:f>
        <x:v>700.4841630155457</x:v>
      </x:c>
      <x:c r="S163" s="106" t="n">
        <x:f>IF(Q163&gt;0,MIN('Your Mortgage'!$C$11,Q163+R163),0)</x:f>
        <x:v>2054.2210763521375</x:v>
      </x:c>
      <x:c r="T163" s="106" t="n">
        <x:f>IF(Q163&gt;0,MIN('Your Mortgage'!$I$6,MAX(0,Q163+R163-S163)),0)</x:f>
        <x:v>500</x:v>
      </x:c>
      <x:c r="U163" s="106" t="n">
        <x:f>IF(AND(A163='Your Mortgage'!$I$8,Q163&gt;0),MIN('Your Mortgage'!$I$7,MAX(0,Q163+R163-S163-T163)),0)</x:f>
        <x:v>0</x:v>
      </x:c>
      <x:c r="V163" s="106" t="n">
        <x:f>S163+T163+U163</x:f>
        <x:v>2554.2210763521375</x:v>
      </x:c>
      <x:c r="W163" s="106" t="n">
        <x:f>MAX(0,V163-R163)</x:f>
        <x:v>1853.736913336592</x:v>
      </x:c>
      <x:c r="X163" s="106" t="n">
        <x:f>MAX(0,Q163-W163)</x:f>
        <x:v>127466.41625876416</x:v>
      </x:c>
      <x:c r="Y163" s="1"/>
      <x:c r="Z163" s="1"/>
    </x:row>
    <x:row r="164">
      <x:c r="A164" s="100" t="n">
        <x:f>A163+1</x:f>
        <x:v>159</x:v>
      </x:c>
      <x:c r="B164" s="103" t="n">
        <x:f>EDATE(B163,1)</x:f>
        <x:v>51044</x:v>
      </x:c>
      <x:c r="C164" s="104" t="n">
        <x:f>H163</x:f>
        <x:v>251888.49135123196</x:v>
      </x:c>
      <x:c r="D164" s="104" t="n">
        <x:f>IF(C164&gt;0,C164*'Your Mortgage'!$C$7/12,0)</x:f>
        <x:v>1364.3959948191732</x:v>
      </x:c>
      <x:c r="E164" s="104" t="n">
        <x:f>IF(C164&gt;0,MIN('Your Mortgage'!$C$11,C164+D164),0)</x:f>
        <x:v>2054.2210763521375</x:v>
      </x:c>
      <x:c r="F164" s="104" t="n">
        <x:f>E164</x:f>
        <x:v>2054.2210763521375</x:v>
      </x:c>
      <x:c r="G164" s="104" t="n">
        <x:f>MAX(0,F164-D164)</x:f>
        <x:v>689.8250815329643</x:v>
      </x:c>
      <x:c r="H164" s="104" t="n">
        <x:f>MAX(0,C164-G164)</x:f>
        <x:v>251198.666269699</x:v>
      </x:c>
      <x:c r="I164" s="105" t="n">
        <x:f>P163</x:f>
        <x:v>178674.7932891891</x:v>
      </x:c>
      <x:c r="J164" s="105" t="n">
        <x:f>IF(I164&gt;0,I164*'Your Mortgage'!$C$7/12,0)</x:f>
        <x:v>967.8217969831077</x:v>
      </x:c>
      <x:c r="K164" s="105" t="n">
        <x:f>IF(I164&gt;0,MIN('Your Mortgage'!$C$11,I164+J164),0)</x:f>
        <x:v>2054.2210763521375</x:v>
      </x:c>
      <x:c r="L164" s="105" t="n">
        <x:f>IF(I164&gt;0,MIN('Your Mortgage'!$F$6,MAX(0,I164+J164-K164)),0)</x:f>
        <x:v>250</x:v>
      </x:c>
      <x:c r="M164" s="105" t="n">
        <x:f>IF(AND(A164='Your Mortgage'!$F$8,I164&gt;0),MIN('Your Mortgage'!$F$7,MAX(0,I164+J164-K164-L164)),0)</x:f>
        <x:v>0</x:v>
      </x:c>
      <x:c r="N164" s="105" t="n">
        <x:f>K164+L164+M164</x:f>
        <x:v>2304.2210763521375</x:v>
      </x:c>
      <x:c r="O164" s="105" t="n">
        <x:f>MAX(0,N164-J164)</x:f>
        <x:v>1336.39927936903</x:v>
      </x:c>
      <x:c r="P164" s="105" t="n">
        <x:f>MAX(0,I164-O164)</x:f>
        <x:v>177338.39400982007</x:v>
      </x:c>
      <x:c r="Q164" s="106" t="n">
        <x:f>X163</x:f>
        <x:v>127466.41625876416</x:v>
      </x:c>
      <x:c r="R164" s="106" t="n">
        <x:f>IF(Q164&gt;0,Q164*'Your Mortgage'!$C$7/12,0)</x:f>
        <x:v>690.4430880683059</x:v>
      </x:c>
      <x:c r="S164" s="106" t="n">
        <x:f>IF(Q164&gt;0,MIN('Your Mortgage'!$C$11,Q164+R164),0)</x:f>
        <x:v>2054.2210763521375</x:v>
      </x:c>
      <x:c r="T164" s="106" t="n">
        <x:f>IF(Q164&gt;0,MIN('Your Mortgage'!$I$6,MAX(0,Q164+R164-S164)),0)</x:f>
        <x:v>500</x:v>
      </x:c>
      <x:c r="U164" s="106" t="n">
        <x:f>IF(AND(A164='Your Mortgage'!$I$8,Q164&gt;0),MIN('Your Mortgage'!$I$7,MAX(0,Q164+R164-S164-T164)),0)</x:f>
        <x:v>0</x:v>
      </x:c>
      <x:c r="V164" s="106" t="n">
        <x:f>S164+T164+U164</x:f>
        <x:v>2554.2210763521375</x:v>
      </x:c>
      <x:c r="W164" s="106" t="n">
        <x:f>MAX(0,V164-R164)</x:f>
        <x:v>1863.7779882838317</x:v>
      </x:c>
      <x:c r="X164" s="106" t="n">
        <x:f>MAX(0,Q164-W164)</x:f>
        <x:v>125602.63827048033</x:v>
      </x:c>
      <x:c r="Y164" s="1"/>
      <x:c r="Z164" s="1"/>
    </x:row>
    <x:row r="165">
      <x:c r="A165" s="100" t="n">
        <x:f>A164+1</x:f>
        <x:v>160</x:v>
      </x:c>
      <x:c r="B165" s="103" t="n">
        <x:f>EDATE(B164,1)</x:f>
        <x:v>51075</x:v>
      </x:c>
      <x:c r="C165" s="104" t="n">
        <x:f>H164</x:f>
        <x:v>251198.666269699</x:v>
      </x:c>
      <x:c r="D165" s="104" t="n">
        <x:f>IF(C165&gt;0,C165*'Your Mortgage'!$C$7/12,0)</x:f>
        <x:v>1360.6594422942028</x:v>
      </x:c>
      <x:c r="E165" s="104" t="n">
        <x:f>IF(C165&gt;0,MIN('Your Mortgage'!$C$11,C165+D165),0)</x:f>
        <x:v>2054.2210763521375</x:v>
      </x:c>
      <x:c r="F165" s="104" t="n">
        <x:f>E165</x:f>
        <x:v>2054.2210763521375</x:v>
      </x:c>
      <x:c r="G165" s="104" t="n">
        <x:f>MAX(0,F165-D165)</x:f>
        <x:v>693.5616340579347</x:v>
      </x:c>
      <x:c r="H165" s="104" t="n">
        <x:f>MAX(0,C165-G165)</x:f>
        <x:v>250505.10463564107</x:v>
      </x:c>
      <x:c r="I165" s="105" t="n">
        <x:f>P164</x:f>
        <x:v>177338.39400982007</x:v>
      </x:c>
      <x:c r="J165" s="105" t="n">
        <x:f>IF(I165&gt;0,I165*'Your Mortgage'!$C$7/12,0)</x:f>
        <x:v>960.5829675531921</x:v>
      </x:c>
      <x:c r="K165" s="105" t="n">
        <x:f>IF(I165&gt;0,MIN('Your Mortgage'!$C$11,I165+J165),0)</x:f>
        <x:v>2054.2210763521375</x:v>
      </x:c>
      <x:c r="L165" s="105" t="n">
        <x:f>IF(I165&gt;0,MIN('Your Mortgage'!$F$6,MAX(0,I165+J165-K165)),0)</x:f>
        <x:v>250</x:v>
      </x:c>
      <x:c r="M165" s="105" t="n">
        <x:f>IF(AND(A165='Your Mortgage'!$F$8,I165&gt;0),MIN('Your Mortgage'!$F$7,MAX(0,I165+J165-K165-L165)),0)</x:f>
        <x:v>0</x:v>
      </x:c>
      <x:c r="N165" s="105" t="n">
        <x:f>K165+L165+M165</x:f>
        <x:v>2304.2210763521375</x:v>
      </x:c>
      <x:c r="O165" s="105" t="n">
        <x:f>MAX(0,N165-J165)</x:f>
        <x:v>1343.6381087989453</x:v>
      </x:c>
      <x:c r="P165" s="105" t="n">
        <x:f>MAX(0,I165-O165)</x:f>
        <x:v>175994.75590102113</x:v>
      </x:c>
      <x:c r="Q165" s="106" t="n">
        <x:f>X164</x:f>
        <x:v>125602.63827048033</x:v>
      </x:c>
      <x:c r="R165" s="106" t="n">
        <x:f>IF(Q165&gt;0,Q165*'Your Mortgage'!$C$7/12,0)</x:f>
        <x:v>680.3476239651018</x:v>
      </x:c>
      <x:c r="S165" s="106" t="n">
        <x:f>IF(Q165&gt;0,MIN('Your Mortgage'!$C$11,Q165+R165),0)</x:f>
        <x:v>2054.2210763521375</x:v>
      </x:c>
      <x:c r="T165" s="106" t="n">
        <x:f>IF(Q165&gt;0,MIN('Your Mortgage'!$I$6,MAX(0,Q165+R165-S165)),0)</x:f>
        <x:v>500</x:v>
      </x:c>
      <x:c r="U165" s="106" t="n">
        <x:f>IF(AND(A165='Your Mortgage'!$I$8,Q165&gt;0),MIN('Your Mortgage'!$I$7,MAX(0,Q165+R165-S165-T165)),0)</x:f>
        <x:v>0</x:v>
      </x:c>
      <x:c r="V165" s="106" t="n">
        <x:f>S165+T165+U165</x:f>
        <x:v>2554.2210763521375</x:v>
      </x:c>
      <x:c r="W165" s="106" t="n">
        <x:f>MAX(0,V165-R165)</x:f>
        <x:v>1873.8734523870357</x:v>
      </x:c>
      <x:c r="X165" s="106" t="n">
        <x:f>MAX(0,Q165-W165)</x:f>
        <x:v>123728.76481809329</x:v>
      </x:c>
      <x:c r="Y165" s="1"/>
      <x:c r="Z165" s="1"/>
    </x:row>
    <x:row r="166">
      <x:c r="A166" s="100" t="n">
        <x:f>A165+1</x:f>
        <x:v>161</x:v>
      </x:c>
      <x:c r="B166" s="103" t="n">
        <x:f>EDATE(B165,1)</x:f>
        <x:v>51105</x:v>
      </x:c>
      <x:c r="C166" s="104" t="n">
        <x:f>H165</x:f>
        <x:v>250505.10463564107</x:v>
      </x:c>
      <x:c r="D166" s="104" t="n">
        <x:f>IF(C166&gt;0,C166*'Your Mortgage'!$C$7/12,0)</x:f>
        <x:v>1356.9026501097226</x:v>
      </x:c>
      <x:c r="E166" s="104" t="n">
        <x:f>IF(C166&gt;0,MIN('Your Mortgage'!$C$11,C166+D166),0)</x:f>
        <x:v>2054.2210763521375</x:v>
      </x:c>
      <x:c r="F166" s="104" t="n">
        <x:f>E166</x:f>
        <x:v>2054.2210763521375</x:v>
      </x:c>
      <x:c r="G166" s="104" t="n">
        <x:f>MAX(0,F166-D166)</x:f>
        <x:v>697.318426242415</x:v>
      </x:c>
      <x:c r="H166" s="104" t="n">
        <x:f>MAX(0,C166-G166)</x:f>
        <x:v>249807.78620939865</x:v>
      </x:c>
      <x:c r="I166" s="105" t="n">
        <x:f>P165</x:f>
        <x:v>175994.75590102113</x:v>
      </x:c>
      <x:c r="J166" s="105" t="n">
        <x:f>IF(I166&gt;0,I166*'Your Mortgage'!$C$7/12,0)</x:f>
        <x:v>953.3049277971978</x:v>
      </x:c>
      <x:c r="K166" s="105" t="n">
        <x:f>IF(I166&gt;0,MIN('Your Mortgage'!$C$11,I166+J166),0)</x:f>
        <x:v>2054.2210763521375</x:v>
      </x:c>
      <x:c r="L166" s="105" t="n">
        <x:f>IF(I166&gt;0,MIN('Your Mortgage'!$F$6,MAX(0,I166+J166-K166)),0)</x:f>
        <x:v>250</x:v>
      </x:c>
      <x:c r="M166" s="105" t="n">
        <x:f>IF(AND(A166='Your Mortgage'!$F$8,I166&gt;0),MIN('Your Mortgage'!$F$7,MAX(0,I166+J166-K166-L166)),0)</x:f>
        <x:v>0</x:v>
      </x:c>
      <x:c r="N166" s="105" t="n">
        <x:f>K166+L166+M166</x:f>
        <x:v>2304.2210763521375</x:v>
      </x:c>
      <x:c r="O166" s="105" t="n">
        <x:f>MAX(0,N166-J166)</x:f>
        <x:v>1350.9161485549398</x:v>
      </x:c>
      <x:c r="P166" s="105" t="n">
        <x:f>MAX(0,I166-O166)</x:f>
        <x:v>174643.83975246619</x:v>
      </x:c>
      <x:c r="Q166" s="106" t="n">
        <x:f>X165</x:f>
        <x:v>123728.76481809329</x:v>
      </x:c>
      <x:c r="R166" s="106" t="n">
        <x:f>IF(Q166&gt;0,Q166*'Your Mortgage'!$C$7/12,0)</x:f>
        <x:v>670.1974760980053</x:v>
      </x:c>
      <x:c r="S166" s="106" t="n">
        <x:f>IF(Q166&gt;0,MIN('Your Mortgage'!$C$11,Q166+R166),0)</x:f>
        <x:v>2054.2210763521375</x:v>
      </x:c>
      <x:c r="T166" s="106" t="n">
        <x:f>IF(Q166&gt;0,MIN('Your Mortgage'!$I$6,MAX(0,Q166+R166-S166)),0)</x:f>
        <x:v>500</x:v>
      </x:c>
      <x:c r="U166" s="106" t="n">
        <x:f>IF(AND(A166='Your Mortgage'!$I$8,Q166&gt;0),MIN('Your Mortgage'!$I$7,MAX(0,Q166+R166-S166-T166)),0)</x:f>
        <x:v>0</x:v>
      </x:c>
      <x:c r="V166" s="106" t="n">
        <x:f>S166+T166+U166</x:f>
        <x:v>2554.2210763521375</x:v>
      </x:c>
      <x:c r="W166" s="106" t="n">
        <x:f>MAX(0,V166-R166)</x:f>
        <x:v>1884.0236002541324</x:v>
      </x:c>
      <x:c r="X166" s="106" t="n">
        <x:f>MAX(0,Q166-W166)</x:f>
        <x:v>121844.74121783915</x:v>
      </x:c>
      <x:c r="Y166" s="1"/>
      <x:c r="Z166" s="1"/>
    </x:row>
    <x:row r="167">
      <x:c r="A167" s="100" t="n">
        <x:f>A166+1</x:f>
        <x:v>162</x:v>
      </x:c>
      <x:c r="B167" s="103" t="n">
        <x:f>EDATE(B166,1)</x:f>
        <x:v>51136</x:v>
      </x:c>
      <x:c r="C167" s="104" t="n">
        <x:f>H166</x:f>
        <x:v>249807.78620939865</x:v>
      </x:c>
      <x:c r="D167" s="104" t="n">
        <x:f>IF(C167&gt;0,C167*'Your Mortgage'!$C$7/12,0)</x:f>
        <x:v>1353.1255086342428</x:v>
      </x:c>
      <x:c r="E167" s="104" t="n">
        <x:f>IF(C167&gt;0,MIN('Your Mortgage'!$C$11,C167+D167),0)</x:f>
        <x:v>2054.2210763521375</x:v>
      </x:c>
      <x:c r="F167" s="104" t="n">
        <x:f>E167</x:f>
        <x:v>2054.2210763521375</x:v>
      </x:c>
      <x:c r="G167" s="104" t="n">
        <x:f>MAX(0,F167-D167)</x:f>
        <x:v>701.0955677178947</x:v>
      </x:c>
      <x:c r="H167" s="104" t="n">
        <x:f>MAX(0,C167-G167)</x:f>
        <x:v>249106.69064168076</x:v>
      </x:c>
      <x:c r="I167" s="105" t="n">
        <x:f>P166</x:f>
        <x:v>174643.83975246619</x:v>
      </x:c>
      <x:c r="J167" s="105" t="n">
        <x:f>IF(I167&gt;0,I167*'Your Mortgage'!$C$7/12,0)</x:f>
        <x:v>945.9874653258585</x:v>
      </x:c>
      <x:c r="K167" s="105" t="n">
        <x:f>IF(I167&gt;0,MIN('Your Mortgage'!$C$11,I167+J167),0)</x:f>
        <x:v>2054.2210763521375</x:v>
      </x:c>
      <x:c r="L167" s="105" t="n">
        <x:f>IF(I167&gt;0,MIN('Your Mortgage'!$F$6,MAX(0,I167+J167-K167)),0)</x:f>
        <x:v>250</x:v>
      </x:c>
      <x:c r="M167" s="105" t="n">
        <x:f>IF(AND(A167='Your Mortgage'!$F$8,I167&gt;0),MIN('Your Mortgage'!$F$7,MAX(0,I167+J167-K167-L167)),0)</x:f>
        <x:v>0</x:v>
      </x:c>
      <x:c r="N167" s="105" t="n">
        <x:f>K167+L167+M167</x:f>
        <x:v>2304.2210763521375</x:v>
      </x:c>
      <x:c r="O167" s="105" t="n">
        <x:f>MAX(0,N167-J167)</x:f>
        <x:v>1358.233611026279</x:v>
      </x:c>
      <x:c r="P167" s="105" t="n">
        <x:f>MAX(0,I167-O167)</x:f>
        <x:v>173285.6061414399</x:v>
      </x:c>
      <x:c r="Q167" s="106" t="n">
        <x:f>X166</x:f>
        <x:v>121844.74121783915</x:v>
      </x:c>
      <x:c r="R167" s="106" t="n">
        <x:f>IF(Q167&gt;0,Q167*'Your Mortgage'!$C$7/12,0)</x:f>
        <x:v>659.9923482632954</x:v>
      </x:c>
      <x:c r="S167" s="106" t="n">
        <x:f>IF(Q167&gt;0,MIN('Your Mortgage'!$C$11,Q167+R167),0)</x:f>
        <x:v>2054.2210763521375</x:v>
      </x:c>
      <x:c r="T167" s="106" t="n">
        <x:f>IF(Q167&gt;0,MIN('Your Mortgage'!$I$6,MAX(0,Q167+R167-S167)),0)</x:f>
        <x:v>500</x:v>
      </x:c>
      <x:c r="U167" s="106" t="n">
        <x:f>IF(AND(A167='Your Mortgage'!$I$8,Q167&gt;0),MIN('Your Mortgage'!$I$7,MAX(0,Q167+R167-S167-T167)),0)</x:f>
        <x:v>0</x:v>
      </x:c>
      <x:c r="V167" s="106" t="n">
        <x:f>S167+T167+U167</x:f>
        <x:v>2554.2210763521375</x:v>
      </x:c>
      <x:c r="W167" s="106" t="n">
        <x:f>MAX(0,V167-R167)</x:f>
        <x:v>1894.2287280888422</x:v>
      </x:c>
      <x:c r="X167" s="106" t="n">
        <x:f>MAX(0,Q167-W167)</x:f>
        <x:v>119950.51248975031</x:v>
      </x:c>
      <x:c r="Y167" s="1"/>
      <x:c r="Z167" s="1"/>
    </x:row>
    <x:row r="168">
      <x:c r="A168" s="100" t="n">
        <x:f>A167+1</x:f>
        <x:v>163</x:v>
      </x:c>
      <x:c r="B168" s="103" t="n">
        <x:f>EDATE(B167,1)</x:f>
        <x:v>51167</x:v>
      </x:c>
      <x:c r="C168" s="104" t="n">
        <x:f>H167</x:f>
        <x:v>249106.69064168076</x:v>
      </x:c>
      <x:c r="D168" s="104" t="n">
        <x:f>IF(C168&gt;0,C168*'Your Mortgage'!$C$7/12,0)</x:f>
        <x:v>1349.3279076424376</x:v>
      </x:c>
      <x:c r="E168" s="104" t="n">
        <x:f>IF(C168&gt;0,MIN('Your Mortgage'!$C$11,C168+D168),0)</x:f>
        <x:v>2054.2210763521375</x:v>
      </x:c>
      <x:c r="F168" s="104" t="n">
        <x:f>E168</x:f>
        <x:v>2054.2210763521375</x:v>
      </x:c>
      <x:c r="G168" s="104" t="n">
        <x:f>MAX(0,F168-D168)</x:f>
        <x:v>704.8931687096999</x:v>
      </x:c>
      <x:c r="H168" s="104" t="n">
        <x:f>MAX(0,C168-G168)</x:f>
        <x:v>248401.79747297105</x:v>
      </x:c>
      <x:c r="I168" s="105" t="n">
        <x:f>P167</x:f>
        <x:v>173285.6061414399</x:v>
      </x:c>
      <x:c r="J168" s="105" t="n">
        <x:f>IF(I168&gt;0,I168*'Your Mortgage'!$C$7/12,0)</x:f>
        <x:v>938.6303665994661</x:v>
      </x:c>
      <x:c r="K168" s="105" t="n">
        <x:f>IF(I168&gt;0,MIN('Your Mortgage'!$C$11,I168+J168),0)</x:f>
        <x:v>2054.2210763521375</x:v>
      </x:c>
      <x:c r="L168" s="105" t="n">
        <x:f>IF(I168&gt;0,MIN('Your Mortgage'!$F$6,MAX(0,I168+J168-K168)),0)</x:f>
        <x:v>250</x:v>
      </x:c>
      <x:c r="M168" s="105" t="n">
        <x:f>IF(AND(A168='Your Mortgage'!$F$8,I168&gt;0),MIN('Your Mortgage'!$F$7,MAX(0,I168+J168-K168-L168)),0)</x:f>
        <x:v>0</x:v>
      </x:c>
      <x:c r="N168" s="105" t="n">
        <x:f>K168+L168+M168</x:f>
        <x:v>2304.2210763521375</x:v>
      </x:c>
      <x:c r="O168" s="105" t="n">
        <x:f>MAX(0,N168-J168)</x:f>
        <x:v>1365.5907097526715</x:v>
      </x:c>
      <x:c r="P168" s="105" t="n">
        <x:f>MAX(0,I168-O168)</x:f>
        <x:v>171920.01543168724</x:v>
      </x:c>
      <x:c r="Q168" s="106" t="n">
        <x:f>X167</x:f>
        <x:v>119950.51248975031</x:v>
      </x:c>
      <x:c r="R168" s="106" t="n">
        <x:f>IF(Q168&gt;0,Q168*'Your Mortgage'!$C$7/12,0)</x:f>
        <x:v>649.7319426528142</x:v>
      </x:c>
      <x:c r="S168" s="106" t="n">
        <x:f>IF(Q168&gt;0,MIN('Your Mortgage'!$C$11,Q168+R168),0)</x:f>
        <x:v>2054.2210763521375</x:v>
      </x:c>
      <x:c r="T168" s="106" t="n">
        <x:f>IF(Q168&gt;0,MIN('Your Mortgage'!$I$6,MAX(0,Q168+R168-S168)),0)</x:f>
        <x:v>500</x:v>
      </x:c>
      <x:c r="U168" s="106" t="n">
        <x:f>IF(AND(A168='Your Mortgage'!$I$8,Q168&gt;0),MIN('Your Mortgage'!$I$7,MAX(0,Q168+R168-S168-T168)),0)</x:f>
        <x:v>0</x:v>
      </x:c>
      <x:c r="V168" s="106" t="n">
        <x:f>S168+T168+U168</x:f>
        <x:v>2554.2210763521375</x:v>
      </x:c>
      <x:c r="W168" s="106" t="n">
        <x:f>MAX(0,V168-R168)</x:f>
        <x:v>1904.4891336993232</x:v>
      </x:c>
      <x:c r="X168" s="106" t="n">
        <x:f>MAX(0,Q168-W168)</x:f>
        <x:v>118046.023356051</x:v>
      </x:c>
      <x:c r="Y168" s="1"/>
      <x:c r="Z168" s="1"/>
    </x:row>
    <x:row r="169">
      <x:c r="A169" s="100" t="n">
        <x:f>A168+1</x:f>
        <x:v>164</x:v>
      </x:c>
      <x:c r="B169" s="103" t="n">
        <x:f>EDATE(B168,1)</x:f>
        <x:v>51196</x:v>
      </x:c>
      <x:c r="C169" s="104" t="n">
        <x:f>H168</x:f>
        <x:v>248401.79747297105</x:v>
      </x:c>
      <x:c r="D169" s="104" t="n">
        <x:f>IF(C169&gt;0,C169*'Your Mortgage'!$C$7/12,0)</x:f>
        <x:v>1345.5097363119266</x:v>
      </x:c>
      <x:c r="E169" s="104" t="n">
        <x:f>IF(C169&gt;0,MIN('Your Mortgage'!$C$11,C169+D169),0)</x:f>
        <x:v>2054.2210763521375</x:v>
      </x:c>
      <x:c r="F169" s="104" t="n">
        <x:f>E169</x:f>
        <x:v>2054.2210763521375</x:v>
      </x:c>
      <x:c r="G169" s="104" t="n">
        <x:f>MAX(0,F169-D169)</x:f>
        <x:v>708.7113400402109</x:v>
      </x:c>
      <x:c r="H169" s="104" t="n">
        <x:f>MAX(0,C169-G169)</x:f>
        <x:v>247693.08613293085</x:v>
      </x:c>
      <x:c r="I169" s="105" t="n">
        <x:f>P168</x:f>
        <x:v>171920.01543168724</x:v>
      </x:c>
      <x:c r="J169" s="105" t="n">
        <x:f>IF(I169&gt;0,I169*'Your Mortgage'!$C$7/12,0)</x:f>
        <x:v>931.2334169216392</x:v>
      </x:c>
      <x:c r="K169" s="105" t="n">
        <x:f>IF(I169&gt;0,MIN('Your Mortgage'!$C$11,I169+J169),0)</x:f>
        <x:v>2054.2210763521375</x:v>
      </x:c>
      <x:c r="L169" s="105" t="n">
        <x:f>IF(I169&gt;0,MIN('Your Mortgage'!$F$6,MAX(0,I169+J169-K169)),0)</x:f>
        <x:v>250</x:v>
      </x:c>
      <x:c r="M169" s="105" t="n">
        <x:f>IF(AND(A169='Your Mortgage'!$F$8,I169&gt;0),MIN('Your Mortgage'!$F$7,MAX(0,I169+J169-K169-L169)),0)</x:f>
        <x:v>0</x:v>
      </x:c>
      <x:c r="N169" s="105" t="n">
        <x:f>K169+L169+M169</x:f>
        <x:v>2304.2210763521375</x:v>
      </x:c>
      <x:c r="O169" s="105" t="n">
        <x:f>MAX(0,N169-J169)</x:f>
        <x:v>1372.9876594304983</x:v>
      </x:c>
      <x:c r="P169" s="105" t="n">
        <x:f>MAX(0,I169-O169)</x:f>
        <x:v>170547.02777225673</x:v>
      </x:c>
      <x:c r="Q169" s="106" t="n">
        <x:f>X168</x:f>
        <x:v>118046.023356051</x:v>
      </x:c>
      <x:c r="R169" s="106" t="n">
        <x:f>IF(Q169&gt;0,Q169*'Your Mortgage'!$C$7/12,0)</x:f>
        <x:v>639.4159598452762</x:v>
      </x:c>
      <x:c r="S169" s="106" t="n">
        <x:f>IF(Q169&gt;0,MIN('Your Mortgage'!$C$11,Q169+R169),0)</x:f>
        <x:v>2054.2210763521375</x:v>
      </x:c>
      <x:c r="T169" s="106" t="n">
        <x:f>IF(Q169&gt;0,MIN('Your Mortgage'!$I$6,MAX(0,Q169+R169-S169)),0)</x:f>
        <x:v>500</x:v>
      </x:c>
      <x:c r="U169" s="106" t="n">
        <x:f>IF(AND(A169='Your Mortgage'!$I$8,Q169&gt;0),MIN('Your Mortgage'!$I$7,MAX(0,Q169+R169-S169-T169)),0)</x:f>
        <x:v>0</x:v>
      </x:c>
      <x:c r="V169" s="106" t="n">
        <x:f>S169+T169+U169</x:f>
        <x:v>2554.2210763521375</x:v>
      </x:c>
      <x:c r="W169" s="106" t="n">
        <x:f>MAX(0,V169-R169)</x:f>
        <x:v>1914.8051165068614</x:v>
      </x:c>
      <x:c r="X169" s="106" t="n">
        <x:f>MAX(0,Q169-W169)</x:f>
        <x:v>116131.21823954413</x:v>
      </x:c>
      <x:c r="Y169" s="1"/>
      <x:c r="Z169" s="1"/>
    </x:row>
    <x:row r="170">
      <x:c r="A170" s="100" t="n">
        <x:f>A169+1</x:f>
        <x:v>165</x:v>
      </x:c>
      <x:c r="B170" s="103" t="n">
        <x:f>EDATE(B169,1)</x:f>
        <x:v>51227</x:v>
      </x:c>
      <x:c r="C170" s="104" t="n">
        <x:f>H169</x:f>
        <x:v>247693.08613293085</x:v>
      </x:c>
      <x:c r="D170" s="104" t="n">
        <x:f>IF(C170&gt;0,C170*'Your Mortgage'!$C$7/12,0)</x:f>
        <x:v>1341.6708832200422</x:v>
      </x:c>
      <x:c r="E170" s="104" t="n">
        <x:f>IF(C170&gt;0,MIN('Your Mortgage'!$C$11,C170+D170),0)</x:f>
        <x:v>2054.2210763521375</x:v>
      </x:c>
      <x:c r="F170" s="104" t="n">
        <x:f>E170</x:f>
        <x:v>2054.2210763521375</x:v>
      </x:c>
      <x:c r="G170" s="104" t="n">
        <x:f>MAX(0,F170-D170)</x:f>
        <x:v>712.5501931320953</x:v>
      </x:c>
      <x:c r="H170" s="104" t="n">
        <x:f>MAX(0,C170-G170)</x:f>
        <x:v>246980.53593979875</x:v>
      </x:c>
      <x:c r="I170" s="105" t="n">
        <x:f>P169</x:f>
        <x:v>170547.02777225673</x:v>
      </x:c>
      <x:c r="J170" s="105" t="n">
        <x:f>IF(I170&gt;0,I170*'Your Mortgage'!$C$7/12,0)</x:f>
        <x:v>923.7964004330573</x:v>
      </x:c>
      <x:c r="K170" s="105" t="n">
        <x:f>IF(I170&gt;0,MIN('Your Mortgage'!$C$11,I170+J170),0)</x:f>
        <x:v>2054.2210763521375</x:v>
      </x:c>
      <x:c r="L170" s="105" t="n">
        <x:f>IF(I170&gt;0,MIN('Your Mortgage'!$F$6,MAX(0,I170+J170-K170)),0)</x:f>
        <x:v>250</x:v>
      </x:c>
      <x:c r="M170" s="105" t="n">
        <x:f>IF(AND(A170='Your Mortgage'!$F$8,I170&gt;0),MIN('Your Mortgage'!$F$7,MAX(0,I170+J170-K170-L170)),0)</x:f>
        <x:v>0</x:v>
      </x:c>
      <x:c r="N170" s="105" t="n">
        <x:f>K170+L170+M170</x:f>
        <x:v>2304.2210763521375</x:v>
      </x:c>
      <x:c r="O170" s="105" t="n">
        <x:f>MAX(0,N170-J170)</x:f>
        <x:v>1380.42467591908</x:v>
      </x:c>
      <x:c r="P170" s="105" t="n">
        <x:f>MAX(0,I170-O170)</x:f>
        <x:v>169166.60309633764</x:v>
      </x:c>
      <x:c r="Q170" s="106" t="n">
        <x:f>X169</x:f>
        <x:v>116131.21823954413</x:v>
      </x:c>
      <x:c r="R170" s="106" t="n">
        <x:f>IF(Q170&gt;0,Q170*'Your Mortgage'!$C$7/12,0)</x:f>
        <x:v>629.0440987975308</x:v>
      </x:c>
      <x:c r="S170" s="106" t="n">
        <x:f>IF(Q170&gt;0,MIN('Your Mortgage'!$C$11,Q170+R170),0)</x:f>
        <x:v>2054.2210763521375</x:v>
      </x:c>
      <x:c r="T170" s="106" t="n">
        <x:f>IF(Q170&gt;0,MIN('Your Mortgage'!$I$6,MAX(0,Q170+R170-S170)),0)</x:f>
        <x:v>500</x:v>
      </x:c>
      <x:c r="U170" s="106" t="n">
        <x:f>IF(AND(A170='Your Mortgage'!$I$8,Q170&gt;0),MIN('Your Mortgage'!$I$7,MAX(0,Q170+R170-S170-T170)),0)</x:f>
        <x:v>0</x:v>
      </x:c>
      <x:c r="V170" s="106" t="n">
        <x:f>S170+T170+U170</x:f>
        <x:v>2554.2210763521375</x:v>
      </x:c>
      <x:c r="W170" s="106" t="n">
        <x:f>MAX(0,V170-R170)</x:f>
        <x:v>1925.1769775546068</x:v>
      </x:c>
      <x:c r="X170" s="106" t="n">
        <x:f>MAX(0,Q170-W170)</x:f>
        <x:v>114206.04126198952</x:v>
      </x:c>
      <x:c r="Y170" s="1"/>
      <x:c r="Z170" s="1"/>
    </x:row>
    <x:row r="171">
      <x:c r="A171" s="100" t="n">
        <x:f>A170+1</x:f>
        <x:v>166</x:v>
      </x:c>
      <x:c r="B171" s="103" t="n">
        <x:f>EDATE(B170,1)</x:f>
        <x:v>51257</x:v>
      </x:c>
      <x:c r="C171" s="104" t="n">
        <x:f>H170</x:f>
        <x:v>246980.53593979875</x:v>
      </x:c>
      <x:c r="D171" s="104" t="n">
        <x:f>IF(C171&gt;0,C171*'Your Mortgage'!$C$7/12,0)</x:f>
        <x:v>1337.8112363405767</x:v>
      </x:c>
      <x:c r="E171" s="104" t="n">
        <x:f>IF(C171&gt;0,MIN('Your Mortgage'!$C$11,C171+D171),0)</x:f>
        <x:v>2054.2210763521375</x:v>
      </x:c>
      <x:c r="F171" s="104" t="n">
        <x:f>E171</x:f>
        <x:v>2054.2210763521375</x:v>
      </x:c>
      <x:c r="G171" s="104" t="n">
        <x:f>MAX(0,F171-D171)</x:f>
        <x:v>716.4098400115608</x:v>
      </x:c>
      <x:c r="H171" s="104" t="n">
        <x:f>MAX(0,C171-G171)</x:f>
        <x:v>246264.1260997872</x:v>
      </x:c>
      <x:c r="I171" s="105" t="n">
        <x:f>P170</x:f>
        <x:v>169166.60309633764</x:v>
      </x:c>
      <x:c r="J171" s="105" t="n">
        <x:f>IF(I171&gt;0,I171*'Your Mortgage'!$C$7/12,0)</x:f>
        <x:v>916.3191001051623</x:v>
      </x:c>
      <x:c r="K171" s="105" t="n">
        <x:f>IF(I171&gt;0,MIN('Your Mortgage'!$C$11,I171+J171),0)</x:f>
        <x:v>2054.2210763521375</x:v>
      </x:c>
      <x:c r="L171" s="105" t="n">
        <x:f>IF(I171&gt;0,MIN('Your Mortgage'!$F$6,MAX(0,I171+J171-K171)),0)</x:f>
        <x:v>250</x:v>
      </x:c>
      <x:c r="M171" s="105" t="n">
        <x:f>IF(AND(A171='Your Mortgage'!$F$8,I171&gt;0),MIN('Your Mortgage'!$F$7,MAX(0,I171+J171-K171-L171)),0)</x:f>
        <x:v>0</x:v>
      </x:c>
      <x:c r="N171" s="105" t="n">
        <x:f>K171+L171+M171</x:f>
        <x:v>2304.2210763521375</x:v>
      </x:c>
      <x:c r="O171" s="105" t="n">
        <x:f>MAX(0,N171-J171)</x:f>
        <x:v>1387.9019762469752</x:v>
      </x:c>
      <x:c r="P171" s="105" t="n">
        <x:f>MAX(0,I171-O171)</x:f>
        <x:v>167778.70112009067</x:v>
      </x:c>
      <x:c r="Q171" s="106" t="n">
        <x:f>X170</x:f>
        <x:v>114206.04126198952</x:v>
      </x:c>
      <x:c r="R171" s="106" t="n">
        <x:f>IF(Q171&gt;0,Q171*'Your Mortgage'!$C$7/12,0)</x:f>
        <x:v>618.6160568357766</x:v>
      </x:c>
      <x:c r="S171" s="106" t="n">
        <x:f>IF(Q171&gt;0,MIN('Your Mortgage'!$C$11,Q171+R171),0)</x:f>
        <x:v>2054.2210763521375</x:v>
      </x:c>
      <x:c r="T171" s="106" t="n">
        <x:f>IF(Q171&gt;0,MIN('Your Mortgage'!$I$6,MAX(0,Q171+R171-S171)),0)</x:f>
        <x:v>500</x:v>
      </x:c>
      <x:c r="U171" s="106" t="n">
        <x:f>IF(AND(A171='Your Mortgage'!$I$8,Q171&gt;0),MIN('Your Mortgage'!$I$7,MAX(0,Q171+R171-S171-T171)),0)</x:f>
        <x:v>0</x:v>
      </x:c>
      <x:c r="V171" s="106" t="n">
        <x:f>S171+T171+U171</x:f>
        <x:v>2554.2210763521375</x:v>
      </x:c>
      <x:c r="W171" s="106" t="n">
        <x:f>MAX(0,V171-R171)</x:f>
        <x:v>1935.605019516361</x:v>
      </x:c>
      <x:c r="X171" s="106" t="n">
        <x:f>MAX(0,Q171-W171)</x:f>
        <x:v>112270.43624247317</x:v>
      </x:c>
      <x:c r="Y171" s="1"/>
      <x:c r="Z171" s="1"/>
    </x:row>
    <x:row r="172">
      <x:c r="A172" s="100" t="n">
        <x:f>A171+1</x:f>
        <x:v>167</x:v>
      </x:c>
      <x:c r="B172" s="103" t="n">
        <x:f>EDATE(B171,1)</x:f>
        <x:v>51288</x:v>
      </x:c>
      <x:c r="C172" s="104" t="n">
        <x:f>H171</x:f>
        <x:v>246264.1260997872</x:v>
      </x:c>
      <x:c r="D172" s="104" t="n">
        <x:f>IF(C172&gt;0,C172*'Your Mortgage'!$C$7/12,0)</x:f>
        <x:v>1333.930683040514</x:v>
      </x:c>
      <x:c r="E172" s="104" t="n">
        <x:f>IF(C172&gt;0,MIN('Your Mortgage'!$C$11,C172+D172),0)</x:f>
        <x:v>2054.2210763521375</x:v>
      </x:c>
      <x:c r="F172" s="104" t="n">
        <x:f>E172</x:f>
        <x:v>2054.2210763521375</x:v>
      </x:c>
      <x:c r="G172" s="104" t="n">
        <x:f>MAX(0,F172-D172)</x:f>
        <x:v>720.2903933116236</x:v>
      </x:c>
      <x:c r="H172" s="104" t="n">
        <x:f>MAX(0,C172-G172)</x:f>
        <x:v>245543.83570647557</x:v>
      </x:c>
      <x:c r="I172" s="105" t="n">
        <x:f>P171</x:f>
        <x:v>167778.70112009067</x:v>
      </x:c>
      <x:c r="J172" s="105" t="n">
        <x:f>IF(I172&gt;0,I172*'Your Mortgage'!$C$7/12,0)</x:f>
        <x:v>908.8012977338245</x:v>
      </x:c>
      <x:c r="K172" s="105" t="n">
        <x:f>IF(I172&gt;0,MIN('Your Mortgage'!$C$11,I172+J172),0)</x:f>
        <x:v>2054.2210763521375</x:v>
      </x:c>
      <x:c r="L172" s="105" t="n">
        <x:f>IF(I172&gt;0,MIN('Your Mortgage'!$F$6,MAX(0,I172+J172-K172)),0)</x:f>
        <x:v>250</x:v>
      </x:c>
      <x:c r="M172" s="105" t="n">
        <x:f>IF(AND(A172='Your Mortgage'!$F$8,I172&gt;0),MIN('Your Mortgage'!$F$7,MAX(0,I172+J172-K172-L172)),0)</x:f>
        <x:v>0</x:v>
      </x:c>
      <x:c r="N172" s="105" t="n">
        <x:f>K172+L172+M172</x:f>
        <x:v>2304.2210763521375</x:v>
      </x:c>
      <x:c r="O172" s="105" t="n">
        <x:f>MAX(0,N172-J172)</x:f>
        <x:v>1395.419778618313</x:v>
      </x:c>
      <x:c r="P172" s="105" t="n">
        <x:f>MAX(0,I172-O172)</x:f>
        <x:v>166383.28134147235</x:v>
      </x:c>
      <x:c r="Q172" s="106" t="n">
        <x:f>X171</x:f>
        <x:v>112270.43624247317</x:v>
      </x:c>
      <x:c r="R172" s="106" t="n">
        <x:f>IF(Q172&gt;0,Q172*'Your Mortgage'!$C$7/12,0)</x:f>
        <x:v>608.1315296467297</x:v>
      </x:c>
      <x:c r="S172" s="106" t="n">
        <x:f>IF(Q172&gt;0,MIN('Your Mortgage'!$C$11,Q172+R172),0)</x:f>
        <x:v>2054.2210763521375</x:v>
      </x:c>
      <x:c r="T172" s="106" t="n">
        <x:f>IF(Q172&gt;0,MIN('Your Mortgage'!$I$6,MAX(0,Q172+R172-S172)),0)</x:f>
        <x:v>500</x:v>
      </x:c>
      <x:c r="U172" s="106" t="n">
        <x:f>IF(AND(A172='Your Mortgage'!$I$8,Q172&gt;0),MIN('Your Mortgage'!$I$7,MAX(0,Q172+R172-S172-T172)),0)</x:f>
        <x:v>0</x:v>
      </x:c>
      <x:c r="V172" s="106" t="n">
        <x:f>S172+T172+U172</x:f>
        <x:v>2554.2210763521375</x:v>
      </x:c>
      <x:c r="W172" s="106" t="n">
        <x:f>MAX(0,V172-R172)</x:f>
        <x:v>1946.0895467054079</x:v>
      </x:c>
      <x:c r="X172" s="106" t="n">
        <x:f>MAX(0,Q172-W172)</x:f>
        <x:v>110324.34669576776</x:v>
      </x:c>
      <x:c r="Y172" s="1"/>
      <x:c r="Z172" s="1"/>
    </x:row>
    <x:row r="173">
      <x:c r="A173" s="100" t="n">
        <x:f>A172+1</x:f>
        <x:v>168</x:v>
      </x:c>
      <x:c r="B173" s="103" t="n">
        <x:f>EDATE(B172,1)</x:f>
        <x:v>51318</x:v>
      </x:c>
      <x:c r="C173" s="104" t="n">
        <x:f>H172</x:f>
        <x:v>245543.83570647557</x:v>
      </x:c>
      <x:c r="D173" s="104" t="n">
        <x:f>IF(C173&gt;0,C173*'Your Mortgage'!$C$7/12,0)</x:f>
        <x:v>1330.0291100767427</x:v>
      </x:c>
      <x:c r="E173" s="104" t="n">
        <x:f>IF(C173&gt;0,MIN('Your Mortgage'!$C$11,C173+D173),0)</x:f>
        <x:v>2054.2210763521375</x:v>
      </x:c>
      <x:c r="F173" s="104" t="n">
        <x:f>E173</x:f>
        <x:v>2054.2210763521375</x:v>
      </x:c>
      <x:c r="G173" s="104" t="n">
        <x:f>MAX(0,F173-D173)</x:f>
        <x:v>724.1919662753949</x:v>
      </x:c>
      <x:c r="H173" s="104" t="n">
        <x:f>MAX(0,C173-G173)</x:f>
        <x:v>244819.64374020018</x:v>
      </x:c>
      <x:c r="I173" s="105" t="n">
        <x:f>P172</x:f>
        <x:v>166383.28134147235</x:v>
      </x:c>
      <x:c r="J173" s="105" t="n">
        <x:f>IF(I173&gt;0,I173*'Your Mortgage'!$C$7/12,0)</x:f>
        <x:v>901.2427739329752</x:v>
      </x:c>
      <x:c r="K173" s="105" t="n">
        <x:f>IF(I173&gt;0,MIN('Your Mortgage'!$C$11,I173+J173),0)</x:f>
        <x:v>2054.2210763521375</x:v>
      </x:c>
      <x:c r="L173" s="105" t="n">
        <x:f>IF(I173&gt;0,MIN('Your Mortgage'!$F$6,MAX(0,I173+J173-K173)),0)</x:f>
        <x:v>250</x:v>
      </x:c>
      <x:c r="M173" s="105" t="n">
        <x:f>IF(AND(A173='Your Mortgage'!$F$8,I173&gt;0),MIN('Your Mortgage'!$F$7,MAX(0,I173+J173-K173-L173)),0)</x:f>
        <x:v>0</x:v>
      </x:c>
      <x:c r="N173" s="105" t="n">
        <x:f>K173+L173+M173</x:f>
        <x:v>2304.2210763521375</x:v>
      </x:c>
      <x:c r="O173" s="105" t="n">
        <x:f>MAX(0,N173-J173)</x:f>
        <x:v>1402.9783024191624</x:v>
      </x:c>
      <x:c r="P173" s="105" t="n">
        <x:f>MAX(0,I173-O173)</x:f>
        <x:v>164980.3030390532</x:v>
      </x:c>
      <x:c r="Q173" s="106" t="n">
        <x:f>X172</x:f>
        <x:v>110324.34669576776</x:v>
      </x:c>
      <x:c r="R173" s="106" t="n">
        <x:f>IF(Q173&gt;0,Q173*'Your Mortgage'!$C$7/12,0)</x:f>
        <x:v>597.5902112687421</x:v>
      </x:c>
      <x:c r="S173" s="106" t="n">
        <x:f>IF(Q173&gt;0,MIN('Your Mortgage'!$C$11,Q173+R173),0)</x:f>
        <x:v>2054.2210763521375</x:v>
      </x:c>
      <x:c r="T173" s="106" t="n">
        <x:f>IF(Q173&gt;0,MIN('Your Mortgage'!$I$6,MAX(0,Q173+R173-S173)),0)</x:f>
        <x:v>500</x:v>
      </x:c>
      <x:c r="U173" s="106" t="n">
        <x:f>IF(AND(A173='Your Mortgage'!$I$8,Q173&gt;0),MIN('Your Mortgage'!$I$7,MAX(0,Q173+R173-S173-T173)),0)</x:f>
        <x:v>0</x:v>
      </x:c>
      <x:c r="V173" s="106" t="n">
        <x:f>S173+T173+U173</x:f>
        <x:v>2554.2210763521375</x:v>
      </x:c>
      <x:c r="W173" s="106" t="n">
        <x:f>MAX(0,V173-R173)</x:f>
        <x:v>1956.6308650833953</x:v>
      </x:c>
      <x:c r="X173" s="106" t="n">
        <x:f>MAX(0,Q173-W173)</x:f>
        <x:v>108367.71583068436</x:v>
      </x:c>
      <x:c r="Y173" s="1"/>
      <x:c r="Z173" s="1"/>
    </x:row>
    <x:row r="174">
      <x:c r="A174" s="100" t="n">
        <x:f>A173+1</x:f>
        <x:v>169</x:v>
      </x:c>
      <x:c r="B174" s="103" t="n">
        <x:f>EDATE(B173,1)</x:f>
        <x:v>51349</x:v>
      </x:c>
      <x:c r="C174" s="104" t="n">
        <x:f>H173</x:f>
        <x:v>244819.64374020018</x:v>
      </x:c>
      <x:c r="D174" s="104" t="n">
        <x:f>IF(C174&gt;0,C174*'Your Mortgage'!$C$7/12,0)</x:f>
        <x:v>1326.106403592751</x:v>
      </x:c>
      <x:c r="E174" s="104" t="n">
        <x:f>IF(C174&gt;0,MIN('Your Mortgage'!$C$11,C174+D174),0)</x:f>
        <x:v>2054.2210763521375</x:v>
      </x:c>
      <x:c r="F174" s="104" t="n">
        <x:f>E174</x:f>
        <x:v>2054.2210763521375</x:v>
      </x:c>
      <x:c r="G174" s="104" t="n">
        <x:f>MAX(0,F174-D174)</x:f>
        <x:v>728.1146727593866</x:v>
      </x:c>
      <x:c r="H174" s="104" t="n">
        <x:f>MAX(0,C174-G174)</x:f>
        <x:v>244091.5290674408</x:v>
      </x:c>
      <x:c r="I174" s="105" t="n">
        <x:f>P173</x:f>
        <x:v>164980.3030390532</x:v>
      </x:c>
      <x:c r="J174" s="105" t="n">
        <x:f>IF(I174&gt;0,I174*'Your Mortgage'!$C$7/12,0)</x:f>
        <x:v>893.6433081282048</x:v>
      </x:c>
      <x:c r="K174" s="105" t="n">
        <x:f>IF(I174&gt;0,MIN('Your Mortgage'!$C$11,I174+J174),0)</x:f>
        <x:v>2054.2210763521375</x:v>
      </x:c>
      <x:c r="L174" s="105" t="n">
        <x:f>IF(I174&gt;0,MIN('Your Mortgage'!$F$6,MAX(0,I174+J174-K174)),0)</x:f>
        <x:v>250</x:v>
      </x:c>
      <x:c r="M174" s="105" t="n">
        <x:f>IF(AND(A174='Your Mortgage'!$F$8,I174&gt;0),MIN('Your Mortgage'!$F$7,MAX(0,I174+J174-K174-L174)),0)</x:f>
        <x:v>0</x:v>
      </x:c>
      <x:c r="N174" s="105" t="n">
        <x:f>K174+L174+M174</x:f>
        <x:v>2304.2210763521375</x:v>
      </x:c>
      <x:c r="O174" s="105" t="n">
        <x:f>MAX(0,N174-J174)</x:f>
        <x:v>1410.5777682239327</x:v>
      </x:c>
      <x:c r="P174" s="105" t="n">
        <x:f>MAX(0,I174-O174)</x:f>
        <x:v>163569.72527082925</x:v>
      </x:c>
      <x:c r="Q174" s="106" t="n">
        <x:f>X173</x:f>
        <x:v>108367.71583068436</x:v>
      </x:c>
      <x:c r="R174" s="106" t="n">
        <x:f>IF(Q174&gt;0,Q174*'Your Mortgage'!$C$7/12,0)</x:f>
        <x:v>586.9917940828736</x:v>
      </x:c>
      <x:c r="S174" s="106" t="n">
        <x:f>IF(Q174&gt;0,MIN('Your Mortgage'!$C$11,Q174+R174),0)</x:f>
        <x:v>2054.2210763521375</x:v>
      </x:c>
      <x:c r="T174" s="106" t="n">
        <x:f>IF(Q174&gt;0,MIN('Your Mortgage'!$I$6,MAX(0,Q174+R174-S174)),0)</x:f>
        <x:v>500</x:v>
      </x:c>
      <x:c r="U174" s="106" t="n">
        <x:f>IF(AND(A174='Your Mortgage'!$I$8,Q174&gt;0),MIN('Your Mortgage'!$I$7,MAX(0,Q174+R174-S174-T174)),0)</x:f>
        <x:v>0</x:v>
      </x:c>
      <x:c r="V174" s="106" t="n">
        <x:f>S174+T174+U174</x:f>
        <x:v>2554.2210763521375</x:v>
      </x:c>
      <x:c r="W174" s="106" t="n">
        <x:f>MAX(0,V174-R174)</x:f>
        <x:v>1967.2292822692639</x:v>
      </x:c>
      <x:c r="X174" s="106" t="n">
        <x:f>MAX(0,Q174-W174)</x:f>
        <x:v>106400.4865484151</x:v>
      </x:c>
      <x:c r="Y174" s="1"/>
      <x:c r="Z174" s="1"/>
    </x:row>
    <x:row r="175">
      <x:c r="A175" s="100" t="n">
        <x:f>A174+1</x:f>
        <x:v>170</x:v>
      </x:c>
      <x:c r="B175" s="103" t="n">
        <x:f>EDATE(B174,1)</x:f>
        <x:v>51380</x:v>
      </x:c>
      <x:c r="C175" s="104" t="n">
        <x:f>H174</x:f>
        <x:v>244091.5290674408</x:v>
      </x:c>
      <x:c r="D175" s="104" t="n">
        <x:f>IF(C175&gt;0,C175*'Your Mortgage'!$C$7/12,0)</x:f>
        <x:v>1322.1624491153045</x:v>
      </x:c>
      <x:c r="E175" s="104" t="n">
        <x:f>IF(C175&gt;0,MIN('Your Mortgage'!$C$11,C175+D175),0)</x:f>
        <x:v>2054.2210763521375</x:v>
      </x:c>
      <x:c r="F175" s="104" t="n">
        <x:f>E175</x:f>
        <x:v>2054.2210763521375</x:v>
      </x:c>
      <x:c r="G175" s="104" t="n">
        <x:f>MAX(0,F175-D175)</x:f>
        <x:v>732.058627236833</x:v>
      </x:c>
      <x:c r="H175" s="104" t="n">
        <x:f>MAX(0,C175-G175)</x:f>
        <x:v>243359.47044020396</x:v>
      </x:c>
      <x:c r="I175" s="105" t="n">
        <x:f>P174</x:f>
        <x:v>163569.72527082925</x:v>
      </x:c>
      <x:c r="J175" s="105" t="n">
        <x:f>IF(I175&gt;0,I175*'Your Mortgage'!$C$7/12,0)</x:f>
        <x:v>886.0026785503251</x:v>
      </x:c>
      <x:c r="K175" s="105" t="n">
        <x:f>IF(I175&gt;0,MIN('Your Mortgage'!$C$11,I175+J175),0)</x:f>
        <x:v>2054.2210763521375</x:v>
      </x:c>
      <x:c r="L175" s="105" t="n">
        <x:f>IF(I175&gt;0,MIN('Your Mortgage'!$F$6,MAX(0,I175+J175-K175)),0)</x:f>
        <x:v>250</x:v>
      </x:c>
      <x:c r="M175" s="105" t="n">
        <x:f>IF(AND(A175='Your Mortgage'!$F$8,I175&gt;0),MIN('Your Mortgage'!$F$7,MAX(0,I175+J175-K175-L175)),0)</x:f>
        <x:v>0</x:v>
      </x:c>
      <x:c r="N175" s="105" t="n">
        <x:f>K175+L175+M175</x:f>
        <x:v>2304.2210763521375</x:v>
      </x:c>
      <x:c r="O175" s="105" t="n">
        <x:f>MAX(0,N175-J175)</x:f>
        <x:v>1418.2183978018124</x:v>
      </x:c>
      <x:c r="P175" s="105" t="n">
        <x:f>MAX(0,I175-O175)</x:f>
        <x:v>162151.50687302745</x:v>
      </x:c>
      <x:c r="Q175" s="106" t="n">
        <x:f>X174</x:f>
        <x:v>106400.4865484151</x:v>
      </x:c>
      <x:c r="R175" s="106" t="n">
        <x:f>IF(Q175&gt;0,Q175*'Your Mortgage'!$C$7/12,0)</x:f>
        <x:v>576.3359688039151</x:v>
      </x:c>
      <x:c r="S175" s="106" t="n">
        <x:f>IF(Q175&gt;0,MIN('Your Mortgage'!$C$11,Q175+R175),0)</x:f>
        <x:v>2054.2210763521375</x:v>
      </x:c>
      <x:c r="T175" s="106" t="n">
        <x:f>IF(Q175&gt;0,MIN('Your Mortgage'!$I$6,MAX(0,Q175+R175-S175)),0)</x:f>
        <x:v>500</x:v>
      </x:c>
      <x:c r="U175" s="106" t="n">
        <x:f>IF(AND(A175='Your Mortgage'!$I$8,Q175&gt;0),MIN('Your Mortgage'!$I$7,MAX(0,Q175+R175-S175-T175)),0)</x:f>
        <x:v>0</x:v>
      </x:c>
      <x:c r="V175" s="106" t="n">
        <x:f>S175+T175+U175</x:f>
        <x:v>2554.2210763521375</x:v>
      </x:c>
      <x:c r="W175" s="106" t="n">
        <x:f>MAX(0,V175-R175)</x:f>
        <x:v>1977.8851075482225</x:v>
      </x:c>
      <x:c r="X175" s="106" t="n">
        <x:f>MAX(0,Q175-W175)</x:f>
        <x:v>104422.60144086687</x:v>
      </x:c>
      <x:c r="Y175" s="1"/>
      <x:c r="Z175" s="1"/>
    </x:row>
    <x:row r="176">
      <x:c r="A176" s="100" t="n">
        <x:f>A175+1</x:f>
        <x:v>171</x:v>
      </x:c>
      <x:c r="B176" s="103" t="n">
        <x:f>EDATE(B175,1)</x:f>
        <x:v>51410</x:v>
      </x:c>
      <x:c r="C176" s="104" t="n">
        <x:f>H175</x:f>
        <x:v>243359.47044020396</x:v>
      </x:c>
      <x:c r="D176" s="104" t="n">
        <x:f>IF(C176&gt;0,C176*'Your Mortgage'!$C$7/12,0)</x:f>
        <x:v>1318.1971315511048</x:v>
      </x:c>
      <x:c r="E176" s="104" t="n">
        <x:f>IF(C176&gt;0,MIN('Your Mortgage'!$C$11,C176+D176),0)</x:f>
        <x:v>2054.2210763521375</x:v>
      </x:c>
      <x:c r="F176" s="104" t="n">
        <x:f>E176</x:f>
        <x:v>2054.2210763521375</x:v>
      </x:c>
      <x:c r="G176" s="104" t="n">
        <x:f>MAX(0,F176-D176)</x:f>
        <x:v>736.0239448010327</x:v>
      </x:c>
      <x:c r="H176" s="104" t="n">
        <x:f>MAX(0,C176-G176)</x:f>
        <x:v>242623.44649540292</x:v>
      </x:c>
      <x:c r="I176" s="105" t="n">
        <x:f>P175</x:f>
        <x:v>162151.50687302745</x:v>
      </x:c>
      <x:c r="J176" s="105" t="n">
        <x:f>IF(I176&gt;0,I176*'Your Mortgage'!$C$7/12,0)</x:f>
        <x:v>878.3206622288986</x:v>
      </x:c>
      <x:c r="K176" s="105" t="n">
        <x:f>IF(I176&gt;0,MIN('Your Mortgage'!$C$11,I176+J176),0)</x:f>
        <x:v>2054.2210763521375</x:v>
      </x:c>
      <x:c r="L176" s="105" t="n">
        <x:f>IF(I176&gt;0,MIN('Your Mortgage'!$F$6,MAX(0,I176+J176-K176)),0)</x:f>
        <x:v>250</x:v>
      </x:c>
      <x:c r="M176" s="105" t="n">
        <x:f>IF(AND(A176='Your Mortgage'!$F$8,I176&gt;0),MIN('Your Mortgage'!$F$7,MAX(0,I176+J176-K176-L176)),0)</x:f>
        <x:v>0</x:v>
      </x:c>
      <x:c r="N176" s="105" t="n">
        <x:f>K176+L176+M176</x:f>
        <x:v>2304.2210763521375</x:v>
      </x:c>
      <x:c r="O176" s="105" t="n">
        <x:f>MAX(0,N176-J176)</x:f>
        <x:v>1425.900414123239</x:v>
      </x:c>
      <x:c r="P176" s="105" t="n">
        <x:f>MAX(0,I176-O176)</x:f>
        <x:v>160725.60645890422</x:v>
      </x:c>
      <x:c r="Q176" s="106" t="n">
        <x:f>X175</x:f>
        <x:v>104422.60144086687</x:v>
      </x:c>
      <x:c r="R176" s="106" t="n">
        <x:f>IF(Q176&gt;0,Q176*'Your Mortgage'!$C$7/12,0)</x:f>
        <x:v>565.6224244713623</x:v>
      </x:c>
      <x:c r="S176" s="106" t="n">
        <x:f>IF(Q176&gt;0,MIN('Your Mortgage'!$C$11,Q176+R176),0)</x:f>
        <x:v>2054.2210763521375</x:v>
      </x:c>
      <x:c r="T176" s="106" t="n">
        <x:f>IF(Q176&gt;0,MIN('Your Mortgage'!$I$6,MAX(0,Q176+R176-S176)),0)</x:f>
        <x:v>500</x:v>
      </x:c>
      <x:c r="U176" s="106" t="n">
        <x:f>IF(AND(A176='Your Mortgage'!$I$8,Q176&gt;0),MIN('Your Mortgage'!$I$7,MAX(0,Q176+R176-S176-T176)),0)</x:f>
        <x:v>0</x:v>
      </x:c>
      <x:c r="V176" s="106" t="n">
        <x:f>S176+T176+U176</x:f>
        <x:v>2554.2210763521375</x:v>
      </x:c>
      <x:c r="W176" s="106" t="n">
        <x:f>MAX(0,V176-R176)</x:f>
        <x:v>1988.5986518807754</x:v>
      </x:c>
      <x:c r="X176" s="106" t="n">
        <x:f>MAX(0,Q176-W176)</x:f>
        <x:v>102434.0027889861</x:v>
      </x:c>
      <x:c r="Y176" s="1"/>
      <x:c r="Z176" s="1"/>
    </x:row>
    <x:row r="177">
      <x:c r="A177" s="100" t="n">
        <x:f>A176+1</x:f>
        <x:v>172</x:v>
      </x:c>
      <x:c r="B177" s="103" t="n">
        <x:f>EDATE(B176,1)</x:f>
        <x:v>51441</x:v>
      </x:c>
      <x:c r="C177" s="104" t="n">
        <x:f>H176</x:f>
        <x:v>242623.44649540292</x:v>
      </x:c>
      <x:c r="D177" s="104" t="n">
        <x:f>IF(C177&gt;0,C177*'Your Mortgage'!$C$7/12,0)</x:f>
        <x:v>1314.2103351834326</x:v>
      </x:c>
      <x:c r="E177" s="104" t="n">
        <x:f>IF(C177&gt;0,MIN('Your Mortgage'!$C$11,C177+D177),0)</x:f>
        <x:v>2054.2210763521375</x:v>
      </x:c>
      <x:c r="F177" s="104" t="n">
        <x:f>E177</x:f>
        <x:v>2054.2210763521375</x:v>
      </x:c>
      <x:c r="G177" s="104" t="n">
        <x:f>MAX(0,F177-D177)</x:f>
        <x:v>740.010741168705</x:v>
      </x:c>
      <x:c r="H177" s="104" t="n">
        <x:f>MAX(0,C177-G177)</x:f>
        <x:v>241883.43575423423</x:v>
      </x:c>
      <x:c r="I177" s="105" t="n">
        <x:f>P176</x:f>
        <x:v>160725.60645890422</x:v>
      </x:c>
      <x:c r="J177" s="105" t="n">
        <x:f>IF(I177&gt;0,I177*'Your Mortgage'!$C$7/12,0)</x:f>
        <x:v>870.5970349857312</x:v>
      </x:c>
      <x:c r="K177" s="105" t="n">
        <x:f>IF(I177&gt;0,MIN('Your Mortgage'!$C$11,I177+J177),0)</x:f>
        <x:v>2054.2210763521375</x:v>
      </x:c>
      <x:c r="L177" s="105" t="n">
        <x:f>IF(I177&gt;0,MIN('Your Mortgage'!$F$6,MAX(0,I177+J177-K177)),0)</x:f>
        <x:v>250</x:v>
      </x:c>
      <x:c r="M177" s="105" t="n">
        <x:f>IF(AND(A177='Your Mortgage'!$F$8,I177&gt;0),MIN('Your Mortgage'!$F$7,MAX(0,I177+J177-K177-L177)),0)</x:f>
        <x:v>0</x:v>
      </x:c>
      <x:c r="N177" s="105" t="n">
        <x:f>K177+L177+M177</x:f>
        <x:v>2304.2210763521375</x:v>
      </x:c>
      <x:c r="O177" s="105" t="n">
        <x:f>MAX(0,N177-J177)</x:f>
        <x:v>1433.6240413664063</x:v>
      </x:c>
      <x:c r="P177" s="105" t="n">
        <x:f>MAX(0,I177-O177)</x:f>
        <x:v>159291.9824175378</x:v>
      </x:c>
      <x:c r="Q177" s="106" t="n">
        <x:f>X176</x:f>
        <x:v>102434.0027889861</x:v>
      </x:c>
      <x:c r="R177" s="106" t="n">
        <x:f>IF(Q177&gt;0,Q177*'Your Mortgage'!$C$7/12,0)</x:f>
        <x:v>554.8508484403413</x:v>
      </x:c>
      <x:c r="S177" s="106" t="n">
        <x:f>IF(Q177&gt;0,MIN('Your Mortgage'!$C$11,Q177+R177),0)</x:f>
        <x:v>2054.2210763521375</x:v>
      </x:c>
      <x:c r="T177" s="106" t="n">
        <x:f>IF(Q177&gt;0,MIN('Your Mortgage'!$I$6,MAX(0,Q177+R177-S177)),0)</x:f>
        <x:v>500</x:v>
      </x:c>
      <x:c r="U177" s="106" t="n">
        <x:f>IF(AND(A177='Your Mortgage'!$I$8,Q177&gt;0),MIN('Your Mortgage'!$I$7,MAX(0,Q177+R177-S177-T177)),0)</x:f>
        <x:v>0</x:v>
      </x:c>
      <x:c r="V177" s="106" t="n">
        <x:f>S177+T177+U177</x:f>
        <x:v>2554.2210763521375</x:v>
      </x:c>
      <x:c r="W177" s="106" t="n">
        <x:f>MAX(0,V177-R177)</x:f>
        <x:v>1999.370227911796</x:v>
      </x:c>
      <x:c r="X177" s="106" t="n">
        <x:f>MAX(0,Q177-W177)</x:f>
        <x:v>100434.6325610743</x:v>
      </x:c>
      <x:c r="Y177" s="1"/>
      <x:c r="Z177" s="1"/>
    </x:row>
    <x:row r="178">
      <x:c r="A178" s="100" t="n">
        <x:f>A177+1</x:f>
        <x:v>173</x:v>
      </x:c>
      <x:c r="B178" s="103" t="n">
        <x:f>EDATE(B177,1)</x:f>
        <x:v>51471</x:v>
      </x:c>
      <x:c r="C178" s="104" t="n">
        <x:f>H177</x:f>
        <x:v>241883.43575423423</x:v>
      </x:c>
      <x:c r="D178" s="104" t="n">
        <x:f>IF(C178&gt;0,C178*'Your Mortgage'!$C$7/12,0)</x:f>
        <x:v>1310.2019436687688</x:v>
      </x:c>
      <x:c r="E178" s="104" t="n">
        <x:f>IF(C178&gt;0,MIN('Your Mortgage'!$C$11,C178+D178),0)</x:f>
        <x:v>2054.2210763521375</x:v>
      </x:c>
      <x:c r="F178" s="104" t="n">
        <x:f>E178</x:f>
        <x:v>2054.2210763521375</x:v>
      </x:c>
      <x:c r="G178" s="104" t="n">
        <x:f>MAX(0,F178-D178)</x:f>
        <x:v>744.0191326833688</x:v>
      </x:c>
      <x:c r="H178" s="104" t="n">
        <x:f>MAX(0,C178-G178)</x:f>
        <x:v>241139.41662155086</x:v>
      </x:c>
      <x:c r="I178" s="105" t="n">
        <x:f>P177</x:f>
        <x:v>159291.9824175378</x:v>
      </x:c>
      <x:c r="J178" s="105" t="n">
        <x:f>IF(I178&gt;0,I178*'Your Mortgage'!$C$7/12,0)</x:f>
        <x:v>862.8315714283298</x:v>
      </x:c>
      <x:c r="K178" s="105" t="n">
        <x:f>IF(I178&gt;0,MIN('Your Mortgage'!$C$11,I178+J178),0)</x:f>
        <x:v>2054.2210763521375</x:v>
      </x:c>
      <x:c r="L178" s="105" t="n">
        <x:f>IF(I178&gt;0,MIN('Your Mortgage'!$F$6,MAX(0,I178+J178-K178)),0)</x:f>
        <x:v>250</x:v>
      </x:c>
      <x:c r="M178" s="105" t="n">
        <x:f>IF(AND(A178='Your Mortgage'!$F$8,I178&gt;0),MIN('Your Mortgage'!$F$7,MAX(0,I178+J178-K178-L178)),0)</x:f>
        <x:v>0</x:v>
      </x:c>
      <x:c r="N178" s="105" t="n">
        <x:f>K178+L178+M178</x:f>
        <x:v>2304.2210763521375</x:v>
      </x:c>
      <x:c r="O178" s="105" t="n">
        <x:f>MAX(0,N178-J178)</x:f>
        <x:v>1441.3895049238076</x:v>
      </x:c>
      <x:c r="P178" s="105" t="n">
        <x:f>MAX(0,I178-O178)</x:f>
        <x:v>157850.592912614</x:v>
      </x:c>
      <x:c r="Q178" s="106" t="n">
        <x:f>X177</x:f>
        <x:v>100434.6325610743</x:v>
      </x:c>
      <x:c r="R178" s="106" t="n">
        <x:f>IF(Q178&gt;0,Q178*'Your Mortgage'!$C$7/12,0)</x:f>
        <x:v>544.0209263724857</x:v>
      </x:c>
      <x:c r="S178" s="106" t="n">
        <x:f>IF(Q178&gt;0,MIN('Your Mortgage'!$C$11,Q178+R178),0)</x:f>
        <x:v>2054.2210763521375</x:v>
      </x:c>
      <x:c r="T178" s="106" t="n">
        <x:f>IF(Q178&gt;0,MIN('Your Mortgage'!$I$6,MAX(0,Q178+R178-S178)),0)</x:f>
        <x:v>500</x:v>
      </x:c>
      <x:c r="U178" s="106" t="n">
        <x:f>IF(AND(A178='Your Mortgage'!$I$8,Q178&gt;0),MIN('Your Mortgage'!$I$7,MAX(0,Q178+R178-S178-T178)),0)</x:f>
        <x:v>0</x:v>
      </x:c>
      <x:c r="V178" s="106" t="n">
        <x:f>S178+T178+U178</x:f>
        <x:v>2554.2210763521375</x:v>
      </x:c>
      <x:c r="W178" s="106" t="n">
        <x:f>MAX(0,V178-R178)</x:f>
        <x:v>2010.2001499796518</x:v>
      </x:c>
      <x:c r="X178" s="106" t="n">
        <x:f>MAX(0,Q178-W178)</x:f>
        <x:v>98424.43241109465</x:v>
      </x:c>
      <x:c r="Y178" s="1"/>
      <x:c r="Z178" s="1"/>
    </x:row>
    <x:row r="179">
      <x:c r="A179" s="100" t="n">
        <x:f>A178+1</x:f>
        <x:v>174</x:v>
      </x:c>
      <x:c r="B179" s="103" t="n">
        <x:f>EDATE(B178,1)</x:f>
        <x:v>51502</x:v>
      </x:c>
      <x:c r="C179" s="104" t="n">
        <x:f>H178</x:f>
        <x:v>241139.41662155086</x:v>
      </x:c>
      <x:c r="D179" s="104" t="n">
        <x:f>IF(C179&gt;0,C179*'Your Mortgage'!$C$7/12,0)</x:f>
        <x:v>1306.1718400334005</x:v>
      </x:c>
      <x:c r="E179" s="104" t="n">
        <x:f>IF(C179&gt;0,MIN('Your Mortgage'!$C$11,C179+D179),0)</x:f>
        <x:v>2054.2210763521375</x:v>
      </x:c>
      <x:c r="F179" s="104" t="n">
        <x:f>E179</x:f>
        <x:v>2054.2210763521375</x:v>
      </x:c>
      <x:c r="G179" s="104" t="n">
        <x:f>MAX(0,F179-D179)</x:f>
        <x:v>748.049236318737</x:v>
      </x:c>
      <x:c r="H179" s="104" t="n">
        <x:f>MAX(0,C179-G179)</x:f>
        <x:v>240391.36738523212</x:v>
      </x:c>
      <x:c r="I179" s="105" t="n">
        <x:f>P178</x:f>
        <x:v>157850.592912614</x:v>
      </x:c>
      <x:c r="J179" s="105" t="n">
        <x:f>IF(I179&gt;0,I179*'Your Mortgage'!$C$7/12,0)</x:f>
        <x:v>855.0240449433259</x:v>
      </x:c>
      <x:c r="K179" s="105" t="n">
        <x:f>IF(I179&gt;0,MIN('Your Mortgage'!$C$11,I179+J179),0)</x:f>
        <x:v>2054.2210763521375</x:v>
      </x:c>
      <x:c r="L179" s="105" t="n">
        <x:f>IF(I179&gt;0,MIN('Your Mortgage'!$F$6,MAX(0,I179+J179-K179)),0)</x:f>
        <x:v>250</x:v>
      </x:c>
      <x:c r="M179" s="105" t="n">
        <x:f>IF(AND(A179='Your Mortgage'!$F$8,I179&gt;0),MIN('Your Mortgage'!$F$7,MAX(0,I179+J179-K179-L179)),0)</x:f>
        <x:v>0</x:v>
      </x:c>
      <x:c r="N179" s="105" t="n">
        <x:f>K179+L179+M179</x:f>
        <x:v>2304.2210763521375</x:v>
      </x:c>
      <x:c r="O179" s="105" t="n">
        <x:f>MAX(0,N179-J179)</x:f>
        <x:v>1449.1970314088117</x:v>
      </x:c>
      <x:c r="P179" s="105" t="n">
        <x:f>MAX(0,I179-O179)</x:f>
        <x:v>156401.3958812052</x:v>
      </x:c>
      <x:c r="Q179" s="106" t="n">
        <x:f>X178</x:f>
        <x:v>98424.43241109465</x:v>
      </x:c>
      <x:c r="R179" s="106" t="n">
        <x:f>IF(Q179&gt;0,Q179*'Your Mortgage'!$C$7/12,0)</x:f>
        <x:v>533.1323422267627</x:v>
      </x:c>
      <x:c r="S179" s="106" t="n">
        <x:f>IF(Q179&gt;0,MIN('Your Mortgage'!$C$11,Q179+R179),0)</x:f>
        <x:v>2054.2210763521375</x:v>
      </x:c>
      <x:c r="T179" s="106" t="n">
        <x:f>IF(Q179&gt;0,MIN('Your Mortgage'!$I$6,MAX(0,Q179+R179-S179)),0)</x:f>
        <x:v>500</x:v>
      </x:c>
      <x:c r="U179" s="106" t="n">
        <x:f>IF(AND(A179='Your Mortgage'!$I$8,Q179&gt;0),MIN('Your Mortgage'!$I$7,MAX(0,Q179+R179-S179-T179)),0)</x:f>
        <x:v>0</x:v>
      </x:c>
      <x:c r="V179" s="106" t="n">
        <x:f>S179+T179+U179</x:f>
        <x:v>2554.2210763521375</x:v>
      </x:c>
      <x:c r="W179" s="106" t="n">
        <x:f>MAX(0,V179-R179)</x:f>
        <x:v>2021.0887341253747</x:v>
      </x:c>
      <x:c r="X179" s="106" t="n">
        <x:f>MAX(0,Q179-W179)</x:f>
        <x:v>96403.34367696928</x:v>
      </x:c>
      <x:c r="Y179" s="1"/>
      <x:c r="Z179" s="1"/>
    </x:row>
    <x:row r="180">
      <x:c r="A180" s="100" t="n">
        <x:f>A179+1</x:f>
        <x:v>175</x:v>
      </x:c>
      <x:c r="B180" s="103" t="n">
        <x:f>EDATE(B179,1)</x:f>
        <x:v>51533</x:v>
      </x:c>
      <x:c r="C180" s="104" t="n">
        <x:f>H179</x:f>
        <x:v>240391.36738523212</x:v>
      </x:c>
      <x:c r="D180" s="104" t="n">
        <x:f>IF(C180&gt;0,C180*'Your Mortgage'!$C$7/12,0)</x:f>
        <x:v>1302.1199066700074</x:v>
      </x:c>
      <x:c r="E180" s="104" t="n">
        <x:f>IF(C180&gt;0,MIN('Your Mortgage'!$C$11,C180+D180),0)</x:f>
        <x:v>2054.2210763521375</x:v>
      </x:c>
      <x:c r="F180" s="104" t="n">
        <x:f>E180</x:f>
        <x:v>2054.2210763521375</x:v>
      </x:c>
      <x:c r="G180" s="104" t="n">
        <x:f>MAX(0,F180-D180)</x:f>
        <x:v>752.1011696821301</x:v>
      </x:c>
      <x:c r="H180" s="104" t="n">
        <x:f>MAX(0,C180-G180)</x:f>
        <x:v>239639.26621555</x:v>
      </x:c>
      <x:c r="I180" s="105" t="n">
        <x:f>P179</x:f>
        <x:v>156401.3958812052</x:v>
      </x:c>
      <x:c r="J180" s="105" t="n">
        <x:f>IF(I180&gt;0,I180*'Your Mortgage'!$C$7/12,0)</x:f>
        <x:v>847.1742276898614</x:v>
      </x:c>
      <x:c r="K180" s="105" t="n">
        <x:f>IF(I180&gt;0,MIN('Your Mortgage'!$C$11,I180+J180),0)</x:f>
        <x:v>2054.2210763521375</x:v>
      </x:c>
      <x:c r="L180" s="105" t="n">
        <x:f>IF(I180&gt;0,MIN('Your Mortgage'!$F$6,MAX(0,I180+J180-K180)),0)</x:f>
        <x:v>250</x:v>
      </x:c>
      <x:c r="M180" s="105" t="n">
        <x:f>IF(AND(A180='Your Mortgage'!$F$8,I180&gt;0),MIN('Your Mortgage'!$F$7,MAX(0,I180+J180-K180-L180)),0)</x:f>
        <x:v>0</x:v>
      </x:c>
      <x:c r="N180" s="105" t="n">
        <x:f>K180+L180+M180</x:f>
        <x:v>2304.2210763521375</x:v>
      </x:c>
      <x:c r="O180" s="105" t="n">
        <x:f>MAX(0,N180-J180)</x:f>
        <x:v>1457.0468486622763</x:v>
      </x:c>
      <x:c r="P180" s="105" t="n">
        <x:f>MAX(0,I180-O180)</x:f>
        <x:v>154944.3490325429</x:v>
      </x:c>
      <x:c r="Q180" s="106" t="n">
        <x:f>X179</x:f>
        <x:v>96403.34367696928</x:v>
      </x:c>
      <x:c r="R180" s="106" t="n">
        <x:f>IF(Q180&gt;0,Q180*'Your Mortgage'!$C$7/12,0)</x:f>
        <x:v>522.1847782502502</x:v>
      </x:c>
      <x:c r="S180" s="106" t="n">
        <x:f>IF(Q180&gt;0,MIN('Your Mortgage'!$C$11,Q180+R180),0)</x:f>
        <x:v>2054.2210763521375</x:v>
      </x:c>
      <x:c r="T180" s="106" t="n">
        <x:f>IF(Q180&gt;0,MIN('Your Mortgage'!$I$6,MAX(0,Q180+R180-S180)),0)</x:f>
        <x:v>500</x:v>
      </x:c>
      <x:c r="U180" s="106" t="n">
        <x:f>IF(AND(A180='Your Mortgage'!$I$8,Q180&gt;0),MIN('Your Mortgage'!$I$7,MAX(0,Q180+R180-S180-T180)),0)</x:f>
        <x:v>0</x:v>
      </x:c>
      <x:c r="V180" s="106" t="n">
        <x:f>S180+T180+U180</x:f>
        <x:v>2554.2210763521375</x:v>
      </x:c>
      <x:c r="W180" s="106" t="n">
        <x:f>MAX(0,V180-R180)</x:f>
        <x:v>2032.0362981018873</x:v>
      </x:c>
      <x:c r="X180" s="106" t="n">
        <x:f>MAX(0,Q180-W180)</x:f>
        <x:v>94371.3073788674</x:v>
      </x:c>
      <x:c r="Y180" s="1"/>
      <x:c r="Z180" s="1"/>
    </x:row>
    <x:row r="181">
      <x:c r="A181" s="100" t="n">
        <x:f>A180+1</x:f>
        <x:v>176</x:v>
      </x:c>
      <x:c r="B181" s="103" t="n">
        <x:f>EDATE(B180,1)</x:f>
        <x:v>51561</x:v>
      </x:c>
      <x:c r="C181" s="104" t="n">
        <x:f>H180</x:f>
        <x:v>239639.26621555</x:v>
      </x:c>
      <x:c r="D181" s="104" t="n">
        <x:f>IF(C181&gt;0,C181*'Your Mortgage'!$C$7/12,0)</x:f>
        <x:v>1298.0460253342292</x:v>
      </x:c>
      <x:c r="E181" s="104" t="n">
        <x:f>IF(C181&gt;0,MIN('Your Mortgage'!$C$11,C181+D181),0)</x:f>
        <x:v>2054.2210763521375</x:v>
      </x:c>
      <x:c r="F181" s="104" t="n">
        <x:f>E181</x:f>
        <x:v>2054.2210763521375</x:v>
      </x:c>
      <x:c r="G181" s="104" t="n">
        <x:f>MAX(0,F181-D181)</x:f>
        <x:v>756.1750510179083</x:v>
      </x:c>
      <x:c r="H181" s="104" t="n">
        <x:f>MAX(0,C181-G181)</x:f>
        <x:v>238883.0911645321</x:v>
      </x:c>
      <x:c r="I181" s="105" t="n">
        <x:f>P180</x:f>
        <x:v>154944.3490325429</x:v>
      </x:c>
      <x:c r="J181" s="105" t="n">
        <x:f>IF(I181&gt;0,I181*'Your Mortgage'!$C$7/12,0)</x:f>
        <x:v>839.2818905929407</x:v>
      </x:c>
      <x:c r="K181" s="105" t="n">
        <x:f>IF(I181&gt;0,MIN('Your Mortgage'!$C$11,I181+J181),0)</x:f>
        <x:v>2054.2210763521375</x:v>
      </x:c>
      <x:c r="L181" s="105" t="n">
        <x:f>IF(I181&gt;0,MIN('Your Mortgage'!$F$6,MAX(0,I181+J181-K181)),0)</x:f>
        <x:v>250</x:v>
      </x:c>
      <x:c r="M181" s="105" t="n">
        <x:f>IF(AND(A181='Your Mortgage'!$F$8,I181&gt;0),MIN('Your Mortgage'!$F$7,MAX(0,I181+J181-K181-L181)),0)</x:f>
        <x:v>0</x:v>
      </x:c>
      <x:c r="N181" s="105" t="n">
        <x:f>K181+L181+M181</x:f>
        <x:v>2304.2210763521375</x:v>
      </x:c>
      <x:c r="O181" s="105" t="n">
        <x:f>MAX(0,N181-J181)</x:f>
        <x:v>1464.9391857591968</x:v>
      </x:c>
      <x:c r="P181" s="105" t="n">
        <x:f>MAX(0,I181-O181)</x:f>
        <x:v>153479.4098467837</x:v>
      </x:c>
      <x:c r="Q181" s="106" t="n">
        <x:f>X180</x:f>
        <x:v>94371.3073788674</x:v>
      </x:c>
      <x:c r="R181" s="106" t="n">
        <x:f>IF(Q181&gt;0,Q181*'Your Mortgage'!$C$7/12,0)</x:f>
        <x:v>511.1779149688651</x:v>
      </x:c>
      <x:c r="S181" s="106" t="n">
        <x:f>IF(Q181&gt;0,MIN('Your Mortgage'!$C$11,Q181+R181),0)</x:f>
        <x:v>2054.2210763521375</x:v>
      </x:c>
      <x:c r="T181" s="106" t="n">
        <x:f>IF(Q181&gt;0,MIN('Your Mortgage'!$I$6,MAX(0,Q181+R181-S181)),0)</x:f>
        <x:v>500</x:v>
      </x:c>
      <x:c r="U181" s="106" t="n">
        <x:f>IF(AND(A181='Your Mortgage'!$I$8,Q181&gt;0),MIN('Your Mortgage'!$I$7,MAX(0,Q181+R181-S181-T181)),0)</x:f>
        <x:v>0</x:v>
      </x:c>
      <x:c r="V181" s="106" t="n">
        <x:f>S181+T181+U181</x:f>
        <x:v>2554.2210763521375</x:v>
      </x:c>
      <x:c r="W181" s="106" t="n">
        <x:f>MAX(0,V181-R181)</x:f>
        <x:v>2043.0431613832725</x:v>
      </x:c>
      <x:c r="X181" s="106" t="n">
        <x:f>MAX(0,Q181-W181)</x:f>
        <x:v>92328.26421748412</x:v>
      </x:c>
      <x:c r="Y181" s="1"/>
      <x:c r="Z181" s="1"/>
    </x:row>
    <x:row r="182">
      <x:c r="A182" s="100" t="n">
        <x:f>A181+1</x:f>
        <x:v>177</x:v>
      </x:c>
      <x:c r="B182" s="103" t="n">
        <x:f>EDATE(B181,1)</x:f>
        <x:v>51592</x:v>
      </x:c>
      <x:c r="C182" s="104" t="n">
        <x:f>H181</x:f>
        <x:v>238883.0911645321</x:v>
      </x:c>
      <x:c r="D182" s="104" t="n">
        <x:f>IF(C182&gt;0,C182*'Your Mortgage'!$C$7/12,0)</x:f>
        <x:v>1293.9500771412156</x:v>
      </x:c>
      <x:c r="E182" s="104" t="n">
        <x:f>IF(C182&gt;0,MIN('Your Mortgage'!$C$11,C182+D182),0)</x:f>
        <x:v>2054.2210763521375</x:v>
      </x:c>
      <x:c r="F182" s="104" t="n">
        <x:f>E182</x:f>
        <x:v>2054.2210763521375</x:v>
      </x:c>
      <x:c r="G182" s="104" t="n">
        <x:f>MAX(0,F182-D182)</x:f>
        <x:v>760.2709992109219</x:v>
      </x:c>
      <x:c r="H182" s="104" t="n">
        <x:f>MAX(0,C182-G182)</x:f>
        <x:v>238122.82016532117</x:v>
      </x:c>
      <x:c r="I182" s="105" t="n">
        <x:f>P181</x:f>
        <x:v>153479.4098467837</x:v>
      </x:c>
      <x:c r="J182" s="105" t="n">
        <x:f>IF(I182&gt;0,I182*'Your Mortgage'!$C$7/12,0)</x:f>
        <x:v>831.346803336745</x:v>
      </x:c>
      <x:c r="K182" s="105" t="n">
        <x:f>IF(I182&gt;0,MIN('Your Mortgage'!$C$11,I182+J182),0)</x:f>
        <x:v>2054.2210763521375</x:v>
      </x:c>
      <x:c r="L182" s="105" t="n">
        <x:f>IF(I182&gt;0,MIN('Your Mortgage'!$F$6,MAX(0,I182+J182-K182)),0)</x:f>
        <x:v>250</x:v>
      </x:c>
      <x:c r="M182" s="105" t="n">
        <x:f>IF(AND(A182='Your Mortgage'!$F$8,I182&gt;0),MIN('Your Mortgage'!$F$7,MAX(0,I182+J182-K182-L182)),0)</x:f>
        <x:v>0</x:v>
      </x:c>
      <x:c r="N182" s="105" t="n">
        <x:f>K182+L182+M182</x:f>
        <x:v>2304.2210763521375</x:v>
      </x:c>
      <x:c r="O182" s="105" t="n">
        <x:f>MAX(0,N182-J182)</x:f>
        <x:v>1472.8742730153926</x:v>
      </x:c>
      <x:c r="P182" s="105" t="n">
        <x:f>MAX(0,I182-O182)</x:f>
        <x:v>152006.5355737683</x:v>
      </x:c>
      <x:c r="Q182" s="106" t="n">
        <x:f>X181</x:f>
        <x:v>92328.26421748412</x:v>
      </x:c>
      <x:c r="R182" s="106" t="n">
        <x:f>IF(Q182&gt;0,Q182*'Your Mortgage'!$C$7/12,0)</x:f>
        <x:v>500.111431178039</x:v>
      </x:c>
      <x:c r="S182" s="106" t="n">
        <x:f>IF(Q182&gt;0,MIN('Your Mortgage'!$C$11,Q182+R182),0)</x:f>
        <x:v>2054.2210763521375</x:v>
      </x:c>
      <x:c r="T182" s="106" t="n">
        <x:f>IF(Q182&gt;0,MIN('Your Mortgage'!$I$6,MAX(0,Q182+R182-S182)),0)</x:f>
        <x:v>500</x:v>
      </x:c>
      <x:c r="U182" s="106" t="n">
        <x:f>IF(AND(A182='Your Mortgage'!$I$8,Q182&gt;0),MIN('Your Mortgage'!$I$7,MAX(0,Q182+R182-S182-T182)),0)</x:f>
        <x:v>0</x:v>
      </x:c>
      <x:c r="V182" s="106" t="n">
        <x:f>S182+T182+U182</x:f>
        <x:v>2554.2210763521375</x:v>
      </x:c>
      <x:c r="W182" s="106" t="n">
        <x:f>MAX(0,V182-R182)</x:f>
        <x:v>2054.1096451740987</x:v>
      </x:c>
      <x:c r="X182" s="106" t="n">
        <x:f>MAX(0,Q182-W182)</x:f>
        <x:v>90274.15457231001</x:v>
      </x:c>
      <x:c r="Y182" s="1"/>
      <x:c r="Z182" s="1"/>
    </x:row>
    <x:row r="183">
      <x:c r="A183" s="100" t="n">
        <x:f>A182+1</x:f>
        <x:v>178</x:v>
      </x:c>
      <x:c r="B183" s="103" t="n">
        <x:f>EDATE(B182,1)</x:f>
        <x:v>51622</x:v>
      </x:c>
      <x:c r="C183" s="104" t="n">
        <x:f>H182</x:f>
        <x:v>238122.82016532117</x:v>
      </x:c>
      <x:c r="D183" s="104" t="n">
        <x:f>IF(C183&gt;0,C183*'Your Mortgage'!$C$7/12,0)</x:f>
        <x:v>1289.8319425621564</x:v>
      </x:c>
      <x:c r="E183" s="104" t="n">
        <x:f>IF(C183&gt;0,MIN('Your Mortgage'!$C$11,C183+D183),0)</x:f>
        <x:v>2054.2210763521375</x:v>
      </x:c>
      <x:c r="F183" s="104" t="n">
        <x:f>E183</x:f>
        <x:v>2054.2210763521375</x:v>
      </x:c>
      <x:c r="G183" s="104" t="n">
        <x:f>MAX(0,F183-D183)</x:f>
        <x:v>764.3891337899811</x:v>
      </x:c>
      <x:c r="H183" s="104" t="n">
        <x:f>MAX(0,C183-G183)</x:f>
        <x:v>237358.4310315312</x:v>
      </x:c>
      <x:c r="I183" s="105" t="n">
        <x:f>P182</x:f>
        <x:v>152006.5355737683</x:v>
      </x:c>
      <x:c r="J183" s="105" t="n">
        <x:f>IF(I183&gt;0,I183*'Your Mortgage'!$C$7/12,0)</x:f>
        <x:v>823.3687343579118</x:v>
      </x:c>
      <x:c r="K183" s="105" t="n">
        <x:f>IF(I183&gt;0,MIN('Your Mortgage'!$C$11,I183+J183),0)</x:f>
        <x:v>2054.2210763521375</x:v>
      </x:c>
      <x:c r="L183" s="105" t="n">
        <x:f>IF(I183&gt;0,MIN('Your Mortgage'!$F$6,MAX(0,I183+J183-K183)),0)</x:f>
        <x:v>250</x:v>
      </x:c>
      <x:c r="M183" s="105" t="n">
        <x:f>IF(AND(A183='Your Mortgage'!$F$8,I183&gt;0),MIN('Your Mortgage'!$F$7,MAX(0,I183+J183-K183-L183)),0)</x:f>
        <x:v>0</x:v>
      </x:c>
      <x:c r="N183" s="105" t="n">
        <x:f>K183+L183+M183</x:f>
        <x:v>2304.2210763521375</x:v>
      </x:c>
      <x:c r="O183" s="105" t="n">
        <x:f>MAX(0,N183-J183)</x:f>
        <x:v>1480.8523419942258</x:v>
      </x:c>
      <x:c r="P183" s="105" t="n">
        <x:f>MAX(0,I183-O183)</x:f>
        <x:v>150525.68323177408</x:v>
      </x:c>
      <x:c r="Q183" s="106" t="n">
        <x:f>X182</x:f>
        <x:v>90274.15457231001</x:v>
      </x:c>
      <x:c r="R183" s="106" t="n">
        <x:f>IF(Q183&gt;0,Q183*'Your Mortgage'!$C$7/12,0)</x:f>
        <x:v>488.9850039333459</x:v>
      </x:c>
      <x:c r="S183" s="106" t="n">
        <x:f>IF(Q183&gt;0,MIN('Your Mortgage'!$C$11,Q183+R183),0)</x:f>
        <x:v>2054.2210763521375</x:v>
      </x:c>
      <x:c r="T183" s="106" t="n">
        <x:f>IF(Q183&gt;0,MIN('Your Mortgage'!$I$6,MAX(0,Q183+R183-S183)),0)</x:f>
        <x:v>500</x:v>
      </x:c>
      <x:c r="U183" s="106" t="n">
        <x:f>IF(AND(A183='Your Mortgage'!$I$8,Q183&gt;0),MIN('Your Mortgage'!$I$7,MAX(0,Q183+R183-S183-T183)),0)</x:f>
        <x:v>0</x:v>
      </x:c>
      <x:c r="V183" s="106" t="n">
        <x:f>S183+T183+U183</x:f>
        <x:v>2554.2210763521375</x:v>
      </x:c>
      <x:c r="W183" s="106" t="n">
        <x:f>MAX(0,V183-R183)</x:f>
        <x:v>2065.2360724187915</x:v>
      </x:c>
      <x:c r="X183" s="106" t="n">
        <x:f>MAX(0,Q183-W183)</x:f>
        <x:v>88208.91849989122</x:v>
      </x:c>
      <x:c r="Y183" s="1"/>
      <x:c r="Z183" s="1"/>
    </x:row>
    <x:row r="184">
      <x:c r="A184" s="100" t="n">
        <x:f>A183+1</x:f>
        <x:v>179</x:v>
      </x:c>
      <x:c r="B184" s="103" t="n">
        <x:f>EDATE(B183,1)</x:f>
        <x:v>51653</x:v>
      </x:c>
      <x:c r="C184" s="104" t="n">
        <x:f>H183</x:f>
        <x:v>237358.4310315312</x:v>
      </x:c>
      <x:c r="D184" s="104" t="n">
        <x:f>IF(C184&gt;0,C184*'Your Mortgage'!$C$7/12,0)</x:f>
        <x:v>1285.691501420794</x:v>
      </x:c>
      <x:c r="E184" s="104" t="n">
        <x:f>IF(C184&gt;0,MIN('Your Mortgage'!$C$11,C184+D184),0)</x:f>
        <x:v>2054.2210763521375</x:v>
      </x:c>
      <x:c r="F184" s="104" t="n">
        <x:f>E184</x:f>
        <x:v>2054.2210763521375</x:v>
      </x:c>
      <x:c r="G184" s="104" t="n">
        <x:f>MAX(0,F184-D184)</x:f>
        <x:v>768.5295749313434</x:v>
      </x:c>
      <x:c r="H184" s="104" t="n">
        <x:f>MAX(0,C184-G184)</x:f>
        <x:v>236589.90145659985</x:v>
      </x:c>
      <x:c r="I184" s="105" t="n">
        <x:f>P183</x:f>
        <x:v>150525.68323177408</x:v>
      </x:c>
      <x:c r="J184" s="105" t="n">
        <x:f>IF(I184&gt;0,I184*'Your Mortgage'!$C$7/12,0)</x:f>
        <x:v>815.3474508387762</x:v>
      </x:c>
      <x:c r="K184" s="105" t="n">
        <x:f>IF(I184&gt;0,MIN('Your Mortgage'!$C$11,I184+J184),0)</x:f>
        <x:v>2054.2210763521375</x:v>
      </x:c>
      <x:c r="L184" s="105" t="n">
        <x:f>IF(I184&gt;0,MIN('Your Mortgage'!$F$6,MAX(0,I184+J184-K184)),0)</x:f>
        <x:v>250</x:v>
      </x:c>
      <x:c r="M184" s="105" t="n">
        <x:f>IF(AND(A184='Your Mortgage'!$F$8,I184&gt;0),MIN('Your Mortgage'!$F$7,MAX(0,I184+J184-K184-L184)),0)</x:f>
        <x:v>0</x:v>
      </x:c>
      <x:c r="N184" s="105" t="n">
        <x:f>K184+L184+M184</x:f>
        <x:v>2304.2210763521375</x:v>
      </x:c>
      <x:c r="O184" s="105" t="n">
        <x:f>MAX(0,N184-J184)</x:f>
        <x:v>1488.8736255133613</x:v>
      </x:c>
      <x:c r="P184" s="105" t="n">
        <x:f>MAX(0,I184-O184)</x:f>
        <x:v>149036.8096062607</x:v>
      </x:c>
      <x:c r="Q184" s="106" t="n">
        <x:f>X183</x:f>
        <x:v>88208.91849989122</x:v>
      </x:c>
      <x:c r="R184" s="106" t="n">
        <x:f>IF(Q184&gt;0,Q184*'Your Mortgage'!$C$7/12,0)</x:f>
        <x:v>477.79830854107746</x:v>
      </x:c>
      <x:c r="S184" s="106" t="n">
        <x:f>IF(Q184&gt;0,MIN('Your Mortgage'!$C$11,Q184+R184),0)</x:f>
        <x:v>2054.2210763521375</x:v>
      </x:c>
      <x:c r="T184" s="106" t="n">
        <x:f>IF(Q184&gt;0,MIN('Your Mortgage'!$I$6,MAX(0,Q184+R184-S184)),0)</x:f>
        <x:v>500</x:v>
      </x:c>
      <x:c r="U184" s="106" t="n">
        <x:f>IF(AND(A184='Your Mortgage'!$I$8,Q184&gt;0),MIN('Your Mortgage'!$I$7,MAX(0,Q184+R184-S184-T184)),0)</x:f>
        <x:v>0</x:v>
      </x:c>
      <x:c r="V184" s="106" t="n">
        <x:f>S184+T184+U184</x:f>
        <x:v>2554.2210763521375</x:v>
      </x:c>
      <x:c r="W184" s="106" t="n">
        <x:f>MAX(0,V184-R184)</x:f>
        <x:v>2076.42276781106</x:v>
      </x:c>
      <x:c r="X184" s="106" t="n">
        <x:f>MAX(0,Q184-W184)</x:f>
        <x:v>86132.49573208016</x:v>
      </x:c>
      <x:c r="Y184" s="1"/>
      <x:c r="Z184" s="1"/>
    </x:row>
    <x:row r="185">
      <x:c r="A185" s="100" t="n">
        <x:f>A184+1</x:f>
        <x:v>180</x:v>
      </x:c>
      <x:c r="B185" s="103" t="n">
        <x:f>EDATE(B184,1)</x:f>
        <x:v>51683</x:v>
      </x:c>
      <x:c r="C185" s="104" t="n">
        <x:f>H184</x:f>
        <x:v>236589.90145659985</x:v>
      </x:c>
      <x:c r="D185" s="104" t="n">
        <x:f>IF(C185&gt;0,C185*'Your Mortgage'!$C$7/12,0)</x:f>
        <x:v>1281.5286328899158</x:v>
      </x:c>
      <x:c r="E185" s="104" t="n">
        <x:f>IF(C185&gt;0,MIN('Your Mortgage'!$C$11,C185+D185),0)</x:f>
        <x:v>2054.2210763521375</x:v>
      </x:c>
      <x:c r="F185" s="104" t="n">
        <x:f>E185</x:f>
        <x:v>2054.2210763521375</x:v>
      </x:c>
      <x:c r="G185" s="104" t="n">
        <x:f>MAX(0,F185-D185)</x:f>
        <x:v>772.6924434622217</x:v>
      </x:c>
      <x:c r="H185" s="104" t="n">
        <x:f>MAX(0,C185-G185)</x:f>
        <x:v>235817.20901313762</x:v>
      </x:c>
      <x:c r="I185" s="105" t="n">
        <x:f>P184</x:f>
        <x:v>149036.8096062607</x:v>
      </x:c>
      <x:c r="J185" s="105" t="n">
        <x:f>IF(I185&gt;0,I185*'Your Mortgage'!$C$7/12,0)</x:f>
        <x:v>807.2827187005788</x:v>
      </x:c>
      <x:c r="K185" s="105" t="n">
        <x:f>IF(I185&gt;0,MIN('Your Mortgage'!$C$11,I185+J185),0)</x:f>
        <x:v>2054.2210763521375</x:v>
      </x:c>
      <x:c r="L185" s="105" t="n">
        <x:f>IF(I185&gt;0,MIN('Your Mortgage'!$F$6,MAX(0,I185+J185-K185)),0)</x:f>
        <x:v>250</x:v>
      </x:c>
      <x:c r="M185" s="105" t="n">
        <x:f>IF(AND(A185='Your Mortgage'!$F$8,I185&gt;0),MIN('Your Mortgage'!$F$7,MAX(0,I185+J185-K185-L185)),0)</x:f>
        <x:v>0</x:v>
      </x:c>
      <x:c r="N185" s="105" t="n">
        <x:f>K185+L185+M185</x:f>
        <x:v>2304.2210763521375</x:v>
      </x:c>
      <x:c r="O185" s="105" t="n">
        <x:f>MAX(0,N185-J185)</x:f>
        <x:v>1496.9383576515588</x:v>
      </x:c>
      <x:c r="P185" s="105" t="n">
        <x:f>MAX(0,I185-O185)</x:f>
        <x:v>147539.87124860915</x:v>
      </x:c>
      <x:c r="Q185" s="106" t="n">
        <x:f>X184</x:f>
        <x:v>86132.49573208016</x:v>
      </x:c>
      <x:c r="R185" s="106" t="n">
        <x:f>IF(Q185&gt;0,Q185*'Your Mortgage'!$C$7/12,0)</x:f>
        <x:v>466.55101854876756</x:v>
      </x:c>
      <x:c r="S185" s="106" t="n">
        <x:f>IF(Q185&gt;0,MIN('Your Mortgage'!$C$11,Q185+R185),0)</x:f>
        <x:v>2054.2210763521375</x:v>
      </x:c>
      <x:c r="T185" s="106" t="n">
        <x:f>IF(Q185&gt;0,MIN('Your Mortgage'!$I$6,MAX(0,Q185+R185-S185)),0)</x:f>
        <x:v>500</x:v>
      </x:c>
      <x:c r="U185" s="106" t="n">
        <x:f>IF(AND(A185='Your Mortgage'!$I$8,Q185&gt;0),MIN('Your Mortgage'!$I$7,MAX(0,Q185+R185-S185-T185)),0)</x:f>
        <x:v>0</x:v>
      </x:c>
      <x:c r="V185" s="106" t="n">
        <x:f>S185+T185+U185</x:f>
        <x:v>2554.2210763521375</x:v>
      </x:c>
      <x:c r="W185" s="106" t="n">
        <x:f>MAX(0,V185-R185)</x:f>
        <x:v>2087.67005780337</x:v>
      </x:c>
      <x:c r="X185" s="106" t="n">
        <x:f>MAX(0,Q185-W185)</x:f>
        <x:v>84044.8256742768</x:v>
      </x:c>
      <x:c r="Y185" s="1"/>
      <x:c r="Z185" s="1"/>
    </x:row>
    <x:row r="186">
      <x:c r="A186" s="100" t="n">
        <x:f>A185+1</x:f>
        <x:v>181</x:v>
      </x:c>
      <x:c r="B186" s="103" t="n">
        <x:f>EDATE(B185,1)</x:f>
        <x:v>51714</x:v>
      </x:c>
      <x:c r="C186" s="104" t="n">
        <x:f>H185</x:f>
        <x:v>235817.20901313762</x:v>
      </x:c>
      <x:c r="D186" s="104" t="n">
        <x:f>IF(C186&gt;0,C186*'Your Mortgage'!$C$7/12,0)</x:f>
        <x:v>1277.3432154878287</x:v>
      </x:c>
      <x:c r="E186" s="104" t="n">
        <x:f>IF(C186&gt;0,MIN('Your Mortgage'!$C$11,C186+D186),0)</x:f>
        <x:v>2054.2210763521375</x:v>
      </x:c>
      <x:c r="F186" s="104" t="n">
        <x:f>E186</x:f>
        <x:v>2054.2210763521375</x:v>
      </x:c>
      <x:c r="G186" s="104" t="n">
        <x:f>MAX(0,F186-D186)</x:f>
        <x:v>776.8778608643088</x:v>
      </x:c>
      <x:c r="H186" s="104" t="n">
        <x:f>MAX(0,C186-G186)</x:f>
        <x:v>235040.3311522733</x:v>
      </x:c>
      <x:c r="I186" s="105" t="n">
        <x:f>P185</x:f>
        <x:v>147539.87124860915</x:v>
      </x:c>
      <x:c r="J186" s="105" t="n">
        <x:f>IF(I186&gt;0,I186*'Your Mortgage'!$C$7/12,0)</x:f>
        <x:v>799.174302596633</x:v>
      </x:c>
      <x:c r="K186" s="105" t="n">
        <x:f>IF(I186&gt;0,MIN('Your Mortgage'!$C$11,I186+J186),0)</x:f>
        <x:v>2054.2210763521375</x:v>
      </x:c>
      <x:c r="L186" s="105" t="n">
        <x:f>IF(I186&gt;0,MIN('Your Mortgage'!$F$6,MAX(0,I186+J186-K186)),0)</x:f>
        <x:v>250</x:v>
      </x:c>
      <x:c r="M186" s="105" t="n">
        <x:f>IF(AND(A186='Your Mortgage'!$F$8,I186&gt;0),MIN('Your Mortgage'!$F$7,MAX(0,I186+J186-K186-L186)),0)</x:f>
        <x:v>0</x:v>
      </x:c>
      <x:c r="N186" s="105" t="n">
        <x:f>K186+L186+M186</x:f>
        <x:v>2304.2210763521375</x:v>
      </x:c>
      <x:c r="O186" s="105" t="n">
        <x:f>MAX(0,N186-J186)</x:f>
        <x:v>1505.0467737555045</x:v>
      </x:c>
      <x:c r="P186" s="105" t="n">
        <x:f>MAX(0,I186-O186)</x:f>
        <x:v>146034.82447485364</x:v>
      </x:c>
      <x:c r="Q186" s="106" t="n">
        <x:f>X185</x:f>
        <x:v>84044.8256742768</x:v>
      </x:c>
      <x:c r="R186" s="106" t="n">
        <x:f>IF(Q186&gt;0,Q186*'Your Mortgage'!$C$7/12,0)</x:f>
        <x:v>455.242805735666</x:v>
      </x:c>
      <x:c r="S186" s="106" t="n">
        <x:f>IF(Q186&gt;0,MIN('Your Mortgage'!$C$11,Q186+R186),0)</x:f>
        <x:v>2054.2210763521375</x:v>
      </x:c>
      <x:c r="T186" s="106" t="n">
        <x:f>IF(Q186&gt;0,MIN('Your Mortgage'!$I$6,MAX(0,Q186+R186-S186)),0)</x:f>
        <x:v>500</x:v>
      </x:c>
      <x:c r="U186" s="106" t="n">
        <x:f>IF(AND(A186='Your Mortgage'!$I$8,Q186&gt;0),MIN('Your Mortgage'!$I$7,MAX(0,Q186+R186-S186-T186)),0)</x:f>
        <x:v>0</x:v>
      </x:c>
      <x:c r="V186" s="106" t="n">
        <x:f>S186+T186+U186</x:f>
        <x:v>2554.2210763521375</x:v>
      </x:c>
      <x:c r="W186" s="106" t="n">
        <x:f>MAX(0,V186-R186)</x:f>
        <x:v>2098.9782706164715</x:v>
      </x:c>
      <x:c r="X186" s="106" t="n">
        <x:f>MAX(0,Q186-W186)</x:f>
        <x:v>81945.84740366033</x:v>
      </x:c>
      <x:c r="Y186" s="1"/>
      <x:c r="Z186" s="1"/>
    </x:row>
    <x:row r="187">
      <x:c r="A187" s="100" t="n">
        <x:f>A186+1</x:f>
        <x:v>182</x:v>
      </x:c>
      <x:c r="B187" s="103" t="n">
        <x:f>EDATE(B186,1)</x:f>
        <x:v>51745</x:v>
      </x:c>
      <x:c r="C187" s="104" t="n">
        <x:f>H186</x:f>
        <x:v>235040.3311522733</x:v>
      </x:c>
      <x:c r="D187" s="104" t="n">
        <x:f>IF(C187&gt;0,C187*'Your Mortgage'!$C$7/12,0)</x:f>
        <x:v>1273.135127074814</x:v>
      </x:c>
      <x:c r="E187" s="104" t="n">
        <x:f>IF(C187&gt;0,MIN('Your Mortgage'!$C$11,C187+D187),0)</x:f>
        <x:v>2054.2210763521375</x:v>
      </x:c>
      <x:c r="F187" s="104" t="n">
        <x:f>E187</x:f>
        <x:v>2054.2210763521375</x:v>
      </x:c>
      <x:c r="G187" s="104" t="n">
        <x:f>MAX(0,F187-D187)</x:f>
        <x:v>781.0859492773236</x:v>
      </x:c>
      <x:c r="H187" s="104" t="n">
        <x:f>MAX(0,C187-G187)</x:f>
        <x:v>234259.24520299598</x:v>
      </x:c>
      <x:c r="I187" s="105" t="n">
        <x:f>P186</x:f>
        <x:v>146034.82447485364</x:v>
      </x:c>
      <x:c r="J187" s="105" t="n">
        <x:f>IF(I187&gt;0,I187*'Your Mortgage'!$C$7/12,0)</x:f>
        <x:v>791.0219659054573</x:v>
      </x:c>
      <x:c r="K187" s="105" t="n">
        <x:f>IF(I187&gt;0,MIN('Your Mortgage'!$C$11,I187+J187),0)</x:f>
        <x:v>2054.2210763521375</x:v>
      </x:c>
      <x:c r="L187" s="105" t="n">
        <x:f>IF(I187&gt;0,MIN('Your Mortgage'!$F$6,MAX(0,I187+J187-K187)),0)</x:f>
        <x:v>250</x:v>
      </x:c>
      <x:c r="M187" s="105" t="n">
        <x:f>IF(AND(A187='Your Mortgage'!$F$8,I187&gt;0),MIN('Your Mortgage'!$F$7,MAX(0,I187+J187-K187-L187)),0)</x:f>
        <x:v>0</x:v>
      </x:c>
      <x:c r="N187" s="105" t="n">
        <x:f>K187+L187+M187</x:f>
        <x:v>2304.2210763521375</x:v>
      </x:c>
      <x:c r="O187" s="105" t="n">
        <x:f>MAX(0,N187-J187)</x:f>
        <x:v>1513.1991104466802</x:v>
      </x:c>
      <x:c r="P187" s="105" t="n">
        <x:f>MAX(0,I187-O187)</x:f>
        <x:v>144521.62536440697</x:v>
      </x:c>
      <x:c r="Q187" s="106" t="n">
        <x:f>X186</x:f>
        <x:v>81945.84740366033</x:v>
      </x:c>
      <x:c r="R187" s="106" t="n">
        <x:f>IF(Q187&gt;0,Q187*'Your Mortgage'!$C$7/12,0)</x:f>
        <x:v>443.87334010316016</x:v>
      </x:c>
      <x:c r="S187" s="106" t="n">
        <x:f>IF(Q187&gt;0,MIN('Your Mortgage'!$C$11,Q187+R187),0)</x:f>
        <x:v>2054.2210763521375</x:v>
      </x:c>
      <x:c r="T187" s="106" t="n">
        <x:f>IF(Q187&gt;0,MIN('Your Mortgage'!$I$6,MAX(0,Q187+R187-S187)),0)</x:f>
        <x:v>500</x:v>
      </x:c>
      <x:c r="U187" s="106" t="n">
        <x:f>IF(AND(A187='Your Mortgage'!$I$8,Q187&gt;0),MIN('Your Mortgage'!$I$7,MAX(0,Q187+R187-S187-T187)),0)</x:f>
        <x:v>0</x:v>
      </x:c>
      <x:c r="V187" s="106" t="n">
        <x:f>S187+T187+U187</x:f>
        <x:v>2554.2210763521375</x:v>
      </x:c>
      <x:c r="W187" s="106" t="n">
        <x:f>MAX(0,V187-R187)</x:f>
        <x:v>2110.3477362489775</x:v>
      </x:c>
      <x:c r="X187" s="106" t="n">
        <x:f>MAX(0,Q187-W187)</x:f>
        <x:v>79835.49966741135</x:v>
      </x:c>
      <x:c r="Y187" s="1"/>
      <x:c r="Z187" s="1"/>
    </x:row>
    <x:row r="188">
      <x:c r="A188" s="100" t="n">
        <x:f>A187+1</x:f>
        <x:v>183</x:v>
      </x:c>
      <x:c r="B188" s="103" t="n">
        <x:f>EDATE(B187,1)</x:f>
        <x:v>51775</x:v>
      </x:c>
      <x:c r="C188" s="104" t="n">
        <x:f>H187</x:f>
        <x:v>234259.24520299598</x:v>
      </x:c>
      <x:c r="D188" s="104" t="n">
        <x:f>IF(C188&gt;0,C188*'Your Mortgage'!$C$7/12,0)</x:f>
        <x:v>1268.9042448495616</x:v>
      </x:c>
      <x:c r="E188" s="104" t="n">
        <x:f>IF(C188&gt;0,MIN('Your Mortgage'!$C$11,C188+D188),0)</x:f>
        <x:v>2054.2210763521375</x:v>
      </x:c>
      <x:c r="F188" s="104" t="n">
        <x:f>E188</x:f>
        <x:v>2054.2210763521375</x:v>
      </x:c>
      <x:c r="G188" s="104" t="n">
        <x:f>MAX(0,F188-D188)</x:f>
        <x:v>785.316831502576</x:v>
      </x:c>
      <x:c r="H188" s="104" t="n">
        <x:f>MAX(0,C188-G188)</x:f>
        <x:v>233473.9283714934</x:v>
      </x:c>
      <x:c r="I188" s="105" t="n">
        <x:f>P187</x:f>
        <x:v>144521.62536440697</x:v>
      </x:c>
      <x:c r="J188" s="105" t="n">
        <x:f>IF(I188&gt;0,I188*'Your Mortgage'!$C$7/12,0)</x:f>
        <x:v>782.8254707238711</x:v>
      </x:c>
      <x:c r="K188" s="105" t="n">
        <x:f>IF(I188&gt;0,MIN('Your Mortgage'!$C$11,I188+J188),0)</x:f>
        <x:v>2054.2210763521375</x:v>
      </x:c>
      <x:c r="L188" s="105" t="n">
        <x:f>IF(I188&gt;0,MIN('Your Mortgage'!$F$6,MAX(0,I188+J188-K188)),0)</x:f>
        <x:v>250</x:v>
      </x:c>
      <x:c r="M188" s="105" t="n">
        <x:f>IF(AND(A188='Your Mortgage'!$F$8,I188&gt;0),MIN('Your Mortgage'!$F$7,MAX(0,I188+J188-K188-L188)),0)</x:f>
        <x:v>0</x:v>
      </x:c>
      <x:c r="N188" s="105" t="n">
        <x:f>K188+L188+M188</x:f>
        <x:v>2304.2210763521375</x:v>
      </x:c>
      <x:c r="O188" s="105" t="n">
        <x:f>MAX(0,N188-J188)</x:f>
        <x:v>1521.3956056282664</x:v>
      </x:c>
      <x:c r="P188" s="105" t="n">
        <x:f>MAX(0,I188-O188)</x:f>
        <x:v>143000.2297587787</x:v>
      </x:c>
      <x:c r="Q188" s="106" t="n">
        <x:f>X187</x:f>
        <x:v>79835.49966741135</x:v>
      </x:c>
      <x:c r="R188" s="106" t="n">
        <x:f>IF(Q188&gt;0,Q188*'Your Mortgage'!$C$7/12,0)</x:f>
        <x:v>432.44228986514486</x:v>
      </x:c>
      <x:c r="S188" s="106" t="n">
        <x:f>IF(Q188&gt;0,MIN('Your Mortgage'!$C$11,Q188+R188),0)</x:f>
        <x:v>2054.2210763521375</x:v>
      </x:c>
      <x:c r="T188" s="106" t="n">
        <x:f>IF(Q188&gt;0,MIN('Your Mortgage'!$I$6,MAX(0,Q188+R188-S188)),0)</x:f>
        <x:v>500</x:v>
      </x:c>
      <x:c r="U188" s="106" t="n">
        <x:f>IF(AND(A188='Your Mortgage'!$I$8,Q188&gt;0),MIN('Your Mortgage'!$I$7,MAX(0,Q188+R188-S188-T188)),0)</x:f>
        <x:v>0</x:v>
      </x:c>
      <x:c r="V188" s="106" t="n">
        <x:f>S188+T188+U188</x:f>
        <x:v>2554.2210763521375</x:v>
      </x:c>
      <x:c r="W188" s="106" t="n">
        <x:f>MAX(0,V188-R188)</x:f>
        <x:v>2121.7787864869924</x:v>
      </x:c>
      <x:c r="X188" s="106" t="n">
        <x:f>MAX(0,Q188-W188)</x:f>
        <x:v>77713.72088092436</x:v>
      </x:c>
      <x:c r="Y188" s="1"/>
      <x:c r="Z188" s="1"/>
    </x:row>
    <x:row r="189">
      <x:c r="A189" s="100" t="n">
        <x:f>A188+1</x:f>
        <x:v>184</x:v>
      </x:c>
      <x:c r="B189" s="103" t="n">
        <x:f>EDATE(B188,1)</x:f>
        <x:v>51806</x:v>
      </x:c>
      <x:c r="C189" s="104" t="n">
        <x:f>H188</x:f>
        <x:v>233473.9283714934</x:v>
      </x:c>
      <x:c r="D189" s="104" t="n">
        <x:f>IF(C189&gt;0,C189*'Your Mortgage'!$C$7/12,0)</x:f>
        <x:v>1264.6504453455893</x:v>
      </x:c>
      <x:c r="E189" s="104" t="n">
        <x:f>IF(C189&gt;0,MIN('Your Mortgage'!$C$11,C189+D189),0)</x:f>
        <x:v>2054.2210763521375</x:v>
      </x:c>
      <x:c r="F189" s="104" t="n">
        <x:f>E189</x:f>
        <x:v>2054.2210763521375</x:v>
      </x:c>
      <x:c r="G189" s="104" t="n">
        <x:f>MAX(0,F189-D189)</x:f>
        <x:v>789.5706310065482</x:v>
      </x:c>
      <x:c r="H189" s="104" t="n">
        <x:f>MAX(0,C189-G189)</x:f>
        <x:v>232684.35774048686</x:v>
      </x:c>
      <x:c r="I189" s="105" t="n">
        <x:f>P188</x:f>
        <x:v>143000.2297587787</x:v>
      </x:c>
      <x:c r="J189" s="105" t="n">
        <x:f>IF(I189&gt;0,I189*'Your Mortgage'!$C$7/12,0)</x:f>
        <x:v>774.5845778600514</x:v>
      </x:c>
      <x:c r="K189" s="105" t="n">
        <x:f>IF(I189&gt;0,MIN('Your Mortgage'!$C$11,I189+J189),0)</x:f>
        <x:v>2054.2210763521375</x:v>
      </x:c>
      <x:c r="L189" s="105" t="n">
        <x:f>IF(I189&gt;0,MIN('Your Mortgage'!$F$6,MAX(0,I189+J189-K189)),0)</x:f>
        <x:v>250</x:v>
      </x:c>
      <x:c r="M189" s="105" t="n">
        <x:f>IF(AND(A189='Your Mortgage'!$F$8,I189&gt;0),MIN('Your Mortgage'!$F$7,MAX(0,I189+J189-K189-L189)),0)</x:f>
        <x:v>0</x:v>
      </x:c>
      <x:c r="N189" s="105" t="n">
        <x:f>K189+L189+M189</x:f>
        <x:v>2304.2210763521375</x:v>
      </x:c>
      <x:c r="O189" s="105" t="n">
        <x:f>MAX(0,N189-J189)</x:f>
        <x:v>1529.636498492086</x:v>
      </x:c>
      <x:c r="P189" s="105" t="n">
        <x:f>MAX(0,I189-O189)</x:f>
        <x:v>141470.5932602866</x:v>
      </x:c>
      <x:c r="Q189" s="106" t="n">
        <x:f>X188</x:f>
        <x:v>77713.72088092436</x:v>
      </x:c>
      <x:c r="R189" s="106" t="n">
        <x:f>IF(Q189&gt;0,Q189*'Your Mortgage'!$C$7/12,0)</x:f>
        <x:v>420.9493214383403</x:v>
      </x:c>
      <x:c r="S189" s="106" t="n">
        <x:f>IF(Q189&gt;0,MIN('Your Mortgage'!$C$11,Q189+R189),0)</x:f>
        <x:v>2054.2210763521375</x:v>
      </x:c>
      <x:c r="T189" s="106" t="n">
        <x:f>IF(Q189&gt;0,MIN('Your Mortgage'!$I$6,MAX(0,Q189+R189-S189)),0)</x:f>
        <x:v>500</x:v>
      </x:c>
      <x:c r="U189" s="106" t="n">
        <x:f>IF(AND(A189='Your Mortgage'!$I$8,Q189&gt;0),MIN('Your Mortgage'!$I$7,MAX(0,Q189+R189-S189-T189)),0)</x:f>
        <x:v>0</x:v>
      </x:c>
      <x:c r="V189" s="106" t="n">
        <x:f>S189+T189+U189</x:f>
        <x:v>2554.2210763521375</x:v>
      </x:c>
      <x:c r="W189" s="106" t="n">
        <x:f>MAX(0,V189-R189)</x:f>
        <x:v>2133.2717549137974</x:v>
      </x:c>
      <x:c r="X189" s="106" t="n">
        <x:f>MAX(0,Q189-W189)</x:f>
        <x:v>75580.44912601056</x:v>
      </x:c>
      <x:c r="Y189" s="1"/>
      <x:c r="Z189" s="1"/>
    </x:row>
    <x:row r="190">
      <x:c r="A190" s="100" t="n">
        <x:f>A189+1</x:f>
        <x:v>185</x:v>
      </x:c>
      <x:c r="B190" s="103" t="n">
        <x:f>EDATE(B189,1)</x:f>
        <x:v>51836</x:v>
      </x:c>
      <x:c r="C190" s="104" t="n">
        <x:f>H189</x:f>
        <x:v>232684.35774048686</x:v>
      </x:c>
      <x:c r="D190" s="104" t="n">
        <x:f>IF(C190&gt;0,C190*'Your Mortgage'!$C$7/12,0)</x:f>
        <x:v>1260.3736044276372</x:v>
      </x:c>
      <x:c r="E190" s="104" t="n">
        <x:f>IF(C190&gt;0,MIN('Your Mortgage'!$C$11,C190+D190),0)</x:f>
        <x:v>2054.2210763521375</x:v>
      </x:c>
      <x:c r="F190" s="104" t="n">
        <x:f>E190</x:f>
        <x:v>2054.2210763521375</x:v>
      </x:c>
      <x:c r="G190" s="104" t="n">
        <x:f>MAX(0,F190-D190)</x:f>
        <x:v>793.8474719245003</x:v>
      </x:c>
      <x:c r="H190" s="104" t="n">
        <x:f>MAX(0,C190-G190)</x:f>
        <x:v>231890.51026856236</x:v>
      </x:c>
      <x:c r="I190" s="105" t="n">
        <x:f>P189</x:f>
        <x:v>141470.5932602866</x:v>
      </x:c>
      <x:c r="J190" s="105" t="n">
        <x:f>IF(I190&gt;0,I190*'Your Mortgage'!$C$7/12,0)</x:f>
        <x:v>766.2990468265525</x:v>
      </x:c>
      <x:c r="K190" s="105" t="n">
        <x:f>IF(I190&gt;0,MIN('Your Mortgage'!$C$11,I190+J190),0)</x:f>
        <x:v>2054.2210763521375</x:v>
      </x:c>
      <x:c r="L190" s="105" t="n">
        <x:f>IF(I190&gt;0,MIN('Your Mortgage'!$F$6,MAX(0,I190+J190-K190)),0)</x:f>
        <x:v>250</x:v>
      </x:c>
      <x:c r="M190" s="105" t="n">
        <x:f>IF(AND(A190='Your Mortgage'!$F$8,I190&gt;0),MIN('Your Mortgage'!$F$7,MAX(0,I190+J190-K190-L190)),0)</x:f>
        <x:v>0</x:v>
      </x:c>
      <x:c r="N190" s="105" t="n">
        <x:f>K190+L190+M190</x:f>
        <x:v>2304.2210763521375</x:v>
      </x:c>
      <x:c r="O190" s="105" t="n">
        <x:f>MAX(0,N190-J190)</x:f>
        <x:v>1537.922029525585</x:v>
      </x:c>
      <x:c r="P190" s="105" t="n">
        <x:f>MAX(0,I190-O190)</x:f>
        <x:v>139932.671230761</x:v>
      </x:c>
      <x:c r="Q190" s="106" t="n">
        <x:f>X189</x:f>
        <x:v>75580.44912601056</x:v>
      </x:c>
      <x:c r="R190" s="106" t="n">
        <x:f>IF(Q190&gt;0,Q190*'Your Mortgage'!$C$7/12,0)</x:f>
        <x:v>409.3940994325572</x:v>
      </x:c>
      <x:c r="S190" s="106" t="n">
        <x:f>IF(Q190&gt;0,MIN('Your Mortgage'!$C$11,Q190+R190),0)</x:f>
        <x:v>2054.2210763521375</x:v>
      </x:c>
      <x:c r="T190" s="106" t="n">
        <x:f>IF(Q190&gt;0,MIN('Your Mortgage'!$I$6,MAX(0,Q190+R190-S190)),0)</x:f>
        <x:v>500</x:v>
      </x:c>
      <x:c r="U190" s="106" t="n">
        <x:f>IF(AND(A190='Your Mortgage'!$I$8,Q190&gt;0),MIN('Your Mortgage'!$I$7,MAX(0,Q190+R190-S190-T190)),0)</x:f>
        <x:v>0</x:v>
      </x:c>
      <x:c r="V190" s="106" t="n">
        <x:f>S190+T190+U190</x:f>
        <x:v>2554.2210763521375</x:v>
      </x:c>
      <x:c r="W190" s="106" t="n">
        <x:f>MAX(0,V190-R190)</x:f>
        <x:v>2144.8269769195804</x:v>
      </x:c>
      <x:c r="X190" s="106" t="n">
        <x:f>MAX(0,Q190-W190)</x:f>
        <x:v>73435.62214909098</x:v>
      </x:c>
      <x:c r="Y190" s="1"/>
      <x:c r="Z190" s="1"/>
    </x:row>
    <x:row r="191">
      <x:c r="A191" s="100" t="n">
        <x:f>A190+1</x:f>
        <x:v>186</x:v>
      </x:c>
      <x:c r="B191" s="103" t="n">
        <x:f>EDATE(B190,1)</x:f>
        <x:v>51867</x:v>
      </x:c>
      <x:c r="C191" s="104" t="n">
        <x:f>H190</x:f>
        <x:v>231890.51026856236</x:v>
      </x:c>
      <x:c r="D191" s="104" t="n">
        <x:f>IF(C191&gt;0,C191*'Your Mortgage'!$C$7/12,0)</x:f>
        <x:v>1256.0735972880461</x:v>
      </x:c>
      <x:c r="E191" s="104" t="n">
        <x:f>IF(C191&gt;0,MIN('Your Mortgage'!$C$11,C191+D191),0)</x:f>
        <x:v>2054.2210763521375</x:v>
      </x:c>
      <x:c r="F191" s="104" t="n">
        <x:f>E191</x:f>
        <x:v>2054.2210763521375</x:v>
      </x:c>
      <x:c r="G191" s="104" t="n">
        <x:f>MAX(0,F191-D191)</x:f>
        <x:v>798.1474790640914</x:v>
      </x:c>
      <x:c r="H191" s="104" t="n">
        <x:f>MAX(0,C191-G191)</x:f>
        <x:v>231092.36278949826</x:v>
      </x:c>
      <x:c r="I191" s="105" t="n">
        <x:f>P190</x:f>
        <x:v>139932.671230761</x:v>
      </x:c>
      <x:c r="J191" s="105" t="n">
        <x:f>IF(I191&gt;0,I191*'Your Mortgage'!$C$7/12,0)</x:f>
        <x:v>757.9686358332889</x:v>
      </x:c>
      <x:c r="K191" s="105" t="n">
        <x:f>IF(I191&gt;0,MIN('Your Mortgage'!$C$11,I191+J191),0)</x:f>
        <x:v>2054.2210763521375</x:v>
      </x:c>
      <x:c r="L191" s="105" t="n">
        <x:f>IF(I191&gt;0,MIN('Your Mortgage'!$F$6,MAX(0,I191+J191-K191)),0)</x:f>
        <x:v>250</x:v>
      </x:c>
      <x:c r="M191" s="105" t="n">
        <x:f>IF(AND(A191='Your Mortgage'!$F$8,I191&gt;0),MIN('Your Mortgage'!$F$7,MAX(0,I191+J191-K191-L191)),0)</x:f>
        <x:v>0</x:v>
      </x:c>
      <x:c r="N191" s="105" t="n">
        <x:f>K191+L191+M191</x:f>
        <x:v>2304.2210763521375</x:v>
      </x:c>
      <x:c r="O191" s="105" t="n">
        <x:f>MAX(0,N191-J191)</x:f>
        <x:v>1546.2524405188487</x:v>
      </x:c>
      <x:c r="P191" s="105" t="n">
        <x:f>MAX(0,I191-O191)</x:f>
        <x:v>138386.41879024217</x:v>
      </x:c>
      <x:c r="Q191" s="106" t="n">
        <x:f>X190</x:f>
        <x:v>73435.62214909098</x:v>
      </x:c>
      <x:c r="R191" s="106" t="n">
        <x:f>IF(Q191&gt;0,Q191*'Your Mortgage'!$C$7/12,0)</x:f>
        <x:v>397.7762866409095</x:v>
      </x:c>
      <x:c r="S191" s="106" t="n">
        <x:f>IF(Q191&gt;0,MIN('Your Mortgage'!$C$11,Q191+R191),0)</x:f>
        <x:v>2054.2210763521375</x:v>
      </x:c>
      <x:c r="T191" s="106" t="n">
        <x:f>IF(Q191&gt;0,MIN('Your Mortgage'!$I$6,MAX(0,Q191+R191-S191)),0)</x:f>
        <x:v>500</x:v>
      </x:c>
      <x:c r="U191" s="106" t="n">
        <x:f>IF(AND(A191='Your Mortgage'!$I$8,Q191&gt;0),MIN('Your Mortgage'!$I$7,MAX(0,Q191+R191-S191-T191)),0)</x:f>
        <x:v>0</x:v>
      </x:c>
      <x:c r="V191" s="106" t="n">
        <x:f>S191+T191+U191</x:f>
        <x:v>2554.2210763521375</x:v>
      </x:c>
      <x:c r="W191" s="106" t="n">
        <x:f>MAX(0,V191-R191)</x:f>
        <x:v>2156.444789711228</x:v>
      </x:c>
      <x:c r="X191" s="106" t="n">
        <x:f>MAX(0,Q191-W191)</x:f>
        <x:v>71279.17735937976</x:v>
      </x:c>
      <x:c r="Y191" s="1"/>
      <x:c r="Z191" s="1"/>
    </x:row>
    <x:row r="192">
      <x:c r="A192" s="100" t="n">
        <x:f>A191+1</x:f>
        <x:v>187</x:v>
      </x:c>
      <x:c r="B192" s="103" t="n">
        <x:f>EDATE(B191,1)</x:f>
        <x:v>51898</x:v>
      </x:c>
      <x:c r="C192" s="104" t="n">
        <x:f>H191</x:f>
        <x:v>231092.36278949826</x:v>
      </x:c>
      <x:c r="D192" s="104" t="n">
        <x:f>IF(C192&gt;0,C192*'Your Mortgage'!$C$7/12,0)</x:f>
        <x:v>1251.7502984431155</x:v>
      </x:c>
      <x:c r="E192" s="104" t="n">
        <x:f>IF(C192&gt;0,MIN('Your Mortgage'!$C$11,C192+D192),0)</x:f>
        <x:v>2054.2210763521375</x:v>
      </x:c>
      <x:c r="F192" s="104" t="n">
        <x:f>E192</x:f>
        <x:v>2054.2210763521375</x:v>
      </x:c>
      <x:c r="G192" s="104" t="n">
        <x:f>MAX(0,F192-D192)</x:f>
        <x:v>802.470777909022</x:v>
      </x:c>
      <x:c r="H192" s="104" t="n">
        <x:f>MAX(0,C192-G192)</x:f>
        <x:v>230289.89201158925</x:v>
      </x:c>
      <x:c r="I192" s="105" t="n">
        <x:f>P191</x:f>
        <x:v>138386.41879024217</x:v>
      </x:c>
      <x:c r="J192" s="105" t="n">
        <x:f>IF(I192&gt;0,I192*'Your Mortgage'!$C$7/12,0)</x:f>
        <x:v>749.5931017804784</x:v>
      </x:c>
      <x:c r="K192" s="105" t="n">
        <x:f>IF(I192&gt;0,MIN('Your Mortgage'!$C$11,I192+J192),0)</x:f>
        <x:v>2054.2210763521375</x:v>
      </x:c>
      <x:c r="L192" s="105" t="n">
        <x:f>IF(I192&gt;0,MIN('Your Mortgage'!$F$6,MAX(0,I192+J192-K192)),0)</x:f>
        <x:v>250</x:v>
      </x:c>
      <x:c r="M192" s="105" t="n">
        <x:f>IF(AND(A192='Your Mortgage'!$F$8,I192&gt;0),MIN('Your Mortgage'!$F$7,MAX(0,I192+J192-K192-L192)),0)</x:f>
        <x:v>0</x:v>
      </x:c>
      <x:c r="N192" s="105" t="n">
        <x:f>K192+L192+M192</x:f>
        <x:v>2304.2210763521375</x:v>
      </x:c>
      <x:c r="O192" s="105" t="n">
        <x:f>MAX(0,N192-J192)</x:f>
        <x:v>1554.6279745716593</x:v>
      </x:c>
      <x:c r="P192" s="105" t="n">
        <x:f>MAX(0,I192-O192)</x:f>
        <x:v>136831.7908156705</x:v>
      </x:c>
      <x:c r="Q192" s="106" t="n">
        <x:f>X191</x:f>
        <x:v>71279.17735937976</x:v>
      </x:c>
      <x:c r="R192" s="106" t="n">
        <x:f>IF(Q192&gt;0,Q192*'Your Mortgage'!$C$7/12,0)</x:f>
        <x:v>386.0955440299737</x:v>
      </x:c>
      <x:c r="S192" s="106" t="n">
        <x:f>IF(Q192&gt;0,MIN('Your Mortgage'!$C$11,Q192+R192),0)</x:f>
        <x:v>2054.2210763521375</x:v>
      </x:c>
      <x:c r="T192" s="106" t="n">
        <x:f>IF(Q192&gt;0,MIN('Your Mortgage'!$I$6,MAX(0,Q192+R192-S192)),0)</x:f>
        <x:v>500</x:v>
      </x:c>
      <x:c r="U192" s="106" t="n">
        <x:f>IF(AND(A192='Your Mortgage'!$I$8,Q192&gt;0),MIN('Your Mortgage'!$I$7,MAX(0,Q192+R192-S192-T192)),0)</x:f>
        <x:v>0</x:v>
      </x:c>
      <x:c r="V192" s="106" t="n">
        <x:f>S192+T192+U192</x:f>
        <x:v>2554.2210763521375</x:v>
      </x:c>
      <x:c r="W192" s="106" t="n">
        <x:f>MAX(0,V192-R192)</x:f>
        <x:v>2168.125532322164</x:v>
      </x:c>
      <x:c r="X192" s="106" t="n">
        <x:f>MAX(0,Q192-W192)</x:f>
        <x:v>69111.05182705758</x:v>
      </x:c>
      <x:c r="Y192" s="1"/>
      <x:c r="Z192" s="1"/>
    </x:row>
    <x:row r="193">
      <x:c r="A193" s="100" t="n">
        <x:f>A192+1</x:f>
        <x:v>188</x:v>
      </x:c>
      <x:c r="B193" s="103" t="n">
        <x:f>EDATE(B192,1)</x:f>
        <x:v>51926</x:v>
      </x:c>
      <x:c r="C193" s="104" t="n">
        <x:f>H192</x:f>
        <x:v>230289.89201158925</x:v>
      </x:c>
      <x:c r="D193" s="104" t="n">
        <x:f>IF(C193&gt;0,C193*'Your Mortgage'!$C$7/12,0)</x:f>
        <x:v>1247.4035817294418</x:v>
      </x:c>
      <x:c r="E193" s="104" t="n">
        <x:f>IF(C193&gt;0,MIN('Your Mortgage'!$C$11,C193+D193),0)</x:f>
        <x:v>2054.2210763521375</x:v>
      </x:c>
      <x:c r="F193" s="104" t="n">
        <x:f>E193</x:f>
        <x:v>2054.2210763521375</x:v>
      </x:c>
      <x:c r="G193" s="104" t="n">
        <x:f>MAX(0,F193-D193)</x:f>
        <x:v>806.8174946226957</x:v>
      </x:c>
      <x:c r="H193" s="104" t="n">
        <x:f>MAX(0,C193-G193)</x:f>
        <x:v>229483.07451696656</x:v>
      </x:c>
      <x:c r="I193" s="105" t="n">
        <x:f>P192</x:f>
        <x:v>136831.7908156705</x:v>
      </x:c>
      <x:c r="J193" s="105" t="n">
        <x:f>IF(I193&gt;0,I193*'Your Mortgage'!$C$7/12,0)</x:f>
        <x:v>741.1722002515486</x:v>
      </x:c>
      <x:c r="K193" s="105" t="n">
        <x:f>IF(I193&gt;0,MIN('Your Mortgage'!$C$11,I193+J193),0)</x:f>
        <x:v>2054.2210763521375</x:v>
      </x:c>
      <x:c r="L193" s="105" t="n">
        <x:f>IF(I193&gt;0,MIN('Your Mortgage'!$F$6,MAX(0,I193+J193-K193)),0)</x:f>
        <x:v>250</x:v>
      </x:c>
      <x:c r="M193" s="105" t="n">
        <x:f>IF(AND(A193='Your Mortgage'!$F$8,I193&gt;0),MIN('Your Mortgage'!$F$7,MAX(0,I193+J193-K193-L193)),0)</x:f>
        <x:v>0</x:v>
      </x:c>
      <x:c r="N193" s="105" t="n">
        <x:f>K193+L193+M193</x:f>
        <x:v>2304.2210763521375</x:v>
      </x:c>
      <x:c r="O193" s="105" t="n">
        <x:f>MAX(0,N193-J193)</x:f>
        <x:v>1563.048876100589</x:v>
      </x:c>
      <x:c r="P193" s="105" t="n">
        <x:f>MAX(0,I193-O193)</x:f>
        <x:v>135268.7419395699</x:v>
      </x:c>
      <x:c r="Q193" s="106" t="n">
        <x:f>X192</x:f>
        <x:v>69111.05182705758</x:v>
      </x:c>
      <x:c r="R193" s="106" t="n">
        <x:f>IF(Q193&gt;0,Q193*'Your Mortgage'!$C$7/12,0)</x:f>
        <x:v>374.3515307298953</x:v>
      </x:c>
      <x:c r="S193" s="106" t="n">
        <x:f>IF(Q193&gt;0,MIN('Your Mortgage'!$C$11,Q193+R193),0)</x:f>
        <x:v>2054.2210763521375</x:v>
      </x:c>
      <x:c r="T193" s="106" t="n">
        <x:f>IF(Q193&gt;0,MIN('Your Mortgage'!$I$6,MAX(0,Q193+R193-S193)),0)</x:f>
        <x:v>500</x:v>
      </x:c>
      <x:c r="U193" s="106" t="n">
        <x:f>IF(AND(A193='Your Mortgage'!$I$8,Q193&gt;0),MIN('Your Mortgage'!$I$7,MAX(0,Q193+R193-S193-T193)),0)</x:f>
        <x:v>0</x:v>
      </x:c>
      <x:c r="V193" s="106" t="n">
        <x:f>S193+T193+U193</x:f>
        <x:v>2554.2210763521375</x:v>
      </x:c>
      <x:c r="W193" s="106" t="n">
        <x:f>MAX(0,V193-R193)</x:f>
        <x:v>2179.869545622242</x:v>
      </x:c>
      <x:c r="X193" s="106" t="n">
        <x:f>MAX(0,Q193-W193)</x:f>
        <x:v>66931.18228143534</x:v>
      </x:c>
      <x:c r="Y193" s="1"/>
      <x:c r="Z193" s="1"/>
    </x:row>
    <x:row r="194">
      <x:c r="A194" s="100" t="n">
        <x:f>A193+1</x:f>
        <x:v>189</x:v>
      </x:c>
      <x:c r="B194" s="103" t="n">
        <x:f>EDATE(B193,1)</x:f>
        <x:v>51957</x:v>
      </x:c>
      <x:c r="C194" s="104" t="n">
        <x:f>H193</x:f>
        <x:v>229483.07451696656</x:v>
      </x:c>
      <x:c r="D194" s="104" t="n">
        <x:f>IF(C194&gt;0,C194*'Your Mortgage'!$C$7/12,0)</x:f>
        <x:v>1243.0333203002356</x:v>
      </x:c>
      <x:c r="E194" s="104" t="n">
        <x:f>IF(C194&gt;0,MIN('Your Mortgage'!$C$11,C194+D194),0)</x:f>
        <x:v>2054.2210763521375</x:v>
      </x:c>
      <x:c r="F194" s="104" t="n">
        <x:f>E194</x:f>
        <x:v>2054.2210763521375</x:v>
      </x:c>
      <x:c r="G194" s="104" t="n">
        <x:f>MAX(0,F194-D194)</x:f>
        <x:v>811.1877560519019</x:v>
      </x:c>
      <x:c r="H194" s="104" t="n">
        <x:f>MAX(0,C194-G194)</x:f>
        <x:v>228671.88676091467</x:v>
      </x:c>
      <x:c r="I194" s="105" t="n">
        <x:f>P193</x:f>
        <x:v>135268.7419395699</x:v>
      </x:c>
      <x:c r="J194" s="105" t="n">
        <x:f>IF(I194&gt;0,I194*'Your Mortgage'!$C$7/12,0)</x:f>
        <x:v>732.7056855060036</x:v>
      </x:c>
      <x:c r="K194" s="105" t="n">
        <x:f>IF(I194&gt;0,MIN('Your Mortgage'!$C$11,I194+J194),0)</x:f>
        <x:v>2054.2210763521375</x:v>
      </x:c>
      <x:c r="L194" s="105" t="n">
        <x:f>IF(I194&gt;0,MIN('Your Mortgage'!$F$6,MAX(0,I194+J194-K194)),0)</x:f>
        <x:v>250</x:v>
      </x:c>
      <x:c r="M194" s="105" t="n">
        <x:f>IF(AND(A194='Your Mortgage'!$F$8,I194&gt;0),MIN('Your Mortgage'!$F$7,MAX(0,I194+J194-K194-L194)),0)</x:f>
        <x:v>0</x:v>
      </x:c>
      <x:c r="N194" s="105" t="n">
        <x:f>K194+L194+M194</x:f>
        <x:v>2304.2210763521375</x:v>
      </x:c>
      <x:c r="O194" s="105" t="n">
        <x:f>MAX(0,N194-J194)</x:f>
        <x:v>1571.5153908461339</x:v>
      </x:c>
      <x:c r="P194" s="105" t="n">
        <x:f>MAX(0,I194-O194)</x:f>
        <x:v>133697.2265487238</x:v>
      </x:c>
      <x:c r="Q194" s="106" t="n">
        <x:f>X193</x:f>
        <x:v>66931.18228143534</x:v>
      </x:c>
      <x:c r="R194" s="106" t="n">
        <x:f>IF(Q194&gt;0,Q194*'Your Mortgage'!$C$7/12,0)</x:f>
        <x:v>362.5439040244414</x:v>
      </x:c>
      <x:c r="S194" s="106" t="n">
        <x:f>IF(Q194&gt;0,MIN('Your Mortgage'!$C$11,Q194+R194),0)</x:f>
        <x:v>2054.2210763521375</x:v>
      </x:c>
      <x:c r="T194" s="106" t="n">
        <x:f>IF(Q194&gt;0,MIN('Your Mortgage'!$I$6,MAX(0,Q194+R194-S194)),0)</x:f>
        <x:v>500</x:v>
      </x:c>
      <x:c r="U194" s="106" t="n">
        <x:f>IF(AND(A194='Your Mortgage'!$I$8,Q194&gt;0),MIN('Your Mortgage'!$I$7,MAX(0,Q194+R194-S194-T194)),0)</x:f>
        <x:v>0</x:v>
      </x:c>
      <x:c r="V194" s="106" t="n">
        <x:f>S194+T194+U194</x:f>
        <x:v>2554.2210763521375</x:v>
      </x:c>
      <x:c r="W194" s="106" t="n">
        <x:f>MAX(0,V194-R194)</x:f>
        <x:v>2191.677172327696</x:v>
      </x:c>
      <x:c r="X194" s="106" t="n">
        <x:f>MAX(0,Q194-W194)</x:f>
        <x:v>64739.50510910764</x:v>
      </x:c>
      <x:c r="Y194" s="1"/>
      <x:c r="Z194" s="1"/>
    </x:row>
    <x:row r="195">
      <x:c r="A195" s="100" t="n">
        <x:f>A194+1</x:f>
        <x:v>190</x:v>
      </x:c>
      <x:c r="B195" s="103" t="n">
        <x:f>EDATE(B194,1)</x:f>
        <x:v>51987</x:v>
      </x:c>
      <x:c r="C195" s="104" t="n">
        <x:f>H194</x:f>
        <x:v>228671.88676091467</x:v>
      </x:c>
      <x:c r="D195" s="104" t="n">
        <x:f>IF(C195&gt;0,C195*'Your Mortgage'!$C$7/12,0)</x:f>
        <x:v>1238.639386621621</x:v>
      </x:c>
      <x:c r="E195" s="104" t="n">
        <x:f>IF(C195&gt;0,MIN('Your Mortgage'!$C$11,C195+D195),0)</x:f>
        <x:v>2054.2210763521375</x:v>
      </x:c>
      <x:c r="F195" s="104" t="n">
        <x:f>E195</x:f>
        <x:v>2054.2210763521375</x:v>
      </x:c>
      <x:c r="G195" s="104" t="n">
        <x:f>MAX(0,F195-D195)</x:f>
        <x:v>815.5816897305165</x:v>
      </x:c>
      <x:c r="H195" s="104" t="n">
        <x:f>MAX(0,C195-G195)</x:f>
        <x:v>227856.30507118415</x:v>
      </x:c>
      <x:c r="I195" s="105" t="n">
        <x:f>P194</x:f>
        <x:v>133697.2265487238</x:v>
      </x:c>
      <x:c r="J195" s="105" t="n">
        <x:f>IF(I195&gt;0,I195*'Your Mortgage'!$C$7/12,0)</x:f>
        <x:v>724.1933104722539</x:v>
      </x:c>
      <x:c r="K195" s="105" t="n">
        <x:f>IF(I195&gt;0,MIN('Your Mortgage'!$C$11,I195+J195),0)</x:f>
        <x:v>2054.2210763521375</x:v>
      </x:c>
      <x:c r="L195" s="105" t="n">
        <x:f>IF(I195&gt;0,MIN('Your Mortgage'!$F$6,MAX(0,I195+J195-K195)),0)</x:f>
        <x:v>250</x:v>
      </x:c>
      <x:c r="M195" s="105" t="n">
        <x:f>IF(AND(A195='Your Mortgage'!$F$8,I195&gt;0),MIN('Your Mortgage'!$F$7,MAX(0,I195+J195-K195-L195)),0)</x:f>
        <x:v>0</x:v>
      </x:c>
      <x:c r="N195" s="105" t="n">
        <x:f>K195+L195+M195</x:f>
        <x:v>2304.2210763521375</x:v>
      </x:c>
      <x:c r="O195" s="105" t="n">
        <x:f>MAX(0,N195-J195)</x:f>
        <x:v>1580.0277658798836</x:v>
      </x:c>
      <x:c r="P195" s="105" t="n">
        <x:f>MAX(0,I195-O195)</x:f>
        <x:v>132117.19878284392</x:v>
      </x:c>
      <x:c r="Q195" s="106" t="n">
        <x:f>X194</x:f>
        <x:v>64739.50510910764</x:v>
      </x:c>
      <x:c r="R195" s="106" t="n">
        <x:f>IF(Q195&gt;0,Q195*'Your Mortgage'!$C$7/12,0)</x:f>
        <x:v>350.67231934099976</x:v>
      </x:c>
      <x:c r="S195" s="106" t="n">
        <x:f>IF(Q195&gt;0,MIN('Your Mortgage'!$C$11,Q195+R195),0)</x:f>
        <x:v>2054.2210763521375</x:v>
      </x:c>
      <x:c r="T195" s="106" t="n">
        <x:f>IF(Q195&gt;0,MIN('Your Mortgage'!$I$6,MAX(0,Q195+R195-S195)),0)</x:f>
        <x:v>500</x:v>
      </x:c>
      <x:c r="U195" s="106" t="n">
        <x:f>IF(AND(A195='Your Mortgage'!$I$8,Q195&gt;0),MIN('Your Mortgage'!$I$7,MAX(0,Q195+R195-S195-T195)),0)</x:f>
        <x:v>0</x:v>
      </x:c>
      <x:c r="V195" s="106" t="n">
        <x:f>S195+T195+U195</x:f>
        <x:v>2554.2210763521375</x:v>
      </x:c>
      <x:c r="W195" s="106" t="n">
        <x:f>MAX(0,V195-R195)</x:f>
        <x:v>2203.5487570111377</x:v>
      </x:c>
      <x:c r="X195" s="106" t="n">
        <x:f>MAX(0,Q195-W195)</x:f>
        <x:v>62535.9563520965</x:v>
      </x:c>
      <x:c r="Y195" s="1"/>
      <x:c r="Z195" s="1"/>
    </x:row>
    <x:row r="196">
      <x:c r="A196" s="100" t="n">
        <x:f>A195+1</x:f>
        <x:v>191</x:v>
      </x:c>
      <x:c r="B196" s="103" t="n">
        <x:f>EDATE(B195,1)</x:f>
        <x:v>52018</x:v>
      </x:c>
      <x:c r="C196" s="104" t="n">
        <x:f>H195</x:f>
        <x:v>227856.30507118415</x:v>
      </x:c>
      <x:c r="D196" s="104" t="n">
        <x:f>IF(C196&gt;0,C196*'Your Mortgage'!$C$7/12,0)</x:f>
        <x:v>1234.221652468914</x:v>
      </x:c>
      <x:c r="E196" s="104" t="n">
        <x:f>IF(C196&gt;0,MIN('Your Mortgage'!$C$11,C196+D196),0)</x:f>
        <x:v>2054.2210763521375</x:v>
      </x:c>
      <x:c r="F196" s="104" t="n">
        <x:f>E196</x:f>
        <x:v>2054.2210763521375</x:v>
      </x:c>
      <x:c r="G196" s="104" t="n">
        <x:f>MAX(0,F196-D196)</x:f>
        <x:v>819.9994238832235</x:v>
      </x:c>
      <x:c r="H196" s="104" t="n">
        <x:f>MAX(0,C196-G196)</x:f>
        <x:v>227036.30564730093</x:v>
      </x:c>
      <x:c r="I196" s="105" t="n">
        <x:f>P195</x:f>
        <x:v>132117.19878284392</x:v>
      </x:c>
      <x:c r="J196" s="105" t="n">
        <x:f>IF(I196&gt;0,I196*'Your Mortgage'!$C$7/12,0)</x:f>
        <x:v>715.6348267404046</x:v>
      </x:c>
      <x:c r="K196" s="105" t="n">
        <x:f>IF(I196&gt;0,MIN('Your Mortgage'!$C$11,I196+J196),0)</x:f>
        <x:v>2054.2210763521375</x:v>
      </x:c>
      <x:c r="L196" s="105" t="n">
        <x:f>IF(I196&gt;0,MIN('Your Mortgage'!$F$6,MAX(0,I196+J196-K196)),0)</x:f>
        <x:v>250</x:v>
      </x:c>
      <x:c r="M196" s="105" t="n">
        <x:f>IF(AND(A196='Your Mortgage'!$F$8,I196&gt;0),MIN('Your Mortgage'!$F$7,MAX(0,I196+J196-K196-L196)),0)</x:f>
        <x:v>0</x:v>
      </x:c>
      <x:c r="N196" s="105" t="n">
        <x:f>K196+L196+M196</x:f>
        <x:v>2304.2210763521375</x:v>
      </x:c>
      <x:c r="O196" s="105" t="n">
        <x:f>MAX(0,N196-J196)</x:f>
        <x:v>1588.586249611733</x:v>
      </x:c>
      <x:c r="P196" s="105" t="n">
        <x:f>MAX(0,I196-O196)</x:f>
        <x:v>130528.61253323218</x:v>
      </x:c>
      <x:c r="Q196" s="106" t="n">
        <x:f>X195</x:f>
        <x:v>62535.9563520965</x:v>
      </x:c>
      <x:c r="R196" s="106" t="n">
        <x:f>IF(Q196&gt;0,Q196*'Your Mortgage'!$C$7/12,0)</x:f>
        <x:v>338.73643024052274</x:v>
      </x:c>
      <x:c r="S196" s="106" t="n">
        <x:f>IF(Q196&gt;0,MIN('Your Mortgage'!$C$11,Q196+R196),0)</x:f>
        <x:v>2054.2210763521375</x:v>
      </x:c>
      <x:c r="T196" s="106" t="n">
        <x:f>IF(Q196&gt;0,MIN('Your Mortgage'!$I$6,MAX(0,Q196+R196-S196)),0)</x:f>
        <x:v>500</x:v>
      </x:c>
      <x:c r="U196" s="106" t="n">
        <x:f>IF(AND(A196='Your Mortgage'!$I$8,Q196&gt;0),MIN('Your Mortgage'!$I$7,MAX(0,Q196+R196-S196-T196)),0)</x:f>
        <x:v>0</x:v>
      </x:c>
      <x:c r="V196" s="106" t="n">
        <x:f>S196+T196+U196</x:f>
        <x:v>2554.2210763521375</x:v>
      </x:c>
      <x:c r="W196" s="106" t="n">
        <x:f>MAX(0,V196-R196)</x:f>
        <x:v>2215.484646111615</x:v>
      </x:c>
      <x:c r="X196" s="106" t="n">
        <x:f>MAX(0,Q196-W196)</x:f>
        <x:v>60320.471705984884</x:v>
      </x:c>
      <x:c r="Y196" s="1"/>
      <x:c r="Z196" s="1"/>
    </x:row>
    <x:row r="197">
      <x:c r="A197" s="100" t="n">
        <x:f>A196+1</x:f>
        <x:v>192</x:v>
      </x:c>
      <x:c r="B197" s="103" t="n">
        <x:f>EDATE(B196,1)</x:f>
        <x:v>52048</x:v>
      </x:c>
      <x:c r="C197" s="104" t="n">
        <x:f>H196</x:f>
        <x:v>227036.30564730093</x:v>
      </x:c>
      <x:c r="D197" s="104" t="n">
        <x:f>IF(C197&gt;0,C197*'Your Mortgage'!$C$7/12,0)</x:f>
        <x:v>1229.7799889228802</x:v>
      </x:c>
      <x:c r="E197" s="104" t="n">
        <x:f>IF(C197&gt;0,MIN('Your Mortgage'!$C$11,C197+D197),0)</x:f>
        <x:v>2054.2210763521375</x:v>
      </x:c>
      <x:c r="F197" s="104" t="n">
        <x:f>E197</x:f>
        <x:v>2054.2210763521375</x:v>
      </x:c>
      <x:c r="G197" s="104" t="n">
        <x:f>MAX(0,F197-D197)</x:f>
        <x:v>824.4410874292573</x:v>
      </x:c>
      <x:c r="H197" s="104" t="n">
        <x:f>MAX(0,C197-G197)</x:f>
        <x:v>226211.86455987167</x:v>
      </x:c>
      <x:c r="I197" s="105" t="n">
        <x:f>P196</x:f>
        <x:v>130528.61253323218</x:v>
      </x:c>
      <x:c r="J197" s="105" t="n">
        <x:f>IF(I197&gt;0,I197*'Your Mortgage'!$C$7/12,0)</x:f>
        <x:v>707.0299845550077</x:v>
      </x:c>
      <x:c r="K197" s="105" t="n">
        <x:f>IF(I197&gt;0,MIN('Your Mortgage'!$C$11,I197+J197),0)</x:f>
        <x:v>2054.2210763521375</x:v>
      </x:c>
      <x:c r="L197" s="105" t="n">
        <x:f>IF(I197&gt;0,MIN('Your Mortgage'!$F$6,MAX(0,I197+J197-K197)),0)</x:f>
        <x:v>250</x:v>
      </x:c>
      <x:c r="M197" s="105" t="n">
        <x:f>IF(AND(A197='Your Mortgage'!$F$8,I197&gt;0),MIN('Your Mortgage'!$F$7,MAX(0,I197+J197-K197-L197)),0)</x:f>
        <x:v>0</x:v>
      </x:c>
      <x:c r="N197" s="105" t="n">
        <x:f>K197+L197+M197</x:f>
        <x:v>2304.2210763521375</x:v>
      </x:c>
      <x:c r="O197" s="105" t="n">
        <x:f>MAX(0,N197-J197)</x:f>
        <x:v>1597.19109179713</x:v>
      </x:c>
      <x:c r="P197" s="105" t="n">
        <x:f>MAX(0,I197-O197)</x:f>
        <x:v>128931.42144143506</x:v>
      </x:c>
      <x:c r="Q197" s="106" t="n">
        <x:f>X196</x:f>
        <x:v>60320.471705984884</x:v>
      </x:c>
      <x:c r="R197" s="106" t="n">
        <x:f>IF(Q197&gt;0,Q197*'Your Mortgage'!$C$7/12,0)</x:f>
        <x:v>326.73588840741814</x:v>
      </x:c>
      <x:c r="S197" s="106" t="n">
        <x:f>IF(Q197&gt;0,MIN('Your Mortgage'!$C$11,Q197+R197),0)</x:f>
        <x:v>2054.2210763521375</x:v>
      </x:c>
      <x:c r="T197" s="106" t="n">
        <x:f>IF(Q197&gt;0,MIN('Your Mortgage'!$I$6,MAX(0,Q197+R197-S197)),0)</x:f>
        <x:v>500</x:v>
      </x:c>
      <x:c r="U197" s="106" t="n">
        <x:f>IF(AND(A197='Your Mortgage'!$I$8,Q197&gt;0),MIN('Your Mortgage'!$I$7,MAX(0,Q197+R197-S197-T197)),0)</x:f>
        <x:v>0</x:v>
      </x:c>
      <x:c r="V197" s="106" t="n">
        <x:f>S197+T197+U197</x:f>
        <x:v>2554.2210763521375</x:v>
      </x:c>
      <x:c r="W197" s="106" t="n">
        <x:f>MAX(0,V197-R197)</x:f>
        <x:v>2227.485187944719</x:v>
      </x:c>
      <x:c r="X197" s="106" t="n">
        <x:f>MAX(0,Q197-W197)</x:f>
        <x:v>58092.98651804017</x:v>
      </x:c>
      <x:c r="Y197" s="1"/>
      <x:c r="Z197" s="1"/>
    </x:row>
    <x:row r="198">
      <x:c r="A198" s="100" t="n">
        <x:f>A197+1</x:f>
        <x:v>193</x:v>
      </x:c>
      <x:c r="B198" s="103" t="n">
        <x:f>EDATE(B197,1)</x:f>
        <x:v>52079</x:v>
      </x:c>
      <x:c r="C198" s="104" t="n">
        <x:f>H197</x:f>
        <x:v>226211.86455987167</x:v>
      </x:c>
      <x:c r="D198" s="104" t="n">
        <x:f>IF(C198&gt;0,C198*'Your Mortgage'!$C$7/12,0)</x:f>
        <x:v>1225.3142663659717</x:v>
      </x:c>
      <x:c r="E198" s="104" t="n">
        <x:f>IF(C198&gt;0,MIN('Your Mortgage'!$C$11,C198+D198),0)</x:f>
        <x:v>2054.2210763521375</x:v>
      </x:c>
      <x:c r="F198" s="104" t="n">
        <x:f>E198</x:f>
        <x:v>2054.2210763521375</x:v>
      </x:c>
      <x:c r="G198" s="104" t="n">
        <x:f>MAX(0,F198-D198)</x:f>
        <x:v>828.9068099861659</x:v>
      </x:c>
      <x:c r="H198" s="104" t="n">
        <x:f>MAX(0,C198-G198)</x:f>
        <x:v>225382.9577498855</x:v>
      </x:c>
      <x:c r="I198" s="105" t="n">
        <x:f>P197</x:f>
        <x:v>128931.42144143506</x:v>
      </x:c>
      <x:c r="J198" s="105" t="n">
        <x:f>IF(I198&gt;0,I198*'Your Mortgage'!$C$7/12,0)</x:f>
        <x:v>698.3785328077732</x:v>
      </x:c>
      <x:c r="K198" s="105" t="n">
        <x:f>IF(I198&gt;0,MIN('Your Mortgage'!$C$11,I198+J198),0)</x:f>
        <x:v>2054.2210763521375</x:v>
      </x:c>
      <x:c r="L198" s="105" t="n">
        <x:f>IF(I198&gt;0,MIN('Your Mortgage'!$F$6,MAX(0,I198+J198-K198)),0)</x:f>
        <x:v>250</x:v>
      </x:c>
      <x:c r="M198" s="105" t="n">
        <x:f>IF(AND(A198='Your Mortgage'!$F$8,I198&gt;0),MIN('Your Mortgage'!$F$7,MAX(0,I198+J198-K198-L198)),0)</x:f>
        <x:v>0</x:v>
      </x:c>
      <x:c r="N198" s="105" t="n">
        <x:f>K198+L198+M198</x:f>
        <x:v>2304.2210763521375</x:v>
      </x:c>
      <x:c r="O198" s="105" t="n">
        <x:f>MAX(0,N198-J198)</x:f>
        <x:v>1605.8425435443642</x:v>
      </x:c>
      <x:c r="P198" s="105" t="n">
        <x:f>MAX(0,I198-O198)</x:f>
        <x:v>127325.5788978907</x:v>
      </x:c>
      <x:c r="Q198" s="106" t="n">
        <x:f>X197</x:f>
        <x:v>58092.98651804017</x:v>
      </x:c>
      <x:c r="R198" s="106" t="n">
        <x:f>IF(Q198&gt;0,Q198*'Your Mortgage'!$C$7/12,0)</x:f>
        <x:v>314.67034363938427</x:v>
      </x:c>
      <x:c r="S198" s="106" t="n">
        <x:f>IF(Q198&gt;0,MIN('Your Mortgage'!$C$11,Q198+R198),0)</x:f>
        <x:v>2054.2210763521375</x:v>
      </x:c>
      <x:c r="T198" s="106" t="n">
        <x:f>IF(Q198&gt;0,MIN('Your Mortgage'!$I$6,MAX(0,Q198+R198-S198)),0)</x:f>
        <x:v>500</x:v>
      </x:c>
      <x:c r="U198" s="106" t="n">
        <x:f>IF(AND(A198='Your Mortgage'!$I$8,Q198&gt;0),MIN('Your Mortgage'!$I$7,MAX(0,Q198+R198-S198-T198)),0)</x:f>
        <x:v>0</x:v>
      </x:c>
      <x:c r="V198" s="106" t="n">
        <x:f>S198+T198+U198</x:f>
        <x:v>2554.2210763521375</x:v>
      </x:c>
      <x:c r="W198" s="106" t="n">
        <x:f>MAX(0,V198-R198)</x:f>
        <x:v>2239.5507327127534</x:v>
      </x:c>
      <x:c r="X198" s="106" t="n">
        <x:f>MAX(0,Q198-W198)</x:f>
        <x:v>55853.43578532741</x:v>
      </x:c>
      <x:c r="Y198" s="1"/>
      <x:c r="Z198" s="1"/>
    </x:row>
    <x:row r="199">
      <x:c r="A199" s="100" t="n">
        <x:f>A198+1</x:f>
        <x:v>194</x:v>
      </x:c>
      <x:c r="B199" s="103" t="n">
        <x:f>EDATE(B198,1)</x:f>
        <x:v>52110</x:v>
      </x:c>
      <x:c r="C199" s="104" t="n">
        <x:f>H198</x:f>
        <x:v>225382.9577498855</x:v>
      </x:c>
      <x:c r="D199" s="104" t="n">
        <x:f>IF(C199&gt;0,C199*'Your Mortgage'!$C$7/12,0)</x:f>
        <x:v>1220.8243544785466</x:v>
      </x:c>
      <x:c r="E199" s="104" t="n">
        <x:f>IF(C199&gt;0,MIN('Your Mortgage'!$C$11,C199+D199),0)</x:f>
        <x:v>2054.2210763521375</x:v>
      </x:c>
      <x:c r="F199" s="104" t="n">
        <x:f>E199</x:f>
        <x:v>2054.2210763521375</x:v>
      </x:c>
      <x:c r="G199" s="104" t="n">
        <x:f>MAX(0,F199-D199)</x:f>
        <x:v>833.3967218735909</x:v>
      </x:c>
      <x:c r="H199" s="104" t="n">
        <x:f>MAX(0,C199-G199)</x:f>
        <x:v>224549.56102801193</x:v>
      </x:c>
      <x:c r="I199" s="105" t="n">
        <x:f>P198</x:f>
        <x:v>127325.5788978907</x:v>
      </x:c>
      <x:c r="J199" s="105" t="n">
        <x:f>IF(I199&gt;0,I199*'Your Mortgage'!$C$7/12,0)</x:f>
        <x:v>689.6802190302413</x:v>
      </x:c>
      <x:c r="K199" s="105" t="n">
        <x:f>IF(I199&gt;0,MIN('Your Mortgage'!$C$11,I199+J199),0)</x:f>
        <x:v>2054.2210763521375</x:v>
      </x:c>
      <x:c r="L199" s="105" t="n">
        <x:f>IF(I199&gt;0,MIN('Your Mortgage'!$F$6,MAX(0,I199+J199-K199)),0)</x:f>
        <x:v>250</x:v>
      </x:c>
      <x:c r="M199" s="105" t="n">
        <x:f>IF(AND(A199='Your Mortgage'!$F$8,I199&gt;0),MIN('Your Mortgage'!$F$7,MAX(0,I199+J199-K199-L199)),0)</x:f>
        <x:v>0</x:v>
      </x:c>
      <x:c r="N199" s="105" t="n">
        <x:f>K199+L199+M199</x:f>
        <x:v>2304.2210763521375</x:v>
      </x:c>
      <x:c r="O199" s="105" t="n">
        <x:f>MAX(0,N199-J199)</x:f>
        <x:v>1614.540857321896</x:v>
      </x:c>
      <x:c r="P199" s="105" t="n">
        <x:f>MAX(0,I199-O199)</x:f>
        <x:v>125711.03804056879</x:v>
      </x:c>
      <x:c r="Q199" s="106" t="n">
        <x:f>X198</x:f>
        <x:v>55853.43578532741</x:v>
      </x:c>
      <x:c r="R199" s="106" t="n">
        <x:f>IF(Q199&gt;0,Q199*'Your Mortgage'!$C$7/12,0)</x:f>
        <x:v>302.53944383719016</x:v>
      </x:c>
      <x:c r="S199" s="106" t="n">
        <x:f>IF(Q199&gt;0,MIN('Your Mortgage'!$C$11,Q199+R199),0)</x:f>
        <x:v>2054.2210763521375</x:v>
      </x:c>
      <x:c r="T199" s="106" t="n">
        <x:f>IF(Q199&gt;0,MIN('Your Mortgage'!$I$6,MAX(0,Q199+R199-S199)),0)</x:f>
        <x:v>500</x:v>
      </x:c>
      <x:c r="U199" s="106" t="n">
        <x:f>IF(AND(A199='Your Mortgage'!$I$8,Q199&gt;0),MIN('Your Mortgage'!$I$7,MAX(0,Q199+R199-S199-T199)),0)</x:f>
        <x:v>0</x:v>
      </x:c>
      <x:c r="V199" s="106" t="n">
        <x:f>S199+T199+U199</x:f>
        <x:v>2554.2210763521375</x:v>
      </x:c>
      <x:c r="W199" s="106" t="n">
        <x:f>MAX(0,V199-R199)</x:f>
        <x:v>2251.6816325149475</x:v>
      </x:c>
      <x:c r="X199" s="106" t="n">
        <x:f>MAX(0,Q199-W199)</x:f>
        <x:v>53601.754152812464</x:v>
      </x:c>
      <x:c r="Y199" s="1"/>
      <x:c r="Z199" s="1"/>
    </x:row>
    <x:row r="200">
      <x:c r="A200" s="100" t="n">
        <x:f>A199+1</x:f>
        <x:v>195</x:v>
      </x:c>
      <x:c r="B200" s="103" t="n">
        <x:f>EDATE(B199,1)</x:f>
        <x:v>52140</x:v>
      </x:c>
      <x:c r="C200" s="104" t="n">
        <x:f>H199</x:f>
        <x:v>224549.56102801193</x:v>
      </x:c>
      <x:c r="D200" s="104" t="n">
        <x:f>IF(C200&gt;0,C200*'Your Mortgage'!$C$7/12,0)</x:f>
        <x:v>1216.3101222350647</x:v>
      </x:c>
      <x:c r="E200" s="104" t="n">
        <x:f>IF(C200&gt;0,MIN('Your Mortgage'!$C$11,C200+D200),0)</x:f>
        <x:v>2054.2210763521375</x:v>
      </x:c>
      <x:c r="F200" s="104" t="n">
        <x:f>E200</x:f>
        <x:v>2054.2210763521375</x:v>
      </x:c>
      <x:c r="G200" s="104" t="n">
        <x:f>MAX(0,F200-D200)</x:f>
        <x:v>837.9109541170728</x:v>
      </x:c>
      <x:c r="H200" s="104" t="n">
        <x:f>MAX(0,C200-G200)</x:f>
        <x:v>223711.65007389485</x:v>
      </x:c>
      <x:c r="I200" s="105" t="n">
        <x:f>P199</x:f>
        <x:v>125711.03804056879</x:v>
      </x:c>
      <x:c r="J200" s="105" t="n">
        <x:f>IF(I200&gt;0,I200*'Your Mortgage'!$C$7/12,0)</x:f>
        <x:v>680.9347893864143</x:v>
      </x:c>
      <x:c r="K200" s="105" t="n">
        <x:f>IF(I200&gt;0,MIN('Your Mortgage'!$C$11,I200+J200),0)</x:f>
        <x:v>2054.2210763521375</x:v>
      </x:c>
      <x:c r="L200" s="105" t="n">
        <x:f>IF(I200&gt;0,MIN('Your Mortgage'!$F$6,MAX(0,I200+J200-K200)),0)</x:f>
        <x:v>250</x:v>
      </x:c>
      <x:c r="M200" s="105" t="n">
        <x:f>IF(AND(A200='Your Mortgage'!$F$8,I200&gt;0),MIN('Your Mortgage'!$F$7,MAX(0,I200+J200-K200-L200)),0)</x:f>
        <x:v>0</x:v>
      </x:c>
      <x:c r="N200" s="105" t="n">
        <x:f>K200+L200+M200</x:f>
        <x:v>2304.2210763521375</x:v>
      </x:c>
      <x:c r="O200" s="105" t="n">
        <x:f>MAX(0,N200-J200)</x:f>
        <x:v>1623.2862869657233</x:v>
      </x:c>
      <x:c r="P200" s="105" t="n">
        <x:f>MAX(0,I200-O200)</x:f>
        <x:v>124087.75175360306</x:v>
      </x:c>
      <x:c r="Q200" s="106" t="n">
        <x:f>X199</x:f>
        <x:v>53601.754152812464</x:v>
      </x:c>
      <x:c r="R200" s="106" t="n">
        <x:f>IF(Q200&gt;0,Q200*'Your Mortgage'!$C$7/12,0)</x:f>
        <x:v>290.34283499440085</x:v>
      </x:c>
      <x:c r="S200" s="106" t="n">
        <x:f>IF(Q200&gt;0,MIN('Your Mortgage'!$C$11,Q200+R200),0)</x:f>
        <x:v>2054.2210763521375</x:v>
      </x:c>
      <x:c r="T200" s="106" t="n">
        <x:f>IF(Q200&gt;0,MIN('Your Mortgage'!$I$6,MAX(0,Q200+R200-S200)),0)</x:f>
        <x:v>500</x:v>
      </x:c>
      <x:c r="U200" s="106" t="n">
        <x:f>IF(AND(A200='Your Mortgage'!$I$8,Q200&gt;0),MIN('Your Mortgage'!$I$7,MAX(0,Q200+R200-S200-T200)),0)</x:f>
        <x:v>0</x:v>
      </x:c>
      <x:c r="V200" s="106" t="n">
        <x:f>S200+T200+U200</x:f>
        <x:v>2554.2210763521375</x:v>
      </x:c>
      <x:c r="W200" s="106" t="n">
        <x:f>MAX(0,V200-R200)</x:f>
        <x:v>2263.8782413577364</x:v>
      </x:c>
      <x:c r="X200" s="106" t="n">
        <x:f>MAX(0,Q200-W200)</x:f>
        <x:v>51337.87591145473</x:v>
      </x:c>
      <x:c r="Y200" s="1"/>
      <x:c r="Z200" s="1"/>
    </x:row>
    <x:row r="201">
      <x:c r="A201" s="100" t="n">
        <x:f>A200+1</x:f>
        <x:v>196</x:v>
      </x:c>
      <x:c r="B201" s="103" t="n">
        <x:f>EDATE(B200,1)</x:f>
        <x:v>52171</x:v>
      </x:c>
      <x:c r="C201" s="104" t="n">
        <x:f>H200</x:f>
        <x:v>223711.65007389485</x:v>
      </x:c>
      <x:c r="D201" s="104" t="n">
        <x:f>IF(C201&gt;0,C201*'Your Mortgage'!$C$7/12,0)</x:f>
        <x:v>1211.771437900264</x:v>
      </x:c>
      <x:c r="E201" s="104" t="n">
        <x:f>IF(C201&gt;0,MIN('Your Mortgage'!$C$11,C201+D201),0)</x:f>
        <x:v>2054.2210763521375</x:v>
      </x:c>
      <x:c r="F201" s="104" t="n">
        <x:f>E201</x:f>
        <x:v>2054.2210763521375</x:v>
      </x:c>
      <x:c r="G201" s="104" t="n">
        <x:f>MAX(0,F201-D201)</x:f>
        <x:v>842.4496384518736</x:v>
      </x:c>
      <x:c r="H201" s="104" t="n">
        <x:f>MAX(0,C201-G201)</x:f>
        <x:v>222869.20043544297</x:v>
      </x:c>
      <x:c r="I201" s="105" t="n">
        <x:f>P200</x:f>
        <x:v>124087.75175360306</x:v>
      </x:c>
      <x:c r="J201" s="105" t="n">
        <x:f>IF(I201&gt;0,I201*'Your Mortgage'!$C$7/12,0)</x:f>
        <x:v>672.1419886653499</x:v>
      </x:c>
      <x:c r="K201" s="105" t="n">
        <x:f>IF(I201&gt;0,MIN('Your Mortgage'!$C$11,I201+J201),0)</x:f>
        <x:v>2054.2210763521375</x:v>
      </x:c>
      <x:c r="L201" s="105" t="n">
        <x:f>IF(I201&gt;0,MIN('Your Mortgage'!$F$6,MAX(0,I201+J201-K201)),0)</x:f>
        <x:v>250</x:v>
      </x:c>
      <x:c r="M201" s="105" t="n">
        <x:f>IF(AND(A201='Your Mortgage'!$F$8,I201&gt;0),MIN('Your Mortgage'!$F$7,MAX(0,I201+J201-K201-L201)),0)</x:f>
        <x:v>0</x:v>
      </x:c>
      <x:c r="N201" s="105" t="n">
        <x:f>K201+L201+M201</x:f>
        <x:v>2304.2210763521375</x:v>
      </x:c>
      <x:c r="O201" s="105" t="n">
        <x:f>MAX(0,N201-J201)</x:f>
        <x:v>1632.0790876867877</x:v>
      </x:c>
      <x:c r="P201" s="105" t="n">
        <x:f>MAX(0,I201-O201)</x:f>
        <x:v>122455.67266591628</x:v>
      </x:c>
      <x:c r="Q201" s="106" t="n">
        <x:f>X200</x:f>
        <x:v>51337.87591145473</x:v>
      </x:c>
      <x:c r="R201" s="106" t="n">
        <x:f>IF(Q201&gt;0,Q201*'Your Mortgage'!$C$7/12,0)</x:f>
        <x:v>278.0801611870465</x:v>
      </x:c>
      <x:c r="S201" s="106" t="n">
        <x:f>IF(Q201&gt;0,MIN('Your Mortgage'!$C$11,Q201+R201),0)</x:f>
        <x:v>2054.2210763521375</x:v>
      </x:c>
      <x:c r="T201" s="106" t="n">
        <x:f>IF(Q201&gt;0,MIN('Your Mortgage'!$I$6,MAX(0,Q201+R201-S201)),0)</x:f>
        <x:v>500</x:v>
      </x:c>
      <x:c r="U201" s="106" t="n">
        <x:f>IF(AND(A201='Your Mortgage'!$I$8,Q201&gt;0),MIN('Your Mortgage'!$I$7,MAX(0,Q201+R201-S201-T201)),0)</x:f>
        <x:v>0</x:v>
      </x:c>
      <x:c r="V201" s="106" t="n">
        <x:f>S201+T201+U201</x:f>
        <x:v>2554.2210763521375</x:v>
      </x:c>
      <x:c r="W201" s="106" t="n">
        <x:f>MAX(0,V201-R201)</x:f>
        <x:v>2276.140915165091</x:v>
      </x:c>
      <x:c r="X201" s="106" t="n">
        <x:f>MAX(0,Q201-W201)</x:f>
        <x:v>49061.73499628964</x:v>
      </x:c>
      <x:c r="Y201" s="1"/>
      <x:c r="Z201" s="1"/>
    </x:row>
    <x:row r="202">
      <x:c r="A202" s="100" t="n">
        <x:f>A201+1</x:f>
        <x:v>197</x:v>
      </x:c>
      <x:c r="B202" s="103" t="n">
        <x:f>EDATE(B201,1)</x:f>
        <x:v>52201</x:v>
      </x:c>
      <x:c r="C202" s="104" t="n">
        <x:f>H201</x:f>
        <x:v>222869.20043544297</x:v>
      </x:c>
      <x:c r="D202" s="104" t="n">
        <x:f>IF(C202&gt;0,C202*'Your Mortgage'!$C$7/12,0)</x:f>
        <x:v>1207.208169025316</x:v>
      </x:c>
      <x:c r="E202" s="104" t="n">
        <x:f>IF(C202&gt;0,MIN('Your Mortgage'!$C$11,C202+D202),0)</x:f>
        <x:v>2054.2210763521375</x:v>
      </x:c>
      <x:c r="F202" s="104" t="n">
        <x:f>E202</x:f>
        <x:v>2054.2210763521375</x:v>
      </x:c>
      <x:c r="G202" s="104" t="n">
        <x:f>MAX(0,F202-D202)</x:f>
        <x:v>847.0129073268215</x:v>
      </x:c>
      <x:c r="H202" s="104" t="n">
        <x:f>MAX(0,C202-G202)</x:f>
        <x:v>222022.18752811613</x:v>
      </x:c>
      <x:c r="I202" s="105" t="n">
        <x:f>P201</x:f>
        <x:v>122455.67266591628</x:v>
      </x:c>
      <x:c r="J202" s="105" t="n">
        <x:f>IF(I202&gt;0,I202*'Your Mortgage'!$C$7/12,0)</x:f>
        <x:v>663.3015602737132</x:v>
      </x:c>
      <x:c r="K202" s="105" t="n">
        <x:f>IF(I202&gt;0,MIN('Your Mortgage'!$C$11,I202+J202),0)</x:f>
        <x:v>2054.2210763521375</x:v>
      </x:c>
      <x:c r="L202" s="105" t="n">
        <x:f>IF(I202&gt;0,MIN('Your Mortgage'!$F$6,MAX(0,I202+J202-K202)),0)</x:f>
        <x:v>250</x:v>
      </x:c>
      <x:c r="M202" s="105" t="n">
        <x:f>IF(AND(A202='Your Mortgage'!$F$8,I202&gt;0),MIN('Your Mortgage'!$F$7,MAX(0,I202+J202-K202-L202)),0)</x:f>
        <x:v>0</x:v>
      </x:c>
      <x:c r="N202" s="105" t="n">
        <x:f>K202+L202+M202</x:f>
        <x:v>2304.2210763521375</x:v>
      </x:c>
      <x:c r="O202" s="105" t="n">
        <x:f>MAX(0,N202-J202)</x:f>
        <x:v>1640.9195160784243</x:v>
      </x:c>
      <x:c r="P202" s="105" t="n">
        <x:f>MAX(0,I202-O202)</x:f>
        <x:v>120814.75314983785</x:v>
      </x:c>
      <x:c r="Q202" s="106" t="n">
        <x:f>X201</x:f>
        <x:v>49061.73499628964</x:v>
      </x:c>
      <x:c r="R202" s="106" t="n">
        <x:f>IF(Q202&gt;0,Q202*'Your Mortgage'!$C$7/12,0)</x:f>
        <x:v>265.75106456323556</x:v>
      </x:c>
      <x:c r="S202" s="106" t="n">
        <x:f>IF(Q202&gt;0,MIN('Your Mortgage'!$C$11,Q202+R202),0)</x:f>
        <x:v>2054.2210763521375</x:v>
      </x:c>
      <x:c r="T202" s="106" t="n">
        <x:f>IF(Q202&gt;0,MIN('Your Mortgage'!$I$6,MAX(0,Q202+R202-S202)),0)</x:f>
        <x:v>500</x:v>
      </x:c>
      <x:c r="U202" s="106" t="n">
        <x:f>IF(AND(A202='Your Mortgage'!$I$8,Q202&gt;0),MIN('Your Mortgage'!$I$7,MAX(0,Q202+R202-S202-T202)),0)</x:f>
        <x:v>0</x:v>
      </x:c>
      <x:c r="V202" s="106" t="n">
        <x:f>S202+T202+U202</x:f>
        <x:v>2554.2210763521375</x:v>
      </x:c>
      <x:c r="W202" s="106" t="n">
        <x:f>MAX(0,V202-R202)</x:f>
        <x:v>2288.470011788902</x:v>
      </x:c>
      <x:c r="X202" s="106" t="n">
        <x:f>MAX(0,Q202-W202)</x:f>
        <x:v>46773.26498450074</x:v>
      </x:c>
      <x:c r="Y202" s="1"/>
      <x:c r="Z202" s="1"/>
    </x:row>
    <x:row r="203">
      <x:c r="A203" s="100" t="n">
        <x:f>A202+1</x:f>
        <x:v>198</x:v>
      </x:c>
      <x:c r="B203" s="103" t="n">
        <x:f>EDATE(B202,1)</x:f>
        <x:v>52232</x:v>
      </x:c>
      <x:c r="C203" s="104" t="n">
        <x:f>H202</x:f>
        <x:v>222022.18752811613</x:v>
      </x:c>
      <x:c r="D203" s="104" t="n">
        <x:f>IF(C203&gt;0,C203*'Your Mortgage'!$C$7/12,0)</x:f>
        <x:v>1202.6201824439624</x:v>
      </x:c>
      <x:c r="E203" s="104" t="n">
        <x:f>IF(C203&gt;0,MIN('Your Mortgage'!$C$11,C203+D203),0)</x:f>
        <x:v>2054.2210763521375</x:v>
      </x:c>
      <x:c r="F203" s="104" t="n">
        <x:f>E203</x:f>
        <x:v>2054.2210763521375</x:v>
      </x:c>
      <x:c r="G203" s="104" t="n">
        <x:f>MAX(0,F203-D203)</x:f>
        <x:v>851.6008939081751</x:v>
      </x:c>
      <x:c r="H203" s="104" t="n">
        <x:f>MAX(0,C203-G203)</x:f>
        <x:v>221170.58663420795</x:v>
      </x:c>
      <x:c r="I203" s="105" t="n">
        <x:f>P202</x:f>
        <x:v>120814.75314983785</x:v>
      </x:c>
      <x:c r="J203" s="105" t="n">
        <x:f>IF(I203&gt;0,I203*'Your Mortgage'!$C$7/12,0)</x:f>
        <x:v>654.4132462282884</x:v>
      </x:c>
      <x:c r="K203" s="105" t="n">
        <x:f>IF(I203&gt;0,MIN('Your Mortgage'!$C$11,I203+J203),0)</x:f>
        <x:v>2054.2210763521375</x:v>
      </x:c>
      <x:c r="L203" s="105" t="n">
        <x:f>IF(I203&gt;0,MIN('Your Mortgage'!$F$6,MAX(0,I203+J203-K203)),0)</x:f>
        <x:v>250</x:v>
      </x:c>
      <x:c r="M203" s="105" t="n">
        <x:f>IF(AND(A203='Your Mortgage'!$F$8,I203&gt;0),MIN('Your Mortgage'!$F$7,MAX(0,I203+J203-K203-L203)),0)</x:f>
        <x:v>0</x:v>
      </x:c>
      <x:c r="N203" s="105" t="n">
        <x:f>K203+L203+M203</x:f>
        <x:v>2304.2210763521375</x:v>
      </x:c>
      <x:c r="O203" s="105" t="n">
        <x:f>MAX(0,N203-J203)</x:f>
        <x:v>1649.8078301238493</x:v>
      </x:c>
      <x:c r="P203" s="105" t="n">
        <x:f>MAX(0,I203-O203)</x:f>
        <x:v>119164.945319714</x:v>
      </x:c>
      <x:c r="Q203" s="106" t="n">
        <x:f>X202</x:f>
        <x:v>46773.26498450074</x:v>
      </x:c>
      <x:c r="R203" s="106" t="n">
        <x:f>IF(Q203&gt;0,Q203*'Your Mortgage'!$C$7/12,0)</x:f>
        <x:v>253.35518533271235</x:v>
      </x:c>
      <x:c r="S203" s="106" t="n">
        <x:f>IF(Q203&gt;0,MIN('Your Mortgage'!$C$11,Q203+R203),0)</x:f>
        <x:v>2054.2210763521375</x:v>
      </x:c>
      <x:c r="T203" s="106" t="n">
        <x:f>IF(Q203&gt;0,MIN('Your Mortgage'!$I$6,MAX(0,Q203+R203-S203)),0)</x:f>
        <x:v>500</x:v>
      </x:c>
      <x:c r="U203" s="106" t="n">
        <x:f>IF(AND(A203='Your Mortgage'!$I$8,Q203&gt;0),MIN('Your Mortgage'!$I$7,MAX(0,Q203+R203-S203-T203)),0)</x:f>
        <x:v>0</x:v>
      </x:c>
      <x:c r="V203" s="106" t="n">
        <x:f>S203+T203+U203</x:f>
        <x:v>2554.2210763521375</x:v>
      </x:c>
      <x:c r="W203" s="106" t="n">
        <x:f>MAX(0,V203-R203)</x:f>
        <x:v>2300.8658910194254</x:v>
      </x:c>
      <x:c r="X203" s="106" t="n">
        <x:f>MAX(0,Q203-W203)</x:f>
        <x:v>44472.39909348131</x:v>
      </x:c>
      <x:c r="Y203" s="1"/>
      <x:c r="Z203" s="1"/>
    </x:row>
    <x:row r="204">
      <x:c r="A204" s="100" t="n">
        <x:f>A203+1</x:f>
        <x:v>199</x:v>
      </x:c>
      <x:c r="B204" s="103" t="n">
        <x:f>EDATE(B203,1)</x:f>
        <x:v>52263</x:v>
      </x:c>
      <x:c r="C204" s="104" t="n">
        <x:f>H203</x:f>
        <x:v>221170.58663420795</x:v>
      </x:c>
      <x:c r="D204" s="104" t="n">
        <x:f>IF(C204&gt;0,C204*'Your Mortgage'!$C$7/12,0)</x:f>
        <x:v>1198.0073442686264</x:v>
      </x:c>
      <x:c r="E204" s="104" t="n">
        <x:f>IF(C204&gt;0,MIN('Your Mortgage'!$C$11,C204+D204),0)</x:f>
        <x:v>2054.2210763521375</x:v>
      </x:c>
      <x:c r="F204" s="104" t="n">
        <x:f>E204</x:f>
        <x:v>2054.2210763521375</x:v>
      </x:c>
      <x:c r="G204" s="104" t="n">
        <x:f>MAX(0,F204-D204)</x:f>
        <x:v>856.2137320835111</x:v>
      </x:c>
      <x:c r="H204" s="104" t="n">
        <x:f>MAX(0,C204-G204)</x:f>
        <x:v>220314.37290212445</x:v>
      </x:c>
      <x:c r="I204" s="105" t="n">
        <x:f>P203</x:f>
        <x:v>119164.945319714</x:v>
      </x:c>
      <x:c r="J204" s="105" t="n">
        <x:f>IF(I204&gt;0,I204*'Your Mortgage'!$C$7/12,0)</x:f>
        <x:v>645.4767871484509</x:v>
      </x:c>
      <x:c r="K204" s="105" t="n">
        <x:f>IF(I204&gt;0,MIN('Your Mortgage'!$C$11,I204+J204),0)</x:f>
        <x:v>2054.2210763521375</x:v>
      </x:c>
      <x:c r="L204" s="105" t="n">
        <x:f>IF(I204&gt;0,MIN('Your Mortgage'!$F$6,MAX(0,I204+J204-K204)),0)</x:f>
        <x:v>250</x:v>
      </x:c>
      <x:c r="M204" s="105" t="n">
        <x:f>IF(AND(A204='Your Mortgage'!$F$8,I204&gt;0),MIN('Your Mortgage'!$F$7,MAX(0,I204+J204-K204-L204)),0)</x:f>
        <x:v>0</x:v>
      </x:c>
      <x:c r="N204" s="105" t="n">
        <x:f>K204+L204+M204</x:f>
        <x:v>2304.2210763521375</x:v>
      </x:c>
      <x:c r="O204" s="105" t="n">
        <x:f>MAX(0,N204-J204)</x:f>
        <x:v>1658.7442892036865</x:v>
      </x:c>
      <x:c r="P204" s="105" t="n">
        <x:f>MAX(0,I204-O204)</x:f>
        <x:v>117506.2010305103</x:v>
      </x:c>
      <x:c r="Q204" s="106" t="n">
        <x:f>X203</x:f>
        <x:v>44472.39909348131</x:v>
      </x:c>
      <x:c r="R204" s="106" t="n">
        <x:f>IF(Q204&gt;0,Q204*'Your Mortgage'!$C$7/12,0)</x:f>
        <x:v>240.89216175635713</x:v>
      </x:c>
      <x:c r="S204" s="106" t="n">
        <x:f>IF(Q204&gt;0,MIN('Your Mortgage'!$C$11,Q204+R204),0)</x:f>
        <x:v>2054.2210763521375</x:v>
      </x:c>
      <x:c r="T204" s="106" t="n">
        <x:f>IF(Q204&gt;0,MIN('Your Mortgage'!$I$6,MAX(0,Q204+R204-S204)),0)</x:f>
        <x:v>500</x:v>
      </x:c>
      <x:c r="U204" s="106" t="n">
        <x:f>IF(AND(A204='Your Mortgage'!$I$8,Q204&gt;0),MIN('Your Mortgage'!$I$7,MAX(0,Q204+R204-S204-T204)),0)</x:f>
        <x:v>0</x:v>
      </x:c>
      <x:c r="V204" s="106" t="n">
        <x:f>S204+T204+U204</x:f>
        <x:v>2554.2210763521375</x:v>
      </x:c>
      <x:c r="W204" s="106" t="n">
        <x:f>MAX(0,V204-R204)</x:f>
        <x:v>2313.3289145957806</x:v>
      </x:c>
      <x:c r="X204" s="106" t="n">
        <x:f>MAX(0,Q204-W204)</x:f>
        <x:v>42159.07017888553</x:v>
      </x:c>
      <x:c r="Y204" s="1"/>
      <x:c r="Z204" s="1"/>
    </x:row>
    <x:row r="205">
      <x:c r="A205" s="100" t="n">
        <x:f>A204+1</x:f>
        <x:v>200</x:v>
      </x:c>
      <x:c r="B205" s="103" t="n">
        <x:f>EDATE(B204,1)</x:f>
        <x:v>52291</x:v>
      </x:c>
      <x:c r="C205" s="104" t="n">
        <x:f>H204</x:f>
        <x:v>220314.37290212445</x:v>
      </x:c>
      <x:c r="D205" s="104" t="n">
        <x:f>IF(C205&gt;0,C205*'Your Mortgage'!$C$7/12,0)</x:f>
        <x:v>1193.3695198865075</x:v>
      </x:c>
      <x:c r="E205" s="104" t="n">
        <x:f>IF(C205&gt;0,MIN('Your Mortgage'!$C$11,C205+D205),0)</x:f>
        <x:v>2054.2210763521375</x:v>
      </x:c>
      <x:c r="F205" s="104" t="n">
        <x:f>E205</x:f>
        <x:v>2054.2210763521375</x:v>
      </x:c>
      <x:c r="G205" s="104" t="n">
        <x:f>MAX(0,F205-D205)</x:f>
        <x:v>860.85155646563</x:v>
      </x:c>
      <x:c r="H205" s="104" t="n">
        <x:f>MAX(0,C205-G205)</x:f>
        <x:v>219453.5213456588</x:v>
      </x:c>
      <x:c r="I205" s="105" t="n">
        <x:f>P204</x:f>
        <x:v>117506.2010305103</x:v>
      </x:c>
      <x:c r="J205" s="105" t="n">
        <x:f>IF(I205&gt;0,I205*'Your Mortgage'!$C$7/12,0)</x:f>
        <x:v>636.4919222485975</x:v>
      </x:c>
      <x:c r="K205" s="105" t="n">
        <x:f>IF(I205&gt;0,MIN('Your Mortgage'!$C$11,I205+J205),0)</x:f>
        <x:v>2054.2210763521375</x:v>
      </x:c>
      <x:c r="L205" s="105" t="n">
        <x:f>IF(I205&gt;0,MIN('Your Mortgage'!$F$6,MAX(0,I205+J205-K205)),0)</x:f>
        <x:v>250</x:v>
      </x:c>
      <x:c r="M205" s="105" t="n">
        <x:f>IF(AND(A205='Your Mortgage'!$F$8,I205&gt;0),MIN('Your Mortgage'!$F$7,MAX(0,I205+J205-K205-L205)),0)</x:f>
        <x:v>0</x:v>
      </x:c>
      <x:c r="N205" s="105" t="n">
        <x:f>K205+L205+M205</x:f>
        <x:v>2304.2210763521375</x:v>
      </x:c>
      <x:c r="O205" s="105" t="n">
        <x:f>MAX(0,N205-J205)</x:f>
        <x:v>1667.7291541035402</x:v>
      </x:c>
      <x:c r="P205" s="105" t="n">
        <x:f>MAX(0,I205-O205)</x:f>
        <x:v>115838.47187640677</x:v>
      </x:c>
      <x:c r="Q205" s="106" t="n">
        <x:f>X204</x:f>
        <x:v>42159.07017888553</x:v>
      </x:c>
      <x:c r="R205" s="106" t="n">
        <x:f>IF(Q205&gt;0,Q205*'Your Mortgage'!$C$7/12,0)</x:f>
        <x:v>228.36163013562995</x:v>
      </x:c>
      <x:c r="S205" s="106" t="n">
        <x:f>IF(Q205&gt;0,MIN('Your Mortgage'!$C$11,Q205+R205),0)</x:f>
        <x:v>2054.2210763521375</x:v>
      </x:c>
      <x:c r="T205" s="106" t="n">
        <x:f>IF(Q205&gt;0,MIN('Your Mortgage'!$I$6,MAX(0,Q205+R205-S205)),0)</x:f>
        <x:v>500</x:v>
      </x:c>
      <x:c r="U205" s="106" t="n">
        <x:f>IF(AND(A205='Your Mortgage'!$I$8,Q205&gt;0),MIN('Your Mortgage'!$I$7,MAX(0,Q205+R205-S205-T205)),0)</x:f>
        <x:v>0</x:v>
      </x:c>
      <x:c r="V205" s="106" t="n">
        <x:f>S205+T205+U205</x:f>
        <x:v>2554.2210763521375</x:v>
      </x:c>
      <x:c r="W205" s="106" t="n">
        <x:f>MAX(0,V205-R205)</x:f>
        <x:v>2325.8594462165074</x:v>
      </x:c>
      <x:c r="X205" s="106" t="n">
        <x:f>MAX(0,Q205-W205)</x:f>
        <x:v>39833.210732669024</x:v>
      </x:c>
      <x:c r="Y205" s="1"/>
      <x:c r="Z205" s="1"/>
    </x:row>
    <x:row r="206">
      <x:c r="A206" s="100" t="n">
        <x:f>A205+1</x:f>
        <x:v>201</x:v>
      </x:c>
      <x:c r="B206" s="103" t="n">
        <x:f>EDATE(B205,1)</x:f>
        <x:v>52322</x:v>
      </x:c>
      <x:c r="C206" s="104" t="n">
        <x:f>H205</x:f>
        <x:v>219453.5213456588</x:v>
      </x:c>
      <x:c r="D206" s="104" t="n">
        <x:f>IF(C206&gt;0,C206*'Your Mortgage'!$C$7/12,0)</x:f>
        <x:v>1188.706573955652</x:v>
      </x:c>
      <x:c r="E206" s="104" t="n">
        <x:f>IF(C206&gt;0,MIN('Your Mortgage'!$C$11,C206+D206),0)</x:f>
        <x:v>2054.2210763521375</x:v>
      </x:c>
      <x:c r="F206" s="104" t="n">
        <x:f>E206</x:f>
        <x:v>2054.2210763521375</x:v>
      </x:c>
      <x:c r="G206" s="104" t="n">
        <x:f>MAX(0,F206-D206)</x:f>
        <x:v>865.5145023964856</x:v>
      </x:c>
      <x:c r="H206" s="104" t="n">
        <x:f>MAX(0,C206-G206)</x:f>
        <x:v>218588.00684326232</x:v>
      </x:c>
      <x:c r="I206" s="105" t="n">
        <x:f>P205</x:f>
        <x:v>115838.47187640677</x:v>
      </x:c>
      <x:c r="J206" s="105" t="n">
        <x:f>IF(I206&gt;0,I206*'Your Mortgage'!$C$7/12,0)</x:f>
        <x:v>627.4583893305366</x:v>
      </x:c>
      <x:c r="K206" s="105" t="n">
        <x:f>IF(I206&gt;0,MIN('Your Mortgage'!$C$11,I206+J206),0)</x:f>
        <x:v>2054.2210763521375</x:v>
      </x:c>
      <x:c r="L206" s="105" t="n">
        <x:f>IF(I206&gt;0,MIN('Your Mortgage'!$F$6,MAX(0,I206+J206-K206)),0)</x:f>
        <x:v>250</x:v>
      </x:c>
      <x:c r="M206" s="105" t="n">
        <x:f>IF(AND(A206='Your Mortgage'!$F$8,I206&gt;0),MIN('Your Mortgage'!$F$7,MAX(0,I206+J206-K206-L206)),0)</x:f>
        <x:v>0</x:v>
      </x:c>
      <x:c r="N206" s="105" t="n">
        <x:f>K206+L206+M206</x:f>
        <x:v>2304.2210763521375</x:v>
      </x:c>
      <x:c r="O206" s="105" t="n">
        <x:f>MAX(0,N206-J206)</x:f>
        <x:v>1676.7626870216009</x:v>
      </x:c>
      <x:c r="P206" s="105" t="n">
        <x:f>MAX(0,I206-O206)</x:f>
        <x:v>114161.70918938516</x:v>
      </x:c>
      <x:c r="Q206" s="106" t="n">
        <x:f>X205</x:f>
        <x:v>39833.210732669024</x:v>
      </x:c>
      <x:c r="R206" s="106" t="n">
        <x:f>IF(Q206&gt;0,Q206*'Your Mortgage'!$C$7/12,0)</x:f>
        <x:v>215.76322480195722</x:v>
      </x:c>
      <x:c r="S206" s="106" t="n">
        <x:f>IF(Q206&gt;0,MIN('Your Mortgage'!$C$11,Q206+R206),0)</x:f>
        <x:v>2054.2210763521375</x:v>
      </x:c>
      <x:c r="T206" s="106" t="n">
        <x:f>IF(Q206&gt;0,MIN('Your Mortgage'!$I$6,MAX(0,Q206+R206-S206)),0)</x:f>
        <x:v>500</x:v>
      </x:c>
      <x:c r="U206" s="106" t="n">
        <x:f>IF(AND(A206='Your Mortgage'!$I$8,Q206&gt;0),MIN('Your Mortgage'!$I$7,MAX(0,Q206+R206-S206-T206)),0)</x:f>
        <x:v>0</x:v>
      </x:c>
      <x:c r="V206" s="106" t="n">
        <x:f>S206+T206+U206</x:f>
        <x:v>2554.2210763521375</x:v>
      </x:c>
      <x:c r="W206" s="106" t="n">
        <x:f>MAX(0,V206-R206)</x:f>
        <x:v>2338.4578515501803</x:v>
      </x:c>
      <x:c r="X206" s="106" t="n">
        <x:f>MAX(0,Q206-W206)</x:f>
        <x:v>37494.752881118846</x:v>
      </x:c>
      <x:c r="Y206" s="1"/>
      <x:c r="Z206" s="1"/>
    </x:row>
    <x:row r="207">
      <x:c r="A207" s="100" t="n">
        <x:f>A206+1</x:f>
        <x:v>202</x:v>
      </x:c>
      <x:c r="B207" s="103" t="n">
        <x:f>EDATE(B206,1)</x:f>
        <x:v>52352</x:v>
      </x:c>
      <x:c r="C207" s="104" t="n">
        <x:f>H206</x:f>
        <x:v>218588.00684326232</x:v>
      </x:c>
      <x:c r="D207" s="104" t="n">
        <x:f>IF(C207&gt;0,C207*'Your Mortgage'!$C$7/12,0)</x:f>
        <x:v>1184.0183704010044</x:v>
      </x:c>
      <x:c r="E207" s="104" t="n">
        <x:f>IF(C207&gt;0,MIN('Your Mortgage'!$C$11,C207+D207),0)</x:f>
        <x:v>2054.2210763521375</x:v>
      </x:c>
      <x:c r="F207" s="104" t="n">
        <x:f>E207</x:f>
        <x:v>2054.2210763521375</x:v>
      </x:c>
      <x:c r="G207" s="104" t="n">
        <x:f>MAX(0,F207-D207)</x:f>
        <x:v>870.2027059511331</x:v>
      </x:c>
      <x:c r="H207" s="104" t="n">
        <x:f>MAX(0,C207-G207)</x:f>
        <x:v>217717.80413731118</x:v>
      </x:c>
      <x:c r="I207" s="105" t="n">
        <x:f>P206</x:f>
        <x:v>114161.70918938516</x:v>
      </x:c>
      <x:c r="J207" s="105" t="n">
        <x:f>IF(I207&gt;0,I207*'Your Mortgage'!$C$7/12,0)</x:f>
        <x:v>618.3759247758363</x:v>
      </x:c>
      <x:c r="K207" s="105" t="n">
        <x:f>IF(I207&gt;0,MIN('Your Mortgage'!$C$11,I207+J207),0)</x:f>
        <x:v>2054.2210763521375</x:v>
      </x:c>
      <x:c r="L207" s="105" t="n">
        <x:f>IF(I207&gt;0,MIN('Your Mortgage'!$F$6,MAX(0,I207+J207-K207)),0)</x:f>
        <x:v>250</x:v>
      </x:c>
      <x:c r="M207" s="105" t="n">
        <x:f>IF(AND(A207='Your Mortgage'!$F$8,I207&gt;0),MIN('Your Mortgage'!$F$7,MAX(0,I207+J207-K207-L207)),0)</x:f>
        <x:v>0</x:v>
      </x:c>
      <x:c r="N207" s="105" t="n">
        <x:f>K207+L207+M207</x:f>
        <x:v>2304.2210763521375</x:v>
      </x:c>
      <x:c r="O207" s="105" t="n">
        <x:f>MAX(0,N207-J207)</x:f>
        <x:v>1685.8451515763013</x:v>
      </x:c>
      <x:c r="P207" s="105" t="n">
        <x:f>MAX(0,I207-O207)</x:f>
        <x:v>112475.86403780886</x:v>
      </x:c>
      <x:c r="Q207" s="106" t="n">
        <x:f>X206</x:f>
        <x:v>37494.752881118846</x:v>
      </x:c>
      <x:c r="R207" s="106" t="n">
        <x:f>IF(Q207&gt;0,Q207*'Your Mortgage'!$C$7/12,0)</x:f>
        <x:v>203.0965781060604</x:v>
      </x:c>
      <x:c r="S207" s="106" t="n">
        <x:f>IF(Q207&gt;0,MIN('Your Mortgage'!$C$11,Q207+R207),0)</x:f>
        <x:v>2054.2210763521375</x:v>
      </x:c>
      <x:c r="T207" s="106" t="n">
        <x:f>IF(Q207&gt;0,MIN('Your Mortgage'!$I$6,MAX(0,Q207+R207-S207)),0)</x:f>
        <x:v>500</x:v>
      </x:c>
      <x:c r="U207" s="106" t="n">
        <x:f>IF(AND(A207='Your Mortgage'!$I$8,Q207&gt;0),MIN('Your Mortgage'!$I$7,MAX(0,Q207+R207-S207-T207)),0)</x:f>
        <x:v>0</x:v>
      </x:c>
      <x:c r="V207" s="106" t="n">
        <x:f>S207+T207+U207</x:f>
        <x:v>2554.2210763521375</x:v>
      </x:c>
      <x:c r="W207" s="106" t="n">
        <x:f>MAX(0,V207-R207)</x:f>
        <x:v>2351.124498246077</x:v>
      </x:c>
      <x:c r="X207" s="106" t="n">
        <x:f>MAX(0,Q207-W207)</x:f>
        <x:v>35143.62838287277</x:v>
      </x:c>
      <x:c r="Y207" s="1"/>
      <x:c r="Z207" s="1"/>
    </x:row>
    <x:row r="208">
      <x:c r="A208" s="100" t="n">
        <x:f>A207+1</x:f>
        <x:v>203</x:v>
      </x:c>
      <x:c r="B208" s="103" t="n">
        <x:f>EDATE(B207,1)</x:f>
        <x:v>52383</x:v>
      </x:c>
      <x:c r="C208" s="104" t="n">
        <x:f>H207</x:f>
        <x:v>217717.80413731118</x:v>
      </x:c>
      <x:c r="D208" s="104" t="n">
        <x:f>IF(C208&gt;0,C208*'Your Mortgage'!$C$7/12,0)</x:f>
        <x:v>1179.3047724104356</x:v>
      </x:c>
      <x:c r="E208" s="104" t="n">
        <x:f>IF(C208&gt;0,MIN('Your Mortgage'!$C$11,C208+D208),0)</x:f>
        <x:v>2054.2210763521375</x:v>
      </x:c>
      <x:c r="F208" s="104" t="n">
        <x:f>E208</x:f>
        <x:v>2054.2210763521375</x:v>
      </x:c>
      <x:c r="G208" s="104" t="n">
        <x:f>MAX(0,F208-D208)</x:f>
        <x:v>874.9163039417019</x:v>
      </x:c>
      <x:c r="H208" s="104" t="n">
        <x:f>MAX(0,C208-G208)</x:f>
        <x:v>216842.8878333695</x:v>
      </x:c>
      <x:c r="I208" s="105" t="n">
        <x:f>P207</x:f>
        <x:v>112475.86403780886</x:v>
      </x:c>
      <x:c r="J208" s="105" t="n">
        <x:f>IF(I208&gt;0,I208*'Your Mortgage'!$C$7/12,0)</x:f>
        <x:v>609.2442635381313</x:v>
      </x:c>
      <x:c r="K208" s="105" t="n">
        <x:f>IF(I208&gt;0,MIN('Your Mortgage'!$C$11,I208+J208),0)</x:f>
        <x:v>2054.2210763521375</x:v>
      </x:c>
      <x:c r="L208" s="105" t="n">
        <x:f>IF(I208&gt;0,MIN('Your Mortgage'!$F$6,MAX(0,I208+J208-K208)),0)</x:f>
        <x:v>250</x:v>
      </x:c>
      <x:c r="M208" s="105" t="n">
        <x:f>IF(AND(A208='Your Mortgage'!$F$8,I208&gt;0),MIN('Your Mortgage'!$F$7,MAX(0,I208+J208-K208-L208)),0)</x:f>
        <x:v>0</x:v>
      </x:c>
      <x:c r="N208" s="105" t="n">
        <x:f>K208+L208+M208</x:f>
        <x:v>2304.2210763521375</x:v>
      </x:c>
      <x:c r="O208" s="105" t="n">
        <x:f>MAX(0,N208-J208)</x:f>
        <x:v>1694.9768128140063</x:v>
      </x:c>
      <x:c r="P208" s="105" t="n">
        <x:f>MAX(0,I208-O208)</x:f>
        <x:v>110780.88722499485</x:v>
      </x:c>
      <x:c r="Q208" s="106" t="n">
        <x:f>X207</x:f>
        <x:v>35143.62838287277</x:v>
      </x:c>
      <x:c r="R208" s="106" t="n">
        <x:f>IF(Q208&gt;0,Q208*'Your Mortgage'!$C$7/12,0)</x:f>
        <x:v>190.3613204072275</x:v>
      </x:c>
      <x:c r="S208" s="106" t="n">
        <x:f>IF(Q208&gt;0,MIN('Your Mortgage'!$C$11,Q208+R208),0)</x:f>
        <x:v>2054.2210763521375</x:v>
      </x:c>
      <x:c r="T208" s="106" t="n">
        <x:f>IF(Q208&gt;0,MIN('Your Mortgage'!$I$6,MAX(0,Q208+R208-S208)),0)</x:f>
        <x:v>500</x:v>
      </x:c>
      <x:c r="U208" s="106" t="n">
        <x:f>IF(AND(A208='Your Mortgage'!$I$8,Q208&gt;0),MIN('Your Mortgage'!$I$7,MAX(0,Q208+R208-S208-T208)),0)</x:f>
        <x:v>0</x:v>
      </x:c>
      <x:c r="V208" s="106" t="n">
        <x:f>S208+T208+U208</x:f>
        <x:v>2554.2210763521375</x:v>
      </x:c>
      <x:c r="W208" s="106" t="n">
        <x:f>MAX(0,V208-R208)</x:f>
        <x:v>2363.85975594491</x:v>
      </x:c>
      <x:c r="X208" s="106" t="n">
        <x:f>MAX(0,Q208-W208)</x:f>
        <x:v>32779.76862692786</x:v>
      </x:c>
      <x:c r="Y208" s="1"/>
      <x:c r="Z208" s="1"/>
    </x:row>
    <x:row r="209">
      <x:c r="A209" s="100" t="n">
        <x:f>A208+1</x:f>
        <x:v>204</x:v>
      </x:c>
      <x:c r="B209" s="103" t="n">
        <x:f>EDATE(B208,1)</x:f>
        <x:v>52413</x:v>
      </x:c>
      <x:c r="C209" s="104" t="n">
        <x:f>H208</x:f>
        <x:v>216842.8878333695</x:v>
      </x:c>
      <x:c r="D209" s="104" t="n">
        <x:f>IF(C209&gt;0,C209*'Your Mortgage'!$C$7/12,0)</x:f>
        <x:v>1174.5656424307515</x:v>
      </x:c>
      <x:c r="E209" s="104" t="n">
        <x:f>IF(C209&gt;0,MIN('Your Mortgage'!$C$11,C209+D209),0)</x:f>
        <x:v>2054.2210763521375</x:v>
      </x:c>
      <x:c r="F209" s="104" t="n">
        <x:f>E209</x:f>
        <x:v>2054.2210763521375</x:v>
      </x:c>
      <x:c r="G209" s="104" t="n">
        <x:f>MAX(0,F209-D209)</x:f>
        <x:v>879.655433921386</x:v>
      </x:c>
      <x:c r="H209" s="104" t="n">
        <x:f>MAX(0,C209-G209)</x:f>
        <x:v>215963.2323994481</x:v>
      </x:c>
      <x:c r="I209" s="105" t="n">
        <x:f>P208</x:f>
        <x:v>110780.88722499485</x:v>
      </x:c>
      <x:c r="J209" s="105" t="n">
        <x:f>IF(I209&gt;0,I209*'Your Mortgage'!$C$7/12,0)</x:f>
        <x:v>600.0631391353887</x:v>
      </x:c>
      <x:c r="K209" s="105" t="n">
        <x:f>IF(I209&gt;0,MIN('Your Mortgage'!$C$11,I209+J209),0)</x:f>
        <x:v>2054.2210763521375</x:v>
      </x:c>
      <x:c r="L209" s="105" t="n">
        <x:f>IF(I209&gt;0,MIN('Your Mortgage'!$F$6,MAX(0,I209+J209-K209)),0)</x:f>
        <x:v>250</x:v>
      </x:c>
      <x:c r="M209" s="105" t="n">
        <x:f>IF(AND(A209='Your Mortgage'!$F$8,I209&gt;0),MIN('Your Mortgage'!$F$7,MAX(0,I209+J209-K209-L209)),0)</x:f>
        <x:v>0</x:v>
      </x:c>
      <x:c r="N209" s="105" t="n">
        <x:f>K209+L209+M209</x:f>
        <x:v>2304.2210763521375</x:v>
      </x:c>
      <x:c r="O209" s="105" t="n">
        <x:f>MAX(0,N209-J209)</x:f>
        <x:v>1704.157937216749</x:v>
      </x:c>
      <x:c r="P209" s="105" t="n">
        <x:f>MAX(0,I209-O209)</x:f>
        <x:v>109076.7292877781</x:v>
      </x:c>
      <x:c r="Q209" s="106" t="n">
        <x:f>X208</x:f>
        <x:v>32779.76862692786</x:v>
      </x:c>
      <x:c r="R209" s="106" t="n">
        <x:f>IF(Q209&gt;0,Q209*'Your Mortgage'!$C$7/12,0)</x:f>
        <x:v>177.5570800625259</x:v>
      </x:c>
      <x:c r="S209" s="106" t="n">
        <x:f>IF(Q209&gt;0,MIN('Your Mortgage'!$C$11,Q209+R209),0)</x:f>
        <x:v>2054.2210763521375</x:v>
      </x:c>
      <x:c r="T209" s="106" t="n">
        <x:f>IF(Q209&gt;0,MIN('Your Mortgage'!$I$6,MAX(0,Q209+R209-S209)),0)</x:f>
        <x:v>500</x:v>
      </x:c>
      <x:c r="U209" s="106" t="n">
        <x:f>IF(AND(A209='Your Mortgage'!$I$8,Q209&gt;0),MIN('Your Mortgage'!$I$7,MAX(0,Q209+R209-S209-T209)),0)</x:f>
        <x:v>0</x:v>
      </x:c>
      <x:c r="V209" s="106" t="n">
        <x:f>S209+T209+U209</x:f>
        <x:v>2554.2210763521375</x:v>
      </x:c>
      <x:c r="W209" s="106" t="n">
        <x:f>MAX(0,V209-R209)</x:f>
        <x:v>2376.6639962896115</x:v>
      </x:c>
      <x:c r="X209" s="106" t="n">
        <x:f>MAX(0,Q209-W209)</x:f>
        <x:v>30403.104630638245</x:v>
      </x:c>
      <x:c r="Y209" s="1"/>
      <x:c r="Z209" s="1"/>
    </x:row>
    <x:row r="210">
      <x:c r="A210" s="100" t="n">
        <x:f>A209+1</x:f>
        <x:v>205</x:v>
      </x:c>
      <x:c r="B210" s="103" t="n">
        <x:f>EDATE(B209,1)</x:f>
        <x:v>52444</x:v>
      </x:c>
      <x:c r="C210" s="104" t="n">
        <x:f>H209</x:f>
        <x:v>215963.2323994481</x:v>
      </x:c>
      <x:c r="D210" s="104" t="n">
        <x:f>IF(C210&gt;0,C210*'Your Mortgage'!$C$7/12,0)</x:f>
        <x:v>1169.8008421636773</x:v>
      </x:c>
      <x:c r="E210" s="104" t="n">
        <x:f>IF(C210&gt;0,MIN('Your Mortgage'!$C$11,C210+D210),0)</x:f>
        <x:v>2054.2210763521375</x:v>
      </x:c>
      <x:c r="F210" s="104" t="n">
        <x:f>E210</x:f>
        <x:v>2054.2210763521375</x:v>
      </x:c>
      <x:c r="G210" s="104" t="n">
        <x:f>MAX(0,F210-D210)</x:f>
        <x:v>884.4202341884602</x:v>
      </x:c>
      <x:c r="H210" s="104" t="n">
        <x:f>MAX(0,C210-G210)</x:f>
        <x:v>215078.81216525965</x:v>
      </x:c>
      <x:c r="I210" s="105" t="n">
        <x:f>P209</x:f>
        <x:v>109076.7292877781</x:v>
      </x:c>
      <x:c r="J210" s="105" t="n">
        <x:f>IF(I210&gt;0,I210*'Your Mortgage'!$C$7/12,0)</x:f>
        <x:v>590.8322836421314</x:v>
      </x:c>
      <x:c r="K210" s="105" t="n">
        <x:f>IF(I210&gt;0,MIN('Your Mortgage'!$C$11,I210+J210),0)</x:f>
        <x:v>2054.2210763521375</x:v>
      </x:c>
      <x:c r="L210" s="105" t="n">
        <x:f>IF(I210&gt;0,MIN('Your Mortgage'!$F$6,MAX(0,I210+J210-K210)),0)</x:f>
        <x:v>250</x:v>
      </x:c>
      <x:c r="M210" s="105" t="n">
        <x:f>IF(AND(A210='Your Mortgage'!$F$8,I210&gt;0),MIN('Your Mortgage'!$F$7,MAX(0,I210+J210-K210-L210)),0)</x:f>
        <x:v>0</x:v>
      </x:c>
      <x:c r="N210" s="105" t="n">
        <x:f>K210+L210+M210</x:f>
        <x:v>2304.2210763521375</x:v>
      </x:c>
      <x:c r="O210" s="105" t="n">
        <x:f>MAX(0,N210-J210)</x:f>
        <x:v>1713.388792710006</x:v>
      </x:c>
      <x:c r="P210" s="105" t="n">
        <x:f>MAX(0,I210-O210)</x:f>
        <x:v>107363.3404950681</x:v>
      </x:c>
      <x:c r="Q210" s="106" t="n">
        <x:f>X209</x:f>
        <x:v>30403.104630638245</x:v>
      </x:c>
      <x:c r="R210" s="106" t="n">
        <x:f>IF(Q210&gt;0,Q210*'Your Mortgage'!$C$7/12,0)</x:f>
        <x:v>164.68348341595717</x:v>
      </x:c>
      <x:c r="S210" s="106" t="n">
        <x:f>IF(Q210&gt;0,MIN('Your Mortgage'!$C$11,Q210+R210),0)</x:f>
        <x:v>2054.2210763521375</x:v>
      </x:c>
      <x:c r="T210" s="106" t="n">
        <x:f>IF(Q210&gt;0,MIN('Your Mortgage'!$I$6,MAX(0,Q210+R210-S210)),0)</x:f>
        <x:v>500</x:v>
      </x:c>
      <x:c r="U210" s="106" t="n">
        <x:f>IF(AND(A210='Your Mortgage'!$I$8,Q210&gt;0),MIN('Your Mortgage'!$I$7,MAX(0,Q210+R210-S210-T210)),0)</x:f>
        <x:v>0</x:v>
      </x:c>
      <x:c r="V210" s="106" t="n">
        <x:f>S210+T210+U210</x:f>
        <x:v>2554.2210763521375</x:v>
      </x:c>
      <x:c r="W210" s="106" t="n">
        <x:f>MAX(0,V210-R210)</x:f>
        <x:v>2389.5375929361803</x:v>
      </x:c>
      <x:c r="X210" s="106" t="n">
        <x:f>MAX(0,Q210-W210)</x:f>
        <x:v>28013.567037702065</x:v>
      </x:c>
      <x:c r="Y210" s="1"/>
      <x:c r="Z210" s="1"/>
    </x:row>
    <x:row r="211">
      <x:c r="A211" s="100" t="n">
        <x:f>A210+1</x:f>
        <x:v>206</x:v>
      </x:c>
      <x:c r="B211" s="103" t="n">
        <x:f>EDATE(B210,1)</x:f>
        <x:v>52475</x:v>
      </x:c>
      <x:c r="C211" s="104" t="n">
        <x:f>H210</x:f>
        <x:v>215078.81216525965</x:v>
      </x:c>
      <x:c r="D211" s="104" t="n">
        <x:f>IF(C211&gt;0,C211*'Your Mortgage'!$C$7/12,0)</x:f>
        <x:v>1165.0102325618232</x:v>
      </x:c>
      <x:c r="E211" s="104" t="n">
        <x:f>IF(C211&gt;0,MIN('Your Mortgage'!$C$11,C211+D211),0)</x:f>
        <x:v>2054.2210763521375</x:v>
      </x:c>
      <x:c r="F211" s="104" t="n">
        <x:f>E211</x:f>
        <x:v>2054.2210763521375</x:v>
      </x:c>
      <x:c r="G211" s="104" t="n">
        <x:f>MAX(0,F211-D211)</x:f>
        <x:v>889.2108437903144</x:v>
      </x:c>
      <x:c r="H211" s="104" t="n">
        <x:f>MAX(0,C211-G211)</x:f>
        <x:v>214189.60132146932</x:v>
      </x:c>
      <x:c r="I211" s="105" t="n">
        <x:f>P210</x:f>
        <x:v>107363.3404950681</x:v>
      </x:c>
      <x:c r="J211" s="105" t="n">
        <x:f>IF(I211&gt;0,I211*'Your Mortgage'!$C$7/12,0)</x:f>
        <x:v>581.5514276816189</x:v>
      </x:c>
      <x:c r="K211" s="105" t="n">
        <x:f>IF(I211&gt;0,MIN('Your Mortgage'!$C$11,I211+J211),0)</x:f>
        <x:v>2054.2210763521375</x:v>
      </x:c>
      <x:c r="L211" s="105" t="n">
        <x:f>IF(I211&gt;0,MIN('Your Mortgage'!$F$6,MAX(0,I211+J211-K211)),0)</x:f>
        <x:v>250</x:v>
      </x:c>
      <x:c r="M211" s="105" t="n">
        <x:f>IF(AND(A211='Your Mortgage'!$F$8,I211&gt;0),MIN('Your Mortgage'!$F$7,MAX(0,I211+J211-K211-L211)),0)</x:f>
        <x:v>0</x:v>
      </x:c>
      <x:c r="N211" s="105" t="n">
        <x:f>K211+L211+M211</x:f>
        <x:v>2304.2210763521375</x:v>
      </x:c>
      <x:c r="O211" s="105" t="n">
        <x:f>MAX(0,N211-J211)</x:f>
        <x:v>1722.6696486705187</x:v>
      </x:c>
      <x:c r="P211" s="105" t="n">
        <x:f>MAX(0,I211-O211)</x:f>
        <x:v>105640.67084639758</x:v>
      </x:c>
      <x:c r="Q211" s="106" t="n">
        <x:f>X210</x:f>
        <x:v>28013.567037702065</x:v>
      </x:c>
      <x:c r="R211" s="106" t="n">
        <x:f>IF(Q211&gt;0,Q211*'Your Mortgage'!$C$7/12,0)</x:f>
        <x:v>151.74015478755285</x:v>
      </x:c>
      <x:c r="S211" s="106" t="n">
        <x:f>IF(Q211&gt;0,MIN('Your Mortgage'!$C$11,Q211+R211),0)</x:f>
        <x:v>2054.2210763521375</x:v>
      </x:c>
      <x:c r="T211" s="106" t="n">
        <x:f>IF(Q211&gt;0,MIN('Your Mortgage'!$I$6,MAX(0,Q211+R211-S211)),0)</x:f>
        <x:v>500</x:v>
      </x:c>
      <x:c r="U211" s="106" t="n">
        <x:f>IF(AND(A211='Your Mortgage'!$I$8,Q211&gt;0),MIN('Your Mortgage'!$I$7,MAX(0,Q211+R211-S211-T211)),0)</x:f>
        <x:v>0</x:v>
      </x:c>
      <x:c r="V211" s="106" t="n">
        <x:f>S211+T211+U211</x:f>
        <x:v>2554.2210763521375</x:v>
      </x:c>
      <x:c r="W211" s="106" t="n">
        <x:f>MAX(0,V211-R211)</x:f>
        <x:v>2402.4809215645846</x:v>
      </x:c>
      <x:c r="X211" s="106" t="n">
        <x:f>MAX(0,Q211-W211)</x:f>
        <x:v>25611.08611613748</x:v>
      </x:c>
      <x:c r="Y211" s="1"/>
      <x:c r="Z211" s="1"/>
    </x:row>
    <x:row r="212">
      <x:c r="A212" s="100" t="n">
        <x:f>A211+1</x:f>
        <x:v>207</x:v>
      </x:c>
      <x:c r="B212" s="103" t="n">
        <x:f>EDATE(B211,1)</x:f>
        <x:v>52505</x:v>
      </x:c>
      <x:c r="C212" s="104" t="n">
        <x:f>H211</x:f>
        <x:v>214189.60132146932</x:v>
      </x:c>
      <x:c r="D212" s="104" t="n">
        <x:f>IF(C212&gt;0,C212*'Your Mortgage'!$C$7/12,0)</x:f>
        <x:v>1160.1936738246256</x:v>
      </x:c>
      <x:c r="E212" s="104" t="n">
        <x:f>IF(C212&gt;0,MIN('Your Mortgage'!$C$11,C212+D212),0)</x:f>
        <x:v>2054.2210763521375</x:v>
      </x:c>
      <x:c r="F212" s="104" t="n">
        <x:f>E212</x:f>
        <x:v>2054.2210763521375</x:v>
      </x:c>
      <x:c r="G212" s="104" t="n">
        <x:f>MAX(0,F212-D212)</x:f>
        <x:v>894.0274025275119</x:v>
      </x:c>
      <x:c r="H212" s="104" t="n">
        <x:f>MAX(0,C212-G212)</x:f>
        <x:v>213295.5739189418</x:v>
      </x:c>
      <x:c r="I212" s="105" t="n">
        <x:f>P211</x:f>
        <x:v>105640.67084639758</x:v>
      </x:c>
      <x:c r="J212" s="105" t="n">
        <x:f>IF(I212&gt;0,I212*'Your Mortgage'!$C$7/12,0)</x:f>
        <x:v>572.2203004179869</x:v>
      </x:c>
      <x:c r="K212" s="105" t="n">
        <x:f>IF(I212&gt;0,MIN('Your Mortgage'!$C$11,I212+J212),0)</x:f>
        <x:v>2054.2210763521375</x:v>
      </x:c>
      <x:c r="L212" s="105" t="n">
        <x:f>IF(I212&gt;0,MIN('Your Mortgage'!$F$6,MAX(0,I212+J212-K212)),0)</x:f>
        <x:v>250</x:v>
      </x:c>
      <x:c r="M212" s="105" t="n">
        <x:f>IF(AND(A212='Your Mortgage'!$F$8,I212&gt;0),MIN('Your Mortgage'!$F$7,MAX(0,I212+J212-K212-L212)),0)</x:f>
        <x:v>0</x:v>
      </x:c>
      <x:c r="N212" s="105" t="n">
        <x:f>K212+L212+M212</x:f>
        <x:v>2304.2210763521375</x:v>
      </x:c>
      <x:c r="O212" s="105" t="n">
        <x:f>MAX(0,N212-J212)</x:f>
        <x:v>1732.0007759341506</x:v>
      </x:c>
      <x:c r="P212" s="105" t="n">
        <x:f>MAX(0,I212-O212)</x:f>
        <x:v>103908.67007046343</x:v>
      </x:c>
      <x:c r="Q212" s="106" t="n">
        <x:f>X211</x:f>
        <x:v>25611.08611613748</x:v>
      </x:c>
      <x:c r="R212" s="106" t="n">
        <x:f>IF(Q212&gt;0,Q212*'Your Mortgage'!$C$7/12,0)</x:f>
        <x:v>138.72671646241136</x:v>
      </x:c>
      <x:c r="S212" s="106" t="n">
        <x:f>IF(Q212&gt;0,MIN('Your Mortgage'!$C$11,Q212+R212),0)</x:f>
        <x:v>2054.2210763521375</x:v>
      </x:c>
      <x:c r="T212" s="106" t="n">
        <x:f>IF(Q212&gt;0,MIN('Your Mortgage'!$I$6,MAX(0,Q212+R212-S212)),0)</x:f>
        <x:v>500</x:v>
      </x:c>
      <x:c r="U212" s="106" t="n">
        <x:f>IF(AND(A212='Your Mortgage'!$I$8,Q212&gt;0),MIN('Your Mortgage'!$I$7,MAX(0,Q212+R212-S212-T212)),0)</x:f>
        <x:v>0</x:v>
      </x:c>
      <x:c r="V212" s="106" t="n">
        <x:f>S212+T212+U212</x:f>
        <x:v>2554.2210763521375</x:v>
      </x:c>
      <x:c r="W212" s="106" t="n">
        <x:f>MAX(0,V212-R212)</x:f>
        <x:v>2415.494359889726</x:v>
      </x:c>
      <x:c r="X212" s="106" t="n">
        <x:f>MAX(0,Q212-W212)</x:f>
        <x:v>23195.591756247755</x:v>
      </x:c>
      <x:c r="Y212" s="1"/>
      <x:c r="Z212" s="1"/>
    </x:row>
    <x:row r="213">
      <x:c r="A213" s="100" t="n">
        <x:f>A212+1</x:f>
        <x:v>208</x:v>
      </x:c>
      <x:c r="B213" s="103" t="n">
        <x:f>EDATE(B212,1)</x:f>
        <x:v>52536</x:v>
      </x:c>
      <x:c r="C213" s="104" t="n">
        <x:f>H212</x:f>
        <x:v>213295.5739189418</x:v>
      </x:c>
      <x:c r="D213" s="104" t="n">
        <x:f>IF(C213&gt;0,C213*'Your Mortgage'!$C$7/12,0)</x:f>
        <x:v>1155.3510253942682</x:v>
      </x:c>
      <x:c r="E213" s="104" t="n">
        <x:f>IF(C213&gt;0,MIN('Your Mortgage'!$C$11,C213+D213),0)</x:f>
        <x:v>2054.2210763521375</x:v>
      </x:c>
      <x:c r="F213" s="104" t="n">
        <x:f>E213</x:f>
        <x:v>2054.2210763521375</x:v>
      </x:c>
      <x:c r="G213" s="104" t="n">
        <x:f>MAX(0,F213-D213)</x:f>
        <x:v>898.8700509578694</x:v>
      </x:c>
      <x:c r="H213" s="104" t="n">
        <x:f>MAX(0,C213-G213)</x:f>
        <x:v>212396.70386798395</x:v>
      </x:c>
      <x:c r="I213" s="105" t="n">
        <x:f>P212</x:f>
        <x:v>103908.67007046343</x:v>
      </x:c>
      <x:c r="J213" s="105" t="n">
        <x:f>IF(I213&gt;0,I213*'Your Mortgage'!$C$7/12,0)</x:f>
        <x:v>562.8386295483436</x:v>
      </x:c>
      <x:c r="K213" s="105" t="n">
        <x:f>IF(I213&gt;0,MIN('Your Mortgage'!$C$11,I213+J213),0)</x:f>
        <x:v>2054.2210763521375</x:v>
      </x:c>
      <x:c r="L213" s="105" t="n">
        <x:f>IF(I213&gt;0,MIN('Your Mortgage'!$F$6,MAX(0,I213+J213-K213)),0)</x:f>
        <x:v>250</x:v>
      </x:c>
      <x:c r="M213" s="105" t="n">
        <x:f>IF(AND(A213='Your Mortgage'!$F$8,I213&gt;0),MIN('Your Mortgage'!$F$7,MAX(0,I213+J213-K213-L213)),0)</x:f>
        <x:v>0</x:v>
      </x:c>
      <x:c r="N213" s="105" t="n">
        <x:f>K213+L213+M213</x:f>
        <x:v>2304.2210763521375</x:v>
      </x:c>
      <x:c r="O213" s="105" t="n">
        <x:f>MAX(0,N213-J213)</x:f>
        <x:v>1741.3824468037938</x:v>
      </x:c>
      <x:c r="P213" s="105" t="n">
        <x:f>MAX(0,I213-O213)</x:f>
        <x:v>102167.28762365963</x:v>
      </x:c>
      <x:c r="Q213" s="106" t="n">
        <x:f>X212</x:f>
        <x:v>23195.591756247755</x:v>
      </x:c>
      <x:c r="R213" s="106" t="n">
        <x:f>IF(Q213&gt;0,Q213*'Your Mortgage'!$C$7/12,0)</x:f>
        <x:v>125.64278867967535</x:v>
      </x:c>
      <x:c r="S213" s="106" t="n">
        <x:f>IF(Q213&gt;0,MIN('Your Mortgage'!$C$11,Q213+R213),0)</x:f>
        <x:v>2054.2210763521375</x:v>
      </x:c>
      <x:c r="T213" s="106" t="n">
        <x:f>IF(Q213&gt;0,MIN('Your Mortgage'!$I$6,MAX(0,Q213+R213-S213)),0)</x:f>
        <x:v>500</x:v>
      </x:c>
      <x:c r="U213" s="106" t="n">
        <x:f>IF(AND(A213='Your Mortgage'!$I$8,Q213&gt;0),MIN('Your Mortgage'!$I$7,MAX(0,Q213+R213-S213-T213)),0)</x:f>
        <x:v>0</x:v>
      </x:c>
      <x:c r="V213" s="106" t="n">
        <x:f>S213+T213+U213</x:f>
        <x:v>2554.2210763521375</x:v>
      </x:c>
      <x:c r="W213" s="106" t="n">
        <x:f>MAX(0,V213-R213)</x:f>
        <x:v>2428.578287672462</x:v>
      </x:c>
      <x:c r="X213" s="106" t="n">
        <x:f>MAX(0,Q213-W213)</x:f>
        <x:v>20767.013468575293</x:v>
      </x:c>
      <x:c r="Y213" s="1"/>
      <x:c r="Z213" s="1"/>
    </x:row>
    <x:row r="214">
      <x:c r="A214" s="100" t="n">
        <x:f>A213+1</x:f>
        <x:v>209</x:v>
      </x:c>
      <x:c r="B214" s="103" t="n">
        <x:f>EDATE(B213,1)</x:f>
        <x:v>52566</x:v>
      </x:c>
      <x:c r="C214" s="104" t="n">
        <x:f>H213</x:f>
        <x:v>212396.70386798395</x:v>
      </x:c>
      <x:c r="D214" s="104" t="n">
        <x:f>IF(C214&gt;0,C214*'Your Mortgage'!$C$7/12,0)</x:f>
        <x:v>1150.4821459515797</x:v>
      </x:c>
      <x:c r="E214" s="104" t="n">
        <x:f>IF(C214&gt;0,MIN('Your Mortgage'!$C$11,C214+D214),0)</x:f>
        <x:v>2054.2210763521375</x:v>
      </x:c>
      <x:c r="F214" s="104" t="n">
        <x:f>E214</x:f>
        <x:v>2054.2210763521375</x:v>
      </x:c>
      <x:c r="G214" s="104" t="n">
        <x:f>MAX(0,F214-D214)</x:f>
        <x:v>903.7389304005578</x:v>
      </x:c>
      <x:c r="H214" s="104" t="n">
        <x:f>MAX(0,C214-G214)</x:f>
        <x:v>211492.9649375834</x:v>
      </x:c>
      <x:c r="I214" s="105" t="n">
        <x:f>P213</x:f>
        <x:v>102167.28762365963</x:v>
      </x:c>
      <x:c r="J214" s="105" t="n">
        <x:f>IF(I214&gt;0,I214*'Your Mortgage'!$C$7/12,0)</x:f>
        <x:v>553.406141294823</x:v>
      </x:c>
      <x:c r="K214" s="105" t="n">
        <x:f>IF(I214&gt;0,MIN('Your Mortgage'!$C$11,I214+J214),0)</x:f>
        <x:v>2054.2210763521375</x:v>
      </x:c>
      <x:c r="L214" s="105" t="n">
        <x:f>IF(I214&gt;0,MIN('Your Mortgage'!$F$6,MAX(0,I214+J214-K214)),0)</x:f>
        <x:v>250</x:v>
      </x:c>
      <x:c r="M214" s="105" t="n">
        <x:f>IF(AND(A214='Your Mortgage'!$F$8,I214&gt;0),MIN('Your Mortgage'!$F$7,MAX(0,I214+J214-K214-L214)),0)</x:f>
        <x:v>0</x:v>
      </x:c>
      <x:c r="N214" s="105" t="n">
        <x:f>K214+L214+M214</x:f>
        <x:v>2304.2210763521375</x:v>
      </x:c>
      <x:c r="O214" s="105" t="n">
        <x:f>MAX(0,N214-J214)</x:f>
        <x:v>1750.8149350573144</x:v>
      </x:c>
      <x:c r="P214" s="105" t="n">
        <x:f>MAX(0,I214-O214)</x:f>
        <x:v>100416.47268860233</x:v>
      </x:c>
      <x:c r="Q214" s="106" t="n">
        <x:f>X213</x:f>
        <x:v>20767.013468575293</x:v>
      </x:c>
      <x:c r="R214" s="106" t="n">
        <x:f>IF(Q214&gt;0,Q214*'Your Mortgage'!$C$7/12,0)</x:f>
        <x:v>112.48798962144951</x:v>
      </x:c>
      <x:c r="S214" s="106" t="n">
        <x:f>IF(Q214&gt;0,MIN('Your Mortgage'!$C$11,Q214+R214),0)</x:f>
        <x:v>2054.2210763521375</x:v>
      </x:c>
      <x:c r="T214" s="106" t="n">
        <x:f>IF(Q214&gt;0,MIN('Your Mortgage'!$I$6,MAX(0,Q214+R214-S214)),0)</x:f>
        <x:v>500</x:v>
      </x:c>
      <x:c r="U214" s="106" t="n">
        <x:f>IF(AND(A214='Your Mortgage'!$I$8,Q214&gt;0),MIN('Your Mortgage'!$I$7,MAX(0,Q214+R214-S214-T214)),0)</x:f>
        <x:v>0</x:v>
      </x:c>
      <x:c r="V214" s="106" t="n">
        <x:f>S214+T214+U214</x:f>
        <x:v>2554.2210763521375</x:v>
      </x:c>
      <x:c r="W214" s="106" t="n">
        <x:f>MAX(0,V214-R214)</x:f>
        <x:v>2441.7330867306882</x:v>
      </x:c>
      <x:c r="X214" s="106" t="n">
        <x:f>MAX(0,Q214-W214)</x:f>
        <x:v>18325.280381844605</x:v>
      </x:c>
      <x:c r="Y214" s="1"/>
      <x:c r="Z214" s="1"/>
    </x:row>
    <x:row r="215">
      <x:c r="A215" s="100" t="n">
        <x:f>A214+1</x:f>
        <x:v>210</x:v>
      </x:c>
      <x:c r="B215" s="103" t="n">
        <x:f>EDATE(B214,1)</x:f>
        <x:v>52597</x:v>
      </x:c>
      <x:c r="C215" s="104" t="n">
        <x:f>H214</x:f>
        <x:v>211492.9649375834</x:v>
      </x:c>
      <x:c r="D215" s="104" t="n">
        <x:f>IF(C215&gt;0,C215*'Your Mortgage'!$C$7/12,0)</x:f>
        <x:v>1145.58689341191</x:v>
      </x:c>
      <x:c r="E215" s="104" t="n">
        <x:f>IF(C215&gt;0,MIN('Your Mortgage'!$C$11,C215+D215),0)</x:f>
        <x:v>2054.2210763521375</x:v>
      </x:c>
      <x:c r="F215" s="104" t="n">
        <x:f>E215</x:f>
        <x:v>2054.2210763521375</x:v>
      </x:c>
      <x:c r="G215" s="104" t="n">
        <x:f>MAX(0,F215-D215)</x:f>
        <x:v>908.6341829402274</x:v>
      </x:c>
      <x:c r="H215" s="104" t="n">
        <x:f>MAX(0,C215-G215)</x:f>
        <x:v>210584.33075464316</x:v>
      </x:c>
      <x:c r="I215" s="105" t="n">
        <x:f>P214</x:f>
        <x:v>100416.47268860233</x:v>
      </x:c>
      <x:c r="J215" s="105" t="n">
        <x:f>IF(I215&gt;0,I215*'Your Mortgage'!$C$7/12,0)</x:f>
        <x:v>543.9225603965959</x:v>
      </x:c>
      <x:c r="K215" s="105" t="n">
        <x:f>IF(I215&gt;0,MIN('Your Mortgage'!$C$11,I215+J215),0)</x:f>
        <x:v>2054.2210763521375</x:v>
      </x:c>
      <x:c r="L215" s="105" t="n">
        <x:f>IF(I215&gt;0,MIN('Your Mortgage'!$F$6,MAX(0,I215+J215-K215)),0)</x:f>
        <x:v>250</x:v>
      </x:c>
      <x:c r="M215" s="105" t="n">
        <x:f>IF(AND(A215='Your Mortgage'!$F$8,I215&gt;0),MIN('Your Mortgage'!$F$7,MAX(0,I215+J215-K215-L215)),0)</x:f>
        <x:v>0</x:v>
      </x:c>
      <x:c r="N215" s="105" t="n">
        <x:f>K215+L215+M215</x:f>
        <x:v>2304.2210763521375</x:v>
      </x:c>
      <x:c r="O215" s="105" t="n">
        <x:f>MAX(0,N215-J215)</x:f>
        <x:v>1760.2985159555415</x:v>
      </x:c>
      <x:c r="P215" s="105" t="n">
        <x:f>MAX(0,I215-O215)</x:f>
        <x:v>98656.17417264679</x:v>
      </x:c>
      <x:c r="Q215" s="106" t="n">
        <x:f>X214</x:f>
        <x:v>18325.280381844605</x:v>
      </x:c>
      <x:c r="R215" s="106" t="n">
        <x:f>IF(Q215&gt;0,Q215*'Your Mortgage'!$C$7/12,0)</x:f>
        <x:v>99.26193540165828</x:v>
      </x:c>
      <x:c r="S215" s="106" t="n">
        <x:f>IF(Q215&gt;0,MIN('Your Mortgage'!$C$11,Q215+R215),0)</x:f>
        <x:v>2054.2210763521375</x:v>
      </x:c>
      <x:c r="T215" s="106" t="n">
        <x:f>IF(Q215&gt;0,MIN('Your Mortgage'!$I$6,MAX(0,Q215+R215-S215)),0)</x:f>
        <x:v>500</x:v>
      </x:c>
      <x:c r="U215" s="106" t="n">
        <x:f>IF(AND(A215='Your Mortgage'!$I$8,Q215&gt;0),MIN('Your Mortgage'!$I$7,MAX(0,Q215+R215-S215-T215)),0)</x:f>
        <x:v>0</x:v>
      </x:c>
      <x:c r="V215" s="106" t="n">
        <x:f>S215+T215+U215</x:f>
        <x:v>2554.2210763521375</x:v>
      </x:c>
      <x:c r="W215" s="106" t="n">
        <x:f>MAX(0,V215-R215)</x:f>
        <x:v>2454.959140950479</x:v>
      </x:c>
      <x:c r="X215" s="106" t="n">
        <x:f>MAX(0,Q215-W215)</x:f>
        <x:v>15870.321240894125</x:v>
      </x:c>
      <x:c r="Y215" s="1"/>
      <x:c r="Z215" s="1"/>
    </x:row>
    <x:row r="216">
      <x:c r="A216" s="100" t="n">
        <x:f>A215+1</x:f>
        <x:v>211</x:v>
      </x:c>
      <x:c r="B216" s="103" t="n">
        <x:f>EDATE(B215,1)</x:f>
        <x:v>52628</x:v>
      </x:c>
      <x:c r="C216" s="104" t="n">
        <x:f>H215</x:f>
        <x:v>210584.33075464316</x:v>
      </x:c>
      <x:c r="D216" s="104" t="n">
        <x:f>IF(C216&gt;0,C216*'Your Mortgage'!$C$7/12,0)</x:f>
        <x:v>1140.6651249209838</x:v>
      </x:c>
      <x:c r="E216" s="104" t="n">
        <x:f>IF(C216&gt;0,MIN('Your Mortgage'!$C$11,C216+D216),0)</x:f>
        <x:v>2054.2210763521375</x:v>
      </x:c>
      <x:c r="F216" s="104" t="n">
        <x:f>E216</x:f>
        <x:v>2054.2210763521375</x:v>
      </x:c>
      <x:c r="G216" s="104" t="n">
        <x:f>MAX(0,F216-D216)</x:f>
        <x:v>913.5559514311537</x:v>
      </x:c>
      <x:c r="H216" s="104" t="n">
        <x:f>MAX(0,C216-G216)</x:f>
        <x:v>209670.774803212</x:v>
      </x:c>
      <x:c r="I216" s="105" t="n">
        <x:f>P215</x:f>
        <x:v>98656.17417264679</x:v>
      </x:c>
      <x:c r="J216" s="105" t="n">
        <x:f>IF(I216&gt;0,I216*'Your Mortgage'!$C$7/12,0)</x:f>
        <x:v>534.3876101018368</x:v>
      </x:c>
      <x:c r="K216" s="105" t="n">
        <x:f>IF(I216&gt;0,MIN('Your Mortgage'!$C$11,I216+J216),0)</x:f>
        <x:v>2054.2210763521375</x:v>
      </x:c>
      <x:c r="L216" s="105" t="n">
        <x:f>IF(I216&gt;0,MIN('Your Mortgage'!$F$6,MAX(0,I216+J216-K216)),0)</x:f>
        <x:v>250</x:v>
      </x:c>
      <x:c r="M216" s="105" t="n">
        <x:f>IF(AND(A216='Your Mortgage'!$F$8,I216&gt;0),MIN('Your Mortgage'!$F$7,MAX(0,I216+J216-K216-L216)),0)</x:f>
        <x:v>0</x:v>
      </x:c>
      <x:c r="N216" s="105" t="n">
        <x:f>K216+L216+M216</x:f>
        <x:v>2304.2210763521375</x:v>
      </x:c>
      <x:c r="O216" s="105" t="n">
        <x:f>MAX(0,N216-J216)</x:f>
        <x:v>1769.8334662503007</x:v>
      </x:c>
      <x:c r="P216" s="105" t="n">
        <x:f>MAX(0,I216-O216)</x:f>
        <x:v>96886.34070639648</x:v>
      </x:c>
      <x:c r="Q216" s="106" t="n">
        <x:f>X215</x:f>
        <x:v>15870.321240894125</x:v>
      </x:c>
      <x:c r="R216" s="106" t="n">
        <x:f>IF(Q216&gt;0,Q216*'Your Mortgage'!$C$7/12,0)</x:f>
        <x:v>85.96424005484317</x:v>
      </x:c>
      <x:c r="S216" s="106" t="n">
        <x:f>IF(Q216&gt;0,MIN('Your Mortgage'!$C$11,Q216+R216),0)</x:f>
        <x:v>2054.2210763521375</x:v>
      </x:c>
      <x:c r="T216" s="106" t="n">
        <x:f>IF(Q216&gt;0,MIN('Your Mortgage'!$I$6,MAX(0,Q216+R216-S216)),0)</x:f>
        <x:v>500</x:v>
      </x:c>
      <x:c r="U216" s="106" t="n">
        <x:f>IF(AND(A216='Your Mortgage'!$I$8,Q216&gt;0),MIN('Your Mortgage'!$I$7,MAX(0,Q216+R216-S216-T216)),0)</x:f>
        <x:v>0</x:v>
      </x:c>
      <x:c r="V216" s="106" t="n">
        <x:f>S216+T216+U216</x:f>
        <x:v>2554.2210763521375</x:v>
      </x:c>
      <x:c r="W216" s="106" t="n">
        <x:f>MAX(0,V216-R216)</x:f>
        <x:v>2468.2568362972943</x:v>
      </x:c>
      <x:c r="X216" s="106" t="n">
        <x:f>MAX(0,Q216-W216)</x:f>
        <x:v>13402.064404596831</x:v>
      </x:c>
      <x:c r="Y216" s="1"/>
      <x:c r="Z216" s="1"/>
    </x:row>
    <x:row r="217">
      <x:c r="A217" s="100" t="n">
        <x:f>A216+1</x:f>
        <x:v>212</x:v>
      </x:c>
      <x:c r="B217" s="103" t="n">
        <x:f>EDATE(B216,1)</x:f>
        <x:v>52657</x:v>
      </x:c>
      <x:c r="C217" s="104" t="n">
        <x:f>H216</x:f>
        <x:v>209670.774803212</x:v>
      </x:c>
      <x:c r="D217" s="104" t="n">
        <x:f>IF(C217&gt;0,C217*'Your Mortgage'!$C$7/12,0)</x:f>
        <x:v>1135.7166968507318</x:v>
      </x:c>
      <x:c r="E217" s="104" t="n">
        <x:f>IF(C217&gt;0,MIN('Your Mortgage'!$C$11,C217+D217),0)</x:f>
        <x:v>2054.2210763521375</x:v>
      </x:c>
      <x:c r="F217" s="104" t="n">
        <x:f>E217</x:f>
        <x:v>2054.2210763521375</x:v>
      </x:c>
      <x:c r="G217" s="104" t="n">
        <x:f>MAX(0,F217-D217)</x:f>
        <x:v>918.5043795014058</x:v>
      </x:c>
      <x:c r="H217" s="104" t="n">
        <x:f>MAX(0,C217-G217)</x:f>
        <x:v>208752.2704237106</x:v>
      </x:c>
      <x:c r="I217" s="105" t="n">
        <x:f>P216</x:f>
        <x:v>96886.34070639648</x:v>
      </x:c>
      <x:c r="J217" s="105" t="n">
        <x:f>IF(I217&gt;0,I217*'Your Mortgage'!$C$7/12,0)</x:f>
        <x:v>524.8010121596477</x:v>
      </x:c>
      <x:c r="K217" s="105" t="n">
        <x:f>IF(I217&gt;0,MIN('Your Mortgage'!$C$11,I217+J217),0)</x:f>
        <x:v>2054.2210763521375</x:v>
      </x:c>
      <x:c r="L217" s="105" t="n">
        <x:f>IF(I217&gt;0,MIN('Your Mortgage'!$F$6,MAX(0,I217+J217-K217)),0)</x:f>
        <x:v>250</x:v>
      </x:c>
      <x:c r="M217" s="105" t="n">
        <x:f>IF(AND(A217='Your Mortgage'!$F$8,I217&gt;0),MIN('Your Mortgage'!$F$7,MAX(0,I217+J217-K217-L217)),0)</x:f>
        <x:v>0</x:v>
      </x:c>
      <x:c r="N217" s="105" t="n">
        <x:f>K217+L217+M217</x:f>
        <x:v>2304.2210763521375</x:v>
      </x:c>
      <x:c r="O217" s="105" t="n">
        <x:f>MAX(0,N217-J217)</x:f>
        <x:v>1779.42006419249</x:v>
      </x:c>
      <x:c r="P217" s="105" t="n">
        <x:f>MAX(0,I217-O217)</x:f>
        <x:v>95106.920642204</x:v>
      </x:c>
      <x:c r="Q217" s="106" t="n">
        <x:f>X216</x:f>
        <x:v>13402.064404596831</x:v>
      </x:c>
      <x:c r="R217" s="106" t="n">
        <x:f>IF(Q217&gt;0,Q217*'Your Mortgage'!$C$7/12,0)</x:f>
        <x:v>72.5945155248995</x:v>
      </x:c>
      <x:c r="S217" s="106" t="n">
        <x:f>IF(Q217&gt;0,MIN('Your Mortgage'!$C$11,Q217+R217),0)</x:f>
        <x:v>2054.2210763521375</x:v>
      </x:c>
      <x:c r="T217" s="106" t="n">
        <x:f>IF(Q217&gt;0,MIN('Your Mortgage'!$I$6,MAX(0,Q217+R217-S217)),0)</x:f>
        <x:v>500</x:v>
      </x:c>
      <x:c r="U217" s="106" t="n">
        <x:f>IF(AND(A217='Your Mortgage'!$I$8,Q217&gt;0),MIN('Your Mortgage'!$I$7,MAX(0,Q217+R217-S217-T217)),0)</x:f>
        <x:v>0</x:v>
      </x:c>
      <x:c r="V217" s="106" t="n">
        <x:f>S217+T217+U217</x:f>
        <x:v>2554.2210763521375</x:v>
      </x:c>
      <x:c r="W217" s="106" t="n">
        <x:f>MAX(0,V217-R217)</x:f>
        <x:v>2481.626560827238</x:v>
      </x:c>
      <x:c r="X217" s="106" t="n">
        <x:f>MAX(0,Q217-W217)</x:f>
        <x:v>10920.437843769592</x:v>
      </x:c>
      <x:c r="Y217" s="1"/>
      <x:c r="Z217" s="1"/>
    </x:row>
    <x:row r="218">
      <x:c r="A218" s="100" t="n">
        <x:f>A217+1</x:f>
        <x:v>213</x:v>
      </x:c>
      <x:c r="B218" s="103" t="n">
        <x:f>EDATE(B217,1)</x:f>
        <x:v>52688</x:v>
      </x:c>
      <x:c r="C218" s="104" t="n">
        <x:f>H217</x:f>
        <x:v>208752.2704237106</x:v>
      </x:c>
      <x:c r="D218" s="104" t="n">
        <x:f>IF(C218&gt;0,C218*'Your Mortgage'!$C$7/12,0)</x:f>
        <x:v>1130.741464795099</x:v>
      </x:c>
      <x:c r="E218" s="104" t="n">
        <x:f>IF(C218&gt;0,MIN('Your Mortgage'!$C$11,C218+D218),0)</x:f>
        <x:v>2054.2210763521375</x:v>
      </x:c>
      <x:c r="F218" s="104" t="n">
        <x:f>E218</x:f>
        <x:v>2054.2210763521375</x:v>
      </x:c>
      <x:c r="G218" s="104" t="n">
        <x:f>MAX(0,F218-D218)</x:f>
        <x:v>923.4796115570384</x:v>
      </x:c>
      <x:c r="H218" s="104" t="n">
        <x:f>MAX(0,C218-G218)</x:f>
        <x:v>207828.79081215357</x:v>
      </x:c>
      <x:c r="I218" s="105" t="n">
        <x:f>P217</x:f>
        <x:v>95106.920642204</x:v>
      </x:c>
      <x:c r="J218" s="105" t="n">
        <x:f>IF(I218&gt;0,I218*'Your Mortgage'!$C$7/12,0)</x:f>
        <x:v>515.1624868119384</x:v>
      </x:c>
      <x:c r="K218" s="105" t="n">
        <x:f>IF(I218&gt;0,MIN('Your Mortgage'!$C$11,I218+J218),0)</x:f>
        <x:v>2054.2210763521375</x:v>
      </x:c>
      <x:c r="L218" s="105" t="n">
        <x:f>IF(I218&gt;0,MIN('Your Mortgage'!$F$6,MAX(0,I218+J218-K218)),0)</x:f>
        <x:v>250</x:v>
      </x:c>
      <x:c r="M218" s="105" t="n">
        <x:f>IF(AND(A218='Your Mortgage'!$F$8,I218&gt;0),MIN('Your Mortgage'!$F$7,MAX(0,I218+J218-K218-L218)),0)</x:f>
        <x:v>0</x:v>
      </x:c>
      <x:c r="N218" s="105" t="n">
        <x:f>K218+L218+M218</x:f>
        <x:v>2304.2210763521375</x:v>
      </x:c>
      <x:c r="O218" s="105" t="n">
        <x:f>MAX(0,N218-J218)</x:f>
        <x:v>1789.0585895401991</x:v>
      </x:c>
      <x:c r="P218" s="105" t="n">
        <x:f>MAX(0,I218-O218)</x:f>
        <x:v>93317.8620526638</x:v>
      </x:c>
      <x:c r="Q218" s="106" t="n">
        <x:f>X217</x:f>
        <x:v>10920.437843769592</x:v>
      </x:c>
      <x:c r="R218" s="106" t="n">
        <x:f>IF(Q218&gt;0,Q218*'Your Mortgage'!$C$7/12,0)</x:f>
        <x:v>59.15237165375196</x:v>
      </x:c>
      <x:c r="S218" s="106" t="n">
        <x:f>IF(Q218&gt;0,MIN('Your Mortgage'!$C$11,Q218+R218),0)</x:f>
        <x:v>2054.2210763521375</x:v>
      </x:c>
      <x:c r="T218" s="106" t="n">
        <x:f>IF(Q218&gt;0,MIN('Your Mortgage'!$I$6,MAX(0,Q218+R218-S218)),0)</x:f>
        <x:v>500</x:v>
      </x:c>
      <x:c r="U218" s="106" t="n">
        <x:f>IF(AND(A218='Your Mortgage'!$I$8,Q218&gt;0),MIN('Your Mortgage'!$I$7,MAX(0,Q218+R218-S218-T218)),0)</x:f>
        <x:v>0</x:v>
      </x:c>
      <x:c r="V218" s="106" t="n">
        <x:f>S218+T218+U218</x:f>
        <x:v>2554.2210763521375</x:v>
      </x:c>
      <x:c r="W218" s="106" t="n">
        <x:f>MAX(0,V218-R218)</x:f>
        <x:v>2495.068704698386</x:v>
      </x:c>
      <x:c r="X218" s="106" t="n">
        <x:f>MAX(0,Q218-W218)</x:f>
        <x:v>8425.369139071207</x:v>
      </x:c>
      <x:c r="Y218" s="1"/>
      <x:c r="Z218" s="1"/>
    </x:row>
    <x:row r="219">
      <x:c r="A219" s="100" t="n">
        <x:f>A218+1</x:f>
        <x:v>214</x:v>
      </x:c>
      <x:c r="B219" s="103" t="n">
        <x:f>EDATE(B218,1)</x:f>
        <x:v>52718</x:v>
      </x:c>
      <x:c r="C219" s="104" t="n">
        <x:f>H218</x:f>
        <x:v>207828.79081215357</x:v>
      </x:c>
      <x:c r="D219" s="104" t="n">
        <x:f>IF(C219&gt;0,C219*'Your Mortgage'!$C$7/12,0)</x:f>
        <x:v>1125.7392835658318</x:v>
      </x:c>
      <x:c r="E219" s="104" t="n">
        <x:f>IF(C219&gt;0,MIN('Your Mortgage'!$C$11,C219+D219),0)</x:f>
        <x:v>2054.2210763521375</x:v>
      </x:c>
      <x:c r="F219" s="104" t="n">
        <x:f>E219</x:f>
        <x:v>2054.2210763521375</x:v>
      </x:c>
      <x:c r="G219" s="104" t="n">
        <x:f>MAX(0,F219-D219)</x:f>
        <x:v>928.4817927863057</x:v>
      </x:c>
      <x:c r="H219" s="104" t="n">
        <x:f>MAX(0,C219-G219)</x:f>
        <x:v>206900.30901936727</x:v>
      </x:c>
      <x:c r="I219" s="105" t="n">
        <x:f>P218</x:f>
        <x:v>93317.8620526638</x:v>
      </x:c>
      <x:c r="J219" s="105" t="n">
        <x:f>IF(I219&gt;0,I219*'Your Mortgage'!$C$7/12,0)</x:f>
        <x:v>505.47175278526225</x:v>
      </x:c>
      <x:c r="K219" s="105" t="n">
        <x:f>IF(I219&gt;0,MIN('Your Mortgage'!$C$11,I219+J219),0)</x:f>
        <x:v>2054.2210763521375</x:v>
      </x:c>
      <x:c r="L219" s="105" t="n">
        <x:f>IF(I219&gt;0,MIN('Your Mortgage'!$F$6,MAX(0,I219+J219-K219)),0)</x:f>
        <x:v>250</x:v>
      </x:c>
      <x:c r="M219" s="105" t="n">
        <x:f>IF(AND(A219='Your Mortgage'!$F$8,I219&gt;0),MIN('Your Mortgage'!$F$7,MAX(0,I219+J219-K219-L219)),0)</x:f>
        <x:v>0</x:v>
      </x:c>
      <x:c r="N219" s="105" t="n">
        <x:f>K219+L219+M219</x:f>
        <x:v>2304.2210763521375</x:v>
      </x:c>
      <x:c r="O219" s="105" t="n">
        <x:f>MAX(0,N219-J219)</x:f>
        <x:v>1798.7493235668753</x:v>
      </x:c>
      <x:c r="P219" s="105" t="n">
        <x:f>MAX(0,I219-O219)</x:f>
        <x:v>91519.11272909692</x:v>
      </x:c>
      <x:c r="Q219" s="106" t="n">
        <x:f>X218</x:f>
        <x:v>8425.369139071207</x:v>
      </x:c>
      <x:c r="R219" s="106" t="n">
        <x:f>IF(Q219&gt;0,Q219*'Your Mortgage'!$C$7/12,0)</x:f>
        <x:v>45.637416169969036</x:v>
      </x:c>
      <x:c r="S219" s="106" t="n">
        <x:f>IF(Q219&gt;0,MIN('Your Mortgage'!$C$11,Q219+R219),0)</x:f>
        <x:v>2054.2210763521375</x:v>
      </x:c>
      <x:c r="T219" s="106" t="n">
        <x:f>IF(Q219&gt;0,MIN('Your Mortgage'!$I$6,MAX(0,Q219+R219-S219)),0)</x:f>
        <x:v>500</x:v>
      </x:c>
      <x:c r="U219" s="106" t="n">
        <x:f>IF(AND(A219='Your Mortgage'!$I$8,Q219&gt;0),MIN('Your Mortgage'!$I$7,MAX(0,Q219+R219-S219-T219)),0)</x:f>
        <x:v>0</x:v>
      </x:c>
      <x:c r="V219" s="106" t="n">
        <x:f>S219+T219+U219</x:f>
        <x:v>2554.2210763521375</x:v>
      </x:c>
      <x:c r="W219" s="106" t="n">
        <x:f>MAX(0,V219-R219)</x:f>
        <x:v>2508.5836601821684</x:v>
      </x:c>
      <x:c r="X219" s="106" t="n">
        <x:f>MAX(0,Q219-W219)</x:f>
        <x:v>5916.785478889038</x:v>
      </x:c>
      <x:c r="Y219" s="1"/>
      <x:c r="Z219" s="1"/>
    </x:row>
    <x:row r="220">
      <x:c r="A220" s="100" t="n">
        <x:f>A219+1</x:f>
        <x:v>215</x:v>
      </x:c>
      <x:c r="B220" s="103" t="n">
        <x:f>EDATE(B219,1)</x:f>
        <x:v>52749</x:v>
      </x:c>
      <x:c r="C220" s="104" t="n">
        <x:f>H219</x:f>
        <x:v>206900.30901936727</x:v>
      </x:c>
      <x:c r="D220" s="104" t="n">
        <x:f>IF(C220&gt;0,C220*'Your Mortgage'!$C$7/12,0)</x:f>
        <x:v>1120.7100071882394</x:v>
      </x:c>
      <x:c r="E220" s="104" t="n">
        <x:f>IF(C220&gt;0,MIN('Your Mortgage'!$C$11,C220+D220),0)</x:f>
        <x:v>2054.2210763521375</x:v>
      </x:c>
      <x:c r="F220" s="104" t="n">
        <x:f>E220</x:f>
        <x:v>2054.2210763521375</x:v>
      </x:c>
      <x:c r="G220" s="104" t="n">
        <x:f>MAX(0,F220-D220)</x:f>
        <x:v>933.5110691638981</x:v>
      </x:c>
      <x:c r="H220" s="104" t="n">
        <x:f>MAX(0,C220-G220)</x:f>
        <x:v>205966.79795020338</x:v>
      </x:c>
      <x:c r="I220" s="105" t="n">
        <x:f>P219</x:f>
        <x:v>91519.11272909692</x:v>
      </x:c>
      <x:c r="J220" s="105" t="n">
        <x:f>IF(I220&gt;0,I220*'Your Mortgage'!$C$7/12,0)</x:f>
        <x:v>495.72852728260835</x:v>
      </x:c>
      <x:c r="K220" s="105" t="n">
        <x:f>IF(I220&gt;0,MIN('Your Mortgage'!$C$11,I220+J220),0)</x:f>
        <x:v>2054.2210763521375</x:v>
      </x:c>
      <x:c r="L220" s="105" t="n">
        <x:f>IF(I220&gt;0,MIN('Your Mortgage'!$F$6,MAX(0,I220+J220-K220)),0)</x:f>
        <x:v>250</x:v>
      </x:c>
      <x:c r="M220" s="105" t="n">
        <x:f>IF(AND(A220='Your Mortgage'!$F$8,I220&gt;0),MIN('Your Mortgage'!$F$7,MAX(0,I220+J220-K220-L220)),0)</x:f>
        <x:v>0</x:v>
      </x:c>
      <x:c r="N220" s="105" t="n">
        <x:f>K220+L220+M220</x:f>
        <x:v>2304.2210763521375</x:v>
      </x:c>
      <x:c r="O220" s="105" t="n">
        <x:f>MAX(0,N220-J220)</x:f>
        <x:v>1808.492549069529</x:v>
      </x:c>
      <x:c r="P220" s="105" t="n">
        <x:f>MAX(0,I220-O220)</x:f>
        <x:v>89710.62018002738</x:v>
      </x:c>
      <x:c r="Q220" s="106" t="n">
        <x:f>X219</x:f>
        <x:v>5916.785478889038</x:v>
      </x:c>
      <x:c r="R220" s="106" t="n">
        <x:f>IF(Q220&gt;0,Q220*'Your Mortgage'!$C$7/12,0)</x:f>
        <x:v>32.04925467731562</x:v>
      </x:c>
      <x:c r="S220" s="106" t="n">
        <x:f>IF(Q220&gt;0,MIN('Your Mortgage'!$C$11,Q220+R220),0)</x:f>
        <x:v>2054.2210763521375</x:v>
      </x:c>
      <x:c r="T220" s="106" t="n">
        <x:f>IF(Q220&gt;0,MIN('Your Mortgage'!$I$6,MAX(0,Q220+R220-S220)),0)</x:f>
        <x:v>500</x:v>
      </x:c>
      <x:c r="U220" s="106" t="n">
        <x:f>IF(AND(A220='Your Mortgage'!$I$8,Q220&gt;0),MIN('Your Mortgage'!$I$7,MAX(0,Q220+R220-S220-T220)),0)</x:f>
        <x:v>0</x:v>
      </x:c>
      <x:c r="V220" s="106" t="n">
        <x:f>S220+T220+U220</x:f>
        <x:v>2554.2210763521375</x:v>
      </x:c>
      <x:c r="W220" s="106" t="n">
        <x:f>MAX(0,V220-R220)</x:f>
        <x:v>2522.171821674822</x:v>
      </x:c>
      <x:c r="X220" s="106" t="n">
        <x:f>MAX(0,Q220-W220)</x:f>
        <x:v>3394.6136572142163</x:v>
      </x:c>
      <x:c r="Y220" s="1"/>
      <x:c r="Z220" s="1"/>
    </x:row>
    <x:row r="221">
      <x:c r="A221" s="100" t="n">
        <x:f>A220+1</x:f>
        <x:v>216</x:v>
      </x:c>
      <x:c r="B221" s="103" t="n">
        <x:f>EDATE(B220,1)</x:f>
        <x:v>52779</x:v>
      </x:c>
      <x:c r="C221" s="104" t="n">
        <x:f>H220</x:f>
        <x:v>205966.79795020338</x:v>
      </x:c>
      <x:c r="D221" s="104" t="n">
        <x:f>IF(C221&gt;0,C221*'Your Mortgage'!$C$7/12,0)</x:f>
        <x:v>1115.6534888969352</x:v>
      </x:c>
      <x:c r="E221" s="104" t="n">
        <x:f>IF(C221&gt;0,MIN('Your Mortgage'!$C$11,C221+D221),0)</x:f>
        <x:v>2054.2210763521375</x:v>
      </x:c>
      <x:c r="F221" s="104" t="n">
        <x:f>E221</x:f>
        <x:v>2054.2210763521375</x:v>
      </x:c>
      <x:c r="G221" s="104" t="n">
        <x:f>MAX(0,F221-D221)</x:f>
        <x:v>938.5675874552023</x:v>
      </x:c>
      <x:c r="H221" s="104" t="n">
        <x:f>MAX(0,C221-G221)</x:f>
        <x:v>205028.23036274817</x:v>
      </x:c>
      <x:c r="I221" s="105" t="n">
        <x:f>P220</x:f>
        <x:v>89710.62018002738</x:v>
      </x:c>
      <x:c r="J221" s="105" t="n">
        <x:f>IF(I221&gt;0,I221*'Your Mortgage'!$C$7/12,0)</x:f>
        <x:v>485.93252597514834</x:v>
      </x:c>
      <x:c r="K221" s="105" t="n">
        <x:f>IF(I221&gt;0,MIN('Your Mortgage'!$C$11,I221+J221),0)</x:f>
        <x:v>2054.2210763521375</x:v>
      </x:c>
      <x:c r="L221" s="105" t="n">
        <x:f>IF(I221&gt;0,MIN('Your Mortgage'!$F$6,MAX(0,I221+J221-K221)),0)</x:f>
        <x:v>250</x:v>
      </x:c>
      <x:c r="M221" s="105" t="n">
        <x:f>IF(AND(A221='Your Mortgage'!$F$8,I221&gt;0),MIN('Your Mortgage'!$F$7,MAX(0,I221+J221-K221-L221)),0)</x:f>
        <x:v>0</x:v>
      </x:c>
      <x:c r="N221" s="105" t="n">
        <x:f>K221+L221+M221</x:f>
        <x:v>2304.2210763521375</x:v>
      </x:c>
      <x:c r="O221" s="105" t="n">
        <x:f>MAX(0,N221-J221)</x:f>
        <x:v>1818.2885503769892</x:v>
      </x:c>
      <x:c r="P221" s="105" t="n">
        <x:f>MAX(0,I221-O221)</x:f>
        <x:v>87892.33162965039</x:v>
      </x:c>
      <x:c r="Q221" s="106" t="n">
        <x:f>X220</x:f>
        <x:v>3394.6136572142163</x:v>
      </x:c>
      <x:c r="R221" s="106" t="n">
        <x:f>IF(Q221&gt;0,Q221*'Your Mortgage'!$C$7/12,0)</x:f>
        <x:v>18.387490643243673</x:v>
      </x:c>
      <x:c r="S221" s="106" t="n">
        <x:f>IF(Q221&gt;0,MIN('Your Mortgage'!$C$11,Q221+R221),0)</x:f>
        <x:v>2054.2210763521375</x:v>
      </x:c>
      <x:c r="T221" s="106" t="n">
        <x:f>IF(Q221&gt;0,MIN('Your Mortgage'!$I$6,MAX(0,Q221+R221-S221)),0)</x:f>
        <x:v>500</x:v>
      </x:c>
      <x:c r="U221" s="106" t="n">
        <x:f>IF(AND(A221='Your Mortgage'!$I$8,Q221&gt;0),MIN('Your Mortgage'!$I$7,MAX(0,Q221+R221-S221-T221)),0)</x:f>
        <x:v>0</x:v>
      </x:c>
      <x:c r="V221" s="106" t="n">
        <x:f>S221+T221+U221</x:f>
        <x:v>2554.2210763521375</x:v>
      </x:c>
      <x:c r="W221" s="106" t="n">
        <x:f>MAX(0,V221-R221)</x:f>
        <x:v>2535.8335857088937</x:v>
      </x:c>
      <x:c r="X221" s="106" t="n">
        <x:f>MAX(0,Q221-W221)</x:f>
        <x:v>858.7800715053227</x:v>
      </x:c>
      <x:c r="Y221" s="1"/>
      <x:c r="Z221" s="1"/>
    </x:row>
    <x:row r="222">
      <x:c r="A222" s="100" t="n">
        <x:f>A221+1</x:f>
        <x:v>217</x:v>
      </x:c>
      <x:c r="B222" s="103" t="n">
        <x:f>EDATE(B221,1)</x:f>
        <x:v>52810</x:v>
      </x:c>
      <x:c r="C222" s="104" t="n">
        <x:f>H221</x:f>
        <x:v>205028.23036274817</x:v>
      </x:c>
      <x:c r="D222" s="104" t="n">
        <x:f>IF(C222&gt;0,C222*'Your Mortgage'!$C$7/12,0)</x:f>
        <x:v>1110.5695811315527</x:v>
      </x:c>
      <x:c r="E222" s="104" t="n">
        <x:f>IF(C222&gt;0,MIN('Your Mortgage'!$C$11,C222+D222),0)</x:f>
        <x:v>2054.2210763521375</x:v>
      </x:c>
      <x:c r="F222" s="104" t="n">
        <x:f>E222</x:f>
        <x:v>2054.2210763521375</x:v>
      </x:c>
      <x:c r="G222" s="104" t="n">
        <x:f>MAX(0,F222-D222)</x:f>
        <x:v>943.6514952205848</x:v>
      </x:c>
      <x:c r="H222" s="104" t="n">
        <x:f>MAX(0,C222-G222)</x:f>
        <x:v>204084.5788675276</x:v>
      </x:c>
      <x:c r="I222" s="105" t="n">
        <x:f>P221</x:f>
        <x:v>87892.33162965039</x:v>
      </x:c>
      <x:c r="J222" s="105" t="n">
        <x:f>IF(I222&gt;0,I222*'Your Mortgage'!$C$7/12,0)</x:f>
        <x:v>476.0834629939396</x:v>
      </x:c>
      <x:c r="K222" s="105" t="n">
        <x:f>IF(I222&gt;0,MIN('Your Mortgage'!$C$11,I222+J222),0)</x:f>
        <x:v>2054.2210763521375</x:v>
      </x:c>
      <x:c r="L222" s="105" t="n">
        <x:f>IF(I222&gt;0,MIN('Your Mortgage'!$F$6,MAX(0,I222+J222-K222)),0)</x:f>
        <x:v>250</x:v>
      </x:c>
      <x:c r="M222" s="105" t="n">
        <x:f>IF(AND(A222='Your Mortgage'!$F$8,I222&gt;0),MIN('Your Mortgage'!$F$7,MAX(0,I222+J222-K222-L222)),0)</x:f>
        <x:v>0</x:v>
      </x:c>
      <x:c r="N222" s="105" t="n">
        <x:f>K222+L222+M222</x:f>
        <x:v>2304.2210763521375</x:v>
      </x:c>
      <x:c r="O222" s="105" t="n">
        <x:f>MAX(0,N222-J222)</x:f>
        <x:v>1828.137613358198</x:v>
      </x:c>
      <x:c r="P222" s="105" t="n">
        <x:f>MAX(0,I222-O222)</x:f>
        <x:v>86064.1940162922</x:v>
      </x:c>
      <x:c r="Q222" s="106" t="n">
        <x:f>X221</x:f>
        <x:v>858.7800715053227</x:v>
      </x:c>
      <x:c r="R222" s="106" t="n">
        <x:f>IF(Q222&gt;0,Q222*'Your Mortgage'!$C$7/12,0)</x:f>
        <x:v>4.651725387320498</x:v>
      </x:c>
      <x:c r="S222" s="106" t="n">
        <x:f>IF(Q222&gt;0,MIN('Your Mortgage'!$C$11,Q222+R222),0)</x:f>
        <x:v>863.4317968926432</x:v>
      </x:c>
      <x:c r="T222" s="106" t="n">
        <x:f>IF(Q222&gt;0,MIN('Your Mortgage'!$I$6,MAX(0,Q222+R222-S222)),0)</x:f>
        <x:v>0</x:v>
      </x:c>
      <x:c r="U222" s="106" t="n">
        <x:f>IF(AND(A222='Your Mortgage'!$I$8,Q222&gt;0),MIN('Your Mortgage'!$I$7,MAX(0,Q222+R222-S222-T222)),0)</x:f>
        <x:v>0</x:v>
      </x:c>
      <x:c r="V222" s="106" t="n">
        <x:f>S222+T222+U222</x:f>
        <x:v>863.4317968926432</x:v>
      </x:c>
      <x:c r="W222" s="106" t="n">
        <x:f>MAX(0,V222-R222)</x:f>
        <x:v>858.7800715053227</x:v>
      </x:c>
      <x:c r="X222" s="106" t="n">
        <x:f>MAX(0,Q222-W222)</x:f>
        <x:v>0</x:v>
      </x:c>
      <x:c r="Y222" s="1"/>
      <x:c r="Z222" s="1"/>
    </x:row>
    <x:row r="223">
      <x:c r="A223" s="100" t="n">
        <x:f>A222+1</x:f>
        <x:v>218</x:v>
      </x:c>
      <x:c r="B223" s="103" t="n">
        <x:f>EDATE(B222,1)</x:f>
        <x:v>52841</x:v>
      </x:c>
      <x:c r="C223" s="104" t="n">
        <x:f>H222</x:f>
        <x:v>204084.5788675276</x:v>
      </x:c>
      <x:c r="D223" s="104" t="n">
        <x:f>IF(C223&gt;0,C223*'Your Mortgage'!$C$7/12,0)</x:f>
        <x:v>1105.4581355324412</x:v>
      </x:c>
      <x:c r="E223" s="104" t="n">
        <x:f>IF(C223&gt;0,MIN('Your Mortgage'!$C$11,C223+D223),0)</x:f>
        <x:v>2054.2210763521375</x:v>
      </x:c>
      <x:c r="F223" s="104" t="n">
        <x:f>E223</x:f>
        <x:v>2054.2210763521375</x:v>
      </x:c>
      <x:c r="G223" s="104" t="n">
        <x:f>MAX(0,F223-D223)</x:f>
        <x:v>948.7629408196963</x:v>
      </x:c>
      <x:c r="H223" s="104" t="n">
        <x:f>MAX(0,C223-G223)</x:f>
        <x:v>203135.8159267079</x:v>
      </x:c>
      <x:c r="I223" s="105" t="n">
        <x:f>P222</x:f>
        <x:v>86064.1940162922</x:v>
      </x:c>
      <x:c r="J223" s="105" t="n">
        <x:f>IF(I223&gt;0,I223*'Your Mortgage'!$C$7/12,0)</x:f>
        <x:v>466.1810509215827</x:v>
      </x:c>
      <x:c r="K223" s="105" t="n">
        <x:f>IF(I223&gt;0,MIN('Your Mortgage'!$C$11,I223+J223),0)</x:f>
        <x:v>2054.2210763521375</x:v>
      </x:c>
      <x:c r="L223" s="105" t="n">
        <x:f>IF(I223&gt;0,MIN('Your Mortgage'!$F$6,MAX(0,I223+J223-K223)),0)</x:f>
        <x:v>250</x:v>
      </x:c>
      <x:c r="M223" s="105" t="n">
        <x:f>IF(AND(A223='Your Mortgage'!$F$8,I223&gt;0),MIN('Your Mortgage'!$F$7,MAX(0,I223+J223-K223-L223)),0)</x:f>
        <x:v>0</x:v>
      </x:c>
      <x:c r="N223" s="105" t="n">
        <x:f>K223+L223+M223</x:f>
        <x:v>2304.2210763521375</x:v>
      </x:c>
      <x:c r="O223" s="105" t="n">
        <x:f>MAX(0,N223-J223)</x:f>
        <x:v>1838.0400254305548</x:v>
      </x:c>
      <x:c r="P223" s="105" t="n">
        <x:f>MAX(0,I223-O223)</x:f>
        <x:v>84226.15399086164</x:v>
      </x:c>
      <x:c r="Q223" s="106" t="n">
        <x:f>X222</x:f>
        <x:v>0</x:v>
      </x:c>
      <x:c r="R223" s="106" t="n">
        <x:f>IF(Q223&gt;0,Q223*'Your Mortgage'!$C$7/12,0)</x:f>
        <x:v>0</x:v>
      </x:c>
      <x:c r="S223" s="106" t="n">
        <x:f>IF(Q223&gt;0,MIN('Your Mortgage'!$C$11,Q223+R223),0)</x:f>
        <x:v>0</x:v>
      </x:c>
      <x:c r="T223" s="106" t="n">
        <x:f>IF(Q223&gt;0,MIN('Your Mortgage'!$I$6,MAX(0,Q223+R223-S223)),0)</x:f>
        <x:v>0</x:v>
      </x:c>
      <x:c r="U223" s="106" t="n">
        <x:f>IF(AND(A223='Your Mortgage'!$I$8,Q223&gt;0),MIN('Your Mortgage'!$I$7,MAX(0,Q223+R223-S223-T223)),0)</x:f>
        <x:v>0</x:v>
      </x:c>
      <x:c r="V223" s="106" t="n">
        <x:f>S223+T223+U223</x:f>
        <x:v>0</x:v>
      </x:c>
      <x:c r="W223" s="106" t="n">
        <x:f>MAX(0,V223-R223)</x:f>
        <x:v>0</x:v>
      </x:c>
      <x:c r="X223" s="106" t="n">
        <x:f>MAX(0,Q223-W223)</x:f>
        <x:v>0</x:v>
      </x:c>
      <x:c r="Y223" s="1"/>
      <x:c r="Z223" s="1"/>
    </x:row>
    <x:row r="224">
      <x:c r="A224" s="100" t="n">
        <x:f>A223+1</x:f>
        <x:v>219</x:v>
      </x:c>
      <x:c r="B224" s="103" t="n">
        <x:f>EDATE(B223,1)</x:f>
        <x:v>52871</x:v>
      </x:c>
      <x:c r="C224" s="104" t="n">
        <x:f>H223</x:f>
        <x:v>203135.8159267079</x:v>
      </x:c>
      <x:c r="D224" s="104" t="n">
        <x:f>IF(C224&gt;0,C224*'Your Mortgage'!$C$7/12,0)</x:f>
        <x:v>1100.3190029363345</x:v>
      </x:c>
      <x:c r="E224" s="104" t="n">
        <x:f>IF(C224&gt;0,MIN('Your Mortgage'!$C$11,C224+D224),0)</x:f>
        <x:v>2054.2210763521375</x:v>
      </x:c>
      <x:c r="F224" s="104" t="n">
        <x:f>E224</x:f>
        <x:v>2054.2210763521375</x:v>
      </x:c>
      <x:c r="G224" s="104" t="n">
        <x:f>MAX(0,F224-D224)</x:f>
        <x:v>953.902073415803</x:v>
      </x:c>
      <x:c r="H224" s="104" t="n">
        <x:f>MAX(0,C224-G224)</x:f>
        <x:v>202181.9138532921</x:v>
      </x:c>
      <x:c r="I224" s="105" t="n">
        <x:f>P223</x:f>
        <x:v>84226.15399086164</x:v>
      </x:c>
      <x:c r="J224" s="105" t="n">
        <x:f>IF(I224&gt;0,I224*'Your Mortgage'!$C$7/12,0)</x:f>
        <x:v>456.2250007838339</x:v>
      </x:c>
      <x:c r="K224" s="105" t="n">
        <x:f>IF(I224&gt;0,MIN('Your Mortgage'!$C$11,I224+J224),0)</x:f>
        <x:v>2054.2210763521375</x:v>
      </x:c>
      <x:c r="L224" s="105" t="n">
        <x:f>IF(I224&gt;0,MIN('Your Mortgage'!$F$6,MAX(0,I224+J224-K224)),0)</x:f>
        <x:v>250</x:v>
      </x:c>
      <x:c r="M224" s="105" t="n">
        <x:f>IF(AND(A224='Your Mortgage'!$F$8,I224&gt;0),MIN('Your Mortgage'!$F$7,MAX(0,I224+J224-K224-L224)),0)</x:f>
        <x:v>0</x:v>
      </x:c>
      <x:c r="N224" s="105" t="n">
        <x:f>K224+L224+M224</x:f>
        <x:v>2304.2210763521375</x:v>
      </x:c>
      <x:c r="O224" s="105" t="n">
        <x:f>MAX(0,N224-J224)</x:f>
        <x:v>1847.9960755683037</x:v>
      </x:c>
      <x:c r="P224" s="105" t="n">
        <x:f>MAX(0,I224-O224)</x:f>
        <x:v>82378.15791529334</x:v>
      </x:c>
      <x:c r="Q224" s="106" t="n">
        <x:f>X223</x:f>
        <x:v>0</x:v>
      </x:c>
      <x:c r="R224" s="106" t="n">
        <x:f>IF(Q224&gt;0,Q224*'Your Mortgage'!$C$7/12,0)</x:f>
        <x:v>0</x:v>
      </x:c>
      <x:c r="S224" s="106" t="n">
        <x:f>IF(Q224&gt;0,MIN('Your Mortgage'!$C$11,Q224+R224),0)</x:f>
        <x:v>0</x:v>
      </x:c>
      <x:c r="T224" s="106" t="n">
        <x:f>IF(Q224&gt;0,MIN('Your Mortgage'!$I$6,MAX(0,Q224+R224-S224)),0)</x:f>
        <x:v>0</x:v>
      </x:c>
      <x:c r="U224" s="106" t="n">
        <x:f>IF(AND(A224='Your Mortgage'!$I$8,Q224&gt;0),MIN('Your Mortgage'!$I$7,MAX(0,Q224+R224-S224-T224)),0)</x:f>
        <x:v>0</x:v>
      </x:c>
      <x:c r="V224" s="106" t="n">
        <x:f>S224+T224+U224</x:f>
        <x:v>0</x:v>
      </x:c>
      <x:c r="W224" s="106" t="n">
        <x:f>MAX(0,V224-R224)</x:f>
        <x:v>0</x:v>
      </x:c>
      <x:c r="X224" s="106" t="n">
        <x:f>MAX(0,Q224-W224)</x:f>
        <x:v>0</x:v>
      </x:c>
      <x:c r="Y224" s="1"/>
      <x:c r="Z224" s="1"/>
    </x:row>
    <x:row r="225">
      <x:c r="A225" s="100" t="n">
        <x:f>A224+1</x:f>
        <x:v>220</x:v>
      </x:c>
      <x:c r="B225" s="103" t="n">
        <x:f>EDATE(B224,1)</x:f>
        <x:v>52902</x:v>
      </x:c>
      <x:c r="C225" s="104" t="n">
        <x:f>H224</x:f>
        <x:v>202181.9138532921</x:v>
      </x:c>
      <x:c r="D225" s="104" t="n">
        <x:f>IF(C225&gt;0,C225*'Your Mortgage'!$C$7/12,0)</x:f>
        <x:v>1095.1520333719989</x:v>
      </x:c>
      <x:c r="E225" s="104" t="n">
        <x:f>IF(C225&gt;0,MIN('Your Mortgage'!$C$11,C225+D225),0)</x:f>
        <x:v>2054.2210763521375</x:v>
      </x:c>
      <x:c r="F225" s="104" t="n">
        <x:f>E225</x:f>
        <x:v>2054.2210763521375</x:v>
      </x:c>
      <x:c r="G225" s="104" t="n">
        <x:f>MAX(0,F225-D225)</x:f>
        <x:v>959.0690429801386</x:v>
      </x:c>
      <x:c r="H225" s="104" t="n">
        <x:f>MAX(0,C225-G225)</x:f>
        <x:v>201222.84481031194</x:v>
      </x:c>
      <x:c r="I225" s="105" t="n">
        <x:f>P224</x:f>
        <x:v>82378.15791529334</x:v>
      </x:c>
      <x:c r="J225" s="105" t="n">
        <x:f>IF(I225&gt;0,I225*'Your Mortgage'!$C$7/12,0)</x:f>
        <x:v>446.2150220411723</x:v>
      </x:c>
      <x:c r="K225" s="105" t="n">
        <x:f>IF(I225&gt;0,MIN('Your Mortgage'!$C$11,I225+J225),0)</x:f>
        <x:v>2054.2210763521375</x:v>
      </x:c>
      <x:c r="L225" s="105" t="n">
        <x:f>IF(I225&gt;0,MIN('Your Mortgage'!$F$6,MAX(0,I225+J225-K225)),0)</x:f>
        <x:v>250</x:v>
      </x:c>
      <x:c r="M225" s="105" t="n">
        <x:f>IF(AND(A225='Your Mortgage'!$F$8,I225&gt;0),MIN('Your Mortgage'!$F$7,MAX(0,I225+J225-K225-L225)),0)</x:f>
        <x:v>0</x:v>
      </x:c>
      <x:c r="N225" s="105" t="n">
        <x:f>K225+L225+M225</x:f>
        <x:v>2304.2210763521375</x:v>
      </x:c>
      <x:c r="O225" s="105" t="n">
        <x:f>MAX(0,N225-J225)</x:f>
        <x:v>1858.0060543109653</x:v>
      </x:c>
      <x:c r="P225" s="105" t="n">
        <x:f>MAX(0,I225-O225)</x:f>
        <x:v>80520.15186098237</x:v>
      </x:c>
      <x:c r="Q225" s="106" t="n">
        <x:f>X224</x:f>
        <x:v>0</x:v>
      </x:c>
      <x:c r="R225" s="106" t="n">
        <x:f>IF(Q225&gt;0,Q225*'Your Mortgage'!$C$7/12,0)</x:f>
        <x:v>0</x:v>
      </x:c>
      <x:c r="S225" s="106" t="n">
        <x:f>IF(Q225&gt;0,MIN('Your Mortgage'!$C$11,Q225+R225),0)</x:f>
        <x:v>0</x:v>
      </x:c>
      <x:c r="T225" s="106" t="n">
        <x:f>IF(Q225&gt;0,MIN('Your Mortgage'!$I$6,MAX(0,Q225+R225-S225)),0)</x:f>
        <x:v>0</x:v>
      </x:c>
      <x:c r="U225" s="106" t="n">
        <x:f>IF(AND(A225='Your Mortgage'!$I$8,Q225&gt;0),MIN('Your Mortgage'!$I$7,MAX(0,Q225+R225-S225-T225)),0)</x:f>
        <x:v>0</x:v>
      </x:c>
      <x:c r="V225" s="106" t="n">
        <x:f>S225+T225+U225</x:f>
        <x:v>0</x:v>
      </x:c>
      <x:c r="W225" s="106" t="n">
        <x:f>MAX(0,V225-R225)</x:f>
        <x:v>0</x:v>
      </x:c>
      <x:c r="X225" s="106" t="n">
        <x:f>MAX(0,Q225-W225)</x:f>
        <x:v>0</x:v>
      </x:c>
      <x:c r="Y225" s="1"/>
      <x:c r="Z225" s="1"/>
    </x:row>
    <x:row r="226">
      <x:c r="A226" s="100" t="n">
        <x:f>A225+1</x:f>
        <x:v>221</x:v>
      </x:c>
      <x:c r="B226" s="103" t="n">
        <x:f>EDATE(B225,1)</x:f>
        <x:v>52932</x:v>
      </x:c>
      <x:c r="C226" s="104" t="n">
        <x:f>H225</x:f>
        <x:v>201222.84481031194</x:v>
      </x:c>
      <x:c r="D226" s="104" t="n">
        <x:f>IF(C226&gt;0,C226*'Your Mortgage'!$C$7/12,0)</x:f>
        <x:v>1089.9570760558565</x:v>
      </x:c>
      <x:c r="E226" s="104" t="n">
        <x:f>IF(C226&gt;0,MIN('Your Mortgage'!$C$11,C226+D226),0)</x:f>
        <x:v>2054.2210763521375</x:v>
      </x:c>
      <x:c r="F226" s="104" t="n">
        <x:f>E226</x:f>
        <x:v>2054.2210763521375</x:v>
      </x:c>
      <x:c r="G226" s="104" t="n">
        <x:f>MAX(0,F226-D226)</x:f>
        <x:v>964.264000296281</x:v>
      </x:c>
      <x:c r="H226" s="104" t="n">
        <x:f>MAX(0,C226-G226)</x:f>
        <x:v>200258.58081001567</x:v>
      </x:c>
      <x:c r="I226" s="105" t="n">
        <x:f>P225</x:f>
        <x:v>80520.15186098237</x:v>
      </x:c>
      <x:c r="J226" s="105" t="n">
        <x:f>IF(I226&gt;0,I226*'Your Mortgage'!$C$7/12,0)</x:f>
        <x:v>436.1508225803212</x:v>
      </x:c>
      <x:c r="K226" s="105" t="n">
        <x:f>IF(I226&gt;0,MIN('Your Mortgage'!$C$11,I226+J226),0)</x:f>
        <x:v>2054.2210763521375</x:v>
      </x:c>
      <x:c r="L226" s="105" t="n">
        <x:f>IF(I226&gt;0,MIN('Your Mortgage'!$F$6,MAX(0,I226+J226-K226)),0)</x:f>
        <x:v>250</x:v>
      </x:c>
      <x:c r="M226" s="105" t="n">
        <x:f>IF(AND(A226='Your Mortgage'!$F$8,I226&gt;0),MIN('Your Mortgage'!$F$7,MAX(0,I226+J226-K226-L226)),0)</x:f>
        <x:v>0</x:v>
      </x:c>
      <x:c r="N226" s="105" t="n">
        <x:f>K226+L226+M226</x:f>
        <x:v>2304.2210763521375</x:v>
      </x:c>
      <x:c r="O226" s="105" t="n">
        <x:f>MAX(0,N226-J226)</x:f>
        <x:v>1868.0702537718164</x:v>
      </x:c>
      <x:c r="P226" s="105" t="n">
        <x:f>MAX(0,I226-O226)</x:f>
        <x:v>78652.08160721055</x:v>
      </x:c>
      <x:c r="Q226" s="106" t="n">
        <x:f>X225</x:f>
        <x:v>0</x:v>
      </x:c>
      <x:c r="R226" s="106" t="n">
        <x:f>IF(Q226&gt;0,Q226*'Your Mortgage'!$C$7/12,0)</x:f>
        <x:v>0</x:v>
      </x:c>
      <x:c r="S226" s="106" t="n">
        <x:f>IF(Q226&gt;0,MIN('Your Mortgage'!$C$11,Q226+R226),0)</x:f>
        <x:v>0</x:v>
      </x:c>
      <x:c r="T226" s="106" t="n">
        <x:f>IF(Q226&gt;0,MIN('Your Mortgage'!$I$6,MAX(0,Q226+R226-S226)),0)</x:f>
        <x:v>0</x:v>
      </x:c>
      <x:c r="U226" s="106" t="n">
        <x:f>IF(AND(A226='Your Mortgage'!$I$8,Q226&gt;0),MIN('Your Mortgage'!$I$7,MAX(0,Q226+R226-S226-T226)),0)</x:f>
        <x:v>0</x:v>
      </x:c>
      <x:c r="V226" s="106" t="n">
        <x:f>S226+T226+U226</x:f>
        <x:v>0</x:v>
      </x:c>
      <x:c r="W226" s="106" t="n">
        <x:f>MAX(0,V226-R226)</x:f>
        <x:v>0</x:v>
      </x:c>
      <x:c r="X226" s="106" t="n">
        <x:f>MAX(0,Q226-W226)</x:f>
        <x:v>0</x:v>
      </x:c>
      <x:c r="Y226" s="1"/>
      <x:c r="Z226" s="1"/>
    </x:row>
    <x:row r="227">
      <x:c r="A227" s="100" t="n">
        <x:f>A226+1</x:f>
        <x:v>222</x:v>
      </x:c>
      <x:c r="B227" s="103" t="n">
        <x:f>EDATE(B226,1)</x:f>
        <x:v>52963</x:v>
      </x:c>
      <x:c r="C227" s="104" t="n">
        <x:f>H226</x:f>
        <x:v>200258.58081001567</x:v>
      </x:c>
      <x:c r="D227" s="104" t="n">
        <x:f>IF(C227&gt;0,C227*'Your Mortgage'!$C$7/12,0)</x:f>
        <x:v>1084.733979387585</x:v>
      </x:c>
      <x:c r="E227" s="104" t="n">
        <x:f>IF(C227&gt;0,MIN('Your Mortgage'!$C$11,C227+D227),0)</x:f>
        <x:v>2054.2210763521375</x:v>
      </x:c>
      <x:c r="F227" s="104" t="n">
        <x:f>E227</x:f>
        <x:v>2054.2210763521375</x:v>
      </x:c>
      <x:c r="G227" s="104" t="n">
        <x:f>MAX(0,F227-D227)</x:f>
        <x:v>969.4870969645526</x:v>
      </x:c>
      <x:c r="H227" s="104" t="n">
        <x:f>MAX(0,C227-G227)</x:f>
        <x:v>199289.09371305112</x:v>
      </x:c>
      <x:c r="I227" s="105" t="n">
        <x:f>P226</x:f>
        <x:v>78652.08160721055</x:v>
      </x:c>
      <x:c r="J227" s="105" t="n">
        <x:f>IF(I227&gt;0,I227*'Your Mortgage'!$C$7/12,0)</x:f>
        <x:v>426.03210870572383</x:v>
      </x:c>
      <x:c r="K227" s="105" t="n">
        <x:f>IF(I227&gt;0,MIN('Your Mortgage'!$C$11,I227+J227),0)</x:f>
        <x:v>2054.2210763521375</x:v>
      </x:c>
      <x:c r="L227" s="105" t="n">
        <x:f>IF(I227&gt;0,MIN('Your Mortgage'!$F$6,MAX(0,I227+J227-K227)),0)</x:f>
        <x:v>250</x:v>
      </x:c>
      <x:c r="M227" s="105" t="n">
        <x:f>IF(AND(A227='Your Mortgage'!$F$8,I227&gt;0),MIN('Your Mortgage'!$F$7,MAX(0,I227+J227-K227-L227)),0)</x:f>
        <x:v>0</x:v>
      </x:c>
      <x:c r="N227" s="105" t="n">
        <x:f>K227+L227+M227</x:f>
        <x:v>2304.2210763521375</x:v>
      </x:c>
      <x:c r="O227" s="105" t="n">
        <x:f>MAX(0,N227-J227)</x:f>
        <x:v>1878.1889676464136</x:v>
      </x:c>
      <x:c r="P227" s="105" t="n">
        <x:f>MAX(0,I227-O227)</x:f>
        <x:v>76773.89263956413</x:v>
      </x:c>
      <x:c r="Q227" s="106" t="n">
        <x:f>X226</x:f>
        <x:v>0</x:v>
      </x:c>
      <x:c r="R227" s="106" t="n">
        <x:f>IF(Q227&gt;0,Q227*'Your Mortgage'!$C$7/12,0)</x:f>
        <x:v>0</x:v>
      </x:c>
      <x:c r="S227" s="106" t="n">
        <x:f>IF(Q227&gt;0,MIN('Your Mortgage'!$C$11,Q227+R227),0)</x:f>
        <x:v>0</x:v>
      </x:c>
      <x:c r="T227" s="106" t="n">
        <x:f>IF(Q227&gt;0,MIN('Your Mortgage'!$I$6,MAX(0,Q227+R227-S227)),0)</x:f>
        <x:v>0</x:v>
      </x:c>
      <x:c r="U227" s="106" t="n">
        <x:f>IF(AND(A227='Your Mortgage'!$I$8,Q227&gt;0),MIN('Your Mortgage'!$I$7,MAX(0,Q227+R227-S227-T227)),0)</x:f>
        <x:v>0</x:v>
      </x:c>
      <x:c r="V227" s="106" t="n">
        <x:f>S227+T227+U227</x:f>
        <x:v>0</x:v>
      </x:c>
      <x:c r="W227" s="106" t="n">
        <x:f>MAX(0,V227-R227)</x:f>
        <x:v>0</x:v>
      </x:c>
      <x:c r="X227" s="106" t="n">
        <x:f>MAX(0,Q227-W227)</x:f>
        <x:v>0</x:v>
      </x:c>
      <x:c r="Y227" s="1"/>
      <x:c r="Z227" s="1"/>
    </x:row>
    <x:row r="228">
      <x:c r="A228" s="100" t="n">
        <x:f>A227+1</x:f>
        <x:v>223</x:v>
      </x:c>
      <x:c r="B228" s="103" t="n">
        <x:f>EDATE(B227,1)</x:f>
        <x:v>52994</x:v>
      </x:c>
      <x:c r="C228" s="104" t="n">
        <x:f>H227</x:f>
        <x:v>199289.09371305112</x:v>
      </x:c>
      <x:c r="D228" s="104" t="n">
        <x:f>IF(C228&gt;0,C228*'Your Mortgage'!$C$7/12,0)</x:f>
        <x:v>1079.4825909456936</x:v>
      </x:c>
      <x:c r="E228" s="104" t="n">
        <x:f>IF(C228&gt;0,MIN('Your Mortgage'!$C$11,C228+D228),0)</x:f>
        <x:v>2054.2210763521375</x:v>
      </x:c>
      <x:c r="F228" s="104" t="n">
        <x:f>E228</x:f>
        <x:v>2054.2210763521375</x:v>
      </x:c>
      <x:c r="G228" s="104" t="n">
        <x:f>MAX(0,F228-D228)</x:f>
        <x:v>974.7384854064439</x:v>
      </x:c>
      <x:c r="H228" s="104" t="n">
        <x:f>MAX(0,C228-G228)</x:f>
        <x:v>198314.35522764467</x:v>
      </x:c>
      <x:c r="I228" s="105" t="n">
        <x:f>P227</x:f>
        <x:v>76773.89263956413</x:v>
      </x:c>
      <x:c r="J228" s="105" t="n">
        <x:f>IF(I228&gt;0,I228*'Your Mortgage'!$C$7/12,0)</x:f>
        <x:v>415.8585851309724</x:v>
      </x:c>
      <x:c r="K228" s="105" t="n">
        <x:f>IF(I228&gt;0,MIN('Your Mortgage'!$C$11,I228+J228),0)</x:f>
        <x:v>2054.2210763521375</x:v>
      </x:c>
      <x:c r="L228" s="105" t="n">
        <x:f>IF(I228&gt;0,MIN('Your Mortgage'!$F$6,MAX(0,I228+J228-K228)),0)</x:f>
        <x:v>250</x:v>
      </x:c>
      <x:c r="M228" s="105" t="n">
        <x:f>IF(AND(A228='Your Mortgage'!$F$8,I228&gt;0),MIN('Your Mortgage'!$F$7,MAX(0,I228+J228-K228-L228)),0)</x:f>
        <x:v>0</x:v>
      </x:c>
      <x:c r="N228" s="105" t="n">
        <x:f>K228+L228+M228</x:f>
        <x:v>2304.2210763521375</x:v>
      </x:c>
      <x:c r="O228" s="105" t="n">
        <x:f>MAX(0,N228-J228)</x:f>
        <x:v>1888.362491221165</x:v>
      </x:c>
      <x:c r="P228" s="105" t="n">
        <x:f>MAX(0,I228-O228)</x:f>
        <x:v>74885.53014834296</x:v>
      </x:c>
      <x:c r="Q228" s="106" t="n">
        <x:f>X227</x:f>
        <x:v>0</x:v>
      </x:c>
      <x:c r="R228" s="106" t="n">
        <x:f>IF(Q228&gt;0,Q228*'Your Mortgage'!$C$7/12,0)</x:f>
        <x:v>0</x:v>
      </x:c>
      <x:c r="S228" s="106" t="n">
        <x:f>IF(Q228&gt;0,MIN('Your Mortgage'!$C$11,Q228+R228),0)</x:f>
        <x:v>0</x:v>
      </x:c>
      <x:c r="T228" s="106" t="n">
        <x:f>IF(Q228&gt;0,MIN('Your Mortgage'!$I$6,MAX(0,Q228+R228-S228)),0)</x:f>
        <x:v>0</x:v>
      </x:c>
      <x:c r="U228" s="106" t="n">
        <x:f>IF(AND(A228='Your Mortgage'!$I$8,Q228&gt;0),MIN('Your Mortgage'!$I$7,MAX(0,Q228+R228-S228-T228)),0)</x:f>
        <x:v>0</x:v>
      </x:c>
      <x:c r="V228" s="106" t="n">
        <x:f>S228+T228+U228</x:f>
        <x:v>0</x:v>
      </x:c>
      <x:c r="W228" s="106" t="n">
        <x:f>MAX(0,V228-R228)</x:f>
        <x:v>0</x:v>
      </x:c>
      <x:c r="X228" s="106" t="n">
        <x:f>MAX(0,Q228-W228)</x:f>
        <x:v>0</x:v>
      </x:c>
      <x:c r="Y228" s="1"/>
      <x:c r="Z228" s="1"/>
    </x:row>
    <x:row r="229">
      <x:c r="A229" s="100" t="n">
        <x:f>A228+1</x:f>
        <x:v>224</x:v>
      </x:c>
      <x:c r="B229" s="103" t="n">
        <x:f>EDATE(B228,1)</x:f>
        <x:v>53022</x:v>
      </x:c>
      <x:c r="C229" s="104" t="n">
        <x:f>H228</x:f>
        <x:v>198314.35522764467</x:v>
      </x:c>
      <x:c r="D229" s="104" t="n">
        <x:f>IF(C229&gt;0,C229*'Your Mortgage'!$C$7/12,0)</x:f>
        <x:v>1074.2027574830754</x:v>
      </x:c>
      <x:c r="E229" s="104" t="n">
        <x:f>IF(C229&gt;0,MIN('Your Mortgage'!$C$11,C229+D229),0)</x:f>
        <x:v>2054.2210763521375</x:v>
      </x:c>
      <x:c r="F229" s="104" t="n">
        <x:f>E229</x:f>
        <x:v>2054.2210763521375</x:v>
      </x:c>
      <x:c r="G229" s="104" t="n">
        <x:f>MAX(0,F229-D229)</x:f>
        <x:v>980.0183188690621</x:v>
      </x:c>
      <x:c r="H229" s="104" t="n">
        <x:f>MAX(0,C229-G229)</x:f>
        <x:v>197334.33690877561</x:v>
      </x:c>
      <x:c r="I229" s="105" t="n">
        <x:f>P228</x:f>
        <x:v>74885.53014834296</x:v>
      </x:c>
      <x:c r="J229" s="105" t="n">
        <x:f>IF(I229&gt;0,I229*'Your Mortgage'!$C$7/12,0)</x:f>
        <x:v>405.629954970191</x:v>
      </x:c>
      <x:c r="K229" s="105" t="n">
        <x:f>IF(I229&gt;0,MIN('Your Mortgage'!$C$11,I229+J229),0)</x:f>
        <x:v>2054.2210763521375</x:v>
      </x:c>
      <x:c r="L229" s="105" t="n">
        <x:f>IF(I229&gt;0,MIN('Your Mortgage'!$F$6,MAX(0,I229+J229-K229)),0)</x:f>
        <x:v>250</x:v>
      </x:c>
      <x:c r="M229" s="105" t="n">
        <x:f>IF(AND(A229='Your Mortgage'!$F$8,I229&gt;0),MIN('Your Mortgage'!$F$7,MAX(0,I229+J229-K229-L229)),0)</x:f>
        <x:v>0</x:v>
      </x:c>
      <x:c r="N229" s="105" t="n">
        <x:f>K229+L229+M229</x:f>
        <x:v>2304.2210763521375</x:v>
      </x:c>
      <x:c r="O229" s="105" t="n">
        <x:f>MAX(0,N229-J229)</x:f>
        <x:v>1898.5911213819466</x:v>
      </x:c>
      <x:c r="P229" s="105" t="n">
        <x:f>MAX(0,I229-O229)</x:f>
        <x:v>72986.93902696102</x:v>
      </x:c>
      <x:c r="Q229" s="106" t="n">
        <x:f>X228</x:f>
        <x:v>0</x:v>
      </x:c>
      <x:c r="R229" s="106" t="n">
        <x:f>IF(Q229&gt;0,Q229*'Your Mortgage'!$C$7/12,0)</x:f>
        <x:v>0</x:v>
      </x:c>
      <x:c r="S229" s="106" t="n">
        <x:f>IF(Q229&gt;0,MIN('Your Mortgage'!$C$11,Q229+R229),0)</x:f>
        <x:v>0</x:v>
      </x:c>
      <x:c r="T229" s="106" t="n">
        <x:f>IF(Q229&gt;0,MIN('Your Mortgage'!$I$6,MAX(0,Q229+R229-S229)),0)</x:f>
        <x:v>0</x:v>
      </x:c>
      <x:c r="U229" s="106" t="n">
        <x:f>IF(AND(A229='Your Mortgage'!$I$8,Q229&gt;0),MIN('Your Mortgage'!$I$7,MAX(0,Q229+R229-S229-T229)),0)</x:f>
        <x:v>0</x:v>
      </x:c>
      <x:c r="V229" s="106" t="n">
        <x:f>S229+T229+U229</x:f>
        <x:v>0</x:v>
      </x:c>
      <x:c r="W229" s="106" t="n">
        <x:f>MAX(0,V229-R229)</x:f>
        <x:v>0</x:v>
      </x:c>
      <x:c r="X229" s="106" t="n">
        <x:f>MAX(0,Q229-W229)</x:f>
        <x:v>0</x:v>
      </x:c>
      <x:c r="Y229" s="1"/>
      <x:c r="Z229" s="1"/>
    </x:row>
    <x:row r="230">
      <x:c r="A230" s="100" t="n">
        <x:f>A229+1</x:f>
        <x:v>225</x:v>
      </x:c>
      <x:c r="B230" s="103" t="n">
        <x:f>EDATE(B229,1)</x:f>
        <x:v>53053</x:v>
      </x:c>
      <x:c r="C230" s="104" t="n">
        <x:f>H229</x:f>
        <x:v>197334.33690877561</x:v>
      </x:c>
      <x:c r="D230" s="104" t="n">
        <x:f>IF(C230&gt;0,C230*'Your Mortgage'!$C$7/12,0)</x:f>
        <x:v>1068.8943249225347</x:v>
      </x:c>
      <x:c r="E230" s="104" t="n">
        <x:f>IF(C230&gt;0,MIN('Your Mortgage'!$C$11,C230+D230),0)</x:f>
        <x:v>2054.2210763521375</x:v>
      </x:c>
      <x:c r="F230" s="104" t="n">
        <x:f>E230</x:f>
        <x:v>2054.2210763521375</x:v>
      </x:c>
      <x:c r="G230" s="104" t="n">
        <x:f>MAX(0,F230-D230)</x:f>
        <x:v>985.3267514296028</x:v>
      </x:c>
      <x:c r="H230" s="104" t="n">
        <x:f>MAX(0,C230-G230)</x:f>
        <x:v>196349.010157346</x:v>
      </x:c>
      <x:c r="I230" s="105" t="n">
        <x:f>P229</x:f>
        <x:v>72986.93902696102</x:v>
      </x:c>
      <x:c r="J230" s="105" t="n">
        <x:f>IF(I230&gt;0,I230*'Your Mortgage'!$C$7/12,0)</x:f>
        <x:v>395.34591972937216</x:v>
      </x:c>
      <x:c r="K230" s="105" t="n">
        <x:f>IF(I230&gt;0,MIN('Your Mortgage'!$C$11,I230+J230),0)</x:f>
        <x:v>2054.2210763521375</x:v>
      </x:c>
      <x:c r="L230" s="105" t="n">
        <x:f>IF(I230&gt;0,MIN('Your Mortgage'!$F$6,MAX(0,I230+J230-K230)),0)</x:f>
        <x:v>250</x:v>
      </x:c>
      <x:c r="M230" s="105" t="n">
        <x:f>IF(AND(A230='Your Mortgage'!$F$8,I230&gt;0),MIN('Your Mortgage'!$F$7,MAX(0,I230+J230-K230-L230)),0)</x:f>
        <x:v>0</x:v>
      </x:c>
      <x:c r="N230" s="105" t="n">
        <x:f>K230+L230+M230</x:f>
        <x:v>2304.2210763521375</x:v>
      </x:c>
      <x:c r="O230" s="105" t="n">
        <x:f>MAX(0,N230-J230)</x:f>
        <x:v>1908.8751566227654</x:v>
      </x:c>
      <x:c r="P230" s="105" t="n">
        <x:f>MAX(0,I230-O230)</x:f>
        <x:v>71078.06387033826</x:v>
      </x:c>
      <x:c r="Q230" s="106" t="n">
        <x:f>X229</x:f>
        <x:v>0</x:v>
      </x:c>
      <x:c r="R230" s="106" t="n">
        <x:f>IF(Q230&gt;0,Q230*'Your Mortgage'!$C$7/12,0)</x:f>
        <x:v>0</x:v>
      </x:c>
      <x:c r="S230" s="106" t="n">
        <x:f>IF(Q230&gt;0,MIN('Your Mortgage'!$C$11,Q230+R230),0)</x:f>
        <x:v>0</x:v>
      </x:c>
      <x:c r="T230" s="106" t="n">
        <x:f>IF(Q230&gt;0,MIN('Your Mortgage'!$I$6,MAX(0,Q230+R230-S230)),0)</x:f>
        <x:v>0</x:v>
      </x:c>
      <x:c r="U230" s="106" t="n">
        <x:f>IF(AND(A230='Your Mortgage'!$I$8,Q230&gt;0),MIN('Your Mortgage'!$I$7,MAX(0,Q230+R230-S230-T230)),0)</x:f>
        <x:v>0</x:v>
      </x:c>
      <x:c r="V230" s="106" t="n">
        <x:f>S230+T230+U230</x:f>
        <x:v>0</x:v>
      </x:c>
      <x:c r="W230" s="106" t="n">
        <x:f>MAX(0,V230-R230)</x:f>
        <x:v>0</x:v>
      </x:c>
      <x:c r="X230" s="106" t="n">
        <x:f>MAX(0,Q230-W230)</x:f>
        <x:v>0</x:v>
      </x:c>
      <x:c r="Y230" s="1"/>
      <x:c r="Z230" s="1"/>
    </x:row>
    <x:row r="231">
      <x:c r="A231" s="100" t="n">
        <x:f>A230+1</x:f>
        <x:v>226</x:v>
      </x:c>
      <x:c r="B231" s="103" t="n">
        <x:f>EDATE(B230,1)</x:f>
        <x:v>53083</x:v>
      </x:c>
      <x:c r="C231" s="104" t="n">
        <x:f>H230</x:f>
        <x:v>196349.010157346</x:v>
      </x:c>
      <x:c r="D231" s="104" t="n">
        <x:f>IF(C231&gt;0,C231*'Your Mortgage'!$C$7/12,0)</x:f>
        <x:v>1063.5571383522908</x:v>
      </x:c>
      <x:c r="E231" s="104" t="n">
        <x:f>IF(C231&gt;0,MIN('Your Mortgage'!$C$11,C231+D231),0)</x:f>
        <x:v>2054.2210763521375</x:v>
      </x:c>
      <x:c r="F231" s="104" t="n">
        <x:f>E231</x:f>
        <x:v>2054.2210763521375</x:v>
      </x:c>
      <x:c r="G231" s="104" t="n">
        <x:f>MAX(0,F231-D231)</x:f>
        <x:v>990.6639379998467</x:v>
      </x:c>
      <x:c r="H231" s="104" t="n">
        <x:f>MAX(0,C231-G231)</x:f>
        <x:v>195358.34621934616</x:v>
      </x:c>
      <x:c r="I231" s="105" t="n">
        <x:f>P230</x:f>
        <x:v>71078.06387033826</x:v>
      </x:c>
      <x:c r="J231" s="105" t="n">
        <x:f>IF(I231&gt;0,I231*'Your Mortgage'!$C$7/12,0)</x:f>
        <x:v>385.00617929766554</x:v>
      </x:c>
      <x:c r="K231" s="105" t="n">
        <x:f>IF(I231&gt;0,MIN('Your Mortgage'!$C$11,I231+J231),0)</x:f>
        <x:v>2054.2210763521375</x:v>
      </x:c>
      <x:c r="L231" s="105" t="n">
        <x:f>IF(I231&gt;0,MIN('Your Mortgage'!$F$6,MAX(0,I231+J231-K231)),0)</x:f>
        <x:v>250</x:v>
      </x:c>
      <x:c r="M231" s="105" t="n">
        <x:f>IF(AND(A231='Your Mortgage'!$F$8,I231&gt;0),MIN('Your Mortgage'!$F$7,MAX(0,I231+J231-K231-L231)),0)</x:f>
        <x:v>0</x:v>
      </x:c>
      <x:c r="N231" s="105" t="n">
        <x:f>K231+L231+M231</x:f>
        <x:v>2304.2210763521375</x:v>
      </x:c>
      <x:c r="O231" s="105" t="n">
        <x:f>MAX(0,N231-J231)</x:f>
        <x:v>1919.214897054472</x:v>
      </x:c>
      <x:c r="P231" s="105" t="n">
        <x:f>MAX(0,I231-O231)</x:f>
        <x:v>69158.84897328379</x:v>
      </x:c>
      <x:c r="Q231" s="106" t="n">
        <x:f>X230</x:f>
        <x:v>0</x:v>
      </x:c>
      <x:c r="R231" s="106" t="n">
        <x:f>IF(Q231&gt;0,Q231*'Your Mortgage'!$C$7/12,0)</x:f>
        <x:v>0</x:v>
      </x:c>
      <x:c r="S231" s="106" t="n">
        <x:f>IF(Q231&gt;0,MIN('Your Mortgage'!$C$11,Q231+R231),0)</x:f>
        <x:v>0</x:v>
      </x:c>
      <x:c r="T231" s="106" t="n">
        <x:f>IF(Q231&gt;0,MIN('Your Mortgage'!$I$6,MAX(0,Q231+R231-S231)),0)</x:f>
        <x:v>0</x:v>
      </x:c>
      <x:c r="U231" s="106" t="n">
        <x:f>IF(AND(A231='Your Mortgage'!$I$8,Q231&gt;0),MIN('Your Mortgage'!$I$7,MAX(0,Q231+R231-S231-T231)),0)</x:f>
        <x:v>0</x:v>
      </x:c>
      <x:c r="V231" s="106" t="n">
        <x:f>S231+T231+U231</x:f>
        <x:v>0</x:v>
      </x:c>
      <x:c r="W231" s="106" t="n">
        <x:f>MAX(0,V231-R231)</x:f>
        <x:v>0</x:v>
      </x:c>
      <x:c r="X231" s="106" t="n">
        <x:f>MAX(0,Q231-W231)</x:f>
        <x:v>0</x:v>
      </x:c>
      <x:c r="Y231" s="1"/>
      <x:c r="Z231" s="1"/>
    </x:row>
    <x:row r="232">
      <x:c r="A232" s="100" t="n">
        <x:f>A231+1</x:f>
        <x:v>227</x:v>
      </x:c>
      <x:c r="B232" s="103" t="n">
        <x:f>EDATE(B231,1)</x:f>
        <x:v>53114</x:v>
      </x:c>
      <x:c r="C232" s="104" t="n">
        <x:f>H231</x:f>
        <x:v>195358.34621934616</x:v>
      </x:c>
      <x:c r="D232" s="104" t="n">
        <x:f>IF(C232&gt;0,C232*'Your Mortgage'!$C$7/12,0)</x:f>
        <x:v>1058.1910420214583</x:v>
      </x:c>
      <x:c r="E232" s="104" t="n">
        <x:f>IF(C232&gt;0,MIN('Your Mortgage'!$C$11,C232+D232),0)</x:f>
        <x:v>2054.2210763521375</x:v>
      </x:c>
      <x:c r="F232" s="104" t="n">
        <x:f>E232</x:f>
        <x:v>2054.2210763521375</x:v>
      </x:c>
      <x:c r="G232" s="104" t="n">
        <x:f>MAX(0,F232-D232)</x:f>
        <x:v>996.0300343306792</x:v>
      </x:c>
      <x:c r="H232" s="104" t="n">
        <x:f>MAX(0,C232-G232)</x:f>
        <x:v>194362.3161850155</x:v>
      </x:c>
      <x:c r="I232" s="105" t="n">
        <x:f>P231</x:f>
        <x:v>69158.84897328379</x:v>
      </x:c>
      <x:c r="J232" s="105" t="n">
        <x:f>IF(I232&gt;0,I232*'Your Mortgage'!$C$7/12,0)</x:f>
        <x:v>374.6104319386206</x:v>
      </x:c>
      <x:c r="K232" s="105" t="n">
        <x:f>IF(I232&gt;0,MIN('Your Mortgage'!$C$11,I232+J232),0)</x:f>
        <x:v>2054.2210763521375</x:v>
      </x:c>
      <x:c r="L232" s="105" t="n">
        <x:f>IF(I232&gt;0,MIN('Your Mortgage'!$F$6,MAX(0,I232+J232-K232)),0)</x:f>
        <x:v>250</x:v>
      </x:c>
      <x:c r="M232" s="105" t="n">
        <x:f>IF(AND(A232='Your Mortgage'!$F$8,I232&gt;0),MIN('Your Mortgage'!$F$7,MAX(0,I232+J232-K232-L232)),0)</x:f>
        <x:v>0</x:v>
      </x:c>
      <x:c r="N232" s="105" t="n">
        <x:f>K232+L232+M232</x:f>
        <x:v>2304.2210763521375</x:v>
      </x:c>
      <x:c r="O232" s="105" t="n">
        <x:f>MAX(0,N232-J232)</x:f>
        <x:v>1929.6106444135169</x:v>
      </x:c>
      <x:c r="P232" s="105" t="n">
        <x:f>MAX(0,I232-O232)</x:f>
        <x:v>67229.23832887027</x:v>
      </x:c>
      <x:c r="Q232" s="106" t="n">
        <x:f>X231</x:f>
        <x:v>0</x:v>
      </x:c>
      <x:c r="R232" s="106" t="n">
        <x:f>IF(Q232&gt;0,Q232*'Your Mortgage'!$C$7/12,0)</x:f>
        <x:v>0</x:v>
      </x:c>
      <x:c r="S232" s="106" t="n">
        <x:f>IF(Q232&gt;0,MIN('Your Mortgage'!$C$11,Q232+R232),0)</x:f>
        <x:v>0</x:v>
      </x:c>
      <x:c r="T232" s="106" t="n">
        <x:f>IF(Q232&gt;0,MIN('Your Mortgage'!$I$6,MAX(0,Q232+R232-S232)),0)</x:f>
        <x:v>0</x:v>
      </x:c>
      <x:c r="U232" s="106" t="n">
        <x:f>IF(AND(A232='Your Mortgage'!$I$8,Q232&gt;0),MIN('Your Mortgage'!$I$7,MAX(0,Q232+R232-S232-T232)),0)</x:f>
        <x:v>0</x:v>
      </x:c>
      <x:c r="V232" s="106" t="n">
        <x:f>S232+T232+U232</x:f>
        <x:v>0</x:v>
      </x:c>
      <x:c r="W232" s="106" t="n">
        <x:f>MAX(0,V232-R232)</x:f>
        <x:v>0</x:v>
      </x:c>
      <x:c r="X232" s="106" t="n">
        <x:f>MAX(0,Q232-W232)</x:f>
        <x:v>0</x:v>
      </x:c>
      <x:c r="Y232" s="1"/>
      <x:c r="Z232" s="1"/>
    </x:row>
    <x:row r="233">
      <x:c r="A233" s="100" t="n">
        <x:f>A232+1</x:f>
        <x:v>228</x:v>
      </x:c>
      <x:c r="B233" s="103" t="n">
        <x:f>EDATE(B232,1)</x:f>
        <x:v>53144</x:v>
      </x:c>
      <x:c r="C233" s="104" t="n">
        <x:f>H232</x:f>
        <x:v>194362.3161850155</x:v>
      </x:c>
      <x:c r="D233" s="104" t="n">
        <x:f>IF(C233&gt;0,C233*'Your Mortgage'!$C$7/12,0)</x:f>
        <x:v>1052.7958793355006</x:v>
      </x:c>
      <x:c r="E233" s="104" t="n">
        <x:f>IF(C233&gt;0,MIN('Your Mortgage'!$C$11,C233+D233),0)</x:f>
        <x:v>2054.2210763521375</x:v>
      </x:c>
      <x:c r="F233" s="104" t="n">
        <x:f>E233</x:f>
        <x:v>2054.2210763521375</x:v>
      </x:c>
      <x:c r="G233" s="104" t="n">
        <x:f>MAX(0,F233-D233)</x:f>
        <x:v>1001.425197016637</x:v>
      </x:c>
      <x:c r="H233" s="104" t="n">
        <x:f>MAX(0,C233-G233)</x:f>
        <x:v>193360.89098799886</x:v>
      </x:c>
      <x:c r="I233" s="105" t="n">
        <x:f>P232</x:f>
        <x:v>67229.23832887027</x:v>
      </x:c>
      <x:c r="J233" s="105" t="n">
        <x:f>IF(I233&gt;0,I233*'Your Mortgage'!$C$7/12,0)</x:f>
        <x:v>364.15837428138065</x:v>
      </x:c>
      <x:c r="K233" s="105" t="n">
        <x:f>IF(I233&gt;0,MIN('Your Mortgage'!$C$11,I233+J233),0)</x:f>
        <x:v>2054.2210763521375</x:v>
      </x:c>
      <x:c r="L233" s="105" t="n">
        <x:f>IF(I233&gt;0,MIN('Your Mortgage'!$F$6,MAX(0,I233+J233-K233)),0)</x:f>
        <x:v>250</x:v>
      </x:c>
      <x:c r="M233" s="105" t="n">
        <x:f>IF(AND(A233='Your Mortgage'!$F$8,I233&gt;0),MIN('Your Mortgage'!$F$7,MAX(0,I233+J233-K233-L233)),0)</x:f>
        <x:v>0</x:v>
      </x:c>
      <x:c r="N233" s="105" t="n">
        <x:f>K233+L233+M233</x:f>
        <x:v>2304.2210763521375</x:v>
      </x:c>
      <x:c r="O233" s="105" t="n">
        <x:f>MAX(0,N233-J233)</x:f>
        <x:v>1940.0627020707568</x:v>
      </x:c>
      <x:c r="P233" s="105" t="n">
        <x:f>MAX(0,I233-O233)</x:f>
        <x:v>65289.175626799515</x:v>
      </x:c>
      <x:c r="Q233" s="106" t="n">
        <x:f>X232</x:f>
        <x:v>0</x:v>
      </x:c>
      <x:c r="R233" s="106" t="n">
        <x:f>IF(Q233&gt;0,Q233*'Your Mortgage'!$C$7/12,0)</x:f>
        <x:v>0</x:v>
      </x:c>
      <x:c r="S233" s="106" t="n">
        <x:f>IF(Q233&gt;0,MIN('Your Mortgage'!$C$11,Q233+R233),0)</x:f>
        <x:v>0</x:v>
      </x:c>
      <x:c r="T233" s="106" t="n">
        <x:f>IF(Q233&gt;0,MIN('Your Mortgage'!$I$6,MAX(0,Q233+R233-S233)),0)</x:f>
        <x:v>0</x:v>
      </x:c>
      <x:c r="U233" s="106" t="n">
        <x:f>IF(AND(A233='Your Mortgage'!$I$8,Q233&gt;0),MIN('Your Mortgage'!$I$7,MAX(0,Q233+R233-S233-T233)),0)</x:f>
        <x:v>0</x:v>
      </x:c>
      <x:c r="V233" s="106" t="n">
        <x:f>S233+T233+U233</x:f>
        <x:v>0</x:v>
      </x:c>
      <x:c r="W233" s="106" t="n">
        <x:f>MAX(0,V233-R233)</x:f>
        <x:v>0</x:v>
      </x:c>
      <x:c r="X233" s="106" t="n">
        <x:f>MAX(0,Q233-W233)</x:f>
        <x:v>0</x:v>
      </x:c>
      <x:c r="Y233" s="1"/>
      <x:c r="Z233" s="1"/>
    </x:row>
    <x:row r="234">
      <x:c r="A234" s="100" t="n">
        <x:f>A233+1</x:f>
        <x:v>229</x:v>
      </x:c>
      <x:c r="B234" s="103" t="n">
        <x:f>EDATE(B233,1)</x:f>
        <x:v>53175</x:v>
      </x:c>
      <x:c r="C234" s="104" t="n">
        <x:f>H233</x:f>
        <x:v>193360.89098799886</x:v>
      </x:c>
      <x:c r="D234" s="104" t="n">
        <x:f>IF(C234&gt;0,C234*'Your Mortgage'!$C$7/12,0)</x:f>
        <x:v>1047.3714928516606</x:v>
      </x:c>
      <x:c r="E234" s="104" t="n">
        <x:f>IF(C234&gt;0,MIN('Your Mortgage'!$C$11,C234+D234),0)</x:f>
        <x:v>2054.2210763521375</x:v>
      </x:c>
      <x:c r="F234" s="104" t="n">
        <x:f>E234</x:f>
        <x:v>2054.2210763521375</x:v>
      </x:c>
      <x:c r="G234" s="104" t="n">
        <x:f>MAX(0,F234-D234)</x:f>
        <x:v>1006.8495835004769</x:v>
      </x:c>
      <x:c r="H234" s="104" t="n">
        <x:f>MAX(0,C234-G234)</x:f>
        <x:v>192354.0414044984</x:v>
      </x:c>
      <x:c r="I234" s="105" t="n">
        <x:f>P233</x:f>
        <x:v>65289.175626799515</x:v>
      </x:c>
      <x:c r="J234" s="105" t="n">
        <x:f>IF(I234&gt;0,I234*'Your Mortgage'!$C$7/12,0)</x:f>
        <x:v>353.6497013118307</x:v>
      </x:c>
      <x:c r="K234" s="105" t="n">
        <x:f>IF(I234&gt;0,MIN('Your Mortgage'!$C$11,I234+J234),0)</x:f>
        <x:v>2054.2210763521375</x:v>
      </x:c>
      <x:c r="L234" s="105" t="n">
        <x:f>IF(I234&gt;0,MIN('Your Mortgage'!$F$6,MAX(0,I234+J234-K234)),0)</x:f>
        <x:v>250</x:v>
      </x:c>
      <x:c r="M234" s="105" t="n">
        <x:f>IF(AND(A234='Your Mortgage'!$F$8,I234&gt;0),MIN('Your Mortgage'!$F$7,MAX(0,I234+J234-K234-L234)),0)</x:f>
        <x:v>0</x:v>
      </x:c>
      <x:c r="N234" s="105" t="n">
        <x:f>K234+L234+M234</x:f>
        <x:v>2304.2210763521375</x:v>
      </x:c>
      <x:c r="O234" s="105" t="n">
        <x:f>MAX(0,N234-J234)</x:f>
        <x:v>1950.5713750403067</x:v>
      </x:c>
      <x:c r="P234" s="105" t="n">
        <x:f>MAX(0,I234-O234)</x:f>
        <x:v>63338.60425175921</x:v>
      </x:c>
      <x:c r="Q234" s="106" t="n">
        <x:f>X233</x:f>
        <x:v>0</x:v>
      </x:c>
      <x:c r="R234" s="106" t="n">
        <x:f>IF(Q234&gt;0,Q234*'Your Mortgage'!$C$7/12,0)</x:f>
        <x:v>0</x:v>
      </x:c>
      <x:c r="S234" s="106" t="n">
        <x:f>IF(Q234&gt;0,MIN('Your Mortgage'!$C$11,Q234+R234),0)</x:f>
        <x:v>0</x:v>
      </x:c>
      <x:c r="T234" s="106" t="n">
        <x:f>IF(Q234&gt;0,MIN('Your Mortgage'!$I$6,MAX(0,Q234+R234-S234)),0)</x:f>
        <x:v>0</x:v>
      </x:c>
      <x:c r="U234" s="106" t="n">
        <x:f>IF(AND(A234='Your Mortgage'!$I$8,Q234&gt;0),MIN('Your Mortgage'!$I$7,MAX(0,Q234+R234-S234-T234)),0)</x:f>
        <x:v>0</x:v>
      </x:c>
      <x:c r="V234" s="106" t="n">
        <x:f>S234+T234+U234</x:f>
        <x:v>0</x:v>
      </x:c>
      <x:c r="W234" s="106" t="n">
        <x:f>MAX(0,V234-R234)</x:f>
        <x:v>0</x:v>
      </x:c>
      <x:c r="X234" s="106" t="n">
        <x:f>MAX(0,Q234-W234)</x:f>
        <x:v>0</x:v>
      </x:c>
      <x:c r="Y234" s="1"/>
      <x:c r="Z234" s="1"/>
    </x:row>
    <x:row r="235">
      <x:c r="A235" s="100" t="n">
        <x:f>A234+1</x:f>
        <x:v>230</x:v>
      </x:c>
      <x:c r="B235" s="103" t="n">
        <x:f>EDATE(B234,1)</x:f>
        <x:v>53206</x:v>
      </x:c>
      <x:c r="C235" s="104" t="n">
        <x:f>H234</x:f>
        <x:v>192354.0414044984</x:v>
      </x:c>
      <x:c r="D235" s="104" t="n">
        <x:f>IF(C235&gt;0,C235*'Your Mortgage'!$C$7/12,0)</x:f>
        <x:v>1041.9177242743663</x:v>
      </x:c>
      <x:c r="E235" s="104" t="n">
        <x:f>IF(C235&gt;0,MIN('Your Mortgage'!$C$11,C235+D235),0)</x:f>
        <x:v>2054.2210763521375</x:v>
      </x:c>
      <x:c r="F235" s="104" t="n">
        <x:f>E235</x:f>
        <x:v>2054.2210763521375</x:v>
      </x:c>
      <x:c r="G235" s="104" t="n">
        <x:f>MAX(0,F235-D235)</x:f>
        <x:v>1012.3033520777713</x:v>
      </x:c>
      <x:c r="H235" s="104" t="n">
        <x:f>MAX(0,C235-G235)</x:f>
        <x:v>191341.7380524206</x:v>
      </x:c>
      <x:c r="I235" s="105" t="n">
        <x:f>P234</x:f>
        <x:v>63338.60425175921</x:v>
      </x:c>
      <x:c r="J235" s="105" t="n">
        <x:f>IF(I235&gt;0,I235*'Your Mortgage'!$C$7/12,0)</x:f>
        <x:v>343.08410636369575</x:v>
      </x:c>
      <x:c r="K235" s="105" t="n">
        <x:f>IF(I235&gt;0,MIN('Your Mortgage'!$C$11,I235+J235),0)</x:f>
        <x:v>2054.2210763521375</x:v>
      </x:c>
      <x:c r="L235" s="105" t="n">
        <x:f>IF(I235&gt;0,MIN('Your Mortgage'!$F$6,MAX(0,I235+J235-K235)),0)</x:f>
        <x:v>250</x:v>
      </x:c>
      <x:c r="M235" s="105" t="n">
        <x:f>IF(AND(A235='Your Mortgage'!$F$8,I235&gt;0),MIN('Your Mortgage'!$F$7,MAX(0,I235+J235-K235-L235)),0)</x:f>
        <x:v>0</x:v>
      </x:c>
      <x:c r="N235" s="105" t="n">
        <x:f>K235+L235+M235</x:f>
        <x:v>2304.2210763521375</x:v>
      </x:c>
      <x:c r="O235" s="105" t="n">
        <x:f>MAX(0,N235-J235)</x:f>
        <x:v>1961.1369699884417</x:v>
      </x:c>
      <x:c r="P235" s="105" t="n">
        <x:f>MAX(0,I235-O235)</x:f>
        <x:v>61377.46728177076</x:v>
      </x:c>
      <x:c r="Q235" s="106" t="n">
        <x:f>X234</x:f>
        <x:v>0</x:v>
      </x:c>
      <x:c r="R235" s="106" t="n">
        <x:f>IF(Q235&gt;0,Q235*'Your Mortgage'!$C$7/12,0)</x:f>
        <x:v>0</x:v>
      </x:c>
      <x:c r="S235" s="106" t="n">
        <x:f>IF(Q235&gt;0,MIN('Your Mortgage'!$C$11,Q235+R235),0)</x:f>
        <x:v>0</x:v>
      </x:c>
      <x:c r="T235" s="106" t="n">
        <x:f>IF(Q235&gt;0,MIN('Your Mortgage'!$I$6,MAX(0,Q235+R235-S235)),0)</x:f>
        <x:v>0</x:v>
      </x:c>
      <x:c r="U235" s="106" t="n">
        <x:f>IF(AND(A235='Your Mortgage'!$I$8,Q235&gt;0),MIN('Your Mortgage'!$I$7,MAX(0,Q235+R235-S235-T235)),0)</x:f>
        <x:v>0</x:v>
      </x:c>
      <x:c r="V235" s="106" t="n">
        <x:f>S235+T235+U235</x:f>
        <x:v>0</x:v>
      </x:c>
      <x:c r="W235" s="106" t="n">
        <x:f>MAX(0,V235-R235)</x:f>
        <x:v>0</x:v>
      </x:c>
      <x:c r="X235" s="106" t="n">
        <x:f>MAX(0,Q235-W235)</x:f>
        <x:v>0</x:v>
      </x:c>
      <x:c r="Y235" s="1"/>
      <x:c r="Z235" s="1"/>
    </x:row>
    <x:row r="236">
      <x:c r="A236" s="100" t="n">
        <x:f>A235+1</x:f>
        <x:v>231</x:v>
      </x:c>
      <x:c r="B236" s="103" t="n">
        <x:f>EDATE(B235,1)</x:f>
        <x:v>53236</x:v>
      </x:c>
      <x:c r="C236" s="104" t="n">
        <x:f>H235</x:f>
        <x:v>191341.7380524206</x:v>
      </x:c>
      <x:c r="D236" s="104" t="n">
        <x:f>IF(C236&gt;0,C236*'Your Mortgage'!$C$7/12,0)</x:f>
        <x:v>1036.4344144506117</x:v>
      </x:c>
      <x:c r="E236" s="104" t="n">
        <x:f>IF(C236&gt;0,MIN('Your Mortgage'!$C$11,C236+D236),0)</x:f>
        <x:v>2054.2210763521375</x:v>
      </x:c>
      <x:c r="F236" s="104" t="n">
        <x:f>E236</x:f>
        <x:v>2054.2210763521375</x:v>
      </x:c>
      <x:c r="G236" s="104" t="n">
        <x:f>MAX(0,F236-D236)</x:f>
        <x:v>1017.7866619015258</x:v>
      </x:c>
      <x:c r="H236" s="104" t="n">
        <x:f>MAX(0,C236-G236)</x:f>
        <x:v>190323.9513905191</x:v>
      </x:c>
      <x:c r="I236" s="105" t="n">
        <x:f>P235</x:f>
        <x:v>61377.46728177076</x:v>
      </x:c>
      <x:c r="J236" s="105" t="n">
        <x:f>IF(I236&gt;0,I236*'Your Mortgage'!$C$7/12,0)</x:f>
        <x:v>332.46128110959165</x:v>
      </x:c>
      <x:c r="K236" s="105" t="n">
        <x:f>IF(I236&gt;0,MIN('Your Mortgage'!$C$11,I236+J236),0)</x:f>
        <x:v>2054.2210763521375</x:v>
      </x:c>
      <x:c r="L236" s="105" t="n">
        <x:f>IF(I236&gt;0,MIN('Your Mortgage'!$F$6,MAX(0,I236+J236-K236)),0)</x:f>
        <x:v>250</x:v>
      </x:c>
      <x:c r="M236" s="105" t="n">
        <x:f>IF(AND(A236='Your Mortgage'!$F$8,I236&gt;0),MIN('Your Mortgage'!$F$7,MAX(0,I236+J236-K236-L236)),0)</x:f>
        <x:v>0</x:v>
      </x:c>
      <x:c r="N236" s="105" t="n">
        <x:f>K236+L236+M236</x:f>
        <x:v>2304.2210763521375</x:v>
      </x:c>
      <x:c r="O236" s="105" t="n">
        <x:f>MAX(0,N236-J236)</x:f>
        <x:v>1971.7597952425458</x:v>
      </x:c>
      <x:c r="P236" s="105" t="n">
        <x:f>MAX(0,I236-O236)</x:f>
        <x:v>59405.70748652822</x:v>
      </x:c>
      <x:c r="Q236" s="106" t="n">
        <x:f>X235</x:f>
        <x:v>0</x:v>
      </x:c>
      <x:c r="R236" s="106" t="n">
        <x:f>IF(Q236&gt;0,Q236*'Your Mortgage'!$C$7/12,0)</x:f>
        <x:v>0</x:v>
      </x:c>
      <x:c r="S236" s="106" t="n">
        <x:f>IF(Q236&gt;0,MIN('Your Mortgage'!$C$11,Q236+R236),0)</x:f>
        <x:v>0</x:v>
      </x:c>
      <x:c r="T236" s="106" t="n">
        <x:f>IF(Q236&gt;0,MIN('Your Mortgage'!$I$6,MAX(0,Q236+R236-S236)),0)</x:f>
        <x:v>0</x:v>
      </x:c>
      <x:c r="U236" s="106" t="n">
        <x:f>IF(AND(A236='Your Mortgage'!$I$8,Q236&gt;0),MIN('Your Mortgage'!$I$7,MAX(0,Q236+R236-S236-T236)),0)</x:f>
        <x:v>0</x:v>
      </x:c>
      <x:c r="V236" s="106" t="n">
        <x:f>S236+T236+U236</x:f>
        <x:v>0</x:v>
      </x:c>
      <x:c r="W236" s="106" t="n">
        <x:f>MAX(0,V236-R236)</x:f>
        <x:v>0</x:v>
      </x:c>
      <x:c r="X236" s="106" t="n">
        <x:f>MAX(0,Q236-W236)</x:f>
        <x:v>0</x:v>
      </x:c>
      <x:c r="Y236" s="1"/>
      <x:c r="Z236" s="1"/>
    </x:row>
    <x:row r="237">
      <x:c r="A237" s="100" t="n">
        <x:f>A236+1</x:f>
        <x:v>232</x:v>
      </x:c>
      <x:c r="B237" s="103" t="n">
        <x:f>EDATE(B236,1)</x:f>
        <x:v>53267</x:v>
      </x:c>
      <x:c r="C237" s="104" t="n">
        <x:f>H236</x:f>
        <x:v>190323.9513905191</x:v>
      </x:c>
      <x:c r="D237" s="104" t="n">
        <x:f>IF(C237&gt;0,C237*'Your Mortgage'!$C$7/12,0)</x:f>
        <x:v>1030.9214033653118</x:v>
      </x:c>
      <x:c r="E237" s="104" t="n">
        <x:f>IF(C237&gt;0,MIN('Your Mortgage'!$C$11,C237+D237),0)</x:f>
        <x:v>2054.2210763521375</x:v>
      </x:c>
      <x:c r="F237" s="104" t="n">
        <x:f>E237</x:f>
        <x:v>2054.2210763521375</x:v>
      </x:c>
      <x:c r="G237" s="104" t="n">
        <x:f>MAX(0,F237-D237)</x:f>
        <x:v>1023.2996729868257</x:v>
      </x:c>
      <x:c r="H237" s="104" t="n">
        <x:f>MAX(0,C237-G237)</x:f>
        <x:v>189300.65171753228</x:v>
      </x:c>
      <x:c r="I237" s="105" t="n">
        <x:f>P236</x:f>
        <x:v>59405.70748652822</x:v>
      </x:c>
      <x:c r="J237" s="105" t="n">
        <x:f>IF(I237&gt;0,I237*'Your Mortgage'!$C$7/12,0)</x:f>
        <x:v>321.78091555202786</x:v>
      </x:c>
      <x:c r="K237" s="105" t="n">
        <x:f>IF(I237&gt;0,MIN('Your Mortgage'!$C$11,I237+J237),0)</x:f>
        <x:v>2054.2210763521375</x:v>
      </x:c>
      <x:c r="L237" s="105" t="n">
        <x:f>IF(I237&gt;0,MIN('Your Mortgage'!$F$6,MAX(0,I237+J237-K237)),0)</x:f>
        <x:v>250</x:v>
      </x:c>
      <x:c r="M237" s="105" t="n">
        <x:f>IF(AND(A237='Your Mortgage'!$F$8,I237&gt;0),MIN('Your Mortgage'!$F$7,MAX(0,I237+J237-K237-L237)),0)</x:f>
        <x:v>0</x:v>
      </x:c>
      <x:c r="N237" s="105" t="n">
        <x:f>K237+L237+M237</x:f>
        <x:v>2304.2210763521375</x:v>
      </x:c>
      <x:c r="O237" s="105" t="n">
        <x:f>MAX(0,N237-J237)</x:f>
        <x:v>1982.4401608001097</x:v>
      </x:c>
      <x:c r="P237" s="105" t="n">
        <x:f>MAX(0,I237-O237)</x:f>
        <x:v>57423.26732572811</x:v>
      </x:c>
      <x:c r="Q237" s="106" t="n">
        <x:f>X236</x:f>
        <x:v>0</x:v>
      </x:c>
      <x:c r="R237" s="106" t="n">
        <x:f>IF(Q237&gt;0,Q237*'Your Mortgage'!$C$7/12,0)</x:f>
        <x:v>0</x:v>
      </x:c>
      <x:c r="S237" s="106" t="n">
        <x:f>IF(Q237&gt;0,MIN('Your Mortgage'!$C$11,Q237+R237),0)</x:f>
        <x:v>0</x:v>
      </x:c>
      <x:c r="T237" s="106" t="n">
        <x:f>IF(Q237&gt;0,MIN('Your Mortgage'!$I$6,MAX(0,Q237+R237-S237)),0)</x:f>
        <x:v>0</x:v>
      </x:c>
      <x:c r="U237" s="106" t="n">
        <x:f>IF(AND(A237='Your Mortgage'!$I$8,Q237&gt;0),MIN('Your Mortgage'!$I$7,MAX(0,Q237+R237-S237-T237)),0)</x:f>
        <x:v>0</x:v>
      </x:c>
      <x:c r="V237" s="106" t="n">
        <x:f>S237+T237+U237</x:f>
        <x:v>0</x:v>
      </x:c>
      <x:c r="W237" s="106" t="n">
        <x:f>MAX(0,V237-R237)</x:f>
        <x:v>0</x:v>
      </x:c>
      <x:c r="X237" s="106" t="n">
        <x:f>MAX(0,Q237-W237)</x:f>
        <x:v>0</x:v>
      </x:c>
      <x:c r="Y237" s="1"/>
      <x:c r="Z237" s="1"/>
    </x:row>
    <x:row r="238">
      <x:c r="A238" s="100" t="n">
        <x:f>A237+1</x:f>
        <x:v>233</x:v>
      </x:c>
      <x:c r="B238" s="103" t="n">
        <x:f>EDATE(B237,1)</x:f>
        <x:v>53297</x:v>
      </x:c>
      <x:c r="C238" s="104" t="n">
        <x:f>H237</x:f>
        <x:v>189300.65171753228</x:v>
      </x:c>
      <x:c r="D238" s="104" t="n">
        <x:f>IF(C238&gt;0,C238*'Your Mortgage'!$C$7/12,0)</x:f>
        <x:v>1025.3785301366331</x:v>
      </x:c>
      <x:c r="E238" s="104" t="n">
        <x:f>IF(C238&gt;0,MIN('Your Mortgage'!$C$11,C238+D238),0)</x:f>
        <x:v>2054.2210763521375</x:v>
      </x:c>
      <x:c r="F238" s="104" t="n">
        <x:f>E238</x:f>
        <x:v>2054.2210763521375</x:v>
      </x:c>
      <x:c r="G238" s="104" t="n">
        <x:f>MAX(0,F238-D238)</x:f>
        <x:v>1028.8425462155044</x:v>
      </x:c>
      <x:c r="H238" s="104" t="n">
        <x:f>MAX(0,C238-G238)</x:f>
        <x:v>188271.80917131677</x:v>
      </x:c>
      <x:c r="I238" s="105" t="n">
        <x:f>P237</x:f>
        <x:v>57423.26732572811</x:v>
      </x:c>
      <x:c r="J238" s="105" t="n">
        <x:f>IF(I238&gt;0,I238*'Your Mortgage'!$C$7/12,0)</x:f>
        <x:v>311.0426980143606</x:v>
      </x:c>
      <x:c r="K238" s="105" t="n">
        <x:f>IF(I238&gt;0,MIN('Your Mortgage'!$C$11,I238+J238),0)</x:f>
        <x:v>2054.2210763521375</x:v>
      </x:c>
      <x:c r="L238" s="105" t="n">
        <x:f>IF(I238&gt;0,MIN('Your Mortgage'!$F$6,MAX(0,I238+J238-K238)),0)</x:f>
        <x:v>250</x:v>
      </x:c>
      <x:c r="M238" s="105" t="n">
        <x:f>IF(AND(A238='Your Mortgage'!$F$8,I238&gt;0),MIN('Your Mortgage'!$F$7,MAX(0,I238+J238-K238-L238)),0)</x:f>
        <x:v>0</x:v>
      </x:c>
      <x:c r="N238" s="105" t="n">
        <x:f>K238+L238+M238</x:f>
        <x:v>2304.2210763521375</x:v>
      </x:c>
      <x:c r="O238" s="105" t="n">
        <x:f>MAX(0,N238-J238)</x:f>
        <x:v>1993.1783783377768</x:v>
      </x:c>
      <x:c r="P238" s="105" t="n">
        <x:f>MAX(0,I238-O238)</x:f>
        <x:v>55430.08894739034</x:v>
      </x:c>
      <x:c r="Q238" s="106" t="n">
        <x:f>X237</x:f>
        <x:v>0</x:v>
      </x:c>
      <x:c r="R238" s="106" t="n">
        <x:f>IF(Q238&gt;0,Q238*'Your Mortgage'!$C$7/12,0)</x:f>
        <x:v>0</x:v>
      </x:c>
      <x:c r="S238" s="106" t="n">
        <x:f>IF(Q238&gt;0,MIN('Your Mortgage'!$C$11,Q238+R238),0)</x:f>
        <x:v>0</x:v>
      </x:c>
      <x:c r="T238" s="106" t="n">
        <x:f>IF(Q238&gt;0,MIN('Your Mortgage'!$I$6,MAX(0,Q238+R238-S238)),0)</x:f>
        <x:v>0</x:v>
      </x:c>
      <x:c r="U238" s="106" t="n">
        <x:f>IF(AND(A238='Your Mortgage'!$I$8,Q238&gt;0),MIN('Your Mortgage'!$I$7,MAX(0,Q238+R238-S238-T238)),0)</x:f>
        <x:v>0</x:v>
      </x:c>
      <x:c r="V238" s="106" t="n">
        <x:f>S238+T238+U238</x:f>
        <x:v>0</x:v>
      </x:c>
      <x:c r="W238" s="106" t="n">
        <x:f>MAX(0,V238-R238)</x:f>
        <x:v>0</x:v>
      </x:c>
      <x:c r="X238" s="106" t="n">
        <x:f>MAX(0,Q238-W238)</x:f>
        <x:v>0</x:v>
      </x:c>
      <x:c r="Y238" s="1"/>
      <x:c r="Z238" s="1"/>
    </x:row>
    <x:row r="239">
      <x:c r="A239" s="100" t="n">
        <x:f>A238+1</x:f>
        <x:v>234</x:v>
      </x:c>
      <x:c r="B239" s="103" t="n">
        <x:f>EDATE(B238,1)</x:f>
        <x:v>53328</x:v>
      </x:c>
      <x:c r="C239" s="104" t="n">
        <x:f>H238</x:f>
        <x:v>188271.80917131677</x:v>
      </x:c>
      <x:c r="D239" s="104" t="n">
        <x:f>IF(C239&gt;0,C239*'Your Mortgage'!$C$7/12,0)</x:f>
        <x:v>1019.8056330112992</x:v>
      </x:c>
      <x:c r="E239" s="104" t="n">
        <x:f>IF(C239&gt;0,MIN('Your Mortgage'!$C$11,C239+D239),0)</x:f>
        <x:v>2054.2210763521375</x:v>
      </x:c>
      <x:c r="F239" s="104" t="n">
        <x:f>E239</x:f>
        <x:v>2054.2210763521375</x:v>
      </x:c>
      <x:c r="G239" s="104" t="n">
        <x:f>MAX(0,F239-D239)</x:f>
        <x:v>1034.4154433408385</x:v>
      </x:c>
      <x:c r="H239" s="104" t="n">
        <x:f>MAX(0,C239-G239)</x:f>
        <x:v>187237.39372797593</x:v>
      </x:c>
      <x:c r="I239" s="105" t="n">
        <x:f>P238</x:f>
        <x:v>55430.08894739034</x:v>
      </x:c>
      <x:c r="J239" s="105" t="n">
        <x:f>IF(I239&gt;0,I239*'Your Mortgage'!$C$7/12,0)</x:f>
        <x:v>300.24631513169766</x:v>
      </x:c>
      <x:c r="K239" s="105" t="n">
        <x:f>IF(I239&gt;0,MIN('Your Mortgage'!$C$11,I239+J239),0)</x:f>
        <x:v>2054.2210763521375</x:v>
      </x:c>
      <x:c r="L239" s="105" t="n">
        <x:f>IF(I239&gt;0,MIN('Your Mortgage'!$F$6,MAX(0,I239+J239-K239)),0)</x:f>
        <x:v>250</x:v>
      </x:c>
      <x:c r="M239" s="105" t="n">
        <x:f>IF(AND(A239='Your Mortgage'!$F$8,I239&gt;0),MIN('Your Mortgage'!$F$7,MAX(0,I239+J239-K239-L239)),0)</x:f>
        <x:v>0</x:v>
      </x:c>
      <x:c r="N239" s="105" t="n">
        <x:f>K239+L239+M239</x:f>
        <x:v>2304.2210763521375</x:v>
      </x:c>
      <x:c r="O239" s="105" t="n">
        <x:f>MAX(0,N239-J239)</x:f>
        <x:v>2003.9747612204399</x:v>
      </x:c>
      <x:c r="P239" s="105" t="n">
        <x:f>MAX(0,I239-O239)</x:f>
        <x:v>53426.1141861699</x:v>
      </x:c>
      <x:c r="Q239" s="106" t="n">
        <x:f>X238</x:f>
        <x:v>0</x:v>
      </x:c>
      <x:c r="R239" s="106" t="n">
        <x:f>IF(Q239&gt;0,Q239*'Your Mortgage'!$C$7/12,0)</x:f>
        <x:v>0</x:v>
      </x:c>
      <x:c r="S239" s="106" t="n">
        <x:f>IF(Q239&gt;0,MIN('Your Mortgage'!$C$11,Q239+R239),0)</x:f>
        <x:v>0</x:v>
      </x:c>
      <x:c r="T239" s="106" t="n">
        <x:f>IF(Q239&gt;0,MIN('Your Mortgage'!$I$6,MAX(0,Q239+R239-S239)),0)</x:f>
        <x:v>0</x:v>
      </x:c>
      <x:c r="U239" s="106" t="n">
        <x:f>IF(AND(A239='Your Mortgage'!$I$8,Q239&gt;0),MIN('Your Mortgage'!$I$7,MAX(0,Q239+R239-S239-T239)),0)</x:f>
        <x:v>0</x:v>
      </x:c>
      <x:c r="V239" s="106" t="n">
        <x:f>S239+T239+U239</x:f>
        <x:v>0</x:v>
      </x:c>
      <x:c r="W239" s="106" t="n">
        <x:f>MAX(0,V239-R239)</x:f>
        <x:v>0</x:v>
      </x:c>
      <x:c r="X239" s="106" t="n">
        <x:f>MAX(0,Q239-W239)</x:f>
        <x:v>0</x:v>
      </x:c>
      <x:c r="Y239" s="1"/>
      <x:c r="Z239" s="1"/>
    </x:row>
    <x:row r="240">
      <x:c r="A240" s="100" t="n">
        <x:f>A239+1</x:f>
        <x:v>235</x:v>
      </x:c>
      <x:c r="B240" s="103" t="n">
        <x:f>EDATE(B239,1)</x:f>
        <x:v>53359</x:v>
      </x:c>
      <x:c r="C240" s="104" t="n">
        <x:f>H239</x:f>
        <x:v>187237.39372797593</x:v>
      </x:c>
      <x:c r="D240" s="104" t="n">
        <x:f>IF(C240&gt;0,C240*'Your Mortgage'!$C$7/12,0)</x:f>
        <x:v>1014.2025493598697</x:v>
      </x:c>
      <x:c r="E240" s="104" t="n">
        <x:f>IF(C240&gt;0,MIN('Your Mortgage'!$C$11,C240+D240),0)</x:f>
        <x:v>2054.2210763521375</x:v>
      </x:c>
      <x:c r="F240" s="104" t="n">
        <x:f>E240</x:f>
        <x:v>2054.2210763521375</x:v>
      </x:c>
      <x:c r="G240" s="104" t="n">
        <x:f>MAX(0,F240-D240)</x:f>
        <x:v>1040.0185269922677</x:v>
      </x:c>
      <x:c r="H240" s="104" t="n">
        <x:f>MAX(0,C240-G240)</x:f>
        <x:v>186197.37520098366</x:v>
      </x:c>
      <x:c r="I240" s="105" t="n">
        <x:f>P239</x:f>
        <x:v>53426.1141861699</x:v>
      </x:c>
      <x:c r="J240" s="105" t="n">
        <x:f>IF(I240&gt;0,I240*'Your Mortgage'!$C$7/12,0)</x:f>
        <x:v>289.3914518417536</x:v>
      </x:c>
      <x:c r="K240" s="105" t="n">
        <x:f>IF(I240&gt;0,MIN('Your Mortgage'!$C$11,I240+J240),0)</x:f>
        <x:v>2054.2210763521375</x:v>
      </x:c>
      <x:c r="L240" s="105" t="n">
        <x:f>IF(I240&gt;0,MIN('Your Mortgage'!$F$6,MAX(0,I240+J240-K240)),0)</x:f>
        <x:v>250</x:v>
      </x:c>
      <x:c r="M240" s="105" t="n">
        <x:f>IF(AND(A240='Your Mortgage'!$F$8,I240&gt;0),MIN('Your Mortgage'!$F$7,MAX(0,I240+J240-K240-L240)),0)</x:f>
        <x:v>0</x:v>
      </x:c>
      <x:c r="N240" s="105" t="n">
        <x:f>K240+L240+M240</x:f>
        <x:v>2304.2210763521375</x:v>
      </x:c>
      <x:c r="O240" s="105" t="n">
        <x:f>MAX(0,N240-J240)</x:f>
        <x:v>2014.8296245103838</x:v>
      </x:c>
      <x:c r="P240" s="105" t="n">
        <x:f>MAX(0,I240-O240)</x:f>
        <x:v>51411.284561659515</x:v>
      </x:c>
      <x:c r="Q240" s="106" t="n">
        <x:f>X239</x:f>
        <x:v>0</x:v>
      </x:c>
      <x:c r="R240" s="106" t="n">
        <x:f>IF(Q240&gt;0,Q240*'Your Mortgage'!$C$7/12,0)</x:f>
        <x:v>0</x:v>
      </x:c>
      <x:c r="S240" s="106" t="n">
        <x:f>IF(Q240&gt;0,MIN('Your Mortgage'!$C$11,Q240+R240),0)</x:f>
        <x:v>0</x:v>
      </x:c>
      <x:c r="T240" s="106" t="n">
        <x:f>IF(Q240&gt;0,MIN('Your Mortgage'!$I$6,MAX(0,Q240+R240-S240)),0)</x:f>
        <x:v>0</x:v>
      </x:c>
      <x:c r="U240" s="106" t="n">
        <x:f>IF(AND(A240='Your Mortgage'!$I$8,Q240&gt;0),MIN('Your Mortgage'!$I$7,MAX(0,Q240+R240-S240-T240)),0)</x:f>
        <x:v>0</x:v>
      </x:c>
      <x:c r="V240" s="106" t="n">
        <x:f>S240+T240+U240</x:f>
        <x:v>0</x:v>
      </x:c>
      <x:c r="W240" s="106" t="n">
        <x:f>MAX(0,V240-R240)</x:f>
        <x:v>0</x:v>
      </x:c>
      <x:c r="X240" s="106" t="n">
        <x:f>MAX(0,Q240-W240)</x:f>
        <x:v>0</x:v>
      </x:c>
      <x:c r="Y240" s="1"/>
      <x:c r="Z240" s="1"/>
    </x:row>
    <x:row r="241">
      <x:c r="A241" s="100" t="n">
        <x:f>A240+1</x:f>
        <x:v>236</x:v>
      </x:c>
      <x:c r="B241" s="103" t="n">
        <x:f>EDATE(B240,1)</x:f>
        <x:v>53387</x:v>
      </x:c>
      <x:c r="C241" s="104" t="n">
        <x:f>H240</x:f>
        <x:v>186197.37520098366</x:v>
      </x:c>
      <x:c r="D241" s="104" t="n">
        <x:f>IF(C241&gt;0,C241*'Your Mortgage'!$C$7/12,0)</x:f>
        <x:v>1008.5691156719948</x:v>
      </x:c>
      <x:c r="E241" s="104" t="n">
        <x:f>IF(C241&gt;0,MIN('Your Mortgage'!$C$11,C241+D241),0)</x:f>
        <x:v>2054.2210763521375</x:v>
      </x:c>
      <x:c r="F241" s="104" t="n">
        <x:f>E241</x:f>
        <x:v>2054.2210763521375</x:v>
      </x:c>
      <x:c r="G241" s="104" t="n">
        <x:f>MAX(0,F241-D241)</x:f>
        <x:v>1045.6519606801426</x:v>
      </x:c>
      <x:c r="H241" s="104" t="n">
        <x:f>MAX(0,C241-G241)</x:f>
        <x:v>185151.72324030352</x:v>
      </x:c>
      <x:c r="I241" s="105" t="n">
        <x:f>P240</x:f>
        <x:v>51411.284561659515</x:v>
      </x:c>
      <x:c r="J241" s="105" t="n">
        <x:f>IF(I241&gt;0,I241*'Your Mortgage'!$C$7/12,0)</x:f>
        <x:v>278.4777913756557</x:v>
      </x:c>
      <x:c r="K241" s="105" t="n">
        <x:f>IF(I241&gt;0,MIN('Your Mortgage'!$C$11,I241+J241),0)</x:f>
        <x:v>2054.2210763521375</x:v>
      </x:c>
      <x:c r="L241" s="105" t="n">
        <x:f>IF(I241&gt;0,MIN('Your Mortgage'!$F$6,MAX(0,I241+J241-K241)),0)</x:f>
        <x:v>250</x:v>
      </x:c>
      <x:c r="M241" s="105" t="n">
        <x:f>IF(AND(A241='Your Mortgage'!$F$8,I241&gt;0),MIN('Your Mortgage'!$F$7,MAX(0,I241+J241-K241-L241)),0)</x:f>
        <x:v>0</x:v>
      </x:c>
      <x:c r="N241" s="105" t="n">
        <x:f>K241+L241+M241</x:f>
        <x:v>2304.2210763521375</x:v>
      </x:c>
      <x:c r="O241" s="105" t="n">
        <x:f>MAX(0,N241-J241)</x:f>
        <x:v>2025.7432849764818</x:v>
      </x:c>
      <x:c r="P241" s="105" t="n">
        <x:f>MAX(0,I241-O241)</x:f>
        <x:v>49385.541276683034</x:v>
      </x:c>
      <x:c r="Q241" s="106" t="n">
        <x:f>X240</x:f>
        <x:v>0</x:v>
      </x:c>
      <x:c r="R241" s="106" t="n">
        <x:f>IF(Q241&gt;0,Q241*'Your Mortgage'!$C$7/12,0)</x:f>
        <x:v>0</x:v>
      </x:c>
      <x:c r="S241" s="106" t="n">
        <x:f>IF(Q241&gt;0,MIN('Your Mortgage'!$C$11,Q241+R241),0)</x:f>
        <x:v>0</x:v>
      </x:c>
      <x:c r="T241" s="106" t="n">
        <x:f>IF(Q241&gt;0,MIN('Your Mortgage'!$I$6,MAX(0,Q241+R241-S241)),0)</x:f>
        <x:v>0</x:v>
      </x:c>
      <x:c r="U241" s="106" t="n">
        <x:f>IF(AND(A241='Your Mortgage'!$I$8,Q241&gt;0),MIN('Your Mortgage'!$I$7,MAX(0,Q241+R241-S241-T241)),0)</x:f>
        <x:v>0</x:v>
      </x:c>
      <x:c r="V241" s="106" t="n">
        <x:f>S241+T241+U241</x:f>
        <x:v>0</x:v>
      </x:c>
      <x:c r="W241" s="106" t="n">
        <x:f>MAX(0,V241-R241)</x:f>
        <x:v>0</x:v>
      </x:c>
      <x:c r="X241" s="106" t="n">
        <x:f>MAX(0,Q241-W241)</x:f>
        <x:v>0</x:v>
      </x:c>
      <x:c r="Y241" s="1"/>
      <x:c r="Z241" s="1"/>
    </x:row>
    <x:row r="242">
      <x:c r="A242" s="100" t="n">
        <x:f>A241+1</x:f>
        <x:v>237</x:v>
      </x:c>
      <x:c r="B242" s="103" t="n">
        <x:f>EDATE(B241,1)</x:f>
        <x:v>53418</x:v>
      </x:c>
      <x:c r="C242" s="104" t="n">
        <x:f>H241</x:f>
        <x:v>185151.72324030352</x:v>
      </x:c>
      <x:c r="D242" s="104" t="n">
        <x:f>IF(C242&gt;0,C242*'Your Mortgage'!$C$7/12,0)</x:f>
        <x:v>1002.905167551644</x:v>
      </x:c>
      <x:c r="E242" s="104" t="n">
        <x:f>IF(C242&gt;0,MIN('Your Mortgage'!$C$11,C242+D242),0)</x:f>
        <x:v>2054.2210763521375</x:v>
      </x:c>
      <x:c r="F242" s="104" t="n">
        <x:f>E242</x:f>
        <x:v>2054.2210763521375</x:v>
      </x:c>
      <x:c r="G242" s="104" t="n">
        <x:f>MAX(0,F242-D242)</x:f>
        <x:v>1051.3159088004936</x:v>
      </x:c>
      <x:c r="H242" s="104" t="n">
        <x:f>MAX(0,C242-G242)</x:f>
        <x:v>184100.40733150303</x:v>
      </x:c>
      <x:c r="I242" s="105" t="n">
        <x:f>P241</x:f>
        <x:v>49385.541276683034</x:v>
      </x:c>
      <x:c r="J242" s="105" t="n">
        <x:f>IF(I242&gt;0,I242*'Your Mortgage'!$C$7/12,0)</x:f>
        <x:v>267.50501524869975</x:v>
      </x:c>
      <x:c r="K242" s="105" t="n">
        <x:f>IF(I242&gt;0,MIN('Your Mortgage'!$C$11,I242+J242),0)</x:f>
        <x:v>2054.2210763521375</x:v>
      </x:c>
      <x:c r="L242" s="105" t="n">
        <x:f>IF(I242&gt;0,MIN('Your Mortgage'!$F$6,MAX(0,I242+J242-K242)),0)</x:f>
        <x:v>250</x:v>
      </x:c>
      <x:c r="M242" s="105" t="n">
        <x:f>IF(AND(A242='Your Mortgage'!$F$8,I242&gt;0),MIN('Your Mortgage'!$F$7,MAX(0,I242+J242-K242-L242)),0)</x:f>
        <x:v>0</x:v>
      </x:c>
      <x:c r="N242" s="105" t="n">
        <x:f>K242+L242+M242</x:f>
        <x:v>2304.2210763521375</x:v>
      </x:c>
      <x:c r="O242" s="105" t="n">
        <x:f>MAX(0,N242-J242)</x:f>
        <x:v>2036.7160611034378</x:v>
      </x:c>
      <x:c r="P242" s="105" t="n">
        <x:f>MAX(0,I242-O242)</x:f>
        <x:v>47348.82521557959</x:v>
      </x:c>
      <x:c r="Q242" s="106" t="n">
        <x:f>X241</x:f>
        <x:v>0</x:v>
      </x:c>
      <x:c r="R242" s="106" t="n">
        <x:f>IF(Q242&gt;0,Q242*'Your Mortgage'!$C$7/12,0)</x:f>
        <x:v>0</x:v>
      </x:c>
      <x:c r="S242" s="106" t="n">
        <x:f>IF(Q242&gt;0,MIN('Your Mortgage'!$C$11,Q242+R242),0)</x:f>
        <x:v>0</x:v>
      </x:c>
      <x:c r="T242" s="106" t="n">
        <x:f>IF(Q242&gt;0,MIN('Your Mortgage'!$I$6,MAX(0,Q242+R242-S242)),0)</x:f>
        <x:v>0</x:v>
      </x:c>
      <x:c r="U242" s="106" t="n">
        <x:f>IF(AND(A242='Your Mortgage'!$I$8,Q242&gt;0),MIN('Your Mortgage'!$I$7,MAX(0,Q242+R242-S242-T242)),0)</x:f>
        <x:v>0</x:v>
      </x:c>
      <x:c r="V242" s="106" t="n">
        <x:f>S242+T242+U242</x:f>
        <x:v>0</x:v>
      </x:c>
      <x:c r="W242" s="106" t="n">
        <x:f>MAX(0,V242-R242)</x:f>
        <x:v>0</x:v>
      </x:c>
      <x:c r="X242" s="106" t="n">
        <x:f>MAX(0,Q242-W242)</x:f>
        <x:v>0</x:v>
      </x:c>
      <x:c r="Y242" s="1"/>
      <x:c r="Z242" s="1"/>
    </x:row>
    <x:row r="243">
      <x:c r="A243" s="100" t="n">
        <x:f>A242+1</x:f>
        <x:v>238</x:v>
      </x:c>
      <x:c r="B243" s="103" t="n">
        <x:f>EDATE(B242,1)</x:f>
        <x:v>53448</x:v>
      </x:c>
      <x:c r="C243" s="104" t="n">
        <x:f>H242</x:f>
        <x:v>184100.40733150303</x:v>
      </x:c>
      <x:c r="D243" s="104" t="n">
        <x:f>IF(C243&gt;0,C243*'Your Mortgage'!$C$7/12,0)</x:f>
        <x:v>997.2105397123081</x:v>
      </x:c>
      <x:c r="E243" s="104" t="n">
        <x:f>IF(C243&gt;0,MIN('Your Mortgage'!$C$11,C243+D243),0)</x:f>
        <x:v>2054.2210763521375</x:v>
      </x:c>
      <x:c r="F243" s="104" t="n">
        <x:f>E243</x:f>
        <x:v>2054.2210763521375</x:v>
      </x:c>
      <x:c r="G243" s="104" t="n">
        <x:f>MAX(0,F243-D243)</x:f>
        <x:v>1057.0105366398293</x:v>
      </x:c>
      <x:c r="H243" s="104" t="n">
        <x:f>MAX(0,C243-G243)</x:f>
        <x:v>183043.3967948632</x:v>
      </x:c>
      <x:c r="I243" s="105" t="n">
        <x:f>P242</x:f>
        <x:v>47348.82521557959</x:v>
      </x:c>
      <x:c r="J243" s="105" t="n">
        <x:f>IF(I243&gt;0,I243*'Your Mortgage'!$C$7/12,0)</x:f>
        <x:v>256.4728032510561</x:v>
      </x:c>
      <x:c r="K243" s="105" t="n">
        <x:f>IF(I243&gt;0,MIN('Your Mortgage'!$C$11,I243+J243),0)</x:f>
        <x:v>2054.2210763521375</x:v>
      </x:c>
      <x:c r="L243" s="105" t="n">
        <x:f>IF(I243&gt;0,MIN('Your Mortgage'!$F$6,MAX(0,I243+J243-K243)),0)</x:f>
        <x:v>250</x:v>
      </x:c>
      <x:c r="M243" s="105" t="n">
        <x:f>IF(AND(A243='Your Mortgage'!$F$8,I243&gt;0),MIN('Your Mortgage'!$F$7,MAX(0,I243+J243-K243-L243)),0)</x:f>
        <x:v>0</x:v>
      </x:c>
      <x:c r="N243" s="105" t="n">
        <x:f>K243+L243+M243</x:f>
        <x:v>2304.2210763521375</x:v>
      </x:c>
      <x:c r="O243" s="105" t="n">
        <x:f>MAX(0,N243-J243)</x:f>
        <x:v>2047.7482731010814</x:v>
      </x:c>
      <x:c r="P243" s="105" t="n">
        <x:f>MAX(0,I243-O243)</x:f>
        <x:v>45301.07694247851</x:v>
      </x:c>
      <x:c r="Q243" s="106" t="n">
        <x:f>X242</x:f>
        <x:v>0</x:v>
      </x:c>
      <x:c r="R243" s="106" t="n">
        <x:f>IF(Q243&gt;0,Q243*'Your Mortgage'!$C$7/12,0)</x:f>
        <x:v>0</x:v>
      </x:c>
      <x:c r="S243" s="106" t="n">
        <x:f>IF(Q243&gt;0,MIN('Your Mortgage'!$C$11,Q243+R243),0)</x:f>
        <x:v>0</x:v>
      </x:c>
      <x:c r="T243" s="106" t="n">
        <x:f>IF(Q243&gt;0,MIN('Your Mortgage'!$I$6,MAX(0,Q243+R243-S243)),0)</x:f>
        <x:v>0</x:v>
      </x:c>
      <x:c r="U243" s="106" t="n">
        <x:f>IF(AND(A243='Your Mortgage'!$I$8,Q243&gt;0),MIN('Your Mortgage'!$I$7,MAX(0,Q243+R243-S243-T243)),0)</x:f>
        <x:v>0</x:v>
      </x:c>
      <x:c r="V243" s="106" t="n">
        <x:f>S243+T243+U243</x:f>
        <x:v>0</x:v>
      </x:c>
      <x:c r="W243" s="106" t="n">
        <x:f>MAX(0,V243-R243)</x:f>
        <x:v>0</x:v>
      </x:c>
      <x:c r="X243" s="106" t="n">
        <x:f>MAX(0,Q243-W243)</x:f>
        <x:v>0</x:v>
      </x:c>
      <x:c r="Y243" s="1"/>
      <x:c r="Z243" s="1"/>
    </x:row>
    <x:row r="244">
      <x:c r="A244" s="100" t="n">
        <x:f>A243+1</x:f>
        <x:v>239</x:v>
      </x:c>
      <x:c r="B244" s="103" t="n">
        <x:f>EDATE(B243,1)</x:f>
        <x:v>53479</x:v>
      </x:c>
      <x:c r="C244" s="104" t="n">
        <x:f>H243</x:f>
        <x:v>183043.3967948632</x:v>
      </x:c>
      <x:c r="D244" s="104" t="n">
        <x:f>IF(C244&gt;0,C244*'Your Mortgage'!$C$7/12,0)</x:f>
        <x:v>991.4850659721757</x:v>
      </x:c>
      <x:c r="E244" s="104" t="n">
        <x:f>IF(C244&gt;0,MIN('Your Mortgage'!$C$11,C244+D244),0)</x:f>
        <x:v>2054.2210763521375</x:v>
      </x:c>
      <x:c r="F244" s="104" t="n">
        <x:f>E244</x:f>
        <x:v>2054.2210763521375</x:v>
      </x:c>
      <x:c r="G244" s="104" t="n">
        <x:f>MAX(0,F244-D244)</x:f>
        <x:v>1062.736010379962</x:v>
      </x:c>
      <x:c r="H244" s="104" t="n">
        <x:f>MAX(0,C244-G244)</x:f>
        <x:v>181980.66078448322</x:v>
      </x:c>
      <x:c r="I244" s="105" t="n">
        <x:f>P243</x:f>
        <x:v>45301.07694247851</x:v>
      </x:c>
      <x:c r="J244" s="105" t="n">
        <x:f>IF(I244&gt;0,I244*'Your Mortgage'!$C$7/12,0)</x:f>
        <x:v>245.38083343842527</x:v>
      </x:c>
      <x:c r="K244" s="105" t="n">
        <x:f>IF(I244&gt;0,MIN('Your Mortgage'!$C$11,I244+J244),0)</x:f>
        <x:v>2054.2210763521375</x:v>
      </x:c>
      <x:c r="L244" s="105" t="n">
        <x:f>IF(I244&gt;0,MIN('Your Mortgage'!$F$6,MAX(0,I244+J244-K244)),0)</x:f>
        <x:v>250</x:v>
      </x:c>
      <x:c r="M244" s="105" t="n">
        <x:f>IF(AND(A244='Your Mortgage'!$F$8,I244&gt;0),MIN('Your Mortgage'!$F$7,MAX(0,I244+J244-K244-L244)),0)</x:f>
        <x:v>0</x:v>
      </x:c>
      <x:c r="N244" s="105" t="n">
        <x:f>K244+L244+M244</x:f>
        <x:v>2304.2210763521375</x:v>
      </x:c>
      <x:c r="O244" s="105" t="n">
        <x:f>MAX(0,N244-J244)</x:f>
        <x:v>2058.8402429137122</x:v>
      </x:c>
      <x:c r="P244" s="105" t="n">
        <x:f>MAX(0,I244-O244)</x:f>
        <x:v>43242.2366995648</x:v>
      </x:c>
      <x:c r="Q244" s="106" t="n">
        <x:f>X243</x:f>
        <x:v>0</x:v>
      </x:c>
      <x:c r="R244" s="106" t="n">
        <x:f>IF(Q244&gt;0,Q244*'Your Mortgage'!$C$7/12,0)</x:f>
        <x:v>0</x:v>
      </x:c>
      <x:c r="S244" s="106" t="n">
        <x:f>IF(Q244&gt;0,MIN('Your Mortgage'!$C$11,Q244+R244),0)</x:f>
        <x:v>0</x:v>
      </x:c>
      <x:c r="T244" s="106" t="n">
        <x:f>IF(Q244&gt;0,MIN('Your Mortgage'!$I$6,MAX(0,Q244+R244-S244)),0)</x:f>
        <x:v>0</x:v>
      </x:c>
      <x:c r="U244" s="106" t="n">
        <x:f>IF(AND(A244='Your Mortgage'!$I$8,Q244&gt;0),MIN('Your Mortgage'!$I$7,MAX(0,Q244+R244-S244-T244)),0)</x:f>
        <x:v>0</x:v>
      </x:c>
      <x:c r="V244" s="106" t="n">
        <x:f>S244+T244+U244</x:f>
        <x:v>0</x:v>
      </x:c>
      <x:c r="W244" s="106" t="n">
        <x:f>MAX(0,V244-R244)</x:f>
        <x:v>0</x:v>
      </x:c>
      <x:c r="X244" s="106" t="n">
        <x:f>MAX(0,Q244-W244)</x:f>
        <x:v>0</x:v>
      </x:c>
      <x:c r="Y244" s="1"/>
      <x:c r="Z244" s="1"/>
    </x:row>
    <x:row r="245">
      <x:c r="A245" s="100" t="n">
        <x:f>A244+1</x:f>
        <x:v>240</x:v>
      </x:c>
      <x:c r="B245" s="103" t="n">
        <x:f>EDATE(B244,1)</x:f>
        <x:v>53509</x:v>
      </x:c>
      <x:c r="C245" s="104" t="n">
        <x:f>H244</x:f>
        <x:v>181980.66078448322</x:v>
      </x:c>
      <x:c r="D245" s="104" t="n">
        <x:f>IF(C245&gt;0,C245*'Your Mortgage'!$C$7/12,0)</x:f>
        <x:v>985.728579249284</x:v>
      </x:c>
      <x:c r="E245" s="104" t="n">
        <x:f>IF(C245&gt;0,MIN('Your Mortgage'!$C$11,C245+D245),0)</x:f>
        <x:v>2054.2210763521375</x:v>
      </x:c>
      <x:c r="F245" s="104" t="n">
        <x:f>E245</x:f>
        <x:v>2054.2210763521375</x:v>
      </x:c>
      <x:c r="G245" s="104" t="n">
        <x:f>MAX(0,F245-D245)</x:f>
        <x:v>1068.4924971028536</x:v>
      </x:c>
      <x:c r="H245" s="104" t="n">
        <x:f>MAX(0,C245-G245)</x:f>
        <x:v>180912.16828738037</x:v>
      </x:c>
      <x:c r="I245" s="105" t="n">
        <x:f>P244</x:f>
        <x:v>43242.2366995648</x:v>
      </x:c>
      <x:c r="J245" s="105" t="n">
        <x:f>IF(I245&gt;0,I245*'Your Mortgage'!$C$7/12,0)</x:f>
        <x:v>234.22878212264266</x:v>
      </x:c>
      <x:c r="K245" s="105" t="n">
        <x:f>IF(I245&gt;0,MIN('Your Mortgage'!$C$11,I245+J245),0)</x:f>
        <x:v>2054.2210763521375</x:v>
      </x:c>
      <x:c r="L245" s="105" t="n">
        <x:f>IF(I245&gt;0,MIN('Your Mortgage'!$F$6,MAX(0,I245+J245-K245)),0)</x:f>
        <x:v>250</x:v>
      </x:c>
      <x:c r="M245" s="105" t="n">
        <x:f>IF(AND(A245='Your Mortgage'!$F$8,I245&gt;0),MIN('Your Mortgage'!$F$7,MAX(0,I245+J245-K245-L245)),0)</x:f>
        <x:v>0</x:v>
      </x:c>
      <x:c r="N245" s="105" t="n">
        <x:f>K245+L245+M245</x:f>
        <x:v>2304.2210763521375</x:v>
      </x:c>
      <x:c r="O245" s="105" t="n">
        <x:f>MAX(0,N245-J245)</x:f>
        <x:v>2069.9922942294947</x:v>
      </x:c>
      <x:c r="P245" s="105" t="n">
        <x:f>MAX(0,I245-O245)</x:f>
        <x:v>41172.2444053353</x:v>
      </x:c>
      <x:c r="Q245" s="106" t="n">
        <x:f>X244</x:f>
        <x:v>0</x:v>
      </x:c>
      <x:c r="R245" s="106" t="n">
        <x:f>IF(Q245&gt;0,Q245*'Your Mortgage'!$C$7/12,0)</x:f>
        <x:v>0</x:v>
      </x:c>
      <x:c r="S245" s="106" t="n">
        <x:f>IF(Q245&gt;0,MIN('Your Mortgage'!$C$11,Q245+R245),0)</x:f>
        <x:v>0</x:v>
      </x:c>
      <x:c r="T245" s="106" t="n">
        <x:f>IF(Q245&gt;0,MIN('Your Mortgage'!$I$6,MAX(0,Q245+R245-S245)),0)</x:f>
        <x:v>0</x:v>
      </x:c>
      <x:c r="U245" s="106" t="n">
        <x:f>IF(AND(A245='Your Mortgage'!$I$8,Q245&gt;0),MIN('Your Mortgage'!$I$7,MAX(0,Q245+R245-S245-T245)),0)</x:f>
        <x:v>0</x:v>
      </x:c>
      <x:c r="V245" s="106" t="n">
        <x:f>S245+T245+U245</x:f>
        <x:v>0</x:v>
      </x:c>
      <x:c r="W245" s="106" t="n">
        <x:f>MAX(0,V245-R245)</x:f>
        <x:v>0</x:v>
      </x:c>
      <x:c r="X245" s="106" t="n">
        <x:f>MAX(0,Q245-W245)</x:f>
        <x:v>0</x:v>
      </x:c>
      <x:c r="Y245" s="1"/>
      <x:c r="Z245" s="1"/>
    </x:row>
    <x:row r="246">
      <x:c r="A246" s="100" t="n">
        <x:f>A245+1</x:f>
        <x:v>241</x:v>
      </x:c>
      <x:c r="B246" s="103" t="n">
        <x:f>EDATE(B245,1)</x:f>
        <x:v>53540</x:v>
      </x:c>
      <x:c r="C246" s="104" t="n">
        <x:f>H245</x:f>
        <x:v>180912.16828738037</x:v>
      </x:c>
      <x:c r="D246" s="104" t="n">
        <x:f>IF(C246&gt;0,C246*'Your Mortgage'!$C$7/12,0)</x:f>
        <x:v>979.9409115566436</x:v>
      </x:c>
      <x:c r="E246" s="104" t="n">
        <x:f>IF(C246&gt;0,MIN('Your Mortgage'!$C$11,C246+D246),0)</x:f>
        <x:v>2054.2210763521375</x:v>
      </x:c>
      <x:c r="F246" s="104" t="n">
        <x:f>E246</x:f>
        <x:v>2054.2210763521375</x:v>
      </x:c>
      <x:c r="G246" s="104" t="n">
        <x:f>MAX(0,F246-D246)</x:f>
        <x:v>1074.2801647954939</x:v>
      </x:c>
      <x:c r="H246" s="104" t="n">
        <x:f>MAX(0,C246-G246)</x:f>
        <x:v>179837.88812258487</x:v>
      </x:c>
      <x:c r="I246" s="105" t="n">
        <x:f>P245</x:f>
        <x:v>41172.2444053353</x:v>
      </x:c>
      <x:c r="J246" s="105" t="n">
        <x:f>IF(I246&gt;0,I246*'Your Mortgage'!$C$7/12,0)</x:f>
        <x:v>223.0163238622329</x:v>
      </x:c>
      <x:c r="K246" s="105" t="n">
        <x:f>IF(I246&gt;0,MIN('Your Mortgage'!$C$11,I246+J246),0)</x:f>
        <x:v>2054.2210763521375</x:v>
      </x:c>
      <x:c r="L246" s="105" t="n">
        <x:f>IF(I246&gt;0,MIN('Your Mortgage'!$F$6,MAX(0,I246+J246-K246)),0)</x:f>
        <x:v>250</x:v>
      </x:c>
      <x:c r="M246" s="105" t="n">
        <x:f>IF(AND(A246='Your Mortgage'!$F$8,I246&gt;0),MIN('Your Mortgage'!$F$7,MAX(0,I246+J246-K246-L246)),0)</x:f>
        <x:v>0</x:v>
      </x:c>
      <x:c r="N246" s="105" t="n">
        <x:f>K246+L246+M246</x:f>
        <x:v>2304.2210763521375</x:v>
      </x:c>
      <x:c r="O246" s="105" t="n">
        <x:f>MAX(0,N246-J246)</x:f>
        <x:v>2081.2047524899044</x:v>
      </x:c>
      <x:c r="P246" s="105" t="n">
        <x:f>MAX(0,I246-O246)</x:f>
        <x:v>39091.0396528454</x:v>
      </x:c>
      <x:c r="Q246" s="106" t="n">
        <x:f>X245</x:f>
        <x:v>0</x:v>
      </x:c>
      <x:c r="R246" s="106" t="n">
        <x:f>IF(Q246&gt;0,Q246*'Your Mortgage'!$C$7/12,0)</x:f>
        <x:v>0</x:v>
      </x:c>
      <x:c r="S246" s="106" t="n">
        <x:f>IF(Q246&gt;0,MIN('Your Mortgage'!$C$11,Q246+R246),0)</x:f>
        <x:v>0</x:v>
      </x:c>
      <x:c r="T246" s="106" t="n">
        <x:f>IF(Q246&gt;0,MIN('Your Mortgage'!$I$6,MAX(0,Q246+R246-S246)),0)</x:f>
        <x:v>0</x:v>
      </x:c>
      <x:c r="U246" s="106" t="n">
        <x:f>IF(AND(A246='Your Mortgage'!$I$8,Q246&gt;0),MIN('Your Mortgage'!$I$7,MAX(0,Q246+R246-S246-T246)),0)</x:f>
        <x:v>0</x:v>
      </x:c>
      <x:c r="V246" s="106" t="n">
        <x:f>S246+T246+U246</x:f>
        <x:v>0</x:v>
      </x:c>
      <x:c r="W246" s="106" t="n">
        <x:f>MAX(0,V246-R246)</x:f>
        <x:v>0</x:v>
      </x:c>
      <x:c r="X246" s="106" t="n">
        <x:f>MAX(0,Q246-W246)</x:f>
        <x:v>0</x:v>
      </x:c>
      <x:c r="Y246" s="1"/>
      <x:c r="Z246" s="1"/>
    </x:row>
    <x:row r="247">
      <x:c r="A247" s="100" t="n">
        <x:f>A246+1</x:f>
        <x:v>242</x:v>
      </x:c>
      <x:c r="B247" s="103" t="n">
        <x:f>EDATE(B246,1)</x:f>
        <x:v>53571</x:v>
      </x:c>
      <x:c r="C247" s="104" t="n">
        <x:f>H246</x:f>
        <x:v>179837.88812258487</x:v>
      </x:c>
      <x:c r="D247" s="104" t="n">
        <x:f>IF(C247&gt;0,C247*'Your Mortgage'!$C$7/12,0)</x:f>
        <x:v>974.1218939973347</x:v>
      </x:c>
      <x:c r="E247" s="104" t="n">
        <x:f>IF(C247&gt;0,MIN('Your Mortgage'!$C$11,C247+D247),0)</x:f>
        <x:v>2054.2210763521375</x:v>
      </x:c>
      <x:c r="F247" s="104" t="n">
        <x:f>E247</x:f>
        <x:v>2054.2210763521375</x:v>
      </x:c>
      <x:c r="G247" s="104" t="n">
        <x:f>MAX(0,F247-D247)</x:f>
        <x:v>1080.099182354803</x:v>
      </x:c>
      <x:c r="H247" s="104" t="n">
        <x:f>MAX(0,C247-G247)</x:f>
        <x:v>178757.78894023006</x:v>
      </x:c>
      <x:c r="I247" s="105" t="n">
        <x:f>P246</x:f>
        <x:v>39091.0396528454</x:v>
      </x:c>
      <x:c r="J247" s="105" t="n">
        <x:f>IF(I247&gt;0,I247*'Your Mortgage'!$C$7/12,0)</x:f>
        <x:v>211.7431314529126</x:v>
      </x:c>
      <x:c r="K247" s="105" t="n">
        <x:f>IF(I247&gt;0,MIN('Your Mortgage'!$C$11,I247+J247),0)</x:f>
        <x:v>2054.2210763521375</x:v>
      </x:c>
      <x:c r="L247" s="105" t="n">
        <x:f>IF(I247&gt;0,MIN('Your Mortgage'!$F$6,MAX(0,I247+J247-K247)),0)</x:f>
        <x:v>250</x:v>
      </x:c>
      <x:c r="M247" s="105" t="n">
        <x:f>IF(AND(A247='Your Mortgage'!$F$8,I247&gt;0),MIN('Your Mortgage'!$F$7,MAX(0,I247+J247-K247-L247)),0)</x:f>
        <x:v>0</x:v>
      </x:c>
      <x:c r="N247" s="105" t="n">
        <x:f>K247+L247+M247</x:f>
        <x:v>2304.2210763521375</x:v>
      </x:c>
      <x:c r="O247" s="105" t="n">
        <x:f>MAX(0,N247-J247)</x:f>
        <x:v>2092.477944899225</x:v>
      </x:c>
      <x:c r="P247" s="105" t="n">
        <x:f>MAX(0,I247-O247)</x:f>
        <x:v>36998.56170794617</x:v>
      </x:c>
      <x:c r="Q247" s="106" t="n">
        <x:f>X246</x:f>
        <x:v>0</x:v>
      </x:c>
      <x:c r="R247" s="106" t="n">
        <x:f>IF(Q247&gt;0,Q247*'Your Mortgage'!$C$7/12,0)</x:f>
        <x:v>0</x:v>
      </x:c>
      <x:c r="S247" s="106" t="n">
        <x:f>IF(Q247&gt;0,MIN('Your Mortgage'!$C$11,Q247+R247),0)</x:f>
        <x:v>0</x:v>
      </x:c>
      <x:c r="T247" s="106" t="n">
        <x:f>IF(Q247&gt;0,MIN('Your Mortgage'!$I$6,MAX(0,Q247+R247-S247)),0)</x:f>
        <x:v>0</x:v>
      </x:c>
      <x:c r="U247" s="106" t="n">
        <x:f>IF(AND(A247='Your Mortgage'!$I$8,Q247&gt;0),MIN('Your Mortgage'!$I$7,MAX(0,Q247+R247-S247-T247)),0)</x:f>
        <x:v>0</x:v>
      </x:c>
      <x:c r="V247" s="106" t="n">
        <x:f>S247+T247+U247</x:f>
        <x:v>0</x:v>
      </x:c>
      <x:c r="W247" s="106" t="n">
        <x:f>MAX(0,V247-R247)</x:f>
        <x:v>0</x:v>
      </x:c>
      <x:c r="X247" s="106" t="n">
        <x:f>MAX(0,Q247-W247)</x:f>
        <x:v>0</x:v>
      </x:c>
      <x:c r="Y247" s="1"/>
      <x:c r="Z247" s="1"/>
    </x:row>
    <x:row r="248">
      <x:c r="A248" s="100" t="n">
        <x:f>A247+1</x:f>
        <x:v>243</x:v>
      </x:c>
      <x:c r="B248" s="103" t="n">
        <x:f>EDATE(B247,1)</x:f>
        <x:v>53601</x:v>
      </x:c>
      <x:c r="C248" s="104" t="n">
        <x:f>H247</x:f>
        <x:v>178757.78894023006</x:v>
      </x:c>
      <x:c r="D248" s="104" t="n">
        <x:f>IF(C248&gt;0,C248*'Your Mortgage'!$C$7/12,0)</x:f>
        <x:v>968.2713567595796</x:v>
      </x:c>
      <x:c r="E248" s="104" t="n">
        <x:f>IF(C248&gt;0,MIN('Your Mortgage'!$C$11,C248+D248),0)</x:f>
        <x:v>2054.2210763521375</x:v>
      </x:c>
      <x:c r="F248" s="104" t="n">
        <x:f>E248</x:f>
        <x:v>2054.2210763521375</x:v>
      </x:c>
      <x:c r="G248" s="104" t="n">
        <x:f>MAX(0,F248-D248)</x:f>
        <x:v>1085.9497195925578</x:v>
      </x:c>
      <x:c r="H248" s="104" t="n">
        <x:f>MAX(0,C248-G248)</x:f>
        <x:v>177671.8392206375</x:v>
      </x:c>
      <x:c r="I248" s="105" t="n">
        <x:f>P247</x:f>
        <x:v>36998.56170794617</x:v>
      </x:c>
      <x:c r="J248" s="105" t="n">
        <x:f>IF(I248&gt;0,I248*'Your Mortgage'!$C$7/12,0)</x:f>
        <x:v>200.4088759180418</x:v>
      </x:c>
      <x:c r="K248" s="105" t="n">
        <x:f>IF(I248&gt;0,MIN('Your Mortgage'!$C$11,I248+J248),0)</x:f>
        <x:v>2054.2210763521375</x:v>
      </x:c>
      <x:c r="L248" s="105" t="n">
        <x:f>IF(I248&gt;0,MIN('Your Mortgage'!$F$6,MAX(0,I248+J248-K248)),0)</x:f>
        <x:v>250</x:v>
      </x:c>
      <x:c r="M248" s="105" t="n">
        <x:f>IF(AND(A248='Your Mortgage'!$F$8,I248&gt;0),MIN('Your Mortgage'!$F$7,MAX(0,I248+J248-K248-L248)),0)</x:f>
        <x:v>0</x:v>
      </x:c>
      <x:c r="N248" s="105" t="n">
        <x:f>K248+L248+M248</x:f>
        <x:v>2304.2210763521375</x:v>
      </x:c>
      <x:c r="O248" s="105" t="n">
        <x:f>MAX(0,N248-J248)</x:f>
        <x:v>2103.8122004340958</x:v>
      </x:c>
      <x:c r="P248" s="105" t="n">
        <x:f>MAX(0,I248-O248)</x:f>
        <x:v>34894.749507512075</x:v>
      </x:c>
      <x:c r="Q248" s="106" t="n">
        <x:f>X247</x:f>
        <x:v>0</x:v>
      </x:c>
      <x:c r="R248" s="106" t="n">
        <x:f>IF(Q248&gt;0,Q248*'Your Mortgage'!$C$7/12,0)</x:f>
        <x:v>0</x:v>
      </x:c>
      <x:c r="S248" s="106" t="n">
        <x:f>IF(Q248&gt;0,MIN('Your Mortgage'!$C$11,Q248+R248),0)</x:f>
        <x:v>0</x:v>
      </x:c>
      <x:c r="T248" s="106" t="n">
        <x:f>IF(Q248&gt;0,MIN('Your Mortgage'!$I$6,MAX(0,Q248+R248-S248)),0)</x:f>
        <x:v>0</x:v>
      </x:c>
      <x:c r="U248" s="106" t="n">
        <x:f>IF(AND(A248='Your Mortgage'!$I$8,Q248&gt;0),MIN('Your Mortgage'!$I$7,MAX(0,Q248+R248-S248-T248)),0)</x:f>
        <x:v>0</x:v>
      </x:c>
      <x:c r="V248" s="106" t="n">
        <x:f>S248+T248+U248</x:f>
        <x:v>0</x:v>
      </x:c>
      <x:c r="W248" s="106" t="n">
        <x:f>MAX(0,V248-R248)</x:f>
        <x:v>0</x:v>
      </x:c>
      <x:c r="X248" s="106" t="n">
        <x:f>MAX(0,Q248-W248)</x:f>
        <x:v>0</x:v>
      </x:c>
      <x:c r="Y248" s="1"/>
      <x:c r="Z248" s="1"/>
    </x:row>
    <x:row r="249">
      <x:c r="A249" s="100" t="n">
        <x:f>A248+1</x:f>
        <x:v>244</x:v>
      </x:c>
      <x:c r="B249" s="103" t="n">
        <x:f>EDATE(B248,1)</x:f>
        <x:v>53632</x:v>
      </x:c>
      <x:c r="C249" s="104" t="n">
        <x:f>H248</x:f>
        <x:v>177671.8392206375</x:v>
      </x:c>
      <x:c r="D249" s="104" t="n">
        <x:f>IF(C249&gt;0,C249*'Your Mortgage'!$C$7/12,0)</x:f>
        <x:v>962.3891291117866</x:v>
      </x:c>
      <x:c r="E249" s="104" t="n">
        <x:f>IF(C249&gt;0,MIN('Your Mortgage'!$C$11,C249+D249),0)</x:f>
        <x:v>2054.2210763521375</x:v>
      </x:c>
      <x:c r="F249" s="104" t="n">
        <x:f>E249</x:f>
        <x:v>2054.2210763521375</x:v>
      </x:c>
      <x:c r="G249" s="104" t="n">
        <x:f>MAX(0,F249-D249)</x:f>
        <x:v>1091.831947240351</x:v>
      </x:c>
      <x:c r="H249" s="104" t="n">
        <x:f>MAX(0,C249-G249)</x:f>
        <x:v>176580.00727339718</x:v>
      </x:c>
      <x:c r="I249" s="105" t="n">
        <x:f>P248</x:f>
        <x:v>34894.749507512075</x:v>
      </x:c>
      <x:c r="J249" s="105" t="n">
        <x:f>IF(I249&gt;0,I249*'Your Mortgage'!$C$7/12,0)</x:f>
        <x:v>189.01322649902374</x:v>
      </x:c>
      <x:c r="K249" s="105" t="n">
        <x:f>IF(I249&gt;0,MIN('Your Mortgage'!$C$11,I249+J249),0)</x:f>
        <x:v>2054.2210763521375</x:v>
      </x:c>
      <x:c r="L249" s="105" t="n">
        <x:f>IF(I249&gt;0,MIN('Your Mortgage'!$F$6,MAX(0,I249+J249-K249)),0)</x:f>
        <x:v>250</x:v>
      </x:c>
      <x:c r="M249" s="105" t="n">
        <x:f>IF(AND(A249='Your Mortgage'!$F$8,I249&gt;0),MIN('Your Mortgage'!$F$7,MAX(0,I249+J249-K249-L249)),0)</x:f>
        <x:v>0</x:v>
      </x:c>
      <x:c r="N249" s="105" t="n">
        <x:f>K249+L249+M249</x:f>
        <x:v>2304.2210763521375</x:v>
      </x:c>
      <x:c r="O249" s="105" t="n">
        <x:f>MAX(0,N249-J249)</x:f>
        <x:v>2115.2078498531137</x:v>
      </x:c>
      <x:c r="P249" s="105" t="n">
        <x:f>MAX(0,I249-O249)</x:f>
        <x:v>32779.54165765896</x:v>
      </x:c>
      <x:c r="Q249" s="106" t="n">
        <x:f>X248</x:f>
        <x:v>0</x:v>
      </x:c>
      <x:c r="R249" s="106" t="n">
        <x:f>IF(Q249&gt;0,Q249*'Your Mortgage'!$C$7/12,0)</x:f>
        <x:v>0</x:v>
      </x:c>
      <x:c r="S249" s="106" t="n">
        <x:f>IF(Q249&gt;0,MIN('Your Mortgage'!$C$11,Q249+R249),0)</x:f>
        <x:v>0</x:v>
      </x:c>
      <x:c r="T249" s="106" t="n">
        <x:f>IF(Q249&gt;0,MIN('Your Mortgage'!$I$6,MAX(0,Q249+R249-S249)),0)</x:f>
        <x:v>0</x:v>
      </x:c>
      <x:c r="U249" s="106" t="n">
        <x:f>IF(AND(A249='Your Mortgage'!$I$8,Q249&gt;0),MIN('Your Mortgage'!$I$7,MAX(0,Q249+R249-S249-T249)),0)</x:f>
        <x:v>0</x:v>
      </x:c>
      <x:c r="V249" s="106" t="n">
        <x:f>S249+T249+U249</x:f>
        <x:v>0</x:v>
      </x:c>
      <x:c r="W249" s="106" t="n">
        <x:f>MAX(0,V249-R249)</x:f>
        <x:v>0</x:v>
      </x:c>
      <x:c r="X249" s="106" t="n">
        <x:f>MAX(0,Q249-W249)</x:f>
        <x:v>0</x:v>
      </x:c>
      <x:c r="Y249" s="1"/>
      <x:c r="Z249" s="1"/>
    </x:row>
    <x:row r="250">
      <x:c r="A250" s="100" t="n">
        <x:f>A249+1</x:f>
        <x:v>245</x:v>
      </x:c>
      <x:c r="B250" s="103" t="n">
        <x:f>EDATE(B249,1)</x:f>
        <x:v>53662</x:v>
      </x:c>
      <x:c r="C250" s="104" t="n">
        <x:f>H249</x:f>
        <x:v>176580.00727339718</x:v>
      </x:c>
      <x:c r="D250" s="104" t="n">
        <x:f>IF(C250&gt;0,C250*'Your Mortgage'!$C$7/12,0)</x:f>
        <x:v>956.4750393975681</x:v>
      </x:c>
      <x:c r="E250" s="104" t="n">
        <x:f>IF(C250&gt;0,MIN('Your Mortgage'!$C$11,C250+D250),0)</x:f>
        <x:v>2054.2210763521375</x:v>
      </x:c>
      <x:c r="F250" s="104" t="n">
        <x:f>E250</x:f>
        <x:v>2054.2210763521375</x:v>
      </x:c>
      <x:c r="G250" s="104" t="n">
        <x:f>MAX(0,F250-D250)</x:f>
        <x:v>1097.7460369545693</x:v>
      </x:c>
      <x:c r="H250" s="104" t="n">
        <x:f>MAX(0,C250-G250)</x:f>
        <x:v>175482.2612364426</x:v>
      </x:c>
      <x:c r="I250" s="105" t="n">
        <x:f>P249</x:f>
        <x:v>32779.54165765896</x:v>
      </x:c>
      <x:c r="J250" s="105" t="n">
        <x:f>IF(I250&gt;0,I250*'Your Mortgage'!$C$7/12,0)</x:f>
        <x:v>177.55585064565273</x:v>
      </x:c>
      <x:c r="K250" s="105" t="n">
        <x:f>IF(I250&gt;0,MIN('Your Mortgage'!$C$11,I250+J250),0)</x:f>
        <x:v>2054.2210763521375</x:v>
      </x:c>
      <x:c r="L250" s="105" t="n">
        <x:f>IF(I250&gt;0,MIN('Your Mortgage'!$F$6,MAX(0,I250+J250-K250)),0)</x:f>
        <x:v>250</x:v>
      </x:c>
      <x:c r="M250" s="105" t="n">
        <x:f>IF(AND(A250='Your Mortgage'!$F$8,I250&gt;0),MIN('Your Mortgage'!$F$7,MAX(0,I250+J250-K250-L250)),0)</x:f>
        <x:v>0</x:v>
      </x:c>
      <x:c r="N250" s="105" t="n">
        <x:f>K250+L250+M250</x:f>
        <x:v>2304.2210763521375</x:v>
      </x:c>
      <x:c r="O250" s="105" t="n">
        <x:f>MAX(0,N250-J250)</x:f>
        <x:v>2126.6652257064848</x:v>
      </x:c>
      <x:c r="P250" s="105" t="n">
        <x:f>MAX(0,I250-O250)</x:f>
        <x:v>30652.876431952478</x:v>
      </x:c>
      <x:c r="Q250" s="106" t="n">
        <x:f>X249</x:f>
        <x:v>0</x:v>
      </x:c>
      <x:c r="R250" s="106" t="n">
        <x:f>IF(Q250&gt;0,Q250*'Your Mortgage'!$C$7/12,0)</x:f>
        <x:v>0</x:v>
      </x:c>
      <x:c r="S250" s="106" t="n">
        <x:f>IF(Q250&gt;0,MIN('Your Mortgage'!$C$11,Q250+R250),0)</x:f>
        <x:v>0</x:v>
      </x:c>
      <x:c r="T250" s="106" t="n">
        <x:f>IF(Q250&gt;0,MIN('Your Mortgage'!$I$6,MAX(0,Q250+R250-S250)),0)</x:f>
        <x:v>0</x:v>
      </x:c>
      <x:c r="U250" s="106" t="n">
        <x:f>IF(AND(A250='Your Mortgage'!$I$8,Q250&gt;0),MIN('Your Mortgage'!$I$7,MAX(0,Q250+R250-S250-T250)),0)</x:f>
        <x:v>0</x:v>
      </x:c>
      <x:c r="V250" s="106" t="n">
        <x:f>S250+T250+U250</x:f>
        <x:v>0</x:v>
      </x:c>
      <x:c r="W250" s="106" t="n">
        <x:f>MAX(0,V250-R250)</x:f>
        <x:v>0</x:v>
      </x:c>
      <x:c r="X250" s="106" t="n">
        <x:f>MAX(0,Q250-W250)</x:f>
        <x:v>0</x:v>
      </x:c>
      <x:c r="Y250" s="1"/>
      <x:c r="Z250" s="1"/>
    </x:row>
    <x:row r="251">
      <x:c r="A251" s="100" t="n">
        <x:f>A250+1</x:f>
        <x:v>246</x:v>
      </x:c>
      <x:c r="B251" s="103" t="n">
        <x:f>EDATE(B250,1)</x:f>
        <x:v>53693</x:v>
      </x:c>
      <x:c r="C251" s="104" t="n">
        <x:f>H250</x:f>
        <x:v>175482.2612364426</x:v>
      </x:c>
      <x:c r="D251" s="104" t="n">
        <x:f>IF(C251&gt;0,C251*'Your Mortgage'!$C$7/12,0)</x:f>
        <x:v>950.5289150307308</x:v>
      </x:c>
      <x:c r="E251" s="104" t="n">
        <x:f>IF(C251&gt;0,MIN('Your Mortgage'!$C$11,C251+D251),0)</x:f>
        <x:v>2054.2210763521375</x:v>
      </x:c>
      <x:c r="F251" s="104" t="n">
        <x:f>E251</x:f>
        <x:v>2054.2210763521375</x:v>
      </x:c>
      <x:c r="G251" s="104" t="n">
        <x:f>MAX(0,F251-D251)</x:f>
        <x:v>1103.6921613214067</x:v>
      </x:c>
      <x:c r="H251" s="104" t="n">
        <x:f>MAX(0,C251-G251)</x:f>
        <x:v>174378.5690751212</x:v>
      </x:c>
      <x:c r="I251" s="105" t="n">
        <x:f>P250</x:f>
        <x:v>30652.876431952478</x:v>
      </x:c>
      <x:c r="J251" s="105" t="n">
        <x:f>IF(I251&gt;0,I251*'Your Mortgage'!$C$7/12,0)</x:f>
        <x:v>166.03641400640927</x:v>
      </x:c>
      <x:c r="K251" s="105" t="n">
        <x:f>IF(I251&gt;0,MIN('Your Mortgage'!$C$11,I251+J251),0)</x:f>
        <x:v>2054.2210763521375</x:v>
      </x:c>
      <x:c r="L251" s="105" t="n">
        <x:f>IF(I251&gt;0,MIN('Your Mortgage'!$F$6,MAX(0,I251+J251-K251)),0)</x:f>
        <x:v>250</x:v>
      </x:c>
      <x:c r="M251" s="105" t="n">
        <x:f>IF(AND(A251='Your Mortgage'!$F$8,I251&gt;0),MIN('Your Mortgage'!$F$7,MAX(0,I251+J251-K251-L251)),0)</x:f>
        <x:v>0</x:v>
      </x:c>
      <x:c r="N251" s="105" t="n">
        <x:f>K251+L251+M251</x:f>
        <x:v>2304.2210763521375</x:v>
      </x:c>
      <x:c r="O251" s="105" t="n">
        <x:f>MAX(0,N251-J251)</x:f>
        <x:v>2138.184662345728</x:v>
      </x:c>
      <x:c r="P251" s="105" t="n">
        <x:f>MAX(0,I251-O251)</x:f>
        <x:v>28514.69176960675</x:v>
      </x:c>
      <x:c r="Q251" s="106" t="n">
        <x:f>X250</x:f>
        <x:v>0</x:v>
      </x:c>
      <x:c r="R251" s="106" t="n">
        <x:f>IF(Q251&gt;0,Q251*'Your Mortgage'!$C$7/12,0)</x:f>
        <x:v>0</x:v>
      </x:c>
      <x:c r="S251" s="106" t="n">
        <x:f>IF(Q251&gt;0,MIN('Your Mortgage'!$C$11,Q251+R251),0)</x:f>
        <x:v>0</x:v>
      </x:c>
      <x:c r="T251" s="106" t="n">
        <x:f>IF(Q251&gt;0,MIN('Your Mortgage'!$I$6,MAX(0,Q251+R251-S251)),0)</x:f>
        <x:v>0</x:v>
      </x:c>
      <x:c r="U251" s="106" t="n">
        <x:f>IF(AND(A251='Your Mortgage'!$I$8,Q251&gt;0),MIN('Your Mortgage'!$I$7,MAX(0,Q251+R251-S251-T251)),0)</x:f>
        <x:v>0</x:v>
      </x:c>
      <x:c r="V251" s="106" t="n">
        <x:f>S251+T251+U251</x:f>
        <x:v>0</x:v>
      </x:c>
      <x:c r="W251" s="106" t="n">
        <x:f>MAX(0,V251-R251)</x:f>
        <x:v>0</x:v>
      </x:c>
      <x:c r="X251" s="106" t="n">
        <x:f>MAX(0,Q251-W251)</x:f>
        <x:v>0</x:v>
      </x:c>
      <x:c r="Y251" s="1"/>
      <x:c r="Z251" s="1"/>
    </x:row>
    <x:row r="252">
      <x:c r="A252" s="100" t="n">
        <x:f>A251+1</x:f>
        <x:v>247</x:v>
      </x:c>
      <x:c r="B252" s="103" t="n">
        <x:f>EDATE(B251,1)</x:f>
        <x:v>53724</x:v>
      </x:c>
      <x:c r="C252" s="104" t="n">
        <x:f>H251</x:f>
        <x:v>174378.5690751212</x:v>
      </x:c>
      <x:c r="D252" s="104" t="n">
        <x:f>IF(C252&gt;0,C252*'Your Mortgage'!$C$7/12,0)</x:f>
        <x:v>944.5505824902398</x:v>
      </x:c>
      <x:c r="E252" s="104" t="n">
        <x:f>IF(C252&gt;0,MIN('Your Mortgage'!$C$11,C252+D252),0)</x:f>
        <x:v>2054.2210763521375</x:v>
      </x:c>
      <x:c r="F252" s="104" t="n">
        <x:f>E252</x:f>
        <x:v>2054.2210763521375</x:v>
      </x:c>
      <x:c r="G252" s="104" t="n">
        <x:f>MAX(0,F252-D252)</x:f>
        <x:v>1109.6704938618977</x:v>
      </x:c>
      <x:c r="H252" s="104" t="n">
        <x:f>MAX(0,C252-G252)</x:f>
        <x:v>173268.8985812593</x:v>
      </x:c>
      <x:c r="I252" s="105" t="n">
        <x:f>P251</x:f>
        <x:v>28514.69176960675</x:v>
      </x:c>
      <x:c r="J252" s="105" t="n">
        <x:f>IF(I252&gt;0,I252*'Your Mortgage'!$C$7/12,0)</x:f>
        <x:v>154.45458041870324</x:v>
      </x:c>
      <x:c r="K252" s="105" t="n">
        <x:f>IF(I252&gt;0,MIN('Your Mortgage'!$C$11,I252+J252),0)</x:f>
        <x:v>2054.2210763521375</x:v>
      </x:c>
      <x:c r="L252" s="105" t="n">
        <x:f>IF(I252&gt;0,MIN('Your Mortgage'!$F$6,MAX(0,I252+J252-K252)),0)</x:f>
        <x:v>250</x:v>
      </x:c>
      <x:c r="M252" s="105" t="n">
        <x:f>IF(AND(A252='Your Mortgage'!$F$8,I252&gt;0),MIN('Your Mortgage'!$F$7,MAX(0,I252+J252-K252-L252)),0)</x:f>
        <x:v>0</x:v>
      </x:c>
      <x:c r="N252" s="105" t="n">
        <x:f>K252+L252+M252</x:f>
        <x:v>2304.2210763521375</x:v>
      </x:c>
      <x:c r="O252" s="105" t="n">
        <x:f>MAX(0,N252-J252)</x:f>
        <x:v>2149.7664959334343</x:v>
      </x:c>
      <x:c r="P252" s="105" t="n">
        <x:f>MAX(0,I252-O252)</x:f>
        <x:v>26364.925273673318</x:v>
      </x:c>
      <x:c r="Q252" s="106" t="n">
        <x:f>X251</x:f>
        <x:v>0</x:v>
      </x:c>
      <x:c r="R252" s="106" t="n">
        <x:f>IF(Q252&gt;0,Q252*'Your Mortgage'!$C$7/12,0)</x:f>
        <x:v>0</x:v>
      </x:c>
      <x:c r="S252" s="106" t="n">
        <x:f>IF(Q252&gt;0,MIN('Your Mortgage'!$C$11,Q252+R252),0)</x:f>
        <x:v>0</x:v>
      </x:c>
      <x:c r="T252" s="106" t="n">
        <x:f>IF(Q252&gt;0,MIN('Your Mortgage'!$I$6,MAX(0,Q252+R252-S252)),0)</x:f>
        <x:v>0</x:v>
      </x:c>
      <x:c r="U252" s="106" t="n">
        <x:f>IF(AND(A252='Your Mortgage'!$I$8,Q252&gt;0),MIN('Your Mortgage'!$I$7,MAX(0,Q252+R252-S252-T252)),0)</x:f>
        <x:v>0</x:v>
      </x:c>
      <x:c r="V252" s="106" t="n">
        <x:f>S252+T252+U252</x:f>
        <x:v>0</x:v>
      </x:c>
      <x:c r="W252" s="106" t="n">
        <x:f>MAX(0,V252-R252)</x:f>
        <x:v>0</x:v>
      </x:c>
      <x:c r="X252" s="106" t="n">
        <x:f>MAX(0,Q252-W252)</x:f>
        <x:v>0</x:v>
      </x:c>
      <x:c r="Y252" s="1"/>
      <x:c r="Z252" s="1"/>
    </x:row>
    <x:row r="253">
      <x:c r="A253" s="100" t="n">
        <x:f>A252+1</x:f>
        <x:v>248</x:v>
      </x:c>
      <x:c r="B253" s="103" t="n">
        <x:f>EDATE(B252,1)</x:f>
        <x:v>53752</x:v>
      </x:c>
      <x:c r="C253" s="104" t="n">
        <x:f>H252</x:f>
        <x:v>173268.8985812593</x:v>
      </x:c>
      <x:c r="D253" s="104" t="n">
        <x:f>IF(C253&gt;0,C253*'Your Mortgage'!$C$7/12,0)</x:f>
        <x:v>938.5398673151545</x:v>
      </x:c>
      <x:c r="E253" s="104" t="n">
        <x:f>IF(C253&gt;0,MIN('Your Mortgage'!$C$11,C253+D253),0)</x:f>
        <x:v>2054.2210763521375</x:v>
      </x:c>
      <x:c r="F253" s="104" t="n">
        <x:f>E253</x:f>
        <x:v>2054.2210763521375</x:v>
      </x:c>
      <x:c r="G253" s="104" t="n">
        <x:f>MAX(0,F253-D253)</x:f>
        <x:v>1115.681209036983</x:v>
      </x:c>
      <x:c r="H253" s="104" t="n">
        <x:f>MAX(0,C253-G253)</x:f>
        <x:v>172153.2173722223</x:v>
      </x:c>
      <x:c r="I253" s="105" t="n">
        <x:f>P252</x:f>
        <x:v>26364.925273673318</x:v>
      </x:c>
      <x:c r="J253" s="105" t="n">
        <x:f>IF(I253&gt;0,I253*'Your Mortgage'!$C$7/12,0)</x:f>
        <x:v>142.81001189906382</x:v>
      </x:c>
      <x:c r="K253" s="105" t="n">
        <x:f>IF(I253&gt;0,MIN('Your Mortgage'!$C$11,I253+J253),0)</x:f>
        <x:v>2054.2210763521375</x:v>
      </x:c>
      <x:c r="L253" s="105" t="n">
        <x:f>IF(I253&gt;0,MIN('Your Mortgage'!$F$6,MAX(0,I253+J253-K253)),0)</x:f>
        <x:v>250</x:v>
      </x:c>
      <x:c r="M253" s="105" t="n">
        <x:f>IF(AND(A253='Your Mortgage'!$F$8,I253&gt;0),MIN('Your Mortgage'!$F$7,MAX(0,I253+J253-K253-L253)),0)</x:f>
        <x:v>0</x:v>
      </x:c>
      <x:c r="N253" s="105" t="n">
        <x:f>K253+L253+M253</x:f>
        <x:v>2304.2210763521375</x:v>
      </x:c>
      <x:c r="O253" s="105" t="n">
        <x:f>MAX(0,N253-J253)</x:f>
        <x:v>2161.411064453074</x:v>
      </x:c>
      <x:c r="P253" s="105" t="n">
        <x:f>MAX(0,I253-O253)</x:f>
        <x:v>24203.514209220244</x:v>
      </x:c>
      <x:c r="Q253" s="106" t="n">
        <x:f>X252</x:f>
        <x:v>0</x:v>
      </x:c>
      <x:c r="R253" s="106" t="n">
        <x:f>IF(Q253&gt;0,Q253*'Your Mortgage'!$C$7/12,0)</x:f>
        <x:v>0</x:v>
      </x:c>
      <x:c r="S253" s="106" t="n">
        <x:f>IF(Q253&gt;0,MIN('Your Mortgage'!$C$11,Q253+R253),0)</x:f>
        <x:v>0</x:v>
      </x:c>
      <x:c r="T253" s="106" t="n">
        <x:f>IF(Q253&gt;0,MIN('Your Mortgage'!$I$6,MAX(0,Q253+R253-S253)),0)</x:f>
        <x:v>0</x:v>
      </x:c>
      <x:c r="U253" s="106" t="n">
        <x:f>IF(AND(A253='Your Mortgage'!$I$8,Q253&gt;0),MIN('Your Mortgage'!$I$7,MAX(0,Q253+R253-S253-T253)),0)</x:f>
        <x:v>0</x:v>
      </x:c>
      <x:c r="V253" s="106" t="n">
        <x:f>S253+T253+U253</x:f>
        <x:v>0</x:v>
      </x:c>
      <x:c r="W253" s="106" t="n">
        <x:f>MAX(0,V253-R253)</x:f>
        <x:v>0</x:v>
      </x:c>
      <x:c r="X253" s="106" t="n">
        <x:f>MAX(0,Q253-W253)</x:f>
        <x:v>0</x:v>
      </x:c>
      <x:c r="Y253" s="1"/>
      <x:c r="Z253" s="1"/>
    </x:row>
    <x:row r="254">
      <x:c r="A254" s="100" t="n">
        <x:f>A253+1</x:f>
        <x:v>249</x:v>
      </x:c>
      <x:c r="B254" s="103" t="n">
        <x:f>EDATE(B253,1)</x:f>
        <x:v>53783</x:v>
      </x:c>
      <x:c r="C254" s="104" t="n">
        <x:f>H253</x:f>
        <x:v>172153.2173722223</x:v>
      </x:c>
      <x:c r="D254" s="104" t="n">
        <x:f>IF(C254&gt;0,C254*'Your Mortgage'!$C$7/12,0)</x:f>
        <x:v>932.4965940995376</x:v>
      </x:c>
      <x:c r="E254" s="104" t="n">
        <x:f>IF(C254&gt;0,MIN('Your Mortgage'!$C$11,C254+D254),0)</x:f>
        <x:v>2054.2210763521375</x:v>
      </x:c>
      <x:c r="F254" s="104" t="n">
        <x:f>E254</x:f>
        <x:v>2054.2210763521375</x:v>
      </x:c>
      <x:c r="G254" s="104" t="n">
        <x:f>MAX(0,F254-D254)</x:f>
        <x:v>1121.7244822526</x:v>
      </x:c>
      <x:c r="H254" s="104" t="n">
        <x:f>MAX(0,C254-G254)</x:f>
        <x:v>171031.4928899697</x:v>
      </x:c>
      <x:c r="I254" s="105" t="n">
        <x:f>P253</x:f>
        <x:v>24203.514209220244</x:v>
      </x:c>
      <x:c r="J254" s="105" t="n">
        <x:f>IF(I254&gt;0,I254*'Your Mortgage'!$C$7/12,0)</x:f>
        <x:v>131.1023686332763</x:v>
      </x:c>
      <x:c r="K254" s="105" t="n">
        <x:f>IF(I254&gt;0,MIN('Your Mortgage'!$C$11,I254+J254),0)</x:f>
        <x:v>2054.2210763521375</x:v>
      </x:c>
      <x:c r="L254" s="105" t="n">
        <x:f>IF(I254&gt;0,MIN('Your Mortgage'!$F$6,MAX(0,I254+J254-K254)),0)</x:f>
        <x:v>250</x:v>
      </x:c>
      <x:c r="M254" s="105" t="n">
        <x:f>IF(AND(A254='Your Mortgage'!$F$8,I254&gt;0),MIN('Your Mortgage'!$F$7,MAX(0,I254+J254-K254-L254)),0)</x:f>
        <x:v>0</x:v>
      </x:c>
      <x:c r="N254" s="105" t="n">
        <x:f>K254+L254+M254</x:f>
        <x:v>2304.2210763521375</x:v>
      </x:c>
      <x:c r="O254" s="105" t="n">
        <x:f>MAX(0,N254-J254)</x:f>
        <x:v>2173.118707718861</x:v>
      </x:c>
      <x:c r="P254" s="105" t="n">
        <x:f>MAX(0,I254-O254)</x:f>
        <x:v>22030.39550150138</x:v>
      </x:c>
      <x:c r="Q254" s="106" t="n">
        <x:f>X253</x:f>
        <x:v>0</x:v>
      </x:c>
      <x:c r="R254" s="106" t="n">
        <x:f>IF(Q254&gt;0,Q254*'Your Mortgage'!$C$7/12,0)</x:f>
        <x:v>0</x:v>
      </x:c>
      <x:c r="S254" s="106" t="n">
        <x:f>IF(Q254&gt;0,MIN('Your Mortgage'!$C$11,Q254+R254),0)</x:f>
        <x:v>0</x:v>
      </x:c>
      <x:c r="T254" s="106" t="n">
        <x:f>IF(Q254&gt;0,MIN('Your Mortgage'!$I$6,MAX(0,Q254+R254-S254)),0)</x:f>
        <x:v>0</x:v>
      </x:c>
      <x:c r="U254" s="106" t="n">
        <x:f>IF(AND(A254='Your Mortgage'!$I$8,Q254&gt;0),MIN('Your Mortgage'!$I$7,MAX(0,Q254+R254-S254-T254)),0)</x:f>
        <x:v>0</x:v>
      </x:c>
      <x:c r="V254" s="106" t="n">
        <x:f>S254+T254+U254</x:f>
        <x:v>0</x:v>
      </x:c>
      <x:c r="W254" s="106" t="n">
        <x:f>MAX(0,V254-R254)</x:f>
        <x:v>0</x:v>
      </x:c>
      <x:c r="X254" s="106" t="n">
        <x:f>MAX(0,Q254-W254)</x:f>
        <x:v>0</x:v>
      </x:c>
      <x:c r="Y254" s="1"/>
      <x:c r="Z254" s="1"/>
    </x:row>
    <x:row r="255">
      <x:c r="A255" s="100" t="n">
        <x:f>A254+1</x:f>
        <x:v>250</x:v>
      </x:c>
      <x:c r="B255" s="103" t="n">
        <x:f>EDATE(B254,1)</x:f>
        <x:v>53813</x:v>
      </x:c>
      <x:c r="C255" s="104" t="n">
        <x:f>H254</x:f>
        <x:v>171031.4928899697</x:v>
      </x:c>
      <x:c r="D255" s="104" t="n">
        <x:f>IF(C255&gt;0,C255*'Your Mortgage'!$C$7/12,0)</x:f>
        <x:v>926.420586487336</x:v>
      </x:c>
      <x:c r="E255" s="104" t="n">
        <x:f>IF(C255&gt;0,MIN('Your Mortgage'!$C$11,C255+D255),0)</x:f>
        <x:v>2054.2210763521375</x:v>
      </x:c>
      <x:c r="F255" s="104" t="n">
        <x:f>E255</x:f>
        <x:v>2054.2210763521375</x:v>
      </x:c>
      <x:c r="G255" s="104" t="n">
        <x:f>MAX(0,F255-D255)</x:f>
        <x:v>1127.8004898648014</x:v>
      </x:c>
      <x:c r="H255" s="104" t="n">
        <x:f>MAX(0,C255-G255)</x:f>
        <x:v>169903.6924001049</x:v>
      </x:c>
      <x:c r="I255" s="105" t="n">
        <x:f>P254</x:f>
        <x:v>22030.39550150138</x:v>
      </x:c>
      <x:c r="J255" s="105" t="n">
        <x:f>IF(I255&gt;0,I255*'Your Mortgage'!$C$7/12,0)</x:f>
        <x:v>119.33130896646583</x:v>
      </x:c>
      <x:c r="K255" s="105" t="n">
        <x:f>IF(I255&gt;0,MIN('Your Mortgage'!$C$11,I255+J255),0)</x:f>
        <x:v>2054.2210763521375</x:v>
      </x:c>
      <x:c r="L255" s="105" t="n">
        <x:f>IF(I255&gt;0,MIN('Your Mortgage'!$F$6,MAX(0,I255+J255-K255)),0)</x:f>
        <x:v>250</x:v>
      </x:c>
      <x:c r="M255" s="105" t="n">
        <x:f>IF(AND(A255='Your Mortgage'!$F$8,I255&gt;0),MIN('Your Mortgage'!$F$7,MAX(0,I255+J255-K255-L255)),0)</x:f>
        <x:v>0</x:v>
      </x:c>
      <x:c r="N255" s="105" t="n">
        <x:f>K255+L255+M255</x:f>
        <x:v>2304.2210763521375</x:v>
      </x:c>
      <x:c r="O255" s="105" t="n">
        <x:f>MAX(0,N255-J255)</x:f>
        <x:v>2184.889767385672</x:v>
      </x:c>
      <x:c r="P255" s="105" t="n">
        <x:f>MAX(0,I255-O255)</x:f>
        <x:v>19845.505734115708</x:v>
      </x:c>
      <x:c r="Q255" s="106" t="n">
        <x:f>X254</x:f>
        <x:v>0</x:v>
      </x:c>
      <x:c r="R255" s="106" t="n">
        <x:f>IF(Q255&gt;0,Q255*'Your Mortgage'!$C$7/12,0)</x:f>
        <x:v>0</x:v>
      </x:c>
      <x:c r="S255" s="106" t="n">
        <x:f>IF(Q255&gt;0,MIN('Your Mortgage'!$C$11,Q255+R255),0)</x:f>
        <x:v>0</x:v>
      </x:c>
      <x:c r="T255" s="106" t="n">
        <x:f>IF(Q255&gt;0,MIN('Your Mortgage'!$I$6,MAX(0,Q255+R255-S255)),0)</x:f>
        <x:v>0</x:v>
      </x:c>
      <x:c r="U255" s="106" t="n">
        <x:f>IF(AND(A255='Your Mortgage'!$I$8,Q255&gt;0),MIN('Your Mortgage'!$I$7,MAX(0,Q255+R255-S255-T255)),0)</x:f>
        <x:v>0</x:v>
      </x:c>
      <x:c r="V255" s="106" t="n">
        <x:f>S255+T255+U255</x:f>
        <x:v>0</x:v>
      </x:c>
      <x:c r="W255" s="106" t="n">
        <x:f>MAX(0,V255-R255)</x:f>
        <x:v>0</x:v>
      </x:c>
      <x:c r="X255" s="106" t="n">
        <x:f>MAX(0,Q255-W255)</x:f>
        <x:v>0</x:v>
      </x:c>
      <x:c r="Y255" s="1"/>
      <x:c r="Z255" s="1"/>
    </x:row>
    <x:row r="256">
      <x:c r="A256" s="100" t="n">
        <x:f>A255+1</x:f>
        <x:v>251</x:v>
      </x:c>
      <x:c r="B256" s="103" t="n">
        <x:f>EDATE(B255,1)</x:f>
        <x:v>53844</x:v>
      </x:c>
      <x:c r="C256" s="104" t="n">
        <x:f>H255</x:f>
        <x:v>169903.6924001049</x:v>
      </x:c>
      <x:c r="D256" s="104" t="n">
        <x:f>IF(C256&gt;0,C256*'Your Mortgage'!$C$7/12,0)</x:f>
        <x:v>920.3116671672348</x:v>
      </x:c>
      <x:c r="E256" s="104" t="n">
        <x:f>IF(C256&gt;0,MIN('Your Mortgage'!$C$11,C256+D256),0)</x:f>
        <x:v>2054.2210763521375</x:v>
      </x:c>
      <x:c r="F256" s="104" t="n">
        <x:f>E256</x:f>
        <x:v>2054.2210763521375</x:v>
      </x:c>
      <x:c r="G256" s="104" t="n">
        <x:f>MAX(0,F256-D256)</x:f>
        <x:v>1133.9094091849029</x:v>
      </x:c>
      <x:c r="H256" s="104" t="n">
        <x:f>MAX(0,C256-G256)</x:f>
        <x:v>168769.78299091998</x:v>
      </x:c>
      <x:c r="I256" s="105" t="n">
        <x:f>P255</x:f>
        <x:v>19845.505734115708</x:v>
      </x:c>
      <x:c r="J256" s="105" t="n">
        <x:f>IF(I256&gt;0,I256*'Your Mortgage'!$C$7/12,0)</x:f>
        <x:v>107.49648939312675</x:v>
      </x:c>
      <x:c r="K256" s="105" t="n">
        <x:f>IF(I256&gt;0,MIN('Your Mortgage'!$C$11,I256+J256),0)</x:f>
        <x:v>2054.2210763521375</x:v>
      </x:c>
      <x:c r="L256" s="105" t="n">
        <x:f>IF(I256&gt;0,MIN('Your Mortgage'!$F$6,MAX(0,I256+J256-K256)),0)</x:f>
        <x:v>250</x:v>
      </x:c>
      <x:c r="M256" s="105" t="n">
        <x:f>IF(AND(A256='Your Mortgage'!$F$8,I256&gt;0),MIN('Your Mortgage'!$F$7,MAX(0,I256+J256-K256-L256)),0)</x:f>
        <x:v>0</x:v>
      </x:c>
      <x:c r="N256" s="105" t="n">
        <x:f>K256+L256+M256</x:f>
        <x:v>2304.2210763521375</x:v>
      </x:c>
      <x:c r="O256" s="105" t="n">
        <x:f>MAX(0,N256-J256)</x:f>
        <x:v>2196.7245869590106</x:v>
      </x:c>
      <x:c r="P256" s="105" t="n">
        <x:f>MAX(0,I256-O256)</x:f>
        <x:v>17648.781147156697</x:v>
      </x:c>
      <x:c r="Q256" s="106" t="n">
        <x:f>X255</x:f>
        <x:v>0</x:v>
      </x:c>
      <x:c r="R256" s="106" t="n">
        <x:f>IF(Q256&gt;0,Q256*'Your Mortgage'!$C$7/12,0)</x:f>
        <x:v>0</x:v>
      </x:c>
      <x:c r="S256" s="106" t="n">
        <x:f>IF(Q256&gt;0,MIN('Your Mortgage'!$C$11,Q256+R256),0)</x:f>
        <x:v>0</x:v>
      </x:c>
      <x:c r="T256" s="106" t="n">
        <x:f>IF(Q256&gt;0,MIN('Your Mortgage'!$I$6,MAX(0,Q256+R256-S256)),0)</x:f>
        <x:v>0</x:v>
      </x:c>
      <x:c r="U256" s="106" t="n">
        <x:f>IF(AND(A256='Your Mortgage'!$I$8,Q256&gt;0),MIN('Your Mortgage'!$I$7,MAX(0,Q256+R256-S256-T256)),0)</x:f>
        <x:v>0</x:v>
      </x:c>
      <x:c r="V256" s="106" t="n">
        <x:f>S256+T256+U256</x:f>
        <x:v>0</x:v>
      </x:c>
      <x:c r="W256" s="106" t="n">
        <x:f>MAX(0,V256-R256)</x:f>
        <x:v>0</x:v>
      </x:c>
      <x:c r="X256" s="106" t="n">
        <x:f>MAX(0,Q256-W256)</x:f>
        <x:v>0</x:v>
      </x:c>
      <x:c r="Y256" s="1"/>
      <x:c r="Z256" s="1"/>
    </x:row>
    <x:row r="257">
      <x:c r="A257" s="100" t="n">
        <x:f>A256+1</x:f>
        <x:v>252</x:v>
      </x:c>
      <x:c r="B257" s="103" t="n">
        <x:f>EDATE(B256,1)</x:f>
        <x:v>53874</x:v>
      </x:c>
      <x:c r="C257" s="104" t="n">
        <x:f>H256</x:f>
        <x:v>168769.78299091998</x:v>
      </x:c>
      <x:c r="D257" s="104" t="n">
        <x:f>IF(C257&gt;0,C257*'Your Mortgage'!$C$7/12,0)</x:f>
        <x:v>914.1696578674832</x:v>
      </x:c>
      <x:c r="E257" s="104" t="n">
        <x:f>IF(C257&gt;0,MIN('Your Mortgage'!$C$11,C257+D257),0)</x:f>
        <x:v>2054.2210763521375</x:v>
      </x:c>
      <x:c r="F257" s="104" t="n">
        <x:f>E257</x:f>
        <x:v>2054.2210763521375</x:v>
      </x:c>
      <x:c r="G257" s="104" t="n">
        <x:f>MAX(0,F257-D257)</x:f>
        <x:v>1140.0514184846543</x:v>
      </x:c>
      <x:c r="H257" s="104" t="n">
        <x:f>MAX(0,C257-G257)</x:f>
        <x:v>167629.73157243532</x:v>
      </x:c>
      <x:c r="I257" s="105" t="n">
        <x:f>P256</x:f>
        <x:v>17648.781147156697</x:v>
      </x:c>
      <x:c r="J257" s="105" t="n">
        <x:f>IF(I257&gt;0,I257*'Your Mortgage'!$C$7/12,0)</x:f>
        <x:v>95.59756454709878</x:v>
      </x:c>
      <x:c r="K257" s="105" t="n">
        <x:f>IF(I257&gt;0,MIN('Your Mortgage'!$C$11,I257+J257),0)</x:f>
        <x:v>2054.2210763521375</x:v>
      </x:c>
      <x:c r="L257" s="105" t="n">
        <x:f>IF(I257&gt;0,MIN('Your Mortgage'!$F$6,MAX(0,I257+J257-K257)),0)</x:f>
        <x:v>250</x:v>
      </x:c>
      <x:c r="M257" s="105" t="n">
        <x:f>IF(AND(A257='Your Mortgage'!$F$8,I257&gt;0),MIN('Your Mortgage'!$F$7,MAX(0,I257+J257-K257-L257)),0)</x:f>
        <x:v>0</x:v>
      </x:c>
      <x:c r="N257" s="105" t="n">
        <x:f>K257+L257+M257</x:f>
        <x:v>2304.2210763521375</x:v>
      </x:c>
      <x:c r="O257" s="105" t="n">
        <x:f>MAX(0,N257-J257)</x:f>
        <x:v>2208.6235118050386</x:v>
      </x:c>
      <x:c r="P257" s="105" t="n">
        <x:f>MAX(0,I257-O257)</x:f>
        <x:v>15440.157635351658</x:v>
      </x:c>
      <x:c r="Q257" s="106" t="n">
        <x:f>X256</x:f>
        <x:v>0</x:v>
      </x:c>
      <x:c r="R257" s="106" t="n">
        <x:f>IF(Q257&gt;0,Q257*'Your Mortgage'!$C$7/12,0)</x:f>
        <x:v>0</x:v>
      </x:c>
      <x:c r="S257" s="106" t="n">
        <x:f>IF(Q257&gt;0,MIN('Your Mortgage'!$C$11,Q257+R257),0)</x:f>
        <x:v>0</x:v>
      </x:c>
      <x:c r="T257" s="106" t="n">
        <x:f>IF(Q257&gt;0,MIN('Your Mortgage'!$I$6,MAX(0,Q257+R257-S257)),0)</x:f>
        <x:v>0</x:v>
      </x:c>
      <x:c r="U257" s="106" t="n">
        <x:f>IF(AND(A257='Your Mortgage'!$I$8,Q257&gt;0),MIN('Your Mortgage'!$I$7,MAX(0,Q257+R257-S257-T257)),0)</x:f>
        <x:v>0</x:v>
      </x:c>
      <x:c r="V257" s="106" t="n">
        <x:f>S257+T257+U257</x:f>
        <x:v>0</x:v>
      </x:c>
      <x:c r="W257" s="106" t="n">
        <x:f>MAX(0,V257-R257)</x:f>
        <x:v>0</x:v>
      </x:c>
      <x:c r="X257" s="106" t="n">
        <x:f>MAX(0,Q257-W257)</x:f>
        <x:v>0</x:v>
      </x:c>
      <x:c r="Y257" s="1"/>
      <x:c r="Z257" s="1"/>
    </x:row>
    <x:row r="258">
      <x:c r="A258" s="100" t="n">
        <x:f>A257+1</x:f>
        <x:v>253</x:v>
      </x:c>
      <x:c r="B258" s="103" t="n">
        <x:f>EDATE(B257,1)</x:f>
        <x:v>53905</x:v>
      </x:c>
      <x:c r="C258" s="104" t="n">
        <x:f>H257</x:f>
        <x:v>167629.73157243532</x:v>
      </x:c>
      <x:c r="D258" s="104" t="n">
        <x:f>IF(C258&gt;0,C258*'Your Mortgage'!$C$7/12,0)</x:f>
        <x:v>907.9943793506914</x:v>
      </x:c>
      <x:c r="E258" s="104" t="n">
        <x:f>IF(C258&gt;0,MIN('Your Mortgage'!$C$11,C258+D258),0)</x:f>
        <x:v>2054.2210763521375</x:v>
      </x:c>
      <x:c r="F258" s="104" t="n">
        <x:f>E258</x:f>
        <x:v>2054.2210763521375</x:v>
      </x:c>
      <x:c r="G258" s="104" t="n">
        <x:f>MAX(0,F258-D258)</x:f>
        <x:v>1146.2266970014462</x:v>
      </x:c>
      <x:c r="H258" s="104" t="n">
        <x:f>MAX(0,C258-G258)</x:f>
        <x:v>166483.50487543386</x:v>
      </x:c>
      <x:c r="I258" s="105" t="n">
        <x:f>P257</x:f>
        <x:v>15440.157635351658</x:v>
      </x:c>
      <x:c r="J258" s="105" t="n">
        <x:f>IF(I258&gt;0,I258*'Your Mortgage'!$C$7/12,0)</x:f>
        <x:v>83.63418719148815</x:v>
      </x:c>
      <x:c r="K258" s="105" t="n">
        <x:f>IF(I258&gt;0,MIN('Your Mortgage'!$C$11,I258+J258),0)</x:f>
        <x:v>2054.2210763521375</x:v>
      </x:c>
      <x:c r="L258" s="105" t="n">
        <x:f>IF(I258&gt;0,MIN('Your Mortgage'!$F$6,MAX(0,I258+J258-K258)),0)</x:f>
        <x:v>250</x:v>
      </x:c>
      <x:c r="M258" s="105" t="n">
        <x:f>IF(AND(A258='Your Mortgage'!$F$8,I258&gt;0),MIN('Your Mortgage'!$F$7,MAX(0,I258+J258-K258-L258)),0)</x:f>
        <x:v>0</x:v>
      </x:c>
      <x:c r="N258" s="105" t="n">
        <x:f>K258+L258+M258</x:f>
        <x:v>2304.2210763521375</x:v>
      </x:c>
      <x:c r="O258" s="105" t="n">
        <x:f>MAX(0,N258-J258)</x:f>
        <x:v>2220.586889160649</x:v>
      </x:c>
      <x:c r="P258" s="105" t="n">
        <x:f>MAX(0,I258-O258)</x:f>
        <x:v>13219.570746191008</x:v>
      </x:c>
      <x:c r="Q258" s="106" t="n">
        <x:f>X257</x:f>
        <x:v>0</x:v>
      </x:c>
      <x:c r="R258" s="106" t="n">
        <x:f>IF(Q258&gt;0,Q258*'Your Mortgage'!$C$7/12,0)</x:f>
        <x:v>0</x:v>
      </x:c>
      <x:c r="S258" s="106" t="n">
        <x:f>IF(Q258&gt;0,MIN('Your Mortgage'!$C$11,Q258+R258),0)</x:f>
        <x:v>0</x:v>
      </x:c>
      <x:c r="T258" s="106" t="n">
        <x:f>IF(Q258&gt;0,MIN('Your Mortgage'!$I$6,MAX(0,Q258+R258-S258)),0)</x:f>
        <x:v>0</x:v>
      </x:c>
      <x:c r="U258" s="106" t="n">
        <x:f>IF(AND(A258='Your Mortgage'!$I$8,Q258&gt;0),MIN('Your Mortgage'!$I$7,MAX(0,Q258+R258-S258-T258)),0)</x:f>
        <x:v>0</x:v>
      </x:c>
      <x:c r="V258" s="106" t="n">
        <x:f>S258+T258+U258</x:f>
        <x:v>0</x:v>
      </x:c>
      <x:c r="W258" s="106" t="n">
        <x:f>MAX(0,V258-R258)</x:f>
        <x:v>0</x:v>
      </x:c>
      <x:c r="X258" s="106" t="n">
        <x:f>MAX(0,Q258-W258)</x:f>
        <x:v>0</x:v>
      </x:c>
      <x:c r="Y258" s="1"/>
      <x:c r="Z258" s="1"/>
    </x:row>
    <x:row r="259">
      <x:c r="A259" s="100" t="n">
        <x:f>A258+1</x:f>
        <x:v>254</x:v>
      </x:c>
      <x:c r="B259" s="103" t="n">
        <x:f>EDATE(B258,1)</x:f>
        <x:v>53936</x:v>
      </x:c>
      <x:c r="C259" s="104" t="n">
        <x:f>H258</x:f>
        <x:v>166483.50487543386</x:v>
      </x:c>
      <x:c r="D259" s="104" t="n">
        <x:f>IF(C259&gt;0,C259*'Your Mortgage'!$C$7/12,0)</x:f>
        <x:v>901.7856514086002</x:v>
      </x:c>
      <x:c r="E259" s="104" t="n">
        <x:f>IF(C259&gt;0,MIN('Your Mortgage'!$C$11,C259+D259),0)</x:f>
        <x:v>2054.2210763521375</x:v>
      </x:c>
      <x:c r="F259" s="104" t="n">
        <x:f>E259</x:f>
        <x:v>2054.2210763521375</x:v>
      </x:c>
      <x:c r="G259" s="104" t="n">
        <x:f>MAX(0,F259-D259)</x:f>
        <x:v>1152.4354249435373</x:v>
      </x:c>
      <x:c r="H259" s="104" t="n">
        <x:f>MAX(0,C259-G259)</x:f>
        <x:v>165331.06945049032</x:v>
      </x:c>
      <x:c r="I259" s="105" t="n">
        <x:f>P258</x:f>
        <x:v>13219.570746191008</x:v>
      </x:c>
      <x:c r="J259" s="105" t="n">
        <x:f>IF(I259&gt;0,I259*'Your Mortgage'!$C$7/12,0)</x:f>
        <x:v>71.60600820853463</x:v>
      </x:c>
      <x:c r="K259" s="105" t="n">
        <x:f>IF(I259&gt;0,MIN('Your Mortgage'!$C$11,I259+J259),0)</x:f>
        <x:v>2054.2210763521375</x:v>
      </x:c>
      <x:c r="L259" s="105" t="n">
        <x:f>IF(I259&gt;0,MIN('Your Mortgage'!$F$6,MAX(0,I259+J259-K259)),0)</x:f>
        <x:v>250</x:v>
      </x:c>
      <x:c r="M259" s="105" t="n">
        <x:f>IF(AND(A259='Your Mortgage'!$F$8,I259&gt;0),MIN('Your Mortgage'!$F$7,MAX(0,I259+J259-K259-L259)),0)</x:f>
        <x:v>0</x:v>
      </x:c>
      <x:c r="N259" s="105" t="n">
        <x:f>K259+L259+M259</x:f>
        <x:v>2304.2210763521375</x:v>
      </x:c>
      <x:c r="O259" s="105" t="n">
        <x:f>MAX(0,N259-J259)</x:f>
        <x:v>2232.615068143603</x:v>
      </x:c>
      <x:c r="P259" s="105" t="n">
        <x:f>MAX(0,I259-O259)</x:f>
        <x:v>10986.955678047405</x:v>
      </x:c>
      <x:c r="Q259" s="106" t="n">
        <x:f>X258</x:f>
        <x:v>0</x:v>
      </x:c>
      <x:c r="R259" s="106" t="n">
        <x:f>IF(Q259&gt;0,Q259*'Your Mortgage'!$C$7/12,0)</x:f>
        <x:v>0</x:v>
      </x:c>
      <x:c r="S259" s="106" t="n">
        <x:f>IF(Q259&gt;0,MIN('Your Mortgage'!$C$11,Q259+R259),0)</x:f>
        <x:v>0</x:v>
      </x:c>
      <x:c r="T259" s="106" t="n">
        <x:f>IF(Q259&gt;0,MIN('Your Mortgage'!$I$6,MAX(0,Q259+R259-S259)),0)</x:f>
        <x:v>0</x:v>
      </x:c>
      <x:c r="U259" s="106" t="n">
        <x:f>IF(AND(A259='Your Mortgage'!$I$8,Q259&gt;0),MIN('Your Mortgage'!$I$7,MAX(0,Q259+R259-S259-T259)),0)</x:f>
        <x:v>0</x:v>
      </x:c>
      <x:c r="V259" s="106" t="n">
        <x:f>S259+T259+U259</x:f>
        <x:v>0</x:v>
      </x:c>
      <x:c r="W259" s="106" t="n">
        <x:f>MAX(0,V259-R259)</x:f>
        <x:v>0</x:v>
      </x:c>
      <x:c r="X259" s="106" t="n">
        <x:f>MAX(0,Q259-W259)</x:f>
        <x:v>0</x:v>
      </x:c>
      <x:c r="Y259" s="1"/>
      <x:c r="Z259" s="1"/>
    </x:row>
    <x:row r="260">
      <x:c r="A260" s="100" t="n">
        <x:f>A259+1</x:f>
        <x:v>255</x:v>
      </x:c>
      <x:c r="B260" s="103" t="n">
        <x:f>EDATE(B259,1)</x:f>
        <x:v>53966</x:v>
      </x:c>
      <x:c r="C260" s="104" t="n">
        <x:f>H259</x:f>
        <x:v>165331.06945049032</x:v>
      </x:c>
      <x:c r="D260" s="104" t="n">
        <x:f>IF(C260&gt;0,C260*'Your Mortgage'!$C$7/12,0)</x:f>
        <x:v>895.5432928568226</x:v>
      </x:c>
      <x:c r="E260" s="104" t="n">
        <x:f>IF(C260&gt;0,MIN('Your Mortgage'!$C$11,C260+D260),0)</x:f>
        <x:v>2054.2210763521375</x:v>
      </x:c>
      <x:c r="F260" s="104" t="n">
        <x:f>E260</x:f>
        <x:v>2054.2210763521375</x:v>
      </x:c>
      <x:c r="G260" s="104" t="n">
        <x:f>MAX(0,F260-D260)</x:f>
        <x:v>1158.677783495315</x:v>
      </x:c>
      <x:c r="H260" s="104" t="n">
        <x:f>MAX(0,C260-G260)</x:f>
        <x:v>164172.391666995</x:v>
      </x:c>
      <x:c r="I260" s="105" t="n">
        <x:f>P259</x:f>
        <x:v>10986.955678047405</x:v>
      </x:c>
      <x:c r="J260" s="105" t="n">
        <x:f>IF(I260&gt;0,I260*'Your Mortgage'!$C$7/12,0)</x:f>
        <x:v>59.51267658942345</x:v>
      </x:c>
      <x:c r="K260" s="105" t="n">
        <x:f>IF(I260&gt;0,MIN('Your Mortgage'!$C$11,I260+J260),0)</x:f>
        <x:v>2054.2210763521375</x:v>
      </x:c>
      <x:c r="L260" s="105" t="n">
        <x:f>IF(I260&gt;0,MIN('Your Mortgage'!$F$6,MAX(0,I260+J260-K260)),0)</x:f>
        <x:v>250</x:v>
      </x:c>
      <x:c r="M260" s="105" t="n">
        <x:f>IF(AND(A260='Your Mortgage'!$F$8,I260&gt;0),MIN('Your Mortgage'!$F$7,MAX(0,I260+J260-K260-L260)),0)</x:f>
        <x:v>0</x:v>
      </x:c>
      <x:c r="N260" s="105" t="n">
        <x:f>K260+L260+M260</x:f>
        <x:v>2304.2210763521375</x:v>
      </x:c>
      <x:c r="O260" s="105" t="n">
        <x:f>MAX(0,N260-J260)</x:f>
        <x:v>2244.708399762714</x:v>
      </x:c>
      <x:c r="P260" s="105" t="n">
        <x:f>MAX(0,I260-O260)</x:f>
        <x:v>8742.24727828469</x:v>
      </x:c>
      <x:c r="Q260" s="106" t="n">
        <x:f>X259</x:f>
        <x:v>0</x:v>
      </x:c>
      <x:c r="R260" s="106" t="n">
        <x:f>IF(Q260&gt;0,Q260*'Your Mortgage'!$C$7/12,0)</x:f>
        <x:v>0</x:v>
      </x:c>
      <x:c r="S260" s="106" t="n">
        <x:f>IF(Q260&gt;0,MIN('Your Mortgage'!$C$11,Q260+R260),0)</x:f>
        <x:v>0</x:v>
      </x:c>
      <x:c r="T260" s="106" t="n">
        <x:f>IF(Q260&gt;0,MIN('Your Mortgage'!$I$6,MAX(0,Q260+R260-S260)),0)</x:f>
        <x:v>0</x:v>
      </x:c>
      <x:c r="U260" s="106" t="n">
        <x:f>IF(AND(A260='Your Mortgage'!$I$8,Q260&gt;0),MIN('Your Mortgage'!$I$7,MAX(0,Q260+R260-S260-T260)),0)</x:f>
        <x:v>0</x:v>
      </x:c>
      <x:c r="V260" s="106" t="n">
        <x:f>S260+T260+U260</x:f>
        <x:v>0</x:v>
      </x:c>
      <x:c r="W260" s="106" t="n">
        <x:f>MAX(0,V260-R260)</x:f>
        <x:v>0</x:v>
      </x:c>
      <x:c r="X260" s="106" t="n">
        <x:f>MAX(0,Q260-W260)</x:f>
        <x:v>0</x:v>
      </x:c>
      <x:c r="Y260" s="1"/>
      <x:c r="Z260" s="1"/>
    </x:row>
    <x:row r="261">
      <x:c r="A261" s="100" t="n">
        <x:f>A260+1</x:f>
        <x:v>256</x:v>
      </x:c>
      <x:c r="B261" s="103" t="n">
        <x:f>EDATE(B260,1)</x:f>
        <x:v>53997</x:v>
      </x:c>
      <x:c r="C261" s="104" t="n">
        <x:f>H260</x:f>
        <x:v>164172.391666995</x:v>
      </x:c>
      <x:c r="D261" s="104" t="n">
        <x:f>IF(C261&gt;0,C261*'Your Mortgage'!$C$7/12,0)</x:f>
        <x:v>889.2671215295563</x:v>
      </x:c>
      <x:c r="E261" s="104" t="n">
        <x:f>IF(C261&gt;0,MIN('Your Mortgage'!$C$11,C261+D261),0)</x:f>
        <x:v>2054.2210763521375</x:v>
      </x:c>
      <x:c r="F261" s="104" t="n">
        <x:f>E261</x:f>
        <x:v>2054.2210763521375</x:v>
      </x:c>
      <x:c r="G261" s="104" t="n">
        <x:f>MAX(0,F261-D261)</x:f>
        <x:v>1164.9539548225812</x:v>
      </x:c>
      <x:c r="H261" s="104" t="n">
        <x:f>MAX(0,C261-G261)</x:f>
        <x:v>163007.43771217242</x:v>
      </x:c>
      <x:c r="I261" s="105" t="n">
        <x:f>P260</x:f>
        <x:v>8742.24727828469</x:v>
      </x:c>
      <x:c r="J261" s="105" t="n">
        <x:f>IF(I261&gt;0,I261*'Your Mortgage'!$C$7/12,0)</x:f>
        <x:v>47.35383942404207</x:v>
      </x:c>
      <x:c r="K261" s="105" t="n">
        <x:f>IF(I261&gt;0,MIN('Your Mortgage'!$C$11,I261+J261),0)</x:f>
        <x:v>2054.2210763521375</x:v>
      </x:c>
      <x:c r="L261" s="105" t="n">
        <x:f>IF(I261&gt;0,MIN('Your Mortgage'!$F$6,MAX(0,I261+J261-K261)),0)</x:f>
        <x:v>250</x:v>
      </x:c>
      <x:c r="M261" s="105" t="n">
        <x:f>IF(AND(A261='Your Mortgage'!$F$8,I261&gt;0),MIN('Your Mortgage'!$F$7,MAX(0,I261+J261-K261-L261)),0)</x:f>
        <x:v>0</x:v>
      </x:c>
      <x:c r="N261" s="105" t="n">
        <x:f>K261+L261+M261</x:f>
        <x:v>2304.2210763521375</x:v>
      </x:c>
      <x:c r="O261" s="105" t="n">
        <x:f>MAX(0,N261-J261)</x:f>
        <x:v>2256.8672369280953</x:v>
      </x:c>
      <x:c r="P261" s="105" t="n">
        <x:f>MAX(0,I261-O261)</x:f>
        <x:v>6485.380041356595</x:v>
      </x:c>
      <x:c r="Q261" s="106" t="n">
        <x:f>X260</x:f>
        <x:v>0</x:v>
      </x:c>
      <x:c r="R261" s="106" t="n">
        <x:f>IF(Q261&gt;0,Q261*'Your Mortgage'!$C$7/12,0)</x:f>
        <x:v>0</x:v>
      </x:c>
      <x:c r="S261" s="106" t="n">
        <x:f>IF(Q261&gt;0,MIN('Your Mortgage'!$C$11,Q261+R261),0)</x:f>
        <x:v>0</x:v>
      </x:c>
      <x:c r="T261" s="106" t="n">
        <x:f>IF(Q261&gt;0,MIN('Your Mortgage'!$I$6,MAX(0,Q261+R261-S261)),0)</x:f>
        <x:v>0</x:v>
      </x:c>
      <x:c r="U261" s="106" t="n">
        <x:f>IF(AND(A261='Your Mortgage'!$I$8,Q261&gt;0),MIN('Your Mortgage'!$I$7,MAX(0,Q261+R261-S261-T261)),0)</x:f>
        <x:v>0</x:v>
      </x:c>
      <x:c r="V261" s="106" t="n">
        <x:f>S261+T261+U261</x:f>
        <x:v>0</x:v>
      </x:c>
      <x:c r="W261" s="106" t="n">
        <x:f>MAX(0,V261-R261)</x:f>
        <x:v>0</x:v>
      </x:c>
      <x:c r="X261" s="106" t="n">
        <x:f>MAX(0,Q261-W261)</x:f>
        <x:v>0</x:v>
      </x:c>
      <x:c r="Y261" s="1"/>
      <x:c r="Z261" s="1"/>
    </x:row>
    <x:row r="262">
      <x:c r="A262" s="100" t="n">
        <x:f>A261+1</x:f>
        <x:v>257</x:v>
      </x:c>
      <x:c r="B262" s="103" t="n">
        <x:f>EDATE(B261,1)</x:f>
        <x:v>54027</x:v>
      </x:c>
      <x:c r="C262" s="104" t="n">
        <x:f>H261</x:f>
        <x:v>163007.43771217242</x:v>
      </x:c>
      <x:c r="D262" s="104" t="n">
        <x:f>IF(C262&gt;0,C262*'Your Mortgage'!$C$7/12,0)</x:f>
        <x:v>882.9569542742673</x:v>
      </x:c>
      <x:c r="E262" s="104" t="n">
        <x:f>IF(C262&gt;0,MIN('Your Mortgage'!$C$11,C262+D262),0)</x:f>
        <x:v>2054.2210763521375</x:v>
      </x:c>
      <x:c r="F262" s="104" t="n">
        <x:f>E262</x:f>
        <x:v>2054.2210763521375</x:v>
      </x:c>
      <x:c r="G262" s="104" t="n">
        <x:f>MAX(0,F262-D262)</x:f>
        <x:v>1171.26412207787</x:v>
      </x:c>
      <x:c r="H262" s="104" t="n">
        <x:f>MAX(0,C262-G262)</x:f>
        <x:v>161836.17359009455</x:v>
      </x:c>
      <x:c r="I262" s="105" t="n">
        <x:f>P261</x:f>
        <x:v>6485.380041356595</x:v>
      </x:c>
      <x:c r="J262" s="105" t="n">
        <x:f>IF(I262&gt;0,I262*'Your Mortgage'!$C$7/12,0)</x:f>
        <x:v>35.12914189068156</x:v>
      </x:c>
      <x:c r="K262" s="105" t="n">
        <x:f>IF(I262&gt;0,MIN('Your Mortgage'!$C$11,I262+J262),0)</x:f>
        <x:v>2054.2210763521375</x:v>
      </x:c>
      <x:c r="L262" s="105" t="n">
        <x:f>IF(I262&gt;0,MIN('Your Mortgage'!$F$6,MAX(0,I262+J262-K262)),0)</x:f>
        <x:v>250</x:v>
      </x:c>
      <x:c r="M262" s="105" t="n">
        <x:f>IF(AND(A262='Your Mortgage'!$F$8,I262&gt;0),MIN('Your Mortgage'!$F$7,MAX(0,I262+J262-K262-L262)),0)</x:f>
        <x:v>0</x:v>
      </x:c>
      <x:c r="N262" s="105" t="n">
        <x:f>K262+L262+M262</x:f>
        <x:v>2304.2210763521375</x:v>
      </x:c>
      <x:c r="O262" s="105" t="n">
        <x:f>MAX(0,N262-J262)</x:f>
        <x:v>2269.091934461456</x:v>
      </x:c>
      <x:c r="P262" s="105" t="n">
        <x:f>MAX(0,I262-O262)</x:f>
        <x:v>4216.288106895139</x:v>
      </x:c>
      <x:c r="Q262" s="106" t="n">
        <x:f>X261</x:f>
        <x:v>0</x:v>
      </x:c>
      <x:c r="R262" s="106" t="n">
        <x:f>IF(Q262&gt;0,Q262*'Your Mortgage'!$C$7/12,0)</x:f>
        <x:v>0</x:v>
      </x:c>
      <x:c r="S262" s="106" t="n">
        <x:f>IF(Q262&gt;0,MIN('Your Mortgage'!$C$11,Q262+R262),0)</x:f>
        <x:v>0</x:v>
      </x:c>
      <x:c r="T262" s="106" t="n">
        <x:f>IF(Q262&gt;0,MIN('Your Mortgage'!$I$6,MAX(0,Q262+R262-S262)),0)</x:f>
        <x:v>0</x:v>
      </x:c>
      <x:c r="U262" s="106" t="n">
        <x:f>IF(AND(A262='Your Mortgage'!$I$8,Q262&gt;0),MIN('Your Mortgage'!$I$7,MAX(0,Q262+R262-S262-T262)),0)</x:f>
        <x:v>0</x:v>
      </x:c>
      <x:c r="V262" s="106" t="n">
        <x:f>S262+T262+U262</x:f>
        <x:v>0</x:v>
      </x:c>
      <x:c r="W262" s="106" t="n">
        <x:f>MAX(0,V262-R262)</x:f>
        <x:v>0</x:v>
      </x:c>
      <x:c r="X262" s="106" t="n">
        <x:f>MAX(0,Q262-W262)</x:f>
        <x:v>0</x:v>
      </x:c>
      <x:c r="Y262" s="1"/>
      <x:c r="Z262" s="1"/>
    </x:row>
    <x:row r="263">
      <x:c r="A263" s="100" t="n">
        <x:f>A262+1</x:f>
        <x:v>258</x:v>
      </x:c>
      <x:c r="B263" s="103" t="n">
        <x:f>EDATE(B262,1)</x:f>
        <x:v>54058</x:v>
      </x:c>
      <x:c r="C263" s="104" t="n">
        <x:f>H262</x:f>
        <x:v>161836.17359009455</x:v>
      </x:c>
      <x:c r="D263" s="104" t="n">
        <x:f>IF(C263&gt;0,C263*'Your Mortgage'!$C$7/12,0)</x:f>
        <x:v>876.6126069463454</x:v>
      </x:c>
      <x:c r="E263" s="104" t="n">
        <x:f>IF(C263&gt;0,MIN('Your Mortgage'!$C$11,C263+D263),0)</x:f>
        <x:v>2054.2210763521375</x:v>
      </x:c>
      <x:c r="F263" s="104" t="n">
        <x:f>E263</x:f>
        <x:v>2054.2210763521375</x:v>
      </x:c>
      <x:c r="G263" s="104" t="n">
        <x:f>MAX(0,F263-D263)</x:f>
        <x:v>1177.6084694057922</x:v>
      </x:c>
      <x:c r="H263" s="104" t="n">
        <x:f>MAX(0,C263-G263)</x:f>
        <x:v>160658.56512068876</x:v>
      </x:c>
      <x:c r="I263" s="105" t="n">
        <x:f>P262</x:f>
        <x:v>4216.288106895139</x:v>
      </x:c>
      <x:c r="J263" s="105" t="n">
        <x:f>IF(I263&gt;0,I263*'Your Mortgage'!$C$7/12,0)</x:f>
        <x:v>22.838227245682006</x:v>
      </x:c>
      <x:c r="K263" s="105" t="n">
        <x:f>IF(I263&gt;0,MIN('Your Mortgage'!$C$11,I263+J263),0)</x:f>
        <x:v>2054.2210763521375</x:v>
      </x:c>
      <x:c r="L263" s="105" t="n">
        <x:f>IF(I263&gt;0,MIN('Your Mortgage'!$F$6,MAX(0,I263+J263-K263)),0)</x:f>
        <x:v>250</x:v>
      </x:c>
      <x:c r="M263" s="105" t="n">
        <x:f>IF(AND(A263='Your Mortgage'!$F$8,I263&gt;0),MIN('Your Mortgage'!$F$7,MAX(0,I263+J263-K263-L263)),0)</x:f>
        <x:v>0</x:v>
      </x:c>
      <x:c r="N263" s="105" t="n">
        <x:f>K263+L263+M263</x:f>
        <x:v>2304.2210763521375</x:v>
      </x:c>
      <x:c r="O263" s="105" t="n">
        <x:f>MAX(0,N263-J263)</x:f>
        <x:v>2281.3828491064555</x:v>
      </x:c>
      <x:c r="P263" s="105" t="n">
        <x:f>MAX(0,I263-O263)</x:f>
        <x:v>1934.9052577886837</x:v>
      </x:c>
      <x:c r="Q263" s="106" t="n">
        <x:f>X262</x:f>
        <x:v>0</x:v>
      </x:c>
      <x:c r="R263" s="106" t="n">
        <x:f>IF(Q263&gt;0,Q263*'Your Mortgage'!$C$7/12,0)</x:f>
        <x:v>0</x:v>
      </x:c>
      <x:c r="S263" s="106" t="n">
        <x:f>IF(Q263&gt;0,MIN('Your Mortgage'!$C$11,Q263+R263),0)</x:f>
        <x:v>0</x:v>
      </x:c>
      <x:c r="T263" s="106" t="n">
        <x:f>IF(Q263&gt;0,MIN('Your Mortgage'!$I$6,MAX(0,Q263+R263-S263)),0)</x:f>
        <x:v>0</x:v>
      </x:c>
      <x:c r="U263" s="106" t="n">
        <x:f>IF(AND(A263='Your Mortgage'!$I$8,Q263&gt;0),MIN('Your Mortgage'!$I$7,MAX(0,Q263+R263-S263-T263)),0)</x:f>
        <x:v>0</x:v>
      </x:c>
      <x:c r="V263" s="106" t="n">
        <x:f>S263+T263+U263</x:f>
        <x:v>0</x:v>
      </x:c>
      <x:c r="W263" s="106" t="n">
        <x:f>MAX(0,V263-R263)</x:f>
        <x:v>0</x:v>
      </x:c>
      <x:c r="X263" s="106" t="n">
        <x:f>MAX(0,Q263-W263)</x:f>
        <x:v>0</x:v>
      </x:c>
      <x:c r="Y263" s="1"/>
      <x:c r="Z263" s="1"/>
    </x:row>
    <x:row r="264">
      <x:c r="A264" s="100" t="n">
        <x:f>A263+1</x:f>
        <x:v>259</x:v>
      </x:c>
      <x:c r="B264" s="103" t="n">
        <x:f>EDATE(B263,1)</x:f>
        <x:v>54089</x:v>
      </x:c>
      <x:c r="C264" s="104" t="n">
        <x:f>H263</x:f>
        <x:v>160658.56512068876</x:v>
      </x:c>
      <x:c r="D264" s="104" t="n">
        <x:f>IF(C264&gt;0,C264*'Your Mortgage'!$C$7/12,0)</x:f>
        <x:v>870.2338944037307</x:v>
      </x:c>
      <x:c r="E264" s="104" t="n">
        <x:f>IF(C264&gt;0,MIN('Your Mortgage'!$C$11,C264+D264),0)</x:f>
        <x:v>2054.2210763521375</x:v>
      </x:c>
      <x:c r="F264" s="104" t="n">
        <x:f>E264</x:f>
        <x:v>2054.2210763521375</x:v>
      </x:c>
      <x:c r="G264" s="104" t="n">
        <x:f>MAX(0,F264-D264)</x:f>
        <x:v>1183.987181948407</x:v>
      </x:c>
      <x:c r="H264" s="104" t="n">
        <x:f>MAX(0,C264-G264)</x:f>
        <x:v>159474.57793874035</x:v>
      </x:c>
      <x:c r="I264" s="105" t="n">
        <x:f>P263</x:f>
        <x:v>1934.9052577886837</x:v>
      </x:c>
      <x:c r="J264" s="105" t="n">
        <x:f>IF(I264&gt;0,I264*'Your Mortgage'!$C$7/12,0)</x:f>
        <x:v>10.480736813022038</x:v>
      </x:c>
      <x:c r="K264" s="105" t="n">
        <x:f>IF(I264&gt;0,MIN('Your Mortgage'!$C$11,I264+J264),0)</x:f>
        <x:v>1945.3859946017058</x:v>
      </x:c>
      <x:c r="L264" s="105" t="n">
        <x:f>IF(I264&gt;0,MIN('Your Mortgage'!$F$6,MAX(0,I264+J264-K264)),0)</x:f>
        <x:v>0</x:v>
      </x:c>
      <x:c r="M264" s="105" t="n">
        <x:f>IF(AND(A264='Your Mortgage'!$F$8,I264&gt;0),MIN('Your Mortgage'!$F$7,MAX(0,I264+J264-K264-L264)),0)</x:f>
        <x:v>0</x:v>
      </x:c>
      <x:c r="N264" s="105" t="n">
        <x:f>K264+L264+M264</x:f>
        <x:v>1945.3859946017058</x:v>
      </x:c>
      <x:c r="O264" s="105" t="n">
        <x:f>MAX(0,N264-J264)</x:f>
        <x:v>1934.9052577886837</x:v>
      </x:c>
      <x:c r="P264" s="105" t="n">
        <x:f>MAX(0,I264-O264)</x:f>
        <x:v>0</x:v>
      </x:c>
      <x:c r="Q264" s="106" t="n">
        <x:f>X263</x:f>
        <x:v>0</x:v>
      </x:c>
      <x:c r="R264" s="106" t="n">
        <x:f>IF(Q264&gt;0,Q264*'Your Mortgage'!$C$7/12,0)</x:f>
        <x:v>0</x:v>
      </x:c>
      <x:c r="S264" s="106" t="n">
        <x:f>IF(Q264&gt;0,MIN('Your Mortgage'!$C$11,Q264+R264),0)</x:f>
        <x:v>0</x:v>
      </x:c>
      <x:c r="T264" s="106" t="n">
        <x:f>IF(Q264&gt;0,MIN('Your Mortgage'!$I$6,MAX(0,Q264+R264-S264)),0)</x:f>
        <x:v>0</x:v>
      </x:c>
      <x:c r="U264" s="106" t="n">
        <x:f>IF(AND(A264='Your Mortgage'!$I$8,Q264&gt;0),MIN('Your Mortgage'!$I$7,MAX(0,Q264+R264-S264-T264)),0)</x:f>
        <x:v>0</x:v>
      </x:c>
      <x:c r="V264" s="106" t="n">
        <x:f>S264+T264+U264</x:f>
        <x:v>0</x:v>
      </x:c>
      <x:c r="W264" s="106" t="n">
        <x:f>MAX(0,V264-R264)</x:f>
        <x:v>0</x:v>
      </x:c>
      <x:c r="X264" s="106" t="n">
        <x:f>MAX(0,Q264-W264)</x:f>
        <x:v>0</x:v>
      </x:c>
      <x:c r="Y264" s="1"/>
      <x:c r="Z264" s="1"/>
    </x:row>
    <x:row r="265">
      <x:c r="A265" s="100" t="n">
        <x:f>A264+1</x:f>
        <x:v>260</x:v>
      </x:c>
      <x:c r="B265" s="103" t="n">
        <x:f>EDATE(B264,1)</x:f>
        <x:v>54118</x:v>
      </x:c>
      <x:c r="C265" s="104" t="n">
        <x:f>H264</x:f>
        <x:v>159474.57793874035</x:v>
      </x:c>
      <x:c r="D265" s="104" t="n">
        <x:f>IF(C265&gt;0,C265*'Your Mortgage'!$C$7/12,0)</x:f>
        <x:v>863.8206305015102</x:v>
      </x:c>
      <x:c r="E265" s="104" t="n">
        <x:f>IF(C265&gt;0,MIN('Your Mortgage'!$C$11,C265+D265),0)</x:f>
        <x:v>2054.2210763521375</x:v>
      </x:c>
      <x:c r="F265" s="104" t="n">
        <x:f>E265</x:f>
        <x:v>2054.2210763521375</x:v>
      </x:c>
      <x:c r="G265" s="104" t="n">
        <x:f>MAX(0,F265-D265)</x:f>
        <x:v>1190.4004458506274</x:v>
      </x:c>
      <x:c r="H265" s="104" t="n">
        <x:f>MAX(0,C265-G265)</x:f>
        <x:v>158284.17749288972</x:v>
      </x:c>
      <x:c r="I265" s="105" t="n">
        <x:f>P264</x:f>
        <x:v>0</x:v>
      </x:c>
      <x:c r="J265" s="105" t="n">
        <x:f>IF(I265&gt;0,I265*'Your Mortgage'!$C$7/12,0)</x:f>
        <x:v>0</x:v>
      </x:c>
      <x:c r="K265" s="105" t="n">
        <x:f>IF(I265&gt;0,MIN('Your Mortgage'!$C$11,I265+J265),0)</x:f>
        <x:v>0</x:v>
      </x:c>
      <x:c r="L265" s="105" t="n">
        <x:f>IF(I265&gt;0,MIN('Your Mortgage'!$F$6,MAX(0,I265+J265-K265)),0)</x:f>
        <x:v>0</x:v>
      </x:c>
      <x:c r="M265" s="105" t="n">
        <x:f>IF(AND(A265='Your Mortgage'!$F$8,I265&gt;0),MIN('Your Mortgage'!$F$7,MAX(0,I265+J265-K265-L265)),0)</x:f>
        <x:v>0</x:v>
      </x:c>
      <x:c r="N265" s="105" t="n">
        <x:f>K265+L265+M265</x:f>
        <x:v>0</x:v>
      </x:c>
      <x:c r="O265" s="105" t="n">
        <x:f>MAX(0,N265-J265)</x:f>
        <x:v>0</x:v>
      </x:c>
      <x:c r="P265" s="105" t="n">
        <x:f>MAX(0,I265-O265)</x:f>
        <x:v>0</x:v>
      </x:c>
      <x:c r="Q265" s="106" t="n">
        <x:f>X264</x:f>
        <x:v>0</x:v>
      </x:c>
      <x:c r="R265" s="106" t="n">
        <x:f>IF(Q265&gt;0,Q265*'Your Mortgage'!$C$7/12,0)</x:f>
        <x:v>0</x:v>
      </x:c>
      <x:c r="S265" s="106" t="n">
        <x:f>IF(Q265&gt;0,MIN('Your Mortgage'!$C$11,Q265+R265),0)</x:f>
        <x:v>0</x:v>
      </x:c>
      <x:c r="T265" s="106" t="n">
        <x:f>IF(Q265&gt;0,MIN('Your Mortgage'!$I$6,MAX(0,Q265+R265-S265)),0)</x:f>
        <x:v>0</x:v>
      </x:c>
      <x:c r="U265" s="106" t="n">
        <x:f>IF(AND(A265='Your Mortgage'!$I$8,Q265&gt;0),MIN('Your Mortgage'!$I$7,MAX(0,Q265+R265-S265-T265)),0)</x:f>
        <x:v>0</x:v>
      </x:c>
      <x:c r="V265" s="106" t="n">
        <x:f>S265+T265+U265</x:f>
        <x:v>0</x:v>
      </x:c>
      <x:c r="W265" s="106" t="n">
        <x:f>MAX(0,V265-R265)</x:f>
        <x:v>0</x:v>
      </x:c>
      <x:c r="X265" s="106" t="n">
        <x:f>MAX(0,Q265-W265)</x:f>
        <x:v>0</x:v>
      </x:c>
      <x:c r="Y265" s="1"/>
      <x:c r="Z265" s="1"/>
    </x:row>
    <x:row r="266">
      <x:c r="A266" s="100" t="n">
        <x:f>A265+1</x:f>
        <x:v>261</x:v>
      </x:c>
      <x:c r="B266" s="103" t="n">
        <x:f>EDATE(B265,1)</x:f>
        <x:v>54149</x:v>
      </x:c>
      <x:c r="C266" s="104" t="n">
        <x:f>H265</x:f>
        <x:v>158284.17749288972</x:v>
      </x:c>
      <x:c r="D266" s="104" t="n">
        <x:f>IF(C266&gt;0,C266*'Your Mortgage'!$C$7/12,0)</x:f>
        <x:v>857.3726280864861</x:v>
      </x:c>
      <x:c r="E266" s="104" t="n">
        <x:f>IF(C266&gt;0,MIN('Your Mortgage'!$C$11,C266+D266),0)</x:f>
        <x:v>2054.2210763521375</x:v>
      </x:c>
      <x:c r="F266" s="104" t="n">
        <x:f>E266</x:f>
        <x:v>2054.2210763521375</x:v>
      </x:c>
      <x:c r="G266" s="104" t="n">
        <x:f>MAX(0,F266-D266)</x:f>
        <x:v>1196.8484482656513</x:v>
      </x:c>
      <x:c r="H266" s="104" t="n">
        <x:f>MAX(0,C266-G266)</x:f>
        <x:v>157087.32904462406</x:v>
      </x:c>
      <x:c r="I266" s="105" t="n">
        <x:f>P265</x:f>
        <x:v>0</x:v>
      </x:c>
      <x:c r="J266" s="105" t="n">
        <x:f>IF(I266&gt;0,I266*'Your Mortgage'!$C$7/12,0)</x:f>
        <x:v>0</x:v>
      </x:c>
      <x:c r="K266" s="105" t="n">
        <x:f>IF(I266&gt;0,MIN('Your Mortgage'!$C$11,I266+J266),0)</x:f>
        <x:v>0</x:v>
      </x:c>
      <x:c r="L266" s="105" t="n">
        <x:f>IF(I266&gt;0,MIN('Your Mortgage'!$F$6,MAX(0,I266+J266-K266)),0)</x:f>
        <x:v>0</x:v>
      </x:c>
      <x:c r="M266" s="105" t="n">
        <x:f>IF(AND(A266='Your Mortgage'!$F$8,I266&gt;0),MIN('Your Mortgage'!$F$7,MAX(0,I266+J266-K266-L266)),0)</x:f>
        <x:v>0</x:v>
      </x:c>
      <x:c r="N266" s="105" t="n">
        <x:f>K266+L266+M266</x:f>
        <x:v>0</x:v>
      </x:c>
      <x:c r="O266" s="105" t="n">
        <x:f>MAX(0,N266-J266)</x:f>
        <x:v>0</x:v>
      </x:c>
      <x:c r="P266" s="105" t="n">
        <x:f>MAX(0,I266-O266)</x:f>
        <x:v>0</x:v>
      </x:c>
      <x:c r="Q266" s="106" t="n">
        <x:f>X265</x:f>
        <x:v>0</x:v>
      </x:c>
      <x:c r="R266" s="106" t="n">
        <x:f>IF(Q266&gt;0,Q266*'Your Mortgage'!$C$7/12,0)</x:f>
        <x:v>0</x:v>
      </x:c>
      <x:c r="S266" s="106" t="n">
        <x:f>IF(Q266&gt;0,MIN('Your Mortgage'!$C$11,Q266+R266),0)</x:f>
        <x:v>0</x:v>
      </x:c>
      <x:c r="T266" s="106" t="n">
        <x:f>IF(Q266&gt;0,MIN('Your Mortgage'!$I$6,MAX(0,Q266+R266-S266)),0)</x:f>
        <x:v>0</x:v>
      </x:c>
      <x:c r="U266" s="106" t="n">
        <x:f>IF(AND(A266='Your Mortgage'!$I$8,Q266&gt;0),MIN('Your Mortgage'!$I$7,MAX(0,Q266+R266-S266-T266)),0)</x:f>
        <x:v>0</x:v>
      </x:c>
      <x:c r="V266" s="106" t="n">
        <x:f>S266+T266+U266</x:f>
        <x:v>0</x:v>
      </x:c>
      <x:c r="W266" s="106" t="n">
        <x:f>MAX(0,V266-R266)</x:f>
        <x:v>0</x:v>
      </x:c>
      <x:c r="X266" s="106" t="n">
        <x:f>MAX(0,Q266-W266)</x:f>
        <x:v>0</x:v>
      </x:c>
      <x:c r="Y266" s="1"/>
      <x:c r="Z266" s="1"/>
    </x:row>
    <x:row r="267">
      <x:c r="A267" s="100" t="n">
        <x:f>A266+1</x:f>
        <x:v>262</x:v>
      </x:c>
      <x:c r="B267" s="103" t="n">
        <x:f>EDATE(B266,1)</x:f>
        <x:v>54179</x:v>
      </x:c>
      <x:c r="C267" s="104" t="n">
        <x:f>H266</x:f>
        <x:v>157087.32904462406</x:v>
      </x:c>
      <x:c r="D267" s="104" t="n">
        <x:f>IF(C267&gt;0,C267*'Your Mortgage'!$C$7/12,0)</x:f>
        <x:v>850.8896989917138</x:v>
      </x:c>
      <x:c r="E267" s="104" t="n">
        <x:f>IF(C267&gt;0,MIN('Your Mortgage'!$C$11,C267+D267),0)</x:f>
        <x:v>2054.2210763521375</x:v>
      </x:c>
      <x:c r="F267" s="104" t="n">
        <x:f>E267</x:f>
        <x:v>2054.2210763521375</x:v>
      </x:c>
      <x:c r="G267" s="104" t="n">
        <x:f>MAX(0,F267-D267)</x:f>
        <x:v>1203.3313773604236</x:v>
      </x:c>
      <x:c r="H267" s="104" t="n">
        <x:f>MAX(0,C267-G267)</x:f>
        <x:v>155883.99766726364</x:v>
      </x:c>
      <x:c r="I267" s="105" t="n">
        <x:f>P266</x:f>
        <x:v>0</x:v>
      </x:c>
      <x:c r="J267" s="105" t="n">
        <x:f>IF(I267&gt;0,I267*'Your Mortgage'!$C$7/12,0)</x:f>
        <x:v>0</x:v>
      </x:c>
      <x:c r="K267" s="105" t="n">
        <x:f>IF(I267&gt;0,MIN('Your Mortgage'!$C$11,I267+J267),0)</x:f>
        <x:v>0</x:v>
      </x:c>
      <x:c r="L267" s="105" t="n">
        <x:f>IF(I267&gt;0,MIN('Your Mortgage'!$F$6,MAX(0,I267+J267-K267)),0)</x:f>
        <x:v>0</x:v>
      </x:c>
      <x:c r="M267" s="105" t="n">
        <x:f>IF(AND(A267='Your Mortgage'!$F$8,I267&gt;0),MIN('Your Mortgage'!$F$7,MAX(0,I267+J267-K267-L267)),0)</x:f>
        <x:v>0</x:v>
      </x:c>
      <x:c r="N267" s="105" t="n">
        <x:f>K267+L267+M267</x:f>
        <x:v>0</x:v>
      </x:c>
      <x:c r="O267" s="105" t="n">
        <x:f>MAX(0,N267-J267)</x:f>
        <x:v>0</x:v>
      </x:c>
      <x:c r="P267" s="105" t="n">
        <x:f>MAX(0,I267-O267)</x:f>
        <x:v>0</x:v>
      </x:c>
      <x:c r="Q267" s="106" t="n">
        <x:f>X266</x:f>
        <x:v>0</x:v>
      </x:c>
      <x:c r="R267" s="106" t="n">
        <x:f>IF(Q267&gt;0,Q267*'Your Mortgage'!$C$7/12,0)</x:f>
        <x:v>0</x:v>
      </x:c>
      <x:c r="S267" s="106" t="n">
        <x:f>IF(Q267&gt;0,MIN('Your Mortgage'!$C$11,Q267+R267),0)</x:f>
        <x:v>0</x:v>
      </x:c>
      <x:c r="T267" s="106" t="n">
        <x:f>IF(Q267&gt;0,MIN('Your Mortgage'!$I$6,MAX(0,Q267+R267-S267)),0)</x:f>
        <x:v>0</x:v>
      </x:c>
      <x:c r="U267" s="106" t="n">
        <x:f>IF(AND(A267='Your Mortgage'!$I$8,Q267&gt;0),MIN('Your Mortgage'!$I$7,MAX(0,Q267+R267-S267-T267)),0)</x:f>
        <x:v>0</x:v>
      </x:c>
      <x:c r="V267" s="106" t="n">
        <x:f>S267+T267+U267</x:f>
        <x:v>0</x:v>
      </x:c>
      <x:c r="W267" s="106" t="n">
        <x:f>MAX(0,V267-R267)</x:f>
        <x:v>0</x:v>
      </x:c>
      <x:c r="X267" s="106" t="n">
        <x:f>MAX(0,Q267-W267)</x:f>
        <x:v>0</x:v>
      </x:c>
      <x:c r="Y267" s="1"/>
      <x:c r="Z267" s="1"/>
    </x:row>
    <x:row r="268">
      <x:c r="A268" s="100" t="n">
        <x:f>A267+1</x:f>
        <x:v>263</x:v>
      </x:c>
      <x:c r="B268" s="103" t="n">
        <x:f>EDATE(B267,1)</x:f>
        <x:v>54210</x:v>
      </x:c>
      <x:c r="C268" s="104" t="n">
        <x:f>H267</x:f>
        <x:v>155883.99766726364</x:v>
      </x:c>
      <x:c r="D268" s="104" t="n">
        <x:f>IF(C268&gt;0,C268*'Your Mortgage'!$C$7/12,0)</x:f>
        <x:v>844.3716540310114</x:v>
      </x:c>
      <x:c r="E268" s="104" t="n">
        <x:f>IF(C268&gt;0,MIN('Your Mortgage'!$C$11,C268+D268),0)</x:f>
        <x:v>2054.2210763521375</x:v>
      </x:c>
      <x:c r="F268" s="104" t="n">
        <x:f>E268</x:f>
        <x:v>2054.2210763521375</x:v>
      </x:c>
      <x:c r="G268" s="104" t="n">
        <x:f>MAX(0,F268-D268)</x:f>
        <x:v>1209.849422321126</x:v>
      </x:c>
      <x:c r="H268" s="104" t="n">
        <x:f>MAX(0,C268-G268)</x:f>
        <x:v>154674.1482449425</x:v>
      </x:c>
      <x:c r="I268" s="105" t="n">
        <x:f>P267</x:f>
        <x:v>0</x:v>
      </x:c>
      <x:c r="J268" s="105" t="n">
        <x:f>IF(I268&gt;0,I268*'Your Mortgage'!$C$7/12,0)</x:f>
        <x:v>0</x:v>
      </x:c>
      <x:c r="K268" s="105" t="n">
        <x:f>IF(I268&gt;0,MIN('Your Mortgage'!$C$11,I268+J268),0)</x:f>
        <x:v>0</x:v>
      </x:c>
      <x:c r="L268" s="105" t="n">
        <x:f>IF(I268&gt;0,MIN('Your Mortgage'!$F$6,MAX(0,I268+J268-K268)),0)</x:f>
        <x:v>0</x:v>
      </x:c>
      <x:c r="M268" s="105" t="n">
        <x:f>IF(AND(A268='Your Mortgage'!$F$8,I268&gt;0),MIN('Your Mortgage'!$F$7,MAX(0,I268+J268-K268-L268)),0)</x:f>
        <x:v>0</x:v>
      </x:c>
      <x:c r="N268" s="105" t="n">
        <x:f>K268+L268+M268</x:f>
        <x:v>0</x:v>
      </x:c>
      <x:c r="O268" s="105" t="n">
        <x:f>MAX(0,N268-J268)</x:f>
        <x:v>0</x:v>
      </x:c>
      <x:c r="P268" s="105" t="n">
        <x:f>MAX(0,I268-O268)</x:f>
        <x:v>0</x:v>
      </x:c>
      <x:c r="Q268" s="106" t="n">
        <x:f>X267</x:f>
        <x:v>0</x:v>
      </x:c>
      <x:c r="R268" s="106" t="n">
        <x:f>IF(Q268&gt;0,Q268*'Your Mortgage'!$C$7/12,0)</x:f>
        <x:v>0</x:v>
      </x:c>
      <x:c r="S268" s="106" t="n">
        <x:f>IF(Q268&gt;0,MIN('Your Mortgage'!$C$11,Q268+R268),0)</x:f>
        <x:v>0</x:v>
      </x:c>
      <x:c r="T268" s="106" t="n">
        <x:f>IF(Q268&gt;0,MIN('Your Mortgage'!$I$6,MAX(0,Q268+R268-S268)),0)</x:f>
        <x:v>0</x:v>
      </x:c>
      <x:c r="U268" s="106" t="n">
        <x:f>IF(AND(A268='Your Mortgage'!$I$8,Q268&gt;0),MIN('Your Mortgage'!$I$7,MAX(0,Q268+R268-S268-T268)),0)</x:f>
        <x:v>0</x:v>
      </x:c>
      <x:c r="V268" s="106" t="n">
        <x:f>S268+T268+U268</x:f>
        <x:v>0</x:v>
      </x:c>
      <x:c r="W268" s="106" t="n">
        <x:f>MAX(0,V268-R268)</x:f>
        <x:v>0</x:v>
      </x:c>
      <x:c r="X268" s="106" t="n">
        <x:f>MAX(0,Q268-W268)</x:f>
        <x:v>0</x:v>
      </x:c>
      <x:c r="Y268" s="1"/>
      <x:c r="Z268" s="1"/>
    </x:row>
    <x:row r="269">
      <x:c r="A269" s="100" t="n">
        <x:f>A268+1</x:f>
        <x:v>264</x:v>
      </x:c>
      <x:c r="B269" s="103" t="n">
        <x:f>EDATE(B268,1)</x:f>
        <x:v>54240</x:v>
      </x:c>
      <x:c r="C269" s="104" t="n">
        <x:f>H268</x:f>
        <x:v>154674.1482449425</x:v>
      </x:c>
      <x:c r="D269" s="104" t="n">
        <x:f>IF(C269&gt;0,C269*'Your Mortgage'!$C$7/12,0)</x:f>
        <x:v>837.8183029934386</x:v>
      </x:c>
      <x:c r="E269" s="104" t="n">
        <x:f>IF(C269&gt;0,MIN('Your Mortgage'!$C$11,C269+D269),0)</x:f>
        <x:v>2054.2210763521375</x:v>
      </x:c>
      <x:c r="F269" s="104" t="n">
        <x:f>E269</x:f>
        <x:v>2054.2210763521375</x:v>
      </x:c>
      <x:c r="G269" s="104" t="n">
        <x:f>MAX(0,F269-D269)</x:f>
        <x:v>1216.402773358699</x:v>
      </x:c>
      <x:c r="H269" s="104" t="n">
        <x:f>MAX(0,C269-G269)</x:f>
        <x:v>153457.7454715838</x:v>
      </x:c>
      <x:c r="I269" s="105" t="n">
        <x:f>P268</x:f>
        <x:v>0</x:v>
      </x:c>
      <x:c r="J269" s="105" t="n">
        <x:f>IF(I269&gt;0,I269*'Your Mortgage'!$C$7/12,0)</x:f>
        <x:v>0</x:v>
      </x:c>
      <x:c r="K269" s="105" t="n">
        <x:f>IF(I269&gt;0,MIN('Your Mortgage'!$C$11,I269+J269),0)</x:f>
        <x:v>0</x:v>
      </x:c>
      <x:c r="L269" s="105" t="n">
        <x:f>IF(I269&gt;0,MIN('Your Mortgage'!$F$6,MAX(0,I269+J269-K269)),0)</x:f>
        <x:v>0</x:v>
      </x:c>
      <x:c r="M269" s="105" t="n">
        <x:f>IF(AND(A269='Your Mortgage'!$F$8,I269&gt;0),MIN('Your Mortgage'!$F$7,MAX(0,I269+J269-K269-L269)),0)</x:f>
        <x:v>0</x:v>
      </x:c>
      <x:c r="N269" s="105" t="n">
        <x:f>K269+L269+M269</x:f>
        <x:v>0</x:v>
      </x:c>
      <x:c r="O269" s="105" t="n">
        <x:f>MAX(0,N269-J269)</x:f>
        <x:v>0</x:v>
      </x:c>
      <x:c r="P269" s="105" t="n">
        <x:f>MAX(0,I269-O269)</x:f>
        <x:v>0</x:v>
      </x:c>
      <x:c r="Q269" s="106" t="n">
        <x:f>X268</x:f>
        <x:v>0</x:v>
      </x:c>
      <x:c r="R269" s="106" t="n">
        <x:f>IF(Q269&gt;0,Q269*'Your Mortgage'!$C$7/12,0)</x:f>
        <x:v>0</x:v>
      </x:c>
      <x:c r="S269" s="106" t="n">
        <x:f>IF(Q269&gt;0,MIN('Your Mortgage'!$C$11,Q269+R269),0)</x:f>
        <x:v>0</x:v>
      </x:c>
      <x:c r="T269" s="106" t="n">
        <x:f>IF(Q269&gt;0,MIN('Your Mortgage'!$I$6,MAX(0,Q269+R269-S269)),0)</x:f>
        <x:v>0</x:v>
      </x:c>
      <x:c r="U269" s="106" t="n">
        <x:f>IF(AND(A269='Your Mortgage'!$I$8,Q269&gt;0),MIN('Your Mortgage'!$I$7,MAX(0,Q269+R269-S269-T269)),0)</x:f>
        <x:v>0</x:v>
      </x:c>
      <x:c r="V269" s="106" t="n">
        <x:f>S269+T269+U269</x:f>
        <x:v>0</x:v>
      </x:c>
      <x:c r="W269" s="106" t="n">
        <x:f>MAX(0,V269-R269)</x:f>
        <x:v>0</x:v>
      </x:c>
      <x:c r="X269" s="106" t="n">
        <x:f>MAX(0,Q269-W269)</x:f>
        <x:v>0</x:v>
      </x:c>
      <x:c r="Y269" s="1"/>
      <x:c r="Z269" s="1"/>
    </x:row>
    <x:row r="270">
      <x:c r="A270" s="100" t="n">
        <x:f>A269+1</x:f>
        <x:v>265</x:v>
      </x:c>
      <x:c r="B270" s="103" t="n">
        <x:f>EDATE(B269,1)</x:f>
        <x:v>54271</x:v>
      </x:c>
      <x:c r="C270" s="104" t="n">
        <x:f>H269</x:f>
        <x:v>153457.7454715838</x:v>
      </x:c>
      <x:c r="D270" s="104" t="n">
        <x:f>IF(C270&gt;0,C270*'Your Mortgage'!$C$7/12,0)</x:f>
        <x:v>831.2294546377456</x:v>
      </x:c>
      <x:c r="E270" s="104" t="n">
        <x:f>IF(C270&gt;0,MIN('Your Mortgage'!$C$11,C270+D270),0)</x:f>
        <x:v>2054.2210763521375</x:v>
      </x:c>
      <x:c r="F270" s="104" t="n">
        <x:f>E270</x:f>
        <x:v>2054.2210763521375</x:v>
      </x:c>
      <x:c r="G270" s="104" t="n">
        <x:f>MAX(0,F270-D270)</x:f>
        <x:v>1222.9916217143918</x:v>
      </x:c>
      <x:c r="H270" s="104" t="n">
        <x:f>MAX(0,C270-G270)</x:f>
        <x:v>152234.7538498694</x:v>
      </x:c>
      <x:c r="I270" s="105" t="n">
        <x:f>P269</x:f>
        <x:v>0</x:v>
      </x:c>
      <x:c r="J270" s="105" t="n">
        <x:f>IF(I270&gt;0,I270*'Your Mortgage'!$C$7/12,0)</x:f>
        <x:v>0</x:v>
      </x:c>
      <x:c r="K270" s="105" t="n">
        <x:f>IF(I270&gt;0,MIN('Your Mortgage'!$C$11,I270+J270),0)</x:f>
        <x:v>0</x:v>
      </x:c>
      <x:c r="L270" s="105" t="n">
        <x:f>IF(I270&gt;0,MIN('Your Mortgage'!$F$6,MAX(0,I270+J270-K270)),0)</x:f>
        <x:v>0</x:v>
      </x:c>
      <x:c r="M270" s="105" t="n">
        <x:f>IF(AND(A270='Your Mortgage'!$F$8,I270&gt;0),MIN('Your Mortgage'!$F$7,MAX(0,I270+J270-K270-L270)),0)</x:f>
        <x:v>0</x:v>
      </x:c>
      <x:c r="N270" s="105" t="n">
        <x:f>K270+L270+M270</x:f>
        <x:v>0</x:v>
      </x:c>
      <x:c r="O270" s="105" t="n">
        <x:f>MAX(0,N270-J270)</x:f>
        <x:v>0</x:v>
      </x:c>
      <x:c r="P270" s="105" t="n">
        <x:f>MAX(0,I270-O270)</x:f>
        <x:v>0</x:v>
      </x:c>
      <x:c r="Q270" s="106" t="n">
        <x:f>X269</x:f>
        <x:v>0</x:v>
      </x:c>
      <x:c r="R270" s="106" t="n">
        <x:f>IF(Q270&gt;0,Q270*'Your Mortgage'!$C$7/12,0)</x:f>
        <x:v>0</x:v>
      </x:c>
      <x:c r="S270" s="106" t="n">
        <x:f>IF(Q270&gt;0,MIN('Your Mortgage'!$C$11,Q270+R270),0)</x:f>
        <x:v>0</x:v>
      </x:c>
      <x:c r="T270" s="106" t="n">
        <x:f>IF(Q270&gt;0,MIN('Your Mortgage'!$I$6,MAX(0,Q270+R270-S270)),0)</x:f>
        <x:v>0</x:v>
      </x:c>
      <x:c r="U270" s="106" t="n">
        <x:f>IF(AND(A270='Your Mortgage'!$I$8,Q270&gt;0),MIN('Your Mortgage'!$I$7,MAX(0,Q270+R270-S270-T270)),0)</x:f>
        <x:v>0</x:v>
      </x:c>
      <x:c r="V270" s="106" t="n">
        <x:f>S270+T270+U270</x:f>
        <x:v>0</x:v>
      </x:c>
      <x:c r="W270" s="106" t="n">
        <x:f>MAX(0,V270-R270)</x:f>
        <x:v>0</x:v>
      </x:c>
      <x:c r="X270" s="106" t="n">
        <x:f>MAX(0,Q270-W270)</x:f>
        <x:v>0</x:v>
      </x:c>
      <x:c r="Y270" s="1"/>
      <x:c r="Z270" s="1"/>
    </x:row>
    <x:row r="271">
      <x:c r="A271" s="100" t="n">
        <x:f>A270+1</x:f>
        <x:v>266</x:v>
      </x:c>
      <x:c r="B271" s="103" t="n">
        <x:f>EDATE(B270,1)</x:f>
        <x:v>54302</x:v>
      </x:c>
      <x:c r="C271" s="104" t="n">
        <x:f>H270</x:f>
        <x:v>152234.7538498694</x:v>
      </x:c>
      <x:c r="D271" s="104" t="n">
        <x:f>IF(C271&gt;0,C271*'Your Mortgage'!$C$7/12,0)</x:f>
        <x:v>824.6049166867925</x:v>
      </x:c>
      <x:c r="E271" s="104" t="n">
        <x:f>IF(C271&gt;0,MIN('Your Mortgage'!$C$11,C271+D271),0)</x:f>
        <x:v>2054.2210763521375</x:v>
      </x:c>
      <x:c r="F271" s="104" t="n">
        <x:f>E271</x:f>
        <x:v>2054.2210763521375</x:v>
      </x:c>
      <x:c r="G271" s="104" t="n">
        <x:f>MAX(0,F271-D271)</x:f>
        <x:v>1229.616159665345</x:v>
      </x:c>
      <x:c r="H271" s="104" t="n">
        <x:f>MAX(0,C271-G271)</x:f>
        <x:v>151005.13769020405</x:v>
      </x:c>
      <x:c r="I271" s="105" t="n">
        <x:f>P270</x:f>
        <x:v>0</x:v>
      </x:c>
      <x:c r="J271" s="105" t="n">
        <x:f>IF(I271&gt;0,I271*'Your Mortgage'!$C$7/12,0)</x:f>
        <x:v>0</x:v>
      </x:c>
      <x:c r="K271" s="105" t="n">
        <x:f>IF(I271&gt;0,MIN('Your Mortgage'!$C$11,I271+J271),0)</x:f>
        <x:v>0</x:v>
      </x:c>
      <x:c r="L271" s="105" t="n">
        <x:f>IF(I271&gt;0,MIN('Your Mortgage'!$F$6,MAX(0,I271+J271-K271)),0)</x:f>
        <x:v>0</x:v>
      </x:c>
      <x:c r="M271" s="105" t="n">
        <x:f>IF(AND(A271='Your Mortgage'!$F$8,I271&gt;0),MIN('Your Mortgage'!$F$7,MAX(0,I271+J271-K271-L271)),0)</x:f>
        <x:v>0</x:v>
      </x:c>
      <x:c r="N271" s="105" t="n">
        <x:f>K271+L271+M271</x:f>
        <x:v>0</x:v>
      </x:c>
      <x:c r="O271" s="105" t="n">
        <x:f>MAX(0,N271-J271)</x:f>
        <x:v>0</x:v>
      </x:c>
      <x:c r="P271" s="105" t="n">
        <x:f>MAX(0,I271-O271)</x:f>
        <x:v>0</x:v>
      </x:c>
      <x:c r="Q271" s="106" t="n">
        <x:f>X270</x:f>
        <x:v>0</x:v>
      </x:c>
      <x:c r="R271" s="106" t="n">
        <x:f>IF(Q271&gt;0,Q271*'Your Mortgage'!$C$7/12,0)</x:f>
        <x:v>0</x:v>
      </x:c>
      <x:c r="S271" s="106" t="n">
        <x:f>IF(Q271&gt;0,MIN('Your Mortgage'!$C$11,Q271+R271),0)</x:f>
        <x:v>0</x:v>
      </x:c>
      <x:c r="T271" s="106" t="n">
        <x:f>IF(Q271&gt;0,MIN('Your Mortgage'!$I$6,MAX(0,Q271+R271-S271)),0)</x:f>
        <x:v>0</x:v>
      </x:c>
      <x:c r="U271" s="106" t="n">
        <x:f>IF(AND(A271='Your Mortgage'!$I$8,Q271&gt;0),MIN('Your Mortgage'!$I$7,MAX(0,Q271+R271-S271-T271)),0)</x:f>
        <x:v>0</x:v>
      </x:c>
      <x:c r="V271" s="106" t="n">
        <x:f>S271+T271+U271</x:f>
        <x:v>0</x:v>
      </x:c>
      <x:c r="W271" s="106" t="n">
        <x:f>MAX(0,V271-R271)</x:f>
        <x:v>0</x:v>
      </x:c>
      <x:c r="X271" s="106" t="n">
        <x:f>MAX(0,Q271-W271)</x:f>
        <x:v>0</x:v>
      </x:c>
      <x:c r="Y271" s="1"/>
      <x:c r="Z271" s="1"/>
    </x:row>
    <x:row r="272">
      <x:c r="A272" s="100" t="n">
        <x:f>A271+1</x:f>
        <x:v>267</x:v>
      </x:c>
      <x:c r="B272" s="103" t="n">
        <x:f>EDATE(B271,1)</x:f>
        <x:v>54332</x:v>
      </x:c>
      <x:c r="C272" s="104" t="n">
        <x:f>H271</x:f>
        <x:v>151005.13769020405</x:v>
      </x:c>
      <x:c r="D272" s="104" t="n">
        <x:f>IF(C272&gt;0,C272*'Your Mortgage'!$C$7/12,0)</x:f>
        <x:v>817.9444958219386</x:v>
      </x:c>
      <x:c r="E272" s="104" t="n">
        <x:f>IF(C272&gt;0,MIN('Your Mortgage'!$C$11,C272+D272),0)</x:f>
        <x:v>2054.2210763521375</x:v>
      </x:c>
      <x:c r="F272" s="104" t="n">
        <x:f>E272</x:f>
        <x:v>2054.2210763521375</x:v>
      </x:c>
      <x:c r="G272" s="104" t="n">
        <x:f>MAX(0,F272-D272)</x:f>
        <x:v>1236.2765805301988</x:v>
      </x:c>
      <x:c r="H272" s="104" t="n">
        <x:f>MAX(0,C272-G272)</x:f>
        <x:v>149768.86110967386</x:v>
      </x:c>
      <x:c r="I272" s="105" t="n">
        <x:f>P271</x:f>
        <x:v>0</x:v>
      </x:c>
      <x:c r="J272" s="105" t="n">
        <x:f>IF(I272&gt;0,I272*'Your Mortgage'!$C$7/12,0)</x:f>
        <x:v>0</x:v>
      </x:c>
      <x:c r="K272" s="105" t="n">
        <x:f>IF(I272&gt;0,MIN('Your Mortgage'!$C$11,I272+J272),0)</x:f>
        <x:v>0</x:v>
      </x:c>
      <x:c r="L272" s="105" t="n">
        <x:f>IF(I272&gt;0,MIN('Your Mortgage'!$F$6,MAX(0,I272+J272-K272)),0)</x:f>
        <x:v>0</x:v>
      </x:c>
      <x:c r="M272" s="105" t="n">
        <x:f>IF(AND(A272='Your Mortgage'!$F$8,I272&gt;0),MIN('Your Mortgage'!$F$7,MAX(0,I272+J272-K272-L272)),0)</x:f>
        <x:v>0</x:v>
      </x:c>
      <x:c r="N272" s="105" t="n">
        <x:f>K272+L272+M272</x:f>
        <x:v>0</x:v>
      </x:c>
      <x:c r="O272" s="105" t="n">
        <x:f>MAX(0,N272-J272)</x:f>
        <x:v>0</x:v>
      </x:c>
      <x:c r="P272" s="105" t="n">
        <x:f>MAX(0,I272-O272)</x:f>
        <x:v>0</x:v>
      </x:c>
      <x:c r="Q272" s="106" t="n">
        <x:f>X271</x:f>
        <x:v>0</x:v>
      </x:c>
      <x:c r="R272" s="106" t="n">
        <x:f>IF(Q272&gt;0,Q272*'Your Mortgage'!$C$7/12,0)</x:f>
        <x:v>0</x:v>
      </x:c>
      <x:c r="S272" s="106" t="n">
        <x:f>IF(Q272&gt;0,MIN('Your Mortgage'!$C$11,Q272+R272),0)</x:f>
        <x:v>0</x:v>
      </x:c>
      <x:c r="T272" s="106" t="n">
        <x:f>IF(Q272&gt;0,MIN('Your Mortgage'!$I$6,MAX(0,Q272+R272-S272)),0)</x:f>
        <x:v>0</x:v>
      </x:c>
      <x:c r="U272" s="106" t="n">
        <x:f>IF(AND(A272='Your Mortgage'!$I$8,Q272&gt;0),MIN('Your Mortgage'!$I$7,MAX(0,Q272+R272-S272-T272)),0)</x:f>
        <x:v>0</x:v>
      </x:c>
      <x:c r="V272" s="106" t="n">
        <x:f>S272+T272+U272</x:f>
        <x:v>0</x:v>
      </x:c>
      <x:c r="W272" s="106" t="n">
        <x:f>MAX(0,V272-R272)</x:f>
        <x:v>0</x:v>
      </x:c>
      <x:c r="X272" s="106" t="n">
        <x:f>MAX(0,Q272-W272)</x:f>
        <x:v>0</x:v>
      </x:c>
      <x:c r="Y272" s="1"/>
      <x:c r="Z272" s="1"/>
    </x:row>
    <x:row r="273">
      <x:c r="A273" s="100" t="n">
        <x:f>A272+1</x:f>
        <x:v>268</x:v>
      </x:c>
      <x:c r="B273" s="103" t="n">
        <x:f>EDATE(B272,1)</x:f>
        <x:v>54363</x:v>
      </x:c>
      <x:c r="C273" s="104" t="n">
        <x:f>H272</x:f>
        <x:v>149768.86110967386</x:v>
      </x:c>
      <x:c r="D273" s="104" t="n">
        <x:f>IF(C273&gt;0,C273*'Your Mortgage'!$C$7/12,0)</x:f>
        <x:v>811.2479976774001</x:v>
      </x:c>
      <x:c r="E273" s="104" t="n">
        <x:f>IF(C273&gt;0,MIN('Your Mortgage'!$C$11,C273+D273),0)</x:f>
        <x:v>2054.2210763521375</x:v>
      </x:c>
      <x:c r="F273" s="104" t="n">
        <x:f>E273</x:f>
        <x:v>2054.2210763521375</x:v>
      </x:c>
      <x:c r="G273" s="104" t="n">
        <x:f>MAX(0,F273-D273)</x:f>
        <x:v>1242.9730786747373</x:v>
      </x:c>
      <x:c r="H273" s="104" t="n">
        <x:f>MAX(0,C273-G273)</x:f>
        <x:v>148525.88803099914</x:v>
      </x:c>
      <x:c r="I273" s="105" t="n">
        <x:f>P272</x:f>
        <x:v>0</x:v>
      </x:c>
      <x:c r="J273" s="105" t="n">
        <x:f>IF(I273&gt;0,I273*'Your Mortgage'!$C$7/12,0)</x:f>
        <x:v>0</x:v>
      </x:c>
      <x:c r="K273" s="105" t="n">
        <x:f>IF(I273&gt;0,MIN('Your Mortgage'!$C$11,I273+J273),0)</x:f>
        <x:v>0</x:v>
      </x:c>
      <x:c r="L273" s="105" t="n">
        <x:f>IF(I273&gt;0,MIN('Your Mortgage'!$F$6,MAX(0,I273+J273-K273)),0)</x:f>
        <x:v>0</x:v>
      </x:c>
      <x:c r="M273" s="105" t="n">
        <x:f>IF(AND(A273='Your Mortgage'!$F$8,I273&gt;0),MIN('Your Mortgage'!$F$7,MAX(0,I273+J273-K273-L273)),0)</x:f>
        <x:v>0</x:v>
      </x:c>
      <x:c r="N273" s="105" t="n">
        <x:f>K273+L273+M273</x:f>
        <x:v>0</x:v>
      </x:c>
      <x:c r="O273" s="105" t="n">
        <x:f>MAX(0,N273-J273)</x:f>
        <x:v>0</x:v>
      </x:c>
      <x:c r="P273" s="105" t="n">
        <x:f>MAX(0,I273-O273)</x:f>
        <x:v>0</x:v>
      </x:c>
      <x:c r="Q273" s="106" t="n">
        <x:f>X272</x:f>
        <x:v>0</x:v>
      </x:c>
      <x:c r="R273" s="106" t="n">
        <x:f>IF(Q273&gt;0,Q273*'Your Mortgage'!$C$7/12,0)</x:f>
        <x:v>0</x:v>
      </x:c>
      <x:c r="S273" s="106" t="n">
        <x:f>IF(Q273&gt;0,MIN('Your Mortgage'!$C$11,Q273+R273),0)</x:f>
        <x:v>0</x:v>
      </x:c>
      <x:c r="T273" s="106" t="n">
        <x:f>IF(Q273&gt;0,MIN('Your Mortgage'!$I$6,MAX(0,Q273+R273-S273)),0)</x:f>
        <x:v>0</x:v>
      </x:c>
      <x:c r="U273" s="106" t="n">
        <x:f>IF(AND(A273='Your Mortgage'!$I$8,Q273&gt;0),MIN('Your Mortgage'!$I$7,MAX(0,Q273+R273-S273-T273)),0)</x:f>
        <x:v>0</x:v>
      </x:c>
      <x:c r="V273" s="106" t="n">
        <x:f>S273+T273+U273</x:f>
        <x:v>0</x:v>
      </x:c>
      <x:c r="W273" s="106" t="n">
        <x:f>MAX(0,V273-R273)</x:f>
        <x:v>0</x:v>
      </x:c>
      <x:c r="X273" s="106" t="n">
        <x:f>MAX(0,Q273-W273)</x:f>
        <x:v>0</x:v>
      </x:c>
      <x:c r="Y273" s="1"/>
      <x:c r="Z273" s="1"/>
    </x:row>
    <x:row r="274">
      <x:c r="A274" s="100" t="n">
        <x:f>A273+1</x:f>
        <x:v>269</x:v>
      </x:c>
      <x:c r="B274" s="103" t="n">
        <x:f>EDATE(B273,1)</x:f>
        <x:v>54393</x:v>
      </x:c>
      <x:c r="C274" s="104" t="n">
        <x:f>H273</x:f>
        <x:v>148525.88803099914</x:v>
      </x:c>
      <x:c r="D274" s="104" t="n">
        <x:f>IF(C274&gt;0,C274*'Your Mortgage'!$C$7/12,0)</x:f>
        <x:v>804.5152268345787</x:v>
      </x:c>
      <x:c r="E274" s="104" t="n">
        <x:f>IF(C274&gt;0,MIN('Your Mortgage'!$C$11,C274+D274),0)</x:f>
        <x:v>2054.2210763521375</x:v>
      </x:c>
      <x:c r="F274" s="104" t="n">
        <x:f>E274</x:f>
        <x:v>2054.2210763521375</x:v>
      </x:c>
      <x:c r="G274" s="104" t="n">
        <x:f>MAX(0,F274-D274)</x:f>
        <x:v>1249.7058495175588</x:v>
      </x:c>
      <x:c r="H274" s="104" t="n">
        <x:f>MAX(0,C274-G274)</x:f>
        <x:v>147276.18218148156</x:v>
      </x:c>
      <x:c r="I274" s="105" t="n">
        <x:f>P273</x:f>
        <x:v>0</x:v>
      </x:c>
      <x:c r="J274" s="105" t="n">
        <x:f>IF(I274&gt;0,I274*'Your Mortgage'!$C$7/12,0)</x:f>
        <x:v>0</x:v>
      </x:c>
      <x:c r="K274" s="105" t="n">
        <x:f>IF(I274&gt;0,MIN('Your Mortgage'!$C$11,I274+J274),0)</x:f>
        <x:v>0</x:v>
      </x:c>
      <x:c r="L274" s="105" t="n">
        <x:f>IF(I274&gt;0,MIN('Your Mortgage'!$F$6,MAX(0,I274+J274-K274)),0)</x:f>
        <x:v>0</x:v>
      </x:c>
      <x:c r="M274" s="105" t="n">
        <x:f>IF(AND(A274='Your Mortgage'!$F$8,I274&gt;0),MIN('Your Mortgage'!$F$7,MAX(0,I274+J274-K274-L274)),0)</x:f>
        <x:v>0</x:v>
      </x:c>
      <x:c r="N274" s="105" t="n">
        <x:f>K274+L274+M274</x:f>
        <x:v>0</x:v>
      </x:c>
      <x:c r="O274" s="105" t="n">
        <x:f>MAX(0,N274-J274)</x:f>
        <x:v>0</x:v>
      </x:c>
      <x:c r="P274" s="105" t="n">
        <x:f>MAX(0,I274-O274)</x:f>
        <x:v>0</x:v>
      </x:c>
      <x:c r="Q274" s="106" t="n">
        <x:f>X273</x:f>
        <x:v>0</x:v>
      </x:c>
      <x:c r="R274" s="106" t="n">
        <x:f>IF(Q274&gt;0,Q274*'Your Mortgage'!$C$7/12,0)</x:f>
        <x:v>0</x:v>
      </x:c>
      <x:c r="S274" s="106" t="n">
        <x:f>IF(Q274&gt;0,MIN('Your Mortgage'!$C$11,Q274+R274),0)</x:f>
        <x:v>0</x:v>
      </x:c>
      <x:c r="T274" s="106" t="n">
        <x:f>IF(Q274&gt;0,MIN('Your Mortgage'!$I$6,MAX(0,Q274+R274-S274)),0)</x:f>
        <x:v>0</x:v>
      </x:c>
      <x:c r="U274" s="106" t="n">
        <x:f>IF(AND(A274='Your Mortgage'!$I$8,Q274&gt;0),MIN('Your Mortgage'!$I$7,MAX(0,Q274+R274-S274-T274)),0)</x:f>
        <x:v>0</x:v>
      </x:c>
      <x:c r="V274" s="106" t="n">
        <x:f>S274+T274+U274</x:f>
        <x:v>0</x:v>
      </x:c>
      <x:c r="W274" s="106" t="n">
        <x:f>MAX(0,V274-R274)</x:f>
        <x:v>0</x:v>
      </x:c>
      <x:c r="X274" s="106" t="n">
        <x:f>MAX(0,Q274-W274)</x:f>
        <x:v>0</x:v>
      </x:c>
      <x:c r="Y274" s="1"/>
      <x:c r="Z274" s="1"/>
    </x:row>
    <x:row r="275">
      <x:c r="A275" s="100" t="n">
        <x:f>A274+1</x:f>
        <x:v>270</x:v>
      </x:c>
      <x:c r="B275" s="103" t="n">
        <x:f>EDATE(B274,1)</x:f>
        <x:v>54424</x:v>
      </x:c>
      <x:c r="C275" s="104" t="n">
        <x:f>H274</x:f>
        <x:v>147276.18218148156</x:v>
      </x:c>
      <x:c r="D275" s="104" t="n">
        <x:f>IF(C275&gt;0,C275*'Your Mortgage'!$C$7/12,0)</x:f>
        <x:v>797.7459868163586</x:v>
      </x:c>
      <x:c r="E275" s="104" t="n">
        <x:f>IF(C275&gt;0,MIN('Your Mortgage'!$C$11,C275+D275),0)</x:f>
        <x:v>2054.2210763521375</x:v>
      </x:c>
      <x:c r="F275" s="104" t="n">
        <x:f>E275</x:f>
        <x:v>2054.2210763521375</x:v>
      </x:c>
      <x:c r="G275" s="104" t="n">
        <x:f>MAX(0,F275-D275)</x:f>
        <x:v>1256.4750895357788</x:v>
      </x:c>
      <x:c r="H275" s="104" t="n">
        <x:f>MAX(0,C275-G275)</x:f>
        <x:v>146019.70709194578</x:v>
      </x:c>
      <x:c r="I275" s="105" t="n">
        <x:f>P274</x:f>
        <x:v>0</x:v>
      </x:c>
      <x:c r="J275" s="105" t="n">
        <x:f>IF(I275&gt;0,I275*'Your Mortgage'!$C$7/12,0)</x:f>
        <x:v>0</x:v>
      </x:c>
      <x:c r="K275" s="105" t="n">
        <x:f>IF(I275&gt;0,MIN('Your Mortgage'!$C$11,I275+J275),0)</x:f>
        <x:v>0</x:v>
      </x:c>
      <x:c r="L275" s="105" t="n">
        <x:f>IF(I275&gt;0,MIN('Your Mortgage'!$F$6,MAX(0,I275+J275-K275)),0)</x:f>
        <x:v>0</x:v>
      </x:c>
      <x:c r="M275" s="105" t="n">
        <x:f>IF(AND(A275='Your Mortgage'!$F$8,I275&gt;0),MIN('Your Mortgage'!$F$7,MAX(0,I275+J275-K275-L275)),0)</x:f>
        <x:v>0</x:v>
      </x:c>
      <x:c r="N275" s="105" t="n">
        <x:f>K275+L275+M275</x:f>
        <x:v>0</x:v>
      </x:c>
      <x:c r="O275" s="105" t="n">
        <x:f>MAX(0,N275-J275)</x:f>
        <x:v>0</x:v>
      </x:c>
      <x:c r="P275" s="105" t="n">
        <x:f>MAX(0,I275-O275)</x:f>
        <x:v>0</x:v>
      </x:c>
      <x:c r="Q275" s="106" t="n">
        <x:f>X274</x:f>
        <x:v>0</x:v>
      </x:c>
      <x:c r="R275" s="106" t="n">
        <x:f>IF(Q275&gt;0,Q275*'Your Mortgage'!$C$7/12,0)</x:f>
        <x:v>0</x:v>
      </x:c>
      <x:c r="S275" s="106" t="n">
        <x:f>IF(Q275&gt;0,MIN('Your Mortgage'!$C$11,Q275+R275),0)</x:f>
        <x:v>0</x:v>
      </x:c>
      <x:c r="T275" s="106" t="n">
        <x:f>IF(Q275&gt;0,MIN('Your Mortgage'!$I$6,MAX(0,Q275+R275-S275)),0)</x:f>
        <x:v>0</x:v>
      </x:c>
      <x:c r="U275" s="106" t="n">
        <x:f>IF(AND(A275='Your Mortgage'!$I$8,Q275&gt;0),MIN('Your Mortgage'!$I$7,MAX(0,Q275+R275-S275-T275)),0)</x:f>
        <x:v>0</x:v>
      </x:c>
      <x:c r="V275" s="106" t="n">
        <x:f>S275+T275+U275</x:f>
        <x:v>0</x:v>
      </x:c>
      <x:c r="W275" s="106" t="n">
        <x:f>MAX(0,V275-R275)</x:f>
        <x:v>0</x:v>
      </x:c>
      <x:c r="X275" s="106" t="n">
        <x:f>MAX(0,Q275-W275)</x:f>
        <x:v>0</x:v>
      </x:c>
      <x:c r="Y275" s="1"/>
      <x:c r="Z275" s="1"/>
    </x:row>
    <x:row r="276">
      <x:c r="A276" s="100" t="n">
        <x:f>A275+1</x:f>
        <x:v>271</x:v>
      </x:c>
      <x:c r="B276" s="103" t="n">
        <x:f>EDATE(B275,1)</x:f>
        <x:v>54455</x:v>
      </x:c>
      <x:c r="C276" s="104" t="n">
        <x:f>H275</x:f>
        <x:v>146019.70709194578</x:v>
      </x:c>
      <x:c r="D276" s="104" t="n">
        <x:f>IF(C276&gt;0,C276*'Your Mortgage'!$C$7/12,0)</x:f>
        <x:v>790.9400800813729</x:v>
      </x:c>
      <x:c r="E276" s="104" t="n">
        <x:f>IF(C276&gt;0,MIN('Your Mortgage'!$C$11,C276+D276),0)</x:f>
        <x:v>2054.2210763521375</x:v>
      </x:c>
      <x:c r="F276" s="104" t="n">
        <x:f>E276</x:f>
        <x:v>2054.2210763521375</x:v>
      </x:c>
      <x:c r="G276" s="104" t="n">
        <x:f>MAX(0,F276-D276)</x:f>
        <x:v>1263.2809962707647</x:v>
      </x:c>
      <x:c r="H276" s="104" t="n">
        <x:f>MAX(0,C276-G276)</x:f>
        <x:v>144756.426095675</x:v>
      </x:c>
      <x:c r="I276" s="105" t="n">
        <x:f>P275</x:f>
        <x:v>0</x:v>
      </x:c>
      <x:c r="J276" s="105" t="n">
        <x:f>IF(I276&gt;0,I276*'Your Mortgage'!$C$7/12,0)</x:f>
        <x:v>0</x:v>
      </x:c>
      <x:c r="K276" s="105" t="n">
        <x:f>IF(I276&gt;0,MIN('Your Mortgage'!$C$11,I276+J276),0)</x:f>
        <x:v>0</x:v>
      </x:c>
      <x:c r="L276" s="105" t="n">
        <x:f>IF(I276&gt;0,MIN('Your Mortgage'!$F$6,MAX(0,I276+J276-K276)),0)</x:f>
        <x:v>0</x:v>
      </x:c>
      <x:c r="M276" s="105" t="n">
        <x:f>IF(AND(A276='Your Mortgage'!$F$8,I276&gt;0),MIN('Your Mortgage'!$F$7,MAX(0,I276+J276-K276-L276)),0)</x:f>
        <x:v>0</x:v>
      </x:c>
      <x:c r="N276" s="105" t="n">
        <x:f>K276+L276+M276</x:f>
        <x:v>0</x:v>
      </x:c>
      <x:c r="O276" s="105" t="n">
        <x:f>MAX(0,N276-J276)</x:f>
        <x:v>0</x:v>
      </x:c>
      <x:c r="P276" s="105" t="n">
        <x:f>MAX(0,I276-O276)</x:f>
        <x:v>0</x:v>
      </x:c>
      <x:c r="Q276" s="106" t="n">
        <x:f>X275</x:f>
        <x:v>0</x:v>
      </x:c>
      <x:c r="R276" s="106" t="n">
        <x:f>IF(Q276&gt;0,Q276*'Your Mortgage'!$C$7/12,0)</x:f>
        <x:v>0</x:v>
      </x:c>
      <x:c r="S276" s="106" t="n">
        <x:f>IF(Q276&gt;0,MIN('Your Mortgage'!$C$11,Q276+R276),0)</x:f>
        <x:v>0</x:v>
      </x:c>
      <x:c r="T276" s="106" t="n">
        <x:f>IF(Q276&gt;0,MIN('Your Mortgage'!$I$6,MAX(0,Q276+R276-S276)),0)</x:f>
        <x:v>0</x:v>
      </x:c>
      <x:c r="U276" s="106" t="n">
        <x:f>IF(AND(A276='Your Mortgage'!$I$8,Q276&gt;0),MIN('Your Mortgage'!$I$7,MAX(0,Q276+R276-S276-T276)),0)</x:f>
        <x:v>0</x:v>
      </x:c>
      <x:c r="V276" s="106" t="n">
        <x:f>S276+T276+U276</x:f>
        <x:v>0</x:v>
      </x:c>
      <x:c r="W276" s="106" t="n">
        <x:f>MAX(0,V276-R276)</x:f>
        <x:v>0</x:v>
      </x:c>
      <x:c r="X276" s="106" t="n">
        <x:f>MAX(0,Q276-W276)</x:f>
        <x:v>0</x:v>
      </x:c>
      <x:c r="Y276" s="1"/>
      <x:c r="Z276" s="1"/>
    </x:row>
    <x:row r="277">
      <x:c r="A277" s="100" t="n">
        <x:f>A276+1</x:f>
        <x:v>272</x:v>
      </x:c>
      <x:c r="B277" s="103" t="n">
        <x:f>EDATE(B276,1)</x:f>
        <x:v>54483</x:v>
      </x:c>
      <x:c r="C277" s="104" t="n">
        <x:f>H276</x:f>
        <x:v>144756.426095675</x:v>
      </x:c>
      <x:c r="D277" s="104" t="n">
        <x:f>IF(C277&gt;0,C277*'Your Mortgage'!$C$7/12,0)</x:f>
        <x:v>784.0973080182397</x:v>
      </x:c>
      <x:c r="E277" s="104" t="n">
        <x:f>IF(C277&gt;0,MIN('Your Mortgage'!$C$11,C277+D277),0)</x:f>
        <x:v>2054.2210763521375</x:v>
      </x:c>
      <x:c r="F277" s="104" t="n">
        <x:f>E277</x:f>
        <x:v>2054.2210763521375</x:v>
      </x:c>
      <x:c r="G277" s="104" t="n">
        <x:f>MAX(0,F277-D277)</x:f>
        <x:v>1270.1237683338977</x:v>
      </x:c>
      <x:c r="H277" s="104" t="n">
        <x:f>MAX(0,C277-G277)</x:f>
        <x:v>143486.3023273411</x:v>
      </x:c>
      <x:c r="I277" s="105" t="n">
        <x:f>P276</x:f>
        <x:v>0</x:v>
      </x:c>
      <x:c r="J277" s="105" t="n">
        <x:f>IF(I277&gt;0,I277*'Your Mortgage'!$C$7/12,0)</x:f>
        <x:v>0</x:v>
      </x:c>
      <x:c r="K277" s="105" t="n">
        <x:f>IF(I277&gt;0,MIN('Your Mortgage'!$C$11,I277+J277),0)</x:f>
        <x:v>0</x:v>
      </x:c>
      <x:c r="L277" s="105" t="n">
        <x:f>IF(I277&gt;0,MIN('Your Mortgage'!$F$6,MAX(0,I277+J277-K277)),0)</x:f>
        <x:v>0</x:v>
      </x:c>
      <x:c r="M277" s="105" t="n">
        <x:f>IF(AND(A277='Your Mortgage'!$F$8,I277&gt;0),MIN('Your Mortgage'!$F$7,MAX(0,I277+J277-K277-L277)),0)</x:f>
        <x:v>0</x:v>
      </x:c>
      <x:c r="N277" s="105" t="n">
        <x:f>K277+L277+M277</x:f>
        <x:v>0</x:v>
      </x:c>
      <x:c r="O277" s="105" t="n">
        <x:f>MAX(0,N277-J277)</x:f>
        <x:v>0</x:v>
      </x:c>
      <x:c r="P277" s="105" t="n">
        <x:f>MAX(0,I277-O277)</x:f>
        <x:v>0</x:v>
      </x:c>
      <x:c r="Q277" s="106" t="n">
        <x:f>X276</x:f>
        <x:v>0</x:v>
      </x:c>
      <x:c r="R277" s="106" t="n">
        <x:f>IF(Q277&gt;0,Q277*'Your Mortgage'!$C$7/12,0)</x:f>
        <x:v>0</x:v>
      </x:c>
      <x:c r="S277" s="106" t="n">
        <x:f>IF(Q277&gt;0,MIN('Your Mortgage'!$C$11,Q277+R277),0)</x:f>
        <x:v>0</x:v>
      </x:c>
      <x:c r="T277" s="106" t="n">
        <x:f>IF(Q277&gt;0,MIN('Your Mortgage'!$I$6,MAX(0,Q277+R277-S277)),0)</x:f>
        <x:v>0</x:v>
      </x:c>
      <x:c r="U277" s="106" t="n">
        <x:f>IF(AND(A277='Your Mortgage'!$I$8,Q277&gt;0),MIN('Your Mortgage'!$I$7,MAX(0,Q277+R277-S277-T277)),0)</x:f>
        <x:v>0</x:v>
      </x:c>
      <x:c r="V277" s="106" t="n">
        <x:f>S277+T277+U277</x:f>
        <x:v>0</x:v>
      </x:c>
      <x:c r="W277" s="106" t="n">
        <x:f>MAX(0,V277-R277)</x:f>
        <x:v>0</x:v>
      </x:c>
      <x:c r="X277" s="106" t="n">
        <x:f>MAX(0,Q277-W277)</x:f>
        <x:v>0</x:v>
      </x:c>
      <x:c r="Y277" s="1"/>
      <x:c r="Z277" s="1"/>
    </x:row>
    <x:row r="278">
      <x:c r="A278" s="100" t="n">
        <x:f>A277+1</x:f>
        <x:v>273</x:v>
      </x:c>
      <x:c r="B278" s="103" t="n">
        <x:f>EDATE(B277,1)</x:f>
        <x:v>54514</x:v>
      </x:c>
      <x:c r="C278" s="104" t="n">
        <x:f>H277</x:f>
        <x:v>143486.3023273411</x:v>
      </x:c>
      <x:c r="D278" s="104" t="n">
        <x:f>IF(C278&gt;0,C278*'Your Mortgage'!$C$7/12,0)</x:f>
        <x:v>777.2174709397644</x:v>
      </x:c>
      <x:c r="E278" s="104" t="n">
        <x:f>IF(C278&gt;0,MIN('Your Mortgage'!$C$11,C278+D278),0)</x:f>
        <x:v>2054.2210763521375</x:v>
      </x:c>
      <x:c r="F278" s="104" t="n">
        <x:f>E278</x:f>
        <x:v>2054.2210763521375</x:v>
      </x:c>
      <x:c r="G278" s="104" t="n">
        <x:f>MAX(0,F278-D278)</x:f>
        <x:v>1277.003605412373</x:v>
      </x:c>
      <x:c r="H278" s="104" t="n">
        <x:f>MAX(0,C278-G278)</x:f>
        <x:v>142209.29872192873</x:v>
      </x:c>
      <x:c r="I278" s="105" t="n">
        <x:f>P277</x:f>
        <x:v>0</x:v>
      </x:c>
      <x:c r="J278" s="105" t="n">
        <x:f>IF(I278&gt;0,I278*'Your Mortgage'!$C$7/12,0)</x:f>
        <x:v>0</x:v>
      </x:c>
      <x:c r="K278" s="105" t="n">
        <x:f>IF(I278&gt;0,MIN('Your Mortgage'!$C$11,I278+J278),0)</x:f>
        <x:v>0</x:v>
      </x:c>
      <x:c r="L278" s="105" t="n">
        <x:f>IF(I278&gt;0,MIN('Your Mortgage'!$F$6,MAX(0,I278+J278-K278)),0)</x:f>
        <x:v>0</x:v>
      </x:c>
      <x:c r="M278" s="105" t="n">
        <x:f>IF(AND(A278='Your Mortgage'!$F$8,I278&gt;0),MIN('Your Mortgage'!$F$7,MAX(0,I278+J278-K278-L278)),0)</x:f>
        <x:v>0</x:v>
      </x:c>
      <x:c r="N278" s="105" t="n">
        <x:f>K278+L278+M278</x:f>
        <x:v>0</x:v>
      </x:c>
      <x:c r="O278" s="105" t="n">
        <x:f>MAX(0,N278-J278)</x:f>
        <x:v>0</x:v>
      </x:c>
      <x:c r="P278" s="105" t="n">
        <x:f>MAX(0,I278-O278)</x:f>
        <x:v>0</x:v>
      </x:c>
      <x:c r="Q278" s="106" t="n">
        <x:f>X277</x:f>
        <x:v>0</x:v>
      </x:c>
      <x:c r="R278" s="106" t="n">
        <x:f>IF(Q278&gt;0,Q278*'Your Mortgage'!$C$7/12,0)</x:f>
        <x:v>0</x:v>
      </x:c>
      <x:c r="S278" s="106" t="n">
        <x:f>IF(Q278&gt;0,MIN('Your Mortgage'!$C$11,Q278+R278),0)</x:f>
        <x:v>0</x:v>
      </x:c>
      <x:c r="T278" s="106" t="n">
        <x:f>IF(Q278&gt;0,MIN('Your Mortgage'!$I$6,MAX(0,Q278+R278-S278)),0)</x:f>
        <x:v>0</x:v>
      </x:c>
      <x:c r="U278" s="106" t="n">
        <x:f>IF(AND(A278='Your Mortgage'!$I$8,Q278&gt;0),MIN('Your Mortgage'!$I$7,MAX(0,Q278+R278-S278-T278)),0)</x:f>
        <x:v>0</x:v>
      </x:c>
      <x:c r="V278" s="106" t="n">
        <x:f>S278+T278+U278</x:f>
        <x:v>0</x:v>
      </x:c>
      <x:c r="W278" s="106" t="n">
        <x:f>MAX(0,V278-R278)</x:f>
        <x:v>0</x:v>
      </x:c>
      <x:c r="X278" s="106" t="n">
        <x:f>MAX(0,Q278-W278)</x:f>
        <x:v>0</x:v>
      </x:c>
      <x:c r="Y278" s="1"/>
      <x:c r="Z278" s="1"/>
    </x:row>
    <x:row r="279">
      <x:c r="A279" s="100" t="n">
        <x:f>A278+1</x:f>
        <x:v>274</x:v>
      </x:c>
      <x:c r="B279" s="103" t="n">
        <x:f>EDATE(B278,1)</x:f>
        <x:v>54544</x:v>
      </x:c>
      <x:c r="C279" s="104" t="n">
        <x:f>H278</x:f>
        <x:v>142209.29872192873</x:v>
      </x:c>
      <x:c r="D279" s="104" t="n">
        <x:f>IF(C279&gt;0,C279*'Your Mortgage'!$C$7/12,0)</x:f>
        <x:v>770.300368077114</x:v>
      </x:c>
      <x:c r="E279" s="104" t="n">
        <x:f>IF(C279&gt;0,MIN('Your Mortgage'!$C$11,C279+D279),0)</x:f>
        <x:v>2054.2210763521375</x:v>
      </x:c>
      <x:c r="F279" s="104" t="n">
        <x:f>E279</x:f>
        <x:v>2054.2210763521375</x:v>
      </x:c>
      <x:c r="G279" s="104" t="n">
        <x:f>MAX(0,F279-D279)</x:f>
        <x:v>1283.9207082750236</x:v>
      </x:c>
      <x:c r="H279" s="104" t="n">
        <x:f>MAX(0,C279-G279)</x:f>
        <x:v>140925.3780136537</x:v>
      </x:c>
      <x:c r="I279" s="105" t="n">
        <x:f>P278</x:f>
        <x:v>0</x:v>
      </x:c>
      <x:c r="J279" s="105" t="n">
        <x:f>IF(I279&gt;0,I279*'Your Mortgage'!$C$7/12,0)</x:f>
        <x:v>0</x:v>
      </x:c>
      <x:c r="K279" s="105" t="n">
        <x:f>IF(I279&gt;0,MIN('Your Mortgage'!$C$11,I279+J279),0)</x:f>
        <x:v>0</x:v>
      </x:c>
      <x:c r="L279" s="105" t="n">
        <x:f>IF(I279&gt;0,MIN('Your Mortgage'!$F$6,MAX(0,I279+J279-K279)),0)</x:f>
        <x:v>0</x:v>
      </x:c>
      <x:c r="M279" s="105" t="n">
        <x:f>IF(AND(A279='Your Mortgage'!$F$8,I279&gt;0),MIN('Your Mortgage'!$F$7,MAX(0,I279+J279-K279-L279)),0)</x:f>
        <x:v>0</x:v>
      </x:c>
      <x:c r="N279" s="105" t="n">
        <x:f>K279+L279+M279</x:f>
        <x:v>0</x:v>
      </x:c>
      <x:c r="O279" s="105" t="n">
        <x:f>MAX(0,N279-J279)</x:f>
        <x:v>0</x:v>
      </x:c>
      <x:c r="P279" s="105" t="n">
        <x:f>MAX(0,I279-O279)</x:f>
        <x:v>0</x:v>
      </x:c>
      <x:c r="Q279" s="106" t="n">
        <x:f>X278</x:f>
        <x:v>0</x:v>
      </x:c>
      <x:c r="R279" s="106" t="n">
        <x:f>IF(Q279&gt;0,Q279*'Your Mortgage'!$C$7/12,0)</x:f>
        <x:v>0</x:v>
      </x:c>
      <x:c r="S279" s="106" t="n">
        <x:f>IF(Q279&gt;0,MIN('Your Mortgage'!$C$11,Q279+R279),0)</x:f>
        <x:v>0</x:v>
      </x:c>
      <x:c r="T279" s="106" t="n">
        <x:f>IF(Q279&gt;0,MIN('Your Mortgage'!$I$6,MAX(0,Q279+R279-S279)),0)</x:f>
        <x:v>0</x:v>
      </x:c>
      <x:c r="U279" s="106" t="n">
        <x:f>IF(AND(A279='Your Mortgage'!$I$8,Q279&gt;0),MIN('Your Mortgage'!$I$7,MAX(0,Q279+R279-S279-T279)),0)</x:f>
        <x:v>0</x:v>
      </x:c>
      <x:c r="V279" s="106" t="n">
        <x:f>S279+T279+U279</x:f>
        <x:v>0</x:v>
      </x:c>
      <x:c r="W279" s="106" t="n">
        <x:f>MAX(0,V279-R279)</x:f>
        <x:v>0</x:v>
      </x:c>
      <x:c r="X279" s="106" t="n">
        <x:f>MAX(0,Q279-W279)</x:f>
        <x:v>0</x:v>
      </x:c>
      <x:c r="Y279" s="1"/>
      <x:c r="Z279" s="1"/>
    </x:row>
    <x:row r="280">
      <x:c r="A280" s="100" t="n">
        <x:f>A279+1</x:f>
        <x:v>275</x:v>
      </x:c>
      <x:c r="B280" s="103" t="n">
        <x:f>EDATE(B279,1)</x:f>
        <x:v>54575</x:v>
      </x:c>
      <x:c r="C280" s="104" t="n">
        <x:f>H279</x:f>
        <x:v>140925.3780136537</x:v>
      </x:c>
      <x:c r="D280" s="104" t="n">
        <x:f>IF(C280&gt;0,C280*'Your Mortgage'!$C$7/12,0)</x:f>
        <x:v>763.3457975739576</x:v>
      </x:c>
      <x:c r="E280" s="104" t="n">
        <x:f>IF(C280&gt;0,MIN('Your Mortgage'!$C$11,C280+D280),0)</x:f>
        <x:v>2054.2210763521375</x:v>
      </x:c>
      <x:c r="F280" s="104" t="n">
        <x:f>E280</x:f>
        <x:v>2054.2210763521375</x:v>
      </x:c>
      <x:c r="G280" s="104" t="n">
        <x:f>MAX(0,F280-D280)</x:f>
        <x:v>1290.87527877818</x:v>
      </x:c>
      <x:c r="H280" s="104" t="n">
        <x:f>MAX(0,C280-G280)</x:f>
        <x:v>139634.50273487554</x:v>
      </x:c>
      <x:c r="I280" s="105" t="n">
        <x:f>P279</x:f>
        <x:v>0</x:v>
      </x:c>
      <x:c r="J280" s="105" t="n">
        <x:f>IF(I280&gt;0,I280*'Your Mortgage'!$C$7/12,0)</x:f>
        <x:v>0</x:v>
      </x:c>
      <x:c r="K280" s="105" t="n">
        <x:f>IF(I280&gt;0,MIN('Your Mortgage'!$C$11,I280+J280),0)</x:f>
        <x:v>0</x:v>
      </x:c>
      <x:c r="L280" s="105" t="n">
        <x:f>IF(I280&gt;0,MIN('Your Mortgage'!$F$6,MAX(0,I280+J280-K280)),0)</x:f>
        <x:v>0</x:v>
      </x:c>
      <x:c r="M280" s="105" t="n">
        <x:f>IF(AND(A280='Your Mortgage'!$F$8,I280&gt;0),MIN('Your Mortgage'!$F$7,MAX(0,I280+J280-K280-L280)),0)</x:f>
        <x:v>0</x:v>
      </x:c>
      <x:c r="N280" s="105" t="n">
        <x:f>K280+L280+M280</x:f>
        <x:v>0</x:v>
      </x:c>
      <x:c r="O280" s="105" t="n">
        <x:f>MAX(0,N280-J280)</x:f>
        <x:v>0</x:v>
      </x:c>
      <x:c r="P280" s="105" t="n">
        <x:f>MAX(0,I280-O280)</x:f>
        <x:v>0</x:v>
      </x:c>
      <x:c r="Q280" s="106" t="n">
        <x:f>X279</x:f>
        <x:v>0</x:v>
      </x:c>
      <x:c r="R280" s="106" t="n">
        <x:f>IF(Q280&gt;0,Q280*'Your Mortgage'!$C$7/12,0)</x:f>
        <x:v>0</x:v>
      </x:c>
      <x:c r="S280" s="106" t="n">
        <x:f>IF(Q280&gt;0,MIN('Your Mortgage'!$C$11,Q280+R280),0)</x:f>
        <x:v>0</x:v>
      </x:c>
      <x:c r="T280" s="106" t="n">
        <x:f>IF(Q280&gt;0,MIN('Your Mortgage'!$I$6,MAX(0,Q280+R280-S280)),0)</x:f>
        <x:v>0</x:v>
      </x:c>
      <x:c r="U280" s="106" t="n">
        <x:f>IF(AND(A280='Your Mortgage'!$I$8,Q280&gt;0),MIN('Your Mortgage'!$I$7,MAX(0,Q280+R280-S280-T280)),0)</x:f>
        <x:v>0</x:v>
      </x:c>
      <x:c r="V280" s="106" t="n">
        <x:f>S280+T280+U280</x:f>
        <x:v>0</x:v>
      </x:c>
      <x:c r="W280" s="106" t="n">
        <x:f>MAX(0,V280-R280)</x:f>
        <x:v>0</x:v>
      </x:c>
      <x:c r="X280" s="106" t="n">
        <x:f>MAX(0,Q280-W280)</x:f>
        <x:v>0</x:v>
      </x:c>
      <x:c r="Y280" s="1"/>
      <x:c r="Z280" s="1"/>
    </x:row>
    <x:row r="281">
      <x:c r="A281" s="100" t="n">
        <x:f>A280+1</x:f>
        <x:v>276</x:v>
      </x:c>
      <x:c r="B281" s="103" t="n">
        <x:f>EDATE(B280,1)</x:f>
        <x:v>54605</x:v>
      </x:c>
      <x:c r="C281" s="104" t="n">
        <x:f>H280</x:f>
        <x:v>139634.50273487554</x:v>
      </x:c>
      <x:c r="D281" s="104" t="n">
        <x:f>IF(C281&gt;0,C281*'Your Mortgage'!$C$7/12,0)</x:f>
        <x:v>756.3535564805758</x:v>
      </x:c>
      <x:c r="E281" s="104" t="n">
        <x:f>IF(C281&gt;0,MIN('Your Mortgage'!$C$11,C281+D281),0)</x:f>
        <x:v>2054.2210763521375</x:v>
      </x:c>
      <x:c r="F281" s="104" t="n">
        <x:f>E281</x:f>
        <x:v>2054.2210763521375</x:v>
      </x:c>
      <x:c r="G281" s="104" t="n">
        <x:f>MAX(0,F281-D281)</x:f>
        <x:v>1297.8675198715619</x:v>
      </x:c>
      <x:c r="H281" s="104" t="n">
        <x:f>MAX(0,C281-G281)</x:f>
        <x:v>138336.63521500397</x:v>
      </x:c>
      <x:c r="I281" s="105" t="n">
        <x:f>P280</x:f>
        <x:v>0</x:v>
      </x:c>
      <x:c r="J281" s="105" t="n">
        <x:f>IF(I281&gt;0,I281*'Your Mortgage'!$C$7/12,0)</x:f>
        <x:v>0</x:v>
      </x:c>
      <x:c r="K281" s="105" t="n">
        <x:f>IF(I281&gt;0,MIN('Your Mortgage'!$C$11,I281+J281),0)</x:f>
        <x:v>0</x:v>
      </x:c>
      <x:c r="L281" s="105" t="n">
        <x:f>IF(I281&gt;0,MIN('Your Mortgage'!$F$6,MAX(0,I281+J281-K281)),0)</x:f>
        <x:v>0</x:v>
      </x:c>
      <x:c r="M281" s="105" t="n">
        <x:f>IF(AND(A281='Your Mortgage'!$F$8,I281&gt;0),MIN('Your Mortgage'!$F$7,MAX(0,I281+J281-K281-L281)),0)</x:f>
        <x:v>0</x:v>
      </x:c>
      <x:c r="N281" s="105" t="n">
        <x:f>K281+L281+M281</x:f>
        <x:v>0</x:v>
      </x:c>
      <x:c r="O281" s="105" t="n">
        <x:f>MAX(0,N281-J281)</x:f>
        <x:v>0</x:v>
      </x:c>
      <x:c r="P281" s="105" t="n">
        <x:f>MAX(0,I281-O281)</x:f>
        <x:v>0</x:v>
      </x:c>
      <x:c r="Q281" s="106" t="n">
        <x:f>X280</x:f>
        <x:v>0</x:v>
      </x:c>
      <x:c r="R281" s="106" t="n">
        <x:f>IF(Q281&gt;0,Q281*'Your Mortgage'!$C$7/12,0)</x:f>
        <x:v>0</x:v>
      </x:c>
      <x:c r="S281" s="106" t="n">
        <x:f>IF(Q281&gt;0,MIN('Your Mortgage'!$C$11,Q281+R281),0)</x:f>
        <x:v>0</x:v>
      </x:c>
      <x:c r="T281" s="106" t="n">
        <x:f>IF(Q281&gt;0,MIN('Your Mortgage'!$I$6,MAX(0,Q281+R281-S281)),0)</x:f>
        <x:v>0</x:v>
      </x:c>
      <x:c r="U281" s="106" t="n">
        <x:f>IF(AND(A281='Your Mortgage'!$I$8,Q281&gt;0),MIN('Your Mortgage'!$I$7,MAX(0,Q281+R281-S281-T281)),0)</x:f>
        <x:v>0</x:v>
      </x:c>
      <x:c r="V281" s="106" t="n">
        <x:f>S281+T281+U281</x:f>
        <x:v>0</x:v>
      </x:c>
      <x:c r="W281" s="106" t="n">
        <x:f>MAX(0,V281-R281)</x:f>
        <x:v>0</x:v>
      </x:c>
      <x:c r="X281" s="106" t="n">
        <x:f>MAX(0,Q281-W281)</x:f>
        <x:v>0</x:v>
      </x:c>
      <x:c r="Y281" s="1"/>
      <x:c r="Z281" s="1"/>
    </x:row>
    <x:row r="282">
      <x:c r="A282" s="100" t="n">
        <x:f>A281+1</x:f>
        <x:v>277</x:v>
      </x:c>
      <x:c r="B282" s="103" t="n">
        <x:f>EDATE(B281,1)</x:f>
        <x:v>54636</x:v>
      </x:c>
      <x:c r="C282" s="104" t="n">
        <x:f>H281</x:f>
        <x:v>138336.63521500397</x:v>
      </x:c>
      <x:c r="D282" s="104" t="n">
        <x:f>IF(C282&gt;0,C282*'Your Mortgage'!$C$7/12,0)</x:f>
        <x:v>749.3234407479382</x:v>
      </x:c>
      <x:c r="E282" s="104" t="n">
        <x:f>IF(C282&gt;0,MIN('Your Mortgage'!$C$11,C282+D282),0)</x:f>
        <x:v>2054.2210763521375</x:v>
      </x:c>
      <x:c r="F282" s="104" t="n">
        <x:f>E282</x:f>
        <x:v>2054.2210763521375</x:v>
      </x:c>
      <x:c r="G282" s="104" t="n">
        <x:f>MAX(0,F282-D282)</x:f>
        <x:v>1304.8976356041994</x:v>
      </x:c>
      <x:c r="H282" s="104" t="n">
        <x:f>MAX(0,C282-G282)</x:f>
        <x:v>137031.73757939978</x:v>
      </x:c>
      <x:c r="I282" s="105" t="n">
        <x:f>P281</x:f>
        <x:v>0</x:v>
      </x:c>
      <x:c r="J282" s="105" t="n">
        <x:f>IF(I282&gt;0,I282*'Your Mortgage'!$C$7/12,0)</x:f>
        <x:v>0</x:v>
      </x:c>
      <x:c r="K282" s="105" t="n">
        <x:f>IF(I282&gt;0,MIN('Your Mortgage'!$C$11,I282+J282),0)</x:f>
        <x:v>0</x:v>
      </x:c>
      <x:c r="L282" s="105" t="n">
        <x:f>IF(I282&gt;0,MIN('Your Mortgage'!$F$6,MAX(0,I282+J282-K282)),0)</x:f>
        <x:v>0</x:v>
      </x:c>
      <x:c r="M282" s="105" t="n">
        <x:f>IF(AND(A282='Your Mortgage'!$F$8,I282&gt;0),MIN('Your Mortgage'!$F$7,MAX(0,I282+J282-K282-L282)),0)</x:f>
        <x:v>0</x:v>
      </x:c>
      <x:c r="N282" s="105" t="n">
        <x:f>K282+L282+M282</x:f>
        <x:v>0</x:v>
      </x:c>
      <x:c r="O282" s="105" t="n">
        <x:f>MAX(0,N282-J282)</x:f>
        <x:v>0</x:v>
      </x:c>
      <x:c r="P282" s="105" t="n">
        <x:f>MAX(0,I282-O282)</x:f>
        <x:v>0</x:v>
      </x:c>
      <x:c r="Q282" s="106" t="n">
        <x:f>X281</x:f>
        <x:v>0</x:v>
      </x:c>
      <x:c r="R282" s="106" t="n">
        <x:f>IF(Q282&gt;0,Q282*'Your Mortgage'!$C$7/12,0)</x:f>
        <x:v>0</x:v>
      </x:c>
      <x:c r="S282" s="106" t="n">
        <x:f>IF(Q282&gt;0,MIN('Your Mortgage'!$C$11,Q282+R282),0)</x:f>
        <x:v>0</x:v>
      </x:c>
      <x:c r="T282" s="106" t="n">
        <x:f>IF(Q282&gt;0,MIN('Your Mortgage'!$I$6,MAX(0,Q282+R282-S282)),0)</x:f>
        <x:v>0</x:v>
      </x:c>
      <x:c r="U282" s="106" t="n">
        <x:f>IF(AND(A282='Your Mortgage'!$I$8,Q282&gt;0),MIN('Your Mortgage'!$I$7,MAX(0,Q282+R282-S282-T282)),0)</x:f>
        <x:v>0</x:v>
      </x:c>
      <x:c r="V282" s="106" t="n">
        <x:f>S282+T282+U282</x:f>
        <x:v>0</x:v>
      </x:c>
      <x:c r="W282" s="106" t="n">
        <x:f>MAX(0,V282-R282)</x:f>
        <x:v>0</x:v>
      </x:c>
      <x:c r="X282" s="106" t="n">
        <x:f>MAX(0,Q282-W282)</x:f>
        <x:v>0</x:v>
      </x:c>
      <x:c r="Y282" s="1"/>
      <x:c r="Z282" s="1"/>
    </x:row>
    <x:row r="283">
      <x:c r="A283" s="100" t="n">
        <x:f>A282+1</x:f>
        <x:v>278</x:v>
      </x:c>
      <x:c r="B283" s="103" t="n">
        <x:f>EDATE(B282,1)</x:f>
        <x:v>54667</x:v>
      </x:c>
      <x:c r="C283" s="104" t="n">
        <x:f>H282</x:f>
        <x:v>137031.73757939978</x:v>
      </x:c>
      <x:c r="D283" s="104" t="n">
        <x:f>IF(C283&gt;0,C283*'Your Mortgage'!$C$7/12,0)</x:f>
        <x:v>742.2552452217489</x:v>
      </x:c>
      <x:c r="E283" s="104" t="n">
        <x:f>IF(C283&gt;0,MIN('Your Mortgage'!$C$11,C283+D283),0)</x:f>
        <x:v>2054.2210763521375</x:v>
      </x:c>
      <x:c r="F283" s="104" t="n">
        <x:f>E283</x:f>
        <x:v>2054.2210763521375</x:v>
      </x:c>
      <x:c r="G283" s="104" t="n">
        <x:f>MAX(0,F283-D283)</x:f>
        <x:v>1311.9658311303888</x:v>
      </x:c>
      <x:c r="H283" s="104" t="n">
        <x:f>MAX(0,C283-G283)</x:f>
        <x:v>135719.77174826938</x:v>
      </x:c>
      <x:c r="I283" s="105" t="n">
        <x:f>P282</x:f>
        <x:v>0</x:v>
      </x:c>
      <x:c r="J283" s="105" t="n">
        <x:f>IF(I283&gt;0,I283*'Your Mortgage'!$C$7/12,0)</x:f>
        <x:v>0</x:v>
      </x:c>
      <x:c r="K283" s="105" t="n">
        <x:f>IF(I283&gt;0,MIN('Your Mortgage'!$C$11,I283+J283),0)</x:f>
        <x:v>0</x:v>
      </x:c>
      <x:c r="L283" s="105" t="n">
        <x:f>IF(I283&gt;0,MIN('Your Mortgage'!$F$6,MAX(0,I283+J283-K283)),0)</x:f>
        <x:v>0</x:v>
      </x:c>
      <x:c r="M283" s="105" t="n">
        <x:f>IF(AND(A283='Your Mortgage'!$F$8,I283&gt;0),MIN('Your Mortgage'!$F$7,MAX(0,I283+J283-K283-L283)),0)</x:f>
        <x:v>0</x:v>
      </x:c>
      <x:c r="N283" s="105" t="n">
        <x:f>K283+L283+M283</x:f>
        <x:v>0</x:v>
      </x:c>
      <x:c r="O283" s="105" t="n">
        <x:f>MAX(0,N283-J283)</x:f>
        <x:v>0</x:v>
      </x:c>
      <x:c r="P283" s="105" t="n">
        <x:f>MAX(0,I283-O283)</x:f>
        <x:v>0</x:v>
      </x:c>
      <x:c r="Q283" s="106" t="n">
        <x:f>X282</x:f>
        <x:v>0</x:v>
      </x:c>
      <x:c r="R283" s="106" t="n">
        <x:f>IF(Q283&gt;0,Q283*'Your Mortgage'!$C$7/12,0)</x:f>
        <x:v>0</x:v>
      </x:c>
      <x:c r="S283" s="106" t="n">
        <x:f>IF(Q283&gt;0,MIN('Your Mortgage'!$C$11,Q283+R283),0)</x:f>
        <x:v>0</x:v>
      </x:c>
      <x:c r="T283" s="106" t="n">
        <x:f>IF(Q283&gt;0,MIN('Your Mortgage'!$I$6,MAX(0,Q283+R283-S283)),0)</x:f>
        <x:v>0</x:v>
      </x:c>
      <x:c r="U283" s="106" t="n">
        <x:f>IF(AND(A283='Your Mortgage'!$I$8,Q283&gt;0),MIN('Your Mortgage'!$I$7,MAX(0,Q283+R283-S283-T283)),0)</x:f>
        <x:v>0</x:v>
      </x:c>
      <x:c r="V283" s="106" t="n">
        <x:f>S283+T283+U283</x:f>
        <x:v>0</x:v>
      </x:c>
      <x:c r="W283" s="106" t="n">
        <x:f>MAX(0,V283-R283)</x:f>
        <x:v>0</x:v>
      </x:c>
      <x:c r="X283" s="106" t="n">
        <x:f>MAX(0,Q283-W283)</x:f>
        <x:v>0</x:v>
      </x:c>
      <x:c r="Y283" s="1"/>
      <x:c r="Z283" s="1"/>
    </x:row>
    <x:row r="284">
      <x:c r="A284" s="100" t="n">
        <x:f>A283+1</x:f>
        <x:v>279</x:v>
      </x:c>
      <x:c r="B284" s="103" t="n">
        <x:f>EDATE(B283,1)</x:f>
        <x:v>54697</x:v>
      </x:c>
      <x:c r="C284" s="104" t="n">
        <x:f>H283</x:f>
        <x:v>135719.77174826938</x:v>
      </x:c>
      <x:c r="D284" s="104" t="n">
        <x:f>IF(C284&gt;0,C284*'Your Mortgage'!$C$7/12,0)</x:f>
        <x:v>735.1487636364592</x:v>
      </x:c>
      <x:c r="E284" s="104" t="n">
        <x:f>IF(C284&gt;0,MIN('Your Mortgage'!$C$11,C284+D284),0)</x:f>
        <x:v>2054.2210763521375</x:v>
      </x:c>
      <x:c r="F284" s="104" t="n">
        <x:f>E284</x:f>
        <x:v>2054.2210763521375</x:v>
      </x:c>
      <x:c r="G284" s="104" t="n">
        <x:f>MAX(0,F284-D284)</x:f>
        <x:v>1319.0723127156784</x:v>
      </x:c>
      <x:c r="H284" s="104" t="n">
        <x:f>MAX(0,C284-G284)</x:f>
        <x:v>134400.69943555372</x:v>
      </x:c>
      <x:c r="I284" s="105" t="n">
        <x:f>P283</x:f>
        <x:v>0</x:v>
      </x:c>
      <x:c r="J284" s="105" t="n">
        <x:f>IF(I284&gt;0,I284*'Your Mortgage'!$C$7/12,0)</x:f>
        <x:v>0</x:v>
      </x:c>
      <x:c r="K284" s="105" t="n">
        <x:f>IF(I284&gt;0,MIN('Your Mortgage'!$C$11,I284+J284),0)</x:f>
        <x:v>0</x:v>
      </x:c>
      <x:c r="L284" s="105" t="n">
        <x:f>IF(I284&gt;0,MIN('Your Mortgage'!$F$6,MAX(0,I284+J284-K284)),0)</x:f>
        <x:v>0</x:v>
      </x:c>
      <x:c r="M284" s="105" t="n">
        <x:f>IF(AND(A284='Your Mortgage'!$F$8,I284&gt;0),MIN('Your Mortgage'!$F$7,MAX(0,I284+J284-K284-L284)),0)</x:f>
        <x:v>0</x:v>
      </x:c>
      <x:c r="N284" s="105" t="n">
        <x:f>K284+L284+M284</x:f>
        <x:v>0</x:v>
      </x:c>
      <x:c r="O284" s="105" t="n">
        <x:f>MAX(0,N284-J284)</x:f>
        <x:v>0</x:v>
      </x:c>
      <x:c r="P284" s="105" t="n">
        <x:f>MAX(0,I284-O284)</x:f>
        <x:v>0</x:v>
      </x:c>
      <x:c r="Q284" s="106" t="n">
        <x:f>X283</x:f>
        <x:v>0</x:v>
      </x:c>
      <x:c r="R284" s="106" t="n">
        <x:f>IF(Q284&gt;0,Q284*'Your Mortgage'!$C$7/12,0)</x:f>
        <x:v>0</x:v>
      </x:c>
      <x:c r="S284" s="106" t="n">
        <x:f>IF(Q284&gt;0,MIN('Your Mortgage'!$C$11,Q284+R284),0)</x:f>
        <x:v>0</x:v>
      </x:c>
      <x:c r="T284" s="106" t="n">
        <x:f>IF(Q284&gt;0,MIN('Your Mortgage'!$I$6,MAX(0,Q284+R284-S284)),0)</x:f>
        <x:v>0</x:v>
      </x:c>
      <x:c r="U284" s="106" t="n">
        <x:f>IF(AND(A284='Your Mortgage'!$I$8,Q284&gt;0),MIN('Your Mortgage'!$I$7,MAX(0,Q284+R284-S284-T284)),0)</x:f>
        <x:v>0</x:v>
      </x:c>
      <x:c r="V284" s="106" t="n">
        <x:f>S284+T284+U284</x:f>
        <x:v>0</x:v>
      </x:c>
      <x:c r="W284" s="106" t="n">
        <x:f>MAX(0,V284-R284)</x:f>
        <x:v>0</x:v>
      </x:c>
      <x:c r="X284" s="106" t="n">
        <x:f>MAX(0,Q284-W284)</x:f>
        <x:v>0</x:v>
      </x:c>
      <x:c r="Y284" s="1"/>
      <x:c r="Z284" s="1"/>
    </x:row>
    <x:row r="285">
      <x:c r="A285" s="100" t="n">
        <x:f>A284+1</x:f>
        <x:v>280</x:v>
      </x:c>
      <x:c r="B285" s="103" t="n">
        <x:f>EDATE(B284,1)</x:f>
        <x:v>54728</x:v>
      </x:c>
      <x:c r="C285" s="104" t="n">
        <x:f>H284</x:f>
        <x:v>134400.69943555372</x:v>
      </x:c>
      <x:c r="D285" s="104" t="n">
        <x:f>IF(C285&gt;0,C285*'Your Mortgage'!$C$7/12,0)</x:f>
        <x:v>728.0037886092492</x:v>
      </x:c>
      <x:c r="E285" s="104" t="n">
        <x:f>IF(C285&gt;0,MIN('Your Mortgage'!$C$11,C285+D285),0)</x:f>
        <x:v>2054.2210763521375</x:v>
      </x:c>
      <x:c r="F285" s="104" t="n">
        <x:f>E285</x:f>
        <x:v>2054.2210763521375</x:v>
      </x:c>
      <x:c r="G285" s="104" t="n">
        <x:f>MAX(0,F285-D285)</x:f>
        <x:v>1326.2172877428884</x:v>
      </x:c>
      <x:c r="H285" s="104" t="n">
        <x:f>MAX(0,C285-G285)</x:f>
        <x:v>133074.48214781084</x:v>
      </x:c>
      <x:c r="I285" s="105" t="n">
        <x:f>P284</x:f>
        <x:v>0</x:v>
      </x:c>
      <x:c r="J285" s="105" t="n">
        <x:f>IF(I285&gt;0,I285*'Your Mortgage'!$C$7/12,0)</x:f>
        <x:v>0</x:v>
      </x:c>
      <x:c r="K285" s="105" t="n">
        <x:f>IF(I285&gt;0,MIN('Your Mortgage'!$C$11,I285+J285),0)</x:f>
        <x:v>0</x:v>
      </x:c>
      <x:c r="L285" s="105" t="n">
        <x:f>IF(I285&gt;0,MIN('Your Mortgage'!$F$6,MAX(0,I285+J285-K285)),0)</x:f>
        <x:v>0</x:v>
      </x:c>
      <x:c r="M285" s="105" t="n">
        <x:f>IF(AND(A285='Your Mortgage'!$F$8,I285&gt;0),MIN('Your Mortgage'!$F$7,MAX(0,I285+J285-K285-L285)),0)</x:f>
        <x:v>0</x:v>
      </x:c>
      <x:c r="N285" s="105" t="n">
        <x:f>K285+L285+M285</x:f>
        <x:v>0</x:v>
      </x:c>
      <x:c r="O285" s="105" t="n">
        <x:f>MAX(0,N285-J285)</x:f>
        <x:v>0</x:v>
      </x:c>
      <x:c r="P285" s="105" t="n">
        <x:f>MAX(0,I285-O285)</x:f>
        <x:v>0</x:v>
      </x:c>
      <x:c r="Q285" s="106" t="n">
        <x:f>X284</x:f>
        <x:v>0</x:v>
      </x:c>
      <x:c r="R285" s="106" t="n">
        <x:f>IF(Q285&gt;0,Q285*'Your Mortgage'!$C$7/12,0)</x:f>
        <x:v>0</x:v>
      </x:c>
      <x:c r="S285" s="106" t="n">
        <x:f>IF(Q285&gt;0,MIN('Your Mortgage'!$C$11,Q285+R285),0)</x:f>
        <x:v>0</x:v>
      </x:c>
      <x:c r="T285" s="106" t="n">
        <x:f>IF(Q285&gt;0,MIN('Your Mortgage'!$I$6,MAX(0,Q285+R285-S285)),0)</x:f>
        <x:v>0</x:v>
      </x:c>
      <x:c r="U285" s="106" t="n">
        <x:f>IF(AND(A285='Your Mortgage'!$I$8,Q285&gt;0),MIN('Your Mortgage'!$I$7,MAX(0,Q285+R285-S285-T285)),0)</x:f>
        <x:v>0</x:v>
      </x:c>
      <x:c r="V285" s="106" t="n">
        <x:f>S285+T285+U285</x:f>
        <x:v>0</x:v>
      </x:c>
      <x:c r="W285" s="106" t="n">
        <x:f>MAX(0,V285-R285)</x:f>
        <x:v>0</x:v>
      </x:c>
      <x:c r="X285" s="106" t="n">
        <x:f>MAX(0,Q285-W285)</x:f>
        <x:v>0</x:v>
      </x:c>
      <x:c r="Y285" s="1"/>
      <x:c r="Z285" s="1"/>
    </x:row>
    <x:row r="286">
      <x:c r="A286" s="100" t="n">
        <x:f>A285+1</x:f>
        <x:v>281</x:v>
      </x:c>
      <x:c r="B286" s="103" t="n">
        <x:f>EDATE(B285,1)</x:f>
        <x:v>54758</x:v>
      </x:c>
      <x:c r="C286" s="104" t="n">
        <x:f>H285</x:f>
        <x:v>133074.48214781084</x:v>
      </x:c>
      <x:c r="D286" s="104" t="n">
        <x:f>IF(C286&gt;0,C286*'Your Mortgage'!$C$7/12,0)</x:f>
        <x:v>720.8201116339754</x:v>
      </x:c>
      <x:c r="E286" s="104" t="n">
        <x:f>IF(C286&gt;0,MIN('Your Mortgage'!$C$11,C286+D286),0)</x:f>
        <x:v>2054.2210763521375</x:v>
      </x:c>
      <x:c r="F286" s="104" t="n">
        <x:f>E286</x:f>
        <x:v>2054.2210763521375</x:v>
      </x:c>
      <x:c r="G286" s="104" t="n">
        <x:f>MAX(0,F286-D286)</x:f>
        <x:v>1333.400964718162</x:v>
      </x:c>
      <x:c r="H286" s="104" t="n">
        <x:f>MAX(0,C286-G286)</x:f>
        <x:v>131741.08118309267</x:v>
      </x:c>
      <x:c r="I286" s="105" t="n">
        <x:f>P285</x:f>
        <x:v>0</x:v>
      </x:c>
      <x:c r="J286" s="105" t="n">
        <x:f>IF(I286&gt;0,I286*'Your Mortgage'!$C$7/12,0)</x:f>
        <x:v>0</x:v>
      </x:c>
      <x:c r="K286" s="105" t="n">
        <x:f>IF(I286&gt;0,MIN('Your Mortgage'!$C$11,I286+J286),0)</x:f>
        <x:v>0</x:v>
      </x:c>
      <x:c r="L286" s="105" t="n">
        <x:f>IF(I286&gt;0,MIN('Your Mortgage'!$F$6,MAX(0,I286+J286-K286)),0)</x:f>
        <x:v>0</x:v>
      </x:c>
      <x:c r="M286" s="105" t="n">
        <x:f>IF(AND(A286='Your Mortgage'!$F$8,I286&gt;0),MIN('Your Mortgage'!$F$7,MAX(0,I286+J286-K286-L286)),0)</x:f>
        <x:v>0</x:v>
      </x:c>
      <x:c r="N286" s="105" t="n">
        <x:f>K286+L286+M286</x:f>
        <x:v>0</x:v>
      </x:c>
      <x:c r="O286" s="105" t="n">
        <x:f>MAX(0,N286-J286)</x:f>
        <x:v>0</x:v>
      </x:c>
      <x:c r="P286" s="105" t="n">
        <x:f>MAX(0,I286-O286)</x:f>
        <x:v>0</x:v>
      </x:c>
      <x:c r="Q286" s="106" t="n">
        <x:f>X285</x:f>
        <x:v>0</x:v>
      </x:c>
      <x:c r="R286" s="106" t="n">
        <x:f>IF(Q286&gt;0,Q286*'Your Mortgage'!$C$7/12,0)</x:f>
        <x:v>0</x:v>
      </x:c>
      <x:c r="S286" s="106" t="n">
        <x:f>IF(Q286&gt;0,MIN('Your Mortgage'!$C$11,Q286+R286),0)</x:f>
        <x:v>0</x:v>
      </x:c>
      <x:c r="T286" s="106" t="n">
        <x:f>IF(Q286&gt;0,MIN('Your Mortgage'!$I$6,MAX(0,Q286+R286-S286)),0)</x:f>
        <x:v>0</x:v>
      </x:c>
      <x:c r="U286" s="106" t="n">
        <x:f>IF(AND(A286='Your Mortgage'!$I$8,Q286&gt;0),MIN('Your Mortgage'!$I$7,MAX(0,Q286+R286-S286-T286)),0)</x:f>
        <x:v>0</x:v>
      </x:c>
      <x:c r="V286" s="106" t="n">
        <x:f>S286+T286+U286</x:f>
        <x:v>0</x:v>
      </x:c>
      <x:c r="W286" s="106" t="n">
        <x:f>MAX(0,V286-R286)</x:f>
        <x:v>0</x:v>
      </x:c>
      <x:c r="X286" s="106" t="n">
        <x:f>MAX(0,Q286-W286)</x:f>
        <x:v>0</x:v>
      </x:c>
      <x:c r="Y286" s="1"/>
      <x:c r="Z286" s="1"/>
    </x:row>
    <x:row r="287">
      <x:c r="A287" s="100" t="n">
        <x:f>A286+1</x:f>
        <x:v>282</x:v>
      </x:c>
      <x:c r="B287" s="103" t="n">
        <x:f>EDATE(B286,1)</x:f>
        <x:v>54789</x:v>
      </x:c>
      <x:c r="C287" s="104" t="n">
        <x:f>H286</x:f>
        <x:v>131741.08118309267</x:v>
      </x:c>
      <x:c r="D287" s="104" t="n">
        <x:f>IF(C287&gt;0,C287*'Your Mortgage'!$C$7/12,0)</x:f>
        <x:v>713.5975230750854</x:v>
      </x:c>
      <x:c r="E287" s="104" t="n">
        <x:f>IF(C287&gt;0,MIN('Your Mortgage'!$C$11,C287+D287),0)</x:f>
        <x:v>2054.2210763521375</x:v>
      </x:c>
      <x:c r="F287" s="104" t="n">
        <x:f>E287</x:f>
        <x:v>2054.2210763521375</x:v>
      </x:c>
      <x:c r="G287" s="104" t="n">
        <x:f>MAX(0,F287-D287)</x:f>
        <x:v>1340.623553277052</x:v>
      </x:c>
      <x:c r="H287" s="104" t="n">
        <x:f>MAX(0,C287-G287)</x:f>
        <x:v>130400.45762981562</x:v>
      </x:c>
      <x:c r="I287" s="105" t="n">
        <x:f>P286</x:f>
        <x:v>0</x:v>
      </x:c>
      <x:c r="J287" s="105" t="n">
        <x:f>IF(I287&gt;0,I287*'Your Mortgage'!$C$7/12,0)</x:f>
        <x:v>0</x:v>
      </x:c>
      <x:c r="K287" s="105" t="n">
        <x:f>IF(I287&gt;0,MIN('Your Mortgage'!$C$11,I287+J287),0)</x:f>
        <x:v>0</x:v>
      </x:c>
      <x:c r="L287" s="105" t="n">
        <x:f>IF(I287&gt;0,MIN('Your Mortgage'!$F$6,MAX(0,I287+J287-K287)),0)</x:f>
        <x:v>0</x:v>
      </x:c>
      <x:c r="M287" s="105" t="n">
        <x:f>IF(AND(A287='Your Mortgage'!$F$8,I287&gt;0),MIN('Your Mortgage'!$F$7,MAX(0,I287+J287-K287-L287)),0)</x:f>
        <x:v>0</x:v>
      </x:c>
      <x:c r="N287" s="105" t="n">
        <x:f>K287+L287+M287</x:f>
        <x:v>0</x:v>
      </x:c>
      <x:c r="O287" s="105" t="n">
        <x:f>MAX(0,N287-J287)</x:f>
        <x:v>0</x:v>
      </x:c>
      <x:c r="P287" s="105" t="n">
        <x:f>MAX(0,I287-O287)</x:f>
        <x:v>0</x:v>
      </x:c>
      <x:c r="Q287" s="106" t="n">
        <x:f>X286</x:f>
        <x:v>0</x:v>
      </x:c>
      <x:c r="R287" s="106" t="n">
        <x:f>IF(Q287&gt;0,Q287*'Your Mortgage'!$C$7/12,0)</x:f>
        <x:v>0</x:v>
      </x:c>
      <x:c r="S287" s="106" t="n">
        <x:f>IF(Q287&gt;0,MIN('Your Mortgage'!$C$11,Q287+R287),0)</x:f>
        <x:v>0</x:v>
      </x:c>
      <x:c r="T287" s="106" t="n">
        <x:f>IF(Q287&gt;0,MIN('Your Mortgage'!$I$6,MAX(0,Q287+R287-S287)),0)</x:f>
        <x:v>0</x:v>
      </x:c>
      <x:c r="U287" s="106" t="n">
        <x:f>IF(AND(A287='Your Mortgage'!$I$8,Q287&gt;0),MIN('Your Mortgage'!$I$7,MAX(0,Q287+R287-S287-T287)),0)</x:f>
        <x:v>0</x:v>
      </x:c>
      <x:c r="V287" s="106" t="n">
        <x:f>S287+T287+U287</x:f>
        <x:v>0</x:v>
      </x:c>
      <x:c r="W287" s="106" t="n">
        <x:f>MAX(0,V287-R287)</x:f>
        <x:v>0</x:v>
      </x:c>
      <x:c r="X287" s="106" t="n">
        <x:f>MAX(0,Q287-W287)</x:f>
        <x:v>0</x:v>
      </x:c>
      <x:c r="Y287" s="1"/>
      <x:c r="Z287" s="1"/>
    </x:row>
    <x:row r="288">
      <x:c r="A288" s="100" t="n">
        <x:f>A287+1</x:f>
        <x:v>283</x:v>
      </x:c>
      <x:c r="B288" s="103" t="n">
        <x:f>EDATE(B287,1)</x:f>
        <x:v>54820</x:v>
      </x:c>
      <x:c r="C288" s="104" t="n">
        <x:f>H287</x:f>
        <x:v>130400.45762981562</x:v>
      </x:c>
      <x:c r="D288" s="104" t="n">
        <x:f>IF(C288&gt;0,C288*'Your Mortgage'!$C$7/12,0)</x:f>
        <x:v>706.3358121615014</x:v>
      </x:c>
      <x:c r="E288" s="104" t="n">
        <x:f>IF(C288&gt;0,MIN('Your Mortgage'!$C$11,C288+D288),0)</x:f>
        <x:v>2054.2210763521375</x:v>
      </x:c>
      <x:c r="F288" s="104" t="n">
        <x:f>E288</x:f>
        <x:v>2054.2210763521375</x:v>
      </x:c>
      <x:c r="G288" s="104" t="n">
        <x:f>MAX(0,F288-D288)</x:f>
        <x:v>1347.885264190636</x:v>
      </x:c>
      <x:c r="H288" s="104" t="n">
        <x:f>MAX(0,C288-G288)</x:f>
        <x:v>129052.57236562498</x:v>
      </x:c>
      <x:c r="I288" s="105" t="n">
        <x:f>P287</x:f>
        <x:v>0</x:v>
      </x:c>
      <x:c r="J288" s="105" t="n">
        <x:f>IF(I288&gt;0,I288*'Your Mortgage'!$C$7/12,0)</x:f>
        <x:v>0</x:v>
      </x:c>
      <x:c r="K288" s="105" t="n">
        <x:f>IF(I288&gt;0,MIN('Your Mortgage'!$C$11,I288+J288),0)</x:f>
        <x:v>0</x:v>
      </x:c>
      <x:c r="L288" s="105" t="n">
        <x:f>IF(I288&gt;0,MIN('Your Mortgage'!$F$6,MAX(0,I288+J288-K288)),0)</x:f>
        <x:v>0</x:v>
      </x:c>
      <x:c r="M288" s="105" t="n">
        <x:f>IF(AND(A288='Your Mortgage'!$F$8,I288&gt;0),MIN('Your Mortgage'!$F$7,MAX(0,I288+J288-K288-L288)),0)</x:f>
        <x:v>0</x:v>
      </x:c>
      <x:c r="N288" s="105" t="n">
        <x:f>K288+L288+M288</x:f>
        <x:v>0</x:v>
      </x:c>
      <x:c r="O288" s="105" t="n">
        <x:f>MAX(0,N288-J288)</x:f>
        <x:v>0</x:v>
      </x:c>
      <x:c r="P288" s="105" t="n">
        <x:f>MAX(0,I288-O288)</x:f>
        <x:v>0</x:v>
      </x:c>
      <x:c r="Q288" s="106" t="n">
        <x:f>X287</x:f>
        <x:v>0</x:v>
      </x:c>
      <x:c r="R288" s="106" t="n">
        <x:f>IF(Q288&gt;0,Q288*'Your Mortgage'!$C$7/12,0)</x:f>
        <x:v>0</x:v>
      </x:c>
      <x:c r="S288" s="106" t="n">
        <x:f>IF(Q288&gt;0,MIN('Your Mortgage'!$C$11,Q288+R288),0)</x:f>
        <x:v>0</x:v>
      </x:c>
      <x:c r="T288" s="106" t="n">
        <x:f>IF(Q288&gt;0,MIN('Your Mortgage'!$I$6,MAX(0,Q288+R288-S288)),0)</x:f>
        <x:v>0</x:v>
      </x:c>
      <x:c r="U288" s="106" t="n">
        <x:f>IF(AND(A288='Your Mortgage'!$I$8,Q288&gt;0),MIN('Your Mortgage'!$I$7,MAX(0,Q288+R288-S288-T288)),0)</x:f>
        <x:v>0</x:v>
      </x:c>
      <x:c r="V288" s="106" t="n">
        <x:f>S288+T288+U288</x:f>
        <x:v>0</x:v>
      </x:c>
      <x:c r="W288" s="106" t="n">
        <x:f>MAX(0,V288-R288)</x:f>
        <x:v>0</x:v>
      </x:c>
      <x:c r="X288" s="106" t="n">
        <x:f>MAX(0,Q288-W288)</x:f>
        <x:v>0</x:v>
      </x:c>
      <x:c r="Y288" s="1"/>
      <x:c r="Z288" s="1"/>
    </x:row>
    <x:row r="289">
      <x:c r="A289" s="100" t="n">
        <x:f>A288+1</x:f>
        <x:v>284</x:v>
      </x:c>
      <x:c r="B289" s="103" t="n">
        <x:f>EDATE(B288,1)</x:f>
        <x:v>54848</x:v>
      </x:c>
      <x:c r="C289" s="104" t="n">
        <x:f>H288</x:f>
        <x:v>129052.57236562498</x:v>
      </x:c>
      <x:c r="D289" s="104" t="n">
        <x:f>IF(C289&gt;0,C289*'Your Mortgage'!$C$7/12,0)</x:f>
        <x:v>699.0347669804687</x:v>
      </x:c>
      <x:c r="E289" s="104" t="n">
        <x:f>IF(C289&gt;0,MIN('Your Mortgage'!$C$11,C289+D289),0)</x:f>
        <x:v>2054.2210763521375</x:v>
      </x:c>
      <x:c r="F289" s="104" t="n">
        <x:f>E289</x:f>
        <x:v>2054.2210763521375</x:v>
      </x:c>
      <x:c r="G289" s="104" t="n">
        <x:f>MAX(0,F289-D289)</x:f>
        <x:v>1355.1863093716688</x:v>
      </x:c>
      <x:c r="H289" s="104" t="n">
        <x:f>MAX(0,C289-G289)</x:f>
        <x:v>127697.38605625331</x:v>
      </x:c>
      <x:c r="I289" s="105" t="n">
        <x:f>P288</x:f>
        <x:v>0</x:v>
      </x:c>
      <x:c r="J289" s="105" t="n">
        <x:f>IF(I289&gt;0,I289*'Your Mortgage'!$C$7/12,0)</x:f>
        <x:v>0</x:v>
      </x:c>
      <x:c r="K289" s="105" t="n">
        <x:f>IF(I289&gt;0,MIN('Your Mortgage'!$C$11,I289+J289),0)</x:f>
        <x:v>0</x:v>
      </x:c>
      <x:c r="L289" s="105" t="n">
        <x:f>IF(I289&gt;0,MIN('Your Mortgage'!$F$6,MAX(0,I289+J289-K289)),0)</x:f>
        <x:v>0</x:v>
      </x:c>
      <x:c r="M289" s="105" t="n">
        <x:f>IF(AND(A289='Your Mortgage'!$F$8,I289&gt;0),MIN('Your Mortgage'!$F$7,MAX(0,I289+J289-K289-L289)),0)</x:f>
        <x:v>0</x:v>
      </x:c>
      <x:c r="N289" s="105" t="n">
        <x:f>K289+L289+M289</x:f>
        <x:v>0</x:v>
      </x:c>
      <x:c r="O289" s="105" t="n">
        <x:f>MAX(0,N289-J289)</x:f>
        <x:v>0</x:v>
      </x:c>
      <x:c r="P289" s="105" t="n">
        <x:f>MAX(0,I289-O289)</x:f>
        <x:v>0</x:v>
      </x:c>
      <x:c r="Q289" s="106" t="n">
        <x:f>X288</x:f>
        <x:v>0</x:v>
      </x:c>
      <x:c r="R289" s="106" t="n">
        <x:f>IF(Q289&gt;0,Q289*'Your Mortgage'!$C$7/12,0)</x:f>
        <x:v>0</x:v>
      </x:c>
      <x:c r="S289" s="106" t="n">
        <x:f>IF(Q289&gt;0,MIN('Your Mortgage'!$C$11,Q289+R289),0)</x:f>
        <x:v>0</x:v>
      </x:c>
      <x:c r="T289" s="106" t="n">
        <x:f>IF(Q289&gt;0,MIN('Your Mortgage'!$I$6,MAX(0,Q289+R289-S289)),0)</x:f>
        <x:v>0</x:v>
      </x:c>
      <x:c r="U289" s="106" t="n">
        <x:f>IF(AND(A289='Your Mortgage'!$I$8,Q289&gt;0),MIN('Your Mortgage'!$I$7,MAX(0,Q289+R289-S289-T289)),0)</x:f>
        <x:v>0</x:v>
      </x:c>
      <x:c r="V289" s="106" t="n">
        <x:f>S289+T289+U289</x:f>
        <x:v>0</x:v>
      </x:c>
      <x:c r="W289" s="106" t="n">
        <x:f>MAX(0,V289-R289)</x:f>
        <x:v>0</x:v>
      </x:c>
      <x:c r="X289" s="106" t="n">
        <x:f>MAX(0,Q289-W289)</x:f>
        <x:v>0</x:v>
      </x:c>
      <x:c r="Y289" s="1"/>
      <x:c r="Z289" s="1"/>
    </x:row>
    <x:row r="290">
      <x:c r="A290" s="100" t="n">
        <x:f>A289+1</x:f>
        <x:v>285</x:v>
      </x:c>
      <x:c r="B290" s="103" t="n">
        <x:f>EDATE(B289,1)</x:f>
        <x:v>54879</x:v>
      </x:c>
      <x:c r="C290" s="104" t="n">
        <x:f>H289</x:f>
        <x:v>127697.38605625331</x:v>
      </x:c>
      <x:c r="D290" s="104" t="n">
        <x:f>IF(C290&gt;0,C290*'Your Mortgage'!$C$7/12,0)</x:f>
        <x:v>691.6941744713721</x:v>
      </x:c>
      <x:c r="E290" s="104" t="n">
        <x:f>IF(C290&gt;0,MIN('Your Mortgage'!$C$11,C290+D290),0)</x:f>
        <x:v>2054.2210763521375</x:v>
      </x:c>
      <x:c r="F290" s="104" t="n">
        <x:f>E290</x:f>
        <x:v>2054.2210763521375</x:v>
      </x:c>
      <x:c r="G290" s="104" t="n">
        <x:f>MAX(0,F290-D290)</x:f>
        <x:v>1362.5269018807653</x:v>
      </x:c>
      <x:c r="H290" s="104" t="n">
        <x:f>MAX(0,C290-G290)</x:f>
        <x:v>126334.85915437255</x:v>
      </x:c>
      <x:c r="I290" s="105" t="n">
        <x:f>P289</x:f>
        <x:v>0</x:v>
      </x:c>
      <x:c r="J290" s="105" t="n">
        <x:f>IF(I290&gt;0,I290*'Your Mortgage'!$C$7/12,0)</x:f>
        <x:v>0</x:v>
      </x:c>
      <x:c r="K290" s="105" t="n">
        <x:f>IF(I290&gt;0,MIN('Your Mortgage'!$C$11,I290+J290),0)</x:f>
        <x:v>0</x:v>
      </x:c>
      <x:c r="L290" s="105" t="n">
        <x:f>IF(I290&gt;0,MIN('Your Mortgage'!$F$6,MAX(0,I290+J290-K290)),0)</x:f>
        <x:v>0</x:v>
      </x:c>
      <x:c r="M290" s="105" t="n">
        <x:f>IF(AND(A290='Your Mortgage'!$F$8,I290&gt;0),MIN('Your Mortgage'!$F$7,MAX(0,I290+J290-K290-L290)),0)</x:f>
        <x:v>0</x:v>
      </x:c>
      <x:c r="N290" s="105" t="n">
        <x:f>K290+L290+M290</x:f>
        <x:v>0</x:v>
      </x:c>
      <x:c r="O290" s="105" t="n">
        <x:f>MAX(0,N290-J290)</x:f>
        <x:v>0</x:v>
      </x:c>
      <x:c r="P290" s="105" t="n">
        <x:f>MAX(0,I290-O290)</x:f>
        <x:v>0</x:v>
      </x:c>
      <x:c r="Q290" s="106" t="n">
        <x:f>X289</x:f>
        <x:v>0</x:v>
      </x:c>
      <x:c r="R290" s="106" t="n">
        <x:f>IF(Q290&gt;0,Q290*'Your Mortgage'!$C$7/12,0)</x:f>
        <x:v>0</x:v>
      </x:c>
      <x:c r="S290" s="106" t="n">
        <x:f>IF(Q290&gt;0,MIN('Your Mortgage'!$C$11,Q290+R290),0)</x:f>
        <x:v>0</x:v>
      </x:c>
      <x:c r="T290" s="106" t="n">
        <x:f>IF(Q290&gt;0,MIN('Your Mortgage'!$I$6,MAX(0,Q290+R290-S290)),0)</x:f>
        <x:v>0</x:v>
      </x:c>
      <x:c r="U290" s="106" t="n">
        <x:f>IF(AND(A290='Your Mortgage'!$I$8,Q290&gt;0),MIN('Your Mortgage'!$I$7,MAX(0,Q290+R290-S290-T290)),0)</x:f>
        <x:v>0</x:v>
      </x:c>
      <x:c r="V290" s="106" t="n">
        <x:f>S290+T290+U290</x:f>
        <x:v>0</x:v>
      </x:c>
      <x:c r="W290" s="106" t="n">
        <x:f>MAX(0,V290-R290)</x:f>
        <x:v>0</x:v>
      </x:c>
      <x:c r="X290" s="106" t="n">
        <x:f>MAX(0,Q290-W290)</x:f>
        <x:v>0</x:v>
      </x:c>
      <x:c r="Y290" s="1"/>
      <x:c r="Z290" s="1"/>
    </x:row>
    <x:row r="291">
      <x:c r="A291" s="100" t="n">
        <x:f>A290+1</x:f>
        <x:v>286</x:v>
      </x:c>
      <x:c r="B291" s="103" t="n">
        <x:f>EDATE(B290,1)</x:f>
        <x:v>54909</x:v>
      </x:c>
      <x:c r="C291" s="104" t="n">
        <x:f>H290</x:f>
        <x:v>126334.85915437255</x:v>
      </x:c>
      <x:c r="D291" s="104" t="n">
        <x:f>IF(C291&gt;0,C291*'Your Mortgage'!$C$7/12,0)</x:f>
        <x:v>684.3138204195179</x:v>
      </x:c>
      <x:c r="E291" s="104" t="n">
        <x:f>IF(C291&gt;0,MIN('Your Mortgage'!$C$11,C291+D291),0)</x:f>
        <x:v>2054.2210763521375</x:v>
      </x:c>
      <x:c r="F291" s="104" t="n">
        <x:f>E291</x:f>
        <x:v>2054.2210763521375</x:v>
      </x:c>
      <x:c r="G291" s="104" t="n">
        <x:f>MAX(0,F291-D291)</x:f>
        <x:v>1369.9072559326196</x:v>
      </x:c>
      <x:c r="H291" s="104" t="n">
        <x:f>MAX(0,C291-G291)</x:f>
        <x:v>124964.95189843993</x:v>
      </x:c>
      <x:c r="I291" s="105" t="n">
        <x:f>P290</x:f>
        <x:v>0</x:v>
      </x:c>
      <x:c r="J291" s="105" t="n">
        <x:f>IF(I291&gt;0,I291*'Your Mortgage'!$C$7/12,0)</x:f>
        <x:v>0</x:v>
      </x:c>
      <x:c r="K291" s="105" t="n">
        <x:f>IF(I291&gt;0,MIN('Your Mortgage'!$C$11,I291+J291),0)</x:f>
        <x:v>0</x:v>
      </x:c>
      <x:c r="L291" s="105" t="n">
        <x:f>IF(I291&gt;0,MIN('Your Mortgage'!$F$6,MAX(0,I291+J291-K291)),0)</x:f>
        <x:v>0</x:v>
      </x:c>
      <x:c r="M291" s="105" t="n">
        <x:f>IF(AND(A291='Your Mortgage'!$F$8,I291&gt;0),MIN('Your Mortgage'!$F$7,MAX(0,I291+J291-K291-L291)),0)</x:f>
        <x:v>0</x:v>
      </x:c>
      <x:c r="N291" s="105" t="n">
        <x:f>K291+L291+M291</x:f>
        <x:v>0</x:v>
      </x:c>
      <x:c r="O291" s="105" t="n">
        <x:f>MAX(0,N291-J291)</x:f>
        <x:v>0</x:v>
      </x:c>
      <x:c r="P291" s="105" t="n">
        <x:f>MAX(0,I291-O291)</x:f>
        <x:v>0</x:v>
      </x:c>
      <x:c r="Q291" s="106" t="n">
        <x:f>X290</x:f>
        <x:v>0</x:v>
      </x:c>
      <x:c r="R291" s="106" t="n">
        <x:f>IF(Q291&gt;0,Q291*'Your Mortgage'!$C$7/12,0)</x:f>
        <x:v>0</x:v>
      </x:c>
      <x:c r="S291" s="106" t="n">
        <x:f>IF(Q291&gt;0,MIN('Your Mortgage'!$C$11,Q291+R291),0)</x:f>
        <x:v>0</x:v>
      </x:c>
      <x:c r="T291" s="106" t="n">
        <x:f>IF(Q291&gt;0,MIN('Your Mortgage'!$I$6,MAX(0,Q291+R291-S291)),0)</x:f>
        <x:v>0</x:v>
      </x:c>
      <x:c r="U291" s="106" t="n">
        <x:f>IF(AND(A291='Your Mortgage'!$I$8,Q291&gt;0),MIN('Your Mortgage'!$I$7,MAX(0,Q291+R291-S291-T291)),0)</x:f>
        <x:v>0</x:v>
      </x:c>
      <x:c r="V291" s="106" t="n">
        <x:f>S291+T291+U291</x:f>
        <x:v>0</x:v>
      </x:c>
      <x:c r="W291" s="106" t="n">
        <x:f>MAX(0,V291-R291)</x:f>
        <x:v>0</x:v>
      </x:c>
      <x:c r="X291" s="106" t="n">
        <x:f>MAX(0,Q291-W291)</x:f>
        <x:v>0</x:v>
      </x:c>
      <x:c r="Y291" s="1"/>
      <x:c r="Z291" s="1"/>
    </x:row>
    <x:row r="292">
      <x:c r="A292" s="100" t="n">
        <x:f>A291+1</x:f>
        <x:v>287</x:v>
      </x:c>
      <x:c r="B292" s="103" t="n">
        <x:f>EDATE(B291,1)</x:f>
        <x:v>54940</x:v>
      </x:c>
      <x:c r="C292" s="104" t="n">
        <x:f>H291</x:f>
        <x:v>124964.95189843993</x:v>
      </x:c>
      <x:c r="D292" s="104" t="n">
        <x:f>IF(C292&gt;0,C292*'Your Mortgage'!$C$7/12,0)</x:f>
        <x:v>676.893489449883</x:v>
      </x:c>
      <x:c r="E292" s="104" t="n">
        <x:f>IF(C292&gt;0,MIN('Your Mortgage'!$C$11,C292+D292),0)</x:f>
        <x:v>2054.2210763521375</x:v>
      </x:c>
      <x:c r="F292" s="104" t="n">
        <x:f>E292</x:f>
        <x:v>2054.2210763521375</x:v>
      </x:c>
      <x:c r="G292" s="104" t="n">
        <x:f>MAX(0,F292-D292)</x:f>
        <x:v>1377.3275869022546</x:v>
      </x:c>
      <x:c r="H292" s="104" t="n">
        <x:f>MAX(0,C292-G292)</x:f>
        <x:v>123587.62431153769</x:v>
      </x:c>
      <x:c r="I292" s="105" t="n">
        <x:f>P291</x:f>
        <x:v>0</x:v>
      </x:c>
      <x:c r="J292" s="105" t="n">
        <x:f>IF(I292&gt;0,I292*'Your Mortgage'!$C$7/12,0)</x:f>
        <x:v>0</x:v>
      </x:c>
      <x:c r="K292" s="105" t="n">
        <x:f>IF(I292&gt;0,MIN('Your Mortgage'!$C$11,I292+J292),0)</x:f>
        <x:v>0</x:v>
      </x:c>
      <x:c r="L292" s="105" t="n">
        <x:f>IF(I292&gt;0,MIN('Your Mortgage'!$F$6,MAX(0,I292+J292-K292)),0)</x:f>
        <x:v>0</x:v>
      </x:c>
      <x:c r="M292" s="105" t="n">
        <x:f>IF(AND(A292='Your Mortgage'!$F$8,I292&gt;0),MIN('Your Mortgage'!$F$7,MAX(0,I292+J292-K292-L292)),0)</x:f>
        <x:v>0</x:v>
      </x:c>
      <x:c r="N292" s="105" t="n">
        <x:f>K292+L292+M292</x:f>
        <x:v>0</x:v>
      </x:c>
      <x:c r="O292" s="105" t="n">
        <x:f>MAX(0,N292-J292)</x:f>
        <x:v>0</x:v>
      </x:c>
      <x:c r="P292" s="105" t="n">
        <x:f>MAX(0,I292-O292)</x:f>
        <x:v>0</x:v>
      </x:c>
      <x:c r="Q292" s="106" t="n">
        <x:f>X291</x:f>
        <x:v>0</x:v>
      </x:c>
      <x:c r="R292" s="106" t="n">
        <x:f>IF(Q292&gt;0,Q292*'Your Mortgage'!$C$7/12,0)</x:f>
        <x:v>0</x:v>
      </x:c>
      <x:c r="S292" s="106" t="n">
        <x:f>IF(Q292&gt;0,MIN('Your Mortgage'!$C$11,Q292+R292),0)</x:f>
        <x:v>0</x:v>
      </x:c>
      <x:c r="T292" s="106" t="n">
        <x:f>IF(Q292&gt;0,MIN('Your Mortgage'!$I$6,MAX(0,Q292+R292-S292)),0)</x:f>
        <x:v>0</x:v>
      </x:c>
      <x:c r="U292" s="106" t="n">
        <x:f>IF(AND(A292='Your Mortgage'!$I$8,Q292&gt;0),MIN('Your Mortgage'!$I$7,MAX(0,Q292+R292-S292-T292)),0)</x:f>
        <x:v>0</x:v>
      </x:c>
      <x:c r="V292" s="106" t="n">
        <x:f>S292+T292+U292</x:f>
        <x:v>0</x:v>
      </x:c>
      <x:c r="W292" s="106" t="n">
        <x:f>MAX(0,V292-R292)</x:f>
        <x:v>0</x:v>
      </x:c>
      <x:c r="X292" s="106" t="n">
        <x:f>MAX(0,Q292-W292)</x:f>
        <x:v>0</x:v>
      </x:c>
      <x:c r="Y292" s="1"/>
      <x:c r="Z292" s="1"/>
    </x:row>
    <x:row r="293">
      <x:c r="A293" s="100" t="n">
        <x:f>A292+1</x:f>
        <x:v>288</x:v>
      </x:c>
      <x:c r="B293" s="103" t="n">
        <x:f>EDATE(B292,1)</x:f>
        <x:v>54970</x:v>
      </x:c>
      <x:c r="C293" s="104" t="n">
        <x:f>H292</x:f>
        <x:v>123587.62431153769</x:v>
      </x:c>
      <x:c r="D293" s="104" t="n">
        <x:f>IF(C293&gt;0,C293*'Your Mortgage'!$C$7/12,0)</x:f>
        <x:v>669.4329650208291</x:v>
      </x:c>
      <x:c r="E293" s="104" t="n">
        <x:f>IF(C293&gt;0,MIN('Your Mortgage'!$C$11,C293+D293),0)</x:f>
        <x:v>2054.2210763521375</x:v>
      </x:c>
      <x:c r="F293" s="104" t="n">
        <x:f>E293</x:f>
        <x:v>2054.2210763521375</x:v>
      </x:c>
      <x:c r="G293" s="104" t="n">
        <x:f>MAX(0,F293-D293)</x:f>
        <x:v>1384.7881113313083</x:v>
      </x:c>
      <x:c r="H293" s="104" t="n">
        <x:f>MAX(0,C293-G293)</x:f>
        <x:v>122202.83620020638</x:v>
      </x:c>
      <x:c r="I293" s="105" t="n">
        <x:f>P292</x:f>
        <x:v>0</x:v>
      </x:c>
      <x:c r="J293" s="105" t="n">
        <x:f>IF(I293&gt;0,I293*'Your Mortgage'!$C$7/12,0)</x:f>
        <x:v>0</x:v>
      </x:c>
      <x:c r="K293" s="105" t="n">
        <x:f>IF(I293&gt;0,MIN('Your Mortgage'!$C$11,I293+J293),0)</x:f>
        <x:v>0</x:v>
      </x:c>
      <x:c r="L293" s="105" t="n">
        <x:f>IF(I293&gt;0,MIN('Your Mortgage'!$F$6,MAX(0,I293+J293-K293)),0)</x:f>
        <x:v>0</x:v>
      </x:c>
      <x:c r="M293" s="105" t="n">
        <x:f>IF(AND(A293='Your Mortgage'!$F$8,I293&gt;0),MIN('Your Mortgage'!$F$7,MAX(0,I293+J293-K293-L293)),0)</x:f>
        <x:v>0</x:v>
      </x:c>
      <x:c r="N293" s="105" t="n">
        <x:f>K293+L293+M293</x:f>
        <x:v>0</x:v>
      </x:c>
      <x:c r="O293" s="105" t="n">
        <x:f>MAX(0,N293-J293)</x:f>
        <x:v>0</x:v>
      </x:c>
      <x:c r="P293" s="105" t="n">
        <x:f>MAX(0,I293-O293)</x:f>
        <x:v>0</x:v>
      </x:c>
      <x:c r="Q293" s="106" t="n">
        <x:f>X292</x:f>
        <x:v>0</x:v>
      </x:c>
      <x:c r="R293" s="106" t="n">
        <x:f>IF(Q293&gt;0,Q293*'Your Mortgage'!$C$7/12,0)</x:f>
        <x:v>0</x:v>
      </x:c>
      <x:c r="S293" s="106" t="n">
        <x:f>IF(Q293&gt;0,MIN('Your Mortgage'!$C$11,Q293+R293),0)</x:f>
        <x:v>0</x:v>
      </x:c>
      <x:c r="T293" s="106" t="n">
        <x:f>IF(Q293&gt;0,MIN('Your Mortgage'!$I$6,MAX(0,Q293+R293-S293)),0)</x:f>
        <x:v>0</x:v>
      </x:c>
      <x:c r="U293" s="106" t="n">
        <x:f>IF(AND(A293='Your Mortgage'!$I$8,Q293&gt;0),MIN('Your Mortgage'!$I$7,MAX(0,Q293+R293-S293-T293)),0)</x:f>
        <x:v>0</x:v>
      </x:c>
      <x:c r="V293" s="106" t="n">
        <x:f>S293+T293+U293</x:f>
        <x:v>0</x:v>
      </x:c>
      <x:c r="W293" s="106" t="n">
        <x:f>MAX(0,V293-R293)</x:f>
        <x:v>0</x:v>
      </x:c>
      <x:c r="X293" s="106" t="n">
        <x:f>MAX(0,Q293-W293)</x:f>
        <x:v>0</x:v>
      </x:c>
      <x:c r="Y293" s="1"/>
      <x:c r="Z293" s="1"/>
    </x:row>
    <x:row r="294">
      <x:c r="A294" s="100" t="n">
        <x:f>A293+1</x:f>
        <x:v>289</x:v>
      </x:c>
      <x:c r="B294" s="103" t="n">
        <x:f>EDATE(B293,1)</x:f>
        <x:v>55001</x:v>
      </x:c>
      <x:c r="C294" s="104" t="n">
        <x:f>H293</x:f>
        <x:v>122202.83620020638</x:v>
      </x:c>
      <x:c r="D294" s="104" t="n">
        <x:f>IF(C294&gt;0,C294*'Your Mortgage'!$C$7/12,0)</x:f>
        <x:v>661.9320294177845</x:v>
      </x:c>
      <x:c r="E294" s="104" t="n">
        <x:f>IF(C294&gt;0,MIN('Your Mortgage'!$C$11,C294+D294),0)</x:f>
        <x:v>2054.2210763521375</x:v>
      </x:c>
      <x:c r="F294" s="104" t="n">
        <x:f>E294</x:f>
        <x:v>2054.2210763521375</x:v>
      </x:c>
      <x:c r="G294" s="104" t="n">
        <x:f>MAX(0,F294-D294)</x:f>
        <x:v>1392.2890469343529</x:v>
      </x:c>
      <x:c r="H294" s="104" t="n">
        <x:f>MAX(0,C294-G294)</x:f>
        <x:v>120810.54715327203</x:v>
      </x:c>
      <x:c r="I294" s="105" t="n">
        <x:f>P293</x:f>
        <x:v>0</x:v>
      </x:c>
      <x:c r="J294" s="105" t="n">
        <x:f>IF(I294&gt;0,I294*'Your Mortgage'!$C$7/12,0)</x:f>
        <x:v>0</x:v>
      </x:c>
      <x:c r="K294" s="105" t="n">
        <x:f>IF(I294&gt;0,MIN('Your Mortgage'!$C$11,I294+J294),0)</x:f>
        <x:v>0</x:v>
      </x:c>
      <x:c r="L294" s="105" t="n">
        <x:f>IF(I294&gt;0,MIN('Your Mortgage'!$F$6,MAX(0,I294+J294-K294)),0)</x:f>
        <x:v>0</x:v>
      </x:c>
      <x:c r="M294" s="105" t="n">
        <x:f>IF(AND(A294='Your Mortgage'!$F$8,I294&gt;0),MIN('Your Mortgage'!$F$7,MAX(0,I294+J294-K294-L294)),0)</x:f>
        <x:v>0</x:v>
      </x:c>
      <x:c r="N294" s="105" t="n">
        <x:f>K294+L294+M294</x:f>
        <x:v>0</x:v>
      </x:c>
      <x:c r="O294" s="105" t="n">
        <x:f>MAX(0,N294-J294)</x:f>
        <x:v>0</x:v>
      </x:c>
      <x:c r="P294" s="105" t="n">
        <x:f>MAX(0,I294-O294)</x:f>
        <x:v>0</x:v>
      </x:c>
      <x:c r="Q294" s="106" t="n">
        <x:f>X293</x:f>
        <x:v>0</x:v>
      </x:c>
      <x:c r="R294" s="106" t="n">
        <x:f>IF(Q294&gt;0,Q294*'Your Mortgage'!$C$7/12,0)</x:f>
        <x:v>0</x:v>
      </x:c>
      <x:c r="S294" s="106" t="n">
        <x:f>IF(Q294&gt;0,MIN('Your Mortgage'!$C$11,Q294+R294),0)</x:f>
        <x:v>0</x:v>
      </x:c>
      <x:c r="T294" s="106" t="n">
        <x:f>IF(Q294&gt;0,MIN('Your Mortgage'!$I$6,MAX(0,Q294+R294-S294)),0)</x:f>
        <x:v>0</x:v>
      </x:c>
      <x:c r="U294" s="106" t="n">
        <x:f>IF(AND(A294='Your Mortgage'!$I$8,Q294&gt;0),MIN('Your Mortgage'!$I$7,MAX(0,Q294+R294-S294-T294)),0)</x:f>
        <x:v>0</x:v>
      </x:c>
      <x:c r="V294" s="106" t="n">
        <x:f>S294+T294+U294</x:f>
        <x:v>0</x:v>
      </x:c>
      <x:c r="W294" s="106" t="n">
        <x:f>MAX(0,V294-R294)</x:f>
        <x:v>0</x:v>
      </x:c>
      <x:c r="X294" s="106" t="n">
        <x:f>MAX(0,Q294-W294)</x:f>
        <x:v>0</x:v>
      </x:c>
      <x:c r="Y294" s="1"/>
      <x:c r="Z294" s="1"/>
    </x:row>
    <x:row r="295">
      <x:c r="A295" s="100" t="n">
        <x:f>A294+1</x:f>
        <x:v>290</x:v>
      </x:c>
      <x:c r="B295" s="103" t="n">
        <x:f>EDATE(B294,1)</x:f>
        <x:v>55032</x:v>
      </x:c>
      <x:c r="C295" s="104" t="n">
        <x:f>H294</x:f>
        <x:v>120810.54715327203</x:v>
      </x:c>
      <x:c r="D295" s="104" t="n">
        <x:f>IF(C295&gt;0,C295*'Your Mortgage'!$C$7/12,0)</x:f>
        <x:v>654.3904637468902</x:v>
      </x:c>
      <x:c r="E295" s="104" t="n">
        <x:f>IF(C295&gt;0,MIN('Your Mortgage'!$C$11,C295+D295),0)</x:f>
        <x:v>2054.2210763521375</x:v>
      </x:c>
      <x:c r="F295" s="104" t="n">
        <x:f>E295</x:f>
        <x:v>2054.2210763521375</x:v>
      </x:c>
      <x:c r="G295" s="104" t="n">
        <x:f>MAX(0,F295-D295)</x:f>
        <x:v>1399.8306126052473</x:v>
      </x:c>
      <x:c r="H295" s="104" t="n">
        <x:f>MAX(0,C295-G295)</x:f>
        <x:v>119410.71654066678</x:v>
      </x:c>
      <x:c r="I295" s="105" t="n">
        <x:f>P294</x:f>
        <x:v>0</x:v>
      </x:c>
      <x:c r="J295" s="105" t="n">
        <x:f>IF(I295&gt;0,I295*'Your Mortgage'!$C$7/12,0)</x:f>
        <x:v>0</x:v>
      </x:c>
      <x:c r="K295" s="105" t="n">
        <x:f>IF(I295&gt;0,MIN('Your Mortgage'!$C$11,I295+J295),0)</x:f>
        <x:v>0</x:v>
      </x:c>
      <x:c r="L295" s="105" t="n">
        <x:f>IF(I295&gt;0,MIN('Your Mortgage'!$F$6,MAX(0,I295+J295-K295)),0)</x:f>
        <x:v>0</x:v>
      </x:c>
      <x:c r="M295" s="105" t="n">
        <x:f>IF(AND(A295='Your Mortgage'!$F$8,I295&gt;0),MIN('Your Mortgage'!$F$7,MAX(0,I295+J295-K295-L295)),0)</x:f>
        <x:v>0</x:v>
      </x:c>
      <x:c r="N295" s="105" t="n">
        <x:f>K295+L295+M295</x:f>
        <x:v>0</x:v>
      </x:c>
      <x:c r="O295" s="105" t="n">
        <x:f>MAX(0,N295-J295)</x:f>
        <x:v>0</x:v>
      </x:c>
      <x:c r="P295" s="105" t="n">
        <x:f>MAX(0,I295-O295)</x:f>
        <x:v>0</x:v>
      </x:c>
      <x:c r="Q295" s="106" t="n">
        <x:f>X294</x:f>
        <x:v>0</x:v>
      </x:c>
      <x:c r="R295" s="106" t="n">
        <x:f>IF(Q295&gt;0,Q295*'Your Mortgage'!$C$7/12,0)</x:f>
        <x:v>0</x:v>
      </x:c>
      <x:c r="S295" s="106" t="n">
        <x:f>IF(Q295&gt;0,MIN('Your Mortgage'!$C$11,Q295+R295),0)</x:f>
        <x:v>0</x:v>
      </x:c>
      <x:c r="T295" s="106" t="n">
        <x:f>IF(Q295&gt;0,MIN('Your Mortgage'!$I$6,MAX(0,Q295+R295-S295)),0)</x:f>
        <x:v>0</x:v>
      </x:c>
      <x:c r="U295" s="106" t="n">
        <x:f>IF(AND(A295='Your Mortgage'!$I$8,Q295&gt;0),MIN('Your Mortgage'!$I$7,MAX(0,Q295+R295-S295-T295)),0)</x:f>
        <x:v>0</x:v>
      </x:c>
      <x:c r="V295" s="106" t="n">
        <x:f>S295+T295+U295</x:f>
        <x:v>0</x:v>
      </x:c>
      <x:c r="W295" s="106" t="n">
        <x:f>MAX(0,V295-R295)</x:f>
        <x:v>0</x:v>
      </x:c>
      <x:c r="X295" s="106" t="n">
        <x:f>MAX(0,Q295-W295)</x:f>
        <x:v>0</x:v>
      </x:c>
      <x:c r="Y295" s="1"/>
      <x:c r="Z295" s="1"/>
    </x:row>
    <x:row r="296">
      <x:c r="A296" s="100" t="n">
        <x:f>A295+1</x:f>
        <x:v>291</x:v>
      </x:c>
      <x:c r="B296" s="103" t="n">
        <x:f>EDATE(B295,1)</x:f>
        <x:v>55062</x:v>
      </x:c>
      <x:c r="C296" s="104" t="n">
        <x:f>H295</x:f>
        <x:v>119410.71654066678</x:v>
      </x:c>
      <x:c r="D296" s="104" t="n">
        <x:f>IF(C296&gt;0,C296*'Your Mortgage'!$C$7/12,0)</x:f>
        <x:v>646.8080479286117</x:v>
      </x:c>
      <x:c r="E296" s="104" t="n">
        <x:f>IF(C296&gt;0,MIN('Your Mortgage'!$C$11,C296+D296),0)</x:f>
        <x:v>2054.2210763521375</x:v>
      </x:c>
      <x:c r="F296" s="104" t="n">
        <x:f>E296</x:f>
        <x:v>2054.2210763521375</x:v>
      </x:c>
      <x:c r="G296" s="104" t="n">
        <x:f>MAX(0,F296-D296)</x:f>
        <x:v>1407.4130284235257</x:v>
      </x:c>
      <x:c r="H296" s="104" t="n">
        <x:f>MAX(0,C296-G296)</x:f>
        <x:v>118003.30351224325</x:v>
      </x:c>
      <x:c r="I296" s="105" t="n">
        <x:f>P295</x:f>
        <x:v>0</x:v>
      </x:c>
      <x:c r="J296" s="105" t="n">
        <x:f>IF(I296&gt;0,I296*'Your Mortgage'!$C$7/12,0)</x:f>
        <x:v>0</x:v>
      </x:c>
      <x:c r="K296" s="105" t="n">
        <x:f>IF(I296&gt;0,MIN('Your Mortgage'!$C$11,I296+J296),0)</x:f>
        <x:v>0</x:v>
      </x:c>
      <x:c r="L296" s="105" t="n">
        <x:f>IF(I296&gt;0,MIN('Your Mortgage'!$F$6,MAX(0,I296+J296-K296)),0)</x:f>
        <x:v>0</x:v>
      </x:c>
      <x:c r="M296" s="105" t="n">
        <x:f>IF(AND(A296='Your Mortgage'!$F$8,I296&gt;0),MIN('Your Mortgage'!$F$7,MAX(0,I296+J296-K296-L296)),0)</x:f>
        <x:v>0</x:v>
      </x:c>
      <x:c r="N296" s="105" t="n">
        <x:f>K296+L296+M296</x:f>
        <x:v>0</x:v>
      </x:c>
      <x:c r="O296" s="105" t="n">
        <x:f>MAX(0,N296-J296)</x:f>
        <x:v>0</x:v>
      </x:c>
      <x:c r="P296" s="105" t="n">
        <x:f>MAX(0,I296-O296)</x:f>
        <x:v>0</x:v>
      </x:c>
      <x:c r="Q296" s="106" t="n">
        <x:f>X295</x:f>
        <x:v>0</x:v>
      </x:c>
      <x:c r="R296" s="106" t="n">
        <x:f>IF(Q296&gt;0,Q296*'Your Mortgage'!$C$7/12,0)</x:f>
        <x:v>0</x:v>
      </x:c>
      <x:c r="S296" s="106" t="n">
        <x:f>IF(Q296&gt;0,MIN('Your Mortgage'!$C$11,Q296+R296),0)</x:f>
        <x:v>0</x:v>
      </x:c>
      <x:c r="T296" s="106" t="n">
        <x:f>IF(Q296&gt;0,MIN('Your Mortgage'!$I$6,MAX(0,Q296+R296-S296)),0)</x:f>
        <x:v>0</x:v>
      </x:c>
      <x:c r="U296" s="106" t="n">
        <x:f>IF(AND(A296='Your Mortgage'!$I$8,Q296&gt;0),MIN('Your Mortgage'!$I$7,MAX(0,Q296+R296-S296-T296)),0)</x:f>
        <x:v>0</x:v>
      </x:c>
      <x:c r="V296" s="106" t="n">
        <x:f>S296+T296+U296</x:f>
        <x:v>0</x:v>
      </x:c>
      <x:c r="W296" s="106" t="n">
        <x:f>MAX(0,V296-R296)</x:f>
        <x:v>0</x:v>
      </x:c>
      <x:c r="X296" s="106" t="n">
        <x:f>MAX(0,Q296-W296)</x:f>
        <x:v>0</x:v>
      </x:c>
      <x:c r="Y296" s="1"/>
      <x:c r="Z296" s="1"/>
    </x:row>
    <x:row r="297">
      <x:c r="A297" s="100" t="n">
        <x:f>A296+1</x:f>
        <x:v>292</x:v>
      </x:c>
      <x:c r="B297" s="103" t="n">
        <x:f>EDATE(B296,1)</x:f>
        <x:v>55093</x:v>
      </x:c>
      <x:c r="C297" s="104" t="n">
        <x:f>H296</x:f>
        <x:v>118003.30351224325</x:v>
      </x:c>
      <x:c r="D297" s="104" t="n">
        <x:f>IF(C297&gt;0,C297*'Your Mortgage'!$C$7/12,0)</x:f>
        <x:v>639.1845606913176</x:v>
      </x:c>
      <x:c r="E297" s="104" t="n">
        <x:f>IF(C297&gt;0,MIN('Your Mortgage'!$C$11,C297+D297),0)</x:f>
        <x:v>2054.2210763521375</x:v>
      </x:c>
      <x:c r="F297" s="104" t="n">
        <x:f>E297</x:f>
        <x:v>2054.2210763521375</x:v>
      </x:c>
      <x:c r="G297" s="104" t="n">
        <x:f>MAX(0,F297-D297)</x:f>
        <x:v>1415.03651566082</x:v>
      </x:c>
      <x:c r="H297" s="104" t="n">
        <x:f>MAX(0,C297-G297)</x:f>
        <x:v>116588.26699658243</x:v>
      </x:c>
      <x:c r="I297" s="105" t="n">
        <x:f>P296</x:f>
        <x:v>0</x:v>
      </x:c>
      <x:c r="J297" s="105" t="n">
        <x:f>IF(I297&gt;0,I297*'Your Mortgage'!$C$7/12,0)</x:f>
        <x:v>0</x:v>
      </x:c>
      <x:c r="K297" s="105" t="n">
        <x:f>IF(I297&gt;0,MIN('Your Mortgage'!$C$11,I297+J297),0)</x:f>
        <x:v>0</x:v>
      </x:c>
      <x:c r="L297" s="105" t="n">
        <x:f>IF(I297&gt;0,MIN('Your Mortgage'!$F$6,MAX(0,I297+J297-K297)),0)</x:f>
        <x:v>0</x:v>
      </x:c>
      <x:c r="M297" s="105" t="n">
        <x:f>IF(AND(A297='Your Mortgage'!$F$8,I297&gt;0),MIN('Your Mortgage'!$F$7,MAX(0,I297+J297-K297-L297)),0)</x:f>
        <x:v>0</x:v>
      </x:c>
      <x:c r="N297" s="105" t="n">
        <x:f>K297+L297+M297</x:f>
        <x:v>0</x:v>
      </x:c>
      <x:c r="O297" s="105" t="n">
        <x:f>MAX(0,N297-J297)</x:f>
        <x:v>0</x:v>
      </x:c>
      <x:c r="P297" s="105" t="n">
        <x:f>MAX(0,I297-O297)</x:f>
        <x:v>0</x:v>
      </x:c>
      <x:c r="Q297" s="106" t="n">
        <x:f>X296</x:f>
        <x:v>0</x:v>
      </x:c>
      <x:c r="R297" s="106" t="n">
        <x:f>IF(Q297&gt;0,Q297*'Your Mortgage'!$C$7/12,0)</x:f>
        <x:v>0</x:v>
      </x:c>
      <x:c r="S297" s="106" t="n">
        <x:f>IF(Q297&gt;0,MIN('Your Mortgage'!$C$11,Q297+R297),0)</x:f>
        <x:v>0</x:v>
      </x:c>
      <x:c r="T297" s="106" t="n">
        <x:f>IF(Q297&gt;0,MIN('Your Mortgage'!$I$6,MAX(0,Q297+R297-S297)),0)</x:f>
        <x:v>0</x:v>
      </x:c>
      <x:c r="U297" s="106" t="n">
        <x:f>IF(AND(A297='Your Mortgage'!$I$8,Q297&gt;0),MIN('Your Mortgage'!$I$7,MAX(0,Q297+R297-S297-T297)),0)</x:f>
        <x:v>0</x:v>
      </x:c>
      <x:c r="V297" s="106" t="n">
        <x:f>S297+T297+U297</x:f>
        <x:v>0</x:v>
      </x:c>
      <x:c r="W297" s="106" t="n">
        <x:f>MAX(0,V297-R297)</x:f>
        <x:v>0</x:v>
      </x:c>
      <x:c r="X297" s="106" t="n">
        <x:f>MAX(0,Q297-W297)</x:f>
        <x:v>0</x:v>
      </x:c>
      <x:c r="Y297" s="1"/>
      <x:c r="Z297" s="1"/>
    </x:row>
    <x:row r="298">
      <x:c r="A298" s="100" t="n">
        <x:f>A297+1</x:f>
        <x:v>293</x:v>
      </x:c>
      <x:c r="B298" s="103" t="n">
        <x:f>EDATE(B297,1)</x:f>
        <x:v>55123</x:v>
      </x:c>
      <x:c r="C298" s="104" t="n">
        <x:f>H297</x:f>
        <x:v>116588.26699658243</x:v>
      </x:c>
      <x:c r="D298" s="104" t="n">
        <x:f>IF(C298&gt;0,C298*'Your Mortgage'!$C$7/12,0)</x:f>
        <x:v>631.5197795648215</x:v>
      </x:c>
      <x:c r="E298" s="104" t="n">
        <x:f>IF(C298&gt;0,MIN('Your Mortgage'!$C$11,C298+D298),0)</x:f>
        <x:v>2054.2210763521375</x:v>
      </x:c>
      <x:c r="F298" s="104" t="n">
        <x:f>E298</x:f>
        <x:v>2054.2210763521375</x:v>
      </x:c>
      <x:c r="G298" s="104" t="n">
        <x:f>MAX(0,F298-D298)</x:f>
        <x:v>1422.701296787316</x:v>
      </x:c>
      <x:c r="H298" s="104" t="n">
        <x:f>MAX(0,C298-G298)</x:f>
        <x:v>115165.56569979512</x:v>
      </x:c>
      <x:c r="I298" s="105" t="n">
        <x:f>P297</x:f>
        <x:v>0</x:v>
      </x:c>
      <x:c r="J298" s="105" t="n">
        <x:f>IF(I298&gt;0,I298*'Your Mortgage'!$C$7/12,0)</x:f>
        <x:v>0</x:v>
      </x:c>
      <x:c r="K298" s="105" t="n">
        <x:f>IF(I298&gt;0,MIN('Your Mortgage'!$C$11,I298+J298),0)</x:f>
        <x:v>0</x:v>
      </x:c>
      <x:c r="L298" s="105" t="n">
        <x:f>IF(I298&gt;0,MIN('Your Mortgage'!$F$6,MAX(0,I298+J298-K298)),0)</x:f>
        <x:v>0</x:v>
      </x:c>
      <x:c r="M298" s="105" t="n">
        <x:f>IF(AND(A298='Your Mortgage'!$F$8,I298&gt;0),MIN('Your Mortgage'!$F$7,MAX(0,I298+J298-K298-L298)),0)</x:f>
        <x:v>0</x:v>
      </x:c>
      <x:c r="N298" s="105" t="n">
        <x:f>K298+L298+M298</x:f>
        <x:v>0</x:v>
      </x:c>
      <x:c r="O298" s="105" t="n">
        <x:f>MAX(0,N298-J298)</x:f>
        <x:v>0</x:v>
      </x:c>
      <x:c r="P298" s="105" t="n">
        <x:f>MAX(0,I298-O298)</x:f>
        <x:v>0</x:v>
      </x:c>
      <x:c r="Q298" s="106" t="n">
        <x:f>X297</x:f>
        <x:v>0</x:v>
      </x:c>
      <x:c r="R298" s="106" t="n">
        <x:f>IF(Q298&gt;0,Q298*'Your Mortgage'!$C$7/12,0)</x:f>
        <x:v>0</x:v>
      </x:c>
      <x:c r="S298" s="106" t="n">
        <x:f>IF(Q298&gt;0,MIN('Your Mortgage'!$C$11,Q298+R298),0)</x:f>
        <x:v>0</x:v>
      </x:c>
      <x:c r="T298" s="106" t="n">
        <x:f>IF(Q298&gt;0,MIN('Your Mortgage'!$I$6,MAX(0,Q298+R298-S298)),0)</x:f>
        <x:v>0</x:v>
      </x:c>
      <x:c r="U298" s="106" t="n">
        <x:f>IF(AND(A298='Your Mortgage'!$I$8,Q298&gt;0),MIN('Your Mortgage'!$I$7,MAX(0,Q298+R298-S298-T298)),0)</x:f>
        <x:v>0</x:v>
      </x:c>
      <x:c r="V298" s="106" t="n">
        <x:f>S298+T298+U298</x:f>
        <x:v>0</x:v>
      </x:c>
      <x:c r="W298" s="106" t="n">
        <x:f>MAX(0,V298-R298)</x:f>
        <x:v>0</x:v>
      </x:c>
      <x:c r="X298" s="106" t="n">
        <x:f>MAX(0,Q298-W298)</x:f>
        <x:v>0</x:v>
      </x:c>
      <x:c r="Y298" s="1"/>
      <x:c r="Z298" s="1"/>
    </x:row>
    <x:row r="299">
      <x:c r="A299" s="100" t="n">
        <x:f>A298+1</x:f>
        <x:v>294</x:v>
      </x:c>
      <x:c r="B299" s="103" t="n">
        <x:f>EDATE(B298,1)</x:f>
        <x:v>55154</x:v>
      </x:c>
      <x:c r="C299" s="104" t="n">
        <x:f>H298</x:f>
        <x:v>115165.56569979512</x:v>
      </x:c>
      <x:c r="D299" s="104" t="n">
        <x:f>IF(C299&gt;0,C299*'Your Mortgage'!$C$7/12,0)</x:f>
        <x:v>623.8134808738902</x:v>
      </x:c>
      <x:c r="E299" s="104" t="n">
        <x:f>IF(C299&gt;0,MIN('Your Mortgage'!$C$11,C299+D299),0)</x:f>
        <x:v>2054.2210763521375</x:v>
      </x:c>
      <x:c r="F299" s="104" t="n">
        <x:f>E299</x:f>
        <x:v>2054.2210763521375</x:v>
      </x:c>
      <x:c r="G299" s="104" t="n">
        <x:f>MAX(0,F299-D299)</x:f>
        <x:v>1430.4075954782475</x:v>
      </x:c>
      <x:c r="H299" s="104" t="n">
        <x:f>MAX(0,C299-G299)</x:f>
        <x:v>113735.15810431687</x:v>
      </x:c>
      <x:c r="I299" s="105" t="n">
        <x:f>P298</x:f>
        <x:v>0</x:v>
      </x:c>
      <x:c r="J299" s="105" t="n">
        <x:f>IF(I299&gt;0,I299*'Your Mortgage'!$C$7/12,0)</x:f>
        <x:v>0</x:v>
      </x:c>
      <x:c r="K299" s="105" t="n">
        <x:f>IF(I299&gt;0,MIN('Your Mortgage'!$C$11,I299+J299),0)</x:f>
        <x:v>0</x:v>
      </x:c>
      <x:c r="L299" s="105" t="n">
        <x:f>IF(I299&gt;0,MIN('Your Mortgage'!$F$6,MAX(0,I299+J299-K299)),0)</x:f>
        <x:v>0</x:v>
      </x:c>
      <x:c r="M299" s="105" t="n">
        <x:f>IF(AND(A299='Your Mortgage'!$F$8,I299&gt;0),MIN('Your Mortgage'!$F$7,MAX(0,I299+J299-K299-L299)),0)</x:f>
        <x:v>0</x:v>
      </x:c>
      <x:c r="N299" s="105" t="n">
        <x:f>K299+L299+M299</x:f>
        <x:v>0</x:v>
      </x:c>
      <x:c r="O299" s="105" t="n">
        <x:f>MAX(0,N299-J299)</x:f>
        <x:v>0</x:v>
      </x:c>
      <x:c r="P299" s="105" t="n">
        <x:f>MAX(0,I299-O299)</x:f>
        <x:v>0</x:v>
      </x:c>
      <x:c r="Q299" s="106" t="n">
        <x:f>X298</x:f>
        <x:v>0</x:v>
      </x:c>
      <x:c r="R299" s="106" t="n">
        <x:f>IF(Q299&gt;0,Q299*'Your Mortgage'!$C$7/12,0)</x:f>
        <x:v>0</x:v>
      </x:c>
      <x:c r="S299" s="106" t="n">
        <x:f>IF(Q299&gt;0,MIN('Your Mortgage'!$C$11,Q299+R299),0)</x:f>
        <x:v>0</x:v>
      </x:c>
      <x:c r="T299" s="106" t="n">
        <x:f>IF(Q299&gt;0,MIN('Your Mortgage'!$I$6,MAX(0,Q299+R299-S299)),0)</x:f>
        <x:v>0</x:v>
      </x:c>
      <x:c r="U299" s="106" t="n">
        <x:f>IF(AND(A299='Your Mortgage'!$I$8,Q299&gt;0),MIN('Your Mortgage'!$I$7,MAX(0,Q299+R299-S299-T299)),0)</x:f>
        <x:v>0</x:v>
      </x:c>
      <x:c r="V299" s="106" t="n">
        <x:f>S299+T299+U299</x:f>
        <x:v>0</x:v>
      </x:c>
      <x:c r="W299" s="106" t="n">
        <x:f>MAX(0,V299-R299)</x:f>
        <x:v>0</x:v>
      </x:c>
      <x:c r="X299" s="106" t="n">
        <x:f>MAX(0,Q299-W299)</x:f>
        <x:v>0</x:v>
      </x:c>
      <x:c r="Y299" s="1"/>
      <x:c r="Z299" s="1"/>
    </x:row>
    <x:row r="300">
      <x:c r="A300" s="100" t="n">
        <x:f>A299+1</x:f>
        <x:v>295</x:v>
      </x:c>
      <x:c r="B300" s="103" t="n">
        <x:f>EDATE(B299,1)</x:f>
        <x:v>55185</x:v>
      </x:c>
      <x:c r="C300" s="104" t="n">
        <x:f>H299</x:f>
        <x:v>113735.15810431687</x:v>
      </x:c>
      <x:c r="D300" s="104" t="n">
        <x:f>IF(C300&gt;0,C300*'Your Mortgage'!$C$7/12,0)</x:f>
        <x:v>616.0654397317164</x:v>
      </x:c>
      <x:c r="E300" s="104" t="n">
        <x:f>IF(C300&gt;0,MIN('Your Mortgage'!$C$11,C300+D300),0)</x:f>
        <x:v>2054.2210763521375</x:v>
      </x:c>
      <x:c r="F300" s="104" t="n">
        <x:f>E300</x:f>
        <x:v>2054.2210763521375</x:v>
      </x:c>
      <x:c r="G300" s="104" t="n">
        <x:f>MAX(0,F300-D300)</x:f>
        <x:v>1438.155636620421</x:v>
      </x:c>
      <x:c r="H300" s="104" t="n">
        <x:f>MAX(0,C300-G300)</x:f>
        <x:v>112297.00246769645</x:v>
      </x:c>
      <x:c r="I300" s="105" t="n">
        <x:f>P299</x:f>
        <x:v>0</x:v>
      </x:c>
      <x:c r="J300" s="105" t="n">
        <x:f>IF(I300&gt;0,I300*'Your Mortgage'!$C$7/12,0)</x:f>
        <x:v>0</x:v>
      </x:c>
      <x:c r="K300" s="105" t="n">
        <x:f>IF(I300&gt;0,MIN('Your Mortgage'!$C$11,I300+J300),0)</x:f>
        <x:v>0</x:v>
      </x:c>
      <x:c r="L300" s="105" t="n">
        <x:f>IF(I300&gt;0,MIN('Your Mortgage'!$F$6,MAX(0,I300+J300-K300)),0)</x:f>
        <x:v>0</x:v>
      </x:c>
      <x:c r="M300" s="105" t="n">
        <x:f>IF(AND(A300='Your Mortgage'!$F$8,I300&gt;0),MIN('Your Mortgage'!$F$7,MAX(0,I300+J300-K300-L300)),0)</x:f>
        <x:v>0</x:v>
      </x:c>
      <x:c r="N300" s="105" t="n">
        <x:f>K300+L300+M300</x:f>
        <x:v>0</x:v>
      </x:c>
      <x:c r="O300" s="105" t="n">
        <x:f>MAX(0,N300-J300)</x:f>
        <x:v>0</x:v>
      </x:c>
      <x:c r="P300" s="105" t="n">
        <x:f>MAX(0,I300-O300)</x:f>
        <x:v>0</x:v>
      </x:c>
      <x:c r="Q300" s="106" t="n">
        <x:f>X299</x:f>
        <x:v>0</x:v>
      </x:c>
      <x:c r="R300" s="106" t="n">
        <x:f>IF(Q300&gt;0,Q300*'Your Mortgage'!$C$7/12,0)</x:f>
        <x:v>0</x:v>
      </x:c>
      <x:c r="S300" s="106" t="n">
        <x:f>IF(Q300&gt;0,MIN('Your Mortgage'!$C$11,Q300+R300),0)</x:f>
        <x:v>0</x:v>
      </x:c>
      <x:c r="T300" s="106" t="n">
        <x:f>IF(Q300&gt;0,MIN('Your Mortgage'!$I$6,MAX(0,Q300+R300-S300)),0)</x:f>
        <x:v>0</x:v>
      </x:c>
      <x:c r="U300" s="106" t="n">
        <x:f>IF(AND(A300='Your Mortgage'!$I$8,Q300&gt;0),MIN('Your Mortgage'!$I$7,MAX(0,Q300+R300-S300-T300)),0)</x:f>
        <x:v>0</x:v>
      </x:c>
      <x:c r="V300" s="106" t="n">
        <x:f>S300+T300+U300</x:f>
        <x:v>0</x:v>
      </x:c>
      <x:c r="W300" s="106" t="n">
        <x:f>MAX(0,V300-R300)</x:f>
        <x:v>0</x:v>
      </x:c>
      <x:c r="X300" s="106" t="n">
        <x:f>MAX(0,Q300-W300)</x:f>
        <x:v>0</x:v>
      </x:c>
      <x:c r="Y300" s="1"/>
      <x:c r="Z300" s="1"/>
    </x:row>
    <x:row r="301">
      <x:c r="A301" s="100" t="n">
        <x:f>A300+1</x:f>
        <x:v>296</x:v>
      </x:c>
      <x:c r="B301" s="103" t="n">
        <x:f>EDATE(B300,1)</x:f>
        <x:v>55213</x:v>
      </x:c>
      <x:c r="C301" s="104" t="n">
        <x:f>H300</x:f>
        <x:v>112297.00246769645</x:v>
      </x:c>
      <x:c r="D301" s="104" t="n">
        <x:f>IF(C301&gt;0,C301*'Your Mortgage'!$C$7/12,0)</x:f>
        <x:v>608.2754300333557</x:v>
      </x:c>
      <x:c r="E301" s="104" t="n">
        <x:f>IF(C301&gt;0,MIN('Your Mortgage'!$C$11,C301+D301),0)</x:f>
        <x:v>2054.2210763521375</x:v>
      </x:c>
      <x:c r="F301" s="104" t="n">
        <x:f>E301</x:f>
        <x:v>2054.2210763521375</x:v>
      </x:c>
      <x:c r="G301" s="104" t="n">
        <x:f>MAX(0,F301-D301)</x:f>
        <x:v>1445.9456463187817</x:v>
      </x:c>
      <x:c r="H301" s="104" t="n">
        <x:f>MAX(0,C301-G301)</x:f>
        <x:v>110851.05682137767</x:v>
      </x:c>
      <x:c r="I301" s="105" t="n">
        <x:f>P300</x:f>
        <x:v>0</x:v>
      </x:c>
      <x:c r="J301" s="105" t="n">
        <x:f>IF(I301&gt;0,I301*'Your Mortgage'!$C$7/12,0)</x:f>
        <x:v>0</x:v>
      </x:c>
      <x:c r="K301" s="105" t="n">
        <x:f>IF(I301&gt;0,MIN('Your Mortgage'!$C$11,I301+J301),0)</x:f>
        <x:v>0</x:v>
      </x:c>
      <x:c r="L301" s="105" t="n">
        <x:f>IF(I301&gt;0,MIN('Your Mortgage'!$F$6,MAX(0,I301+J301-K301)),0)</x:f>
        <x:v>0</x:v>
      </x:c>
      <x:c r="M301" s="105" t="n">
        <x:f>IF(AND(A301='Your Mortgage'!$F$8,I301&gt;0),MIN('Your Mortgage'!$F$7,MAX(0,I301+J301-K301-L301)),0)</x:f>
        <x:v>0</x:v>
      </x:c>
      <x:c r="N301" s="105" t="n">
        <x:f>K301+L301+M301</x:f>
        <x:v>0</x:v>
      </x:c>
      <x:c r="O301" s="105" t="n">
        <x:f>MAX(0,N301-J301)</x:f>
        <x:v>0</x:v>
      </x:c>
      <x:c r="P301" s="105" t="n">
        <x:f>MAX(0,I301-O301)</x:f>
        <x:v>0</x:v>
      </x:c>
      <x:c r="Q301" s="106" t="n">
        <x:f>X300</x:f>
        <x:v>0</x:v>
      </x:c>
      <x:c r="R301" s="106" t="n">
        <x:f>IF(Q301&gt;0,Q301*'Your Mortgage'!$C$7/12,0)</x:f>
        <x:v>0</x:v>
      </x:c>
      <x:c r="S301" s="106" t="n">
        <x:f>IF(Q301&gt;0,MIN('Your Mortgage'!$C$11,Q301+R301),0)</x:f>
        <x:v>0</x:v>
      </x:c>
      <x:c r="T301" s="106" t="n">
        <x:f>IF(Q301&gt;0,MIN('Your Mortgage'!$I$6,MAX(0,Q301+R301-S301)),0)</x:f>
        <x:v>0</x:v>
      </x:c>
      <x:c r="U301" s="106" t="n">
        <x:f>IF(AND(A301='Your Mortgage'!$I$8,Q301&gt;0),MIN('Your Mortgage'!$I$7,MAX(0,Q301+R301-S301-T301)),0)</x:f>
        <x:v>0</x:v>
      </x:c>
      <x:c r="V301" s="106" t="n">
        <x:f>S301+T301+U301</x:f>
        <x:v>0</x:v>
      </x:c>
      <x:c r="W301" s="106" t="n">
        <x:f>MAX(0,V301-R301)</x:f>
        <x:v>0</x:v>
      </x:c>
      <x:c r="X301" s="106" t="n">
        <x:f>MAX(0,Q301-W301)</x:f>
        <x:v>0</x:v>
      </x:c>
      <x:c r="Y301" s="1"/>
      <x:c r="Z301" s="1"/>
    </x:row>
    <x:row r="302">
      <x:c r="A302" s="100" t="n">
        <x:f>A301+1</x:f>
        <x:v>297</x:v>
      </x:c>
      <x:c r="B302" s="103" t="n">
        <x:f>EDATE(B301,1)</x:f>
        <x:v>55244</x:v>
      </x:c>
      <x:c r="C302" s="104" t="n">
        <x:f>H301</x:f>
        <x:v>110851.05682137767</x:v>
      </x:c>
      <x:c r="D302" s="104" t="n">
        <x:f>IF(C302&gt;0,C302*'Your Mortgage'!$C$7/12,0)</x:f>
        <x:v>600.443224449129</x:v>
      </x:c>
      <x:c r="E302" s="104" t="n">
        <x:f>IF(C302&gt;0,MIN('Your Mortgage'!$C$11,C302+D302),0)</x:f>
        <x:v>2054.2210763521375</x:v>
      </x:c>
      <x:c r="F302" s="104" t="n">
        <x:f>E302</x:f>
        <x:v>2054.2210763521375</x:v>
      </x:c>
      <x:c r="G302" s="104" t="n">
        <x:f>MAX(0,F302-D302)</x:f>
        <x:v>1453.7778519030085</x:v>
      </x:c>
      <x:c r="H302" s="104" t="n">
        <x:f>MAX(0,C302-G302)</x:f>
        <x:v>109397.27896947466</x:v>
      </x:c>
      <x:c r="I302" s="105" t="n">
        <x:f>P301</x:f>
        <x:v>0</x:v>
      </x:c>
      <x:c r="J302" s="105" t="n">
        <x:f>IF(I302&gt;0,I302*'Your Mortgage'!$C$7/12,0)</x:f>
        <x:v>0</x:v>
      </x:c>
      <x:c r="K302" s="105" t="n">
        <x:f>IF(I302&gt;0,MIN('Your Mortgage'!$C$11,I302+J302),0)</x:f>
        <x:v>0</x:v>
      </x:c>
      <x:c r="L302" s="105" t="n">
        <x:f>IF(I302&gt;0,MIN('Your Mortgage'!$F$6,MAX(0,I302+J302-K302)),0)</x:f>
        <x:v>0</x:v>
      </x:c>
      <x:c r="M302" s="105" t="n">
        <x:f>IF(AND(A302='Your Mortgage'!$F$8,I302&gt;0),MIN('Your Mortgage'!$F$7,MAX(0,I302+J302-K302-L302)),0)</x:f>
        <x:v>0</x:v>
      </x:c>
      <x:c r="N302" s="105" t="n">
        <x:f>K302+L302+M302</x:f>
        <x:v>0</x:v>
      </x:c>
      <x:c r="O302" s="105" t="n">
        <x:f>MAX(0,N302-J302)</x:f>
        <x:v>0</x:v>
      </x:c>
      <x:c r="P302" s="105" t="n">
        <x:f>MAX(0,I302-O302)</x:f>
        <x:v>0</x:v>
      </x:c>
      <x:c r="Q302" s="106" t="n">
        <x:f>X301</x:f>
        <x:v>0</x:v>
      </x:c>
      <x:c r="R302" s="106" t="n">
        <x:f>IF(Q302&gt;0,Q302*'Your Mortgage'!$C$7/12,0)</x:f>
        <x:v>0</x:v>
      </x:c>
      <x:c r="S302" s="106" t="n">
        <x:f>IF(Q302&gt;0,MIN('Your Mortgage'!$C$11,Q302+R302),0)</x:f>
        <x:v>0</x:v>
      </x:c>
      <x:c r="T302" s="106" t="n">
        <x:f>IF(Q302&gt;0,MIN('Your Mortgage'!$I$6,MAX(0,Q302+R302-S302)),0)</x:f>
        <x:v>0</x:v>
      </x:c>
      <x:c r="U302" s="106" t="n">
        <x:f>IF(AND(A302='Your Mortgage'!$I$8,Q302&gt;0),MIN('Your Mortgage'!$I$7,MAX(0,Q302+R302-S302-T302)),0)</x:f>
        <x:v>0</x:v>
      </x:c>
      <x:c r="V302" s="106" t="n">
        <x:f>S302+T302+U302</x:f>
        <x:v>0</x:v>
      </x:c>
      <x:c r="W302" s="106" t="n">
        <x:f>MAX(0,V302-R302)</x:f>
        <x:v>0</x:v>
      </x:c>
      <x:c r="X302" s="106" t="n">
        <x:f>MAX(0,Q302-W302)</x:f>
        <x:v>0</x:v>
      </x:c>
      <x:c r="Y302" s="1"/>
      <x:c r="Z302" s="1"/>
    </x:row>
    <x:row r="303">
      <x:c r="A303" s="100" t="n">
        <x:f>A302+1</x:f>
        <x:v>298</x:v>
      </x:c>
      <x:c r="B303" s="103" t="n">
        <x:f>EDATE(B302,1)</x:f>
        <x:v>55274</x:v>
      </x:c>
      <x:c r="C303" s="104" t="n">
        <x:f>H302</x:f>
        <x:v>109397.27896947466</x:v>
      </x:c>
      <x:c r="D303" s="104" t="n">
        <x:f>IF(C303&gt;0,C303*'Your Mortgage'!$C$7/12,0)</x:f>
        <x:v>592.5685944179878</x:v>
      </x:c>
      <x:c r="E303" s="104" t="n">
        <x:f>IF(C303&gt;0,MIN('Your Mortgage'!$C$11,C303+D303),0)</x:f>
        <x:v>2054.2210763521375</x:v>
      </x:c>
      <x:c r="F303" s="104" t="n">
        <x:f>E303</x:f>
        <x:v>2054.2210763521375</x:v>
      </x:c>
      <x:c r="G303" s="104" t="n">
        <x:f>MAX(0,F303-D303)</x:f>
        <x:v>1461.6524819341498</x:v>
      </x:c>
      <x:c r="H303" s="104" t="n">
        <x:f>MAX(0,C303-G303)</x:f>
        <x:v>107935.62648754052</x:v>
      </x:c>
      <x:c r="I303" s="105" t="n">
        <x:f>P302</x:f>
        <x:v>0</x:v>
      </x:c>
      <x:c r="J303" s="105" t="n">
        <x:f>IF(I303&gt;0,I303*'Your Mortgage'!$C$7/12,0)</x:f>
        <x:v>0</x:v>
      </x:c>
      <x:c r="K303" s="105" t="n">
        <x:f>IF(I303&gt;0,MIN('Your Mortgage'!$C$11,I303+J303),0)</x:f>
        <x:v>0</x:v>
      </x:c>
      <x:c r="L303" s="105" t="n">
        <x:f>IF(I303&gt;0,MIN('Your Mortgage'!$F$6,MAX(0,I303+J303-K303)),0)</x:f>
        <x:v>0</x:v>
      </x:c>
      <x:c r="M303" s="105" t="n">
        <x:f>IF(AND(A303='Your Mortgage'!$F$8,I303&gt;0),MIN('Your Mortgage'!$F$7,MAX(0,I303+J303-K303-L303)),0)</x:f>
        <x:v>0</x:v>
      </x:c>
      <x:c r="N303" s="105" t="n">
        <x:f>K303+L303+M303</x:f>
        <x:v>0</x:v>
      </x:c>
      <x:c r="O303" s="105" t="n">
        <x:f>MAX(0,N303-J303)</x:f>
        <x:v>0</x:v>
      </x:c>
      <x:c r="P303" s="105" t="n">
        <x:f>MAX(0,I303-O303)</x:f>
        <x:v>0</x:v>
      </x:c>
      <x:c r="Q303" s="106" t="n">
        <x:f>X302</x:f>
        <x:v>0</x:v>
      </x:c>
      <x:c r="R303" s="106" t="n">
        <x:f>IF(Q303&gt;0,Q303*'Your Mortgage'!$C$7/12,0)</x:f>
        <x:v>0</x:v>
      </x:c>
      <x:c r="S303" s="106" t="n">
        <x:f>IF(Q303&gt;0,MIN('Your Mortgage'!$C$11,Q303+R303),0)</x:f>
        <x:v>0</x:v>
      </x:c>
      <x:c r="T303" s="106" t="n">
        <x:f>IF(Q303&gt;0,MIN('Your Mortgage'!$I$6,MAX(0,Q303+R303-S303)),0)</x:f>
        <x:v>0</x:v>
      </x:c>
      <x:c r="U303" s="106" t="n">
        <x:f>IF(AND(A303='Your Mortgage'!$I$8,Q303&gt;0),MIN('Your Mortgage'!$I$7,MAX(0,Q303+R303-S303-T303)),0)</x:f>
        <x:v>0</x:v>
      </x:c>
      <x:c r="V303" s="106" t="n">
        <x:f>S303+T303+U303</x:f>
        <x:v>0</x:v>
      </x:c>
      <x:c r="W303" s="106" t="n">
        <x:f>MAX(0,V303-R303)</x:f>
        <x:v>0</x:v>
      </x:c>
      <x:c r="X303" s="106" t="n">
        <x:f>MAX(0,Q303-W303)</x:f>
        <x:v>0</x:v>
      </x:c>
      <x:c r="Y303" s="1"/>
      <x:c r="Z303" s="1"/>
    </x:row>
    <x:row r="304">
      <x:c r="A304" s="100" t="n">
        <x:f>A303+1</x:f>
        <x:v>299</x:v>
      </x:c>
      <x:c r="B304" s="103" t="n">
        <x:f>EDATE(B303,1)</x:f>
        <x:v>55305</x:v>
      </x:c>
      <x:c r="C304" s="104" t="n">
        <x:f>H303</x:f>
        <x:v>107935.62648754052</x:v>
      </x:c>
      <x:c r="D304" s="104" t="n">
        <x:f>IF(C304&gt;0,C304*'Your Mortgage'!$C$7/12,0)</x:f>
        <x:v>584.6513101408444</x:v>
      </x:c>
      <x:c r="E304" s="104" t="n">
        <x:f>IF(C304&gt;0,MIN('Your Mortgage'!$C$11,C304+D304),0)</x:f>
        <x:v>2054.2210763521375</x:v>
      </x:c>
      <x:c r="F304" s="104" t="n">
        <x:f>E304</x:f>
        <x:v>2054.2210763521375</x:v>
      </x:c>
      <x:c r="G304" s="104" t="n">
        <x:f>MAX(0,F304-D304)</x:f>
        <x:v>1469.569766211293</x:v>
      </x:c>
      <x:c r="H304" s="104" t="n">
        <x:f>MAX(0,C304-G304)</x:f>
        <x:v>106466.05672132922</x:v>
      </x:c>
      <x:c r="I304" s="105" t="n">
        <x:f>P303</x:f>
        <x:v>0</x:v>
      </x:c>
      <x:c r="J304" s="105" t="n">
        <x:f>IF(I304&gt;0,I304*'Your Mortgage'!$C$7/12,0)</x:f>
        <x:v>0</x:v>
      </x:c>
      <x:c r="K304" s="105" t="n">
        <x:f>IF(I304&gt;0,MIN('Your Mortgage'!$C$11,I304+J304),0)</x:f>
        <x:v>0</x:v>
      </x:c>
      <x:c r="L304" s="105" t="n">
        <x:f>IF(I304&gt;0,MIN('Your Mortgage'!$F$6,MAX(0,I304+J304-K304)),0)</x:f>
        <x:v>0</x:v>
      </x:c>
      <x:c r="M304" s="105" t="n">
        <x:f>IF(AND(A304='Your Mortgage'!$F$8,I304&gt;0),MIN('Your Mortgage'!$F$7,MAX(0,I304+J304-K304-L304)),0)</x:f>
        <x:v>0</x:v>
      </x:c>
      <x:c r="N304" s="105" t="n">
        <x:f>K304+L304+M304</x:f>
        <x:v>0</x:v>
      </x:c>
      <x:c r="O304" s="105" t="n">
        <x:f>MAX(0,N304-J304)</x:f>
        <x:v>0</x:v>
      </x:c>
      <x:c r="P304" s="105" t="n">
        <x:f>MAX(0,I304-O304)</x:f>
        <x:v>0</x:v>
      </x:c>
      <x:c r="Q304" s="106" t="n">
        <x:f>X303</x:f>
        <x:v>0</x:v>
      </x:c>
      <x:c r="R304" s="106" t="n">
        <x:f>IF(Q304&gt;0,Q304*'Your Mortgage'!$C$7/12,0)</x:f>
        <x:v>0</x:v>
      </x:c>
      <x:c r="S304" s="106" t="n">
        <x:f>IF(Q304&gt;0,MIN('Your Mortgage'!$C$11,Q304+R304),0)</x:f>
        <x:v>0</x:v>
      </x:c>
      <x:c r="T304" s="106" t="n">
        <x:f>IF(Q304&gt;0,MIN('Your Mortgage'!$I$6,MAX(0,Q304+R304-S304)),0)</x:f>
        <x:v>0</x:v>
      </x:c>
      <x:c r="U304" s="106" t="n">
        <x:f>IF(AND(A304='Your Mortgage'!$I$8,Q304&gt;0),MIN('Your Mortgage'!$I$7,MAX(0,Q304+R304-S304-T304)),0)</x:f>
        <x:v>0</x:v>
      </x:c>
      <x:c r="V304" s="106" t="n">
        <x:f>S304+T304+U304</x:f>
        <x:v>0</x:v>
      </x:c>
      <x:c r="W304" s="106" t="n">
        <x:f>MAX(0,V304-R304)</x:f>
        <x:v>0</x:v>
      </x:c>
      <x:c r="X304" s="106" t="n">
        <x:f>MAX(0,Q304-W304)</x:f>
        <x:v>0</x:v>
      </x:c>
      <x:c r="Y304" s="1"/>
      <x:c r="Z304" s="1"/>
    </x:row>
    <x:row r="305">
      <x:c r="A305" s="100" t="n">
        <x:f>A304+1</x:f>
        <x:v>300</x:v>
      </x:c>
      <x:c r="B305" s="103" t="n">
        <x:f>EDATE(B304,1)</x:f>
        <x:v>55335</x:v>
      </x:c>
      <x:c r="C305" s="104" t="n">
        <x:f>H304</x:f>
        <x:v>106466.05672132922</x:v>
      </x:c>
      <x:c r="D305" s="104" t="n">
        <x:f>IF(C305&gt;0,C305*'Your Mortgage'!$C$7/12,0)</x:f>
        <x:v>576.6911405738666</x:v>
      </x:c>
      <x:c r="E305" s="104" t="n">
        <x:f>IF(C305&gt;0,MIN('Your Mortgage'!$C$11,C305+D305),0)</x:f>
        <x:v>2054.2210763521375</x:v>
      </x:c>
      <x:c r="F305" s="104" t="n">
        <x:f>E305</x:f>
        <x:v>2054.2210763521375</x:v>
      </x:c>
      <x:c r="G305" s="104" t="n">
        <x:f>MAX(0,F305-D305)</x:f>
        <x:v>1477.529935778271</x:v>
      </x:c>
      <x:c r="H305" s="104" t="n">
        <x:f>MAX(0,C305-G305)</x:f>
        <x:v>104988.52678555096</x:v>
      </x:c>
      <x:c r="I305" s="105" t="n">
        <x:f>P304</x:f>
        <x:v>0</x:v>
      </x:c>
      <x:c r="J305" s="105" t="n">
        <x:f>IF(I305&gt;0,I305*'Your Mortgage'!$C$7/12,0)</x:f>
        <x:v>0</x:v>
      </x:c>
      <x:c r="K305" s="105" t="n">
        <x:f>IF(I305&gt;0,MIN('Your Mortgage'!$C$11,I305+J305),0)</x:f>
        <x:v>0</x:v>
      </x:c>
      <x:c r="L305" s="105" t="n">
        <x:f>IF(I305&gt;0,MIN('Your Mortgage'!$F$6,MAX(0,I305+J305-K305)),0)</x:f>
        <x:v>0</x:v>
      </x:c>
      <x:c r="M305" s="105" t="n">
        <x:f>IF(AND(A305='Your Mortgage'!$F$8,I305&gt;0),MIN('Your Mortgage'!$F$7,MAX(0,I305+J305-K305-L305)),0)</x:f>
        <x:v>0</x:v>
      </x:c>
      <x:c r="N305" s="105" t="n">
        <x:f>K305+L305+M305</x:f>
        <x:v>0</x:v>
      </x:c>
      <x:c r="O305" s="105" t="n">
        <x:f>MAX(0,N305-J305)</x:f>
        <x:v>0</x:v>
      </x:c>
      <x:c r="P305" s="105" t="n">
        <x:f>MAX(0,I305-O305)</x:f>
        <x:v>0</x:v>
      </x:c>
      <x:c r="Q305" s="106" t="n">
        <x:f>X304</x:f>
        <x:v>0</x:v>
      </x:c>
      <x:c r="R305" s="106" t="n">
        <x:f>IF(Q305&gt;0,Q305*'Your Mortgage'!$C$7/12,0)</x:f>
        <x:v>0</x:v>
      </x:c>
      <x:c r="S305" s="106" t="n">
        <x:f>IF(Q305&gt;0,MIN('Your Mortgage'!$C$11,Q305+R305),0)</x:f>
        <x:v>0</x:v>
      </x:c>
      <x:c r="T305" s="106" t="n">
        <x:f>IF(Q305&gt;0,MIN('Your Mortgage'!$I$6,MAX(0,Q305+R305-S305)),0)</x:f>
        <x:v>0</x:v>
      </x:c>
      <x:c r="U305" s="106" t="n">
        <x:f>IF(AND(A305='Your Mortgage'!$I$8,Q305&gt;0),MIN('Your Mortgage'!$I$7,MAX(0,Q305+R305-S305-T305)),0)</x:f>
        <x:v>0</x:v>
      </x:c>
      <x:c r="V305" s="106" t="n">
        <x:f>S305+T305+U305</x:f>
        <x:v>0</x:v>
      </x:c>
      <x:c r="W305" s="106" t="n">
        <x:f>MAX(0,V305-R305)</x:f>
        <x:v>0</x:v>
      </x:c>
      <x:c r="X305" s="106" t="n">
        <x:f>MAX(0,Q305-W305)</x:f>
        <x:v>0</x:v>
      </x:c>
      <x:c r="Y305" s="1"/>
      <x:c r="Z305" s="1"/>
    </x:row>
    <x:row r="306">
      <x:c r="A306" s="100" t="n">
        <x:f>A305+1</x:f>
        <x:v>301</x:v>
      </x:c>
      <x:c r="B306" s="103" t="n">
        <x:f>EDATE(B305,1)</x:f>
        <x:v>55366</x:v>
      </x:c>
      <x:c r="C306" s="104" t="n">
        <x:f>H305</x:f>
        <x:v>104988.52678555096</x:v>
      </x:c>
      <x:c r="D306" s="104" t="n">
        <x:f>IF(C306&gt;0,C306*'Your Mortgage'!$C$7/12,0)</x:f>
        <x:v>568.6878534217344</x:v>
      </x:c>
      <x:c r="E306" s="104" t="n">
        <x:f>IF(C306&gt;0,MIN('Your Mortgage'!$C$11,C306+D306),0)</x:f>
        <x:v>2054.2210763521375</x:v>
      </x:c>
      <x:c r="F306" s="104" t="n">
        <x:f>E306</x:f>
        <x:v>2054.2210763521375</x:v>
      </x:c>
      <x:c r="G306" s="104" t="n">
        <x:f>MAX(0,F306-D306)</x:f>
        <x:v>1485.533222930403</x:v>
      </x:c>
      <x:c r="H306" s="104" t="n">
        <x:f>MAX(0,C306-G306)</x:f>
        <x:v>103502.99356262056</x:v>
      </x:c>
      <x:c r="I306" s="105" t="n">
        <x:f>P305</x:f>
        <x:v>0</x:v>
      </x:c>
      <x:c r="J306" s="105" t="n">
        <x:f>IF(I306&gt;0,I306*'Your Mortgage'!$C$7/12,0)</x:f>
        <x:v>0</x:v>
      </x:c>
      <x:c r="K306" s="105" t="n">
        <x:f>IF(I306&gt;0,MIN('Your Mortgage'!$C$11,I306+J306),0)</x:f>
        <x:v>0</x:v>
      </x:c>
      <x:c r="L306" s="105" t="n">
        <x:f>IF(I306&gt;0,MIN('Your Mortgage'!$F$6,MAX(0,I306+J306-K306)),0)</x:f>
        <x:v>0</x:v>
      </x:c>
      <x:c r="M306" s="105" t="n">
        <x:f>IF(AND(A306='Your Mortgage'!$F$8,I306&gt;0),MIN('Your Mortgage'!$F$7,MAX(0,I306+J306-K306-L306)),0)</x:f>
        <x:v>0</x:v>
      </x:c>
      <x:c r="N306" s="105" t="n">
        <x:f>K306+L306+M306</x:f>
        <x:v>0</x:v>
      </x:c>
      <x:c r="O306" s="105" t="n">
        <x:f>MAX(0,N306-J306)</x:f>
        <x:v>0</x:v>
      </x:c>
      <x:c r="P306" s="105" t="n">
        <x:f>MAX(0,I306-O306)</x:f>
        <x:v>0</x:v>
      </x:c>
      <x:c r="Q306" s="106" t="n">
        <x:f>X305</x:f>
        <x:v>0</x:v>
      </x:c>
      <x:c r="R306" s="106" t="n">
        <x:f>IF(Q306&gt;0,Q306*'Your Mortgage'!$C$7/12,0)</x:f>
        <x:v>0</x:v>
      </x:c>
      <x:c r="S306" s="106" t="n">
        <x:f>IF(Q306&gt;0,MIN('Your Mortgage'!$C$11,Q306+R306),0)</x:f>
        <x:v>0</x:v>
      </x:c>
      <x:c r="T306" s="106" t="n">
        <x:f>IF(Q306&gt;0,MIN('Your Mortgage'!$I$6,MAX(0,Q306+R306-S306)),0)</x:f>
        <x:v>0</x:v>
      </x:c>
      <x:c r="U306" s="106" t="n">
        <x:f>IF(AND(A306='Your Mortgage'!$I$8,Q306&gt;0),MIN('Your Mortgage'!$I$7,MAX(0,Q306+R306-S306-T306)),0)</x:f>
        <x:v>0</x:v>
      </x:c>
      <x:c r="V306" s="106" t="n">
        <x:f>S306+T306+U306</x:f>
        <x:v>0</x:v>
      </x:c>
      <x:c r="W306" s="106" t="n">
        <x:f>MAX(0,V306-R306)</x:f>
        <x:v>0</x:v>
      </x:c>
      <x:c r="X306" s="106" t="n">
        <x:f>MAX(0,Q306-W306)</x:f>
        <x:v>0</x:v>
      </x:c>
      <x:c r="Y306" s="1"/>
      <x:c r="Z306" s="1"/>
    </x:row>
    <x:row r="307">
      <x:c r="A307" s="100" t="n">
        <x:f>A306+1</x:f>
        <x:v>302</x:v>
      </x:c>
      <x:c r="B307" s="103" t="n">
        <x:f>EDATE(B306,1)</x:f>
        <x:v>55397</x:v>
      </x:c>
      <x:c r="C307" s="104" t="n">
        <x:f>H306</x:f>
        <x:v>103502.99356262056</x:v>
      </x:c>
      <x:c r="D307" s="104" t="n">
        <x:f>IF(C307&gt;0,C307*'Your Mortgage'!$C$7/12,0)</x:f>
        <x:v>560.6412151308614</x:v>
      </x:c>
      <x:c r="E307" s="104" t="n">
        <x:f>IF(C307&gt;0,MIN('Your Mortgage'!$C$11,C307+D307),0)</x:f>
        <x:v>2054.2210763521375</x:v>
      </x:c>
      <x:c r="F307" s="104" t="n">
        <x:f>E307</x:f>
        <x:v>2054.2210763521375</x:v>
      </x:c>
      <x:c r="G307" s="104" t="n">
        <x:f>MAX(0,F307-D307)</x:f>
        <x:v>1493.5798612212761</x:v>
      </x:c>
      <x:c r="H307" s="104" t="n">
        <x:f>MAX(0,C307-G307)</x:f>
        <x:v>102009.41370139927</x:v>
      </x:c>
      <x:c r="I307" s="105" t="n">
        <x:f>P306</x:f>
        <x:v>0</x:v>
      </x:c>
      <x:c r="J307" s="105" t="n">
        <x:f>IF(I307&gt;0,I307*'Your Mortgage'!$C$7/12,0)</x:f>
        <x:v>0</x:v>
      </x:c>
      <x:c r="K307" s="105" t="n">
        <x:f>IF(I307&gt;0,MIN('Your Mortgage'!$C$11,I307+J307),0)</x:f>
        <x:v>0</x:v>
      </x:c>
      <x:c r="L307" s="105" t="n">
        <x:f>IF(I307&gt;0,MIN('Your Mortgage'!$F$6,MAX(0,I307+J307-K307)),0)</x:f>
        <x:v>0</x:v>
      </x:c>
      <x:c r="M307" s="105" t="n">
        <x:f>IF(AND(A307='Your Mortgage'!$F$8,I307&gt;0),MIN('Your Mortgage'!$F$7,MAX(0,I307+J307-K307-L307)),0)</x:f>
        <x:v>0</x:v>
      </x:c>
      <x:c r="N307" s="105" t="n">
        <x:f>K307+L307+M307</x:f>
        <x:v>0</x:v>
      </x:c>
      <x:c r="O307" s="105" t="n">
        <x:f>MAX(0,N307-J307)</x:f>
        <x:v>0</x:v>
      </x:c>
      <x:c r="P307" s="105" t="n">
        <x:f>MAX(0,I307-O307)</x:f>
        <x:v>0</x:v>
      </x:c>
      <x:c r="Q307" s="106" t="n">
        <x:f>X306</x:f>
        <x:v>0</x:v>
      </x:c>
      <x:c r="R307" s="106" t="n">
        <x:f>IF(Q307&gt;0,Q307*'Your Mortgage'!$C$7/12,0)</x:f>
        <x:v>0</x:v>
      </x:c>
      <x:c r="S307" s="106" t="n">
        <x:f>IF(Q307&gt;0,MIN('Your Mortgage'!$C$11,Q307+R307),0)</x:f>
        <x:v>0</x:v>
      </x:c>
      <x:c r="T307" s="106" t="n">
        <x:f>IF(Q307&gt;0,MIN('Your Mortgage'!$I$6,MAX(0,Q307+R307-S307)),0)</x:f>
        <x:v>0</x:v>
      </x:c>
      <x:c r="U307" s="106" t="n">
        <x:f>IF(AND(A307='Your Mortgage'!$I$8,Q307&gt;0),MIN('Your Mortgage'!$I$7,MAX(0,Q307+R307-S307-T307)),0)</x:f>
        <x:v>0</x:v>
      </x:c>
      <x:c r="V307" s="106" t="n">
        <x:f>S307+T307+U307</x:f>
        <x:v>0</x:v>
      </x:c>
      <x:c r="W307" s="106" t="n">
        <x:f>MAX(0,V307-R307)</x:f>
        <x:v>0</x:v>
      </x:c>
      <x:c r="X307" s="106" t="n">
        <x:f>MAX(0,Q307-W307)</x:f>
        <x:v>0</x:v>
      </x:c>
      <x:c r="Y307" s="1"/>
      <x:c r="Z307" s="1"/>
    </x:row>
    <x:row r="308">
      <x:c r="A308" s="100" t="n">
        <x:f>A307+1</x:f>
        <x:v>303</x:v>
      </x:c>
      <x:c r="B308" s="103" t="n">
        <x:f>EDATE(B307,1)</x:f>
        <x:v>55427</x:v>
      </x:c>
      <x:c r="C308" s="104" t="n">
        <x:f>H307</x:f>
        <x:v>102009.41370139927</x:v>
      </x:c>
      <x:c r="D308" s="104" t="n">
        <x:f>IF(C308&gt;0,C308*'Your Mortgage'!$C$7/12,0)</x:f>
        <x:v>552.5509908825794</x:v>
      </x:c>
      <x:c r="E308" s="104" t="n">
        <x:f>IF(C308&gt;0,MIN('Your Mortgage'!$C$11,C308+D308),0)</x:f>
        <x:v>2054.2210763521375</x:v>
      </x:c>
      <x:c r="F308" s="104" t="n">
        <x:f>E308</x:f>
        <x:v>2054.2210763521375</x:v>
      </x:c>
      <x:c r="G308" s="104" t="n">
        <x:f>MAX(0,F308-D308)</x:f>
        <x:v>1501.6700854695582</x:v>
      </x:c>
      <x:c r="H308" s="104" t="n">
        <x:f>MAX(0,C308-G308)</x:f>
        <x:v>100507.74361592972</x:v>
      </x:c>
      <x:c r="I308" s="105" t="n">
        <x:f>P307</x:f>
        <x:v>0</x:v>
      </x:c>
      <x:c r="J308" s="105" t="n">
        <x:f>IF(I308&gt;0,I308*'Your Mortgage'!$C$7/12,0)</x:f>
        <x:v>0</x:v>
      </x:c>
      <x:c r="K308" s="105" t="n">
        <x:f>IF(I308&gt;0,MIN('Your Mortgage'!$C$11,I308+J308),0)</x:f>
        <x:v>0</x:v>
      </x:c>
      <x:c r="L308" s="105" t="n">
        <x:f>IF(I308&gt;0,MIN('Your Mortgage'!$F$6,MAX(0,I308+J308-K308)),0)</x:f>
        <x:v>0</x:v>
      </x:c>
      <x:c r="M308" s="105" t="n">
        <x:f>IF(AND(A308='Your Mortgage'!$F$8,I308&gt;0),MIN('Your Mortgage'!$F$7,MAX(0,I308+J308-K308-L308)),0)</x:f>
        <x:v>0</x:v>
      </x:c>
      <x:c r="N308" s="105" t="n">
        <x:f>K308+L308+M308</x:f>
        <x:v>0</x:v>
      </x:c>
      <x:c r="O308" s="105" t="n">
        <x:f>MAX(0,N308-J308)</x:f>
        <x:v>0</x:v>
      </x:c>
      <x:c r="P308" s="105" t="n">
        <x:f>MAX(0,I308-O308)</x:f>
        <x:v>0</x:v>
      </x:c>
      <x:c r="Q308" s="106" t="n">
        <x:f>X307</x:f>
        <x:v>0</x:v>
      </x:c>
      <x:c r="R308" s="106" t="n">
        <x:f>IF(Q308&gt;0,Q308*'Your Mortgage'!$C$7/12,0)</x:f>
        <x:v>0</x:v>
      </x:c>
      <x:c r="S308" s="106" t="n">
        <x:f>IF(Q308&gt;0,MIN('Your Mortgage'!$C$11,Q308+R308),0)</x:f>
        <x:v>0</x:v>
      </x:c>
      <x:c r="T308" s="106" t="n">
        <x:f>IF(Q308&gt;0,MIN('Your Mortgage'!$I$6,MAX(0,Q308+R308-S308)),0)</x:f>
        <x:v>0</x:v>
      </x:c>
      <x:c r="U308" s="106" t="n">
        <x:f>IF(AND(A308='Your Mortgage'!$I$8,Q308&gt;0),MIN('Your Mortgage'!$I$7,MAX(0,Q308+R308-S308-T308)),0)</x:f>
        <x:v>0</x:v>
      </x:c>
      <x:c r="V308" s="106" t="n">
        <x:f>S308+T308+U308</x:f>
        <x:v>0</x:v>
      </x:c>
      <x:c r="W308" s="106" t="n">
        <x:f>MAX(0,V308-R308)</x:f>
        <x:v>0</x:v>
      </x:c>
      <x:c r="X308" s="106" t="n">
        <x:f>MAX(0,Q308-W308)</x:f>
        <x:v>0</x:v>
      </x:c>
      <x:c r="Y308" s="1"/>
      <x:c r="Z308" s="1"/>
    </x:row>
    <x:row r="309">
      <x:c r="A309" s="100" t="n">
        <x:f>A308+1</x:f>
        <x:v>304</x:v>
      </x:c>
      <x:c r="B309" s="103" t="n">
        <x:f>EDATE(B308,1)</x:f>
        <x:v>55458</x:v>
      </x:c>
      <x:c r="C309" s="104" t="n">
        <x:f>H308</x:f>
        <x:v>100507.74361592972</x:v>
      </x:c>
      <x:c r="D309" s="104" t="n">
        <x:f>IF(C309&gt;0,C309*'Your Mortgage'!$C$7/12,0)</x:f>
        <x:v>544.416944586286</x:v>
      </x:c>
      <x:c r="E309" s="104" t="n">
        <x:f>IF(C309&gt;0,MIN('Your Mortgage'!$C$11,C309+D309),0)</x:f>
        <x:v>2054.2210763521375</x:v>
      </x:c>
      <x:c r="F309" s="104" t="n">
        <x:f>E309</x:f>
        <x:v>2054.2210763521375</x:v>
      </x:c>
      <x:c r="G309" s="104" t="n">
        <x:f>MAX(0,F309-D309)</x:f>
        <x:v>1509.8041317658515</x:v>
      </x:c>
      <x:c r="H309" s="104" t="n">
        <x:f>MAX(0,C309-G309)</x:f>
        <x:v>98997.93948416387</x:v>
      </x:c>
      <x:c r="I309" s="105" t="n">
        <x:f>P308</x:f>
        <x:v>0</x:v>
      </x:c>
      <x:c r="J309" s="105" t="n">
        <x:f>IF(I309&gt;0,I309*'Your Mortgage'!$C$7/12,0)</x:f>
        <x:v>0</x:v>
      </x:c>
      <x:c r="K309" s="105" t="n">
        <x:f>IF(I309&gt;0,MIN('Your Mortgage'!$C$11,I309+J309),0)</x:f>
        <x:v>0</x:v>
      </x:c>
      <x:c r="L309" s="105" t="n">
        <x:f>IF(I309&gt;0,MIN('Your Mortgage'!$F$6,MAX(0,I309+J309-K309)),0)</x:f>
        <x:v>0</x:v>
      </x:c>
      <x:c r="M309" s="105" t="n">
        <x:f>IF(AND(A309='Your Mortgage'!$F$8,I309&gt;0),MIN('Your Mortgage'!$F$7,MAX(0,I309+J309-K309-L309)),0)</x:f>
        <x:v>0</x:v>
      </x:c>
      <x:c r="N309" s="105" t="n">
        <x:f>K309+L309+M309</x:f>
        <x:v>0</x:v>
      </x:c>
      <x:c r="O309" s="105" t="n">
        <x:f>MAX(0,N309-J309)</x:f>
        <x:v>0</x:v>
      </x:c>
      <x:c r="P309" s="105" t="n">
        <x:f>MAX(0,I309-O309)</x:f>
        <x:v>0</x:v>
      </x:c>
      <x:c r="Q309" s="106" t="n">
        <x:f>X308</x:f>
        <x:v>0</x:v>
      </x:c>
      <x:c r="R309" s="106" t="n">
        <x:f>IF(Q309&gt;0,Q309*'Your Mortgage'!$C$7/12,0)</x:f>
        <x:v>0</x:v>
      </x:c>
      <x:c r="S309" s="106" t="n">
        <x:f>IF(Q309&gt;0,MIN('Your Mortgage'!$C$11,Q309+R309),0)</x:f>
        <x:v>0</x:v>
      </x:c>
      <x:c r="T309" s="106" t="n">
        <x:f>IF(Q309&gt;0,MIN('Your Mortgage'!$I$6,MAX(0,Q309+R309-S309)),0)</x:f>
        <x:v>0</x:v>
      </x:c>
      <x:c r="U309" s="106" t="n">
        <x:f>IF(AND(A309='Your Mortgage'!$I$8,Q309&gt;0),MIN('Your Mortgage'!$I$7,MAX(0,Q309+R309-S309-T309)),0)</x:f>
        <x:v>0</x:v>
      </x:c>
      <x:c r="V309" s="106" t="n">
        <x:f>S309+T309+U309</x:f>
        <x:v>0</x:v>
      </x:c>
      <x:c r="W309" s="106" t="n">
        <x:f>MAX(0,V309-R309)</x:f>
        <x:v>0</x:v>
      </x:c>
      <x:c r="X309" s="106" t="n">
        <x:f>MAX(0,Q309-W309)</x:f>
        <x:v>0</x:v>
      </x:c>
      <x:c r="Y309" s="1"/>
      <x:c r="Z309" s="1"/>
    </x:row>
    <x:row r="310">
      <x:c r="A310" s="100" t="n">
        <x:f>A309+1</x:f>
        <x:v>305</x:v>
      </x:c>
      <x:c r="B310" s="103" t="n">
        <x:f>EDATE(B309,1)</x:f>
        <x:v>55488</x:v>
      </x:c>
      <x:c r="C310" s="104" t="n">
        <x:f>H309</x:f>
        <x:v>98997.93948416387</x:v>
      </x:c>
      <x:c r="D310" s="104" t="n">
        <x:f>IF(C310&gt;0,C310*'Your Mortgage'!$C$7/12,0)</x:f>
        <x:v>536.2388388725543</x:v>
      </x:c>
      <x:c r="E310" s="104" t="n">
        <x:f>IF(C310&gt;0,MIN('Your Mortgage'!$C$11,C310+D310),0)</x:f>
        <x:v>2054.2210763521375</x:v>
      </x:c>
      <x:c r="F310" s="104" t="n">
        <x:f>E310</x:f>
        <x:v>2054.2210763521375</x:v>
      </x:c>
      <x:c r="G310" s="104" t="n">
        <x:f>MAX(0,F310-D310)</x:f>
        <x:v>1517.982237479583</x:v>
      </x:c>
      <x:c r="H310" s="104" t="n">
        <x:f>MAX(0,C310-G310)</x:f>
        <x:v>97479.9572466843</x:v>
      </x:c>
      <x:c r="I310" s="105" t="n">
        <x:f>P309</x:f>
        <x:v>0</x:v>
      </x:c>
      <x:c r="J310" s="105" t="n">
        <x:f>IF(I310&gt;0,I310*'Your Mortgage'!$C$7/12,0)</x:f>
        <x:v>0</x:v>
      </x:c>
      <x:c r="K310" s="105" t="n">
        <x:f>IF(I310&gt;0,MIN('Your Mortgage'!$C$11,I310+J310),0)</x:f>
        <x:v>0</x:v>
      </x:c>
      <x:c r="L310" s="105" t="n">
        <x:f>IF(I310&gt;0,MIN('Your Mortgage'!$F$6,MAX(0,I310+J310-K310)),0)</x:f>
        <x:v>0</x:v>
      </x:c>
      <x:c r="M310" s="105" t="n">
        <x:f>IF(AND(A310='Your Mortgage'!$F$8,I310&gt;0),MIN('Your Mortgage'!$F$7,MAX(0,I310+J310-K310-L310)),0)</x:f>
        <x:v>0</x:v>
      </x:c>
      <x:c r="N310" s="105" t="n">
        <x:f>K310+L310+M310</x:f>
        <x:v>0</x:v>
      </x:c>
      <x:c r="O310" s="105" t="n">
        <x:f>MAX(0,N310-J310)</x:f>
        <x:v>0</x:v>
      </x:c>
      <x:c r="P310" s="105" t="n">
        <x:f>MAX(0,I310-O310)</x:f>
        <x:v>0</x:v>
      </x:c>
      <x:c r="Q310" s="106" t="n">
        <x:f>X309</x:f>
        <x:v>0</x:v>
      </x:c>
      <x:c r="R310" s="106" t="n">
        <x:f>IF(Q310&gt;0,Q310*'Your Mortgage'!$C$7/12,0)</x:f>
        <x:v>0</x:v>
      </x:c>
      <x:c r="S310" s="106" t="n">
        <x:f>IF(Q310&gt;0,MIN('Your Mortgage'!$C$11,Q310+R310),0)</x:f>
        <x:v>0</x:v>
      </x:c>
      <x:c r="T310" s="106" t="n">
        <x:f>IF(Q310&gt;0,MIN('Your Mortgage'!$I$6,MAX(0,Q310+R310-S310)),0)</x:f>
        <x:v>0</x:v>
      </x:c>
      <x:c r="U310" s="106" t="n">
        <x:f>IF(AND(A310='Your Mortgage'!$I$8,Q310&gt;0),MIN('Your Mortgage'!$I$7,MAX(0,Q310+R310-S310-T310)),0)</x:f>
        <x:v>0</x:v>
      </x:c>
      <x:c r="V310" s="106" t="n">
        <x:f>S310+T310+U310</x:f>
        <x:v>0</x:v>
      </x:c>
      <x:c r="W310" s="106" t="n">
        <x:f>MAX(0,V310-R310)</x:f>
        <x:v>0</x:v>
      </x:c>
      <x:c r="X310" s="106" t="n">
        <x:f>MAX(0,Q310-W310)</x:f>
        <x:v>0</x:v>
      </x:c>
      <x:c r="Y310" s="1"/>
      <x:c r="Z310" s="1"/>
    </x:row>
    <x:row r="311">
      <x:c r="A311" s="100" t="n">
        <x:f>A310+1</x:f>
        <x:v>306</x:v>
      </x:c>
      <x:c r="B311" s="103" t="n">
        <x:f>EDATE(B310,1)</x:f>
        <x:v>55519</x:v>
      </x:c>
      <x:c r="C311" s="104" t="n">
        <x:f>H310</x:f>
        <x:v>97479.9572466843</x:v>
      </x:c>
      <x:c r="D311" s="104" t="n">
        <x:f>IF(C311&gt;0,C311*'Your Mortgage'!$C$7/12,0)</x:f>
        <x:v>528.0164350862066</x:v>
      </x:c>
      <x:c r="E311" s="104" t="n">
        <x:f>IF(C311&gt;0,MIN('Your Mortgage'!$C$11,C311+D311),0)</x:f>
        <x:v>2054.2210763521375</x:v>
      </x:c>
      <x:c r="F311" s="104" t="n">
        <x:f>E311</x:f>
        <x:v>2054.2210763521375</x:v>
      </x:c>
      <x:c r="G311" s="104" t="n">
        <x:f>MAX(0,F311-D311)</x:f>
        <x:v>1526.204641265931</x:v>
      </x:c>
      <x:c r="H311" s="104" t="n">
        <x:f>MAX(0,C311-G311)</x:f>
        <x:v>95953.75260541837</x:v>
      </x:c>
      <x:c r="I311" s="105" t="n">
        <x:f>P310</x:f>
        <x:v>0</x:v>
      </x:c>
      <x:c r="J311" s="105" t="n">
        <x:f>IF(I311&gt;0,I311*'Your Mortgage'!$C$7/12,0)</x:f>
        <x:v>0</x:v>
      </x:c>
      <x:c r="K311" s="105" t="n">
        <x:f>IF(I311&gt;0,MIN('Your Mortgage'!$C$11,I311+J311),0)</x:f>
        <x:v>0</x:v>
      </x:c>
      <x:c r="L311" s="105" t="n">
        <x:f>IF(I311&gt;0,MIN('Your Mortgage'!$F$6,MAX(0,I311+J311-K311)),0)</x:f>
        <x:v>0</x:v>
      </x:c>
      <x:c r="M311" s="105" t="n">
        <x:f>IF(AND(A311='Your Mortgage'!$F$8,I311&gt;0),MIN('Your Mortgage'!$F$7,MAX(0,I311+J311-K311-L311)),0)</x:f>
        <x:v>0</x:v>
      </x:c>
      <x:c r="N311" s="105" t="n">
        <x:f>K311+L311+M311</x:f>
        <x:v>0</x:v>
      </x:c>
      <x:c r="O311" s="105" t="n">
        <x:f>MAX(0,N311-J311)</x:f>
        <x:v>0</x:v>
      </x:c>
      <x:c r="P311" s="105" t="n">
        <x:f>MAX(0,I311-O311)</x:f>
        <x:v>0</x:v>
      </x:c>
      <x:c r="Q311" s="106" t="n">
        <x:f>X310</x:f>
        <x:v>0</x:v>
      </x:c>
      <x:c r="R311" s="106" t="n">
        <x:f>IF(Q311&gt;0,Q311*'Your Mortgage'!$C$7/12,0)</x:f>
        <x:v>0</x:v>
      </x:c>
      <x:c r="S311" s="106" t="n">
        <x:f>IF(Q311&gt;0,MIN('Your Mortgage'!$C$11,Q311+R311),0)</x:f>
        <x:v>0</x:v>
      </x:c>
      <x:c r="T311" s="106" t="n">
        <x:f>IF(Q311&gt;0,MIN('Your Mortgage'!$I$6,MAX(0,Q311+R311-S311)),0)</x:f>
        <x:v>0</x:v>
      </x:c>
      <x:c r="U311" s="106" t="n">
        <x:f>IF(AND(A311='Your Mortgage'!$I$8,Q311&gt;0),MIN('Your Mortgage'!$I$7,MAX(0,Q311+R311-S311-T311)),0)</x:f>
        <x:v>0</x:v>
      </x:c>
      <x:c r="V311" s="106" t="n">
        <x:f>S311+T311+U311</x:f>
        <x:v>0</x:v>
      </x:c>
      <x:c r="W311" s="106" t="n">
        <x:f>MAX(0,V311-R311)</x:f>
        <x:v>0</x:v>
      </x:c>
      <x:c r="X311" s="106" t="n">
        <x:f>MAX(0,Q311-W311)</x:f>
        <x:v>0</x:v>
      </x:c>
      <x:c r="Y311" s="1"/>
      <x:c r="Z311" s="1"/>
    </x:row>
    <x:row r="312">
      <x:c r="A312" s="100" t="n">
        <x:f>A311+1</x:f>
        <x:v>307</x:v>
      </x:c>
      <x:c r="B312" s="103" t="n">
        <x:f>EDATE(B311,1)</x:f>
        <x:v>55550</x:v>
      </x:c>
      <x:c r="C312" s="104" t="n">
        <x:f>H311</x:f>
        <x:v>95953.75260541837</x:v>
      </x:c>
      <x:c r="D312" s="104" t="n">
        <x:f>IF(C312&gt;0,C312*'Your Mortgage'!$C$7/12,0)</x:f>
        <x:v>519.7494932793495</x:v>
      </x:c>
      <x:c r="E312" s="104" t="n">
        <x:f>IF(C312&gt;0,MIN('Your Mortgage'!$C$11,C312+D312),0)</x:f>
        <x:v>2054.2210763521375</x:v>
      </x:c>
      <x:c r="F312" s="104" t="n">
        <x:f>E312</x:f>
        <x:v>2054.2210763521375</x:v>
      </x:c>
      <x:c r="G312" s="104" t="n">
        <x:f>MAX(0,F312-D312)</x:f>
        <x:v>1534.471583072788</x:v>
      </x:c>
      <x:c r="H312" s="104" t="n">
        <x:f>MAX(0,C312-G312)</x:f>
        <x:v>94419.28102234557</x:v>
      </x:c>
      <x:c r="I312" s="105" t="n">
        <x:f>P311</x:f>
        <x:v>0</x:v>
      </x:c>
      <x:c r="J312" s="105" t="n">
        <x:f>IF(I312&gt;0,I312*'Your Mortgage'!$C$7/12,0)</x:f>
        <x:v>0</x:v>
      </x:c>
      <x:c r="K312" s="105" t="n">
        <x:f>IF(I312&gt;0,MIN('Your Mortgage'!$C$11,I312+J312),0)</x:f>
        <x:v>0</x:v>
      </x:c>
      <x:c r="L312" s="105" t="n">
        <x:f>IF(I312&gt;0,MIN('Your Mortgage'!$F$6,MAX(0,I312+J312-K312)),0)</x:f>
        <x:v>0</x:v>
      </x:c>
      <x:c r="M312" s="105" t="n">
        <x:f>IF(AND(A312='Your Mortgage'!$F$8,I312&gt;0),MIN('Your Mortgage'!$F$7,MAX(0,I312+J312-K312-L312)),0)</x:f>
        <x:v>0</x:v>
      </x:c>
      <x:c r="N312" s="105" t="n">
        <x:f>K312+L312+M312</x:f>
        <x:v>0</x:v>
      </x:c>
      <x:c r="O312" s="105" t="n">
        <x:f>MAX(0,N312-J312)</x:f>
        <x:v>0</x:v>
      </x:c>
      <x:c r="P312" s="105" t="n">
        <x:f>MAX(0,I312-O312)</x:f>
        <x:v>0</x:v>
      </x:c>
      <x:c r="Q312" s="106" t="n">
        <x:f>X311</x:f>
        <x:v>0</x:v>
      </x:c>
      <x:c r="R312" s="106" t="n">
        <x:f>IF(Q312&gt;0,Q312*'Your Mortgage'!$C$7/12,0)</x:f>
        <x:v>0</x:v>
      </x:c>
      <x:c r="S312" s="106" t="n">
        <x:f>IF(Q312&gt;0,MIN('Your Mortgage'!$C$11,Q312+R312),0)</x:f>
        <x:v>0</x:v>
      </x:c>
      <x:c r="T312" s="106" t="n">
        <x:f>IF(Q312&gt;0,MIN('Your Mortgage'!$I$6,MAX(0,Q312+R312-S312)),0)</x:f>
        <x:v>0</x:v>
      </x:c>
      <x:c r="U312" s="106" t="n">
        <x:f>IF(AND(A312='Your Mortgage'!$I$8,Q312&gt;0),MIN('Your Mortgage'!$I$7,MAX(0,Q312+R312-S312-T312)),0)</x:f>
        <x:v>0</x:v>
      </x:c>
      <x:c r="V312" s="106" t="n">
        <x:f>S312+T312+U312</x:f>
        <x:v>0</x:v>
      </x:c>
      <x:c r="W312" s="106" t="n">
        <x:f>MAX(0,V312-R312)</x:f>
        <x:v>0</x:v>
      </x:c>
      <x:c r="X312" s="106" t="n">
        <x:f>MAX(0,Q312-W312)</x:f>
        <x:v>0</x:v>
      </x:c>
      <x:c r="Y312" s="1"/>
      <x:c r="Z312" s="1"/>
    </x:row>
    <x:row r="313">
      <x:c r="A313" s="100" t="n">
        <x:f>A312+1</x:f>
        <x:v>308</x:v>
      </x:c>
      <x:c r="B313" s="103" t="n">
        <x:f>EDATE(B312,1)</x:f>
        <x:v>55579</x:v>
      </x:c>
      <x:c r="C313" s="104" t="n">
        <x:f>H312</x:f>
        <x:v>94419.28102234557</x:v>
      </x:c>
      <x:c r="D313" s="104" t="n">
        <x:f>IF(C313&gt;0,C313*'Your Mortgage'!$C$7/12,0)</x:f>
        <x:v>511.43777220437187</x:v>
      </x:c>
      <x:c r="E313" s="104" t="n">
        <x:f>IF(C313&gt;0,MIN('Your Mortgage'!$C$11,C313+D313),0)</x:f>
        <x:v>2054.2210763521375</x:v>
      </x:c>
      <x:c r="F313" s="104" t="n">
        <x:f>E313</x:f>
        <x:v>2054.2210763521375</x:v>
      </x:c>
      <x:c r="G313" s="104" t="n">
        <x:f>MAX(0,F313-D313)</x:f>
        <x:v>1542.7833041477656</x:v>
      </x:c>
      <x:c r="H313" s="104" t="n">
        <x:f>MAX(0,C313-G313)</x:f>
        <x:v>92876.4977181978</x:v>
      </x:c>
      <x:c r="I313" s="105" t="n">
        <x:f>P312</x:f>
        <x:v>0</x:v>
      </x:c>
      <x:c r="J313" s="105" t="n">
        <x:f>IF(I313&gt;0,I313*'Your Mortgage'!$C$7/12,0)</x:f>
        <x:v>0</x:v>
      </x:c>
      <x:c r="K313" s="105" t="n">
        <x:f>IF(I313&gt;0,MIN('Your Mortgage'!$C$11,I313+J313),0)</x:f>
        <x:v>0</x:v>
      </x:c>
      <x:c r="L313" s="105" t="n">
        <x:f>IF(I313&gt;0,MIN('Your Mortgage'!$F$6,MAX(0,I313+J313-K313)),0)</x:f>
        <x:v>0</x:v>
      </x:c>
      <x:c r="M313" s="105" t="n">
        <x:f>IF(AND(A313='Your Mortgage'!$F$8,I313&gt;0),MIN('Your Mortgage'!$F$7,MAX(0,I313+J313-K313-L313)),0)</x:f>
        <x:v>0</x:v>
      </x:c>
      <x:c r="N313" s="105" t="n">
        <x:f>K313+L313+M313</x:f>
        <x:v>0</x:v>
      </x:c>
      <x:c r="O313" s="105" t="n">
        <x:f>MAX(0,N313-J313)</x:f>
        <x:v>0</x:v>
      </x:c>
      <x:c r="P313" s="105" t="n">
        <x:f>MAX(0,I313-O313)</x:f>
        <x:v>0</x:v>
      </x:c>
      <x:c r="Q313" s="106" t="n">
        <x:f>X312</x:f>
        <x:v>0</x:v>
      </x:c>
      <x:c r="R313" s="106" t="n">
        <x:f>IF(Q313&gt;0,Q313*'Your Mortgage'!$C$7/12,0)</x:f>
        <x:v>0</x:v>
      </x:c>
      <x:c r="S313" s="106" t="n">
        <x:f>IF(Q313&gt;0,MIN('Your Mortgage'!$C$11,Q313+R313),0)</x:f>
        <x:v>0</x:v>
      </x:c>
      <x:c r="T313" s="106" t="n">
        <x:f>IF(Q313&gt;0,MIN('Your Mortgage'!$I$6,MAX(0,Q313+R313-S313)),0)</x:f>
        <x:v>0</x:v>
      </x:c>
      <x:c r="U313" s="106" t="n">
        <x:f>IF(AND(A313='Your Mortgage'!$I$8,Q313&gt;0),MIN('Your Mortgage'!$I$7,MAX(0,Q313+R313-S313-T313)),0)</x:f>
        <x:v>0</x:v>
      </x:c>
      <x:c r="V313" s="106" t="n">
        <x:f>S313+T313+U313</x:f>
        <x:v>0</x:v>
      </x:c>
      <x:c r="W313" s="106" t="n">
        <x:f>MAX(0,V313-R313)</x:f>
        <x:v>0</x:v>
      </x:c>
      <x:c r="X313" s="106" t="n">
        <x:f>MAX(0,Q313-W313)</x:f>
        <x:v>0</x:v>
      </x:c>
      <x:c r="Y313" s="1"/>
      <x:c r="Z313" s="1"/>
    </x:row>
    <x:row r="314">
      <x:c r="A314" s="100" t="n">
        <x:f>A313+1</x:f>
        <x:v>309</x:v>
      </x:c>
      <x:c r="B314" s="103" t="n">
        <x:f>EDATE(B313,1)</x:f>
        <x:v>55610</x:v>
      </x:c>
      <x:c r="C314" s="104" t="n">
        <x:f>H313</x:f>
        <x:v>92876.4977181978</x:v>
      </x:c>
      <x:c r="D314" s="104" t="n">
        <x:f>IF(C314&gt;0,C314*'Your Mortgage'!$C$7/12,0)</x:f>
        <x:v>503.0810293069048</x:v>
      </x:c>
      <x:c r="E314" s="104" t="n">
        <x:f>IF(C314&gt;0,MIN('Your Mortgage'!$C$11,C314+D314),0)</x:f>
        <x:v>2054.2210763521375</x:v>
      </x:c>
      <x:c r="F314" s="104" t="n">
        <x:f>E314</x:f>
        <x:v>2054.2210763521375</x:v>
      </x:c>
      <x:c r="G314" s="104" t="n">
        <x:f>MAX(0,F314-D314)</x:f>
        <x:v>1551.1400470452327</x:v>
      </x:c>
      <x:c r="H314" s="104" t="n">
        <x:f>MAX(0,C314-G314)</x:f>
        <x:v>91325.35767115257</x:v>
      </x:c>
      <x:c r="I314" s="105" t="n">
        <x:f>P313</x:f>
        <x:v>0</x:v>
      </x:c>
      <x:c r="J314" s="105" t="n">
        <x:f>IF(I314&gt;0,I314*'Your Mortgage'!$C$7/12,0)</x:f>
        <x:v>0</x:v>
      </x:c>
      <x:c r="K314" s="105" t="n">
        <x:f>IF(I314&gt;0,MIN('Your Mortgage'!$C$11,I314+J314),0)</x:f>
        <x:v>0</x:v>
      </x:c>
      <x:c r="L314" s="105" t="n">
        <x:f>IF(I314&gt;0,MIN('Your Mortgage'!$F$6,MAX(0,I314+J314-K314)),0)</x:f>
        <x:v>0</x:v>
      </x:c>
      <x:c r="M314" s="105" t="n">
        <x:f>IF(AND(A314='Your Mortgage'!$F$8,I314&gt;0),MIN('Your Mortgage'!$F$7,MAX(0,I314+J314-K314-L314)),0)</x:f>
        <x:v>0</x:v>
      </x:c>
      <x:c r="N314" s="105" t="n">
        <x:f>K314+L314+M314</x:f>
        <x:v>0</x:v>
      </x:c>
      <x:c r="O314" s="105" t="n">
        <x:f>MAX(0,N314-J314)</x:f>
        <x:v>0</x:v>
      </x:c>
      <x:c r="P314" s="105" t="n">
        <x:f>MAX(0,I314-O314)</x:f>
        <x:v>0</x:v>
      </x:c>
      <x:c r="Q314" s="106" t="n">
        <x:f>X313</x:f>
        <x:v>0</x:v>
      </x:c>
      <x:c r="R314" s="106" t="n">
        <x:f>IF(Q314&gt;0,Q314*'Your Mortgage'!$C$7/12,0)</x:f>
        <x:v>0</x:v>
      </x:c>
      <x:c r="S314" s="106" t="n">
        <x:f>IF(Q314&gt;0,MIN('Your Mortgage'!$C$11,Q314+R314),0)</x:f>
        <x:v>0</x:v>
      </x:c>
      <x:c r="T314" s="106" t="n">
        <x:f>IF(Q314&gt;0,MIN('Your Mortgage'!$I$6,MAX(0,Q314+R314-S314)),0)</x:f>
        <x:v>0</x:v>
      </x:c>
      <x:c r="U314" s="106" t="n">
        <x:f>IF(AND(A314='Your Mortgage'!$I$8,Q314&gt;0),MIN('Your Mortgage'!$I$7,MAX(0,Q314+R314-S314-T314)),0)</x:f>
        <x:v>0</x:v>
      </x:c>
      <x:c r="V314" s="106" t="n">
        <x:f>S314+T314+U314</x:f>
        <x:v>0</x:v>
      </x:c>
      <x:c r="W314" s="106" t="n">
        <x:f>MAX(0,V314-R314)</x:f>
        <x:v>0</x:v>
      </x:c>
      <x:c r="X314" s="106" t="n">
        <x:f>MAX(0,Q314-W314)</x:f>
        <x:v>0</x:v>
      </x:c>
      <x:c r="Y314" s="1"/>
      <x:c r="Z314" s="1"/>
    </x:row>
    <x:row r="315">
      <x:c r="A315" s="100" t="n">
        <x:f>A314+1</x:f>
        <x:v>310</x:v>
      </x:c>
      <x:c r="B315" s="103" t="n">
        <x:f>EDATE(B314,1)</x:f>
        <x:v>55640</x:v>
      </x:c>
      <x:c r="C315" s="104" t="n">
        <x:f>H314</x:f>
        <x:v>91325.35767115257</x:v>
      </x:c>
      <x:c r="D315" s="104" t="n">
        <x:f>IF(C315&gt;0,C315*'Your Mortgage'!$C$7/12,0)</x:f>
        <x:v>494.67902071874306</x:v>
      </x:c>
      <x:c r="E315" s="104" t="n">
        <x:f>IF(C315&gt;0,MIN('Your Mortgage'!$C$11,C315+D315),0)</x:f>
        <x:v>2054.2210763521375</x:v>
      </x:c>
      <x:c r="F315" s="104" t="n">
        <x:f>E315</x:f>
        <x:v>2054.2210763521375</x:v>
      </x:c>
      <x:c r="G315" s="104" t="n">
        <x:f>MAX(0,F315-D315)</x:f>
        <x:v>1559.5420556333945</x:v>
      </x:c>
      <x:c r="H315" s="104" t="n">
        <x:f>MAX(0,C315-G315)</x:f>
        <x:v>89765.81561551917</x:v>
      </x:c>
      <x:c r="I315" s="105" t="n">
        <x:f>P314</x:f>
        <x:v>0</x:v>
      </x:c>
      <x:c r="J315" s="105" t="n">
        <x:f>IF(I315&gt;0,I315*'Your Mortgage'!$C$7/12,0)</x:f>
        <x:v>0</x:v>
      </x:c>
      <x:c r="K315" s="105" t="n">
        <x:f>IF(I315&gt;0,MIN('Your Mortgage'!$C$11,I315+J315),0)</x:f>
        <x:v>0</x:v>
      </x:c>
      <x:c r="L315" s="105" t="n">
        <x:f>IF(I315&gt;0,MIN('Your Mortgage'!$F$6,MAX(0,I315+J315-K315)),0)</x:f>
        <x:v>0</x:v>
      </x:c>
      <x:c r="M315" s="105" t="n">
        <x:f>IF(AND(A315='Your Mortgage'!$F$8,I315&gt;0),MIN('Your Mortgage'!$F$7,MAX(0,I315+J315-K315-L315)),0)</x:f>
        <x:v>0</x:v>
      </x:c>
      <x:c r="N315" s="105" t="n">
        <x:f>K315+L315+M315</x:f>
        <x:v>0</x:v>
      </x:c>
      <x:c r="O315" s="105" t="n">
        <x:f>MAX(0,N315-J315)</x:f>
        <x:v>0</x:v>
      </x:c>
      <x:c r="P315" s="105" t="n">
        <x:f>MAX(0,I315-O315)</x:f>
        <x:v>0</x:v>
      </x:c>
      <x:c r="Q315" s="106" t="n">
        <x:f>X314</x:f>
        <x:v>0</x:v>
      </x:c>
      <x:c r="R315" s="106" t="n">
        <x:f>IF(Q315&gt;0,Q315*'Your Mortgage'!$C$7/12,0)</x:f>
        <x:v>0</x:v>
      </x:c>
      <x:c r="S315" s="106" t="n">
        <x:f>IF(Q315&gt;0,MIN('Your Mortgage'!$C$11,Q315+R315),0)</x:f>
        <x:v>0</x:v>
      </x:c>
      <x:c r="T315" s="106" t="n">
        <x:f>IF(Q315&gt;0,MIN('Your Mortgage'!$I$6,MAX(0,Q315+R315-S315)),0)</x:f>
        <x:v>0</x:v>
      </x:c>
      <x:c r="U315" s="106" t="n">
        <x:f>IF(AND(A315='Your Mortgage'!$I$8,Q315&gt;0),MIN('Your Mortgage'!$I$7,MAX(0,Q315+R315-S315-T315)),0)</x:f>
        <x:v>0</x:v>
      </x:c>
      <x:c r="V315" s="106" t="n">
        <x:f>S315+T315+U315</x:f>
        <x:v>0</x:v>
      </x:c>
      <x:c r="W315" s="106" t="n">
        <x:f>MAX(0,V315-R315)</x:f>
        <x:v>0</x:v>
      </x:c>
      <x:c r="X315" s="106" t="n">
        <x:f>MAX(0,Q315-W315)</x:f>
        <x:v>0</x:v>
      </x:c>
      <x:c r="Y315" s="1"/>
      <x:c r="Z315" s="1"/>
    </x:row>
    <x:row r="316">
      <x:c r="A316" s="100" t="n">
        <x:f>A315+1</x:f>
        <x:v>311</x:v>
      </x:c>
      <x:c r="B316" s="103" t="n">
        <x:f>EDATE(B315,1)</x:f>
        <x:v>55671</x:v>
      </x:c>
      <x:c r="C316" s="104" t="n">
        <x:f>H315</x:f>
        <x:v>89765.81561551917</x:v>
      </x:c>
      <x:c r="D316" s="104" t="n">
        <x:f>IF(C316&gt;0,C316*'Your Mortgage'!$C$7/12,0)</x:f>
        <x:v>486.23150125072885</x:v>
      </x:c>
      <x:c r="E316" s="104" t="n">
        <x:f>IF(C316&gt;0,MIN('Your Mortgage'!$C$11,C316+D316),0)</x:f>
        <x:v>2054.2210763521375</x:v>
      </x:c>
      <x:c r="F316" s="104" t="n">
        <x:f>E316</x:f>
        <x:v>2054.2210763521375</x:v>
      </x:c>
      <x:c r="G316" s="104" t="n">
        <x:f>MAX(0,F316-D316)</x:f>
        <x:v>1567.9895751014087</x:v>
      </x:c>
      <x:c r="H316" s="104" t="n">
        <x:f>MAX(0,C316-G316)</x:f>
        <x:v>88197.82604041776</x:v>
      </x:c>
      <x:c r="I316" s="105" t="n">
        <x:f>P315</x:f>
        <x:v>0</x:v>
      </x:c>
      <x:c r="J316" s="105" t="n">
        <x:f>IF(I316&gt;0,I316*'Your Mortgage'!$C$7/12,0)</x:f>
        <x:v>0</x:v>
      </x:c>
      <x:c r="K316" s="105" t="n">
        <x:f>IF(I316&gt;0,MIN('Your Mortgage'!$C$11,I316+J316),0)</x:f>
        <x:v>0</x:v>
      </x:c>
      <x:c r="L316" s="105" t="n">
        <x:f>IF(I316&gt;0,MIN('Your Mortgage'!$F$6,MAX(0,I316+J316-K316)),0)</x:f>
        <x:v>0</x:v>
      </x:c>
      <x:c r="M316" s="105" t="n">
        <x:f>IF(AND(A316='Your Mortgage'!$F$8,I316&gt;0),MIN('Your Mortgage'!$F$7,MAX(0,I316+J316-K316-L316)),0)</x:f>
        <x:v>0</x:v>
      </x:c>
      <x:c r="N316" s="105" t="n">
        <x:f>K316+L316+M316</x:f>
        <x:v>0</x:v>
      </x:c>
      <x:c r="O316" s="105" t="n">
        <x:f>MAX(0,N316-J316)</x:f>
        <x:v>0</x:v>
      </x:c>
      <x:c r="P316" s="105" t="n">
        <x:f>MAX(0,I316-O316)</x:f>
        <x:v>0</x:v>
      </x:c>
      <x:c r="Q316" s="106" t="n">
        <x:f>X315</x:f>
        <x:v>0</x:v>
      </x:c>
      <x:c r="R316" s="106" t="n">
        <x:f>IF(Q316&gt;0,Q316*'Your Mortgage'!$C$7/12,0)</x:f>
        <x:v>0</x:v>
      </x:c>
      <x:c r="S316" s="106" t="n">
        <x:f>IF(Q316&gt;0,MIN('Your Mortgage'!$C$11,Q316+R316),0)</x:f>
        <x:v>0</x:v>
      </x:c>
      <x:c r="T316" s="106" t="n">
        <x:f>IF(Q316&gt;0,MIN('Your Mortgage'!$I$6,MAX(0,Q316+R316-S316)),0)</x:f>
        <x:v>0</x:v>
      </x:c>
      <x:c r="U316" s="106" t="n">
        <x:f>IF(AND(A316='Your Mortgage'!$I$8,Q316&gt;0),MIN('Your Mortgage'!$I$7,MAX(0,Q316+R316-S316-T316)),0)</x:f>
        <x:v>0</x:v>
      </x:c>
      <x:c r="V316" s="106" t="n">
        <x:f>S316+T316+U316</x:f>
        <x:v>0</x:v>
      </x:c>
      <x:c r="W316" s="106" t="n">
        <x:f>MAX(0,V316-R316)</x:f>
        <x:v>0</x:v>
      </x:c>
      <x:c r="X316" s="106" t="n">
        <x:f>MAX(0,Q316-W316)</x:f>
        <x:v>0</x:v>
      </x:c>
      <x:c r="Y316" s="1"/>
      <x:c r="Z316" s="1"/>
    </x:row>
    <x:row r="317">
      <x:c r="A317" s="100" t="n">
        <x:f>A316+1</x:f>
        <x:v>312</x:v>
      </x:c>
      <x:c r="B317" s="103" t="n">
        <x:f>EDATE(B316,1)</x:f>
        <x:v>55701</x:v>
      </x:c>
      <x:c r="C317" s="104" t="n">
        <x:f>H316</x:f>
        <x:v>88197.82604041776</x:v>
      </x:c>
      <x:c r="D317" s="104" t="n">
        <x:f>IF(C317&gt;0,C317*'Your Mortgage'!$C$7/12,0)</x:f>
        <x:v>477.7382243855962</x:v>
      </x:c>
      <x:c r="E317" s="104" t="n">
        <x:f>IF(C317&gt;0,MIN('Your Mortgage'!$C$11,C317+D317),0)</x:f>
        <x:v>2054.2210763521375</x:v>
      </x:c>
      <x:c r="F317" s="104" t="n">
        <x:f>E317</x:f>
        <x:v>2054.2210763521375</x:v>
      </x:c>
      <x:c r="G317" s="104" t="n">
        <x:f>MAX(0,F317-D317)</x:f>
        <x:v>1576.4828519665414</x:v>
      </x:c>
      <x:c r="H317" s="104" t="n">
        <x:f>MAX(0,C317-G317)</x:f>
        <x:v>86621.34318845121</x:v>
      </x:c>
      <x:c r="I317" s="105" t="n">
        <x:f>P316</x:f>
        <x:v>0</x:v>
      </x:c>
      <x:c r="J317" s="105" t="n">
        <x:f>IF(I317&gt;0,I317*'Your Mortgage'!$C$7/12,0)</x:f>
        <x:v>0</x:v>
      </x:c>
      <x:c r="K317" s="105" t="n">
        <x:f>IF(I317&gt;0,MIN('Your Mortgage'!$C$11,I317+J317),0)</x:f>
        <x:v>0</x:v>
      </x:c>
      <x:c r="L317" s="105" t="n">
        <x:f>IF(I317&gt;0,MIN('Your Mortgage'!$F$6,MAX(0,I317+J317-K317)),0)</x:f>
        <x:v>0</x:v>
      </x:c>
      <x:c r="M317" s="105" t="n">
        <x:f>IF(AND(A317='Your Mortgage'!$F$8,I317&gt;0),MIN('Your Mortgage'!$F$7,MAX(0,I317+J317-K317-L317)),0)</x:f>
        <x:v>0</x:v>
      </x:c>
      <x:c r="N317" s="105" t="n">
        <x:f>K317+L317+M317</x:f>
        <x:v>0</x:v>
      </x:c>
      <x:c r="O317" s="105" t="n">
        <x:f>MAX(0,N317-J317)</x:f>
        <x:v>0</x:v>
      </x:c>
      <x:c r="P317" s="105" t="n">
        <x:f>MAX(0,I317-O317)</x:f>
        <x:v>0</x:v>
      </x:c>
      <x:c r="Q317" s="106" t="n">
        <x:f>X316</x:f>
        <x:v>0</x:v>
      </x:c>
      <x:c r="R317" s="106" t="n">
        <x:f>IF(Q317&gt;0,Q317*'Your Mortgage'!$C$7/12,0)</x:f>
        <x:v>0</x:v>
      </x:c>
      <x:c r="S317" s="106" t="n">
        <x:f>IF(Q317&gt;0,MIN('Your Mortgage'!$C$11,Q317+R317),0)</x:f>
        <x:v>0</x:v>
      </x:c>
      <x:c r="T317" s="106" t="n">
        <x:f>IF(Q317&gt;0,MIN('Your Mortgage'!$I$6,MAX(0,Q317+R317-S317)),0)</x:f>
        <x:v>0</x:v>
      </x:c>
      <x:c r="U317" s="106" t="n">
        <x:f>IF(AND(A317='Your Mortgage'!$I$8,Q317&gt;0),MIN('Your Mortgage'!$I$7,MAX(0,Q317+R317-S317-T317)),0)</x:f>
        <x:v>0</x:v>
      </x:c>
      <x:c r="V317" s="106" t="n">
        <x:f>S317+T317+U317</x:f>
        <x:v>0</x:v>
      </x:c>
      <x:c r="W317" s="106" t="n">
        <x:f>MAX(0,V317-R317)</x:f>
        <x:v>0</x:v>
      </x:c>
      <x:c r="X317" s="106" t="n">
        <x:f>MAX(0,Q317-W317)</x:f>
        <x:v>0</x:v>
      </x:c>
      <x:c r="Y317" s="1"/>
      <x:c r="Z317" s="1"/>
    </x:row>
    <x:row r="318">
      <x:c r="A318" s="100" t="n">
        <x:f>A317+1</x:f>
        <x:v>313</x:v>
      </x:c>
      <x:c r="B318" s="103" t="n">
        <x:f>EDATE(B317,1)</x:f>
        <x:v>55732</x:v>
      </x:c>
      <x:c r="C318" s="104" t="n">
        <x:f>H317</x:f>
        <x:v>86621.34318845121</x:v>
      </x:c>
      <x:c r="D318" s="104" t="n">
        <x:f>IF(C318&gt;0,C318*'Your Mortgage'!$C$7/12,0)</x:f>
        <x:v>469.1989422707774</x:v>
      </x:c>
      <x:c r="E318" s="104" t="n">
        <x:f>IF(C318&gt;0,MIN('Your Mortgage'!$C$11,C318+D318),0)</x:f>
        <x:v>2054.2210763521375</x:v>
      </x:c>
      <x:c r="F318" s="104" t="n">
        <x:f>E318</x:f>
        <x:v>2054.2210763521375</x:v>
      </x:c>
      <x:c r="G318" s="104" t="n">
        <x:f>MAX(0,F318-D318)</x:f>
        <x:v>1585.02213408136</x:v>
      </x:c>
      <x:c r="H318" s="104" t="n">
        <x:f>MAX(0,C318-G318)</x:f>
        <x:v>85036.32105436985</x:v>
      </x:c>
      <x:c r="I318" s="105" t="n">
        <x:f>P317</x:f>
        <x:v>0</x:v>
      </x:c>
      <x:c r="J318" s="105" t="n">
        <x:f>IF(I318&gt;0,I318*'Your Mortgage'!$C$7/12,0)</x:f>
        <x:v>0</x:v>
      </x:c>
      <x:c r="K318" s="105" t="n">
        <x:f>IF(I318&gt;0,MIN('Your Mortgage'!$C$11,I318+J318),0)</x:f>
        <x:v>0</x:v>
      </x:c>
      <x:c r="L318" s="105" t="n">
        <x:f>IF(I318&gt;0,MIN('Your Mortgage'!$F$6,MAX(0,I318+J318-K318)),0)</x:f>
        <x:v>0</x:v>
      </x:c>
      <x:c r="M318" s="105" t="n">
        <x:f>IF(AND(A318='Your Mortgage'!$F$8,I318&gt;0),MIN('Your Mortgage'!$F$7,MAX(0,I318+J318-K318-L318)),0)</x:f>
        <x:v>0</x:v>
      </x:c>
      <x:c r="N318" s="105" t="n">
        <x:f>K318+L318+M318</x:f>
        <x:v>0</x:v>
      </x:c>
      <x:c r="O318" s="105" t="n">
        <x:f>MAX(0,N318-J318)</x:f>
        <x:v>0</x:v>
      </x:c>
      <x:c r="P318" s="105" t="n">
        <x:f>MAX(0,I318-O318)</x:f>
        <x:v>0</x:v>
      </x:c>
      <x:c r="Q318" s="106" t="n">
        <x:f>X317</x:f>
        <x:v>0</x:v>
      </x:c>
      <x:c r="R318" s="106" t="n">
        <x:f>IF(Q318&gt;0,Q318*'Your Mortgage'!$C$7/12,0)</x:f>
        <x:v>0</x:v>
      </x:c>
      <x:c r="S318" s="106" t="n">
        <x:f>IF(Q318&gt;0,MIN('Your Mortgage'!$C$11,Q318+R318),0)</x:f>
        <x:v>0</x:v>
      </x:c>
      <x:c r="T318" s="106" t="n">
        <x:f>IF(Q318&gt;0,MIN('Your Mortgage'!$I$6,MAX(0,Q318+R318-S318)),0)</x:f>
        <x:v>0</x:v>
      </x:c>
      <x:c r="U318" s="106" t="n">
        <x:f>IF(AND(A318='Your Mortgage'!$I$8,Q318&gt;0),MIN('Your Mortgage'!$I$7,MAX(0,Q318+R318-S318-T318)),0)</x:f>
        <x:v>0</x:v>
      </x:c>
      <x:c r="V318" s="106" t="n">
        <x:f>S318+T318+U318</x:f>
        <x:v>0</x:v>
      </x:c>
      <x:c r="W318" s="106" t="n">
        <x:f>MAX(0,V318-R318)</x:f>
        <x:v>0</x:v>
      </x:c>
      <x:c r="X318" s="106" t="n">
        <x:f>MAX(0,Q318-W318)</x:f>
        <x:v>0</x:v>
      </x:c>
      <x:c r="Y318" s="1"/>
      <x:c r="Z318" s="1"/>
    </x:row>
    <x:row r="319">
      <x:c r="A319" s="100" t="n">
        <x:f>A318+1</x:f>
        <x:v>314</x:v>
      </x:c>
      <x:c r="B319" s="103" t="n">
        <x:f>EDATE(B318,1)</x:f>
        <x:v>55763</x:v>
      </x:c>
      <x:c r="C319" s="104" t="n">
        <x:f>H318</x:f>
        <x:v>85036.32105436985</x:v>
      </x:c>
      <x:c r="D319" s="104" t="n">
        <x:f>IF(C319&gt;0,C319*'Your Mortgage'!$C$7/12,0)</x:f>
        <x:v>460.61340571117006</x:v>
      </x:c>
      <x:c r="E319" s="104" t="n">
        <x:f>IF(C319&gt;0,MIN('Your Mortgage'!$C$11,C319+D319),0)</x:f>
        <x:v>2054.2210763521375</x:v>
      </x:c>
      <x:c r="F319" s="104" t="n">
        <x:f>E319</x:f>
        <x:v>2054.2210763521375</x:v>
      </x:c>
      <x:c r="G319" s="104" t="n">
        <x:f>MAX(0,F319-D319)</x:f>
        <x:v>1593.6076706409674</x:v>
      </x:c>
      <x:c r="H319" s="104" t="n">
        <x:f>MAX(0,C319-G319)</x:f>
        <x:v>83442.71338372889</x:v>
      </x:c>
      <x:c r="I319" s="105" t="n">
        <x:f>P318</x:f>
        <x:v>0</x:v>
      </x:c>
      <x:c r="J319" s="105" t="n">
        <x:f>IF(I319&gt;0,I319*'Your Mortgage'!$C$7/12,0)</x:f>
        <x:v>0</x:v>
      </x:c>
      <x:c r="K319" s="105" t="n">
        <x:f>IF(I319&gt;0,MIN('Your Mortgage'!$C$11,I319+J319),0)</x:f>
        <x:v>0</x:v>
      </x:c>
      <x:c r="L319" s="105" t="n">
        <x:f>IF(I319&gt;0,MIN('Your Mortgage'!$F$6,MAX(0,I319+J319-K319)),0)</x:f>
        <x:v>0</x:v>
      </x:c>
      <x:c r="M319" s="105" t="n">
        <x:f>IF(AND(A319='Your Mortgage'!$F$8,I319&gt;0),MIN('Your Mortgage'!$F$7,MAX(0,I319+J319-K319-L319)),0)</x:f>
        <x:v>0</x:v>
      </x:c>
      <x:c r="N319" s="105" t="n">
        <x:f>K319+L319+M319</x:f>
        <x:v>0</x:v>
      </x:c>
      <x:c r="O319" s="105" t="n">
        <x:f>MAX(0,N319-J319)</x:f>
        <x:v>0</x:v>
      </x:c>
      <x:c r="P319" s="105" t="n">
        <x:f>MAX(0,I319-O319)</x:f>
        <x:v>0</x:v>
      </x:c>
      <x:c r="Q319" s="106" t="n">
        <x:f>X318</x:f>
        <x:v>0</x:v>
      </x:c>
      <x:c r="R319" s="106" t="n">
        <x:f>IF(Q319&gt;0,Q319*'Your Mortgage'!$C$7/12,0)</x:f>
        <x:v>0</x:v>
      </x:c>
      <x:c r="S319" s="106" t="n">
        <x:f>IF(Q319&gt;0,MIN('Your Mortgage'!$C$11,Q319+R319),0)</x:f>
        <x:v>0</x:v>
      </x:c>
      <x:c r="T319" s="106" t="n">
        <x:f>IF(Q319&gt;0,MIN('Your Mortgage'!$I$6,MAX(0,Q319+R319-S319)),0)</x:f>
        <x:v>0</x:v>
      </x:c>
      <x:c r="U319" s="106" t="n">
        <x:f>IF(AND(A319='Your Mortgage'!$I$8,Q319&gt;0),MIN('Your Mortgage'!$I$7,MAX(0,Q319+R319-S319-T319)),0)</x:f>
        <x:v>0</x:v>
      </x:c>
      <x:c r="V319" s="106" t="n">
        <x:f>S319+T319+U319</x:f>
        <x:v>0</x:v>
      </x:c>
      <x:c r="W319" s="106" t="n">
        <x:f>MAX(0,V319-R319)</x:f>
        <x:v>0</x:v>
      </x:c>
      <x:c r="X319" s="106" t="n">
        <x:f>MAX(0,Q319-W319)</x:f>
        <x:v>0</x:v>
      </x:c>
      <x:c r="Y319" s="1"/>
      <x:c r="Z319" s="1"/>
    </x:row>
    <x:row r="320">
      <x:c r="A320" s="100" t="n">
        <x:f>A319+1</x:f>
        <x:v>315</x:v>
      </x:c>
      <x:c r="B320" s="103" t="n">
        <x:f>EDATE(B319,1)</x:f>
        <x:v>55793</x:v>
      </x:c>
      <x:c r="C320" s="104" t="n">
        <x:f>H319</x:f>
        <x:v>83442.71338372889</x:v>
      </x:c>
      <x:c r="D320" s="104" t="n">
        <x:f>IF(C320&gt;0,C320*'Your Mortgage'!$C$7/12,0)</x:f>
        <x:v>451.9813641618648</x:v>
      </x:c>
      <x:c r="E320" s="104" t="n">
        <x:f>IF(C320&gt;0,MIN('Your Mortgage'!$C$11,C320+D320),0)</x:f>
        <x:v>2054.2210763521375</x:v>
      </x:c>
      <x:c r="F320" s="104" t="n">
        <x:f>E320</x:f>
        <x:v>2054.2210763521375</x:v>
      </x:c>
      <x:c r="G320" s="104" t="n">
        <x:f>MAX(0,F320-D320)</x:f>
        <x:v>1602.2397121902727</x:v>
      </x:c>
      <x:c r="H320" s="104" t="n">
        <x:f>MAX(0,C320-G320)</x:f>
        <x:v>81840.47367153861</x:v>
      </x:c>
      <x:c r="I320" s="105" t="n">
        <x:f>P319</x:f>
        <x:v>0</x:v>
      </x:c>
      <x:c r="J320" s="105" t="n">
        <x:f>IF(I320&gt;0,I320*'Your Mortgage'!$C$7/12,0)</x:f>
        <x:v>0</x:v>
      </x:c>
      <x:c r="K320" s="105" t="n">
        <x:f>IF(I320&gt;0,MIN('Your Mortgage'!$C$11,I320+J320),0)</x:f>
        <x:v>0</x:v>
      </x:c>
      <x:c r="L320" s="105" t="n">
        <x:f>IF(I320&gt;0,MIN('Your Mortgage'!$F$6,MAX(0,I320+J320-K320)),0)</x:f>
        <x:v>0</x:v>
      </x:c>
      <x:c r="M320" s="105" t="n">
        <x:f>IF(AND(A320='Your Mortgage'!$F$8,I320&gt;0),MIN('Your Mortgage'!$F$7,MAX(0,I320+J320-K320-L320)),0)</x:f>
        <x:v>0</x:v>
      </x:c>
      <x:c r="N320" s="105" t="n">
        <x:f>K320+L320+M320</x:f>
        <x:v>0</x:v>
      </x:c>
      <x:c r="O320" s="105" t="n">
        <x:f>MAX(0,N320-J320)</x:f>
        <x:v>0</x:v>
      </x:c>
      <x:c r="P320" s="105" t="n">
        <x:f>MAX(0,I320-O320)</x:f>
        <x:v>0</x:v>
      </x:c>
      <x:c r="Q320" s="106" t="n">
        <x:f>X319</x:f>
        <x:v>0</x:v>
      </x:c>
      <x:c r="R320" s="106" t="n">
        <x:f>IF(Q320&gt;0,Q320*'Your Mortgage'!$C$7/12,0)</x:f>
        <x:v>0</x:v>
      </x:c>
      <x:c r="S320" s="106" t="n">
        <x:f>IF(Q320&gt;0,MIN('Your Mortgage'!$C$11,Q320+R320),0)</x:f>
        <x:v>0</x:v>
      </x:c>
      <x:c r="T320" s="106" t="n">
        <x:f>IF(Q320&gt;0,MIN('Your Mortgage'!$I$6,MAX(0,Q320+R320-S320)),0)</x:f>
        <x:v>0</x:v>
      </x:c>
      <x:c r="U320" s="106" t="n">
        <x:f>IF(AND(A320='Your Mortgage'!$I$8,Q320&gt;0),MIN('Your Mortgage'!$I$7,MAX(0,Q320+R320-S320-T320)),0)</x:f>
        <x:v>0</x:v>
      </x:c>
      <x:c r="V320" s="106" t="n">
        <x:f>S320+T320+U320</x:f>
        <x:v>0</x:v>
      </x:c>
      <x:c r="W320" s="106" t="n">
        <x:f>MAX(0,V320-R320)</x:f>
        <x:v>0</x:v>
      </x:c>
      <x:c r="X320" s="106" t="n">
        <x:f>MAX(0,Q320-W320)</x:f>
        <x:v>0</x:v>
      </x:c>
      <x:c r="Y320" s="1"/>
      <x:c r="Z320" s="1"/>
    </x:row>
    <x:row r="321">
      <x:c r="A321" s="100" t="n">
        <x:f>A320+1</x:f>
        <x:v>316</x:v>
      </x:c>
      <x:c r="B321" s="103" t="n">
        <x:f>EDATE(B320,1)</x:f>
        <x:v>55824</x:v>
      </x:c>
      <x:c r="C321" s="104" t="n">
        <x:f>H320</x:f>
        <x:v>81840.47367153861</x:v>
      </x:c>
      <x:c r="D321" s="104" t="n">
        <x:f>IF(C321&gt;0,C321*'Your Mortgage'!$C$7/12,0)</x:f>
        <x:v>443.30256572083414</x:v>
      </x:c>
      <x:c r="E321" s="104" t="n">
        <x:f>IF(C321&gt;0,MIN('Your Mortgage'!$C$11,C321+D321),0)</x:f>
        <x:v>2054.2210763521375</x:v>
      </x:c>
      <x:c r="F321" s="104" t="n">
        <x:f>E321</x:f>
        <x:v>2054.2210763521375</x:v>
      </x:c>
      <x:c r="G321" s="104" t="n">
        <x:f>MAX(0,F321-D321)</x:f>
        <x:v>1610.9185106313034</x:v>
      </x:c>
      <x:c r="H321" s="104" t="n">
        <x:f>MAX(0,C321-G321)</x:f>
        <x:v>80229.5551609073</x:v>
      </x:c>
      <x:c r="I321" s="105" t="n">
        <x:f>P320</x:f>
        <x:v>0</x:v>
      </x:c>
      <x:c r="J321" s="105" t="n">
        <x:f>IF(I321&gt;0,I321*'Your Mortgage'!$C$7/12,0)</x:f>
        <x:v>0</x:v>
      </x:c>
      <x:c r="K321" s="105" t="n">
        <x:f>IF(I321&gt;0,MIN('Your Mortgage'!$C$11,I321+J321),0)</x:f>
        <x:v>0</x:v>
      </x:c>
      <x:c r="L321" s="105" t="n">
        <x:f>IF(I321&gt;0,MIN('Your Mortgage'!$F$6,MAX(0,I321+J321-K321)),0)</x:f>
        <x:v>0</x:v>
      </x:c>
      <x:c r="M321" s="105" t="n">
        <x:f>IF(AND(A321='Your Mortgage'!$F$8,I321&gt;0),MIN('Your Mortgage'!$F$7,MAX(0,I321+J321-K321-L321)),0)</x:f>
        <x:v>0</x:v>
      </x:c>
      <x:c r="N321" s="105" t="n">
        <x:f>K321+L321+M321</x:f>
        <x:v>0</x:v>
      </x:c>
      <x:c r="O321" s="105" t="n">
        <x:f>MAX(0,N321-J321)</x:f>
        <x:v>0</x:v>
      </x:c>
      <x:c r="P321" s="105" t="n">
        <x:f>MAX(0,I321-O321)</x:f>
        <x:v>0</x:v>
      </x:c>
      <x:c r="Q321" s="106" t="n">
        <x:f>X320</x:f>
        <x:v>0</x:v>
      </x:c>
      <x:c r="R321" s="106" t="n">
        <x:f>IF(Q321&gt;0,Q321*'Your Mortgage'!$C$7/12,0)</x:f>
        <x:v>0</x:v>
      </x:c>
      <x:c r="S321" s="106" t="n">
        <x:f>IF(Q321&gt;0,MIN('Your Mortgage'!$C$11,Q321+R321),0)</x:f>
        <x:v>0</x:v>
      </x:c>
      <x:c r="T321" s="106" t="n">
        <x:f>IF(Q321&gt;0,MIN('Your Mortgage'!$I$6,MAX(0,Q321+R321-S321)),0)</x:f>
        <x:v>0</x:v>
      </x:c>
      <x:c r="U321" s="106" t="n">
        <x:f>IF(AND(A321='Your Mortgage'!$I$8,Q321&gt;0),MIN('Your Mortgage'!$I$7,MAX(0,Q321+R321-S321-T321)),0)</x:f>
        <x:v>0</x:v>
      </x:c>
      <x:c r="V321" s="106" t="n">
        <x:f>S321+T321+U321</x:f>
        <x:v>0</x:v>
      </x:c>
      <x:c r="W321" s="106" t="n">
        <x:f>MAX(0,V321-R321)</x:f>
        <x:v>0</x:v>
      </x:c>
      <x:c r="X321" s="106" t="n">
        <x:f>MAX(0,Q321-W321)</x:f>
        <x:v>0</x:v>
      </x:c>
      <x:c r="Y321" s="1"/>
      <x:c r="Z321" s="1"/>
    </x:row>
    <x:row r="322">
      <x:c r="A322" s="100" t="n">
        <x:f>A321+1</x:f>
        <x:v>317</x:v>
      </x:c>
      <x:c r="B322" s="103" t="n">
        <x:f>EDATE(B321,1)</x:f>
        <x:v>55854</x:v>
      </x:c>
      <x:c r="C322" s="104" t="n">
        <x:f>H321</x:f>
        <x:v>80229.5551609073</x:v>
      </x:c>
      <x:c r="D322" s="104" t="n">
        <x:f>IF(C322&gt;0,C322*'Your Mortgage'!$C$7/12,0)</x:f>
        <x:v>434.57675712158124</x:v>
      </x:c>
      <x:c r="E322" s="104" t="n">
        <x:f>IF(C322&gt;0,MIN('Your Mortgage'!$C$11,C322+D322),0)</x:f>
        <x:v>2054.2210763521375</x:v>
      </x:c>
      <x:c r="F322" s="104" t="n">
        <x:f>E322</x:f>
        <x:v>2054.2210763521375</x:v>
      </x:c>
      <x:c r="G322" s="104" t="n">
        <x:f>MAX(0,F322-D322)</x:f>
        <x:v>1619.6443192305562</x:v>
      </x:c>
      <x:c r="H322" s="104" t="n">
        <x:f>MAX(0,C322-G322)</x:f>
        <x:v>78609.91084167674</x:v>
      </x:c>
      <x:c r="I322" s="105" t="n">
        <x:f>P321</x:f>
        <x:v>0</x:v>
      </x:c>
      <x:c r="J322" s="105" t="n">
        <x:f>IF(I322&gt;0,I322*'Your Mortgage'!$C$7/12,0)</x:f>
        <x:v>0</x:v>
      </x:c>
      <x:c r="K322" s="105" t="n">
        <x:f>IF(I322&gt;0,MIN('Your Mortgage'!$C$11,I322+J322),0)</x:f>
        <x:v>0</x:v>
      </x:c>
      <x:c r="L322" s="105" t="n">
        <x:f>IF(I322&gt;0,MIN('Your Mortgage'!$F$6,MAX(0,I322+J322-K322)),0)</x:f>
        <x:v>0</x:v>
      </x:c>
      <x:c r="M322" s="105" t="n">
        <x:f>IF(AND(A322='Your Mortgage'!$F$8,I322&gt;0),MIN('Your Mortgage'!$F$7,MAX(0,I322+J322-K322-L322)),0)</x:f>
        <x:v>0</x:v>
      </x:c>
      <x:c r="N322" s="105" t="n">
        <x:f>K322+L322+M322</x:f>
        <x:v>0</x:v>
      </x:c>
      <x:c r="O322" s="105" t="n">
        <x:f>MAX(0,N322-J322)</x:f>
        <x:v>0</x:v>
      </x:c>
      <x:c r="P322" s="105" t="n">
        <x:f>MAX(0,I322-O322)</x:f>
        <x:v>0</x:v>
      </x:c>
      <x:c r="Q322" s="106" t="n">
        <x:f>X321</x:f>
        <x:v>0</x:v>
      </x:c>
      <x:c r="R322" s="106" t="n">
        <x:f>IF(Q322&gt;0,Q322*'Your Mortgage'!$C$7/12,0)</x:f>
        <x:v>0</x:v>
      </x:c>
      <x:c r="S322" s="106" t="n">
        <x:f>IF(Q322&gt;0,MIN('Your Mortgage'!$C$11,Q322+R322),0)</x:f>
        <x:v>0</x:v>
      </x:c>
      <x:c r="T322" s="106" t="n">
        <x:f>IF(Q322&gt;0,MIN('Your Mortgage'!$I$6,MAX(0,Q322+R322-S322)),0)</x:f>
        <x:v>0</x:v>
      </x:c>
      <x:c r="U322" s="106" t="n">
        <x:f>IF(AND(A322='Your Mortgage'!$I$8,Q322&gt;0),MIN('Your Mortgage'!$I$7,MAX(0,Q322+R322-S322-T322)),0)</x:f>
        <x:v>0</x:v>
      </x:c>
      <x:c r="V322" s="106" t="n">
        <x:f>S322+T322+U322</x:f>
        <x:v>0</x:v>
      </x:c>
      <x:c r="W322" s="106" t="n">
        <x:f>MAX(0,V322-R322)</x:f>
        <x:v>0</x:v>
      </x:c>
      <x:c r="X322" s="106" t="n">
        <x:f>MAX(0,Q322-W322)</x:f>
        <x:v>0</x:v>
      </x:c>
      <x:c r="Y322" s="1"/>
      <x:c r="Z322" s="1"/>
    </x:row>
    <x:row r="323">
      <x:c r="A323" s="100" t="n">
        <x:f>A322+1</x:f>
        <x:v>318</x:v>
      </x:c>
      <x:c r="B323" s="103" t="n">
        <x:f>EDATE(B322,1)</x:f>
        <x:v>55885</x:v>
      </x:c>
      <x:c r="C323" s="104" t="n">
        <x:f>H322</x:f>
        <x:v>78609.91084167674</x:v>
      </x:c>
      <x:c r="D323" s="104" t="n">
        <x:f>IF(C323&gt;0,C323*'Your Mortgage'!$C$7/12,0)</x:f>
        <x:v>425.80368372574907</x:v>
      </x:c>
      <x:c r="E323" s="104" t="n">
        <x:f>IF(C323&gt;0,MIN('Your Mortgage'!$C$11,C323+D323),0)</x:f>
        <x:v>2054.2210763521375</x:v>
      </x:c>
      <x:c r="F323" s="104" t="n">
        <x:f>E323</x:f>
        <x:v>2054.2210763521375</x:v>
      </x:c>
      <x:c r="G323" s="104" t="n">
        <x:f>MAX(0,F323-D323)</x:f>
        <x:v>1628.4173926263884</x:v>
      </x:c>
      <x:c r="H323" s="104" t="n">
        <x:f>MAX(0,C323-G323)</x:f>
        <x:v>76981.49344905035</x:v>
      </x:c>
      <x:c r="I323" s="105" t="n">
        <x:f>P322</x:f>
        <x:v>0</x:v>
      </x:c>
      <x:c r="J323" s="105" t="n">
        <x:f>IF(I323&gt;0,I323*'Your Mortgage'!$C$7/12,0)</x:f>
        <x:v>0</x:v>
      </x:c>
      <x:c r="K323" s="105" t="n">
        <x:f>IF(I323&gt;0,MIN('Your Mortgage'!$C$11,I323+J323),0)</x:f>
        <x:v>0</x:v>
      </x:c>
      <x:c r="L323" s="105" t="n">
        <x:f>IF(I323&gt;0,MIN('Your Mortgage'!$F$6,MAX(0,I323+J323-K323)),0)</x:f>
        <x:v>0</x:v>
      </x:c>
      <x:c r="M323" s="105" t="n">
        <x:f>IF(AND(A323='Your Mortgage'!$F$8,I323&gt;0),MIN('Your Mortgage'!$F$7,MAX(0,I323+J323-K323-L323)),0)</x:f>
        <x:v>0</x:v>
      </x:c>
      <x:c r="N323" s="105" t="n">
        <x:f>K323+L323+M323</x:f>
        <x:v>0</x:v>
      </x:c>
      <x:c r="O323" s="105" t="n">
        <x:f>MAX(0,N323-J323)</x:f>
        <x:v>0</x:v>
      </x:c>
      <x:c r="P323" s="105" t="n">
        <x:f>MAX(0,I323-O323)</x:f>
        <x:v>0</x:v>
      </x:c>
      <x:c r="Q323" s="106" t="n">
        <x:f>X322</x:f>
        <x:v>0</x:v>
      </x:c>
      <x:c r="R323" s="106" t="n">
        <x:f>IF(Q323&gt;0,Q323*'Your Mortgage'!$C$7/12,0)</x:f>
        <x:v>0</x:v>
      </x:c>
      <x:c r="S323" s="106" t="n">
        <x:f>IF(Q323&gt;0,MIN('Your Mortgage'!$C$11,Q323+R323),0)</x:f>
        <x:v>0</x:v>
      </x:c>
      <x:c r="T323" s="106" t="n">
        <x:f>IF(Q323&gt;0,MIN('Your Mortgage'!$I$6,MAX(0,Q323+R323-S323)),0)</x:f>
        <x:v>0</x:v>
      </x:c>
      <x:c r="U323" s="106" t="n">
        <x:f>IF(AND(A323='Your Mortgage'!$I$8,Q323&gt;0),MIN('Your Mortgage'!$I$7,MAX(0,Q323+R323-S323-T323)),0)</x:f>
        <x:v>0</x:v>
      </x:c>
      <x:c r="V323" s="106" t="n">
        <x:f>S323+T323+U323</x:f>
        <x:v>0</x:v>
      </x:c>
      <x:c r="W323" s="106" t="n">
        <x:f>MAX(0,V323-R323)</x:f>
        <x:v>0</x:v>
      </x:c>
      <x:c r="X323" s="106" t="n">
        <x:f>MAX(0,Q323-W323)</x:f>
        <x:v>0</x:v>
      </x:c>
      <x:c r="Y323" s="1"/>
      <x:c r="Z323" s="1"/>
    </x:row>
    <x:row r="324">
      <x:c r="A324" s="100" t="n">
        <x:f>A323+1</x:f>
        <x:v>319</x:v>
      </x:c>
      <x:c r="B324" s="103" t="n">
        <x:f>EDATE(B323,1)</x:f>
        <x:v>55916</x:v>
      </x:c>
      <x:c r="C324" s="104" t="n">
        <x:f>H323</x:f>
        <x:v>76981.49344905035</x:v>
      </x:c>
      <x:c r="D324" s="104" t="n">
        <x:f>IF(C324&gt;0,C324*'Your Mortgage'!$C$7/12,0)</x:f>
        <x:v>416.9830895156894</x:v>
      </x:c>
      <x:c r="E324" s="104" t="n">
        <x:f>IF(C324&gt;0,MIN('Your Mortgage'!$C$11,C324+D324),0)</x:f>
        <x:v>2054.2210763521375</x:v>
      </x:c>
      <x:c r="F324" s="104" t="n">
        <x:f>E324</x:f>
        <x:v>2054.2210763521375</x:v>
      </x:c>
      <x:c r="G324" s="104" t="n">
        <x:f>MAX(0,F324-D324)</x:f>
        <x:v>1637.237986836448</x:v>
      </x:c>
      <x:c r="H324" s="104" t="n">
        <x:f>MAX(0,C324-G324)</x:f>
        <x:v>75344.2554622139</x:v>
      </x:c>
      <x:c r="I324" s="105" t="n">
        <x:f>P323</x:f>
        <x:v>0</x:v>
      </x:c>
      <x:c r="J324" s="105" t="n">
        <x:f>IF(I324&gt;0,I324*'Your Mortgage'!$C$7/12,0)</x:f>
        <x:v>0</x:v>
      </x:c>
      <x:c r="K324" s="105" t="n">
        <x:f>IF(I324&gt;0,MIN('Your Mortgage'!$C$11,I324+J324),0)</x:f>
        <x:v>0</x:v>
      </x:c>
      <x:c r="L324" s="105" t="n">
        <x:f>IF(I324&gt;0,MIN('Your Mortgage'!$F$6,MAX(0,I324+J324-K324)),0)</x:f>
        <x:v>0</x:v>
      </x:c>
      <x:c r="M324" s="105" t="n">
        <x:f>IF(AND(A324='Your Mortgage'!$F$8,I324&gt;0),MIN('Your Mortgage'!$F$7,MAX(0,I324+J324-K324-L324)),0)</x:f>
        <x:v>0</x:v>
      </x:c>
      <x:c r="N324" s="105" t="n">
        <x:f>K324+L324+M324</x:f>
        <x:v>0</x:v>
      </x:c>
      <x:c r="O324" s="105" t="n">
        <x:f>MAX(0,N324-J324)</x:f>
        <x:v>0</x:v>
      </x:c>
      <x:c r="P324" s="105" t="n">
        <x:f>MAX(0,I324-O324)</x:f>
        <x:v>0</x:v>
      </x:c>
      <x:c r="Q324" s="106" t="n">
        <x:f>X323</x:f>
        <x:v>0</x:v>
      </x:c>
      <x:c r="R324" s="106" t="n">
        <x:f>IF(Q324&gt;0,Q324*'Your Mortgage'!$C$7/12,0)</x:f>
        <x:v>0</x:v>
      </x:c>
      <x:c r="S324" s="106" t="n">
        <x:f>IF(Q324&gt;0,MIN('Your Mortgage'!$C$11,Q324+R324),0)</x:f>
        <x:v>0</x:v>
      </x:c>
      <x:c r="T324" s="106" t="n">
        <x:f>IF(Q324&gt;0,MIN('Your Mortgage'!$I$6,MAX(0,Q324+R324-S324)),0)</x:f>
        <x:v>0</x:v>
      </x:c>
      <x:c r="U324" s="106" t="n">
        <x:f>IF(AND(A324='Your Mortgage'!$I$8,Q324&gt;0),MIN('Your Mortgage'!$I$7,MAX(0,Q324+R324-S324-T324)),0)</x:f>
        <x:v>0</x:v>
      </x:c>
      <x:c r="V324" s="106" t="n">
        <x:f>S324+T324+U324</x:f>
        <x:v>0</x:v>
      </x:c>
      <x:c r="W324" s="106" t="n">
        <x:f>MAX(0,V324-R324)</x:f>
        <x:v>0</x:v>
      </x:c>
      <x:c r="X324" s="106" t="n">
        <x:f>MAX(0,Q324-W324)</x:f>
        <x:v>0</x:v>
      </x:c>
      <x:c r="Y324" s="1"/>
      <x:c r="Z324" s="1"/>
    </x:row>
    <x:row r="325">
      <x:c r="A325" s="100" t="n">
        <x:f>A324+1</x:f>
        <x:v>320</x:v>
      </x:c>
      <x:c r="B325" s="103" t="n">
        <x:f>EDATE(B324,1)</x:f>
        <x:v>55944</x:v>
      </x:c>
      <x:c r="C325" s="104" t="n">
        <x:f>H324</x:f>
        <x:v>75344.2554622139</x:v>
      </x:c>
      <x:c r="D325" s="104" t="n">
        <x:f>IF(C325&gt;0,C325*'Your Mortgage'!$C$7/12,0)</x:f>
        <x:v>408.11471708699196</x:v>
      </x:c>
      <x:c r="E325" s="104" t="n">
        <x:f>IF(C325&gt;0,MIN('Your Mortgage'!$C$11,C325+D325),0)</x:f>
        <x:v>2054.2210763521375</x:v>
      </x:c>
      <x:c r="F325" s="104" t="n">
        <x:f>E325</x:f>
        <x:v>2054.2210763521375</x:v>
      </x:c>
      <x:c r="G325" s="104" t="n">
        <x:f>MAX(0,F325-D325)</x:f>
        <x:v>1646.1063592651456</x:v>
      </x:c>
      <x:c r="H325" s="104" t="n">
        <x:f>MAX(0,C325-G325)</x:f>
        <x:v>73698.14910294875</x:v>
      </x:c>
      <x:c r="I325" s="105" t="n">
        <x:f>P324</x:f>
        <x:v>0</x:v>
      </x:c>
      <x:c r="J325" s="105" t="n">
        <x:f>IF(I325&gt;0,I325*'Your Mortgage'!$C$7/12,0)</x:f>
        <x:v>0</x:v>
      </x:c>
      <x:c r="K325" s="105" t="n">
        <x:f>IF(I325&gt;0,MIN('Your Mortgage'!$C$11,I325+J325),0)</x:f>
        <x:v>0</x:v>
      </x:c>
      <x:c r="L325" s="105" t="n">
        <x:f>IF(I325&gt;0,MIN('Your Mortgage'!$F$6,MAX(0,I325+J325-K325)),0)</x:f>
        <x:v>0</x:v>
      </x:c>
      <x:c r="M325" s="105" t="n">
        <x:f>IF(AND(A325='Your Mortgage'!$F$8,I325&gt;0),MIN('Your Mortgage'!$F$7,MAX(0,I325+J325-K325-L325)),0)</x:f>
        <x:v>0</x:v>
      </x:c>
      <x:c r="N325" s="105" t="n">
        <x:f>K325+L325+M325</x:f>
        <x:v>0</x:v>
      </x:c>
      <x:c r="O325" s="105" t="n">
        <x:f>MAX(0,N325-J325)</x:f>
        <x:v>0</x:v>
      </x:c>
      <x:c r="P325" s="105" t="n">
        <x:f>MAX(0,I325-O325)</x:f>
        <x:v>0</x:v>
      </x:c>
      <x:c r="Q325" s="106" t="n">
        <x:f>X324</x:f>
        <x:v>0</x:v>
      </x:c>
      <x:c r="R325" s="106" t="n">
        <x:f>IF(Q325&gt;0,Q325*'Your Mortgage'!$C$7/12,0)</x:f>
        <x:v>0</x:v>
      </x:c>
      <x:c r="S325" s="106" t="n">
        <x:f>IF(Q325&gt;0,MIN('Your Mortgage'!$C$11,Q325+R325),0)</x:f>
        <x:v>0</x:v>
      </x:c>
      <x:c r="T325" s="106" t="n">
        <x:f>IF(Q325&gt;0,MIN('Your Mortgage'!$I$6,MAX(0,Q325+R325-S325)),0)</x:f>
        <x:v>0</x:v>
      </x:c>
      <x:c r="U325" s="106" t="n">
        <x:f>IF(AND(A325='Your Mortgage'!$I$8,Q325&gt;0),MIN('Your Mortgage'!$I$7,MAX(0,Q325+R325-S325-T325)),0)</x:f>
        <x:v>0</x:v>
      </x:c>
      <x:c r="V325" s="106" t="n">
        <x:f>S325+T325+U325</x:f>
        <x:v>0</x:v>
      </x:c>
      <x:c r="W325" s="106" t="n">
        <x:f>MAX(0,V325-R325)</x:f>
        <x:v>0</x:v>
      </x:c>
      <x:c r="X325" s="106" t="n">
        <x:f>MAX(0,Q325-W325)</x:f>
        <x:v>0</x:v>
      </x:c>
      <x:c r="Y325" s="1"/>
      <x:c r="Z325" s="1"/>
    </x:row>
    <x:row r="326">
      <x:c r="A326" s="100" t="n">
        <x:f>A325+1</x:f>
        <x:v>321</x:v>
      </x:c>
      <x:c r="B326" s="103" t="n">
        <x:f>EDATE(B325,1)</x:f>
        <x:v>55975</x:v>
      </x:c>
      <x:c r="C326" s="104" t="n">
        <x:f>H325</x:f>
        <x:v>73698.14910294875</x:v>
      </x:c>
      <x:c r="D326" s="104" t="n">
        <x:f>IF(C326&gt;0,C326*'Your Mortgage'!$C$7/12,0)</x:f>
        <x:v>399.1983076409724</x:v>
      </x:c>
      <x:c r="E326" s="104" t="n">
        <x:f>IF(C326&gt;0,MIN('Your Mortgage'!$C$11,C326+D326),0)</x:f>
        <x:v>2054.2210763521375</x:v>
      </x:c>
      <x:c r="F326" s="104" t="n">
        <x:f>E326</x:f>
        <x:v>2054.2210763521375</x:v>
      </x:c>
      <x:c r="G326" s="104" t="n">
        <x:f>MAX(0,F326-D326)</x:f>
        <x:v>1655.022768711165</x:v>
      </x:c>
      <x:c r="H326" s="104" t="n">
        <x:f>MAX(0,C326-G326)</x:f>
        <x:v>72043.12633423759</x:v>
      </x:c>
      <x:c r="I326" s="105" t="n">
        <x:f>P325</x:f>
        <x:v>0</x:v>
      </x:c>
      <x:c r="J326" s="105" t="n">
        <x:f>IF(I326&gt;0,I326*'Your Mortgage'!$C$7/12,0)</x:f>
        <x:v>0</x:v>
      </x:c>
      <x:c r="K326" s="105" t="n">
        <x:f>IF(I326&gt;0,MIN('Your Mortgage'!$C$11,I326+J326),0)</x:f>
        <x:v>0</x:v>
      </x:c>
      <x:c r="L326" s="105" t="n">
        <x:f>IF(I326&gt;0,MIN('Your Mortgage'!$F$6,MAX(0,I326+J326-K326)),0)</x:f>
        <x:v>0</x:v>
      </x:c>
      <x:c r="M326" s="105" t="n">
        <x:f>IF(AND(A326='Your Mortgage'!$F$8,I326&gt;0),MIN('Your Mortgage'!$F$7,MAX(0,I326+J326-K326-L326)),0)</x:f>
        <x:v>0</x:v>
      </x:c>
      <x:c r="N326" s="105" t="n">
        <x:f>K326+L326+M326</x:f>
        <x:v>0</x:v>
      </x:c>
      <x:c r="O326" s="105" t="n">
        <x:f>MAX(0,N326-J326)</x:f>
        <x:v>0</x:v>
      </x:c>
      <x:c r="P326" s="105" t="n">
        <x:f>MAX(0,I326-O326)</x:f>
        <x:v>0</x:v>
      </x:c>
      <x:c r="Q326" s="106" t="n">
        <x:f>X325</x:f>
        <x:v>0</x:v>
      </x:c>
      <x:c r="R326" s="106" t="n">
        <x:f>IF(Q326&gt;0,Q326*'Your Mortgage'!$C$7/12,0)</x:f>
        <x:v>0</x:v>
      </x:c>
      <x:c r="S326" s="106" t="n">
        <x:f>IF(Q326&gt;0,MIN('Your Mortgage'!$C$11,Q326+R326),0)</x:f>
        <x:v>0</x:v>
      </x:c>
      <x:c r="T326" s="106" t="n">
        <x:f>IF(Q326&gt;0,MIN('Your Mortgage'!$I$6,MAX(0,Q326+R326-S326)),0)</x:f>
        <x:v>0</x:v>
      </x:c>
      <x:c r="U326" s="106" t="n">
        <x:f>IF(AND(A326='Your Mortgage'!$I$8,Q326&gt;0),MIN('Your Mortgage'!$I$7,MAX(0,Q326+R326-S326-T326)),0)</x:f>
        <x:v>0</x:v>
      </x:c>
      <x:c r="V326" s="106" t="n">
        <x:f>S326+T326+U326</x:f>
        <x:v>0</x:v>
      </x:c>
      <x:c r="W326" s="106" t="n">
        <x:f>MAX(0,V326-R326)</x:f>
        <x:v>0</x:v>
      </x:c>
      <x:c r="X326" s="106" t="n">
        <x:f>MAX(0,Q326-W326)</x:f>
        <x:v>0</x:v>
      </x:c>
      <x:c r="Y326" s="1"/>
      <x:c r="Z326" s="1"/>
    </x:row>
    <x:row r="327">
      <x:c r="A327" s="100" t="n">
        <x:f>A326+1</x:f>
        <x:v>322</x:v>
      </x:c>
      <x:c r="B327" s="103" t="n">
        <x:f>EDATE(B326,1)</x:f>
        <x:v>56005</x:v>
      </x:c>
      <x:c r="C327" s="104" t="n">
        <x:f>H326</x:f>
        <x:v>72043.12633423759</x:v>
      </x:c>
      <x:c r="D327" s="104" t="n">
        <x:f>IF(C327&gt;0,C327*'Your Mortgage'!$C$7/12,0)</x:f>
        <x:v>390.23360097712026</x:v>
      </x:c>
      <x:c r="E327" s="104" t="n">
        <x:f>IF(C327&gt;0,MIN('Your Mortgage'!$C$11,C327+D327),0)</x:f>
        <x:v>2054.2210763521375</x:v>
      </x:c>
      <x:c r="F327" s="104" t="n">
        <x:f>E327</x:f>
        <x:v>2054.2210763521375</x:v>
      </x:c>
      <x:c r="G327" s="104" t="n">
        <x:f>MAX(0,F327-D327)</x:f>
        <x:v>1663.9874753750173</x:v>
      </x:c>
      <x:c r="H327" s="104" t="n">
        <x:f>MAX(0,C327-G327)</x:f>
        <x:v>70379.13885886257</x:v>
      </x:c>
      <x:c r="I327" s="105" t="n">
        <x:f>P326</x:f>
        <x:v>0</x:v>
      </x:c>
      <x:c r="J327" s="105" t="n">
        <x:f>IF(I327&gt;0,I327*'Your Mortgage'!$C$7/12,0)</x:f>
        <x:v>0</x:v>
      </x:c>
      <x:c r="K327" s="105" t="n">
        <x:f>IF(I327&gt;0,MIN('Your Mortgage'!$C$11,I327+J327),0)</x:f>
        <x:v>0</x:v>
      </x:c>
      <x:c r="L327" s="105" t="n">
        <x:f>IF(I327&gt;0,MIN('Your Mortgage'!$F$6,MAX(0,I327+J327-K327)),0)</x:f>
        <x:v>0</x:v>
      </x:c>
      <x:c r="M327" s="105" t="n">
        <x:f>IF(AND(A327='Your Mortgage'!$F$8,I327&gt;0),MIN('Your Mortgage'!$F$7,MAX(0,I327+J327-K327-L327)),0)</x:f>
        <x:v>0</x:v>
      </x:c>
      <x:c r="N327" s="105" t="n">
        <x:f>K327+L327+M327</x:f>
        <x:v>0</x:v>
      </x:c>
      <x:c r="O327" s="105" t="n">
        <x:f>MAX(0,N327-J327)</x:f>
        <x:v>0</x:v>
      </x:c>
      <x:c r="P327" s="105" t="n">
        <x:f>MAX(0,I327-O327)</x:f>
        <x:v>0</x:v>
      </x:c>
      <x:c r="Q327" s="106" t="n">
        <x:f>X326</x:f>
        <x:v>0</x:v>
      </x:c>
      <x:c r="R327" s="106" t="n">
        <x:f>IF(Q327&gt;0,Q327*'Your Mortgage'!$C$7/12,0)</x:f>
        <x:v>0</x:v>
      </x:c>
      <x:c r="S327" s="106" t="n">
        <x:f>IF(Q327&gt;0,MIN('Your Mortgage'!$C$11,Q327+R327),0)</x:f>
        <x:v>0</x:v>
      </x:c>
      <x:c r="T327" s="106" t="n">
        <x:f>IF(Q327&gt;0,MIN('Your Mortgage'!$I$6,MAX(0,Q327+R327-S327)),0)</x:f>
        <x:v>0</x:v>
      </x:c>
      <x:c r="U327" s="106" t="n">
        <x:f>IF(AND(A327='Your Mortgage'!$I$8,Q327&gt;0),MIN('Your Mortgage'!$I$7,MAX(0,Q327+R327-S327-T327)),0)</x:f>
        <x:v>0</x:v>
      </x:c>
      <x:c r="V327" s="106" t="n">
        <x:f>S327+T327+U327</x:f>
        <x:v>0</x:v>
      </x:c>
      <x:c r="W327" s="106" t="n">
        <x:f>MAX(0,V327-R327)</x:f>
        <x:v>0</x:v>
      </x:c>
      <x:c r="X327" s="106" t="n">
        <x:f>MAX(0,Q327-W327)</x:f>
        <x:v>0</x:v>
      </x:c>
      <x:c r="Y327" s="1"/>
      <x:c r="Z327" s="1"/>
    </x:row>
    <x:row r="328">
      <x:c r="A328" s="100" t="n">
        <x:f>A327+1</x:f>
        <x:v>323</x:v>
      </x:c>
      <x:c r="B328" s="103" t="n">
        <x:f>EDATE(B327,1)</x:f>
        <x:v>56036</x:v>
      </x:c>
      <x:c r="C328" s="104" t="n">
        <x:f>H327</x:f>
        <x:v>70379.13885886257</x:v>
      </x:c>
      <x:c r="D328" s="104" t="n">
        <x:f>IF(C328&gt;0,C328*'Your Mortgage'!$C$7/12,0)</x:f>
        <x:v>381.2203354855056</x:v>
      </x:c>
      <x:c r="E328" s="104" t="n">
        <x:f>IF(C328&gt;0,MIN('Your Mortgage'!$C$11,C328+D328),0)</x:f>
        <x:v>2054.2210763521375</x:v>
      </x:c>
      <x:c r="F328" s="104" t="n">
        <x:f>E328</x:f>
        <x:v>2054.2210763521375</x:v>
      </x:c>
      <x:c r="G328" s="104" t="n">
        <x:f>MAX(0,F328-D328)</x:f>
        <x:v>1673.000740866632</x:v>
      </x:c>
      <x:c r="H328" s="104" t="n">
        <x:f>MAX(0,C328-G328)</x:f>
        <x:v>68706.13811799594</x:v>
      </x:c>
      <x:c r="I328" s="105" t="n">
        <x:f>P327</x:f>
        <x:v>0</x:v>
      </x:c>
      <x:c r="J328" s="105" t="n">
        <x:f>IF(I328&gt;0,I328*'Your Mortgage'!$C$7/12,0)</x:f>
        <x:v>0</x:v>
      </x:c>
      <x:c r="K328" s="105" t="n">
        <x:f>IF(I328&gt;0,MIN('Your Mortgage'!$C$11,I328+J328),0)</x:f>
        <x:v>0</x:v>
      </x:c>
      <x:c r="L328" s="105" t="n">
        <x:f>IF(I328&gt;0,MIN('Your Mortgage'!$F$6,MAX(0,I328+J328-K328)),0)</x:f>
        <x:v>0</x:v>
      </x:c>
      <x:c r="M328" s="105" t="n">
        <x:f>IF(AND(A328='Your Mortgage'!$F$8,I328&gt;0),MIN('Your Mortgage'!$F$7,MAX(0,I328+J328-K328-L328)),0)</x:f>
        <x:v>0</x:v>
      </x:c>
      <x:c r="N328" s="105" t="n">
        <x:f>K328+L328+M328</x:f>
        <x:v>0</x:v>
      </x:c>
      <x:c r="O328" s="105" t="n">
        <x:f>MAX(0,N328-J328)</x:f>
        <x:v>0</x:v>
      </x:c>
      <x:c r="P328" s="105" t="n">
        <x:f>MAX(0,I328-O328)</x:f>
        <x:v>0</x:v>
      </x:c>
      <x:c r="Q328" s="106" t="n">
        <x:f>X327</x:f>
        <x:v>0</x:v>
      </x:c>
      <x:c r="R328" s="106" t="n">
        <x:f>IF(Q328&gt;0,Q328*'Your Mortgage'!$C$7/12,0)</x:f>
        <x:v>0</x:v>
      </x:c>
      <x:c r="S328" s="106" t="n">
        <x:f>IF(Q328&gt;0,MIN('Your Mortgage'!$C$11,Q328+R328),0)</x:f>
        <x:v>0</x:v>
      </x:c>
      <x:c r="T328" s="106" t="n">
        <x:f>IF(Q328&gt;0,MIN('Your Mortgage'!$I$6,MAX(0,Q328+R328-S328)),0)</x:f>
        <x:v>0</x:v>
      </x:c>
      <x:c r="U328" s="106" t="n">
        <x:f>IF(AND(A328='Your Mortgage'!$I$8,Q328&gt;0),MIN('Your Mortgage'!$I$7,MAX(0,Q328+R328-S328-T328)),0)</x:f>
        <x:v>0</x:v>
      </x:c>
      <x:c r="V328" s="106" t="n">
        <x:f>S328+T328+U328</x:f>
        <x:v>0</x:v>
      </x:c>
      <x:c r="W328" s="106" t="n">
        <x:f>MAX(0,V328-R328)</x:f>
        <x:v>0</x:v>
      </x:c>
      <x:c r="X328" s="106" t="n">
        <x:f>MAX(0,Q328-W328)</x:f>
        <x:v>0</x:v>
      </x:c>
      <x:c r="Y328" s="1"/>
      <x:c r="Z328" s="1"/>
    </x:row>
    <x:row r="329">
      <x:c r="A329" s="100" t="n">
        <x:f>A328+1</x:f>
        <x:v>324</x:v>
      </x:c>
      <x:c r="B329" s="103" t="n">
        <x:f>EDATE(B328,1)</x:f>
        <x:v>56066</x:v>
      </x:c>
      <x:c r="C329" s="104" t="n">
        <x:f>H328</x:f>
        <x:v>68706.13811799594</x:v>
      </x:c>
      <x:c r="D329" s="104" t="n">
        <x:f>IF(C329&gt;0,C329*'Your Mortgage'!$C$7/12,0)</x:f>
        <x:v>372.1582481391447</x:v>
      </x:c>
      <x:c r="E329" s="104" t="n">
        <x:f>IF(C329&gt;0,MIN('Your Mortgage'!$C$11,C329+D329),0)</x:f>
        <x:v>2054.2210763521375</x:v>
      </x:c>
      <x:c r="F329" s="104" t="n">
        <x:f>E329</x:f>
        <x:v>2054.2210763521375</x:v>
      </x:c>
      <x:c r="G329" s="104" t="n">
        <x:f>MAX(0,F329-D329)</x:f>
        <x:v>1682.0628282129928</x:v>
      </x:c>
      <x:c r="H329" s="104" t="n">
        <x:f>MAX(0,C329-G329)</x:f>
        <x:v>67024.07528978295</x:v>
      </x:c>
      <x:c r="I329" s="105" t="n">
        <x:f>P328</x:f>
        <x:v>0</x:v>
      </x:c>
      <x:c r="J329" s="105" t="n">
        <x:f>IF(I329&gt;0,I329*'Your Mortgage'!$C$7/12,0)</x:f>
        <x:v>0</x:v>
      </x:c>
      <x:c r="K329" s="105" t="n">
        <x:f>IF(I329&gt;0,MIN('Your Mortgage'!$C$11,I329+J329),0)</x:f>
        <x:v>0</x:v>
      </x:c>
      <x:c r="L329" s="105" t="n">
        <x:f>IF(I329&gt;0,MIN('Your Mortgage'!$F$6,MAX(0,I329+J329-K329)),0)</x:f>
        <x:v>0</x:v>
      </x:c>
      <x:c r="M329" s="105" t="n">
        <x:f>IF(AND(A329='Your Mortgage'!$F$8,I329&gt;0),MIN('Your Mortgage'!$F$7,MAX(0,I329+J329-K329-L329)),0)</x:f>
        <x:v>0</x:v>
      </x:c>
      <x:c r="N329" s="105" t="n">
        <x:f>K329+L329+M329</x:f>
        <x:v>0</x:v>
      </x:c>
      <x:c r="O329" s="105" t="n">
        <x:f>MAX(0,N329-J329)</x:f>
        <x:v>0</x:v>
      </x:c>
      <x:c r="P329" s="105" t="n">
        <x:f>MAX(0,I329-O329)</x:f>
        <x:v>0</x:v>
      </x:c>
      <x:c r="Q329" s="106" t="n">
        <x:f>X328</x:f>
        <x:v>0</x:v>
      </x:c>
      <x:c r="R329" s="106" t="n">
        <x:f>IF(Q329&gt;0,Q329*'Your Mortgage'!$C$7/12,0)</x:f>
        <x:v>0</x:v>
      </x:c>
      <x:c r="S329" s="106" t="n">
        <x:f>IF(Q329&gt;0,MIN('Your Mortgage'!$C$11,Q329+R329),0)</x:f>
        <x:v>0</x:v>
      </x:c>
      <x:c r="T329" s="106" t="n">
        <x:f>IF(Q329&gt;0,MIN('Your Mortgage'!$I$6,MAX(0,Q329+R329-S329)),0)</x:f>
        <x:v>0</x:v>
      </x:c>
      <x:c r="U329" s="106" t="n">
        <x:f>IF(AND(A329='Your Mortgage'!$I$8,Q329&gt;0),MIN('Your Mortgage'!$I$7,MAX(0,Q329+R329-S329-T329)),0)</x:f>
        <x:v>0</x:v>
      </x:c>
      <x:c r="V329" s="106" t="n">
        <x:f>S329+T329+U329</x:f>
        <x:v>0</x:v>
      </x:c>
      <x:c r="W329" s="106" t="n">
        <x:f>MAX(0,V329-R329)</x:f>
        <x:v>0</x:v>
      </x:c>
      <x:c r="X329" s="106" t="n">
        <x:f>MAX(0,Q329-W329)</x:f>
        <x:v>0</x:v>
      </x:c>
      <x:c r="Y329" s="1"/>
      <x:c r="Z329" s="1"/>
    </x:row>
    <x:row r="330">
      <x:c r="A330" s="100" t="n">
        <x:f>A329+1</x:f>
        <x:v>325</x:v>
      </x:c>
      <x:c r="B330" s="103" t="n">
        <x:f>EDATE(B329,1)</x:f>
        <x:v>56097</x:v>
      </x:c>
      <x:c r="C330" s="104" t="n">
        <x:f>H329</x:f>
        <x:v>67024.07528978295</x:v>
      </x:c>
      <x:c r="D330" s="104" t="n">
        <x:f>IF(C330&gt;0,C330*'Your Mortgage'!$C$7/12,0)</x:f>
        <x:v>363.04707448632433</x:v>
      </x:c>
      <x:c r="E330" s="104" t="n">
        <x:f>IF(C330&gt;0,MIN('Your Mortgage'!$C$11,C330+D330),0)</x:f>
        <x:v>2054.2210763521375</x:v>
      </x:c>
      <x:c r="F330" s="104" t="n">
        <x:f>E330</x:f>
        <x:v>2054.2210763521375</x:v>
      </x:c>
      <x:c r="G330" s="104" t="n">
        <x:f>MAX(0,F330-D330)</x:f>
        <x:v>1691.1740018658131</x:v>
      </x:c>
      <x:c r="H330" s="104" t="n">
        <x:f>MAX(0,C330-G330)</x:f>
        <x:v>65332.901287917135</x:v>
      </x:c>
      <x:c r="I330" s="105" t="n">
        <x:f>P329</x:f>
        <x:v>0</x:v>
      </x:c>
      <x:c r="J330" s="105" t="n">
        <x:f>IF(I330&gt;0,I330*'Your Mortgage'!$C$7/12,0)</x:f>
        <x:v>0</x:v>
      </x:c>
      <x:c r="K330" s="105" t="n">
        <x:f>IF(I330&gt;0,MIN('Your Mortgage'!$C$11,I330+J330),0)</x:f>
        <x:v>0</x:v>
      </x:c>
      <x:c r="L330" s="105" t="n">
        <x:f>IF(I330&gt;0,MIN('Your Mortgage'!$F$6,MAX(0,I330+J330-K330)),0)</x:f>
        <x:v>0</x:v>
      </x:c>
      <x:c r="M330" s="105" t="n">
        <x:f>IF(AND(A330='Your Mortgage'!$F$8,I330&gt;0),MIN('Your Mortgage'!$F$7,MAX(0,I330+J330-K330-L330)),0)</x:f>
        <x:v>0</x:v>
      </x:c>
      <x:c r="N330" s="105" t="n">
        <x:f>K330+L330+M330</x:f>
        <x:v>0</x:v>
      </x:c>
      <x:c r="O330" s="105" t="n">
        <x:f>MAX(0,N330-J330)</x:f>
        <x:v>0</x:v>
      </x:c>
      <x:c r="P330" s="105" t="n">
        <x:f>MAX(0,I330-O330)</x:f>
        <x:v>0</x:v>
      </x:c>
      <x:c r="Q330" s="106" t="n">
        <x:f>X329</x:f>
        <x:v>0</x:v>
      </x:c>
      <x:c r="R330" s="106" t="n">
        <x:f>IF(Q330&gt;0,Q330*'Your Mortgage'!$C$7/12,0)</x:f>
        <x:v>0</x:v>
      </x:c>
      <x:c r="S330" s="106" t="n">
        <x:f>IF(Q330&gt;0,MIN('Your Mortgage'!$C$11,Q330+R330),0)</x:f>
        <x:v>0</x:v>
      </x:c>
      <x:c r="T330" s="106" t="n">
        <x:f>IF(Q330&gt;0,MIN('Your Mortgage'!$I$6,MAX(0,Q330+R330-S330)),0)</x:f>
        <x:v>0</x:v>
      </x:c>
      <x:c r="U330" s="106" t="n">
        <x:f>IF(AND(A330='Your Mortgage'!$I$8,Q330&gt;0),MIN('Your Mortgage'!$I$7,MAX(0,Q330+R330-S330-T330)),0)</x:f>
        <x:v>0</x:v>
      </x:c>
      <x:c r="V330" s="106" t="n">
        <x:f>S330+T330+U330</x:f>
        <x:v>0</x:v>
      </x:c>
      <x:c r="W330" s="106" t="n">
        <x:f>MAX(0,V330-R330)</x:f>
        <x:v>0</x:v>
      </x:c>
      <x:c r="X330" s="106" t="n">
        <x:f>MAX(0,Q330-W330)</x:f>
        <x:v>0</x:v>
      </x:c>
      <x:c r="Y330" s="1"/>
      <x:c r="Z330" s="1"/>
    </x:row>
    <x:row r="331">
      <x:c r="A331" s="100" t="n">
        <x:f>A330+1</x:f>
        <x:v>326</x:v>
      </x:c>
      <x:c r="B331" s="103" t="n">
        <x:f>EDATE(B330,1)</x:f>
        <x:v>56128</x:v>
      </x:c>
      <x:c r="C331" s="104" t="n">
        <x:f>H330</x:f>
        <x:v>65332.901287917135</x:v>
      </x:c>
      <x:c r="D331" s="104" t="n">
        <x:f>IF(C331&gt;0,C331*'Your Mortgage'!$C$7/12,0)</x:f>
        <x:v>353.88654864288446</x:v>
      </x:c>
      <x:c r="E331" s="104" t="n">
        <x:f>IF(C331&gt;0,MIN('Your Mortgage'!$C$11,C331+D331),0)</x:f>
        <x:v>2054.2210763521375</x:v>
      </x:c>
      <x:c r="F331" s="104" t="n">
        <x:f>E331</x:f>
        <x:v>2054.2210763521375</x:v>
      </x:c>
      <x:c r="G331" s="104" t="n">
        <x:f>MAX(0,F331-D331)</x:f>
        <x:v>1700.334527709253</x:v>
      </x:c>
      <x:c r="H331" s="104" t="n">
        <x:f>MAX(0,C331-G331)</x:f>
        <x:v>63632.56676020788</x:v>
      </x:c>
      <x:c r="I331" s="105" t="n">
        <x:f>P330</x:f>
        <x:v>0</x:v>
      </x:c>
      <x:c r="J331" s="105" t="n">
        <x:f>IF(I331&gt;0,I331*'Your Mortgage'!$C$7/12,0)</x:f>
        <x:v>0</x:v>
      </x:c>
      <x:c r="K331" s="105" t="n">
        <x:f>IF(I331&gt;0,MIN('Your Mortgage'!$C$11,I331+J331),0)</x:f>
        <x:v>0</x:v>
      </x:c>
      <x:c r="L331" s="105" t="n">
        <x:f>IF(I331&gt;0,MIN('Your Mortgage'!$F$6,MAX(0,I331+J331-K331)),0)</x:f>
        <x:v>0</x:v>
      </x:c>
      <x:c r="M331" s="105" t="n">
        <x:f>IF(AND(A331='Your Mortgage'!$F$8,I331&gt;0),MIN('Your Mortgage'!$F$7,MAX(0,I331+J331-K331-L331)),0)</x:f>
        <x:v>0</x:v>
      </x:c>
      <x:c r="N331" s="105" t="n">
        <x:f>K331+L331+M331</x:f>
        <x:v>0</x:v>
      </x:c>
      <x:c r="O331" s="105" t="n">
        <x:f>MAX(0,N331-J331)</x:f>
        <x:v>0</x:v>
      </x:c>
      <x:c r="P331" s="105" t="n">
        <x:f>MAX(0,I331-O331)</x:f>
        <x:v>0</x:v>
      </x:c>
      <x:c r="Q331" s="106" t="n">
        <x:f>X330</x:f>
        <x:v>0</x:v>
      </x:c>
      <x:c r="R331" s="106" t="n">
        <x:f>IF(Q331&gt;0,Q331*'Your Mortgage'!$C$7/12,0)</x:f>
        <x:v>0</x:v>
      </x:c>
      <x:c r="S331" s="106" t="n">
        <x:f>IF(Q331&gt;0,MIN('Your Mortgage'!$C$11,Q331+R331),0)</x:f>
        <x:v>0</x:v>
      </x:c>
      <x:c r="T331" s="106" t="n">
        <x:f>IF(Q331&gt;0,MIN('Your Mortgage'!$I$6,MAX(0,Q331+R331-S331)),0)</x:f>
        <x:v>0</x:v>
      </x:c>
      <x:c r="U331" s="106" t="n">
        <x:f>IF(AND(A331='Your Mortgage'!$I$8,Q331&gt;0),MIN('Your Mortgage'!$I$7,MAX(0,Q331+R331-S331-T331)),0)</x:f>
        <x:v>0</x:v>
      </x:c>
      <x:c r="V331" s="106" t="n">
        <x:f>S331+T331+U331</x:f>
        <x:v>0</x:v>
      </x:c>
      <x:c r="W331" s="106" t="n">
        <x:f>MAX(0,V331-R331)</x:f>
        <x:v>0</x:v>
      </x:c>
      <x:c r="X331" s="106" t="n">
        <x:f>MAX(0,Q331-W331)</x:f>
        <x:v>0</x:v>
      </x:c>
      <x:c r="Y331" s="1"/>
      <x:c r="Z331" s="1"/>
    </x:row>
    <x:row r="332">
      <x:c r="A332" s="100" t="n">
        <x:f>A331+1</x:f>
        <x:v>327</x:v>
      </x:c>
      <x:c r="B332" s="103" t="n">
        <x:f>EDATE(B331,1)</x:f>
        <x:v>56158</x:v>
      </x:c>
      <x:c r="C332" s="104" t="n">
        <x:f>H331</x:f>
        <x:v>63632.56676020788</x:v>
      </x:c>
      <x:c r="D332" s="104" t="n">
        <x:f>IF(C332&gt;0,C332*'Your Mortgage'!$C$7/12,0)</x:f>
        <x:v>344.6764032844594</x:v>
      </x:c>
      <x:c r="E332" s="104" t="n">
        <x:f>IF(C332&gt;0,MIN('Your Mortgage'!$C$11,C332+D332),0)</x:f>
        <x:v>2054.2210763521375</x:v>
      </x:c>
      <x:c r="F332" s="104" t="n">
        <x:f>E332</x:f>
        <x:v>2054.2210763521375</x:v>
      </x:c>
      <x:c r="G332" s="104" t="n">
        <x:f>MAX(0,F332-D332)</x:f>
        <x:v>1709.544673067678</x:v>
      </x:c>
      <x:c r="H332" s="104" t="n">
        <x:f>MAX(0,C332-G332)</x:f>
        <x:v>61923.022087140205</x:v>
      </x:c>
      <x:c r="I332" s="105" t="n">
        <x:f>P331</x:f>
        <x:v>0</x:v>
      </x:c>
      <x:c r="J332" s="105" t="n">
        <x:f>IF(I332&gt;0,I332*'Your Mortgage'!$C$7/12,0)</x:f>
        <x:v>0</x:v>
      </x:c>
      <x:c r="K332" s="105" t="n">
        <x:f>IF(I332&gt;0,MIN('Your Mortgage'!$C$11,I332+J332),0)</x:f>
        <x:v>0</x:v>
      </x:c>
      <x:c r="L332" s="105" t="n">
        <x:f>IF(I332&gt;0,MIN('Your Mortgage'!$F$6,MAX(0,I332+J332-K332)),0)</x:f>
        <x:v>0</x:v>
      </x:c>
      <x:c r="M332" s="105" t="n">
        <x:f>IF(AND(A332='Your Mortgage'!$F$8,I332&gt;0),MIN('Your Mortgage'!$F$7,MAX(0,I332+J332-K332-L332)),0)</x:f>
        <x:v>0</x:v>
      </x:c>
      <x:c r="N332" s="105" t="n">
        <x:f>K332+L332+M332</x:f>
        <x:v>0</x:v>
      </x:c>
      <x:c r="O332" s="105" t="n">
        <x:f>MAX(0,N332-J332)</x:f>
        <x:v>0</x:v>
      </x:c>
      <x:c r="P332" s="105" t="n">
        <x:f>MAX(0,I332-O332)</x:f>
        <x:v>0</x:v>
      </x:c>
      <x:c r="Q332" s="106" t="n">
        <x:f>X331</x:f>
        <x:v>0</x:v>
      </x:c>
      <x:c r="R332" s="106" t="n">
        <x:f>IF(Q332&gt;0,Q332*'Your Mortgage'!$C$7/12,0)</x:f>
        <x:v>0</x:v>
      </x:c>
      <x:c r="S332" s="106" t="n">
        <x:f>IF(Q332&gt;0,MIN('Your Mortgage'!$C$11,Q332+R332),0)</x:f>
        <x:v>0</x:v>
      </x:c>
      <x:c r="T332" s="106" t="n">
        <x:f>IF(Q332&gt;0,MIN('Your Mortgage'!$I$6,MAX(0,Q332+R332-S332)),0)</x:f>
        <x:v>0</x:v>
      </x:c>
      <x:c r="U332" s="106" t="n">
        <x:f>IF(AND(A332='Your Mortgage'!$I$8,Q332&gt;0),MIN('Your Mortgage'!$I$7,MAX(0,Q332+R332-S332-T332)),0)</x:f>
        <x:v>0</x:v>
      </x:c>
      <x:c r="V332" s="106" t="n">
        <x:f>S332+T332+U332</x:f>
        <x:v>0</x:v>
      </x:c>
      <x:c r="W332" s="106" t="n">
        <x:f>MAX(0,V332-R332)</x:f>
        <x:v>0</x:v>
      </x:c>
      <x:c r="X332" s="106" t="n">
        <x:f>MAX(0,Q332-W332)</x:f>
        <x:v>0</x:v>
      </x:c>
      <x:c r="Y332" s="1"/>
      <x:c r="Z332" s="1"/>
    </x:row>
    <x:row r="333">
      <x:c r="A333" s="100" t="n">
        <x:f>A332+1</x:f>
        <x:v>328</x:v>
      </x:c>
      <x:c r="B333" s="103" t="n">
        <x:f>EDATE(B332,1)</x:f>
        <x:v>56189</x:v>
      </x:c>
      <x:c r="C333" s="104" t="n">
        <x:f>H332</x:f>
        <x:v>61923.022087140205</x:v>
      </x:c>
      <x:c r="D333" s="104" t="n">
        <x:f>IF(C333&gt;0,C333*'Your Mortgage'!$C$7/12,0)</x:f>
        <x:v>335.41636963867614</x:v>
      </x:c>
      <x:c r="E333" s="104" t="n">
        <x:f>IF(C333&gt;0,MIN('Your Mortgage'!$C$11,C333+D333),0)</x:f>
        <x:v>2054.2210763521375</x:v>
      </x:c>
      <x:c r="F333" s="104" t="n">
        <x:f>E333</x:f>
        <x:v>2054.2210763521375</x:v>
      </x:c>
      <x:c r="G333" s="104" t="n">
        <x:f>MAX(0,F333-D333)</x:f>
        <x:v>1718.8047067134614</x:v>
      </x:c>
      <x:c r="H333" s="104" t="n">
        <x:f>MAX(0,C333-G333)</x:f>
        <x:v>60204.217380426744</x:v>
      </x:c>
      <x:c r="I333" s="105" t="n">
        <x:f>P332</x:f>
        <x:v>0</x:v>
      </x:c>
      <x:c r="J333" s="105" t="n">
        <x:f>IF(I333&gt;0,I333*'Your Mortgage'!$C$7/12,0)</x:f>
        <x:v>0</x:v>
      </x:c>
      <x:c r="K333" s="105" t="n">
        <x:f>IF(I333&gt;0,MIN('Your Mortgage'!$C$11,I333+J333),0)</x:f>
        <x:v>0</x:v>
      </x:c>
      <x:c r="L333" s="105" t="n">
        <x:f>IF(I333&gt;0,MIN('Your Mortgage'!$F$6,MAX(0,I333+J333-K333)),0)</x:f>
        <x:v>0</x:v>
      </x:c>
      <x:c r="M333" s="105" t="n">
        <x:f>IF(AND(A333='Your Mortgage'!$F$8,I333&gt;0),MIN('Your Mortgage'!$F$7,MAX(0,I333+J333-K333-L333)),0)</x:f>
        <x:v>0</x:v>
      </x:c>
      <x:c r="N333" s="105" t="n">
        <x:f>K333+L333+M333</x:f>
        <x:v>0</x:v>
      </x:c>
      <x:c r="O333" s="105" t="n">
        <x:f>MAX(0,N333-J333)</x:f>
        <x:v>0</x:v>
      </x:c>
      <x:c r="P333" s="105" t="n">
        <x:f>MAX(0,I333-O333)</x:f>
        <x:v>0</x:v>
      </x:c>
      <x:c r="Q333" s="106" t="n">
        <x:f>X332</x:f>
        <x:v>0</x:v>
      </x:c>
      <x:c r="R333" s="106" t="n">
        <x:f>IF(Q333&gt;0,Q333*'Your Mortgage'!$C$7/12,0)</x:f>
        <x:v>0</x:v>
      </x:c>
      <x:c r="S333" s="106" t="n">
        <x:f>IF(Q333&gt;0,MIN('Your Mortgage'!$C$11,Q333+R333),0)</x:f>
        <x:v>0</x:v>
      </x:c>
      <x:c r="T333" s="106" t="n">
        <x:f>IF(Q333&gt;0,MIN('Your Mortgage'!$I$6,MAX(0,Q333+R333-S333)),0)</x:f>
        <x:v>0</x:v>
      </x:c>
      <x:c r="U333" s="106" t="n">
        <x:f>IF(AND(A333='Your Mortgage'!$I$8,Q333&gt;0),MIN('Your Mortgage'!$I$7,MAX(0,Q333+R333-S333-T333)),0)</x:f>
        <x:v>0</x:v>
      </x:c>
      <x:c r="V333" s="106" t="n">
        <x:f>S333+T333+U333</x:f>
        <x:v>0</x:v>
      </x:c>
      <x:c r="W333" s="106" t="n">
        <x:f>MAX(0,V333-R333)</x:f>
        <x:v>0</x:v>
      </x:c>
      <x:c r="X333" s="106" t="n">
        <x:f>MAX(0,Q333-W333)</x:f>
        <x:v>0</x:v>
      </x:c>
      <x:c r="Y333" s="1"/>
      <x:c r="Z333" s="1"/>
    </x:row>
    <x:row r="334">
      <x:c r="A334" s="100" t="n">
        <x:f>A333+1</x:f>
        <x:v>329</x:v>
      </x:c>
      <x:c r="B334" s="103" t="n">
        <x:f>EDATE(B333,1)</x:f>
        <x:v>56219</x:v>
      </x:c>
      <x:c r="C334" s="104" t="n">
        <x:f>H333</x:f>
        <x:v>60204.217380426744</x:v>
      </x:c>
      <x:c r="D334" s="104" t="n">
        <x:f>IF(C334&gt;0,C334*'Your Mortgage'!$C$7/12,0)</x:f>
        <x:v>326.1061774773115</x:v>
      </x:c>
      <x:c r="E334" s="104" t="n">
        <x:f>IF(C334&gt;0,MIN('Your Mortgage'!$C$11,C334+D334),0)</x:f>
        <x:v>2054.2210763521375</x:v>
      </x:c>
      <x:c r="F334" s="104" t="n">
        <x:f>E334</x:f>
        <x:v>2054.2210763521375</x:v>
      </x:c>
      <x:c r="G334" s="104" t="n">
        <x:f>MAX(0,F334-D334)</x:f>
        <x:v>1728.114898874826</x:v>
      </x:c>
      <x:c r="H334" s="104" t="n">
        <x:f>MAX(0,C334-G334)</x:f>
        <x:v>58476.10248155192</x:v>
      </x:c>
      <x:c r="I334" s="105" t="n">
        <x:f>P333</x:f>
        <x:v>0</x:v>
      </x:c>
      <x:c r="J334" s="105" t="n">
        <x:f>IF(I334&gt;0,I334*'Your Mortgage'!$C$7/12,0)</x:f>
        <x:v>0</x:v>
      </x:c>
      <x:c r="K334" s="105" t="n">
        <x:f>IF(I334&gt;0,MIN('Your Mortgage'!$C$11,I334+J334),0)</x:f>
        <x:v>0</x:v>
      </x:c>
      <x:c r="L334" s="105" t="n">
        <x:f>IF(I334&gt;0,MIN('Your Mortgage'!$F$6,MAX(0,I334+J334-K334)),0)</x:f>
        <x:v>0</x:v>
      </x:c>
      <x:c r="M334" s="105" t="n">
        <x:f>IF(AND(A334='Your Mortgage'!$F$8,I334&gt;0),MIN('Your Mortgage'!$F$7,MAX(0,I334+J334-K334-L334)),0)</x:f>
        <x:v>0</x:v>
      </x:c>
      <x:c r="N334" s="105" t="n">
        <x:f>K334+L334+M334</x:f>
        <x:v>0</x:v>
      </x:c>
      <x:c r="O334" s="105" t="n">
        <x:f>MAX(0,N334-J334)</x:f>
        <x:v>0</x:v>
      </x:c>
      <x:c r="P334" s="105" t="n">
        <x:f>MAX(0,I334-O334)</x:f>
        <x:v>0</x:v>
      </x:c>
      <x:c r="Q334" s="106" t="n">
        <x:f>X333</x:f>
        <x:v>0</x:v>
      </x:c>
      <x:c r="R334" s="106" t="n">
        <x:f>IF(Q334&gt;0,Q334*'Your Mortgage'!$C$7/12,0)</x:f>
        <x:v>0</x:v>
      </x:c>
      <x:c r="S334" s="106" t="n">
        <x:f>IF(Q334&gt;0,MIN('Your Mortgage'!$C$11,Q334+R334),0)</x:f>
        <x:v>0</x:v>
      </x:c>
      <x:c r="T334" s="106" t="n">
        <x:f>IF(Q334&gt;0,MIN('Your Mortgage'!$I$6,MAX(0,Q334+R334-S334)),0)</x:f>
        <x:v>0</x:v>
      </x:c>
      <x:c r="U334" s="106" t="n">
        <x:f>IF(AND(A334='Your Mortgage'!$I$8,Q334&gt;0),MIN('Your Mortgage'!$I$7,MAX(0,Q334+R334-S334-T334)),0)</x:f>
        <x:v>0</x:v>
      </x:c>
      <x:c r="V334" s="106" t="n">
        <x:f>S334+T334+U334</x:f>
        <x:v>0</x:v>
      </x:c>
      <x:c r="W334" s="106" t="n">
        <x:f>MAX(0,V334-R334)</x:f>
        <x:v>0</x:v>
      </x:c>
      <x:c r="X334" s="106" t="n">
        <x:f>MAX(0,Q334-W334)</x:f>
        <x:v>0</x:v>
      </x:c>
      <x:c r="Y334" s="1"/>
      <x:c r="Z334" s="1"/>
    </x:row>
    <x:row r="335">
      <x:c r="A335" s="100" t="n">
        <x:f>A334+1</x:f>
        <x:v>330</x:v>
      </x:c>
      <x:c r="B335" s="103" t="n">
        <x:f>EDATE(B334,1)</x:f>
        <x:v>56250</x:v>
      </x:c>
      <x:c r="C335" s="104" t="n">
        <x:f>H334</x:f>
        <x:v>58476.10248155192</x:v>
      </x:c>
      <x:c r="D335" s="104" t="n">
        <x:f>IF(C335&gt;0,C335*'Your Mortgage'!$C$7/12,0)</x:f>
        <x:v>316.7455551084062</x:v>
      </x:c>
      <x:c r="E335" s="104" t="n">
        <x:f>IF(C335&gt;0,MIN('Your Mortgage'!$C$11,C335+D335),0)</x:f>
        <x:v>2054.2210763521375</x:v>
      </x:c>
      <x:c r="F335" s="104" t="n">
        <x:f>E335</x:f>
        <x:v>2054.2210763521375</x:v>
      </x:c>
      <x:c r="G335" s="104" t="n">
        <x:f>MAX(0,F335-D335)</x:f>
        <x:v>1737.4755212437312</x:v>
      </x:c>
      <x:c r="H335" s="104" t="n">
        <x:f>MAX(0,C335-G335)</x:f>
        <x:v>56738.62696030819</x:v>
      </x:c>
      <x:c r="I335" s="105" t="n">
        <x:f>P334</x:f>
        <x:v>0</x:v>
      </x:c>
      <x:c r="J335" s="105" t="n">
        <x:f>IF(I335&gt;0,I335*'Your Mortgage'!$C$7/12,0)</x:f>
        <x:v>0</x:v>
      </x:c>
      <x:c r="K335" s="105" t="n">
        <x:f>IF(I335&gt;0,MIN('Your Mortgage'!$C$11,I335+J335),0)</x:f>
        <x:v>0</x:v>
      </x:c>
      <x:c r="L335" s="105" t="n">
        <x:f>IF(I335&gt;0,MIN('Your Mortgage'!$F$6,MAX(0,I335+J335-K335)),0)</x:f>
        <x:v>0</x:v>
      </x:c>
      <x:c r="M335" s="105" t="n">
        <x:f>IF(AND(A335='Your Mortgage'!$F$8,I335&gt;0),MIN('Your Mortgage'!$F$7,MAX(0,I335+J335-K335-L335)),0)</x:f>
        <x:v>0</x:v>
      </x:c>
      <x:c r="N335" s="105" t="n">
        <x:f>K335+L335+M335</x:f>
        <x:v>0</x:v>
      </x:c>
      <x:c r="O335" s="105" t="n">
        <x:f>MAX(0,N335-J335)</x:f>
        <x:v>0</x:v>
      </x:c>
      <x:c r="P335" s="105" t="n">
        <x:f>MAX(0,I335-O335)</x:f>
        <x:v>0</x:v>
      </x:c>
      <x:c r="Q335" s="106" t="n">
        <x:f>X334</x:f>
        <x:v>0</x:v>
      </x:c>
      <x:c r="R335" s="106" t="n">
        <x:f>IF(Q335&gt;0,Q335*'Your Mortgage'!$C$7/12,0)</x:f>
        <x:v>0</x:v>
      </x:c>
      <x:c r="S335" s="106" t="n">
        <x:f>IF(Q335&gt;0,MIN('Your Mortgage'!$C$11,Q335+R335),0)</x:f>
        <x:v>0</x:v>
      </x:c>
      <x:c r="T335" s="106" t="n">
        <x:f>IF(Q335&gt;0,MIN('Your Mortgage'!$I$6,MAX(0,Q335+R335-S335)),0)</x:f>
        <x:v>0</x:v>
      </x:c>
      <x:c r="U335" s="106" t="n">
        <x:f>IF(AND(A335='Your Mortgage'!$I$8,Q335&gt;0),MIN('Your Mortgage'!$I$7,MAX(0,Q335+R335-S335-T335)),0)</x:f>
        <x:v>0</x:v>
      </x:c>
      <x:c r="V335" s="106" t="n">
        <x:f>S335+T335+U335</x:f>
        <x:v>0</x:v>
      </x:c>
      <x:c r="W335" s="106" t="n">
        <x:f>MAX(0,V335-R335)</x:f>
        <x:v>0</x:v>
      </x:c>
      <x:c r="X335" s="106" t="n">
        <x:f>MAX(0,Q335-W335)</x:f>
        <x:v>0</x:v>
      </x:c>
      <x:c r="Y335" s="1"/>
      <x:c r="Z335" s="1"/>
    </x:row>
    <x:row r="336">
      <x:c r="A336" s="100" t="n">
        <x:f>A335+1</x:f>
        <x:v>331</x:v>
      </x:c>
      <x:c r="B336" s="103" t="n">
        <x:f>EDATE(B335,1)</x:f>
        <x:v>56281</x:v>
      </x:c>
      <x:c r="C336" s="104" t="n">
        <x:f>H335</x:f>
        <x:v>56738.62696030819</x:v>
      </x:c>
      <x:c r="D336" s="104" t="n">
        <x:f>IF(C336&gt;0,C336*'Your Mortgage'!$C$7/12,0)</x:f>
        <x:v>307.334229368336</x:v>
      </x:c>
      <x:c r="E336" s="104" t="n">
        <x:f>IF(C336&gt;0,MIN('Your Mortgage'!$C$11,C336+D336),0)</x:f>
        <x:v>2054.2210763521375</x:v>
      </x:c>
      <x:c r="F336" s="104" t="n">
        <x:f>E336</x:f>
        <x:v>2054.2210763521375</x:v>
      </x:c>
      <x:c r="G336" s="104" t="n">
        <x:f>MAX(0,F336-D336)</x:f>
        <x:v>1746.8868469838014</x:v>
      </x:c>
      <x:c r="H336" s="104" t="n">
        <x:f>MAX(0,C336-G336)</x:f>
        <x:v>54991.74011332439</x:v>
      </x:c>
      <x:c r="I336" s="105" t="n">
        <x:f>P335</x:f>
        <x:v>0</x:v>
      </x:c>
      <x:c r="J336" s="105" t="n">
        <x:f>IF(I336&gt;0,I336*'Your Mortgage'!$C$7/12,0)</x:f>
        <x:v>0</x:v>
      </x:c>
      <x:c r="K336" s="105" t="n">
        <x:f>IF(I336&gt;0,MIN('Your Mortgage'!$C$11,I336+J336),0)</x:f>
        <x:v>0</x:v>
      </x:c>
      <x:c r="L336" s="105" t="n">
        <x:f>IF(I336&gt;0,MIN('Your Mortgage'!$F$6,MAX(0,I336+J336-K336)),0)</x:f>
        <x:v>0</x:v>
      </x:c>
      <x:c r="M336" s="105" t="n">
        <x:f>IF(AND(A336='Your Mortgage'!$F$8,I336&gt;0),MIN('Your Mortgage'!$F$7,MAX(0,I336+J336-K336-L336)),0)</x:f>
        <x:v>0</x:v>
      </x:c>
      <x:c r="N336" s="105" t="n">
        <x:f>K336+L336+M336</x:f>
        <x:v>0</x:v>
      </x:c>
      <x:c r="O336" s="105" t="n">
        <x:f>MAX(0,N336-J336)</x:f>
        <x:v>0</x:v>
      </x:c>
      <x:c r="P336" s="105" t="n">
        <x:f>MAX(0,I336-O336)</x:f>
        <x:v>0</x:v>
      </x:c>
      <x:c r="Q336" s="106" t="n">
        <x:f>X335</x:f>
        <x:v>0</x:v>
      </x:c>
      <x:c r="R336" s="106" t="n">
        <x:f>IF(Q336&gt;0,Q336*'Your Mortgage'!$C$7/12,0)</x:f>
        <x:v>0</x:v>
      </x:c>
      <x:c r="S336" s="106" t="n">
        <x:f>IF(Q336&gt;0,MIN('Your Mortgage'!$C$11,Q336+R336),0)</x:f>
        <x:v>0</x:v>
      </x:c>
      <x:c r="T336" s="106" t="n">
        <x:f>IF(Q336&gt;0,MIN('Your Mortgage'!$I$6,MAX(0,Q336+R336-S336)),0)</x:f>
        <x:v>0</x:v>
      </x:c>
      <x:c r="U336" s="106" t="n">
        <x:f>IF(AND(A336='Your Mortgage'!$I$8,Q336&gt;0),MIN('Your Mortgage'!$I$7,MAX(0,Q336+R336-S336-T336)),0)</x:f>
        <x:v>0</x:v>
      </x:c>
      <x:c r="V336" s="106" t="n">
        <x:f>S336+T336+U336</x:f>
        <x:v>0</x:v>
      </x:c>
      <x:c r="W336" s="106" t="n">
        <x:f>MAX(0,V336-R336)</x:f>
        <x:v>0</x:v>
      </x:c>
      <x:c r="X336" s="106" t="n">
        <x:f>MAX(0,Q336-W336)</x:f>
        <x:v>0</x:v>
      </x:c>
      <x:c r="Y336" s="1"/>
      <x:c r="Z336" s="1"/>
    </x:row>
    <x:row r="337">
      <x:c r="A337" s="100" t="n">
        <x:f>A336+1</x:f>
        <x:v>332</x:v>
      </x:c>
      <x:c r="B337" s="103" t="n">
        <x:f>EDATE(B336,1)</x:f>
        <x:v>56309</x:v>
      </x:c>
      <x:c r="C337" s="104" t="n">
        <x:f>H336</x:f>
        <x:v>54991.74011332439</x:v>
      </x:c>
      <x:c r="D337" s="104" t="n">
        <x:f>IF(C337&gt;0,C337*'Your Mortgage'!$C$7/12,0)</x:f>
        <x:v>297.87192561384046</x:v>
      </x:c>
      <x:c r="E337" s="104" t="n">
        <x:f>IF(C337&gt;0,MIN('Your Mortgage'!$C$11,C337+D337),0)</x:f>
        <x:v>2054.2210763521375</x:v>
      </x:c>
      <x:c r="F337" s="104" t="n">
        <x:f>E337</x:f>
        <x:v>2054.2210763521375</x:v>
      </x:c>
      <x:c r="G337" s="104" t="n">
        <x:f>MAX(0,F337-D337)</x:f>
        <x:v>1756.349150738297</x:v>
      </x:c>
      <x:c r="H337" s="104" t="n">
        <x:f>MAX(0,C337-G337)</x:f>
        <x:v>53235.39096258609</x:v>
      </x:c>
      <x:c r="I337" s="105" t="n">
        <x:f>P336</x:f>
        <x:v>0</x:v>
      </x:c>
      <x:c r="J337" s="105" t="n">
        <x:f>IF(I337&gt;0,I337*'Your Mortgage'!$C$7/12,0)</x:f>
        <x:v>0</x:v>
      </x:c>
      <x:c r="K337" s="105" t="n">
        <x:f>IF(I337&gt;0,MIN('Your Mortgage'!$C$11,I337+J337),0)</x:f>
        <x:v>0</x:v>
      </x:c>
      <x:c r="L337" s="105" t="n">
        <x:f>IF(I337&gt;0,MIN('Your Mortgage'!$F$6,MAX(0,I337+J337-K337)),0)</x:f>
        <x:v>0</x:v>
      </x:c>
      <x:c r="M337" s="105" t="n">
        <x:f>IF(AND(A337='Your Mortgage'!$F$8,I337&gt;0),MIN('Your Mortgage'!$F$7,MAX(0,I337+J337-K337-L337)),0)</x:f>
        <x:v>0</x:v>
      </x:c>
      <x:c r="N337" s="105" t="n">
        <x:f>K337+L337+M337</x:f>
        <x:v>0</x:v>
      </x:c>
      <x:c r="O337" s="105" t="n">
        <x:f>MAX(0,N337-J337)</x:f>
        <x:v>0</x:v>
      </x:c>
      <x:c r="P337" s="105" t="n">
        <x:f>MAX(0,I337-O337)</x:f>
        <x:v>0</x:v>
      </x:c>
      <x:c r="Q337" s="106" t="n">
        <x:f>X336</x:f>
        <x:v>0</x:v>
      </x:c>
      <x:c r="R337" s="106" t="n">
        <x:f>IF(Q337&gt;0,Q337*'Your Mortgage'!$C$7/12,0)</x:f>
        <x:v>0</x:v>
      </x:c>
      <x:c r="S337" s="106" t="n">
        <x:f>IF(Q337&gt;0,MIN('Your Mortgage'!$C$11,Q337+R337),0)</x:f>
        <x:v>0</x:v>
      </x:c>
      <x:c r="T337" s="106" t="n">
        <x:f>IF(Q337&gt;0,MIN('Your Mortgage'!$I$6,MAX(0,Q337+R337-S337)),0)</x:f>
        <x:v>0</x:v>
      </x:c>
      <x:c r="U337" s="106" t="n">
        <x:f>IF(AND(A337='Your Mortgage'!$I$8,Q337&gt;0),MIN('Your Mortgage'!$I$7,MAX(0,Q337+R337-S337-T337)),0)</x:f>
        <x:v>0</x:v>
      </x:c>
      <x:c r="V337" s="106" t="n">
        <x:f>S337+T337+U337</x:f>
        <x:v>0</x:v>
      </x:c>
      <x:c r="W337" s="106" t="n">
        <x:f>MAX(0,V337-R337)</x:f>
        <x:v>0</x:v>
      </x:c>
      <x:c r="X337" s="106" t="n">
        <x:f>MAX(0,Q337-W337)</x:f>
        <x:v>0</x:v>
      </x:c>
      <x:c r="Y337" s="1"/>
      <x:c r="Z337" s="1"/>
    </x:row>
    <x:row r="338">
      <x:c r="A338" s="100" t="n">
        <x:f>A337+1</x:f>
        <x:v>333</x:v>
      </x:c>
      <x:c r="B338" s="103" t="n">
        <x:f>EDATE(B337,1)</x:f>
        <x:v>56340</x:v>
      </x:c>
      <x:c r="C338" s="104" t="n">
        <x:f>H337</x:f>
        <x:v>53235.39096258609</x:v>
      </x:c>
      <x:c r="D338" s="104" t="n">
        <x:f>IF(C338&gt;0,C338*'Your Mortgage'!$C$7/12,0)</x:f>
        <x:v>288.358367714008</x:v>
      </x:c>
      <x:c r="E338" s="104" t="n">
        <x:f>IF(C338&gt;0,MIN('Your Mortgage'!$C$11,C338+D338),0)</x:f>
        <x:v>2054.2210763521375</x:v>
      </x:c>
      <x:c r="F338" s="104" t="n">
        <x:f>E338</x:f>
        <x:v>2054.2210763521375</x:v>
      </x:c>
      <x:c r="G338" s="104" t="n">
        <x:f>MAX(0,F338-D338)</x:f>
        <x:v>1765.8627086381296</x:v>
      </x:c>
      <x:c r="H338" s="104" t="n">
        <x:f>MAX(0,C338-G338)</x:f>
        <x:v>51469.52825394796</x:v>
      </x:c>
      <x:c r="I338" s="105" t="n">
        <x:f>P337</x:f>
        <x:v>0</x:v>
      </x:c>
      <x:c r="J338" s="105" t="n">
        <x:f>IF(I338&gt;0,I338*'Your Mortgage'!$C$7/12,0)</x:f>
        <x:v>0</x:v>
      </x:c>
      <x:c r="K338" s="105" t="n">
        <x:f>IF(I338&gt;0,MIN('Your Mortgage'!$C$11,I338+J338),0)</x:f>
        <x:v>0</x:v>
      </x:c>
      <x:c r="L338" s="105" t="n">
        <x:f>IF(I338&gt;0,MIN('Your Mortgage'!$F$6,MAX(0,I338+J338-K338)),0)</x:f>
        <x:v>0</x:v>
      </x:c>
      <x:c r="M338" s="105" t="n">
        <x:f>IF(AND(A338='Your Mortgage'!$F$8,I338&gt;0),MIN('Your Mortgage'!$F$7,MAX(0,I338+J338-K338-L338)),0)</x:f>
        <x:v>0</x:v>
      </x:c>
      <x:c r="N338" s="105" t="n">
        <x:f>K338+L338+M338</x:f>
        <x:v>0</x:v>
      </x:c>
      <x:c r="O338" s="105" t="n">
        <x:f>MAX(0,N338-J338)</x:f>
        <x:v>0</x:v>
      </x:c>
      <x:c r="P338" s="105" t="n">
        <x:f>MAX(0,I338-O338)</x:f>
        <x:v>0</x:v>
      </x:c>
      <x:c r="Q338" s="106" t="n">
        <x:f>X337</x:f>
        <x:v>0</x:v>
      </x:c>
      <x:c r="R338" s="106" t="n">
        <x:f>IF(Q338&gt;0,Q338*'Your Mortgage'!$C$7/12,0)</x:f>
        <x:v>0</x:v>
      </x:c>
      <x:c r="S338" s="106" t="n">
        <x:f>IF(Q338&gt;0,MIN('Your Mortgage'!$C$11,Q338+R338),0)</x:f>
        <x:v>0</x:v>
      </x:c>
      <x:c r="T338" s="106" t="n">
        <x:f>IF(Q338&gt;0,MIN('Your Mortgage'!$I$6,MAX(0,Q338+R338-S338)),0)</x:f>
        <x:v>0</x:v>
      </x:c>
      <x:c r="U338" s="106" t="n">
        <x:f>IF(AND(A338='Your Mortgage'!$I$8,Q338&gt;0),MIN('Your Mortgage'!$I$7,MAX(0,Q338+R338-S338-T338)),0)</x:f>
        <x:v>0</x:v>
      </x:c>
      <x:c r="V338" s="106" t="n">
        <x:f>S338+T338+U338</x:f>
        <x:v>0</x:v>
      </x:c>
      <x:c r="W338" s="106" t="n">
        <x:f>MAX(0,V338-R338)</x:f>
        <x:v>0</x:v>
      </x:c>
      <x:c r="X338" s="106" t="n">
        <x:f>MAX(0,Q338-W338)</x:f>
        <x:v>0</x:v>
      </x:c>
      <x:c r="Y338" s="1"/>
      <x:c r="Z338" s="1"/>
    </x:row>
    <x:row r="339">
      <x:c r="A339" s="100" t="n">
        <x:f>A338+1</x:f>
        <x:v>334</x:v>
      </x:c>
      <x:c r="B339" s="103" t="n">
        <x:f>EDATE(B338,1)</x:f>
        <x:v>56370</x:v>
      </x:c>
      <x:c r="C339" s="104" t="n">
        <x:f>H338</x:f>
        <x:v>51469.52825394796</x:v>
      </x:c>
      <x:c r="D339" s="104" t="n">
        <x:f>IF(C339&gt;0,C339*'Your Mortgage'!$C$7/12,0)</x:f>
        <x:v>278.7932780422181</x:v>
      </x:c>
      <x:c r="E339" s="104" t="n">
        <x:f>IF(C339&gt;0,MIN('Your Mortgage'!$C$11,C339+D339),0)</x:f>
        <x:v>2054.2210763521375</x:v>
      </x:c>
      <x:c r="F339" s="104" t="n">
        <x:f>E339</x:f>
        <x:v>2054.2210763521375</x:v>
      </x:c>
      <x:c r="G339" s="104" t="n">
        <x:f>MAX(0,F339-D339)</x:f>
        <x:v>1775.4277983099194</x:v>
      </x:c>
      <x:c r="H339" s="104" t="n">
        <x:f>MAX(0,C339-G339)</x:f>
        <x:v>49694.10045563804</x:v>
      </x:c>
      <x:c r="I339" s="105" t="n">
        <x:f>P338</x:f>
        <x:v>0</x:v>
      </x:c>
      <x:c r="J339" s="105" t="n">
        <x:f>IF(I339&gt;0,I339*'Your Mortgage'!$C$7/12,0)</x:f>
        <x:v>0</x:v>
      </x:c>
      <x:c r="K339" s="105" t="n">
        <x:f>IF(I339&gt;0,MIN('Your Mortgage'!$C$11,I339+J339),0)</x:f>
        <x:v>0</x:v>
      </x:c>
      <x:c r="L339" s="105" t="n">
        <x:f>IF(I339&gt;0,MIN('Your Mortgage'!$F$6,MAX(0,I339+J339-K339)),0)</x:f>
        <x:v>0</x:v>
      </x:c>
      <x:c r="M339" s="105" t="n">
        <x:f>IF(AND(A339='Your Mortgage'!$F$8,I339&gt;0),MIN('Your Mortgage'!$F$7,MAX(0,I339+J339-K339-L339)),0)</x:f>
        <x:v>0</x:v>
      </x:c>
      <x:c r="N339" s="105" t="n">
        <x:f>K339+L339+M339</x:f>
        <x:v>0</x:v>
      </x:c>
      <x:c r="O339" s="105" t="n">
        <x:f>MAX(0,N339-J339)</x:f>
        <x:v>0</x:v>
      </x:c>
      <x:c r="P339" s="105" t="n">
        <x:f>MAX(0,I339-O339)</x:f>
        <x:v>0</x:v>
      </x:c>
      <x:c r="Q339" s="106" t="n">
        <x:f>X338</x:f>
        <x:v>0</x:v>
      </x:c>
      <x:c r="R339" s="106" t="n">
        <x:f>IF(Q339&gt;0,Q339*'Your Mortgage'!$C$7/12,0)</x:f>
        <x:v>0</x:v>
      </x:c>
      <x:c r="S339" s="106" t="n">
        <x:f>IF(Q339&gt;0,MIN('Your Mortgage'!$C$11,Q339+R339),0)</x:f>
        <x:v>0</x:v>
      </x:c>
      <x:c r="T339" s="106" t="n">
        <x:f>IF(Q339&gt;0,MIN('Your Mortgage'!$I$6,MAX(0,Q339+R339-S339)),0)</x:f>
        <x:v>0</x:v>
      </x:c>
      <x:c r="U339" s="106" t="n">
        <x:f>IF(AND(A339='Your Mortgage'!$I$8,Q339&gt;0),MIN('Your Mortgage'!$I$7,MAX(0,Q339+R339-S339-T339)),0)</x:f>
        <x:v>0</x:v>
      </x:c>
      <x:c r="V339" s="106" t="n">
        <x:f>S339+T339+U339</x:f>
        <x:v>0</x:v>
      </x:c>
      <x:c r="W339" s="106" t="n">
        <x:f>MAX(0,V339-R339)</x:f>
        <x:v>0</x:v>
      </x:c>
      <x:c r="X339" s="106" t="n">
        <x:f>MAX(0,Q339-W339)</x:f>
        <x:v>0</x:v>
      </x:c>
      <x:c r="Y339" s="1"/>
      <x:c r="Z339" s="1"/>
    </x:row>
    <x:row r="340">
      <x:c r="A340" s="100" t="n">
        <x:f>A339+1</x:f>
        <x:v>335</x:v>
      </x:c>
      <x:c r="B340" s="103" t="n">
        <x:f>EDATE(B339,1)</x:f>
        <x:v>56401</x:v>
      </x:c>
      <x:c r="C340" s="104" t="n">
        <x:f>H339</x:f>
        <x:v>49694.10045563804</x:v>
      </x:c>
      <x:c r="D340" s="104" t="n">
        <x:f>IF(C340&gt;0,C340*'Your Mortgage'!$C$7/12,0)</x:f>
        <x:v>269.1763774680394</x:v>
      </x:c>
      <x:c r="E340" s="104" t="n">
        <x:f>IF(C340&gt;0,MIN('Your Mortgage'!$C$11,C340+D340),0)</x:f>
        <x:v>2054.2210763521375</x:v>
      </x:c>
      <x:c r="F340" s="104" t="n">
        <x:f>E340</x:f>
        <x:v>2054.2210763521375</x:v>
      </x:c>
      <x:c r="G340" s="104" t="n">
        <x:f>MAX(0,F340-D340)</x:f>
        <x:v>1785.0446988840981</x:v>
      </x:c>
      <x:c r="H340" s="104" t="n">
        <x:f>MAX(0,C340-G340)</x:f>
        <x:v>47909.05575675394</x:v>
      </x:c>
      <x:c r="I340" s="105" t="n">
        <x:f>P339</x:f>
        <x:v>0</x:v>
      </x:c>
      <x:c r="J340" s="105" t="n">
        <x:f>IF(I340&gt;0,I340*'Your Mortgage'!$C$7/12,0)</x:f>
        <x:v>0</x:v>
      </x:c>
      <x:c r="K340" s="105" t="n">
        <x:f>IF(I340&gt;0,MIN('Your Mortgage'!$C$11,I340+J340),0)</x:f>
        <x:v>0</x:v>
      </x:c>
      <x:c r="L340" s="105" t="n">
        <x:f>IF(I340&gt;0,MIN('Your Mortgage'!$F$6,MAX(0,I340+J340-K340)),0)</x:f>
        <x:v>0</x:v>
      </x:c>
      <x:c r="M340" s="105" t="n">
        <x:f>IF(AND(A340='Your Mortgage'!$F$8,I340&gt;0),MIN('Your Mortgage'!$F$7,MAX(0,I340+J340-K340-L340)),0)</x:f>
        <x:v>0</x:v>
      </x:c>
      <x:c r="N340" s="105" t="n">
        <x:f>K340+L340+M340</x:f>
        <x:v>0</x:v>
      </x:c>
      <x:c r="O340" s="105" t="n">
        <x:f>MAX(0,N340-J340)</x:f>
        <x:v>0</x:v>
      </x:c>
      <x:c r="P340" s="105" t="n">
        <x:f>MAX(0,I340-O340)</x:f>
        <x:v>0</x:v>
      </x:c>
      <x:c r="Q340" s="106" t="n">
        <x:f>X339</x:f>
        <x:v>0</x:v>
      </x:c>
      <x:c r="R340" s="106" t="n">
        <x:f>IF(Q340&gt;0,Q340*'Your Mortgage'!$C$7/12,0)</x:f>
        <x:v>0</x:v>
      </x:c>
      <x:c r="S340" s="106" t="n">
        <x:f>IF(Q340&gt;0,MIN('Your Mortgage'!$C$11,Q340+R340),0)</x:f>
        <x:v>0</x:v>
      </x:c>
      <x:c r="T340" s="106" t="n">
        <x:f>IF(Q340&gt;0,MIN('Your Mortgage'!$I$6,MAX(0,Q340+R340-S340)),0)</x:f>
        <x:v>0</x:v>
      </x:c>
      <x:c r="U340" s="106" t="n">
        <x:f>IF(AND(A340='Your Mortgage'!$I$8,Q340&gt;0),MIN('Your Mortgage'!$I$7,MAX(0,Q340+R340-S340-T340)),0)</x:f>
        <x:v>0</x:v>
      </x:c>
      <x:c r="V340" s="106" t="n">
        <x:f>S340+T340+U340</x:f>
        <x:v>0</x:v>
      </x:c>
      <x:c r="W340" s="106" t="n">
        <x:f>MAX(0,V340-R340)</x:f>
        <x:v>0</x:v>
      </x:c>
      <x:c r="X340" s="106" t="n">
        <x:f>MAX(0,Q340-W340)</x:f>
        <x:v>0</x:v>
      </x:c>
      <x:c r="Y340" s="1"/>
      <x:c r="Z340" s="1"/>
    </x:row>
    <x:row r="341">
      <x:c r="A341" s="100" t="n">
        <x:f>A340+1</x:f>
        <x:v>336</x:v>
      </x:c>
      <x:c r="B341" s="103" t="n">
        <x:f>EDATE(B340,1)</x:f>
        <x:v>56431</x:v>
      </x:c>
      <x:c r="C341" s="104" t="n">
        <x:f>H340</x:f>
        <x:v>47909.05575675394</x:v>
      </x:c>
      <x:c r="D341" s="104" t="n">
        <x:f>IF(C341&gt;0,C341*'Your Mortgage'!$C$7/12,0)</x:f>
        <x:v>259.5073853490839</x:v>
      </x:c>
      <x:c r="E341" s="104" t="n">
        <x:f>IF(C341&gt;0,MIN('Your Mortgage'!$C$11,C341+D341),0)</x:f>
        <x:v>2054.2210763521375</x:v>
      </x:c>
      <x:c r="F341" s="104" t="n">
        <x:f>E341</x:f>
        <x:v>2054.2210763521375</x:v>
      </x:c>
      <x:c r="G341" s="104" t="n">
        <x:f>MAX(0,F341-D341)</x:f>
        <x:v>1794.7136910030536</x:v>
      </x:c>
      <x:c r="H341" s="104" t="n">
        <x:f>MAX(0,C341-G341)</x:f>
        <x:v>46114.34206575089</x:v>
      </x:c>
      <x:c r="I341" s="105" t="n">
        <x:f>P340</x:f>
        <x:v>0</x:v>
      </x:c>
      <x:c r="J341" s="105" t="n">
        <x:f>IF(I341&gt;0,I341*'Your Mortgage'!$C$7/12,0)</x:f>
        <x:v>0</x:v>
      </x:c>
      <x:c r="K341" s="105" t="n">
        <x:f>IF(I341&gt;0,MIN('Your Mortgage'!$C$11,I341+J341),0)</x:f>
        <x:v>0</x:v>
      </x:c>
      <x:c r="L341" s="105" t="n">
        <x:f>IF(I341&gt;0,MIN('Your Mortgage'!$F$6,MAX(0,I341+J341-K341)),0)</x:f>
        <x:v>0</x:v>
      </x:c>
      <x:c r="M341" s="105" t="n">
        <x:f>IF(AND(A341='Your Mortgage'!$F$8,I341&gt;0),MIN('Your Mortgage'!$F$7,MAX(0,I341+J341-K341-L341)),0)</x:f>
        <x:v>0</x:v>
      </x:c>
      <x:c r="N341" s="105" t="n">
        <x:f>K341+L341+M341</x:f>
        <x:v>0</x:v>
      </x:c>
      <x:c r="O341" s="105" t="n">
        <x:f>MAX(0,N341-J341)</x:f>
        <x:v>0</x:v>
      </x:c>
      <x:c r="P341" s="105" t="n">
        <x:f>MAX(0,I341-O341)</x:f>
        <x:v>0</x:v>
      </x:c>
      <x:c r="Q341" s="106" t="n">
        <x:f>X340</x:f>
        <x:v>0</x:v>
      </x:c>
      <x:c r="R341" s="106" t="n">
        <x:f>IF(Q341&gt;0,Q341*'Your Mortgage'!$C$7/12,0)</x:f>
        <x:v>0</x:v>
      </x:c>
      <x:c r="S341" s="106" t="n">
        <x:f>IF(Q341&gt;0,MIN('Your Mortgage'!$C$11,Q341+R341),0)</x:f>
        <x:v>0</x:v>
      </x:c>
      <x:c r="T341" s="106" t="n">
        <x:f>IF(Q341&gt;0,MIN('Your Mortgage'!$I$6,MAX(0,Q341+R341-S341)),0)</x:f>
        <x:v>0</x:v>
      </x:c>
      <x:c r="U341" s="106" t="n">
        <x:f>IF(AND(A341='Your Mortgage'!$I$8,Q341&gt;0),MIN('Your Mortgage'!$I$7,MAX(0,Q341+R341-S341-T341)),0)</x:f>
        <x:v>0</x:v>
      </x:c>
      <x:c r="V341" s="106" t="n">
        <x:f>S341+T341+U341</x:f>
        <x:v>0</x:v>
      </x:c>
      <x:c r="W341" s="106" t="n">
        <x:f>MAX(0,V341-R341)</x:f>
        <x:v>0</x:v>
      </x:c>
      <x:c r="X341" s="106" t="n">
        <x:f>MAX(0,Q341-W341)</x:f>
        <x:v>0</x:v>
      </x:c>
      <x:c r="Y341" s="1"/>
      <x:c r="Z341" s="1"/>
    </x:row>
    <x:row r="342">
      <x:c r="A342" s="100" t="n">
        <x:f>A341+1</x:f>
        <x:v>337</x:v>
      </x:c>
      <x:c r="B342" s="103" t="n">
        <x:f>EDATE(B341,1)</x:f>
        <x:v>56462</x:v>
      </x:c>
      <x:c r="C342" s="104" t="n">
        <x:f>H341</x:f>
        <x:v>46114.34206575089</x:v>
      </x:c>
      <x:c r="D342" s="104" t="n">
        <x:f>IF(C342&gt;0,C342*'Your Mortgage'!$C$7/12,0)</x:f>
        <x:v>249.78601952281733</x:v>
      </x:c>
      <x:c r="E342" s="104" t="n">
        <x:f>IF(C342&gt;0,MIN('Your Mortgage'!$C$11,C342+D342),0)</x:f>
        <x:v>2054.2210763521375</x:v>
      </x:c>
      <x:c r="F342" s="104" t="n">
        <x:f>E342</x:f>
        <x:v>2054.2210763521375</x:v>
      </x:c>
      <x:c r="G342" s="104" t="n">
        <x:f>MAX(0,F342-D342)</x:f>
        <x:v>1804.4350568293203</x:v>
      </x:c>
      <x:c r="H342" s="104" t="n">
        <x:f>MAX(0,C342-G342)</x:f>
        <x:v>44309.90700892157</x:v>
      </x:c>
      <x:c r="I342" s="105" t="n">
        <x:f>P341</x:f>
        <x:v>0</x:v>
      </x:c>
      <x:c r="J342" s="105" t="n">
        <x:f>IF(I342&gt;0,I342*'Your Mortgage'!$C$7/12,0)</x:f>
        <x:v>0</x:v>
      </x:c>
      <x:c r="K342" s="105" t="n">
        <x:f>IF(I342&gt;0,MIN('Your Mortgage'!$C$11,I342+J342),0)</x:f>
        <x:v>0</x:v>
      </x:c>
      <x:c r="L342" s="105" t="n">
        <x:f>IF(I342&gt;0,MIN('Your Mortgage'!$F$6,MAX(0,I342+J342-K342)),0)</x:f>
        <x:v>0</x:v>
      </x:c>
      <x:c r="M342" s="105" t="n">
        <x:f>IF(AND(A342='Your Mortgage'!$F$8,I342&gt;0),MIN('Your Mortgage'!$F$7,MAX(0,I342+J342-K342-L342)),0)</x:f>
        <x:v>0</x:v>
      </x:c>
      <x:c r="N342" s="105" t="n">
        <x:f>K342+L342+M342</x:f>
        <x:v>0</x:v>
      </x:c>
      <x:c r="O342" s="105" t="n">
        <x:f>MAX(0,N342-J342)</x:f>
        <x:v>0</x:v>
      </x:c>
      <x:c r="P342" s="105" t="n">
        <x:f>MAX(0,I342-O342)</x:f>
        <x:v>0</x:v>
      </x:c>
      <x:c r="Q342" s="106" t="n">
        <x:f>X341</x:f>
        <x:v>0</x:v>
      </x:c>
      <x:c r="R342" s="106" t="n">
        <x:f>IF(Q342&gt;0,Q342*'Your Mortgage'!$C$7/12,0)</x:f>
        <x:v>0</x:v>
      </x:c>
      <x:c r="S342" s="106" t="n">
        <x:f>IF(Q342&gt;0,MIN('Your Mortgage'!$C$11,Q342+R342),0)</x:f>
        <x:v>0</x:v>
      </x:c>
      <x:c r="T342" s="106" t="n">
        <x:f>IF(Q342&gt;0,MIN('Your Mortgage'!$I$6,MAX(0,Q342+R342-S342)),0)</x:f>
        <x:v>0</x:v>
      </x:c>
      <x:c r="U342" s="106" t="n">
        <x:f>IF(AND(A342='Your Mortgage'!$I$8,Q342&gt;0),MIN('Your Mortgage'!$I$7,MAX(0,Q342+R342-S342-T342)),0)</x:f>
        <x:v>0</x:v>
      </x:c>
      <x:c r="V342" s="106" t="n">
        <x:f>S342+T342+U342</x:f>
        <x:v>0</x:v>
      </x:c>
      <x:c r="W342" s="106" t="n">
        <x:f>MAX(0,V342-R342)</x:f>
        <x:v>0</x:v>
      </x:c>
      <x:c r="X342" s="106" t="n">
        <x:f>MAX(0,Q342-W342)</x:f>
        <x:v>0</x:v>
      </x:c>
      <x:c r="Y342" s="1"/>
      <x:c r="Z342" s="1"/>
    </x:row>
    <x:row r="343">
      <x:c r="A343" s="100" t="n">
        <x:f>A342+1</x:f>
        <x:v>338</x:v>
      </x:c>
      <x:c r="B343" s="103" t="n">
        <x:f>EDATE(B342,1)</x:f>
        <x:v>56493</x:v>
      </x:c>
      <x:c r="C343" s="104" t="n">
        <x:f>H342</x:f>
        <x:v>44309.90700892157</x:v>
      </x:c>
      <x:c r="D343" s="104" t="n">
        <x:f>IF(C343&gt;0,C343*'Your Mortgage'!$C$7/12,0)</x:f>
        <x:v>240.01199629832516</x:v>
      </x:c>
      <x:c r="E343" s="104" t="n">
        <x:f>IF(C343&gt;0,MIN('Your Mortgage'!$C$11,C343+D343),0)</x:f>
        <x:v>2054.2210763521375</x:v>
      </x:c>
      <x:c r="F343" s="104" t="n">
        <x:f>E343</x:f>
        <x:v>2054.2210763521375</x:v>
      </x:c>
      <x:c r="G343" s="104" t="n">
        <x:f>MAX(0,F343-D343)</x:f>
        <x:v>1814.2090800538124</x:v>
      </x:c>
      <x:c r="H343" s="104" t="n">
        <x:f>MAX(0,C343-G343)</x:f>
        <x:v>42495.697928867754</x:v>
      </x:c>
      <x:c r="I343" s="105" t="n">
        <x:f>P342</x:f>
        <x:v>0</x:v>
      </x:c>
      <x:c r="J343" s="105" t="n">
        <x:f>IF(I343&gt;0,I343*'Your Mortgage'!$C$7/12,0)</x:f>
        <x:v>0</x:v>
      </x:c>
      <x:c r="K343" s="105" t="n">
        <x:f>IF(I343&gt;0,MIN('Your Mortgage'!$C$11,I343+J343),0)</x:f>
        <x:v>0</x:v>
      </x:c>
      <x:c r="L343" s="105" t="n">
        <x:f>IF(I343&gt;0,MIN('Your Mortgage'!$F$6,MAX(0,I343+J343-K343)),0)</x:f>
        <x:v>0</x:v>
      </x:c>
      <x:c r="M343" s="105" t="n">
        <x:f>IF(AND(A343='Your Mortgage'!$F$8,I343&gt;0),MIN('Your Mortgage'!$F$7,MAX(0,I343+J343-K343-L343)),0)</x:f>
        <x:v>0</x:v>
      </x:c>
      <x:c r="N343" s="105" t="n">
        <x:f>K343+L343+M343</x:f>
        <x:v>0</x:v>
      </x:c>
      <x:c r="O343" s="105" t="n">
        <x:f>MAX(0,N343-J343)</x:f>
        <x:v>0</x:v>
      </x:c>
      <x:c r="P343" s="105" t="n">
        <x:f>MAX(0,I343-O343)</x:f>
        <x:v>0</x:v>
      </x:c>
      <x:c r="Q343" s="106" t="n">
        <x:f>X342</x:f>
        <x:v>0</x:v>
      </x:c>
      <x:c r="R343" s="106" t="n">
        <x:f>IF(Q343&gt;0,Q343*'Your Mortgage'!$C$7/12,0)</x:f>
        <x:v>0</x:v>
      </x:c>
      <x:c r="S343" s="106" t="n">
        <x:f>IF(Q343&gt;0,MIN('Your Mortgage'!$C$11,Q343+R343),0)</x:f>
        <x:v>0</x:v>
      </x:c>
      <x:c r="T343" s="106" t="n">
        <x:f>IF(Q343&gt;0,MIN('Your Mortgage'!$I$6,MAX(0,Q343+R343-S343)),0)</x:f>
        <x:v>0</x:v>
      </x:c>
      <x:c r="U343" s="106" t="n">
        <x:f>IF(AND(A343='Your Mortgage'!$I$8,Q343&gt;0),MIN('Your Mortgage'!$I$7,MAX(0,Q343+R343-S343-T343)),0)</x:f>
        <x:v>0</x:v>
      </x:c>
      <x:c r="V343" s="106" t="n">
        <x:f>S343+T343+U343</x:f>
        <x:v>0</x:v>
      </x:c>
      <x:c r="W343" s="106" t="n">
        <x:f>MAX(0,V343-R343)</x:f>
        <x:v>0</x:v>
      </x:c>
      <x:c r="X343" s="106" t="n">
        <x:f>MAX(0,Q343-W343)</x:f>
        <x:v>0</x:v>
      </x:c>
      <x:c r="Y343" s="1"/>
      <x:c r="Z343" s="1"/>
    </x:row>
    <x:row r="344">
      <x:c r="A344" s="100" t="n">
        <x:f>A343+1</x:f>
        <x:v>339</x:v>
      </x:c>
      <x:c r="B344" s="103" t="n">
        <x:f>EDATE(B343,1)</x:f>
        <x:v>56523</x:v>
      </x:c>
      <x:c r="C344" s="104" t="n">
        <x:f>H343</x:f>
        <x:v>42495.697928867754</x:v>
      </x:c>
      <x:c r="D344" s="104" t="n">
        <x:f>IF(C344&gt;0,C344*'Your Mortgage'!$C$7/12,0)</x:f>
        <x:v>230.18503044803367</x:v>
      </x:c>
      <x:c r="E344" s="104" t="n">
        <x:f>IF(C344&gt;0,MIN('Your Mortgage'!$C$11,C344+D344),0)</x:f>
        <x:v>2054.2210763521375</x:v>
      </x:c>
      <x:c r="F344" s="104" t="n">
        <x:f>E344</x:f>
        <x:v>2054.2210763521375</x:v>
      </x:c>
      <x:c r="G344" s="104" t="n">
        <x:f>MAX(0,F344-D344)</x:f>
        <x:v>1824.036045904104</x:v>
      </x:c>
      <x:c r="H344" s="104" t="n">
        <x:f>MAX(0,C344-G344)</x:f>
        <x:v>40671.66188296365</x:v>
      </x:c>
      <x:c r="I344" s="105" t="n">
        <x:f>P343</x:f>
        <x:v>0</x:v>
      </x:c>
      <x:c r="J344" s="105" t="n">
        <x:f>IF(I344&gt;0,I344*'Your Mortgage'!$C$7/12,0)</x:f>
        <x:v>0</x:v>
      </x:c>
      <x:c r="K344" s="105" t="n">
        <x:f>IF(I344&gt;0,MIN('Your Mortgage'!$C$11,I344+J344),0)</x:f>
        <x:v>0</x:v>
      </x:c>
      <x:c r="L344" s="105" t="n">
        <x:f>IF(I344&gt;0,MIN('Your Mortgage'!$F$6,MAX(0,I344+J344-K344)),0)</x:f>
        <x:v>0</x:v>
      </x:c>
      <x:c r="M344" s="105" t="n">
        <x:f>IF(AND(A344='Your Mortgage'!$F$8,I344&gt;0),MIN('Your Mortgage'!$F$7,MAX(0,I344+J344-K344-L344)),0)</x:f>
        <x:v>0</x:v>
      </x:c>
      <x:c r="N344" s="105" t="n">
        <x:f>K344+L344+M344</x:f>
        <x:v>0</x:v>
      </x:c>
      <x:c r="O344" s="105" t="n">
        <x:f>MAX(0,N344-J344)</x:f>
        <x:v>0</x:v>
      </x:c>
      <x:c r="P344" s="105" t="n">
        <x:f>MAX(0,I344-O344)</x:f>
        <x:v>0</x:v>
      </x:c>
      <x:c r="Q344" s="106" t="n">
        <x:f>X343</x:f>
        <x:v>0</x:v>
      </x:c>
      <x:c r="R344" s="106" t="n">
        <x:f>IF(Q344&gt;0,Q344*'Your Mortgage'!$C$7/12,0)</x:f>
        <x:v>0</x:v>
      </x:c>
      <x:c r="S344" s="106" t="n">
        <x:f>IF(Q344&gt;0,MIN('Your Mortgage'!$C$11,Q344+R344),0)</x:f>
        <x:v>0</x:v>
      </x:c>
      <x:c r="T344" s="106" t="n">
        <x:f>IF(Q344&gt;0,MIN('Your Mortgage'!$I$6,MAX(0,Q344+R344-S344)),0)</x:f>
        <x:v>0</x:v>
      </x:c>
      <x:c r="U344" s="106" t="n">
        <x:f>IF(AND(A344='Your Mortgage'!$I$8,Q344&gt;0),MIN('Your Mortgage'!$I$7,MAX(0,Q344+R344-S344-T344)),0)</x:f>
        <x:v>0</x:v>
      </x:c>
      <x:c r="V344" s="106" t="n">
        <x:f>S344+T344+U344</x:f>
        <x:v>0</x:v>
      </x:c>
      <x:c r="W344" s="106" t="n">
        <x:f>MAX(0,V344-R344)</x:f>
        <x:v>0</x:v>
      </x:c>
      <x:c r="X344" s="106" t="n">
        <x:f>MAX(0,Q344-W344)</x:f>
        <x:v>0</x:v>
      </x:c>
      <x:c r="Y344" s="1"/>
      <x:c r="Z344" s="1"/>
    </x:row>
    <x:row r="345">
      <x:c r="A345" s="100" t="n">
        <x:f>A344+1</x:f>
        <x:v>340</x:v>
      </x:c>
      <x:c r="B345" s="103" t="n">
        <x:f>EDATE(B344,1)</x:f>
        <x:v>56554</x:v>
      </x:c>
      <x:c r="C345" s="104" t="n">
        <x:f>H344</x:f>
        <x:v>40671.66188296365</x:v>
      </x:c>
      <x:c r="D345" s="104" t="n">
        <x:f>IF(C345&gt;0,C345*'Your Mortgage'!$C$7/12,0)</x:f>
        <x:v>220.30483519938642</x:v>
      </x:c>
      <x:c r="E345" s="104" t="n">
        <x:f>IF(C345&gt;0,MIN('Your Mortgage'!$C$11,C345+D345),0)</x:f>
        <x:v>2054.2210763521375</x:v>
      </x:c>
      <x:c r="F345" s="104" t="n">
        <x:f>E345</x:f>
        <x:v>2054.2210763521375</x:v>
      </x:c>
      <x:c r="G345" s="104" t="n">
        <x:f>MAX(0,F345-D345)</x:f>
        <x:v>1833.9162411527511</x:v>
      </x:c>
      <x:c r="H345" s="104" t="n">
        <x:f>MAX(0,C345-G345)</x:f>
        <x:v>38837.7456418109</x:v>
      </x:c>
      <x:c r="I345" s="105" t="n">
        <x:f>P344</x:f>
        <x:v>0</x:v>
      </x:c>
      <x:c r="J345" s="105" t="n">
        <x:f>IF(I345&gt;0,I345*'Your Mortgage'!$C$7/12,0)</x:f>
        <x:v>0</x:v>
      </x:c>
      <x:c r="K345" s="105" t="n">
        <x:f>IF(I345&gt;0,MIN('Your Mortgage'!$C$11,I345+J345),0)</x:f>
        <x:v>0</x:v>
      </x:c>
      <x:c r="L345" s="105" t="n">
        <x:f>IF(I345&gt;0,MIN('Your Mortgage'!$F$6,MAX(0,I345+J345-K345)),0)</x:f>
        <x:v>0</x:v>
      </x:c>
      <x:c r="M345" s="105" t="n">
        <x:f>IF(AND(A345='Your Mortgage'!$F$8,I345&gt;0),MIN('Your Mortgage'!$F$7,MAX(0,I345+J345-K345-L345)),0)</x:f>
        <x:v>0</x:v>
      </x:c>
      <x:c r="N345" s="105" t="n">
        <x:f>K345+L345+M345</x:f>
        <x:v>0</x:v>
      </x:c>
      <x:c r="O345" s="105" t="n">
        <x:f>MAX(0,N345-J345)</x:f>
        <x:v>0</x:v>
      </x:c>
      <x:c r="P345" s="105" t="n">
        <x:f>MAX(0,I345-O345)</x:f>
        <x:v>0</x:v>
      </x:c>
      <x:c r="Q345" s="106" t="n">
        <x:f>X344</x:f>
        <x:v>0</x:v>
      </x:c>
      <x:c r="R345" s="106" t="n">
        <x:f>IF(Q345&gt;0,Q345*'Your Mortgage'!$C$7/12,0)</x:f>
        <x:v>0</x:v>
      </x:c>
      <x:c r="S345" s="106" t="n">
        <x:f>IF(Q345&gt;0,MIN('Your Mortgage'!$C$11,Q345+R345),0)</x:f>
        <x:v>0</x:v>
      </x:c>
      <x:c r="T345" s="106" t="n">
        <x:f>IF(Q345&gt;0,MIN('Your Mortgage'!$I$6,MAX(0,Q345+R345-S345)),0)</x:f>
        <x:v>0</x:v>
      </x:c>
      <x:c r="U345" s="106" t="n">
        <x:f>IF(AND(A345='Your Mortgage'!$I$8,Q345&gt;0),MIN('Your Mortgage'!$I$7,MAX(0,Q345+R345-S345-T345)),0)</x:f>
        <x:v>0</x:v>
      </x:c>
      <x:c r="V345" s="106" t="n">
        <x:f>S345+T345+U345</x:f>
        <x:v>0</x:v>
      </x:c>
      <x:c r="W345" s="106" t="n">
        <x:f>MAX(0,V345-R345)</x:f>
        <x:v>0</x:v>
      </x:c>
      <x:c r="X345" s="106" t="n">
        <x:f>MAX(0,Q345-W345)</x:f>
        <x:v>0</x:v>
      </x:c>
      <x:c r="Y345" s="1"/>
      <x:c r="Z345" s="1"/>
    </x:row>
    <x:row r="346">
      <x:c r="A346" s="100" t="n">
        <x:f>A345+1</x:f>
        <x:v>341</x:v>
      </x:c>
      <x:c r="B346" s="103" t="n">
        <x:f>EDATE(B345,1)</x:f>
        <x:v>56584</x:v>
      </x:c>
      <x:c r="C346" s="104" t="n">
        <x:f>H345</x:f>
        <x:v>38837.7456418109</x:v>
      </x:c>
      <x:c r="D346" s="104" t="n">
        <x:f>IF(C346&gt;0,C346*'Your Mortgage'!$C$7/12,0)</x:f>
        <x:v>210.3711222264757</x:v>
      </x:c>
      <x:c r="E346" s="104" t="n">
        <x:f>IF(C346&gt;0,MIN('Your Mortgage'!$C$11,C346+D346),0)</x:f>
        <x:v>2054.2210763521375</x:v>
      </x:c>
      <x:c r="F346" s="104" t="n">
        <x:f>E346</x:f>
        <x:v>2054.2210763521375</x:v>
      </x:c>
      <x:c r="G346" s="104" t="n">
        <x:f>MAX(0,F346-D346)</x:f>
        <x:v>1843.8499541256617</x:v>
      </x:c>
      <x:c r="H346" s="104" t="n">
        <x:f>MAX(0,C346-G346)</x:f>
        <x:v>36993.89568768524</x:v>
      </x:c>
      <x:c r="I346" s="105" t="n">
        <x:f>P345</x:f>
        <x:v>0</x:v>
      </x:c>
      <x:c r="J346" s="105" t="n">
        <x:f>IF(I346&gt;0,I346*'Your Mortgage'!$C$7/12,0)</x:f>
        <x:v>0</x:v>
      </x:c>
      <x:c r="K346" s="105" t="n">
        <x:f>IF(I346&gt;0,MIN('Your Mortgage'!$C$11,I346+J346),0)</x:f>
        <x:v>0</x:v>
      </x:c>
      <x:c r="L346" s="105" t="n">
        <x:f>IF(I346&gt;0,MIN('Your Mortgage'!$F$6,MAX(0,I346+J346-K346)),0)</x:f>
        <x:v>0</x:v>
      </x:c>
      <x:c r="M346" s="105" t="n">
        <x:f>IF(AND(A346='Your Mortgage'!$F$8,I346&gt;0),MIN('Your Mortgage'!$F$7,MAX(0,I346+J346-K346-L346)),0)</x:f>
        <x:v>0</x:v>
      </x:c>
      <x:c r="N346" s="105" t="n">
        <x:f>K346+L346+M346</x:f>
        <x:v>0</x:v>
      </x:c>
      <x:c r="O346" s="105" t="n">
        <x:f>MAX(0,N346-J346)</x:f>
        <x:v>0</x:v>
      </x:c>
      <x:c r="P346" s="105" t="n">
        <x:f>MAX(0,I346-O346)</x:f>
        <x:v>0</x:v>
      </x:c>
      <x:c r="Q346" s="106" t="n">
        <x:f>X345</x:f>
        <x:v>0</x:v>
      </x:c>
      <x:c r="R346" s="106" t="n">
        <x:f>IF(Q346&gt;0,Q346*'Your Mortgage'!$C$7/12,0)</x:f>
        <x:v>0</x:v>
      </x:c>
      <x:c r="S346" s="106" t="n">
        <x:f>IF(Q346&gt;0,MIN('Your Mortgage'!$C$11,Q346+R346),0)</x:f>
        <x:v>0</x:v>
      </x:c>
      <x:c r="T346" s="106" t="n">
        <x:f>IF(Q346&gt;0,MIN('Your Mortgage'!$I$6,MAX(0,Q346+R346-S346)),0)</x:f>
        <x:v>0</x:v>
      </x:c>
      <x:c r="U346" s="106" t="n">
        <x:f>IF(AND(A346='Your Mortgage'!$I$8,Q346&gt;0),MIN('Your Mortgage'!$I$7,MAX(0,Q346+R346-S346-T346)),0)</x:f>
        <x:v>0</x:v>
      </x:c>
      <x:c r="V346" s="106" t="n">
        <x:f>S346+T346+U346</x:f>
        <x:v>0</x:v>
      </x:c>
      <x:c r="W346" s="106" t="n">
        <x:f>MAX(0,V346-R346)</x:f>
        <x:v>0</x:v>
      </x:c>
      <x:c r="X346" s="106" t="n">
        <x:f>MAX(0,Q346-W346)</x:f>
        <x:v>0</x:v>
      </x:c>
      <x:c r="Y346" s="1"/>
      <x:c r="Z346" s="1"/>
    </x:row>
    <x:row r="347">
      <x:c r="A347" s="100" t="n">
        <x:f>A346+1</x:f>
        <x:v>342</x:v>
      </x:c>
      <x:c r="B347" s="103" t="n">
        <x:f>EDATE(B346,1)</x:f>
        <x:v>56615</x:v>
      </x:c>
      <x:c r="C347" s="104" t="n">
        <x:f>H346</x:f>
        <x:v>36993.89568768524</x:v>
      </x:c>
      <x:c r="D347" s="104" t="n">
        <x:f>IF(C347&gt;0,C347*'Your Mortgage'!$C$7/12,0)</x:f>
        <x:v>200.3836016416284</x:v>
      </x:c>
      <x:c r="E347" s="104" t="n">
        <x:f>IF(C347&gt;0,MIN('Your Mortgage'!$C$11,C347+D347),0)</x:f>
        <x:v>2054.2210763521375</x:v>
      </x:c>
      <x:c r="F347" s="104" t="n">
        <x:f>E347</x:f>
        <x:v>2054.2210763521375</x:v>
      </x:c>
      <x:c r="G347" s="104" t="n">
        <x:f>MAX(0,F347-D347)</x:f>
        <x:v>1853.837474710509</x:v>
      </x:c>
      <x:c r="H347" s="104" t="n">
        <x:f>MAX(0,C347-G347)</x:f>
        <x:v>35140.05821297473</x:v>
      </x:c>
      <x:c r="I347" s="105" t="n">
        <x:f>P346</x:f>
        <x:v>0</x:v>
      </x:c>
      <x:c r="J347" s="105" t="n">
        <x:f>IF(I347&gt;0,I347*'Your Mortgage'!$C$7/12,0)</x:f>
        <x:v>0</x:v>
      </x:c>
      <x:c r="K347" s="105" t="n">
        <x:f>IF(I347&gt;0,MIN('Your Mortgage'!$C$11,I347+J347),0)</x:f>
        <x:v>0</x:v>
      </x:c>
      <x:c r="L347" s="105" t="n">
        <x:f>IF(I347&gt;0,MIN('Your Mortgage'!$F$6,MAX(0,I347+J347-K347)),0)</x:f>
        <x:v>0</x:v>
      </x:c>
      <x:c r="M347" s="105" t="n">
        <x:f>IF(AND(A347='Your Mortgage'!$F$8,I347&gt;0),MIN('Your Mortgage'!$F$7,MAX(0,I347+J347-K347-L347)),0)</x:f>
        <x:v>0</x:v>
      </x:c>
      <x:c r="N347" s="105" t="n">
        <x:f>K347+L347+M347</x:f>
        <x:v>0</x:v>
      </x:c>
      <x:c r="O347" s="105" t="n">
        <x:f>MAX(0,N347-J347)</x:f>
        <x:v>0</x:v>
      </x:c>
      <x:c r="P347" s="105" t="n">
        <x:f>MAX(0,I347-O347)</x:f>
        <x:v>0</x:v>
      </x:c>
      <x:c r="Q347" s="106" t="n">
        <x:f>X346</x:f>
        <x:v>0</x:v>
      </x:c>
      <x:c r="R347" s="106" t="n">
        <x:f>IF(Q347&gt;0,Q347*'Your Mortgage'!$C$7/12,0)</x:f>
        <x:v>0</x:v>
      </x:c>
      <x:c r="S347" s="106" t="n">
        <x:f>IF(Q347&gt;0,MIN('Your Mortgage'!$C$11,Q347+R347),0)</x:f>
        <x:v>0</x:v>
      </x:c>
      <x:c r="T347" s="106" t="n">
        <x:f>IF(Q347&gt;0,MIN('Your Mortgage'!$I$6,MAX(0,Q347+R347-S347)),0)</x:f>
        <x:v>0</x:v>
      </x:c>
      <x:c r="U347" s="106" t="n">
        <x:f>IF(AND(A347='Your Mortgage'!$I$8,Q347&gt;0),MIN('Your Mortgage'!$I$7,MAX(0,Q347+R347-S347-T347)),0)</x:f>
        <x:v>0</x:v>
      </x:c>
      <x:c r="V347" s="106" t="n">
        <x:f>S347+T347+U347</x:f>
        <x:v>0</x:v>
      </x:c>
      <x:c r="W347" s="106" t="n">
        <x:f>MAX(0,V347-R347)</x:f>
        <x:v>0</x:v>
      </x:c>
      <x:c r="X347" s="106" t="n">
        <x:f>MAX(0,Q347-W347)</x:f>
        <x:v>0</x:v>
      </x:c>
      <x:c r="Y347" s="1"/>
      <x:c r="Z347" s="1"/>
    </x:row>
    <x:row r="348">
      <x:c r="A348" s="100" t="n">
        <x:f>A347+1</x:f>
        <x:v>343</x:v>
      </x:c>
      <x:c r="B348" s="103" t="n">
        <x:f>EDATE(B347,1)</x:f>
        <x:v>56646</x:v>
      </x:c>
      <x:c r="C348" s="104" t="n">
        <x:f>H347</x:f>
        <x:v>35140.05821297473</x:v>
      </x:c>
      <x:c r="D348" s="104" t="n">
        <x:f>IF(C348&gt;0,C348*'Your Mortgage'!$C$7/12,0)</x:f>
        <x:v>190.34198198694642</x:v>
      </x:c>
      <x:c r="E348" s="104" t="n">
        <x:f>IF(C348&gt;0,MIN('Your Mortgage'!$C$11,C348+D348),0)</x:f>
        <x:v>2054.2210763521375</x:v>
      </x:c>
      <x:c r="F348" s="104" t="n">
        <x:f>E348</x:f>
        <x:v>2054.2210763521375</x:v>
      </x:c>
      <x:c r="G348" s="104" t="n">
        <x:f>MAX(0,F348-D348)</x:f>
        <x:v>1863.8790943651911</x:v>
      </x:c>
      <x:c r="H348" s="104" t="n">
        <x:f>MAX(0,C348-G348)</x:f>
        <x:v>33276.179118609536</x:v>
      </x:c>
      <x:c r="I348" s="105" t="n">
        <x:f>P347</x:f>
        <x:v>0</x:v>
      </x:c>
      <x:c r="J348" s="105" t="n">
        <x:f>IF(I348&gt;0,I348*'Your Mortgage'!$C$7/12,0)</x:f>
        <x:v>0</x:v>
      </x:c>
      <x:c r="K348" s="105" t="n">
        <x:f>IF(I348&gt;0,MIN('Your Mortgage'!$C$11,I348+J348),0)</x:f>
        <x:v>0</x:v>
      </x:c>
      <x:c r="L348" s="105" t="n">
        <x:f>IF(I348&gt;0,MIN('Your Mortgage'!$F$6,MAX(0,I348+J348-K348)),0)</x:f>
        <x:v>0</x:v>
      </x:c>
      <x:c r="M348" s="105" t="n">
        <x:f>IF(AND(A348='Your Mortgage'!$F$8,I348&gt;0),MIN('Your Mortgage'!$F$7,MAX(0,I348+J348-K348-L348)),0)</x:f>
        <x:v>0</x:v>
      </x:c>
      <x:c r="N348" s="105" t="n">
        <x:f>K348+L348+M348</x:f>
        <x:v>0</x:v>
      </x:c>
      <x:c r="O348" s="105" t="n">
        <x:f>MAX(0,N348-J348)</x:f>
        <x:v>0</x:v>
      </x:c>
      <x:c r="P348" s="105" t="n">
        <x:f>MAX(0,I348-O348)</x:f>
        <x:v>0</x:v>
      </x:c>
      <x:c r="Q348" s="106" t="n">
        <x:f>X347</x:f>
        <x:v>0</x:v>
      </x:c>
      <x:c r="R348" s="106" t="n">
        <x:f>IF(Q348&gt;0,Q348*'Your Mortgage'!$C$7/12,0)</x:f>
        <x:v>0</x:v>
      </x:c>
      <x:c r="S348" s="106" t="n">
        <x:f>IF(Q348&gt;0,MIN('Your Mortgage'!$C$11,Q348+R348),0)</x:f>
        <x:v>0</x:v>
      </x:c>
      <x:c r="T348" s="106" t="n">
        <x:f>IF(Q348&gt;0,MIN('Your Mortgage'!$I$6,MAX(0,Q348+R348-S348)),0)</x:f>
        <x:v>0</x:v>
      </x:c>
      <x:c r="U348" s="106" t="n">
        <x:f>IF(AND(A348='Your Mortgage'!$I$8,Q348&gt;0),MIN('Your Mortgage'!$I$7,MAX(0,Q348+R348-S348-T348)),0)</x:f>
        <x:v>0</x:v>
      </x:c>
      <x:c r="V348" s="106" t="n">
        <x:f>S348+T348+U348</x:f>
        <x:v>0</x:v>
      </x:c>
      <x:c r="W348" s="106" t="n">
        <x:f>MAX(0,V348-R348)</x:f>
        <x:v>0</x:v>
      </x:c>
      <x:c r="X348" s="106" t="n">
        <x:f>MAX(0,Q348-W348)</x:f>
        <x:v>0</x:v>
      </x:c>
      <x:c r="Y348" s="1"/>
      <x:c r="Z348" s="1"/>
    </x:row>
    <x:row r="349">
      <x:c r="A349" s="100" t="n">
        <x:f>A348+1</x:f>
        <x:v>344</x:v>
      </x:c>
      <x:c r="B349" s="103" t="n">
        <x:f>EDATE(B348,1)</x:f>
        <x:v>56674</x:v>
      </x:c>
      <x:c r="C349" s="104" t="n">
        <x:f>H348</x:f>
        <x:v>33276.179118609536</x:v>
      </x:c>
      <x:c r="D349" s="104" t="n">
        <x:f>IF(C349&gt;0,C349*'Your Mortgage'!$C$7/12,0)</x:f>
        <x:v>180.24597022580167</x:v>
      </x:c>
      <x:c r="E349" s="104" t="n">
        <x:f>IF(C349&gt;0,MIN('Your Mortgage'!$C$11,C349+D349),0)</x:f>
        <x:v>2054.2210763521375</x:v>
      </x:c>
      <x:c r="F349" s="104" t="n">
        <x:f>E349</x:f>
        <x:v>2054.2210763521375</x:v>
      </x:c>
      <x:c r="G349" s="104" t="n">
        <x:f>MAX(0,F349-D349)</x:f>
        <x:v>1873.975106126336</x:v>
      </x:c>
      <x:c r="H349" s="104" t="n">
        <x:f>MAX(0,C349-G349)</x:f>
        <x:v>31402.2040124832</x:v>
      </x:c>
      <x:c r="I349" s="105" t="n">
        <x:f>P348</x:f>
        <x:v>0</x:v>
      </x:c>
      <x:c r="J349" s="105" t="n">
        <x:f>IF(I349&gt;0,I349*'Your Mortgage'!$C$7/12,0)</x:f>
        <x:v>0</x:v>
      </x:c>
      <x:c r="K349" s="105" t="n">
        <x:f>IF(I349&gt;0,MIN('Your Mortgage'!$C$11,I349+J349),0)</x:f>
        <x:v>0</x:v>
      </x:c>
      <x:c r="L349" s="105" t="n">
        <x:f>IF(I349&gt;0,MIN('Your Mortgage'!$F$6,MAX(0,I349+J349-K349)),0)</x:f>
        <x:v>0</x:v>
      </x:c>
      <x:c r="M349" s="105" t="n">
        <x:f>IF(AND(A349='Your Mortgage'!$F$8,I349&gt;0),MIN('Your Mortgage'!$F$7,MAX(0,I349+J349-K349-L349)),0)</x:f>
        <x:v>0</x:v>
      </x:c>
      <x:c r="N349" s="105" t="n">
        <x:f>K349+L349+M349</x:f>
        <x:v>0</x:v>
      </x:c>
      <x:c r="O349" s="105" t="n">
        <x:f>MAX(0,N349-J349)</x:f>
        <x:v>0</x:v>
      </x:c>
      <x:c r="P349" s="105" t="n">
        <x:f>MAX(0,I349-O349)</x:f>
        <x:v>0</x:v>
      </x:c>
      <x:c r="Q349" s="106" t="n">
        <x:f>X348</x:f>
        <x:v>0</x:v>
      </x:c>
      <x:c r="R349" s="106" t="n">
        <x:f>IF(Q349&gt;0,Q349*'Your Mortgage'!$C$7/12,0)</x:f>
        <x:v>0</x:v>
      </x:c>
      <x:c r="S349" s="106" t="n">
        <x:f>IF(Q349&gt;0,MIN('Your Mortgage'!$C$11,Q349+R349),0)</x:f>
        <x:v>0</x:v>
      </x:c>
      <x:c r="T349" s="106" t="n">
        <x:f>IF(Q349&gt;0,MIN('Your Mortgage'!$I$6,MAX(0,Q349+R349-S349)),0)</x:f>
        <x:v>0</x:v>
      </x:c>
      <x:c r="U349" s="106" t="n">
        <x:f>IF(AND(A349='Your Mortgage'!$I$8,Q349&gt;0),MIN('Your Mortgage'!$I$7,MAX(0,Q349+R349-S349-T349)),0)</x:f>
        <x:v>0</x:v>
      </x:c>
      <x:c r="V349" s="106" t="n">
        <x:f>S349+T349+U349</x:f>
        <x:v>0</x:v>
      </x:c>
      <x:c r="W349" s="106" t="n">
        <x:f>MAX(0,V349-R349)</x:f>
        <x:v>0</x:v>
      </x:c>
      <x:c r="X349" s="106" t="n">
        <x:f>MAX(0,Q349-W349)</x:f>
        <x:v>0</x:v>
      </x:c>
      <x:c r="Y349" s="1"/>
      <x:c r="Z349" s="1"/>
    </x:row>
    <x:row r="350">
      <x:c r="A350" s="100" t="n">
        <x:f>A349+1</x:f>
        <x:v>345</x:v>
      </x:c>
      <x:c r="B350" s="103" t="n">
        <x:f>EDATE(B349,1)</x:f>
        <x:v>56705</x:v>
      </x:c>
      <x:c r="C350" s="104" t="n">
        <x:f>H349</x:f>
        <x:v>31402.2040124832</x:v>
      </x:c>
      <x:c r="D350" s="104" t="n">
        <x:f>IF(C350&gt;0,C350*'Your Mortgage'!$C$7/12,0)</x:f>
        <x:v>170.095271734284</x:v>
      </x:c>
      <x:c r="E350" s="104" t="n">
        <x:f>IF(C350&gt;0,MIN('Your Mortgage'!$C$11,C350+D350),0)</x:f>
        <x:v>2054.2210763521375</x:v>
      </x:c>
      <x:c r="F350" s="104" t="n">
        <x:f>E350</x:f>
        <x:v>2054.2210763521375</x:v>
      </x:c>
      <x:c r="G350" s="104" t="n">
        <x:f>MAX(0,F350-D350)</x:f>
        <x:v>1884.1258046178534</x:v>
      </x:c>
      <x:c r="H350" s="104" t="n">
        <x:f>MAX(0,C350-G350)</x:f>
        <x:v>29518.078207865346</x:v>
      </x:c>
      <x:c r="I350" s="105" t="n">
        <x:f>P349</x:f>
        <x:v>0</x:v>
      </x:c>
      <x:c r="J350" s="105" t="n">
        <x:f>IF(I350&gt;0,I350*'Your Mortgage'!$C$7/12,0)</x:f>
        <x:v>0</x:v>
      </x:c>
      <x:c r="K350" s="105" t="n">
        <x:f>IF(I350&gt;0,MIN('Your Mortgage'!$C$11,I350+J350),0)</x:f>
        <x:v>0</x:v>
      </x:c>
      <x:c r="L350" s="105" t="n">
        <x:f>IF(I350&gt;0,MIN('Your Mortgage'!$F$6,MAX(0,I350+J350-K350)),0)</x:f>
        <x:v>0</x:v>
      </x:c>
      <x:c r="M350" s="105" t="n">
        <x:f>IF(AND(A350='Your Mortgage'!$F$8,I350&gt;0),MIN('Your Mortgage'!$F$7,MAX(0,I350+J350-K350-L350)),0)</x:f>
        <x:v>0</x:v>
      </x:c>
      <x:c r="N350" s="105" t="n">
        <x:f>K350+L350+M350</x:f>
        <x:v>0</x:v>
      </x:c>
      <x:c r="O350" s="105" t="n">
        <x:f>MAX(0,N350-J350)</x:f>
        <x:v>0</x:v>
      </x:c>
      <x:c r="P350" s="105" t="n">
        <x:f>MAX(0,I350-O350)</x:f>
        <x:v>0</x:v>
      </x:c>
      <x:c r="Q350" s="106" t="n">
        <x:f>X349</x:f>
        <x:v>0</x:v>
      </x:c>
      <x:c r="R350" s="106" t="n">
        <x:f>IF(Q350&gt;0,Q350*'Your Mortgage'!$C$7/12,0)</x:f>
        <x:v>0</x:v>
      </x:c>
      <x:c r="S350" s="106" t="n">
        <x:f>IF(Q350&gt;0,MIN('Your Mortgage'!$C$11,Q350+R350),0)</x:f>
        <x:v>0</x:v>
      </x:c>
      <x:c r="T350" s="106" t="n">
        <x:f>IF(Q350&gt;0,MIN('Your Mortgage'!$I$6,MAX(0,Q350+R350-S350)),0)</x:f>
        <x:v>0</x:v>
      </x:c>
      <x:c r="U350" s="106" t="n">
        <x:f>IF(AND(A350='Your Mortgage'!$I$8,Q350&gt;0),MIN('Your Mortgage'!$I$7,MAX(0,Q350+R350-S350-T350)),0)</x:f>
        <x:v>0</x:v>
      </x:c>
      <x:c r="V350" s="106" t="n">
        <x:f>S350+T350+U350</x:f>
        <x:v>0</x:v>
      </x:c>
      <x:c r="W350" s="106" t="n">
        <x:f>MAX(0,V350-R350)</x:f>
        <x:v>0</x:v>
      </x:c>
      <x:c r="X350" s="106" t="n">
        <x:f>MAX(0,Q350-W350)</x:f>
        <x:v>0</x:v>
      </x:c>
      <x:c r="Y350" s="1"/>
      <x:c r="Z350" s="1"/>
    </x:row>
    <x:row r="351">
      <x:c r="A351" s="100" t="n">
        <x:f>A350+1</x:f>
        <x:v>346</x:v>
      </x:c>
      <x:c r="B351" s="103" t="n">
        <x:f>EDATE(B350,1)</x:f>
        <x:v>56735</x:v>
      </x:c>
      <x:c r="C351" s="104" t="n">
        <x:f>H350</x:f>
        <x:v>29518.078207865346</x:v>
      </x:c>
      <x:c r="D351" s="104" t="n">
        <x:f>IF(C351&gt;0,C351*'Your Mortgage'!$C$7/12,0)</x:f>
        <x:v>159.88959029260397</x:v>
      </x:c>
      <x:c r="E351" s="104" t="n">
        <x:f>IF(C351&gt;0,MIN('Your Mortgage'!$C$11,C351+D351),0)</x:f>
        <x:v>2054.2210763521375</x:v>
      </x:c>
      <x:c r="F351" s="104" t="n">
        <x:f>E351</x:f>
        <x:v>2054.2210763521375</x:v>
      </x:c>
      <x:c r="G351" s="104" t="n">
        <x:f>MAX(0,F351-D351)</x:f>
        <x:v>1894.3314860595335</x:v>
      </x:c>
      <x:c r="H351" s="104" t="n">
        <x:f>MAX(0,C351-G351)</x:f>
        <x:v>27623.746721805812</x:v>
      </x:c>
      <x:c r="I351" s="105" t="n">
        <x:f>P350</x:f>
        <x:v>0</x:v>
      </x:c>
      <x:c r="J351" s="105" t="n">
        <x:f>IF(I351&gt;0,I351*'Your Mortgage'!$C$7/12,0)</x:f>
        <x:v>0</x:v>
      </x:c>
      <x:c r="K351" s="105" t="n">
        <x:f>IF(I351&gt;0,MIN('Your Mortgage'!$C$11,I351+J351),0)</x:f>
        <x:v>0</x:v>
      </x:c>
      <x:c r="L351" s="105" t="n">
        <x:f>IF(I351&gt;0,MIN('Your Mortgage'!$F$6,MAX(0,I351+J351-K351)),0)</x:f>
        <x:v>0</x:v>
      </x:c>
      <x:c r="M351" s="105" t="n">
        <x:f>IF(AND(A351='Your Mortgage'!$F$8,I351&gt;0),MIN('Your Mortgage'!$F$7,MAX(0,I351+J351-K351-L351)),0)</x:f>
        <x:v>0</x:v>
      </x:c>
      <x:c r="N351" s="105" t="n">
        <x:f>K351+L351+M351</x:f>
        <x:v>0</x:v>
      </x:c>
      <x:c r="O351" s="105" t="n">
        <x:f>MAX(0,N351-J351)</x:f>
        <x:v>0</x:v>
      </x:c>
      <x:c r="P351" s="105" t="n">
        <x:f>MAX(0,I351-O351)</x:f>
        <x:v>0</x:v>
      </x:c>
      <x:c r="Q351" s="106" t="n">
        <x:f>X350</x:f>
        <x:v>0</x:v>
      </x:c>
      <x:c r="R351" s="106" t="n">
        <x:f>IF(Q351&gt;0,Q351*'Your Mortgage'!$C$7/12,0)</x:f>
        <x:v>0</x:v>
      </x:c>
      <x:c r="S351" s="106" t="n">
        <x:f>IF(Q351&gt;0,MIN('Your Mortgage'!$C$11,Q351+R351),0)</x:f>
        <x:v>0</x:v>
      </x:c>
      <x:c r="T351" s="106" t="n">
        <x:f>IF(Q351&gt;0,MIN('Your Mortgage'!$I$6,MAX(0,Q351+R351-S351)),0)</x:f>
        <x:v>0</x:v>
      </x:c>
      <x:c r="U351" s="106" t="n">
        <x:f>IF(AND(A351='Your Mortgage'!$I$8,Q351&gt;0),MIN('Your Mortgage'!$I$7,MAX(0,Q351+R351-S351-T351)),0)</x:f>
        <x:v>0</x:v>
      </x:c>
      <x:c r="V351" s="106" t="n">
        <x:f>S351+T351+U351</x:f>
        <x:v>0</x:v>
      </x:c>
      <x:c r="W351" s="106" t="n">
        <x:f>MAX(0,V351-R351)</x:f>
        <x:v>0</x:v>
      </x:c>
      <x:c r="X351" s="106" t="n">
        <x:f>MAX(0,Q351-W351)</x:f>
        <x:v>0</x:v>
      </x:c>
      <x:c r="Y351" s="1"/>
      <x:c r="Z351" s="1"/>
    </x:row>
    <x:row r="352">
      <x:c r="A352" s="100" t="n">
        <x:f>A351+1</x:f>
        <x:v>347</x:v>
      </x:c>
      <x:c r="B352" s="103" t="n">
        <x:f>EDATE(B351,1)</x:f>
        <x:v>56766</x:v>
      </x:c>
      <x:c r="C352" s="104" t="n">
        <x:f>H351</x:f>
        <x:v>27623.746721805812</x:v>
      </x:c>
      <x:c r="D352" s="104" t="n">
        <x:f>IF(C352&gt;0,C352*'Your Mortgage'!$C$7/12,0)</x:f>
        <x:v>149.62862807644817</x:v>
      </x:c>
      <x:c r="E352" s="104" t="n">
        <x:f>IF(C352&gt;0,MIN('Your Mortgage'!$C$11,C352+D352),0)</x:f>
        <x:v>2054.2210763521375</x:v>
      </x:c>
      <x:c r="F352" s="104" t="n">
        <x:f>E352</x:f>
        <x:v>2054.2210763521375</x:v>
      </x:c>
      <x:c r="G352" s="104" t="n">
        <x:f>MAX(0,F352-D352)</x:f>
        <x:v>1904.5924482756893</x:v>
      </x:c>
      <x:c r="H352" s="104" t="n">
        <x:f>MAX(0,C352-G352)</x:f>
        <x:v>25719.154273530123</x:v>
      </x:c>
      <x:c r="I352" s="105" t="n">
        <x:f>P351</x:f>
        <x:v>0</x:v>
      </x:c>
      <x:c r="J352" s="105" t="n">
        <x:f>IF(I352&gt;0,I352*'Your Mortgage'!$C$7/12,0)</x:f>
        <x:v>0</x:v>
      </x:c>
      <x:c r="K352" s="105" t="n">
        <x:f>IF(I352&gt;0,MIN('Your Mortgage'!$C$11,I352+J352),0)</x:f>
        <x:v>0</x:v>
      </x:c>
      <x:c r="L352" s="105" t="n">
        <x:f>IF(I352&gt;0,MIN('Your Mortgage'!$F$6,MAX(0,I352+J352-K352)),0)</x:f>
        <x:v>0</x:v>
      </x:c>
      <x:c r="M352" s="105" t="n">
        <x:f>IF(AND(A352='Your Mortgage'!$F$8,I352&gt;0),MIN('Your Mortgage'!$F$7,MAX(0,I352+J352-K352-L352)),0)</x:f>
        <x:v>0</x:v>
      </x:c>
      <x:c r="N352" s="105" t="n">
        <x:f>K352+L352+M352</x:f>
        <x:v>0</x:v>
      </x:c>
      <x:c r="O352" s="105" t="n">
        <x:f>MAX(0,N352-J352)</x:f>
        <x:v>0</x:v>
      </x:c>
      <x:c r="P352" s="105" t="n">
        <x:f>MAX(0,I352-O352)</x:f>
        <x:v>0</x:v>
      </x:c>
      <x:c r="Q352" s="106" t="n">
        <x:f>X351</x:f>
        <x:v>0</x:v>
      </x:c>
      <x:c r="R352" s="106" t="n">
        <x:f>IF(Q352&gt;0,Q352*'Your Mortgage'!$C$7/12,0)</x:f>
        <x:v>0</x:v>
      </x:c>
      <x:c r="S352" s="106" t="n">
        <x:f>IF(Q352&gt;0,MIN('Your Mortgage'!$C$11,Q352+R352),0)</x:f>
        <x:v>0</x:v>
      </x:c>
      <x:c r="T352" s="106" t="n">
        <x:f>IF(Q352&gt;0,MIN('Your Mortgage'!$I$6,MAX(0,Q352+R352-S352)),0)</x:f>
        <x:v>0</x:v>
      </x:c>
      <x:c r="U352" s="106" t="n">
        <x:f>IF(AND(A352='Your Mortgage'!$I$8,Q352&gt;0),MIN('Your Mortgage'!$I$7,MAX(0,Q352+R352-S352-T352)),0)</x:f>
        <x:v>0</x:v>
      </x:c>
      <x:c r="V352" s="106" t="n">
        <x:f>S352+T352+U352</x:f>
        <x:v>0</x:v>
      </x:c>
      <x:c r="W352" s="106" t="n">
        <x:f>MAX(0,V352-R352)</x:f>
        <x:v>0</x:v>
      </x:c>
      <x:c r="X352" s="106" t="n">
        <x:f>MAX(0,Q352-W352)</x:f>
        <x:v>0</x:v>
      </x:c>
      <x:c r="Y352" s="1"/>
      <x:c r="Z352" s="1"/>
    </x:row>
    <x:row r="353">
      <x:c r="A353" s="100" t="n">
        <x:f>A352+1</x:f>
        <x:v>348</x:v>
      </x:c>
      <x:c r="B353" s="103" t="n">
        <x:f>EDATE(B352,1)</x:f>
        <x:v>56796</x:v>
      </x:c>
      <x:c r="C353" s="104" t="n">
        <x:f>H352</x:f>
        <x:v>25719.154273530123</x:v>
      </x:c>
      <x:c r="D353" s="104" t="n">
        <x:f>IF(C353&gt;0,C353*'Your Mortgage'!$C$7/12,0)</x:f>
        <x:v>139.31208564828816</x:v>
      </x:c>
      <x:c r="E353" s="104" t="n">
        <x:f>IF(C353&gt;0,MIN('Your Mortgage'!$C$11,C353+D353),0)</x:f>
        <x:v>2054.2210763521375</x:v>
      </x:c>
      <x:c r="F353" s="104" t="n">
        <x:f>E353</x:f>
        <x:v>2054.2210763521375</x:v>
      </x:c>
      <x:c r="G353" s="104" t="n">
        <x:f>MAX(0,F353-D353)</x:f>
        <x:v>1914.9089907038494</x:v>
      </x:c>
      <x:c r="H353" s="104" t="n">
        <x:f>MAX(0,C353-G353)</x:f>
        <x:v>23804.245282826272</x:v>
      </x:c>
      <x:c r="I353" s="105" t="n">
        <x:f>P352</x:f>
        <x:v>0</x:v>
      </x:c>
      <x:c r="J353" s="105" t="n">
        <x:f>IF(I353&gt;0,I353*'Your Mortgage'!$C$7/12,0)</x:f>
        <x:v>0</x:v>
      </x:c>
      <x:c r="K353" s="105" t="n">
        <x:f>IF(I353&gt;0,MIN('Your Mortgage'!$C$11,I353+J353),0)</x:f>
        <x:v>0</x:v>
      </x:c>
      <x:c r="L353" s="105" t="n">
        <x:f>IF(I353&gt;0,MIN('Your Mortgage'!$F$6,MAX(0,I353+J353-K353)),0)</x:f>
        <x:v>0</x:v>
      </x:c>
      <x:c r="M353" s="105" t="n">
        <x:f>IF(AND(A353='Your Mortgage'!$F$8,I353&gt;0),MIN('Your Mortgage'!$F$7,MAX(0,I353+J353-K353-L353)),0)</x:f>
        <x:v>0</x:v>
      </x:c>
      <x:c r="N353" s="105" t="n">
        <x:f>K353+L353+M353</x:f>
        <x:v>0</x:v>
      </x:c>
      <x:c r="O353" s="105" t="n">
        <x:f>MAX(0,N353-J353)</x:f>
        <x:v>0</x:v>
      </x:c>
      <x:c r="P353" s="105" t="n">
        <x:f>MAX(0,I353-O353)</x:f>
        <x:v>0</x:v>
      </x:c>
      <x:c r="Q353" s="106" t="n">
        <x:f>X352</x:f>
        <x:v>0</x:v>
      </x:c>
      <x:c r="R353" s="106" t="n">
        <x:f>IF(Q353&gt;0,Q353*'Your Mortgage'!$C$7/12,0)</x:f>
        <x:v>0</x:v>
      </x:c>
      <x:c r="S353" s="106" t="n">
        <x:f>IF(Q353&gt;0,MIN('Your Mortgage'!$C$11,Q353+R353),0)</x:f>
        <x:v>0</x:v>
      </x:c>
      <x:c r="T353" s="106" t="n">
        <x:f>IF(Q353&gt;0,MIN('Your Mortgage'!$I$6,MAX(0,Q353+R353-S353)),0)</x:f>
        <x:v>0</x:v>
      </x:c>
      <x:c r="U353" s="106" t="n">
        <x:f>IF(AND(A353='Your Mortgage'!$I$8,Q353&gt;0),MIN('Your Mortgage'!$I$7,MAX(0,Q353+R353-S353-T353)),0)</x:f>
        <x:v>0</x:v>
      </x:c>
      <x:c r="V353" s="106" t="n">
        <x:f>S353+T353+U353</x:f>
        <x:v>0</x:v>
      </x:c>
      <x:c r="W353" s="106" t="n">
        <x:f>MAX(0,V353-R353)</x:f>
        <x:v>0</x:v>
      </x:c>
      <x:c r="X353" s="106" t="n">
        <x:f>MAX(0,Q353-W353)</x:f>
        <x:v>0</x:v>
      </x:c>
      <x:c r="Y353" s="1"/>
      <x:c r="Z353" s="1"/>
    </x:row>
    <x:row r="354">
      <x:c r="A354" s="100" t="n">
        <x:f>A353+1</x:f>
        <x:v>349</x:v>
      </x:c>
      <x:c r="B354" s="103" t="n">
        <x:f>EDATE(B353,1)</x:f>
        <x:v>56827</x:v>
      </x:c>
      <x:c r="C354" s="104" t="n">
        <x:f>H353</x:f>
        <x:v>23804.245282826272</x:v>
      </x:c>
      <x:c r="D354" s="104" t="n">
        <x:f>IF(C354&gt;0,C354*'Your Mortgage'!$C$7/12,0)</x:f>
        <x:v>128.9396619486423</x:v>
      </x:c>
      <x:c r="E354" s="104" t="n">
        <x:f>IF(C354&gt;0,MIN('Your Mortgage'!$C$11,C354+D354),0)</x:f>
        <x:v>2054.2210763521375</x:v>
      </x:c>
      <x:c r="F354" s="104" t="n">
        <x:f>E354</x:f>
        <x:v>2054.2210763521375</x:v>
      </x:c>
      <x:c r="G354" s="104" t="n">
        <x:f>MAX(0,F354-D354)</x:f>
        <x:v>1925.281414403495</x:v>
      </x:c>
      <x:c r="H354" s="104" t="n">
        <x:f>MAX(0,C354-G354)</x:f>
        <x:v>21878.963868422776</x:v>
      </x:c>
      <x:c r="I354" s="105" t="n">
        <x:f>P353</x:f>
        <x:v>0</x:v>
      </x:c>
      <x:c r="J354" s="105" t="n">
        <x:f>IF(I354&gt;0,I354*'Your Mortgage'!$C$7/12,0)</x:f>
        <x:v>0</x:v>
      </x:c>
      <x:c r="K354" s="105" t="n">
        <x:f>IF(I354&gt;0,MIN('Your Mortgage'!$C$11,I354+J354),0)</x:f>
        <x:v>0</x:v>
      </x:c>
      <x:c r="L354" s="105" t="n">
        <x:f>IF(I354&gt;0,MIN('Your Mortgage'!$F$6,MAX(0,I354+J354-K354)),0)</x:f>
        <x:v>0</x:v>
      </x:c>
      <x:c r="M354" s="105" t="n">
        <x:f>IF(AND(A354='Your Mortgage'!$F$8,I354&gt;0),MIN('Your Mortgage'!$F$7,MAX(0,I354+J354-K354-L354)),0)</x:f>
        <x:v>0</x:v>
      </x:c>
      <x:c r="N354" s="105" t="n">
        <x:f>K354+L354+M354</x:f>
        <x:v>0</x:v>
      </x:c>
      <x:c r="O354" s="105" t="n">
        <x:f>MAX(0,N354-J354)</x:f>
        <x:v>0</x:v>
      </x:c>
      <x:c r="P354" s="105" t="n">
        <x:f>MAX(0,I354-O354)</x:f>
        <x:v>0</x:v>
      </x:c>
      <x:c r="Q354" s="106" t="n">
        <x:f>X353</x:f>
        <x:v>0</x:v>
      </x:c>
      <x:c r="R354" s="106" t="n">
        <x:f>IF(Q354&gt;0,Q354*'Your Mortgage'!$C$7/12,0)</x:f>
        <x:v>0</x:v>
      </x:c>
      <x:c r="S354" s="106" t="n">
        <x:f>IF(Q354&gt;0,MIN('Your Mortgage'!$C$11,Q354+R354),0)</x:f>
        <x:v>0</x:v>
      </x:c>
      <x:c r="T354" s="106" t="n">
        <x:f>IF(Q354&gt;0,MIN('Your Mortgage'!$I$6,MAX(0,Q354+R354-S354)),0)</x:f>
        <x:v>0</x:v>
      </x:c>
      <x:c r="U354" s="106" t="n">
        <x:f>IF(AND(A354='Your Mortgage'!$I$8,Q354&gt;0),MIN('Your Mortgage'!$I$7,MAX(0,Q354+R354-S354-T354)),0)</x:f>
        <x:v>0</x:v>
      </x:c>
      <x:c r="V354" s="106" t="n">
        <x:f>S354+T354+U354</x:f>
        <x:v>0</x:v>
      </x:c>
      <x:c r="W354" s="106" t="n">
        <x:f>MAX(0,V354-R354)</x:f>
        <x:v>0</x:v>
      </x:c>
      <x:c r="X354" s="106" t="n">
        <x:f>MAX(0,Q354-W354)</x:f>
        <x:v>0</x:v>
      </x:c>
      <x:c r="Y354" s="1"/>
      <x:c r="Z354" s="1"/>
    </x:row>
    <x:row r="355">
      <x:c r="A355" s="100" t="n">
        <x:f>A354+1</x:f>
        <x:v>350</x:v>
      </x:c>
      <x:c r="B355" s="103" t="n">
        <x:f>EDATE(B354,1)</x:f>
        <x:v>56858</x:v>
      </x:c>
      <x:c r="C355" s="104" t="n">
        <x:f>H354</x:f>
        <x:v>21878.963868422776</x:v>
      </x:c>
      <x:c r="D355" s="104" t="n">
        <x:f>IF(C355&gt;0,C355*'Your Mortgage'!$C$7/12,0)</x:f>
        <x:v>118.51105428729004</x:v>
      </x:c>
      <x:c r="E355" s="104" t="n">
        <x:f>IF(C355&gt;0,MIN('Your Mortgage'!$C$11,C355+D355),0)</x:f>
        <x:v>2054.2210763521375</x:v>
      </x:c>
      <x:c r="F355" s="104" t="n">
        <x:f>E355</x:f>
        <x:v>2054.2210763521375</x:v>
      </x:c>
      <x:c r="G355" s="104" t="n">
        <x:f>MAX(0,F355-D355)</x:f>
        <x:v>1935.7100220648474</x:v>
      </x:c>
      <x:c r="H355" s="104" t="n">
        <x:f>MAX(0,C355-G355)</x:f>
        <x:v>19943.25384635793</x:v>
      </x:c>
      <x:c r="I355" s="105" t="n">
        <x:f>P354</x:f>
        <x:v>0</x:v>
      </x:c>
      <x:c r="J355" s="105" t="n">
        <x:f>IF(I355&gt;0,I355*'Your Mortgage'!$C$7/12,0)</x:f>
        <x:v>0</x:v>
      </x:c>
      <x:c r="K355" s="105" t="n">
        <x:f>IF(I355&gt;0,MIN('Your Mortgage'!$C$11,I355+J355),0)</x:f>
        <x:v>0</x:v>
      </x:c>
      <x:c r="L355" s="105" t="n">
        <x:f>IF(I355&gt;0,MIN('Your Mortgage'!$F$6,MAX(0,I355+J355-K355)),0)</x:f>
        <x:v>0</x:v>
      </x:c>
      <x:c r="M355" s="105" t="n">
        <x:f>IF(AND(A355='Your Mortgage'!$F$8,I355&gt;0),MIN('Your Mortgage'!$F$7,MAX(0,I355+J355-K355-L355)),0)</x:f>
        <x:v>0</x:v>
      </x:c>
      <x:c r="N355" s="105" t="n">
        <x:f>K355+L355+M355</x:f>
        <x:v>0</x:v>
      </x:c>
      <x:c r="O355" s="105" t="n">
        <x:f>MAX(0,N355-J355)</x:f>
        <x:v>0</x:v>
      </x:c>
      <x:c r="P355" s="105" t="n">
        <x:f>MAX(0,I355-O355)</x:f>
        <x:v>0</x:v>
      </x:c>
      <x:c r="Q355" s="106" t="n">
        <x:f>X354</x:f>
        <x:v>0</x:v>
      </x:c>
      <x:c r="R355" s="106" t="n">
        <x:f>IF(Q355&gt;0,Q355*'Your Mortgage'!$C$7/12,0)</x:f>
        <x:v>0</x:v>
      </x:c>
      <x:c r="S355" s="106" t="n">
        <x:f>IF(Q355&gt;0,MIN('Your Mortgage'!$C$11,Q355+R355),0)</x:f>
        <x:v>0</x:v>
      </x:c>
      <x:c r="T355" s="106" t="n">
        <x:f>IF(Q355&gt;0,MIN('Your Mortgage'!$I$6,MAX(0,Q355+R355-S355)),0)</x:f>
        <x:v>0</x:v>
      </x:c>
      <x:c r="U355" s="106" t="n">
        <x:f>IF(AND(A355='Your Mortgage'!$I$8,Q355&gt;0),MIN('Your Mortgage'!$I$7,MAX(0,Q355+R355-S355-T355)),0)</x:f>
        <x:v>0</x:v>
      </x:c>
      <x:c r="V355" s="106" t="n">
        <x:f>S355+T355+U355</x:f>
        <x:v>0</x:v>
      </x:c>
      <x:c r="W355" s="106" t="n">
        <x:f>MAX(0,V355-R355)</x:f>
        <x:v>0</x:v>
      </x:c>
      <x:c r="X355" s="106" t="n">
        <x:f>MAX(0,Q355-W355)</x:f>
        <x:v>0</x:v>
      </x:c>
      <x:c r="Y355" s="1"/>
      <x:c r="Z355" s="1"/>
    </x:row>
    <x:row r="356">
      <x:c r="A356" s="100" t="n">
        <x:f>A355+1</x:f>
        <x:v>351</x:v>
      </x:c>
      <x:c r="B356" s="103" t="n">
        <x:f>EDATE(B355,1)</x:f>
        <x:v>56888</x:v>
      </x:c>
      <x:c r="C356" s="104" t="n">
        <x:f>H355</x:f>
        <x:v>19943.25384635793</x:v>
      </x:c>
      <x:c r="D356" s="104" t="n">
        <x:f>IF(C356&gt;0,C356*'Your Mortgage'!$C$7/12,0)</x:f>
        <x:v>108.02595833443878</x:v>
      </x:c>
      <x:c r="E356" s="104" t="n">
        <x:f>IF(C356&gt;0,MIN('Your Mortgage'!$C$11,C356+D356),0)</x:f>
        <x:v>2054.2210763521375</x:v>
      </x:c>
      <x:c r="F356" s="104" t="n">
        <x:f>E356</x:f>
        <x:v>2054.2210763521375</x:v>
      </x:c>
      <x:c r="G356" s="104" t="n">
        <x:f>MAX(0,F356-D356)</x:f>
        <x:v>1946.1951180176986</x:v>
      </x:c>
      <x:c r="H356" s="104" t="n">
        <x:f>MAX(0,C356-G356)</x:f>
        <x:v>17997.05872834023</x:v>
      </x:c>
      <x:c r="I356" s="105" t="n">
        <x:f>P355</x:f>
        <x:v>0</x:v>
      </x:c>
      <x:c r="J356" s="105" t="n">
        <x:f>IF(I356&gt;0,I356*'Your Mortgage'!$C$7/12,0)</x:f>
        <x:v>0</x:v>
      </x:c>
      <x:c r="K356" s="105" t="n">
        <x:f>IF(I356&gt;0,MIN('Your Mortgage'!$C$11,I356+J356),0)</x:f>
        <x:v>0</x:v>
      </x:c>
      <x:c r="L356" s="105" t="n">
        <x:f>IF(I356&gt;0,MIN('Your Mortgage'!$F$6,MAX(0,I356+J356-K356)),0)</x:f>
        <x:v>0</x:v>
      </x:c>
      <x:c r="M356" s="105" t="n">
        <x:f>IF(AND(A356='Your Mortgage'!$F$8,I356&gt;0),MIN('Your Mortgage'!$F$7,MAX(0,I356+J356-K356-L356)),0)</x:f>
        <x:v>0</x:v>
      </x:c>
      <x:c r="N356" s="105" t="n">
        <x:f>K356+L356+M356</x:f>
        <x:v>0</x:v>
      </x:c>
      <x:c r="O356" s="105" t="n">
        <x:f>MAX(0,N356-J356)</x:f>
        <x:v>0</x:v>
      </x:c>
      <x:c r="P356" s="105" t="n">
        <x:f>MAX(0,I356-O356)</x:f>
        <x:v>0</x:v>
      </x:c>
      <x:c r="Q356" s="106" t="n">
        <x:f>X355</x:f>
        <x:v>0</x:v>
      </x:c>
      <x:c r="R356" s="106" t="n">
        <x:f>IF(Q356&gt;0,Q356*'Your Mortgage'!$C$7/12,0)</x:f>
        <x:v>0</x:v>
      </x:c>
      <x:c r="S356" s="106" t="n">
        <x:f>IF(Q356&gt;0,MIN('Your Mortgage'!$C$11,Q356+R356),0)</x:f>
        <x:v>0</x:v>
      </x:c>
      <x:c r="T356" s="106" t="n">
        <x:f>IF(Q356&gt;0,MIN('Your Mortgage'!$I$6,MAX(0,Q356+R356-S356)),0)</x:f>
        <x:v>0</x:v>
      </x:c>
      <x:c r="U356" s="106" t="n">
        <x:f>IF(AND(A356='Your Mortgage'!$I$8,Q356&gt;0),MIN('Your Mortgage'!$I$7,MAX(0,Q356+R356-S356-T356)),0)</x:f>
        <x:v>0</x:v>
      </x:c>
      <x:c r="V356" s="106" t="n">
        <x:f>S356+T356+U356</x:f>
        <x:v>0</x:v>
      </x:c>
      <x:c r="W356" s="106" t="n">
        <x:f>MAX(0,V356-R356)</x:f>
        <x:v>0</x:v>
      </x:c>
      <x:c r="X356" s="106" t="n">
        <x:f>MAX(0,Q356-W356)</x:f>
        <x:v>0</x:v>
      </x:c>
      <x:c r="Y356" s="1"/>
      <x:c r="Z356" s="1"/>
    </x:row>
    <x:row r="357">
      <x:c r="A357" s="100" t="n">
        <x:f>A356+1</x:f>
        <x:v>352</x:v>
      </x:c>
      <x:c r="B357" s="103" t="n">
        <x:f>EDATE(B356,1)</x:f>
        <x:v>56919</x:v>
      </x:c>
      <x:c r="C357" s="104" t="n">
        <x:f>H356</x:f>
        <x:v>17997.05872834023</x:v>
      </x:c>
      <x:c r="D357" s="104" t="n">
        <x:f>IF(C357&gt;0,C357*'Your Mortgage'!$C$7/12,0)</x:f>
        <x:v>97.48406811184293</x:v>
      </x:c>
      <x:c r="E357" s="104" t="n">
        <x:f>IF(C357&gt;0,MIN('Your Mortgage'!$C$11,C357+D357),0)</x:f>
        <x:v>2054.2210763521375</x:v>
      </x:c>
      <x:c r="F357" s="104" t="n">
        <x:f>E357</x:f>
        <x:v>2054.2210763521375</x:v>
      </x:c>
      <x:c r="G357" s="104" t="n">
        <x:f>MAX(0,F357-D357)</x:f>
        <x:v>1956.7370082402945</x:v>
      </x:c>
      <x:c r="H357" s="104" t="n">
        <x:f>MAX(0,C357-G357)</x:f>
        <x:v>16040.321720099937</x:v>
      </x:c>
      <x:c r="I357" s="105" t="n">
        <x:f>P356</x:f>
        <x:v>0</x:v>
      </x:c>
      <x:c r="J357" s="105" t="n">
        <x:f>IF(I357&gt;0,I357*'Your Mortgage'!$C$7/12,0)</x:f>
        <x:v>0</x:v>
      </x:c>
      <x:c r="K357" s="105" t="n">
        <x:f>IF(I357&gt;0,MIN('Your Mortgage'!$C$11,I357+J357),0)</x:f>
        <x:v>0</x:v>
      </x:c>
      <x:c r="L357" s="105" t="n">
        <x:f>IF(I357&gt;0,MIN('Your Mortgage'!$F$6,MAX(0,I357+J357-K357)),0)</x:f>
        <x:v>0</x:v>
      </x:c>
      <x:c r="M357" s="105" t="n">
        <x:f>IF(AND(A357='Your Mortgage'!$F$8,I357&gt;0),MIN('Your Mortgage'!$F$7,MAX(0,I357+J357-K357-L357)),0)</x:f>
        <x:v>0</x:v>
      </x:c>
      <x:c r="N357" s="105" t="n">
        <x:f>K357+L357+M357</x:f>
        <x:v>0</x:v>
      </x:c>
      <x:c r="O357" s="105" t="n">
        <x:f>MAX(0,N357-J357)</x:f>
        <x:v>0</x:v>
      </x:c>
      <x:c r="P357" s="105" t="n">
        <x:f>MAX(0,I357-O357)</x:f>
        <x:v>0</x:v>
      </x:c>
      <x:c r="Q357" s="106" t="n">
        <x:f>X356</x:f>
        <x:v>0</x:v>
      </x:c>
      <x:c r="R357" s="106" t="n">
        <x:f>IF(Q357&gt;0,Q357*'Your Mortgage'!$C$7/12,0)</x:f>
        <x:v>0</x:v>
      </x:c>
      <x:c r="S357" s="106" t="n">
        <x:f>IF(Q357&gt;0,MIN('Your Mortgage'!$C$11,Q357+R357),0)</x:f>
        <x:v>0</x:v>
      </x:c>
      <x:c r="T357" s="106" t="n">
        <x:f>IF(Q357&gt;0,MIN('Your Mortgage'!$I$6,MAX(0,Q357+R357-S357)),0)</x:f>
        <x:v>0</x:v>
      </x:c>
      <x:c r="U357" s="106" t="n">
        <x:f>IF(AND(A357='Your Mortgage'!$I$8,Q357&gt;0),MIN('Your Mortgage'!$I$7,MAX(0,Q357+R357-S357-T357)),0)</x:f>
        <x:v>0</x:v>
      </x:c>
      <x:c r="V357" s="106" t="n">
        <x:f>S357+T357+U357</x:f>
        <x:v>0</x:v>
      </x:c>
      <x:c r="W357" s="106" t="n">
        <x:f>MAX(0,V357-R357)</x:f>
        <x:v>0</x:v>
      </x:c>
      <x:c r="X357" s="106" t="n">
        <x:f>MAX(0,Q357-W357)</x:f>
        <x:v>0</x:v>
      </x:c>
      <x:c r="Y357" s="1"/>
      <x:c r="Z357" s="1"/>
    </x:row>
    <x:row r="358">
      <x:c r="A358" s="100" t="n">
        <x:f>A357+1</x:f>
        <x:v>353</x:v>
      </x:c>
      <x:c r="B358" s="103" t="n">
        <x:f>EDATE(B357,1)</x:f>
        <x:v>56949</x:v>
      </x:c>
      <x:c r="C358" s="104" t="n">
        <x:f>H357</x:f>
        <x:v>16040.321720099937</x:v>
      </x:c>
      <x:c r="D358" s="104" t="n">
        <x:f>IF(C358&gt;0,C358*'Your Mortgage'!$C$7/12,0)</x:f>
        <x:v>86.88507598387467</x:v>
      </x:c>
      <x:c r="E358" s="104" t="n">
        <x:f>IF(C358&gt;0,MIN('Your Mortgage'!$C$11,C358+D358),0)</x:f>
        <x:v>2054.2210763521375</x:v>
      </x:c>
      <x:c r="F358" s="104" t="n">
        <x:f>E358</x:f>
        <x:v>2054.2210763521375</x:v>
      </x:c>
      <x:c r="G358" s="104" t="n">
        <x:f>MAX(0,F358-D358)</x:f>
        <x:v>1967.3360003682628</x:v>
      </x:c>
      <x:c r="H358" s="104" t="n">
        <x:f>MAX(0,C358-G358)</x:f>
        <x:v>14072.985719731674</x:v>
      </x:c>
      <x:c r="I358" s="105" t="n">
        <x:f>P357</x:f>
        <x:v>0</x:v>
      </x:c>
      <x:c r="J358" s="105" t="n">
        <x:f>IF(I358&gt;0,I358*'Your Mortgage'!$C$7/12,0)</x:f>
        <x:v>0</x:v>
      </x:c>
      <x:c r="K358" s="105" t="n">
        <x:f>IF(I358&gt;0,MIN('Your Mortgage'!$C$11,I358+J358),0)</x:f>
        <x:v>0</x:v>
      </x:c>
      <x:c r="L358" s="105" t="n">
        <x:f>IF(I358&gt;0,MIN('Your Mortgage'!$F$6,MAX(0,I358+J358-K358)),0)</x:f>
        <x:v>0</x:v>
      </x:c>
      <x:c r="M358" s="105" t="n">
        <x:f>IF(AND(A358='Your Mortgage'!$F$8,I358&gt;0),MIN('Your Mortgage'!$F$7,MAX(0,I358+J358-K358-L358)),0)</x:f>
        <x:v>0</x:v>
      </x:c>
      <x:c r="N358" s="105" t="n">
        <x:f>K358+L358+M358</x:f>
        <x:v>0</x:v>
      </x:c>
      <x:c r="O358" s="105" t="n">
        <x:f>MAX(0,N358-J358)</x:f>
        <x:v>0</x:v>
      </x:c>
      <x:c r="P358" s="105" t="n">
        <x:f>MAX(0,I358-O358)</x:f>
        <x:v>0</x:v>
      </x:c>
      <x:c r="Q358" s="106" t="n">
        <x:f>X357</x:f>
        <x:v>0</x:v>
      </x:c>
      <x:c r="R358" s="106" t="n">
        <x:f>IF(Q358&gt;0,Q358*'Your Mortgage'!$C$7/12,0)</x:f>
        <x:v>0</x:v>
      </x:c>
      <x:c r="S358" s="106" t="n">
        <x:f>IF(Q358&gt;0,MIN('Your Mortgage'!$C$11,Q358+R358),0)</x:f>
        <x:v>0</x:v>
      </x:c>
      <x:c r="T358" s="106" t="n">
        <x:f>IF(Q358&gt;0,MIN('Your Mortgage'!$I$6,MAX(0,Q358+R358-S358)),0)</x:f>
        <x:v>0</x:v>
      </x:c>
      <x:c r="U358" s="106" t="n">
        <x:f>IF(AND(A358='Your Mortgage'!$I$8,Q358&gt;0),MIN('Your Mortgage'!$I$7,MAX(0,Q358+R358-S358-T358)),0)</x:f>
        <x:v>0</x:v>
      </x:c>
      <x:c r="V358" s="106" t="n">
        <x:f>S358+T358+U358</x:f>
        <x:v>0</x:v>
      </x:c>
      <x:c r="W358" s="106" t="n">
        <x:f>MAX(0,V358-R358)</x:f>
        <x:v>0</x:v>
      </x:c>
      <x:c r="X358" s="106" t="n">
        <x:f>MAX(0,Q358-W358)</x:f>
        <x:v>0</x:v>
      </x:c>
      <x:c r="Y358" s="1"/>
      <x:c r="Z358" s="1"/>
    </x:row>
    <x:row r="359">
      <x:c r="A359" s="100" t="n">
        <x:f>A358+1</x:f>
        <x:v>354</x:v>
      </x:c>
      <x:c r="B359" s="103" t="n">
        <x:f>EDATE(B358,1)</x:f>
        <x:v>56980</x:v>
      </x:c>
      <x:c r="C359" s="104" t="n">
        <x:f>H358</x:f>
        <x:v>14072.985719731674</x:v>
      </x:c>
      <x:c r="D359" s="104" t="n">
        <x:f>IF(C359&gt;0,C359*'Your Mortgage'!$C$7/12,0)</x:f>
        <x:v>76.22867264854658</x:v>
      </x:c>
      <x:c r="E359" s="104" t="n">
        <x:f>IF(C359&gt;0,MIN('Your Mortgage'!$C$11,C359+D359),0)</x:f>
        <x:v>2054.2210763521375</x:v>
      </x:c>
      <x:c r="F359" s="104" t="n">
        <x:f>E359</x:f>
        <x:v>2054.2210763521375</x:v>
      </x:c>
      <x:c r="G359" s="104" t="n">
        <x:f>MAX(0,F359-D359)</x:f>
        <x:v>1977.992403703591</x:v>
      </x:c>
      <x:c r="H359" s="104" t="n">
        <x:f>MAX(0,C359-G359)</x:f>
        <x:v>12094.993316028083</x:v>
      </x:c>
      <x:c r="I359" s="105" t="n">
        <x:f>P358</x:f>
        <x:v>0</x:v>
      </x:c>
      <x:c r="J359" s="105" t="n">
        <x:f>IF(I359&gt;0,I359*'Your Mortgage'!$C$7/12,0)</x:f>
        <x:v>0</x:v>
      </x:c>
      <x:c r="K359" s="105" t="n">
        <x:f>IF(I359&gt;0,MIN('Your Mortgage'!$C$11,I359+J359),0)</x:f>
        <x:v>0</x:v>
      </x:c>
      <x:c r="L359" s="105" t="n">
        <x:f>IF(I359&gt;0,MIN('Your Mortgage'!$F$6,MAX(0,I359+J359-K359)),0)</x:f>
        <x:v>0</x:v>
      </x:c>
      <x:c r="M359" s="105" t="n">
        <x:f>IF(AND(A359='Your Mortgage'!$F$8,I359&gt;0),MIN('Your Mortgage'!$F$7,MAX(0,I359+J359-K359-L359)),0)</x:f>
        <x:v>0</x:v>
      </x:c>
      <x:c r="N359" s="105" t="n">
        <x:f>K359+L359+M359</x:f>
        <x:v>0</x:v>
      </x:c>
      <x:c r="O359" s="105" t="n">
        <x:f>MAX(0,N359-J359)</x:f>
        <x:v>0</x:v>
      </x:c>
      <x:c r="P359" s="105" t="n">
        <x:f>MAX(0,I359-O359)</x:f>
        <x:v>0</x:v>
      </x:c>
      <x:c r="Q359" s="106" t="n">
        <x:f>X358</x:f>
        <x:v>0</x:v>
      </x:c>
      <x:c r="R359" s="106" t="n">
        <x:f>IF(Q359&gt;0,Q359*'Your Mortgage'!$C$7/12,0)</x:f>
        <x:v>0</x:v>
      </x:c>
      <x:c r="S359" s="106" t="n">
        <x:f>IF(Q359&gt;0,MIN('Your Mortgage'!$C$11,Q359+R359),0)</x:f>
        <x:v>0</x:v>
      </x:c>
      <x:c r="T359" s="106" t="n">
        <x:f>IF(Q359&gt;0,MIN('Your Mortgage'!$I$6,MAX(0,Q359+R359-S359)),0)</x:f>
        <x:v>0</x:v>
      </x:c>
      <x:c r="U359" s="106" t="n">
        <x:f>IF(AND(A359='Your Mortgage'!$I$8,Q359&gt;0),MIN('Your Mortgage'!$I$7,MAX(0,Q359+R359-S359-T359)),0)</x:f>
        <x:v>0</x:v>
      </x:c>
      <x:c r="V359" s="106" t="n">
        <x:f>S359+T359+U359</x:f>
        <x:v>0</x:v>
      </x:c>
      <x:c r="W359" s="106" t="n">
        <x:f>MAX(0,V359-R359)</x:f>
        <x:v>0</x:v>
      </x:c>
      <x:c r="X359" s="106" t="n">
        <x:f>MAX(0,Q359-W359)</x:f>
        <x:v>0</x:v>
      </x:c>
      <x:c r="Y359" s="1"/>
      <x:c r="Z359" s="1"/>
    </x:row>
    <x:row r="360">
      <x:c r="A360" s="100" t="n">
        <x:f>A359+1</x:f>
        <x:v>355</x:v>
      </x:c>
      <x:c r="B360" s="103" t="n">
        <x:f>EDATE(B359,1)</x:f>
        <x:v>57011</x:v>
      </x:c>
      <x:c r="C360" s="104" t="n">
        <x:f>H359</x:f>
        <x:v>12094.993316028083</x:v>
      </x:c>
      <x:c r="D360" s="104" t="n">
        <x:f>IF(C360&gt;0,C360*'Your Mortgage'!$C$7/12,0)</x:f>
        <x:v>65.51454712848546</x:v>
      </x:c>
      <x:c r="E360" s="104" t="n">
        <x:f>IF(C360&gt;0,MIN('Your Mortgage'!$C$11,C360+D360),0)</x:f>
        <x:v>2054.2210763521375</x:v>
      </x:c>
      <x:c r="F360" s="104" t="n">
        <x:f>E360</x:f>
        <x:v>2054.2210763521375</x:v>
      </x:c>
      <x:c r="G360" s="104" t="n">
        <x:f>MAX(0,F360-D360)</x:f>
        <x:v>1988.706529223652</x:v>
      </x:c>
      <x:c r="H360" s="104" t="n">
        <x:f>MAX(0,C360-G360)</x:f>
        <x:v>10106.28678680443</x:v>
      </x:c>
      <x:c r="I360" s="105" t="n">
        <x:f>P359</x:f>
        <x:v>0</x:v>
      </x:c>
      <x:c r="J360" s="105" t="n">
        <x:f>IF(I360&gt;0,I360*'Your Mortgage'!$C$7/12,0)</x:f>
        <x:v>0</x:v>
      </x:c>
      <x:c r="K360" s="105" t="n">
        <x:f>IF(I360&gt;0,MIN('Your Mortgage'!$C$11,I360+J360),0)</x:f>
        <x:v>0</x:v>
      </x:c>
      <x:c r="L360" s="105" t="n">
        <x:f>IF(I360&gt;0,MIN('Your Mortgage'!$F$6,MAX(0,I360+J360-K360)),0)</x:f>
        <x:v>0</x:v>
      </x:c>
      <x:c r="M360" s="105" t="n">
        <x:f>IF(AND(A360='Your Mortgage'!$F$8,I360&gt;0),MIN('Your Mortgage'!$F$7,MAX(0,I360+J360-K360-L360)),0)</x:f>
        <x:v>0</x:v>
      </x:c>
      <x:c r="N360" s="105" t="n">
        <x:f>K360+L360+M360</x:f>
        <x:v>0</x:v>
      </x:c>
      <x:c r="O360" s="105" t="n">
        <x:f>MAX(0,N360-J360)</x:f>
        <x:v>0</x:v>
      </x:c>
      <x:c r="P360" s="105" t="n">
        <x:f>MAX(0,I360-O360)</x:f>
        <x:v>0</x:v>
      </x:c>
      <x:c r="Q360" s="106" t="n">
        <x:f>X359</x:f>
        <x:v>0</x:v>
      </x:c>
      <x:c r="R360" s="106" t="n">
        <x:f>IF(Q360&gt;0,Q360*'Your Mortgage'!$C$7/12,0)</x:f>
        <x:v>0</x:v>
      </x:c>
      <x:c r="S360" s="106" t="n">
        <x:f>IF(Q360&gt;0,MIN('Your Mortgage'!$C$11,Q360+R360),0)</x:f>
        <x:v>0</x:v>
      </x:c>
      <x:c r="T360" s="106" t="n">
        <x:f>IF(Q360&gt;0,MIN('Your Mortgage'!$I$6,MAX(0,Q360+R360-S360)),0)</x:f>
        <x:v>0</x:v>
      </x:c>
      <x:c r="U360" s="106" t="n">
        <x:f>IF(AND(A360='Your Mortgage'!$I$8,Q360&gt;0),MIN('Your Mortgage'!$I$7,MAX(0,Q360+R360-S360-T360)),0)</x:f>
        <x:v>0</x:v>
      </x:c>
      <x:c r="V360" s="106" t="n">
        <x:f>S360+T360+U360</x:f>
        <x:v>0</x:v>
      </x:c>
      <x:c r="W360" s="106" t="n">
        <x:f>MAX(0,V360-R360)</x:f>
        <x:v>0</x:v>
      </x:c>
      <x:c r="X360" s="106" t="n">
        <x:f>MAX(0,Q360-W360)</x:f>
        <x:v>0</x:v>
      </x:c>
      <x:c r="Y360" s="1"/>
      <x:c r="Z360" s="1"/>
    </x:row>
    <x:row r="361">
      <x:c r="A361" s="100" t="n">
        <x:f>A360+1</x:f>
        <x:v>356</x:v>
      </x:c>
      <x:c r="B361" s="103" t="n">
        <x:f>EDATE(B360,1)</x:f>
        <x:v>57040</x:v>
      </x:c>
      <x:c r="C361" s="104" t="n">
        <x:f>H360</x:f>
        <x:v>10106.28678680443</x:v>
      </x:c>
      <x:c r="D361" s="104" t="n">
        <x:f>IF(C361&gt;0,C361*'Your Mortgage'!$C$7/12,0)</x:f>
        <x:v>54.74238676185734</x:v>
      </x:c>
      <x:c r="E361" s="104" t="n">
        <x:f>IF(C361&gt;0,MIN('Your Mortgage'!$C$11,C361+D361),0)</x:f>
        <x:v>2054.2210763521375</x:v>
      </x:c>
      <x:c r="F361" s="104" t="n">
        <x:f>E361</x:f>
        <x:v>2054.2210763521375</x:v>
      </x:c>
      <x:c r="G361" s="104" t="n">
        <x:f>MAX(0,F361-D361)</x:f>
        <x:v>1999.4786895902803</x:v>
      </x:c>
      <x:c r="H361" s="104" t="n">
        <x:f>MAX(0,C361-G361)</x:f>
        <x:v>8106.808097214151</x:v>
      </x:c>
      <x:c r="I361" s="105" t="n">
        <x:f>P360</x:f>
        <x:v>0</x:v>
      </x:c>
      <x:c r="J361" s="105" t="n">
        <x:f>IF(I361&gt;0,I361*'Your Mortgage'!$C$7/12,0)</x:f>
        <x:v>0</x:v>
      </x:c>
      <x:c r="K361" s="105" t="n">
        <x:f>IF(I361&gt;0,MIN('Your Mortgage'!$C$11,I361+J361),0)</x:f>
        <x:v>0</x:v>
      </x:c>
      <x:c r="L361" s="105" t="n">
        <x:f>IF(I361&gt;0,MIN('Your Mortgage'!$F$6,MAX(0,I361+J361-K361)),0)</x:f>
        <x:v>0</x:v>
      </x:c>
      <x:c r="M361" s="105" t="n">
        <x:f>IF(AND(A361='Your Mortgage'!$F$8,I361&gt;0),MIN('Your Mortgage'!$F$7,MAX(0,I361+J361-K361-L361)),0)</x:f>
        <x:v>0</x:v>
      </x:c>
      <x:c r="N361" s="105" t="n">
        <x:f>K361+L361+M361</x:f>
        <x:v>0</x:v>
      </x:c>
      <x:c r="O361" s="105" t="n">
        <x:f>MAX(0,N361-J361)</x:f>
        <x:v>0</x:v>
      </x:c>
      <x:c r="P361" s="105" t="n">
        <x:f>MAX(0,I361-O361)</x:f>
        <x:v>0</x:v>
      </x:c>
      <x:c r="Q361" s="106" t="n">
        <x:f>X360</x:f>
        <x:v>0</x:v>
      </x:c>
      <x:c r="R361" s="106" t="n">
        <x:f>IF(Q361&gt;0,Q361*'Your Mortgage'!$C$7/12,0)</x:f>
        <x:v>0</x:v>
      </x:c>
      <x:c r="S361" s="106" t="n">
        <x:f>IF(Q361&gt;0,MIN('Your Mortgage'!$C$11,Q361+R361),0)</x:f>
        <x:v>0</x:v>
      </x:c>
      <x:c r="T361" s="106" t="n">
        <x:f>IF(Q361&gt;0,MIN('Your Mortgage'!$I$6,MAX(0,Q361+R361-S361)),0)</x:f>
        <x:v>0</x:v>
      </x:c>
      <x:c r="U361" s="106" t="n">
        <x:f>IF(AND(A361='Your Mortgage'!$I$8,Q361&gt;0),MIN('Your Mortgage'!$I$7,MAX(0,Q361+R361-S361-T361)),0)</x:f>
        <x:v>0</x:v>
      </x:c>
      <x:c r="V361" s="106" t="n">
        <x:f>S361+T361+U361</x:f>
        <x:v>0</x:v>
      </x:c>
      <x:c r="W361" s="106" t="n">
        <x:f>MAX(0,V361-R361)</x:f>
        <x:v>0</x:v>
      </x:c>
      <x:c r="X361" s="106" t="n">
        <x:f>MAX(0,Q361-W361)</x:f>
        <x:v>0</x:v>
      </x:c>
      <x:c r="Y361" s="1"/>
      <x:c r="Z361" s="1"/>
    </x:row>
    <x:row r="362">
      <x:c r="A362" s="100" t="n">
        <x:f>A361+1</x:f>
        <x:v>357</x:v>
      </x:c>
      <x:c r="B362" s="103" t="n">
        <x:f>EDATE(B361,1)</x:f>
        <x:v>57071</x:v>
      </x:c>
      <x:c r="C362" s="104" t="n">
        <x:f>H361</x:f>
        <x:v>8106.808097214151</x:v>
      </x:c>
      <x:c r="D362" s="104" t="n">
        <x:f>IF(C362&gt;0,C362*'Your Mortgage'!$C$7/12,0)</x:f>
        <x:v>43.91187719324332</x:v>
      </x:c>
      <x:c r="E362" s="104" t="n">
        <x:f>IF(C362&gt;0,MIN('Your Mortgage'!$C$11,C362+D362),0)</x:f>
        <x:v>2054.2210763521375</x:v>
      </x:c>
      <x:c r="F362" s="104" t="n">
        <x:f>E362</x:f>
        <x:v>2054.2210763521375</x:v>
      </x:c>
      <x:c r="G362" s="104" t="n">
        <x:f>MAX(0,F362-D362)</x:f>
        <x:v>2010.3091991588942</x:v>
      </x:c>
      <x:c r="H362" s="104" t="n">
        <x:f>MAX(0,C362-G362)</x:f>
        <x:v>6096.498898055256</x:v>
      </x:c>
      <x:c r="I362" s="105" t="n">
        <x:f>P361</x:f>
        <x:v>0</x:v>
      </x:c>
      <x:c r="J362" s="105" t="n">
        <x:f>IF(I362&gt;0,I362*'Your Mortgage'!$C$7/12,0)</x:f>
        <x:v>0</x:v>
      </x:c>
      <x:c r="K362" s="105" t="n">
        <x:f>IF(I362&gt;0,MIN('Your Mortgage'!$C$11,I362+J362),0)</x:f>
        <x:v>0</x:v>
      </x:c>
      <x:c r="L362" s="105" t="n">
        <x:f>IF(I362&gt;0,MIN('Your Mortgage'!$F$6,MAX(0,I362+J362-K362)),0)</x:f>
        <x:v>0</x:v>
      </x:c>
      <x:c r="M362" s="105" t="n">
        <x:f>IF(AND(A362='Your Mortgage'!$F$8,I362&gt;0),MIN('Your Mortgage'!$F$7,MAX(0,I362+J362-K362-L362)),0)</x:f>
        <x:v>0</x:v>
      </x:c>
      <x:c r="N362" s="105" t="n">
        <x:f>K362+L362+M362</x:f>
        <x:v>0</x:v>
      </x:c>
      <x:c r="O362" s="105" t="n">
        <x:f>MAX(0,N362-J362)</x:f>
        <x:v>0</x:v>
      </x:c>
      <x:c r="P362" s="105" t="n">
        <x:f>MAX(0,I362-O362)</x:f>
        <x:v>0</x:v>
      </x:c>
      <x:c r="Q362" s="106" t="n">
        <x:f>X361</x:f>
        <x:v>0</x:v>
      </x:c>
      <x:c r="R362" s="106" t="n">
        <x:f>IF(Q362&gt;0,Q362*'Your Mortgage'!$C$7/12,0)</x:f>
        <x:v>0</x:v>
      </x:c>
      <x:c r="S362" s="106" t="n">
        <x:f>IF(Q362&gt;0,MIN('Your Mortgage'!$C$11,Q362+R362),0)</x:f>
        <x:v>0</x:v>
      </x:c>
      <x:c r="T362" s="106" t="n">
        <x:f>IF(Q362&gt;0,MIN('Your Mortgage'!$I$6,MAX(0,Q362+R362-S362)),0)</x:f>
        <x:v>0</x:v>
      </x:c>
      <x:c r="U362" s="106" t="n">
        <x:f>IF(AND(A362='Your Mortgage'!$I$8,Q362&gt;0),MIN('Your Mortgage'!$I$7,MAX(0,Q362+R362-S362-T362)),0)</x:f>
        <x:v>0</x:v>
      </x:c>
      <x:c r="V362" s="106" t="n">
        <x:f>S362+T362+U362</x:f>
        <x:v>0</x:v>
      </x:c>
      <x:c r="W362" s="106" t="n">
        <x:f>MAX(0,V362-R362)</x:f>
        <x:v>0</x:v>
      </x:c>
      <x:c r="X362" s="106" t="n">
        <x:f>MAX(0,Q362-W362)</x:f>
        <x:v>0</x:v>
      </x:c>
      <x:c r="Y362" s="1"/>
      <x:c r="Z362" s="1"/>
    </x:row>
    <x:row r="363">
      <x:c r="A363" s="100" t="n">
        <x:f>A362+1</x:f>
        <x:v>358</x:v>
      </x:c>
      <x:c r="B363" s="103" t="n">
        <x:f>EDATE(B362,1)</x:f>
        <x:v>57101</x:v>
      </x:c>
      <x:c r="C363" s="104" t="n">
        <x:f>H362</x:f>
        <x:v>6096.498898055256</x:v>
      </x:c>
      <x:c r="D363" s="104" t="n">
        <x:f>IF(C363&gt;0,C363*'Your Mortgage'!$C$7/12,0)</x:f>
        <x:v>33.02270236446597</x:v>
      </x:c>
      <x:c r="E363" s="104" t="n">
        <x:f>IF(C363&gt;0,MIN('Your Mortgage'!$C$11,C363+D363),0)</x:f>
        <x:v>2054.2210763521375</x:v>
      </x:c>
      <x:c r="F363" s="104" t="n">
        <x:f>E363</x:f>
        <x:v>2054.2210763521375</x:v>
      </x:c>
      <x:c r="G363" s="104" t="n">
        <x:f>MAX(0,F363-D363)</x:f>
        <x:v>2021.1983739876716</x:v>
      </x:c>
      <x:c r="H363" s="104" t="n">
        <x:f>MAX(0,C363-G363)</x:f>
        <x:v>4075.300524067585</x:v>
      </x:c>
      <x:c r="I363" s="105" t="n">
        <x:f>P362</x:f>
        <x:v>0</x:v>
      </x:c>
      <x:c r="J363" s="105" t="n">
        <x:f>IF(I363&gt;0,I363*'Your Mortgage'!$C$7/12,0)</x:f>
        <x:v>0</x:v>
      </x:c>
      <x:c r="K363" s="105" t="n">
        <x:f>IF(I363&gt;0,MIN('Your Mortgage'!$C$11,I363+J363),0)</x:f>
        <x:v>0</x:v>
      </x:c>
      <x:c r="L363" s="105" t="n">
        <x:f>IF(I363&gt;0,MIN('Your Mortgage'!$F$6,MAX(0,I363+J363-K363)),0)</x:f>
        <x:v>0</x:v>
      </x:c>
      <x:c r="M363" s="105" t="n">
        <x:f>IF(AND(A363='Your Mortgage'!$F$8,I363&gt;0),MIN('Your Mortgage'!$F$7,MAX(0,I363+J363-K363-L363)),0)</x:f>
        <x:v>0</x:v>
      </x:c>
      <x:c r="N363" s="105" t="n">
        <x:f>K363+L363+M363</x:f>
        <x:v>0</x:v>
      </x:c>
      <x:c r="O363" s="105" t="n">
        <x:f>MAX(0,N363-J363)</x:f>
        <x:v>0</x:v>
      </x:c>
      <x:c r="P363" s="105" t="n">
        <x:f>MAX(0,I363-O363)</x:f>
        <x:v>0</x:v>
      </x:c>
      <x:c r="Q363" s="106" t="n">
        <x:f>X362</x:f>
        <x:v>0</x:v>
      </x:c>
      <x:c r="R363" s="106" t="n">
        <x:f>IF(Q363&gt;0,Q363*'Your Mortgage'!$C$7/12,0)</x:f>
        <x:v>0</x:v>
      </x:c>
      <x:c r="S363" s="106" t="n">
        <x:f>IF(Q363&gt;0,MIN('Your Mortgage'!$C$11,Q363+R363),0)</x:f>
        <x:v>0</x:v>
      </x:c>
      <x:c r="T363" s="106" t="n">
        <x:f>IF(Q363&gt;0,MIN('Your Mortgage'!$I$6,MAX(0,Q363+R363-S363)),0)</x:f>
        <x:v>0</x:v>
      </x:c>
      <x:c r="U363" s="106" t="n">
        <x:f>IF(AND(A363='Your Mortgage'!$I$8,Q363&gt;0),MIN('Your Mortgage'!$I$7,MAX(0,Q363+R363-S363-T363)),0)</x:f>
        <x:v>0</x:v>
      </x:c>
      <x:c r="V363" s="106" t="n">
        <x:f>S363+T363+U363</x:f>
        <x:v>0</x:v>
      </x:c>
      <x:c r="W363" s="106" t="n">
        <x:f>MAX(0,V363-R363)</x:f>
        <x:v>0</x:v>
      </x:c>
      <x:c r="X363" s="106" t="n">
        <x:f>MAX(0,Q363-W363)</x:f>
        <x:v>0</x:v>
      </x:c>
      <x:c r="Y363" s="1"/>
      <x:c r="Z363" s="1"/>
    </x:row>
    <x:row r="364">
      <x:c r="A364" s="100" t="n">
        <x:f>A363+1</x:f>
        <x:v>359</x:v>
      </x:c>
      <x:c r="B364" s="103" t="n">
        <x:f>EDATE(B363,1)</x:f>
        <x:v>57132</x:v>
      </x:c>
      <x:c r="C364" s="104" t="n">
        <x:f>H363</x:f>
        <x:v>4075.300524067585</x:v>
      </x:c>
      <x:c r="D364" s="104" t="n">
        <x:f>IF(C364&gt;0,C364*'Your Mortgage'!$C$7/12,0)</x:f>
        <x:v>22.074544505366088</x:v>
      </x:c>
      <x:c r="E364" s="104" t="n">
        <x:f>IF(C364&gt;0,MIN('Your Mortgage'!$C$11,C364+D364),0)</x:f>
        <x:v>2054.2210763521375</x:v>
      </x:c>
      <x:c r="F364" s="104" t="n">
        <x:f>E364</x:f>
        <x:v>2054.2210763521375</x:v>
      </x:c>
      <x:c r="G364" s="104" t="n">
        <x:f>MAX(0,F364-D364)</x:f>
        <x:v>2032.1465318467715</x:v>
      </x:c>
      <x:c r="H364" s="104" t="n">
        <x:f>MAX(0,C364-G364)</x:f>
        <x:v>2043.1539922208133</x:v>
      </x:c>
      <x:c r="I364" s="105" t="n">
        <x:f>P363</x:f>
        <x:v>0</x:v>
      </x:c>
      <x:c r="J364" s="105" t="n">
        <x:f>IF(I364&gt;0,I364*'Your Mortgage'!$C$7/12,0)</x:f>
        <x:v>0</x:v>
      </x:c>
      <x:c r="K364" s="105" t="n">
        <x:f>IF(I364&gt;0,MIN('Your Mortgage'!$C$11,I364+J364),0)</x:f>
        <x:v>0</x:v>
      </x:c>
      <x:c r="L364" s="105" t="n">
        <x:f>IF(I364&gt;0,MIN('Your Mortgage'!$F$6,MAX(0,I364+J364-K364)),0)</x:f>
        <x:v>0</x:v>
      </x:c>
      <x:c r="M364" s="105" t="n">
        <x:f>IF(AND(A364='Your Mortgage'!$F$8,I364&gt;0),MIN('Your Mortgage'!$F$7,MAX(0,I364+J364-K364-L364)),0)</x:f>
        <x:v>0</x:v>
      </x:c>
      <x:c r="N364" s="105" t="n">
        <x:f>K364+L364+M364</x:f>
        <x:v>0</x:v>
      </x:c>
      <x:c r="O364" s="105" t="n">
        <x:f>MAX(0,N364-J364)</x:f>
        <x:v>0</x:v>
      </x:c>
      <x:c r="P364" s="105" t="n">
        <x:f>MAX(0,I364-O364)</x:f>
        <x:v>0</x:v>
      </x:c>
      <x:c r="Q364" s="106" t="n">
        <x:f>X363</x:f>
        <x:v>0</x:v>
      </x:c>
      <x:c r="R364" s="106" t="n">
        <x:f>IF(Q364&gt;0,Q364*'Your Mortgage'!$C$7/12,0)</x:f>
        <x:v>0</x:v>
      </x:c>
      <x:c r="S364" s="106" t="n">
        <x:f>IF(Q364&gt;0,MIN('Your Mortgage'!$C$11,Q364+R364),0)</x:f>
        <x:v>0</x:v>
      </x:c>
      <x:c r="T364" s="106" t="n">
        <x:f>IF(Q364&gt;0,MIN('Your Mortgage'!$I$6,MAX(0,Q364+R364-S364)),0)</x:f>
        <x:v>0</x:v>
      </x:c>
      <x:c r="U364" s="106" t="n">
        <x:f>IF(AND(A364='Your Mortgage'!$I$8,Q364&gt;0),MIN('Your Mortgage'!$I$7,MAX(0,Q364+R364-S364-T364)),0)</x:f>
        <x:v>0</x:v>
      </x:c>
      <x:c r="V364" s="106" t="n">
        <x:f>S364+T364+U364</x:f>
        <x:v>0</x:v>
      </x:c>
      <x:c r="W364" s="106" t="n">
        <x:f>MAX(0,V364-R364)</x:f>
        <x:v>0</x:v>
      </x:c>
      <x:c r="X364" s="106" t="n">
        <x:f>MAX(0,Q364-W364)</x:f>
        <x:v>0</x:v>
      </x:c>
      <x:c r="Y364" s="1"/>
      <x:c r="Z364" s="1"/>
    </x:row>
    <x:row r="365">
      <x:c r="A365" s="100" t="n">
        <x:f>A364+1</x:f>
        <x:v>360</x:v>
      </x:c>
      <x:c r="B365" s="103" t="n">
        <x:f>EDATE(B364,1)</x:f>
        <x:v>57162</x:v>
      </x:c>
      <x:c r="C365" s="104" t="n">
        <x:f>H364</x:f>
        <x:v>2043.1539922208133</x:v>
      </x:c>
      <x:c r="D365" s="104" t="n">
        <x:f>IF(C365&gt;0,C365*'Your Mortgage'!$C$7/12,0)</x:f>
        <x:v>11.067084124529407</x:v>
      </x:c>
      <x:c r="E365" s="104" t="n">
        <x:f>IF(C365&gt;0,MIN('Your Mortgage'!$C$11,C365+D365),0)</x:f>
        <x:v>2054.2210763453427</x:v>
      </x:c>
      <x:c r="F365" s="104" t="n">
        <x:f>E365</x:f>
        <x:v>2054.2210763453427</x:v>
      </x:c>
      <x:c r="G365" s="104" t="n">
        <x:f>MAX(0,F365-D365)</x:f>
        <x:v>2043.1539922208133</x:v>
      </x:c>
      <x:c r="H365" s="104" t="n">
        <x:f>MAX(0,C365-G365)</x:f>
        <x:v>0</x:v>
      </x:c>
      <x:c r="I365" s="105" t="n">
        <x:f>P364</x:f>
        <x:v>0</x:v>
      </x:c>
      <x:c r="J365" s="105" t="n">
        <x:f>IF(I365&gt;0,I365*'Your Mortgage'!$C$7/12,0)</x:f>
        <x:v>0</x:v>
      </x:c>
      <x:c r="K365" s="105" t="n">
        <x:f>IF(I365&gt;0,MIN('Your Mortgage'!$C$11,I365+J365),0)</x:f>
        <x:v>0</x:v>
      </x:c>
      <x:c r="L365" s="105" t="n">
        <x:f>IF(I365&gt;0,MIN('Your Mortgage'!$F$6,MAX(0,I365+J365-K365)),0)</x:f>
        <x:v>0</x:v>
      </x:c>
      <x:c r="M365" s="105" t="n">
        <x:f>IF(AND(A365='Your Mortgage'!$F$8,I365&gt;0),MIN('Your Mortgage'!$F$7,MAX(0,I365+J365-K365-L365)),0)</x:f>
        <x:v>0</x:v>
      </x:c>
      <x:c r="N365" s="105" t="n">
        <x:f>K365+L365+M365</x:f>
        <x:v>0</x:v>
      </x:c>
      <x:c r="O365" s="105" t="n">
        <x:f>MAX(0,N365-J365)</x:f>
        <x:v>0</x:v>
      </x:c>
      <x:c r="P365" s="105" t="n">
        <x:f>MAX(0,I365-O365)</x:f>
        <x:v>0</x:v>
      </x:c>
      <x:c r="Q365" s="106" t="n">
        <x:f>X364</x:f>
        <x:v>0</x:v>
      </x:c>
      <x:c r="R365" s="106" t="n">
        <x:f>IF(Q365&gt;0,Q365*'Your Mortgage'!$C$7/12,0)</x:f>
        <x:v>0</x:v>
      </x:c>
      <x:c r="S365" s="106" t="n">
        <x:f>IF(Q365&gt;0,MIN('Your Mortgage'!$C$11,Q365+R365),0)</x:f>
        <x:v>0</x:v>
      </x:c>
      <x:c r="T365" s="106" t="n">
        <x:f>IF(Q365&gt;0,MIN('Your Mortgage'!$I$6,MAX(0,Q365+R365-S365)),0)</x:f>
        <x:v>0</x:v>
      </x:c>
      <x:c r="U365" s="106" t="n">
        <x:f>IF(AND(A365='Your Mortgage'!$I$8,Q365&gt;0),MIN('Your Mortgage'!$I$7,MAX(0,Q365+R365-S365-T365)),0)</x:f>
        <x:v>0</x:v>
      </x:c>
      <x:c r="V365" s="106" t="n">
        <x:f>S365+T365+U365</x:f>
        <x:v>0</x:v>
      </x:c>
      <x:c r="W365" s="106" t="n">
        <x:f>MAX(0,V365-R365)</x:f>
        <x:v>0</x:v>
      </x:c>
      <x:c r="X365" s="106" t="n">
        <x:f>MAX(0,Q365-W365)</x:f>
        <x:v>0</x:v>
      </x:c>
      <x:c r="Y365" s="1"/>
      <x:c r="Z365" s="1"/>
    </x:row>
    <x:row r="366">
      <x:c r="A366" s="100" t="n">
        <x:f>A365+1</x:f>
        <x:v>361</x:v>
      </x:c>
      <x:c r="B366" s="103" t="n">
        <x:f>EDATE(B365,1)</x:f>
        <x:v>57193</x:v>
      </x:c>
      <x:c r="C366" s="104" t="n">
        <x:f>H365</x:f>
        <x:v>0</x:v>
      </x:c>
      <x:c r="D366" s="104" t="n">
        <x:f>IF(C366&gt;0,C366*'Your Mortgage'!$C$7/12,0)</x:f>
        <x:v>0</x:v>
      </x:c>
      <x:c r="E366" s="104" t="n">
        <x:f>IF(C366&gt;0,MIN('Your Mortgage'!$C$11,C366+D366),0)</x:f>
        <x:v>0</x:v>
      </x:c>
      <x:c r="F366" s="104" t="n">
        <x:f>E366</x:f>
        <x:v>0</x:v>
      </x:c>
      <x:c r="G366" s="104" t="n">
        <x:f>MAX(0,F366-D366)</x:f>
        <x:v>0</x:v>
      </x:c>
      <x:c r="H366" s="104" t="n">
        <x:f>MAX(0,C366-G366)</x:f>
        <x:v>0</x:v>
      </x:c>
      <x:c r="I366" s="105" t="n">
        <x:f>P365</x:f>
        <x:v>0</x:v>
      </x:c>
      <x:c r="J366" s="105" t="n">
        <x:f>IF(I366&gt;0,I366*'Your Mortgage'!$C$7/12,0)</x:f>
        <x:v>0</x:v>
      </x:c>
      <x:c r="K366" s="105" t="n">
        <x:f>IF(I366&gt;0,MIN('Your Mortgage'!$C$11,I366+J366),0)</x:f>
        <x:v>0</x:v>
      </x:c>
      <x:c r="L366" s="105" t="n">
        <x:f>IF(I366&gt;0,MIN('Your Mortgage'!$F$6,MAX(0,I366+J366-K366)),0)</x:f>
        <x:v>0</x:v>
      </x:c>
      <x:c r="M366" s="105" t="n">
        <x:f>IF(AND(A366='Your Mortgage'!$F$8,I366&gt;0),MIN('Your Mortgage'!$F$7,MAX(0,I366+J366-K366-L366)),0)</x:f>
        <x:v>0</x:v>
      </x:c>
      <x:c r="N366" s="105" t="n">
        <x:f>K366+L366+M366</x:f>
        <x:v>0</x:v>
      </x:c>
      <x:c r="O366" s="105" t="n">
        <x:f>MAX(0,N366-J366)</x:f>
        <x:v>0</x:v>
      </x:c>
      <x:c r="P366" s="105" t="n">
        <x:f>MAX(0,I366-O366)</x:f>
        <x:v>0</x:v>
      </x:c>
      <x:c r="Q366" s="106" t="n">
        <x:f>X365</x:f>
        <x:v>0</x:v>
      </x:c>
      <x:c r="R366" s="106" t="n">
        <x:f>IF(Q366&gt;0,Q366*'Your Mortgage'!$C$7/12,0)</x:f>
        <x:v>0</x:v>
      </x:c>
      <x:c r="S366" s="106" t="n">
        <x:f>IF(Q366&gt;0,MIN('Your Mortgage'!$C$11,Q366+R366),0)</x:f>
        <x:v>0</x:v>
      </x:c>
      <x:c r="T366" s="106" t="n">
        <x:f>IF(Q366&gt;0,MIN('Your Mortgage'!$I$6,MAX(0,Q366+R366-S366)),0)</x:f>
        <x:v>0</x:v>
      </x:c>
      <x:c r="U366" s="106" t="n">
        <x:f>IF(AND(A366='Your Mortgage'!$I$8,Q366&gt;0),MIN('Your Mortgage'!$I$7,MAX(0,Q366+R366-S366-T366)),0)</x:f>
        <x:v>0</x:v>
      </x:c>
      <x:c r="V366" s="106" t="n">
        <x:f>S366+T366+U366</x:f>
        <x:v>0</x:v>
      </x:c>
      <x:c r="W366" s="106" t="n">
        <x:f>MAX(0,V366-R366)</x:f>
        <x:v>0</x:v>
      </x:c>
      <x:c r="X366" s="106" t="n">
        <x:f>MAX(0,Q366-W366)</x:f>
        <x:v>0</x:v>
      </x:c>
      <x:c r="Y366" s="1"/>
      <x:c r="Z366" s="1"/>
    </x:row>
    <x:row r="367">
      <x:c r="A367" s="100" t="n">
        <x:f>A366+1</x:f>
        <x:v>362</x:v>
      </x:c>
      <x:c r="B367" s="103" t="n">
        <x:f>EDATE(B366,1)</x:f>
        <x:v>57224</x:v>
      </x:c>
      <x:c r="C367" s="104" t="n">
        <x:f>H366</x:f>
        <x:v>0</x:v>
      </x:c>
      <x:c r="D367" s="104" t="n">
        <x:f>IF(C367&gt;0,C367*'Your Mortgage'!$C$7/12,0)</x:f>
        <x:v>0</x:v>
      </x:c>
      <x:c r="E367" s="104" t="n">
        <x:f>IF(C367&gt;0,MIN('Your Mortgage'!$C$11,C367+D367),0)</x:f>
        <x:v>0</x:v>
      </x:c>
      <x:c r="F367" s="104" t="n">
        <x:f>E367</x:f>
        <x:v>0</x:v>
      </x:c>
      <x:c r="G367" s="104" t="n">
        <x:f>MAX(0,F367-D367)</x:f>
        <x:v>0</x:v>
      </x:c>
      <x:c r="H367" s="104" t="n">
        <x:f>MAX(0,C367-G367)</x:f>
        <x:v>0</x:v>
      </x:c>
      <x:c r="I367" s="105" t="n">
        <x:f>P366</x:f>
        <x:v>0</x:v>
      </x:c>
      <x:c r="J367" s="105" t="n">
        <x:f>IF(I367&gt;0,I367*'Your Mortgage'!$C$7/12,0)</x:f>
        <x:v>0</x:v>
      </x:c>
      <x:c r="K367" s="105" t="n">
        <x:f>IF(I367&gt;0,MIN('Your Mortgage'!$C$11,I367+J367),0)</x:f>
        <x:v>0</x:v>
      </x:c>
      <x:c r="L367" s="105" t="n">
        <x:f>IF(I367&gt;0,MIN('Your Mortgage'!$F$6,MAX(0,I367+J367-K367)),0)</x:f>
        <x:v>0</x:v>
      </x:c>
      <x:c r="M367" s="105" t="n">
        <x:f>IF(AND(A367='Your Mortgage'!$F$8,I367&gt;0),MIN('Your Mortgage'!$F$7,MAX(0,I367+J367-K367-L367)),0)</x:f>
        <x:v>0</x:v>
      </x:c>
      <x:c r="N367" s="105" t="n">
        <x:f>K367+L367+M367</x:f>
        <x:v>0</x:v>
      </x:c>
      <x:c r="O367" s="105" t="n">
        <x:f>MAX(0,N367-J367)</x:f>
        <x:v>0</x:v>
      </x:c>
      <x:c r="P367" s="105" t="n">
        <x:f>MAX(0,I367-O367)</x:f>
        <x:v>0</x:v>
      </x:c>
      <x:c r="Q367" s="106" t="n">
        <x:f>X366</x:f>
        <x:v>0</x:v>
      </x:c>
      <x:c r="R367" s="106" t="n">
        <x:f>IF(Q367&gt;0,Q367*'Your Mortgage'!$C$7/12,0)</x:f>
        <x:v>0</x:v>
      </x:c>
      <x:c r="S367" s="106" t="n">
        <x:f>IF(Q367&gt;0,MIN('Your Mortgage'!$C$11,Q367+R367),0)</x:f>
        <x:v>0</x:v>
      </x:c>
      <x:c r="T367" s="106" t="n">
        <x:f>IF(Q367&gt;0,MIN('Your Mortgage'!$I$6,MAX(0,Q367+R367-S367)),0)</x:f>
        <x:v>0</x:v>
      </x:c>
      <x:c r="U367" s="106" t="n">
        <x:f>IF(AND(A367='Your Mortgage'!$I$8,Q367&gt;0),MIN('Your Mortgage'!$I$7,MAX(0,Q367+R367-S367-T367)),0)</x:f>
        <x:v>0</x:v>
      </x:c>
      <x:c r="V367" s="106" t="n">
        <x:f>S367+T367+U367</x:f>
        <x:v>0</x:v>
      </x:c>
      <x:c r="W367" s="106" t="n">
        <x:f>MAX(0,V367-R367)</x:f>
        <x:v>0</x:v>
      </x:c>
      <x:c r="X367" s="106" t="n">
        <x:f>MAX(0,Q367-W367)</x:f>
        <x:v>0</x:v>
      </x:c>
      <x:c r="Y367" s="1"/>
      <x:c r="Z367" s="1"/>
    </x:row>
    <x:row r="368">
      <x:c r="A368" s="100" t="n">
        <x:f>A367+1</x:f>
        <x:v>363</x:v>
      </x:c>
      <x:c r="B368" s="103" t="n">
        <x:f>EDATE(B367,1)</x:f>
        <x:v>57254</x:v>
      </x:c>
      <x:c r="C368" s="104" t="n">
        <x:f>H367</x:f>
        <x:v>0</x:v>
      </x:c>
      <x:c r="D368" s="104" t="n">
        <x:f>IF(C368&gt;0,C368*'Your Mortgage'!$C$7/12,0)</x:f>
        <x:v>0</x:v>
      </x:c>
      <x:c r="E368" s="104" t="n">
        <x:f>IF(C368&gt;0,MIN('Your Mortgage'!$C$11,C368+D368),0)</x:f>
        <x:v>0</x:v>
      </x:c>
      <x:c r="F368" s="104" t="n">
        <x:f>E368</x:f>
        <x:v>0</x:v>
      </x:c>
      <x:c r="G368" s="104" t="n">
        <x:f>MAX(0,F368-D368)</x:f>
        <x:v>0</x:v>
      </x:c>
      <x:c r="H368" s="104" t="n">
        <x:f>MAX(0,C368-G368)</x:f>
        <x:v>0</x:v>
      </x:c>
      <x:c r="I368" s="105" t="n">
        <x:f>P367</x:f>
        <x:v>0</x:v>
      </x:c>
      <x:c r="J368" s="105" t="n">
        <x:f>IF(I368&gt;0,I368*'Your Mortgage'!$C$7/12,0)</x:f>
        <x:v>0</x:v>
      </x:c>
      <x:c r="K368" s="105" t="n">
        <x:f>IF(I368&gt;0,MIN('Your Mortgage'!$C$11,I368+J368),0)</x:f>
        <x:v>0</x:v>
      </x:c>
      <x:c r="L368" s="105" t="n">
        <x:f>IF(I368&gt;0,MIN('Your Mortgage'!$F$6,MAX(0,I368+J368-K368)),0)</x:f>
        <x:v>0</x:v>
      </x:c>
      <x:c r="M368" s="105" t="n">
        <x:f>IF(AND(A368='Your Mortgage'!$F$8,I368&gt;0),MIN('Your Mortgage'!$F$7,MAX(0,I368+J368-K368-L368)),0)</x:f>
        <x:v>0</x:v>
      </x:c>
      <x:c r="N368" s="105" t="n">
        <x:f>K368+L368+M368</x:f>
        <x:v>0</x:v>
      </x:c>
      <x:c r="O368" s="105" t="n">
        <x:f>MAX(0,N368-J368)</x:f>
        <x:v>0</x:v>
      </x:c>
      <x:c r="P368" s="105" t="n">
        <x:f>MAX(0,I368-O368)</x:f>
        <x:v>0</x:v>
      </x:c>
      <x:c r="Q368" s="106" t="n">
        <x:f>X367</x:f>
        <x:v>0</x:v>
      </x:c>
      <x:c r="R368" s="106" t="n">
        <x:f>IF(Q368&gt;0,Q368*'Your Mortgage'!$C$7/12,0)</x:f>
        <x:v>0</x:v>
      </x:c>
      <x:c r="S368" s="106" t="n">
        <x:f>IF(Q368&gt;0,MIN('Your Mortgage'!$C$11,Q368+R368),0)</x:f>
        <x:v>0</x:v>
      </x:c>
      <x:c r="T368" s="106" t="n">
        <x:f>IF(Q368&gt;0,MIN('Your Mortgage'!$I$6,MAX(0,Q368+R368-S368)),0)</x:f>
        <x:v>0</x:v>
      </x:c>
      <x:c r="U368" s="106" t="n">
        <x:f>IF(AND(A368='Your Mortgage'!$I$8,Q368&gt;0),MIN('Your Mortgage'!$I$7,MAX(0,Q368+R368-S368-T368)),0)</x:f>
        <x:v>0</x:v>
      </x:c>
      <x:c r="V368" s="106" t="n">
        <x:f>S368+T368+U368</x:f>
        <x:v>0</x:v>
      </x:c>
      <x:c r="W368" s="106" t="n">
        <x:f>MAX(0,V368-R368)</x:f>
        <x:v>0</x:v>
      </x:c>
      <x:c r="X368" s="106" t="n">
        <x:f>MAX(0,Q368-W368)</x:f>
        <x:v>0</x:v>
      </x:c>
      <x:c r="Y368" s="1"/>
      <x:c r="Z368" s="1"/>
    </x:row>
    <x:row r="369">
      <x:c r="A369" s="100" t="n">
        <x:f>A368+1</x:f>
        <x:v>364</x:v>
      </x:c>
      <x:c r="B369" s="103" t="n">
        <x:f>EDATE(B368,1)</x:f>
        <x:v>57285</x:v>
      </x:c>
      <x:c r="C369" s="104" t="n">
        <x:f>H368</x:f>
        <x:v>0</x:v>
      </x:c>
      <x:c r="D369" s="104" t="n">
        <x:f>IF(C369&gt;0,C369*'Your Mortgage'!$C$7/12,0)</x:f>
        <x:v>0</x:v>
      </x:c>
      <x:c r="E369" s="104" t="n">
        <x:f>IF(C369&gt;0,MIN('Your Mortgage'!$C$11,C369+D369),0)</x:f>
        <x:v>0</x:v>
      </x:c>
      <x:c r="F369" s="104" t="n">
        <x:f>E369</x:f>
        <x:v>0</x:v>
      </x:c>
      <x:c r="G369" s="104" t="n">
        <x:f>MAX(0,F369-D369)</x:f>
        <x:v>0</x:v>
      </x:c>
      <x:c r="H369" s="104" t="n">
        <x:f>MAX(0,C369-G369)</x:f>
        <x:v>0</x:v>
      </x:c>
      <x:c r="I369" s="105" t="n">
        <x:f>P368</x:f>
        <x:v>0</x:v>
      </x:c>
      <x:c r="J369" s="105" t="n">
        <x:f>IF(I369&gt;0,I369*'Your Mortgage'!$C$7/12,0)</x:f>
        <x:v>0</x:v>
      </x:c>
      <x:c r="K369" s="105" t="n">
        <x:f>IF(I369&gt;0,MIN('Your Mortgage'!$C$11,I369+J369),0)</x:f>
        <x:v>0</x:v>
      </x:c>
      <x:c r="L369" s="105" t="n">
        <x:f>IF(I369&gt;0,MIN('Your Mortgage'!$F$6,MAX(0,I369+J369-K369)),0)</x:f>
        <x:v>0</x:v>
      </x:c>
      <x:c r="M369" s="105" t="n">
        <x:f>IF(AND(A369='Your Mortgage'!$F$8,I369&gt;0),MIN('Your Mortgage'!$F$7,MAX(0,I369+J369-K369-L369)),0)</x:f>
        <x:v>0</x:v>
      </x:c>
      <x:c r="N369" s="105" t="n">
        <x:f>K369+L369+M369</x:f>
        <x:v>0</x:v>
      </x:c>
      <x:c r="O369" s="105" t="n">
        <x:f>MAX(0,N369-J369)</x:f>
        <x:v>0</x:v>
      </x:c>
      <x:c r="P369" s="105" t="n">
        <x:f>MAX(0,I369-O369)</x:f>
        <x:v>0</x:v>
      </x:c>
      <x:c r="Q369" s="106" t="n">
        <x:f>X368</x:f>
        <x:v>0</x:v>
      </x:c>
      <x:c r="R369" s="106" t="n">
        <x:f>IF(Q369&gt;0,Q369*'Your Mortgage'!$C$7/12,0)</x:f>
        <x:v>0</x:v>
      </x:c>
      <x:c r="S369" s="106" t="n">
        <x:f>IF(Q369&gt;0,MIN('Your Mortgage'!$C$11,Q369+R369),0)</x:f>
        <x:v>0</x:v>
      </x:c>
      <x:c r="T369" s="106" t="n">
        <x:f>IF(Q369&gt;0,MIN('Your Mortgage'!$I$6,MAX(0,Q369+R369-S369)),0)</x:f>
        <x:v>0</x:v>
      </x:c>
      <x:c r="U369" s="106" t="n">
        <x:f>IF(AND(A369='Your Mortgage'!$I$8,Q369&gt;0),MIN('Your Mortgage'!$I$7,MAX(0,Q369+R369-S369-T369)),0)</x:f>
        <x:v>0</x:v>
      </x:c>
      <x:c r="V369" s="106" t="n">
        <x:f>S369+T369+U369</x:f>
        <x:v>0</x:v>
      </x:c>
      <x:c r="W369" s="106" t="n">
        <x:f>MAX(0,V369-R369)</x:f>
        <x:v>0</x:v>
      </x:c>
      <x:c r="X369" s="106" t="n">
        <x:f>MAX(0,Q369-W369)</x:f>
        <x:v>0</x:v>
      </x:c>
      <x:c r="Y369" s="1"/>
      <x:c r="Z369" s="1"/>
    </x:row>
    <x:row r="370">
      <x:c r="A370" s="100" t="n">
        <x:f>A369+1</x:f>
        <x:v>365</x:v>
      </x:c>
      <x:c r="B370" s="103" t="n">
        <x:f>EDATE(B369,1)</x:f>
        <x:v>57315</x:v>
      </x:c>
      <x:c r="C370" s="104" t="n">
        <x:f>H369</x:f>
        <x:v>0</x:v>
      </x:c>
      <x:c r="D370" s="104" t="n">
        <x:f>IF(C370&gt;0,C370*'Your Mortgage'!$C$7/12,0)</x:f>
        <x:v>0</x:v>
      </x:c>
      <x:c r="E370" s="104" t="n">
        <x:f>IF(C370&gt;0,MIN('Your Mortgage'!$C$11,C370+D370),0)</x:f>
        <x:v>0</x:v>
      </x:c>
      <x:c r="F370" s="104" t="n">
        <x:f>E370</x:f>
        <x:v>0</x:v>
      </x:c>
      <x:c r="G370" s="104" t="n">
        <x:f>MAX(0,F370-D370)</x:f>
        <x:v>0</x:v>
      </x:c>
      <x:c r="H370" s="104" t="n">
        <x:f>MAX(0,C370-G370)</x:f>
        <x:v>0</x:v>
      </x:c>
      <x:c r="I370" s="105" t="n">
        <x:f>P369</x:f>
        <x:v>0</x:v>
      </x:c>
      <x:c r="J370" s="105" t="n">
        <x:f>IF(I370&gt;0,I370*'Your Mortgage'!$C$7/12,0)</x:f>
        <x:v>0</x:v>
      </x:c>
      <x:c r="K370" s="105" t="n">
        <x:f>IF(I370&gt;0,MIN('Your Mortgage'!$C$11,I370+J370),0)</x:f>
        <x:v>0</x:v>
      </x:c>
      <x:c r="L370" s="105" t="n">
        <x:f>IF(I370&gt;0,MIN('Your Mortgage'!$F$6,MAX(0,I370+J370-K370)),0)</x:f>
        <x:v>0</x:v>
      </x:c>
      <x:c r="M370" s="105" t="n">
        <x:f>IF(AND(A370='Your Mortgage'!$F$8,I370&gt;0),MIN('Your Mortgage'!$F$7,MAX(0,I370+J370-K370-L370)),0)</x:f>
        <x:v>0</x:v>
      </x:c>
      <x:c r="N370" s="105" t="n">
        <x:f>K370+L370+M370</x:f>
        <x:v>0</x:v>
      </x:c>
      <x:c r="O370" s="105" t="n">
        <x:f>MAX(0,N370-J370)</x:f>
        <x:v>0</x:v>
      </x:c>
      <x:c r="P370" s="105" t="n">
        <x:f>MAX(0,I370-O370)</x:f>
        <x:v>0</x:v>
      </x:c>
      <x:c r="Q370" s="106" t="n">
        <x:f>X369</x:f>
        <x:v>0</x:v>
      </x:c>
      <x:c r="R370" s="106" t="n">
        <x:f>IF(Q370&gt;0,Q370*'Your Mortgage'!$C$7/12,0)</x:f>
        <x:v>0</x:v>
      </x:c>
      <x:c r="S370" s="106" t="n">
        <x:f>IF(Q370&gt;0,MIN('Your Mortgage'!$C$11,Q370+R370),0)</x:f>
        <x:v>0</x:v>
      </x:c>
      <x:c r="T370" s="106" t="n">
        <x:f>IF(Q370&gt;0,MIN('Your Mortgage'!$I$6,MAX(0,Q370+R370-S370)),0)</x:f>
        <x:v>0</x:v>
      </x:c>
      <x:c r="U370" s="106" t="n">
        <x:f>IF(AND(A370='Your Mortgage'!$I$8,Q370&gt;0),MIN('Your Mortgage'!$I$7,MAX(0,Q370+R370-S370-T370)),0)</x:f>
        <x:v>0</x:v>
      </x:c>
      <x:c r="V370" s="106" t="n">
        <x:f>S370+T370+U370</x:f>
        <x:v>0</x:v>
      </x:c>
      <x:c r="W370" s="106" t="n">
        <x:f>MAX(0,V370-R370)</x:f>
        <x:v>0</x:v>
      </x:c>
      <x:c r="X370" s="106" t="n">
        <x:f>MAX(0,Q370-W370)</x:f>
        <x:v>0</x:v>
      </x:c>
      <x:c r="Y370" s="1"/>
      <x:c r="Z370" s="1"/>
    </x:row>
    <x:row r="371">
      <x:c r="A371" s="100" t="n">
        <x:f>A370+1</x:f>
        <x:v>366</x:v>
      </x:c>
      <x:c r="B371" s="103" t="n">
        <x:f>EDATE(B370,1)</x:f>
        <x:v>57346</x:v>
      </x:c>
      <x:c r="C371" s="104" t="n">
        <x:f>H370</x:f>
        <x:v>0</x:v>
      </x:c>
      <x:c r="D371" s="104" t="n">
        <x:f>IF(C371&gt;0,C371*'Your Mortgage'!$C$7/12,0)</x:f>
        <x:v>0</x:v>
      </x:c>
      <x:c r="E371" s="104" t="n">
        <x:f>IF(C371&gt;0,MIN('Your Mortgage'!$C$11,C371+D371),0)</x:f>
        <x:v>0</x:v>
      </x:c>
      <x:c r="F371" s="104" t="n">
        <x:f>E371</x:f>
        <x:v>0</x:v>
      </x:c>
      <x:c r="G371" s="104" t="n">
        <x:f>MAX(0,F371-D371)</x:f>
        <x:v>0</x:v>
      </x:c>
      <x:c r="H371" s="104" t="n">
        <x:f>MAX(0,C371-G371)</x:f>
        <x:v>0</x:v>
      </x:c>
      <x:c r="I371" s="105" t="n">
        <x:f>P370</x:f>
        <x:v>0</x:v>
      </x:c>
      <x:c r="J371" s="105" t="n">
        <x:f>IF(I371&gt;0,I371*'Your Mortgage'!$C$7/12,0)</x:f>
        <x:v>0</x:v>
      </x:c>
      <x:c r="K371" s="105" t="n">
        <x:f>IF(I371&gt;0,MIN('Your Mortgage'!$C$11,I371+J371),0)</x:f>
        <x:v>0</x:v>
      </x:c>
      <x:c r="L371" s="105" t="n">
        <x:f>IF(I371&gt;0,MIN('Your Mortgage'!$F$6,MAX(0,I371+J371-K371)),0)</x:f>
        <x:v>0</x:v>
      </x:c>
      <x:c r="M371" s="105" t="n">
        <x:f>IF(AND(A371='Your Mortgage'!$F$8,I371&gt;0),MIN('Your Mortgage'!$F$7,MAX(0,I371+J371-K371-L371)),0)</x:f>
        <x:v>0</x:v>
      </x:c>
      <x:c r="N371" s="105" t="n">
        <x:f>K371+L371+M371</x:f>
        <x:v>0</x:v>
      </x:c>
      <x:c r="O371" s="105" t="n">
        <x:f>MAX(0,N371-J371)</x:f>
        <x:v>0</x:v>
      </x:c>
      <x:c r="P371" s="105" t="n">
        <x:f>MAX(0,I371-O371)</x:f>
        <x:v>0</x:v>
      </x:c>
      <x:c r="Q371" s="106" t="n">
        <x:f>X370</x:f>
        <x:v>0</x:v>
      </x:c>
      <x:c r="R371" s="106" t="n">
        <x:f>IF(Q371&gt;0,Q371*'Your Mortgage'!$C$7/12,0)</x:f>
        <x:v>0</x:v>
      </x:c>
      <x:c r="S371" s="106" t="n">
        <x:f>IF(Q371&gt;0,MIN('Your Mortgage'!$C$11,Q371+R371),0)</x:f>
        <x:v>0</x:v>
      </x:c>
      <x:c r="T371" s="106" t="n">
        <x:f>IF(Q371&gt;0,MIN('Your Mortgage'!$I$6,MAX(0,Q371+R371-S371)),0)</x:f>
        <x:v>0</x:v>
      </x:c>
      <x:c r="U371" s="106" t="n">
        <x:f>IF(AND(A371='Your Mortgage'!$I$8,Q371&gt;0),MIN('Your Mortgage'!$I$7,MAX(0,Q371+R371-S371-T371)),0)</x:f>
        <x:v>0</x:v>
      </x:c>
      <x:c r="V371" s="106" t="n">
        <x:f>S371+T371+U371</x:f>
        <x:v>0</x:v>
      </x:c>
      <x:c r="W371" s="106" t="n">
        <x:f>MAX(0,V371-R371)</x:f>
        <x:v>0</x:v>
      </x:c>
      <x:c r="X371" s="106" t="n">
        <x:f>MAX(0,Q371-W371)</x:f>
        <x:v>0</x:v>
      </x:c>
      <x:c r="Y371" s="1"/>
      <x:c r="Z371" s="1"/>
    </x:row>
    <x:row r="372">
      <x:c r="A372" s="100" t="n">
        <x:f>A371+1</x:f>
        <x:v>367</x:v>
      </x:c>
      <x:c r="B372" s="103" t="n">
        <x:f>EDATE(B371,1)</x:f>
        <x:v>57377</x:v>
      </x:c>
      <x:c r="C372" s="104" t="n">
        <x:f>H371</x:f>
        <x:v>0</x:v>
      </x:c>
      <x:c r="D372" s="104" t="n">
        <x:f>IF(C372&gt;0,C372*'Your Mortgage'!$C$7/12,0)</x:f>
        <x:v>0</x:v>
      </x:c>
      <x:c r="E372" s="104" t="n">
        <x:f>IF(C372&gt;0,MIN('Your Mortgage'!$C$11,C372+D372),0)</x:f>
        <x:v>0</x:v>
      </x:c>
      <x:c r="F372" s="104" t="n">
        <x:f>E372</x:f>
        <x:v>0</x:v>
      </x:c>
      <x:c r="G372" s="104" t="n">
        <x:f>MAX(0,F372-D372)</x:f>
        <x:v>0</x:v>
      </x:c>
      <x:c r="H372" s="104" t="n">
        <x:f>MAX(0,C372-G372)</x:f>
        <x:v>0</x:v>
      </x:c>
      <x:c r="I372" s="105" t="n">
        <x:f>P371</x:f>
        <x:v>0</x:v>
      </x:c>
      <x:c r="J372" s="105" t="n">
        <x:f>IF(I372&gt;0,I372*'Your Mortgage'!$C$7/12,0)</x:f>
        <x:v>0</x:v>
      </x:c>
      <x:c r="K372" s="105" t="n">
        <x:f>IF(I372&gt;0,MIN('Your Mortgage'!$C$11,I372+J372),0)</x:f>
        <x:v>0</x:v>
      </x:c>
      <x:c r="L372" s="105" t="n">
        <x:f>IF(I372&gt;0,MIN('Your Mortgage'!$F$6,MAX(0,I372+J372-K372)),0)</x:f>
        <x:v>0</x:v>
      </x:c>
      <x:c r="M372" s="105" t="n">
        <x:f>IF(AND(A372='Your Mortgage'!$F$8,I372&gt;0),MIN('Your Mortgage'!$F$7,MAX(0,I372+J372-K372-L372)),0)</x:f>
        <x:v>0</x:v>
      </x:c>
      <x:c r="N372" s="105" t="n">
        <x:f>K372+L372+M372</x:f>
        <x:v>0</x:v>
      </x:c>
      <x:c r="O372" s="105" t="n">
        <x:f>MAX(0,N372-J372)</x:f>
        <x:v>0</x:v>
      </x:c>
      <x:c r="P372" s="105" t="n">
        <x:f>MAX(0,I372-O372)</x:f>
        <x:v>0</x:v>
      </x:c>
      <x:c r="Q372" s="106" t="n">
        <x:f>X371</x:f>
        <x:v>0</x:v>
      </x:c>
      <x:c r="R372" s="106" t="n">
        <x:f>IF(Q372&gt;0,Q372*'Your Mortgage'!$C$7/12,0)</x:f>
        <x:v>0</x:v>
      </x:c>
      <x:c r="S372" s="106" t="n">
        <x:f>IF(Q372&gt;0,MIN('Your Mortgage'!$C$11,Q372+R372),0)</x:f>
        <x:v>0</x:v>
      </x:c>
      <x:c r="T372" s="106" t="n">
        <x:f>IF(Q372&gt;0,MIN('Your Mortgage'!$I$6,MAX(0,Q372+R372-S372)),0)</x:f>
        <x:v>0</x:v>
      </x:c>
      <x:c r="U372" s="106" t="n">
        <x:f>IF(AND(A372='Your Mortgage'!$I$8,Q372&gt;0),MIN('Your Mortgage'!$I$7,MAX(0,Q372+R372-S372-T372)),0)</x:f>
        <x:v>0</x:v>
      </x:c>
      <x:c r="V372" s="106" t="n">
        <x:f>S372+T372+U372</x:f>
        <x:v>0</x:v>
      </x:c>
      <x:c r="W372" s="106" t="n">
        <x:f>MAX(0,V372-R372)</x:f>
        <x:v>0</x:v>
      </x:c>
      <x:c r="X372" s="106" t="n">
        <x:f>MAX(0,Q372-W372)</x:f>
        <x:v>0</x:v>
      </x:c>
      <x:c r="Y372" s="1"/>
      <x:c r="Z372" s="1"/>
    </x:row>
    <x:row r="373">
      <x:c r="A373" s="100" t="n">
        <x:f>A372+1</x:f>
        <x:v>368</x:v>
      </x:c>
      <x:c r="B373" s="103" t="n">
        <x:f>EDATE(B372,1)</x:f>
        <x:v>57405</x:v>
      </x:c>
      <x:c r="C373" s="104" t="n">
        <x:f>H372</x:f>
        <x:v>0</x:v>
      </x:c>
      <x:c r="D373" s="104" t="n">
        <x:f>IF(C373&gt;0,C373*'Your Mortgage'!$C$7/12,0)</x:f>
        <x:v>0</x:v>
      </x:c>
      <x:c r="E373" s="104" t="n">
        <x:f>IF(C373&gt;0,MIN('Your Mortgage'!$C$11,C373+D373),0)</x:f>
        <x:v>0</x:v>
      </x:c>
      <x:c r="F373" s="104" t="n">
        <x:f>E373</x:f>
        <x:v>0</x:v>
      </x:c>
      <x:c r="G373" s="104" t="n">
        <x:f>MAX(0,F373-D373)</x:f>
        <x:v>0</x:v>
      </x:c>
      <x:c r="H373" s="104" t="n">
        <x:f>MAX(0,C373-G373)</x:f>
        <x:v>0</x:v>
      </x:c>
      <x:c r="I373" s="105" t="n">
        <x:f>P372</x:f>
        <x:v>0</x:v>
      </x:c>
      <x:c r="J373" s="105" t="n">
        <x:f>IF(I373&gt;0,I373*'Your Mortgage'!$C$7/12,0)</x:f>
        <x:v>0</x:v>
      </x:c>
      <x:c r="K373" s="105" t="n">
        <x:f>IF(I373&gt;0,MIN('Your Mortgage'!$C$11,I373+J373),0)</x:f>
        <x:v>0</x:v>
      </x:c>
      <x:c r="L373" s="105" t="n">
        <x:f>IF(I373&gt;0,MIN('Your Mortgage'!$F$6,MAX(0,I373+J373-K373)),0)</x:f>
        <x:v>0</x:v>
      </x:c>
      <x:c r="M373" s="105" t="n">
        <x:f>IF(AND(A373='Your Mortgage'!$F$8,I373&gt;0),MIN('Your Mortgage'!$F$7,MAX(0,I373+J373-K373-L373)),0)</x:f>
        <x:v>0</x:v>
      </x:c>
      <x:c r="N373" s="105" t="n">
        <x:f>K373+L373+M373</x:f>
        <x:v>0</x:v>
      </x:c>
      <x:c r="O373" s="105" t="n">
        <x:f>MAX(0,N373-J373)</x:f>
        <x:v>0</x:v>
      </x:c>
      <x:c r="P373" s="105" t="n">
        <x:f>MAX(0,I373-O373)</x:f>
        <x:v>0</x:v>
      </x:c>
      <x:c r="Q373" s="106" t="n">
        <x:f>X372</x:f>
        <x:v>0</x:v>
      </x:c>
      <x:c r="R373" s="106" t="n">
        <x:f>IF(Q373&gt;0,Q373*'Your Mortgage'!$C$7/12,0)</x:f>
        <x:v>0</x:v>
      </x:c>
      <x:c r="S373" s="106" t="n">
        <x:f>IF(Q373&gt;0,MIN('Your Mortgage'!$C$11,Q373+R373),0)</x:f>
        <x:v>0</x:v>
      </x:c>
      <x:c r="T373" s="106" t="n">
        <x:f>IF(Q373&gt;0,MIN('Your Mortgage'!$I$6,MAX(0,Q373+R373-S373)),0)</x:f>
        <x:v>0</x:v>
      </x:c>
      <x:c r="U373" s="106" t="n">
        <x:f>IF(AND(A373='Your Mortgage'!$I$8,Q373&gt;0),MIN('Your Mortgage'!$I$7,MAX(0,Q373+R373-S373-T373)),0)</x:f>
        <x:v>0</x:v>
      </x:c>
      <x:c r="V373" s="106" t="n">
        <x:f>S373+T373+U373</x:f>
        <x:v>0</x:v>
      </x:c>
      <x:c r="W373" s="106" t="n">
        <x:f>MAX(0,V373-R373)</x:f>
        <x:v>0</x:v>
      </x:c>
      <x:c r="X373" s="106" t="n">
        <x:f>MAX(0,Q373-W373)</x:f>
        <x:v>0</x:v>
      </x:c>
      <x:c r="Y373" s="1"/>
      <x:c r="Z373" s="1"/>
    </x:row>
    <x:row r="374">
      <x:c r="A374" s="100" t="n">
        <x:f>A373+1</x:f>
        <x:v>369</x:v>
      </x:c>
      <x:c r="B374" s="103" t="n">
        <x:f>EDATE(B373,1)</x:f>
        <x:v>57436</x:v>
      </x:c>
      <x:c r="C374" s="104" t="n">
        <x:f>H373</x:f>
        <x:v>0</x:v>
      </x:c>
      <x:c r="D374" s="104" t="n">
        <x:f>IF(C374&gt;0,C374*'Your Mortgage'!$C$7/12,0)</x:f>
        <x:v>0</x:v>
      </x:c>
      <x:c r="E374" s="104" t="n">
        <x:f>IF(C374&gt;0,MIN('Your Mortgage'!$C$11,C374+D374),0)</x:f>
        <x:v>0</x:v>
      </x:c>
      <x:c r="F374" s="104" t="n">
        <x:f>E374</x:f>
        <x:v>0</x:v>
      </x:c>
      <x:c r="G374" s="104" t="n">
        <x:f>MAX(0,F374-D374)</x:f>
        <x:v>0</x:v>
      </x:c>
      <x:c r="H374" s="104" t="n">
        <x:f>MAX(0,C374-G374)</x:f>
        <x:v>0</x:v>
      </x:c>
      <x:c r="I374" s="105" t="n">
        <x:f>P373</x:f>
        <x:v>0</x:v>
      </x:c>
      <x:c r="J374" s="105" t="n">
        <x:f>IF(I374&gt;0,I374*'Your Mortgage'!$C$7/12,0)</x:f>
        <x:v>0</x:v>
      </x:c>
      <x:c r="K374" s="105" t="n">
        <x:f>IF(I374&gt;0,MIN('Your Mortgage'!$C$11,I374+J374),0)</x:f>
        <x:v>0</x:v>
      </x:c>
      <x:c r="L374" s="105" t="n">
        <x:f>IF(I374&gt;0,MIN('Your Mortgage'!$F$6,MAX(0,I374+J374-K374)),0)</x:f>
        <x:v>0</x:v>
      </x:c>
      <x:c r="M374" s="105" t="n">
        <x:f>IF(AND(A374='Your Mortgage'!$F$8,I374&gt;0),MIN('Your Mortgage'!$F$7,MAX(0,I374+J374-K374-L374)),0)</x:f>
        <x:v>0</x:v>
      </x:c>
      <x:c r="N374" s="105" t="n">
        <x:f>K374+L374+M374</x:f>
        <x:v>0</x:v>
      </x:c>
      <x:c r="O374" s="105" t="n">
        <x:f>MAX(0,N374-J374)</x:f>
        <x:v>0</x:v>
      </x:c>
      <x:c r="P374" s="105" t="n">
        <x:f>MAX(0,I374-O374)</x:f>
        <x:v>0</x:v>
      </x:c>
      <x:c r="Q374" s="106" t="n">
        <x:f>X373</x:f>
        <x:v>0</x:v>
      </x:c>
      <x:c r="R374" s="106" t="n">
        <x:f>IF(Q374&gt;0,Q374*'Your Mortgage'!$C$7/12,0)</x:f>
        <x:v>0</x:v>
      </x:c>
      <x:c r="S374" s="106" t="n">
        <x:f>IF(Q374&gt;0,MIN('Your Mortgage'!$C$11,Q374+R374),0)</x:f>
        <x:v>0</x:v>
      </x:c>
      <x:c r="T374" s="106" t="n">
        <x:f>IF(Q374&gt;0,MIN('Your Mortgage'!$I$6,MAX(0,Q374+R374-S374)),0)</x:f>
        <x:v>0</x:v>
      </x:c>
      <x:c r="U374" s="106" t="n">
        <x:f>IF(AND(A374='Your Mortgage'!$I$8,Q374&gt;0),MIN('Your Mortgage'!$I$7,MAX(0,Q374+R374-S374-T374)),0)</x:f>
        <x:v>0</x:v>
      </x:c>
      <x:c r="V374" s="106" t="n">
        <x:f>S374+T374+U374</x:f>
        <x:v>0</x:v>
      </x:c>
      <x:c r="W374" s="106" t="n">
        <x:f>MAX(0,V374-R374)</x:f>
        <x:v>0</x:v>
      </x:c>
      <x:c r="X374" s="106" t="n">
        <x:f>MAX(0,Q374-W374)</x:f>
        <x:v>0</x:v>
      </x:c>
      <x:c r="Y374" s="1"/>
      <x:c r="Z374" s="1"/>
    </x:row>
    <x:row r="375">
      <x:c r="A375" s="100" t="n">
        <x:f>A374+1</x:f>
        <x:v>370</x:v>
      </x:c>
      <x:c r="B375" s="103" t="n">
        <x:f>EDATE(B374,1)</x:f>
        <x:v>57466</x:v>
      </x:c>
      <x:c r="C375" s="104" t="n">
        <x:f>H374</x:f>
        <x:v>0</x:v>
      </x:c>
      <x:c r="D375" s="104" t="n">
        <x:f>IF(C375&gt;0,C375*'Your Mortgage'!$C$7/12,0)</x:f>
        <x:v>0</x:v>
      </x:c>
      <x:c r="E375" s="104" t="n">
        <x:f>IF(C375&gt;0,MIN('Your Mortgage'!$C$11,C375+D375),0)</x:f>
        <x:v>0</x:v>
      </x:c>
      <x:c r="F375" s="104" t="n">
        <x:f>E375</x:f>
        <x:v>0</x:v>
      </x:c>
      <x:c r="G375" s="104" t="n">
        <x:f>MAX(0,F375-D375)</x:f>
        <x:v>0</x:v>
      </x:c>
      <x:c r="H375" s="104" t="n">
        <x:f>MAX(0,C375-G375)</x:f>
        <x:v>0</x:v>
      </x:c>
      <x:c r="I375" s="105" t="n">
        <x:f>P374</x:f>
        <x:v>0</x:v>
      </x:c>
      <x:c r="J375" s="105" t="n">
        <x:f>IF(I375&gt;0,I375*'Your Mortgage'!$C$7/12,0)</x:f>
        <x:v>0</x:v>
      </x:c>
      <x:c r="K375" s="105" t="n">
        <x:f>IF(I375&gt;0,MIN('Your Mortgage'!$C$11,I375+J375),0)</x:f>
        <x:v>0</x:v>
      </x:c>
      <x:c r="L375" s="105" t="n">
        <x:f>IF(I375&gt;0,MIN('Your Mortgage'!$F$6,MAX(0,I375+J375-K375)),0)</x:f>
        <x:v>0</x:v>
      </x:c>
      <x:c r="M375" s="105" t="n">
        <x:f>IF(AND(A375='Your Mortgage'!$F$8,I375&gt;0),MIN('Your Mortgage'!$F$7,MAX(0,I375+J375-K375-L375)),0)</x:f>
        <x:v>0</x:v>
      </x:c>
      <x:c r="N375" s="105" t="n">
        <x:f>K375+L375+M375</x:f>
        <x:v>0</x:v>
      </x:c>
      <x:c r="O375" s="105" t="n">
        <x:f>MAX(0,N375-J375)</x:f>
        <x:v>0</x:v>
      </x:c>
      <x:c r="P375" s="105" t="n">
        <x:f>MAX(0,I375-O375)</x:f>
        <x:v>0</x:v>
      </x:c>
      <x:c r="Q375" s="106" t="n">
        <x:f>X374</x:f>
        <x:v>0</x:v>
      </x:c>
      <x:c r="R375" s="106" t="n">
        <x:f>IF(Q375&gt;0,Q375*'Your Mortgage'!$C$7/12,0)</x:f>
        <x:v>0</x:v>
      </x:c>
      <x:c r="S375" s="106" t="n">
        <x:f>IF(Q375&gt;0,MIN('Your Mortgage'!$C$11,Q375+R375),0)</x:f>
        <x:v>0</x:v>
      </x:c>
      <x:c r="T375" s="106" t="n">
        <x:f>IF(Q375&gt;0,MIN('Your Mortgage'!$I$6,MAX(0,Q375+R375-S375)),0)</x:f>
        <x:v>0</x:v>
      </x:c>
      <x:c r="U375" s="106" t="n">
        <x:f>IF(AND(A375='Your Mortgage'!$I$8,Q375&gt;0),MIN('Your Mortgage'!$I$7,MAX(0,Q375+R375-S375-T375)),0)</x:f>
        <x:v>0</x:v>
      </x:c>
      <x:c r="V375" s="106" t="n">
        <x:f>S375+T375+U375</x:f>
        <x:v>0</x:v>
      </x:c>
      <x:c r="W375" s="106" t="n">
        <x:f>MAX(0,V375-R375)</x:f>
        <x:v>0</x:v>
      </x:c>
      <x:c r="X375" s="106" t="n">
        <x:f>MAX(0,Q375-W375)</x:f>
        <x:v>0</x:v>
      </x:c>
      <x:c r="Y375" s="1"/>
      <x:c r="Z375" s="1"/>
    </x:row>
    <x:row r="376">
      <x:c r="A376" s="100" t="n">
        <x:f>A375+1</x:f>
        <x:v>371</x:v>
      </x:c>
      <x:c r="B376" s="103" t="n">
        <x:f>EDATE(B375,1)</x:f>
        <x:v>57497</x:v>
      </x:c>
      <x:c r="C376" s="104" t="n">
        <x:f>H375</x:f>
        <x:v>0</x:v>
      </x:c>
      <x:c r="D376" s="104" t="n">
        <x:f>IF(C376&gt;0,C376*'Your Mortgage'!$C$7/12,0)</x:f>
        <x:v>0</x:v>
      </x:c>
      <x:c r="E376" s="104" t="n">
        <x:f>IF(C376&gt;0,MIN('Your Mortgage'!$C$11,C376+D376),0)</x:f>
        <x:v>0</x:v>
      </x:c>
      <x:c r="F376" s="104" t="n">
        <x:f>E376</x:f>
        <x:v>0</x:v>
      </x:c>
      <x:c r="G376" s="104" t="n">
        <x:f>MAX(0,F376-D376)</x:f>
        <x:v>0</x:v>
      </x:c>
      <x:c r="H376" s="104" t="n">
        <x:f>MAX(0,C376-G376)</x:f>
        <x:v>0</x:v>
      </x:c>
      <x:c r="I376" s="105" t="n">
        <x:f>P375</x:f>
        <x:v>0</x:v>
      </x:c>
      <x:c r="J376" s="105" t="n">
        <x:f>IF(I376&gt;0,I376*'Your Mortgage'!$C$7/12,0)</x:f>
        <x:v>0</x:v>
      </x:c>
      <x:c r="K376" s="105" t="n">
        <x:f>IF(I376&gt;0,MIN('Your Mortgage'!$C$11,I376+J376),0)</x:f>
        <x:v>0</x:v>
      </x:c>
      <x:c r="L376" s="105" t="n">
        <x:f>IF(I376&gt;0,MIN('Your Mortgage'!$F$6,MAX(0,I376+J376-K376)),0)</x:f>
        <x:v>0</x:v>
      </x:c>
      <x:c r="M376" s="105" t="n">
        <x:f>IF(AND(A376='Your Mortgage'!$F$8,I376&gt;0),MIN('Your Mortgage'!$F$7,MAX(0,I376+J376-K376-L376)),0)</x:f>
        <x:v>0</x:v>
      </x:c>
      <x:c r="N376" s="105" t="n">
        <x:f>K376+L376+M376</x:f>
        <x:v>0</x:v>
      </x:c>
      <x:c r="O376" s="105" t="n">
        <x:f>MAX(0,N376-J376)</x:f>
        <x:v>0</x:v>
      </x:c>
      <x:c r="P376" s="105" t="n">
        <x:f>MAX(0,I376-O376)</x:f>
        <x:v>0</x:v>
      </x:c>
      <x:c r="Q376" s="106" t="n">
        <x:f>X375</x:f>
        <x:v>0</x:v>
      </x:c>
      <x:c r="R376" s="106" t="n">
        <x:f>IF(Q376&gt;0,Q376*'Your Mortgage'!$C$7/12,0)</x:f>
        <x:v>0</x:v>
      </x:c>
      <x:c r="S376" s="106" t="n">
        <x:f>IF(Q376&gt;0,MIN('Your Mortgage'!$C$11,Q376+R376),0)</x:f>
        <x:v>0</x:v>
      </x:c>
      <x:c r="T376" s="106" t="n">
        <x:f>IF(Q376&gt;0,MIN('Your Mortgage'!$I$6,MAX(0,Q376+R376-S376)),0)</x:f>
        <x:v>0</x:v>
      </x:c>
      <x:c r="U376" s="106" t="n">
        <x:f>IF(AND(A376='Your Mortgage'!$I$8,Q376&gt;0),MIN('Your Mortgage'!$I$7,MAX(0,Q376+R376-S376-T376)),0)</x:f>
        <x:v>0</x:v>
      </x:c>
      <x:c r="V376" s="106" t="n">
        <x:f>S376+T376+U376</x:f>
        <x:v>0</x:v>
      </x:c>
      <x:c r="W376" s="106" t="n">
        <x:f>MAX(0,V376-R376)</x:f>
        <x:v>0</x:v>
      </x:c>
      <x:c r="X376" s="106" t="n">
        <x:f>MAX(0,Q376-W376)</x:f>
        <x:v>0</x:v>
      </x:c>
      <x:c r="Y376" s="1"/>
      <x:c r="Z376" s="1"/>
    </x:row>
    <x:row r="377">
      <x:c r="A377" s="100" t="n">
        <x:f>A376+1</x:f>
        <x:v>372</x:v>
      </x:c>
      <x:c r="B377" s="103" t="n">
        <x:f>EDATE(B376,1)</x:f>
        <x:v>57527</x:v>
      </x:c>
      <x:c r="C377" s="104" t="n">
        <x:f>H376</x:f>
        <x:v>0</x:v>
      </x:c>
      <x:c r="D377" s="104" t="n">
        <x:f>IF(C377&gt;0,C377*'Your Mortgage'!$C$7/12,0)</x:f>
        <x:v>0</x:v>
      </x:c>
      <x:c r="E377" s="104" t="n">
        <x:f>IF(C377&gt;0,MIN('Your Mortgage'!$C$11,C377+D377),0)</x:f>
        <x:v>0</x:v>
      </x:c>
      <x:c r="F377" s="104" t="n">
        <x:f>E377</x:f>
        <x:v>0</x:v>
      </x:c>
      <x:c r="G377" s="104" t="n">
        <x:f>MAX(0,F377-D377)</x:f>
        <x:v>0</x:v>
      </x:c>
      <x:c r="H377" s="104" t="n">
        <x:f>MAX(0,C377-G377)</x:f>
        <x:v>0</x:v>
      </x:c>
      <x:c r="I377" s="105" t="n">
        <x:f>P376</x:f>
        <x:v>0</x:v>
      </x:c>
      <x:c r="J377" s="105" t="n">
        <x:f>IF(I377&gt;0,I377*'Your Mortgage'!$C$7/12,0)</x:f>
        <x:v>0</x:v>
      </x:c>
      <x:c r="K377" s="105" t="n">
        <x:f>IF(I377&gt;0,MIN('Your Mortgage'!$C$11,I377+J377),0)</x:f>
        <x:v>0</x:v>
      </x:c>
      <x:c r="L377" s="105" t="n">
        <x:f>IF(I377&gt;0,MIN('Your Mortgage'!$F$6,MAX(0,I377+J377-K377)),0)</x:f>
        <x:v>0</x:v>
      </x:c>
      <x:c r="M377" s="105" t="n">
        <x:f>IF(AND(A377='Your Mortgage'!$F$8,I377&gt;0),MIN('Your Mortgage'!$F$7,MAX(0,I377+J377-K377-L377)),0)</x:f>
        <x:v>0</x:v>
      </x:c>
      <x:c r="N377" s="105" t="n">
        <x:f>K377+L377+M377</x:f>
        <x:v>0</x:v>
      </x:c>
      <x:c r="O377" s="105" t="n">
        <x:f>MAX(0,N377-J377)</x:f>
        <x:v>0</x:v>
      </x:c>
      <x:c r="P377" s="105" t="n">
        <x:f>MAX(0,I377-O377)</x:f>
        <x:v>0</x:v>
      </x:c>
      <x:c r="Q377" s="106" t="n">
        <x:f>X376</x:f>
        <x:v>0</x:v>
      </x:c>
      <x:c r="R377" s="106" t="n">
        <x:f>IF(Q377&gt;0,Q377*'Your Mortgage'!$C$7/12,0)</x:f>
        <x:v>0</x:v>
      </x:c>
      <x:c r="S377" s="106" t="n">
        <x:f>IF(Q377&gt;0,MIN('Your Mortgage'!$C$11,Q377+R377),0)</x:f>
        <x:v>0</x:v>
      </x:c>
      <x:c r="T377" s="106" t="n">
        <x:f>IF(Q377&gt;0,MIN('Your Mortgage'!$I$6,MAX(0,Q377+R377-S377)),0)</x:f>
        <x:v>0</x:v>
      </x:c>
      <x:c r="U377" s="106" t="n">
        <x:f>IF(AND(A377='Your Mortgage'!$I$8,Q377&gt;0),MIN('Your Mortgage'!$I$7,MAX(0,Q377+R377-S377-T377)),0)</x:f>
        <x:v>0</x:v>
      </x:c>
      <x:c r="V377" s="106" t="n">
        <x:f>S377+T377+U377</x:f>
        <x:v>0</x:v>
      </x:c>
      <x:c r="W377" s="106" t="n">
        <x:f>MAX(0,V377-R377)</x:f>
        <x:v>0</x:v>
      </x:c>
      <x:c r="X377" s="106" t="n">
        <x:f>MAX(0,Q377-W377)</x:f>
        <x:v>0</x:v>
      </x:c>
      <x:c r="Y377" s="1"/>
      <x:c r="Z377" s="1"/>
    </x:row>
    <x:row r="378">
      <x:c r="A378" s="100" t="n">
        <x:f>A377+1</x:f>
        <x:v>373</x:v>
      </x:c>
      <x:c r="B378" s="103" t="n">
        <x:f>EDATE(B377,1)</x:f>
        <x:v>57558</x:v>
      </x:c>
      <x:c r="C378" s="104" t="n">
        <x:f>H377</x:f>
        <x:v>0</x:v>
      </x:c>
      <x:c r="D378" s="104" t="n">
        <x:f>IF(C378&gt;0,C378*'Your Mortgage'!$C$7/12,0)</x:f>
        <x:v>0</x:v>
      </x:c>
      <x:c r="E378" s="104" t="n">
        <x:f>IF(C378&gt;0,MIN('Your Mortgage'!$C$11,C378+D378),0)</x:f>
        <x:v>0</x:v>
      </x:c>
      <x:c r="F378" s="104" t="n">
        <x:f>E378</x:f>
        <x:v>0</x:v>
      </x:c>
      <x:c r="G378" s="104" t="n">
        <x:f>MAX(0,F378-D378)</x:f>
        <x:v>0</x:v>
      </x:c>
      <x:c r="H378" s="104" t="n">
        <x:f>MAX(0,C378-G378)</x:f>
        <x:v>0</x:v>
      </x:c>
      <x:c r="I378" s="105" t="n">
        <x:f>P377</x:f>
        <x:v>0</x:v>
      </x:c>
      <x:c r="J378" s="105" t="n">
        <x:f>IF(I378&gt;0,I378*'Your Mortgage'!$C$7/12,0)</x:f>
        <x:v>0</x:v>
      </x:c>
      <x:c r="K378" s="105" t="n">
        <x:f>IF(I378&gt;0,MIN('Your Mortgage'!$C$11,I378+J378),0)</x:f>
        <x:v>0</x:v>
      </x:c>
      <x:c r="L378" s="105" t="n">
        <x:f>IF(I378&gt;0,MIN('Your Mortgage'!$F$6,MAX(0,I378+J378-K378)),0)</x:f>
        <x:v>0</x:v>
      </x:c>
      <x:c r="M378" s="105" t="n">
        <x:f>IF(AND(A378='Your Mortgage'!$F$8,I378&gt;0),MIN('Your Mortgage'!$F$7,MAX(0,I378+J378-K378-L378)),0)</x:f>
        <x:v>0</x:v>
      </x:c>
      <x:c r="N378" s="105" t="n">
        <x:f>K378+L378+M378</x:f>
        <x:v>0</x:v>
      </x:c>
      <x:c r="O378" s="105" t="n">
        <x:f>MAX(0,N378-J378)</x:f>
        <x:v>0</x:v>
      </x:c>
      <x:c r="P378" s="105" t="n">
        <x:f>MAX(0,I378-O378)</x:f>
        <x:v>0</x:v>
      </x:c>
      <x:c r="Q378" s="106" t="n">
        <x:f>X377</x:f>
        <x:v>0</x:v>
      </x:c>
      <x:c r="R378" s="106" t="n">
        <x:f>IF(Q378&gt;0,Q378*'Your Mortgage'!$C$7/12,0)</x:f>
        <x:v>0</x:v>
      </x:c>
      <x:c r="S378" s="106" t="n">
        <x:f>IF(Q378&gt;0,MIN('Your Mortgage'!$C$11,Q378+R378),0)</x:f>
        <x:v>0</x:v>
      </x:c>
      <x:c r="T378" s="106" t="n">
        <x:f>IF(Q378&gt;0,MIN('Your Mortgage'!$I$6,MAX(0,Q378+R378-S378)),0)</x:f>
        <x:v>0</x:v>
      </x:c>
      <x:c r="U378" s="106" t="n">
        <x:f>IF(AND(A378='Your Mortgage'!$I$8,Q378&gt;0),MIN('Your Mortgage'!$I$7,MAX(0,Q378+R378-S378-T378)),0)</x:f>
        <x:v>0</x:v>
      </x:c>
      <x:c r="V378" s="106" t="n">
        <x:f>S378+T378+U378</x:f>
        <x:v>0</x:v>
      </x:c>
      <x:c r="W378" s="106" t="n">
        <x:f>MAX(0,V378-R378)</x:f>
        <x:v>0</x:v>
      </x:c>
      <x:c r="X378" s="106" t="n">
        <x:f>MAX(0,Q378-W378)</x:f>
        <x:v>0</x:v>
      </x:c>
      <x:c r="Y378" s="1"/>
      <x:c r="Z378" s="1"/>
    </x:row>
    <x:row r="379">
      <x:c r="A379" s="100" t="n">
        <x:f>A378+1</x:f>
        <x:v>374</x:v>
      </x:c>
      <x:c r="B379" s="103" t="n">
        <x:f>EDATE(B378,1)</x:f>
        <x:v>57589</x:v>
      </x:c>
      <x:c r="C379" s="104" t="n">
        <x:f>H378</x:f>
        <x:v>0</x:v>
      </x:c>
      <x:c r="D379" s="104" t="n">
        <x:f>IF(C379&gt;0,C379*'Your Mortgage'!$C$7/12,0)</x:f>
        <x:v>0</x:v>
      </x:c>
      <x:c r="E379" s="104" t="n">
        <x:f>IF(C379&gt;0,MIN('Your Mortgage'!$C$11,C379+D379),0)</x:f>
        <x:v>0</x:v>
      </x:c>
      <x:c r="F379" s="104" t="n">
        <x:f>E379</x:f>
        <x:v>0</x:v>
      </x:c>
      <x:c r="G379" s="104" t="n">
        <x:f>MAX(0,F379-D379)</x:f>
        <x:v>0</x:v>
      </x:c>
      <x:c r="H379" s="104" t="n">
        <x:f>MAX(0,C379-G379)</x:f>
        <x:v>0</x:v>
      </x:c>
      <x:c r="I379" s="105" t="n">
        <x:f>P378</x:f>
        <x:v>0</x:v>
      </x:c>
      <x:c r="J379" s="105" t="n">
        <x:f>IF(I379&gt;0,I379*'Your Mortgage'!$C$7/12,0)</x:f>
        <x:v>0</x:v>
      </x:c>
      <x:c r="K379" s="105" t="n">
        <x:f>IF(I379&gt;0,MIN('Your Mortgage'!$C$11,I379+J379),0)</x:f>
        <x:v>0</x:v>
      </x:c>
      <x:c r="L379" s="105" t="n">
        <x:f>IF(I379&gt;0,MIN('Your Mortgage'!$F$6,MAX(0,I379+J379-K379)),0)</x:f>
        <x:v>0</x:v>
      </x:c>
      <x:c r="M379" s="105" t="n">
        <x:f>IF(AND(A379='Your Mortgage'!$F$8,I379&gt;0),MIN('Your Mortgage'!$F$7,MAX(0,I379+J379-K379-L379)),0)</x:f>
        <x:v>0</x:v>
      </x:c>
      <x:c r="N379" s="105" t="n">
        <x:f>K379+L379+M379</x:f>
        <x:v>0</x:v>
      </x:c>
      <x:c r="O379" s="105" t="n">
        <x:f>MAX(0,N379-J379)</x:f>
        <x:v>0</x:v>
      </x:c>
      <x:c r="P379" s="105" t="n">
        <x:f>MAX(0,I379-O379)</x:f>
        <x:v>0</x:v>
      </x:c>
      <x:c r="Q379" s="106" t="n">
        <x:f>X378</x:f>
        <x:v>0</x:v>
      </x:c>
      <x:c r="R379" s="106" t="n">
        <x:f>IF(Q379&gt;0,Q379*'Your Mortgage'!$C$7/12,0)</x:f>
        <x:v>0</x:v>
      </x:c>
      <x:c r="S379" s="106" t="n">
        <x:f>IF(Q379&gt;0,MIN('Your Mortgage'!$C$11,Q379+R379),0)</x:f>
        <x:v>0</x:v>
      </x:c>
      <x:c r="T379" s="106" t="n">
        <x:f>IF(Q379&gt;0,MIN('Your Mortgage'!$I$6,MAX(0,Q379+R379-S379)),0)</x:f>
        <x:v>0</x:v>
      </x:c>
      <x:c r="U379" s="106" t="n">
        <x:f>IF(AND(A379='Your Mortgage'!$I$8,Q379&gt;0),MIN('Your Mortgage'!$I$7,MAX(0,Q379+R379-S379-T379)),0)</x:f>
        <x:v>0</x:v>
      </x:c>
      <x:c r="V379" s="106" t="n">
        <x:f>S379+T379+U379</x:f>
        <x:v>0</x:v>
      </x:c>
      <x:c r="W379" s="106" t="n">
        <x:f>MAX(0,V379-R379)</x:f>
        <x:v>0</x:v>
      </x:c>
      <x:c r="X379" s="106" t="n">
        <x:f>MAX(0,Q379-W379)</x:f>
        <x:v>0</x:v>
      </x:c>
      <x:c r="Y379" s="1"/>
      <x:c r="Z379" s="1"/>
    </x:row>
    <x:row r="380">
      <x:c r="A380" s="100" t="n">
        <x:f>A379+1</x:f>
        <x:v>375</x:v>
      </x:c>
      <x:c r="B380" s="103" t="n">
        <x:f>EDATE(B379,1)</x:f>
        <x:v>57619</x:v>
      </x:c>
      <x:c r="C380" s="104" t="n">
        <x:f>H379</x:f>
        <x:v>0</x:v>
      </x:c>
      <x:c r="D380" s="104" t="n">
        <x:f>IF(C380&gt;0,C380*'Your Mortgage'!$C$7/12,0)</x:f>
        <x:v>0</x:v>
      </x:c>
      <x:c r="E380" s="104" t="n">
        <x:f>IF(C380&gt;0,MIN('Your Mortgage'!$C$11,C380+D380),0)</x:f>
        <x:v>0</x:v>
      </x:c>
      <x:c r="F380" s="104" t="n">
        <x:f>E380</x:f>
        <x:v>0</x:v>
      </x:c>
      <x:c r="G380" s="104" t="n">
        <x:f>MAX(0,F380-D380)</x:f>
        <x:v>0</x:v>
      </x:c>
      <x:c r="H380" s="104" t="n">
        <x:f>MAX(0,C380-G380)</x:f>
        <x:v>0</x:v>
      </x:c>
      <x:c r="I380" s="105" t="n">
        <x:f>P379</x:f>
        <x:v>0</x:v>
      </x:c>
      <x:c r="J380" s="105" t="n">
        <x:f>IF(I380&gt;0,I380*'Your Mortgage'!$C$7/12,0)</x:f>
        <x:v>0</x:v>
      </x:c>
      <x:c r="K380" s="105" t="n">
        <x:f>IF(I380&gt;0,MIN('Your Mortgage'!$C$11,I380+J380),0)</x:f>
        <x:v>0</x:v>
      </x:c>
      <x:c r="L380" s="105" t="n">
        <x:f>IF(I380&gt;0,MIN('Your Mortgage'!$F$6,MAX(0,I380+J380-K380)),0)</x:f>
        <x:v>0</x:v>
      </x:c>
      <x:c r="M380" s="105" t="n">
        <x:f>IF(AND(A380='Your Mortgage'!$F$8,I380&gt;0),MIN('Your Mortgage'!$F$7,MAX(0,I380+J380-K380-L380)),0)</x:f>
        <x:v>0</x:v>
      </x:c>
      <x:c r="N380" s="105" t="n">
        <x:f>K380+L380+M380</x:f>
        <x:v>0</x:v>
      </x:c>
      <x:c r="O380" s="105" t="n">
        <x:f>MAX(0,N380-J380)</x:f>
        <x:v>0</x:v>
      </x:c>
      <x:c r="P380" s="105" t="n">
        <x:f>MAX(0,I380-O380)</x:f>
        <x:v>0</x:v>
      </x:c>
      <x:c r="Q380" s="106" t="n">
        <x:f>X379</x:f>
        <x:v>0</x:v>
      </x:c>
      <x:c r="R380" s="106" t="n">
        <x:f>IF(Q380&gt;0,Q380*'Your Mortgage'!$C$7/12,0)</x:f>
        <x:v>0</x:v>
      </x:c>
      <x:c r="S380" s="106" t="n">
        <x:f>IF(Q380&gt;0,MIN('Your Mortgage'!$C$11,Q380+R380),0)</x:f>
        <x:v>0</x:v>
      </x:c>
      <x:c r="T380" s="106" t="n">
        <x:f>IF(Q380&gt;0,MIN('Your Mortgage'!$I$6,MAX(0,Q380+R380-S380)),0)</x:f>
        <x:v>0</x:v>
      </x:c>
      <x:c r="U380" s="106" t="n">
        <x:f>IF(AND(A380='Your Mortgage'!$I$8,Q380&gt;0),MIN('Your Mortgage'!$I$7,MAX(0,Q380+R380-S380-T380)),0)</x:f>
        <x:v>0</x:v>
      </x:c>
      <x:c r="V380" s="106" t="n">
        <x:f>S380+T380+U380</x:f>
        <x:v>0</x:v>
      </x:c>
      <x:c r="W380" s="106" t="n">
        <x:f>MAX(0,V380-R380)</x:f>
        <x:v>0</x:v>
      </x:c>
      <x:c r="X380" s="106" t="n">
        <x:f>MAX(0,Q380-W380)</x:f>
        <x:v>0</x:v>
      </x:c>
      <x:c r="Y380" s="1"/>
      <x:c r="Z380" s="1"/>
    </x:row>
    <x:row r="381">
      <x:c r="A381" s="100" t="n">
        <x:f>A380+1</x:f>
        <x:v>376</x:v>
      </x:c>
      <x:c r="B381" s="103" t="n">
        <x:f>EDATE(B380,1)</x:f>
        <x:v>57650</x:v>
      </x:c>
      <x:c r="C381" s="104" t="n">
        <x:f>H380</x:f>
        <x:v>0</x:v>
      </x:c>
      <x:c r="D381" s="104" t="n">
        <x:f>IF(C381&gt;0,C381*'Your Mortgage'!$C$7/12,0)</x:f>
        <x:v>0</x:v>
      </x:c>
      <x:c r="E381" s="104" t="n">
        <x:f>IF(C381&gt;0,MIN('Your Mortgage'!$C$11,C381+D381),0)</x:f>
        <x:v>0</x:v>
      </x:c>
      <x:c r="F381" s="104" t="n">
        <x:f>E381</x:f>
        <x:v>0</x:v>
      </x:c>
      <x:c r="G381" s="104" t="n">
        <x:f>MAX(0,F381-D381)</x:f>
        <x:v>0</x:v>
      </x:c>
      <x:c r="H381" s="104" t="n">
        <x:f>MAX(0,C381-G381)</x:f>
        <x:v>0</x:v>
      </x:c>
      <x:c r="I381" s="105" t="n">
        <x:f>P380</x:f>
        <x:v>0</x:v>
      </x:c>
      <x:c r="J381" s="105" t="n">
        <x:f>IF(I381&gt;0,I381*'Your Mortgage'!$C$7/12,0)</x:f>
        <x:v>0</x:v>
      </x:c>
      <x:c r="K381" s="105" t="n">
        <x:f>IF(I381&gt;0,MIN('Your Mortgage'!$C$11,I381+J381),0)</x:f>
        <x:v>0</x:v>
      </x:c>
      <x:c r="L381" s="105" t="n">
        <x:f>IF(I381&gt;0,MIN('Your Mortgage'!$F$6,MAX(0,I381+J381-K381)),0)</x:f>
        <x:v>0</x:v>
      </x:c>
      <x:c r="M381" s="105" t="n">
        <x:f>IF(AND(A381='Your Mortgage'!$F$8,I381&gt;0),MIN('Your Mortgage'!$F$7,MAX(0,I381+J381-K381-L381)),0)</x:f>
        <x:v>0</x:v>
      </x:c>
      <x:c r="N381" s="105" t="n">
        <x:f>K381+L381+M381</x:f>
        <x:v>0</x:v>
      </x:c>
      <x:c r="O381" s="105" t="n">
        <x:f>MAX(0,N381-J381)</x:f>
        <x:v>0</x:v>
      </x:c>
      <x:c r="P381" s="105" t="n">
        <x:f>MAX(0,I381-O381)</x:f>
        <x:v>0</x:v>
      </x:c>
      <x:c r="Q381" s="106" t="n">
        <x:f>X380</x:f>
        <x:v>0</x:v>
      </x:c>
      <x:c r="R381" s="106" t="n">
        <x:f>IF(Q381&gt;0,Q381*'Your Mortgage'!$C$7/12,0)</x:f>
        <x:v>0</x:v>
      </x:c>
      <x:c r="S381" s="106" t="n">
        <x:f>IF(Q381&gt;0,MIN('Your Mortgage'!$C$11,Q381+R381),0)</x:f>
        <x:v>0</x:v>
      </x:c>
      <x:c r="T381" s="106" t="n">
        <x:f>IF(Q381&gt;0,MIN('Your Mortgage'!$I$6,MAX(0,Q381+R381-S381)),0)</x:f>
        <x:v>0</x:v>
      </x:c>
      <x:c r="U381" s="106" t="n">
        <x:f>IF(AND(A381='Your Mortgage'!$I$8,Q381&gt;0),MIN('Your Mortgage'!$I$7,MAX(0,Q381+R381-S381-T381)),0)</x:f>
        <x:v>0</x:v>
      </x:c>
      <x:c r="V381" s="106" t="n">
        <x:f>S381+T381+U381</x:f>
        <x:v>0</x:v>
      </x:c>
      <x:c r="W381" s="106" t="n">
        <x:f>MAX(0,V381-R381)</x:f>
        <x:v>0</x:v>
      </x:c>
      <x:c r="X381" s="106" t="n">
        <x:f>MAX(0,Q381-W381)</x:f>
        <x:v>0</x:v>
      </x:c>
      <x:c r="Y381" s="1"/>
      <x:c r="Z381" s="1"/>
    </x:row>
    <x:row r="382">
      <x:c r="A382" s="100" t="n">
        <x:f>A381+1</x:f>
        <x:v>377</x:v>
      </x:c>
      <x:c r="B382" s="103" t="n">
        <x:f>EDATE(B381,1)</x:f>
        <x:v>57680</x:v>
      </x:c>
      <x:c r="C382" s="104" t="n">
        <x:f>H381</x:f>
        <x:v>0</x:v>
      </x:c>
      <x:c r="D382" s="104" t="n">
        <x:f>IF(C382&gt;0,C382*'Your Mortgage'!$C$7/12,0)</x:f>
        <x:v>0</x:v>
      </x:c>
      <x:c r="E382" s="104" t="n">
        <x:f>IF(C382&gt;0,MIN('Your Mortgage'!$C$11,C382+D382),0)</x:f>
        <x:v>0</x:v>
      </x:c>
      <x:c r="F382" s="104" t="n">
        <x:f>E382</x:f>
        <x:v>0</x:v>
      </x:c>
      <x:c r="G382" s="104" t="n">
        <x:f>MAX(0,F382-D382)</x:f>
        <x:v>0</x:v>
      </x:c>
      <x:c r="H382" s="104" t="n">
        <x:f>MAX(0,C382-G382)</x:f>
        <x:v>0</x:v>
      </x:c>
      <x:c r="I382" s="105" t="n">
        <x:f>P381</x:f>
        <x:v>0</x:v>
      </x:c>
      <x:c r="J382" s="105" t="n">
        <x:f>IF(I382&gt;0,I382*'Your Mortgage'!$C$7/12,0)</x:f>
        <x:v>0</x:v>
      </x:c>
      <x:c r="K382" s="105" t="n">
        <x:f>IF(I382&gt;0,MIN('Your Mortgage'!$C$11,I382+J382),0)</x:f>
        <x:v>0</x:v>
      </x:c>
      <x:c r="L382" s="105" t="n">
        <x:f>IF(I382&gt;0,MIN('Your Mortgage'!$F$6,MAX(0,I382+J382-K382)),0)</x:f>
        <x:v>0</x:v>
      </x:c>
      <x:c r="M382" s="105" t="n">
        <x:f>IF(AND(A382='Your Mortgage'!$F$8,I382&gt;0),MIN('Your Mortgage'!$F$7,MAX(0,I382+J382-K382-L382)),0)</x:f>
        <x:v>0</x:v>
      </x:c>
      <x:c r="N382" s="105" t="n">
        <x:f>K382+L382+M382</x:f>
        <x:v>0</x:v>
      </x:c>
      <x:c r="O382" s="105" t="n">
        <x:f>MAX(0,N382-J382)</x:f>
        <x:v>0</x:v>
      </x:c>
      <x:c r="P382" s="105" t="n">
        <x:f>MAX(0,I382-O382)</x:f>
        <x:v>0</x:v>
      </x:c>
      <x:c r="Q382" s="106" t="n">
        <x:f>X381</x:f>
        <x:v>0</x:v>
      </x:c>
      <x:c r="R382" s="106" t="n">
        <x:f>IF(Q382&gt;0,Q382*'Your Mortgage'!$C$7/12,0)</x:f>
        <x:v>0</x:v>
      </x:c>
      <x:c r="S382" s="106" t="n">
        <x:f>IF(Q382&gt;0,MIN('Your Mortgage'!$C$11,Q382+R382),0)</x:f>
        <x:v>0</x:v>
      </x:c>
      <x:c r="T382" s="106" t="n">
        <x:f>IF(Q382&gt;0,MIN('Your Mortgage'!$I$6,MAX(0,Q382+R382-S382)),0)</x:f>
        <x:v>0</x:v>
      </x:c>
      <x:c r="U382" s="106" t="n">
        <x:f>IF(AND(A382='Your Mortgage'!$I$8,Q382&gt;0),MIN('Your Mortgage'!$I$7,MAX(0,Q382+R382-S382-T382)),0)</x:f>
        <x:v>0</x:v>
      </x:c>
      <x:c r="V382" s="106" t="n">
        <x:f>S382+T382+U382</x:f>
        <x:v>0</x:v>
      </x:c>
      <x:c r="W382" s="106" t="n">
        <x:f>MAX(0,V382-R382)</x:f>
        <x:v>0</x:v>
      </x:c>
      <x:c r="X382" s="106" t="n">
        <x:f>MAX(0,Q382-W382)</x:f>
        <x:v>0</x:v>
      </x:c>
      <x:c r="Y382" s="1"/>
      <x:c r="Z382" s="1"/>
    </x:row>
    <x:row r="383">
      <x:c r="A383" s="100" t="n">
        <x:f>A382+1</x:f>
        <x:v>378</x:v>
      </x:c>
      <x:c r="B383" s="103" t="n">
        <x:f>EDATE(B382,1)</x:f>
        <x:v>57711</x:v>
      </x:c>
      <x:c r="C383" s="104" t="n">
        <x:f>H382</x:f>
        <x:v>0</x:v>
      </x:c>
      <x:c r="D383" s="104" t="n">
        <x:f>IF(C383&gt;0,C383*'Your Mortgage'!$C$7/12,0)</x:f>
        <x:v>0</x:v>
      </x:c>
      <x:c r="E383" s="104" t="n">
        <x:f>IF(C383&gt;0,MIN('Your Mortgage'!$C$11,C383+D383),0)</x:f>
        <x:v>0</x:v>
      </x:c>
      <x:c r="F383" s="104" t="n">
        <x:f>E383</x:f>
        <x:v>0</x:v>
      </x:c>
      <x:c r="G383" s="104" t="n">
        <x:f>MAX(0,F383-D383)</x:f>
        <x:v>0</x:v>
      </x:c>
      <x:c r="H383" s="104" t="n">
        <x:f>MAX(0,C383-G383)</x:f>
        <x:v>0</x:v>
      </x:c>
      <x:c r="I383" s="105" t="n">
        <x:f>P382</x:f>
        <x:v>0</x:v>
      </x:c>
      <x:c r="J383" s="105" t="n">
        <x:f>IF(I383&gt;0,I383*'Your Mortgage'!$C$7/12,0)</x:f>
        <x:v>0</x:v>
      </x:c>
      <x:c r="K383" s="105" t="n">
        <x:f>IF(I383&gt;0,MIN('Your Mortgage'!$C$11,I383+J383),0)</x:f>
        <x:v>0</x:v>
      </x:c>
      <x:c r="L383" s="105" t="n">
        <x:f>IF(I383&gt;0,MIN('Your Mortgage'!$F$6,MAX(0,I383+J383-K383)),0)</x:f>
        <x:v>0</x:v>
      </x:c>
      <x:c r="M383" s="105" t="n">
        <x:f>IF(AND(A383='Your Mortgage'!$F$8,I383&gt;0),MIN('Your Mortgage'!$F$7,MAX(0,I383+J383-K383-L383)),0)</x:f>
        <x:v>0</x:v>
      </x:c>
      <x:c r="N383" s="105" t="n">
        <x:f>K383+L383+M383</x:f>
        <x:v>0</x:v>
      </x:c>
      <x:c r="O383" s="105" t="n">
        <x:f>MAX(0,N383-J383)</x:f>
        <x:v>0</x:v>
      </x:c>
      <x:c r="P383" s="105" t="n">
        <x:f>MAX(0,I383-O383)</x:f>
        <x:v>0</x:v>
      </x:c>
      <x:c r="Q383" s="106" t="n">
        <x:f>X382</x:f>
        <x:v>0</x:v>
      </x:c>
      <x:c r="R383" s="106" t="n">
        <x:f>IF(Q383&gt;0,Q383*'Your Mortgage'!$C$7/12,0)</x:f>
        <x:v>0</x:v>
      </x:c>
      <x:c r="S383" s="106" t="n">
        <x:f>IF(Q383&gt;0,MIN('Your Mortgage'!$C$11,Q383+R383),0)</x:f>
        <x:v>0</x:v>
      </x:c>
      <x:c r="T383" s="106" t="n">
        <x:f>IF(Q383&gt;0,MIN('Your Mortgage'!$I$6,MAX(0,Q383+R383-S383)),0)</x:f>
        <x:v>0</x:v>
      </x:c>
      <x:c r="U383" s="106" t="n">
        <x:f>IF(AND(A383='Your Mortgage'!$I$8,Q383&gt;0),MIN('Your Mortgage'!$I$7,MAX(0,Q383+R383-S383-T383)),0)</x:f>
        <x:v>0</x:v>
      </x:c>
      <x:c r="V383" s="106" t="n">
        <x:f>S383+T383+U383</x:f>
        <x:v>0</x:v>
      </x:c>
      <x:c r="W383" s="106" t="n">
        <x:f>MAX(0,V383-R383)</x:f>
        <x:v>0</x:v>
      </x:c>
      <x:c r="X383" s="106" t="n">
        <x:f>MAX(0,Q383-W383)</x:f>
        <x:v>0</x:v>
      </x:c>
      <x:c r="Y383" s="1"/>
      <x:c r="Z383" s="1"/>
    </x:row>
    <x:row r="384">
      <x:c r="A384" s="100" t="n">
        <x:f>A383+1</x:f>
        <x:v>379</x:v>
      </x:c>
      <x:c r="B384" s="103" t="n">
        <x:f>EDATE(B383,1)</x:f>
        <x:v>57742</x:v>
      </x:c>
      <x:c r="C384" s="104" t="n">
        <x:f>H383</x:f>
        <x:v>0</x:v>
      </x:c>
      <x:c r="D384" s="104" t="n">
        <x:f>IF(C384&gt;0,C384*'Your Mortgage'!$C$7/12,0)</x:f>
        <x:v>0</x:v>
      </x:c>
      <x:c r="E384" s="104" t="n">
        <x:f>IF(C384&gt;0,MIN('Your Mortgage'!$C$11,C384+D384),0)</x:f>
        <x:v>0</x:v>
      </x:c>
      <x:c r="F384" s="104" t="n">
        <x:f>E384</x:f>
        <x:v>0</x:v>
      </x:c>
      <x:c r="G384" s="104" t="n">
        <x:f>MAX(0,F384-D384)</x:f>
        <x:v>0</x:v>
      </x:c>
      <x:c r="H384" s="104" t="n">
        <x:f>MAX(0,C384-G384)</x:f>
        <x:v>0</x:v>
      </x:c>
      <x:c r="I384" s="105" t="n">
        <x:f>P383</x:f>
        <x:v>0</x:v>
      </x:c>
      <x:c r="J384" s="105" t="n">
        <x:f>IF(I384&gt;0,I384*'Your Mortgage'!$C$7/12,0)</x:f>
        <x:v>0</x:v>
      </x:c>
      <x:c r="K384" s="105" t="n">
        <x:f>IF(I384&gt;0,MIN('Your Mortgage'!$C$11,I384+J384),0)</x:f>
        <x:v>0</x:v>
      </x:c>
      <x:c r="L384" s="105" t="n">
        <x:f>IF(I384&gt;0,MIN('Your Mortgage'!$F$6,MAX(0,I384+J384-K384)),0)</x:f>
        <x:v>0</x:v>
      </x:c>
      <x:c r="M384" s="105" t="n">
        <x:f>IF(AND(A384='Your Mortgage'!$F$8,I384&gt;0),MIN('Your Mortgage'!$F$7,MAX(0,I384+J384-K384-L384)),0)</x:f>
        <x:v>0</x:v>
      </x:c>
      <x:c r="N384" s="105" t="n">
        <x:f>K384+L384+M384</x:f>
        <x:v>0</x:v>
      </x:c>
      <x:c r="O384" s="105" t="n">
        <x:f>MAX(0,N384-J384)</x:f>
        <x:v>0</x:v>
      </x:c>
      <x:c r="P384" s="105" t="n">
        <x:f>MAX(0,I384-O384)</x:f>
        <x:v>0</x:v>
      </x:c>
      <x:c r="Q384" s="106" t="n">
        <x:f>X383</x:f>
        <x:v>0</x:v>
      </x:c>
      <x:c r="R384" s="106" t="n">
        <x:f>IF(Q384&gt;0,Q384*'Your Mortgage'!$C$7/12,0)</x:f>
        <x:v>0</x:v>
      </x:c>
      <x:c r="S384" s="106" t="n">
        <x:f>IF(Q384&gt;0,MIN('Your Mortgage'!$C$11,Q384+R384),0)</x:f>
        <x:v>0</x:v>
      </x:c>
      <x:c r="T384" s="106" t="n">
        <x:f>IF(Q384&gt;0,MIN('Your Mortgage'!$I$6,MAX(0,Q384+R384-S384)),0)</x:f>
        <x:v>0</x:v>
      </x:c>
      <x:c r="U384" s="106" t="n">
        <x:f>IF(AND(A384='Your Mortgage'!$I$8,Q384&gt;0),MIN('Your Mortgage'!$I$7,MAX(0,Q384+R384-S384-T384)),0)</x:f>
        <x:v>0</x:v>
      </x:c>
      <x:c r="V384" s="106" t="n">
        <x:f>S384+T384+U384</x:f>
        <x:v>0</x:v>
      </x:c>
      <x:c r="W384" s="106" t="n">
        <x:f>MAX(0,V384-R384)</x:f>
        <x:v>0</x:v>
      </x:c>
      <x:c r="X384" s="106" t="n">
        <x:f>MAX(0,Q384-W384)</x:f>
        <x:v>0</x:v>
      </x:c>
      <x:c r="Y384" s="1"/>
      <x:c r="Z384" s="1"/>
    </x:row>
    <x:row r="385">
      <x:c r="A385" s="100" t="n">
        <x:f>A384+1</x:f>
        <x:v>380</x:v>
      </x:c>
      <x:c r="B385" s="103" t="n">
        <x:f>EDATE(B384,1)</x:f>
        <x:v>57770</x:v>
      </x:c>
      <x:c r="C385" s="104" t="n">
        <x:f>H384</x:f>
        <x:v>0</x:v>
      </x:c>
      <x:c r="D385" s="104" t="n">
        <x:f>IF(C385&gt;0,C385*'Your Mortgage'!$C$7/12,0)</x:f>
        <x:v>0</x:v>
      </x:c>
      <x:c r="E385" s="104" t="n">
        <x:f>IF(C385&gt;0,MIN('Your Mortgage'!$C$11,C385+D385),0)</x:f>
        <x:v>0</x:v>
      </x:c>
      <x:c r="F385" s="104" t="n">
        <x:f>E385</x:f>
        <x:v>0</x:v>
      </x:c>
      <x:c r="G385" s="104" t="n">
        <x:f>MAX(0,F385-D385)</x:f>
        <x:v>0</x:v>
      </x:c>
      <x:c r="H385" s="104" t="n">
        <x:f>MAX(0,C385-G385)</x:f>
        <x:v>0</x:v>
      </x:c>
      <x:c r="I385" s="105" t="n">
        <x:f>P384</x:f>
        <x:v>0</x:v>
      </x:c>
      <x:c r="J385" s="105" t="n">
        <x:f>IF(I385&gt;0,I385*'Your Mortgage'!$C$7/12,0)</x:f>
        <x:v>0</x:v>
      </x:c>
      <x:c r="K385" s="105" t="n">
        <x:f>IF(I385&gt;0,MIN('Your Mortgage'!$C$11,I385+J385),0)</x:f>
        <x:v>0</x:v>
      </x:c>
      <x:c r="L385" s="105" t="n">
        <x:f>IF(I385&gt;0,MIN('Your Mortgage'!$F$6,MAX(0,I385+J385-K385)),0)</x:f>
        <x:v>0</x:v>
      </x:c>
      <x:c r="M385" s="105" t="n">
        <x:f>IF(AND(A385='Your Mortgage'!$F$8,I385&gt;0),MIN('Your Mortgage'!$F$7,MAX(0,I385+J385-K385-L385)),0)</x:f>
        <x:v>0</x:v>
      </x:c>
      <x:c r="N385" s="105" t="n">
        <x:f>K385+L385+M385</x:f>
        <x:v>0</x:v>
      </x:c>
      <x:c r="O385" s="105" t="n">
        <x:f>MAX(0,N385-J385)</x:f>
        <x:v>0</x:v>
      </x:c>
      <x:c r="P385" s="105" t="n">
        <x:f>MAX(0,I385-O385)</x:f>
        <x:v>0</x:v>
      </x:c>
      <x:c r="Q385" s="106" t="n">
        <x:f>X384</x:f>
        <x:v>0</x:v>
      </x:c>
      <x:c r="R385" s="106" t="n">
        <x:f>IF(Q385&gt;0,Q385*'Your Mortgage'!$C$7/12,0)</x:f>
        <x:v>0</x:v>
      </x:c>
      <x:c r="S385" s="106" t="n">
        <x:f>IF(Q385&gt;0,MIN('Your Mortgage'!$C$11,Q385+R385),0)</x:f>
        <x:v>0</x:v>
      </x:c>
      <x:c r="T385" s="106" t="n">
        <x:f>IF(Q385&gt;0,MIN('Your Mortgage'!$I$6,MAX(0,Q385+R385-S385)),0)</x:f>
        <x:v>0</x:v>
      </x:c>
      <x:c r="U385" s="106" t="n">
        <x:f>IF(AND(A385='Your Mortgage'!$I$8,Q385&gt;0),MIN('Your Mortgage'!$I$7,MAX(0,Q385+R385-S385-T385)),0)</x:f>
        <x:v>0</x:v>
      </x:c>
      <x:c r="V385" s="106" t="n">
        <x:f>S385+T385+U385</x:f>
        <x:v>0</x:v>
      </x:c>
      <x:c r="W385" s="106" t="n">
        <x:f>MAX(0,V385-R385)</x:f>
        <x:v>0</x:v>
      </x:c>
      <x:c r="X385" s="106" t="n">
        <x:f>MAX(0,Q385-W385)</x:f>
        <x:v>0</x:v>
      </x:c>
      <x:c r="Y385" s="1"/>
      <x:c r="Z385" s="1"/>
    </x:row>
    <x:row r="386">
      <x:c r="A386" s="100" t="n">
        <x:f>A385+1</x:f>
        <x:v>381</x:v>
      </x:c>
      <x:c r="B386" s="103" t="n">
        <x:f>EDATE(B385,1)</x:f>
        <x:v>57801</x:v>
      </x:c>
      <x:c r="C386" s="104" t="n">
        <x:f>H385</x:f>
        <x:v>0</x:v>
      </x:c>
      <x:c r="D386" s="104" t="n">
        <x:f>IF(C386&gt;0,C386*'Your Mortgage'!$C$7/12,0)</x:f>
        <x:v>0</x:v>
      </x:c>
      <x:c r="E386" s="104" t="n">
        <x:f>IF(C386&gt;0,MIN('Your Mortgage'!$C$11,C386+D386),0)</x:f>
        <x:v>0</x:v>
      </x:c>
      <x:c r="F386" s="104" t="n">
        <x:f>E386</x:f>
        <x:v>0</x:v>
      </x:c>
      <x:c r="G386" s="104" t="n">
        <x:f>MAX(0,F386-D386)</x:f>
        <x:v>0</x:v>
      </x:c>
      <x:c r="H386" s="104" t="n">
        <x:f>MAX(0,C386-G386)</x:f>
        <x:v>0</x:v>
      </x:c>
      <x:c r="I386" s="105" t="n">
        <x:f>P385</x:f>
        <x:v>0</x:v>
      </x:c>
      <x:c r="J386" s="105" t="n">
        <x:f>IF(I386&gt;0,I386*'Your Mortgage'!$C$7/12,0)</x:f>
        <x:v>0</x:v>
      </x:c>
      <x:c r="K386" s="105" t="n">
        <x:f>IF(I386&gt;0,MIN('Your Mortgage'!$C$11,I386+J386),0)</x:f>
        <x:v>0</x:v>
      </x:c>
      <x:c r="L386" s="105" t="n">
        <x:f>IF(I386&gt;0,MIN('Your Mortgage'!$F$6,MAX(0,I386+J386-K386)),0)</x:f>
        <x:v>0</x:v>
      </x:c>
      <x:c r="M386" s="105" t="n">
        <x:f>IF(AND(A386='Your Mortgage'!$F$8,I386&gt;0),MIN('Your Mortgage'!$F$7,MAX(0,I386+J386-K386-L386)),0)</x:f>
        <x:v>0</x:v>
      </x:c>
      <x:c r="N386" s="105" t="n">
        <x:f>K386+L386+M386</x:f>
        <x:v>0</x:v>
      </x:c>
      <x:c r="O386" s="105" t="n">
        <x:f>MAX(0,N386-J386)</x:f>
        <x:v>0</x:v>
      </x:c>
      <x:c r="P386" s="105" t="n">
        <x:f>MAX(0,I386-O386)</x:f>
        <x:v>0</x:v>
      </x:c>
      <x:c r="Q386" s="106" t="n">
        <x:f>X385</x:f>
        <x:v>0</x:v>
      </x:c>
      <x:c r="R386" s="106" t="n">
        <x:f>IF(Q386&gt;0,Q386*'Your Mortgage'!$C$7/12,0)</x:f>
        <x:v>0</x:v>
      </x:c>
      <x:c r="S386" s="106" t="n">
        <x:f>IF(Q386&gt;0,MIN('Your Mortgage'!$C$11,Q386+R386),0)</x:f>
        <x:v>0</x:v>
      </x:c>
      <x:c r="T386" s="106" t="n">
        <x:f>IF(Q386&gt;0,MIN('Your Mortgage'!$I$6,MAX(0,Q386+R386-S386)),0)</x:f>
        <x:v>0</x:v>
      </x:c>
      <x:c r="U386" s="106" t="n">
        <x:f>IF(AND(A386='Your Mortgage'!$I$8,Q386&gt;0),MIN('Your Mortgage'!$I$7,MAX(0,Q386+R386-S386-T386)),0)</x:f>
        <x:v>0</x:v>
      </x:c>
      <x:c r="V386" s="106" t="n">
        <x:f>S386+T386+U386</x:f>
        <x:v>0</x:v>
      </x:c>
      <x:c r="W386" s="106" t="n">
        <x:f>MAX(0,V386-R386)</x:f>
        <x:v>0</x:v>
      </x:c>
      <x:c r="X386" s="106" t="n">
        <x:f>MAX(0,Q386-W386)</x:f>
        <x:v>0</x:v>
      </x:c>
      <x:c r="Y386" s="1"/>
      <x:c r="Z386" s="1"/>
    </x:row>
    <x:row r="387">
      <x:c r="A387" s="100" t="n">
        <x:f>A386+1</x:f>
        <x:v>382</x:v>
      </x:c>
      <x:c r="B387" s="103" t="n">
        <x:f>EDATE(B386,1)</x:f>
        <x:v>57831</x:v>
      </x:c>
      <x:c r="C387" s="104" t="n">
        <x:f>H386</x:f>
        <x:v>0</x:v>
      </x:c>
      <x:c r="D387" s="104" t="n">
        <x:f>IF(C387&gt;0,C387*'Your Mortgage'!$C$7/12,0)</x:f>
        <x:v>0</x:v>
      </x:c>
      <x:c r="E387" s="104" t="n">
        <x:f>IF(C387&gt;0,MIN('Your Mortgage'!$C$11,C387+D387),0)</x:f>
        <x:v>0</x:v>
      </x:c>
      <x:c r="F387" s="104" t="n">
        <x:f>E387</x:f>
        <x:v>0</x:v>
      </x:c>
      <x:c r="G387" s="104" t="n">
        <x:f>MAX(0,F387-D387)</x:f>
        <x:v>0</x:v>
      </x:c>
      <x:c r="H387" s="104" t="n">
        <x:f>MAX(0,C387-G387)</x:f>
        <x:v>0</x:v>
      </x:c>
      <x:c r="I387" s="105" t="n">
        <x:f>P386</x:f>
        <x:v>0</x:v>
      </x:c>
      <x:c r="J387" s="105" t="n">
        <x:f>IF(I387&gt;0,I387*'Your Mortgage'!$C$7/12,0)</x:f>
        <x:v>0</x:v>
      </x:c>
      <x:c r="K387" s="105" t="n">
        <x:f>IF(I387&gt;0,MIN('Your Mortgage'!$C$11,I387+J387),0)</x:f>
        <x:v>0</x:v>
      </x:c>
      <x:c r="L387" s="105" t="n">
        <x:f>IF(I387&gt;0,MIN('Your Mortgage'!$F$6,MAX(0,I387+J387-K387)),0)</x:f>
        <x:v>0</x:v>
      </x:c>
      <x:c r="M387" s="105" t="n">
        <x:f>IF(AND(A387='Your Mortgage'!$F$8,I387&gt;0),MIN('Your Mortgage'!$F$7,MAX(0,I387+J387-K387-L387)),0)</x:f>
        <x:v>0</x:v>
      </x:c>
      <x:c r="N387" s="105" t="n">
        <x:f>K387+L387+M387</x:f>
        <x:v>0</x:v>
      </x:c>
      <x:c r="O387" s="105" t="n">
        <x:f>MAX(0,N387-J387)</x:f>
        <x:v>0</x:v>
      </x:c>
      <x:c r="P387" s="105" t="n">
        <x:f>MAX(0,I387-O387)</x:f>
        <x:v>0</x:v>
      </x:c>
      <x:c r="Q387" s="106" t="n">
        <x:f>X386</x:f>
        <x:v>0</x:v>
      </x:c>
      <x:c r="R387" s="106" t="n">
        <x:f>IF(Q387&gt;0,Q387*'Your Mortgage'!$C$7/12,0)</x:f>
        <x:v>0</x:v>
      </x:c>
      <x:c r="S387" s="106" t="n">
        <x:f>IF(Q387&gt;0,MIN('Your Mortgage'!$C$11,Q387+R387),0)</x:f>
        <x:v>0</x:v>
      </x:c>
      <x:c r="T387" s="106" t="n">
        <x:f>IF(Q387&gt;0,MIN('Your Mortgage'!$I$6,MAX(0,Q387+R387-S387)),0)</x:f>
        <x:v>0</x:v>
      </x:c>
      <x:c r="U387" s="106" t="n">
        <x:f>IF(AND(A387='Your Mortgage'!$I$8,Q387&gt;0),MIN('Your Mortgage'!$I$7,MAX(0,Q387+R387-S387-T387)),0)</x:f>
        <x:v>0</x:v>
      </x:c>
      <x:c r="V387" s="106" t="n">
        <x:f>S387+T387+U387</x:f>
        <x:v>0</x:v>
      </x:c>
      <x:c r="W387" s="106" t="n">
        <x:f>MAX(0,V387-R387)</x:f>
        <x:v>0</x:v>
      </x:c>
      <x:c r="X387" s="106" t="n">
        <x:f>MAX(0,Q387-W387)</x:f>
        <x:v>0</x:v>
      </x:c>
      <x:c r="Y387" s="1"/>
      <x:c r="Z387" s="1"/>
    </x:row>
    <x:row r="388">
      <x:c r="A388" s="100" t="n">
        <x:f>A387+1</x:f>
        <x:v>383</x:v>
      </x:c>
      <x:c r="B388" s="103" t="n">
        <x:f>EDATE(B387,1)</x:f>
        <x:v>57862</x:v>
      </x:c>
      <x:c r="C388" s="104" t="n">
        <x:f>H387</x:f>
        <x:v>0</x:v>
      </x:c>
      <x:c r="D388" s="104" t="n">
        <x:f>IF(C388&gt;0,C388*'Your Mortgage'!$C$7/12,0)</x:f>
        <x:v>0</x:v>
      </x:c>
      <x:c r="E388" s="104" t="n">
        <x:f>IF(C388&gt;0,MIN('Your Mortgage'!$C$11,C388+D388),0)</x:f>
        <x:v>0</x:v>
      </x:c>
      <x:c r="F388" s="104" t="n">
        <x:f>E388</x:f>
        <x:v>0</x:v>
      </x:c>
      <x:c r="G388" s="104" t="n">
        <x:f>MAX(0,F388-D388)</x:f>
        <x:v>0</x:v>
      </x:c>
      <x:c r="H388" s="104" t="n">
        <x:f>MAX(0,C388-G388)</x:f>
        <x:v>0</x:v>
      </x:c>
      <x:c r="I388" s="105" t="n">
        <x:f>P387</x:f>
        <x:v>0</x:v>
      </x:c>
      <x:c r="J388" s="105" t="n">
        <x:f>IF(I388&gt;0,I388*'Your Mortgage'!$C$7/12,0)</x:f>
        <x:v>0</x:v>
      </x:c>
      <x:c r="K388" s="105" t="n">
        <x:f>IF(I388&gt;0,MIN('Your Mortgage'!$C$11,I388+J388),0)</x:f>
        <x:v>0</x:v>
      </x:c>
      <x:c r="L388" s="105" t="n">
        <x:f>IF(I388&gt;0,MIN('Your Mortgage'!$F$6,MAX(0,I388+J388-K388)),0)</x:f>
        <x:v>0</x:v>
      </x:c>
      <x:c r="M388" s="105" t="n">
        <x:f>IF(AND(A388='Your Mortgage'!$F$8,I388&gt;0),MIN('Your Mortgage'!$F$7,MAX(0,I388+J388-K388-L388)),0)</x:f>
        <x:v>0</x:v>
      </x:c>
      <x:c r="N388" s="105" t="n">
        <x:f>K388+L388+M388</x:f>
        <x:v>0</x:v>
      </x:c>
      <x:c r="O388" s="105" t="n">
        <x:f>MAX(0,N388-J388)</x:f>
        <x:v>0</x:v>
      </x:c>
      <x:c r="P388" s="105" t="n">
        <x:f>MAX(0,I388-O388)</x:f>
        <x:v>0</x:v>
      </x:c>
      <x:c r="Q388" s="106" t="n">
        <x:f>X387</x:f>
        <x:v>0</x:v>
      </x:c>
      <x:c r="R388" s="106" t="n">
        <x:f>IF(Q388&gt;0,Q388*'Your Mortgage'!$C$7/12,0)</x:f>
        <x:v>0</x:v>
      </x:c>
      <x:c r="S388" s="106" t="n">
        <x:f>IF(Q388&gt;0,MIN('Your Mortgage'!$C$11,Q388+R388),0)</x:f>
        <x:v>0</x:v>
      </x:c>
      <x:c r="T388" s="106" t="n">
        <x:f>IF(Q388&gt;0,MIN('Your Mortgage'!$I$6,MAX(0,Q388+R388-S388)),0)</x:f>
        <x:v>0</x:v>
      </x:c>
      <x:c r="U388" s="106" t="n">
        <x:f>IF(AND(A388='Your Mortgage'!$I$8,Q388&gt;0),MIN('Your Mortgage'!$I$7,MAX(0,Q388+R388-S388-T388)),0)</x:f>
        <x:v>0</x:v>
      </x:c>
      <x:c r="V388" s="106" t="n">
        <x:f>S388+T388+U388</x:f>
        <x:v>0</x:v>
      </x:c>
      <x:c r="W388" s="106" t="n">
        <x:f>MAX(0,V388-R388)</x:f>
        <x:v>0</x:v>
      </x:c>
      <x:c r="X388" s="106" t="n">
        <x:f>MAX(0,Q388-W388)</x:f>
        <x:v>0</x:v>
      </x:c>
      <x:c r="Y388" s="1"/>
      <x:c r="Z388" s="1"/>
    </x:row>
    <x:row r="389">
      <x:c r="A389" s="100" t="n">
        <x:f>A388+1</x:f>
        <x:v>384</x:v>
      </x:c>
      <x:c r="B389" s="103" t="n">
        <x:f>EDATE(B388,1)</x:f>
        <x:v>57892</x:v>
      </x:c>
      <x:c r="C389" s="104" t="n">
        <x:f>H388</x:f>
        <x:v>0</x:v>
      </x:c>
      <x:c r="D389" s="104" t="n">
        <x:f>IF(C389&gt;0,C389*'Your Mortgage'!$C$7/12,0)</x:f>
        <x:v>0</x:v>
      </x:c>
      <x:c r="E389" s="104" t="n">
        <x:f>IF(C389&gt;0,MIN('Your Mortgage'!$C$11,C389+D389),0)</x:f>
        <x:v>0</x:v>
      </x:c>
      <x:c r="F389" s="104" t="n">
        <x:f>E389</x:f>
        <x:v>0</x:v>
      </x:c>
      <x:c r="G389" s="104" t="n">
        <x:f>MAX(0,F389-D389)</x:f>
        <x:v>0</x:v>
      </x:c>
      <x:c r="H389" s="104" t="n">
        <x:f>MAX(0,C389-G389)</x:f>
        <x:v>0</x:v>
      </x:c>
      <x:c r="I389" s="105" t="n">
        <x:f>P388</x:f>
        <x:v>0</x:v>
      </x:c>
      <x:c r="J389" s="105" t="n">
        <x:f>IF(I389&gt;0,I389*'Your Mortgage'!$C$7/12,0)</x:f>
        <x:v>0</x:v>
      </x:c>
      <x:c r="K389" s="105" t="n">
        <x:f>IF(I389&gt;0,MIN('Your Mortgage'!$C$11,I389+J389),0)</x:f>
        <x:v>0</x:v>
      </x:c>
      <x:c r="L389" s="105" t="n">
        <x:f>IF(I389&gt;0,MIN('Your Mortgage'!$F$6,MAX(0,I389+J389-K389)),0)</x:f>
        <x:v>0</x:v>
      </x:c>
      <x:c r="M389" s="105" t="n">
        <x:f>IF(AND(A389='Your Mortgage'!$F$8,I389&gt;0),MIN('Your Mortgage'!$F$7,MAX(0,I389+J389-K389-L389)),0)</x:f>
        <x:v>0</x:v>
      </x:c>
      <x:c r="N389" s="105" t="n">
        <x:f>K389+L389+M389</x:f>
        <x:v>0</x:v>
      </x:c>
      <x:c r="O389" s="105" t="n">
        <x:f>MAX(0,N389-J389)</x:f>
        <x:v>0</x:v>
      </x:c>
      <x:c r="P389" s="105" t="n">
        <x:f>MAX(0,I389-O389)</x:f>
        <x:v>0</x:v>
      </x:c>
      <x:c r="Q389" s="106" t="n">
        <x:f>X388</x:f>
        <x:v>0</x:v>
      </x:c>
      <x:c r="R389" s="106" t="n">
        <x:f>IF(Q389&gt;0,Q389*'Your Mortgage'!$C$7/12,0)</x:f>
        <x:v>0</x:v>
      </x:c>
      <x:c r="S389" s="106" t="n">
        <x:f>IF(Q389&gt;0,MIN('Your Mortgage'!$C$11,Q389+R389),0)</x:f>
        <x:v>0</x:v>
      </x:c>
      <x:c r="T389" s="106" t="n">
        <x:f>IF(Q389&gt;0,MIN('Your Mortgage'!$I$6,MAX(0,Q389+R389-S389)),0)</x:f>
        <x:v>0</x:v>
      </x:c>
      <x:c r="U389" s="106" t="n">
        <x:f>IF(AND(A389='Your Mortgage'!$I$8,Q389&gt;0),MIN('Your Mortgage'!$I$7,MAX(0,Q389+R389-S389-T389)),0)</x:f>
        <x:v>0</x:v>
      </x:c>
      <x:c r="V389" s="106" t="n">
        <x:f>S389+T389+U389</x:f>
        <x:v>0</x:v>
      </x:c>
      <x:c r="W389" s="106" t="n">
        <x:f>MAX(0,V389-R389)</x:f>
        <x:v>0</x:v>
      </x:c>
      <x:c r="X389" s="106" t="n">
        <x:f>MAX(0,Q389-W389)</x:f>
        <x:v>0</x:v>
      </x:c>
      <x:c r="Y389" s="1"/>
      <x:c r="Z389" s="1"/>
    </x:row>
    <x:row r="390">
      <x:c r="A390" s="100" t="n">
        <x:f>A389+1</x:f>
        <x:v>385</x:v>
      </x:c>
      <x:c r="B390" s="103" t="n">
        <x:f>EDATE(B389,1)</x:f>
        <x:v>57923</x:v>
      </x:c>
      <x:c r="C390" s="104" t="n">
        <x:f>H389</x:f>
        <x:v>0</x:v>
      </x:c>
      <x:c r="D390" s="104" t="n">
        <x:f>IF(C390&gt;0,C390*'Your Mortgage'!$C$7/12,0)</x:f>
        <x:v>0</x:v>
      </x:c>
      <x:c r="E390" s="104" t="n">
        <x:f>IF(C390&gt;0,MIN('Your Mortgage'!$C$11,C390+D390),0)</x:f>
        <x:v>0</x:v>
      </x:c>
      <x:c r="F390" s="104" t="n">
        <x:f>E390</x:f>
        <x:v>0</x:v>
      </x:c>
      <x:c r="G390" s="104" t="n">
        <x:f>MAX(0,F390-D390)</x:f>
        <x:v>0</x:v>
      </x:c>
      <x:c r="H390" s="104" t="n">
        <x:f>MAX(0,C390-G390)</x:f>
        <x:v>0</x:v>
      </x:c>
      <x:c r="I390" s="105" t="n">
        <x:f>P389</x:f>
        <x:v>0</x:v>
      </x:c>
      <x:c r="J390" s="105" t="n">
        <x:f>IF(I390&gt;0,I390*'Your Mortgage'!$C$7/12,0)</x:f>
        <x:v>0</x:v>
      </x:c>
      <x:c r="K390" s="105" t="n">
        <x:f>IF(I390&gt;0,MIN('Your Mortgage'!$C$11,I390+J390),0)</x:f>
        <x:v>0</x:v>
      </x:c>
      <x:c r="L390" s="105" t="n">
        <x:f>IF(I390&gt;0,MIN('Your Mortgage'!$F$6,MAX(0,I390+J390-K390)),0)</x:f>
        <x:v>0</x:v>
      </x:c>
      <x:c r="M390" s="105" t="n">
        <x:f>IF(AND(A390='Your Mortgage'!$F$8,I390&gt;0),MIN('Your Mortgage'!$F$7,MAX(0,I390+J390-K390-L390)),0)</x:f>
        <x:v>0</x:v>
      </x:c>
      <x:c r="N390" s="105" t="n">
        <x:f>K390+L390+M390</x:f>
        <x:v>0</x:v>
      </x:c>
      <x:c r="O390" s="105" t="n">
        <x:f>MAX(0,N390-J390)</x:f>
        <x:v>0</x:v>
      </x:c>
      <x:c r="P390" s="105" t="n">
        <x:f>MAX(0,I390-O390)</x:f>
        <x:v>0</x:v>
      </x:c>
      <x:c r="Q390" s="106" t="n">
        <x:f>X389</x:f>
        <x:v>0</x:v>
      </x:c>
      <x:c r="R390" s="106" t="n">
        <x:f>IF(Q390&gt;0,Q390*'Your Mortgage'!$C$7/12,0)</x:f>
        <x:v>0</x:v>
      </x:c>
      <x:c r="S390" s="106" t="n">
        <x:f>IF(Q390&gt;0,MIN('Your Mortgage'!$C$11,Q390+R390),0)</x:f>
        <x:v>0</x:v>
      </x:c>
      <x:c r="T390" s="106" t="n">
        <x:f>IF(Q390&gt;0,MIN('Your Mortgage'!$I$6,MAX(0,Q390+R390-S390)),0)</x:f>
        <x:v>0</x:v>
      </x:c>
      <x:c r="U390" s="106" t="n">
        <x:f>IF(AND(A390='Your Mortgage'!$I$8,Q390&gt;0),MIN('Your Mortgage'!$I$7,MAX(0,Q390+R390-S390-T390)),0)</x:f>
        <x:v>0</x:v>
      </x:c>
      <x:c r="V390" s="106" t="n">
        <x:f>S390+T390+U390</x:f>
        <x:v>0</x:v>
      </x:c>
      <x:c r="W390" s="106" t="n">
        <x:f>MAX(0,V390-R390)</x:f>
        <x:v>0</x:v>
      </x:c>
      <x:c r="X390" s="106" t="n">
        <x:f>MAX(0,Q390-W390)</x:f>
        <x:v>0</x:v>
      </x:c>
      <x:c r="Y390" s="1"/>
      <x:c r="Z390" s="1"/>
    </x:row>
    <x:row r="391">
      <x:c r="A391" s="100" t="n">
        <x:f>A390+1</x:f>
        <x:v>386</x:v>
      </x:c>
      <x:c r="B391" s="103" t="n">
        <x:f>EDATE(B390,1)</x:f>
        <x:v>57954</x:v>
      </x:c>
      <x:c r="C391" s="104" t="n">
        <x:f>H390</x:f>
        <x:v>0</x:v>
      </x:c>
      <x:c r="D391" s="104" t="n">
        <x:f>IF(C391&gt;0,C391*'Your Mortgage'!$C$7/12,0)</x:f>
        <x:v>0</x:v>
      </x:c>
      <x:c r="E391" s="104" t="n">
        <x:f>IF(C391&gt;0,MIN('Your Mortgage'!$C$11,C391+D391),0)</x:f>
        <x:v>0</x:v>
      </x:c>
      <x:c r="F391" s="104" t="n">
        <x:f>E391</x:f>
        <x:v>0</x:v>
      </x:c>
      <x:c r="G391" s="104" t="n">
        <x:f>MAX(0,F391-D391)</x:f>
        <x:v>0</x:v>
      </x:c>
      <x:c r="H391" s="104" t="n">
        <x:f>MAX(0,C391-G391)</x:f>
        <x:v>0</x:v>
      </x:c>
      <x:c r="I391" s="105" t="n">
        <x:f>P390</x:f>
        <x:v>0</x:v>
      </x:c>
      <x:c r="J391" s="105" t="n">
        <x:f>IF(I391&gt;0,I391*'Your Mortgage'!$C$7/12,0)</x:f>
        <x:v>0</x:v>
      </x:c>
      <x:c r="K391" s="105" t="n">
        <x:f>IF(I391&gt;0,MIN('Your Mortgage'!$C$11,I391+J391),0)</x:f>
        <x:v>0</x:v>
      </x:c>
      <x:c r="L391" s="105" t="n">
        <x:f>IF(I391&gt;0,MIN('Your Mortgage'!$F$6,MAX(0,I391+J391-K391)),0)</x:f>
        <x:v>0</x:v>
      </x:c>
      <x:c r="M391" s="105" t="n">
        <x:f>IF(AND(A391='Your Mortgage'!$F$8,I391&gt;0),MIN('Your Mortgage'!$F$7,MAX(0,I391+J391-K391-L391)),0)</x:f>
        <x:v>0</x:v>
      </x:c>
      <x:c r="N391" s="105" t="n">
        <x:f>K391+L391+M391</x:f>
        <x:v>0</x:v>
      </x:c>
      <x:c r="O391" s="105" t="n">
        <x:f>MAX(0,N391-J391)</x:f>
        <x:v>0</x:v>
      </x:c>
      <x:c r="P391" s="105" t="n">
        <x:f>MAX(0,I391-O391)</x:f>
        <x:v>0</x:v>
      </x:c>
      <x:c r="Q391" s="106" t="n">
        <x:f>X390</x:f>
        <x:v>0</x:v>
      </x:c>
      <x:c r="R391" s="106" t="n">
        <x:f>IF(Q391&gt;0,Q391*'Your Mortgage'!$C$7/12,0)</x:f>
        <x:v>0</x:v>
      </x:c>
      <x:c r="S391" s="106" t="n">
        <x:f>IF(Q391&gt;0,MIN('Your Mortgage'!$C$11,Q391+R391),0)</x:f>
        <x:v>0</x:v>
      </x:c>
      <x:c r="T391" s="106" t="n">
        <x:f>IF(Q391&gt;0,MIN('Your Mortgage'!$I$6,MAX(0,Q391+R391-S391)),0)</x:f>
        <x:v>0</x:v>
      </x:c>
      <x:c r="U391" s="106" t="n">
        <x:f>IF(AND(A391='Your Mortgage'!$I$8,Q391&gt;0),MIN('Your Mortgage'!$I$7,MAX(0,Q391+R391-S391-T391)),0)</x:f>
        <x:v>0</x:v>
      </x:c>
      <x:c r="V391" s="106" t="n">
        <x:f>S391+T391+U391</x:f>
        <x:v>0</x:v>
      </x:c>
      <x:c r="W391" s="106" t="n">
        <x:f>MAX(0,V391-R391)</x:f>
        <x:v>0</x:v>
      </x:c>
      <x:c r="X391" s="106" t="n">
        <x:f>MAX(0,Q391-W391)</x:f>
        <x:v>0</x:v>
      </x:c>
      <x:c r="Y391" s="1"/>
      <x:c r="Z391" s="1"/>
    </x:row>
    <x:row r="392">
      <x:c r="A392" s="100" t="n">
        <x:f>A391+1</x:f>
        <x:v>387</x:v>
      </x:c>
      <x:c r="B392" s="103" t="n">
        <x:f>EDATE(B391,1)</x:f>
        <x:v>57984</x:v>
      </x:c>
      <x:c r="C392" s="104" t="n">
        <x:f>H391</x:f>
        <x:v>0</x:v>
      </x:c>
      <x:c r="D392" s="104" t="n">
        <x:f>IF(C392&gt;0,C392*'Your Mortgage'!$C$7/12,0)</x:f>
        <x:v>0</x:v>
      </x:c>
      <x:c r="E392" s="104" t="n">
        <x:f>IF(C392&gt;0,MIN('Your Mortgage'!$C$11,C392+D392),0)</x:f>
        <x:v>0</x:v>
      </x:c>
      <x:c r="F392" s="104" t="n">
        <x:f>E392</x:f>
        <x:v>0</x:v>
      </x:c>
      <x:c r="G392" s="104" t="n">
        <x:f>MAX(0,F392-D392)</x:f>
        <x:v>0</x:v>
      </x:c>
      <x:c r="H392" s="104" t="n">
        <x:f>MAX(0,C392-G392)</x:f>
        <x:v>0</x:v>
      </x:c>
      <x:c r="I392" s="105" t="n">
        <x:f>P391</x:f>
        <x:v>0</x:v>
      </x:c>
      <x:c r="J392" s="105" t="n">
        <x:f>IF(I392&gt;0,I392*'Your Mortgage'!$C$7/12,0)</x:f>
        <x:v>0</x:v>
      </x:c>
      <x:c r="K392" s="105" t="n">
        <x:f>IF(I392&gt;0,MIN('Your Mortgage'!$C$11,I392+J392),0)</x:f>
        <x:v>0</x:v>
      </x:c>
      <x:c r="L392" s="105" t="n">
        <x:f>IF(I392&gt;0,MIN('Your Mortgage'!$F$6,MAX(0,I392+J392-K392)),0)</x:f>
        <x:v>0</x:v>
      </x:c>
      <x:c r="M392" s="105" t="n">
        <x:f>IF(AND(A392='Your Mortgage'!$F$8,I392&gt;0),MIN('Your Mortgage'!$F$7,MAX(0,I392+J392-K392-L392)),0)</x:f>
        <x:v>0</x:v>
      </x:c>
      <x:c r="N392" s="105" t="n">
        <x:f>K392+L392+M392</x:f>
        <x:v>0</x:v>
      </x:c>
      <x:c r="O392" s="105" t="n">
        <x:f>MAX(0,N392-J392)</x:f>
        <x:v>0</x:v>
      </x:c>
      <x:c r="P392" s="105" t="n">
        <x:f>MAX(0,I392-O392)</x:f>
        <x:v>0</x:v>
      </x:c>
      <x:c r="Q392" s="106" t="n">
        <x:f>X391</x:f>
        <x:v>0</x:v>
      </x:c>
      <x:c r="R392" s="106" t="n">
        <x:f>IF(Q392&gt;0,Q392*'Your Mortgage'!$C$7/12,0)</x:f>
        <x:v>0</x:v>
      </x:c>
      <x:c r="S392" s="106" t="n">
        <x:f>IF(Q392&gt;0,MIN('Your Mortgage'!$C$11,Q392+R392),0)</x:f>
        <x:v>0</x:v>
      </x:c>
      <x:c r="T392" s="106" t="n">
        <x:f>IF(Q392&gt;0,MIN('Your Mortgage'!$I$6,MAX(0,Q392+R392-S392)),0)</x:f>
        <x:v>0</x:v>
      </x:c>
      <x:c r="U392" s="106" t="n">
        <x:f>IF(AND(A392='Your Mortgage'!$I$8,Q392&gt;0),MIN('Your Mortgage'!$I$7,MAX(0,Q392+R392-S392-T392)),0)</x:f>
        <x:v>0</x:v>
      </x:c>
      <x:c r="V392" s="106" t="n">
        <x:f>S392+T392+U392</x:f>
        <x:v>0</x:v>
      </x:c>
      <x:c r="W392" s="106" t="n">
        <x:f>MAX(0,V392-R392)</x:f>
        <x:v>0</x:v>
      </x:c>
      <x:c r="X392" s="106" t="n">
        <x:f>MAX(0,Q392-W392)</x:f>
        <x:v>0</x:v>
      </x:c>
      <x:c r="Y392" s="1"/>
      <x:c r="Z392" s="1"/>
    </x:row>
    <x:row r="393">
      <x:c r="A393" s="100" t="n">
        <x:f>A392+1</x:f>
        <x:v>388</x:v>
      </x:c>
      <x:c r="B393" s="103" t="n">
        <x:f>EDATE(B392,1)</x:f>
        <x:v>58015</x:v>
      </x:c>
      <x:c r="C393" s="104" t="n">
        <x:f>H392</x:f>
        <x:v>0</x:v>
      </x:c>
      <x:c r="D393" s="104" t="n">
        <x:f>IF(C393&gt;0,C393*'Your Mortgage'!$C$7/12,0)</x:f>
        <x:v>0</x:v>
      </x:c>
      <x:c r="E393" s="104" t="n">
        <x:f>IF(C393&gt;0,MIN('Your Mortgage'!$C$11,C393+D393),0)</x:f>
        <x:v>0</x:v>
      </x:c>
      <x:c r="F393" s="104" t="n">
        <x:f>E393</x:f>
        <x:v>0</x:v>
      </x:c>
      <x:c r="G393" s="104" t="n">
        <x:f>MAX(0,F393-D393)</x:f>
        <x:v>0</x:v>
      </x:c>
      <x:c r="H393" s="104" t="n">
        <x:f>MAX(0,C393-G393)</x:f>
        <x:v>0</x:v>
      </x:c>
      <x:c r="I393" s="105" t="n">
        <x:f>P392</x:f>
        <x:v>0</x:v>
      </x:c>
      <x:c r="J393" s="105" t="n">
        <x:f>IF(I393&gt;0,I393*'Your Mortgage'!$C$7/12,0)</x:f>
        <x:v>0</x:v>
      </x:c>
      <x:c r="K393" s="105" t="n">
        <x:f>IF(I393&gt;0,MIN('Your Mortgage'!$C$11,I393+J393),0)</x:f>
        <x:v>0</x:v>
      </x:c>
      <x:c r="L393" s="105" t="n">
        <x:f>IF(I393&gt;0,MIN('Your Mortgage'!$F$6,MAX(0,I393+J393-K393)),0)</x:f>
        <x:v>0</x:v>
      </x:c>
      <x:c r="M393" s="105" t="n">
        <x:f>IF(AND(A393='Your Mortgage'!$F$8,I393&gt;0),MIN('Your Mortgage'!$F$7,MAX(0,I393+J393-K393-L393)),0)</x:f>
        <x:v>0</x:v>
      </x:c>
      <x:c r="N393" s="105" t="n">
        <x:f>K393+L393+M393</x:f>
        <x:v>0</x:v>
      </x:c>
      <x:c r="O393" s="105" t="n">
        <x:f>MAX(0,N393-J393)</x:f>
        <x:v>0</x:v>
      </x:c>
      <x:c r="P393" s="105" t="n">
        <x:f>MAX(0,I393-O393)</x:f>
        <x:v>0</x:v>
      </x:c>
      <x:c r="Q393" s="106" t="n">
        <x:f>X392</x:f>
        <x:v>0</x:v>
      </x:c>
      <x:c r="R393" s="106" t="n">
        <x:f>IF(Q393&gt;0,Q393*'Your Mortgage'!$C$7/12,0)</x:f>
        <x:v>0</x:v>
      </x:c>
      <x:c r="S393" s="106" t="n">
        <x:f>IF(Q393&gt;0,MIN('Your Mortgage'!$C$11,Q393+R393),0)</x:f>
        <x:v>0</x:v>
      </x:c>
      <x:c r="T393" s="106" t="n">
        <x:f>IF(Q393&gt;0,MIN('Your Mortgage'!$I$6,MAX(0,Q393+R393-S393)),0)</x:f>
        <x:v>0</x:v>
      </x:c>
      <x:c r="U393" s="106" t="n">
        <x:f>IF(AND(A393='Your Mortgage'!$I$8,Q393&gt;0),MIN('Your Mortgage'!$I$7,MAX(0,Q393+R393-S393-T393)),0)</x:f>
        <x:v>0</x:v>
      </x:c>
      <x:c r="V393" s="106" t="n">
        <x:f>S393+T393+U393</x:f>
        <x:v>0</x:v>
      </x:c>
      <x:c r="W393" s="106" t="n">
        <x:f>MAX(0,V393-R393)</x:f>
        <x:v>0</x:v>
      </x:c>
      <x:c r="X393" s="106" t="n">
        <x:f>MAX(0,Q393-W393)</x:f>
        <x:v>0</x:v>
      </x:c>
      <x:c r="Y393" s="1"/>
      <x:c r="Z393" s="1"/>
    </x:row>
    <x:row r="394">
      <x:c r="A394" s="100" t="n">
        <x:f>A393+1</x:f>
        <x:v>389</x:v>
      </x:c>
      <x:c r="B394" s="103" t="n">
        <x:f>EDATE(B393,1)</x:f>
        <x:v>58045</x:v>
      </x:c>
      <x:c r="C394" s="104" t="n">
        <x:f>H393</x:f>
        <x:v>0</x:v>
      </x:c>
      <x:c r="D394" s="104" t="n">
        <x:f>IF(C394&gt;0,C394*'Your Mortgage'!$C$7/12,0)</x:f>
        <x:v>0</x:v>
      </x:c>
      <x:c r="E394" s="104" t="n">
        <x:f>IF(C394&gt;0,MIN('Your Mortgage'!$C$11,C394+D394),0)</x:f>
        <x:v>0</x:v>
      </x:c>
      <x:c r="F394" s="104" t="n">
        <x:f>E394</x:f>
        <x:v>0</x:v>
      </x:c>
      <x:c r="G394" s="104" t="n">
        <x:f>MAX(0,F394-D394)</x:f>
        <x:v>0</x:v>
      </x:c>
      <x:c r="H394" s="104" t="n">
        <x:f>MAX(0,C394-G394)</x:f>
        <x:v>0</x:v>
      </x:c>
      <x:c r="I394" s="105" t="n">
        <x:f>P393</x:f>
        <x:v>0</x:v>
      </x:c>
      <x:c r="J394" s="105" t="n">
        <x:f>IF(I394&gt;0,I394*'Your Mortgage'!$C$7/12,0)</x:f>
        <x:v>0</x:v>
      </x:c>
      <x:c r="K394" s="105" t="n">
        <x:f>IF(I394&gt;0,MIN('Your Mortgage'!$C$11,I394+J394),0)</x:f>
        <x:v>0</x:v>
      </x:c>
      <x:c r="L394" s="105" t="n">
        <x:f>IF(I394&gt;0,MIN('Your Mortgage'!$F$6,MAX(0,I394+J394-K394)),0)</x:f>
        <x:v>0</x:v>
      </x:c>
      <x:c r="M394" s="105" t="n">
        <x:f>IF(AND(A394='Your Mortgage'!$F$8,I394&gt;0),MIN('Your Mortgage'!$F$7,MAX(0,I394+J394-K394-L394)),0)</x:f>
        <x:v>0</x:v>
      </x:c>
      <x:c r="N394" s="105" t="n">
        <x:f>K394+L394+M394</x:f>
        <x:v>0</x:v>
      </x:c>
      <x:c r="O394" s="105" t="n">
        <x:f>MAX(0,N394-J394)</x:f>
        <x:v>0</x:v>
      </x:c>
      <x:c r="P394" s="105" t="n">
        <x:f>MAX(0,I394-O394)</x:f>
        <x:v>0</x:v>
      </x:c>
      <x:c r="Q394" s="106" t="n">
        <x:f>X393</x:f>
        <x:v>0</x:v>
      </x:c>
      <x:c r="R394" s="106" t="n">
        <x:f>IF(Q394&gt;0,Q394*'Your Mortgage'!$C$7/12,0)</x:f>
        <x:v>0</x:v>
      </x:c>
      <x:c r="S394" s="106" t="n">
        <x:f>IF(Q394&gt;0,MIN('Your Mortgage'!$C$11,Q394+R394),0)</x:f>
        <x:v>0</x:v>
      </x:c>
      <x:c r="T394" s="106" t="n">
        <x:f>IF(Q394&gt;0,MIN('Your Mortgage'!$I$6,MAX(0,Q394+R394-S394)),0)</x:f>
        <x:v>0</x:v>
      </x:c>
      <x:c r="U394" s="106" t="n">
        <x:f>IF(AND(A394='Your Mortgage'!$I$8,Q394&gt;0),MIN('Your Mortgage'!$I$7,MAX(0,Q394+R394-S394-T394)),0)</x:f>
        <x:v>0</x:v>
      </x:c>
      <x:c r="V394" s="106" t="n">
        <x:f>S394+T394+U394</x:f>
        <x:v>0</x:v>
      </x:c>
      <x:c r="W394" s="106" t="n">
        <x:f>MAX(0,V394-R394)</x:f>
        <x:v>0</x:v>
      </x:c>
      <x:c r="X394" s="106" t="n">
        <x:f>MAX(0,Q394-W394)</x:f>
        <x:v>0</x:v>
      </x:c>
      <x:c r="Y394" s="1"/>
      <x:c r="Z394" s="1"/>
    </x:row>
    <x:row r="395">
      <x:c r="A395" s="100" t="n">
        <x:f>A394+1</x:f>
        <x:v>390</x:v>
      </x:c>
      <x:c r="B395" s="103" t="n">
        <x:f>EDATE(B394,1)</x:f>
        <x:v>58076</x:v>
      </x:c>
      <x:c r="C395" s="104" t="n">
        <x:f>H394</x:f>
        <x:v>0</x:v>
      </x:c>
      <x:c r="D395" s="104" t="n">
        <x:f>IF(C395&gt;0,C395*'Your Mortgage'!$C$7/12,0)</x:f>
        <x:v>0</x:v>
      </x:c>
      <x:c r="E395" s="104" t="n">
        <x:f>IF(C395&gt;0,MIN('Your Mortgage'!$C$11,C395+D395),0)</x:f>
        <x:v>0</x:v>
      </x:c>
      <x:c r="F395" s="104" t="n">
        <x:f>E395</x:f>
        <x:v>0</x:v>
      </x:c>
      <x:c r="G395" s="104" t="n">
        <x:f>MAX(0,F395-D395)</x:f>
        <x:v>0</x:v>
      </x:c>
      <x:c r="H395" s="104" t="n">
        <x:f>MAX(0,C395-G395)</x:f>
        <x:v>0</x:v>
      </x:c>
      <x:c r="I395" s="105" t="n">
        <x:f>P394</x:f>
        <x:v>0</x:v>
      </x:c>
      <x:c r="J395" s="105" t="n">
        <x:f>IF(I395&gt;0,I395*'Your Mortgage'!$C$7/12,0)</x:f>
        <x:v>0</x:v>
      </x:c>
      <x:c r="K395" s="105" t="n">
        <x:f>IF(I395&gt;0,MIN('Your Mortgage'!$C$11,I395+J395),0)</x:f>
        <x:v>0</x:v>
      </x:c>
      <x:c r="L395" s="105" t="n">
        <x:f>IF(I395&gt;0,MIN('Your Mortgage'!$F$6,MAX(0,I395+J395-K395)),0)</x:f>
        <x:v>0</x:v>
      </x:c>
      <x:c r="M395" s="105" t="n">
        <x:f>IF(AND(A395='Your Mortgage'!$F$8,I395&gt;0),MIN('Your Mortgage'!$F$7,MAX(0,I395+J395-K395-L395)),0)</x:f>
        <x:v>0</x:v>
      </x:c>
      <x:c r="N395" s="105" t="n">
        <x:f>K395+L395+M395</x:f>
        <x:v>0</x:v>
      </x:c>
      <x:c r="O395" s="105" t="n">
        <x:f>MAX(0,N395-J395)</x:f>
        <x:v>0</x:v>
      </x:c>
      <x:c r="P395" s="105" t="n">
        <x:f>MAX(0,I395-O395)</x:f>
        <x:v>0</x:v>
      </x:c>
      <x:c r="Q395" s="106" t="n">
        <x:f>X394</x:f>
        <x:v>0</x:v>
      </x:c>
      <x:c r="R395" s="106" t="n">
        <x:f>IF(Q395&gt;0,Q395*'Your Mortgage'!$C$7/12,0)</x:f>
        <x:v>0</x:v>
      </x:c>
      <x:c r="S395" s="106" t="n">
        <x:f>IF(Q395&gt;0,MIN('Your Mortgage'!$C$11,Q395+R395),0)</x:f>
        <x:v>0</x:v>
      </x:c>
      <x:c r="T395" s="106" t="n">
        <x:f>IF(Q395&gt;0,MIN('Your Mortgage'!$I$6,MAX(0,Q395+R395-S395)),0)</x:f>
        <x:v>0</x:v>
      </x:c>
      <x:c r="U395" s="106" t="n">
        <x:f>IF(AND(A395='Your Mortgage'!$I$8,Q395&gt;0),MIN('Your Mortgage'!$I$7,MAX(0,Q395+R395-S395-T395)),0)</x:f>
        <x:v>0</x:v>
      </x:c>
      <x:c r="V395" s="106" t="n">
        <x:f>S395+T395+U395</x:f>
        <x:v>0</x:v>
      </x:c>
      <x:c r="W395" s="106" t="n">
        <x:f>MAX(0,V395-R395)</x:f>
        <x:v>0</x:v>
      </x:c>
      <x:c r="X395" s="106" t="n">
        <x:f>MAX(0,Q395-W395)</x:f>
        <x:v>0</x:v>
      </x:c>
      <x:c r="Y395" s="1"/>
      <x:c r="Z395" s="1"/>
    </x:row>
    <x:row r="396">
      <x:c r="A396" s="100" t="n">
        <x:f>A395+1</x:f>
        <x:v>391</x:v>
      </x:c>
      <x:c r="B396" s="103" t="n">
        <x:f>EDATE(B395,1)</x:f>
        <x:v>58107</x:v>
      </x:c>
      <x:c r="C396" s="104" t="n">
        <x:f>H395</x:f>
        <x:v>0</x:v>
      </x:c>
      <x:c r="D396" s="104" t="n">
        <x:f>IF(C396&gt;0,C396*'Your Mortgage'!$C$7/12,0)</x:f>
        <x:v>0</x:v>
      </x:c>
      <x:c r="E396" s="104" t="n">
        <x:f>IF(C396&gt;0,MIN('Your Mortgage'!$C$11,C396+D396),0)</x:f>
        <x:v>0</x:v>
      </x:c>
      <x:c r="F396" s="104" t="n">
        <x:f>E396</x:f>
        <x:v>0</x:v>
      </x:c>
      <x:c r="G396" s="104" t="n">
        <x:f>MAX(0,F396-D396)</x:f>
        <x:v>0</x:v>
      </x:c>
      <x:c r="H396" s="104" t="n">
        <x:f>MAX(0,C396-G396)</x:f>
        <x:v>0</x:v>
      </x:c>
      <x:c r="I396" s="105" t="n">
        <x:f>P395</x:f>
        <x:v>0</x:v>
      </x:c>
      <x:c r="J396" s="105" t="n">
        <x:f>IF(I396&gt;0,I396*'Your Mortgage'!$C$7/12,0)</x:f>
        <x:v>0</x:v>
      </x:c>
      <x:c r="K396" s="105" t="n">
        <x:f>IF(I396&gt;0,MIN('Your Mortgage'!$C$11,I396+J396),0)</x:f>
        <x:v>0</x:v>
      </x:c>
      <x:c r="L396" s="105" t="n">
        <x:f>IF(I396&gt;0,MIN('Your Mortgage'!$F$6,MAX(0,I396+J396-K396)),0)</x:f>
        <x:v>0</x:v>
      </x:c>
      <x:c r="M396" s="105" t="n">
        <x:f>IF(AND(A396='Your Mortgage'!$F$8,I396&gt;0),MIN('Your Mortgage'!$F$7,MAX(0,I396+J396-K396-L396)),0)</x:f>
        <x:v>0</x:v>
      </x:c>
      <x:c r="N396" s="105" t="n">
        <x:f>K396+L396+M396</x:f>
        <x:v>0</x:v>
      </x:c>
      <x:c r="O396" s="105" t="n">
        <x:f>MAX(0,N396-J396)</x:f>
        <x:v>0</x:v>
      </x:c>
      <x:c r="P396" s="105" t="n">
        <x:f>MAX(0,I396-O396)</x:f>
        <x:v>0</x:v>
      </x:c>
      <x:c r="Q396" s="106" t="n">
        <x:f>X395</x:f>
        <x:v>0</x:v>
      </x:c>
      <x:c r="R396" s="106" t="n">
        <x:f>IF(Q396&gt;0,Q396*'Your Mortgage'!$C$7/12,0)</x:f>
        <x:v>0</x:v>
      </x:c>
      <x:c r="S396" s="106" t="n">
        <x:f>IF(Q396&gt;0,MIN('Your Mortgage'!$C$11,Q396+R396),0)</x:f>
        <x:v>0</x:v>
      </x:c>
      <x:c r="T396" s="106" t="n">
        <x:f>IF(Q396&gt;0,MIN('Your Mortgage'!$I$6,MAX(0,Q396+R396-S396)),0)</x:f>
        <x:v>0</x:v>
      </x:c>
      <x:c r="U396" s="106" t="n">
        <x:f>IF(AND(A396='Your Mortgage'!$I$8,Q396&gt;0),MIN('Your Mortgage'!$I$7,MAX(0,Q396+R396-S396-T396)),0)</x:f>
        <x:v>0</x:v>
      </x:c>
      <x:c r="V396" s="106" t="n">
        <x:f>S396+T396+U396</x:f>
        <x:v>0</x:v>
      </x:c>
      <x:c r="W396" s="106" t="n">
        <x:f>MAX(0,V396-R396)</x:f>
        <x:v>0</x:v>
      </x:c>
      <x:c r="X396" s="106" t="n">
        <x:f>MAX(0,Q396-W396)</x:f>
        <x:v>0</x:v>
      </x:c>
      <x:c r="Y396" s="1"/>
      <x:c r="Z396" s="1"/>
    </x:row>
    <x:row r="397">
      <x:c r="A397" s="100" t="n">
        <x:f>A396+1</x:f>
        <x:v>392</x:v>
      </x:c>
      <x:c r="B397" s="103" t="n">
        <x:f>EDATE(B396,1)</x:f>
        <x:v>58135</x:v>
      </x:c>
      <x:c r="C397" s="104" t="n">
        <x:f>H396</x:f>
        <x:v>0</x:v>
      </x:c>
      <x:c r="D397" s="104" t="n">
        <x:f>IF(C397&gt;0,C397*'Your Mortgage'!$C$7/12,0)</x:f>
        <x:v>0</x:v>
      </x:c>
      <x:c r="E397" s="104" t="n">
        <x:f>IF(C397&gt;0,MIN('Your Mortgage'!$C$11,C397+D397),0)</x:f>
        <x:v>0</x:v>
      </x:c>
      <x:c r="F397" s="104" t="n">
        <x:f>E397</x:f>
        <x:v>0</x:v>
      </x:c>
      <x:c r="G397" s="104" t="n">
        <x:f>MAX(0,F397-D397)</x:f>
        <x:v>0</x:v>
      </x:c>
      <x:c r="H397" s="104" t="n">
        <x:f>MAX(0,C397-G397)</x:f>
        <x:v>0</x:v>
      </x:c>
      <x:c r="I397" s="105" t="n">
        <x:f>P396</x:f>
        <x:v>0</x:v>
      </x:c>
      <x:c r="J397" s="105" t="n">
        <x:f>IF(I397&gt;0,I397*'Your Mortgage'!$C$7/12,0)</x:f>
        <x:v>0</x:v>
      </x:c>
      <x:c r="K397" s="105" t="n">
        <x:f>IF(I397&gt;0,MIN('Your Mortgage'!$C$11,I397+J397),0)</x:f>
        <x:v>0</x:v>
      </x:c>
      <x:c r="L397" s="105" t="n">
        <x:f>IF(I397&gt;0,MIN('Your Mortgage'!$F$6,MAX(0,I397+J397-K397)),0)</x:f>
        <x:v>0</x:v>
      </x:c>
      <x:c r="M397" s="105" t="n">
        <x:f>IF(AND(A397='Your Mortgage'!$F$8,I397&gt;0),MIN('Your Mortgage'!$F$7,MAX(0,I397+J397-K397-L397)),0)</x:f>
        <x:v>0</x:v>
      </x:c>
      <x:c r="N397" s="105" t="n">
        <x:f>K397+L397+M397</x:f>
        <x:v>0</x:v>
      </x:c>
      <x:c r="O397" s="105" t="n">
        <x:f>MAX(0,N397-J397)</x:f>
        <x:v>0</x:v>
      </x:c>
      <x:c r="P397" s="105" t="n">
        <x:f>MAX(0,I397-O397)</x:f>
        <x:v>0</x:v>
      </x:c>
      <x:c r="Q397" s="106" t="n">
        <x:f>X396</x:f>
        <x:v>0</x:v>
      </x:c>
      <x:c r="R397" s="106" t="n">
        <x:f>IF(Q397&gt;0,Q397*'Your Mortgage'!$C$7/12,0)</x:f>
        <x:v>0</x:v>
      </x:c>
      <x:c r="S397" s="106" t="n">
        <x:f>IF(Q397&gt;0,MIN('Your Mortgage'!$C$11,Q397+R397),0)</x:f>
        <x:v>0</x:v>
      </x:c>
      <x:c r="T397" s="106" t="n">
        <x:f>IF(Q397&gt;0,MIN('Your Mortgage'!$I$6,MAX(0,Q397+R397-S397)),0)</x:f>
        <x:v>0</x:v>
      </x:c>
      <x:c r="U397" s="106" t="n">
        <x:f>IF(AND(A397='Your Mortgage'!$I$8,Q397&gt;0),MIN('Your Mortgage'!$I$7,MAX(0,Q397+R397-S397-T397)),0)</x:f>
        <x:v>0</x:v>
      </x:c>
      <x:c r="V397" s="106" t="n">
        <x:f>S397+T397+U397</x:f>
        <x:v>0</x:v>
      </x:c>
      <x:c r="W397" s="106" t="n">
        <x:f>MAX(0,V397-R397)</x:f>
        <x:v>0</x:v>
      </x:c>
      <x:c r="X397" s="106" t="n">
        <x:f>MAX(0,Q397-W397)</x:f>
        <x:v>0</x:v>
      </x:c>
      <x:c r="Y397" s="1"/>
      <x:c r="Z397" s="1"/>
    </x:row>
    <x:row r="398">
      <x:c r="A398" s="100" t="n">
        <x:f>A397+1</x:f>
        <x:v>393</x:v>
      </x:c>
      <x:c r="B398" s="103" t="n">
        <x:f>EDATE(B397,1)</x:f>
        <x:v>58166</x:v>
      </x:c>
      <x:c r="C398" s="104" t="n">
        <x:f>H397</x:f>
        <x:v>0</x:v>
      </x:c>
      <x:c r="D398" s="104" t="n">
        <x:f>IF(C398&gt;0,C398*'Your Mortgage'!$C$7/12,0)</x:f>
        <x:v>0</x:v>
      </x:c>
      <x:c r="E398" s="104" t="n">
        <x:f>IF(C398&gt;0,MIN('Your Mortgage'!$C$11,C398+D398),0)</x:f>
        <x:v>0</x:v>
      </x:c>
      <x:c r="F398" s="104" t="n">
        <x:f>E398</x:f>
        <x:v>0</x:v>
      </x:c>
      <x:c r="G398" s="104" t="n">
        <x:f>MAX(0,F398-D398)</x:f>
        <x:v>0</x:v>
      </x:c>
      <x:c r="H398" s="104" t="n">
        <x:f>MAX(0,C398-G398)</x:f>
        <x:v>0</x:v>
      </x:c>
      <x:c r="I398" s="105" t="n">
        <x:f>P397</x:f>
        <x:v>0</x:v>
      </x:c>
      <x:c r="J398" s="105" t="n">
        <x:f>IF(I398&gt;0,I398*'Your Mortgage'!$C$7/12,0)</x:f>
        <x:v>0</x:v>
      </x:c>
      <x:c r="K398" s="105" t="n">
        <x:f>IF(I398&gt;0,MIN('Your Mortgage'!$C$11,I398+J398),0)</x:f>
        <x:v>0</x:v>
      </x:c>
      <x:c r="L398" s="105" t="n">
        <x:f>IF(I398&gt;0,MIN('Your Mortgage'!$F$6,MAX(0,I398+J398-K398)),0)</x:f>
        <x:v>0</x:v>
      </x:c>
      <x:c r="M398" s="105" t="n">
        <x:f>IF(AND(A398='Your Mortgage'!$F$8,I398&gt;0),MIN('Your Mortgage'!$F$7,MAX(0,I398+J398-K398-L398)),0)</x:f>
        <x:v>0</x:v>
      </x:c>
      <x:c r="N398" s="105" t="n">
        <x:f>K398+L398+M398</x:f>
        <x:v>0</x:v>
      </x:c>
      <x:c r="O398" s="105" t="n">
        <x:f>MAX(0,N398-J398)</x:f>
        <x:v>0</x:v>
      </x:c>
      <x:c r="P398" s="105" t="n">
        <x:f>MAX(0,I398-O398)</x:f>
        <x:v>0</x:v>
      </x:c>
      <x:c r="Q398" s="106" t="n">
        <x:f>X397</x:f>
        <x:v>0</x:v>
      </x:c>
      <x:c r="R398" s="106" t="n">
        <x:f>IF(Q398&gt;0,Q398*'Your Mortgage'!$C$7/12,0)</x:f>
        <x:v>0</x:v>
      </x:c>
      <x:c r="S398" s="106" t="n">
        <x:f>IF(Q398&gt;0,MIN('Your Mortgage'!$C$11,Q398+R398),0)</x:f>
        <x:v>0</x:v>
      </x:c>
      <x:c r="T398" s="106" t="n">
        <x:f>IF(Q398&gt;0,MIN('Your Mortgage'!$I$6,MAX(0,Q398+R398-S398)),0)</x:f>
        <x:v>0</x:v>
      </x:c>
      <x:c r="U398" s="106" t="n">
        <x:f>IF(AND(A398='Your Mortgage'!$I$8,Q398&gt;0),MIN('Your Mortgage'!$I$7,MAX(0,Q398+R398-S398-T398)),0)</x:f>
        <x:v>0</x:v>
      </x:c>
      <x:c r="V398" s="106" t="n">
        <x:f>S398+T398+U398</x:f>
        <x:v>0</x:v>
      </x:c>
      <x:c r="W398" s="106" t="n">
        <x:f>MAX(0,V398-R398)</x:f>
        <x:v>0</x:v>
      </x:c>
      <x:c r="X398" s="106" t="n">
        <x:f>MAX(0,Q398-W398)</x:f>
        <x:v>0</x:v>
      </x:c>
      <x:c r="Y398" s="1"/>
      <x:c r="Z398" s="1"/>
    </x:row>
    <x:row r="399">
      <x:c r="A399" s="100" t="n">
        <x:f>A398+1</x:f>
        <x:v>394</x:v>
      </x:c>
      <x:c r="B399" s="103" t="n">
        <x:f>EDATE(B398,1)</x:f>
        <x:v>58196</x:v>
      </x:c>
      <x:c r="C399" s="104" t="n">
        <x:f>H398</x:f>
        <x:v>0</x:v>
      </x:c>
      <x:c r="D399" s="104" t="n">
        <x:f>IF(C399&gt;0,C399*'Your Mortgage'!$C$7/12,0)</x:f>
        <x:v>0</x:v>
      </x:c>
      <x:c r="E399" s="104" t="n">
        <x:f>IF(C399&gt;0,MIN('Your Mortgage'!$C$11,C399+D399),0)</x:f>
        <x:v>0</x:v>
      </x:c>
      <x:c r="F399" s="104" t="n">
        <x:f>E399</x:f>
        <x:v>0</x:v>
      </x:c>
      <x:c r="G399" s="104" t="n">
        <x:f>MAX(0,F399-D399)</x:f>
        <x:v>0</x:v>
      </x:c>
      <x:c r="H399" s="104" t="n">
        <x:f>MAX(0,C399-G399)</x:f>
        <x:v>0</x:v>
      </x:c>
      <x:c r="I399" s="105" t="n">
        <x:f>P398</x:f>
        <x:v>0</x:v>
      </x:c>
      <x:c r="J399" s="105" t="n">
        <x:f>IF(I399&gt;0,I399*'Your Mortgage'!$C$7/12,0)</x:f>
        <x:v>0</x:v>
      </x:c>
      <x:c r="K399" s="105" t="n">
        <x:f>IF(I399&gt;0,MIN('Your Mortgage'!$C$11,I399+J399),0)</x:f>
        <x:v>0</x:v>
      </x:c>
      <x:c r="L399" s="105" t="n">
        <x:f>IF(I399&gt;0,MIN('Your Mortgage'!$F$6,MAX(0,I399+J399-K399)),0)</x:f>
        <x:v>0</x:v>
      </x:c>
      <x:c r="M399" s="105" t="n">
        <x:f>IF(AND(A399='Your Mortgage'!$F$8,I399&gt;0),MIN('Your Mortgage'!$F$7,MAX(0,I399+J399-K399-L399)),0)</x:f>
        <x:v>0</x:v>
      </x:c>
      <x:c r="N399" s="105" t="n">
        <x:f>K399+L399+M399</x:f>
        <x:v>0</x:v>
      </x:c>
      <x:c r="O399" s="105" t="n">
        <x:f>MAX(0,N399-J399)</x:f>
        <x:v>0</x:v>
      </x:c>
      <x:c r="P399" s="105" t="n">
        <x:f>MAX(0,I399-O399)</x:f>
        <x:v>0</x:v>
      </x:c>
      <x:c r="Q399" s="106" t="n">
        <x:f>X398</x:f>
        <x:v>0</x:v>
      </x:c>
      <x:c r="R399" s="106" t="n">
        <x:f>IF(Q399&gt;0,Q399*'Your Mortgage'!$C$7/12,0)</x:f>
        <x:v>0</x:v>
      </x:c>
      <x:c r="S399" s="106" t="n">
        <x:f>IF(Q399&gt;0,MIN('Your Mortgage'!$C$11,Q399+R399),0)</x:f>
        <x:v>0</x:v>
      </x:c>
      <x:c r="T399" s="106" t="n">
        <x:f>IF(Q399&gt;0,MIN('Your Mortgage'!$I$6,MAX(0,Q399+R399-S399)),0)</x:f>
        <x:v>0</x:v>
      </x:c>
      <x:c r="U399" s="106" t="n">
        <x:f>IF(AND(A399='Your Mortgage'!$I$8,Q399&gt;0),MIN('Your Mortgage'!$I$7,MAX(0,Q399+R399-S399-T399)),0)</x:f>
        <x:v>0</x:v>
      </x:c>
      <x:c r="V399" s="106" t="n">
        <x:f>S399+T399+U399</x:f>
        <x:v>0</x:v>
      </x:c>
      <x:c r="W399" s="106" t="n">
        <x:f>MAX(0,V399-R399)</x:f>
        <x:v>0</x:v>
      </x:c>
      <x:c r="X399" s="106" t="n">
        <x:f>MAX(0,Q399-W399)</x:f>
        <x:v>0</x:v>
      </x:c>
      <x:c r="Y399" s="1"/>
      <x:c r="Z399" s="1"/>
    </x:row>
    <x:row r="400">
      <x:c r="A400" s="100" t="n">
        <x:f>A399+1</x:f>
        <x:v>395</x:v>
      </x:c>
      <x:c r="B400" s="103" t="n">
        <x:f>EDATE(B399,1)</x:f>
        <x:v>58227</x:v>
      </x:c>
      <x:c r="C400" s="104" t="n">
        <x:f>H399</x:f>
        <x:v>0</x:v>
      </x:c>
      <x:c r="D400" s="104" t="n">
        <x:f>IF(C400&gt;0,C400*'Your Mortgage'!$C$7/12,0)</x:f>
        <x:v>0</x:v>
      </x:c>
      <x:c r="E400" s="104" t="n">
        <x:f>IF(C400&gt;0,MIN('Your Mortgage'!$C$11,C400+D400),0)</x:f>
        <x:v>0</x:v>
      </x:c>
      <x:c r="F400" s="104" t="n">
        <x:f>E400</x:f>
        <x:v>0</x:v>
      </x:c>
      <x:c r="G400" s="104" t="n">
        <x:f>MAX(0,F400-D400)</x:f>
        <x:v>0</x:v>
      </x:c>
      <x:c r="H400" s="104" t="n">
        <x:f>MAX(0,C400-G400)</x:f>
        <x:v>0</x:v>
      </x:c>
      <x:c r="I400" s="105" t="n">
        <x:f>P399</x:f>
        <x:v>0</x:v>
      </x:c>
      <x:c r="J400" s="105" t="n">
        <x:f>IF(I400&gt;0,I400*'Your Mortgage'!$C$7/12,0)</x:f>
        <x:v>0</x:v>
      </x:c>
      <x:c r="K400" s="105" t="n">
        <x:f>IF(I400&gt;0,MIN('Your Mortgage'!$C$11,I400+J400),0)</x:f>
        <x:v>0</x:v>
      </x:c>
      <x:c r="L400" s="105" t="n">
        <x:f>IF(I400&gt;0,MIN('Your Mortgage'!$F$6,MAX(0,I400+J400-K400)),0)</x:f>
        <x:v>0</x:v>
      </x:c>
      <x:c r="M400" s="105" t="n">
        <x:f>IF(AND(A400='Your Mortgage'!$F$8,I400&gt;0),MIN('Your Mortgage'!$F$7,MAX(0,I400+J400-K400-L400)),0)</x:f>
        <x:v>0</x:v>
      </x:c>
      <x:c r="N400" s="105" t="n">
        <x:f>K400+L400+M400</x:f>
        <x:v>0</x:v>
      </x:c>
      <x:c r="O400" s="105" t="n">
        <x:f>MAX(0,N400-J400)</x:f>
        <x:v>0</x:v>
      </x:c>
      <x:c r="P400" s="105" t="n">
        <x:f>MAX(0,I400-O400)</x:f>
        <x:v>0</x:v>
      </x:c>
      <x:c r="Q400" s="106" t="n">
        <x:f>X399</x:f>
        <x:v>0</x:v>
      </x:c>
      <x:c r="R400" s="106" t="n">
        <x:f>IF(Q400&gt;0,Q400*'Your Mortgage'!$C$7/12,0)</x:f>
        <x:v>0</x:v>
      </x:c>
      <x:c r="S400" s="106" t="n">
        <x:f>IF(Q400&gt;0,MIN('Your Mortgage'!$C$11,Q400+R400),0)</x:f>
        <x:v>0</x:v>
      </x:c>
      <x:c r="T400" s="106" t="n">
        <x:f>IF(Q400&gt;0,MIN('Your Mortgage'!$I$6,MAX(0,Q400+R400-S400)),0)</x:f>
        <x:v>0</x:v>
      </x:c>
      <x:c r="U400" s="106" t="n">
        <x:f>IF(AND(A400='Your Mortgage'!$I$8,Q400&gt;0),MIN('Your Mortgage'!$I$7,MAX(0,Q400+R400-S400-T400)),0)</x:f>
        <x:v>0</x:v>
      </x:c>
      <x:c r="V400" s="106" t="n">
        <x:f>S400+T400+U400</x:f>
        <x:v>0</x:v>
      </x:c>
      <x:c r="W400" s="106" t="n">
        <x:f>MAX(0,V400-R400)</x:f>
        <x:v>0</x:v>
      </x:c>
      <x:c r="X400" s="106" t="n">
        <x:f>MAX(0,Q400-W400)</x:f>
        <x:v>0</x:v>
      </x:c>
      <x:c r="Y400" s="1"/>
      <x:c r="Z400" s="1"/>
    </x:row>
    <x:row r="401">
      <x:c r="A401" s="100" t="n">
        <x:f>A400+1</x:f>
        <x:v>396</x:v>
      </x:c>
      <x:c r="B401" s="103" t="n">
        <x:f>EDATE(B400,1)</x:f>
        <x:v>58257</x:v>
      </x:c>
      <x:c r="C401" s="104" t="n">
        <x:f>H400</x:f>
        <x:v>0</x:v>
      </x:c>
      <x:c r="D401" s="104" t="n">
        <x:f>IF(C401&gt;0,C401*'Your Mortgage'!$C$7/12,0)</x:f>
        <x:v>0</x:v>
      </x:c>
      <x:c r="E401" s="104" t="n">
        <x:f>IF(C401&gt;0,MIN('Your Mortgage'!$C$11,C401+D401),0)</x:f>
        <x:v>0</x:v>
      </x:c>
      <x:c r="F401" s="104" t="n">
        <x:f>E401</x:f>
        <x:v>0</x:v>
      </x:c>
      <x:c r="G401" s="104" t="n">
        <x:f>MAX(0,F401-D401)</x:f>
        <x:v>0</x:v>
      </x:c>
      <x:c r="H401" s="104" t="n">
        <x:f>MAX(0,C401-G401)</x:f>
        <x:v>0</x:v>
      </x:c>
      <x:c r="I401" s="105" t="n">
        <x:f>P400</x:f>
        <x:v>0</x:v>
      </x:c>
      <x:c r="J401" s="105" t="n">
        <x:f>IF(I401&gt;0,I401*'Your Mortgage'!$C$7/12,0)</x:f>
        <x:v>0</x:v>
      </x:c>
      <x:c r="K401" s="105" t="n">
        <x:f>IF(I401&gt;0,MIN('Your Mortgage'!$C$11,I401+J401),0)</x:f>
        <x:v>0</x:v>
      </x:c>
      <x:c r="L401" s="105" t="n">
        <x:f>IF(I401&gt;0,MIN('Your Mortgage'!$F$6,MAX(0,I401+J401-K401)),0)</x:f>
        <x:v>0</x:v>
      </x:c>
      <x:c r="M401" s="105" t="n">
        <x:f>IF(AND(A401='Your Mortgage'!$F$8,I401&gt;0),MIN('Your Mortgage'!$F$7,MAX(0,I401+J401-K401-L401)),0)</x:f>
        <x:v>0</x:v>
      </x:c>
      <x:c r="N401" s="105" t="n">
        <x:f>K401+L401+M401</x:f>
        <x:v>0</x:v>
      </x:c>
      <x:c r="O401" s="105" t="n">
        <x:f>MAX(0,N401-J401)</x:f>
        <x:v>0</x:v>
      </x:c>
      <x:c r="P401" s="105" t="n">
        <x:f>MAX(0,I401-O401)</x:f>
        <x:v>0</x:v>
      </x:c>
      <x:c r="Q401" s="106" t="n">
        <x:f>X400</x:f>
        <x:v>0</x:v>
      </x:c>
      <x:c r="R401" s="106" t="n">
        <x:f>IF(Q401&gt;0,Q401*'Your Mortgage'!$C$7/12,0)</x:f>
        <x:v>0</x:v>
      </x:c>
      <x:c r="S401" s="106" t="n">
        <x:f>IF(Q401&gt;0,MIN('Your Mortgage'!$C$11,Q401+R401),0)</x:f>
        <x:v>0</x:v>
      </x:c>
      <x:c r="T401" s="106" t="n">
        <x:f>IF(Q401&gt;0,MIN('Your Mortgage'!$I$6,MAX(0,Q401+R401-S401)),0)</x:f>
        <x:v>0</x:v>
      </x:c>
      <x:c r="U401" s="106" t="n">
        <x:f>IF(AND(A401='Your Mortgage'!$I$8,Q401&gt;0),MIN('Your Mortgage'!$I$7,MAX(0,Q401+R401-S401-T401)),0)</x:f>
        <x:v>0</x:v>
      </x:c>
      <x:c r="V401" s="106" t="n">
        <x:f>S401+T401+U401</x:f>
        <x:v>0</x:v>
      </x:c>
      <x:c r="W401" s="106" t="n">
        <x:f>MAX(0,V401-R401)</x:f>
        <x:v>0</x:v>
      </x:c>
      <x:c r="X401" s="106" t="n">
        <x:f>MAX(0,Q401-W401)</x:f>
        <x:v>0</x:v>
      </x:c>
      <x:c r="Y401" s="1"/>
      <x:c r="Z401" s="1"/>
    </x:row>
    <x:row r="402">
      <x:c r="A402" s="100" t="n">
        <x:f>A401+1</x:f>
        <x:v>397</x:v>
      </x:c>
      <x:c r="B402" s="103" t="n">
        <x:f>EDATE(B401,1)</x:f>
        <x:v>58288</x:v>
      </x:c>
      <x:c r="C402" s="104" t="n">
        <x:f>H401</x:f>
        <x:v>0</x:v>
      </x:c>
      <x:c r="D402" s="104" t="n">
        <x:f>IF(C402&gt;0,C402*'Your Mortgage'!$C$7/12,0)</x:f>
        <x:v>0</x:v>
      </x:c>
      <x:c r="E402" s="104" t="n">
        <x:f>IF(C402&gt;0,MIN('Your Mortgage'!$C$11,C402+D402),0)</x:f>
        <x:v>0</x:v>
      </x:c>
      <x:c r="F402" s="104" t="n">
        <x:f>E402</x:f>
        <x:v>0</x:v>
      </x:c>
      <x:c r="G402" s="104" t="n">
        <x:f>MAX(0,F402-D402)</x:f>
        <x:v>0</x:v>
      </x:c>
      <x:c r="H402" s="104" t="n">
        <x:f>MAX(0,C402-G402)</x:f>
        <x:v>0</x:v>
      </x:c>
      <x:c r="I402" s="105" t="n">
        <x:f>P401</x:f>
        <x:v>0</x:v>
      </x:c>
      <x:c r="J402" s="105" t="n">
        <x:f>IF(I402&gt;0,I402*'Your Mortgage'!$C$7/12,0)</x:f>
        <x:v>0</x:v>
      </x:c>
      <x:c r="K402" s="105" t="n">
        <x:f>IF(I402&gt;0,MIN('Your Mortgage'!$C$11,I402+J402),0)</x:f>
        <x:v>0</x:v>
      </x:c>
      <x:c r="L402" s="105" t="n">
        <x:f>IF(I402&gt;0,MIN('Your Mortgage'!$F$6,MAX(0,I402+J402-K402)),0)</x:f>
        <x:v>0</x:v>
      </x:c>
      <x:c r="M402" s="105" t="n">
        <x:f>IF(AND(A402='Your Mortgage'!$F$8,I402&gt;0),MIN('Your Mortgage'!$F$7,MAX(0,I402+J402-K402-L402)),0)</x:f>
        <x:v>0</x:v>
      </x:c>
      <x:c r="N402" s="105" t="n">
        <x:f>K402+L402+M402</x:f>
        <x:v>0</x:v>
      </x:c>
      <x:c r="O402" s="105" t="n">
        <x:f>MAX(0,N402-J402)</x:f>
        <x:v>0</x:v>
      </x:c>
      <x:c r="P402" s="105" t="n">
        <x:f>MAX(0,I402-O402)</x:f>
        <x:v>0</x:v>
      </x:c>
      <x:c r="Q402" s="106" t="n">
        <x:f>X401</x:f>
        <x:v>0</x:v>
      </x:c>
      <x:c r="R402" s="106" t="n">
        <x:f>IF(Q402&gt;0,Q402*'Your Mortgage'!$C$7/12,0)</x:f>
        <x:v>0</x:v>
      </x:c>
      <x:c r="S402" s="106" t="n">
        <x:f>IF(Q402&gt;0,MIN('Your Mortgage'!$C$11,Q402+R402),0)</x:f>
        <x:v>0</x:v>
      </x:c>
      <x:c r="T402" s="106" t="n">
        <x:f>IF(Q402&gt;0,MIN('Your Mortgage'!$I$6,MAX(0,Q402+R402-S402)),0)</x:f>
        <x:v>0</x:v>
      </x:c>
      <x:c r="U402" s="106" t="n">
        <x:f>IF(AND(A402='Your Mortgage'!$I$8,Q402&gt;0),MIN('Your Mortgage'!$I$7,MAX(0,Q402+R402-S402-T402)),0)</x:f>
        <x:v>0</x:v>
      </x:c>
      <x:c r="V402" s="106" t="n">
        <x:f>S402+T402+U402</x:f>
        <x:v>0</x:v>
      </x:c>
      <x:c r="W402" s="106" t="n">
        <x:f>MAX(0,V402-R402)</x:f>
        <x:v>0</x:v>
      </x:c>
      <x:c r="X402" s="106" t="n">
        <x:f>MAX(0,Q402-W402)</x:f>
        <x:v>0</x:v>
      </x:c>
      <x:c r="Y402" s="1"/>
      <x:c r="Z402" s="1"/>
    </x:row>
    <x:row r="403">
      <x:c r="A403" s="100" t="n">
        <x:f>A402+1</x:f>
        <x:v>398</x:v>
      </x:c>
      <x:c r="B403" s="103" t="n">
        <x:f>EDATE(B402,1)</x:f>
        <x:v>58319</x:v>
      </x:c>
      <x:c r="C403" s="104" t="n">
        <x:f>H402</x:f>
        <x:v>0</x:v>
      </x:c>
      <x:c r="D403" s="104" t="n">
        <x:f>IF(C403&gt;0,C403*'Your Mortgage'!$C$7/12,0)</x:f>
        <x:v>0</x:v>
      </x:c>
      <x:c r="E403" s="104" t="n">
        <x:f>IF(C403&gt;0,MIN('Your Mortgage'!$C$11,C403+D403),0)</x:f>
        <x:v>0</x:v>
      </x:c>
      <x:c r="F403" s="104" t="n">
        <x:f>E403</x:f>
        <x:v>0</x:v>
      </x:c>
      <x:c r="G403" s="104" t="n">
        <x:f>MAX(0,F403-D403)</x:f>
        <x:v>0</x:v>
      </x:c>
      <x:c r="H403" s="104" t="n">
        <x:f>MAX(0,C403-G403)</x:f>
        <x:v>0</x:v>
      </x:c>
      <x:c r="I403" s="105" t="n">
        <x:f>P402</x:f>
        <x:v>0</x:v>
      </x:c>
      <x:c r="J403" s="105" t="n">
        <x:f>IF(I403&gt;0,I403*'Your Mortgage'!$C$7/12,0)</x:f>
        <x:v>0</x:v>
      </x:c>
      <x:c r="K403" s="105" t="n">
        <x:f>IF(I403&gt;0,MIN('Your Mortgage'!$C$11,I403+J403),0)</x:f>
        <x:v>0</x:v>
      </x:c>
      <x:c r="L403" s="105" t="n">
        <x:f>IF(I403&gt;0,MIN('Your Mortgage'!$F$6,MAX(0,I403+J403-K403)),0)</x:f>
        <x:v>0</x:v>
      </x:c>
      <x:c r="M403" s="105" t="n">
        <x:f>IF(AND(A403='Your Mortgage'!$F$8,I403&gt;0),MIN('Your Mortgage'!$F$7,MAX(0,I403+J403-K403-L403)),0)</x:f>
        <x:v>0</x:v>
      </x:c>
      <x:c r="N403" s="105" t="n">
        <x:f>K403+L403+M403</x:f>
        <x:v>0</x:v>
      </x:c>
      <x:c r="O403" s="105" t="n">
        <x:f>MAX(0,N403-J403)</x:f>
        <x:v>0</x:v>
      </x:c>
      <x:c r="P403" s="105" t="n">
        <x:f>MAX(0,I403-O403)</x:f>
        <x:v>0</x:v>
      </x:c>
      <x:c r="Q403" s="106" t="n">
        <x:f>X402</x:f>
        <x:v>0</x:v>
      </x:c>
      <x:c r="R403" s="106" t="n">
        <x:f>IF(Q403&gt;0,Q403*'Your Mortgage'!$C$7/12,0)</x:f>
        <x:v>0</x:v>
      </x:c>
      <x:c r="S403" s="106" t="n">
        <x:f>IF(Q403&gt;0,MIN('Your Mortgage'!$C$11,Q403+R403),0)</x:f>
        <x:v>0</x:v>
      </x:c>
      <x:c r="T403" s="106" t="n">
        <x:f>IF(Q403&gt;0,MIN('Your Mortgage'!$I$6,MAX(0,Q403+R403-S403)),0)</x:f>
        <x:v>0</x:v>
      </x:c>
      <x:c r="U403" s="106" t="n">
        <x:f>IF(AND(A403='Your Mortgage'!$I$8,Q403&gt;0),MIN('Your Mortgage'!$I$7,MAX(0,Q403+R403-S403-T403)),0)</x:f>
        <x:v>0</x:v>
      </x:c>
      <x:c r="V403" s="106" t="n">
        <x:f>S403+T403+U403</x:f>
        <x:v>0</x:v>
      </x:c>
      <x:c r="W403" s="106" t="n">
        <x:f>MAX(0,V403-R403)</x:f>
        <x:v>0</x:v>
      </x:c>
      <x:c r="X403" s="106" t="n">
        <x:f>MAX(0,Q403-W403)</x:f>
        <x:v>0</x:v>
      </x:c>
      <x:c r="Y403" s="1"/>
      <x:c r="Z403" s="1"/>
    </x:row>
    <x:row r="404">
      <x:c r="A404" s="100" t="n">
        <x:f>A403+1</x:f>
        <x:v>399</x:v>
      </x:c>
      <x:c r="B404" s="103" t="n">
        <x:f>EDATE(B403,1)</x:f>
        <x:v>58349</x:v>
      </x:c>
      <x:c r="C404" s="104" t="n">
        <x:f>H403</x:f>
        <x:v>0</x:v>
      </x:c>
      <x:c r="D404" s="104" t="n">
        <x:f>IF(C404&gt;0,C404*'Your Mortgage'!$C$7/12,0)</x:f>
        <x:v>0</x:v>
      </x:c>
      <x:c r="E404" s="104" t="n">
        <x:f>IF(C404&gt;0,MIN('Your Mortgage'!$C$11,C404+D404),0)</x:f>
        <x:v>0</x:v>
      </x:c>
      <x:c r="F404" s="104" t="n">
        <x:f>E404</x:f>
        <x:v>0</x:v>
      </x:c>
      <x:c r="G404" s="104" t="n">
        <x:f>MAX(0,F404-D404)</x:f>
        <x:v>0</x:v>
      </x:c>
      <x:c r="H404" s="104" t="n">
        <x:f>MAX(0,C404-G404)</x:f>
        <x:v>0</x:v>
      </x:c>
      <x:c r="I404" s="105" t="n">
        <x:f>P403</x:f>
        <x:v>0</x:v>
      </x:c>
      <x:c r="J404" s="105" t="n">
        <x:f>IF(I404&gt;0,I404*'Your Mortgage'!$C$7/12,0)</x:f>
        <x:v>0</x:v>
      </x:c>
      <x:c r="K404" s="105" t="n">
        <x:f>IF(I404&gt;0,MIN('Your Mortgage'!$C$11,I404+J404),0)</x:f>
        <x:v>0</x:v>
      </x:c>
      <x:c r="L404" s="105" t="n">
        <x:f>IF(I404&gt;0,MIN('Your Mortgage'!$F$6,MAX(0,I404+J404-K404)),0)</x:f>
        <x:v>0</x:v>
      </x:c>
      <x:c r="M404" s="105" t="n">
        <x:f>IF(AND(A404='Your Mortgage'!$F$8,I404&gt;0),MIN('Your Mortgage'!$F$7,MAX(0,I404+J404-K404-L404)),0)</x:f>
        <x:v>0</x:v>
      </x:c>
      <x:c r="N404" s="105" t="n">
        <x:f>K404+L404+M404</x:f>
        <x:v>0</x:v>
      </x:c>
      <x:c r="O404" s="105" t="n">
        <x:f>MAX(0,N404-J404)</x:f>
        <x:v>0</x:v>
      </x:c>
      <x:c r="P404" s="105" t="n">
        <x:f>MAX(0,I404-O404)</x:f>
        <x:v>0</x:v>
      </x:c>
      <x:c r="Q404" s="106" t="n">
        <x:f>X403</x:f>
        <x:v>0</x:v>
      </x:c>
      <x:c r="R404" s="106" t="n">
        <x:f>IF(Q404&gt;0,Q404*'Your Mortgage'!$C$7/12,0)</x:f>
        <x:v>0</x:v>
      </x:c>
      <x:c r="S404" s="106" t="n">
        <x:f>IF(Q404&gt;0,MIN('Your Mortgage'!$C$11,Q404+R404),0)</x:f>
        <x:v>0</x:v>
      </x:c>
      <x:c r="T404" s="106" t="n">
        <x:f>IF(Q404&gt;0,MIN('Your Mortgage'!$I$6,MAX(0,Q404+R404-S404)),0)</x:f>
        <x:v>0</x:v>
      </x:c>
      <x:c r="U404" s="106" t="n">
        <x:f>IF(AND(A404='Your Mortgage'!$I$8,Q404&gt;0),MIN('Your Mortgage'!$I$7,MAX(0,Q404+R404-S404-T404)),0)</x:f>
        <x:v>0</x:v>
      </x:c>
      <x:c r="V404" s="106" t="n">
        <x:f>S404+T404+U404</x:f>
        <x:v>0</x:v>
      </x:c>
      <x:c r="W404" s="106" t="n">
        <x:f>MAX(0,V404-R404)</x:f>
        <x:v>0</x:v>
      </x:c>
      <x:c r="X404" s="106" t="n">
        <x:f>MAX(0,Q404-W404)</x:f>
        <x:v>0</x:v>
      </x:c>
      <x:c r="Y404" s="1"/>
      <x:c r="Z404" s="1"/>
    </x:row>
    <x:row r="405">
      <x:c r="A405" s="100" t="n">
        <x:f>A404+1</x:f>
        <x:v>400</x:v>
      </x:c>
      <x:c r="B405" s="103" t="n">
        <x:f>EDATE(B404,1)</x:f>
        <x:v>58380</x:v>
      </x:c>
      <x:c r="C405" s="104" t="n">
        <x:f>H404</x:f>
        <x:v>0</x:v>
      </x:c>
      <x:c r="D405" s="104" t="n">
        <x:f>IF(C405&gt;0,C405*'Your Mortgage'!$C$7/12,0)</x:f>
        <x:v>0</x:v>
      </x:c>
      <x:c r="E405" s="104" t="n">
        <x:f>IF(C405&gt;0,MIN('Your Mortgage'!$C$11,C405+D405),0)</x:f>
        <x:v>0</x:v>
      </x:c>
      <x:c r="F405" s="104" t="n">
        <x:f>E405</x:f>
        <x:v>0</x:v>
      </x:c>
      <x:c r="G405" s="104" t="n">
        <x:f>MAX(0,F405-D405)</x:f>
        <x:v>0</x:v>
      </x:c>
      <x:c r="H405" s="104" t="n">
        <x:f>MAX(0,C405-G405)</x:f>
        <x:v>0</x:v>
      </x:c>
      <x:c r="I405" s="105" t="n">
        <x:f>P404</x:f>
        <x:v>0</x:v>
      </x:c>
      <x:c r="J405" s="105" t="n">
        <x:f>IF(I405&gt;0,I405*'Your Mortgage'!$C$7/12,0)</x:f>
        <x:v>0</x:v>
      </x:c>
      <x:c r="K405" s="105" t="n">
        <x:f>IF(I405&gt;0,MIN('Your Mortgage'!$C$11,I405+J405),0)</x:f>
        <x:v>0</x:v>
      </x:c>
      <x:c r="L405" s="105" t="n">
        <x:f>IF(I405&gt;0,MIN('Your Mortgage'!$F$6,MAX(0,I405+J405-K405)),0)</x:f>
        <x:v>0</x:v>
      </x:c>
      <x:c r="M405" s="105" t="n">
        <x:f>IF(AND(A405='Your Mortgage'!$F$8,I405&gt;0),MIN('Your Mortgage'!$F$7,MAX(0,I405+J405-K405-L405)),0)</x:f>
        <x:v>0</x:v>
      </x:c>
      <x:c r="N405" s="105" t="n">
        <x:f>K405+L405+M405</x:f>
        <x:v>0</x:v>
      </x:c>
      <x:c r="O405" s="105" t="n">
        <x:f>MAX(0,N405-J405)</x:f>
        <x:v>0</x:v>
      </x:c>
      <x:c r="P405" s="105" t="n">
        <x:f>MAX(0,I405-O405)</x:f>
        <x:v>0</x:v>
      </x:c>
      <x:c r="Q405" s="106" t="n">
        <x:f>X404</x:f>
        <x:v>0</x:v>
      </x:c>
      <x:c r="R405" s="106" t="n">
        <x:f>IF(Q405&gt;0,Q405*'Your Mortgage'!$C$7/12,0)</x:f>
        <x:v>0</x:v>
      </x:c>
      <x:c r="S405" s="106" t="n">
        <x:f>IF(Q405&gt;0,MIN('Your Mortgage'!$C$11,Q405+R405),0)</x:f>
        <x:v>0</x:v>
      </x:c>
      <x:c r="T405" s="106" t="n">
        <x:f>IF(Q405&gt;0,MIN('Your Mortgage'!$I$6,MAX(0,Q405+R405-S405)),0)</x:f>
        <x:v>0</x:v>
      </x:c>
      <x:c r="U405" s="106" t="n">
        <x:f>IF(AND(A405='Your Mortgage'!$I$8,Q405&gt;0),MIN('Your Mortgage'!$I$7,MAX(0,Q405+R405-S405-T405)),0)</x:f>
        <x:v>0</x:v>
      </x:c>
      <x:c r="V405" s="106" t="n">
        <x:f>S405+T405+U405</x:f>
        <x:v>0</x:v>
      </x:c>
      <x:c r="W405" s="106" t="n">
        <x:f>MAX(0,V405-R405)</x:f>
        <x:v>0</x:v>
      </x:c>
      <x:c r="X405" s="106" t="n">
        <x:f>MAX(0,Q405-W405)</x:f>
        <x:v>0</x:v>
      </x:c>
      <x:c r="Y405" s="1"/>
      <x:c r="Z405" s="1"/>
    </x:row>
    <x:row r="406">
      <x:c r="A406" s="100" t="n">
        <x:f>A405+1</x:f>
        <x:v>401</x:v>
      </x:c>
      <x:c r="B406" s="103" t="n">
        <x:f>EDATE(B405,1)</x:f>
        <x:v>58410</x:v>
      </x:c>
      <x:c r="C406" s="104" t="n">
        <x:f>H405</x:f>
        <x:v>0</x:v>
      </x:c>
      <x:c r="D406" s="104" t="n">
        <x:f>IF(C406&gt;0,C406*'Your Mortgage'!$C$7/12,0)</x:f>
        <x:v>0</x:v>
      </x:c>
      <x:c r="E406" s="104" t="n">
        <x:f>IF(C406&gt;0,MIN('Your Mortgage'!$C$11,C406+D406),0)</x:f>
        <x:v>0</x:v>
      </x:c>
      <x:c r="F406" s="104" t="n">
        <x:f>E406</x:f>
        <x:v>0</x:v>
      </x:c>
      <x:c r="G406" s="104" t="n">
        <x:f>MAX(0,F406-D406)</x:f>
        <x:v>0</x:v>
      </x:c>
      <x:c r="H406" s="104" t="n">
        <x:f>MAX(0,C406-G406)</x:f>
        <x:v>0</x:v>
      </x:c>
      <x:c r="I406" s="105" t="n">
        <x:f>P405</x:f>
        <x:v>0</x:v>
      </x:c>
      <x:c r="J406" s="105" t="n">
        <x:f>IF(I406&gt;0,I406*'Your Mortgage'!$C$7/12,0)</x:f>
        <x:v>0</x:v>
      </x:c>
      <x:c r="K406" s="105" t="n">
        <x:f>IF(I406&gt;0,MIN('Your Mortgage'!$C$11,I406+J406),0)</x:f>
        <x:v>0</x:v>
      </x:c>
      <x:c r="L406" s="105" t="n">
        <x:f>IF(I406&gt;0,MIN('Your Mortgage'!$F$6,MAX(0,I406+J406-K406)),0)</x:f>
        <x:v>0</x:v>
      </x:c>
      <x:c r="M406" s="105" t="n">
        <x:f>IF(AND(A406='Your Mortgage'!$F$8,I406&gt;0),MIN('Your Mortgage'!$F$7,MAX(0,I406+J406-K406-L406)),0)</x:f>
        <x:v>0</x:v>
      </x:c>
      <x:c r="N406" s="105" t="n">
        <x:f>K406+L406+M406</x:f>
        <x:v>0</x:v>
      </x:c>
      <x:c r="O406" s="105" t="n">
        <x:f>MAX(0,N406-J406)</x:f>
        <x:v>0</x:v>
      </x:c>
      <x:c r="P406" s="105" t="n">
        <x:f>MAX(0,I406-O406)</x:f>
        <x:v>0</x:v>
      </x:c>
      <x:c r="Q406" s="106" t="n">
        <x:f>X405</x:f>
        <x:v>0</x:v>
      </x:c>
      <x:c r="R406" s="106" t="n">
        <x:f>IF(Q406&gt;0,Q406*'Your Mortgage'!$C$7/12,0)</x:f>
        <x:v>0</x:v>
      </x:c>
      <x:c r="S406" s="106" t="n">
        <x:f>IF(Q406&gt;0,MIN('Your Mortgage'!$C$11,Q406+R406),0)</x:f>
        <x:v>0</x:v>
      </x:c>
      <x:c r="T406" s="106" t="n">
        <x:f>IF(Q406&gt;0,MIN('Your Mortgage'!$I$6,MAX(0,Q406+R406-S406)),0)</x:f>
        <x:v>0</x:v>
      </x:c>
      <x:c r="U406" s="106" t="n">
        <x:f>IF(AND(A406='Your Mortgage'!$I$8,Q406&gt;0),MIN('Your Mortgage'!$I$7,MAX(0,Q406+R406-S406-T406)),0)</x:f>
        <x:v>0</x:v>
      </x:c>
      <x:c r="V406" s="106" t="n">
        <x:f>S406+T406+U406</x:f>
        <x:v>0</x:v>
      </x:c>
      <x:c r="W406" s="106" t="n">
        <x:f>MAX(0,V406-R406)</x:f>
        <x:v>0</x:v>
      </x:c>
      <x:c r="X406" s="106" t="n">
        <x:f>MAX(0,Q406-W406)</x:f>
        <x:v>0</x:v>
      </x:c>
      <x:c r="Y406" s="1"/>
      <x:c r="Z406" s="1"/>
    </x:row>
    <x:row r="407">
      <x:c r="A407" s="100" t="n">
        <x:f>A406+1</x:f>
        <x:v>402</x:v>
      </x:c>
      <x:c r="B407" s="103" t="n">
        <x:f>EDATE(B406,1)</x:f>
        <x:v>58441</x:v>
      </x:c>
      <x:c r="C407" s="104" t="n">
        <x:f>H406</x:f>
        <x:v>0</x:v>
      </x:c>
      <x:c r="D407" s="104" t="n">
        <x:f>IF(C407&gt;0,C407*'Your Mortgage'!$C$7/12,0)</x:f>
        <x:v>0</x:v>
      </x:c>
      <x:c r="E407" s="104" t="n">
        <x:f>IF(C407&gt;0,MIN('Your Mortgage'!$C$11,C407+D407),0)</x:f>
        <x:v>0</x:v>
      </x:c>
      <x:c r="F407" s="104" t="n">
        <x:f>E407</x:f>
        <x:v>0</x:v>
      </x:c>
      <x:c r="G407" s="104" t="n">
        <x:f>MAX(0,F407-D407)</x:f>
        <x:v>0</x:v>
      </x:c>
      <x:c r="H407" s="104" t="n">
        <x:f>MAX(0,C407-G407)</x:f>
        <x:v>0</x:v>
      </x:c>
      <x:c r="I407" s="105" t="n">
        <x:f>P406</x:f>
        <x:v>0</x:v>
      </x:c>
      <x:c r="J407" s="105" t="n">
        <x:f>IF(I407&gt;0,I407*'Your Mortgage'!$C$7/12,0)</x:f>
        <x:v>0</x:v>
      </x:c>
      <x:c r="K407" s="105" t="n">
        <x:f>IF(I407&gt;0,MIN('Your Mortgage'!$C$11,I407+J407),0)</x:f>
        <x:v>0</x:v>
      </x:c>
      <x:c r="L407" s="105" t="n">
        <x:f>IF(I407&gt;0,MIN('Your Mortgage'!$F$6,MAX(0,I407+J407-K407)),0)</x:f>
        <x:v>0</x:v>
      </x:c>
      <x:c r="M407" s="105" t="n">
        <x:f>IF(AND(A407='Your Mortgage'!$F$8,I407&gt;0),MIN('Your Mortgage'!$F$7,MAX(0,I407+J407-K407-L407)),0)</x:f>
        <x:v>0</x:v>
      </x:c>
      <x:c r="N407" s="105" t="n">
        <x:f>K407+L407+M407</x:f>
        <x:v>0</x:v>
      </x:c>
      <x:c r="O407" s="105" t="n">
        <x:f>MAX(0,N407-J407)</x:f>
        <x:v>0</x:v>
      </x:c>
      <x:c r="P407" s="105" t="n">
        <x:f>MAX(0,I407-O407)</x:f>
        <x:v>0</x:v>
      </x:c>
      <x:c r="Q407" s="106" t="n">
        <x:f>X406</x:f>
        <x:v>0</x:v>
      </x:c>
      <x:c r="R407" s="106" t="n">
        <x:f>IF(Q407&gt;0,Q407*'Your Mortgage'!$C$7/12,0)</x:f>
        <x:v>0</x:v>
      </x:c>
      <x:c r="S407" s="106" t="n">
        <x:f>IF(Q407&gt;0,MIN('Your Mortgage'!$C$11,Q407+R407),0)</x:f>
        <x:v>0</x:v>
      </x:c>
      <x:c r="T407" s="106" t="n">
        <x:f>IF(Q407&gt;0,MIN('Your Mortgage'!$I$6,MAX(0,Q407+R407-S407)),0)</x:f>
        <x:v>0</x:v>
      </x:c>
      <x:c r="U407" s="106" t="n">
        <x:f>IF(AND(A407='Your Mortgage'!$I$8,Q407&gt;0),MIN('Your Mortgage'!$I$7,MAX(0,Q407+R407-S407-T407)),0)</x:f>
        <x:v>0</x:v>
      </x:c>
      <x:c r="V407" s="106" t="n">
        <x:f>S407+T407+U407</x:f>
        <x:v>0</x:v>
      </x:c>
      <x:c r="W407" s="106" t="n">
        <x:f>MAX(0,V407-R407)</x:f>
        <x:v>0</x:v>
      </x:c>
      <x:c r="X407" s="106" t="n">
        <x:f>MAX(0,Q407-W407)</x:f>
        <x:v>0</x:v>
      </x:c>
      <x:c r="Y407" s="1"/>
      <x:c r="Z407" s="1"/>
    </x:row>
    <x:row r="408">
      <x:c r="A408" s="100" t="n">
        <x:f>A407+1</x:f>
        <x:v>403</x:v>
      </x:c>
      <x:c r="B408" s="103" t="n">
        <x:f>EDATE(B407,1)</x:f>
        <x:v>58472</x:v>
      </x:c>
      <x:c r="C408" s="104" t="n">
        <x:f>H407</x:f>
        <x:v>0</x:v>
      </x:c>
      <x:c r="D408" s="104" t="n">
        <x:f>IF(C408&gt;0,C408*'Your Mortgage'!$C$7/12,0)</x:f>
        <x:v>0</x:v>
      </x:c>
      <x:c r="E408" s="104" t="n">
        <x:f>IF(C408&gt;0,MIN('Your Mortgage'!$C$11,C408+D408),0)</x:f>
        <x:v>0</x:v>
      </x:c>
      <x:c r="F408" s="104" t="n">
        <x:f>E408</x:f>
        <x:v>0</x:v>
      </x:c>
      <x:c r="G408" s="104" t="n">
        <x:f>MAX(0,F408-D408)</x:f>
        <x:v>0</x:v>
      </x:c>
      <x:c r="H408" s="104" t="n">
        <x:f>MAX(0,C408-G408)</x:f>
        <x:v>0</x:v>
      </x:c>
      <x:c r="I408" s="105" t="n">
        <x:f>P407</x:f>
        <x:v>0</x:v>
      </x:c>
      <x:c r="J408" s="105" t="n">
        <x:f>IF(I408&gt;0,I408*'Your Mortgage'!$C$7/12,0)</x:f>
        <x:v>0</x:v>
      </x:c>
      <x:c r="K408" s="105" t="n">
        <x:f>IF(I408&gt;0,MIN('Your Mortgage'!$C$11,I408+J408),0)</x:f>
        <x:v>0</x:v>
      </x:c>
      <x:c r="L408" s="105" t="n">
        <x:f>IF(I408&gt;0,MIN('Your Mortgage'!$F$6,MAX(0,I408+J408-K408)),0)</x:f>
        <x:v>0</x:v>
      </x:c>
      <x:c r="M408" s="105" t="n">
        <x:f>IF(AND(A408='Your Mortgage'!$F$8,I408&gt;0),MIN('Your Mortgage'!$F$7,MAX(0,I408+J408-K408-L408)),0)</x:f>
        <x:v>0</x:v>
      </x:c>
      <x:c r="N408" s="105" t="n">
        <x:f>K408+L408+M408</x:f>
        <x:v>0</x:v>
      </x:c>
      <x:c r="O408" s="105" t="n">
        <x:f>MAX(0,N408-J408)</x:f>
        <x:v>0</x:v>
      </x:c>
      <x:c r="P408" s="105" t="n">
        <x:f>MAX(0,I408-O408)</x:f>
        <x:v>0</x:v>
      </x:c>
      <x:c r="Q408" s="106" t="n">
        <x:f>X407</x:f>
        <x:v>0</x:v>
      </x:c>
      <x:c r="R408" s="106" t="n">
        <x:f>IF(Q408&gt;0,Q408*'Your Mortgage'!$C$7/12,0)</x:f>
        <x:v>0</x:v>
      </x:c>
      <x:c r="S408" s="106" t="n">
        <x:f>IF(Q408&gt;0,MIN('Your Mortgage'!$C$11,Q408+R408),0)</x:f>
        <x:v>0</x:v>
      </x:c>
      <x:c r="T408" s="106" t="n">
        <x:f>IF(Q408&gt;0,MIN('Your Mortgage'!$I$6,MAX(0,Q408+R408-S408)),0)</x:f>
        <x:v>0</x:v>
      </x:c>
      <x:c r="U408" s="106" t="n">
        <x:f>IF(AND(A408='Your Mortgage'!$I$8,Q408&gt;0),MIN('Your Mortgage'!$I$7,MAX(0,Q408+R408-S408-T408)),0)</x:f>
        <x:v>0</x:v>
      </x:c>
      <x:c r="V408" s="106" t="n">
        <x:f>S408+T408+U408</x:f>
        <x:v>0</x:v>
      </x:c>
      <x:c r="W408" s="106" t="n">
        <x:f>MAX(0,V408-R408)</x:f>
        <x:v>0</x:v>
      </x:c>
      <x:c r="X408" s="106" t="n">
        <x:f>MAX(0,Q408-W408)</x:f>
        <x:v>0</x:v>
      </x:c>
      <x:c r="Y408" s="1"/>
      <x:c r="Z408" s="1"/>
    </x:row>
    <x:row r="409">
      <x:c r="A409" s="100" t="n">
        <x:f>A408+1</x:f>
        <x:v>404</x:v>
      </x:c>
      <x:c r="B409" s="103" t="n">
        <x:f>EDATE(B408,1)</x:f>
        <x:v>58501</x:v>
      </x:c>
      <x:c r="C409" s="104" t="n">
        <x:f>H408</x:f>
        <x:v>0</x:v>
      </x:c>
      <x:c r="D409" s="104" t="n">
        <x:f>IF(C409&gt;0,C409*'Your Mortgage'!$C$7/12,0)</x:f>
        <x:v>0</x:v>
      </x:c>
      <x:c r="E409" s="104" t="n">
        <x:f>IF(C409&gt;0,MIN('Your Mortgage'!$C$11,C409+D409),0)</x:f>
        <x:v>0</x:v>
      </x:c>
      <x:c r="F409" s="104" t="n">
        <x:f>E409</x:f>
        <x:v>0</x:v>
      </x:c>
      <x:c r="G409" s="104" t="n">
        <x:f>MAX(0,F409-D409)</x:f>
        <x:v>0</x:v>
      </x:c>
      <x:c r="H409" s="104" t="n">
        <x:f>MAX(0,C409-G409)</x:f>
        <x:v>0</x:v>
      </x:c>
      <x:c r="I409" s="105" t="n">
        <x:f>P408</x:f>
        <x:v>0</x:v>
      </x:c>
      <x:c r="J409" s="105" t="n">
        <x:f>IF(I409&gt;0,I409*'Your Mortgage'!$C$7/12,0)</x:f>
        <x:v>0</x:v>
      </x:c>
      <x:c r="K409" s="105" t="n">
        <x:f>IF(I409&gt;0,MIN('Your Mortgage'!$C$11,I409+J409),0)</x:f>
        <x:v>0</x:v>
      </x:c>
      <x:c r="L409" s="105" t="n">
        <x:f>IF(I409&gt;0,MIN('Your Mortgage'!$F$6,MAX(0,I409+J409-K409)),0)</x:f>
        <x:v>0</x:v>
      </x:c>
      <x:c r="M409" s="105" t="n">
        <x:f>IF(AND(A409='Your Mortgage'!$F$8,I409&gt;0),MIN('Your Mortgage'!$F$7,MAX(0,I409+J409-K409-L409)),0)</x:f>
        <x:v>0</x:v>
      </x:c>
      <x:c r="N409" s="105" t="n">
        <x:f>K409+L409+M409</x:f>
        <x:v>0</x:v>
      </x:c>
      <x:c r="O409" s="105" t="n">
        <x:f>MAX(0,N409-J409)</x:f>
        <x:v>0</x:v>
      </x:c>
      <x:c r="P409" s="105" t="n">
        <x:f>MAX(0,I409-O409)</x:f>
        <x:v>0</x:v>
      </x:c>
      <x:c r="Q409" s="106" t="n">
        <x:f>X408</x:f>
        <x:v>0</x:v>
      </x:c>
      <x:c r="R409" s="106" t="n">
        <x:f>IF(Q409&gt;0,Q409*'Your Mortgage'!$C$7/12,0)</x:f>
        <x:v>0</x:v>
      </x:c>
      <x:c r="S409" s="106" t="n">
        <x:f>IF(Q409&gt;0,MIN('Your Mortgage'!$C$11,Q409+R409),0)</x:f>
        <x:v>0</x:v>
      </x:c>
      <x:c r="T409" s="106" t="n">
        <x:f>IF(Q409&gt;0,MIN('Your Mortgage'!$I$6,MAX(0,Q409+R409-S409)),0)</x:f>
        <x:v>0</x:v>
      </x:c>
      <x:c r="U409" s="106" t="n">
        <x:f>IF(AND(A409='Your Mortgage'!$I$8,Q409&gt;0),MIN('Your Mortgage'!$I$7,MAX(0,Q409+R409-S409-T409)),0)</x:f>
        <x:v>0</x:v>
      </x:c>
      <x:c r="V409" s="106" t="n">
        <x:f>S409+T409+U409</x:f>
        <x:v>0</x:v>
      </x:c>
      <x:c r="W409" s="106" t="n">
        <x:f>MAX(0,V409-R409)</x:f>
        <x:v>0</x:v>
      </x:c>
      <x:c r="X409" s="106" t="n">
        <x:f>MAX(0,Q409-W409)</x:f>
        <x:v>0</x:v>
      </x:c>
      <x:c r="Y409" s="1"/>
      <x:c r="Z409" s="1"/>
    </x:row>
    <x:row r="410">
      <x:c r="A410" s="100" t="n">
        <x:f>A409+1</x:f>
        <x:v>405</x:v>
      </x:c>
      <x:c r="B410" s="103" t="n">
        <x:f>EDATE(B409,1)</x:f>
        <x:v>58532</x:v>
      </x:c>
      <x:c r="C410" s="104" t="n">
        <x:f>H409</x:f>
        <x:v>0</x:v>
      </x:c>
      <x:c r="D410" s="104" t="n">
        <x:f>IF(C410&gt;0,C410*'Your Mortgage'!$C$7/12,0)</x:f>
        <x:v>0</x:v>
      </x:c>
      <x:c r="E410" s="104" t="n">
        <x:f>IF(C410&gt;0,MIN('Your Mortgage'!$C$11,C410+D410),0)</x:f>
        <x:v>0</x:v>
      </x:c>
      <x:c r="F410" s="104" t="n">
        <x:f>E410</x:f>
        <x:v>0</x:v>
      </x:c>
      <x:c r="G410" s="104" t="n">
        <x:f>MAX(0,F410-D410)</x:f>
        <x:v>0</x:v>
      </x:c>
      <x:c r="H410" s="104" t="n">
        <x:f>MAX(0,C410-G410)</x:f>
        <x:v>0</x:v>
      </x:c>
      <x:c r="I410" s="105" t="n">
        <x:f>P409</x:f>
        <x:v>0</x:v>
      </x:c>
      <x:c r="J410" s="105" t="n">
        <x:f>IF(I410&gt;0,I410*'Your Mortgage'!$C$7/12,0)</x:f>
        <x:v>0</x:v>
      </x:c>
      <x:c r="K410" s="105" t="n">
        <x:f>IF(I410&gt;0,MIN('Your Mortgage'!$C$11,I410+J410),0)</x:f>
        <x:v>0</x:v>
      </x:c>
      <x:c r="L410" s="105" t="n">
        <x:f>IF(I410&gt;0,MIN('Your Mortgage'!$F$6,MAX(0,I410+J410-K410)),0)</x:f>
        <x:v>0</x:v>
      </x:c>
      <x:c r="M410" s="105" t="n">
        <x:f>IF(AND(A410='Your Mortgage'!$F$8,I410&gt;0),MIN('Your Mortgage'!$F$7,MAX(0,I410+J410-K410-L410)),0)</x:f>
        <x:v>0</x:v>
      </x:c>
      <x:c r="N410" s="105" t="n">
        <x:f>K410+L410+M410</x:f>
        <x:v>0</x:v>
      </x:c>
      <x:c r="O410" s="105" t="n">
        <x:f>MAX(0,N410-J410)</x:f>
        <x:v>0</x:v>
      </x:c>
      <x:c r="P410" s="105" t="n">
        <x:f>MAX(0,I410-O410)</x:f>
        <x:v>0</x:v>
      </x:c>
      <x:c r="Q410" s="106" t="n">
        <x:f>X409</x:f>
        <x:v>0</x:v>
      </x:c>
      <x:c r="R410" s="106" t="n">
        <x:f>IF(Q410&gt;0,Q410*'Your Mortgage'!$C$7/12,0)</x:f>
        <x:v>0</x:v>
      </x:c>
      <x:c r="S410" s="106" t="n">
        <x:f>IF(Q410&gt;0,MIN('Your Mortgage'!$C$11,Q410+R410),0)</x:f>
        <x:v>0</x:v>
      </x:c>
      <x:c r="T410" s="106" t="n">
        <x:f>IF(Q410&gt;0,MIN('Your Mortgage'!$I$6,MAX(0,Q410+R410-S410)),0)</x:f>
        <x:v>0</x:v>
      </x:c>
      <x:c r="U410" s="106" t="n">
        <x:f>IF(AND(A410='Your Mortgage'!$I$8,Q410&gt;0),MIN('Your Mortgage'!$I$7,MAX(0,Q410+R410-S410-T410)),0)</x:f>
        <x:v>0</x:v>
      </x:c>
      <x:c r="V410" s="106" t="n">
        <x:f>S410+T410+U410</x:f>
        <x:v>0</x:v>
      </x:c>
      <x:c r="W410" s="106" t="n">
        <x:f>MAX(0,V410-R410)</x:f>
        <x:v>0</x:v>
      </x:c>
      <x:c r="X410" s="106" t="n">
        <x:f>MAX(0,Q410-W410)</x:f>
        <x:v>0</x:v>
      </x:c>
      <x:c r="Y410" s="1"/>
      <x:c r="Z410" s="1"/>
    </x:row>
    <x:row r="411">
      <x:c r="A411" s="100" t="n">
        <x:f>A410+1</x:f>
        <x:v>406</x:v>
      </x:c>
      <x:c r="B411" s="103" t="n">
        <x:f>EDATE(B410,1)</x:f>
        <x:v>58562</x:v>
      </x:c>
      <x:c r="C411" s="104" t="n">
        <x:f>H410</x:f>
        <x:v>0</x:v>
      </x:c>
      <x:c r="D411" s="104" t="n">
        <x:f>IF(C411&gt;0,C411*'Your Mortgage'!$C$7/12,0)</x:f>
        <x:v>0</x:v>
      </x:c>
      <x:c r="E411" s="104" t="n">
        <x:f>IF(C411&gt;0,MIN('Your Mortgage'!$C$11,C411+D411),0)</x:f>
        <x:v>0</x:v>
      </x:c>
      <x:c r="F411" s="104" t="n">
        <x:f>E411</x:f>
        <x:v>0</x:v>
      </x:c>
      <x:c r="G411" s="104" t="n">
        <x:f>MAX(0,F411-D411)</x:f>
        <x:v>0</x:v>
      </x:c>
      <x:c r="H411" s="104" t="n">
        <x:f>MAX(0,C411-G411)</x:f>
        <x:v>0</x:v>
      </x:c>
      <x:c r="I411" s="105" t="n">
        <x:f>P410</x:f>
        <x:v>0</x:v>
      </x:c>
      <x:c r="J411" s="105" t="n">
        <x:f>IF(I411&gt;0,I411*'Your Mortgage'!$C$7/12,0)</x:f>
        <x:v>0</x:v>
      </x:c>
      <x:c r="K411" s="105" t="n">
        <x:f>IF(I411&gt;0,MIN('Your Mortgage'!$C$11,I411+J411),0)</x:f>
        <x:v>0</x:v>
      </x:c>
      <x:c r="L411" s="105" t="n">
        <x:f>IF(I411&gt;0,MIN('Your Mortgage'!$F$6,MAX(0,I411+J411-K411)),0)</x:f>
        <x:v>0</x:v>
      </x:c>
      <x:c r="M411" s="105" t="n">
        <x:f>IF(AND(A411='Your Mortgage'!$F$8,I411&gt;0),MIN('Your Mortgage'!$F$7,MAX(0,I411+J411-K411-L411)),0)</x:f>
        <x:v>0</x:v>
      </x:c>
      <x:c r="N411" s="105" t="n">
        <x:f>K411+L411+M411</x:f>
        <x:v>0</x:v>
      </x:c>
      <x:c r="O411" s="105" t="n">
        <x:f>MAX(0,N411-J411)</x:f>
        <x:v>0</x:v>
      </x:c>
      <x:c r="P411" s="105" t="n">
        <x:f>MAX(0,I411-O411)</x:f>
        <x:v>0</x:v>
      </x:c>
      <x:c r="Q411" s="106" t="n">
        <x:f>X410</x:f>
        <x:v>0</x:v>
      </x:c>
      <x:c r="R411" s="106" t="n">
        <x:f>IF(Q411&gt;0,Q411*'Your Mortgage'!$C$7/12,0)</x:f>
        <x:v>0</x:v>
      </x:c>
      <x:c r="S411" s="106" t="n">
        <x:f>IF(Q411&gt;0,MIN('Your Mortgage'!$C$11,Q411+R411),0)</x:f>
        <x:v>0</x:v>
      </x:c>
      <x:c r="T411" s="106" t="n">
        <x:f>IF(Q411&gt;0,MIN('Your Mortgage'!$I$6,MAX(0,Q411+R411-S411)),0)</x:f>
        <x:v>0</x:v>
      </x:c>
      <x:c r="U411" s="106" t="n">
        <x:f>IF(AND(A411='Your Mortgage'!$I$8,Q411&gt;0),MIN('Your Mortgage'!$I$7,MAX(0,Q411+R411-S411-T411)),0)</x:f>
        <x:v>0</x:v>
      </x:c>
      <x:c r="V411" s="106" t="n">
        <x:f>S411+T411+U411</x:f>
        <x:v>0</x:v>
      </x:c>
      <x:c r="W411" s="106" t="n">
        <x:f>MAX(0,V411-R411)</x:f>
        <x:v>0</x:v>
      </x:c>
      <x:c r="X411" s="106" t="n">
        <x:f>MAX(0,Q411-W411)</x:f>
        <x:v>0</x:v>
      </x:c>
      <x:c r="Y411" s="1"/>
      <x:c r="Z411" s="1"/>
    </x:row>
    <x:row r="412">
      <x:c r="A412" s="100" t="n">
        <x:f>A411+1</x:f>
        <x:v>407</x:v>
      </x:c>
      <x:c r="B412" s="103" t="n">
        <x:f>EDATE(B411,1)</x:f>
        <x:v>58593</x:v>
      </x:c>
      <x:c r="C412" s="104" t="n">
        <x:f>H411</x:f>
        <x:v>0</x:v>
      </x:c>
      <x:c r="D412" s="104" t="n">
        <x:f>IF(C412&gt;0,C412*'Your Mortgage'!$C$7/12,0)</x:f>
        <x:v>0</x:v>
      </x:c>
      <x:c r="E412" s="104" t="n">
        <x:f>IF(C412&gt;0,MIN('Your Mortgage'!$C$11,C412+D412),0)</x:f>
        <x:v>0</x:v>
      </x:c>
      <x:c r="F412" s="104" t="n">
        <x:f>E412</x:f>
        <x:v>0</x:v>
      </x:c>
      <x:c r="G412" s="104" t="n">
        <x:f>MAX(0,F412-D412)</x:f>
        <x:v>0</x:v>
      </x:c>
      <x:c r="H412" s="104" t="n">
        <x:f>MAX(0,C412-G412)</x:f>
        <x:v>0</x:v>
      </x:c>
      <x:c r="I412" s="105" t="n">
        <x:f>P411</x:f>
        <x:v>0</x:v>
      </x:c>
      <x:c r="J412" s="105" t="n">
        <x:f>IF(I412&gt;0,I412*'Your Mortgage'!$C$7/12,0)</x:f>
        <x:v>0</x:v>
      </x:c>
      <x:c r="K412" s="105" t="n">
        <x:f>IF(I412&gt;0,MIN('Your Mortgage'!$C$11,I412+J412),0)</x:f>
        <x:v>0</x:v>
      </x:c>
      <x:c r="L412" s="105" t="n">
        <x:f>IF(I412&gt;0,MIN('Your Mortgage'!$F$6,MAX(0,I412+J412-K412)),0)</x:f>
        <x:v>0</x:v>
      </x:c>
      <x:c r="M412" s="105" t="n">
        <x:f>IF(AND(A412='Your Mortgage'!$F$8,I412&gt;0),MIN('Your Mortgage'!$F$7,MAX(0,I412+J412-K412-L412)),0)</x:f>
        <x:v>0</x:v>
      </x:c>
      <x:c r="N412" s="105" t="n">
        <x:f>K412+L412+M412</x:f>
        <x:v>0</x:v>
      </x:c>
      <x:c r="O412" s="105" t="n">
        <x:f>MAX(0,N412-J412)</x:f>
        <x:v>0</x:v>
      </x:c>
      <x:c r="P412" s="105" t="n">
        <x:f>MAX(0,I412-O412)</x:f>
        <x:v>0</x:v>
      </x:c>
      <x:c r="Q412" s="106" t="n">
        <x:f>X411</x:f>
        <x:v>0</x:v>
      </x:c>
      <x:c r="R412" s="106" t="n">
        <x:f>IF(Q412&gt;0,Q412*'Your Mortgage'!$C$7/12,0)</x:f>
        <x:v>0</x:v>
      </x:c>
      <x:c r="S412" s="106" t="n">
        <x:f>IF(Q412&gt;0,MIN('Your Mortgage'!$C$11,Q412+R412),0)</x:f>
        <x:v>0</x:v>
      </x:c>
      <x:c r="T412" s="106" t="n">
        <x:f>IF(Q412&gt;0,MIN('Your Mortgage'!$I$6,MAX(0,Q412+R412-S412)),0)</x:f>
        <x:v>0</x:v>
      </x:c>
      <x:c r="U412" s="106" t="n">
        <x:f>IF(AND(A412='Your Mortgage'!$I$8,Q412&gt;0),MIN('Your Mortgage'!$I$7,MAX(0,Q412+R412-S412-T412)),0)</x:f>
        <x:v>0</x:v>
      </x:c>
      <x:c r="V412" s="106" t="n">
        <x:f>S412+T412+U412</x:f>
        <x:v>0</x:v>
      </x:c>
      <x:c r="W412" s="106" t="n">
        <x:f>MAX(0,V412-R412)</x:f>
        <x:v>0</x:v>
      </x:c>
      <x:c r="X412" s="106" t="n">
        <x:f>MAX(0,Q412-W412)</x:f>
        <x:v>0</x:v>
      </x:c>
      <x:c r="Y412" s="1"/>
      <x:c r="Z412" s="1"/>
    </x:row>
    <x:row r="413">
      <x:c r="A413" s="100" t="n">
        <x:f>A412+1</x:f>
        <x:v>408</x:v>
      </x:c>
      <x:c r="B413" s="103" t="n">
        <x:f>EDATE(B412,1)</x:f>
        <x:v>58623</x:v>
      </x:c>
      <x:c r="C413" s="104" t="n">
        <x:f>H412</x:f>
        <x:v>0</x:v>
      </x:c>
      <x:c r="D413" s="104" t="n">
        <x:f>IF(C413&gt;0,C413*'Your Mortgage'!$C$7/12,0)</x:f>
        <x:v>0</x:v>
      </x:c>
      <x:c r="E413" s="104" t="n">
        <x:f>IF(C413&gt;0,MIN('Your Mortgage'!$C$11,C413+D413),0)</x:f>
        <x:v>0</x:v>
      </x:c>
      <x:c r="F413" s="104" t="n">
        <x:f>E413</x:f>
        <x:v>0</x:v>
      </x:c>
      <x:c r="G413" s="104" t="n">
        <x:f>MAX(0,F413-D413)</x:f>
        <x:v>0</x:v>
      </x:c>
      <x:c r="H413" s="104" t="n">
        <x:f>MAX(0,C413-G413)</x:f>
        <x:v>0</x:v>
      </x:c>
      <x:c r="I413" s="105" t="n">
        <x:f>P412</x:f>
        <x:v>0</x:v>
      </x:c>
      <x:c r="J413" s="105" t="n">
        <x:f>IF(I413&gt;0,I413*'Your Mortgage'!$C$7/12,0)</x:f>
        <x:v>0</x:v>
      </x:c>
      <x:c r="K413" s="105" t="n">
        <x:f>IF(I413&gt;0,MIN('Your Mortgage'!$C$11,I413+J413),0)</x:f>
        <x:v>0</x:v>
      </x:c>
      <x:c r="L413" s="105" t="n">
        <x:f>IF(I413&gt;0,MIN('Your Mortgage'!$F$6,MAX(0,I413+J413-K413)),0)</x:f>
        <x:v>0</x:v>
      </x:c>
      <x:c r="M413" s="105" t="n">
        <x:f>IF(AND(A413='Your Mortgage'!$F$8,I413&gt;0),MIN('Your Mortgage'!$F$7,MAX(0,I413+J413-K413-L413)),0)</x:f>
        <x:v>0</x:v>
      </x:c>
      <x:c r="N413" s="105" t="n">
        <x:f>K413+L413+M413</x:f>
        <x:v>0</x:v>
      </x:c>
      <x:c r="O413" s="105" t="n">
        <x:f>MAX(0,N413-J413)</x:f>
        <x:v>0</x:v>
      </x:c>
      <x:c r="P413" s="105" t="n">
        <x:f>MAX(0,I413-O413)</x:f>
        <x:v>0</x:v>
      </x:c>
      <x:c r="Q413" s="106" t="n">
        <x:f>X412</x:f>
        <x:v>0</x:v>
      </x:c>
      <x:c r="R413" s="106" t="n">
        <x:f>IF(Q413&gt;0,Q413*'Your Mortgage'!$C$7/12,0)</x:f>
        <x:v>0</x:v>
      </x:c>
      <x:c r="S413" s="106" t="n">
        <x:f>IF(Q413&gt;0,MIN('Your Mortgage'!$C$11,Q413+R413),0)</x:f>
        <x:v>0</x:v>
      </x:c>
      <x:c r="T413" s="106" t="n">
        <x:f>IF(Q413&gt;0,MIN('Your Mortgage'!$I$6,MAX(0,Q413+R413-S413)),0)</x:f>
        <x:v>0</x:v>
      </x:c>
      <x:c r="U413" s="106" t="n">
        <x:f>IF(AND(A413='Your Mortgage'!$I$8,Q413&gt;0),MIN('Your Mortgage'!$I$7,MAX(0,Q413+R413-S413-T413)),0)</x:f>
        <x:v>0</x:v>
      </x:c>
      <x:c r="V413" s="106" t="n">
        <x:f>S413+T413+U413</x:f>
        <x:v>0</x:v>
      </x:c>
      <x:c r="W413" s="106" t="n">
        <x:f>MAX(0,V413-R413)</x:f>
        <x:v>0</x:v>
      </x:c>
      <x:c r="X413" s="106" t="n">
        <x:f>MAX(0,Q413-W413)</x:f>
        <x:v>0</x:v>
      </x:c>
      <x:c r="Y413" s="1"/>
      <x:c r="Z413" s="1"/>
    </x:row>
    <x:row r="414">
      <x:c r="A414" s="100" t="n">
        <x:f>A413+1</x:f>
        <x:v>409</x:v>
      </x:c>
      <x:c r="B414" s="103" t="n">
        <x:f>EDATE(B413,1)</x:f>
        <x:v>58654</x:v>
      </x:c>
      <x:c r="C414" s="104" t="n">
        <x:f>H413</x:f>
        <x:v>0</x:v>
      </x:c>
      <x:c r="D414" s="104" t="n">
        <x:f>IF(C414&gt;0,C414*'Your Mortgage'!$C$7/12,0)</x:f>
        <x:v>0</x:v>
      </x:c>
      <x:c r="E414" s="104" t="n">
        <x:f>IF(C414&gt;0,MIN('Your Mortgage'!$C$11,C414+D414),0)</x:f>
        <x:v>0</x:v>
      </x:c>
      <x:c r="F414" s="104" t="n">
        <x:f>E414</x:f>
        <x:v>0</x:v>
      </x:c>
      <x:c r="G414" s="104" t="n">
        <x:f>MAX(0,F414-D414)</x:f>
        <x:v>0</x:v>
      </x:c>
      <x:c r="H414" s="104" t="n">
        <x:f>MAX(0,C414-G414)</x:f>
        <x:v>0</x:v>
      </x:c>
      <x:c r="I414" s="105" t="n">
        <x:f>P413</x:f>
        <x:v>0</x:v>
      </x:c>
      <x:c r="J414" s="105" t="n">
        <x:f>IF(I414&gt;0,I414*'Your Mortgage'!$C$7/12,0)</x:f>
        <x:v>0</x:v>
      </x:c>
      <x:c r="K414" s="105" t="n">
        <x:f>IF(I414&gt;0,MIN('Your Mortgage'!$C$11,I414+J414),0)</x:f>
        <x:v>0</x:v>
      </x:c>
      <x:c r="L414" s="105" t="n">
        <x:f>IF(I414&gt;0,MIN('Your Mortgage'!$F$6,MAX(0,I414+J414-K414)),0)</x:f>
        <x:v>0</x:v>
      </x:c>
      <x:c r="M414" s="105" t="n">
        <x:f>IF(AND(A414='Your Mortgage'!$F$8,I414&gt;0),MIN('Your Mortgage'!$F$7,MAX(0,I414+J414-K414-L414)),0)</x:f>
        <x:v>0</x:v>
      </x:c>
      <x:c r="N414" s="105" t="n">
        <x:f>K414+L414+M414</x:f>
        <x:v>0</x:v>
      </x:c>
      <x:c r="O414" s="105" t="n">
        <x:f>MAX(0,N414-J414)</x:f>
        <x:v>0</x:v>
      </x:c>
      <x:c r="P414" s="105" t="n">
        <x:f>MAX(0,I414-O414)</x:f>
        <x:v>0</x:v>
      </x:c>
      <x:c r="Q414" s="106" t="n">
        <x:f>X413</x:f>
        <x:v>0</x:v>
      </x:c>
      <x:c r="R414" s="106" t="n">
        <x:f>IF(Q414&gt;0,Q414*'Your Mortgage'!$C$7/12,0)</x:f>
        <x:v>0</x:v>
      </x:c>
      <x:c r="S414" s="106" t="n">
        <x:f>IF(Q414&gt;0,MIN('Your Mortgage'!$C$11,Q414+R414),0)</x:f>
        <x:v>0</x:v>
      </x:c>
      <x:c r="T414" s="106" t="n">
        <x:f>IF(Q414&gt;0,MIN('Your Mortgage'!$I$6,MAX(0,Q414+R414-S414)),0)</x:f>
        <x:v>0</x:v>
      </x:c>
      <x:c r="U414" s="106" t="n">
        <x:f>IF(AND(A414='Your Mortgage'!$I$8,Q414&gt;0),MIN('Your Mortgage'!$I$7,MAX(0,Q414+R414-S414-T414)),0)</x:f>
        <x:v>0</x:v>
      </x:c>
      <x:c r="V414" s="106" t="n">
        <x:f>S414+T414+U414</x:f>
        <x:v>0</x:v>
      </x:c>
      <x:c r="W414" s="106" t="n">
        <x:f>MAX(0,V414-R414)</x:f>
        <x:v>0</x:v>
      </x:c>
      <x:c r="X414" s="106" t="n">
        <x:f>MAX(0,Q414-W414)</x:f>
        <x:v>0</x:v>
      </x:c>
      <x:c r="Y414" s="1"/>
      <x:c r="Z414" s="1"/>
    </x:row>
    <x:row r="415">
      <x:c r="A415" s="100" t="n">
        <x:f>A414+1</x:f>
        <x:v>410</x:v>
      </x:c>
      <x:c r="B415" s="103" t="n">
        <x:f>EDATE(B414,1)</x:f>
        <x:v>58685</x:v>
      </x:c>
      <x:c r="C415" s="104" t="n">
        <x:f>H414</x:f>
        <x:v>0</x:v>
      </x:c>
      <x:c r="D415" s="104" t="n">
        <x:f>IF(C415&gt;0,C415*'Your Mortgage'!$C$7/12,0)</x:f>
        <x:v>0</x:v>
      </x:c>
      <x:c r="E415" s="104" t="n">
        <x:f>IF(C415&gt;0,MIN('Your Mortgage'!$C$11,C415+D415),0)</x:f>
        <x:v>0</x:v>
      </x:c>
      <x:c r="F415" s="104" t="n">
        <x:f>E415</x:f>
        <x:v>0</x:v>
      </x:c>
      <x:c r="G415" s="104" t="n">
        <x:f>MAX(0,F415-D415)</x:f>
        <x:v>0</x:v>
      </x:c>
      <x:c r="H415" s="104" t="n">
        <x:f>MAX(0,C415-G415)</x:f>
        <x:v>0</x:v>
      </x:c>
      <x:c r="I415" s="105" t="n">
        <x:f>P414</x:f>
        <x:v>0</x:v>
      </x:c>
      <x:c r="J415" s="105" t="n">
        <x:f>IF(I415&gt;0,I415*'Your Mortgage'!$C$7/12,0)</x:f>
        <x:v>0</x:v>
      </x:c>
      <x:c r="K415" s="105" t="n">
        <x:f>IF(I415&gt;0,MIN('Your Mortgage'!$C$11,I415+J415),0)</x:f>
        <x:v>0</x:v>
      </x:c>
      <x:c r="L415" s="105" t="n">
        <x:f>IF(I415&gt;0,MIN('Your Mortgage'!$F$6,MAX(0,I415+J415-K415)),0)</x:f>
        <x:v>0</x:v>
      </x:c>
      <x:c r="M415" s="105" t="n">
        <x:f>IF(AND(A415='Your Mortgage'!$F$8,I415&gt;0),MIN('Your Mortgage'!$F$7,MAX(0,I415+J415-K415-L415)),0)</x:f>
        <x:v>0</x:v>
      </x:c>
      <x:c r="N415" s="105" t="n">
        <x:f>K415+L415+M415</x:f>
        <x:v>0</x:v>
      </x:c>
      <x:c r="O415" s="105" t="n">
        <x:f>MAX(0,N415-J415)</x:f>
        <x:v>0</x:v>
      </x:c>
      <x:c r="P415" s="105" t="n">
        <x:f>MAX(0,I415-O415)</x:f>
        <x:v>0</x:v>
      </x:c>
      <x:c r="Q415" s="106" t="n">
        <x:f>X414</x:f>
        <x:v>0</x:v>
      </x:c>
      <x:c r="R415" s="106" t="n">
        <x:f>IF(Q415&gt;0,Q415*'Your Mortgage'!$C$7/12,0)</x:f>
        <x:v>0</x:v>
      </x:c>
      <x:c r="S415" s="106" t="n">
        <x:f>IF(Q415&gt;0,MIN('Your Mortgage'!$C$11,Q415+R415),0)</x:f>
        <x:v>0</x:v>
      </x:c>
      <x:c r="T415" s="106" t="n">
        <x:f>IF(Q415&gt;0,MIN('Your Mortgage'!$I$6,MAX(0,Q415+R415-S415)),0)</x:f>
        <x:v>0</x:v>
      </x:c>
      <x:c r="U415" s="106" t="n">
        <x:f>IF(AND(A415='Your Mortgage'!$I$8,Q415&gt;0),MIN('Your Mortgage'!$I$7,MAX(0,Q415+R415-S415-T415)),0)</x:f>
        <x:v>0</x:v>
      </x:c>
      <x:c r="V415" s="106" t="n">
        <x:f>S415+T415+U415</x:f>
        <x:v>0</x:v>
      </x:c>
      <x:c r="W415" s="106" t="n">
        <x:f>MAX(0,V415-R415)</x:f>
        <x:v>0</x:v>
      </x:c>
      <x:c r="X415" s="106" t="n">
        <x:f>MAX(0,Q415-W415)</x:f>
        <x:v>0</x:v>
      </x:c>
      <x:c r="Y415" s="1"/>
      <x:c r="Z415" s="1"/>
    </x:row>
    <x:row r="416">
      <x:c r="A416" s="100" t="n">
        <x:f>A415+1</x:f>
        <x:v>411</x:v>
      </x:c>
      <x:c r="B416" s="103" t="n">
        <x:f>EDATE(B415,1)</x:f>
        <x:v>58715</x:v>
      </x:c>
      <x:c r="C416" s="104" t="n">
        <x:f>H415</x:f>
        <x:v>0</x:v>
      </x:c>
      <x:c r="D416" s="104" t="n">
        <x:f>IF(C416&gt;0,C416*'Your Mortgage'!$C$7/12,0)</x:f>
        <x:v>0</x:v>
      </x:c>
      <x:c r="E416" s="104" t="n">
        <x:f>IF(C416&gt;0,MIN('Your Mortgage'!$C$11,C416+D416),0)</x:f>
        <x:v>0</x:v>
      </x:c>
      <x:c r="F416" s="104" t="n">
        <x:f>E416</x:f>
        <x:v>0</x:v>
      </x:c>
      <x:c r="G416" s="104" t="n">
        <x:f>MAX(0,F416-D416)</x:f>
        <x:v>0</x:v>
      </x:c>
      <x:c r="H416" s="104" t="n">
        <x:f>MAX(0,C416-G416)</x:f>
        <x:v>0</x:v>
      </x:c>
      <x:c r="I416" s="105" t="n">
        <x:f>P415</x:f>
        <x:v>0</x:v>
      </x:c>
      <x:c r="J416" s="105" t="n">
        <x:f>IF(I416&gt;0,I416*'Your Mortgage'!$C$7/12,0)</x:f>
        <x:v>0</x:v>
      </x:c>
      <x:c r="K416" s="105" t="n">
        <x:f>IF(I416&gt;0,MIN('Your Mortgage'!$C$11,I416+J416),0)</x:f>
        <x:v>0</x:v>
      </x:c>
      <x:c r="L416" s="105" t="n">
        <x:f>IF(I416&gt;0,MIN('Your Mortgage'!$F$6,MAX(0,I416+J416-K416)),0)</x:f>
        <x:v>0</x:v>
      </x:c>
      <x:c r="M416" s="105" t="n">
        <x:f>IF(AND(A416='Your Mortgage'!$F$8,I416&gt;0),MIN('Your Mortgage'!$F$7,MAX(0,I416+J416-K416-L416)),0)</x:f>
        <x:v>0</x:v>
      </x:c>
      <x:c r="N416" s="105" t="n">
        <x:f>K416+L416+M416</x:f>
        <x:v>0</x:v>
      </x:c>
      <x:c r="O416" s="105" t="n">
        <x:f>MAX(0,N416-J416)</x:f>
        <x:v>0</x:v>
      </x:c>
      <x:c r="P416" s="105" t="n">
        <x:f>MAX(0,I416-O416)</x:f>
        <x:v>0</x:v>
      </x:c>
      <x:c r="Q416" s="106" t="n">
        <x:f>X415</x:f>
        <x:v>0</x:v>
      </x:c>
      <x:c r="R416" s="106" t="n">
        <x:f>IF(Q416&gt;0,Q416*'Your Mortgage'!$C$7/12,0)</x:f>
        <x:v>0</x:v>
      </x:c>
      <x:c r="S416" s="106" t="n">
        <x:f>IF(Q416&gt;0,MIN('Your Mortgage'!$C$11,Q416+R416),0)</x:f>
        <x:v>0</x:v>
      </x:c>
      <x:c r="T416" s="106" t="n">
        <x:f>IF(Q416&gt;0,MIN('Your Mortgage'!$I$6,MAX(0,Q416+R416-S416)),0)</x:f>
        <x:v>0</x:v>
      </x:c>
      <x:c r="U416" s="106" t="n">
        <x:f>IF(AND(A416='Your Mortgage'!$I$8,Q416&gt;0),MIN('Your Mortgage'!$I$7,MAX(0,Q416+R416-S416-T416)),0)</x:f>
        <x:v>0</x:v>
      </x:c>
      <x:c r="V416" s="106" t="n">
        <x:f>S416+T416+U416</x:f>
        <x:v>0</x:v>
      </x:c>
      <x:c r="W416" s="106" t="n">
        <x:f>MAX(0,V416-R416)</x:f>
        <x:v>0</x:v>
      </x:c>
      <x:c r="X416" s="106" t="n">
        <x:f>MAX(0,Q416-W416)</x:f>
        <x:v>0</x:v>
      </x:c>
      <x:c r="Y416" s="1"/>
      <x:c r="Z416" s="1"/>
    </x:row>
    <x:row r="417">
      <x:c r="A417" s="100" t="n">
        <x:f>A416+1</x:f>
        <x:v>412</x:v>
      </x:c>
      <x:c r="B417" s="103" t="n">
        <x:f>EDATE(B416,1)</x:f>
        <x:v>58746</x:v>
      </x:c>
      <x:c r="C417" s="104" t="n">
        <x:f>H416</x:f>
        <x:v>0</x:v>
      </x:c>
      <x:c r="D417" s="104" t="n">
        <x:f>IF(C417&gt;0,C417*'Your Mortgage'!$C$7/12,0)</x:f>
        <x:v>0</x:v>
      </x:c>
      <x:c r="E417" s="104" t="n">
        <x:f>IF(C417&gt;0,MIN('Your Mortgage'!$C$11,C417+D417),0)</x:f>
        <x:v>0</x:v>
      </x:c>
      <x:c r="F417" s="104" t="n">
        <x:f>E417</x:f>
        <x:v>0</x:v>
      </x:c>
      <x:c r="G417" s="104" t="n">
        <x:f>MAX(0,F417-D417)</x:f>
        <x:v>0</x:v>
      </x:c>
      <x:c r="H417" s="104" t="n">
        <x:f>MAX(0,C417-G417)</x:f>
        <x:v>0</x:v>
      </x:c>
      <x:c r="I417" s="105" t="n">
        <x:f>P416</x:f>
        <x:v>0</x:v>
      </x:c>
      <x:c r="J417" s="105" t="n">
        <x:f>IF(I417&gt;0,I417*'Your Mortgage'!$C$7/12,0)</x:f>
        <x:v>0</x:v>
      </x:c>
      <x:c r="K417" s="105" t="n">
        <x:f>IF(I417&gt;0,MIN('Your Mortgage'!$C$11,I417+J417),0)</x:f>
        <x:v>0</x:v>
      </x:c>
      <x:c r="L417" s="105" t="n">
        <x:f>IF(I417&gt;0,MIN('Your Mortgage'!$F$6,MAX(0,I417+J417-K417)),0)</x:f>
        <x:v>0</x:v>
      </x:c>
      <x:c r="M417" s="105" t="n">
        <x:f>IF(AND(A417='Your Mortgage'!$F$8,I417&gt;0),MIN('Your Mortgage'!$F$7,MAX(0,I417+J417-K417-L417)),0)</x:f>
        <x:v>0</x:v>
      </x:c>
      <x:c r="N417" s="105" t="n">
        <x:f>K417+L417+M417</x:f>
        <x:v>0</x:v>
      </x:c>
      <x:c r="O417" s="105" t="n">
        <x:f>MAX(0,N417-J417)</x:f>
        <x:v>0</x:v>
      </x:c>
      <x:c r="P417" s="105" t="n">
        <x:f>MAX(0,I417-O417)</x:f>
        <x:v>0</x:v>
      </x:c>
      <x:c r="Q417" s="106" t="n">
        <x:f>X416</x:f>
        <x:v>0</x:v>
      </x:c>
      <x:c r="R417" s="106" t="n">
        <x:f>IF(Q417&gt;0,Q417*'Your Mortgage'!$C$7/12,0)</x:f>
        <x:v>0</x:v>
      </x:c>
      <x:c r="S417" s="106" t="n">
        <x:f>IF(Q417&gt;0,MIN('Your Mortgage'!$C$11,Q417+R417),0)</x:f>
        <x:v>0</x:v>
      </x:c>
      <x:c r="T417" s="106" t="n">
        <x:f>IF(Q417&gt;0,MIN('Your Mortgage'!$I$6,MAX(0,Q417+R417-S417)),0)</x:f>
        <x:v>0</x:v>
      </x:c>
      <x:c r="U417" s="106" t="n">
        <x:f>IF(AND(A417='Your Mortgage'!$I$8,Q417&gt;0),MIN('Your Mortgage'!$I$7,MAX(0,Q417+R417-S417-T417)),0)</x:f>
        <x:v>0</x:v>
      </x:c>
      <x:c r="V417" s="106" t="n">
        <x:f>S417+T417+U417</x:f>
        <x:v>0</x:v>
      </x:c>
      <x:c r="W417" s="106" t="n">
        <x:f>MAX(0,V417-R417)</x:f>
        <x:v>0</x:v>
      </x:c>
      <x:c r="X417" s="106" t="n">
        <x:f>MAX(0,Q417-W417)</x:f>
        <x:v>0</x:v>
      </x:c>
      <x:c r="Y417" s="1"/>
      <x:c r="Z417" s="1"/>
    </x:row>
    <x:row r="418">
      <x:c r="A418" s="100" t="n">
        <x:f>A417+1</x:f>
        <x:v>413</x:v>
      </x:c>
      <x:c r="B418" s="103" t="n">
        <x:f>EDATE(B417,1)</x:f>
        <x:v>58776</x:v>
      </x:c>
      <x:c r="C418" s="104" t="n">
        <x:f>H417</x:f>
        <x:v>0</x:v>
      </x:c>
      <x:c r="D418" s="104" t="n">
        <x:f>IF(C418&gt;0,C418*'Your Mortgage'!$C$7/12,0)</x:f>
        <x:v>0</x:v>
      </x:c>
      <x:c r="E418" s="104" t="n">
        <x:f>IF(C418&gt;0,MIN('Your Mortgage'!$C$11,C418+D418),0)</x:f>
        <x:v>0</x:v>
      </x:c>
      <x:c r="F418" s="104" t="n">
        <x:f>E418</x:f>
        <x:v>0</x:v>
      </x:c>
      <x:c r="G418" s="104" t="n">
        <x:f>MAX(0,F418-D418)</x:f>
        <x:v>0</x:v>
      </x:c>
      <x:c r="H418" s="104" t="n">
        <x:f>MAX(0,C418-G418)</x:f>
        <x:v>0</x:v>
      </x:c>
      <x:c r="I418" s="105" t="n">
        <x:f>P417</x:f>
        <x:v>0</x:v>
      </x:c>
      <x:c r="J418" s="105" t="n">
        <x:f>IF(I418&gt;0,I418*'Your Mortgage'!$C$7/12,0)</x:f>
        <x:v>0</x:v>
      </x:c>
      <x:c r="K418" s="105" t="n">
        <x:f>IF(I418&gt;0,MIN('Your Mortgage'!$C$11,I418+J418),0)</x:f>
        <x:v>0</x:v>
      </x:c>
      <x:c r="L418" s="105" t="n">
        <x:f>IF(I418&gt;0,MIN('Your Mortgage'!$F$6,MAX(0,I418+J418-K418)),0)</x:f>
        <x:v>0</x:v>
      </x:c>
      <x:c r="M418" s="105" t="n">
        <x:f>IF(AND(A418='Your Mortgage'!$F$8,I418&gt;0),MIN('Your Mortgage'!$F$7,MAX(0,I418+J418-K418-L418)),0)</x:f>
        <x:v>0</x:v>
      </x:c>
      <x:c r="N418" s="105" t="n">
        <x:f>K418+L418+M418</x:f>
        <x:v>0</x:v>
      </x:c>
      <x:c r="O418" s="105" t="n">
        <x:f>MAX(0,N418-J418)</x:f>
        <x:v>0</x:v>
      </x:c>
      <x:c r="P418" s="105" t="n">
        <x:f>MAX(0,I418-O418)</x:f>
        <x:v>0</x:v>
      </x:c>
      <x:c r="Q418" s="106" t="n">
        <x:f>X417</x:f>
        <x:v>0</x:v>
      </x:c>
      <x:c r="R418" s="106" t="n">
        <x:f>IF(Q418&gt;0,Q418*'Your Mortgage'!$C$7/12,0)</x:f>
        <x:v>0</x:v>
      </x:c>
      <x:c r="S418" s="106" t="n">
        <x:f>IF(Q418&gt;0,MIN('Your Mortgage'!$C$11,Q418+R418),0)</x:f>
        <x:v>0</x:v>
      </x:c>
      <x:c r="T418" s="106" t="n">
        <x:f>IF(Q418&gt;0,MIN('Your Mortgage'!$I$6,MAX(0,Q418+R418-S418)),0)</x:f>
        <x:v>0</x:v>
      </x:c>
      <x:c r="U418" s="106" t="n">
        <x:f>IF(AND(A418='Your Mortgage'!$I$8,Q418&gt;0),MIN('Your Mortgage'!$I$7,MAX(0,Q418+R418-S418-T418)),0)</x:f>
        <x:v>0</x:v>
      </x:c>
      <x:c r="V418" s="106" t="n">
        <x:f>S418+T418+U418</x:f>
        <x:v>0</x:v>
      </x:c>
      <x:c r="W418" s="106" t="n">
        <x:f>MAX(0,V418-R418)</x:f>
        <x:v>0</x:v>
      </x:c>
      <x:c r="X418" s="106" t="n">
        <x:f>MAX(0,Q418-W418)</x:f>
        <x:v>0</x:v>
      </x:c>
      <x:c r="Y418" s="1"/>
      <x:c r="Z418" s="1"/>
    </x:row>
    <x:row r="419">
      <x:c r="A419" s="100" t="n">
        <x:f>A418+1</x:f>
        <x:v>414</x:v>
      </x:c>
      <x:c r="B419" s="103" t="n">
        <x:f>EDATE(B418,1)</x:f>
        <x:v>58807</x:v>
      </x:c>
      <x:c r="C419" s="104" t="n">
        <x:f>H418</x:f>
        <x:v>0</x:v>
      </x:c>
      <x:c r="D419" s="104" t="n">
        <x:f>IF(C419&gt;0,C419*'Your Mortgage'!$C$7/12,0)</x:f>
        <x:v>0</x:v>
      </x:c>
      <x:c r="E419" s="104" t="n">
        <x:f>IF(C419&gt;0,MIN('Your Mortgage'!$C$11,C419+D419),0)</x:f>
        <x:v>0</x:v>
      </x:c>
      <x:c r="F419" s="104" t="n">
        <x:f>E419</x:f>
        <x:v>0</x:v>
      </x:c>
      <x:c r="G419" s="104" t="n">
        <x:f>MAX(0,F419-D419)</x:f>
        <x:v>0</x:v>
      </x:c>
      <x:c r="H419" s="104" t="n">
        <x:f>MAX(0,C419-G419)</x:f>
        <x:v>0</x:v>
      </x:c>
      <x:c r="I419" s="105" t="n">
        <x:f>P418</x:f>
        <x:v>0</x:v>
      </x:c>
      <x:c r="J419" s="105" t="n">
        <x:f>IF(I419&gt;0,I419*'Your Mortgage'!$C$7/12,0)</x:f>
        <x:v>0</x:v>
      </x:c>
      <x:c r="K419" s="105" t="n">
        <x:f>IF(I419&gt;0,MIN('Your Mortgage'!$C$11,I419+J419),0)</x:f>
        <x:v>0</x:v>
      </x:c>
      <x:c r="L419" s="105" t="n">
        <x:f>IF(I419&gt;0,MIN('Your Mortgage'!$F$6,MAX(0,I419+J419-K419)),0)</x:f>
        <x:v>0</x:v>
      </x:c>
      <x:c r="M419" s="105" t="n">
        <x:f>IF(AND(A419='Your Mortgage'!$F$8,I419&gt;0),MIN('Your Mortgage'!$F$7,MAX(0,I419+J419-K419-L419)),0)</x:f>
        <x:v>0</x:v>
      </x:c>
      <x:c r="N419" s="105" t="n">
        <x:f>K419+L419+M419</x:f>
        <x:v>0</x:v>
      </x:c>
      <x:c r="O419" s="105" t="n">
        <x:f>MAX(0,N419-J419)</x:f>
        <x:v>0</x:v>
      </x:c>
      <x:c r="P419" s="105" t="n">
        <x:f>MAX(0,I419-O419)</x:f>
        <x:v>0</x:v>
      </x:c>
      <x:c r="Q419" s="106" t="n">
        <x:f>X418</x:f>
        <x:v>0</x:v>
      </x:c>
      <x:c r="R419" s="106" t="n">
        <x:f>IF(Q419&gt;0,Q419*'Your Mortgage'!$C$7/12,0)</x:f>
        <x:v>0</x:v>
      </x:c>
      <x:c r="S419" s="106" t="n">
        <x:f>IF(Q419&gt;0,MIN('Your Mortgage'!$C$11,Q419+R419),0)</x:f>
        <x:v>0</x:v>
      </x:c>
      <x:c r="T419" s="106" t="n">
        <x:f>IF(Q419&gt;0,MIN('Your Mortgage'!$I$6,MAX(0,Q419+R419-S419)),0)</x:f>
        <x:v>0</x:v>
      </x:c>
      <x:c r="U419" s="106" t="n">
        <x:f>IF(AND(A419='Your Mortgage'!$I$8,Q419&gt;0),MIN('Your Mortgage'!$I$7,MAX(0,Q419+R419-S419-T419)),0)</x:f>
        <x:v>0</x:v>
      </x:c>
      <x:c r="V419" s="106" t="n">
        <x:f>S419+T419+U419</x:f>
        <x:v>0</x:v>
      </x:c>
      <x:c r="W419" s="106" t="n">
        <x:f>MAX(0,V419-R419)</x:f>
        <x:v>0</x:v>
      </x:c>
      <x:c r="X419" s="106" t="n">
        <x:f>MAX(0,Q419-W419)</x:f>
        <x:v>0</x:v>
      </x:c>
      <x:c r="Y419" s="1"/>
      <x:c r="Z419" s="1"/>
    </x:row>
    <x:row r="420">
      <x:c r="A420" s="100" t="n">
        <x:f>A419+1</x:f>
        <x:v>415</x:v>
      </x:c>
      <x:c r="B420" s="103" t="n">
        <x:f>EDATE(B419,1)</x:f>
        <x:v>58838</x:v>
      </x:c>
      <x:c r="C420" s="104" t="n">
        <x:f>H419</x:f>
        <x:v>0</x:v>
      </x:c>
      <x:c r="D420" s="104" t="n">
        <x:f>IF(C420&gt;0,C420*'Your Mortgage'!$C$7/12,0)</x:f>
        <x:v>0</x:v>
      </x:c>
      <x:c r="E420" s="104" t="n">
        <x:f>IF(C420&gt;0,MIN('Your Mortgage'!$C$11,C420+D420),0)</x:f>
        <x:v>0</x:v>
      </x:c>
      <x:c r="F420" s="104" t="n">
        <x:f>E420</x:f>
        <x:v>0</x:v>
      </x:c>
      <x:c r="G420" s="104" t="n">
        <x:f>MAX(0,F420-D420)</x:f>
        <x:v>0</x:v>
      </x:c>
      <x:c r="H420" s="104" t="n">
        <x:f>MAX(0,C420-G420)</x:f>
        <x:v>0</x:v>
      </x:c>
      <x:c r="I420" s="105" t="n">
        <x:f>P419</x:f>
        <x:v>0</x:v>
      </x:c>
      <x:c r="J420" s="105" t="n">
        <x:f>IF(I420&gt;0,I420*'Your Mortgage'!$C$7/12,0)</x:f>
        <x:v>0</x:v>
      </x:c>
      <x:c r="K420" s="105" t="n">
        <x:f>IF(I420&gt;0,MIN('Your Mortgage'!$C$11,I420+J420),0)</x:f>
        <x:v>0</x:v>
      </x:c>
      <x:c r="L420" s="105" t="n">
        <x:f>IF(I420&gt;0,MIN('Your Mortgage'!$F$6,MAX(0,I420+J420-K420)),0)</x:f>
        <x:v>0</x:v>
      </x:c>
      <x:c r="M420" s="105" t="n">
        <x:f>IF(AND(A420='Your Mortgage'!$F$8,I420&gt;0),MIN('Your Mortgage'!$F$7,MAX(0,I420+J420-K420-L420)),0)</x:f>
        <x:v>0</x:v>
      </x:c>
      <x:c r="N420" s="105" t="n">
        <x:f>K420+L420+M420</x:f>
        <x:v>0</x:v>
      </x:c>
      <x:c r="O420" s="105" t="n">
        <x:f>MAX(0,N420-J420)</x:f>
        <x:v>0</x:v>
      </x:c>
      <x:c r="P420" s="105" t="n">
        <x:f>MAX(0,I420-O420)</x:f>
        <x:v>0</x:v>
      </x:c>
      <x:c r="Q420" s="106" t="n">
        <x:f>X419</x:f>
        <x:v>0</x:v>
      </x:c>
      <x:c r="R420" s="106" t="n">
        <x:f>IF(Q420&gt;0,Q420*'Your Mortgage'!$C$7/12,0)</x:f>
        <x:v>0</x:v>
      </x:c>
      <x:c r="S420" s="106" t="n">
        <x:f>IF(Q420&gt;0,MIN('Your Mortgage'!$C$11,Q420+R420),0)</x:f>
        <x:v>0</x:v>
      </x:c>
      <x:c r="T420" s="106" t="n">
        <x:f>IF(Q420&gt;0,MIN('Your Mortgage'!$I$6,MAX(0,Q420+R420-S420)),0)</x:f>
        <x:v>0</x:v>
      </x:c>
      <x:c r="U420" s="106" t="n">
        <x:f>IF(AND(A420='Your Mortgage'!$I$8,Q420&gt;0),MIN('Your Mortgage'!$I$7,MAX(0,Q420+R420-S420-T420)),0)</x:f>
        <x:v>0</x:v>
      </x:c>
      <x:c r="V420" s="106" t="n">
        <x:f>S420+T420+U420</x:f>
        <x:v>0</x:v>
      </x:c>
      <x:c r="W420" s="106" t="n">
        <x:f>MAX(0,V420-R420)</x:f>
        <x:v>0</x:v>
      </x:c>
      <x:c r="X420" s="106" t="n">
        <x:f>MAX(0,Q420-W420)</x:f>
        <x:v>0</x:v>
      </x:c>
      <x:c r="Y420" s="1"/>
      <x:c r="Z420" s="1"/>
    </x:row>
    <x:row r="421">
      <x:c r="A421" s="100" t="n">
        <x:f>A420+1</x:f>
        <x:v>416</x:v>
      </x:c>
      <x:c r="B421" s="103" t="n">
        <x:f>EDATE(B420,1)</x:f>
        <x:v>58866</x:v>
      </x:c>
      <x:c r="C421" s="104" t="n">
        <x:f>H420</x:f>
        <x:v>0</x:v>
      </x:c>
      <x:c r="D421" s="104" t="n">
        <x:f>IF(C421&gt;0,C421*'Your Mortgage'!$C$7/12,0)</x:f>
        <x:v>0</x:v>
      </x:c>
      <x:c r="E421" s="104" t="n">
        <x:f>IF(C421&gt;0,MIN('Your Mortgage'!$C$11,C421+D421),0)</x:f>
        <x:v>0</x:v>
      </x:c>
      <x:c r="F421" s="104" t="n">
        <x:f>E421</x:f>
        <x:v>0</x:v>
      </x:c>
      <x:c r="G421" s="104" t="n">
        <x:f>MAX(0,F421-D421)</x:f>
        <x:v>0</x:v>
      </x:c>
      <x:c r="H421" s="104" t="n">
        <x:f>MAX(0,C421-G421)</x:f>
        <x:v>0</x:v>
      </x:c>
      <x:c r="I421" s="105" t="n">
        <x:f>P420</x:f>
        <x:v>0</x:v>
      </x:c>
      <x:c r="J421" s="105" t="n">
        <x:f>IF(I421&gt;0,I421*'Your Mortgage'!$C$7/12,0)</x:f>
        <x:v>0</x:v>
      </x:c>
      <x:c r="K421" s="105" t="n">
        <x:f>IF(I421&gt;0,MIN('Your Mortgage'!$C$11,I421+J421),0)</x:f>
        <x:v>0</x:v>
      </x:c>
      <x:c r="L421" s="105" t="n">
        <x:f>IF(I421&gt;0,MIN('Your Mortgage'!$F$6,MAX(0,I421+J421-K421)),0)</x:f>
        <x:v>0</x:v>
      </x:c>
      <x:c r="M421" s="105" t="n">
        <x:f>IF(AND(A421='Your Mortgage'!$F$8,I421&gt;0),MIN('Your Mortgage'!$F$7,MAX(0,I421+J421-K421-L421)),0)</x:f>
        <x:v>0</x:v>
      </x:c>
      <x:c r="N421" s="105" t="n">
        <x:f>K421+L421+M421</x:f>
        <x:v>0</x:v>
      </x:c>
      <x:c r="O421" s="105" t="n">
        <x:f>MAX(0,N421-J421)</x:f>
        <x:v>0</x:v>
      </x:c>
      <x:c r="P421" s="105" t="n">
        <x:f>MAX(0,I421-O421)</x:f>
        <x:v>0</x:v>
      </x:c>
      <x:c r="Q421" s="106" t="n">
        <x:f>X420</x:f>
        <x:v>0</x:v>
      </x:c>
      <x:c r="R421" s="106" t="n">
        <x:f>IF(Q421&gt;0,Q421*'Your Mortgage'!$C$7/12,0)</x:f>
        <x:v>0</x:v>
      </x:c>
      <x:c r="S421" s="106" t="n">
        <x:f>IF(Q421&gt;0,MIN('Your Mortgage'!$C$11,Q421+R421),0)</x:f>
        <x:v>0</x:v>
      </x:c>
      <x:c r="T421" s="106" t="n">
        <x:f>IF(Q421&gt;0,MIN('Your Mortgage'!$I$6,MAX(0,Q421+R421-S421)),0)</x:f>
        <x:v>0</x:v>
      </x:c>
      <x:c r="U421" s="106" t="n">
        <x:f>IF(AND(A421='Your Mortgage'!$I$8,Q421&gt;0),MIN('Your Mortgage'!$I$7,MAX(0,Q421+R421-S421-T421)),0)</x:f>
        <x:v>0</x:v>
      </x:c>
      <x:c r="V421" s="106" t="n">
        <x:f>S421+T421+U421</x:f>
        <x:v>0</x:v>
      </x:c>
      <x:c r="W421" s="106" t="n">
        <x:f>MAX(0,V421-R421)</x:f>
        <x:v>0</x:v>
      </x:c>
      <x:c r="X421" s="106" t="n">
        <x:f>MAX(0,Q421-W421)</x:f>
        <x:v>0</x:v>
      </x:c>
      <x:c r="Y421" s="1"/>
      <x:c r="Z421" s="1"/>
    </x:row>
    <x:row r="422">
      <x:c r="A422" s="100" t="n">
        <x:f>A421+1</x:f>
        <x:v>417</x:v>
      </x:c>
      <x:c r="B422" s="103" t="n">
        <x:f>EDATE(B421,1)</x:f>
        <x:v>58897</x:v>
      </x:c>
      <x:c r="C422" s="104" t="n">
        <x:f>H421</x:f>
        <x:v>0</x:v>
      </x:c>
      <x:c r="D422" s="104" t="n">
        <x:f>IF(C422&gt;0,C422*'Your Mortgage'!$C$7/12,0)</x:f>
        <x:v>0</x:v>
      </x:c>
      <x:c r="E422" s="104" t="n">
        <x:f>IF(C422&gt;0,MIN('Your Mortgage'!$C$11,C422+D422),0)</x:f>
        <x:v>0</x:v>
      </x:c>
      <x:c r="F422" s="104" t="n">
        <x:f>E422</x:f>
        <x:v>0</x:v>
      </x:c>
      <x:c r="G422" s="104" t="n">
        <x:f>MAX(0,F422-D422)</x:f>
        <x:v>0</x:v>
      </x:c>
      <x:c r="H422" s="104" t="n">
        <x:f>MAX(0,C422-G422)</x:f>
        <x:v>0</x:v>
      </x:c>
      <x:c r="I422" s="105" t="n">
        <x:f>P421</x:f>
        <x:v>0</x:v>
      </x:c>
      <x:c r="J422" s="105" t="n">
        <x:f>IF(I422&gt;0,I422*'Your Mortgage'!$C$7/12,0)</x:f>
        <x:v>0</x:v>
      </x:c>
      <x:c r="K422" s="105" t="n">
        <x:f>IF(I422&gt;0,MIN('Your Mortgage'!$C$11,I422+J422),0)</x:f>
        <x:v>0</x:v>
      </x:c>
      <x:c r="L422" s="105" t="n">
        <x:f>IF(I422&gt;0,MIN('Your Mortgage'!$F$6,MAX(0,I422+J422-K422)),0)</x:f>
        <x:v>0</x:v>
      </x:c>
      <x:c r="M422" s="105" t="n">
        <x:f>IF(AND(A422='Your Mortgage'!$F$8,I422&gt;0),MIN('Your Mortgage'!$F$7,MAX(0,I422+J422-K422-L422)),0)</x:f>
        <x:v>0</x:v>
      </x:c>
      <x:c r="N422" s="105" t="n">
        <x:f>K422+L422+M422</x:f>
        <x:v>0</x:v>
      </x:c>
      <x:c r="O422" s="105" t="n">
        <x:f>MAX(0,N422-J422)</x:f>
        <x:v>0</x:v>
      </x:c>
      <x:c r="P422" s="105" t="n">
        <x:f>MAX(0,I422-O422)</x:f>
        <x:v>0</x:v>
      </x:c>
      <x:c r="Q422" s="106" t="n">
        <x:f>X421</x:f>
        <x:v>0</x:v>
      </x:c>
      <x:c r="R422" s="106" t="n">
        <x:f>IF(Q422&gt;0,Q422*'Your Mortgage'!$C$7/12,0)</x:f>
        <x:v>0</x:v>
      </x:c>
      <x:c r="S422" s="106" t="n">
        <x:f>IF(Q422&gt;0,MIN('Your Mortgage'!$C$11,Q422+R422),0)</x:f>
        <x:v>0</x:v>
      </x:c>
      <x:c r="T422" s="106" t="n">
        <x:f>IF(Q422&gt;0,MIN('Your Mortgage'!$I$6,MAX(0,Q422+R422-S422)),0)</x:f>
        <x:v>0</x:v>
      </x:c>
      <x:c r="U422" s="106" t="n">
        <x:f>IF(AND(A422='Your Mortgage'!$I$8,Q422&gt;0),MIN('Your Mortgage'!$I$7,MAX(0,Q422+R422-S422-T422)),0)</x:f>
        <x:v>0</x:v>
      </x:c>
      <x:c r="V422" s="106" t="n">
        <x:f>S422+T422+U422</x:f>
        <x:v>0</x:v>
      </x:c>
      <x:c r="W422" s="106" t="n">
        <x:f>MAX(0,V422-R422)</x:f>
        <x:v>0</x:v>
      </x:c>
      <x:c r="X422" s="106" t="n">
        <x:f>MAX(0,Q422-W422)</x:f>
        <x:v>0</x:v>
      </x:c>
      <x:c r="Y422" s="1"/>
      <x:c r="Z422" s="1"/>
    </x:row>
    <x:row r="423">
      <x:c r="A423" s="100" t="n">
        <x:f>A422+1</x:f>
        <x:v>418</x:v>
      </x:c>
      <x:c r="B423" s="103" t="n">
        <x:f>EDATE(B422,1)</x:f>
        <x:v>58927</x:v>
      </x:c>
      <x:c r="C423" s="104" t="n">
        <x:f>H422</x:f>
        <x:v>0</x:v>
      </x:c>
      <x:c r="D423" s="104" t="n">
        <x:f>IF(C423&gt;0,C423*'Your Mortgage'!$C$7/12,0)</x:f>
        <x:v>0</x:v>
      </x:c>
      <x:c r="E423" s="104" t="n">
        <x:f>IF(C423&gt;0,MIN('Your Mortgage'!$C$11,C423+D423),0)</x:f>
        <x:v>0</x:v>
      </x:c>
      <x:c r="F423" s="104" t="n">
        <x:f>E423</x:f>
        <x:v>0</x:v>
      </x:c>
      <x:c r="G423" s="104" t="n">
        <x:f>MAX(0,F423-D423)</x:f>
        <x:v>0</x:v>
      </x:c>
      <x:c r="H423" s="104" t="n">
        <x:f>MAX(0,C423-G423)</x:f>
        <x:v>0</x:v>
      </x:c>
      <x:c r="I423" s="105" t="n">
        <x:f>P422</x:f>
        <x:v>0</x:v>
      </x:c>
      <x:c r="J423" s="105" t="n">
        <x:f>IF(I423&gt;0,I423*'Your Mortgage'!$C$7/12,0)</x:f>
        <x:v>0</x:v>
      </x:c>
      <x:c r="K423" s="105" t="n">
        <x:f>IF(I423&gt;0,MIN('Your Mortgage'!$C$11,I423+J423),0)</x:f>
        <x:v>0</x:v>
      </x:c>
      <x:c r="L423" s="105" t="n">
        <x:f>IF(I423&gt;0,MIN('Your Mortgage'!$F$6,MAX(0,I423+J423-K423)),0)</x:f>
        <x:v>0</x:v>
      </x:c>
      <x:c r="M423" s="105" t="n">
        <x:f>IF(AND(A423='Your Mortgage'!$F$8,I423&gt;0),MIN('Your Mortgage'!$F$7,MAX(0,I423+J423-K423-L423)),0)</x:f>
        <x:v>0</x:v>
      </x:c>
      <x:c r="N423" s="105" t="n">
        <x:f>K423+L423+M423</x:f>
        <x:v>0</x:v>
      </x:c>
      <x:c r="O423" s="105" t="n">
        <x:f>MAX(0,N423-J423)</x:f>
        <x:v>0</x:v>
      </x:c>
      <x:c r="P423" s="105" t="n">
        <x:f>MAX(0,I423-O423)</x:f>
        <x:v>0</x:v>
      </x:c>
      <x:c r="Q423" s="106" t="n">
        <x:f>X422</x:f>
        <x:v>0</x:v>
      </x:c>
      <x:c r="R423" s="106" t="n">
        <x:f>IF(Q423&gt;0,Q423*'Your Mortgage'!$C$7/12,0)</x:f>
        <x:v>0</x:v>
      </x:c>
      <x:c r="S423" s="106" t="n">
        <x:f>IF(Q423&gt;0,MIN('Your Mortgage'!$C$11,Q423+R423),0)</x:f>
        <x:v>0</x:v>
      </x:c>
      <x:c r="T423" s="106" t="n">
        <x:f>IF(Q423&gt;0,MIN('Your Mortgage'!$I$6,MAX(0,Q423+R423-S423)),0)</x:f>
        <x:v>0</x:v>
      </x:c>
      <x:c r="U423" s="106" t="n">
        <x:f>IF(AND(A423='Your Mortgage'!$I$8,Q423&gt;0),MIN('Your Mortgage'!$I$7,MAX(0,Q423+R423-S423-T423)),0)</x:f>
        <x:v>0</x:v>
      </x:c>
      <x:c r="V423" s="106" t="n">
        <x:f>S423+T423+U423</x:f>
        <x:v>0</x:v>
      </x:c>
      <x:c r="W423" s="106" t="n">
        <x:f>MAX(0,V423-R423)</x:f>
        <x:v>0</x:v>
      </x:c>
      <x:c r="X423" s="106" t="n">
        <x:f>MAX(0,Q423-W423)</x:f>
        <x:v>0</x:v>
      </x:c>
      <x:c r="Y423" s="1"/>
      <x:c r="Z423" s="1"/>
    </x:row>
    <x:row r="424">
      <x:c r="A424" s="100" t="n">
        <x:f>A423+1</x:f>
        <x:v>419</x:v>
      </x:c>
      <x:c r="B424" s="103" t="n">
        <x:f>EDATE(B423,1)</x:f>
        <x:v>58958</x:v>
      </x:c>
      <x:c r="C424" s="104" t="n">
        <x:f>H423</x:f>
        <x:v>0</x:v>
      </x:c>
      <x:c r="D424" s="104" t="n">
        <x:f>IF(C424&gt;0,C424*'Your Mortgage'!$C$7/12,0)</x:f>
        <x:v>0</x:v>
      </x:c>
      <x:c r="E424" s="104" t="n">
        <x:f>IF(C424&gt;0,MIN('Your Mortgage'!$C$11,C424+D424),0)</x:f>
        <x:v>0</x:v>
      </x:c>
      <x:c r="F424" s="104" t="n">
        <x:f>E424</x:f>
        <x:v>0</x:v>
      </x:c>
      <x:c r="G424" s="104" t="n">
        <x:f>MAX(0,F424-D424)</x:f>
        <x:v>0</x:v>
      </x:c>
      <x:c r="H424" s="104" t="n">
        <x:f>MAX(0,C424-G424)</x:f>
        <x:v>0</x:v>
      </x:c>
      <x:c r="I424" s="105" t="n">
        <x:f>P423</x:f>
        <x:v>0</x:v>
      </x:c>
      <x:c r="J424" s="105" t="n">
        <x:f>IF(I424&gt;0,I424*'Your Mortgage'!$C$7/12,0)</x:f>
        <x:v>0</x:v>
      </x:c>
      <x:c r="K424" s="105" t="n">
        <x:f>IF(I424&gt;0,MIN('Your Mortgage'!$C$11,I424+J424),0)</x:f>
        <x:v>0</x:v>
      </x:c>
      <x:c r="L424" s="105" t="n">
        <x:f>IF(I424&gt;0,MIN('Your Mortgage'!$F$6,MAX(0,I424+J424-K424)),0)</x:f>
        <x:v>0</x:v>
      </x:c>
      <x:c r="M424" s="105" t="n">
        <x:f>IF(AND(A424='Your Mortgage'!$F$8,I424&gt;0),MIN('Your Mortgage'!$F$7,MAX(0,I424+J424-K424-L424)),0)</x:f>
        <x:v>0</x:v>
      </x:c>
      <x:c r="N424" s="105" t="n">
        <x:f>K424+L424+M424</x:f>
        <x:v>0</x:v>
      </x:c>
      <x:c r="O424" s="105" t="n">
        <x:f>MAX(0,N424-J424)</x:f>
        <x:v>0</x:v>
      </x:c>
      <x:c r="P424" s="105" t="n">
        <x:f>MAX(0,I424-O424)</x:f>
        <x:v>0</x:v>
      </x:c>
      <x:c r="Q424" s="106" t="n">
        <x:f>X423</x:f>
        <x:v>0</x:v>
      </x:c>
      <x:c r="R424" s="106" t="n">
        <x:f>IF(Q424&gt;0,Q424*'Your Mortgage'!$C$7/12,0)</x:f>
        <x:v>0</x:v>
      </x:c>
      <x:c r="S424" s="106" t="n">
        <x:f>IF(Q424&gt;0,MIN('Your Mortgage'!$C$11,Q424+R424),0)</x:f>
        <x:v>0</x:v>
      </x:c>
      <x:c r="T424" s="106" t="n">
        <x:f>IF(Q424&gt;0,MIN('Your Mortgage'!$I$6,MAX(0,Q424+R424-S424)),0)</x:f>
        <x:v>0</x:v>
      </x:c>
      <x:c r="U424" s="106" t="n">
        <x:f>IF(AND(A424='Your Mortgage'!$I$8,Q424&gt;0),MIN('Your Mortgage'!$I$7,MAX(0,Q424+R424-S424-T424)),0)</x:f>
        <x:v>0</x:v>
      </x:c>
      <x:c r="V424" s="106" t="n">
        <x:f>S424+T424+U424</x:f>
        <x:v>0</x:v>
      </x:c>
      <x:c r="W424" s="106" t="n">
        <x:f>MAX(0,V424-R424)</x:f>
        <x:v>0</x:v>
      </x:c>
      <x:c r="X424" s="106" t="n">
        <x:f>MAX(0,Q424-W424)</x:f>
        <x:v>0</x:v>
      </x:c>
      <x:c r="Y424" s="1"/>
      <x:c r="Z424" s="1"/>
    </x:row>
    <x:row r="425">
      <x:c r="A425" s="100" t="n">
        <x:f>A424+1</x:f>
        <x:v>420</x:v>
      </x:c>
      <x:c r="B425" s="103" t="n">
        <x:f>EDATE(B424,1)</x:f>
        <x:v>58988</x:v>
      </x:c>
      <x:c r="C425" s="104" t="n">
        <x:f>H424</x:f>
        <x:v>0</x:v>
      </x:c>
      <x:c r="D425" s="104" t="n">
        <x:f>IF(C425&gt;0,C425*'Your Mortgage'!$C$7/12,0)</x:f>
        <x:v>0</x:v>
      </x:c>
      <x:c r="E425" s="104" t="n">
        <x:f>IF(C425&gt;0,MIN('Your Mortgage'!$C$11,C425+D425),0)</x:f>
        <x:v>0</x:v>
      </x:c>
      <x:c r="F425" s="104" t="n">
        <x:f>E425</x:f>
        <x:v>0</x:v>
      </x:c>
      <x:c r="G425" s="104" t="n">
        <x:f>MAX(0,F425-D425)</x:f>
        <x:v>0</x:v>
      </x:c>
      <x:c r="H425" s="104" t="n">
        <x:f>MAX(0,C425-G425)</x:f>
        <x:v>0</x:v>
      </x:c>
      <x:c r="I425" s="105" t="n">
        <x:f>P424</x:f>
        <x:v>0</x:v>
      </x:c>
      <x:c r="J425" s="105" t="n">
        <x:f>IF(I425&gt;0,I425*'Your Mortgage'!$C$7/12,0)</x:f>
        <x:v>0</x:v>
      </x:c>
      <x:c r="K425" s="105" t="n">
        <x:f>IF(I425&gt;0,MIN('Your Mortgage'!$C$11,I425+J425),0)</x:f>
        <x:v>0</x:v>
      </x:c>
      <x:c r="L425" s="105" t="n">
        <x:f>IF(I425&gt;0,MIN('Your Mortgage'!$F$6,MAX(0,I425+J425-K425)),0)</x:f>
        <x:v>0</x:v>
      </x:c>
      <x:c r="M425" s="105" t="n">
        <x:f>IF(AND(A425='Your Mortgage'!$F$8,I425&gt;0),MIN('Your Mortgage'!$F$7,MAX(0,I425+J425-K425-L425)),0)</x:f>
        <x:v>0</x:v>
      </x:c>
      <x:c r="N425" s="105" t="n">
        <x:f>K425+L425+M425</x:f>
        <x:v>0</x:v>
      </x:c>
      <x:c r="O425" s="105" t="n">
        <x:f>MAX(0,N425-J425)</x:f>
        <x:v>0</x:v>
      </x:c>
      <x:c r="P425" s="105" t="n">
        <x:f>MAX(0,I425-O425)</x:f>
        <x:v>0</x:v>
      </x:c>
      <x:c r="Q425" s="106" t="n">
        <x:f>X424</x:f>
        <x:v>0</x:v>
      </x:c>
      <x:c r="R425" s="106" t="n">
        <x:f>IF(Q425&gt;0,Q425*'Your Mortgage'!$C$7/12,0)</x:f>
        <x:v>0</x:v>
      </x:c>
      <x:c r="S425" s="106" t="n">
        <x:f>IF(Q425&gt;0,MIN('Your Mortgage'!$C$11,Q425+R425),0)</x:f>
        <x:v>0</x:v>
      </x:c>
      <x:c r="T425" s="106" t="n">
        <x:f>IF(Q425&gt;0,MIN('Your Mortgage'!$I$6,MAX(0,Q425+R425-S425)),0)</x:f>
        <x:v>0</x:v>
      </x:c>
      <x:c r="U425" s="106" t="n">
        <x:f>IF(AND(A425='Your Mortgage'!$I$8,Q425&gt;0),MIN('Your Mortgage'!$I$7,MAX(0,Q425+R425-S425-T425)),0)</x:f>
        <x:v>0</x:v>
      </x:c>
      <x:c r="V425" s="106" t="n">
        <x:f>S425+T425+U425</x:f>
        <x:v>0</x:v>
      </x:c>
      <x:c r="W425" s="106" t="n">
        <x:f>MAX(0,V425-R425)</x:f>
        <x:v>0</x:v>
      </x:c>
      <x:c r="X425" s="106" t="n">
        <x:f>MAX(0,Q425-W425)</x:f>
        <x:v>0</x:v>
      </x:c>
      <x:c r="Y425" s="1"/>
      <x:c r="Z425" s="1"/>
    </x:row>
    <x:row r="426">
      <x:c r="A426" s="100" t="n">
        <x:f>A425+1</x:f>
        <x:v>421</x:v>
      </x:c>
      <x:c r="B426" s="103" t="n">
        <x:f>EDATE(B425,1)</x:f>
        <x:v>59019</x:v>
      </x:c>
      <x:c r="C426" s="104" t="n">
        <x:f>H425</x:f>
        <x:v>0</x:v>
      </x:c>
      <x:c r="D426" s="104" t="n">
        <x:f>IF(C426&gt;0,C426*'Your Mortgage'!$C$7/12,0)</x:f>
        <x:v>0</x:v>
      </x:c>
      <x:c r="E426" s="104" t="n">
        <x:f>IF(C426&gt;0,MIN('Your Mortgage'!$C$11,C426+D426),0)</x:f>
        <x:v>0</x:v>
      </x:c>
      <x:c r="F426" s="104" t="n">
        <x:f>E426</x:f>
        <x:v>0</x:v>
      </x:c>
      <x:c r="G426" s="104" t="n">
        <x:f>MAX(0,F426-D426)</x:f>
        <x:v>0</x:v>
      </x:c>
      <x:c r="H426" s="104" t="n">
        <x:f>MAX(0,C426-G426)</x:f>
        <x:v>0</x:v>
      </x:c>
      <x:c r="I426" s="105" t="n">
        <x:f>P425</x:f>
        <x:v>0</x:v>
      </x:c>
      <x:c r="J426" s="105" t="n">
        <x:f>IF(I426&gt;0,I426*'Your Mortgage'!$C$7/12,0)</x:f>
        <x:v>0</x:v>
      </x:c>
      <x:c r="K426" s="105" t="n">
        <x:f>IF(I426&gt;0,MIN('Your Mortgage'!$C$11,I426+J426),0)</x:f>
        <x:v>0</x:v>
      </x:c>
      <x:c r="L426" s="105" t="n">
        <x:f>IF(I426&gt;0,MIN('Your Mortgage'!$F$6,MAX(0,I426+J426-K426)),0)</x:f>
        <x:v>0</x:v>
      </x:c>
      <x:c r="M426" s="105" t="n">
        <x:f>IF(AND(A426='Your Mortgage'!$F$8,I426&gt;0),MIN('Your Mortgage'!$F$7,MAX(0,I426+J426-K426-L426)),0)</x:f>
        <x:v>0</x:v>
      </x:c>
      <x:c r="N426" s="105" t="n">
        <x:f>K426+L426+M426</x:f>
        <x:v>0</x:v>
      </x:c>
      <x:c r="O426" s="105" t="n">
        <x:f>MAX(0,N426-J426)</x:f>
        <x:v>0</x:v>
      </x:c>
      <x:c r="P426" s="105" t="n">
        <x:f>MAX(0,I426-O426)</x:f>
        <x:v>0</x:v>
      </x:c>
      <x:c r="Q426" s="106" t="n">
        <x:f>X425</x:f>
        <x:v>0</x:v>
      </x:c>
      <x:c r="R426" s="106" t="n">
        <x:f>IF(Q426&gt;0,Q426*'Your Mortgage'!$C$7/12,0)</x:f>
        <x:v>0</x:v>
      </x:c>
      <x:c r="S426" s="106" t="n">
        <x:f>IF(Q426&gt;0,MIN('Your Mortgage'!$C$11,Q426+R426),0)</x:f>
        <x:v>0</x:v>
      </x:c>
      <x:c r="T426" s="106" t="n">
        <x:f>IF(Q426&gt;0,MIN('Your Mortgage'!$I$6,MAX(0,Q426+R426-S426)),0)</x:f>
        <x:v>0</x:v>
      </x:c>
      <x:c r="U426" s="106" t="n">
        <x:f>IF(AND(A426='Your Mortgage'!$I$8,Q426&gt;0),MIN('Your Mortgage'!$I$7,MAX(0,Q426+R426-S426-T426)),0)</x:f>
        <x:v>0</x:v>
      </x:c>
      <x:c r="V426" s="106" t="n">
        <x:f>S426+T426+U426</x:f>
        <x:v>0</x:v>
      </x:c>
      <x:c r="W426" s="106" t="n">
        <x:f>MAX(0,V426-R426)</x:f>
        <x:v>0</x:v>
      </x:c>
      <x:c r="X426" s="106" t="n">
        <x:f>MAX(0,Q426-W426)</x:f>
        <x:v>0</x:v>
      </x:c>
      <x:c r="Y426" s="1"/>
      <x:c r="Z426" s="1"/>
    </x:row>
    <x:row r="427">
      <x:c r="A427" s="100" t="n">
        <x:f>A426+1</x:f>
        <x:v>422</x:v>
      </x:c>
      <x:c r="B427" s="103" t="n">
        <x:f>EDATE(B426,1)</x:f>
        <x:v>59050</x:v>
      </x:c>
      <x:c r="C427" s="104" t="n">
        <x:f>H426</x:f>
        <x:v>0</x:v>
      </x:c>
      <x:c r="D427" s="104" t="n">
        <x:f>IF(C427&gt;0,C427*'Your Mortgage'!$C$7/12,0)</x:f>
        <x:v>0</x:v>
      </x:c>
      <x:c r="E427" s="104" t="n">
        <x:f>IF(C427&gt;0,MIN('Your Mortgage'!$C$11,C427+D427),0)</x:f>
        <x:v>0</x:v>
      </x:c>
      <x:c r="F427" s="104" t="n">
        <x:f>E427</x:f>
        <x:v>0</x:v>
      </x:c>
      <x:c r="G427" s="104" t="n">
        <x:f>MAX(0,F427-D427)</x:f>
        <x:v>0</x:v>
      </x:c>
      <x:c r="H427" s="104" t="n">
        <x:f>MAX(0,C427-G427)</x:f>
        <x:v>0</x:v>
      </x:c>
      <x:c r="I427" s="105" t="n">
        <x:f>P426</x:f>
        <x:v>0</x:v>
      </x:c>
      <x:c r="J427" s="105" t="n">
        <x:f>IF(I427&gt;0,I427*'Your Mortgage'!$C$7/12,0)</x:f>
        <x:v>0</x:v>
      </x:c>
      <x:c r="K427" s="105" t="n">
        <x:f>IF(I427&gt;0,MIN('Your Mortgage'!$C$11,I427+J427),0)</x:f>
        <x:v>0</x:v>
      </x:c>
      <x:c r="L427" s="105" t="n">
        <x:f>IF(I427&gt;0,MIN('Your Mortgage'!$F$6,MAX(0,I427+J427-K427)),0)</x:f>
        <x:v>0</x:v>
      </x:c>
      <x:c r="M427" s="105" t="n">
        <x:f>IF(AND(A427='Your Mortgage'!$F$8,I427&gt;0),MIN('Your Mortgage'!$F$7,MAX(0,I427+J427-K427-L427)),0)</x:f>
        <x:v>0</x:v>
      </x:c>
      <x:c r="N427" s="105" t="n">
        <x:f>K427+L427+M427</x:f>
        <x:v>0</x:v>
      </x:c>
      <x:c r="O427" s="105" t="n">
        <x:f>MAX(0,N427-J427)</x:f>
        <x:v>0</x:v>
      </x:c>
      <x:c r="P427" s="105" t="n">
        <x:f>MAX(0,I427-O427)</x:f>
        <x:v>0</x:v>
      </x:c>
      <x:c r="Q427" s="106" t="n">
        <x:f>X426</x:f>
        <x:v>0</x:v>
      </x:c>
      <x:c r="R427" s="106" t="n">
        <x:f>IF(Q427&gt;0,Q427*'Your Mortgage'!$C$7/12,0)</x:f>
        <x:v>0</x:v>
      </x:c>
      <x:c r="S427" s="106" t="n">
        <x:f>IF(Q427&gt;0,MIN('Your Mortgage'!$C$11,Q427+R427),0)</x:f>
        <x:v>0</x:v>
      </x:c>
      <x:c r="T427" s="106" t="n">
        <x:f>IF(Q427&gt;0,MIN('Your Mortgage'!$I$6,MAX(0,Q427+R427-S427)),0)</x:f>
        <x:v>0</x:v>
      </x:c>
      <x:c r="U427" s="106" t="n">
        <x:f>IF(AND(A427='Your Mortgage'!$I$8,Q427&gt;0),MIN('Your Mortgage'!$I$7,MAX(0,Q427+R427-S427-T427)),0)</x:f>
        <x:v>0</x:v>
      </x:c>
      <x:c r="V427" s="106" t="n">
        <x:f>S427+T427+U427</x:f>
        <x:v>0</x:v>
      </x:c>
      <x:c r="W427" s="106" t="n">
        <x:f>MAX(0,V427-R427)</x:f>
        <x:v>0</x:v>
      </x:c>
      <x:c r="X427" s="106" t="n">
        <x:f>MAX(0,Q427-W427)</x:f>
        <x:v>0</x:v>
      </x:c>
      <x:c r="Y427" s="1"/>
      <x:c r="Z427" s="1"/>
    </x:row>
    <x:row r="428">
      <x:c r="A428" s="100" t="n">
        <x:f>A427+1</x:f>
        <x:v>423</x:v>
      </x:c>
      <x:c r="B428" s="103" t="n">
        <x:f>EDATE(B427,1)</x:f>
        <x:v>59080</x:v>
      </x:c>
      <x:c r="C428" s="104" t="n">
        <x:f>H427</x:f>
        <x:v>0</x:v>
      </x:c>
      <x:c r="D428" s="104" t="n">
        <x:f>IF(C428&gt;0,C428*'Your Mortgage'!$C$7/12,0)</x:f>
        <x:v>0</x:v>
      </x:c>
      <x:c r="E428" s="104" t="n">
        <x:f>IF(C428&gt;0,MIN('Your Mortgage'!$C$11,C428+D428),0)</x:f>
        <x:v>0</x:v>
      </x:c>
      <x:c r="F428" s="104" t="n">
        <x:f>E428</x:f>
        <x:v>0</x:v>
      </x:c>
      <x:c r="G428" s="104" t="n">
        <x:f>MAX(0,F428-D428)</x:f>
        <x:v>0</x:v>
      </x:c>
      <x:c r="H428" s="104" t="n">
        <x:f>MAX(0,C428-G428)</x:f>
        <x:v>0</x:v>
      </x:c>
      <x:c r="I428" s="105" t="n">
        <x:f>P427</x:f>
        <x:v>0</x:v>
      </x:c>
      <x:c r="J428" s="105" t="n">
        <x:f>IF(I428&gt;0,I428*'Your Mortgage'!$C$7/12,0)</x:f>
        <x:v>0</x:v>
      </x:c>
      <x:c r="K428" s="105" t="n">
        <x:f>IF(I428&gt;0,MIN('Your Mortgage'!$C$11,I428+J428),0)</x:f>
        <x:v>0</x:v>
      </x:c>
      <x:c r="L428" s="105" t="n">
        <x:f>IF(I428&gt;0,MIN('Your Mortgage'!$F$6,MAX(0,I428+J428-K428)),0)</x:f>
        <x:v>0</x:v>
      </x:c>
      <x:c r="M428" s="105" t="n">
        <x:f>IF(AND(A428='Your Mortgage'!$F$8,I428&gt;0),MIN('Your Mortgage'!$F$7,MAX(0,I428+J428-K428-L428)),0)</x:f>
        <x:v>0</x:v>
      </x:c>
      <x:c r="N428" s="105" t="n">
        <x:f>K428+L428+M428</x:f>
        <x:v>0</x:v>
      </x:c>
      <x:c r="O428" s="105" t="n">
        <x:f>MAX(0,N428-J428)</x:f>
        <x:v>0</x:v>
      </x:c>
      <x:c r="P428" s="105" t="n">
        <x:f>MAX(0,I428-O428)</x:f>
        <x:v>0</x:v>
      </x:c>
      <x:c r="Q428" s="106" t="n">
        <x:f>X427</x:f>
        <x:v>0</x:v>
      </x:c>
      <x:c r="R428" s="106" t="n">
        <x:f>IF(Q428&gt;0,Q428*'Your Mortgage'!$C$7/12,0)</x:f>
        <x:v>0</x:v>
      </x:c>
      <x:c r="S428" s="106" t="n">
        <x:f>IF(Q428&gt;0,MIN('Your Mortgage'!$C$11,Q428+R428),0)</x:f>
        <x:v>0</x:v>
      </x:c>
      <x:c r="T428" s="106" t="n">
        <x:f>IF(Q428&gt;0,MIN('Your Mortgage'!$I$6,MAX(0,Q428+R428-S428)),0)</x:f>
        <x:v>0</x:v>
      </x:c>
      <x:c r="U428" s="106" t="n">
        <x:f>IF(AND(A428='Your Mortgage'!$I$8,Q428&gt;0),MIN('Your Mortgage'!$I$7,MAX(0,Q428+R428-S428-T428)),0)</x:f>
        <x:v>0</x:v>
      </x:c>
      <x:c r="V428" s="106" t="n">
        <x:f>S428+T428+U428</x:f>
        <x:v>0</x:v>
      </x:c>
      <x:c r="W428" s="106" t="n">
        <x:f>MAX(0,V428-R428)</x:f>
        <x:v>0</x:v>
      </x:c>
      <x:c r="X428" s="106" t="n">
        <x:f>MAX(0,Q428-W428)</x:f>
        <x:v>0</x:v>
      </x:c>
      <x:c r="Y428" s="1"/>
      <x:c r="Z428" s="1"/>
    </x:row>
    <x:row r="429">
      <x:c r="A429" s="100" t="n">
        <x:f>A428+1</x:f>
        <x:v>424</x:v>
      </x:c>
      <x:c r="B429" s="103" t="n">
        <x:f>EDATE(B428,1)</x:f>
        <x:v>59111</x:v>
      </x:c>
      <x:c r="C429" s="104" t="n">
        <x:f>H428</x:f>
        <x:v>0</x:v>
      </x:c>
      <x:c r="D429" s="104" t="n">
        <x:f>IF(C429&gt;0,C429*'Your Mortgage'!$C$7/12,0)</x:f>
        <x:v>0</x:v>
      </x:c>
      <x:c r="E429" s="104" t="n">
        <x:f>IF(C429&gt;0,MIN('Your Mortgage'!$C$11,C429+D429),0)</x:f>
        <x:v>0</x:v>
      </x:c>
      <x:c r="F429" s="104" t="n">
        <x:f>E429</x:f>
        <x:v>0</x:v>
      </x:c>
      <x:c r="G429" s="104" t="n">
        <x:f>MAX(0,F429-D429)</x:f>
        <x:v>0</x:v>
      </x:c>
      <x:c r="H429" s="104" t="n">
        <x:f>MAX(0,C429-G429)</x:f>
        <x:v>0</x:v>
      </x:c>
      <x:c r="I429" s="105" t="n">
        <x:f>P428</x:f>
        <x:v>0</x:v>
      </x:c>
      <x:c r="J429" s="105" t="n">
        <x:f>IF(I429&gt;0,I429*'Your Mortgage'!$C$7/12,0)</x:f>
        <x:v>0</x:v>
      </x:c>
      <x:c r="K429" s="105" t="n">
        <x:f>IF(I429&gt;0,MIN('Your Mortgage'!$C$11,I429+J429),0)</x:f>
        <x:v>0</x:v>
      </x:c>
      <x:c r="L429" s="105" t="n">
        <x:f>IF(I429&gt;0,MIN('Your Mortgage'!$F$6,MAX(0,I429+J429-K429)),0)</x:f>
        <x:v>0</x:v>
      </x:c>
      <x:c r="M429" s="105" t="n">
        <x:f>IF(AND(A429='Your Mortgage'!$F$8,I429&gt;0),MIN('Your Mortgage'!$F$7,MAX(0,I429+J429-K429-L429)),0)</x:f>
        <x:v>0</x:v>
      </x:c>
      <x:c r="N429" s="105" t="n">
        <x:f>K429+L429+M429</x:f>
        <x:v>0</x:v>
      </x:c>
      <x:c r="O429" s="105" t="n">
        <x:f>MAX(0,N429-J429)</x:f>
        <x:v>0</x:v>
      </x:c>
      <x:c r="P429" s="105" t="n">
        <x:f>MAX(0,I429-O429)</x:f>
        <x:v>0</x:v>
      </x:c>
      <x:c r="Q429" s="106" t="n">
        <x:f>X428</x:f>
        <x:v>0</x:v>
      </x:c>
      <x:c r="R429" s="106" t="n">
        <x:f>IF(Q429&gt;0,Q429*'Your Mortgage'!$C$7/12,0)</x:f>
        <x:v>0</x:v>
      </x:c>
      <x:c r="S429" s="106" t="n">
        <x:f>IF(Q429&gt;0,MIN('Your Mortgage'!$C$11,Q429+R429),0)</x:f>
        <x:v>0</x:v>
      </x:c>
      <x:c r="T429" s="106" t="n">
        <x:f>IF(Q429&gt;0,MIN('Your Mortgage'!$I$6,MAX(0,Q429+R429-S429)),0)</x:f>
        <x:v>0</x:v>
      </x:c>
      <x:c r="U429" s="106" t="n">
        <x:f>IF(AND(A429='Your Mortgage'!$I$8,Q429&gt;0),MIN('Your Mortgage'!$I$7,MAX(0,Q429+R429-S429-T429)),0)</x:f>
        <x:v>0</x:v>
      </x:c>
      <x:c r="V429" s="106" t="n">
        <x:f>S429+T429+U429</x:f>
        <x:v>0</x:v>
      </x:c>
      <x:c r="W429" s="106" t="n">
        <x:f>MAX(0,V429-R429)</x:f>
        <x:v>0</x:v>
      </x:c>
      <x:c r="X429" s="106" t="n">
        <x:f>MAX(0,Q429-W429)</x:f>
        <x:v>0</x:v>
      </x:c>
      <x:c r="Y429" s="1"/>
      <x:c r="Z429" s="1"/>
    </x:row>
    <x:row r="430">
      <x:c r="A430" s="100" t="n">
        <x:f>A429+1</x:f>
        <x:v>425</x:v>
      </x:c>
      <x:c r="B430" s="103" t="n">
        <x:f>EDATE(B429,1)</x:f>
        <x:v>59141</x:v>
      </x:c>
      <x:c r="C430" s="104" t="n">
        <x:f>H429</x:f>
        <x:v>0</x:v>
      </x:c>
      <x:c r="D430" s="104" t="n">
        <x:f>IF(C430&gt;0,C430*'Your Mortgage'!$C$7/12,0)</x:f>
        <x:v>0</x:v>
      </x:c>
      <x:c r="E430" s="104" t="n">
        <x:f>IF(C430&gt;0,MIN('Your Mortgage'!$C$11,C430+D430),0)</x:f>
        <x:v>0</x:v>
      </x:c>
      <x:c r="F430" s="104" t="n">
        <x:f>E430</x:f>
        <x:v>0</x:v>
      </x:c>
      <x:c r="G430" s="104" t="n">
        <x:f>MAX(0,F430-D430)</x:f>
        <x:v>0</x:v>
      </x:c>
      <x:c r="H430" s="104" t="n">
        <x:f>MAX(0,C430-G430)</x:f>
        <x:v>0</x:v>
      </x:c>
      <x:c r="I430" s="105" t="n">
        <x:f>P429</x:f>
        <x:v>0</x:v>
      </x:c>
      <x:c r="J430" s="105" t="n">
        <x:f>IF(I430&gt;0,I430*'Your Mortgage'!$C$7/12,0)</x:f>
        <x:v>0</x:v>
      </x:c>
      <x:c r="K430" s="105" t="n">
        <x:f>IF(I430&gt;0,MIN('Your Mortgage'!$C$11,I430+J430),0)</x:f>
        <x:v>0</x:v>
      </x:c>
      <x:c r="L430" s="105" t="n">
        <x:f>IF(I430&gt;0,MIN('Your Mortgage'!$F$6,MAX(0,I430+J430-K430)),0)</x:f>
        <x:v>0</x:v>
      </x:c>
      <x:c r="M430" s="105" t="n">
        <x:f>IF(AND(A430='Your Mortgage'!$F$8,I430&gt;0),MIN('Your Mortgage'!$F$7,MAX(0,I430+J430-K430-L430)),0)</x:f>
        <x:v>0</x:v>
      </x:c>
      <x:c r="N430" s="105" t="n">
        <x:f>K430+L430+M430</x:f>
        <x:v>0</x:v>
      </x:c>
      <x:c r="O430" s="105" t="n">
        <x:f>MAX(0,N430-J430)</x:f>
        <x:v>0</x:v>
      </x:c>
      <x:c r="P430" s="105" t="n">
        <x:f>MAX(0,I430-O430)</x:f>
        <x:v>0</x:v>
      </x:c>
      <x:c r="Q430" s="106" t="n">
        <x:f>X429</x:f>
        <x:v>0</x:v>
      </x:c>
      <x:c r="R430" s="106" t="n">
        <x:f>IF(Q430&gt;0,Q430*'Your Mortgage'!$C$7/12,0)</x:f>
        <x:v>0</x:v>
      </x:c>
      <x:c r="S430" s="106" t="n">
        <x:f>IF(Q430&gt;0,MIN('Your Mortgage'!$C$11,Q430+R430),0)</x:f>
        <x:v>0</x:v>
      </x:c>
      <x:c r="T430" s="106" t="n">
        <x:f>IF(Q430&gt;0,MIN('Your Mortgage'!$I$6,MAX(0,Q430+R430-S430)),0)</x:f>
        <x:v>0</x:v>
      </x:c>
      <x:c r="U430" s="106" t="n">
        <x:f>IF(AND(A430='Your Mortgage'!$I$8,Q430&gt;0),MIN('Your Mortgage'!$I$7,MAX(0,Q430+R430-S430-T430)),0)</x:f>
        <x:v>0</x:v>
      </x:c>
      <x:c r="V430" s="106" t="n">
        <x:f>S430+T430+U430</x:f>
        <x:v>0</x:v>
      </x:c>
      <x:c r="W430" s="106" t="n">
        <x:f>MAX(0,V430-R430)</x:f>
        <x:v>0</x:v>
      </x:c>
      <x:c r="X430" s="106" t="n">
        <x:f>MAX(0,Q430-W430)</x:f>
        <x:v>0</x:v>
      </x:c>
      <x:c r="Y430" s="1"/>
      <x:c r="Z430" s="1"/>
    </x:row>
    <x:row r="431">
      <x:c r="A431" s="100" t="n">
        <x:f>A430+1</x:f>
        <x:v>426</x:v>
      </x:c>
      <x:c r="B431" s="103" t="n">
        <x:f>EDATE(B430,1)</x:f>
        <x:v>59172</x:v>
      </x:c>
      <x:c r="C431" s="104" t="n">
        <x:f>H430</x:f>
        <x:v>0</x:v>
      </x:c>
      <x:c r="D431" s="104" t="n">
        <x:f>IF(C431&gt;0,C431*'Your Mortgage'!$C$7/12,0)</x:f>
        <x:v>0</x:v>
      </x:c>
      <x:c r="E431" s="104" t="n">
        <x:f>IF(C431&gt;0,MIN('Your Mortgage'!$C$11,C431+D431),0)</x:f>
        <x:v>0</x:v>
      </x:c>
      <x:c r="F431" s="104" t="n">
        <x:f>E431</x:f>
        <x:v>0</x:v>
      </x:c>
      <x:c r="G431" s="104" t="n">
        <x:f>MAX(0,F431-D431)</x:f>
        <x:v>0</x:v>
      </x:c>
      <x:c r="H431" s="104" t="n">
        <x:f>MAX(0,C431-G431)</x:f>
        <x:v>0</x:v>
      </x:c>
      <x:c r="I431" s="105" t="n">
        <x:f>P430</x:f>
        <x:v>0</x:v>
      </x:c>
      <x:c r="J431" s="105" t="n">
        <x:f>IF(I431&gt;0,I431*'Your Mortgage'!$C$7/12,0)</x:f>
        <x:v>0</x:v>
      </x:c>
      <x:c r="K431" s="105" t="n">
        <x:f>IF(I431&gt;0,MIN('Your Mortgage'!$C$11,I431+J431),0)</x:f>
        <x:v>0</x:v>
      </x:c>
      <x:c r="L431" s="105" t="n">
        <x:f>IF(I431&gt;0,MIN('Your Mortgage'!$F$6,MAX(0,I431+J431-K431)),0)</x:f>
        <x:v>0</x:v>
      </x:c>
      <x:c r="M431" s="105" t="n">
        <x:f>IF(AND(A431='Your Mortgage'!$F$8,I431&gt;0),MIN('Your Mortgage'!$F$7,MAX(0,I431+J431-K431-L431)),0)</x:f>
        <x:v>0</x:v>
      </x:c>
      <x:c r="N431" s="105" t="n">
        <x:f>K431+L431+M431</x:f>
        <x:v>0</x:v>
      </x:c>
      <x:c r="O431" s="105" t="n">
        <x:f>MAX(0,N431-J431)</x:f>
        <x:v>0</x:v>
      </x:c>
      <x:c r="P431" s="105" t="n">
        <x:f>MAX(0,I431-O431)</x:f>
        <x:v>0</x:v>
      </x:c>
      <x:c r="Q431" s="106" t="n">
        <x:f>X430</x:f>
        <x:v>0</x:v>
      </x:c>
      <x:c r="R431" s="106" t="n">
        <x:f>IF(Q431&gt;0,Q431*'Your Mortgage'!$C$7/12,0)</x:f>
        <x:v>0</x:v>
      </x:c>
      <x:c r="S431" s="106" t="n">
        <x:f>IF(Q431&gt;0,MIN('Your Mortgage'!$C$11,Q431+R431),0)</x:f>
        <x:v>0</x:v>
      </x:c>
      <x:c r="T431" s="106" t="n">
        <x:f>IF(Q431&gt;0,MIN('Your Mortgage'!$I$6,MAX(0,Q431+R431-S431)),0)</x:f>
        <x:v>0</x:v>
      </x:c>
      <x:c r="U431" s="106" t="n">
        <x:f>IF(AND(A431='Your Mortgage'!$I$8,Q431&gt;0),MIN('Your Mortgage'!$I$7,MAX(0,Q431+R431-S431-T431)),0)</x:f>
        <x:v>0</x:v>
      </x:c>
      <x:c r="V431" s="106" t="n">
        <x:f>S431+T431+U431</x:f>
        <x:v>0</x:v>
      </x:c>
      <x:c r="W431" s="106" t="n">
        <x:f>MAX(0,V431-R431)</x:f>
        <x:v>0</x:v>
      </x:c>
      <x:c r="X431" s="106" t="n">
        <x:f>MAX(0,Q431-W431)</x:f>
        <x:v>0</x:v>
      </x:c>
      <x:c r="Y431" s="1"/>
      <x:c r="Z431" s="1"/>
    </x:row>
    <x:row r="432">
      <x:c r="A432" s="100" t="n">
        <x:f>A431+1</x:f>
        <x:v>427</x:v>
      </x:c>
      <x:c r="B432" s="103" t="n">
        <x:f>EDATE(B431,1)</x:f>
        <x:v>59203</x:v>
      </x:c>
      <x:c r="C432" s="104" t="n">
        <x:f>H431</x:f>
        <x:v>0</x:v>
      </x:c>
      <x:c r="D432" s="104" t="n">
        <x:f>IF(C432&gt;0,C432*'Your Mortgage'!$C$7/12,0)</x:f>
        <x:v>0</x:v>
      </x:c>
      <x:c r="E432" s="104" t="n">
        <x:f>IF(C432&gt;0,MIN('Your Mortgage'!$C$11,C432+D432),0)</x:f>
        <x:v>0</x:v>
      </x:c>
      <x:c r="F432" s="104" t="n">
        <x:f>E432</x:f>
        <x:v>0</x:v>
      </x:c>
      <x:c r="G432" s="104" t="n">
        <x:f>MAX(0,F432-D432)</x:f>
        <x:v>0</x:v>
      </x:c>
      <x:c r="H432" s="104" t="n">
        <x:f>MAX(0,C432-G432)</x:f>
        <x:v>0</x:v>
      </x:c>
      <x:c r="I432" s="105" t="n">
        <x:f>P431</x:f>
        <x:v>0</x:v>
      </x:c>
      <x:c r="J432" s="105" t="n">
        <x:f>IF(I432&gt;0,I432*'Your Mortgage'!$C$7/12,0)</x:f>
        <x:v>0</x:v>
      </x:c>
      <x:c r="K432" s="105" t="n">
        <x:f>IF(I432&gt;0,MIN('Your Mortgage'!$C$11,I432+J432),0)</x:f>
        <x:v>0</x:v>
      </x:c>
      <x:c r="L432" s="105" t="n">
        <x:f>IF(I432&gt;0,MIN('Your Mortgage'!$F$6,MAX(0,I432+J432-K432)),0)</x:f>
        <x:v>0</x:v>
      </x:c>
      <x:c r="M432" s="105" t="n">
        <x:f>IF(AND(A432='Your Mortgage'!$F$8,I432&gt;0),MIN('Your Mortgage'!$F$7,MAX(0,I432+J432-K432-L432)),0)</x:f>
        <x:v>0</x:v>
      </x:c>
      <x:c r="N432" s="105" t="n">
        <x:f>K432+L432+M432</x:f>
        <x:v>0</x:v>
      </x:c>
      <x:c r="O432" s="105" t="n">
        <x:f>MAX(0,N432-J432)</x:f>
        <x:v>0</x:v>
      </x:c>
      <x:c r="P432" s="105" t="n">
        <x:f>MAX(0,I432-O432)</x:f>
        <x:v>0</x:v>
      </x:c>
      <x:c r="Q432" s="106" t="n">
        <x:f>X431</x:f>
        <x:v>0</x:v>
      </x:c>
      <x:c r="R432" s="106" t="n">
        <x:f>IF(Q432&gt;0,Q432*'Your Mortgage'!$C$7/12,0)</x:f>
        <x:v>0</x:v>
      </x:c>
      <x:c r="S432" s="106" t="n">
        <x:f>IF(Q432&gt;0,MIN('Your Mortgage'!$C$11,Q432+R432),0)</x:f>
        <x:v>0</x:v>
      </x:c>
      <x:c r="T432" s="106" t="n">
        <x:f>IF(Q432&gt;0,MIN('Your Mortgage'!$I$6,MAX(0,Q432+R432-S432)),0)</x:f>
        <x:v>0</x:v>
      </x:c>
      <x:c r="U432" s="106" t="n">
        <x:f>IF(AND(A432='Your Mortgage'!$I$8,Q432&gt;0),MIN('Your Mortgage'!$I$7,MAX(0,Q432+R432-S432-T432)),0)</x:f>
        <x:v>0</x:v>
      </x:c>
      <x:c r="V432" s="106" t="n">
        <x:f>S432+T432+U432</x:f>
        <x:v>0</x:v>
      </x:c>
      <x:c r="W432" s="106" t="n">
        <x:f>MAX(0,V432-R432)</x:f>
        <x:v>0</x:v>
      </x:c>
      <x:c r="X432" s="106" t="n">
        <x:f>MAX(0,Q432-W432)</x:f>
        <x:v>0</x:v>
      </x:c>
      <x:c r="Y432" s="1"/>
      <x:c r="Z432" s="1"/>
    </x:row>
    <x:row r="433">
      <x:c r="A433" s="100" t="n">
        <x:f>A432+1</x:f>
        <x:v>428</x:v>
      </x:c>
      <x:c r="B433" s="103" t="n">
        <x:f>EDATE(B432,1)</x:f>
        <x:v>59231</x:v>
      </x:c>
      <x:c r="C433" s="104" t="n">
        <x:f>H432</x:f>
        <x:v>0</x:v>
      </x:c>
      <x:c r="D433" s="104" t="n">
        <x:f>IF(C433&gt;0,C433*'Your Mortgage'!$C$7/12,0)</x:f>
        <x:v>0</x:v>
      </x:c>
      <x:c r="E433" s="104" t="n">
        <x:f>IF(C433&gt;0,MIN('Your Mortgage'!$C$11,C433+D433),0)</x:f>
        <x:v>0</x:v>
      </x:c>
      <x:c r="F433" s="104" t="n">
        <x:f>E433</x:f>
        <x:v>0</x:v>
      </x:c>
      <x:c r="G433" s="104" t="n">
        <x:f>MAX(0,F433-D433)</x:f>
        <x:v>0</x:v>
      </x:c>
      <x:c r="H433" s="104" t="n">
        <x:f>MAX(0,C433-G433)</x:f>
        <x:v>0</x:v>
      </x:c>
      <x:c r="I433" s="105" t="n">
        <x:f>P432</x:f>
        <x:v>0</x:v>
      </x:c>
      <x:c r="J433" s="105" t="n">
        <x:f>IF(I433&gt;0,I433*'Your Mortgage'!$C$7/12,0)</x:f>
        <x:v>0</x:v>
      </x:c>
      <x:c r="K433" s="105" t="n">
        <x:f>IF(I433&gt;0,MIN('Your Mortgage'!$C$11,I433+J433),0)</x:f>
        <x:v>0</x:v>
      </x:c>
      <x:c r="L433" s="105" t="n">
        <x:f>IF(I433&gt;0,MIN('Your Mortgage'!$F$6,MAX(0,I433+J433-K433)),0)</x:f>
        <x:v>0</x:v>
      </x:c>
      <x:c r="M433" s="105" t="n">
        <x:f>IF(AND(A433='Your Mortgage'!$F$8,I433&gt;0),MIN('Your Mortgage'!$F$7,MAX(0,I433+J433-K433-L433)),0)</x:f>
        <x:v>0</x:v>
      </x:c>
      <x:c r="N433" s="105" t="n">
        <x:f>K433+L433+M433</x:f>
        <x:v>0</x:v>
      </x:c>
      <x:c r="O433" s="105" t="n">
        <x:f>MAX(0,N433-J433)</x:f>
        <x:v>0</x:v>
      </x:c>
      <x:c r="P433" s="105" t="n">
        <x:f>MAX(0,I433-O433)</x:f>
        <x:v>0</x:v>
      </x:c>
      <x:c r="Q433" s="106" t="n">
        <x:f>X432</x:f>
        <x:v>0</x:v>
      </x:c>
      <x:c r="R433" s="106" t="n">
        <x:f>IF(Q433&gt;0,Q433*'Your Mortgage'!$C$7/12,0)</x:f>
        <x:v>0</x:v>
      </x:c>
      <x:c r="S433" s="106" t="n">
        <x:f>IF(Q433&gt;0,MIN('Your Mortgage'!$C$11,Q433+R433),0)</x:f>
        <x:v>0</x:v>
      </x:c>
      <x:c r="T433" s="106" t="n">
        <x:f>IF(Q433&gt;0,MIN('Your Mortgage'!$I$6,MAX(0,Q433+R433-S433)),0)</x:f>
        <x:v>0</x:v>
      </x:c>
      <x:c r="U433" s="106" t="n">
        <x:f>IF(AND(A433='Your Mortgage'!$I$8,Q433&gt;0),MIN('Your Mortgage'!$I$7,MAX(0,Q433+R433-S433-T433)),0)</x:f>
        <x:v>0</x:v>
      </x:c>
      <x:c r="V433" s="106" t="n">
        <x:f>S433+T433+U433</x:f>
        <x:v>0</x:v>
      </x:c>
      <x:c r="W433" s="106" t="n">
        <x:f>MAX(0,V433-R433)</x:f>
        <x:v>0</x:v>
      </x:c>
      <x:c r="X433" s="106" t="n">
        <x:f>MAX(0,Q433-W433)</x:f>
        <x:v>0</x:v>
      </x:c>
      <x:c r="Y433" s="1"/>
      <x:c r="Z433" s="1"/>
    </x:row>
    <x:row r="434">
      <x:c r="A434" s="100" t="n">
        <x:f>A433+1</x:f>
        <x:v>429</x:v>
      </x:c>
      <x:c r="B434" s="103" t="n">
        <x:f>EDATE(B433,1)</x:f>
        <x:v>59262</x:v>
      </x:c>
      <x:c r="C434" s="104" t="n">
        <x:f>H433</x:f>
        <x:v>0</x:v>
      </x:c>
      <x:c r="D434" s="104" t="n">
        <x:f>IF(C434&gt;0,C434*'Your Mortgage'!$C$7/12,0)</x:f>
        <x:v>0</x:v>
      </x:c>
      <x:c r="E434" s="104" t="n">
        <x:f>IF(C434&gt;0,MIN('Your Mortgage'!$C$11,C434+D434),0)</x:f>
        <x:v>0</x:v>
      </x:c>
      <x:c r="F434" s="104" t="n">
        <x:f>E434</x:f>
        <x:v>0</x:v>
      </x:c>
      <x:c r="G434" s="104" t="n">
        <x:f>MAX(0,F434-D434)</x:f>
        <x:v>0</x:v>
      </x:c>
      <x:c r="H434" s="104" t="n">
        <x:f>MAX(0,C434-G434)</x:f>
        <x:v>0</x:v>
      </x:c>
      <x:c r="I434" s="105" t="n">
        <x:f>P433</x:f>
        <x:v>0</x:v>
      </x:c>
      <x:c r="J434" s="105" t="n">
        <x:f>IF(I434&gt;0,I434*'Your Mortgage'!$C$7/12,0)</x:f>
        <x:v>0</x:v>
      </x:c>
      <x:c r="K434" s="105" t="n">
        <x:f>IF(I434&gt;0,MIN('Your Mortgage'!$C$11,I434+J434),0)</x:f>
        <x:v>0</x:v>
      </x:c>
      <x:c r="L434" s="105" t="n">
        <x:f>IF(I434&gt;0,MIN('Your Mortgage'!$F$6,MAX(0,I434+J434-K434)),0)</x:f>
        <x:v>0</x:v>
      </x:c>
      <x:c r="M434" s="105" t="n">
        <x:f>IF(AND(A434='Your Mortgage'!$F$8,I434&gt;0),MIN('Your Mortgage'!$F$7,MAX(0,I434+J434-K434-L434)),0)</x:f>
        <x:v>0</x:v>
      </x:c>
      <x:c r="N434" s="105" t="n">
        <x:f>K434+L434+M434</x:f>
        <x:v>0</x:v>
      </x:c>
      <x:c r="O434" s="105" t="n">
        <x:f>MAX(0,N434-J434)</x:f>
        <x:v>0</x:v>
      </x:c>
      <x:c r="P434" s="105" t="n">
        <x:f>MAX(0,I434-O434)</x:f>
        <x:v>0</x:v>
      </x:c>
      <x:c r="Q434" s="106" t="n">
        <x:f>X433</x:f>
        <x:v>0</x:v>
      </x:c>
      <x:c r="R434" s="106" t="n">
        <x:f>IF(Q434&gt;0,Q434*'Your Mortgage'!$C$7/12,0)</x:f>
        <x:v>0</x:v>
      </x:c>
      <x:c r="S434" s="106" t="n">
        <x:f>IF(Q434&gt;0,MIN('Your Mortgage'!$C$11,Q434+R434),0)</x:f>
        <x:v>0</x:v>
      </x:c>
      <x:c r="T434" s="106" t="n">
        <x:f>IF(Q434&gt;0,MIN('Your Mortgage'!$I$6,MAX(0,Q434+R434-S434)),0)</x:f>
        <x:v>0</x:v>
      </x:c>
      <x:c r="U434" s="106" t="n">
        <x:f>IF(AND(A434='Your Mortgage'!$I$8,Q434&gt;0),MIN('Your Mortgage'!$I$7,MAX(0,Q434+R434-S434-T434)),0)</x:f>
        <x:v>0</x:v>
      </x:c>
      <x:c r="V434" s="106" t="n">
        <x:f>S434+T434+U434</x:f>
        <x:v>0</x:v>
      </x:c>
      <x:c r="W434" s="106" t="n">
        <x:f>MAX(0,V434-R434)</x:f>
        <x:v>0</x:v>
      </x:c>
      <x:c r="X434" s="106" t="n">
        <x:f>MAX(0,Q434-W434)</x:f>
        <x:v>0</x:v>
      </x:c>
      <x:c r="Y434" s="1"/>
      <x:c r="Z434" s="1"/>
    </x:row>
    <x:row r="435">
      <x:c r="A435" s="100" t="n">
        <x:f>A434+1</x:f>
        <x:v>430</x:v>
      </x:c>
      <x:c r="B435" s="103" t="n">
        <x:f>EDATE(B434,1)</x:f>
        <x:v>59292</x:v>
      </x:c>
      <x:c r="C435" s="104" t="n">
        <x:f>H434</x:f>
        <x:v>0</x:v>
      </x:c>
      <x:c r="D435" s="104" t="n">
        <x:f>IF(C435&gt;0,C435*'Your Mortgage'!$C$7/12,0)</x:f>
        <x:v>0</x:v>
      </x:c>
      <x:c r="E435" s="104" t="n">
        <x:f>IF(C435&gt;0,MIN('Your Mortgage'!$C$11,C435+D435),0)</x:f>
        <x:v>0</x:v>
      </x:c>
      <x:c r="F435" s="104" t="n">
        <x:f>E435</x:f>
        <x:v>0</x:v>
      </x:c>
      <x:c r="G435" s="104" t="n">
        <x:f>MAX(0,F435-D435)</x:f>
        <x:v>0</x:v>
      </x:c>
      <x:c r="H435" s="104" t="n">
        <x:f>MAX(0,C435-G435)</x:f>
        <x:v>0</x:v>
      </x:c>
      <x:c r="I435" s="105" t="n">
        <x:f>P434</x:f>
        <x:v>0</x:v>
      </x:c>
      <x:c r="J435" s="105" t="n">
        <x:f>IF(I435&gt;0,I435*'Your Mortgage'!$C$7/12,0)</x:f>
        <x:v>0</x:v>
      </x:c>
      <x:c r="K435" s="105" t="n">
        <x:f>IF(I435&gt;0,MIN('Your Mortgage'!$C$11,I435+J435),0)</x:f>
        <x:v>0</x:v>
      </x:c>
      <x:c r="L435" s="105" t="n">
        <x:f>IF(I435&gt;0,MIN('Your Mortgage'!$F$6,MAX(0,I435+J435-K435)),0)</x:f>
        <x:v>0</x:v>
      </x:c>
      <x:c r="M435" s="105" t="n">
        <x:f>IF(AND(A435='Your Mortgage'!$F$8,I435&gt;0),MIN('Your Mortgage'!$F$7,MAX(0,I435+J435-K435-L435)),0)</x:f>
        <x:v>0</x:v>
      </x:c>
      <x:c r="N435" s="105" t="n">
        <x:f>K435+L435+M435</x:f>
        <x:v>0</x:v>
      </x:c>
      <x:c r="O435" s="105" t="n">
        <x:f>MAX(0,N435-J435)</x:f>
        <x:v>0</x:v>
      </x:c>
      <x:c r="P435" s="105" t="n">
        <x:f>MAX(0,I435-O435)</x:f>
        <x:v>0</x:v>
      </x:c>
      <x:c r="Q435" s="106" t="n">
        <x:f>X434</x:f>
        <x:v>0</x:v>
      </x:c>
      <x:c r="R435" s="106" t="n">
        <x:f>IF(Q435&gt;0,Q435*'Your Mortgage'!$C$7/12,0)</x:f>
        <x:v>0</x:v>
      </x:c>
      <x:c r="S435" s="106" t="n">
        <x:f>IF(Q435&gt;0,MIN('Your Mortgage'!$C$11,Q435+R435),0)</x:f>
        <x:v>0</x:v>
      </x:c>
      <x:c r="T435" s="106" t="n">
        <x:f>IF(Q435&gt;0,MIN('Your Mortgage'!$I$6,MAX(0,Q435+R435-S435)),0)</x:f>
        <x:v>0</x:v>
      </x:c>
      <x:c r="U435" s="106" t="n">
        <x:f>IF(AND(A435='Your Mortgage'!$I$8,Q435&gt;0),MIN('Your Mortgage'!$I$7,MAX(0,Q435+R435-S435-T435)),0)</x:f>
        <x:v>0</x:v>
      </x:c>
      <x:c r="V435" s="106" t="n">
        <x:f>S435+T435+U435</x:f>
        <x:v>0</x:v>
      </x:c>
      <x:c r="W435" s="106" t="n">
        <x:f>MAX(0,V435-R435)</x:f>
        <x:v>0</x:v>
      </x:c>
      <x:c r="X435" s="106" t="n">
        <x:f>MAX(0,Q435-W435)</x:f>
        <x:v>0</x:v>
      </x:c>
      <x:c r="Y435" s="1"/>
      <x:c r="Z435" s="1"/>
    </x:row>
    <x:row r="436">
      <x:c r="A436" s="100" t="n">
        <x:f>A435+1</x:f>
        <x:v>431</x:v>
      </x:c>
      <x:c r="B436" s="103" t="n">
        <x:f>EDATE(B435,1)</x:f>
        <x:v>59323</x:v>
      </x:c>
      <x:c r="C436" s="104" t="n">
        <x:f>H435</x:f>
        <x:v>0</x:v>
      </x:c>
      <x:c r="D436" s="104" t="n">
        <x:f>IF(C436&gt;0,C436*'Your Mortgage'!$C$7/12,0)</x:f>
        <x:v>0</x:v>
      </x:c>
      <x:c r="E436" s="104" t="n">
        <x:f>IF(C436&gt;0,MIN('Your Mortgage'!$C$11,C436+D436),0)</x:f>
        <x:v>0</x:v>
      </x:c>
      <x:c r="F436" s="104" t="n">
        <x:f>E436</x:f>
        <x:v>0</x:v>
      </x:c>
      <x:c r="G436" s="104" t="n">
        <x:f>MAX(0,F436-D436)</x:f>
        <x:v>0</x:v>
      </x:c>
      <x:c r="H436" s="104" t="n">
        <x:f>MAX(0,C436-G436)</x:f>
        <x:v>0</x:v>
      </x:c>
      <x:c r="I436" s="105" t="n">
        <x:f>P435</x:f>
        <x:v>0</x:v>
      </x:c>
      <x:c r="J436" s="105" t="n">
        <x:f>IF(I436&gt;0,I436*'Your Mortgage'!$C$7/12,0)</x:f>
        <x:v>0</x:v>
      </x:c>
      <x:c r="K436" s="105" t="n">
        <x:f>IF(I436&gt;0,MIN('Your Mortgage'!$C$11,I436+J436),0)</x:f>
        <x:v>0</x:v>
      </x:c>
      <x:c r="L436" s="105" t="n">
        <x:f>IF(I436&gt;0,MIN('Your Mortgage'!$F$6,MAX(0,I436+J436-K436)),0)</x:f>
        <x:v>0</x:v>
      </x:c>
      <x:c r="M436" s="105" t="n">
        <x:f>IF(AND(A436='Your Mortgage'!$F$8,I436&gt;0),MIN('Your Mortgage'!$F$7,MAX(0,I436+J436-K436-L436)),0)</x:f>
        <x:v>0</x:v>
      </x:c>
      <x:c r="N436" s="105" t="n">
        <x:f>K436+L436+M436</x:f>
        <x:v>0</x:v>
      </x:c>
      <x:c r="O436" s="105" t="n">
        <x:f>MAX(0,N436-J436)</x:f>
        <x:v>0</x:v>
      </x:c>
      <x:c r="P436" s="105" t="n">
        <x:f>MAX(0,I436-O436)</x:f>
        <x:v>0</x:v>
      </x:c>
      <x:c r="Q436" s="106" t="n">
        <x:f>X435</x:f>
        <x:v>0</x:v>
      </x:c>
      <x:c r="R436" s="106" t="n">
        <x:f>IF(Q436&gt;0,Q436*'Your Mortgage'!$C$7/12,0)</x:f>
        <x:v>0</x:v>
      </x:c>
      <x:c r="S436" s="106" t="n">
        <x:f>IF(Q436&gt;0,MIN('Your Mortgage'!$C$11,Q436+R436),0)</x:f>
        <x:v>0</x:v>
      </x:c>
      <x:c r="T436" s="106" t="n">
        <x:f>IF(Q436&gt;0,MIN('Your Mortgage'!$I$6,MAX(0,Q436+R436-S436)),0)</x:f>
        <x:v>0</x:v>
      </x:c>
      <x:c r="U436" s="106" t="n">
        <x:f>IF(AND(A436='Your Mortgage'!$I$8,Q436&gt;0),MIN('Your Mortgage'!$I$7,MAX(0,Q436+R436-S436-T436)),0)</x:f>
        <x:v>0</x:v>
      </x:c>
      <x:c r="V436" s="106" t="n">
        <x:f>S436+T436+U436</x:f>
        <x:v>0</x:v>
      </x:c>
      <x:c r="W436" s="106" t="n">
        <x:f>MAX(0,V436-R436)</x:f>
        <x:v>0</x:v>
      </x:c>
      <x:c r="X436" s="106" t="n">
        <x:f>MAX(0,Q436-W436)</x:f>
        <x:v>0</x:v>
      </x:c>
      <x:c r="Y436" s="1"/>
      <x:c r="Z436" s="1"/>
    </x:row>
    <x:row r="437">
      <x:c r="A437" s="100" t="n">
        <x:f>A436+1</x:f>
        <x:v>432</x:v>
      </x:c>
      <x:c r="B437" s="103" t="n">
        <x:f>EDATE(B436,1)</x:f>
        <x:v>59353</x:v>
      </x:c>
      <x:c r="C437" s="104" t="n">
        <x:f>H436</x:f>
        <x:v>0</x:v>
      </x:c>
      <x:c r="D437" s="104" t="n">
        <x:f>IF(C437&gt;0,C437*'Your Mortgage'!$C$7/12,0)</x:f>
        <x:v>0</x:v>
      </x:c>
      <x:c r="E437" s="104" t="n">
        <x:f>IF(C437&gt;0,MIN('Your Mortgage'!$C$11,C437+D437),0)</x:f>
        <x:v>0</x:v>
      </x:c>
      <x:c r="F437" s="104" t="n">
        <x:f>E437</x:f>
        <x:v>0</x:v>
      </x:c>
      <x:c r="G437" s="104" t="n">
        <x:f>MAX(0,F437-D437)</x:f>
        <x:v>0</x:v>
      </x:c>
      <x:c r="H437" s="104" t="n">
        <x:f>MAX(0,C437-G437)</x:f>
        <x:v>0</x:v>
      </x:c>
      <x:c r="I437" s="105" t="n">
        <x:f>P436</x:f>
        <x:v>0</x:v>
      </x:c>
      <x:c r="J437" s="105" t="n">
        <x:f>IF(I437&gt;0,I437*'Your Mortgage'!$C$7/12,0)</x:f>
        <x:v>0</x:v>
      </x:c>
      <x:c r="K437" s="105" t="n">
        <x:f>IF(I437&gt;0,MIN('Your Mortgage'!$C$11,I437+J437),0)</x:f>
        <x:v>0</x:v>
      </x:c>
      <x:c r="L437" s="105" t="n">
        <x:f>IF(I437&gt;0,MIN('Your Mortgage'!$F$6,MAX(0,I437+J437-K437)),0)</x:f>
        <x:v>0</x:v>
      </x:c>
      <x:c r="M437" s="105" t="n">
        <x:f>IF(AND(A437='Your Mortgage'!$F$8,I437&gt;0),MIN('Your Mortgage'!$F$7,MAX(0,I437+J437-K437-L437)),0)</x:f>
        <x:v>0</x:v>
      </x:c>
      <x:c r="N437" s="105" t="n">
        <x:f>K437+L437+M437</x:f>
        <x:v>0</x:v>
      </x:c>
      <x:c r="O437" s="105" t="n">
        <x:f>MAX(0,N437-J437)</x:f>
        <x:v>0</x:v>
      </x:c>
      <x:c r="P437" s="105" t="n">
        <x:f>MAX(0,I437-O437)</x:f>
        <x:v>0</x:v>
      </x:c>
      <x:c r="Q437" s="106" t="n">
        <x:f>X436</x:f>
        <x:v>0</x:v>
      </x:c>
      <x:c r="R437" s="106" t="n">
        <x:f>IF(Q437&gt;0,Q437*'Your Mortgage'!$C$7/12,0)</x:f>
        <x:v>0</x:v>
      </x:c>
      <x:c r="S437" s="106" t="n">
        <x:f>IF(Q437&gt;0,MIN('Your Mortgage'!$C$11,Q437+R437),0)</x:f>
        <x:v>0</x:v>
      </x:c>
      <x:c r="T437" s="106" t="n">
        <x:f>IF(Q437&gt;0,MIN('Your Mortgage'!$I$6,MAX(0,Q437+R437-S437)),0)</x:f>
        <x:v>0</x:v>
      </x:c>
      <x:c r="U437" s="106" t="n">
        <x:f>IF(AND(A437='Your Mortgage'!$I$8,Q437&gt;0),MIN('Your Mortgage'!$I$7,MAX(0,Q437+R437-S437-T437)),0)</x:f>
        <x:v>0</x:v>
      </x:c>
      <x:c r="V437" s="106" t="n">
        <x:f>S437+T437+U437</x:f>
        <x:v>0</x:v>
      </x:c>
      <x:c r="W437" s="106" t="n">
        <x:f>MAX(0,V437-R437)</x:f>
        <x:v>0</x:v>
      </x:c>
      <x:c r="X437" s="106" t="n">
        <x:f>MAX(0,Q437-W437)</x:f>
        <x:v>0</x:v>
      </x:c>
      <x:c r="Y437" s="1"/>
      <x:c r="Z437" s="1"/>
    </x:row>
    <x:row r="438">
      <x:c r="A438" s="100" t="n">
        <x:f>A437+1</x:f>
        <x:v>433</x:v>
      </x:c>
      <x:c r="B438" s="103" t="n">
        <x:f>EDATE(B437,1)</x:f>
        <x:v>59384</x:v>
      </x:c>
      <x:c r="C438" s="104" t="n">
        <x:f>H437</x:f>
        <x:v>0</x:v>
      </x:c>
      <x:c r="D438" s="104" t="n">
        <x:f>IF(C438&gt;0,C438*'Your Mortgage'!$C$7/12,0)</x:f>
        <x:v>0</x:v>
      </x:c>
      <x:c r="E438" s="104" t="n">
        <x:f>IF(C438&gt;0,MIN('Your Mortgage'!$C$11,C438+D438),0)</x:f>
        <x:v>0</x:v>
      </x:c>
      <x:c r="F438" s="104" t="n">
        <x:f>E438</x:f>
        <x:v>0</x:v>
      </x:c>
      <x:c r="G438" s="104" t="n">
        <x:f>MAX(0,F438-D438)</x:f>
        <x:v>0</x:v>
      </x:c>
      <x:c r="H438" s="104" t="n">
        <x:f>MAX(0,C438-G438)</x:f>
        <x:v>0</x:v>
      </x:c>
      <x:c r="I438" s="105" t="n">
        <x:f>P437</x:f>
        <x:v>0</x:v>
      </x:c>
      <x:c r="J438" s="105" t="n">
        <x:f>IF(I438&gt;0,I438*'Your Mortgage'!$C$7/12,0)</x:f>
        <x:v>0</x:v>
      </x:c>
      <x:c r="K438" s="105" t="n">
        <x:f>IF(I438&gt;0,MIN('Your Mortgage'!$C$11,I438+J438),0)</x:f>
        <x:v>0</x:v>
      </x:c>
      <x:c r="L438" s="105" t="n">
        <x:f>IF(I438&gt;0,MIN('Your Mortgage'!$F$6,MAX(0,I438+J438-K438)),0)</x:f>
        <x:v>0</x:v>
      </x:c>
      <x:c r="M438" s="105" t="n">
        <x:f>IF(AND(A438='Your Mortgage'!$F$8,I438&gt;0),MIN('Your Mortgage'!$F$7,MAX(0,I438+J438-K438-L438)),0)</x:f>
        <x:v>0</x:v>
      </x:c>
      <x:c r="N438" s="105" t="n">
        <x:f>K438+L438+M438</x:f>
        <x:v>0</x:v>
      </x:c>
      <x:c r="O438" s="105" t="n">
        <x:f>MAX(0,N438-J438)</x:f>
        <x:v>0</x:v>
      </x:c>
      <x:c r="P438" s="105" t="n">
        <x:f>MAX(0,I438-O438)</x:f>
        <x:v>0</x:v>
      </x:c>
      <x:c r="Q438" s="106" t="n">
        <x:f>X437</x:f>
        <x:v>0</x:v>
      </x:c>
      <x:c r="R438" s="106" t="n">
        <x:f>IF(Q438&gt;0,Q438*'Your Mortgage'!$C$7/12,0)</x:f>
        <x:v>0</x:v>
      </x:c>
      <x:c r="S438" s="106" t="n">
        <x:f>IF(Q438&gt;0,MIN('Your Mortgage'!$C$11,Q438+R438),0)</x:f>
        <x:v>0</x:v>
      </x:c>
      <x:c r="T438" s="106" t="n">
        <x:f>IF(Q438&gt;0,MIN('Your Mortgage'!$I$6,MAX(0,Q438+R438-S438)),0)</x:f>
        <x:v>0</x:v>
      </x:c>
      <x:c r="U438" s="106" t="n">
        <x:f>IF(AND(A438='Your Mortgage'!$I$8,Q438&gt;0),MIN('Your Mortgage'!$I$7,MAX(0,Q438+R438-S438-T438)),0)</x:f>
        <x:v>0</x:v>
      </x:c>
      <x:c r="V438" s="106" t="n">
        <x:f>S438+T438+U438</x:f>
        <x:v>0</x:v>
      </x:c>
      <x:c r="W438" s="106" t="n">
        <x:f>MAX(0,V438-R438)</x:f>
        <x:v>0</x:v>
      </x:c>
      <x:c r="X438" s="106" t="n">
        <x:f>MAX(0,Q438-W438)</x:f>
        <x:v>0</x:v>
      </x:c>
      <x:c r="Y438" s="1"/>
      <x:c r="Z438" s="1"/>
    </x:row>
    <x:row r="439">
      <x:c r="A439" s="100" t="n">
        <x:f>A438+1</x:f>
        <x:v>434</x:v>
      </x:c>
      <x:c r="B439" s="103" t="n">
        <x:f>EDATE(B438,1)</x:f>
        <x:v>59415</x:v>
      </x:c>
      <x:c r="C439" s="104" t="n">
        <x:f>H438</x:f>
        <x:v>0</x:v>
      </x:c>
      <x:c r="D439" s="104" t="n">
        <x:f>IF(C439&gt;0,C439*'Your Mortgage'!$C$7/12,0)</x:f>
        <x:v>0</x:v>
      </x:c>
      <x:c r="E439" s="104" t="n">
        <x:f>IF(C439&gt;0,MIN('Your Mortgage'!$C$11,C439+D439),0)</x:f>
        <x:v>0</x:v>
      </x:c>
      <x:c r="F439" s="104" t="n">
        <x:f>E439</x:f>
        <x:v>0</x:v>
      </x:c>
      <x:c r="G439" s="104" t="n">
        <x:f>MAX(0,F439-D439)</x:f>
        <x:v>0</x:v>
      </x:c>
      <x:c r="H439" s="104" t="n">
        <x:f>MAX(0,C439-G439)</x:f>
        <x:v>0</x:v>
      </x:c>
      <x:c r="I439" s="105" t="n">
        <x:f>P438</x:f>
        <x:v>0</x:v>
      </x:c>
      <x:c r="J439" s="105" t="n">
        <x:f>IF(I439&gt;0,I439*'Your Mortgage'!$C$7/12,0)</x:f>
        <x:v>0</x:v>
      </x:c>
      <x:c r="K439" s="105" t="n">
        <x:f>IF(I439&gt;0,MIN('Your Mortgage'!$C$11,I439+J439),0)</x:f>
        <x:v>0</x:v>
      </x:c>
      <x:c r="L439" s="105" t="n">
        <x:f>IF(I439&gt;0,MIN('Your Mortgage'!$F$6,MAX(0,I439+J439-K439)),0)</x:f>
        <x:v>0</x:v>
      </x:c>
      <x:c r="M439" s="105" t="n">
        <x:f>IF(AND(A439='Your Mortgage'!$F$8,I439&gt;0),MIN('Your Mortgage'!$F$7,MAX(0,I439+J439-K439-L439)),0)</x:f>
        <x:v>0</x:v>
      </x:c>
      <x:c r="N439" s="105" t="n">
        <x:f>K439+L439+M439</x:f>
        <x:v>0</x:v>
      </x:c>
      <x:c r="O439" s="105" t="n">
        <x:f>MAX(0,N439-J439)</x:f>
        <x:v>0</x:v>
      </x:c>
      <x:c r="P439" s="105" t="n">
        <x:f>MAX(0,I439-O439)</x:f>
        <x:v>0</x:v>
      </x:c>
      <x:c r="Q439" s="106" t="n">
        <x:f>X438</x:f>
        <x:v>0</x:v>
      </x:c>
      <x:c r="R439" s="106" t="n">
        <x:f>IF(Q439&gt;0,Q439*'Your Mortgage'!$C$7/12,0)</x:f>
        <x:v>0</x:v>
      </x:c>
      <x:c r="S439" s="106" t="n">
        <x:f>IF(Q439&gt;0,MIN('Your Mortgage'!$C$11,Q439+R439),0)</x:f>
        <x:v>0</x:v>
      </x:c>
      <x:c r="T439" s="106" t="n">
        <x:f>IF(Q439&gt;0,MIN('Your Mortgage'!$I$6,MAX(0,Q439+R439-S439)),0)</x:f>
        <x:v>0</x:v>
      </x:c>
      <x:c r="U439" s="106" t="n">
        <x:f>IF(AND(A439='Your Mortgage'!$I$8,Q439&gt;0),MIN('Your Mortgage'!$I$7,MAX(0,Q439+R439-S439-T439)),0)</x:f>
        <x:v>0</x:v>
      </x:c>
      <x:c r="V439" s="106" t="n">
        <x:f>S439+T439+U439</x:f>
        <x:v>0</x:v>
      </x:c>
      <x:c r="W439" s="106" t="n">
        <x:f>MAX(0,V439-R439)</x:f>
        <x:v>0</x:v>
      </x:c>
      <x:c r="X439" s="106" t="n">
        <x:f>MAX(0,Q439-W439)</x:f>
        <x:v>0</x:v>
      </x:c>
      <x:c r="Y439" s="1"/>
      <x:c r="Z439" s="1"/>
    </x:row>
    <x:row r="440">
      <x:c r="A440" s="100" t="n">
        <x:f>A439+1</x:f>
        <x:v>435</x:v>
      </x:c>
      <x:c r="B440" s="103" t="n">
        <x:f>EDATE(B439,1)</x:f>
        <x:v>59445</x:v>
      </x:c>
      <x:c r="C440" s="104" t="n">
        <x:f>H439</x:f>
        <x:v>0</x:v>
      </x:c>
      <x:c r="D440" s="104" t="n">
        <x:f>IF(C440&gt;0,C440*'Your Mortgage'!$C$7/12,0)</x:f>
        <x:v>0</x:v>
      </x:c>
      <x:c r="E440" s="104" t="n">
        <x:f>IF(C440&gt;0,MIN('Your Mortgage'!$C$11,C440+D440),0)</x:f>
        <x:v>0</x:v>
      </x:c>
      <x:c r="F440" s="104" t="n">
        <x:f>E440</x:f>
        <x:v>0</x:v>
      </x:c>
      <x:c r="G440" s="104" t="n">
        <x:f>MAX(0,F440-D440)</x:f>
        <x:v>0</x:v>
      </x:c>
      <x:c r="H440" s="104" t="n">
        <x:f>MAX(0,C440-G440)</x:f>
        <x:v>0</x:v>
      </x:c>
      <x:c r="I440" s="105" t="n">
        <x:f>P439</x:f>
        <x:v>0</x:v>
      </x:c>
      <x:c r="J440" s="105" t="n">
        <x:f>IF(I440&gt;0,I440*'Your Mortgage'!$C$7/12,0)</x:f>
        <x:v>0</x:v>
      </x:c>
      <x:c r="K440" s="105" t="n">
        <x:f>IF(I440&gt;0,MIN('Your Mortgage'!$C$11,I440+J440),0)</x:f>
        <x:v>0</x:v>
      </x:c>
      <x:c r="L440" s="105" t="n">
        <x:f>IF(I440&gt;0,MIN('Your Mortgage'!$F$6,MAX(0,I440+J440-K440)),0)</x:f>
        <x:v>0</x:v>
      </x:c>
      <x:c r="M440" s="105" t="n">
        <x:f>IF(AND(A440='Your Mortgage'!$F$8,I440&gt;0),MIN('Your Mortgage'!$F$7,MAX(0,I440+J440-K440-L440)),0)</x:f>
        <x:v>0</x:v>
      </x:c>
      <x:c r="N440" s="105" t="n">
        <x:f>K440+L440+M440</x:f>
        <x:v>0</x:v>
      </x:c>
      <x:c r="O440" s="105" t="n">
        <x:f>MAX(0,N440-J440)</x:f>
        <x:v>0</x:v>
      </x:c>
      <x:c r="P440" s="105" t="n">
        <x:f>MAX(0,I440-O440)</x:f>
        <x:v>0</x:v>
      </x:c>
      <x:c r="Q440" s="106" t="n">
        <x:f>X439</x:f>
        <x:v>0</x:v>
      </x:c>
      <x:c r="R440" s="106" t="n">
        <x:f>IF(Q440&gt;0,Q440*'Your Mortgage'!$C$7/12,0)</x:f>
        <x:v>0</x:v>
      </x:c>
      <x:c r="S440" s="106" t="n">
        <x:f>IF(Q440&gt;0,MIN('Your Mortgage'!$C$11,Q440+R440),0)</x:f>
        <x:v>0</x:v>
      </x:c>
      <x:c r="T440" s="106" t="n">
        <x:f>IF(Q440&gt;0,MIN('Your Mortgage'!$I$6,MAX(0,Q440+R440-S440)),0)</x:f>
        <x:v>0</x:v>
      </x:c>
      <x:c r="U440" s="106" t="n">
        <x:f>IF(AND(A440='Your Mortgage'!$I$8,Q440&gt;0),MIN('Your Mortgage'!$I$7,MAX(0,Q440+R440-S440-T440)),0)</x:f>
        <x:v>0</x:v>
      </x:c>
      <x:c r="V440" s="106" t="n">
        <x:f>S440+T440+U440</x:f>
        <x:v>0</x:v>
      </x:c>
      <x:c r="W440" s="106" t="n">
        <x:f>MAX(0,V440-R440)</x:f>
        <x:v>0</x:v>
      </x:c>
      <x:c r="X440" s="106" t="n">
        <x:f>MAX(0,Q440-W440)</x:f>
        <x:v>0</x:v>
      </x:c>
      <x:c r="Y440" s="1"/>
      <x:c r="Z440" s="1"/>
    </x:row>
    <x:row r="441">
      <x:c r="A441" s="100" t="n">
        <x:f>A440+1</x:f>
        <x:v>436</x:v>
      </x:c>
      <x:c r="B441" s="103" t="n">
        <x:f>EDATE(B440,1)</x:f>
        <x:v>59476</x:v>
      </x:c>
      <x:c r="C441" s="104" t="n">
        <x:f>H440</x:f>
        <x:v>0</x:v>
      </x:c>
      <x:c r="D441" s="104" t="n">
        <x:f>IF(C441&gt;0,C441*'Your Mortgage'!$C$7/12,0)</x:f>
        <x:v>0</x:v>
      </x:c>
      <x:c r="E441" s="104" t="n">
        <x:f>IF(C441&gt;0,MIN('Your Mortgage'!$C$11,C441+D441),0)</x:f>
        <x:v>0</x:v>
      </x:c>
      <x:c r="F441" s="104" t="n">
        <x:f>E441</x:f>
        <x:v>0</x:v>
      </x:c>
      <x:c r="G441" s="104" t="n">
        <x:f>MAX(0,F441-D441)</x:f>
        <x:v>0</x:v>
      </x:c>
      <x:c r="H441" s="104" t="n">
        <x:f>MAX(0,C441-G441)</x:f>
        <x:v>0</x:v>
      </x:c>
      <x:c r="I441" s="105" t="n">
        <x:f>P440</x:f>
        <x:v>0</x:v>
      </x:c>
      <x:c r="J441" s="105" t="n">
        <x:f>IF(I441&gt;0,I441*'Your Mortgage'!$C$7/12,0)</x:f>
        <x:v>0</x:v>
      </x:c>
      <x:c r="K441" s="105" t="n">
        <x:f>IF(I441&gt;0,MIN('Your Mortgage'!$C$11,I441+J441),0)</x:f>
        <x:v>0</x:v>
      </x:c>
      <x:c r="L441" s="105" t="n">
        <x:f>IF(I441&gt;0,MIN('Your Mortgage'!$F$6,MAX(0,I441+J441-K441)),0)</x:f>
        <x:v>0</x:v>
      </x:c>
      <x:c r="M441" s="105" t="n">
        <x:f>IF(AND(A441='Your Mortgage'!$F$8,I441&gt;0),MIN('Your Mortgage'!$F$7,MAX(0,I441+J441-K441-L441)),0)</x:f>
        <x:v>0</x:v>
      </x:c>
      <x:c r="N441" s="105" t="n">
        <x:f>K441+L441+M441</x:f>
        <x:v>0</x:v>
      </x:c>
      <x:c r="O441" s="105" t="n">
        <x:f>MAX(0,N441-J441)</x:f>
        <x:v>0</x:v>
      </x:c>
      <x:c r="P441" s="105" t="n">
        <x:f>MAX(0,I441-O441)</x:f>
        <x:v>0</x:v>
      </x:c>
      <x:c r="Q441" s="106" t="n">
        <x:f>X440</x:f>
        <x:v>0</x:v>
      </x:c>
      <x:c r="R441" s="106" t="n">
        <x:f>IF(Q441&gt;0,Q441*'Your Mortgage'!$C$7/12,0)</x:f>
        <x:v>0</x:v>
      </x:c>
      <x:c r="S441" s="106" t="n">
        <x:f>IF(Q441&gt;0,MIN('Your Mortgage'!$C$11,Q441+R441),0)</x:f>
        <x:v>0</x:v>
      </x:c>
      <x:c r="T441" s="106" t="n">
        <x:f>IF(Q441&gt;0,MIN('Your Mortgage'!$I$6,MAX(0,Q441+R441-S441)),0)</x:f>
        <x:v>0</x:v>
      </x:c>
      <x:c r="U441" s="106" t="n">
        <x:f>IF(AND(A441='Your Mortgage'!$I$8,Q441&gt;0),MIN('Your Mortgage'!$I$7,MAX(0,Q441+R441-S441-T441)),0)</x:f>
        <x:v>0</x:v>
      </x:c>
      <x:c r="V441" s="106" t="n">
        <x:f>S441+T441+U441</x:f>
        <x:v>0</x:v>
      </x:c>
      <x:c r="W441" s="106" t="n">
        <x:f>MAX(0,V441-R441)</x:f>
        <x:v>0</x:v>
      </x:c>
      <x:c r="X441" s="106" t="n">
        <x:f>MAX(0,Q441-W441)</x:f>
        <x:v>0</x:v>
      </x:c>
      <x:c r="Y441" s="1"/>
      <x:c r="Z441" s="1"/>
    </x:row>
    <x:row r="442">
      <x:c r="A442" s="100" t="n">
        <x:f>A441+1</x:f>
        <x:v>437</x:v>
      </x:c>
      <x:c r="B442" s="103" t="n">
        <x:f>EDATE(B441,1)</x:f>
        <x:v>59506</x:v>
      </x:c>
      <x:c r="C442" s="104" t="n">
        <x:f>H441</x:f>
        <x:v>0</x:v>
      </x:c>
      <x:c r="D442" s="104" t="n">
        <x:f>IF(C442&gt;0,C442*'Your Mortgage'!$C$7/12,0)</x:f>
        <x:v>0</x:v>
      </x:c>
      <x:c r="E442" s="104" t="n">
        <x:f>IF(C442&gt;0,MIN('Your Mortgage'!$C$11,C442+D442),0)</x:f>
        <x:v>0</x:v>
      </x:c>
      <x:c r="F442" s="104" t="n">
        <x:f>E442</x:f>
        <x:v>0</x:v>
      </x:c>
      <x:c r="G442" s="104" t="n">
        <x:f>MAX(0,F442-D442)</x:f>
        <x:v>0</x:v>
      </x:c>
      <x:c r="H442" s="104" t="n">
        <x:f>MAX(0,C442-G442)</x:f>
        <x:v>0</x:v>
      </x:c>
      <x:c r="I442" s="105" t="n">
        <x:f>P441</x:f>
        <x:v>0</x:v>
      </x:c>
      <x:c r="J442" s="105" t="n">
        <x:f>IF(I442&gt;0,I442*'Your Mortgage'!$C$7/12,0)</x:f>
        <x:v>0</x:v>
      </x:c>
      <x:c r="K442" s="105" t="n">
        <x:f>IF(I442&gt;0,MIN('Your Mortgage'!$C$11,I442+J442),0)</x:f>
        <x:v>0</x:v>
      </x:c>
      <x:c r="L442" s="105" t="n">
        <x:f>IF(I442&gt;0,MIN('Your Mortgage'!$F$6,MAX(0,I442+J442-K442)),0)</x:f>
        <x:v>0</x:v>
      </x:c>
      <x:c r="M442" s="105" t="n">
        <x:f>IF(AND(A442='Your Mortgage'!$F$8,I442&gt;0),MIN('Your Mortgage'!$F$7,MAX(0,I442+J442-K442-L442)),0)</x:f>
        <x:v>0</x:v>
      </x:c>
      <x:c r="N442" s="105" t="n">
        <x:f>K442+L442+M442</x:f>
        <x:v>0</x:v>
      </x:c>
      <x:c r="O442" s="105" t="n">
        <x:f>MAX(0,N442-J442)</x:f>
        <x:v>0</x:v>
      </x:c>
      <x:c r="P442" s="105" t="n">
        <x:f>MAX(0,I442-O442)</x:f>
        <x:v>0</x:v>
      </x:c>
      <x:c r="Q442" s="106" t="n">
        <x:f>X441</x:f>
        <x:v>0</x:v>
      </x:c>
      <x:c r="R442" s="106" t="n">
        <x:f>IF(Q442&gt;0,Q442*'Your Mortgage'!$C$7/12,0)</x:f>
        <x:v>0</x:v>
      </x:c>
      <x:c r="S442" s="106" t="n">
        <x:f>IF(Q442&gt;0,MIN('Your Mortgage'!$C$11,Q442+R442),0)</x:f>
        <x:v>0</x:v>
      </x:c>
      <x:c r="T442" s="106" t="n">
        <x:f>IF(Q442&gt;0,MIN('Your Mortgage'!$I$6,MAX(0,Q442+R442-S442)),0)</x:f>
        <x:v>0</x:v>
      </x:c>
      <x:c r="U442" s="106" t="n">
        <x:f>IF(AND(A442='Your Mortgage'!$I$8,Q442&gt;0),MIN('Your Mortgage'!$I$7,MAX(0,Q442+R442-S442-T442)),0)</x:f>
        <x:v>0</x:v>
      </x:c>
      <x:c r="V442" s="106" t="n">
        <x:f>S442+T442+U442</x:f>
        <x:v>0</x:v>
      </x:c>
      <x:c r="W442" s="106" t="n">
        <x:f>MAX(0,V442-R442)</x:f>
        <x:v>0</x:v>
      </x:c>
      <x:c r="X442" s="106" t="n">
        <x:f>MAX(0,Q442-W442)</x:f>
        <x:v>0</x:v>
      </x:c>
      <x:c r="Y442" s="1"/>
      <x:c r="Z442" s="1"/>
    </x:row>
    <x:row r="443">
      <x:c r="A443" s="100" t="n">
        <x:f>A442+1</x:f>
        <x:v>438</x:v>
      </x:c>
      <x:c r="B443" s="103" t="n">
        <x:f>EDATE(B442,1)</x:f>
        <x:v>59537</x:v>
      </x:c>
      <x:c r="C443" s="104" t="n">
        <x:f>H442</x:f>
        <x:v>0</x:v>
      </x:c>
      <x:c r="D443" s="104" t="n">
        <x:f>IF(C443&gt;0,C443*'Your Mortgage'!$C$7/12,0)</x:f>
        <x:v>0</x:v>
      </x:c>
      <x:c r="E443" s="104" t="n">
        <x:f>IF(C443&gt;0,MIN('Your Mortgage'!$C$11,C443+D443),0)</x:f>
        <x:v>0</x:v>
      </x:c>
      <x:c r="F443" s="104" t="n">
        <x:f>E443</x:f>
        <x:v>0</x:v>
      </x:c>
      <x:c r="G443" s="104" t="n">
        <x:f>MAX(0,F443-D443)</x:f>
        <x:v>0</x:v>
      </x:c>
      <x:c r="H443" s="104" t="n">
        <x:f>MAX(0,C443-G443)</x:f>
        <x:v>0</x:v>
      </x:c>
      <x:c r="I443" s="105" t="n">
        <x:f>P442</x:f>
        <x:v>0</x:v>
      </x:c>
      <x:c r="J443" s="105" t="n">
        <x:f>IF(I443&gt;0,I443*'Your Mortgage'!$C$7/12,0)</x:f>
        <x:v>0</x:v>
      </x:c>
      <x:c r="K443" s="105" t="n">
        <x:f>IF(I443&gt;0,MIN('Your Mortgage'!$C$11,I443+J443),0)</x:f>
        <x:v>0</x:v>
      </x:c>
      <x:c r="L443" s="105" t="n">
        <x:f>IF(I443&gt;0,MIN('Your Mortgage'!$F$6,MAX(0,I443+J443-K443)),0)</x:f>
        <x:v>0</x:v>
      </x:c>
      <x:c r="M443" s="105" t="n">
        <x:f>IF(AND(A443='Your Mortgage'!$F$8,I443&gt;0),MIN('Your Mortgage'!$F$7,MAX(0,I443+J443-K443-L443)),0)</x:f>
        <x:v>0</x:v>
      </x:c>
      <x:c r="N443" s="105" t="n">
        <x:f>K443+L443+M443</x:f>
        <x:v>0</x:v>
      </x:c>
      <x:c r="O443" s="105" t="n">
        <x:f>MAX(0,N443-J443)</x:f>
        <x:v>0</x:v>
      </x:c>
      <x:c r="P443" s="105" t="n">
        <x:f>MAX(0,I443-O443)</x:f>
        <x:v>0</x:v>
      </x:c>
      <x:c r="Q443" s="106" t="n">
        <x:f>X442</x:f>
        <x:v>0</x:v>
      </x:c>
      <x:c r="R443" s="106" t="n">
        <x:f>IF(Q443&gt;0,Q443*'Your Mortgage'!$C$7/12,0)</x:f>
        <x:v>0</x:v>
      </x:c>
      <x:c r="S443" s="106" t="n">
        <x:f>IF(Q443&gt;0,MIN('Your Mortgage'!$C$11,Q443+R443),0)</x:f>
        <x:v>0</x:v>
      </x:c>
      <x:c r="T443" s="106" t="n">
        <x:f>IF(Q443&gt;0,MIN('Your Mortgage'!$I$6,MAX(0,Q443+R443-S443)),0)</x:f>
        <x:v>0</x:v>
      </x:c>
      <x:c r="U443" s="106" t="n">
        <x:f>IF(AND(A443='Your Mortgage'!$I$8,Q443&gt;0),MIN('Your Mortgage'!$I$7,MAX(0,Q443+R443-S443-T443)),0)</x:f>
        <x:v>0</x:v>
      </x:c>
      <x:c r="V443" s="106" t="n">
        <x:f>S443+T443+U443</x:f>
        <x:v>0</x:v>
      </x:c>
      <x:c r="W443" s="106" t="n">
        <x:f>MAX(0,V443-R443)</x:f>
        <x:v>0</x:v>
      </x:c>
      <x:c r="X443" s="106" t="n">
        <x:f>MAX(0,Q443-W443)</x:f>
        <x:v>0</x:v>
      </x:c>
      <x:c r="Y443" s="1"/>
      <x:c r="Z443" s="1"/>
    </x:row>
    <x:row r="444">
      <x:c r="A444" s="100" t="n">
        <x:f>A443+1</x:f>
        <x:v>439</x:v>
      </x:c>
      <x:c r="B444" s="103" t="n">
        <x:f>EDATE(B443,1)</x:f>
        <x:v>59568</x:v>
      </x:c>
      <x:c r="C444" s="104" t="n">
        <x:f>H443</x:f>
        <x:v>0</x:v>
      </x:c>
      <x:c r="D444" s="104" t="n">
        <x:f>IF(C444&gt;0,C444*'Your Mortgage'!$C$7/12,0)</x:f>
        <x:v>0</x:v>
      </x:c>
      <x:c r="E444" s="104" t="n">
        <x:f>IF(C444&gt;0,MIN('Your Mortgage'!$C$11,C444+D444),0)</x:f>
        <x:v>0</x:v>
      </x:c>
      <x:c r="F444" s="104" t="n">
        <x:f>E444</x:f>
        <x:v>0</x:v>
      </x:c>
      <x:c r="G444" s="104" t="n">
        <x:f>MAX(0,F444-D444)</x:f>
        <x:v>0</x:v>
      </x:c>
      <x:c r="H444" s="104" t="n">
        <x:f>MAX(0,C444-G444)</x:f>
        <x:v>0</x:v>
      </x:c>
      <x:c r="I444" s="105" t="n">
        <x:f>P443</x:f>
        <x:v>0</x:v>
      </x:c>
      <x:c r="J444" s="105" t="n">
        <x:f>IF(I444&gt;0,I444*'Your Mortgage'!$C$7/12,0)</x:f>
        <x:v>0</x:v>
      </x:c>
      <x:c r="K444" s="105" t="n">
        <x:f>IF(I444&gt;0,MIN('Your Mortgage'!$C$11,I444+J444),0)</x:f>
        <x:v>0</x:v>
      </x:c>
      <x:c r="L444" s="105" t="n">
        <x:f>IF(I444&gt;0,MIN('Your Mortgage'!$F$6,MAX(0,I444+J444-K444)),0)</x:f>
        <x:v>0</x:v>
      </x:c>
      <x:c r="M444" s="105" t="n">
        <x:f>IF(AND(A444='Your Mortgage'!$F$8,I444&gt;0),MIN('Your Mortgage'!$F$7,MAX(0,I444+J444-K444-L444)),0)</x:f>
        <x:v>0</x:v>
      </x:c>
      <x:c r="N444" s="105" t="n">
        <x:f>K444+L444+M444</x:f>
        <x:v>0</x:v>
      </x:c>
      <x:c r="O444" s="105" t="n">
        <x:f>MAX(0,N444-J444)</x:f>
        <x:v>0</x:v>
      </x:c>
      <x:c r="P444" s="105" t="n">
        <x:f>MAX(0,I444-O444)</x:f>
        <x:v>0</x:v>
      </x:c>
      <x:c r="Q444" s="106" t="n">
        <x:f>X443</x:f>
        <x:v>0</x:v>
      </x:c>
      <x:c r="R444" s="106" t="n">
        <x:f>IF(Q444&gt;0,Q444*'Your Mortgage'!$C$7/12,0)</x:f>
        <x:v>0</x:v>
      </x:c>
      <x:c r="S444" s="106" t="n">
        <x:f>IF(Q444&gt;0,MIN('Your Mortgage'!$C$11,Q444+R444),0)</x:f>
        <x:v>0</x:v>
      </x:c>
      <x:c r="T444" s="106" t="n">
        <x:f>IF(Q444&gt;0,MIN('Your Mortgage'!$I$6,MAX(0,Q444+R444-S444)),0)</x:f>
        <x:v>0</x:v>
      </x:c>
      <x:c r="U444" s="106" t="n">
        <x:f>IF(AND(A444='Your Mortgage'!$I$8,Q444&gt;0),MIN('Your Mortgage'!$I$7,MAX(0,Q444+R444-S444-T444)),0)</x:f>
        <x:v>0</x:v>
      </x:c>
      <x:c r="V444" s="106" t="n">
        <x:f>S444+T444+U444</x:f>
        <x:v>0</x:v>
      </x:c>
      <x:c r="W444" s="106" t="n">
        <x:f>MAX(0,V444-R444)</x:f>
        <x:v>0</x:v>
      </x:c>
      <x:c r="X444" s="106" t="n">
        <x:f>MAX(0,Q444-W444)</x:f>
        <x:v>0</x:v>
      </x:c>
      <x:c r="Y444" s="1"/>
      <x:c r="Z444" s="1"/>
    </x:row>
    <x:row r="445">
      <x:c r="A445" s="100" t="n">
        <x:f>A444+1</x:f>
        <x:v>440</x:v>
      </x:c>
      <x:c r="B445" s="103" t="n">
        <x:f>EDATE(B444,1)</x:f>
        <x:v>59596</x:v>
      </x:c>
      <x:c r="C445" s="104" t="n">
        <x:f>H444</x:f>
        <x:v>0</x:v>
      </x:c>
      <x:c r="D445" s="104" t="n">
        <x:f>IF(C445&gt;0,C445*'Your Mortgage'!$C$7/12,0)</x:f>
        <x:v>0</x:v>
      </x:c>
      <x:c r="E445" s="104" t="n">
        <x:f>IF(C445&gt;0,MIN('Your Mortgage'!$C$11,C445+D445),0)</x:f>
        <x:v>0</x:v>
      </x:c>
      <x:c r="F445" s="104" t="n">
        <x:f>E445</x:f>
        <x:v>0</x:v>
      </x:c>
      <x:c r="G445" s="104" t="n">
        <x:f>MAX(0,F445-D445)</x:f>
        <x:v>0</x:v>
      </x:c>
      <x:c r="H445" s="104" t="n">
        <x:f>MAX(0,C445-G445)</x:f>
        <x:v>0</x:v>
      </x:c>
      <x:c r="I445" s="105" t="n">
        <x:f>P444</x:f>
        <x:v>0</x:v>
      </x:c>
      <x:c r="J445" s="105" t="n">
        <x:f>IF(I445&gt;0,I445*'Your Mortgage'!$C$7/12,0)</x:f>
        <x:v>0</x:v>
      </x:c>
      <x:c r="K445" s="105" t="n">
        <x:f>IF(I445&gt;0,MIN('Your Mortgage'!$C$11,I445+J445),0)</x:f>
        <x:v>0</x:v>
      </x:c>
      <x:c r="L445" s="105" t="n">
        <x:f>IF(I445&gt;0,MIN('Your Mortgage'!$F$6,MAX(0,I445+J445-K445)),0)</x:f>
        <x:v>0</x:v>
      </x:c>
      <x:c r="M445" s="105" t="n">
        <x:f>IF(AND(A445='Your Mortgage'!$F$8,I445&gt;0),MIN('Your Mortgage'!$F$7,MAX(0,I445+J445-K445-L445)),0)</x:f>
        <x:v>0</x:v>
      </x:c>
      <x:c r="N445" s="105" t="n">
        <x:f>K445+L445+M445</x:f>
        <x:v>0</x:v>
      </x:c>
      <x:c r="O445" s="105" t="n">
        <x:f>MAX(0,N445-J445)</x:f>
        <x:v>0</x:v>
      </x:c>
      <x:c r="P445" s="105" t="n">
        <x:f>MAX(0,I445-O445)</x:f>
        <x:v>0</x:v>
      </x:c>
      <x:c r="Q445" s="106" t="n">
        <x:f>X444</x:f>
        <x:v>0</x:v>
      </x:c>
      <x:c r="R445" s="106" t="n">
        <x:f>IF(Q445&gt;0,Q445*'Your Mortgage'!$C$7/12,0)</x:f>
        <x:v>0</x:v>
      </x:c>
      <x:c r="S445" s="106" t="n">
        <x:f>IF(Q445&gt;0,MIN('Your Mortgage'!$C$11,Q445+R445),0)</x:f>
        <x:v>0</x:v>
      </x:c>
      <x:c r="T445" s="106" t="n">
        <x:f>IF(Q445&gt;0,MIN('Your Mortgage'!$I$6,MAX(0,Q445+R445-S445)),0)</x:f>
        <x:v>0</x:v>
      </x:c>
      <x:c r="U445" s="106" t="n">
        <x:f>IF(AND(A445='Your Mortgage'!$I$8,Q445&gt;0),MIN('Your Mortgage'!$I$7,MAX(0,Q445+R445-S445-T445)),0)</x:f>
        <x:v>0</x:v>
      </x:c>
      <x:c r="V445" s="106" t="n">
        <x:f>S445+T445+U445</x:f>
        <x:v>0</x:v>
      </x:c>
      <x:c r="W445" s="106" t="n">
        <x:f>MAX(0,V445-R445)</x:f>
        <x:v>0</x:v>
      </x:c>
      <x:c r="X445" s="106" t="n">
        <x:f>MAX(0,Q445-W445)</x:f>
        <x:v>0</x:v>
      </x:c>
      <x:c r="Y445" s="1"/>
      <x:c r="Z445" s="1"/>
    </x:row>
    <x:row r="446">
      <x:c r="A446" s="100" t="n">
        <x:f>A445+1</x:f>
        <x:v>441</x:v>
      </x:c>
      <x:c r="B446" s="103" t="n">
        <x:f>EDATE(B445,1)</x:f>
        <x:v>59627</x:v>
      </x:c>
      <x:c r="C446" s="104" t="n">
        <x:f>H445</x:f>
        <x:v>0</x:v>
      </x:c>
      <x:c r="D446" s="104" t="n">
        <x:f>IF(C446&gt;0,C446*'Your Mortgage'!$C$7/12,0)</x:f>
        <x:v>0</x:v>
      </x:c>
      <x:c r="E446" s="104" t="n">
        <x:f>IF(C446&gt;0,MIN('Your Mortgage'!$C$11,C446+D446),0)</x:f>
        <x:v>0</x:v>
      </x:c>
      <x:c r="F446" s="104" t="n">
        <x:f>E446</x:f>
        <x:v>0</x:v>
      </x:c>
      <x:c r="G446" s="104" t="n">
        <x:f>MAX(0,F446-D446)</x:f>
        <x:v>0</x:v>
      </x:c>
      <x:c r="H446" s="104" t="n">
        <x:f>MAX(0,C446-G446)</x:f>
        <x:v>0</x:v>
      </x:c>
      <x:c r="I446" s="105" t="n">
        <x:f>P445</x:f>
        <x:v>0</x:v>
      </x:c>
      <x:c r="J446" s="105" t="n">
        <x:f>IF(I446&gt;0,I446*'Your Mortgage'!$C$7/12,0)</x:f>
        <x:v>0</x:v>
      </x:c>
      <x:c r="K446" s="105" t="n">
        <x:f>IF(I446&gt;0,MIN('Your Mortgage'!$C$11,I446+J446),0)</x:f>
        <x:v>0</x:v>
      </x:c>
      <x:c r="L446" s="105" t="n">
        <x:f>IF(I446&gt;0,MIN('Your Mortgage'!$F$6,MAX(0,I446+J446-K446)),0)</x:f>
        <x:v>0</x:v>
      </x:c>
      <x:c r="M446" s="105" t="n">
        <x:f>IF(AND(A446='Your Mortgage'!$F$8,I446&gt;0),MIN('Your Mortgage'!$F$7,MAX(0,I446+J446-K446-L446)),0)</x:f>
        <x:v>0</x:v>
      </x:c>
      <x:c r="N446" s="105" t="n">
        <x:f>K446+L446+M446</x:f>
        <x:v>0</x:v>
      </x:c>
      <x:c r="O446" s="105" t="n">
        <x:f>MAX(0,N446-J446)</x:f>
        <x:v>0</x:v>
      </x:c>
      <x:c r="P446" s="105" t="n">
        <x:f>MAX(0,I446-O446)</x:f>
        <x:v>0</x:v>
      </x:c>
      <x:c r="Q446" s="106" t="n">
        <x:f>X445</x:f>
        <x:v>0</x:v>
      </x:c>
      <x:c r="R446" s="106" t="n">
        <x:f>IF(Q446&gt;0,Q446*'Your Mortgage'!$C$7/12,0)</x:f>
        <x:v>0</x:v>
      </x:c>
      <x:c r="S446" s="106" t="n">
        <x:f>IF(Q446&gt;0,MIN('Your Mortgage'!$C$11,Q446+R446),0)</x:f>
        <x:v>0</x:v>
      </x:c>
      <x:c r="T446" s="106" t="n">
        <x:f>IF(Q446&gt;0,MIN('Your Mortgage'!$I$6,MAX(0,Q446+R446-S446)),0)</x:f>
        <x:v>0</x:v>
      </x:c>
      <x:c r="U446" s="106" t="n">
        <x:f>IF(AND(A446='Your Mortgage'!$I$8,Q446&gt;0),MIN('Your Mortgage'!$I$7,MAX(0,Q446+R446-S446-T446)),0)</x:f>
        <x:v>0</x:v>
      </x:c>
      <x:c r="V446" s="106" t="n">
        <x:f>S446+T446+U446</x:f>
        <x:v>0</x:v>
      </x:c>
      <x:c r="W446" s="106" t="n">
        <x:f>MAX(0,V446-R446)</x:f>
        <x:v>0</x:v>
      </x:c>
      <x:c r="X446" s="106" t="n">
        <x:f>MAX(0,Q446-W446)</x:f>
        <x:v>0</x:v>
      </x:c>
      <x:c r="Y446" s="1"/>
      <x:c r="Z446" s="1"/>
    </x:row>
    <x:row r="447">
      <x:c r="A447" s="100" t="n">
        <x:f>A446+1</x:f>
        <x:v>442</x:v>
      </x:c>
      <x:c r="B447" s="103" t="n">
        <x:f>EDATE(B446,1)</x:f>
        <x:v>59657</x:v>
      </x:c>
      <x:c r="C447" s="104" t="n">
        <x:f>H446</x:f>
        <x:v>0</x:v>
      </x:c>
      <x:c r="D447" s="104" t="n">
        <x:f>IF(C447&gt;0,C447*'Your Mortgage'!$C$7/12,0)</x:f>
        <x:v>0</x:v>
      </x:c>
      <x:c r="E447" s="104" t="n">
        <x:f>IF(C447&gt;0,MIN('Your Mortgage'!$C$11,C447+D447),0)</x:f>
        <x:v>0</x:v>
      </x:c>
      <x:c r="F447" s="104" t="n">
        <x:f>E447</x:f>
        <x:v>0</x:v>
      </x:c>
      <x:c r="G447" s="104" t="n">
        <x:f>MAX(0,F447-D447)</x:f>
        <x:v>0</x:v>
      </x:c>
      <x:c r="H447" s="104" t="n">
        <x:f>MAX(0,C447-G447)</x:f>
        <x:v>0</x:v>
      </x:c>
      <x:c r="I447" s="105" t="n">
        <x:f>P446</x:f>
        <x:v>0</x:v>
      </x:c>
      <x:c r="J447" s="105" t="n">
        <x:f>IF(I447&gt;0,I447*'Your Mortgage'!$C$7/12,0)</x:f>
        <x:v>0</x:v>
      </x:c>
      <x:c r="K447" s="105" t="n">
        <x:f>IF(I447&gt;0,MIN('Your Mortgage'!$C$11,I447+J447),0)</x:f>
        <x:v>0</x:v>
      </x:c>
      <x:c r="L447" s="105" t="n">
        <x:f>IF(I447&gt;0,MIN('Your Mortgage'!$F$6,MAX(0,I447+J447-K447)),0)</x:f>
        <x:v>0</x:v>
      </x:c>
      <x:c r="M447" s="105" t="n">
        <x:f>IF(AND(A447='Your Mortgage'!$F$8,I447&gt;0),MIN('Your Mortgage'!$F$7,MAX(0,I447+J447-K447-L447)),0)</x:f>
        <x:v>0</x:v>
      </x:c>
      <x:c r="N447" s="105" t="n">
        <x:f>K447+L447+M447</x:f>
        <x:v>0</x:v>
      </x:c>
      <x:c r="O447" s="105" t="n">
        <x:f>MAX(0,N447-J447)</x:f>
        <x:v>0</x:v>
      </x:c>
      <x:c r="P447" s="105" t="n">
        <x:f>MAX(0,I447-O447)</x:f>
        <x:v>0</x:v>
      </x:c>
      <x:c r="Q447" s="106" t="n">
        <x:f>X446</x:f>
        <x:v>0</x:v>
      </x:c>
      <x:c r="R447" s="106" t="n">
        <x:f>IF(Q447&gt;0,Q447*'Your Mortgage'!$C$7/12,0)</x:f>
        <x:v>0</x:v>
      </x:c>
      <x:c r="S447" s="106" t="n">
        <x:f>IF(Q447&gt;0,MIN('Your Mortgage'!$C$11,Q447+R447),0)</x:f>
        <x:v>0</x:v>
      </x:c>
      <x:c r="T447" s="106" t="n">
        <x:f>IF(Q447&gt;0,MIN('Your Mortgage'!$I$6,MAX(0,Q447+R447-S447)),0)</x:f>
        <x:v>0</x:v>
      </x:c>
      <x:c r="U447" s="106" t="n">
        <x:f>IF(AND(A447='Your Mortgage'!$I$8,Q447&gt;0),MIN('Your Mortgage'!$I$7,MAX(0,Q447+R447-S447-T447)),0)</x:f>
        <x:v>0</x:v>
      </x:c>
      <x:c r="V447" s="106" t="n">
        <x:f>S447+T447+U447</x:f>
        <x:v>0</x:v>
      </x:c>
      <x:c r="W447" s="106" t="n">
        <x:f>MAX(0,V447-R447)</x:f>
        <x:v>0</x:v>
      </x:c>
      <x:c r="X447" s="106" t="n">
        <x:f>MAX(0,Q447-W447)</x:f>
        <x:v>0</x:v>
      </x:c>
      <x:c r="Y447" s="1"/>
      <x:c r="Z447" s="1"/>
    </x:row>
    <x:row r="448">
      <x:c r="A448" s="100" t="n">
        <x:f>A447+1</x:f>
        <x:v>443</x:v>
      </x:c>
      <x:c r="B448" s="103" t="n">
        <x:f>EDATE(B447,1)</x:f>
        <x:v>59688</x:v>
      </x:c>
      <x:c r="C448" s="104" t="n">
        <x:f>H447</x:f>
        <x:v>0</x:v>
      </x:c>
      <x:c r="D448" s="104" t="n">
        <x:f>IF(C448&gt;0,C448*'Your Mortgage'!$C$7/12,0)</x:f>
        <x:v>0</x:v>
      </x:c>
      <x:c r="E448" s="104" t="n">
        <x:f>IF(C448&gt;0,MIN('Your Mortgage'!$C$11,C448+D448),0)</x:f>
        <x:v>0</x:v>
      </x:c>
      <x:c r="F448" s="104" t="n">
        <x:f>E448</x:f>
        <x:v>0</x:v>
      </x:c>
      <x:c r="G448" s="104" t="n">
        <x:f>MAX(0,F448-D448)</x:f>
        <x:v>0</x:v>
      </x:c>
      <x:c r="H448" s="104" t="n">
        <x:f>MAX(0,C448-G448)</x:f>
        <x:v>0</x:v>
      </x:c>
      <x:c r="I448" s="105" t="n">
        <x:f>P447</x:f>
        <x:v>0</x:v>
      </x:c>
      <x:c r="J448" s="105" t="n">
        <x:f>IF(I448&gt;0,I448*'Your Mortgage'!$C$7/12,0)</x:f>
        <x:v>0</x:v>
      </x:c>
      <x:c r="K448" s="105" t="n">
        <x:f>IF(I448&gt;0,MIN('Your Mortgage'!$C$11,I448+J448),0)</x:f>
        <x:v>0</x:v>
      </x:c>
      <x:c r="L448" s="105" t="n">
        <x:f>IF(I448&gt;0,MIN('Your Mortgage'!$F$6,MAX(0,I448+J448-K448)),0)</x:f>
        <x:v>0</x:v>
      </x:c>
      <x:c r="M448" s="105" t="n">
        <x:f>IF(AND(A448='Your Mortgage'!$F$8,I448&gt;0),MIN('Your Mortgage'!$F$7,MAX(0,I448+J448-K448-L448)),0)</x:f>
        <x:v>0</x:v>
      </x:c>
      <x:c r="N448" s="105" t="n">
        <x:f>K448+L448+M448</x:f>
        <x:v>0</x:v>
      </x:c>
      <x:c r="O448" s="105" t="n">
        <x:f>MAX(0,N448-J448)</x:f>
        <x:v>0</x:v>
      </x:c>
      <x:c r="P448" s="105" t="n">
        <x:f>MAX(0,I448-O448)</x:f>
        <x:v>0</x:v>
      </x:c>
      <x:c r="Q448" s="106" t="n">
        <x:f>X447</x:f>
        <x:v>0</x:v>
      </x:c>
      <x:c r="R448" s="106" t="n">
        <x:f>IF(Q448&gt;0,Q448*'Your Mortgage'!$C$7/12,0)</x:f>
        <x:v>0</x:v>
      </x:c>
      <x:c r="S448" s="106" t="n">
        <x:f>IF(Q448&gt;0,MIN('Your Mortgage'!$C$11,Q448+R448),0)</x:f>
        <x:v>0</x:v>
      </x:c>
      <x:c r="T448" s="106" t="n">
        <x:f>IF(Q448&gt;0,MIN('Your Mortgage'!$I$6,MAX(0,Q448+R448-S448)),0)</x:f>
        <x:v>0</x:v>
      </x:c>
      <x:c r="U448" s="106" t="n">
        <x:f>IF(AND(A448='Your Mortgage'!$I$8,Q448&gt;0),MIN('Your Mortgage'!$I$7,MAX(0,Q448+R448-S448-T448)),0)</x:f>
        <x:v>0</x:v>
      </x:c>
      <x:c r="V448" s="106" t="n">
        <x:f>S448+T448+U448</x:f>
        <x:v>0</x:v>
      </x:c>
      <x:c r="W448" s="106" t="n">
        <x:f>MAX(0,V448-R448)</x:f>
        <x:v>0</x:v>
      </x:c>
      <x:c r="X448" s="106" t="n">
        <x:f>MAX(0,Q448-W448)</x:f>
        <x:v>0</x:v>
      </x:c>
      <x:c r="Y448" s="1"/>
      <x:c r="Z448" s="1"/>
    </x:row>
    <x:row r="449">
      <x:c r="A449" s="100" t="n">
        <x:f>A448+1</x:f>
        <x:v>444</x:v>
      </x:c>
      <x:c r="B449" s="103" t="n">
        <x:f>EDATE(B448,1)</x:f>
        <x:v>59718</x:v>
      </x:c>
      <x:c r="C449" s="104" t="n">
        <x:f>H448</x:f>
        <x:v>0</x:v>
      </x:c>
      <x:c r="D449" s="104" t="n">
        <x:f>IF(C449&gt;0,C449*'Your Mortgage'!$C$7/12,0)</x:f>
        <x:v>0</x:v>
      </x:c>
      <x:c r="E449" s="104" t="n">
        <x:f>IF(C449&gt;0,MIN('Your Mortgage'!$C$11,C449+D449),0)</x:f>
        <x:v>0</x:v>
      </x:c>
      <x:c r="F449" s="104" t="n">
        <x:f>E449</x:f>
        <x:v>0</x:v>
      </x:c>
      <x:c r="G449" s="104" t="n">
        <x:f>MAX(0,F449-D449)</x:f>
        <x:v>0</x:v>
      </x:c>
      <x:c r="H449" s="104" t="n">
        <x:f>MAX(0,C449-G449)</x:f>
        <x:v>0</x:v>
      </x:c>
      <x:c r="I449" s="105" t="n">
        <x:f>P448</x:f>
        <x:v>0</x:v>
      </x:c>
      <x:c r="J449" s="105" t="n">
        <x:f>IF(I449&gt;0,I449*'Your Mortgage'!$C$7/12,0)</x:f>
        <x:v>0</x:v>
      </x:c>
      <x:c r="K449" s="105" t="n">
        <x:f>IF(I449&gt;0,MIN('Your Mortgage'!$C$11,I449+J449),0)</x:f>
        <x:v>0</x:v>
      </x:c>
      <x:c r="L449" s="105" t="n">
        <x:f>IF(I449&gt;0,MIN('Your Mortgage'!$F$6,MAX(0,I449+J449-K449)),0)</x:f>
        <x:v>0</x:v>
      </x:c>
      <x:c r="M449" s="105" t="n">
        <x:f>IF(AND(A449='Your Mortgage'!$F$8,I449&gt;0),MIN('Your Mortgage'!$F$7,MAX(0,I449+J449-K449-L449)),0)</x:f>
        <x:v>0</x:v>
      </x:c>
      <x:c r="N449" s="105" t="n">
        <x:f>K449+L449+M449</x:f>
        <x:v>0</x:v>
      </x:c>
      <x:c r="O449" s="105" t="n">
        <x:f>MAX(0,N449-J449)</x:f>
        <x:v>0</x:v>
      </x:c>
      <x:c r="P449" s="105" t="n">
        <x:f>MAX(0,I449-O449)</x:f>
        <x:v>0</x:v>
      </x:c>
      <x:c r="Q449" s="106" t="n">
        <x:f>X448</x:f>
        <x:v>0</x:v>
      </x:c>
      <x:c r="R449" s="106" t="n">
        <x:f>IF(Q449&gt;0,Q449*'Your Mortgage'!$C$7/12,0)</x:f>
        <x:v>0</x:v>
      </x:c>
      <x:c r="S449" s="106" t="n">
        <x:f>IF(Q449&gt;0,MIN('Your Mortgage'!$C$11,Q449+R449),0)</x:f>
        <x:v>0</x:v>
      </x:c>
      <x:c r="T449" s="106" t="n">
        <x:f>IF(Q449&gt;0,MIN('Your Mortgage'!$I$6,MAX(0,Q449+R449-S449)),0)</x:f>
        <x:v>0</x:v>
      </x:c>
      <x:c r="U449" s="106" t="n">
        <x:f>IF(AND(A449='Your Mortgage'!$I$8,Q449&gt;0),MIN('Your Mortgage'!$I$7,MAX(0,Q449+R449-S449-T449)),0)</x:f>
        <x:v>0</x:v>
      </x:c>
      <x:c r="V449" s="106" t="n">
        <x:f>S449+T449+U449</x:f>
        <x:v>0</x:v>
      </x:c>
      <x:c r="W449" s="106" t="n">
        <x:f>MAX(0,V449-R449)</x:f>
        <x:v>0</x:v>
      </x:c>
      <x:c r="X449" s="106" t="n">
        <x:f>MAX(0,Q449-W449)</x:f>
        <x:v>0</x:v>
      </x:c>
      <x:c r="Y449" s="1"/>
      <x:c r="Z449" s="1"/>
    </x:row>
    <x:row r="450">
      <x:c r="A450" s="100" t="n">
        <x:f>A449+1</x:f>
        <x:v>445</x:v>
      </x:c>
      <x:c r="B450" s="103" t="n">
        <x:f>EDATE(B449,1)</x:f>
        <x:v>59749</x:v>
      </x:c>
      <x:c r="C450" s="104" t="n">
        <x:f>H449</x:f>
        <x:v>0</x:v>
      </x:c>
      <x:c r="D450" s="104" t="n">
        <x:f>IF(C450&gt;0,C450*'Your Mortgage'!$C$7/12,0)</x:f>
        <x:v>0</x:v>
      </x:c>
      <x:c r="E450" s="104" t="n">
        <x:f>IF(C450&gt;0,MIN('Your Mortgage'!$C$11,C450+D450),0)</x:f>
        <x:v>0</x:v>
      </x:c>
      <x:c r="F450" s="104" t="n">
        <x:f>E450</x:f>
        <x:v>0</x:v>
      </x:c>
      <x:c r="G450" s="104" t="n">
        <x:f>MAX(0,F450-D450)</x:f>
        <x:v>0</x:v>
      </x:c>
      <x:c r="H450" s="104" t="n">
        <x:f>MAX(0,C450-G450)</x:f>
        <x:v>0</x:v>
      </x:c>
      <x:c r="I450" s="105" t="n">
        <x:f>P449</x:f>
        <x:v>0</x:v>
      </x:c>
      <x:c r="J450" s="105" t="n">
        <x:f>IF(I450&gt;0,I450*'Your Mortgage'!$C$7/12,0)</x:f>
        <x:v>0</x:v>
      </x:c>
      <x:c r="K450" s="105" t="n">
        <x:f>IF(I450&gt;0,MIN('Your Mortgage'!$C$11,I450+J450),0)</x:f>
        <x:v>0</x:v>
      </x:c>
      <x:c r="L450" s="105" t="n">
        <x:f>IF(I450&gt;0,MIN('Your Mortgage'!$F$6,MAX(0,I450+J450-K450)),0)</x:f>
        <x:v>0</x:v>
      </x:c>
      <x:c r="M450" s="105" t="n">
        <x:f>IF(AND(A450='Your Mortgage'!$F$8,I450&gt;0),MIN('Your Mortgage'!$F$7,MAX(0,I450+J450-K450-L450)),0)</x:f>
        <x:v>0</x:v>
      </x:c>
      <x:c r="N450" s="105" t="n">
        <x:f>K450+L450+M450</x:f>
        <x:v>0</x:v>
      </x:c>
      <x:c r="O450" s="105" t="n">
        <x:f>MAX(0,N450-J450)</x:f>
        <x:v>0</x:v>
      </x:c>
      <x:c r="P450" s="105" t="n">
        <x:f>MAX(0,I450-O450)</x:f>
        <x:v>0</x:v>
      </x:c>
      <x:c r="Q450" s="106" t="n">
        <x:f>X449</x:f>
        <x:v>0</x:v>
      </x:c>
      <x:c r="R450" s="106" t="n">
        <x:f>IF(Q450&gt;0,Q450*'Your Mortgage'!$C$7/12,0)</x:f>
        <x:v>0</x:v>
      </x:c>
      <x:c r="S450" s="106" t="n">
        <x:f>IF(Q450&gt;0,MIN('Your Mortgage'!$C$11,Q450+R450),0)</x:f>
        <x:v>0</x:v>
      </x:c>
      <x:c r="T450" s="106" t="n">
        <x:f>IF(Q450&gt;0,MIN('Your Mortgage'!$I$6,MAX(0,Q450+R450-S450)),0)</x:f>
        <x:v>0</x:v>
      </x:c>
      <x:c r="U450" s="106" t="n">
        <x:f>IF(AND(A450='Your Mortgage'!$I$8,Q450&gt;0),MIN('Your Mortgage'!$I$7,MAX(0,Q450+R450-S450-T450)),0)</x:f>
        <x:v>0</x:v>
      </x:c>
      <x:c r="V450" s="106" t="n">
        <x:f>S450+T450+U450</x:f>
        <x:v>0</x:v>
      </x:c>
      <x:c r="W450" s="106" t="n">
        <x:f>MAX(0,V450-R450)</x:f>
        <x:v>0</x:v>
      </x:c>
      <x:c r="X450" s="106" t="n">
        <x:f>MAX(0,Q450-W450)</x:f>
        <x:v>0</x:v>
      </x:c>
      <x:c r="Y450" s="1"/>
      <x:c r="Z450" s="1"/>
    </x:row>
    <x:row r="451">
      <x:c r="A451" s="100" t="n">
        <x:f>A450+1</x:f>
        <x:v>446</x:v>
      </x:c>
      <x:c r="B451" s="103" t="n">
        <x:f>EDATE(B450,1)</x:f>
        <x:v>59780</x:v>
      </x:c>
      <x:c r="C451" s="104" t="n">
        <x:f>H450</x:f>
        <x:v>0</x:v>
      </x:c>
      <x:c r="D451" s="104" t="n">
        <x:f>IF(C451&gt;0,C451*'Your Mortgage'!$C$7/12,0)</x:f>
        <x:v>0</x:v>
      </x:c>
      <x:c r="E451" s="104" t="n">
        <x:f>IF(C451&gt;0,MIN('Your Mortgage'!$C$11,C451+D451),0)</x:f>
        <x:v>0</x:v>
      </x:c>
      <x:c r="F451" s="104" t="n">
        <x:f>E451</x:f>
        <x:v>0</x:v>
      </x:c>
      <x:c r="G451" s="104" t="n">
        <x:f>MAX(0,F451-D451)</x:f>
        <x:v>0</x:v>
      </x:c>
      <x:c r="H451" s="104" t="n">
        <x:f>MAX(0,C451-G451)</x:f>
        <x:v>0</x:v>
      </x:c>
      <x:c r="I451" s="105" t="n">
        <x:f>P450</x:f>
        <x:v>0</x:v>
      </x:c>
      <x:c r="J451" s="105" t="n">
        <x:f>IF(I451&gt;0,I451*'Your Mortgage'!$C$7/12,0)</x:f>
        <x:v>0</x:v>
      </x:c>
      <x:c r="K451" s="105" t="n">
        <x:f>IF(I451&gt;0,MIN('Your Mortgage'!$C$11,I451+J451),0)</x:f>
        <x:v>0</x:v>
      </x:c>
      <x:c r="L451" s="105" t="n">
        <x:f>IF(I451&gt;0,MIN('Your Mortgage'!$F$6,MAX(0,I451+J451-K451)),0)</x:f>
        <x:v>0</x:v>
      </x:c>
      <x:c r="M451" s="105" t="n">
        <x:f>IF(AND(A451='Your Mortgage'!$F$8,I451&gt;0),MIN('Your Mortgage'!$F$7,MAX(0,I451+J451-K451-L451)),0)</x:f>
        <x:v>0</x:v>
      </x:c>
      <x:c r="N451" s="105" t="n">
        <x:f>K451+L451+M451</x:f>
        <x:v>0</x:v>
      </x:c>
      <x:c r="O451" s="105" t="n">
        <x:f>MAX(0,N451-J451)</x:f>
        <x:v>0</x:v>
      </x:c>
      <x:c r="P451" s="105" t="n">
        <x:f>MAX(0,I451-O451)</x:f>
        <x:v>0</x:v>
      </x:c>
      <x:c r="Q451" s="106" t="n">
        <x:f>X450</x:f>
        <x:v>0</x:v>
      </x:c>
      <x:c r="R451" s="106" t="n">
        <x:f>IF(Q451&gt;0,Q451*'Your Mortgage'!$C$7/12,0)</x:f>
        <x:v>0</x:v>
      </x:c>
      <x:c r="S451" s="106" t="n">
        <x:f>IF(Q451&gt;0,MIN('Your Mortgage'!$C$11,Q451+R451),0)</x:f>
        <x:v>0</x:v>
      </x:c>
      <x:c r="T451" s="106" t="n">
        <x:f>IF(Q451&gt;0,MIN('Your Mortgage'!$I$6,MAX(0,Q451+R451-S451)),0)</x:f>
        <x:v>0</x:v>
      </x:c>
      <x:c r="U451" s="106" t="n">
        <x:f>IF(AND(A451='Your Mortgage'!$I$8,Q451&gt;0),MIN('Your Mortgage'!$I$7,MAX(0,Q451+R451-S451-T451)),0)</x:f>
        <x:v>0</x:v>
      </x:c>
      <x:c r="V451" s="106" t="n">
        <x:f>S451+T451+U451</x:f>
        <x:v>0</x:v>
      </x:c>
      <x:c r="W451" s="106" t="n">
        <x:f>MAX(0,V451-R451)</x:f>
        <x:v>0</x:v>
      </x:c>
      <x:c r="X451" s="106" t="n">
        <x:f>MAX(0,Q451-W451)</x:f>
        <x:v>0</x:v>
      </x:c>
      <x:c r="Y451" s="1"/>
      <x:c r="Z451" s="1"/>
    </x:row>
    <x:row r="452">
      <x:c r="A452" s="100" t="n">
        <x:f>A451+1</x:f>
        <x:v>447</x:v>
      </x:c>
      <x:c r="B452" s="103" t="n">
        <x:f>EDATE(B451,1)</x:f>
        <x:v>59810</x:v>
      </x:c>
      <x:c r="C452" s="104" t="n">
        <x:f>H451</x:f>
        <x:v>0</x:v>
      </x:c>
      <x:c r="D452" s="104" t="n">
        <x:f>IF(C452&gt;0,C452*'Your Mortgage'!$C$7/12,0)</x:f>
        <x:v>0</x:v>
      </x:c>
      <x:c r="E452" s="104" t="n">
        <x:f>IF(C452&gt;0,MIN('Your Mortgage'!$C$11,C452+D452),0)</x:f>
        <x:v>0</x:v>
      </x:c>
      <x:c r="F452" s="104" t="n">
        <x:f>E452</x:f>
        <x:v>0</x:v>
      </x:c>
      <x:c r="G452" s="104" t="n">
        <x:f>MAX(0,F452-D452)</x:f>
        <x:v>0</x:v>
      </x:c>
      <x:c r="H452" s="104" t="n">
        <x:f>MAX(0,C452-G452)</x:f>
        <x:v>0</x:v>
      </x:c>
      <x:c r="I452" s="105" t="n">
        <x:f>P451</x:f>
        <x:v>0</x:v>
      </x:c>
      <x:c r="J452" s="105" t="n">
        <x:f>IF(I452&gt;0,I452*'Your Mortgage'!$C$7/12,0)</x:f>
        <x:v>0</x:v>
      </x:c>
      <x:c r="K452" s="105" t="n">
        <x:f>IF(I452&gt;0,MIN('Your Mortgage'!$C$11,I452+J452),0)</x:f>
        <x:v>0</x:v>
      </x:c>
      <x:c r="L452" s="105" t="n">
        <x:f>IF(I452&gt;0,MIN('Your Mortgage'!$F$6,MAX(0,I452+J452-K452)),0)</x:f>
        <x:v>0</x:v>
      </x:c>
      <x:c r="M452" s="105" t="n">
        <x:f>IF(AND(A452='Your Mortgage'!$F$8,I452&gt;0),MIN('Your Mortgage'!$F$7,MAX(0,I452+J452-K452-L452)),0)</x:f>
        <x:v>0</x:v>
      </x:c>
      <x:c r="N452" s="105" t="n">
        <x:f>K452+L452+M452</x:f>
        <x:v>0</x:v>
      </x:c>
      <x:c r="O452" s="105" t="n">
        <x:f>MAX(0,N452-J452)</x:f>
        <x:v>0</x:v>
      </x:c>
      <x:c r="P452" s="105" t="n">
        <x:f>MAX(0,I452-O452)</x:f>
        <x:v>0</x:v>
      </x:c>
      <x:c r="Q452" s="106" t="n">
        <x:f>X451</x:f>
        <x:v>0</x:v>
      </x:c>
      <x:c r="R452" s="106" t="n">
        <x:f>IF(Q452&gt;0,Q452*'Your Mortgage'!$C$7/12,0)</x:f>
        <x:v>0</x:v>
      </x:c>
      <x:c r="S452" s="106" t="n">
        <x:f>IF(Q452&gt;0,MIN('Your Mortgage'!$C$11,Q452+R452),0)</x:f>
        <x:v>0</x:v>
      </x:c>
      <x:c r="T452" s="106" t="n">
        <x:f>IF(Q452&gt;0,MIN('Your Mortgage'!$I$6,MAX(0,Q452+R452-S452)),0)</x:f>
        <x:v>0</x:v>
      </x:c>
      <x:c r="U452" s="106" t="n">
        <x:f>IF(AND(A452='Your Mortgage'!$I$8,Q452&gt;0),MIN('Your Mortgage'!$I$7,MAX(0,Q452+R452-S452-T452)),0)</x:f>
        <x:v>0</x:v>
      </x:c>
      <x:c r="V452" s="106" t="n">
        <x:f>S452+T452+U452</x:f>
        <x:v>0</x:v>
      </x:c>
      <x:c r="W452" s="106" t="n">
        <x:f>MAX(0,V452-R452)</x:f>
        <x:v>0</x:v>
      </x:c>
      <x:c r="X452" s="106" t="n">
        <x:f>MAX(0,Q452-W452)</x:f>
        <x:v>0</x:v>
      </x:c>
      <x:c r="Y452" s="1"/>
      <x:c r="Z452" s="1"/>
    </x:row>
    <x:row r="453">
      <x:c r="A453" s="100" t="n">
        <x:f>A452+1</x:f>
        <x:v>448</x:v>
      </x:c>
      <x:c r="B453" s="103" t="n">
        <x:f>EDATE(B452,1)</x:f>
        <x:v>59841</x:v>
      </x:c>
      <x:c r="C453" s="104" t="n">
        <x:f>H452</x:f>
        <x:v>0</x:v>
      </x:c>
      <x:c r="D453" s="104" t="n">
        <x:f>IF(C453&gt;0,C453*'Your Mortgage'!$C$7/12,0)</x:f>
        <x:v>0</x:v>
      </x:c>
      <x:c r="E453" s="104" t="n">
        <x:f>IF(C453&gt;0,MIN('Your Mortgage'!$C$11,C453+D453),0)</x:f>
        <x:v>0</x:v>
      </x:c>
      <x:c r="F453" s="104" t="n">
        <x:f>E453</x:f>
        <x:v>0</x:v>
      </x:c>
      <x:c r="G453" s="104" t="n">
        <x:f>MAX(0,F453-D453)</x:f>
        <x:v>0</x:v>
      </x:c>
      <x:c r="H453" s="104" t="n">
        <x:f>MAX(0,C453-G453)</x:f>
        <x:v>0</x:v>
      </x:c>
      <x:c r="I453" s="105" t="n">
        <x:f>P452</x:f>
        <x:v>0</x:v>
      </x:c>
      <x:c r="J453" s="105" t="n">
        <x:f>IF(I453&gt;0,I453*'Your Mortgage'!$C$7/12,0)</x:f>
        <x:v>0</x:v>
      </x:c>
      <x:c r="K453" s="105" t="n">
        <x:f>IF(I453&gt;0,MIN('Your Mortgage'!$C$11,I453+J453),0)</x:f>
        <x:v>0</x:v>
      </x:c>
      <x:c r="L453" s="105" t="n">
        <x:f>IF(I453&gt;0,MIN('Your Mortgage'!$F$6,MAX(0,I453+J453-K453)),0)</x:f>
        <x:v>0</x:v>
      </x:c>
      <x:c r="M453" s="105" t="n">
        <x:f>IF(AND(A453='Your Mortgage'!$F$8,I453&gt;0),MIN('Your Mortgage'!$F$7,MAX(0,I453+J453-K453-L453)),0)</x:f>
        <x:v>0</x:v>
      </x:c>
      <x:c r="N453" s="105" t="n">
        <x:f>K453+L453+M453</x:f>
        <x:v>0</x:v>
      </x:c>
      <x:c r="O453" s="105" t="n">
        <x:f>MAX(0,N453-J453)</x:f>
        <x:v>0</x:v>
      </x:c>
      <x:c r="P453" s="105" t="n">
        <x:f>MAX(0,I453-O453)</x:f>
        <x:v>0</x:v>
      </x:c>
      <x:c r="Q453" s="106" t="n">
        <x:f>X452</x:f>
        <x:v>0</x:v>
      </x:c>
      <x:c r="R453" s="106" t="n">
        <x:f>IF(Q453&gt;0,Q453*'Your Mortgage'!$C$7/12,0)</x:f>
        <x:v>0</x:v>
      </x:c>
      <x:c r="S453" s="106" t="n">
        <x:f>IF(Q453&gt;0,MIN('Your Mortgage'!$C$11,Q453+R453),0)</x:f>
        <x:v>0</x:v>
      </x:c>
      <x:c r="T453" s="106" t="n">
        <x:f>IF(Q453&gt;0,MIN('Your Mortgage'!$I$6,MAX(0,Q453+R453-S453)),0)</x:f>
        <x:v>0</x:v>
      </x:c>
      <x:c r="U453" s="106" t="n">
        <x:f>IF(AND(A453='Your Mortgage'!$I$8,Q453&gt;0),MIN('Your Mortgage'!$I$7,MAX(0,Q453+R453-S453-T453)),0)</x:f>
        <x:v>0</x:v>
      </x:c>
      <x:c r="V453" s="106" t="n">
        <x:f>S453+T453+U453</x:f>
        <x:v>0</x:v>
      </x:c>
      <x:c r="W453" s="106" t="n">
        <x:f>MAX(0,V453-R453)</x:f>
        <x:v>0</x:v>
      </x:c>
      <x:c r="X453" s="106" t="n">
        <x:f>MAX(0,Q453-W453)</x:f>
        <x:v>0</x:v>
      </x:c>
      <x:c r="Y453" s="1"/>
      <x:c r="Z453" s="1"/>
    </x:row>
    <x:row r="454">
      <x:c r="A454" s="100" t="n">
        <x:f>A453+1</x:f>
        <x:v>449</x:v>
      </x:c>
      <x:c r="B454" s="103" t="n">
        <x:f>EDATE(B453,1)</x:f>
        <x:v>59871</x:v>
      </x:c>
      <x:c r="C454" s="104" t="n">
        <x:f>H453</x:f>
        <x:v>0</x:v>
      </x:c>
      <x:c r="D454" s="104" t="n">
        <x:f>IF(C454&gt;0,C454*'Your Mortgage'!$C$7/12,0)</x:f>
        <x:v>0</x:v>
      </x:c>
      <x:c r="E454" s="104" t="n">
        <x:f>IF(C454&gt;0,MIN('Your Mortgage'!$C$11,C454+D454),0)</x:f>
        <x:v>0</x:v>
      </x:c>
      <x:c r="F454" s="104" t="n">
        <x:f>E454</x:f>
        <x:v>0</x:v>
      </x:c>
      <x:c r="G454" s="104" t="n">
        <x:f>MAX(0,F454-D454)</x:f>
        <x:v>0</x:v>
      </x:c>
      <x:c r="H454" s="104" t="n">
        <x:f>MAX(0,C454-G454)</x:f>
        <x:v>0</x:v>
      </x:c>
      <x:c r="I454" s="105" t="n">
        <x:f>P453</x:f>
        <x:v>0</x:v>
      </x:c>
      <x:c r="J454" s="105" t="n">
        <x:f>IF(I454&gt;0,I454*'Your Mortgage'!$C$7/12,0)</x:f>
        <x:v>0</x:v>
      </x:c>
      <x:c r="K454" s="105" t="n">
        <x:f>IF(I454&gt;0,MIN('Your Mortgage'!$C$11,I454+J454),0)</x:f>
        <x:v>0</x:v>
      </x:c>
      <x:c r="L454" s="105" t="n">
        <x:f>IF(I454&gt;0,MIN('Your Mortgage'!$F$6,MAX(0,I454+J454-K454)),0)</x:f>
        <x:v>0</x:v>
      </x:c>
      <x:c r="M454" s="105" t="n">
        <x:f>IF(AND(A454='Your Mortgage'!$F$8,I454&gt;0),MIN('Your Mortgage'!$F$7,MAX(0,I454+J454-K454-L454)),0)</x:f>
        <x:v>0</x:v>
      </x:c>
      <x:c r="N454" s="105" t="n">
        <x:f>K454+L454+M454</x:f>
        <x:v>0</x:v>
      </x:c>
      <x:c r="O454" s="105" t="n">
        <x:f>MAX(0,N454-J454)</x:f>
        <x:v>0</x:v>
      </x:c>
      <x:c r="P454" s="105" t="n">
        <x:f>MAX(0,I454-O454)</x:f>
        <x:v>0</x:v>
      </x:c>
      <x:c r="Q454" s="106" t="n">
        <x:f>X453</x:f>
        <x:v>0</x:v>
      </x:c>
      <x:c r="R454" s="106" t="n">
        <x:f>IF(Q454&gt;0,Q454*'Your Mortgage'!$C$7/12,0)</x:f>
        <x:v>0</x:v>
      </x:c>
      <x:c r="S454" s="106" t="n">
        <x:f>IF(Q454&gt;0,MIN('Your Mortgage'!$C$11,Q454+R454),0)</x:f>
        <x:v>0</x:v>
      </x:c>
      <x:c r="T454" s="106" t="n">
        <x:f>IF(Q454&gt;0,MIN('Your Mortgage'!$I$6,MAX(0,Q454+R454-S454)),0)</x:f>
        <x:v>0</x:v>
      </x:c>
      <x:c r="U454" s="106" t="n">
        <x:f>IF(AND(A454='Your Mortgage'!$I$8,Q454&gt;0),MIN('Your Mortgage'!$I$7,MAX(0,Q454+R454-S454-T454)),0)</x:f>
        <x:v>0</x:v>
      </x:c>
      <x:c r="V454" s="106" t="n">
        <x:f>S454+T454+U454</x:f>
        <x:v>0</x:v>
      </x:c>
      <x:c r="W454" s="106" t="n">
        <x:f>MAX(0,V454-R454)</x:f>
        <x:v>0</x:v>
      </x:c>
      <x:c r="X454" s="106" t="n">
        <x:f>MAX(0,Q454-W454)</x:f>
        <x:v>0</x:v>
      </x:c>
      <x:c r="Y454" s="1"/>
      <x:c r="Z454" s="1"/>
    </x:row>
    <x:row r="455">
      <x:c r="A455" s="100" t="n">
        <x:f>A454+1</x:f>
        <x:v>450</x:v>
      </x:c>
      <x:c r="B455" s="103" t="n">
        <x:f>EDATE(B454,1)</x:f>
        <x:v>59902</x:v>
      </x:c>
      <x:c r="C455" s="104" t="n">
        <x:f>H454</x:f>
        <x:v>0</x:v>
      </x:c>
      <x:c r="D455" s="104" t="n">
        <x:f>IF(C455&gt;0,C455*'Your Mortgage'!$C$7/12,0)</x:f>
        <x:v>0</x:v>
      </x:c>
      <x:c r="E455" s="104" t="n">
        <x:f>IF(C455&gt;0,MIN('Your Mortgage'!$C$11,C455+D455),0)</x:f>
        <x:v>0</x:v>
      </x:c>
      <x:c r="F455" s="104" t="n">
        <x:f>E455</x:f>
        <x:v>0</x:v>
      </x:c>
      <x:c r="G455" s="104" t="n">
        <x:f>MAX(0,F455-D455)</x:f>
        <x:v>0</x:v>
      </x:c>
      <x:c r="H455" s="104" t="n">
        <x:f>MAX(0,C455-G455)</x:f>
        <x:v>0</x:v>
      </x:c>
      <x:c r="I455" s="105" t="n">
        <x:f>P454</x:f>
        <x:v>0</x:v>
      </x:c>
      <x:c r="J455" s="105" t="n">
        <x:f>IF(I455&gt;0,I455*'Your Mortgage'!$C$7/12,0)</x:f>
        <x:v>0</x:v>
      </x:c>
      <x:c r="K455" s="105" t="n">
        <x:f>IF(I455&gt;0,MIN('Your Mortgage'!$C$11,I455+J455),0)</x:f>
        <x:v>0</x:v>
      </x:c>
      <x:c r="L455" s="105" t="n">
        <x:f>IF(I455&gt;0,MIN('Your Mortgage'!$F$6,MAX(0,I455+J455-K455)),0)</x:f>
        <x:v>0</x:v>
      </x:c>
      <x:c r="M455" s="105" t="n">
        <x:f>IF(AND(A455='Your Mortgage'!$F$8,I455&gt;0),MIN('Your Mortgage'!$F$7,MAX(0,I455+J455-K455-L455)),0)</x:f>
        <x:v>0</x:v>
      </x:c>
      <x:c r="N455" s="105" t="n">
        <x:f>K455+L455+M455</x:f>
        <x:v>0</x:v>
      </x:c>
      <x:c r="O455" s="105" t="n">
        <x:f>MAX(0,N455-J455)</x:f>
        <x:v>0</x:v>
      </x:c>
      <x:c r="P455" s="105" t="n">
        <x:f>MAX(0,I455-O455)</x:f>
        <x:v>0</x:v>
      </x:c>
      <x:c r="Q455" s="106" t="n">
        <x:f>X454</x:f>
        <x:v>0</x:v>
      </x:c>
      <x:c r="R455" s="106" t="n">
        <x:f>IF(Q455&gt;0,Q455*'Your Mortgage'!$C$7/12,0)</x:f>
        <x:v>0</x:v>
      </x:c>
      <x:c r="S455" s="106" t="n">
        <x:f>IF(Q455&gt;0,MIN('Your Mortgage'!$C$11,Q455+R455),0)</x:f>
        <x:v>0</x:v>
      </x:c>
      <x:c r="T455" s="106" t="n">
        <x:f>IF(Q455&gt;0,MIN('Your Mortgage'!$I$6,MAX(0,Q455+R455-S455)),0)</x:f>
        <x:v>0</x:v>
      </x:c>
      <x:c r="U455" s="106" t="n">
        <x:f>IF(AND(A455='Your Mortgage'!$I$8,Q455&gt;0),MIN('Your Mortgage'!$I$7,MAX(0,Q455+R455-S455-T455)),0)</x:f>
        <x:v>0</x:v>
      </x:c>
      <x:c r="V455" s="106" t="n">
        <x:f>S455+T455+U455</x:f>
        <x:v>0</x:v>
      </x:c>
      <x:c r="W455" s="106" t="n">
        <x:f>MAX(0,V455-R455)</x:f>
        <x:v>0</x:v>
      </x:c>
      <x:c r="X455" s="106" t="n">
        <x:f>MAX(0,Q455-W455)</x:f>
        <x:v>0</x:v>
      </x:c>
      <x:c r="Y455" s="1"/>
      <x:c r="Z455" s="1"/>
    </x:row>
    <x:row r="456">
      <x:c r="A456" s="100" t="n">
        <x:f>A455+1</x:f>
        <x:v>451</x:v>
      </x:c>
      <x:c r="B456" s="103" t="n">
        <x:f>EDATE(B455,1)</x:f>
        <x:v>59933</x:v>
      </x:c>
      <x:c r="C456" s="104" t="n">
        <x:f>H455</x:f>
        <x:v>0</x:v>
      </x:c>
      <x:c r="D456" s="104" t="n">
        <x:f>IF(C456&gt;0,C456*'Your Mortgage'!$C$7/12,0)</x:f>
        <x:v>0</x:v>
      </x:c>
      <x:c r="E456" s="104" t="n">
        <x:f>IF(C456&gt;0,MIN('Your Mortgage'!$C$11,C456+D456),0)</x:f>
        <x:v>0</x:v>
      </x:c>
      <x:c r="F456" s="104" t="n">
        <x:f>E456</x:f>
        <x:v>0</x:v>
      </x:c>
      <x:c r="G456" s="104" t="n">
        <x:f>MAX(0,F456-D456)</x:f>
        <x:v>0</x:v>
      </x:c>
      <x:c r="H456" s="104" t="n">
        <x:f>MAX(0,C456-G456)</x:f>
        <x:v>0</x:v>
      </x:c>
      <x:c r="I456" s="105" t="n">
        <x:f>P455</x:f>
        <x:v>0</x:v>
      </x:c>
      <x:c r="J456" s="105" t="n">
        <x:f>IF(I456&gt;0,I456*'Your Mortgage'!$C$7/12,0)</x:f>
        <x:v>0</x:v>
      </x:c>
      <x:c r="K456" s="105" t="n">
        <x:f>IF(I456&gt;0,MIN('Your Mortgage'!$C$11,I456+J456),0)</x:f>
        <x:v>0</x:v>
      </x:c>
      <x:c r="L456" s="105" t="n">
        <x:f>IF(I456&gt;0,MIN('Your Mortgage'!$F$6,MAX(0,I456+J456-K456)),0)</x:f>
        <x:v>0</x:v>
      </x:c>
      <x:c r="M456" s="105" t="n">
        <x:f>IF(AND(A456='Your Mortgage'!$F$8,I456&gt;0),MIN('Your Mortgage'!$F$7,MAX(0,I456+J456-K456-L456)),0)</x:f>
        <x:v>0</x:v>
      </x:c>
      <x:c r="N456" s="105" t="n">
        <x:f>K456+L456+M456</x:f>
        <x:v>0</x:v>
      </x:c>
      <x:c r="O456" s="105" t="n">
        <x:f>MAX(0,N456-J456)</x:f>
        <x:v>0</x:v>
      </x:c>
      <x:c r="P456" s="105" t="n">
        <x:f>MAX(0,I456-O456)</x:f>
        <x:v>0</x:v>
      </x:c>
      <x:c r="Q456" s="106" t="n">
        <x:f>X455</x:f>
        <x:v>0</x:v>
      </x:c>
      <x:c r="R456" s="106" t="n">
        <x:f>IF(Q456&gt;0,Q456*'Your Mortgage'!$C$7/12,0)</x:f>
        <x:v>0</x:v>
      </x:c>
      <x:c r="S456" s="106" t="n">
        <x:f>IF(Q456&gt;0,MIN('Your Mortgage'!$C$11,Q456+R456),0)</x:f>
        <x:v>0</x:v>
      </x:c>
      <x:c r="T456" s="106" t="n">
        <x:f>IF(Q456&gt;0,MIN('Your Mortgage'!$I$6,MAX(0,Q456+R456-S456)),0)</x:f>
        <x:v>0</x:v>
      </x:c>
      <x:c r="U456" s="106" t="n">
        <x:f>IF(AND(A456='Your Mortgage'!$I$8,Q456&gt;0),MIN('Your Mortgage'!$I$7,MAX(0,Q456+R456-S456-T456)),0)</x:f>
        <x:v>0</x:v>
      </x:c>
      <x:c r="V456" s="106" t="n">
        <x:f>S456+T456+U456</x:f>
        <x:v>0</x:v>
      </x:c>
      <x:c r="W456" s="106" t="n">
        <x:f>MAX(0,V456-R456)</x:f>
        <x:v>0</x:v>
      </x:c>
      <x:c r="X456" s="106" t="n">
        <x:f>MAX(0,Q456-W456)</x:f>
        <x:v>0</x:v>
      </x:c>
      <x:c r="Y456" s="1"/>
      <x:c r="Z456" s="1"/>
    </x:row>
    <x:row r="457">
      <x:c r="A457" s="100" t="n">
        <x:f>A456+1</x:f>
        <x:v>452</x:v>
      </x:c>
      <x:c r="B457" s="103" t="n">
        <x:f>EDATE(B456,1)</x:f>
        <x:v>59962</x:v>
      </x:c>
      <x:c r="C457" s="104" t="n">
        <x:f>H456</x:f>
        <x:v>0</x:v>
      </x:c>
      <x:c r="D457" s="104" t="n">
        <x:f>IF(C457&gt;0,C457*'Your Mortgage'!$C$7/12,0)</x:f>
        <x:v>0</x:v>
      </x:c>
      <x:c r="E457" s="104" t="n">
        <x:f>IF(C457&gt;0,MIN('Your Mortgage'!$C$11,C457+D457),0)</x:f>
        <x:v>0</x:v>
      </x:c>
      <x:c r="F457" s="104" t="n">
        <x:f>E457</x:f>
        <x:v>0</x:v>
      </x:c>
      <x:c r="G457" s="104" t="n">
        <x:f>MAX(0,F457-D457)</x:f>
        <x:v>0</x:v>
      </x:c>
      <x:c r="H457" s="104" t="n">
        <x:f>MAX(0,C457-G457)</x:f>
        <x:v>0</x:v>
      </x:c>
      <x:c r="I457" s="105" t="n">
        <x:f>P456</x:f>
        <x:v>0</x:v>
      </x:c>
      <x:c r="J457" s="105" t="n">
        <x:f>IF(I457&gt;0,I457*'Your Mortgage'!$C$7/12,0)</x:f>
        <x:v>0</x:v>
      </x:c>
      <x:c r="K457" s="105" t="n">
        <x:f>IF(I457&gt;0,MIN('Your Mortgage'!$C$11,I457+J457),0)</x:f>
        <x:v>0</x:v>
      </x:c>
      <x:c r="L457" s="105" t="n">
        <x:f>IF(I457&gt;0,MIN('Your Mortgage'!$F$6,MAX(0,I457+J457-K457)),0)</x:f>
        <x:v>0</x:v>
      </x:c>
      <x:c r="M457" s="105" t="n">
        <x:f>IF(AND(A457='Your Mortgage'!$F$8,I457&gt;0),MIN('Your Mortgage'!$F$7,MAX(0,I457+J457-K457-L457)),0)</x:f>
        <x:v>0</x:v>
      </x:c>
      <x:c r="N457" s="105" t="n">
        <x:f>K457+L457+M457</x:f>
        <x:v>0</x:v>
      </x:c>
      <x:c r="O457" s="105" t="n">
        <x:f>MAX(0,N457-J457)</x:f>
        <x:v>0</x:v>
      </x:c>
      <x:c r="P457" s="105" t="n">
        <x:f>MAX(0,I457-O457)</x:f>
        <x:v>0</x:v>
      </x:c>
      <x:c r="Q457" s="106" t="n">
        <x:f>X456</x:f>
        <x:v>0</x:v>
      </x:c>
      <x:c r="R457" s="106" t="n">
        <x:f>IF(Q457&gt;0,Q457*'Your Mortgage'!$C$7/12,0)</x:f>
        <x:v>0</x:v>
      </x:c>
      <x:c r="S457" s="106" t="n">
        <x:f>IF(Q457&gt;0,MIN('Your Mortgage'!$C$11,Q457+R457),0)</x:f>
        <x:v>0</x:v>
      </x:c>
      <x:c r="T457" s="106" t="n">
        <x:f>IF(Q457&gt;0,MIN('Your Mortgage'!$I$6,MAX(0,Q457+R457-S457)),0)</x:f>
        <x:v>0</x:v>
      </x:c>
      <x:c r="U457" s="106" t="n">
        <x:f>IF(AND(A457='Your Mortgage'!$I$8,Q457&gt;0),MIN('Your Mortgage'!$I$7,MAX(0,Q457+R457-S457-T457)),0)</x:f>
        <x:v>0</x:v>
      </x:c>
      <x:c r="V457" s="106" t="n">
        <x:f>S457+T457+U457</x:f>
        <x:v>0</x:v>
      </x:c>
      <x:c r="W457" s="106" t="n">
        <x:f>MAX(0,V457-R457)</x:f>
        <x:v>0</x:v>
      </x:c>
      <x:c r="X457" s="106" t="n">
        <x:f>MAX(0,Q457-W457)</x:f>
        <x:v>0</x:v>
      </x:c>
      <x:c r="Y457" s="1"/>
      <x:c r="Z457" s="1"/>
    </x:row>
    <x:row r="458">
      <x:c r="A458" s="100" t="n">
        <x:f>A457+1</x:f>
        <x:v>453</x:v>
      </x:c>
      <x:c r="B458" s="103" t="n">
        <x:f>EDATE(B457,1)</x:f>
        <x:v>59993</x:v>
      </x:c>
      <x:c r="C458" s="104" t="n">
        <x:f>H457</x:f>
        <x:v>0</x:v>
      </x:c>
      <x:c r="D458" s="104" t="n">
        <x:f>IF(C458&gt;0,C458*'Your Mortgage'!$C$7/12,0)</x:f>
        <x:v>0</x:v>
      </x:c>
      <x:c r="E458" s="104" t="n">
        <x:f>IF(C458&gt;0,MIN('Your Mortgage'!$C$11,C458+D458),0)</x:f>
        <x:v>0</x:v>
      </x:c>
      <x:c r="F458" s="104" t="n">
        <x:f>E458</x:f>
        <x:v>0</x:v>
      </x:c>
      <x:c r="G458" s="104" t="n">
        <x:f>MAX(0,F458-D458)</x:f>
        <x:v>0</x:v>
      </x:c>
      <x:c r="H458" s="104" t="n">
        <x:f>MAX(0,C458-G458)</x:f>
        <x:v>0</x:v>
      </x:c>
      <x:c r="I458" s="105" t="n">
        <x:f>P457</x:f>
        <x:v>0</x:v>
      </x:c>
      <x:c r="J458" s="105" t="n">
        <x:f>IF(I458&gt;0,I458*'Your Mortgage'!$C$7/12,0)</x:f>
        <x:v>0</x:v>
      </x:c>
      <x:c r="K458" s="105" t="n">
        <x:f>IF(I458&gt;0,MIN('Your Mortgage'!$C$11,I458+J458),0)</x:f>
        <x:v>0</x:v>
      </x:c>
      <x:c r="L458" s="105" t="n">
        <x:f>IF(I458&gt;0,MIN('Your Mortgage'!$F$6,MAX(0,I458+J458-K458)),0)</x:f>
        <x:v>0</x:v>
      </x:c>
      <x:c r="M458" s="105" t="n">
        <x:f>IF(AND(A458='Your Mortgage'!$F$8,I458&gt;0),MIN('Your Mortgage'!$F$7,MAX(0,I458+J458-K458-L458)),0)</x:f>
        <x:v>0</x:v>
      </x:c>
      <x:c r="N458" s="105" t="n">
        <x:f>K458+L458+M458</x:f>
        <x:v>0</x:v>
      </x:c>
      <x:c r="O458" s="105" t="n">
        <x:f>MAX(0,N458-J458)</x:f>
        <x:v>0</x:v>
      </x:c>
      <x:c r="P458" s="105" t="n">
        <x:f>MAX(0,I458-O458)</x:f>
        <x:v>0</x:v>
      </x:c>
      <x:c r="Q458" s="106" t="n">
        <x:f>X457</x:f>
        <x:v>0</x:v>
      </x:c>
      <x:c r="R458" s="106" t="n">
        <x:f>IF(Q458&gt;0,Q458*'Your Mortgage'!$C$7/12,0)</x:f>
        <x:v>0</x:v>
      </x:c>
      <x:c r="S458" s="106" t="n">
        <x:f>IF(Q458&gt;0,MIN('Your Mortgage'!$C$11,Q458+R458),0)</x:f>
        <x:v>0</x:v>
      </x:c>
      <x:c r="T458" s="106" t="n">
        <x:f>IF(Q458&gt;0,MIN('Your Mortgage'!$I$6,MAX(0,Q458+R458-S458)),0)</x:f>
        <x:v>0</x:v>
      </x:c>
      <x:c r="U458" s="106" t="n">
        <x:f>IF(AND(A458='Your Mortgage'!$I$8,Q458&gt;0),MIN('Your Mortgage'!$I$7,MAX(0,Q458+R458-S458-T458)),0)</x:f>
        <x:v>0</x:v>
      </x:c>
      <x:c r="V458" s="106" t="n">
        <x:f>S458+T458+U458</x:f>
        <x:v>0</x:v>
      </x:c>
      <x:c r="W458" s="106" t="n">
        <x:f>MAX(0,V458-R458)</x:f>
        <x:v>0</x:v>
      </x:c>
      <x:c r="X458" s="106" t="n">
        <x:f>MAX(0,Q458-W458)</x:f>
        <x:v>0</x:v>
      </x:c>
      <x:c r="Y458" s="1"/>
      <x:c r="Z458" s="1"/>
    </x:row>
    <x:row r="459">
      <x:c r="A459" s="100" t="n">
        <x:f>A458+1</x:f>
        <x:v>454</x:v>
      </x:c>
      <x:c r="B459" s="103" t="n">
        <x:f>EDATE(B458,1)</x:f>
        <x:v>60023</x:v>
      </x:c>
      <x:c r="C459" s="104" t="n">
        <x:f>H458</x:f>
        <x:v>0</x:v>
      </x:c>
      <x:c r="D459" s="104" t="n">
        <x:f>IF(C459&gt;0,C459*'Your Mortgage'!$C$7/12,0)</x:f>
        <x:v>0</x:v>
      </x:c>
      <x:c r="E459" s="104" t="n">
        <x:f>IF(C459&gt;0,MIN('Your Mortgage'!$C$11,C459+D459),0)</x:f>
        <x:v>0</x:v>
      </x:c>
      <x:c r="F459" s="104" t="n">
        <x:f>E459</x:f>
        <x:v>0</x:v>
      </x:c>
      <x:c r="G459" s="104" t="n">
        <x:f>MAX(0,F459-D459)</x:f>
        <x:v>0</x:v>
      </x:c>
      <x:c r="H459" s="104" t="n">
        <x:f>MAX(0,C459-G459)</x:f>
        <x:v>0</x:v>
      </x:c>
      <x:c r="I459" s="105" t="n">
        <x:f>P458</x:f>
        <x:v>0</x:v>
      </x:c>
      <x:c r="J459" s="105" t="n">
        <x:f>IF(I459&gt;0,I459*'Your Mortgage'!$C$7/12,0)</x:f>
        <x:v>0</x:v>
      </x:c>
      <x:c r="K459" s="105" t="n">
        <x:f>IF(I459&gt;0,MIN('Your Mortgage'!$C$11,I459+J459),0)</x:f>
        <x:v>0</x:v>
      </x:c>
      <x:c r="L459" s="105" t="n">
        <x:f>IF(I459&gt;0,MIN('Your Mortgage'!$F$6,MAX(0,I459+J459-K459)),0)</x:f>
        <x:v>0</x:v>
      </x:c>
      <x:c r="M459" s="105" t="n">
        <x:f>IF(AND(A459='Your Mortgage'!$F$8,I459&gt;0),MIN('Your Mortgage'!$F$7,MAX(0,I459+J459-K459-L459)),0)</x:f>
        <x:v>0</x:v>
      </x:c>
      <x:c r="N459" s="105" t="n">
        <x:f>K459+L459+M459</x:f>
        <x:v>0</x:v>
      </x:c>
      <x:c r="O459" s="105" t="n">
        <x:f>MAX(0,N459-J459)</x:f>
        <x:v>0</x:v>
      </x:c>
      <x:c r="P459" s="105" t="n">
        <x:f>MAX(0,I459-O459)</x:f>
        <x:v>0</x:v>
      </x:c>
      <x:c r="Q459" s="106" t="n">
        <x:f>X458</x:f>
        <x:v>0</x:v>
      </x:c>
      <x:c r="R459" s="106" t="n">
        <x:f>IF(Q459&gt;0,Q459*'Your Mortgage'!$C$7/12,0)</x:f>
        <x:v>0</x:v>
      </x:c>
      <x:c r="S459" s="106" t="n">
        <x:f>IF(Q459&gt;0,MIN('Your Mortgage'!$C$11,Q459+R459),0)</x:f>
        <x:v>0</x:v>
      </x:c>
      <x:c r="T459" s="106" t="n">
        <x:f>IF(Q459&gt;0,MIN('Your Mortgage'!$I$6,MAX(0,Q459+R459-S459)),0)</x:f>
        <x:v>0</x:v>
      </x:c>
      <x:c r="U459" s="106" t="n">
        <x:f>IF(AND(A459='Your Mortgage'!$I$8,Q459&gt;0),MIN('Your Mortgage'!$I$7,MAX(0,Q459+R459-S459-T459)),0)</x:f>
        <x:v>0</x:v>
      </x:c>
      <x:c r="V459" s="106" t="n">
        <x:f>S459+T459+U459</x:f>
        <x:v>0</x:v>
      </x:c>
      <x:c r="W459" s="106" t="n">
        <x:f>MAX(0,V459-R459)</x:f>
        <x:v>0</x:v>
      </x:c>
      <x:c r="X459" s="106" t="n">
        <x:f>MAX(0,Q459-W459)</x:f>
        <x:v>0</x:v>
      </x:c>
      <x:c r="Y459" s="1"/>
      <x:c r="Z459" s="1"/>
    </x:row>
    <x:row r="460">
      <x:c r="A460" s="100" t="n">
        <x:f>A459+1</x:f>
        <x:v>455</x:v>
      </x:c>
      <x:c r="B460" s="103" t="n">
        <x:f>EDATE(B459,1)</x:f>
        <x:v>60054</x:v>
      </x:c>
      <x:c r="C460" s="104" t="n">
        <x:f>H459</x:f>
        <x:v>0</x:v>
      </x:c>
      <x:c r="D460" s="104" t="n">
        <x:f>IF(C460&gt;0,C460*'Your Mortgage'!$C$7/12,0)</x:f>
        <x:v>0</x:v>
      </x:c>
      <x:c r="E460" s="104" t="n">
        <x:f>IF(C460&gt;0,MIN('Your Mortgage'!$C$11,C460+D460),0)</x:f>
        <x:v>0</x:v>
      </x:c>
      <x:c r="F460" s="104" t="n">
        <x:f>E460</x:f>
        <x:v>0</x:v>
      </x:c>
      <x:c r="G460" s="104" t="n">
        <x:f>MAX(0,F460-D460)</x:f>
        <x:v>0</x:v>
      </x:c>
      <x:c r="H460" s="104" t="n">
        <x:f>MAX(0,C460-G460)</x:f>
        <x:v>0</x:v>
      </x:c>
      <x:c r="I460" s="105" t="n">
        <x:f>P459</x:f>
        <x:v>0</x:v>
      </x:c>
      <x:c r="J460" s="105" t="n">
        <x:f>IF(I460&gt;0,I460*'Your Mortgage'!$C$7/12,0)</x:f>
        <x:v>0</x:v>
      </x:c>
      <x:c r="K460" s="105" t="n">
        <x:f>IF(I460&gt;0,MIN('Your Mortgage'!$C$11,I460+J460),0)</x:f>
        <x:v>0</x:v>
      </x:c>
      <x:c r="L460" s="105" t="n">
        <x:f>IF(I460&gt;0,MIN('Your Mortgage'!$F$6,MAX(0,I460+J460-K460)),0)</x:f>
        <x:v>0</x:v>
      </x:c>
      <x:c r="M460" s="105" t="n">
        <x:f>IF(AND(A460='Your Mortgage'!$F$8,I460&gt;0),MIN('Your Mortgage'!$F$7,MAX(0,I460+J460-K460-L460)),0)</x:f>
        <x:v>0</x:v>
      </x:c>
      <x:c r="N460" s="105" t="n">
        <x:f>K460+L460+M460</x:f>
        <x:v>0</x:v>
      </x:c>
      <x:c r="O460" s="105" t="n">
        <x:f>MAX(0,N460-J460)</x:f>
        <x:v>0</x:v>
      </x:c>
      <x:c r="P460" s="105" t="n">
        <x:f>MAX(0,I460-O460)</x:f>
        <x:v>0</x:v>
      </x:c>
      <x:c r="Q460" s="106" t="n">
        <x:f>X459</x:f>
        <x:v>0</x:v>
      </x:c>
      <x:c r="R460" s="106" t="n">
        <x:f>IF(Q460&gt;0,Q460*'Your Mortgage'!$C$7/12,0)</x:f>
        <x:v>0</x:v>
      </x:c>
      <x:c r="S460" s="106" t="n">
        <x:f>IF(Q460&gt;0,MIN('Your Mortgage'!$C$11,Q460+R460),0)</x:f>
        <x:v>0</x:v>
      </x:c>
      <x:c r="T460" s="106" t="n">
        <x:f>IF(Q460&gt;0,MIN('Your Mortgage'!$I$6,MAX(0,Q460+R460-S460)),0)</x:f>
        <x:v>0</x:v>
      </x:c>
      <x:c r="U460" s="106" t="n">
        <x:f>IF(AND(A460='Your Mortgage'!$I$8,Q460&gt;0),MIN('Your Mortgage'!$I$7,MAX(0,Q460+R460-S460-T460)),0)</x:f>
        <x:v>0</x:v>
      </x:c>
      <x:c r="V460" s="106" t="n">
        <x:f>S460+T460+U460</x:f>
        <x:v>0</x:v>
      </x:c>
      <x:c r="W460" s="106" t="n">
        <x:f>MAX(0,V460-R460)</x:f>
        <x:v>0</x:v>
      </x:c>
      <x:c r="X460" s="106" t="n">
        <x:f>MAX(0,Q460-W460)</x:f>
        <x:v>0</x:v>
      </x:c>
      <x:c r="Y460" s="1"/>
      <x:c r="Z460" s="1"/>
    </x:row>
    <x:row r="461">
      <x:c r="A461" s="100" t="n">
        <x:f>A460+1</x:f>
        <x:v>456</x:v>
      </x:c>
      <x:c r="B461" s="103" t="n">
        <x:f>EDATE(B460,1)</x:f>
        <x:v>60084</x:v>
      </x:c>
      <x:c r="C461" s="104" t="n">
        <x:f>H460</x:f>
        <x:v>0</x:v>
      </x:c>
      <x:c r="D461" s="104" t="n">
        <x:f>IF(C461&gt;0,C461*'Your Mortgage'!$C$7/12,0)</x:f>
        <x:v>0</x:v>
      </x:c>
      <x:c r="E461" s="104" t="n">
        <x:f>IF(C461&gt;0,MIN('Your Mortgage'!$C$11,C461+D461),0)</x:f>
        <x:v>0</x:v>
      </x:c>
      <x:c r="F461" s="104" t="n">
        <x:f>E461</x:f>
        <x:v>0</x:v>
      </x:c>
      <x:c r="G461" s="104" t="n">
        <x:f>MAX(0,F461-D461)</x:f>
        <x:v>0</x:v>
      </x:c>
      <x:c r="H461" s="104" t="n">
        <x:f>MAX(0,C461-G461)</x:f>
        <x:v>0</x:v>
      </x:c>
      <x:c r="I461" s="105" t="n">
        <x:f>P460</x:f>
        <x:v>0</x:v>
      </x:c>
      <x:c r="J461" s="105" t="n">
        <x:f>IF(I461&gt;0,I461*'Your Mortgage'!$C$7/12,0)</x:f>
        <x:v>0</x:v>
      </x:c>
      <x:c r="K461" s="105" t="n">
        <x:f>IF(I461&gt;0,MIN('Your Mortgage'!$C$11,I461+J461),0)</x:f>
        <x:v>0</x:v>
      </x:c>
      <x:c r="L461" s="105" t="n">
        <x:f>IF(I461&gt;0,MIN('Your Mortgage'!$F$6,MAX(0,I461+J461-K461)),0)</x:f>
        <x:v>0</x:v>
      </x:c>
      <x:c r="M461" s="105" t="n">
        <x:f>IF(AND(A461='Your Mortgage'!$F$8,I461&gt;0),MIN('Your Mortgage'!$F$7,MAX(0,I461+J461-K461-L461)),0)</x:f>
        <x:v>0</x:v>
      </x:c>
      <x:c r="N461" s="105" t="n">
        <x:f>K461+L461+M461</x:f>
        <x:v>0</x:v>
      </x:c>
      <x:c r="O461" s="105" t="n">
        <x:f>MAX(0,N461-J461)</x:f>
        <x:v>0</x:v>
      </x:c>
      <x:c r="P461" s="105" t="n">
        <x:f>MAX(0,I461-O461)</x:f>
        <x:v>0</x:v>
      </x:c>
      <x:c r="Q461" s="106" t="n">
        <x:f>X460</x:f>
        <x:v>0</x:v>
      </x:c>
      <x:c r="R461" s="106" t="n">
        <x:f>IF(Q461&gt;0,Q461*'Your Mortgage'!$C$7/12,0)</x:f>
        <x:v>0</x:v>
      </x:c>
      <x:c r="S461" s="106" t="n">
        <x:f>IF(Q461&gt;0,MIN('Your Mortgage'!$C$11,Q461+R461),0)</x:f>
        <x:v>0</x:v>
      </x:c>
      <x:c r="T461" s="106" t="n">
        <x:f>IF(Q461&gt;0,MIN('Your Mortgage'!$I$6,MAX(0,Q461+R461-S461)),0)</x:f>
        <x:v>0</x:v>
      </x:c>
      <x:c r="U461" s="106" t="n">
        <x:f>IF(AND(A461='Your Mortgage'!$I$8,Q461&gt;0),MIN('Your Mortgage'!$I$7,MAX(0,Q461+R461-S461-T461)),0)</x:f>
        <x:v>0</x:v>
      </x:c>
      <x:c r="V461" s="106" t="n">
        <x:f>S461+T461+U461</x:f>
        <x:v>0</x:v>
      </x:c>
      <x:c r="W461" s="106" t="n">
        <x:f>MAX(0,V461-R461)</x:f>
        <x:v>0</x:v>
      </x:c>
      <x:c r="X461" s="106" t="n">
        <x:f>MAX(0,Q461-W461)</x:f>
        <x:v>0</x:v>
      </x:c>
      <x:c r="Y461" s="1"/>
      <x:c r="Z461" s="1"/>
    </x:row>
    <x:row r="462">
      <x:c r="A462" s="100" t="n">
        <x:f>A461+1</x:f>
        <x:v>457</x:v>
      </x:c>
      <x:c r="B462" s="103" t="n">
        <x:f>EDATE(B461,1)</x:f>
        <x:v>60115</x:v>
      </x:c>
      <x:c r="C462" s="104" t="n">
        <x:f>H461</x:f>
        <x:v>0</x:v>
      </x:c>
      <x:c r="D462" s="104" t="n">
        <x:f>IF(C462&gt;0,C462*'Your Mortgage'!$C$7/12,0)</x:f>
        <x:v>0</x:v>
      </x:c>
      <x:c r="E462" s="104" t="n">
        <x:f>IF(C462&gt;0,MIN('Your Mortgage'!$C$11,C462+D462),0)</x:f>
        <x:v>0</x:v>
      </x:c>
      <x:c r="F462" s="104" t="n">
        <x:f>E462</x:f>
        <x:v>0</x:v>
      </x:c>
      <x:c r="G462" s="104" t="n">
        <x:f>MAX(0,F462-D462)</x:f>
        <x:v>0</x:v>
      </x:c>
      <x:c r="H462" s="104" t="n">
        <x:f>MAX(0,C462-G462)</x:f>
        <x:v>0</x:v>
      </x:c>
      <x:c r="I462" s="105" t="n">
        <x:f>P461</x:f>
        <x:v>0</x:v>
      </x:c>
      <x:c r="J462" s="105" t="n">
        <x:f>IF(I462&gt;0,I462*'Your Mortgage'!$C$7/12,0)</x:f>
        <x:v>0</x:v>
      </x:c>
      <x:c r="K462" s="105" t="n">
        <x:f>IF(I462&gt;0,MIN('Your Mortgage'!$C$11,I462+J462),0)</x:f>
        <x:v>0</x:v>
      </x:c>
      <x:c r="L462" s="105" t="n">
        <x:f>IF(I462&gt;0,MIN('Your Mortgage'!$F$6,MAX(0,I462+J462-K462)),0)</x:f>
        <x:v>0</x:v>
      </x:c>
      <x:c r="M462" s="105" t="n">
        <x:f>IF(AND(A462='Your Mortgage'!$F$8,I462&gt;0),MIN('Your Mortgage'!$F$7,MAX(0,I462+J462-K462-L462)),0)</x:f>
        <x:v>0</x:v>
      </x:c>
      <x:c r="N462" s="105" t="n">
        <x:f>K462+L462+M462</x:f>
        <x:v>0</x:v>
      </x:c>
      <x:c r="O462" s="105" t="n">
        <x:f>MAX(0,N462-J462)</x:f>
        <x:v>0</x:v>
      </x:c>
      <x:c r="P462" s="105" t="n">
        <x:f>MAX(0,I462-O462)</x:f>
        <x:v>0</x:v>
      </x:c>
      <x:c r="Q462" s="106" t="n">
        <x:f>X461</x:f>
        <x:v>0</x:v>
      </x:c>
      <x:c r="R462" s="106" t="n">
        <x:f>IF(Q462&gt;0,Q462*'Your Mortgage'!$C$7/12,0)</x:f>
        <x:v>0</x:v>
      </x:c>
      <x:c r="S462" s="106" t="n">
        <x:f>IF(Q462&gt;0,MIN('Your Mortgage'!$C$11,Q462+R462),0)</x:f>
        <x:v>0</x:v>
      </x:c>
      <x:c r="T462" s="106" t="n">
        <x:f>IF(Q462&gt;0,MIN('Your Mortgage'!$I$6,MAX(0,Q462+R462-S462)),0)</x:f>
        <x:v>0</x:v>
      </x:c>
      <x:c r="U462" s="106" t="n">
        <x:f>IF(AND(A462='Your Mortgage'!$I$8,Q462&gt;0),MIN('Your Mortgage'!$I$7,MAX(0,Q462+R462-S462-T462)),0)</x:f>
        <x:v>0</x:v>
      </x:c>
      <x:c r="V462" s="106" t="n">
        <x:f>S462+T462+U462</x:f>
        <x:v>0</x:v>
      </x:c>
      <x:c r="W462" s="106" t="n">
        <x:f>MAX(0,V462-R462)</x:f>
        <x:v>0</x:v>
      </x:c>
      <x:c r="X462" s="106" t="n">
        <x:f>MAX(0,Q462-W462)</x:f>
        <x:v>0</x:v>
      </x:c>
      <x:c r="Y462" s="1"/>
      <x:c r="Z462" s="1"/>
    </x:row>
    <x:row r="463">
      <x:c r="A463" s="100" t="n">
        <x:f>A462+1</x:f>
        <x:v>458</x:v>
      </x:c>
      <x:c r="B463" s="103" t="n">
        <x:f>EDATE(B462,1)</x:f>
        <x:v>60146</x:v>
      </x:c>
      <x:c r="C463" s="104" t="n">
        <x:f>H462</x:f>
        <x:v>0</x:v>
      </x:c>
      <x:c r="D463" s="104" t="n">
        <x:f>IF(C463&gt;0,C463*'Your Mortgage'!$C$7/12,0)</x:f>
        <x:v>0</x:v>
      </x:c>
      <x:c r="E463" s="104" t="n">
        <x:f>IF(C463&gt;0,MIN('Your Mortgage'!$C$11,C463+D463),0)</x:f>
        <x:v>0</x:v>
      </x:c>
      <x:c r="F463" s="104" t="n">
        <x:f>E463</x:f>
        <x:v>0</x:v>
      </x:c>
      <x:c r="G463" s="104" t="n">
        <x:f>MAX(0,F463-D463)</x:f>
        <x:v>0</x:v>
      </x:c>
      <x:c r="H463" s="104" t="n">
        <x:f>MAX(0,C463-G463)</x:f>
        <x:v>0</x:v>
      </x:c>
      <x:c r="I463" s="105" t="n">
        <x:f>P462</x:f>
        <x:v>0</x:v>
      </x:c>
      <x:c r="J463" s="105" t="n">
        <x:f>IF(I463&gt;0,I463*'Your Mortgage'!$C$7/12,0)</x:f>
        <x:v>0</x:v>
      </x:c>
      <x:c r="K463" s="105" t="n">
        <x:f>IF(I463&gt;0,MIN('Your Mortgage'!$C$11,I463+J463),0)</x:f>
        <x:v>0</x:v>
      </x:c>
      <x:c r="L463" s="105" t="n">
        <x:f>IF(I463&gt;0,MIN('Your Mortgage'!$F$6,MAX(0,I463+J463-K463)),0)</x:f>
        <x:v>0</x:v>
      </x:c>
      <x:c r="M463" s="105" t="n">
        <x:f>IF(AND(A463='Your Mortgage'!$F$8,I463&gt;0),MIN('Your Mortgage'!$F$7,MAX(0,I463+J463-K463-L463)),0)</x:f>
        <x:v>0</x:v>
      </x:c>
      <x:c r="N463" s="105" t="n">
        <x:f>K463+L463+M463</x:f>
        <x:v>0</x:v>
      </x:c>
      <x:c r="O463" s="105" t="n">
        <x:f>MAX(0,N463-J463)</x:f>
        <x:v>0</x:v>
      </x:c>
      <x:c r="P463" s="105" t="n">
        <x:f>MAX(0,I463-O463)</x:f>
        <x:v>0</x:v>
      </x:c>
      <x:c r="Q463" s="106" t="n">
        <x:f>X462</x:f>
        <x:v>0</x:v>
      </x:c>
      <x:c r="R463" s="106" t="n">
        <x:f>IF(Q463&gt;0,Q463*'Your Mortgage'!$C$7/12,0)</x:f>
        <x:v>0</x:v>
      </x:c>
      <x:c r="S463" s="106" t="n">
        <x:f>IF(Q463&gt;0,MIN('Your Mortgage'!$C$11,Q463+R463),0)</x:f>
        <x:v>0</x:v>
      </x:c>
      <x:c r="T463" s="106" t="n">
        <x:f>IF(Q463&gt;0,MIN('Your Mortgage'!$I$6,MAX(0,Q463+R463-S463)),0)</x:f>
        <x:v>0</x:v>
      </x:c>
      <x:c r="U463" s="106" t="n">
        <x:f>IF(AND(A463='Your Mortgage'!$I$8,Q463&gt;0),MIN('Your Mortgage'!$I$7,MAX(0,Q463+R463-S463-T463)),0)</x:f>
        <x:v>0</x:v>
      </x:c>
      <x:c r="V463" s="106" t="n">
        <x:f>S463+T463+U463</x:f>
        <x:v>0</x:v>
      </x:c>
      <x:c r="W463" s="106" t="n">
        <x:f>MAX(0,V463-R463)</x:f>
        <x:v>0</x:v>
      </x:c>
      <x:c r="X463" s="106" t="n">
        <x:f>MAX(0,Q463-W463)</x:f>
        <x:v>0</x:v>
      </x:c>
      <x:c r="Y463" s="1"/>
      <x:c r="Z463" s="1"/>
    </x:row>
    <x:row r="464">
      <x:c r="A464" s="100" t="n">
        <x:f>A463+1</x:f>
        <x:v>459</x:v>
      </x:c>
      <x:c r="B464" s="103" t="n">
        <x:f>EDATE(B463,1)</x:f>
        <x:v>60176</x:v>
      </x:c>
      <x:c r="C464" s="104" t="n">
        <x:f>H463</x:f>
        <x:v>0</x:v>
      </x:c>
      <x:c r="D464" s="104" t="n">
        <x:f>IF(C464&gt;0,C464*'Your Mortgage'!$C$7/12,0)</x:f>
        <x:v>0</x:v>
      </x:c>
      <x:c r="E464" s="104" t="n">
        <x:f>IF(C464&gt;0,MIN('Your Mortgage'!$C$11,C464+D464),0)</x:f>
        <x:v>0</x:v>
      </x:c>
      <x:c r="F464" s="104" t="n">
        <x:f>E464</x:f>
        <x:v>0</x:v>
      </x:c>
      <x:c r="G464" s="104" t="n">
        <x:f>MAX(0,F464-D464)</x:f>
        <x:v>0</x:v>
      </x:c>
      <x:c r="H464" s="104" t="n">
        <x:f>MAX(0,C464-G464)</x:f>
        <x:v>0</x:v>
      </x:c>
      <x:c r="I464" s="105" t="n">
        <x:f>P463</x:f>
        <x:v>0</x:v>
      </x:c>
      <x:c r="J464" s="105" t="n">
        <x:f>IF(I464&gt;0,I464*'Your Mortgage'!$C$7/12,0)</x:f>
        <x:v>0</x:v>
      </x:c>
      <x:c r="K464" s="105" t="n">
        <x:f>IF(I464&gt;0,MIN('Your Mortgage'!$C$11,I464+J464),0)</x:f>
        <x:v>0</x:v>
      </x:c>
      <x:c r="L464" s="105" t="n">
        <x:f>IF(I464&gt;0,MIN('Your Mortgage'!$F$6,MAX(0,I464+J464-K464)),0)</x:f>
        <x:v>0</x:v>
      </x:c>
      <x:c r="M464" s="105" t="n">
        <x:f>IF(AND(A464='Your Mortgage'!$F$8,I464&gt;0),MIN('Your Mortgage'!$F$7,MAX(0,I464+J464-K464-L464)),0)</x:f>
        <x:v>0</x:v>
      </x:c>
      <x:c r="N464" s="105" t="n">
        <x:f>K464+L464+M464</x:f>
        <x:v>0</x:v>
      </x:c>
      <x:c r="O464" s="105" t="n">
        <x:f>MAX(0,N464-J464)</x:f>
        <x:v>0</x:v>
      </x:c>
      <x:c r="P464" s="105" t="n">
        <x:f>MAX(0,I464-O464)</x:f>
        <x:v>0</x:v>
      </x:c>
      <x:c r="Q464" s="106" t="n">
        <x:f>X463</x:f>
        <x:v>0</x:v>
      </x:c>
      <x:c r="R464" s="106" t="n">
        <x:f>IF(Q464&gt;0,Q464*'Your Mortgage'!$C$7/12,0)</x:f>
        <x:v>0</x:v>
      </x:c>
      <x:c r="S464" s="106" t="n">
        <x:f>IF(Q464&gt;0,MIN('Your Mortgage'!$C$11,Q464+R464),0)</x:f>
        <x:v>0</x:v>
      </x:c>
      <x:c r="T464" s="106" t="n">
        <x:f>IF(Q464&gt;0,MIN('Your Mortgage'!$I$6,MAX(0,Q464+R464-S464)),0)</x:f>
        <x:v>0</x:v>
      </x:c>
      <x:c r="U464" s="106" t="n">
        <x:f>IF(AND(A464='Your Mortgage'!$I$8,Q464&gt;0),MIN('Your Mortgage'!$I$7,MAX(0,Q464+R464-S464-T464)),0)</x:f>
        <x:v>0</x:v>
      </x:c>
      <x:c r="V464" s="106" t="n">
        <x:f>S464+T464+U464</x:f>
        <x:v>0</x:v>
      </x:c>
      <x:c r="W464" s="106" t="n">
        <x:f>MAX(0,V464-R464)</x:f>
        <x:v>0</x:v>
      </x:c>
      <x:c r="X464" s="106" t="n">
        <x:f>MAX(0,Q464-W464)</x:f>
        <x:v>0</x:v>
      </x:c>
      <x:c r="Y464" s="1"/>
      <x:c r="Z464" s="1"/>
    </x:row>
    <x:row r="465">
      <x:c r="A465" s="100" t="n">
        <x:f>A464+1</x:f>
        <x:v>460</x:v>
      </x:c>
      <x:c r="B465" s="103" t="n">
        <x:f>EDATE(B464,1)</x:f>
        <x:v>60207</x:v>
      </x:c>
      <x:c r="C465" s="104" t="n">
        <x:f>H464</x:f>
        <x:v>0</x:v>
      </x:c>
      <x:c r="D465" s="104" t="n">
        <x:f>IF(C465&gt;0,C465*'Your Mortgage'!$C$7/12,0)</x:f>
        <x:v>0</x:v>
      </x:c>
      <x:c r="E465" s="104" t="n">
        <x:f>IF(C465&gt;0,MIN('Your Mortgage'!$C$11,C465+D465),0)</x:f>
        <x:v>0</x:v>
      </x:c>
      <x:c r="F465" s="104" t="n">
        <x:f>E465</x:f>
        <x:v>0</x:v>
      </x:c>
      <x:c r="G465" s="104" t="n">
        <x:f>MAX(0,F465-D465)</x:f>
        <x:v>0</x:v>
      </x:c>
      <x:c r="H465" s="104" t="n">
        <x:f>MAX(0,C465-G465)</x:f>
        <x:v>0</x:v>
      </x:c>
      <x:c r="I465" s="105" t="n">
        <x:f>P464</x:f>
        <x:v>0</x:v>
      </x:c>
      <x:c r="J465" s="105" t="n">
        <x:f>IF(I465&gt;0,I465*'Your Mortgage'!$C$7/12,0)</x:f>
        <x:v>0</x:v>
      </x:c>
      <x:c r="K465" s="105" t="n">
        <x:f>IF(I465&gt;0,MIN('Your Mortgage'!$C$11,I465+J465),0)</x:f>
        <x:v>0</x:v>
      </x:c>
      <x:c r="L465" s="105" t="n">
        <x:f>IF(I465&gt;0,MIN('Your Mortgage'!$F$6,MAX(0,I465+J465-K465)),0)</x:f>
        <x:v>0</x:v>
      </x:c>
      <x:c r="M465" s="105" t="n">
        <x:f>IF(AND(A465='Your Mortgage'!$F$8,I465&gt;0),MIN('Your Mortgage'!$F$7,MAX(0,I465+J465-K465-L465)),0)</x:f>
        <x:v>0</x:v>
      </x:c>
      <x:c r="N465" s="105" t="n">
        <x:f>K465+L465+M465</x:f>
        <x:v>0</x:v>
      </x:c>
      <x:c r="O465" s="105" t="n">
        <x:f>MAX(0,N465-J465)</x:f>
        <x:v>0</x:v>
      </x:c>
      <x:c r="P465" s="105" t="n">
        <x:f>MAX(0,I465-O465)</x:f>
        <x:v>0</x:v>
      </x:c>
      <x:c r="Q465" s="106" t="n">
        <x:f>X464</x:f>
        <x:v>0</x:v>
      </x:c>
      <x:c r="R465" s="106" t="n">
        <x:f>IF(Q465&gt;0,Q465*'Your Mortgage'!$C$7/12,0)</x:f>
        <x:v>0</x:v>
      </x:c>
      <x:c r="S465" s="106" t="n">
        <x:f>IF(Q465&gt;0,MIN('Your Mortgage'!$C$11,Q465+R465),0)</x:f>
        <x:v>0</x:v>
      </x:c>
      <x:c r="T465" s="106" t="n">
        <x:f>IF(Q465&gt;0,MIN('Your Mortgage'!$I$6,MAX(0,Q465+R465-S465)),0)</x:f>
        <x:v>0</x:v>
      </x:c>
      <x:c r="U465" s="106" t="n">
        <x:f>IF(AND(A465='Your Mortgage'!$I$8,Q465&gt;0),MIN('Your Mortgage'!$I$7,MAX(0,Q465+R465-S465-T465)),0)</x:f>
        <x:v>0</x:v>
      </x:c>
      <x:c r="V465" s="106" t="n">
        <x:f>S465+T465+U465</x:f>
        <x:v>0</x:v>
      </x:c>
      <x:c r="W465" s="106" t="n">
        <x:f>MAX(0,V465-R465)</x:f>
        <x:v>0</x:v>
      </x:c>
      <x:c r="X465" s="106" t="n">
        <x:f>MAX(0,Q465-W465)</x:f>
        <x:v>0</x:v>
      </x:c>
      <x:c r="Y465" s="1"/>
      <x:c r="Z465" s="1"/>
    </x:row>
    <x:row r="466">
      <x:c r="A466" s="100" t="n">
        <x:f>A465+1</x:f>
        <x:v>461</x:v>
      </x:c>
      <x:c r="B466" s="103" t="n">
        <x:f>EDATE(B465,1)</x:f>
        <x:v>60237</x:v>
      </x:c>
      <x:c r="C466" s="104" t="n">
        <x:f>H465</x:f>
        <x:v>0</x:v>
      </x:c>
      <x:c r="D466" s="104" t="n">
        <x:f>IF(C466&gt;0,C466*'Your Mortgage'!$C$7/12,0)</x:f>
        <x:v>0</x:v>
      </x:c>
      <x:c r="E466" s="104" t="n">
        <x:f>IF(C466&gt;0,MIN('Your Mortgage'!$C$11,C466+D466),0)</x:f>
        <x:v>0</x:v>
      </x:c>
      <x:c r="F466" s="104" t="n">
        <x:f>E466</x:f>
        <x:v>0</x:v>
      </x:c>
      <x:c r="G466" s="104" t="n">
        <x:f>MAX(0,F466-D466)</x:f>
        <x:v>0</x:v>
      </x:c>
      <x:c r="H466" s="104" t="n">
        <x:f>MAX(0,C466-G466)</x:f>
        <x:v>0</x:v>
      </x:c>
      <x:c r="I466" s="105" t="n">
        <x:f>P465</x:f>
        <x:v>0</x:v>
      </x:c>
      <x:c r="J466" s="105" t="n">
        <x:f>IF(I466&gt;0,I466*'Your Mortgage'!$C$7/12,0)</x:f>
        <x:v>0</x:v>
      </x:c>
      <x:c r="K466" s="105" t="n">
        <x:f>IF(I466&gt;0,MIN('Your Mortgage'!$C$11,I466+J466),0)</x:f>
        <x:v>0</x:v>
      </x:c>
      <x:c r="L466" s="105" t="n">
        <x:f>IF(I466&gt;0,MIN('Your Mortgage'!$F$6,MAX(0,I466+J466-K466)),0)</x:f>
        <x:v>0</x:v>
      </x:c>
      <x:c r="M466" s="105" t="n">
        <x:f>IF(AND(A466='Your Mortgage'!$F$8,I466&gt;0),MIN('Your Mortgage'!$F$7,MAX(0,I466+J466-K466-L466)),0)</x:f>
        <x:v>0</x:v>
      </x:c>
      <x:c r="N466" s="105" t="n">
        <x:f>K466+L466+M466</x:f>
        <x:v>0</x:v>
      </x:c>
      <x:c r="O466" s="105" t="n">
        <x:f>MAX(0,N466-J466)</x:f>
        <x:v>0</x:v>
      </x:c>
      <x:c r="P466" s="105" t="n">
        <x:f>MAX(0,I466-O466)</x:f>
        <x:v>0</x:v>
      </x:c>
      <x:c r="Q466" s="106" t="n">
        <x:f>X465</x:f>
        <x:v>0</x:v>
      </x:c>
      <x:c r="R466" s="106" t="n">
        <x:f>IF(Q466&gt;0,Q466*'Your Mortgage'!$C$7/12,0)</x:f>
        <x:v>0</x:v>
      </x:c>
      <x:c r="S466" s="106" t="n">
        <x:f>IF(Q466&gt;0,MIN('Your Mortgage'!$C$11,Q466+R466),0)</x:f>
        <x:v>0</x:v>
      </x:c>
      <x:c r="T466" s="106" t="n">
        <x:f>IF(Q466&gt;0,MIN('Your Mortgage'!$I$6,MAX(0,Q466+R466-S466)),0)</x:f>
        <x:v>0</x:v>
      </x:c>
      <x:c r="U466" s="106" t="n">
        <x:f>IF(AND(A466='Your Mortgage'!$I$8,Q466&gt;0),MIN('Your Mortgage'!$I$7,MAX(0,Q466+R466-S466-T466)),0)</x:f>
        <x:v>0</x:v>
      </x:c>
      <x:c r="V466" s="106" t="n">
        <x:f>S466+T466+U466</x:f>
        <x:v>0</x:v>
      </x:c>
      <x:c r="W466" s="106" t="n">
        <x:f>MAX(0,V466-R466)</x:f>
        <x:v>0</x:v>
      </x:c>
      <x:c r="X466" s="106" t="n">
        <x:f>MAX(0,Q466-W466)</x:f>
        <x:v>0</x:v>
      </x:c>
      <x:c r="Y466" s="1"/>
      <x:c r="Z466" s="1"/>
    </x:row>
    <x:row r="467">
      <x:c r="A467" s="100" t="n">
        <x:f>A466+1</x:f>
        <x:v>462</x:v>
      </x:c>
      <x:c r="B467" s="103" t="n">
        <x:f>EDATE(B466,1)</x:f>
        <x:v>60268</x:v>
      </x:c>
      <x:c r="C467" s="104" t="n">
        <x:f>H466</x:f>
        <x:v>0</x:v>
      </x:c>
      <x:c r="D467" s="104" t="n">
        <x:f>IF(C467&gt;0,C467*'Your Mortgage'!$C$7/12,0)</x:f>
        <x:v>0</x:v>
      </x:c>
      <x:c r="E467" s="104" t="n">
        <x:f>IF(C467&gt;0,MIN('Your Mortgage'!$C$11,C467+D467),0)</x:f>
        <x:v>0</x:v>
      </x:c>
      <x:c r="F467" s="104" t="n">
        <x:f>E467</x:f>
        <x:v>0</x:v>
      </x:c>
      <x:c r="G467" s="104" t="n">
        <x:f>MAX(0,F467-D467)</x:f>
        <x:v>0</x:v>
      </x:c>
      <x:c r="H467" s="104" t="n">
        <x:f>MAX(0,C467-G467)</x:f>
        <x:v>0</x:v>
      </x:c>
      <x:c r="I467" s="105" t="n">
        <x:f>P466</x:f>
        <x:v>0</x:v>
      </x:c>
      <x:c r="J467" s="105" t="n">
        <x:f>IF(I467&gt;0,I467*'Your Mortgage'!$C$7/12,0)</x:f>
        <x:v>0</x:v>
      </x:c>
      <x:c r="K467" s="105" t="n">
        <x:f>IF(I467&gt;0,MIN('Your Mortgage'!$C$11,I467+J467),0)</x:f>
        <x:v>0</x:v>
      </x:c>
      <x:c r="L467" s="105" t="n">
        <x:f>IF(I467&gt;0,MIN('Your Mortgage'!$F$6,MAX(0,I467+J467-K467)),0)</x:f>
        <x:v>0</x:v>
      </x:c>
      <x:c r="M467" s="105" t="n">
        <x:f>IF(AND(A467='Your Mortgage'!$F$8,I467&gt;0),MIN('Your Mortgage'!$F$7,MAX(0,I467+J467-K467-L467)),0)</x:f>
        <x:v>0</x:v>
      </x:c>
      <x:c r="N467" s="105" t="n">
        <x:f>K467+L467+M467</x:f>
        <x:v>0</x:v>
      </x:c>
      <x:c r="O467" s="105" t="n">
        <x:f>MAX(0,N467-J467)</x:f>
        <x:v>0</x:v>
      </x:c>
      <x:c r="P467" s="105" t="n">
        <x:f>MAX(0,I467-O467)</x:f>
        <x:v>0</x:v>
      </x:c>
      <x:c r="Q467" s="106" t="n">
        <x:f>X466</x:f>
        <x:v>0</x:v>
      </x:c>
      <x:c r="R467" s="106" t="n">
        <x:f>IF(Q467&gt;0,Q467*'Your Mortgage'!$C$7/12,0)</x:f>
        <x:v>0</x:v>
      </x:c>
      <x:c r="S467" s="106" t="n">
        <x:f>IF(Q467&gt;0,MIN('Your Mortgage'!$C$11,Q467+R467),0)</x:f>
        <x:v>0</x:v>
      </x:c>
      <x:c r="T467" s="106" t="n">
        <x:f>IF(Q467&gt;0,MIN('Your Mortgage'!$I$6,MAX(0,Q467+R467-S467)),0)</x:f>
        <x:v>0</x:v>
      </x:c>
      <x:c r="U467" s="106" t="n">
        <x:f>IF(AND(A467='Your Mortgage'!$I$8,Q467&gt;0),MIN('Your Mortgage'!$I$7,MAX(0,Q467+R467-S467-T467)),0)</x:f>
        <x:v>0</x:v>
      </x:c>
      <x:c r="V467" s="106" t="n">
        <x:f>S467+T467+U467</x:f>
        <x:v>0</x:v>
      </x:c>
      <x:c r="W467" s="106" t="n">
        <x:f>MAX(0,V467-R467)</x:f>
        <x:v>0</x:v>
      </x:c>
      <x:c r="X467" s="106" t="n">
        <x:f>MAX(0,Q467-W467)</x:f>
        <x:v>0</x:v>
      </x:c>
      <x:c r="Y467" s="1"/>
      <x:c r="Z467" s="1"/>
    </x:row>
    <x:row r="468">
      <x:c r="A468" s="100" t="n">
        <x:f>A467+1</x:f>
        <x:v>463</x:v>
      </x:c>
      <x:c r="B468" s="103" t="n">
        <x:f>EDATE(B467,1)</x:f>
        <x:v>60299</x:v>
      </x:c>
      <x:c r="C468" s="104" t="n">
        <x:f>H467</x:f>
        <x:v>0</x:v>
      </x:c>
      <x:c r="D468" s="104" t="n">
        <x:f>IF(C468&gt;0,C468*'Your Mortgage'!$C$7/12,0)</x:f>
        <x:v>0</x:v>
      </x:c>
      <x:c r="E468" s="104" t="n">
        <x:f>IF(C468&gt;0,MIN('Your Mortgage'!$C$11,C468+D468),0)</x:f>
        <x:v>0</x:v>
      </x:c>
      <x:c r="F468" s="104" t="n">
        <x:f>E468</x:f>
        <x:v>0</x:v>
      </x:c>
      <x:c r="G468" s="104" t="n">
        <x:f>MAX(0,F468-D468)</x:f>
        <x:v>0</x:v>
      </x:c>
      <x:c r="H468" s="104" t="n">
        <x:f>MAX(0,C468-G468)</x:f>
        <x:v>0</x:v>
      </x:c>
      <x:c r="I468" s="105" t="n">
        <x:f>P467</x:f>
        <x:v>0</x:v>
      </x:c>
      <x:c r="J468" s="105" t="n">
        <x:f>IF(I468&gt;0,I468*'Your Mortgage'!$C$7/12,0)</x:f>
        <x:v>0</x:v>
      </x:c>
      <x:c r="K468" s="105" t="n">
        <x:f>IF(I468&gt;0,MIN('Your Mortgage'!$C$11,I468+J468),0)</x:f>
        <x:v>0</x:v>
      </x:c>
      <x:c r="L468" s="105" t="n">
        <x:f>IF(I468&gt;0,MIN('Your Mortgage'!$F$6,MAX(0,I468+J468-K468)),0)</x:f>
        <x:v>0</x:v>
      </x:c>
      <x:c r="M468" s="105" t="n">
        <x:f>IF(AND(A468='Your Mortgage'!$F$8,I468&gt;0),MIN('Your Mortgage'!$F$7,MAX(0,I468+J468-K468-L468)),0)</x:f>
        <x:v>0</x:v>
      </x:c>
      <x:c r="N468" s="105" t="n">
        <x:f>K468+L468+M468</x:f>
        <x:v>0</x:v>
      </x:c>
      <x:c r="O468" s="105" t="n">
        <x:f>MAX(0,N468-J468)</x:f>
        <x:v>0</x:v>
      </x:c>
      <x:c r="P468" s="105" t="n">
        <x:f>MAX(0,I468-O468)</x:f>
        <x:v>0</x:v>
      </x:c>
      <x:c r="Q468" s="106" t="n">
        <x:f>X467</x:f>
        <x:v>0</x:v>
      </x:c>
      <x:c r="R468" s="106" t="n">
        <x:f>IF(Q468&gt;0,Q468*'Your Mortgage'!$C$7/12,0)</x:f>
        <x:v>0</x:v>
      </x:c>
      <x:c r="S468" s="106" t="n">
        <x:f>IF(Q468&gt;0,MIN('Your Mortgage'!$C$11,Q468+R468),0)</x:f>
        <x:v>0</x:v>
      </x:c>
      <x:c r="T468" s="106" t="n">
        <x:f>IF(Q468&gt;0,MIN('Your Mortgage'!$I$6,MAX(0,Q468+R468-S468)),0)</x:f>
        <x:v>0</x:v>
      </x:c>
      <x:c r="U468" s="106" t="n">
        <x:f>IF(AND(A468='Your Mortgage'!$I$8,Q468&gt;0),MIN('Your Mortgage'!$I$7,MAX(0,Q468+R468-S468-T468)),0)</x:f>
        <x:v>0</x:v>
      </x:c>
      <x:c r="V468" s="106" t="n">
        <x:f>S468+T468+U468</x:f>
        <x:v>0</x:v>
      </x:c>
      <x:c r="W468" s="106" t="n">
        <x:f>MAX(0,V468-R468)</x:f>
        <x:v>0</x:v>
      </x:c>
      <x:c r="X468" s="106" t="n">
        <x:f>MAX(0,Q468-W468)</x:f>
        <x:v>0</x:v>
      </x:c>
      <x:c r="Y468" s="1"/>
      <x:c r="Z468" s="1"/>
    </x:row>
    <x:row r="469">
      <x:c r="A469" s="100" t="n">
        <x:f>A468+1</x:f>
        <x:v>464</x:v>
      </x:c>
      <x:c r="B469" s="103" t="n">
        <x:f>EDATE(B468,1)</x:f>
        <x:v>60327</x:v>
      </x:c>
      <x:c r="C469" s="104" t="n">
        <x:f>H468</x:f>
        <x:v>0</x:v>
      </x:c>
      <x:c r="D469" s="104" t="n">
        <x:f>IF(C469&gt;0,C469*'Your Mortgage'!$C$7/12,0)</x:f>
        <x:v>0</x:v>
      </x:c>
      <x:c r="E469" s="104" t="n">
        <x:f>IF(C469&gt;0,MIN('Your Mortgage'!$C$11,C469+D469),0)</x:f>
        <x:v>0</x:v>
      </x:c>
      <x:c r="F469" s="104" t="n">
        <x:f>E469</x:f>
        <x:v>0</x:v>
      </x:c>
      <x:c r="G469" s="104" t="n">
        <x:f>MAX(0,F469-D469)</x:f>
        <x:v>0</x:v>
      </x:c>
      <x:c r="H469" s="104" t="n">
        <x:f>MAX(0,C469-G469)</x:f>
        <x:v>0</x:v>
      </x:c>
      <x:c r="I469" s="105" t="n">
        <x:f>P468</x:f>
        <x:v>0</x:v>
      </x:c>
      <x:c r="J469" s="105" t="n">
        <x:f>IF(I469&gt;0,I469*'Your Mortgage'!$C$7/12,0)</x:f>
        <x:v>0</x:v>
      </x:c>
      <x:c r="K469" s="105" t="n">
        <x:f>IF(I469&gt;0,MIN('Your Mortgage'!$C$11,I469+J469),0)</x:f>
        <x:v>0</x:v>
      </x:c>
      <x:c r="L469" s="105" t="n">
        <x:f>IF(I469&gt;0,MIN('Your Mortgage'!$F$6,MAX(0,I469+J469-K469)),0)</x:f>
        <x:v>0</x:v>
      </x:c>
      <x:c r="M469" s="105" t="n">
        <x:f>IF(AND(A469='Your Mortgage'!$F$8,I469&gt;0),MIN('Your Mortgage'!$F$7,MAX(0,I469+J469-K469-L469)),0)</x:f>
        <x:v>0</x:v>
      </x:c>
      <x:c r="N469" s="105" t="n">
        <x:f>K469+L469+M469</x:f>
        <x:v>0</x:v>
      </x:c>
      <x:c r="O469" s="105" t="n">
        <x:f>MAX(0,N469-J469)</x:f>
        <x:v>0</x:v>
      </x:c>
      <x:c r="P469" s="105" t="n">
        <x:f>MAX(0,I469-O469)</x:f>
        <x:v>0</x:v>
      </x:c>
      <x:c r="Q469" s="106" t="n">
        <x:f>X468</x:f>
        <x:v>0</x:v>
      </x:c>
      <x:c r="R469" s="106" t="n">
        <x:f>IF(Q469&gt;0,Q469*'Your Mortgage'!$C$7/12,0)</x:f>
        <x:v>0</x:v>
      </x:c>
      <x:c r="S469" s="106" t="n">
        <x:f>IF(Q469&gt;0,MIN('Your Mortgage'!$C$11,Q469+R469),0)</x:f>
        <x:v>0</x:v>
      </x:c>
      <x:c r="T469" s="106" t="n">
        <x:f>IF(Q469&gt;0,MIN('Your Mortgage'!$I$6,MAX(0,Q469+R469-S469)),0)</x:f>
        <x:v>0</x:v>
      </x:c>
      <x:c r="U469" s="106" t="n">
        <x:f>IF(AND(A469='Your Mortgage'!$I$8,Q469&gt;0),MIN('Your Mortgage'!$I$7,MAX(0,Q469+R469-S469-T469)),0)</x:f>
        <x:v>0</x:v>
      </x:c>
      <x:c r="V469" s="106" t="n">
        <x:f>S469+T469+U469</x:f>
        <x:v>0</x:v>
      </x:c>
      <x:c r="W469" s="106" t="n">
        <x:f>MAX(0,V469-R469)</x:f>
        <x:v>0</x:v>
      </x:c>
      <x:c r="X469" s="106" t="n">
        <x:f>MAX(0,Q469-W469)</x:f>
        <x:v>0</x:v>
      </x:c>
      <x:c r="Y469" s="1"/>
      <x:c r="Z469" s="1"/>
    </x:row>
    <x:row r="470">
      <x:c r="A470" s="100" t="n">
        <x:f>A469+1</x:f>
        <x:v>465</x:v>
      </x:c>
      <x:c r="B470" s="103" t="n">
        <x:f>EDATE(B469,1)</x:f>
        <x:v>60358</x:v>
      </x:c>
      <x:c r="C470" s="104" t="n">
        <x:f>H469</x:f>
        <x:v>0</x:v>
      </x:c>
      <x:c r="D470" s="104" t="n">
        <x:f>IF(C470&gt;0,C470*'Your Mortgage'!$C$7/12,0)</x:f>
        <x:v>0</x:v>
      </x:c>
      <x:c r="E470" s="104" t="n">
        <x:f>IF(C470&gt;0,MIN('Your Mortgage'!$C$11,C470+D470),0)</x:f>
        <x:v>0</x:v>
      </x:c>
      <x:c r="F470" s="104" t="n">
        <x:f>E470</x:f>
        <x:v>0</x:v>
      </x:c>
      <x:c r="G470" s="104" t="n">
        <x:f>MAX(0,F470-D470)</x:f>
        <x:v>0</x:v>
      </x:c>
      <x:c r="H470" s="104" t="n">
        <x:f>MAX(0,C470-G470)</x:f>
        <x:v>0</x:v>
      </x:c>
      <x:c r="I470" s="105" t="n">
        <x:f>P469</x:f>
        <x:v>0</x:v>
      </x:c>
      <x:c r="J470" s="105" t="n">
        <x:f>IF(I470&gt;0,I470*'Your Mortgage'!$C$7/12,0)</x:f>
        <x:v>0</x:v>
      </x:c>
      <x:c r="K470" s="105" t="n">
        <x:f>IF(I470&gt;0,MIN('Your Mortgage'!$C$11,I470+J470),0)</x:f>
        <x:v>0</x:v>
      </x:c>
      <x:c r="L470" s="105" t="n">
        <x:f>IF(I470&gt;0,MIN('Your Mortgage'!$F$6,MAX(0,I470+J470-K470)),0)</x:f>
        <x:v>0</x:v>
      </x:c>
      <x:c r="M470" s="105" t="n">
        <x:f>IF(AND(A470='Your Mortgage'!$F$8,I470&gt;0),MIN('Your Mortgage'!$F$7,MAX(0,I470+J470-K470-L470)),0)</x:f>
        <x:v>0</x:v>
      </x:c>
      <x:c r="N470" s="105" t="n">
        <x:f>K470+L470+M470</x:f>
        <x:v>0</x:v>
      </x:c>
      <x:c r="O470" s="105" t="n">
        <x:f>MAX(0,N470-J470)</x:f>
        <x:v>0</x:v>
      </x:c>
      <x:c r="P470" s="105" t="n">
        <x:f>MAX(0,I470-O470)</x:f>
        <x:v>0</x:v>
      </x:c>
      <x:c r="Q470" s="106" t="n">
        <x:f>X469</x:f>
        <x:v>0</x:v>
      </x:c>
      <x:c r="R470" s="106" t="n">
        <x:f>IF(Q470&gt;0,Q470*'Your Mortgage'!$C$7/12,0)</x:f>
        <x:v>0</x:v>
      </x:c>
      <x:c r="S470" s="106" t="n">
        <x:f>IF(Q470&gt;0,MIN('Your Mortgage'!$C$11,Q470+R470),0)</x:f>
        <x:v>0</x:v>
      </x:c>
      <x:c r="T470" s="106" t="n">
        <x:f>IF(Q470&gt;0,MIN('Your Mortgage'!$I$6,MAX(0,Q470+R470-S470)),0)</x:f>
        <x:v>0</x:v>
      </x:c>
      <x:c r="U470" s="106" t="n">
        <x:f>IF(AND(A470='Your Mortgage'!$I$8,Q470&gt;0),MIN('Your Mortgage'!$I$7,MAX(0,Q470+R470-S470-T470)),0)</x:f>
        <x:v>0</x:v>
      </x:c>
      <x:c r="V470" s="106" t="n">
        <x:f>S470+T470+U470</x:f>
        <x:v>0</x:v>
      </x:c>
      <x:c r="W470" s="106" t="n">
        <x:f>MAX(0,V470-R470)</x:f>
        <x:v>0</x:v>
      </x:c>
      <x:c r="X470" s="106" t="n">
        <x:f>MAX(0,Q470-W470)</x:f>
        <x:v>0</x:v>
      </x:c>
      <x:c r="Y470" s="1"/>
      <x:c r="Z470" s="1"/>
    </x:row>
    <x:row r="471">
      <x:c r="A471" s="100" t="n">
        <x:f>A470+1</x:f>
        <x:v>466</x:v>
      </x:c>
      <x:c r="B471" s="103" t="n">
        <x:f>EDATE(B470,1)</x:f>
        <x:v>60388</x:v>
      </x:c>
      <x:c r="C471" s="104" t="n">
        <x:f>H470</x:f>
        <x:v>0</x:v>
      </x:c>
      <x:c r="D471" s="104" t="n">
        <x:f>IF(C471&gt;0,C471*'Your Mortgage'!$C$7/12,0)</x:f>
        <x:v>0</x:v>
      </x:c>
      <x:c r="E471" s="104" t="n">
        <x:f>IF(C471&gt;0,MIN('Your Mortgage'!$C$11,C471+D471),0)</x:f>
        <x:v>0</x:v>
      </x:c>
      <x:c r="F471" s="104" t="n">
        <x:f>E471</x:f>
        <x:v>0</x:v>
      </x:c>
      <x:c r="G471" s="104" t="n">
        <x:f>MAX(0,F471-D471)</x:f>
        <x:v>0</x:v>
      </x:c>
      <x:c r="H471" s="104" t="n">
        <x:f>MAX(0,C471-G471)</x:f>
        <x:v>0</x:v>
      </x:c>
      <x:c r="I471" s="105" t="n">
        <x:f>P470</x:f>
        <x:v>0</x:v>
      </x:c>
      <x:c r="J471" s="105" t="n">
        <x:f>IF(I471&gt;0,I471*'Your Mortgage'!$C$7/12,0)</x:f>
        <x:v>0</x:v>
      </x:c>
      <x:c r="K471" s="105" t="n">
        <x:f>IF(I471&gt;0,MIN('Your Mortgage'!$C$11,I471+J471),0)</x:f>
        <x:v>0</x:v>
      </x:c>
      <x:c r="L471" s="105" t="n">
        <x:f>IF(I471&gt;0,MIN('Your Mortgage'!$F$6,MAX(0,I471+J471-K471)),0)</x:f>
        <x:v>0</x:v>
      </x:c>
      <x:c r="M471" s="105" t="n">
        <x:f>IF(AND(A471='Your Mortgage'!$F$8,I471&gt;0),MIN('Your Mortgage'!$F$7,MAX(0,I471+J471-K471-L471)),0)</x:f>
        <x:v>0</x:v>
      </x:c>
      <x:c r="N471" s="105" t="n">
        <x:f>K471+L471+M471</x:f>
        <x:v>0</x:v>
      </x:c>
      <x:c r="O471" s="105" t="n">
        <x:f>MAX(0,N471-J471)</x:f>
        <x:v>0</x:v>
      </x:c>
      <x:c r="P471" s="105" t="n">
        <x:f>MAX(0,I471-O471)</x:f>
        <x:v>0</x:v>
      </x:c>
      <x:c r="Q471" s="106" t="n">
        <x:f>X470</x:f>
        <x:v>0</x:v>
      </x:c>
      <x:c r="R471" s="106" t="n">
        <x:f>IF(Q471&gt;0,Q471*'Your Mortgage'!$C$7/12,0)</x:f>
        <x:v>0</x:v>
      </x:c>
      <x:c r="S471" s="106" t="n">
        <x:f>IF(Q471&gt;0,MIN('Your Mortgage'!$C$11,Q471+R471),0)</x:f>
        <x:v>0</x:v>
      </x:c>
      <x:c r="T471" s="106" t="n">
        <x:f>IF(Q471&gt;0,MIN('Your Mortgage'!$I$6,MAX(0,Q471+R471-S471)),0)</x:f>
        <x:v>0</x:v>
      </x:c>
      <x:c r="U471" s="106" t="n">
        <x:f>IF(AND(A471='Your Mortgage'!$I$8,Q471&gt;0),MIN('Your Mortgage'!$I$7,MAX(0,Q471+R471-S471-T471)),0)</x:f>
        <x:v>0</x:v>
      </x:c>
      <x:c r="V471" s="106" t="n">
        <x:f>S471+T471+U471</x:f>
        <x:v>0</x:v>
      </x:c>
      <x:c r="W471" s="106" t="n">
        <x:f>MAX(0,V471-R471)</x:f>
        <x:v>0</x:v>
      </x:c>
      <x:c r="X471" s="106" t="n">
        <x:f>MAX(0,Q471-W471)</x:f>
        <x:v>0</x:v>
      </x:c>
      <x:c r="Y471" s="1"/>
      <x:c r="Z471" s="1"/>
    </x:row>
    <x:row r="472">
      <x:c r="A472" s="100" t="n">
        <x:f>A471+1</x:f>
        <x:v>467</x:v>
      </x:c>
      <x:c r="B472" s="103" t="n">
        <x:f>EDATE(B471,1)</x:f>
        <x:v>60419</x:v>
      </x:c>
      <x:c r="C472" s="104" t="n">
        <x:f>H471</x:f>
        <x:v>0</x:v>
      </x:c>
      <x:c r="D472" s="104" t="n">
        <x:f>IF(C472&gt;0,C472*'Your Mortgage'!$C$7/12,0)</x:f>
        <x:v>0</x:v>
      </x:c>
      <x:c r="E472" s="104" t="n">
        <x:f>IF(C472&gt;0,MIN('Your Mortgage'!$C$11,C472+D472),0)</x:f>
        <x:v>0</x:v>
      </x:c>
      <x:c r="F472" s="104" t="n">
        <x:f>E472</x:f>
        <x:v>0</x:v>
      </x:c>
      <x:c r="G472" s="104" t="n">
        <x:f>MAX(0,F472-D472)</x:f>
        <x:v>0</x:v>
      </x:c>
      <x:c r="H472" s="104" t="n">
        <x:f>MAX(0,C472-G472)</x:f>
        <x:v>0</x:v>
      </x:c>
      <x:c r="I472" s="105" t="n">
        <x:f>P471</x:f>
        <x:v>0</x:v>
      </x:c>
      <x:c r="J472" s="105" t="n">
        <x:f>IF(I472&gt;0,I472*'Your Mortgage'!$C$7/12,0)</x:f>
        <x:v>0</x:v>
      </x:c>
      <x:c r="K472" s="105" t="n">
        <x:f>IF(I472&gt;0,MIN('Your Mortgage'!$C$11,I472+J472),0)</x:f>
        <x:v>0</x:v>
      </x:c>
      <x:c r="L472" s="105" t="n">
        <x:f>IF(I472&gt;0,MIN('Your Mortgage'!$F$6,MAX(0,I472+J472-K472)),0)</x:f>
        <x:v>0</x:v>
      </x:c>
      <x:c r="M472" s="105" t="n">
        <x:f>IF(AND(A472='Your Mortgage'!$F$8,I472&gt;0),MIN('Your Mortgage'!$F$7,MAX(0,I472+J472-K472-L472)),0)</x:f>
        <x:v>0</x:v>
      </x:c>
      <x:c r="N472" s="105" t="n">
        <x:f>K472+L472+M472</x:f>
        <x:v>0</x:v>
      </x:c>
      <x:c r="O472" s="105" t="n">
        <x:f>MAX(0,N472-J472)</x:f>
        <x:v>0</x:v>
      </x:c>
      <x:c r="P472" s="105" t="n">
        <x:f>MAX(0,I472-O472)</x:f>
        <x:v>0</x:v>
      </x:c>
      <x:c r="Q472" s="106" t="n">
        <x:f>X471</x:f>
        <x:v>0</x:v>
      </x:c>
      <x:c r="R472" s="106" t="n">
        <x:f>IF(Q472&gt;0,Q472*'Your Mortgage'!$C$7/12,0)</x:f>
        <x:v>0</x:v>
      </x:c>
      <x:c r="S472" s="106" t="n">
        <x:f>IF(Q472&gt;0,MIN('Your Mortgage'!$C$11,Q472+R472),0)</x:f>
        <x:v>0</x:v>
      </x:c>
      <x:c r="T472" s="106" t="n">
        <x:f>IF(Q472&gt;0,MIN('Your Mortgage'!$I$6,MAX(0,Q472+R472-S472)),0)</x:f>
        <x:v>0</x:v>
      </x:c>
      <x:c r="U472" s="106" t="n">
        <x:f>IF(AND(A472='Your Mortgage'!$I$8,Q472&gt;0),MIN('Your Mortgage'!$I$7,MAX(0,Q472+R472-S472-T472)),0)</x:f>
        <x:v>0</x:v>
      </x:c>
      <x:c r="V472" s="106" t="n">
        <x:f>S472+T472+U472</x:f>
        <x:v>0</x:v>
      </x:c>
      <x:c r="W472" s="106" t="n">
        <x:f>MAX(0,V472-R472)</x:f>
        <x:v>0</x:v>
      </x:c>
      <x:c r="X472" s="106" t="n">
        <x:f>MAX(0,Q472-W472)</x:f>
        <x:v>0</x:v>
      </x:c>
      <x:c r="Y472" s="1"/>
      <x:c r="Z472" s="1"/>
    </x:row>
    <x:row r="473">
      <x:c r="A473" s="100" t="n">
        <x:f>A472+1</x:f>
        <x:v>468</x:v>
      </x:c>
      <x:c r="B473" s="103" t="n">
        <x:f>EDATE(B472,1)</x:f>
        <x:v>60449</x:v>
      </x:c>
      <x:c r="C473" s="104" t="n">
        <x:f>H472</x:f>
        <x:v>0</x:v>
      </x:c>
      <x:c r="D473" s="104" t="n">
        <x:f>IF(C473&gt;0,C473*'Your Mortgage'!$C$7/12,0)</x:f>
        <x:v>0</x:v>
      </x:c>
      <x:c r="E473" s="104" t="n">
        <x:f>IF(C473&gt;0,MIN('Your Mortgage'!$C$11,C473+D473),0)</x:f>
        <x:v>0</x:v>
      </x:c>
      <x:c r="F473" s="104" t="n">
        <x:f>E473</x:f>
        <x:v>0</x:v>
      </x:c>
      <x:c r="G473" s="104" t="n">
        <x:f>MAX(0,F473-D473)</x:f>
        <x:v>0</x:v>
      </x:c>
      <x:c r="H473" s="104" t="n">
        <x:f>MAX(0,C473-G473)</x:f>
        <x:v>0</x:v>
      </x:c>
      <x:c r="I473" s="105" t="n">
        <x:f>P472</x:f>
        <x:v>0</x:v>
      </x:c>
      <x:c r="J473" s="105" t="n">
        <x:f>IF(I473&gt;0,I473*'Your Mortgage'!$C$7/12,0)</x:f>
        <x:v>0</x:v>
      </x:c>
      <x:c r="K473" s="105" t="n">
        <x:f>IF(I473&gt;0,MIN('Your Mortgage'!$C$11,I473+J473),0)</x:f>
        <x:v>0</x:v>
      </x:c>
      <x:c r="L473" s="105" t="n">
        <x:f>IF(I473&gt;0,MIN('Your Mortgage'!$F$6,MAX(0,I473+J473-K473)),0)</x:f>
        <x:v>0</x:v>
      </x:c>
      <x:c r="M473" s="105" t="n">
        <x:f>IF(AND(A473='Your Mortgage'!$F$8,I473&gt;0),MIN('Your Mortgage'!$F$7,MAX(0,I473+J473-K473-L473)),0)</x:f>
        <x:v>0</x:v>
      </x:c>
      <x:c r="N473" s="105" t="n">
        <x:f>K473+L473+M473</x:f>
        <x:v>0</x:v>
      </x:c>
      <x:c r="O473" s="105" t="n">
        <x:f>MAX(0,N473-J473)</x:f>
        <x:v>0</x:v>
      </x:c>
      <x:c r="P473" s="105" t="n">
        <x:f>MAX(0,I473-O473)</x:f>
        <x:v>0</x:v>
      </x:c>
      <x:c r="Q473" s="106" t="n">
        <x:f>X472</x:f>
        <x:v>0</x:v>
      </x:c>
      <x:c r="R473" s="106" t="n">
        <x:f>IF(Q473&gt;0,Q473*'Your Mortgage'!$C$7/12,0)</x:f>
        <x:v>0</x:v>
      </x:c>
      <x:c r="S473" s="106" t="n">
        <x:f>IF(Q473&gt;0,MIN('Your Mortgage'!$C$11,Q473+R473),0)</x:f>
        <x:v>0</x:v>
      </x:c>
      <x:c r="T473" s="106" t="n">
        <x:f>IF(Q473&gt;0,MIN('Your Mortgage'!$I$6,MAX(0,Q473+R473-S473)),0)</x:f>
        <x:v>0</x:v>
      </x:c>
      <x:c r="U473" s="106" t="n">
        <x:f>IF(AND(A473='Your Mortgage'!$I$8,Q473&gt;0),MIN('Your Mortgage'!$I$7,MAX(0,Q473+R473-S473-T473)),0)</x:f>
        <x:v>0</x:v>
      </x:c>
      <x:c r="V473" s="106" t="n">
        <x:f>S473+T473+U473</x:f>
        <x:v>0</x:v>
      </x:c>
      <x:c r="W473" s="106" t="n">
        <x:f>MAX(0,V473-R473)</x:f>
        <x:v>0</x:v>
      </x:c>
      <x:c r="X473" s="106" t="n">
        <x:f>MAX(0,Q473-W473)</x:f>
        <x:v>0</x:v>
      </x:c>
      <x:c r="Y473" s="1"/>
      <x:c r="Z473" s="1"/>
    </x:row>
    <x:row r="474">
      <x:c r="A474" s="100" t="n">
        <x:f>A473+1</x:f>
        <x:v>469</x:v>
      </x:c>
      <x:c r="B474" s="103" t="n">
        <x:f>EDATE(B473,1)</x:f>
        <x:v>60480</x:v>
      </x:c>
      <x:c r="C474" s="104" t="n">
        <x:f>H473</x:f>
        <x:v>0</x:v>
      </x:c>
      <x:c r="D474" s="104" t="n">
        <x:f>IF(C474&gt;0,C474*'Your Mortgage'!$C$7/12,0)</x:f>
        <x:v>0</x:v>
      </x:c>
      <x:c r="E474" s="104" t="n">
        <x:f>IF(C474&gt;0,MIN('Your Mortgage'!$C$11,C474+D474),0)</x:f>
        <x:v>0</x:v>
      </x:c>
      <x:c r="F474" s="104" t="n">
        <x:f>E474</x:f>
        <x:v>0</x:v>
      </x:c>
      <x:c r="G474" s="104" t="n">
        <x:f>MAX(0,F474-D474)</x:f>
        <x:v>0</x:v>
      </x:c>
      <x:c r="H474" s="104" t="n">
        <x:f>MAX(0,C474-G474)</x:f>
        <x:v>0</x:v>
      </x:c>
      <x:c r="I474" s="105" t="n">
        <x:f>P473</x:f>
        <x:v>0</x:v>
      </x:c>
      <x:c r="J474" s="105" t="n">
        <x:f>IF(I474&gt;0,I474*'Your Mortgage'!$C$7/12,0)</x:f>
        <x:v>0</x:v>
      </x:c>
      <x:c r="K474" s="105" t="n">
        <x:f>IF(I474&gt;0,MIN('Your Mortgage'!$C$11,I474+J474),0)</x:f>
        <x:v>0</x:v>
      </x:c>
      <x:c r="L474" s="105" t="n">
        <x:f>IF(I474&gt;0,MIN('Your Mortgage'!$F$6,MAX(0,I474+J474-K474)),0)</x:f>
        <x:v>0</x:v>
      </x:c>
      <x:c r="M474" s="105" t="n">
        <x:f>IF(AND(A474='Your Mortgage'!$F$8,I474&gt;0),MIN('Your Mortgage'!$F$7,MAX(0,I474+J474-K474-L474)),0)</x:f>
        <x:v>0</x:v>
      </x:c>
      <x:c r="N474" s="105" t="n">
        <x:f>K474+L474+M474</x:f>
        <x:v>0</x:v>
      </x:c>
      <x:c r="O474" s="105" t="n">
        <x:f>MAX(0,N474-J474)</x:f>
        <x:v>0</x:v>
      </x:c>
      <x:c r="P474" s="105" t="n">
        <x:f>MAX(0,I474-O474)</x:f>
        <x:v>0</x:v>
      </x:c>
      <x:c r="Q474" s="106" t="n">
        <x:f>X473</x:f>
        <x:v>0</x:v>
      </x:c>
      <x:c r="R474" s="106" t="n">
        <x:f>IF(Q474&gt;0,Q474*'Your Mortgage'!$C$7/12,0)</x:f>
        <x:v>0</x:v>
      </x:c>
      <x:c r="S474" s="106" t="n">
        <x:f>IF(Q474&gt;0,MIN('Your Mortgage'!$C$11,Q474+R474),0)</x:f>
        <x:v>0</x:v>
      </x:c>
      <x:c r="T474" s="106" t="n">
        <x:f>IF(Q474&gt;0,MIN('Your Mortgage'!$I$6,MAX(0,Q474+R474-S474)),0)</x:f>
        <x:v>0</x:v>
      </x:c>
      <x:c r="U474" s="106" t="n">
        <x:f>IF(AND(A474='Your Mortgage'!$I$8,Q474&gt;0),MIN('Your Mortgage'!$I$7,MAX(0,Q474+R474-S474-T474)),0)</x:f>
        <x:v>0</x:v>
      </x:c>
      <x:c r="V474" s="106" t="n">
        <x:f>S474+T474+U474</x:f>
        <x:v>0</x:v>
      </x:c>
      <x:c r="W474" s="106" t="n">
        <x:f>MAX(0,V474-R474)</x:f>
        <x:v>0</x:v>
      </x:c>
      <x:c r="X474" s="106" t="n">
        <x:f>MAX(0,Q474-W474)</x:f>
        <x:v>0</x:v>
      </x:c>
      <x:c r="Y474" s="1"/>
      <x:c r="Z474" s="1"/>
    </x:row>
    <x:row r="475">
      <x:c r="A475" s="100" t="n">
        <x:f>A474+1</x:f>
        <x:v>470</x:v>
      </x:c>
      <x:c r="B475" s="103" t="n">
        <x:f>EDATE(B474,1)</x:f>
        <x:v>60511</x:v>
      </x:c>
      <x:c r="C475" s="104" t="n">
        <x:f>H474</x:f>
        <x:v>0</x:v>
      </x:c>
      <x:c r="D475" s="104" t="n">
        <x:f>IF(C475&gt;0,C475*'Your Mortgage'!$C$7/12,0)</x:f>
        <x:v>0</x:v>
      </x:c>
      <x:c r="E475" s="104" t="n">
        <x:f>IF(C475&gt;0,MIN('Your Mortgage'!$C$11,C475+D475),0)</x:f>
        <x:v>0</x:v>
      </x:c>
      <x:c r="F475" s="104" t="n">
        <x:f>E475</x:f>
        <x:v>0</x:v>
      </x:c>
      <x:c r="G475" s="104" t="n">
        <x:f>MAX(0,F475-D475)</x:f>
        <x:v>0</x:v>
      </x:c>
      <x:c r="H475" s="104" t="n">
        <x:f>MAX(0,C475-G475)</x:f>
        <x:v>0</x:v>
      </x:c>
      <x:c r="I475" s="105" t="n">
        <x:f>P474</x:f>
        <x:v>0</x:v>
      </x:c>
      <x:c r="J475" s="105" t="n">
        <x:f>IF(I475&gt;0,I475*'Your Mortgage'!$C$7/12,0)</x:f>
        <x:v>0</x:v>
      </x:c>
      <x:c r="K475" s="105" t="n">
        <x:f>IF(I475&gt;0,MIN('Your Mortgage'!$C$11,I475+J475),0)</x:f>
        <x:v>0</x:v>
      </x:c>
      <x:c r="L475" s="105" t="n">
        <x:f>IF(I475&gt;0,MIN('Your Mortgage'!$F$6,MAX(0,I475+J475-K475)),0)</x:f>
        <x:v>0</x:v>
      </x:c>
      <x:c r="M475" s="105" t="n">
        <x:f>IF(AND(A475='Your Mortgage'!$F$8,I475&gt;0),MIN('Your Mortgage'!$F$7,MAX(0,I475+J475-K475-L475)),0)</x:f>
        <x:v>0</x:v>
      </x:c>
      <x:c r="N475" s="105" t="n">
        <x:f>K475+L475+M475</x:f>
        <x:v>0</x:v>
      </x:c>
      <x:c r="O475" s="105" t="n">
        <x:f>MAX(0,N475-J475)</x:f>
        <x:v>0</x:v>
      </x:c>
      <x:c r="P475" s="105" t="n">
        <x:f>MAX(0,I475-O475)</x:f>
        <x:v>0</x:v>
      </x:c>
      <x:c r="Q475" s="106" t="n">
        <x:f>X474</x:f>
        <x:v>0</x:v>
      </x:c>
      <x:c r="R475" s="106" t="n">
        <x:f>IF(Q475&gt;0,Q475*'Your Mortgage'!$C$7/12,0)</x:f>
        <x:v>0</x:v>
      </x:c>
      <x:c r="S475" s="106" t="n">
        <x:f>IF(Q475&gt;0,MIN('Your Mortgage'!$C$11,Q475+R475),0)</x:f>
        <x:v>0</x:v>
      </x:c>
      <x:c r="T475" s="106" t="n">
        <x:f>IF(Q475&gt;0,MIN('Your Mortgage'!$I$6,MAX(0,Q475+R475-S475)),0)</x:f>
        <x:v>0</x:v>
      </x:c>
      <x:c r="U475" s="106" t="n">
        <x:f>IF(AND(A475='Your Mortgage'!$I$8,Q475&gt;0),MIN('Your Mortgage'!$I$7,MAX(0,Q475+R475-S475-T475)),0)</x:f>
        <x:v>0</x:v>
      </x:c>
      <x:c r="V475" s="106" t="n">
        <x:f>S475+T475+U475</x:f>
        <x:v>0</x:v>
      </x:c>
      <x:c r="W475" s="106" t="n">
        <x:f>MAX(0,V475-R475)</x:f>
        <x:v>0</x:v>
      </x:c>
      <x:c r="X475" s="106" t="n">
        <x:f>MAX(0,Q475-W475)</x:f>
        <x:v>0</x:v>
      </x:c>
      <x:c r="Y475" s="1"/>
      <x:c r="Z475" s="1"/>
    </x:row>
    <x:row r="476">
      <x:c r="A476" s="100" t="n">
        <x:f>A475+1</x:f>
        <x:v>471</x:v>
      </x:c>
      <x:c r="B476" s="103" t="n">
        <x:f>EDATE(B475,1)</x:f>
        <x:v>60541</x:v>
      </x:c>
      <x:c r="C476" s="104" t="n">
        <x:f>H475</x:f>
        <x:v>0</x:v>
      </x:c>
      <x:c r="D476" s="104" t="n">
        <x:f>IF(C476&gt;0,C476*'Your Mortgage'!$C$7/12,0)</x:f>
        <x:v>0</x:v>
      </x:c>
      <x:c r="E476" s="104" t="n">
        <x:f>IF(C476&gt;0,MIN('Your Mortgage'!$C$11,C476+D476),0)</x:f>
        <x:v>0</x:v>
      </x:c>
      <x:c r="F476" s="104" t="n">
        <x:f>E476</x:f>
        <x:v>0</x:v>
      </x:c>
      <x:c r="G476" s="104" t="n">
        <x:f>MAX(0,F476-D476)</x:f>
        <x:v>0</x:v>
      </x:c>
      <x:c r="H476" s="104" t="n">
        <x:f>MAX(0,C476-G476)</x:f>
        <x:v>0</x:v>
      </x:c>
      <x:c r="I476" s="105" t="n">
        <x:f>P475</x:f>
        <x:v>0</x:v>
      </x:c>
      <x:c r="J476" s="105" t="n">
        <x:f>IF(I476&gt;0,I476*'Your Mortgage'!$C$7/12,0)</x:f>
        <x:v>0</x:v>
      </x:c>
      <x:c r="K476" s="105" t="n">
        <x:f>IF(I476&gt;0,MIN('Your Mortgage'!$C$11,I476+J476),0)</x:f>
        <x:v>0</x:v>
      </x:c>
      <x:c r="L476" s="105" t="n">
        <x:f>IF(I476&gt;0,MIN('Your Mortgage'!$F$6,MAX(0,I476+J476-K476)),0)</x:f>
        <x:v>0</x:v>
      </x:c>
      <x:c r="M476" s="105" t="n">
        <x:f>IF(AND(A476='Your Mortgage'!$F$8,I476&gt;0),MIN('Your Mortgage'!$F$7,MAX(0,I476+J476-K476-L476)),0)</x:f>
        <x:v>0</x:v>
      </x:c>
      <x:c r="N476" s="105" t="n">
        <x:f>K476+L476+M476</x:f>
        <x:v>0</x:v>
      </x:c>
      <x:c r="O476" s="105" t="n">
        <x:f>MAX(0,N476-J476)</x:f>
        <x:v>0</x:v>
      </x:c>
      <x:c r="P476" s="105" t="n">
        <x:f>MAX(0,I476-O476)</x:f>
        <x:v>0</x:v>
      </x:c>
      <x:c r="Q476" s="106" t="n">
        <x:f>X475</x:f>
        <x:v>0</x:v>
      </x:c>
      <x:c r="R476" s="106" t="n">
        <x:f>IF(Q476&gt;0,Q476*'Your Mortgage'!$C$7/12,0)</x:f>
        <x:v>0</x:v>
      </x:c>
      <x:c r="S476" s="106" t="n">
        <x:f>IF(Q476&gt;0,MIN('Your Mortgage'!$C$11,Q476+R476),0)</x:f>
        <x:v>0</x:v>
      </x:c>
      <x:c r="T476" s="106" t="n">
        <x:f>IF(Q476&gt;0,MIN('Your Mortgage'!$I$6,MAX(0,Q476+R476-S476)),0)</x:f>
        <x:v>0</x:v>
      </x:c>
      <x:c r="U476" s="106" t="n">
        <x:f>IF(AND(A476='Your Mortgage'!$I$8,Q476&gt;0),MIN('Your Mortgage'!$I$7,MAX(0,Q476+R476-S476-T476)),0)</x:f>
        <x:v>0</x:v>
      </x:c>
      <x:c r="V476" s="106" t="n">
        <x:f>S476+T476+U476</x:f>
        <x:v>0</x:v>
      </x:c>
      <x:c r="W476" s="106" t="n">
        <x:f>MAX(0,V476-R476)</x:f>
        <x:v>0</x:v>
      </x:c>
      <x:c r="X476" s="106" t="n">
        <x:f>MAX(0,Q476-W476)</x:f>
        <x:v>0</x:v>
      </x:c>
      <x:c r="Y476" s="1"/>
      <x:c r="Z476" s="1"/>
    </x:row>
    <x:row r="477">
      <x:c r="A477" s="100" t="n">
        <x:f>A476+1</x:f>
        <x:v>472</x:v>
      </x:c>
      <x:c r="B477" s="103" t="n">
        <x:f>EDATE(B476,1)</x:f>
        <x:v>60572</x:v>
      </x:c>
      <x:c r="C477" s="104" t="n">
        <x:f>H476</x:f>
        <x:v>0</x:v>
      </x:c>
      <x:c r="D477" s="104" t="n">
        <x:f>IF(C477&gt;0,C477*'Your Mortgage'!$C$7/12,0)</x:f>
        <x:v>0</x:v>
      </x:c>
      <x:c r="E477" s="104" t="n">
        <x:f>IF(C477&gt;0,MIN('Your Mortgage'!$C$11,C477+D477),0)</x:f>
        <x:v>0</x:v>
      </x:c>
      <x:c r="F477" s="104" t="n">
        <x:f>E477</x:f>
        <x:v>0</x:v>
      </x:c>
      <x:c r="G477" s="104" t="n">
        <x:f>MAX(0,F477-D477)</x:f>
        <x:v>0</x:v>
      </x:c>
      <x:c r="H477" s="104" t="n">
        <x:f>MAX(0,C477-G477)</x:f>
        <x:v>0</x:v>
      </x:c>
      <x:c r="I477" s="105" t="n">
        <x:f>P476</x:f>
        <x:v>0</x:v>
      </x:c>
      <x:c r="J477" s="105" t="n">
        <x:f>IF(I477&gt;0,I477*'Your Mortgage'!$C$7/12,0)</x:f>
        <x:v>0</x:v>
      </x:c>
      <x:c r="K477" s="105" t="n">
        <x:f>IF(I477&gt;0,MIN('Your Mortgage'!$C$11,I477+J477),0)</x:f>
        <x:v>0</x:v>
      </x:c>
      <x:c r="L477" s="105" t="n">
        <x:f>IF(I477&gt;0,MIN('Your Mortgage'!$F$6,MAX(0,I477+J477-K477)),0)</x:f>
        <x:v>0</x:v>
      </x:c>
      <x:c r="M477" s="105" t="n">
        <x:f>IF(AND(A477='Your Mortgage'!$F$8,I477&gt;0),MIN('Your Mortgage'!$F$7,MAX(0,I477+J477-K477-L477)),0)</x:f>
        <x:v>0</x:v>
      </x:c>
      <x:c r="N477" s="105" t="n">
        <x:f>K477+L477+M477</x:f>
        <x:v>0</x:v>
      </x:c>
      <x:c r="O477" s="105" t="n">
        <x:f>MAX(0,N477-J477)</x:f>
        <x:v>0</x:v>
      </x:c>
      <x:c r="P477" s="105" t="n">
        <x:f>MAX(0,I477-O477)</x:f>
        <x:v>0</x:v>
      </x:c>
      <x:c r="Q477" s="106" t="n">
        <x:f>X476</x:f>
        <x:v>0</x:v>
      </x:c>
      <x:c r="R477" s="106" t="n">
        <x:f>IF(Q477&gt;0,Q477*'Your Mortgage'!$C$7/12,0)</x:f>
        <x:v>0</x:v>
      </x:c>
      <x:c r="S477" s="106" t="n">
        <x:f>IF(Q477&gt;0,MIN('Your Mortgage'!$C$11,Q477+R477),0)</x:f>
        <x:v>0</x:v>
      </x:c>
      <x:c r="T477" s="106" t="n">
        <x:f>IF(Q477&gt;0,MIN('Your Mortgage'!$I$6,MAX(0,Q477+R477-S477)),0)</x:f>
        <x:v>0</x:v>
      </x:c>
      <x:c r="U477" s="106" t="n">
        <x:f>IF(AND(A477='Your Mortgage'!$I$8,Q477&gt;0),MIN('Your Mortgage'!$I$7,MAX(0,Q477+R477-S477-T477)),0)</x:f>
        <x:v>0</x:v>
      </x:c>
      <x:c r="V477" s="106" t="n">
        <x:f>S477+T477+U477</x:f>
        <x:v>0</x:v>
      </x:c>
      <x:c r="W477" s="106" t="n">
        <x:f>MAX(0,V477-R477)</x:f>
        <x:v>0</x:v>
      </x:c>
      <x:c r="X477" s="106" t="n">
        <x:f>MAX(0,Q477-W477)</x:f>
        <x:v>0</x:v>
      </x:c>
      <x:c r="Y477" s="1"/>
      <x:c r="Z477" s="1"/>
    </x:row>
    <x:row r="478">
      <x:c r="A478" s="100" t="n">
        <x:f>A477+1</x:f>
        <x:v>473</x:v>
      </x:c>
      <x:c r="B478" s="103" t="n">
        <x:f>EDATE(B477,1)</x:f>
        <x:v>60602</x:v>
      </x:c>
      <x:c r="C478" s="104" t="n">
        <x:f>H477</x:f>
        <x:v>0</x:v>
      </x:c>
      <x:c r="D478" s="104" t="n">
        <x:f>IF(C478&gt;0,C478*'Your Mortgage'!$C$7/12,0)</x:f>
        <x:v>0</x:v>
      </x:c>
      <x:c r="E478" s="104" t="n">
        <x:f>IF(C478&gt;0,MIN('Your Mortgage'!$C$11,C478+D478),0)</x:f>
        <x:v>0</x:v>
      </x:c>
      <x:c r="F478" s="104" t="n">
        <x:f>E478</x:f>
        <x:v>0</x:v>
      </x:c>
      <x:c r="G478" s="104" t="n">
        <x:f>MAX(0,F478-D478)</x:f>
        <x:v>0</x:v>
      </x:c>
      <x:c r="H478" s="104" t="n">
        <x:f>MAX(0,C478-G478)</x:f>
        <x:v>0</x:v>
      </x:c>
      <x:c r="I478" s="105" t="n">
        <x:f>P477</x:f>
        <x:v>0</x:v>
      </x:c>
      <x:c r="J478" s="105" t="n">
        <x:f>IF(I478&gt;0,I478*'Your Mortgage'!$C$7/12,0)</x:f>
        <x:v>0</x:v>
      </x:c>
      <x:c r="K478" s="105" t="n">
        <x:f>IF(I478&gt;0,MIN('Your Mortgage'!$C$11,I478+J478),0)</x:f>
        <x:v>0</x:v>
      </x:c>
      <x:c r="L478" s="105" t="n">
        <x:f>IF(I478&gt;0,MIN('Your Mortgage'!$F$6,MAX(0,I478+J478-K478)),0)</x:f>
        <x:v>0</x:v>
      </x:c>
      <x:c r="M478" s="105" t="n">
        <x:f>IF(AND(A478='Your Mortgage'!$F$8,I478&gt;0),MIN('Your Mortgage'!$F$7,MAX(0,I478+J478-K478-L478)),0)</x:f>
        <x:v>0</x:v>
      </x:c>
      <x:c r="N478" s="105" t="n">
        <x:f>K478+L478+M478</x:f>
        <x:v>0</x:v>
      </x:c>
      <x:c r="O478" s="105" t="n">
        <x:f>MAX(0,N478-J478)</x:f>
        <x:v>0</x:v>
      </x:c>
      <x:c r="P478" s="105" t="n">
        <x:f>MAX(0,I478-O478)</x:f>
        <x:v>0</x:v>
      </x:c>
      <x:c r="Q478" s="106" t="n">
        <x:f>X477</x:f>
        <x:v>0</x:v>
      </x:c>
      <x:c r="R478" s="106" t="n">
        <x:f>IF(Q478&gt;0,Q478*'Your Mortgage'!$C$7/12,0)</x:f>
        <x:v>0</x:v>
      </x:c>
      <x:c r="S478" s="106" t="n">
        <x:f>IF(Q478&gt;0,MIN('Your Mortgage'!$C$11,Q478+R478),0)</x:f>
        <x:v>0</x:v>
      </x:c>
      <x:c r="T478" s="106" t="n">
        <x:f>IF(Q478&gt;0,MIN('Your Mortgage'!$I$6,MAX(0,Q478+R478-S478)),0)</x:f>
        <x:v>0</x:v>
      </x:c>
      <x:c r="U478" s="106" t="n">
        <x:f>IF(AND(A478='Your Mortgage'!$I$8,Q478&gt;0),MIN('Your Mortgage'!$I$7,MAX(0,Q478+R478-S478-T478)),0)</x:f>
        <x:v>0</x:v>
      </x:c>
      <x:c r="V478" s="106" t="n">
        <x:f>S478+T478+U478</x:f>
        <x:v>0</x:v>
      </x:c>
      <x:c r="W478" s="106" t="n">
        <x:f>MAX(0,V478-R478)</x:f>
        <x:v>0</x:v>
      </x:c>
      <x:c r="X478" s="106" t="n">
        <x:f>MAX(0,Q478-W478)</x:f>
        <x:v>0</x:v>
      </x:c>
      <x:c r="Y478" s="1"/>
      <x:c r="Z478" s="1"/>
    </x:row>
    <x:row r="479">
      <x:c r="A479" s="100" t="n">
        <x:f>A478+1</x:f>
        <x:v>474</x:v>
      </x:c>
      <x:c r="B479" s="103" t="n">
        <x:f>EDATE(B478,1)</x:f>
        <x:v>60633</x:v>
      </x:c>
      <x:c r="C479" s="104" t="n">
        <x:f>H478</x:f>
        <x:v>0</x:v>
      </x:c>
      <x:c r="D479" s="104" t="n">
        <x:f>IF(C479&gt;0,C479*'Your Mortgage'!$C$7/12,0)</x:f>
        <x:v>0</x:v>
      </x:c>
      <x:c r="E479" s="104" t="n">
        <x:f>IF(C479&gt;0,MIN('Your Mortgage'!$C$11,C479+D479),0)</x:f>
        <x:v>0</x:v>
      </x:c>
      <x:c r="F479" s="104" t="n">
        <x:f>E479</x:f>
        <x:v>0</x:v>
      </x:c>
      <x:c r="G479" s="104" t="n">
        <x:f>MAX(0,F479-D479)</x:f>
        <x:v>0</x:v>
      </x:c>
      <x:c r="H479" s="104" t="n">
        <x:f>MAX(0,C479-G479)</x:f>
        <x:v>0</x:v>
      </x:c>
      <x:c r="I479" s="105" t="n">
        <x:f>P478</x:f>
        <x:v>0</x:v>
      </x:c>
      <x:c r="J479" s="105" t="n">
        <x:f>IF(I479&gt;0,I479*'Your Mortgage'!$C$7/12,0)</x:f>
        <x:v>0</x:v>
      </x:c>
      <x:c r="K479" s="105" t="n">
        <x:f>IF(I479&gt;0,MIN('Your Mortgage'!$C$11,I479+J479),0)</x:f>
        <x:v>0</x:v>
      </x:c>
      <x:c r="L479" s="105" t="n">
        <x:f>IF(I479&gt;0,MIN('Your Mortgage'!$F$6,MAX(0,I479+J479-K479)),0)</x:f>
        <x:v>0</x:v>
      </x:c>
      <x:c r="M479" s="105" t="n">
        <x:f>IF(AND(A479='Your Mortgage'!$F$8,I479&gt;0),MIN('Your Mortgage'!$F$7,MAX(0,I479+J479-K479-L479)),0)</x:f>
        <x:v>0</x:v>
      </x:c>
      <x:c r="N479" s="105" t="n">
        <x:f>K479+L479+M479</x:f>
        <x:v>0</x:v>
      </x:c>
      <x:c r="O479" s="105" t="n">
        <x:f>MAX(0,N479-J479)</x:f>
        <x:v>0</x:v>
      </x:c>
      <x:c r="P479" s="105" t="n">
        <x:f>MAX(0,I479-O479)</x:f>
        <x:v>0</x:v>
      </x:c>
      <x:c r="Q479" s="106" t="n">
        <x:f>X478</x:f>
        <x:v>0</x:v>
      </x:c>
      <x:c r="R479" s="106" t="n">
        <x:f>IF(Q479&gt;0,Q479*'Your Mortgage'!$C$7/12,0)</x:f>
        <x:v>0</x:v>
      </x:c>
      <x:c r="S479" s="106" t="n">
        <x:f>IF(Q479&gt;0,MIN('Your Mortgage'!$C$11,Q479+R479),0)</x:f>
        <x:v>0</x:v>
      </x:c>
      <x:c r="T479" s="106" t="n">
        <x:f>IF(Q479&gt;0,MIN('Your Mortgage'!$I$6,MAX(0,Q479+R479-S479)),0)</x:f>
        <x:v>0</x:v>
      </x:c>
      <x:c r="U479" s="106" t="n">
        <x:f>IF(AND(A479='Your Mortgage'!$I$8,Q479&gt;0),MIN('Your Mortgage'!$I$7,MAX(0,Q479+R479-S479-T479)),0)</x:f>
        <x:v>0</x:v>
      </x:c>
      <x:c r="V479" s="106" t="n">
        <x:f>S479+T479+U479</x:f>
        <x:v>0</x:v>
      </x:c>
      <x:c r="W479" s="106" t="n">
        <x:f>MAX(0,V479-R479)</x:f>
        <x:v>0</x:v>
      </x:c>
      <x:c r="X479" s="106" t="n">
        <x:f>MAX(0,Q479-W479)</x:f>
        <x:v>0</x:v>
      </x:c>
      <x:c r="Y479" s="1"/>
      <x:c r="Z479" s="1"/>
    </x:row>
    <x:row r="480">
      <x:c r="A480" s="100" t="n">
        <x:f>A479+1</x:f>
        <x:v>475</x:v>
      </x:c>
      <x:c r="B480" s="103" t="n">
        <x:f>EDATE(B479,1)</x:f>
        <x:v>60664</x:v>
      </x:c>
      <x:c r="C480" s="104" t="n">
        <x:f>H479</x:f>
        <x:v>0</x:v>
      </x:c>
      <x:c r="D480" s="104" t="n">
        <x:f>IF(C480&gt;0,C480*'Your Mortgage'!$C$7/12,0)</x:f>
        <x:v>0</x:v>
      </x:c>
      <x:c r="E480" s="104" t="n">
        <x:f>IF(C480&gt;0,MIN('Your Mortgage'!$C$11,C480+D480),0)</x:f>
        <x:v>0</x:v>
      </x:c>
      <x:c r="F480" s="104" t="n">
        <x:f>E480</x:f>
        <x:v>0</x:v>
      </x:c>
      <x:c r="G480" s="104" t="n">
        <x:f>MAX(0,F480-D480)</x:f>
        <x:v>0</x:v>
      </x:c>
      <x:c r="H480" s="104" t="n">
        <x:f>MAX(0,C480-G480)</x:f>
        <x:v>0</x:v>
      </x:c>
      <x:c r="I480" s="105" t="n">
        <x:f>P479</x:f>
        <x:v>0</x:v>
      </x:c>
      <x:c r="J480" s="105" t="n">
        <x:f>IF(I480&gt;0,I480*'Your Mortgage'!$C$7/12,0)</x:f>
        <x:v>0</x:v>
      </x:c>
      <x:c r="K480" s="105" t="n">
        <x:f>IF(I480&gt;0,MIN('Your Mortgage'!$C$11,I480+J480),0)</x:f>
        <x:v>0</x:v>
      </x:c>
      <x:c r="L480" s="105" t="n">
        <x:f>IF(I480&gt;0,MIN('Your Mortgage'!$F$6,MAX(0,I480+J480-K480)),0)</x:f>
        <x:v>0</x:v>
      </x:c>
      <x:c r="M480" s="105" t="n">
        <x:f>IF(AND(A480='Your Mortgage'!$F$8,I480&gt;0),MIN('Your Mortgage'!$F$7,MAX(0,I480+J480-K480-L480)),0)</x:f>
        <x:v>0</x:v>
      </x:c>
      <x:c r="N480" s="105" t="n">
        <x:f>K480+L480+M480</x:f>
        <x:v>0</x:v>
      </x:c>
      <x:c r="O480" s="105" t="n">
        <x:f>MAX(0,N480-J480)</x:f>
        <x:v>0</x:v>
      </x:c>
      <x:c r="P480" s="105" t="n">
        <x:f>MAX(0,I480-O480)</x:f>
        <x:v>0</x:v>
      </x:c>
      <x:c r="Q480" s="106" t="n">
        <x:f>X479</x:f>
        <x:v>0</x:v>
      </x:c>
      <x:c r="R480" s="106" t="n">
        <x:f>IF(Q480&gt;0,Q480*'Your Mortgage'!$C$7/12,0)</x:f>
        <x:v>0</x:v>
      </x:c>
      <x:c r="S480" s="106" t="n">
        <x:f>IF(Q480&gt;0,MIN('Your Mortgage'!$C$11,Q480+R480),0)</x:f>
        <x:v>0</x:v>
      </x:c>
      <x:c r="T480" s="106" t="n">
        <x:f>IF(Q480&gt;0,MIN('Your Mortgage'!$I$6,MAX(0,Q480+R480-S480)),0)</x:f>
        <x:v>0</x:v>
      </x:c>
      <x:c r="U480" s="106" t="n">
        <x:f>IF(AND(A480='Your Mortgage'!$I$8,Q480&gt;0),MIN('Your Mortgage'!$I$7,MAX(0,Q480+R480-S480-T480)),0)</x:f>
        <x:v>0</x:v>
      </x:c>
      <x:c r="V480" s="106" t="n">
        <x:f>S480+T480+U480</x:f>
        <x:v>0</x:v>
      </x:c>
      <x:c r="W480" s="106" t="n">
        <x:f>MAX(0,V480-R480)</x:f>
        <x:v>0</x:v>
      </x:c>
      <x:c r="X480" s="106" t="n">
        <x:f>MAX(0,Q480-W480)</x:f>
        <x:v>0</x:v>
      </x:c>
      <x:c r="Y480" s="1"/>
      <x:c r="Z480" s="1"/>
    </x:row>
    <x:row r="481">
      <x:c r="A481" s="100" t="n">
        <x:f>A480+1</x:f>
        <x:v>476</x:v>
      </x:c>
      <x:c r="B481" s="103" t="n">
        <x:f>EDATE(B480,1)</x:f>
        <x:v>60692</x:v>
      </x:c>
      <x:c r="C481" s="104" t="n">
        <x:f>H480</x:f>
        <x:v>0</x:v>
      </x:c>
      <x:c r="D481" s="104" t="n">
        <x:f>IF(C481&gt;0,C481*'Your Mortgage'!$C$7/12,0)</x:f>
        <x:v>0</x:v>
      </x:c>
      <x:c r="E481" s="104" t="n">
        <x:f>IF(C481&gt;0,MIN('Your Mortgage'!$C$11,C481+D481),0)</x:f>
        <x:v>0</x:v>
      </x:c>
      <x:c r="F481" s="104" t="n">
        <x:f>E481</x:f>
        <x:v>0</x:v>
      </x:c>
      <x:c r="G481" s="104" t="n">
        <x:f>MAX(0,F481-D481)</x:f>
        <x:v>0</x:v>
      </x:c>
      <x:c r="H481" s="104" t="n">
        <x:f>MAX(0,C481-G481)</x:f>
        <x:v>0</x:v>
      </x:c>
      <x:c r="I481" s="105" t="n">
        <x:f>P480</x:f>
        <x:v>0</x:v>
      </x:c>
      <x:c r="J481" s="105" t="n">
        <x:f>IF(I481&gt;0,I481*'Your Mortgage'!$C$7/12,0)</x:f>
        <x:v>0</x:v>
      </x:c>
      <x:c r="K481" s="105" t="n">
        <x:f>IF(I481&gt;0,MIN('Your Mortgage'!$C$11,I481+J481),0)</x:f>
        <x:v>0</x:v>
      </x:c>
      <x:c r="L481" s="105" t="n">
        <x:f>IF(I481&gt;0,MIN('Your Mortgage'!$F$6,MAX(0,I481+J481-K481)),0)</x:f>
        <x:v>0</x:v>
      </x:c>
      <x:c r="M481" s="105" t="n">
        <x:f>IF(AND(A481='Your Mortgage'!$F$8,I481&gt;0),MIN('Your Mortgage'!$F$7,MAX(0,I481+J481-K481-L481)),0)</x:f>
        <x:v>0</x:v>
      </x:c>
      <x:c r="N481" s="105" t="n">
        <x:f>K481+L481+M481</x:f>
        <x:v>0</x:v>
      </x:c>
      <x:c r="O481" s="105" t="n">
        <x:f>MAX(0,N481-J481)</x:f>
        <x:v>0</x:v>
      </x:c>
      <x:c r="P481" s="105" t="n">
        <x:f>MAX(0,I481-O481)</x:f>
        <x:v>0</x:v>
      </x:c>
      <x:c r="Q481" s="106" t="n">
        <x:f>X480</x:f>
        <x:v>0</x:v>
      </x:c>
      <x:c r="R481" s="106" t="n">
        <x:f>IF(Q481&gt;0,Q481*'Your Mortgage'!$C$7/12,0)</x:f>
        <x:v>0</x:v>
      </x:c>
      <x:c r="S481" s="106" t="n">
        <x:f>IF(Q481&gt;0,MIN('Your Mortgage'!$C$11,Q481+R481),0)</x:f>
        <x:v>0</x:v>
      </x:c>
      <x:c r="T481" s="106" t="n">
        <x:f>IF(Q481&gt;0,MIN('Your Mortgage'!$I$6,MAX(0,Q481+R481-S481)),0)</x:f>
        <x:v>0</x:v>
      </x:c>
      <x:c r="U481" s="106" t="n">
        <x:f>IF(AND(A481='Your Mortgage'!$I$8,Q481&gt;0),MIN('Your Mortgage'!$I$7,MAX(0,Q481+R481-S481-T481)),0)</x:f>
        <x:v>0</x:v>
      </x:c>
      <x:c r="V481" s="106" t="n">
        <x:f>S481+T481+U481</x:f>
        <x:v>0</x:v>
      </x:c>
      <x:c r="W481" s="106" t="n">
        <x:f>MAX(0,V481-R481)</x:f>
        <x:v>0</x:v>
      </x:c>
      <x:c r="X481" s="106" t="n">
        <x:f>MAX(0,Q481-W481)</x:f>
        <x:v>0</x:v>
      </x:c>
      <x:c r="Y481" s="1"/>
      <x:c r="Z481" s="1"/>
    </x:row>
    <x:row r="482">
      <x:c r="A482" s="100" t="n">
        <x:f>A481+1</x:f>
        <x:v>477</x:v>
      </x:c>
      <x:c r="B482" s="103" t="n">
        <x:f>EDATE(B481,1)</x:f>
        <x:v>60723</x:v>
      </x:c>
      <x:c r="C482" s="104" t="n">
        <x:f>H481</x:f>
        <x:v>0</x:v>
      </x:c>
      <x:c r="D482" s="104" t="n">
        <x:f>IF(C482&gt;0,C482*'Your Mortgage'!$C$7/12,0)</x:f>
        <x:v>0</x:v>
      </x:c>
      <x:c r="E482" s="104" t="n">
        <x:f>IF(C482&gt;0,MIN('Your Mortgage'!$C$11,C482+D482),0)</x:f>
        <x:v>0</x:v>
      </x:c>
      <x:c r="F482" s="104" t="n">
        <x:f>E482</x:f>
        <x:v>0</x:v>
      </x:c>
      <x:c r="G482" s="104" t="n">
        <x:f>MAX(0,F482-D482)</x:f>
        <x:v>0</x:v>
      </x:c>
      <x:c r="H482" s="104" t="n">
        <x:f>MAX(0,C482-G482)</x:f>
        <x:v>0</x:v>
      </x:c>
      <x:c r="I482" s="105" t="n">
        <x:f>P481</x:f>
        <x:v>0</x:v>
      </x:c>
      <x:c r="J482" s="105" t="n">
        <x:f>IF(I482&gt;0,I482*'Your Mortgage'!$C$7/12,0)</x:f>
        <x:v>0</x:v>
      </x:c>
      <x:c r="K482" s="105" t="n">
        <x:f>IF(I482&gt;0,MIN('Your Mortgage'!$C$11,I482+J482),0)</x:f>
        <x:v>0</x:v>
      </x:c>
      <x:c r="L482" s="105" t="n">
        <x:f>IF(I482&gt;0,MIN('Your Mortgage'!$F$6,MAX(0,I482+J482-K482)),0)</x:f>
        <x:v>0</x:v>
      </x:c>
      <x:c r="M482" s="105" t="n">
        <x:f>IF(AND(A482='Your Mortgage'!$F$8,I482&gt;0),MIN('Your Mortgage'!$F$7,MAX(0,I482+J482-K482-L482)),0)</x:f>
        <x:v>0</x:v>
      </x:c>
      <x:c r="N482" s="105" t="n">
        <x:f>K482+L482+M482</x:f>
        <x:v>0</x:v>
      </x:c>
      <x:c r="O482" s="105" t="n">
        <x:f>MAX(0,N482-J482)</x:f>
        <x:v>0</x:v>
      </x:c>
      <x:c r="P482" s="105" t="n">
        <x:f>MAX(0,I482-O482)</x:f>
        <x:v>0</x:v>
      </x:c>
      <x:c r="Q482" s="106" t="n">
        <x:f>X481</x:f>
        <x:v>0</x:v>
      </x:c>
      <x:c r="R482" s="106" t="n">
        <x:f>IF(Q482&gt;0,Q482*'Your Mortgage'!$C$7/12,0)</x:f>
        <x:v>0</x:v>
      </x:c>
      <x:c r="S482" s="106" t="n">
        <x:f>IF(Q482&gt;0,MIN('Your Mortgage'!$C$11,Q482+R482),0)</x:f>
        <x:v>0</x:v>
      </x:c>
      <x:c r="T482" s="106" t="n">
        <x:f>IF(Q482&gt;0,MIN('Your Mortgage'!$I$6,MAX(0,Q482+R482-S482)),0)</x:f>
        <x:v>0</x:v>
      </x:c>
      <x:c r="U482" s="106" t="n">
        <x:f>IF(AND(A482='Your Mortgage'!$I$8,Q482&gt;0),MIN('Your Mortgage'!$I$7,MAX(0,Q482+R482-S482-T482)),0)</x:f>
        <x:v>0</x:v>
      </x:c>
      <x:c r="V482" s="106" t="n">
        <x:f>S482+T482+U482</x:f>
        <x:v>0</x:v>
      </x:c>
      <x:c r="W482" s="106" t="n">
        <x:f>MAX(0,V482-R482)</x:f>
        <x:v>0</x:v>
      </x:c>
      <x:c r="X482" s="106" t="n">
        <x:f>MAX(0,Q482-W482)</x:f>
        <x:v>0</x:v>
      </x:c>
      <x:c r="Y482" s="1"/>
      <x:c r="Z482" s="1"/>
    </x:row>
    <x:row r="483">
      <x:c r="A483" s="100" t="n">
        <x:f>A482+1</x:f>
        <x:v>478</x:v>
      </x:c>
      <x:c r="B483" s="103" t="n">
        <x:f>EDATE(B482,1)</x:f>
        <x:v>60753</x:v>
      </x:c>
      <x:c r="C483" s="104" t="n">
        <x:f>H482</x:f>
        <x:v>0</x:v>
      </x:c>
      <x:c r="D483" s="104" t="n">
        <x:f>IF(C483&gt;0,C483*'Your Mortgage'!$C$7/12,0)</x:f>
        <x:v>0</x:v>
      </x:c>
      <x:c r="E483" s="104" t="n">
        <x:f>IF(C483&gt;0,MIN('Your Mortgage'!$C$11,C483+D483),0)</x:f>
        <x:v>0</x:v>
      </x:c>
      <x:c r="F483" s="104" t="n">
        <x:f>E483</x:f>
        <x:v>0</x:v>
      </x:c>
      <x:c r="G483" s="104" t="n">
        <x:f>MAX(0,F483-D483)</x:f>
        <x:v>0</x:v>
      </x:c>
      <x:c r="H483" s="104" t="n">
        <x:f>MAX(0,C483-G483)</x:f>
        <x:v>0</x:v>
      </x:c>
      <x:c r="I483" s="105" t="n">
        <x:f>P482</x:f>
        <x:v>0</x:v>
      </x:c>
      <x:c r="J483" s="105" t="n">
        <x:f>IF(I483&gt;0,I483*'Your Mortgage'!$C$7/12,0)</x:f>
        <x:v>0</x:v>
      </x:c>
      <x:c r="K483" s="105" t="n">
        <x:f>IF(I483&gt;0,MIN('Your Mortgage'!$C$11,I483+J483),0)</x:f>
        <x:v>0</x:v>
      </x:c>
      <x:c r="L483" s="105" t="n">
        <x:f>IF(I483&gt;0,MIN('Your Mortgage'!$F$6,MAX(0,I483+J483-K483)),0)</x:f>
        <x:v>0</x:v>
      </x:c>
      <x:c r="M483" s="105" t="n">
        <x:f>IF(AND(A483='Your Mortgage'!$F$8,I483&gt;0),MIN('Your Mortgage'!$F$7,MAX(0,I483+J483-K483-L483)),0)</x:f>
        <x:v>0</x:v>
      </x:c>
      <x:c r="N483" s="105" t="n">
        <x:f>K483+L483+M483</x:f>
        <x:v>0</x:v>
      </x:c>
      <x:c r="O483" s="105" t="n">
        <x:f>MAX(0,N483-J483)</x:f>
        <x:v>0</x:v>
      </x:c>
      <x:c r="P483" s="105" t="n">
        <x:f>MAX(0,I483-O483)</x:f>
        <x:v>0</x:v>
      </x:c>
      <x:c r="Q483" s="106" t="n">
        <x:f>X482</x:f>
        <x:v>0</x:v>
      </x:c>
      <x:c r="R483" s="106" t="n">
        <x:f>IF(Q483&gt;0,Q483*'Your Mortgage'!$C$7/12,0)</x:f>
        <x:v>0</x:v>
      </x:c>
      <x:c r="S483" s="106" t="n">
        <x:f>IF(Q483&gt;0,MIN('Your Mortgage'!$C$11,Q483+R483),0)</x:f>
        <x:v>0</x:v>
      </x:c>
      <x:c r="T483" s="106" t="n">
        <x:f>IF(Q483&gt;0,MIN('Your Mortgage'!$I$6,MAX(0,Q483+R483-S483)),0)</x:f>
        <x:v>0</x:v>
      </x:c>
      <x:c r="U483" s="106" t="n">
        <x:f>IF(AND(A483='Your Mortgage'!$I$8,Q483&gt;0),MIN('Your Mortgage'!$I$7,MAX(0,Q483+R483-S483-T483)),0)</x:f>
        <x:v>0</x:v>
      </x:c>
      <x:c r="V483" s="106" t="n">
        <x:f>S483+T483+U483</x:f>
        <x:v>0</x:v>
      </x:c>
      <x:c r="W483" s="106" t="n">
        <x:f>MAX(0,V483-R483)</x:f>
        <x:v>0</x:v>
      </x:c>
      <x:c r="X483" s="106" t="n">
        <x:f>MAX(0,Q483-W483)</x:f>
        <x:v>0</x:v>
      </x:c>
      <x:c r="Y483" s="1"/>
      <x:c r="Z483" s="1"/>
    </x:row>
    <x:row r="484">
      <x:c r="A484" s="100" t="n">
        <x:f>A483+1</x:f>
        <x:v>479</x:v>
      </x:c>
      <x:c r="B484" s="103" t="n">
        <x:f>EDATE(B483,1)</x:f>
        <x:v>60784</x:v>
      </x:c>
      <x:c r="C484" s="104" t="n">
        <x:f>H483</x:f>
        <x:v>0</x:v>
      </x:c>
      <x:c r="D484" s="104" t="n">
        <x:f>IF(C484&gt;0,C484*'Your Mortgage'!$C$7/12,0)</x:f>
        <x:v>0</x:v>
      </x:c>
      <x:c r="E484" s="104" t="n">
        <x:f>IF(C484&gt;0,MIN('Your Mortgage'!$C$11,C484+D484),0)</x:f>
        <x:v>0</x:v>
      </x:c>
      <x:c r="F484" s="104" t="n">
        <x:f>E484</x:f>
        <x:v>0</x:v>
      </x:c>
      <x:c r="G484" s="104" t="n">
        <x:f>MAX(0,F484-D484)</x:f>
        <x:v>0</x:v>
      </x:c>
      <x:c r="H484" s="104" t="n">
        <x:f>MAX(0,C484-G484)</x:f>
        <x:v>0</x:v>
      </x:c>
      <x:c r="I484" s="105" t="n">
        <x:f>P483</x:f>
        <x:v>0</x:v>
      </x:c>
      <x:c r="J484" s="105" t="n">
        <x:f>IF(I484&gt;0,I484*'Your Mortgage'!$C$7/12,0)</x:f>
        <x:v>0</x:v>
      </x:c>
      <x:c r="K484" s="105" t="n">
        <x:f>IF(I484&gt;0,MIN('Your Mortgage'!$C$11,I484+J484),0)</x:f>
        <x:v>0</x:v>
      </x:c>
      <x:c r="L484" s="105" t="n">
        <x:f>IF(I484&gt;0,MIN('Your Mortgage'!$F$6,MAX(0,I484+J484-K484)),0)</x:f>
        <x:v>0</x:v>
      </x:c>
      <x:c r="M484" s="105" t="n">
        <x:f>IF(AND(A484='Your Mortgage'!$F$8,I484&gt;0),MIN('Your Mortgage'!$F$7,MAX(0,I484+J484-K484-L484)),0)</x:f>
        <x:v>0</x:v>
      </x:c>
      <x:c r="N484" s="105" t="n">
        <x:f>K484+L484+M484</x:f>
        <x:v>0</x:v>
      </x:c>
      <x:c r="O484" s="105" t="n">
        <x:f>MAX(0,N484-J484)</x:f>
        <x:v>0</x:v>
      </x:c>
      <x:c r="P484" s="105" t="n">
        <x:f>MAX(0,I484-O484)</x:f>
        <x:v>0</x:v>
      </x:c>
      <x:c r="Q484" s="106" t="n">
        <x:f>X483</x:f>
        <x:v>0</x:v>
      </x:c>
      <x:c r="R484" s="106" t="n">
        <x:f>IF(Q484&gt;0,Q484*'Your Mortgage'!$C$7/12,0)</x:f>
        <x:v>0</x:v>
      </x:c>
      <x:c r="S484" s="106" t="n">
        <x:f>IF(Q484&gt;0,MIN('Your Mortgage'!$C$11,Q484+R484),0)</x:f>
        <x:v>0</x:v>
      </x:c>
      <x:c r="T484" s="106" t="n">
        <x:f>IF(Q484&gt;0,MIN('Your Mortgage'!$I$6,MAX(0,Q484+R484-S484)),0)</x:f>
        <x:v>0</x:v>
      </x:c>
      <x:c r="U484" s="106" t="n">
        <x:f>IF(AND(A484='Your Mortgage'!$I$8,Q484&gt;0),MIN('Your Mortgage'!$I$7,MAX(0,Q484+R484-S484-T484)),0)</x:f>
        <x:v>0</x:v>
      </x:c>
      <x:c r="V484" s="106" t="n">
        <x:f>S484+T484+U484</x:f>
        <x:v>0</x:v>
      </x:c>
      <x:c r="W484" s="106" t="n">
        <x:f>MAX(0,V484-R484)</x:f>
        <x:v>0</x:v>
      </x:c>
      <x:c r="X484" s="106" t="n">
        <x:f>MAX(0,Q484-W484)</x:f>
        <x:v>0</x:v>
      </x:c>
      <x:c r="Y484" s="1"/>
      <x:c r="Z484" s="1"/>
    </x:row>
    <x:row r="485">
      <x:c r="A485" s="100" t="n">
        <x:f>A484+1</x:f>
        <x:v>480</x:v>
      </x:c>
      <x:c r="B485" s="103" t="n">
        <x:f>EDATE(B484,1)</x:f>
        <x:v>60814</x:v>
      </x:c>
      <x:c r="C485" s="104" t="n">
        <x:f>H484</x:f>
        <x:v>0</x:v>
      </x:c>
      <x:c r="D485" s="104" t="n">
        <x:f>IF(C485&gt;0,C485*'Your Mortgage'!$C$7/12,0)</x:f>
        <x:v>0</x:v>
      </x:c>
      <x:c r="E485" s="104" t="n">
        <x:f>IF(C485&gt;0,MIN('Your Mortgage'!$C$11,C485+D485),0)</x:f>
        <x:v>0</x:v>
      </x:c>
      <x:c r="F485" s="104" t="n">
        <x:f>E485</x:f>
        <x:v>0</x:v>
      </x:c>
      <x:c r="G485" s="104" t="n">
        <x:f>MAX(0,F485-D485)</x:f>
        <x:v>0</x:v>
      </x:c>
      <x:c r="H485" s="104" t="n">
        <x:f>MAX(0,C485-G485)</x:f>
        <x:v>0</x:v>
      </x:c>
      <x:c r="I485" s="105" t="n">
        <x:f>P484</x:f>
        <x:v>0</x:v>
      </x:c>
      <x:c r="J485" s="105" t="n">
        <x:f>IF(I485&gt;0,I485*'Your Mortgage'!$C$7/12,0)</x:f>
        <x:v>0</x:v>
      </x:c>
      <x:c r="K485" s="105" t="n">
        <x:f>IF(I485&gt;0,MIN('Your Mortgage'!$C$11,I485+J485),0)</x:f>
        <x:v>0</x:v>
      </x:c>
      <x:c r="L485" s="105" t="n">
        <x:f>IF(I485&gt;0,MIN('Your Mortgage'!$F$6,MAX(0,I485+J485-K485)),0)</x:f>
        <x:v>0</x:v>
      </x:c>
      <x:c r="M485" s="105" t="n">
        <x:f>IF(AND(A485='Your Mortgage'!$F$8,I485&gt;0),MIN('Your Mortgage'!$F$7,MAX(0,I485+J485-K485-L485)),0)</x:f>
        <x:v>0</x:v>
      </x:c>
      <x:c r="N485" s="105" t="n">
        <x:f>K485+L485+M485</x:f>
        <x:v>0</x:v>
      </x:c>
      <x:c r="O485" s="105" t="n">
        <x:f>MAX(0,N485-J485)</x:f>
        <x:v>0</x:v>
      </x:c>
      <x:c r="P485" s="105" t="n">
        <x:f>MAX(0,I485-O485)</x:f>
        <x:v>0</x:v>
      </x:c>
      <x:c r="Q485" s="106" t="n">
        <x:f>X484</x:f>
        <x:v>0</x:v>
      </x:c>
      <x:c r="R485" s="106" t="n">
        <x:f>IF(Q485&gt;0,Q485*'Your Mortgage'!$C$7/12,0)</x:f>
        <x:v>0</x:v>
      </x:c>
      <x:c r="S485" s="106" t="n">
        <x:f>IF(Q485&gt;0,MIN('Your Mortgage'!$C$11,Q485+R485),0)</x:f>
        <x:v>0</x:v>
      </x:c>
      <x:c r="T485" s="106" t="n">
        <x:f>IF(Q485&gt;0,MIN('Your Mortgage'!$I$6,MAX(0,Q485+R485-S485)),0)</x:f>
        <x:v>0</x:v>
      </x:c>
      <x:c r="U485" s="106" t="n">
        <x:f>IF(AND(A485='Your Mortgage'!$I$8,Q485&gt;0),MIN('Your Mortgage'!$I$7,MAX(0,Q485+R485-S485-T485)),0)</x:f>
        <x:v>0</x:v>
      </x:c>
      <x:c r="V485" s="106" t="n">
        <x:f>S485+T485+U485</x:f>
        <x:v>0</x:v>
      </x:c>
      <x:c r="W485" s="106" t="n">
        <x:f>MAX(0,V485-R485)</x:f>
        <x:v>0</x:v>
      </x:c>
      <x:c r="X485" s="106" t="n">
        <x:f>MAX(0,Q485-W485)</x:f>
        <x:v>0</x:v>
      </x:c>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sheetData>
  <x:mergeCells>
    <x:mergeCell ref="A1:X2"/>
    <x:mergeCell ref="A3:X3"/>
    <x:mergeCell ref="A4:B4"/>
    <x:mergeCell ref="C4:H4"/>
    <x:mergeCell ref="I4:P4"/>
    <x:mergeCell ref="Q4:X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17" hidden="0" customWidth="1"/>
    <x:col min="4" max="4" width="17" hidden="0" customWidth="1"/>
    <x:col min="5" max="5" width="17" hidden="0" customWidth="1"/>
    <x:col min="6" max="6" width="14" hidden="0" customWidth="1"/>
    <x:col min="7" max="7" width="35" hidden="0" customWidth="1"/>
    <x:col min="8" max="8" width="24" hidden="0" customWidth="1"/>
  </x:cols>
  <x:sheetData>
    <x:row r="1">
      <x:c r="A1" s="5" t="str">
        <x:v>Payment log</x:v>
      </x:c>
      <x:c r="B1" s="5"/>
      <x:c r="C1" s="5"/>
      <x:c r="D1" s="5"/>
      <x:c r="E1" s="5"/>
      <x:c r="F1" s="5"/>
      <x:c r="G1" s="5"/>
      <x:c r="H1" s="5"/>
      <x:c r="I1" s="1"/>
      <x:c r="J1" s="1"/>
      <x:c r="K1" s="1"/>
      <x:c r="L1" s="1"/>
      <x:c r="M1" s="1"/>
      <x:c r="N1" s="1"/>
      <x:c r="O1" s="1"/>
      <x:c r="P1" s="1"/>
      <x:c r="Q1" s="1"/>
      <x:c r="R1" s="1"/>
      <x:c r="S1" s="1"/>
      <x:c r="T1" s="1"/>
      <x:c r="U1" s="1"/>
      <x:c r="V1" s="1"/>
      <x:c r="W1" s="1"/>
      <x:c r="X1" s="1"/>
      <x:c r="Y1" s="1"/>
      <x:c r="Z1" s="1"/>
    </x:row>
    <x:row r="2">
      <x:c r="A2" s="5"/>
      <x:c r="B2" s="5"/>
      <x:c r="C2" s="5"/>
      <x:c r="D2" s="5"/>
      <x:c r="E2" s="5"/>
      <x:c r="F2" s="5"/>
      <x:c r="G2" s="5"/>
      <x:c r="H2" s="5"/>
      <x:c r="I2" s="1"/>
      <x:c r="J2" s="1"/>
      <x:c r="K2" s="1"/>
      <x:c r="L2" s="1"/>
      <x:c r="M2" s="1"/>
      <x:c r="N2" s="1"/>
      <x:c r="O2" s="1"/>
      <x:c r="P2" s="1"/>
      <x:c r="Q2" s="1"/>
      <x:c r="R2" s="1"/>
      <x:c r="S2" s="1"/>
      <x:c r="T2" s="1"/>
      <x:c r="U2" s="1"/>
      <x:c r="V2" s="1"/>
      <x:c r="W2" s="1"/>
      <x:c r="X2" s="1"/>
      <x:c r="Y2" s="1"/>
      <x:c r="Z2" s="1"/>
    </x:row>
    <x:row r="3">
      <x:c r="A3" s="8" t="str">
        <x:v>Optional tracker · record what actually happened; this log does not alter the payoff scenarios.</x:v>
      </x:c>
      <x:c r="B3" s="8"/>
      <x:c r="C3" s="8"/>
      <x:c r="D3" s="8"/>
      <x:c r="E3" s="8"/>
      <x:c r="F3" s="8"/>
      <x:c r="G3" s="8"/>
      <x:c r="H3" s="8"/>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68" t="str">
        <x:v>Payment #</x:v>
      </x:c>
      <x:c r="B5" s="168" t="str">
        <x:v>Due date</x:v>
      </x:c>
      <x:c r="C5" s="168" t="str">
        <x:v>Planned minimum</x:v>
      </x:c>
      <x:c r="D5" s="168" t="str">
        <x:v>Planned extra</x:v>
      </x:c>
      <x:c r="E5" s="168" t="str">
        <x:v>Actual total</x:v>
      </x:c>
      <x:c r="F5" s="168" t="str">
        <x:v>Status</x:v>
      </x:c>
      <x:c r="G5" s="168" t="str">
        <x:v>Notes</x:v>
      </x:c>
      <x:c r="H5" s="168" t="str">
        <x:v>Statement / confirmation</x:v>
      </x:c>
      <x:c r="I5" s="1"/>
      <x:c r="J5" s="1"/>
      <x:c r="K5" s="1"/>
      <x:c r="L5" s="1"/>
      <x:c r="M5" s="1"/>
      <x:c r="N5" s="1"/>
      <x:c r="O5" s="1"/>
      <x:c r="P5" s="1"/>
      <x:c r="Q5" s="1"/>
      <x:c r="R5" s="1"/>
      <x:c r="S5" s="1"/>
      <x:c r="T5" s="1"/>
      <x:c r="U5" s="1"/>
      <x:c r="V5" s="1"/>
      <x:c r="W5" s="1"/>
      <x:c r="X5" s="1"/>
      <x:c r="Y5" s="1"/>
      <x:c r="Z5" s="1"/>
    </x:row>
    <x:row r="6">
      <x:c r="A6" s="100" t="n">
        <x:v>1</x:v>
      </x:c>
      <x:c r="B6" s="171" t="n">
        <x:f>IF(A6&lt;='Your Mortgage'!$C$8*12,EDATE('Your Mortgage'!$C$9,A6-1),"")</x:f>
        <x:v>46235</x:v>
      </x:c>
      <x:c r="C6" s="172" t="n">
        <x:f>IF(B6="","",'Your Mortgage'!$C$11)</x:f>
        <x:v>2054.2210763521375</x:v>
      </x:c>
      <x:c r="D6" s="172" t="n">
        <x:f>IF(B6="","",'Your Mortgage'!$F$6+IF(A6='Your Mortgage'!$F$8,'Your Mortgage'!$F$7,0))</x:f>
        <x:v>250</x:v>
      </x:c>
      <x:c r="E6" s="173"/>
      <x:c r="F6" s="170"/>
      <x:c r="G6" s="170"/>
      <x:c r="H6" s="170"/>
      <x:c r="I6" s="1"/>
      <x:c r="J6" s="1"/>
      <x:c r="K6" s="1"/>
      <x:c r="L6" s="1"/>
      <x:c r="M6" s="1"/>
      <x:c r="N6" s="1"/>
      <x:c r="O6" s="1"/>
      <x:c r="P6" s="1"/>
      <x:c r="Q6" s="1"/>
      <x:c r="R6" s="1"/>
      <x:c r="S6" s="1"/>
      <x:c r="T6" s="1"/>
      <x:c r="U6" s="1"/>
      <x:c r="V6" s="1"/>
      <x:c r="W6" s="1"/>
      <x:c r="X6" s="1"/>
      <x:c r="Y6" s="1"/>
      <x:c r="Z6" s="1"/>
    </x:row>
    <x:row r="7">
      <x:c r="A7" s="100" t="n">
        <x:f>A6+1</x:f>
        <x:v>2</x:v>
      </x:c>
      <x:c r="B7" s="171" t="n">
        <x:f>IF(A7&lt;='Your Mortgage'!$C$8*12,EDATE('Your Mortgage'!$C$9,A7-1),"")</x:f>
        <x:v>46266</x:v>
      </x:c>
      <x:c r="C7" s="172" t="n">
        <x:f>IF(B7="","",'Your Mortgage'!$C$11)</x:f>
        <x:v>2054.2210763521375</x:v>
      </x:c>
      <x:c r="D7" s="172" t="n">
        <x:f>IF(B7="","",'Your Mortgage'!$F$6+IF(A7='Your Mortgage'!$F$8,'Your Mortgage'!$F$7,0))</x:f>
        <x:v>250</x:v>
      </x:c>
      <x:c r="E7" s="173"/>
      <x:c r="F7" s="170"/>
      <x:c r="G7" s="170"/>
      <x:c r="H7" s="170"/>
      <x:c r="I7" s="1"/>
      <x:c r="J7" s="1"/>
      <x:c r="K7" s="1"/>
      <x:c r="L7" s="1"/>
      <x:c r="M7" s="1"/>
      <x:c r="N7" s="1"/>
      <x:c r="O7" s="1"/>
      <x:c r="P7" s="1"/>
      <x:c r="Q7" s="1"/>
      <x:c r="R7" s="1"/>
      <x:c r="S7" s="1"/>
      <x:c r="T7" s="1"/>
      <x:c r="U7" s="1"/>
      <x:c r="V7" s="1"/>
      <x:c r="W7" s="1"/>
      <x:c r="X7" s="1"/>
      <x:c r="Y7" s="1"/>
      <x:c r="Z7" s="1"/>
    </x:row>
    <x:row r="8">
      <x:c r="A8" s="100" t="n">
        <x:f>A7+1</x:f>
        <x:v>3</x:v>
      </x:c>
      <x:c r="B8" s="171" t="n">
        <x:f>IF(A8&lt;='Your Mortgage'!$C$8*12,EDATE('Your Mortgage'!$C$9,A8-1),"")</x:f>
        <x:v>46296</x:v>
      </x:c>
      <x:c r="C8" s="172" t="n">
        <x:f>IF(B8="","",'Your Mortgage'!$C$11)</x:f>
        <x:v>2054.2210763521375</x:v>
      </x:c>
      <x:c r="D8" s="172" t="n">
        <x:f>IF(B8="","",'Your Mortgage'!$F$6+IF(A8='Your Mortgage'!$F$8,'Your Mortgage'!$F$7,0))</x:f>
        <x:v>250</x:v>
      </x:c>
      <x:c r="E8" s="173"/>
      <x:c r="F8" s="170"/>
      <x:c r="G8" s="170"/>
      <x:c r="H8" s="170"/>
      <x:c r="I8" s="1"/>
      <x:c r="J8" s="1"/>
      <x:c r="K8" s="1"/>
      <x:c r="L8" s="1"/>
      <x:c r="M8" s="1"/>
      <x:c r="N8" s="1"/>
      <x:c r="O8" s="1"/>
      <x:c r="P8" s="1"/>
      <x:c r="Q8" s="1"/>
      <x:c r="R8" s="1"/>
      <x:c r="S8" s="1"/>
      <x:c r="T8" s="1"/>
      <x:c r="U8" s="1"/>
      <x:c r="V8" s="1"/>
      <x:c r="W8" s="1"/>
      <x:c r="X8" s="1"/>
      <x:c r="Y8" s="1"/>
      <x:c r="Z8" s="1"/>
    </x:row>
    <x:row r="9">
      <x:c r="A9" s="100" t="n">
        <x:f>A8+1</x:f>
        <x:v>4</x:v>
      </x:c>
      <x:c r="B9" s="171" t="n">
        <x:f>IF(A9&lt;='Your Mortgage'!$C$8*12,EDATE('Your Mortgage'!$C$9,A9-1),"")</x:f>
        <x:v>46327</x:v>
      </x:c>
      <x:c r="C9" s="172" t="n">
        <x:f>IF(B9="","",'Your Mortgage'!$C$11)</x:f>
        <x:v>2054.2210763521375</x:v>
      </x:c>
      <x:c r="D9" s="172" t="n">
        <x:f>IF(B9="","",'Your Mortgage'!$F$6+IF(A9='Your Mortgage'!$F$8,'Your Mortgage'!$F$7,0))</x:f>
        <x:v>250</x:v>
      </x:c>
      <x:c r="E9" s="173"/>
      <x:c r="F9" s="170"/>
      <x:c r="G9" s="170"/>
      <x:c r="H9" s="170"/>
      <x:c r="I9" s="1"/>
      <x:c r="J9" s="1"/>
      <x:c r="K9" s="1"/>
      <x:c r="L9" s="1"/>
      <x:c r="M9" s="1"/>
      <x:c r="N9" s="1"/>
      <x:c r="O9" s="1"/>
      <x:c r="P9" s="1"/>
      <x:c r="Q9" s="1"/>
      <x:c r="R9" s="1"/>
      <x:c r="S9" s="1"/>
      <x:c r="T9" s="1"/>
      <x:c r="U9" s="1"/>
      <x:c r="V9" s="1"/>
      <x:c r="W9" s="1"/>
      <x:c r="X9" s="1"/>
      <x:c r="Y9" s="1"/>
      <x:c r="Z9" s="1"/>
    </x:row>
    <x:row r="10">
      <x:c r="A10" s="100" t="n">
        <x:f>A9+1</x:f>
        <x:v>5</x:v>
      </x:c>
      <x:c r="B10" s="171" t="n">
        <x:f>IF(A10&lt;='Your Mortgage'!$C$8*12,EDATE('Your Mortgage'!$C$9,A10-1),"")</x:f>
        <x:v>46357</x:v>
      </x:c>
      <x:c r="C10" s="172" t="n">
        <x:f>IF(B10="","",'Your Mortgage'!$C$11)</x:f>
        <x:v>2054.2210763521375</x:v>
      </x:c>
      <x:c r="D10" s="172" t="n">
        <x:f>IF(B10="","",'Your Mortgage'!$F$6+IF(A10='Your Mortgage'!$F$8,'Your Mortgage'!$F$7,0))</x:f>
        <x:v>250</x:v>
      </x:c>
      <x:c r="E10" s="173"/>
      <x:c r="F10" s="170"/>
      <x:c r="G10" s="170"/>
      <x:c r="H10" s="170"/>
      <x:c r="I10" s="1"/>
      <x:c r="J10" s="1"/>
      <x:c r="K10" s="1"/>
      <x:c r="L10" s="1"/>
      <x:c r="M10" s="1"/>
      <x:c r="N10" s="1"/>
      <x:c r="O10" s="1"/>
      <x:c r="P10" s="1"/>
      <x:c r="Q10" s="1"/>
      <x:c r="R10" s="1"/>
      <x:c r="S10" s="1"/>
      <x:c r="T10" s="1"/>
      <x:c r="U10" s="1"/>
      <x:c r="V10" s="1"/>
      <x:c r="W10" s="1"/>
      <x:c r="X10" s="1"/>
      <x:c r="Y10" s="1"/>
      <x:c r="Z10" s="1"/>
    </x:row>
    <x:row r="11">
      <x:c r="A11" s="100" t="n">
        <x:f>A10+1</x:f>
        <x:v>6</x:v>
      </x:c>
      <x:c r="B11" s="171" t="n">
        <x:f>IF(A11&lt;='Your Mortgage'!$C$8*12,EDATE('Your Mortgage'!$C$9,A11-1),"")</x:f>
        <x:v>46388</x:v>
      </x:c>
      <x:c r="C11" s="172" t="n">
        <x:f>IF(B11="","",'Your Mortgage'!$C$11)</x:f>
        <x:v>2054.2210763521375</x:v>
      </x:c>
      <x:c r="D11" s="172" t="n">
        <x:f>IF(B11="","",'Your Mortgage'!$F$6+IF(A11='Your Mortgage'!$F$8,'Your Mortgage'!$F$7,0))</x:f>
        <x:v>250</x:v>
      </x:c>
      <x:c r="E11" s="173"/>
      <x:c r="F11" s="170"/>
      <x:c r="G11" s="170"/>
      <x:c r="H11" s="170"/>
      <x:c r="I11" s="1"/>
      <x:c r="J11" s="1"/>
      <x:c r="K11" s="1"/>
      <x:c r="L11" s="1"/>
      <x:c r="M11" s="1"/>
      <x:c r="N11" s="1"/>
      <x:c r="O11" s="1"/>
      <x:c r="P11" s="1"/>
      <x:c r="Q11" s="1"/>
      <x:c r="R11" s="1"/>
      <x:c r="S11" s="1"/>
      <x:c r="T11" s="1"/>
      <x:c r="U11" s="1"/>
      <x:c r="V11" s="1"/>
      <x:c r="W11" s="1"/>
      <x:c r="X11" s="1"/>
      <x:c r="Y11" s="1"/>
      <x:c r="Z11" s="1"/>
    </x:row>
    <x:row r="12">
      <x:c r="A12" s="100" t="n">
        <x:f>A11+1</x:f>
        <x:v>7</x:v>
      </x:c>
      <x:c r="B12" s="171" t="n">
        <x:f>IF(A12&lt;='Your Mortgage'!$C$8*12,EDATE('Your Mortgage'!$C$9,A12-1),"")</x:f>
        <x:v>46419</x:v>
      </x:c>
      <x:c r="C12" s="172" t="n">
        <x:f>IF(B12="","",'Your Mortgage'!$C$11)</x:f>
        <x:v>2054.2210763521375</x:v>
      </x:c>
      <x:c r="D12" s="172" t="n">
        <x:f>IF(B12="","",'Your Mortgage'!$F$6+IF(A12='Your Mortgage'!$F$8,'Your Mortgage'!$F$7,0))</x:f>
        <x:v>250</x:v>
      </x:c>
      <x:c r="E12" s="173"/>
      <x:c r="F12" s="170"/>
      <x:c r="G12" s="170"/>
      <x:c r="H12" s="170"/>
      <x:c r="I12" s="1"/>
      <x:c r="J12" s="1"/>
      <x:c r="K12" s="1"/>
      <x:c r="L12" s="1"/>
      <x:c r="M12" s="1"/>
      <x:c r="N12" s="1"/>
      <x:c r="O12" s="1"/>
      <x:c r="P12" s="1"/>
      <x:c r="Q12" s="1"/>
      <x:c r="R12" s="1"/>
      <x:c r="S12" s="1"/>
      <x:c r="T12" s="1"/>
      <x:c r="U12" s="1"/>
      <x:c r="V12" s="1"/>
      <x:c r="W12" s="1"/>
      <x:c r="X12" s="1"/>
      <x:c r="Y12" s="1"/>
      <x:c r="Z12" s="1"/>
    </x:row>
    <x:row r="13">
      <x:c r="A13" s="100" t="n">
        <x:f>A12+1</x:f>
        <x:v>8</x:v>
      </x:c>
      <x:c r="B13" s="171" t="n">
        <x:f>IF(A13&lt;='Your Mortgage'!$C$8*12,EDATE('Your Mortgage'!$C$9,A13-1),"")</x:f>
        <x:v>46447</x:v>
      </x:c>
      <x:c r="C13" s="172" t="n">
        <x:f>IF(B13="","",'Your Mortgage'!$C$11)</x:f>
        <x:v>2054.2210763521375</x:v>
      </x:c>
      <x:c r="D13" s="172" t="n">
        <x:f>IF(B13="","",'Your Mortgage'!$F$6+IF(A13='Your Mortgage'!$F$8,'Your Mortgage'!$F$7,0))</x:f>
        <x:v>250</x:v>
      </x:c>
      <x:c r="E13" s="173"/>
      <x:c r="F13" s="170"/>
      <x:c r="G13" s="170"/>
      <x:c r="H13" s="170"/>
      <x:c r="I13" s="1"/>
      <x:c r="J13" s="1"/>
      <x:c r="K13" s="1"/>
      <x:c r="L13" s="1"/>
      <x:c r="M13" s="1"/>
      <x:c r="N13" s="1"/>
      <x:c r="O13" s="1"/>
      <x:c r="P13" s="1"/>
      <x:c r="Q13" s="1"/>
      <x:c r="R13" s="1"/>
      <x:c r="S13" s="1"/>
      <x:c r="T13" s="1"/>
      <x:c r="U13" s="1"/>
      <x:c r="V13" s="1"/>
      <x:c r="W13" s="1"/>
      <x:c r="X13" s="1"/>
      <x:c r="Y13" s="1"/>
      <x:c r="Z13" s="1"/>
    </x:row>
    <x:row r="14">
      <x:c r="A14" s="100" t="n">
        <x:f>A13+1</x:f>
        <x:v>9</x:v>
      </x:c>
      <x:c r="B14" s="171" t="n">
        <x:f>IF(A14&lt;='Your Mortgage'!$C$8*12,EDATE('Your Mortgage'!$C$9,A14-1),"")</x:f>
        <x:v>46478</x:v>
      </x:c>
      <x:c r="C14" s="172" t="n">
        <x:f>IF(B14="","",'Your Mortgage'!$C$11)</x:f>
        <x:v>2054.2210763521375</x:v>
      </x:c>
      <x:c r="D14" s="172" t="n">
        <x:f>IF(B14="","",'Your Mortgage'!$F$6+IF(A14='Your Mortgage'!$F$8,'Your Mortgage'!$F$7,0))</x:f>
        <x:v>250</x:v>
      </x:c>
      <x:c r="E14" s="173"/>
      <x:c r="F14" s="170"/>
      <x:c r="G14" s="170"/>
      <x:c r="H14" s="170"/>
      <x:c r="I14" s="1"/>
      <x:c r="J14" s="1"/>
      <x:c r="K14" s="1"/>
      <x:c r="L14" s="1"/>
      <x:c r="M14" s="1"/>
      <x:c r="N14" s="1"/>
      <x:c r="O14" s="1"/>
      <x:c r="P14" s="1"/>
      <x:c r="Q14" s="1"/>
      <x:c r="R14" s="1"/>
      <x:c r="S14" s="1"/>
      <x:c r="T14" s="1"/>
      <x:c r="U14" s="1"/>
      <x:c r="V14" s="1"/>
      <x:c r="W14" s="1"/>
      <x:c r="X14" s="1"/>
      <x:c r="Y14" s="1"/>
      <x:c r="Z14" s="1"/>
    </x:row>
    <x:row r="15">
      <x:c r="A15" s="100" t="n">
        <x:f>A14+1</x:f>
        <x:v>10</x:v>
      </x:c>
      <x:c r="B15" s="171" t="n">
        <x:f>IF(A15&lt;='Your Mortgage'!$C$8*12,EDATE('Your Mortgage'!$C$9,A15-1),"")</x:f>
        <x:v>46508</x:v>
      </x:c>
      <x:c r="C15" s="172" t="n">
        <x:f>IF(B15="","",'Your Mortgage'!$C$11)</x:f>
        <x:v>2054.2210763521375</x:v>
      </x:c>
      <x:c r="D15" s="172" t="n">
        <x:f>IF(B15="","",'Your Mortgage'!$F$6+IF(A15='Your Mortgage'!$F$8,'Your Mortgage'!$F$7,0))</x:f>
        <x:v>250</x:v>
      </x:c>
      <x:c r="E15" s="173"/>
      <x:c r="F15" s="170"/>
      <x:c r="G15" s="170"/>
      <x:c r="H15" s="170"/>
      <x:c r="I15" s="1"/>
      <x:c r="J15" s="1"/>
      <x:c r="K15" s="1"/>
      <x:c r="L15" s="1"/>
      <x:c r="M15" s="1"/>
      <x:c r="N15" s="1"/>
      <x:c r="O15" s="1"/>
      <x:c r="P15" s="1"/>
      <x:c r="Q15" s="1"/>
      <x:c r="R15" s="1"/>
      <x:c r="S15" s="1"/>
      <x:c r="T15" s="1"/>
      <x:c r="U15" s="1"/>
      <x:c r="V15" s="1"/>
      <x:c r="W15" s="1"/>
      <x:c r="X15" s="1"/>
      <x:c r="Y15" s="1"/>
      <x:c r="Z15" s="1"/>
    </x:row>
    <x:row r="16">
      <x:c r="A16" s="100" t="n">
        <x:f>A15+1</x:f>
        <x:v>11</x:v>
      </x:c>
      <x:c r="B16" s="171" t="n">
        <x:f>IF(A16&lt;='Your Mortgage'!$C$8*12,EDATE('Your Mortgage'!$C$9,A16-1),"")</x:f>
        <x:v>46539</x:v>
      </x:c>
      <x:c r="C16" s="172" t="n">
        <x:f>IF(B16="","",'Your Mortgage'!$C$11)</x:f>
        <x:v>2054.2210763521375</x:v>
      </x:c>
      <x:c r="D16" s="172" t="n">
        <x:f>IF(B16="","",'Your Mortgage'!$F$6+IF(A16='Your Mortgage'!$F$8,'Your Mortgage'!$F$7,0))</x:f>
        <x:v>250</x:v>
      </x:c>
      <x:c r="E16" s="173"/>
      <x:c r="F16" s="170"/>
      <x:c r="G16" s="170"/>
      <x:c r="H16" s="170"/>
      <x:c r="I16" s="1"/>
      <x:c r="J16" s="1"/>
      <x:c r="K16" s="1"/>
      <x:c r="L16" s="1"/>
      <x:c r="M16" s="1"/>
      <x:c r="N16" s="1"/>
      <x:c r="O16" s="1"/>
      <x:c r="P16" s="1"/>
      <x:c r="Q16" s="1"/>
      <x:c r="R16" s="1"/>
      <x:c r="S16" s="1"/>
      <x:c r="T16" s="1"/>
      <x:c r="U16" s="1"/>
      <x:c r="V16" s="1"/>
      <x:c r="W16" s="1"/>
      <x:c r="X16" s="1"/>
      <x:c r="Y16" s="1"/>
      <x:c r="Z16" s="1"/>
    </x:row>
    <x:row r="17">
      <x:c r="A17" s="100" t="n">
        <x:f>A16+1</x:f>
        <x:v>12</x:v>
      </x:c>
      <x:c r="B17" s="171" t="n">
        <x:f>IF(A17&lt;='Your Mortgage'!$C$8*12,EDATE('Your Mortgage'!$C$9,A17-1),"")</x:f>
        <x:v>46569</x:v>
      </x:c>
      <x:c r="C17" s="172" t="n">
        <x:f>IF(B17="","",'Your Mortgage'!$C$11)</x:f>
        <x:v>2054.2210763521375</x:v>
      </x:c>
      <x:c r="D17" s="172" t="n">
        <x:f>IF(B17="","",'Your Mortgage'!$F$6+IF(A17='Your Mortgage'!$F$8,'Your Mortgage'!$F$7,0))</x:f>
        <x:v>5250</x:v>
      </x:c>
      <x:c r="E17" s="173"/>
      <x:c r="F17" s="170"/>
      <x:c r="G17" s="170"/>
      <x:c r="H17" s="170"/>
      <x:c r="I17" s="1"/>
      <x:c r="J17" s="1"/>
      <x:c r="K17" s="1"/>
      <x:c r="L17" s="1"/>
      <x:c r="M17" s="1"/>
      <x:c r="N17" s="1"/>
      <x:c r="O17" s="1"/>
      <x:c r="P17" s="1"/>
      <x:c r="Q17" s="1"/>
      <x:c r="R17" s="1"/>
      <x:c r="S17" s="1"/>
      <x:c r="T17" s="1"/>
      <x:c r="U17" s="1"/>
      <x:c r="V17" s="1"/>
      <x:c r="W17" s="1"/>
      <x:c r="X17" s="1"/>
      <x:c r="Y17" s="1"/>
      <x:c r="Z17" s="1"/>
    </x:row>
    <x:row r="18">
      <x:c r="A18" s="100" t="n">
        <x:f>A17+1</x:f>
        <x:v>13</x:v>
      </x:c>
      <x:c r="B18" s="171" t="n">
        <x:f>IF(A18&lt;='Your Mortgage'!$C$8*12,EDATE('Your Mortgage'!$C$9,A18-1),"")</x:f>
        <x:v>46600</x:v>
      </x:c>
      <x:c r="C18" s="172" t="n">
        <x:f>IF(B18="","",'Your Mortgage'!$C$11)</x:f>
        <x:v>2054.2210763521375</x:v>
      </x:c>
      <x:c r="D18" s="172" t="n">
        <x:f>IF(B18="","",'Your Mortgage'!$F$6+IF(A18='Your Mortgage'!$F$8,'Your Mortgage'!$F$7,0))</x:f>
        <x:v>250</x:v>
      </x:c>
      <x:c r="E18" s="173"/>
      <x:c r="F18" s="170"/>
      <x:c r="G18" s="170"/>
      <x:c r="H18" s="170"/>
      <x:c r="I18" s="1"/>
      <x:c r="J18" s="1"/>
      <x:c r="K18" s="1"/>
      <x:c r="L18" s="1"/>
      <x:c r="M18" s="1"/>
      <x:c r="N18" s="1"/>
      <x:c r="O18" s="1"/>
      <x:c r="P18" s="1"/>
      <x:c r="Q18" s="1"/>
      <x:c r="R18" s="1"/>
      <x:c r="S18" s="1"/>
      <x:c r="T18" s="1"/>
      <x:c r="U18" s="1"/>
      <x:c r="V18" s="1"/>
      <x:c r="W18" s="1"/>
      <x:c r="X18" s="1"/>
      <x:c r="Y18" s="1"/>
      <x:c r="Z18" s="1"/>
    </x:row>
    <x:row r="19">
      <x:c r="A19" s="100" t="n">
        <x:f>A18+1</x:f>
        <x:v>14</x:v>
      </x:c>
      <x:c r="B19" s="171" t="n">
        <x:f>IF(A19&lt;='Your Mortgage'!$C$8*12,EDATE('Your Mortgage'!$C$9,A19-1),"")</x:f>
        <x:v>46631</x:v>
      </x:c>
      <x:c r="C19" s="172" t="n">
        <x:f>IF(B19="","",'Your Mortgage'!$C$11)</x:f>
        <x:v>2054.2210763521375</x:v>
      </x:c>
      <x:c r="D19" s="172" t="n">
        <x:f>IF(B19="","",'Your Mortgage'!$F$6+IF(A19='Your Mortgage'!$F$8,'Your Mortgage'!$F$7,0))</x:f>
        <x:v>250</x:v>
      </x:c>
      <x:c r="E19" s="173"/>
      <x:c r="F19" s="170"/>
      <x:c r="G19" s="170"/>
      <x:c r="H19" s="170"/>
      <x:c r="I19" s="1"/>
      <x:c r="J19" s="1"/>
      <x:c r="K19" s="1"/>
      <x:c r="L19" s="1"/>
      <x:c r="M19" s="1"/>
      <x:c r="N19" s="1"/>
      <x:c r="O19" s="1"/>
      <x:c r="P19" s="1"/>
      <x:c r="Q19" s="1"/>
      <x:c r="R19" s="1"/>
      <x:c r="S19" s="1"/>
      <x:c r="T19" s="1"/>
      <x:c r="U19" s="1"/>
      <x:c r="V19" s="1"/>
      <x:c r="W19" s="1"/>
      <x:c r="X19" s="1"/>
      <x:c r="Y19" s="1"/>
      <x:c r="Z19" s="1"/>
    </x:row>
    <x:row r="20">
      <x:c r="A20" s="100" t="n">
        <x:f>A19+1</x:f>
        <x:v>15</x:v>
      </x:c>
      <x:c r="B20" s="171" t="n">
        <x:f>IF(A20&lt;='Your Mortgage'!$C$8*12,EDATE('Your Mortgage'!$C$9,A20-1),"")</x:f>
        <x:v>46661</x:v>
      </x:c>
      <x:c r="C20" s="172" t="n">
        <x:f>IF(B20="","",'Your Mortgage'!$C$11)</x:f>
        <x:v>2054.2210763521375</x:v>
      </x:c>
      <x:c r="D20" s="172" t="n">
        <x:f>IF(B20="","",'Your Mortgage'!$F$6+IF(A20='Your Mortgage'!$F$8,'Your Mortgage'!$F$7,0))</x:f>
        <x:v>250</x:v>
      </x:c>
      <x:c r="E20" s="173"/>
      <x:c r="F20" s="170"/>
      <x:c r="G20" s="170"/>
      <x:c r="H20" s="170"/>
      <x:c r="I20" s="1"/>
      <x:c r="J20" s="1"/>
      <x:c r="K20" s="1"/>
      <x:c r="L20" s="1"/>
      <x:c r="M20" s="1"/>
      <x:c r="N20" s="1"/>
      <x:c r="O20" s="1"/>
      <x:c r="P20" s="1"/>
      <x:c r="Q20" s="1"/>
      <x:c r="R20" s="1"/>
      <x:c r="S20" s="1"/>
      <x:c r="T20" s="1"/>
      <x:c r="U20" s="1"/>
      <x:c r="V20" s="1"/>
      <x:c r="W20" s="1"/>
      <x:c r="X20" s="1"/>
      <x:c r="Y20" s="1"/>
      <x:c r="Z20" s="1"/>
    </x:row>
    <x:row r="21">
      <x:c r="A21" s="100" t="n">
        <x:f>A20+1</x:f>
        <x:v>16</x:v>
      </x:c>
      <x:c r="B21" s="171" t="n">
        <x:f>IF(A21&lt;='Your Mortgage'!$C$8*12,EDATE('Your Mortgage'!$C$9,A21-1),"")</x:f>
        <x:v>46692</x:v>
      </x:c>
      <x:c r="C21" s="172" t="n">
        <x:f>IF(B21="","",'Your Mortgage'!$C$11)</x:f>
        <x:v>2054.2210763521375</x:v>
      </x:c>
      <x:c r="D21" s="172" t="n">
        <x:f>IF(B21="","",'Your Mortgage'!$F$6+IF(A21='Your Mortgage'!$F$8,'Your Mortgage'!$F$7,0))</x:f>
        <x:v>250</x:v>
      </x:c>
      <x:c r="E21" s="173"/>
      <x:c r="F21" s="170"/>
      <x:c r="G21" s="170"/>
      <x:c r="H21" s="170"/>
      <x:c r="I21" s="1"/>
      <x:c r="J21" s="1"/>
      <x:c r="K21" s="1"/>
      <x:c r="L21" s="1"/>
      <x:c r="M21" s="1"/>
      <x:c r="N21" s="1"/>
      <x:c r="O21" s="1"/>
      <x:c r="P21" s="1"/>
      <x:c r="Q21" s="1"/>
      <x:c r="R21" s="1"/>
      <x:c r="S21" s="1"/>
      <x:c r="T21" s="1"/>
      <x:c r="U21" s="1"/>
      <x:c r="V21" s="1"/>
      <x:c r="W21" s="1"/>
      <x:c r="X21" s="1"/>
      <x:c r="Y21" s="1"/>
      <x:c r="Z21" s="1"/>
    </x:row>
    <x:row r="22">
      <x:c r="A22" s="100" t="n">
        <x:f>A21+1</x:f>
        <x:v>17</x:v>
      </x:c>
      <x:c r="B22" s="171" t="n">
        <x:f>IF(A22&lt;='Your Mortgage'!$C$8*12,EDATE('Your Mortgage'!$C$9,A22-1),"")</x:f>
        <x:v>46722</x:v>
      </x:c>
      <x:c r="C22" s="172" t="n">
        <x:f>IF(B22="","",'Your Mortgage'!$C$11)</x:f>
        <x:v>2054.2210763521375</x:v>
      </x:c>
      <x:c r="D22" s="172" t="n">
        <x:f>IF(B22="","",'Your Mortgage'!$F$6+IF(A22='Your Mortgage'!$F$8,'Your Mortgage'!$F$7,0))</x:f>
        <x:v>250</x:v>
      </x:c>
      <x:c r="E22" s="173"/>
      <x:c r="F22" s="170"/>
      <x:c r="G22" s="170"/>
      <x:c r="H22" s="170"/>
      <x:c r="I22" s="1"/>
      <x:c r="J22" s="1"/>
      <x:c r="K22" s="1"/>
      <x:c r="L22" s="1"/>
      <x:c r="M22" s="1"/>
      <x:c r="N22" s="1"/>
      <x:c r="O22" s="1"/>
      <x:c r="P22" s="1"/>
      <x:c r="Q22" s="1"/>
      <x:c r="R22" s="1"/>
      <x:c r="S22" s="1"/>
      <x:c r="T22" s="1"/>
      <x:c r="U22" s="1"/>
      <x:c r="V22" s="1"/>
      <x:c r="W22" s="1"/>
      <x:c r="X22" s="1"/>
      <x:c r="Y22" s="1"/>
      <x:c r="Z22" s="1"/>
    </x:row>
    <x:row r="23">
      <x:c r="A23" s="100" t="n">
        <x:f>A22+1</x:f>
        <x:v>18</x:v>
      </x:c>
      <x:c r="B23" s="171" t="n">
        <x:f>IF(A23&lt;='Your Mortgage'!$C$8*12,EDATE('Your Mortgage'!$C$9,A23-1),"")</x:f>
        <x:v>46753</x:v>
      </x:c>
      <x:c r="C23" s="172" t="n">
        <x:f>IF(B23="","",'Your Mortgage'!$C$11)</x:f>
        <x:v>2054.2210763521375</x:v>
      </x:c>
      <x:c r="D23" s="172" t="n">
        <x:f>IF(B23="","",'Your Mortgage'!$F$6+IF(A23='Your Mortgage'!$F$8,'Your Mortgage'!$F$7,0))</x:f>
        <x:v>250</x:v>
      </x:c>
      <x:c r="E23" s="173"/>
      <x:c r="F23" s="170"/>
      <x:c r="G23" s="170"/>
      <x:c r="H23" s="170"/>
      <x:c r="I23" s="1"/>
      <x:c r="J23" s="1"/>
      <x:c r="K23" s="1"/>
      <x:c r="L23" s="1"/>
      <x:c r="M23" s="1"/>
      <x:c r="N23" s="1"/>
      <x:c r="O23" s="1"/>
      <x:c r="P23" s="1"/>
      <x:c r="Q23" s="1"/>
      <x:c r="R23" s="1"/>
      <x:c r="S23" s="1"/>
      <x:c r="T23" s="1"/>
      <x:c r="U23" s="1"/>
      <x:c r="V23" s="1"/>
      <x:c r="W23" s="1"/>
      <x:c r="X23" s="1"/>
      <x:c r="Y23" s="1"/>
      <x:c r="Z23" s="1"/>
    </x:row>
    <x:row r="24">
      <x:c r="A24" s="100" t="n">
        <x:f>A23+1</x:f>
        <x:v>19</x:v>
      </x:c>
      <x:c r="B24" s="171" t="n">
        <x:f>IF(A24&lt;='Your Mortgage'!$C$8*12,EDATE('Your Mortgage'!$C$9,A24-1),"")</x:f>
        <x:v>46784</x:v>
      </x:c>
      <x:c r="C24" s="172" t="n">
        <x:f>IF(B24="","",'Your Mortgage'!$C$11)</x:f>
        <x:v>2054.2210763521375</x:v>
      </x:c>
      <x:c r="D24" s="172" t="n">
        <x:f>IF(B24="","",'Your Mortgage'!$F$6+IF(A24='Your Mortgage'!$F$8,'Your Mortgage'!$F$7,0))</x:f>
        <x:v>250</x:v>
      </x:c>
      <x:c r="E24" s="173"/>
      <x:c r="F24" s="170"/>
      <x:c r="G24" s="170"/>
      <x:c r="H24" s="170"/>
      <x:c r="I24" s="1"/>
      <x:c r="J24" s="1"/>
      <x:c r="K24" s="1"/>
      <x:c r="L24" s="1"/>
      <x:c r="M24" s="1"/>
      <x:c r="N24" s="1"/>
      <x:c r="O24" s="1"/>
      <x:c r="P24" s="1"/>
      <x:c r="Q24" s="1"/>
      <x:c r="R24" s="1"/>
      <x:c r="S24" s="1"/>
      <x:c r="T24" s="1"/>
      <x:c r="U24" s="1"/>
      <x:c r="V24" s="1"/>
      <x:c r="W24" s="1"/>
      <x:c r="X24" s="1"/>
      <x:c r="Y24" s="1"/>
      <x:c r="Z24" s="1"/>
    </x:row>
    <x:row r="25">
      <x:c r="A25" s="100" t="n">
        <x:f>A24+1</x:f>
        <x:v>20</x:v>
      </x:c>
      <x:c r="B25" s="171" t="n">
        <x:f>IF(A25&lt;='Your Mortgage'!$C$8*12,EDATE('Your Mortgage'!$C$9,A25-1),"")</x:f>
        <x:v>46813</x:v>
      </x:c>
      <x:c r="C25" s="172" t="n">
        <x:f>IF(B25="","",'Your Mortgage'!$C$11)</x:f>
        <x:v>2054.2210763521375</x:v>
      </x:c>
      <x:c r="D25" s="172" t="n">
        <x:f>IF(B25="","",'Your Mortgage'!$F$6+IF(A25='Your Mortgage'!$F$8,'Your Mortgage'!$F$7,0))</x:f>
        <x:v>250</x:v>
      </x:c>
      <x:c r="E25" s="173"/>
      <x:c r="F25" s="170"/>
      <x:c r="G25" s="170"/>
      <x:c r="H25" s="170"/>
      <x:c r="I25" s="1"/>
      <x:c r="J25" s="1"/>
      <x:c r="K25" s="1"/>
      <x:c r="L25" s="1"/>
      <x:c r="M25" s="1"/>
      <x:c r="N25" s="1"/>
      <x:c r="O25" s="1"/>
      <x:c r="P25" s="1"/>
      <x:c r="Q25" s="1"/>
      <x:c r="R25" s="1"/>
      <x:c r="S25" s="1"/>
      <x:c r="T25" s="1"/>
      <x:c r="U25" s="1"/>
      <x:c r="V25" s="1"/>
      <x:c r="W25" s="1"/>
      <x:c r="X25" s="1"/>
      <x:c r="Y25" s="1"/>
      <x:c r="Z25" s="1"/>
    </x:row>
    <x:row r="26">
      <x:c r="A26" s="100" t="n">
        <x:f>A25+1</x:f>
        <x:v>21</x:v>
      </x:c>
      <x:c r="B26" s="171" t="n">
        <x:f>IF(A26&lt;='Your Mortgage'!$C$8*12,EDATE('Your Mortgage'!$C$9,A26-1),"")</x:f>
        <x:v>46844</x:v>
      </x:c>
      <x:c r="C26" s="172" t="n">
        <x:f>IF(B26="","",'Your Mortgage'!$C$11)</x:f>
        <x:v>2054.2210763521375</x:v>
      </x:c>
      <x:c r="D26" s="172" t="n">
        <x:f>IF(B26="","",'Your Mortgage'!$F$6+IF(A26='Your Mortgage'!$F$8,'Your Mortgage'!$F$7,0))</x:f>
        <x:v>250</x:v>
      </x:c>
      <x:c r="E26" s="173"/>
      <x:c r="F26" s="170"/>
      <x:c r="G26" s="170"/>
      <x:c r="H26" s="170"/>
      <x:c r="I26" s="1"/>
      <x:c r="J26" s="1"/>
      <x:c r="K26" s="1"/>
      <x:c r="L26" s="1"/>
      <x:c r="M26" s="1"/>
      <x:c r="N26" s="1"/>
      <x:c r="O26" s="1"/>
      <x:c r="P26" s="1"/>
      <x:c r="Q26" s="1"/>
      <x:c r="R26" s="1"/>
      <x:c r="S26" s="1"/>
      <x:c r="T26" s="1"/>
      <x:c r="U26" s="1"/>
      <x:c r="V26" s="1"/>
      <x:c r="W26" s="1"/>
      <x:c r="X26" s="1"/>
      <x:c r="Y26" s="1"/>
      <x:c r="Z26" s="1"/>
    </x:row>
    <x:row r="27">
      <x:c r="A27" s="100" t="n">
        <x:f>A26+1</x:f>
        <x:v>22</x:v>
      </x:c>
      <x:c r="B27" s="171" t="n">
        <x:f>IF(A27&lt;='Your Mortgage'!$C$8*12,EDATE('Your Mortgage'!$C$9,A27-1),"")</x:f>
        <x:v>46874</x:v>
      </x:c>
      <x:c r="C27" s="172" t="n">
        <x:f>IF(B27="","",'Your Mortgage'!$C$11)</x:f>
        <x:v>2054.2210763521375</x:v>
      </x:c>
      <x:c r="D27" s="172" t="n">
        <x:f>IF(B27="","",'Your Mortgage'!$F$6+IF(A27='Your Mortgage'!$F$8,'Your Mortgage'!$F$7,0))</x:f>
        <x:v>250</x:v>
      </x:c>
      <x:c r="E27" s="173"/>
      <x:c r="F27" s="170"/>
      <x:c r="G27" s="170"/>
      <x:c r="H27" s="170"/>
      <x:c r="I27" s="1"/>
      <x:c r="J27" s="1"/>
      <x:c r="K27" s="1"/>
      <x:c r="L27" s="1"/>
      <x:c r="M27" s="1"/>
      <x:c r="N27" s="1"/>
      <x:c r="O27" s="1"/>
      <x:c r="P27" s="1"/>
      <x:c r="Q27" s="1"/>
      <x:c r="R27" s="1"/>
      <x:c r="S27" s="1"/>
      <x:c r="T27" s="1"/>
      <x:c r="U27" s="1"/>
      <x:c r="V27" s="1"/>
      <x:c r="W27" s="1"/>
      <x:c r="X27" s="1"/>
      <x:c r="Y27" s="1"/>
      <x:c r="Z27" s="1"/>
    </x:row>
    <x:row r="28">
      <x:c r="A28" s="100" t="n">
        <x:f>A27+1</x:f>
        <x:v>23</x:v>
      </x:c>
      <x:c r="B28" s="171" t="n">
        <x:f>IF(A28&lt;='Your Mortgage'!$C$8*12,EDATE('Your Mortgage'!$C$9,A28-1),"")</x:f>
        <x:v>46905</x:v>
      </x:c>
      <x:c r="C28" s="172" t="n">
        <x:f>IF(B28="","",'Your Mortgage'!$C$11)</x:f>
        <x:v>2054.2210763521375</x:v>
      </x:c>
      <x:c r="D28" s="172" t="n">
        <x:f>IF(B28="","",'Your Mortgage'!$F$6+IF(A28='Your Mortgage'!$F$8,'Your Mortgage'!$F$7,0))</x:f>
        <x:v>250</x:v>
      </x:c>
      <x:c r="E28" s="173"/>
      <x:c r="F28" s="170"/>
      <x:c r="G28" s="170"/>
      <x:c r="H28" s="170"/>
      <x:c r="I28" s="1"/>
      <x:c r="J28" s="1"/>
      <x:c r="K28" s="1"/>
      <x:c r="L28" s="1"/>
      <x:c r="M28" s="1"/>
      <x:c r="N28" s="1"/>
      <x:c r="O28" s="1"/>
      <x:c r="P28" s="1"/>
      <x:c r="Q28" s="1"/>
      <x:c r="R28" s="1"/>
      <x:c r="S28" s="1"/>
      <x:c r="T28" s="1"/>
      <x:c r="U28" s="1"/>
      <x:c r="V28" s="1"/>
      <x:c r="W28" s="1"/>
      <x:c r="X28" s="1"/>
      <x:c r="Y28" s="1"/>
      <x:c r="Z28" s="1"/>
    </x:row>
    <x:row r="29">
      <x:c r="A29" s="100" t="n">
        <x:f>A28+1</x:f>
        <x:v>24</x:v>
      </x:c>
      <x:c r="B29" s="171" t="n">
        <x:f>IF(A29&lt;='Your Mortgage'!$C$8*12,EDATE('Your Mortgage'!$C$9,A29-1),"")</x:f>
        <x:v>46935</x:v>
      </x:c>
      <x:c r="C29" s="172" t="n">
        <x:f>IF(B29="","",'Your Mortgage'!$C$11)</x:f>
        <x:v>2054.2210763521375</x:v>
      </x:c>
      <x:c r="D29" s="172" t="n">
        <x:f>IF(B29="","",'Your Mortgage'!$F$6+IF(A29='Your Mortgage'!$F$8,'Your Mortgage'!$F$7,0))</x:f>
        <x:v>250</x:v>
      </x:c>
      <x:c r="E29" s="173"/>
      <x:c r="F29" s="170"/>
      <x:c r="G29" s="170"/>
      <x:c r="H29" s="170"/>
      <x:c r="I29" s="1"/>
      <x:c r="J29" s="1"/>
      <x:c r="K29" s="1"/>
      <x:c r="L29" s="1"/>
      <x:c r="M29" s="1"/>
      <x:c r="N29" s="1"/>
      <x:c r="O29" s="1"/>
      <x:c r="P29" s="1"/>
      <x:c r="Q29" s="1"/>
      <x:c r="R29" s="1"/>
      <x:c r="S29" s="1"/>
      <x:c r="T29" s="1"/>
      <x:c r="U29" s="1"/>
      <x:c r="V29" s="1"/>
      <x:c r="W29" s="1"/>
      <x:c r="X29" s="1"/>
      <x:c r="Y29" s="1"/>
      <x:c r="Z29" s="1"/>
    </x:row>
    <x:row r="30">
      <x:c r="A30" s="100" t="n">
        <x:f>A29+1</x:f>
        <x:v>25</x:v>
      </x:c>
      <x:c r="B30" s="171" t="n">
        <x:f>IF(A30&lt;='Your Mortgage'!$C$8*12,EDATE('Your Mortgage'!$C$9,A30-1),"")</x:f>
        <x:v>46966</x:v>
      </x:c>
      <x:c r="C30" s="172" t="n">
        <x:f>IF(B30="","",'Your Mortgage'!$C$11)</x:f>
        <x:v>2054.2210763521375</x:v>
      </x:c>
      <x:c r="D30" s="172" t="n">
        <x:f>IF(B30="","",'Your Mortgage'!$F$6+IF(A30='Your Mortgage'!$F$8,'Your Mortgage'!$F$7,0))</x:f>
        <x:v>250</x:v>
      </x:c>
      <x:c r="E30" s="173"/>
      <x:c r="F30" s="170"/>
      <x:c r="G30" s="170"/>
      <x:c r="H30" s="170"/>
      <x:c r="I30" s="1"/>
      <x:c r="J30" s="1"/>
      <x:c r="K30" s="1"/>
      <x:c r="L30" s="1"/>
      <x:c r="M30" s="1"/>
      <x:c r="N30" s="1"/>
      <x:c r="O30" s="1"/>
      <x:c r="P30" s="1"/>
      <x:c r="Q30" s="1"/>
      <x:c r="R30" s="1"/>
      <x:c r="S30" s="1"/>
      <x:c r="T30" s="1"/>
      <x:c r="U30" s="1"/>
      <x:c r="V30" s="1"/>
      <x:c r="W30" s="1"/>
      <x:c r="X30" s="1"/>
      <x:c r="Y30" s="1"/>
      <x:c r="Z30" s="1"/>
    </x:row>
    <x:row r="31">
      <x:c r="A31" s="100" t="n">
        <x:f>A30+1</x:f>
        <x:v>26</x:v>
      </x:c>
      <x:c r="B31" s="171" t="n">
        <x:f>IF(A31&lt;='Your Mortgage'!$C$8*12,EDATE('Your Mortgage'!$C$9,A31-1),"")</x:f>
        <x:v>46997</x:v>
      </x:c>
      <x:c r="C31" s="172" t="n">
        <x:f>IF(B31="","",'Your Mortgage'!$C$11)</x:f>
        <x:v>2054.2210763521375</x:v>
      </x:c>
      <x:c r="D31" s="172" t="n">
        <x:f>IF(B31="","",'Your Mortgage'!$F$6+IF(A31='Your Mortgage'!$F$8,'Your Mortgage'!$F$7,0))</x:f>
        <x:v>250</x:v>
      </x:c>
      <x:c r="E31" s="173"/>
      <x:c r="F31" s="170"/>
      <x:c r="G31" s="170"/>
      <x:c r="H31" s="170"/>
      <x:c r="I31" s="1"/>
      <x:c r="J31" s="1"/>
      <x:c r="K31" s="1"/>
      <x:c r="L31" s="1"/>
      <x:c r="M31" s="1"/>
      <x:c r="N31" s="1"/>
      <x:c r="O31" s="1"/>
      <x:c r="P31" s="1"/>
      <x:c r="Q31" s="1"/>
      <x:c r="R31" s="1"/>
      <x:c r="S31" s="1"/>
      <x:c r="T31" s="1"/>
      <x:c r="U31" s="1"/>
      <x:c r="V31" s="1"/>
      <x:c r="W31" s="1"/>
      <x:c r="X31" s="1"/>
      <x:c r="Y31" s="1"/>
      <x:c r="Z31" s="1"/>
    </x:row>
    <x:row r="32">
      <x:c r="A32" s="100" t="n">
        <x:f>A31+1</x:f>
        <x:v>27</x:v>
      </x:c>
      <x:c r="B32" s="171" t="n">
        <x:f>IF(A32&lt;='Your Mortgage'!$C$8*12,EDATE('Your Mortgage'!$C$9,A32-1),"")</x:f>
        <x:v>47027</x:v>
      </x:c>
      <x:c r="C32" s="172" t="n">
        <x:f>IF(B32="","",'Your Mortgage'!$C$11)</x:f>
        <x:v>2054.2210763521375</x:v>
      </x:c>
      <x:c r="D32" s="172" t="n">
        <x:f>IF(B32="","",'Your Mortgage'!$F$6+IF(A32='Your Mortgage'!$F$8,'Your Mortgage'!$F$7,0))</x:f>
        <x:v>250</x:v>
      </x:c>
      <x:c r="E32" s="173"/>
      <x:c r="F32" s="170"/>
      <x:c r="G32" s="170"/>
      <x:c r="H32" s="170"/>
      <x:c r="I32" s="1"/>
      <x:c r="J32" s="1"/>
      <x:c r="K32" s="1"/>
      <x:c r="L32" s="1"/>
      <x:c r="M32" s="1"/>
      <x:c r="N32" s="1"/>
      <x:c r="O32" s="1"/>
      <x:c r="P32" s="1"/>
      <x:c r="Q32" s="1"/>
      <x:c r="R32" s="1"/>
      <x:c r="S32" s="1"/>
      <x:c r="T32" s="1"/>
      <x:c r="U32" s="1"/>
      <x:c r="V32" s="1"/>
      <x:c r="W32" s="1"/>
      <x:c r="X32" s="1"/>
      <x:c r="Y32" s="1"/>
      <x:c r="Z32" s="1"/>
    </x:row>
    <x:row r="33">
      <x:c r="A33" s="100" t="n">
        <x:f>A32+1</x:f>
        <x:v>28</x:v>
      </x:c>
      <x:c r="B33" s="171" t="n">
        <x:f>IF(A33&lt;='Your Mortgage'!$C$8*12,EDATE('Your Mortgage'!$C$9,A33-1),"")</x:f>
        <x:v>47058</x:v>
      </x:c>
      <x:c r="C33" s="172" t="n">
        <x:f>IF(B33="","",'Your Mortgage'!$C$11)</x:f>
        <x:v>2054.2210763521375</x:v>
      </x:c>
      <x:c r="D33" s="172" t="n">
        <x:f>IF(B33="","",'Your Mortgage'!$F$6+IF(A33='Your Mortgage'!$F$8,'Your Mortgage'!$F$7,0))</x:f>
        <x:v>250</x:v>
      </x:c>
      <x:c r="E33" s="173"/>
      <x:c r="F33" s="170"/>
      <x:c r="G33" s="170"/>
      <x:c r="H33" s="170"/>
      <x:c r="I33" s="1"/>
      <x:c r="J33" s="1"/>
      <x:c r="K33" s="1"/>
      <x:c r="L33" s="1"/>
      <x:c r="M33" s="1"/>
      <x:c r="N33" s="1"/>
      <x:c r="O33" s="1"/>
      <x:c r="P33" s="1"/>
      <x:c r="Q33" s="1"/>
      <x:c r="R33" s="1"/>
      <x:c r="S33" s="1"/>
      <x:c r="T33" s="1"/>
      <x:c r="U33" s="1"/>
      <x:c r="V33" s="1"/>
      <x:c r="W33" s="1"/>
      <x:c r="X33" s="1"/>
      <x:c r="Y33" s="1"/>
      <x:c r="Z33" s="1"/>
    </x:row>
    <x:row r="34">
      <x:c r="A34" s="100" t="n">
        <x:f>A33+1</x:f>
        <x:v>29</x:v>
      </x:c>
      <x:c r="B34" s="171" t="n">
        <x:f>IF(A34&lt;='Your Mortgage'!$C$8*12,EDATE('Your Mortgage'!$C$9,A34-1),"")</x:f>
        <x:v>47088</x:v>
      </x:c>
      <x:c r="C34" s="172" t="n">
        <x:f>IF(B34="","",'Your Mortgage'!$C$11)</x:f>
        <x:v>2054.2210763521375</x:v>
      </x:c>
      <x:c r="D34" s="172" t="n">
        <x:f>IF(B34="","",'Your Mortgage'!$F$6+IF(A34='Your Mortgage'!$F$8,'Your Mortgage'!$F$7,0))</x:f>
        <x:v>250</x:v>
      </x:c>
      <x:c r="E34" s="173"/>
      <x:c r="F34" s="170"/>
      <x:c r="G34" s="170"/>
      <x:c r="H34" s="170"/>
      <x:c r="I34" s="1"/>
      <x:c r="J34" s="1"/>
      <x:c r="K34" s="1"/>
      <x:c r="L34" s="1"/>
      <x:c r="M34" s="1"/>
      <x:c r="N34" s="1"/>
      <x:c r="O34" s="1"/>
      <x:c r="P34" s="1"/>
      <x:c r="Q34" s="1"/>
      <x:c r="R34" s="1"/>
      <x:c r="S34" s="1"/>
      <x:c r="T34" s="1"/>
      <x:c r="U34" s="1"/>
      <x:c r="V34" s="1"/>
      <x:c r="W34" s="1"/>
      <x:c r="X34" s="1"/>
      <x:c r="Y34" s="1"/>
      <x:c r="Z34" s="1"/>
    </x:row>
    <x:row r="35">
      <x:c r="A35" s="100" t="n">
        <x:f>A34+1</x:f>
        <x:v>30</x:v>
      </x:c>
      <x:c r="B35" s="171" t="n">
        <x:f>IF(A35&lt;='Your Mortgage'!$C$8*12,EDATE('Your Mortgage'!$C$9,A35-1),"")</x:f>
        <x:v>47119</x:v>
      </x:c>
      <x:c r="C35" s="172" t="n">
        <x:f>IF(B35="","",'Your Mortgage'!$C$11)</x:f>
        <x:v>2054.2210763521375</x:v>
      </x:c>
      <x:c r="D35" s="172" t="n">
        <x:f>IF(B35="","",'Your Mortgage'!$F$6+IF(A35='Your Mortgage'!$F$8,'Your Mortgage'!$F$7,0))</x:f>
        <x:v>250</x:v>
      </x:c>
      <x:c r="E35" s="173"/>
      <x:c r="F35" s="170"/>
      <x:c r="G35" s="170"/>
      <x:c r="H35" s="170"/>
      <x:c r="I35" s="1"/>
      <x:c r="J35" s="1"/>
      <x:c r="K35" s="1"/>
      <x:c r="L35" s="1"/>
      <x:c r="M35" s="1"/>
      <x:c r="N35" s="1"/>
      <x:c r="O35" s="1"/>
      <x:c r="P35" s="1"/>
      <x:c r="Q35" s="1"/>
      <x:c r="R35" s="1"/>
      <x:c r="S35" s="1"/>
      <x:c r="T35" s="1"/>
      <x:c r="U35" s="1"/>
      <x:c r="V35" s="1"/>
      <x:c r="W35" s="1"/>
      <x:c r="X35" s="1"/>
      <x:c r="Y35" s="1"/>
      <x:c r="Z35" s="1"/>
    </x:row>
    <x:row r="36">
      <x:c r="A36" s="100" t="n">
        <x:f>A35+1</x:f>
        <x:v>31</x:v>
      </x:c>
      <x:c r="B36" s="171" t="n">
        <x:f>IF(A36&lt;='Your Mortgage'!$C$8*12,EDATE('Your Mortgage'!$C$9,A36-1),"")</x:f>
        <x:v>47150</x:v>
      </x:c>
      <x:c r="C36" s="172" t="n">
        <x:f>IF(B36="","",'Your Mortgage'!$C$11)</x:f>
        <x:v>2054.2210763521375</x:v>
      </x:c>
      <x:c r="D36" s="172" t="n">
        <x:f>IF(B36="","",'Your Mortgage'!$F$6+IF(A36='Your Mortgage'!$F$8,'Your Mortgage'!$F$7,0))</x:f>
        <x:v>250</x:v>
      </x:c>
      <x:c r="E36" s="173"/>
      <x:c r="F36" s="170"/>
      <x:c r="G36" s="170"/>
      <x:c r="H36" s="170"/>
      <x:c r="I36" s="1"/>
      <x:c r="J36" s="1"/>
      <x:c r="K36" s="1"/>
      <x:c r="L36" s="1"/>
      <x:c r="M36" s="1"/>
      <x:c r="N36" s="1"/>
      <x:c r="O36" s="1"/>
      <x:c r="P36" s="1"/>
      <x:c r="Q36" s="1"/>
      <x:c r="R36" s="1"/>
      <x:c r="S36" s="1"/>
      <x:c r="T36" s="1"/>
      <x:c r="U36" s="1"/>
      <x:c r="V36" s="1"/>
      <x:c r="W36" s="1"/>
      <x:c r="X36" s="1"/>
      <x:c r="Y36" s="1"/>
      <x:c r="Z36" s="1"/>
    </x:row>
    <x:row r="37">
      <x:c r="A37" s="100" t="n">
        <x:f>A36+1</x:f>
        <x:v>32</x:v>
      </x:c>
      <x:c r="B37" s="171" t="n">
        <x:f>IF(A37&lt;='Your Mortgage'!$C$8*12,EDATE('Your Mortgage'!$C$9,A37-1),"")</x:f>
        <x:v>47178</x:v>
      </x:c>
      <x:c r="C37" s="172" t="n">
        <x:f>IF(B37="","",'Your Mortgage'!$C$11)</x:f>
        <x:v>2054.2210763521375</x:v>
      </x:c>
      <x:c r="D37" s="172" t="n">
        <x:f>IF(B37="","",'Your Mortgage'!$F$6+IF(A37='Your Mortgage'!$F$8,'Your Mortgage'!$F$7,0))</x:f>
        <x:v>250</x:v>
      </x:c>
      <x:c r="E37" s="173"/>
      <x:c r="F37" s="170"/>
      <x:c r="G37" s="170"/>
      <x:c r="H37" s="170"/>
      <x:c r="I37" s="1"/>
      <x:c r="J37" s="1"/>
      <x:c r="K37" s="1"/>
      <x:c r="L37" s="1"/>
      <x:c r="M37" s="1"/>
      <x:c r="N37" s="1"/>
      <x:c r="O37" s="1"/>
      <x:c r="P37" s="1"/>
      <x:c r="Q37" s="1"/>
      <x:c r="R37" s="1"/>
      <x:c r="S37" s="1"/>
      <x:c r="T37" s="1"/>
      <x:c r="U37" s="1"/>
      <x:c r="V37" s="1"/>
      <x:c r="W37" s="1"/>
      <x:c r="X37" s="1"/>
      <x:c r="Y37" s="1"/>
      <x:c r="Z37" s="1"/>
    </x:row>
    <x:row r="38">
      <x:c r="A38" s="100" t="n">
        <x:f>A37+1</x:f>
        <x:v>33</x:v>
      </x:c>
      <x:c r="B38" s="171" t="n">
        <x:f>IF(A38&lt;='Your Mortgage'!$C$8*12,EDATE('Your Mortgage'!$C$9,A38-1),"")</x:f>
        <x:v>47209</x:v>
      </x:c>
      <x:c r="C38" s="172" t="n">
        <x:f>IF(B38="","",'Your Mortgage'!$C$11)</x:f>
        <x:v>2054.2210763521375</x:v>
      </x:c>
      <x:c r="D38" s="172" t="n">
        <x:f>IF(B38="","",'Your Mortgage'!$F$6+IF(A38='Your Mortgage'!$F$8,'Your Mortgage'!$F$7,0))</x:f>
        <x:v>250</x:v>
      </x:c>
      <x:c r="E38" s="173"/>
      <x:c r="F38" s="170"/>
      <x:c r="G38" s="170"/>
      <x:c r="H38" s="170"/>
      <x:c r="I38" s="1"/>
      <x:c r="J38" s="1"/>
      <x:c r="K38" s="1"/>
      <x:c r="L38" s="1"/>
      <x:c r="M38" s="1"/>
      <x:c r="N38" s="1"/>
      <x:c r="O38" s="1"/>
      <x:c r="P38" s="1"/>
      <x:c r="Q38" s="1"/>
      <x:c r="R38" s="1"/>
      <x:c r="S38" s="1"/>
      <x:c r="T38" s="1"/>
      <x:c r="U38" s="1"/>
      <x:c r="V38" s="1"/>
      <x:c r="W38" s="1"/>
      <x:c r="X38" s="1"/>
      <x:c r="Y38" s="1"/>
      <x:c r="Z38" s="1"/>
    </x:row>
    <x:row r="39">
      <x:c r="A39" s="100" t="n">
        <x:f>A38+1</x:f>
        <x:v>34</x:v>
      </x:c>
      <x:c r="B39" s="171" t="n">
        <x:f>IF(A39&lt;='Your Mortgage'!$C$8*12,EDATE('Your Mortgage'!$C$9,A39-1),"")</x:f>
        <x:v>47239</x:v>
      </x:c>
      <x:c r="C39" s="172" t="n">
        <x:f>IF(B39="","",'Your Mortgage'!$C$11)</x:f>
        <x:v>2054.2210763521375</x:v>
      </x:c>
      <x:c r="D39" s="172" t="n">
        <x:f>IF(B39="","",'Your Mortgage'!$F$6+IF(A39='Your Mortgage'!$F$8,'Your Mortgage'!$F$7,0))</x:f>
        <x:v>250</x:v>
      </x:c>
      <x:c r="E39" s="173"/>
      <x:c r="F39" s="170"/>
      <x:c r="G39" s="170"/>
      <x:c r="H39" s="170"/>
      <x:c r="I39" s="1"/>
      <x:c r="J39" s="1"/>
      <x:c r="K39" s="1"/>
      <x:c r="L39" s="1"/>
      <x:c r="M39" s="1"/>
      <x:c r="N39" s="1"/>
      <x:c r="O39" s="1"/>
      <x:c r="P39" s="1"/>
      <x:c r="Q39" s="1"/>
      <x:c r="R39" s="1"/>
      <x:c r="S39" s="1"/>
      <x:c r="T39" s="1"/>
      <x:c r="U39" s="1"/>
      <x:c r="V39" s="1"/>
      <x:c r="W39" s="1"/>
      <x:c r="X39" s="1"/>
      <x:c r="Y39" s="1"/>
      <x:c r="Z39" s="1"/>
    </x:row>
    <x:row r="40">
      <x:c r="A40" s="100" t="n">
        <x:f>A39+1</x:f>
        <x:v>35</x:v>
      </x:c>
      <x:c r="B40" s="171" t="n">
        <x:f>IF(A40&lt;='Your Mortgage'!$C$8*12,EDATE('Your Mortgage'!$C$9,A40-1),"")</x:f>
        <x:v>47270</x:v>
      </x:c>
      <x:c r="C40" s="172" t="n">
        <x:f>IF(B40="","",'Your Mortgage'!$C$11)</x:f>
        <x:v>2054.2210763521375</x:v>
      </x:c>
      <x:c r="D40" s="172" t="n">
        <x:f>IF(B40="","",'Your Mortgage'!$F$6+IF(A40='Your Mortgage'!$F$8,'Your Mortgage'!$F$7,0))</x:f>
        <x:v>250</x:v>
      </x:c>
      <x:c r="E40" s="173"/>
      <x:c r="F40" s="170"/>
      <x:c r="G40" s="170"/>
      <x:c r="H40" s="170"/>
      <x:c r="I40" s="1"/>
      <x:c r="J40" s="1"/>
      <x:c r="K40" s="1"/>
      <x:c r="L40" s="1"/>
      <x:c r="M40" s="1"/>
      <x:c r="N40" s="1"/>
      <x:c r="O40" s="1"/>
      <x:c r="P40" s="1"/>
      <x:c r="Q40" s="1"/>
      <x:c r="R40" s="1"/>
      <x:c r="S40" s="1"/>
      <x:c r="T40" s="1"/>
      <x:c r="U40" s="1"/>
      <x:c r="V40" s="1"/>
      <x:c r="W40" s="1"/>
      <x:c r="X40" s="1"/>
      <x:c r="Y40" s="1"/>
      <x:c r="Z40" s="1"/>
    </x:row>
    <x:row r="41">
      <x:c r="A41" s="100" t="n">
        <x:f>A40+1</x:f>
        <x:v>36</x:v>
      </x:c>
      <x:c r="B41" s="171" t="n">
        <x:f>IF(A41&lt;='Your Mortgage'!$C$8*12,EDATE('Your Mortgage'!$C$9,A41-1),"")</x:f>
        <x:v>47300</x:v>
      </x:c>
      <x:c r="C41" s="172" t="n">
        <x:f>IF(B41="","",'Your Mortgage'!$C$11)</x:f>
        <x:v>2054.2210763521375</x:v>
      </x:c>
      <x:c r="D41" s="172" t="n">
        <x:f>IF(B41="","",'Your Mortgage'!$F$6+IF(A41='Your Mortgage'!$F$8,'Your Mortgage'!$F$7,0))</x:f>
        <x:v>250</x:v>
      </x:c>
      <x:c r="E41" s="173"/>
      <x:c r="F41" s="170"/>
      <x:c r="G41" s="170"/>
      <x:c r="H41" s="170"/>
      <x:c r="I41" s="1"/>
      <x:c r="J41" s="1"/>
      <x:c r="K41" s="1"/>
      <x:c r="L41" s="1"/>
      <x:c r="M41" s="1"/>
      <x:c r="N41" s="1"/>
      <x:c r="O41" s="1"/>
      <x:c r="P41" s="1"/>
      <x:c r="Q41" s="1"/>
      <x:c r="R41" s="1"/>
      <x:c r="S41" s="1"/>
      <x:c r="T41" s="1"/>
      <x:c r="U41" s="1"/>
      <x:c r="V41" s="1"/>
      <x:c r="W41" s="1"/>
      <x:c r="X41" s="1"/>
      <x:c r="Y41" s="1"/>
      <x:c r="Z41" s="1"/>
    </x:row>
    <x:row r="42">
      <x:c r="A42" s="100" t="n">
        <x:f>A41+1</x:f>
        <x:v>37</x:v>
      </x:c>
      <x:c r="B42" s="171" t="n">
        <x:f>IF(A42&lt;='Your Mortgage'!$C$8*12,EDATE('Your Mortgage'!$C$9,A42-1),"")</x:f>
        <x:v>47331</x:v>
      </x:c>
      <x:c r="C42" s="172" t="n">
        <x:f>IF(B42="","",'Your Mortgage'!$C$11)</x:f>
        <x:v>2054.2210763521375</x:v>
      </x:c>
      <x:c r="D42" s="172" t="n">
        <x:f>IF(B42="","",'Your Mortgage'!$F$6+IF(A42='Your Mortgage'!$F$8,'Your Mortgage'!$F$7,0))</x:f>
        <x:v>250</x:v>
      </x:c>
      <x:c r="E42" s="173"/>
      <x:c r="F42" s="170"/>
      <x:c r="G42" s="170"/>
      <x:c r="H42" s="170"/>
      <x:c r="I42" s="1"/>
      <x:c r="J42" s="1"/>
      <x:c r="K42" s="1"/>
      <x:c r="L42" s="1"/>
      <x:c r="M42" s="1"/>
      <x:c r="N42" s="1"/>
      <x:c r="O42" s="1"/>
      <x:c r="P42" s="1"/>
      <x:c r="Q42" s="1"/>
      <x:c r="R42" s="1"/>
      <x:c r="S42" s="1"/>
      <x:c r="T42" s="1"/>
      <x:c r="U42" s="1"/>
      <x:c r="V42" s="1"/>
      <x:c r="W42" s="1"/>
      <x:c r="X42" s="1"/>
      <x:c r="Y42" s="1"/>
      <x:c r="Z42" s="1"/>
    </x:row>
    <x:row r="43">
      <x:c r="A43" s="100" t="n">
        <x:f>A42+1</x:f>
        <x:v>38</x:v>
      </x:c>
      <x:c r="B43" s="171" t="n">
        <x:f>IF(A43&lt;='Your Mortgage'!$C$8*12,EDATE('Your Mortgage'!$C$9,A43-1),"")</x:f>
        <x:v>47362</x:v>
      </x:c>
      <x:c r="C43" s="172" t="n">
        <x:f>IF(B43="","",'Your Mortgage'!$C$11)</x:f>
        <x:v>2054.2210763521375</x:v>
      </x:c>
      <x:c r="D43" s="172" t="n">
        <x:f>IF(B43="","",'Your Mortgage'!$F$6+IF(A43='Your Mortgage'!$F$8,'Your Mortgage'!$F$7,0))</x:f>
        <x:v>250</x:v>
      </x:c>
      <x:c r="E43" s="173"/>
      <x:c r="F43" s="170"/>
      <x:c r="G43" s="170"/>
      <x:c r="H43" s="170"/>
      <x:c r="I43" s="1"/>
      <x:c r="J43" s="1"/>
      <x:c r="K43" s="1"/>
      <x:c r="L43" s="1"/>
      <x:c r="M43" s="1"/>
      <x:c r="N43" s="1"/>
      <x:c r="O43" s="1"/>
      <x:c r="P43" s="1"/>
      <x:c r="Q43" s="1"/>
      <x:c r="R43" s="1"/>
      <x:c r="S43" s="1"/>
      <x:c r="T43" s="1"/>
      <x:c r="U43" s="1"/>
      <x:c r="V43" s="1"/>
      <x:c r="W43" s="1"/>
      <x:c r="X43" s="1"/>
      <x:c r="Y43" s="1"/>
      <x:c r="Z43" s="1"/>
    </x:row>
    <x:row r="44">
      <x:c r="A44" s="100" t="n">
        <x:f>A43+1</x:f>
        <x:v>39</x:v>
      </x:c>
      <x:c r="B44" s="171" t="n">
        <x:f>IF(A44&lt;='Your Mortgage'!$C$8*12,EDATE('Your Mortgage'!$C$9,A44-1),"")</x:f>
        <x:v>47392</x:v>
      </x:c>
      <x:c r="C44" s="172" t="n">
        <x:f>IF(B44="","",'Your Mortgage'!$C$11)</x:f>
        <x:v>2054.2210763521375</x:v>
      </x:c>
      <x:c r="D44" s="172" t="n">
        <x:f>IF(B44="","",'Your Mortgage'!$F$6+IF(A44='Your Mortgage'!$F$8,'Your Mortgage'!$F$7,0))</x:f>
        <x:v>250</x:v>
      </x:c>
      <x:c r="E44" s="173"/>
      <x:c r="F44" s="170"/>
      <x:c r="G44" s="170"/>
      <x:c r="H44" s="170"/>
      <x:c r="I44" s="1"/>
      <x:c r="J44" s="1"/>
      <x:c r="K44" s="1"/>
      <x:c r="L44" s="1"/>
      <x:c r="M44" s="1"/>
      <x:c r="N44" s="1"/>
      <x:c r="O44" s="1"/>
      <x:c r="P44" s="1"/>
      <x:c r="Q44" s="1"/>
      <x:c r="R44" s="1"/>
      <x:c r="S44" s="1"/>
      <x:c r="T44" s="1"/>
      <x:c r="U44" s="1"/>
      <x:c r="V44" s="1"/>
      <x:c r="W44" s="1"/>
      <x:c r="X44" s="1"/>
      <x:c r="Y44" s="1"/>
      <x:c r="Z44" s="1"/>
    </x:row>
    <x:row r="45">
      <x:c r="A45" s="100" t="n">
        <x:f>A44+1</x:f>
        <x:v>40</x:v>
      </x:c>
      <x:c r="B45" s="171" t="n">
        <x:f>IF(A45&lt;='Your Mortgage'!$C$8*12,EDATE('Your Mortgage'!$C$9,A45-1),"")</x:f>
        <x:v>47423</x:v>
      </x:c>
      <x:c r="C45" s="172" t="n">
        <x:f>IF(B45="","",'Your Mortgage'!$C$11)</x:f>
        <x:v>2054.2210763521375</x:v>
      </x:c>
      <x:c r="D45" s="172" t="n">
        <x:f>IF(B45="","",'Your Mortgage'!$F$6+IF(A45='Your Mortgage'!$F$8,'Your Mortgage'!$F$7,0))</x:f>
        <x:v>250</x:v>
      </x:c>
      <x:c r="E45" s="173"/>
      <x:c r="F45" s="170"/>
      <x:c r="G45" s="170"/>
      <x:c r="H45" s="170"/>
      <x:c r="I45" s="1"/>
      <x:c r="J45" s="1"/>
      <x:c r="K45" s="1"/>
      <x:c r="L45" s="1"/>
      <x:c r="M45" s="1"/>
      <x:c r="N45" s="1"/>
      <x:c r="O45" s="1"/>
      <x:c r="P45" s="1"/>
      <x:c r="Q45" s="1"/>
      <x:c r="R45" s="1"/>
      <x:c r="S45" s="1"/>
      <x:c r="T45" s="1"/>
      <x:c r="U45" s="1"/>
      <x:c r="V45" s="1"/>
      <x:c r="W45" s="1"/>
      <x:c r="X45" s="1"/>
      <x:c r="Y45" s="1"/>
      <x:c r="Z45" s="1"/>
    </x:row>
    <x:row r="46">
      <x:c r="A46" s="100" t="n">
        <x:f>A45+1</x:f>
        <x:v>41</x:v>
      </x:c>
      <x:c r="B46" s="171" t="n">
        <x:f>IF(A46&lt;='Your Mortgage'!$C$8*12,EDATE('Your Mortgage'!$C$9,A46-1),"")</x:f>
        <x:v>47453</x:v>
      </x:c>
      <x:c r="C46" s="172" t="n">
        <x:f>IF(B46="","",'Your Mortgage'!$C$11)</x:f>
        <x:v>2054.2210763521375</x:v>
      </x:c>
      <x:c r="D46" s="172" t="n">
        <x:f>IF(B46="","",'Your Mortgage'!$F$6+IF(A46='Your Mortgage'!$F$8,'Your Mortgage'!$F$7,0))</x:f>
        <x:v>250</x:v>
      </x:c>
      <x:c r="E46" s="173"/>
      <x:c r="F46" s="170"/>
      <x:c r="G46" s="170"/>
      <x:c r="H46" s="170"/>
      <x:c r="I46" s="1"/>
      <x:c r="J46" s="1"/>
      <x:c r="K46" s="1"/>
      <x:c r="L46" s="1"/>
      <x:c r="M46" s="1"/>
      <x:c r="N46" s="1"/>
      <x:c r="O46" s="1"/>
      <x:c r="P46" s="1"/>
      <x:c r="Q46" s="1"/>
      <x:c r="R46" s="1"/>
      <x:c r="S46" s="1"/>
      <x:c r="T46" s="1"/>
      <x:c r="U46" s="1"/>
      <x:c r="V46" s="1"/>
      <x:c r="W46" s="1"/>
      <x:c r="X46" s="1"/>
      <x:c r="Y46" s="1"/>
      <x:c r="Z46" s="1"/>
    </x:row>
    <x:row r="47">
      <x:c r="A47" s="100" t="n">
        <x:f>A46+1</x:f>
        <x:v>42</x:v>
      </x:c>
      <x:c r="B47" s="171" t="n">
        <x:f>IF(A47&lt;='Your Mortgage'!$C$8*12,EDATE('Your Mortgage'!$C$9,A47-1),"")</x:f>
        <x:v>47484</x:v>
      </x:c>
      <x:c r="C47" s="172" t="n">
        <x:f>IF(B47="","",'Your Mortgage'!$C$11)</x:f>
        <x:v>2054.2210763521375</x:v>
      </x:c>
      <x:c r="D47" s="172" t="n">
        <x:f>IF(B47="","",'Your Mortgage'!$F$6+IF(A47='Your Mortgage'!$F$8,'Your Mortgage'!$F$7,0))</x:f>
        <x:v>250</x:v>
      </x:c>
      <x:c r="E47" s="173"/>
      <x:c r="F47" s="170"/>
      <x:c r="G47" s="170"/>
      <x:c r="H47" s="170"/>
      <x:c r="I47" s="1"/>
      <x:c r="J47" s="1"/>
      <x:c r="K47" s="1"/>
      <x:c r="L47" s="1"/>
      <x:c r="M47" s="1"/>
      <x:c r="N47" s="1"/>
      <x:c r="O47" s="1"/>
      <x:c r="P47" s="1"/>
      <x:c r="Q47" s="1"/>
      <x:c r="R47" s="1"/>
      <x:c r="S47" s="1"/>
      <x:c r="T47" s="1"/>
      <x:c r="U47" s="1"/>
      <x:c r="V47" s="1"/>
      <x:c r="W47" s="1"/>
      <x:c r="X47" s="1"/>
      <x:c r="Y47" s="1"/>
      <x:c r="Z47" s="1"/>
    </x:row>
    <x:row r="48">
      <x:c r="A48" s="100" t="n">
        <x:f>A47+1</x:f>
        <x:v>43</x:v>
      </x:c>
      <x:c r="B48" s="171" t="n">
        <x:f>IF(A48&lt;='Your Mortgage'!$C$8*12,EDATE('Your Mortgage'!$C$9,A48-1),"")</x:f>
        <x:v>47515</x:v>
      </x:c>
      <x:c r="C48" s="172" t="n">
        <x:f>IF(B48="","",'Your Mortgage'!$C$11)</x:f>
        <x:v>2054.2210763521375</x:v>
      </x:c>
      <x:c r="D48" s="172" t="n">
        <x:f>IF(B48="","",'Your Mortgage'!$F$6+IF(A48='Your Mortgage'!$F$8,'Your Mortgage'!$F$7,0))</x:f>
        <x:v>250</x:v>
      </x:c>
      <x:c r="E48" s="173"/>
      <x:c r="F48" s="170"/>
      <x:c r="G48" s="170"/>
      <x:c r="H48" s="170"/>
      <x:c r="I48" s="1"/>
      <x:c r="J48" s="1"/>
      <x:c r="K48" s="1"/>
      <x:c r="L48" s="1"/>
      <x:c r="M48" s="1"/>
      <x:c r="N48" s="1"/>
      <x:c r="O48" s="1"/>
      <x:c r="P48" s="1"/>
      <x:c r="Q48" s="1"/>
      <x:c r="R48" s="1"/>
      <x:c r="S48" s="1"/>
      <x:c r="T48" s="1"/>
      <x:c r="U48" s="1"/>
      <x:c r="V48" s="1"/>
      <x:c r="W48" s="1"/>
      <x:c r="X48" s="1"/>
      <x:c r="Y48" s="1"/>
      <x:c r="Z48" s="1"/>
    </x:row>
    <x:row r="49">
      <x:c r="A49" s="100" t="n">
        <x:f>A48+1</x:f>
        <x:v>44</x:v>
      </x:c>
      <x:c r="B49" s="171" t="n">
        <x:f>IF(A49&lt;='Your Mortgage'!$C$8*12,EDATE('Your Mortgage'!$C$9,A49-1),"")</x:f>
        <x:v>47543</x:v>
      </x:c>
      <x:c r="C49" s="172" t="n">
        <x:f>IF(B49="","",'Your Mortgage'!$C$11)</x:f>
        <x:v>2054.2210763521375</x:v>
      </x:c>
      <x:c r="D49" s="172" t="n">
        <x:f>IF(B49="","",'Your Mortgage'!$F$6+IF(A49='Your Mortgage'!$F$8,'Your Mortgage'!$F$7,0))</x:f>
        <x:v>250</x:v>
      </x:c>
      <x:c r="E49" s="173"/>
      <x:c r="F49" s="170"/>
      <x:c r="G49" s="170"/>
      <x:c r="H49" s="170"/>
      <x:c r="I49" s="1"/>
      <x:c r="J49" s="1"/>
      <x:c r="K49" s="1"/>
      <x:c r="L49" s="1"/>
      <x:c r="M49" s="1"/>
      <x:c r="N49" s="1"/>
      <x:c r="O49" s="1"/>
      <x:c r="P49" s="1"/>
      <x:c r="Q49" s="1"/>
      <x:c r="R49" s="1"/>
      <x:c r="S49" s="1"/>
      <x:c r="T49" s="1"/>
      <x:c r="U49" s="1"/>
      <x:c r="V49" s="1"/>
      <x:c r="W49" s="1"/>
      <x:c r="X49" s="1"/>
      <x:c r="Y49" s="1"/>
      <x:c r="Z49" s="1"/>
    </x:row>
    <x:row r="50">
      <x:c r="A50" s="100" t="n">
        <x:f>A49+1</x:f>
        <x:v>45</x:v>
      </x:c>
      <x:c r="B50" s="171" t="n">
        <x:f>IF(A50&lt;='Your Mortgage'!$C$8*12,EDATE('Your Mortgage'!$C$9,A50-1),"")</x:f>
        <x:v>47574</x:v>
      </x:c>
      <x:c r="C50" s="172" t="n">
        <x:f>IF(B50="","",'Your Mortgage'!$C$11)</x:f>
        <x:v>2054.2210763521375</x:v>
      </x:c>
      <x:c r="D50" s="172" t="n">
        <x:f>IF(B50="","",'Your Mortgage'!$F$6+IF(A50='Your Mortgage'!$F$8,'Your Mortgage'!$F$7,0))</x:f>
        <x:v>250</x:v>
      </x:c>
      <x:c r="E50" s="173"/>
      <x:c r="F50" s="170"/>
      <x:c r="G50" s="170"/>
      <x:c r="H50" s="170"/>
      <x:c r="I50" s="1"/>
      <x:c r="J50" s="1"/>
      <x:c r="K50" s="1"/>
      <x:c r="L50" s="1"/>
      <x:c r="M50" s="1"/>
      <x:c r="N50" s="1"/>
      <x:c r="O50" s="1"/>
      <x:c r="P50" s="1"/>
      <x:c r="Q50" s="1"/>
      <x:c r="R50" s="1"/>
      <x:c r="S50" s="1"/>
      <x:c r="T50" s="1"/>
      <x:c r="U50" s="1"/>
      <x:c r="V50" s="1"/>
      <x:c r="W50" s="1"/>
      <x:c r="X50" s="1"/>
      <x:c r="Y50" s="1"/>
      <x:c r="Z50" s="1"/>
    </x:row>
    <x:row r="51">
      <x:c r="A51" s="100" t="n">
        <x:f>A50+1</x:f>
        <x:v>46</x:v>
      </x:c>
      <x:c r="B51" s="171" t="n">
        <x:f>IF(A51&lt;='Your Mortgage'!$C$8*12,EDATE('Your Mortgage'!$C$9,A51-1),"")</x:f>
        <x:v>47604</x:v>
      </x:c>
      <x:c r="C51" s="172" t="n">
        <x:f>IF(B51="","",'Your Mortgage'!$C$11)</x:f>
        <x:v>2054.2210763521375</x:v>
      </x:c>
      <x:c r="D51" s="172" t="n">
        <x:f>IF(B51="","",'Your Mortgage'!$F$6+IF(A51='Your Mortgage'!$F$8,'Your Mortgage'!$F$7,0))</x:f>
        <x:v>250</x:v>
      </x:c>
      <x:c r="E51" s="173"/>
      <x:c r="F51" s="170"/>
      <x:c r="G51" s="170"/>
      <x:c r="H51" s="170"/>
      <x:c r="I51" s="1"/>
      <x:c r="J51" s="1"/>
      <x:c r="K51" s="1"/>
      <x:c r="L51" s="1"/>
      <x:c r="M51" s="1"/>
      <x:c r="N51" s="1"/>
      <x:c r="O51" s="1"/>
      <x:c r="P51" s="1"/>
      <x:c r="Q51" s="1"/>
      <x:c r="R51" s="1"/>
      <x:c r="S51" s="1"/>
      <x:c r="T51" s="1"/>
      <x:c r="U51" s="1"/>
      <x:c r="V51" s="1"/>
      <x:c r="W51" s="1"/>
      <x:c r="X51" s="1"/>
      <x:c r="Y51" s="1"/>
      <x:c r="Z51" s="1"/>
    </x:row>
    <x:row r="52">
      <x:c r="A52" s="100" t="n">
        <x:f>A51+1</x:f>
        <x:v>47</x:v>
      </x:c>
      <x:c r="B52" s="171" t="n">
        <x:f>IF(A52&lt;='Your Mortgage'!$C$8*12,EDATE('Your Mortgage'!$C$9,A52-1),"")</x:f>
        <x:v>47635</x:v>
      </x:c>
      <x:c r="C52" s="172" t="n">
        <x:f>IF(B52="","",'Your Mortgage'!$C$11)</x:f>
        <x:v>2054.2210763521375</x:v>
      </x:c>
      <x:c r="D52" s="172" t="n">
        <x:f>IF(B52="","",'Your Mortgage'!$F$6+IF(A52='Your Mortgage'!$F$8,'Your Mortgage'!$F$7,0))</x:f>
        <x:v>250</x:v>
      </x:c>
      <x:c r="E52" s="173"/>
      <x:c r="F52" s="170"/>
      <x:c r="G52" s="170"/>
      <x:c r="H52" s="170"/>
      <x:c r="I52" s="1"/>
      <x:c r="J52" s="1"/>
      <x:c r="K52" s="1"/>
      <x:c r="L52" s="1"/>
      <x:c r="M52" s="1"/>
      <x:c r="N52" s="1"/>
      <x:c r="O52" s="1"/>
      <x:c r="P52" s="1"/>
      <x:c r="Q52" s="1"/>
      <x:c r="R52" s="1"/>
      <x:c r="S52" s="1"/>
      <x:c r="T52" s="1"/>
      <x:c r="U52" s="1"/>
      <x:c r="V52" s="1"/>
      <x:c r="W52" s="1"/>
      <x:c r="X52" s="1"/>
      <x:c r="Y52" s="1"/>
      <x:c r="Z52" s="1"/>
    </x:row>
    <x:row r="53">
      <x:c r="A53" s="100" t="n">
        <x:f>A52+1</x:f>
        <x:v>48</x:v>
      </x:c>
      <x:c r="B53" s="171" t="n">
        <x:f>IF(A53&lt;='Your Mortgage'!$C$8*12,EDATE('Your Mortgage'!$C$9,A53-1),"")</x:f>
        <x:v>47665</x:v>
      </x:c>
      <x:c r="C53" s="172" t="n">
        <x:f>IF(B53="","",'Your Mortgage'!$C$11)</x:f>
        <x:v>2054.2210763521375</x:v>
      </x:c>
      <x:c r="D53" s="172" t="n">
        <x:f>IF(B53="","",'Your Mortgage'!$F$6+IF(A53='Your Mortgage'!$F$8,'Your Mortgage'!$F$7,0))</x:f>
        <x:v>250</x:v>
      </x:c>
      <x:c r="E53" s="173"/>
      <x:c r="F53" s="170"/>
      <x:c r="G53" s="170"/>
      <x:c r="H53" s="170"/>
      <x:c r="I53" s="1"/>
      <x:c r="J53" s="1"/>
      <x:c r="K53" s="1"/>
      <x:c r="L53" s="1"/>
      <x:c r="M53" s="1"/>
      <x:c r="N53" s="1"/>
      <x:c r="O53" s="1"/>
      <x:c r="P53" s="1"/>
      <x:c r="Q53" s="1"/>
      <x:c r="R53" s="1"/>
      <x:c r="S53" s="1"/>
      <x:c r="T53" s="1"/>
      <x:c r="U53" s="1"/>
      <x:c r="V53" s="1"/>
      <x:c r="W53" s="1"/>
      <x:c r="X53" s="1"/>
      <x:c r="Y53" s="1"/>
      <x:c r="Z53" s="1"/>
    </x:row>
    <x:row r="54">
      <x:c r="A54" s="100" t="n">
        <x:f>A53+1</x:f>
        <x:v>49</x:v>
      </x:c>
      <x:c r="B54" s="171" t="n">
        <x:f>IF(A54&lt;='Your Mortgage'!$C$8*12,EDATE('Your Mortgage'!$C$9,A54-1),"")</x:f>
        <x:v>47696</x:v>
      </x:c>
      <x:c r="C54" s="172" t="n">
        <x:f>IF(B54="","",'Your Mortgage'!$C$11)</x:f>
        <x:v>2054.2210763521375</x:v>
      </x:c>
      <x:c r="D54" s="172" t="n">
        <x:f>IF(B54="","",'Your Mortgage'!$F$6+IF(A54='Your Mortgage'!$F$8,'Your Mortgage'!$F$7,0))</x:f>
        <x:v>250</x:v>
      </x:c>
      <x:c r="E54" s="173"/>
      <x:c r="F54" s="170"/>
      <x:c r="G54" s="170"/>
      <x:c r="H54" s="170"/>
      <x:c r="I54" s="1"/>
      <x:c r="J54" s="1"/>
      <x:c r="K54" s="1"/>
      <x:c r="L54" s="1"/>
      <x:c r="M54" s="1"/>
      <x:c r="N54" s="1"/>
      <x:c r="O54" s="1"/>
      <x:c r="P54" s="1"/>
      <x:c r="Q54" s="1"/>
      <x:c r="R54" s="1"/>
      <x:c r="S54" s="1"/>
      <x:c r="T54" s="1"/>
      <x:c r="U54" s="1"/>
      <x:c r="V54" s="1"/>
      <x:c r="W54" s="1"/>
      <x:c r="X54" s="1"/>
      <x:c r="Y54" s="1"/>
      <x:c r="Z54" s="1"/>
    </x:row>
    <x:row r="55">
      <x:c r="A55" s="100" t="n">
        <x:f>A54+1</x:f>
        <x:v>50</x:v>
      </x:c>
      <x:c r="B55" s="171" t="n">
        <x:f>IF(A55&lt;='Your Mortgage'!$C$8*12,EDATE('Your Mortgage'!$C$9,A55-1),"")</x:f>
        <x:v>47727</x:v>
      </x:c>
      <x:c r="C55" s="172" t="n">
        <x:f>IF(B55="","",'Your Mortgage'!$C$11)</x:f>
        <x:v>2054.2210763521375</x:v>
      </x:c>
      <x:c r="D55" s="172" t="n">
        <x:f>IF(B55="","",'Your Mortgage'!$F$6+IF(A55='Your Mortgage'!$F$8,'Your Mortgage'!$F$7,0))</x:f>
        <x:v>250</x:v>
      </x:c>
      <x:c r="E55" s="173"/>
      <x:c r="F55" s="170"/>
      <x:c r="G55" s="170"/>
      <x:c r="H55" s="170"/>
      <x:c r="I55" s="1"/>
      <x:c r="J55" s="1"/>
      <x:c r="K55" s="1"/>
      <x:c r="L55" s="1"/>
      <x:c r="M55" s="1"/>
      <x:c r="N55" s="1"/>
      <x:c r="O55" s="1"/>
      <x:c r="P55" s="1"/>
      <x:c r="Q55" s="1"/>
      <x:c r="R55" s="1"/>
      <x:c r="S55" s="1"/>
      <x:c r="T55" s="1"/>
      <x:c r="U55" s="1"/>
      <x:c r="V55" s="1"/>
      <x:c r="W55" s="1"/>
      <x:c r="X55" s="1"/>
      <x:c r="Y55" s="1"/>
      <x:c r="Z55" s="1"/>
    </x:row>
    <x:row r="56">
      <x:c r="A56" s="100" t="n">
        <x:f>A55+1</x:f>
        <x:v>51</x:v>
      </x:c>
      <x:c r="B56" s="171" t="n">
        <x:f>IF(A56&lt;='Your Mortgage'!$C$8*12,EDATE('Your Mortgage'!$C$9,A56-1),"")</x:f>
        <x:v>47757</x:v>
      </x:c>
      <x:c r="C56" s="172" t="n">
        <x:f>IF(B56="","",'Your Mortgage'!$C$11)</x:f>
        <x:v>2054.2210763521375</x:v>
      </x:c>
      <x:c r="D56" s="172" t="n">
        <x:f>IF(B56="","",'Your Mortgage'!$F$6+IF(A56='Your Mortgage'!$F$8,'Your Mortgage'!$F$7,0))</x:f>
        <x:v>250</x:v>
      </x:c>
      <x:c r="E56" s="173"/>
      <x:c r="F56" s="170"/>
      <x:c r="G56" s="170"/>
      <x:c r="H56" s="170"/>
      <x:c r="I56" s="1"/>
      <x:c r="J56" s="1"/>
      <x:c r="K56" s="1"/>
      <x:c r="L56" s="1"/>
      <x:c r="M56" s="1"/>
      <x:c r="N56" s="1"/>
      <x:c r="O56" s="1"/>
      <x:c r="P56" s="1"/>
      <x:c r="Q56" s="1"/>
      <x:c r="R56" s="1"/>
      <x:c r="S56" s="1"/>
      <x:c r="T56" s="1"/>
      <x:c r="U56" s="1"/>
      <x:c r="V56" s="1"/>
      <x:c r="W56" s="1"/>
      <x:c r="X56" s="1"/>
      <x:c r="Y56" s="1"/>
      <x:c r="Z56" s="1"/>
    </x:row>
    <x:row r="57">
      <x:c r="A57" s="100" t="n">
        <x:f>A56+1</x:f>
        <x:v>52</x:v>
      </x:c>
      <x:c r="B57" s="171" t="n">
        <x:f>IF(A57&lt;='Your Mortgage'!$C$8*12,EDATE('Your Mortgage'!$C$9,A57-1),"")</x:f>
        <x:v>47788</x:v>
      </x:c>
      <x:c r="C57" s="172" t="n">
        <x:f>IF(B57="","",'Your Mortgage'!$C$11)</x:f>
        <x:v>2054.2210763521375</x:v>
      </x:c>
      <x:c r="D57" s="172" t="n">
        <x:f>IF(B57="","",'Your Mortgage'!$F$6+IF(A57='Your Mortgage'!$F$8,'Your Mortgage'!$F$7,0))</x:f>
        <x:v>250</x:v>
      </x:c>
      <x:c r="E57" s="173"/>
      <x:c r="F57" s="170"/>
      <x:c r="G57" s="170"/>
      <x:c r="H57" s="170"/>
      <x:c r="I57" s="1"/>
      <x:c r="J57" s="1"/>
      <x:c r="K57" s="1"/>
      <x:c r="L57" s="1"/>
      <x:c r="M57" s="1"/>
      <x:c r="N57" s="1"/>
      <x:c r="O57" s="1"/>
      <x:c r="P57" s="1"/>
      <x:c r="Q57" s="1"/>
      <x:c r="R57" s="1"/>
      <x:c r="S57" s="1"/>
      <x:c r="T57" s="1"/>
      <x:c r="U57" s="1"/>
      <x:c r="V57" s="1"/>
      <x:c r="W57" s="1"/>
      <x:c r="X57" s="1"/>
      <x:c r="Y57" s="1"/>
      <x:c r="Z57" s="1"/>
    </x:row>
    <x:row r="58">
      <x:c r="A58" s="100" t="n">
        <x:f>A57+1</x:f>
        <x:v>53</x:v>
      </x:c>
      <x:c r="B58" s="171" t="n">
        <x:f>IF(A58&lt;='Your Mortgage'!$C$8*12,EDATE('Your Mortgage'!$C$9,A58-1),"")</x:f>
        <x:v>47818</x:v>
      </x:c>
      <x:c r="C58" s="172" t="n">
        <x:f>IF(B58="","",'Your Mortgage'!$C$11)</x:f>
        <x:v>2054.2210763521375</x:v>
      </x:c>
      <x:c r="D58" s="172" t="n">
        <x:f>IF(B58="","",'Your Mortgage'!$F$6+IF(A58='Your Mortgage'!$F$8,'Your Mortgage'!$F$7,0))</x:f>
        <x:v>250</x:v>
      </x:c>
      <x:c r="E58" s="173"/>
      <x:c r="F58" s="170"/>
      <x:c r="G58" s="170"/>
      <x:c r="H58" s="170"/>
      <x:c r="I58" s="1"/>
      <x:c r="J58" s="1"/>
      <x:c r="K58" s="1"/>
      <x:c r="L58" s="1"/>
      <x:c r="M58" s="1"/>
      <x:c r="N58" s="1"/>
      <x:c r="O58" s="1"/>
      <x:c r="P58" s="1"/>
      <x:c r="Q58" s="1"/>
      <x:c r="R58" s="1"/>
      <x:c r="S58" s="1"/>
      <x:c r="T58" s="1"/>
      <x:c r="U58" s="1"/>
      <x:c r="V58" s="1"/>
      <x:c r="W58" s="1"/>
      <x:c r="X58" s="1"/>
      <x:c r="Y58" s="1"/>
      <x:c r="Z58" s="1"/>
    </x:row>
    <x:row r="59">
      <x:c r="A59" s="100" t="n">
        <x:f>A58+1</x:f>
        <x:v>54</x:v>
      </x:c>
      <x:c r="B59" s="171" t="n">
        <x:f>IF(A59&lt;='Your Mortgage'!$C$8*12,EDATE('Your Mortgage'!$C$9,A59-1),"")</x:f>
        <x:v>47849</x:v>
      </x:c>
      <x:c r="C59" s="172" t="n">
        <x:f>IF(B59="","",'Your Mortgage'!$C$11)</x:f>
        <x:v>2054.2210763521375</x:v>
      </x:c>
      <x:c r="D59" s="172" t="n">
        <x:f>IF(B59="","",'Your Mortgage'!$F$6+IF(A59='Your Mortgage'!$F$8,'Your Mortgage'!$F$7,0))</x:f>
        <x:v>250</x:v>
      </x:c>
      <x:c r="E59" s="173"/>
      <x:c r="F59" s="170"/>
      <x:c r="G59" s="170"/>
      <x:c r="H59" s="170"/>
      <x:c r="I59" s="1"/>
      <x:c r="J59" s="1"/>
      <x:c r="K59" s="1"/>
      <x:c r="L59" s="1"/>
      <x:c r="M59" s="1"/>
      <x:c r="N59" s="1"/>
      <x:c r="O59" s="1"/>
      <x:c r="P59" s="1"/>
      <x:c r="Q59" s="1"/>
      <x:c r="R59" s="1"/>
      <x:c r="S59" s="1"/>
      <x:c r="T59" s="1"/>
      <x:c r="U59" s="1"/>
      <x:c r="V59" s="1"/>
      <x:c r="W59" s="1"/>
      <x:c r="X59" s="1"/>
      <x:c r="Y59" s="1"/>
      <x:c r="Z59" s="1"/>
    </x:row>
    <x:row r="60">
      <x:c r="A60" s="100" t="n">
        <x:f>A59+1</x:f>
        <x:v>55</x:v>
      </x:c>
      <x:c r="B60" s="171" t="n">
        <x:f>IF(A60&lt;='Your Mortgage'!$C$8*12,EDATE('Your Mortgage'!$C$9,A60-1),"")</x:f>
        <x:v>47880</x:v>
      </x:c>
      <x:c r="C60" s="172" t="n">
        <x:f>IF(B60="","",'Your Mortgage'!$C$11)</x:f>
        <x:v>2054.2210763521375</x:v>
      </x:c>
      <x:c r="D60" s="172" t="n">
        <x:f>IF(B60="","",'Your Mortgage'!$F$6+IF(A60='Your Mortgage'!$F$8,'Your Mortgage'!$F$7,0))</x:f>
        <x:v>250</x:v>
      </x:c>
      <x:c r="E60" s="173"/>
      <x:c r="F60" s="170"/>
      <x:c r="G60" s="170"/>
      <x:c r="H60" s="170"/>
      <x:c r="I60" s="1"/>
      <x:c r="J60" s="1"/>
      <x:c r="K60" s="1"/>
      <x:c r="L60" s="1"/>
      <x:c r="M60" s="1"/>
      <x:c r="N60" s="1"/>
      <x:c r="O60" s="1"/>
      <x:c r="P60" s="1"/>
      <x:c r="Q60" s="1"/>
      <x:c r="R60" s="1"/>
      <x:c r="S60" s="1"/>
      <x:c r="T60" s="1"/>
      <x:c r="U60" s="1"/>
      <x:c r="V60" s="1"/>
      <x:c r="W60" s="1"/>
      <x:c r="X60" s="1"/>
      <x:c r="Y60" s="1"/>
      <x:c r="Z60" s="1"/>
    </x:row>
    <x:row r="61">
      <x:c r="A61" s="100" t="n">
        <x:f>A60+1</x:f>
        <x:v>56</x:v>
      </x:c>
      <x:c r="B61" s="171" t="n">
        <x:f>IF(A61&lt;='Your Mortgage'!$C$8*12,EDATE('Your Mortgage'!$C$9,A61-1),"")</x:f>
        <x:v>47908</x:v>
      </x:c>
      <x:c r="C61" s="172" t="n">
        <x:f>IF(B61="","",'Your Mortgage'!$C$11)</x:f>
        <x:v>2054.2210763521375</x:v>
      </x:c>
      <x:c r="D61" s="172" t="n">
        <x:f>IF(B61="","",'Your Mortgage'!$F$6+IF(A61='Your Mortgage'!$F$8,'Your Mortgage'!$F$7,0))</x:f>
        <x:v>250</x:v>
      </x:c>
      <x:c r="E61" s="173"/>
      <x:c r="F61" s="170"/>
      <x:c r="G61" s="170"/>
      <x:c r="H61" s="170"/>
      <x:c r="I61" s="1"/>
      <x:c r="J61" s="1"/>
      <x:c r="K61" s="1"/>
      <x:c r="L61" s="1"/>
      <x:c r="M61" s="1"/>
      <x:c r="N61" s="1"/>
      <x:c r="O61" s="1"/>
      <x:c r="P61" s="1"/>
      <x:c r="Q61" s="1"/>
      <x:c r="R61" s="1"/>
      <x:c r="S61" s="1"/>
      <x:c r="T61" s="1"/>
      <x:c r="U61" s="1"/>
      <x:c r="V61" s="1"/>
      <x:c r="W61" s="1"/>
      <x:c r="X61" s="1"/>
      <x:c r="Y61" s="1"/>
      <x:c r="Z61" s="1"/>
    </x:row>
    <x:row r="62">
      <x:c r="A62" s="100" t="n">
        <x:f>A61+1</x:f>
        <x:v>57</x:v>
      </x:c>
      <x:c r="B62" s="171" t="n">
        <x:f>IF(A62&lt;='Your Mortgage'!$C$8*12,EDATE('Your Mortgage'!$C$9,A62-1),"")</x:f>
        <x:v>47939</x:v>
      </x:c>
      <x:c r="C62" s="172" t="n">
        <x:f>IF(B62="","",'Your Mortgage'!$C$11)</x:f>
        <x:v>2054.2210763521375</x:v>
      </x:c>
      <x:c r="D62" s="172" t="n">
        <x:f>IF(B62="","",'Your Mortgage'!$F$6+IF(A62='Your Mortgage'!$F$8,'Your Mortgage'!$F$7,0))</x:f>
        <x:v>250</x:v>
      </x:c>
      <x:c r="E62" s="173"/>
      <x:c r="F62" s="170"/>
      <x:c r="G62" s="170"/>
      <x:c r="H62" s="170"/>
      <x:c r="I62" s="1"/>
      <x:c r="J62" s="1"/>
      <x:c r="K62" s="1"/>
      <x:c r="L62" s="1"/>
      <x:c r="M62" s="1"/>
      <x:c r="N62" s="1"/>
      <x:c r="O62" s="1"/>
      <x:c r="P62" s="1"/>
      <x:c r="Q62" s="1"/>
      <x:c r="R62" s="1"/>
      <x:c r="S62" s="1"/>
      <x:c r="T62" s="1"/>
      <x:c r="U62" s="1"/>
      <x:c r="V62" s="1"/>
      <x:c r="W62" s="1"/>
      <x:c r="X62" s="1"/>
      <x:c r="Y62" s="1"/>
      <x:c r="Z62" s="1"/>
    </x:row>
    <x:row r="63">
      <x:c r="A63" s="100" t="n">
        <x:f>A62+1</x:f>
        <x:v>58</x:v>
      </x:c>
      <x:c r="B63" s="171" t="n">
        <x:f>IF(A63&lt;='Your Mortgage'!$C$8*12,EDATE('Your Mortgage'!$C$9,A63-1),"")</x:f>
        <x:v>47969</x:v>
      </x:c>
      <x:c r="C63" s="172" t="n">
        <x:f>IF(B63="","",'Your Mortgage'!$C$11)</x:f>
        <x:v>2054.2210763521375</x:v>
      </x:c>
      <x:c r="D63" s="172" t="n">
        <x:f>IF(B63="","",'Your Mortgage'!$F$6+IF(A63='Your Mortgage'!$F$8,'Your Mortgage'!$F$7,0))</x:f>
        <x:v>250</x:v>
      </x:c>
      <x:c r="E63" s="173"/>
      <x:c r="F63" s="170"/>
      <x:c r="G63" s="170"/>
      <x:c r="H63" s="170"/>
      <x:c r="I63" s="1"/>
      <x:c r="J63" s="1"/>
      <x:c r="K63" s="1"/>
      <x:c r="L63" s="1"/>
      <x:c r="M63" s="1"/>
      <x:c r="N63" s="1"/>
      <x:c r="O63" s="1"/>
      <x:c r="P63" s="1"/>
      <x:c r="Q63" s="1"/>
      <x:c r="R63" s="1"/>
      <x:c r="S63" s="1"/>
      <x:c r="T63" s="1"/>
      <x:c r="U63" s="1"/>
      <x:c r="V63" s="1"/>
      <x:c r="W63" s="1"/>
      <x:c r="X63" s="1"/>
      <x:c r="Y63" s="1"/>
      <x:c r="Z63" s="1"/>
    </x:row>
    <x:row r="64">
      <x:c r="A64" s="100" t="n">
        <x:f>A63+1</x:f>
        <x:v>59</x:v>
      </x:c>
      <x:c r="B64" s="171" t="n">
        <x:f>IF(A64&lt;='Your Mortgage'!$C$8*12,EDATE('Your Mortgage'!$C$9,A64-1),"")</x:f>
        <x:v>48000</x:v>
      </x:c>
      <x:c r="C64" s="172" t="n">
        <x:f>IF(B64="","",'Your Mortgage'!$C$11)</x:f>
        <x:v>2054.2210763521375</x:v>
      </x:c>
      <x:c r="D64" s="172" t="n">
        <x:f>IF(B64="","",'Your Mortgage'!$F$6+IF(A64='Your Mortgage'!$F$8,'Your Mortgage'!$F$7,0))</x:f>
        <x:v>250</x:v>
      </x:c>
      <x:c r="E64" s="173"/>
      <x:c r="F64" s="170"/>
      <x:c r="G64" s="170"/>
      <x:c r="H64" s="170"/>
      <x:c r="I64" s="1"/>
      <x:c r="J64" s="1"/>
      <x:c r="K64" s="1"/>
      <x:c r="L64" s="1"/>
      <x:c r="M64" s="1"/>
      <x:c r="N64" s="1"/>
      <x:c r="O64" s="1"/>
      <x:c r="P64" s="1"/>
      <x:c r="Q64" s="1"/>
      <x:c r="R64" s="1"/>
      <x:c r="S64" s="1"/>
      <x:c r="T64" s="1"/>
      <x:c r="U64" s="1"/>
      <x:c r="V64" s="1"/>
      <x:c r="W64" s="1"/>
      <x:c r="X64" s="1"/>
      <x:c r="Y64" s="1"/>
      <x:c r="Z64" s="1"/>
    </x:row>
    <x:row r="65">
      <x:c r="A65" s="100" t="n">
        <x:f>A64+1</x:f>
        <x:v>60</x:v>
      </x:c>
      <x:c r="B65" s="171" t="n">
        <x:f>IF(A65&lt;='Your Mortgage'!$C$8*12,EDATE('Your Mortgage'!$C$9,A65-1),"")</x:f>
        <x:v>48030</x:v>
      </x:c>
      <x:c r="C65" s="172" t="n">
        <x:f>IF(B65="","",'Your Mortgage'!$C$11)</x:f>
        <x:v>2054.2210763521375</x:v>
      </x:c>
      <x:c r="D65" s="172" t="n">
        <x:f>IF(B65="","",'Your Mortgage'!$F$6+IF(A65='Your Mortgage'!$F$8,'Your Mortgage'!$F$7,0))</x:f>
        <x:v>250</x:v>
      </x:c>
      <x:c r="E65" s="173"/>
      <x:c r="F65" s="170"/>
      <x:c r="G65" s="170"/>
      <x:c r="H65" s="170"/>
      <x:c r="I65" s="1"/>
      <x:c r="J65" s="1"/>
      <x:c r="K65" s="1"/>
      <x:c r="L65" s="1"/>
      <x:c r="M65" s="1"/>
      <x:c r="N65" s="1"/>
      <x:c r="O65" s="1"/>
      <x:c r="P65" s="1"/>
      <x:c r="Q65" s="1"/>
      <x:c r="R65" s="1"/>
      <x:c r="S65" s="1"/>
      <x:c r="T65" s="1"/>
      <x:c r="U65" s="1"/>
      <x:c r="V65" s="1"/>
      <x:c r="W65" s="1"/>
      <x:c r="X65" s="1"/>
      <x:c r="Y65" s="1"/>
      <x:c r="Z65" s="1"/>
    </x:row>
    <x:row r="66">
      <x:c r="A66" s="100" t="n">
        <x:f>A65+1</x:f>
        <x:v>61</x:v>
      </x:c>
      <x:c r="B66" s="171" t="n">
        <x:f>IF(A66&lt;='Your Mortgage'!$C$8*12,EDATE('Your Mortgage'!$C$9,A66-1),"")</x:f>
        <x:v>48061</x:v>
      </x:c>
      <x:c r="C66" s="172" t="n">
        <x:f>IF(B66="","",'Your Mortgage'!$C$11)</x:f>
        <x:v>2054.2210763521375</x:v>
      </x:c>
      <x:c r="D66" s="172" t="n">
        <x:f>IF(B66="","",'Your Mortgage'!$F$6+IF(A66='Your Mortgage'!$F$8,'Your Mortgage'!$F$7,0))</x:f>
        <x:v>250</x:v>
      </x:c>
      <x:c r="E66" s="173"/>
      <x:c r="F66" s="170"/>
      <x:c r="G66" s="170"/>
      <x:c r="H66" s="170"/>
      <x:c r="I66" s="1"/>
      <x:c r="J66" s="1"/>
      <x:c r="K66" s="1"/>
      <x:c r="L66" s="1"/>
      <x:c r="M66" s="1"/>
      <x:c r="N66" s="1"/>
      <x:c r="O66" s="1"/>
      <x:c r="P66" s="1"/>
      <x:c r="Q66" s="1"/>
      <x:c r="R66" s="1"/>
      <x:c r="S66" s="1"/>
      <x:c r="T66" s="1"/>
      <x:c r="U66" s="1"/>
      <x:c r="V66" s="1"/>
      <x:c r="W66" s="1"/>
      <x:c r="X66" s="1"/>
      <x:c r="Y66" s="1"/>
      <x:c r="Z66" s="1"/>
    </x:row>
    <x:row r="67">
      <x:c r="A67" s="100" t="n">
        <x:f>A66+1</x:f>
        <x:v>62</x:v>
      </x:c>
      <x:c r="B67" s="171" t="n">
        <x:f>IF(A67&lt;='Your Mortgage'!$C$8*12,EDATE('Your Mortgage'!$C$9,A67-1),"")</x:f>
        <x:v>48092</x:v>
      </x:c>
      <x:c r="C67" s="172" t="n">
        <x:f>IF(B67="","",'Your Mortgage'!$C$11)</x:f>
        <x:v>2054.2210763521375</x:v>
      </x:c>
      <x:c r="D67" s="172" t="n">
        <x:f>IF(B67="","",'Your Mortgage'!$F$6+IF(A67='Your Mortgage'!$F$8,'Your Mortgage'!$F$7,0))</x:f>
        <x:v>250</x:v>
      </x:c>
      <x:c r="E67" s="173"/>
      <x:c r="F67" s="170"/>
      <x:c r="G67" s="170"/>
      <x:c r="H67" s="170"/>
      <x:c r="I67" s="1"/>
      <x:c r="J67" s="1"/>
      <x:c r="K67" s="1"/>
      <x:c r="L67" s="1"/>
      <x:c r="M67" s="1"/>
      <x:c r="N67" s="1"/>
      <x:c r="O67" s="1"/>
      <x:c r="P67" s="1"/>
      <x:c r="Q67" s="1"/>
      <x:c r="R67" s="1"/>
      <x:c r="S67" s="1"/>
      <x:c r="T67" s="1"/>
      <x:c r="U67" s="1"/>
      <x:c r="V67" s="1"/>
      <x:c r="W67" s="1"/>
      <x:c r="X67" s="1"/>
      <x:c r="Y67" s="1"/>
      <x:c r="Z67" s="1"/>
    </x:row>
    <x:row r="68">
      <x:c r="A68" s="100" t="n">
        <x:f>A67+1</x:f>
        <x:v>63</x:v>
      </x:c>
      <x:c r="B68" s="171" t="n">
        <x:f>IF(A68&lt;='Your Mortgage'!$C$8*12,EDATE('Your Mortgage'!$C$9,A68-1),"")</x:f>
        <x:v>48122</x:v>
      </x:c>
      <x:c r="C68" s="172" t="n">
        <x:f>IF(B68="","",'Your Mortgage'!$C$11)</x:f>
        <x:v>2054.2210763521375</x:v>
      </x:c>
      <x:c r="D68" s="172" t="n">
        <x:f>IF(B68="","",'Your Mortgage'!$F$6+IF(A68='Your Mortgage'!$F$8,'Your Mortgage'!$F$7,0))</x:f>
        <x:v>250</x:v>
      </x:c>
      <x:c r="E68" s="173"/>
      <x:c r="F68" s="170"/>
      <x:c r="G68" s="170"/>
      <x:c r="H68" s="170"/>
      <x:c r="I68" s="1"/>
      <x:c r="J68" s="1"/>
      <x:c r="K68" s="1"/>
      <x:c r="L68" s="1"/>
      <x:c r="M68" s="1"/>
      <x:c r="N68" s="1"/>
      <x:c r="O68" s="1"/>
      <x:c r="P68" s="1"/>
      <x:c r="Q68" s="1"/>
      <x:c r="R68" s="1"/>
      <x:c r="S68" s="1"/>
      <x:c r="T68" s="1"/>
      <x:c r="U68" s="1"/>
      <x:c r="V68" s="1"/>
      <x:c r="W68" s="1"/>
      <x:c r="X68" s="1"/>
      <x:c r="Y68" s="1"/>
      <x:c r="Z68" s="1"/>
    </x:row>
    <x:row r="69">
      <x:c r="A69" s="100" t="n">
        <x:f>A68+1</x:f>
        <x:v>64</x:v>
      </x:c>
      <x:c r="B69" s="171" t="n">
        <x:f>IF(A69&lt;='Your Mortgage'!$C$8*12,EDATE('Your Mortgage'!$C$9,A69-1),"")</x:f>
        <x:v>48153</x:v>
      </x:c>
      <x:c r="C69" s="172" t="n">
        <x:f>IF(B69="","",'Your Mortgage'!$C$11)</x:f>
        <x:v>2054.2210763521375</x:v>
      </x:c>
      <x:c r="D69" s="172" t="n">
        <x:f>IF(B69="","",'Your Mortgage'!$F$6+IF(A69='Your Mortgage'!$F$8,'Your Mortgage'!$F$7,0))</x:f>
        <x:v>250</x:v>
      </x:c>
      <x:c r="E69" s="173"/>
      <x:c r="F69" s="170"/>
      <x:c r="G69" s="170"/>
      <x:c r="H69" s="170"/>
      <x:c r="I69" s="1"/>
      <x:c r="J69" s="1"/>
      <x:c r="K69" s="1"/>
      <x:c r="L69" s="1"/>
      <x:c r="M69" s="1"/>
      <x:c r="N69" s="1"/>
      <x:c r="O69" s="1"/>
      <x:c r="P69" s="1"/>
      <x:c r="Q69" s="1"/>
      <x:c r="R69" s="1"/>
      <x:c r="S69" s="1"/>
      <x:c r="T69" s="1"/>
      <x:c r="U69" s="1"/>
      <x:c r="V69" s="1"/>
      <x:c r="W69" s="1"/>
      <x:c r="X69" s="1"/>
      <x:c r="Y69" s="1"/>
      <x:c r="Z69" s="1"/>
    </x:row>
    <x:row r="70">
      <x:c r="A70" s="100" t="n">
        <x:f>A69+1</x:f>
        <x:v>65</x:v>
      </x:c>
      <x:c r="B70" s="171" t="n">
        <x:f>IF(A70&lt;='Your Mortgage'!$C$8*12,EDATE('Your Mortgage'!$C$9,A70-1),"")</x:f>
        <x:v>48183</x:v>
      </x:c>
      <x:c r="C70" s="172" t="n">
        <x:f>IF(B70="","",'Your Mortgage'!$C$11)</x:f>
        <x:v>2054.2210763521375</x:v>
      </x:c>
      <x:c r="D70" s="172" t="n">
        <x:f>IF(B70="","",'Your Mortgage'!$F$6+IF(A70='Your Mortgage'!$F$8,'Your Mortgage'!$F$7,0))</x:f>
        <x:v>250</x:v>
      </x:c>
      <x:c r="E70" s="173"/>
      <x:c r="F70" s="170"/>
      <x:c r="G70" s="170"/>
      <x:c r="H70" s="170"/>
      <x:c r="I70" s="1"/>
      <x:c r="J70" s="1"/>
      <x:c r="K70" s="1"/>
      <x:c r="L70" s="1"/>
      <x:c r="M70" s="1"/>
      <x:c r="N70" s="1"/>
      <x:c r="O70" s="1"/>
      <x:c r="P70" s="1"/>
      <x:c r="Q70" s="1"/>
      <x:c r="R70" s="1"/>
      <x:c r="S70" s="1"/>
      <x:c r="T70" s="1"/>
      <x:c r="U70" s="1"/>
      <x:c r="V70" s="1"/>
      <x:c r="W70" s="1"/>
      <x:c r="X70" s="1"/>
      <x:c r="Y70" s="1"/>
      <x:c r="Z70" s="1"/>
    </x:row>
    <x:row r="71">
      <x:c r="A71" s="100" t="n">
        <x:f>A70+1</x:f>
        <x:v>66</x:v>
      </x:c>
      <x:c r="B71" s="171" t="n">
        <x:f>IF(A71&lt;='Your Mortgage'!$C$8*12,EDATE('Your Mortgage'!$C$9,A71-1),"")</x:f>
        <x:v>48214</x:v>
      </x:c>
      <x:c r="C71" s="172" t="n">
        <x:f>IF(B71="","",'Your Mortgage'!$C$11)</x:f>
        <x:v>2054.2210763521375</x:v>
      </x:c>
      <x:c r="D71" s="172" t="n">
        <x:f>IF(B71="","",'Your Mortgage'!$F$6+IF(A71='Your Mortgage'!$F$8,'Your Mortgage'!$F$7,0))</x:f>
        <x:v>250</x:v>
      </x:c>
      <x:c r="E71" s="173"/>
      <x:c r="F71" s="170"/>
      <x:c r="G71" s="170"/>
      <x:c r="H71" s="170"/>
      <x:c r="I71" s="1"/>
      <x:c r="J71" s="1"/>
      <x:c r="K71" s="1"/>
      <x:c r="L71" s="1"/>
      <x:c r="M71" s="1"/>
      <x:c r="N71" s="1"/>
      <x:c r="O71" s="1"/>
      <x:c r="P71" s="1"/>
      <x:c r="Q71" s="1"/>
      <x:c r="R71" s="1"/>
      <x:c r="S71" s="1"/>
      <x:c r="T71" s="1"/>
      <x:c r="U71" s="1"/>
      <x:c r="V71" s="1"/>
      <x:c r="W71" s="1"/>
      <x:c r="X71" s="1"/>
      <x:c r="Y71" s="1"/>
      <x:c r="Z71" s="1"/>
    </x:row>
    <x:row r="72">
      <x:c r="A72" s="100" t="n">
        <x:f>A71+1</x:f>
        <x:v>67</x:v>
      </x:c>
      <x:c r="B72" s="171" t="n">
        <x:f>IF(A72&lt;='Your Mortgage'!$C$8*12,EDATE('Your Mortgage'!$C$9,A72-1),"")</x:f>
        <x:v>48245</x:v>
      </x:c>
      <x:c r="C72" s="172" t="n">
        <x:f>IF(B72="","",'Your Mortgage'!$C$11)</x:f>
        <x:v>2054.2210763521375</x:v>
      </x:c>
      <x:c r="D72" s="172" t="n">
        <x:f>IF(B72="","",'Your Mortgage'!$F$6+IF(A72='Your Mortgage'!$F$8,'Your Mortgage'!$F$7,0))</x:f>
        <x:v>250</x:v>
      </x:c>
      <x:c r="E72" s="173"/>
      <x:c r="F72" s="170"/>
      <x:c r="G72" s="170"/>
      <x:c r="H72" s="170"/>
      <x:c r="I72" s="1"/>
      <x:c r="J72" s="1"/>
      <x:c r="K72" s="1"/>
      <x:c r="L72" s="1"/>
      <x:c r="M72" s="1"/>
      <x:c r="N72" s="1"/>
      <x:c r="O72" s="1"/>
      <x:c r="P72" s="1"/>
      <x:c r="Q72" s="1"/>
      <x:c r="R72" s="1"/>
      <x:c r="S72" s="1"/>
      <x:c r="T72" s="1"/>
      <x:c r="U72" s="1"/>
      <x:c r="V72" s="1"/>
      <x:c r="W72" s="1"/>
      <x:c r="X72" s="1"/>
      <x:c r="Y72" s="1"/>
      <x:c r="Z72" s="1"/>
    </x:row>
    <x:row r="73">
      <x:c r="A73" s="100" t="n">
        <x:f>A72+1</x:f>
        <x:v>68</x:v>
      </x:c>
      <x:c r="B73" s="171" t="n">
        <x:f>IF(A73&lt;='Your Mortgage'!$C$8*12,EDATE('Your Mortgage'!$C$9,A73-1),"")</x:f>
        <x:v>48274</x:v>
      </x:c>
      <x:c r="C73" s="172" t="n">
        <x:f>IF(B73="","",'Your Mortgage'!$C$11)</x:f>
        <x:v>2054.2210763521375</x:v>
      </x:c>
      <x:c r="D73" s="172" t="n">
        <x:f>IF(B73="","",'Your Mortgage'!$F$6+IF(A73='Your Mortgage'!$F$8,'Your Mortgage'!$F$7,0))</x:f>
        <x:v>250</x:v>
      </x:c>
      <x:c r="E73" s="173"/>
      <x:c r="F73" s="170"/>
      <x:c r="G73" s="170"/>
      <x:c r="H73" s="170"/>
      <x:c r="I73" s="1"/>
      <x:c r="J73" s="1"/>
      <x:c r="K73" s="1"/>
      <x:c r="L73" s="1"/>
      <x:c r="M73" s="1"/>
      <x:c r="N73" s="1"/>
      <x:c r="O73" s="1"/>
      <x:c r="P73" s="1"/>
      <x:c r="Q73" s="1"/>
      <x:c r="R73" s="1"/>
      <x:c r="S73" s="1"/>
      <x:c r="T73" s="1"/>
      <x:c r="U73" s="1"/>
      <x:c r="V73" s="1"/>
      <x:c r="W73" s="1"/>
      <x:c r="X73" s="1"/>
      <x:c r="Y73" s="1"/>
      <x:c r="Z73" s="1"/>
    </x:row>
    <x:row r="74">
      <x:c r="A74" s="100" t="n">
        <x:f>A73+1</x:f>
        <x:v>69</x:v>
      </x:c>
      <x:c r="B74" s="171" t="n">
        <x:f>IF(A74&lt;='Your Mortgage'!$C$8*12,EDATE('Your Mortgage'!$C$9,A74-1),"")</x:f>
        <x:v>48305</x:v>
      </x:c>
      <x:c r="C74" s="172" t="n">
        <x:f>IF(B74="","",'Your Mortgage'!$C$11)</x:f>
        <x:v>2054.2210763521375</x:v>
      </x:c>
      <x:c r="D74" s="172" t="n">
        <x:f>IF(B74="","",'Your Mortgage'!$F$6+IF(A74='Your Mortgage'!$F$8,'Your Mortgage'!$F$7,0))</x:f>
        <x:v>250</x:v>
      </x:c>
      <x:c r="E74" s="173"/>
      <x:c r="F74" s="170"/>
      <x:c r="G74" s="170"/>
      <x:c r="H74" s="170"/>
      <x:c r="I74" s="1"/>
      <x:c r="J74" s="1"/>
      <x:c r="K74" s="1"/>
      <x:c r="L74" s="1"/>
      <x:c r="M74" s="1"/>
      <x:c r="N74" s="1"/>
      <x:c r="O74" s="1"/>
      <x:c r="P74" s="1"/>
      <x:c r="Q74" s="1"/>
      <x:c r="R74" s="1"/>
      <x:c r="S74" s="1"/>
      <x:c r="T74" s="1"/>
      <x:c r="U74" s="1"/>
      <x:c r="V74" s="1"/>
      <x:c r="W74" s="1"/>
      <x:c r="X74" s="1"/>
      <x:c r="Y74" s="1"/>
      <x:c r="Z74" s="1"/>
    </x:row>
    <x:row r="75">
      <x:c r="A75" s="100" t="n">
        <x:f>A74+1</x:f>
        <x:v>70</x:v>
      </x:c>
      <x:c r="B75" s="171" t="n">
        <x:f>IF(A75&lt;='Your Mortgage'!$C$8*12,EDATE('Your Mortgage'!$C$9,A75-1),"")</x:f>
        <x:v>48335</x:v>
      </x:c>
      <x:c r="C75" s="172" t="n">
        <x:f>IF(B75="","",'Your Mortgage'!$C$11)</x:f>
        <x:v>2054.2210763521375</x:v>
      </x:c>
      <x:c r="D75" s="172" t="n">
        <x:f>IF(B75="","",'Your Mortgage'!$F$6+IF(A75='Your Mortgage'!$F$8,'Your Mortgage'!$F$7,0))</x:f>
        <x:v>250</x:v>
      </x:c>
      <x:c r="E75" s="173"/>
      <x:c r="F75" s="170"/>
      <x:c r="G75" s="170"/>
      <x:c r="H75" s="170"/>
      <x:c r="I75" s="1"/>
      <x:c r="J75" s="1"/>
      <x:c r="K75" s="1"/>
      <x:c r="L75" s="1"/>
      <x:c r="M75" s="1"/>
      <x:c r="N75" s="1"/>
      <x:c r="O75" s="1"/>
      <x:c r="P75" s="1"/>
      <x:c r="Q75" s="1"/>
      <x:c r="R75" s="1"/>
      <x:c r="S75" s="1"/>
      <x:c r="T75" s="1"/>
      <x:c r="U75" s="1"/>
      <x:c r="V75" s="1"/>
      <x:c r="W75" s="1"/>
      <x:c r="X75" s="1"/>
      <x:c r="Y75" s="1"/>
      <x:c r="Z75" s="1"/>
    </x:row>
    <x:row r="76">
      <x:c r="A76" s="100" t="n">
        <x:f>A75+1</x:f>
        <x:v>71</x:v>
      </x:c>
      <x:c r="B76" s="171" t="n">
        <x:f>IF(A76&lt;='Your Mortgage'!$C$8*12,EDATE('Your Mortgage'!$C$9,A76-1),"")</x:f>
        <x:v>48366</x:v>
      </x:c>
      <x:c r="C76" s="172" t="n">
        <x:f>IF(B76="","",'Your Mortgage'!$C$11)</x:f>
        <x:v>2054.2210763521375</x:v>
      </x:c>
      <x:c r="D76" s="172" t="n">
        <x:f>IF(B76="","",'Your Mortgage'!$F$6+IF(A76='Your Mortgage'!$F$8,'Your Mortgage'!$F$7,0))</x:f>
        <x:v>250</x:v>
      </x:c>
      <x:c r="E76" s="173"/>
      <x:c r="F76" s="170"/>
      <x:c r="G76" s="170"/>
      <x:c r="H76" s="170"/>
      <x:c r="I76" s="1"/>
      <x:c r="J76" s="1"/>
      <x:c r="K76" s="1"/>
      <x:c r="L76" s="1"/>
      <x:c r="M76" s="1"/>
      <x:c r="N76" s="1"/>
      <x:c r="O76" s="1"/>
      <x:c r="P76" s="1"/>
      <x:c r="Q76" s="1"/>
      <x:c r="R76" s="1"/>
      <x:c r="S76" s="1"/>
      <x:c r="T76" s="1"/>
      <x:c r="U76" s="1"/>
      <x:c r="V76" s="1"/>
      <x:c r="W76" s="1"/>
      <x:c r="X76" s="1"/>
      <x:c r="Y76" s="1"/>
      <x:c r="Z76" s="1"/>
    </x:row>
    <x:row r="77">
      <x:c r="A77" s="100" t="n">
        <x:f>A76+1</x:f>
        <x:v>72</x:v>
      </x:c>
      <x:c r="B77" s="171" t="n">
        <x:f>IF(A77&lt;='Your Mortgage'!$C$8*12,EDATE('Your Mortgage'!$C$9,A77-1),"")</x:f>
        <x:v>48396</x:v>
      </x:c>
      <x:c r="C77" s="172" t="n">
        <x:f>IF(B77="","",'Your Mortgage'!$C$11)</x:f>
        <x:v>2054.2210763521375</x:v>
      </x:c>
      <x:c r="D77" s="172" t="n">
        <x:f>IF(B77="","",'Your Mortgage'!$F$6+IF(A77='Your Mortgage'!$F$8,'Your Mortgage'!$F$7,0))</x:f>
        <x:v>250</x:v>
      </x:c>
      <x:c r="E77" s="173"/>
      <x:c r="F77" s="170"/>
      <x:c r="G77" s="170"/>
      <x:c r="H77" s="170"/>
      <x:c r="I77" s="1"/>
      <x:c r="J77" s="1"/>
      <x:c r="K77" s="1"/>
      <x:c r="L77" s="1"/>
      <x:c r="M77" s="1"/>
      <x:c r="N77" s="1"/>
      <x:c r="O77" s="1"/>
      <x:c r="P77" s="1"/>
      <x:c r="Q77" s="1"/>
      <x:c r="R77" s="1"/>
      <x:c r="S77" s="1"/>
      <x:c r="T77" s="1"/>
      <x:c r="U77" s="1"/>
      <x:c r="V77" s="1"/>
      <x:c r="W77" s="1"/>
      <x:c r="X77" s="1"/>
      <x:c r="Y77" s="1"/>
      <x:c r="Z77" s="1"/>
    </x:row>
    <x:row r="78">
      <x:c r="A78" s="100" t="n">
        <x:f>A77+1</x:f>
        <x:v>73</x:v>
      </x:c>
      <x:c r="B78" s="171" t="n">
        <x:f>IF(A78&lt;='Your Mortgage'!$C$8*12,EDATE('Your Mortgage'!$C$9,A78-1),"")</x:f>
        <x:v>48427</x:v>
      </x:c>
      <x:c r="C78" s="172" t="n">
        <x:f>IF(B78="","",'Your Mortgage'!$C$11)</x:f>
        <x:v>2054.2210763521375</x:v>
      </x:c>
      <x:c r="D78" s="172" t="n">
        <x:f>IF(B78="","",'Your Mortgage'!$F$6+IF(A78='Your Mortgage'!$F$8,'Your Mortgage'!$F$7,0))</x:f>
        <x:v>250</x:v>
      </x:c>
      <x:c r="E78" s="173"/>
      <x:c r="F78" s="170"/>
      <x:c r="G78" s="170"/>
      <x:c r="H78" s="170"/>
      <x:c r="I78" s="1"/>
      <x:c r="J78" s="1"/>
      <x:c r="K78" s="1"/>
      <x:c r="L78" s="1"/>
      <x:c r="M78" s="1"/>
      <x:c r="N78" s="1"/>
      <x:c r="O78" s="1"/>
      <x:c r="P78" s="1"/>
      <x:c r="Q78" s="1"/>
      <x:c r="R78" s="1"/>
      <x:c r="S78" s="1"/>
      <x:c r="T78" s="1"/>
      <x:c r="U78" s="1"/>
      <x:c r="V78" s="1"/>
      <x:c r="W78" s="1"/>
      <x:c r="X78" s="1"/>
      <x:c r="Y78" s="1"/>
      <x:c r="Z78" s="1"/>
    </x:row>
    <x:row r="79">
      <x:c r="A79" s="100" t="n">
        <x:f>A78+1</x:f>
        <x:v>74</x:v>
      </x:c>
      <x:c r="B79" s="171" t="n">
        <x:f>IF(A79&lt;='Your Mortgage'!$C$8*12,EDATE('Your Mortgage'!$C$9,A79-1),"")</x:f>
        <x:v>48458</x:v>
      </x:c>
      <x:c r="C79" s="172" t="n">
        <x:f>IF(B79="","",'Your Mortgage'!$C$11)</x:f>
        <x:v>2054.2210763521375</x:v>
      </x:c>
      <x:c r="D79" s="172" t="n">
        <x:f>IF(B79="","",'Your Mortgage'!$F$6+IF(A79='Your Mortgage'!$F$8,'Your Mortgage'!$F$7,0))</x:f>
        <x:v>250</x:v>
      </x:c>
      <x:c r="E79" s="173"/>
      <x:c r="F79" s="170"/>
      <x:c r="G79" s="170"/>
      <x:c r="H79" s="170"/>
      <x:c r="I79" s="1"/>
      <x:c r="J79" s="1"/>
      <x:c r="K79" s="1"/>
      <x:c r="L79" s="1"/>
      <x:c r="M79" s="1"/>
      <x:c r="N79" s="1"/>
      <x:c r="O79" s="1"/>
      <x:c r="P79" s="1"/>
      <x:c r="Q79" s="1"/>
      <x:c r="R79" s="1"/>
      <x:c r="S79" s="1"/>
      <x:c r="T79" s="1"/>
      <x:c r="U79" s="1"/>
      <x:c r="V79" s="1"/>
      <x:c r="W79" s="1"/>
      <x:c r="X79" s="1"/>
      <x:c r="Y79" s="1"/>
      <x:c r="Z79" s="1"/>
    </x:row>
    <x:row r="80">
      <x:c r="A80" s="100" t="n">
        <x:f>A79+1</x:f>
        <x:v>75</x:v>
      </x:c>
      <x:c r="B80" s="171" t="n">
        <x:f>IF(A80&lt;='Your Mortgage'!$C$8*12,EDATE('Your Mortgage'!$C$9,A80-1),"")</x:f>
        <x:v>48488</x:v>
      </x:c>
      <x:c r="C80" s="172" t="n">
        <x:f>IF(B80="","",'Your Mortgage'!$C$11)</x:f>
        <x:v>2054.2210763521375</x:v>
      </x:c>
      <x:c r="D80" s="172" t="n">
        <x:f>IF(B80="","",'Your Mortgage'!$F$6+IF(A80='Your Mortgage'!$F$8,'Your Mortgage'!$F$7,0))</x:f>
        <x:v>250</x:v>
      </x:c>
      <x:c r="E80" s="173"/>
      <x:c r="F80" s="170"/>
      <x:c r="G80" s="170"/>
      <x:c r="H80" s="170"/>
      <x:c r="I80" s="1"/>
      <x:c r="J80" s="1"/>
      <x:c r="K80" s="1"/>
      <x:c r="L80" s="1"/>
      <x:c r="M80" s="1"/>
      <x:c r="N80" s="1"/>
      <x:c r="O80" s="1"/>
      <x:c r="P80" s="1"/>
      <x:c r="Q80" s="1"/>
      <x:c r="R80" s="1"/>
      <x:c r="S80" s="1"/>
      <x:c r="T80" s="1"/>
      <x:c r="U80" s="1"/>
      <x:c r="V80" s="1"/>
      <x:c r="W80" s="1"/>
      <x:c r="X80" s="1"/>
      <x:c r="Y80" s="1"/>
      <x:c r="Z80" s="1"/>
    </x:row>
    <x:row r="81">
      <x:c r="A81" s="100" t="n">
        <x:f>A80+1</x:f>
        <x:v>76</x:v>
      </x:c>
      <x:c r="B81" s="171" t="n">
        <x:f>IF(A81&lt;='Your Mortgage'!$C$8*12,EDATE('Your Mortgage'!$C$9,A81-1),"")</x:f>
        <x:v>48519</x:v>
      </x:c>
      <x:c r="C81" s="172" t="n">
        <x:f>IF(B81="","",'Your Mortgage'!$C$11)</x:f>
        <x:v>2054.2210763521375</x:v>
      </x:c>
      <x:c r="D81" s="172" t="n">
        <x:f>IF(B81="","",'Your Mortgage'!$F$6+IF(A81='Your Mortgage'!$F$8,'Your Mortgage'!$F$7,0))</x:f>
        <x:v>250</x:v>
      </x:c>
      <x:c r="E81" s="173"/>
      <x:c r="F81" s="170"/>
      <x:c r="G81" s="170"/>
      <x:c r="H81" s="170"/>
      <x:c r="I81" s="1"/>
      <x:c r="J81" s="1"/>
      <x:c r="K81" s="1"/>
      <x:c r="L81" s="1"/>
      <x:c r="M81" s="1"/>
      <x:c r="N81" s="1"/>
      <x:c r="O81" s="1"/>
      <x:c r="P81" s="1"/>
      <x:c r="Q81" s="1"/>
      <x:c r="R81" s="1"/>
      <x:c r="S81" s="1"/>
      <x:c r="T81" s="1"/>
      <x:c r="U81" s="1"/>
      <x:c r="V81" s="1"/>
      <x:c r="W81" s="1"/>
      <x:c r="X81" s="1"/>
      <x:c r="Y81" s="1"/>
      <x:c r="Z81" s="1"/>
    </x:row>
    <x:row r="82">
      <x:c r="A82" s="100" t="n">
        <x:f>A81+1</x:f>
        <x:v>77</x:v>
      </x:c>
      <x:c r="B82" s="171" t="n">
        <x:f>IF(A82&lt;='Your Mortgage'!$C$8*12,EDATE('Your Mortgage'!$C$9,A82-1),"")</x:f>
        <x:v>48549</x:v>
      </x:c>
      <x:c r="C82" s="172" t="n">
        <x:f>IF(B82="","",'Your Mortgage'!$C$11)</x:f>
        <x:v>2054.2210763521375</x:v>
      </x:c>
      <x:c r="D82" s="172" t="n">
        <x:f>IF(B82="","",'Your Mortgage'!$F$6+IF(A82='Your Mortgage'!$F$8,'Your Mortgage'!$F$7,0))</x:f>
        <x:v>250</x:v>
      </x:c>
      <x:c r="E82" s="173"/>
      <x:c r="F82" s="170"/>
      <x:c r="G82" s="170"/>
      <x:c r="H82" s="170"/>
      <x:c r="I82" s="1"/>
      <x:c r="J82" s="1"/>
      <x:c r="K82" s="1"/>
      <x:c r="L82" s="1"/>
      <x:c r="M82" s="1"/>
      <x:c r="N82" s="1"/>
      <x:c r="O82" s="1"/>
      <x:c r="P82" s="1"/>
      <x:c r="Q82" s="1"/>
      <x:c r="R82" s="1"/>
      <x:c r="S82" s="1"/>
      <x:c r="T82" s="1"/>
      <x:c r="U82" s="1"/>
      <x:c r="V82" s="1"/>
      <x:c r="W82" s="1"/>
      <x:c r="X82" s="1"/>
      <x:c r="Y82" s="1"/>
      <x:c r="Z82" s="1"/>
    </x:row>
    <x:row r="83">
      <x:c r="A83" s="100" t="n">
        <x:f>A82+1</x:f>
        <x:v>78</x:v>
      </x:c>
      <x:c r="B83" s="171" t="n">
        <x:f>IF(A83&lt;='Your Mortgage'!$C$8*12,EDATE('Your Mortgage'!$C$9,A83-1),"")</x:f>
        <x:v>48580</x:v>
      </x:c>
      <x:c r="C83" s="172" t="n">
        <x:f>IF(B83="","",'Your Mortgage'!$C$11)</x:f>
        <x:v>2054.2210763521375</x:v>
      </x:c>
      <x:c r="D83" s="172" t="n">
        <x:f>IF(B83="","",'Your Mortgage'!$F$6+IF(A83='Your Mortgage'!$F$8,'Your Mortgage'!$F$7,0))</x:f>
        <x:v>250</x:v>
      </x:c>
      <x:c r="E83" s="173"/>
      <x:c r="F83" s="170"/>
      <x:c r="G83" s="170"/>
      <x:c r="H83" s="170"/>
      <x:c r="I83" s="1"/>
      <x:c r="J83" s="1"/>
      <x:c r="K83" s="1"/>
      <x:c r="L83" s="1"/>
      <x:c r="M83" s="1"/>
      <x:c r="N83" s="1"/>
      <x:c r="O83" s="1"/>
      <x:c r="P83" s="1"/>
      <x:c r="Q83" s="1"/>
      <x:c r="R83" s="1"/>
      <x:c r="S83" s="1"/>
      <x:c r="T83" s="1"/>
      <x:c r="U83" s="1"/>
      <x:c r="V83" s="1"/>
      <x:c r="W83" s="1"/>
      <x:c r="X83" s="1"/>
      <x:c r="Y83" s="1"/>
      <x:c r="Z83" s="1"/>
    </x:row>
    <x:row r="84">
      <x:c r="A84" s="100" t="n">
        <x:f>A83+1</x:f>
        <x:v>79</x:v>
      </x:c>
      <x:c r="B84" s="171" t="n">
        <x:f>IF(A84&lt;='Your Mortgage'!$C$8*12,EDATE('Your Mortgage'!$C$9,A84-1),"")</x:f>
        <x:v>48611</x:v>
      </x:c>
      <x:c r="C84" s="172" t="n">
        <x:f>IF(B84="","",'Your Mortgage'!$C$11)</x:f>
        <x:v>2054.2210763521375</x:v>
      </x:c>
      <x:c r="D84" s="172" t="n">
        <x:f>IF(B84="","",'Your Mortgage'!$F$6+IF(A84='Your Mortgage'!$F$8,'Your Mortgage'!$F$7,0))</x:f>
        <x:v>250</x:v>
      </x:c>
      <x:c r="E84" s="173"/>
      <x:c r="F84" s="170"/>
      <x:c r="G84" s="170"/>
      <x:c r="H84" s="170"/>
      <x:c r="I84" s="1"/>
      <x:c r="J84" s="1"/>
      <x:c r="K84" s="1"/>
      <x:c r="L84" s="1"/>
      <x:c r="M84" s="1"/>
      <x:c r="N84" s="1"/>
      <x:c r="O84" s="1"/>
      <x:c r="P84" s="1"/>
      <x:c r="Q84" s="1"/>
      <x:c r="R84" s="1"/>
      <x:c r="S84" s="1"/>
      <x:c r="T84" s="1"/>
      <x:c r="U84" s="1"/>
      <x:c r="V84" s="1"/>
      <x:c r="W84" s="1"/>
      <x:c r="X84" s="1"/>
      <x:c r="Y84" s="1"/>
      <x:c r="Z84" s="1"/>
    </x:row>
    <x:row r="85">
      <x:c r="A85" s="100" t="n">
        <x:f>A84+1</x:f>
        <x:v>80</x:v>
      </x:c>
      <x:c r="B85" s="171" t="n">
        <x:f>IF(A85&lt;='Your Mortgage'!$C$8*12,EDATE('Your Mortgage'!$C$9,A85-1),"")</x:f>
        <x:v>48639</x:v>
      </x:c>
      <x:c r="C85" s="172" t="n">
        <x:f>IF(B85="","",'Your Mortgage'!$C$11)</x:f>
        <x:v>2054.2210763521375</x:v>
      </x:c>
      <x:c r="D85" s="172" t="n">
        <x:f>IF(B85="","",'Your Mortgage'!$F$6+IF(A85='Your Mortgage'!$F$8,'Your Mortgage'!$F$7,0))</x:f>
        <x:v>250</x:v>
      </x:c>
      <x:c r="E85" s="173"/>
      <x:c r="F85" s="170"/>
      <x:c r="G85" s="170"/>
      <x:c r="H85" s="170"/>
      <x:c r="I85" s="1"/>
      <x:c r="J85" s="1"/>
      <x:c r="K85" s="1"/>
      <x:c r="L85" s="1"/>
      <x:c r="M85" s="1"/>
      <x:c r="N85" s="1"/>
      <x:c r="O85" s="1"/>
      <x:c r="P85" s="1"/>
      <x:c r="Q85" s="1"/>
      <x:c r="R85" s="1"/>
      <x:c r="S85" s="1"/>
      <x:c r="T85" s="1"/>
      <x:c r="U85" s="1"/>
      <x:c r="V85" s="1"/>
      <x:c r="W85" s="1"/>
      <x:c r="X85" s="1"/>
      <x:c r="Y85" s="1"/>
      <x:c r="Z85" s="1"/>
    </x:row>
    <x:row r="86">
      <x:c r="A86" s="100" t="n">
        <x:f>A85+1</x:f>
        <x:v>81</x:v>
      </x:c>
      <x:c r="B86" s="171" t="n">
        <x:f>IF(A86&lt;='Your Mortgage'!$C$8*12,EDATE('Your Mortgage'!$C$9,A86-1),"")</x:f>
        <x:v>48670</x:v>
      </x:c>
      <x:c r="C86" s="172" t="n">
        <x:f>IF(B86="","",'Your Mortgage'!$C$11)</x:f>
        <x:v>2054.2210763521375</x:v>
      </x:c>
      <x:c r="D86" s="172" t="n">
        <x:f>IF(B86="","",'Your Mortgage'!$F$6+IF(A86='Your Mortgage'!$F$8,'Your Mortgage'!$F$7,0))</x:f>
        <x:v>250</x:v>
      </x:c>
      <x:c r="E86" s="173"/>
      <x:c r="F86" s="170"/>
      <x:c r="G86" s="170"/>
      <x:c r="H86" s="170"/>
      <x:c r="I86" s="1"/>
      <x:c r="J86" s="1"/>
      <x:c r="K86" s="1"/>
      <x:c r="L86" s="1"/>
      <x:c r="M86" s="1"/>
      <x:c r="N86" s="1"/>
      <x:c r="O86" s="1"/>
      <x:c r="P86" s="1"/>
      <x:c r="Q86" s="1"/>
      <x:c r="R86" s="1"/>
      <x:c r="S86" s="1"/>
      <x:c r="T86" s="1"/>
      <x:c r="U86" s="1"/>
      <x:c r="V86" s="1"/>
      <x:c r="W86" s="1"/>
      <x:c r="X86" s="1"/>
      <x:c r="Y86" s="1"/>
      <x:c r="Z86" s="1"/>
    </x:row>
    <x:row r="87">
      <x:c r="A87" s="100" t="n">
        <x:f>A86+1</x:f>
        <x:v>82</x:v>
      </x:c>
      <x:c r="B87" s="171" t="n">
        <x:f>IF(A87&lt;='Your Mortgage'!$C$8*12,EDATE('Your Mortgage'!$C$9,A87-1),"")</x:f>
        <x:v>48700</x:v>
      </x:c>
      <x:c r="C87" s="172" t="n">
        <x:f>IF(B87="","",'Your Mortgage'!$C$11)</x:f>
        <x:v>2054.2210763521375</x:v>
      </x:c>
      <x:c r="D87" s="172" t="n">
        <x:f>IF(B87="","",'Your Mortgage'!$F$6+IF(A87='Your Mortgage'!$F$8,'Your Mortgage'!$F$7,0))</x:f>
        <x:v>250</x:v>
      </x:c>
      <x:c r="E87" s="173"/>
      <x:c r="F87" s="170"/>
      <x:c r="G87" s="170"/>
      <x:c r="H87" s="170"/>
      <x:c r="I87" s="1"/>
      <x:c r="J87" s="1"/>
      <x:c r="K87" s="1"/>
      <x:c r="L87" s="1"/>
      <x:c r="M87" s="1"/>
      <x:c r="N87" s="1"/>
      <x:c r="O87" s="1"/>
      <x:c r="P87" s="1"/>
      <x:c r="Q87" s="1"/>
      <x:c r="R87" s="1"/>
      <x:c r="S87" s="1"/>
      <x:c r="T87" s="1"/>
      <x:c r="U87" s="1"/>
      <x:c r="V87" s="1"/>
      <x:c r="W87" s="1"/>
      <x:c r="X87" s="1"/>
      <x:c r="Y87" s="1"/>
      <x:c r="Z87" s="1"/>
    </x:row>
    <x:row r="88">
      <x:c r="A88" s="100" t="n">
        <x:f>A87+1</x:f>
        <x:v>83</x:v>
      </x:c>
      <x:c r="B88" s="171" t="n">
        <x:f>IF(A88&lt;='Your Mortgage'!$C$8*12,EDATE('Your Mortgage'!$C$9,A88-1),"")</x:f>
        <x:v>48731</x:v>
      </x:c>
      <x:c r="C88" s="172" t="n">
        <x:f>IF(B88="","",'Your Mortgage'!$C$11)</x:f>
        <x:v>2054.2210763521375</x:v>
      </x:c>
      <x:c r="D88" s="172" t="n">
        <x:f>IF(B88="","",'Your Mortgage'!$F$6+IF(A88='Your Mortgage'!$F$8,'Your Mortgage'!$F$7,0))</x:f>
        <x:v>250</x:v>
      </x:c>
      <x:c r="E88" s="173"/>
      <x:c r="F88" s="170"/>
      <x:c r="G88" s="170"/>
      <x:c r="H88" s="170"/>
      <x:c r="I88" s="1"/>
      <x:c r="J88" s="1"/>
      <x:c r="K88" s="1"/>
      <x:c r="L88" s="1"/>
      <x:c r="M88" s="1"/>
      <x:c r="N88" s="1"/>
      <x:c r="O88" s="1"/>
      <x:c r="P88" s="1"/>
      <x:c r="Q88" s="1"/>
      <x:c r="R88" s="1"/>
      <x:c r="S88" s="1"/>
      <x:c r="T88" s="1"/>
      <x:c r="U88" s="1"/>
      <x:c r="V88" s="1"/>
      <x:c r="W88" s="1"/>
      <x:c r="X88" s="1"/>
      <x:c r="Y88" s="1"/>
      <x:c r="Z88" s="1"/>
    </x:row>
    <x:row r="89">
      <x:c r="A89" s="100" t="n">
        <x:f>A88+1</x:f>
        <x:v>84</x:v>
      </x:c>
      <x:c r="B89" s="171" t="n">
        <x:f>IF(A89&lt;='Your Mortgage'!$C$8*12,EDATE('Your Mortgage'!$C$9,A89-1),"")</x:f>
        <x:v>48761</x:v>
      </x:c>
      <x:c r="C89" s="172" t="n">
        <x:f>IF(B89="","",'Your Mortgage'!$C$11)</x:f>
        <x:v>2054.2210763521375</x:v>
      </x:c>
      <x:c r="D89" s="172" t="n">
        <x:f>IF(B89="","",'Your Mortgage'!$F$6+IF(A89='Your Mortgage'!$F$8,'Your Mortgage'!$F$7,0))</x:f>
        <x:v>250</x:v>
      </x:c>
      <x:c r="E89" s="173"/>
      <x:c r="F89" s="170"/>
      <x:c r="G89" s="170"/>
      <x:c r="H89" s="170"/>
      <x:c r="I89" s="1"/>
      <x:c r="J89" s="1"/>
      <x:c r="K89" s="1"/>
      <x:c r="L89" s="1"/>
      <x:c r="M89" s="1"/>
      <x:c r="N89" s="1"/>
      <x:c r="O89" s="1"/>
      <x:c r="P89" s="1"/>
      <x:c r="Q89" s="1"/>
      <x:c r="R89" s="1"/>
      <x:c r="S89" s="1"/>
      <x:c r="T89" s="1"/>
      <x:c r="U89" s="1"/>
      <x:c r="V89" s="1"/>
      <x:c r="W89" s="1"/>
      <x:c r="X89" s="1"/>
      <x:c r="Y89" s="1"/>
      <x:c r="Z89" s="1"/>
    </x:row>
    <x:row r="90">
      <x:c r="A90" s="100" t="n">
        <x:f>A89+1</x:f>
        <x:v>85</x:v>
      </x:c>
      <x:c r="B90" s="171" t="n">
        <x:f>IF(A90&lt;='Your Mortgage'!$C$8*12,EDATE('Your Mortgage'!$C$9,A90-1),"")</x:f>
        <x:v>48792</x:v>
      </x:c>
      <x:c r="C90" s="172" t="n">
        <x:f>IF(B90="","",'Your Mortgage'!$C$11)</x:f>
        <x:v>2054.2210763521375</x:v>
      </x:c>
      <x:c r="D90" s="172" t="n">
        <x:f>IF(B90="","",'Your Mortgage'!$F$6+IF(A90='Your Mortgage'!$F$8,'Your Mortgage'!$F$7,0))</x:f>
        <x:v>250</x:v>
      </x:c>
      <x:c r="E90" s="173"/>
      <x:c r="F90" s="170"/>
      <x:c r="G90" s="170"/>
      <x:c r="H90" s="170"/>
      <x:c r="I90" s="1"/>
      <x:c r="J90" s="1"/>
      <x:c r="K90" s="1"/>
      <x:c r="L90" s="1"/>
      <x:c r="M90" s="1"/>
      <x:c r="N90" s="1"/>
      <x:c r="O90" s="1"/>
      <x:c r="P90" s="1"/>
      <x:c r="Q90" s="1"/>
      <x:c r="R90" s="1"/>
      <x:c r="S90" s="1"/>
      <x:c r="T90" s="1"/>
      <x:c r="U90" s="1"/>
      <x:c r="V90" s="1"/>
      <x:c r="W90" s="1"/>
      <x:c r="X90" s="1"/>
      <x:c r="Y90" s="1"/>
      <x:c r="Z90" s="1"/>
    </x:row>
    <x:row r="91">
      <x:c r="A91" s="100" t="n">
        <x:f>A90+1</x:f>
        <x:v>86</x:v>
      </x:c>
      <x:c r="B91" s="171" t="n">
        <x:f>IF(A91&lt;='Your Mortgage'!$C$8*12,EDATE('Your Mortgage'!$C$9,A91-1),"")</x:f>
        <x:v>48823</x:v>
      </x:c>
      <x:c r="C91" s="172" t="n">
        <x:f>IF(B91="","",'Your Mortgage'!$C$11)</x:f>
        <x:v>2054.2210763521375</x:v>
      </x:c>
      <x:c r="D91" s="172" t="n">
        <x:f>IF(B91="","",'Your Mortgage'!$F$6+IF(A91='Your Mortgage'!$F$8,'Your Mortgage'!$F$7,0))</x:f>
        <x:v>250</x:v>
      </x:c>
      <x:c r="E91" s="173"/>
      <x:c r="F91" s="170"/>
      <x:c r="G91" s="170"/>
      <x:c r="H91" s="170"/>
      <x:c r="I91" s="1"/>
      <x:c r="J91" s="1"/>
      <x:c r="K91" s="1"/>
      <x:c r="L91" s="1"/>
      <x:c r="M91" s="1"/>
      <x:c r="N91" s="1"/>
      <x:c r="O91" s="1"/>
      <x:c r="P91" s="1"/>
      <x:c r="Q91" s="1"/>
      <x:c r="R91" s="1"/>
      <x:c r="S91" s="1"/>
      <x:c r="T91" s="1"/>
      <x:c r="U91" s="1"/>
      <x:c r="V91" s="1"/>
      <x:c r="W91" s="1"/>
      <x:c r="X91" s="1"/>
      <x:c r="Y91" s="1"/>
      <x:c r="Z91" s="1"/>
    </x:row>
    <x:row r="92">
      <x:c r="A92" s="100" t="n">
        <x:f>A91+1</x:f>
        <x:v>87</x:v>
      </x:c>
      <x:c r="B92" s="171" t="n">
        <x:f>IF(A92&lt;='Your Mortgage'!$C$8*12,EDATE('Your Mortgage'!$C$9,A92-1),"")</x:f>
        <x:v>48853</x:v>
      </x:c>
      <x:c r="C92" s="172" t="n">
        <x:f>IF(B92="","",'Your Mortgage'!$C$11)</x:f>
        <x:v>2054.2210763521375</x:v>
      </x:c>
      <x:c r="D92" s="172" t="n">
        <x:f>IF(B92="","",'Your Mortgage'!$F$6+IF(A92='Your Mortgage'!$F$8,'Your Mortgage'!$F$7,0))</x:f>
        <x:v>250</x:v>
      </x:c>
      <x:c r="E92" s="173"/>
      <x:c r="F92" s="170"/>
      <x:c r="G92" s="170"/>
      <x:c r="H92" s="170"/>
      <x:c r="I92" s="1"/>
      <x:c r="J92" s="1"/>
      <x:c r="K92" s="1"/>
      <x:c r="L92" s="1"/>
      <x:c r="M92" s="1"/>
      <x:c r="N92" s="1"/>
      <x:c r="O92" s="1"/>
      <x:c r="P92" s="1"/>
      <x:c r="Q92" s="1"/>
      <x:c r="R92" s="1"/>
      <x:c r="S92" s="1"/>
      <x:c r="T92" s="1"/>
      <x:c r="U92" s="1"/>
      <x:c r="V92" s="1"/>
      <x:c r="W92" s="1"/>
      <x:c r="X92" s="1"/>
      <x:c r="Y92" s="1"/>
      <x:c r="Z92" s="1"/>
    </x:row>
    <x:row r="93">
      <x:c r="A93" s="100" t="n">
        <x:f>A92+1</x:f>
        <x:v>88</x:v>
      </x:c>
      <x:c r="B93" s="171" t="n">
        <x:f>IF(A93&lt;='Your Mortgage'!$C$8*12,EDATE('Your Mortgage'!$C$9,A93-1),"")</x:f>
        <x:v>48884</x:v>
      </x:c>
      <x:c r="C93" s="172" t="n">
        <x:f>IF(B93="","",'Your Mortgage'!$C$11)</x:f>
        <x:v>2054.2210763521375</x:v>
      </x:c>
      <x:c r="D93" s="172" t="n">
        <x:f>IF(B93="","",'Your Mortgage'!$F$6+IF(A93='Your Mortgage'!$F$8,'Your Mortgage'!$F$7,0))</x:f>
        <x:v>250</x:v>
      </x:c>
      <x:c r="E93" s="173"/>
      <x:c r="F93" s="170"/>
      <x:c r="G93" s="170"/>
      <x:c r="H93" s="170"/>
      <x:c r="I93" s="1"/>
      <x:c r="J93" s="1"/>
      <x:c r="K93" s="1"/>
      <x:c r="L93" s="1"/>
      <x:c r="M93" s="1"/>
      <x:c r="N93" s="1"/>
      <x:c r="O93" s="1"/>
      <x:c r="P93" s="1"/>
      <x:c r="Q93" s="1"/>
      <x:c r="R93" s="1"/>
      <x:c r="S93" s="1"/>
      <x:c r="T93" s="1"/>
      <x:c r="U93" s="1"/>
      <x:c r="V93" s="1"/>
      <x:c r="W93" s="1"/>
      <x:c r="X93" s="1"/>
      <x:c r="Y93" s="1"/>
      <x:c r="Z93" s="1"/>
    </x:row>
    <x:row r="94">
      <x:c r="A94" s="100" t="n">
        <x:f>A93+1</x:f>
        <x:v>89</x:v>
      </x:c>
      <x:c r="B94" s="171" t="n">
        <x:f>IF(A94&lt;='Your Mortgage'!$C$8*12,EDATE('Your Mortgage'!$C$9,A94-1),"")</x:f>
        <x:v>48914</x:v>
      </x:c>
      <x:c r="C94" s="172" t="n">
        <x:f>IF(B94="","",'Your Mortgage'!$C$11)</x:f>
        <x:v>2054.2210763521375</x:v>
      </x:c>
      <x:c r="D94" s="172" t="n">
        <x:f>IF(B94="","",'Your Mortgage'!$F$6+IF(A94='Your Mortgage'!$F$8,'Your Mortgage'!$F$7,0))</x:f>
        <x:v>250</x:v>
      </x:c>
      <x:c r="E94" s="173"/>
      <x:c r="F94" s="170"/>
      <x:c r="G94" s="170"/>
      <x:c r="H94" s="170"/>
      <x:c r="I94" s="1"/>
      <x:c r="J94" s="1"/>
      <x:c r="K94" s="1"/>
      <x:c r="L94" s="1"/>
      <x:c r="M94" s="1"/>
      <x:c r="N94" s="1"/>
      <x:c r="O94" s="1"/>
      <x:c r="P94" s="1"/>
      <x:c r="Q94" s="1"/>
      <x:c r="R94" s="1"/>
      <x:c r="S94" s="1"/>
      <x:c r="T94" s="1"/>
      <x:c r="U94" s="1"/>
      <x:c r="V94" s="1"/>
      <x:c r="W94" s="1"/>
      <x:c r="X94" s="1"/>
      <x:c r="Y94" s="1"/>
      <x:c r="Z94" s="1"/>
    </x:row>
    <x:row r="95">
      <x:c r="A95" s="100" t="n">
        <x:f>A94+1</x:f>
        <x:v>90</x:v>
      </x:c>
      <x:c r="B95" s="171" t="n">
        <x:f>IF(A95&lt;='Your Mortgage'!$C$8*12,EDATE('Your Mortgage'!$C$9,A95-1),"")</x:f>
        <x:v>48945</x:v>
      </x:c>
      <x:c r="C95" s="172" t="n">
        <x:f>IF(B95="","",'Your Mortgage'!$C$11)</x:f>
        <x:v>2054.2210763521375</x:v>
      </x:c>
      <x:c r="D95" s="172" t="n">
        <x:f>IF(B95="","",'Your Mortgage'!$F$6+IF(A95='Your Mortgage'!$F$8,'Your Mortgage'!$F$7,0))</x:f>
        <x:v>250</x:v>
      </x:c>
      <x:c r="E95" s="173"/>
      <x:c r="F95" s="170"/>
      <x:c r="G95" s="170"/>
      <x:c r="H95" s="170"/>
      <x:c r="I95" s="1"/>
      <x:c r="J95" s="1"/>
      <x:c r="K95" s="1"/>
      <x:c r="L95" s="1"/>
      <x:c r="M95" s="1"/>
      <x:c r="N95" s="1"/>
      <x:c r="O95" s="1"/>
      <x:c r="P95" s="1"/>
      <x:c r="Q95" s="1"/>
      <x:c r="R95" s="1"/>
      <x:c r="S95" s="1"/>
      <x:c r="T95" s="1"/>
      <x:c r="U95" s="1"/>
      <x:c r="V95" s="1"/>
      <x:c r="W95" s="1"/>
      <x:c r="X95" s="1"/>
      <x:c r="Y95" s="1"/>
      <x:c r="Z95" s="1"/>
    </x:row>
    <x:row r="96">
      <x:c r="A96" s="100" t="n">
        <x:f>A95+1</x:f>
        <x:v>91</x:v>
      </x:c>
      <x:c r="B96" s="171" t="n">
        <x:f>IF(A96&lt;='Your Mortgage'!$C$8*12,EDATE('Your Mortgage'!$C$9,A96-1),"")</x:f>
        <x:v>48976</x:v>
      </x:c>
      <x:c r="C96" s="172" t="n">
        <x:f>IF(B96="","",'Your Mortgage'!$C$11)</x:f>
        <x:v>2054.2210763521375</x:v>
      </x:c>
      <x:c r="D96" s="172" t="n">
        <x:f>IF(B96="","",'Your Mortgage'!$F$6+IF(A96='Your Mortgage'!$F$8,'Your Mortgage'!$F$7,0))</x:f>
        <x:v>250</x:v>
      </x:c>
      <x:c r="E96" s="173"/>
      <x:c r="F96" s="170"/>
      <x:c r="G96" s="170"/>
      <x:c r="H96" s="170"/>
      <x:c r="I96" s="1"/>
      <x:c r="J96" s="1"/>
      <x:c r="K96" s="1"/>
      <x:c r="L96" s="1"/>
      <x:c r="M96" s="1"/>
      <x:c r="N96" s="1"/>
      <x:c r="O96" s="1"/>
      <x:c r="P96" s="1"/>
      <x:c r="Q96" s="1"/>
      <x:c r="R96" s="1"/>
      <x:c r="S96" s="1"/>
      <x:c r="T96" s="1"/>
      <x:c r="U96" s="1"/>
      <x:c r="V96" s="1"/>
      <x:c r="W96" s="1"/>
      <x:c r="X96" s="1"/>
      <x:c r="Y96" s="1"/>
      <x:c r="Z96" s="1"/>
    </x:row>
    <x:row r="97">
      <x:c r="A97" s="100" t="n">
        <x:f>A96+1</x:f>
        <x:v>92</x:v>
      </x:c>
      <x:c r="B97" s="171" t="n">
        <x:f>IF(A97&lt;='Your Mortgage'!$C$8*12,EDATE('Your Mortgage'!$C$9,A97-1),"")</x:f>
        <x:v>49004</x:v>
      </x:c>
      <x:c r="C97" s="172" t="n">
        <x:f>IF(B97="","",'Your Mortgage'!$C$11)</x:f>
        <x:v>2054.2210763521375</x:v>
      </x:c>
      <x:c r="D97" s="172" t="n">
        <x:f>IF(B97="","",'Your Mortgage'!$F$6+IF(A97='Your Mortgage'!$F$8,'Your Mortgage'!$F$7,0))</x:f>
        <x:v>250</x:v>
      </x:c>
      <x:c r="E97" s="173"/>
      <x:c r="F97" s="170"/>
      <x:c r="G97" s="170"/>
      <x:c r="H97" s="170"/>
      <x:c r="I97" s="1"/>
      <x:c r="J97" s="1"/>
      <x:c r="K97" s="1"/>
      <x:c r="L97" s="1"/>
      <x:c r="M97" s="1"/>
      <x:c r="N97" s="1"/>
      <x:c r="O97" s="1"/>
      <x:c r="P97" s="1"/>
      <x:c r="Q97" s="1"/>
      <x:c r="R97" s="1"/>
      <x:c r="S97" s="1"/>
      <x:c r="T97" s="1"/>
      <x:c r="U97" s="1"/>
      <x:c r="V97" s="1"/>
      <x:c r="W97" s="1"/>
      <x:c r="X97" s="1"/>
      <x:c r="Y97" s="1"/>
      <x:c r="Z97" s="1"/>
    </x:row>
    <x:row r="98">
      <x:c r="A98" s="100" t="n">
        <x:f>A97+1</x:f>
        <x:v>93</x:v>
      </x:c>
      <x:c r="B98" s="171" t="n">
        <x:f>IF(A98&lt;='Your Mortgage'!$C$8*12,EDATE('Your Mortgage'!$C$9,A98-1),"")</x:f>
        <x:v>49035</x:v>
      </x:c>
      <x:c r="C98" s="172" t="n">
        <x:f>IF(B98="","",'Your Mortgage'!$C$11)</x:f>
        <x:v>2054.2210763521375</x:v>
      </x:c>
      <x:c r="D98" s="172" t="n">
        <x:f>IF(B98="","",'Your Mortgage'!$F$6+IF(A98='Your Mortgage'!$F$8,'Your Mortgage'!$F$7,0))</x:f>
        <x:v>250</x:v>
      </x:c>
      <x:c r="E98" s="173"/>
      <x:c r="F98" s="170"/>
      <x:c r="G98" s="170"/>
      <x:c r="H98" s="170"/>
      <x:c r="I98" s="1"/>
      <x:c r="J98" s="1"/>
      <x:c r="K98" s="1"/>
      <x:c r="L98" s="1"/>
      <x:c r="M98" s="1"/>
      <x:c r="N98" s="1"/>
      <x:c r="O98" s="1"/>
      <x:c r="P98" s="1"/>
      <x:c r="Q98" s="1"/>
      <x:c r="R98" s="1"/>
      <x:c r="S98" s="1"/>
      <x:c r="T98" s="1"/>
      <x:c r="U98" s="1"/>
      <x:c r="V98" s="1"/>
      <x:c r="W98" s="1"/>
      <x:c r="X98" s="1"/>
      <x:c r="Y98" s="1"/>
      <x:c r="Z98" s="1"/>
    </x:row>
    <x:row r="99">
      <x:c r="A99" s="100" t="n">
        <x:f>A98+1</x:f>
        <x:v>94</x:v>
      </x:c>
      <x:c r="B99" s="171" t="n">
        <x:f>IF(A99&lt;='Your Mortgage'!$C$8*12,EDATE('Your Mortgage'!$C$9,A99-1),"")</x:f>
        <x:v>49065</x:v>
      </x:c>
      <x:c r="C99" s="172" t="n">
        <x:f>IF(B99="","",'Your Mortgage'!$C$11)</x:f>
        <x:v>2054.2210763521375</x:v>
      </x:c>
      <x:c r="D99" s="172" t="n">
        <x:f>IF(B99="","",'Your Mortgage'!$F$6+IF(A99='Your Mortgage'!$F$8,'Your Mortgage'!$F$7,0))</x:f>
        <x:v>250</x:v>
      </x:c>
      <x:c r="E99" s="173"/>
      <x:c r="F99" s="170"/>
      <x:c r="G99" s="170"/>
      <x:c r="H99" s="170"/>
      <x:c r="I99" s="1"/>
      <x:c r="J99" s="1"/>
      <x:c r="K99" s="1"/>
      <x:c r="L99" s="1"/>
      <x:c r="M99" s="1"/>
      <x:c r="N99" s="1"/>
      <x:c r="O99" s="1"/>
      <x:c r="P99" s="1"/>
      <x:c r="Q99" s="1"/>
      <x:c r="R99" s="1"/>
      <x:c r="S99" s="1"/>
      <x:c r="T99" s="1"/>
      <x:c r="U99" s="1"/>
      <x:c r="V99" s="1"/>
      <x:c r="W99" s="1"/>
      <x:c r="X99" s="1"/>
      <x:c r="Y99" s="1"/>
      <x:c r="Z99" s="1"/>
    </x:row>
    <x:row r="100">
      <x:c r="A100" s="100" t="n">
        <x:f>A99+1</x:f>
        <x:v>95</x:v>
      </x:c>
      <x:c r="B100" s="171" t="n">
        <x:f>IF(A100&lt;='Your Mortgage'!$C$8*12,EDATE('Your Mortgage'!$C$9,A100-1),"")</x:f>
        <x:v>49096</x:v>
      </x:c>
      <x:c r="C100" s="172" t="n">
        <x:f>IF(B100="","",'Your Mortgage'!$C$11)</x:f>
        <x:v>2054.2210763521375</x:v>
      </x:c>
      <x:c r="D100" s="172" t="n">
        <x:f>IF(B100="","",'Your Mortgage'!$F$6+IF(A100='Your Mortgage'!$F$8,'Your Mortgage'!$F$7,0))</x:f>
        <x:v>250</x:v>
      </x:c>
      <x:c r="E100" s="173"/>
      <x:c r="F100" s="170"/>
      <x:c r="G100" s="170"/>
      <x:c r="H100" s="170"/>
      <x:c r="I100" s="1"/>
      <x:c r="J100" s="1"/>
      <x:c r="K100" s="1"/>
      <x:c r="L100" s="1"/>
      <x:c r="M100" s="1"/>
      <x:c r="N100" s="1"/>
      <x:c r="O100" s="1"/>
      <x:c r="P100" s="1"/>
      <x:c r="Q100" s="1"/>
      <x:c r="R100" s="1"/>
      <x:c r="S100" s="1"/>
      <x:c r="T100" s="1"/>
      <x:c r="U100" s="1"/>
      <x:c r="V100" s="1"/>
      <x:c r="W100" s="1"/>
      <x:c r="X100" s="1"/>
      <x:c r="Y100" s="1"/>
      <x:c r="Z100" s="1"/>
    </x:row>
    <x:row r="101">
      <x:c r="A101" s="100" t="n">
        <x:f>A100+1</x:f>
        <x:v>96</x:v>
      </x:c>
      <x:c r="B101" s="171" t="n">
        <x:f>IF(A101&lt;='Your Mortgage'!$C$8*12,EDATE('Your Mortgage'!$C$9,A101-1),"")</x:f>
        <x:v>49126</x:v>
      </x:c>
      <x:c r="C101" s="172" t="n">
        <x:f>IF(B101="","",'Your Mortgage'!$C$11)</x:f>
        <x:v>2054.2210763521375</x:v>
      </x:c>
      <x:c r="D101" s="172" t="n">
        <x:f>IF(B101="","",'Your Mortgage'!$F$6+IF(A101='Your Mortgage'!$F$8,'Your Mortgage'!$F$7,0))</x:f>
        <x:v>250</x:v>
      </x:c>
      <x:c r="E101" s="173"/>
      <x:c r="F101" s="170"/>
      <x:c r="G101" s="170"/>
      <x:c r="H101" s="170"/>
      <x:c r="I101" s="1"/>
      <x:c r="J101" s="1"/>
      <x:c r="K101" s="1"/>
      <x:c r="L101" s="1"/>
      <x:c r="M101" s="1"/>
      <x:c r="N101" s="1"/>
      <x:c r="O101" s="1"/>
      <x:c r="P101" s="1"/>
      <x:c r="Q101" s="1"/>
      <x:c r="R101" s="1"/>
      <x:c r="S101" s="1"/>
      <x:c r="T101" s="1"/>
      <x:c r="U101" s="1"/>
      <x:c r="V101" s="1"/>
      <x:c r="W101" s="1"/>
      <x:c r="X101" s="1"/>
      <x:c r="Y101" s="1"/>
      <x:c r="Z101" s="1"/>
    </x:row>
    <x:row r="102">
      <x:c r="A102" s="100" t="n">
        <x:f>A101+1</x:f>
        <x:v>97</x:v>
      </x:c>
      <x:c r="B102" s="171" t="n">
        <x:f>IF(A102&lt;='Your Mortgage'!$C$8*12,EDATE('Your Mortgage'!$C$9,A102-1),"")</x:f>
        <x:v>49157</x:v>
      </x:c>
      <x:c r="C102" s="172" t="n">
        <x:f>IF(B102="","",'Your Mortgage'!$C$11)</x:f>
        <x:v>2054.2210763521375</x:v>
      </x:c>
      <x:c r="D102" s="172" t="n">
        <x:f>IF(B102="","",'Your Mortgage'!$F$6+IF(A102='Your Mortgage'!$F$8,'Your Mortgage'!$F$7,0))</x:f>
        <x:v>250</x:v>
      </x:c>
      <x:c r="E102" s="173"/>
      <x:c r="F102" s="170"/>
      <x:c r="G102" s="170"/>
      <x:c r="H102" s="170"/>
      <x:c r="I102" s="1"/>
      <x:c r="J102" s="1"/>
      <x:c r="K102" s="1"/>
      <x:c r="L102" s="1"/>
      <x:c r="M102" s="1"/>
      <x:c r="N102" s="1"/>
      <x:c r="O102" s="1"/>
      <x:c r="P102" s="1"/>
      <x:c r="Q102" s="1"/>
      <x:c r="R102" s="1"/>
      <x:c r="S102" s="1"/>
      <x:c r="T102" s="1"/>
      <x:c r="U102" s="1"/>
      <x:c r="V102" s="1"/>
      <x:c r="W102" s="1"/>
      <x:c r="X102" s="1"/>
      <x:c r="Y102" s="1"/>
      <x:c r="Z102" s="1"/>
    </x:row>
    <x:row r="103">
      <x:c r="A103" s="100" t="n">
        <x:f>A102+1</x:f>
        <x:v>98</x:v>
      </x:c>
      <x:c r="B103" s="171" t="n">
        <x:f>IF(A103&lt;='Your Mortgage'!$C$8*12,EDATE('Your Mortgage'!$C$9,A103-1),"")</x:f>
        <x:v>49188</x:v>
      </x:c>
      <x:c r="C103" s="172" t="n">
        <x:f>IF(B103="","",'Your Mortgage'!$C$11)</x:f>
        <x:v>2054.2210763521375</x:v>
      </x:c>
      <x:c r="D103" s="172" t="n">
        <x:f>IF(B103="","",'Your Mortgage'!$F$6+IF(A103='Your Mortgage'!$F$8,'Your Mortgage'!$F$7,0))</x:f>
        <x:v>250</x:v>
      </x:c>
      <x:c r="E103" s="173"/>
      <x:c r="F103" s="170"/>
      <x:c r="G103" s="170"/>
      <x:c r="H103" s="170"/>
      <x:c r="I103" s="1"/>
      <x:c r="J103" s="1"/>
      <x:c r="K103" s="1"/>
      <x:c r="L103" s="1"/>
      <x:c r="M103" s="1"/>
      <x:c r="N103" s="1"/>
      <x:c r="O103" s="1"/>
      <x:c r="P103" s="1"/>
      <x:c r="Q103" s="1"/>
      <x:c r="R103" s="1"/>
      <x:c r="S103" s="1"/>
      <x:c r="T103" s="1"/>
      <x:c r="U103" s="1"/>
      <x:c r="V103" s="1"/>
      <x:c r="W103" s="1"/>
      <x:c r="X103" s="1"/>
      <x:c r="Y103" s="1"/>
      <x:c r="Z103" s="1"/>
    </x:row>
    <x:row r="104">
      <x:c r="A104" s="100" t="n">
        <x:f>A103+1</x:f>
        <x:v>99</x:v>
      </x:c>
      <x:c r="B104" s="171" t="n">
        <x:f>IF(A104&lt;='Your Mortgage'!$C$8*12,EDATE('Your Mortgage'!$C$9,A104-1),"")</x:f>
        <x:v>49218</x:v>
      </x:c>
      <x:c r="C104" s="172" t="n">
        <x:f>IF(B104="","",'Your Mortgage'!$C$11)</x:f>
        <x:v>2054.2210763521375</x:v>
      </x:c>
      <x:c r="D104" s="172" t="n">
        <x:f>IF(B104="","",'Your Mortgage'!$F$6+IF(A104='Your Mortgage'!$F$8,'Your Mortgage'!$F$7,0))</x:f>
        <x:v>250</x:v>
      </x:c>
      <x:c r="E104" s="173"/>
      <x:c r="F104" s="170"/>
      <x:c r="G104" s="170"/>
      <x:c r="H104" s="170"/>
      <x:c r="I104" s="1"/>
      <x:c r="J104" s="1"/>
      <x:c r="K104" s="1"/>
      <x:c r="L104" s="1"/>
      <x:c r="M104" s="1"/>
      <x:c r="N104" s="1"/>
      <x:c r="O104" s="1"/>
      <x:c r="P104" s="1"/>
      <x:c r="Q104" s="1"/>
      <x:c r="R104" s="1"/>
      <x:c r="S104" s="1"/>
      <x:c r="T104" s="1"/>
      <x:c r="U104" s="1"/>
      <x:c r="V104" s="1"/>
      <x:c r="W104" s="1"/>
      <x:c r="X104" s="1"/>
      <x:c r="Y104" s="1"/>
      <x:c r="Z104" s="1"/>
    </x:row>
    <x:row r="105">
      <x:c r="A105" s="100" t="n">
        <x:f>A104+1</x:f>
        <x:v>100</x:v>
      </x:c>
      <x:c r="B105" s="171" t="n">
        <x:f>IF(A105&lt;='Your Mortgage'!$C$8*12,EDATE('Your Mortgage'!$C$9,A105-1),"")</x:f>
        <x:v>49249</x:v>
      </x:c>
      <x:c r="C105" s="172" t="n">
        <x:f>IF(B105="","",'Your Mortgage'!$C$11)</x:f>
        <x:v>2054.2210763521375</x:v>
      </x:c>
      <x:c r="D105" s="172" t="n">
        <x:f>IF(B105="","",'Your Mortgage'!$F$6+IF(A105='Your Mortgage'!$F$8,'Your Mortgage'!$F$7,0))</x:f>
        <x:v>250</x:v>
      </x:c>
      <x:c r="E105" s="173"/>
      <x:c r="F105" s="170"/>
      <x:c r="G105" s="170"/>
      <x:c r="H105" s="170"/>
      <x:c r="I105" s="1"/>
      <x:c r="J105" s="1"/>
      <x:c r="K105" s="1"/>
      <x:c r="L105" s="1"/>
      <x:c r="M105" s="1"/>
      <x:c r="N105" s="1"/>
      <x:c r="O105" s="1"/>
      <x:c r="P105" s="1"/>
      <x:c r="Q105" s="1"/>
      <x:c r="R105" s="1"/>
      <x:c r="S105" s="1"/>
      <x:c r="T105" s="1"/>
      <x:c r="U105" s="1"/>
      <x:c r="V105" s="1"/>
      <x:c r="W105" s="1"/>
      <x:c r="X105" s="1"/>
      <x:c r="Y105" s="1"/>
      <x:c r="Z105" s="1"/>
    </x:row>
    <x:row r="106">
      <x:c r="A106" s="100" t="n">
        <x:f>A105+1</x:f>
        <x:v>101</x:v>
      </x:c>
      <x:c r="B106" s="171" t="n">
        <x:f>IF(A106&lt;='Your Mortgage'!$C$8*12,EDATE('Your Mortgage'!$C$9,A106-1),"")</x:f>
        <x:v>49279</x:v>
      </x:c>
      <x:c r="C106" s="172" t="n">
        <x:f>IF(B106="","",'Your Mortgage'!$C$11)</x:f>
        <x:v>2054.2210763521375</x:v>
      </x:c>
      <x:c r="D106" s="172" t="n">
        <x:f>IF(B106="","",'Your Mortgage'!$F$6+IF(A106='Your Mortgage'!$F$8,'Your Mortgage'!$F$7,0))</x:f>
        <x:v>250</x:v>
      </x:c>
      <x:c r="E106" s="173"/>
      <x:c r="F106" s="170"/>
      <x:c r="G106" s="170"/>
      <x:c r="H106" s="170"/>
      <x:c r="I106" s="1"/>
      <x:c r="J106" s="1"/>
      <x:c r="K106" s="1"/>
      <x:c r="L106" s="1"/>
      <x:c r="M106" s="1"/>
      <x:c r="N106" s="1"/>
      <x:c r="O106" s="1"/>
      <x:c r="P106" s="1"/>
      <x:c r="Q106" s="1"/>
      <x:c r="R106" s="1"/>
      <x:c r="S106" s="1"/>
      <x:c r="T106" s="1"/>
      <x:c r="U106" s="1"/>
      <x:c r="V106" s="1"/>
      <x:c r="W106" s="1"/>
      <x:c r="X106" s="1"/>
      <x:c r="Y106" s="1"/>
      <x:c r="Z106" s="1"/>
    </x:row>
    <x:row r="107">
      <x:c r="A107" s="100" t="n">
        <x:f>A106+1</x:f>
        <x:v>102</x:v>
      </x:c>
      <x:c r="B107" s="171" t="n">
        <x:f>IF(A107&lt;='Your Mortgage'!$C$8*12,EDATE('Your Mortgage'!$C$9,A107-1),"")</x:f>
        <x:v>49310</x:v>
      </x:c>
      <x:c r="C107" s="172" t="n">
        <x:f>IF(B107="","",'Your Mortgage'!$C$11)</x:f>
        <x:v>2054.2210763521375</x:v>
      </x:c>
      <x:c r="D107" s="172" t="n">
        <x:f>IF(B107="","",'Your Mortgage'!$F$6+IF(A107='Your Mortgage'!$F$8,'Your Mortgage'!$F$7,0))</x:f>
        <x:v>250</x:v>
      </x:c>
      <x:c r="E107" s="173"/>
      <x:c r="F107" s="170"/>
      <x:c r="G107" s="170"/>
      <x:c r="H107" s="170"/>
      <x:c r="I107" s="1"/>
      <x:c r="J107" s="1"/>
      <x:c r="K107" s="1"/>
      <x:c r="L107" s="1"/>
      <x:c r="M107" s="1"/>
      <x:c r="N107" s="1"/>
      <x:c r="O107" s="1"/>
      <x:c r="P107" s="1"/>
      <x:c r="Q107" s="1"/>
      <x:c r="R107" s="1"/>
      <x:c r="S107" s="1"/>
      <x:c r="T107" s="1"/>
      <x:c r="U107" s="1"/>
      <x:c r="V107" s="1"/>
      <x:c r="W107" s="1"/>
      <x:c r="X107" s="1"/>
      <x:c r="Y107" s="1"/>
      <x:c r="Z107" s="1"/>
    </x:row>
    <x:row r="108">
      <x:c r="A108" s="100" t="n">
        <x:f>A107+1</x:f>
        <x:v>103</x:v>
      </x:c>
      <x:c r="B108" s="171" t="n">
        <x:f>IF(A108&lt;='Your Mortgage'!$C$8*12,EDATE('Your Mortgage'!$C$9,A108-1),"")</x:f>
        <x:v>49341</x:v>
      </x:c>
      <x:c r="C108" s="172" t="n">
        <x:f>IF(B108="","",'Your Mortgage'!$C$11)</x:f>
        <x:v>2054.2210763521375</x:v>
      </x:c>
      <x:c r="D108" s="172" t="n">
        <x:f>IF(B108="","",'Your Mortgage'!$F$6+IF(A108='Your Mortgage'!$F$8,'Your Mortgage'!$F$7,0))</x:f>
        <x:v>250</x:v>
      </x:c>
      <x:c r="E108" s="173"/>
      <x:c r="F108" s="170"/>
      <x:c r="G108" s="170"/>
      <x:c r="H108" s="170"/>
      <x:c r="I108" s="1"/>
      <x:c r="J108" s="1"/>
      <x:c r="K108" s="1"/>
      <x:c r="L108" s="1"/>
      <x:c r="M108" s="1"/>
      <x:c r="N108" s="1"/>
      <x:c r="O108" s="1"/>
      <x:c r="P108" s="1"/>
      <x:c r="Q108" s="1"/>
      <x:c r="R108" s="1"/>
      <x:c r="S108" s="1"/>
      <x:c r="T108" s="1"/>
      <x:c r="U108" s="1"/>
      <x:c r="V108" s="1"/>
      <x:c r="W108" s="1"/>
      <x:c r="X108" s="1"/>
      <x:c r="Y108" s="1"/>
      <x:c r="Z108" s="1"/>
    </x:row>
    <x:row r="109">
      <x:c r="A109" s="100" t="n">
        <x:f>A108+1</x:f>
        <x:v>104</x:v>
      </x:c>
      <x:c r="B109" s="171" t="n">
        <x:f>IF(A109&lt;='Your Mortgage'!$C$8*12,EDATE('Your Mortgage'!$C$9,A109-1),"")</x:f>
        <x:v>49369</x:v>
      </x:c>
      <x:c r="C109" s="172" t="n">
        <x:f>IF(B109="","",'Your Mortgage'!$C$11)</x:f>
        <x:v>2054.2210763521375</x:v>
      </x:c>
      <x:c r="D109" s="172" t="n">
        <x:f>IF(B109="","",'Your Mortgage'!$F$6+IF(A109='Your Mortgage'!$F$8,'Your Mortgage'!$F$7,0))</x:f>
        <x:v>250</x:v>
      </x:c>
      <x:c r="E109" s="173"/>
      <x:c r="F109" s="170"/>
      <x:c r="G109" s="170"/>
      <x:c r="H109" s="170"/>
      <x:c r="I109" s="1"/>
      <x:c r="J109" s="1"/>
      <x:c r="K109" s="1"/>
      <x:c r="L109" s="1"/>
      <x:c r="M109" s="1"/>
      <x:c r="N109" s="1"/>
      <x:c r="O109" s="1"/>
      <x:c r="P109" s="1"/>
      <x:c r="Q109" s="1"/>
      <x:c r="R109" s="1"/>
      <x:c r="S109" s="1"/>
      <x:c r="T109" s="1"/>
      <x:c r="U109" s="1"/>
      <x:c r="V109" s="1"/>
      <x:c r="W109" s="1"/>
      <x:c r="X109" s="1"/>
      <x:c r="Y109" s="1"/>
      <x:c r="Z109" s="1"/>
    </x:row>
    <x:row r="110">
      <x:c r="A110" s="100" t="n">
        <x:f>A109+1</x:f>
        <x:v>105</x:v>
      </x:c>
      <x:c r="B110" s="171" t="n">
        <x:f>IF(A110&lt;='Your Mortgage'!$C$8*12,EDATE('Your Mortgage'!$C$9,A110-1),"")</x:f>
        <x:v>49400</x:v>
      </x:c>
      <x:c r="C110" s="172" t="n">
        <x:f>IF(B110="","",'Your Mortgage'!$C$11)</x:f>
        <x:v>2054.2210763521375</x:v>
      </x:c>
      <x:c r="D110" s="172" t="n">
        <x:f>IF(B110="","",'Your Mortgage'!$F$6+IF(A110='Your Mortgage'!$F$8,'Your Mortgage'!$F$7,0))</x:f>
        <x:v>250</x:v>
      </x:c>
      <x:c r="E110" s="173"/>
      <x:c r="F110" s="170"/>
      <x:c r="G110" s="170"/>
      <x:c r="H110" s="170"/>
      <x:c r="I110" s="1"/>
      <x:c r="J110" s="1"/>
      <x:c r="K110" s="1"/>
      <x:c r="L110" s="1"/>
      <x:c r="M110" s="1"/>
      <x:c r="N110" s="1"/>
      <x:c r="O110" s="1"/>
      <x:c r="P110" s="1"/>
      <x:c r="Q110" s="1"/>
      <x:c r="R110" s="1"/>
      <x:c r="S110" s="1"/>
      <x:c r="T110" s="1"/>
      <x:c r="U110" s="1"/>
      <x:c r="V110" s="1"/>
      <x:c r="W110" s="1"/>
      <x:c r="X110" s="1"/>
      <x:c r="Y110" s="1"/>
      <x:c r="Z110" s="1"/>
    </x:row>
    <x:row r="111">
      <x:c r="A111" s="100" t="n">
        <x:f>A110+1</x:f>
        <x:v>106</x:v>
      </x:c>
      <x:c r="B111" s="171" t="n">
        <x:f>IF(A111&lt;='Your Mortgage'!$C$8*12,EDATE('Your Mortgage'!$C$9,A111-1),"")</x:f>
        <x:v>49430</x:v>
      </x:c>
      <x:c r="C111" s="172" t="n">
        <x:f>IF(B111="","",'Your Mortgage'!$C$11)</x:f>
        <x:v>2054.2210763521375</x:v>
      </x:c>
      <x:c r="D111" s="172" t="n">
        <x:f>IF(B111="","",'Your Mortgage'!$F$6+IF(A111='Your Mortgage'!$F$8,'Your Mortgage'!$F$7,0))</x:f>
        <x:v>250</x:v>
      </x:c>
      <x:c r="E111" s="173"/>
      <x:c r="F111" s="170"/>
      <x:c r="G111" s="170"/>
      <x:c r="H111" s="170"/>
      <x:c r="I111" s="1"/>
      <x:c r="J111" s="1"/>
      <x:c r="K111" s="1"/>
      <x:c r="L111" s="1"/>
      <x:c r="M111" s="1"/>
      <x:c r="N111" s="1"/>
      <x:c r="O111" s="1"/>
      <x:c r="P111" s="1"/>
      <x:c r="Q111" s="1"/>
      <x:c r="R111" s="1"/>
      <x:c r="S111" s="1"/>
      <x:c r="T111" s="1"/>
      <x:c r="U111" s="1"/>
      <x:c r="V111" s="1"/>
      <x:c r="W111" s="1"/>
      <x:c r="X111" s="1"/>
      <x:c r="Y111" s="1"/>
      <x:c r="Z111" s="1"/>
    </x:row>
    <x:row r="112">
      <x:c r="A112" s="100" t="n">
        <x:f>A111+1</x:f>
        <x:v>107</x:v>
      </x:c>
      <x:c r="B112" s="171" t="n">
        <x:f>IF(A112&lt;='Your Mortgage'!$C$8*12,EDATE('Your Mortgage'!$C$9,A112-1),"")</x:f>
        <x:v>49461</x:v>
      </x:c>
      <x:c r="C112" s="172" t="n">
        <x:f>IF(B112="","",'Your Mortgage'!$C$11)</x:f>
        <x:v>2054.2210763521375</x:v>
      </x:c>
      <x:c r="D112" s="172" t="n">
        <x:f>IF(B112="","",'Your Mortgage'!$F$6+IF(A112='Your Mortgage'!$F$8,'Your Mortgage'!$F$7,0))</x:f>
        <x:v>250</x:v>
      </x:c>
      <x:c r="E112" s="173"/>
      <x:c r="F112" s="170"/>
      <x:c r="G112" s="170"/>
      <x:c r="H112" s="170"/>
      <x:c r="I112" s="1"/>
      <x:c r="J112" s="1"/>
      <x:c r="K112" s="1"/>
      <x:c r="L112" s="1"/>
      <x:c r="M112" s="1"/>
      <x:c r="N112" s="1"/>
      <x:c r="O112" s="1"/>
      <x:c r="P112" s="1"/>
      <x:c r="Q112" s="1"/>
      <x:c r="R112" s="1"/>
      <x:c r="S112" s="1"/>
      <x:c r="T112" s="1"/>
      <x:c r="U112" s="1"/>
      <x:c r="V112" s="1"/>
      <x:c r="W112" s="1"/>
      <x:c r="X112" s="1"/>
      <x:c r="Y112" s="1"/>
      <x:c r="Z112" s="1"/>
    </x:row>
    <x:row r="113">
      <x:c r="A113" s="100" t="n">
        <x:f>A112+1</x:f>
        <x:v>108</x:v>
      </x:c>
      <x:c r="B113" s="171" t="n">
        <x:f>IF(A113&lt;='Your Mortgage'!$C$8*12,EDATE('Your Mortgage'!$C$9,A113-1),"")</x:f>
        <x:v>49491</x:v>
      </x:c>
      <x:c r="C113" s="172" t="n">
        <x:f>IF(B113="","",'Your Mortgage'!$C$11)</x:f>
        <x:v>2054.2210763521375</x:v>
      </x:c>
      <x:c r="D113" s="172" t="n">
        <x:f>IF(B113="","",'Your Mortgage'!$F$6+IF(A113='Your Mortgage'!$F$8,'Your Mortgage'!$F$7,0))</x:f>
        <x:v>250</x:v>
      </x:c>
      <x:c r="E113" s="173"/>
      <x:c r="F113" s="170"/>
      <x:c r="G113" s="170"/>
      <x:c r="H113" s="170"/>
      <x:c r="I113" s="1"/>
      <x:c r="J113" s="1"/>
      <x:c r="K113" s="1"/>
      <x:c r="L113" s="1"/>
      <x:c r="M113" s="1"/>
      <x:c r="N113" s="1"/>
      <x:c r="O113" s="1"/>
      <x:c r="P113" s="1"/>
      <x:c r="Q113" s="1"/>
      <x:c r="R113" s="1"/>
      <x:c r="S113" s="1"/>
      <x:c r="T113" s="1"/>
      <x:c r="U113" s="1"/>
      <x:c r="V113" s="1"/>
      <x:c r="W113" s="1"/>
      <x:c r="X113" s="1"/>
      <x:c r="Y113" s="1"/>
      <x:c r="Z113" s="1"/>
    </x:row>
    <x:row r="114">
      <x:c r="A114" s="100" t="n">
        <x:f>A113+1</x:f>
        <x:v>109</x:v>
      </x:c>
      <x:c r="B114" s="171" t="n">
        <x:f>IF(A114&lt;='Your Mortgage'!$C$8*12,EDATE('Your Mortgage'!$C$9,A114-1),"")</x:f>
        <x:v>49522</x:v>
      </x:c>
      <x:c r="C114" s="172" t="n">
        <x:f>IF(B114="","",'Your Mortgage'!$C$11)</x:f>
        <x:v>2054.2210763521375</x:v>
      </x:c>
      <x:c r="D114" s="172" t="n">
        <x:f>IF(B114="","",'Your Mortgage'!$F$6+IF(A114='Your Mortgage'!$F$8,'Your Mortgage'!$F$7,0))</x:f>
        <x:v>250</x:v>
      </x:c>
      <x:c r="E114" s="173"/>
      <x:c r="F114" s="170"/>
      <x:c r="G114" s="170"/>
      <x:c r="H114" s="170"/>
      <x:c r="I114" s="1"/>
      <x:c r="J114" s="1"/>
      <x:c r="K114" s="1"/>
      <x:c r="L114" s="1"/>
      <x:c r="M114" s="1"/>
      <x:c r="N114" s="1"/>
      <x:c r="O114" s="1"/>
      <x:c r="P114" s="1"/>
      <x:c r="Q114" s="1"/>
      <x:c r="R114" s="1"/>
      <x:c r="S114" s="1"/>
      <x:c r="T114" s="1"/>
      <x:c r="U114" s="1"/>
      <x:c r="V114" s="1"/>
      <x:c r="W114" s="1"/>
      <x:c r="X114" s="1"/>
      <x:c r="Y114" s="1"/>
      <x:c r="Z114" s="1"/>
    </x:row>
    <x:row r="115">
      <x:c r="A115" s="100" t="n">
        <x:f>A114+1</x:f>
        <x:v>110</x:v>
      </x:c>
      <x:c r="B115" s="171" t="n">
        <x:f>IF(A115&lt;='Your Mortgage'!$C$8*12,EDATE('Your Mortgage'!$C$9,A115-1),"")</x:f>
        <x:v>49553</x:v>
      </x:c>
      <x:c r="C115" s="172" t="n">
        <x:f>IF(B115="","",'Your Mortgage'!$C$11)</x:f>
        <x:v>2054.2210763521375</x:v>
      </x:c>
      <x:c r="D115" s="172" t="n">
        <x:f>IF(B115="","",'Your Mortgage'!$F$6+IF(A115='Your Mortgage'!$F$8,'Your Mortgage'!$F$7,0))</x:f>
        <x:v>250</x:v>
      </x:c>
      <x:c r="E115" s="173"/>
      <x:c r="F115" s="170"/>
      <x:c r="G115" s="170"/>
      <x:c r="H115" s="170"/>
      <x:c r="I115" s="1"/>
      <x:c r="J115" s="1"/>
      <x:c r="K115" s="1"/>
      <x:c r="L115" s="1"/>
      <x:c r="M115" s="1"/>
      <x:c r="N115" s="1"/>
      <x:c r="O115" s="1"/>
      <x:c r="P115" s="1"/>
      <x:c r="Q115" s="1"/>
      <x:c r="R115" s="1"/>
      <x:c r="S115" s="1"/>
      <x:c r="T115" s="1"/>
      <x:c r="U115" s="1"/>
      <x:c r="V115" s="1"/>
      <x:c r="W115" s="1"/>
      <x:c r="X115" s="1"/>
      <x:c r="Y115" s="1"/>
      <x:c r="Z115" s="1"/>
    </x:row>
    <x:row r="116">
      <x:c r="A116" s="100" t="n">
        <x:f>A115+1</x:f>
        <x:v>111</x:v>
      </x:c>
      <x:c r="B116" s="171" t="n">
        <x:f>IF(A116&lt;='Your Mortgage'!$C$8*12,EDATE('Your Mortgage'!$C$9,A116-1),"")</x:f>
        <x:v>49583</x:v>
      </x:c>
      <x:c r="C116" s="172" t="n">
        <x:f>IF(B116="","",'Your Mortgage'!$C$11)</x:f>
        <x:v>2054.2210763521375</x:v>
      </x:c>
      <x:c r="D116" s="172" t="n">
        <x:f>IF(B116="","",'Your Mortgage'!$F$6+IF(A116='Your Mortgage'!$F$8,'Your Mortgage'!$F$7,0))</x:f>
        <x:v>250</x:v>
      </x:c>
      <x:c r="E116" s="173"/>
      <x:c r="F116" s="170"/>
      <x:c r="G116" s="170"/>
      <x:c r="H116" s="170"/>
      <x:c r="I116" s="1"/>
      <x:c r="J116" s="1"/>
      <x:c r="K116" s="1"/>
      <x:c r="L116" s="1"/>
      <x:c r="M116" s="1"/>
      <x:c r="N116" s="1"/>
      <x:c r="O116" s="1"/>
      <x:c r="P116" s="1"/>
      <x:c r="Q116" s="1"/>
      <x:c r="R116" s="1"/>
      <x:c r="S116" s="1"/>
      <x:c r="T116" s="1"/>
      <x:c r="U116" s="1"/>
      <x:c r="V116" s="1"/>
      <x:c r="W116" s="1"/>
      <x:c r="X116" s="1"/>
      <x:c r="Y116" s="1"/>
      <x:c r="Z116" s="1"/>
    </x:row>
    <x:row r="117">
      <x:c r="A117" s="100" t="n">
        <x:f>A116+1</x:f>
        <x:v>112</x:v>
      </x:c>
      <x:c r="B117" s="171" t="n">
        <x:f>IF(A117&lt;='Your Mortgage'!$C$8*12,EDATE('Your Mortgage'!$C$9,A117-1),"")</x:f>
        <x:v>49614</x:v>
      </x:c>
      <x:c r="C117" s="172" t="n">
        <x:f>IF(B117="","",'Your Mortgage'!$C$11)</x:f>
        <x:v>2054.2210763521375</x:v>
      </x:c>
      <x:c r="D117" s="172" t="n">
        <x:f>IF(B117="","",'Your Mortgage'!$F$6+IF(A117='Your Mortgage'!$F$8,'Your Mortgage'!$F$7,0))</x:f>
        <x:v>250</x:v>
      </x:c>
      <x:c r="E117" s="173"/>
      <x:c r="F117" s="170"/>
      <x:c r="G117" s="170"/>
      <x:c r="H117" s="170"/>
      <x:c r="I117" s="1"/>
      <x:c r="J117" s="1"/>
      <x:c r="K117" s="1"/>
      <x:c r="L117" s="1"/>
      <x:c r="M117" s="1"/>
      <x:c r="N117" s="1"/>
      <x:c r="O117" s="1"/>
      <x:c r="P117" s="1"/>
      <x:c r="Q117" s="1"/>
      <x:c r="R117" s="1"/>
      <x:c r="S117" s="1"/>
      <x:c r="T117" s="1"/>
      <x:c r="U117" s="1"/>
      <x:c r="V117" s="1"/>
      <x:c r="W117" s="1"/>
      <x:c r="X117" s="1"/>
      <x:c r="Y117" s="1"/>
      <x:c r="Z117" s="1"/>
    </x:row>
    <x:row r="118">
      <x:c r="A118" s="100" t="n">
        <x:f>A117+1</x:f>
        <x:v>113</x:v>
      </x:c>
      <x:c r="B118" s="171" t="n">
        <x:f>IF(A118&lt;='Your Mortgage'!$C$8*12,EDATE('Your Mortgage'!$C$9,A118-1),"")</x:f>
        <x:v>49644</x:v>
      </x:c>
      <x:c r="C118" s="172" t="n">
        <x:f>IF(B118="","",'Your Mortgage'!$C$11)</x:f>
        <x:v>2054.2210763521375</x:v>
      </x:c>
      <x:c r="D118" s="172" t="n">
        <x:f>IF(B118="","",'Your Mortgage'!$F$6+IF(A118='Your Mortgage'!$F$8,'Your Mortgage'!$F$7,0))</x:f>
        <x:v>250</x:v>
      </x:c>
      <x:c r="E118" s="173"/>
      <x:c r="F118" s="170"/>
      <x:c r="G118" s="170"/>
      <x:c r="H118" s="170"/>
      <x:c r="I118" s="1"/>
      <x:c r="J118" s="1"/>
      <x:c r="K118" s="1"/>
      <x:c r="L118" s="1"/>
      <x:c r="M118" s="1"/>
      <x:c r="N118" s="1"/>
      <x:c r="O118" s="1"/>
      <x:c r="P118" s="1"/>
      <x:c r="Q118" s="1"/>
      <x:c r="R118" s="1"/>
      <x:c r="S118" s="1"/>
      <x:c r="T118" s="1"/>
      <x:c r="U118" s="1"/>
      <x:c r="V118" s="1"/>
      <x:c r="W118" s="1"/>
      <x:c r="X118" s="1"/>
      <x:c r="Y118" s="1"/>
      <x:c r="Z118" s="1"/>
    </x:row>
    <x:row r="119">
      <x:c r="A119" s="100" t="n">
        <x:f>A118+1</x:f>
        <x:v>114</x:v>
      </x:c>
      <x:c r="B119" s="171" t="n">
        <x:f>IF(A119&lt;='Your Mortgage'!$C$8*12,EDATE('Your Mortgage'!$C$9,A119-1),"")</x:f>
        <x:v>49675</x:v>
      </x:c>
      <x:c r="C119" s="172" t="n">
        <x:f>IF(B119="","",'Your Mortgage'!$C$11)</x:f>
        <x:v>2054.2210763521375</x:v>
      </x:c>
      <x:c r="D119" s="172" t="n">
        <x:f>IF(B119="","",'Your Mortgage'!$F$6+IF(A119='Your Mortgage'!$F$8,'Your Mortgage'!$F$7,0))</x:f>
        <x:v>250</x:v>
      </x:c>
      <x:c r="E119" s="173"/>
      <x:c r="F119" s="170"/>
      <x:c r="G119" s="170"/>
      <x:c r="H119" s="170"/>
      <x:c r="I119" s="1"/>
      <x:c r="J119" s="1"/>
      <x:c r="K119" s="1"/>
      <x:c r="L119" s="1"/>
      <x:c r="M119" s="1"/>
      <x:c r="N119" s="1"/>
      <x:c r="O119" s="1"/>
      <x:c r="P119" s="1"/>
      <x:c r="Q119" s="1"/>
      <x:c r="R119" s="1"/>
      <x:c r="S119" s="1"/>
      <x:c r="T119" s="1"/>
      <x:c r="U119" s="1"/>
      <x:c r="V119" s="1"/>
      <x:c r="W119" s="1"/>
      <x:c r="X119" s="1"/>
      <x:c r="Y119" s="1"/>
      <x:c r="Z119" s="1"/>
    </x:row>
    <x:row r="120">
      <x:c r="A120" s="100" t="n">
        <x:f>A119+1</x:f>
        <x:v>115</x:v>
      </x:c>
      <x:c r="B120" s="171" t="n">
        <x:f>IF(A120&lt;='Your Mortgage'!$C$8*12,EDATE('Your Mortgage'!$C$9,A120-1),"")</x:f>
        <x:v>49706</x:v>
      </x:c>
      <x:c r="C120" s="172" t="n">
        <x:f>IF(B120="","",'Your Mortgage'!$C$11)</x:f>
        <x:v>2054.2210763521375</x:v>
      </x:c>
      <x:c r="D120" s="172" t="n">
        <x:f>IF(B120="","",'Your Mortgage'!$F$6+IF(A120='Your Mortgage'!$F$8,'Your Mortgage'!$F$7,0))</x:f>
        <x:v>250</x:v>
      </x:c>
      <x:c r="E120" s="173"/>
      <x:c r="F120" s="170"/>
      <x:c r="G120" s="170"/>
      <x:c r="H120" s="170"/>
      <x:c r="I120" s="1"/>
      <x:c r="J120" s="1"/>
      <x:c r="K120" s="1"/>
      <x:c r="L120" s="1"/>
      <x:c r="M120" s="1"/>
      <x:c r="N120" s="1"/>
      <x:c r="O120" s="1"/>
      <x:c r="P120" s="1"/>
      <x:c r="Q120" s="1"/>
      <x:c r="R120" s="1"/>
      <x:c r="S120" s="1"/>
      <x:c r="T120" s="1"/>
      <x:c r="U120" s="1"/>
      <x:c r="V120" s="1"/>
      <x:c r="W120" s="1"/>
      <x:c r="X120" s="1"/>
      <x:c r="Y120" s="1"/>
      <x:c r="Z120" s="1"/>
    </x:row>
    <x:row r="121">
      <x:c r="A121" s="100" t="n">
        <x:f>A120+1</x:f>
        <x:v>116</x:v>
      </x:c>
      <x:c r="B121" s="171" t="n">
        <x:f>IF(A121&lt;='Your Mortgage'!$C$8*12,EDATE('Your Mortgage'!$C$9,A121-1),"")</x:f>
        <x:v>49735</x:v>
      </x:c>
      <x:c r="C121" s="172" t="n">
        <x:f>IF(B121="","",'Your Mortgage'!$C$11)</x:f>
        <x:v>2054.2210763521375</x:v>
      </x:c>
      <x:c r="D121" s="172" t="n">
        <x:f>IF(B121="","",'Your Mortgage'!$F$6+IF(A121='Your Mortgage'!$F$8,'Your Mortgage'!$F$7,0))</x:f>
        <x:v>250</x:v>
      </x:c>
      <x:c r="E121" s="173"/>
      <x:c r="F121" s="170"/>
      <x:c r="G121" s="170"/>
      <x:c r="H121" s="170"/>
      <x:c r="I121" s="1"/>
      <x:c r="J121" s="1"/>
      <x:c r="K121" s="1"/>
      <x:c r="L121" s="1"/>
      <x:c r="M121" s="1"/>
      <x:c r="N121" s="1"/>
      <x:c r="O121" s="1"/>
      <x:c r="P121" s="1"/>
      <x:c r="Q121" s="1"/>
      <x:c r="R121" s="1"/>
      <x:c r="S121" s="1"/>
      <x:c r="T121" s="1"/>
      <x:c r="U121" s="1"/>
      <x:c r="V121" s="1"/>
      <x:c r="W121" s="1"/>
      <x:c r="X121" s="1"/>
      <x:c r="Y121" s="1"/>
      <x:c r="Z121" s="1"/>
    </x:row>
    <x:row r="122">
      <x:c r="A122" s="100" t="n">
        <x:f>A121+1</x:f>
        <x:v>117</x:v>
      </x:c>
      <x:c r="B122" s="171" t="n">
        <x:f>IF(A122&lt;='Your Mortgage'!$C$8*12,EDATE('Your Mortgage'!$C$9,A122-1),"")</x:f>
        <x:v>49766</x:v>
      </x:c>
      <x:c r="C122" s="172" t="n">
        <x:f>IF(B122="","",'Your Mortgage'!$C$11)</x:f>
        <x:v>2054.2210763521375</x:v>
      </x:c>
      <x:c r="D122" s="172" t="n">
        <x:f>IF(B122="","",'Your Mortgage'!$F$6+IF(A122='Your Mortgage'!$F$8,'Your Mortgage'!$F$7,0))</x:f>
        <x:v>250</x:v>
      </x:c>
      <x:c r="E122" s="173"/>
      <x:c r="F122" s="170"/>
      <x:c r="G122" s="170"/>
      <x:c r="H122" s="170"/>
      <x:c r="I122" s="1"/>
      <x:c r="J122" s="1"/>
      <x:c r="K122" s="1"/>
      <x:c r="L122" s="1"/>
      <x:c r="M122" s="1"/>
      <x:c r="N122" s="1"/>
      <x:c r="O122" s="1"/>
      <x:c r="P122" s="1"/>
      <x:c r="Q122" s="1"/>
      <x:c r="R122" s="1"/>
      <x:c r="S122" s="1"/>
      <x:c r="T122" s="1"/>
      <x:c r="U122" s="1"/>
      <x:c r="V122" s="1"/>
      <x:c r="W122" s="1"/>
      <x:c r="X122" s="1"/>
      <x:c r="Y122" s="1"/>
      <x:c r="Z122" s="1"/>
    </x:row>
    <x:row r="123">
      <x:c r="A123" s="100" t="n">
        <x:f>A122+1</x:f>
        <x:v>118</x:v>
      </x:c>
      <x:c r="B123" s="171" t="n">
        <x:f>IF(A123&lt;='Your Mortgage'!$C$8*12,EDATE('Your Mortgage'!$C$9,A123-1),"")</x:f>
        <x:v>49796</x:v>
      </x:c>
      <x:c r="C123" s="172" t="n">
        <x:f>IF(B123="","",'Your Mortgage'!$C$11)</x:f>
        <x:v>2054.2210763521375</x:v>
      </x:c>
      <x:c r="D123" s="172" t="n">
        <x:f>IF(B123="","",'Your Mortgage'!$F$6+IF(A123='Your Mortgage'!$F$8,'Your Mortgage'!$F$7,0))</x:f>
        <x:v>250</x:v>
      </x:c>
      <x:c r="E123" s="173"/>
      <x:c r="F123" s="170"/>
      <x:c r="G123" s="170"/>
      <x:c r="H123" s="170"/>
      <x:c r="I123" s="1"/>
      <x:c r="J123" s="1"/>
      <x:c r="K123" s="1"/>
      <x:c r="L123" s="1"/>
      <x:c r="M123" s="1"/>
      <x:c r="N123" s="1"/>
      <x:c r="O123" s="1"/>
      <x:c r="P123" s="1"/>
      <x:c r="Q123" s="1"/>
      <x:c r="R123" s="1"/>
      <x:c r="S123" s="1"/>
      <x:c r="T123" s="1"/>
      <x:c r="U123" s="1"/>
      <x:c r="V123" s="1"/>
      <x:c r="W123" s="1"/>
      <x:c r="X123" s="1"/>
      <x:c r="Y123" s="1"/>
      <x:c r="Z123" s="1"/>
    </x:row>
    <x:row r="124">
      <x:c r="A124" s="100" t="n">
        <x:f>A123+1</x:f>
        <x:v>119</x:v>
      </x:c>
      <x:c r="B124" s="171" t="n">
        <x:f>IF(A124&lt;='Your Mortgage'!$C$8*12,EDATE('Your Mortgage'!$C$9,A124-1),"")</x:f>
        <x:v>49827</x:v>
      </x:c>
      <x:c r="C124" s="172" t="n">
        <x:f>IF(B124="","",'Your Mortgage'!$C$11)</x:f>
        <x:v>2054.2210763521375</x:v>
      </x:c>
      <x:c r="D124" s="172" t="n">
        <x:f>IF(B124="","",'Your Mortgage'!$F$6+IF(A124='Your Mortgage'!$F$8,'Your Mortgage'!$F$7,0))</x:f>
        <x:v>250</x:v>
      </x:c>
      <x:c r="E124" s="173"/>
      <x:c r="F124" s="170"/>
      <x:c r="G124" s="170"/>
      <x:c r="H124" s="170"/>
      <x:c r="I124" s="1"/>
      <x:c r="J124" s="1"/>
      <x:c r="K124" s="1"/>
      <x:c r="L124" s="1"/>
      <x:c r="M124" s="1"/>
      <x:c r="N124" s="1"/>
      <x:c r="O124" s="1"/>
      <x:c r="P124" s="1"/>
      <x:c r="Q124" s="1"/>
      <x:c r="R124" s="1"/>
      <x:c r="S124" s="1"/>
      <x:c r="T124" s="1"/>
      <x:c r="U124" s="1"/>
      <x:c r="V124" s="1"/>
      <x:c r="W124" s="1"/>
      <x:c r="X124" s="1"/>
      <x:c r="Y124" s="1"/>
      <x:c r="Z124" s="1"/>
    </x:row>
    <x:row r="125">
      <x:c r="A125" s="100" t="n">
        <x:f>A124+1</x:f>
        <x:v>120</x:v>
      </x:c>
      <x:c r="B125" s="171" t="n">
        <x:f>IF(A125&lt;='Your Mortgage'!$C$8*12,EDATE('Your Mortgage'!$C$9,A125-1),"")</x:f>
        <x:v>49857</x:v>
      </x:c>
      <x:c r="C125" s="172" t="n">
        <x:f>IF(B125="","",'Your Mortgage'!$C$11)</x:f>
        <x:v>2054.2210763521375</x:v>
      </x:c>
      <x:c r="D125" s="172" t="n">
        <x:f>IF(B125="","",'Your Mortgage'!$F$6+IF(A125='Your Mortgage'!$F$8,'Your Mortgage'!$F$7,0))</x:f>
        <x:v>250</x:v>
      </x:c>
      <x:c r="E125" s="173"/>
      <x:c r="F125" s="170"/>
      <x:c r="G125" s="170"/>
      <x:c r="H125" s="170"/>
      <x:c r="I125" s="1"/>
      <x:c r="J125" s="1"/>
      <x:c r="K125" s="1"/>
      <x:c r="L125" s="1"/>
      <x:c r="M125" s="1"/>
      <x:c r="N125" s="1"/>
      <x:c r="O125" s="1"/>
      <x:c r="P125" s="1"/>
      <x:c r="Q125" s="1"/>
      <x:c r="R125" s="1"/>
      <x:c r="S125" s="1"/>
      <x:c r="T125" s="1"/>
      <x:c r="U125" s="1"/>
      <x:c r="V125" s="1"/>
      <x:c r="W125" s="1"/>
      <x:c r="X125" s="1"/>
      <x:c r="Y125" s="1"/>
      <x:c r="Z125" s="1"/>
    </x:row>
    <x:row r="126">
      <x:c r="A126" s="100" t="n">
        <x:f>A125+1</x:f>
        <x:v>121</x:v>
      </x:c>
      <x:c r="B126" s="171" t="n">
        <x:f>IF(A126&lt;='Your Mortgage'!$C$8*12,EDATE('Your Mortgage'!$C$9,A126-1),"")</x:f>
        <x:v>49888</x:v>
      </x:c>
      <x:c r="C126" s="172" t="n">
        <x:f>IF(B126="","",'Your Mortgage'!$C$11)</x:f>
        <x:v>2054.2210763521375</x:v>
      </x:c>
      <x:c r="D126" s="172" t="n">
        <x:f>IF(B126="","",'Your Mortgage'!$F$6+IF(A126='Your Mortgage'!$F$8,'Your Mortgage'!$F$7,0))</x:f>
        <x:v>250</x:v>
      </x:c>
      <x:c r="E126" s="173"/>
      <x:c r="F126" s="170"/>
      <x:c r="G126" s="170"/>
      <x:c r="H126" s="170"/>
      <x:c r="I126" s="1"/>
      <x:c r="J126" s="1"/>
      <x:c r="K126" s="1"/>
      <x:c r="L126" s="1"/>
      <x:c r="M126" s="1"/>
      <x:c r="N126" s="1"/>
      <x:c r="O126" s="1"/>
      <x:c r="P126" s="1"/>
      <x:c r="Q126" s="1"/>
      <x:c r="R126" s="1"/>
      <x:c r="S126" s="1"/>
      <x:c r="T126" s="1"/>
      <x:c r="U126" s="1"/>
      <x:c r="V126" s="1"/>
      <x:c r="W126" s="1"/>
      <x:c r="X126" s="1"/>
      <x:c r="Y126" s="1"/>
      <x:c r="Z126" s="1"/>
    </x:row>
    <x:row r="127">
      <x:c r="A127" s="100" t="n">
        <x:f>A126+1</x:f>
        <x:v>122</x:v>
      </x:c>
      <x:c r="B127" s="171" t="n">
        <x:f>IF(A127&lt;='Your Mortgage'!$C$8*12,EDATE('Your Mortgage'!$C$9,A127-1),"")</x:f>
        <x:v>49919</x:v>
      </x:c>
      <x:c r="C127" s="172" t="n">
        <x:f>IF(B127="","",'Your Mortgage'!$C$11)</x:f>
        <x:v>2054.2210763521375</x:v>
      </x:c>
      <x:c r="D127" s="172" t="n">
        <x:f>IF(B127="","",'Your Mortgage'!$F$6+IF(A127='Your Mortgage'!$F$8,'Your Mortgage'!$F$7,0))</x:f>
        <x:v>250</x:v>
      </x:c>
      <x:c r="E127" s="173"/>
      <x:c r="F127" s="170"/>
      <x:c r="G127" s="170"/>
      <x:c r="H127" s="170"/>
      <x:c r="I127" s="1"/>
      <x:c r="J127" s="1"/>
      <x:c r="K127" s="1"/>
      <x:c r="L127" s="1"/>
      <x:c r="M127" s="1"/>
      <x:c r="N127" s="1"/>
      <x:c r="O127" s="1"/>
      <x:c r="P127" s="1"/>
      <x:c r="Q127" s="1"/>
      <x:c r="R127" s="1"/>
      <x:c r="S127" s="1"/>
      <x:c r="T127" s="1"/>
      <x:c r="U127" s="1"/>
      <x:c r="V127" s="1"/>
      <x:c r="W127" s="1"/>
      <x:c r="X127" s="1"/>
      <x:c r="Y127" s="1"/>
      <x:c r="Z127" s="1"/>
    </x:row>
    <x:row r="128">
      <x:c r="A128" s="100" t="n">
        <x:f>A127+1</x:f>
        <x:v>123</x:v>
      </x:c>
      <x:c r="B128" s="171" t="n">
        <x:f>IF(A128&lt;='Your Mortgage'!$C$8*12,EDATE('Your Mortgage'!$C$9,A128-1),"")</x:f>
        <x:v>49949</x:v>
      </x:c>
      <x:c r="C128" s="172" t="n">
        <x:f>IF(B128="","",'Your Mortgage'!$C$11)</x:f>
        <x:v>2054.2210763521375</x:v>
      </x:c>
      <x:c r="D128" s="172" t="n">
        <x:f>IF(B128="","",'Your Mortgage'!$F$6+IF(A128='Your Mortgage'!$F$8,'Your Mortgage'!$F$7,0))</x:f>
        <x:v>250</x:v>
      </x:c>
      <x:c r="E128" s="173"/>
      <x:c r="F128" s="170"/>
      <x:c r="G128" s="170"/>
      <x:c r="H128" s="170"/>
      <x:c r="I128" s="1"/>
      <x:c r="J128" s="1"/>
      <x:c r="K128" s="1"/>
      <x:c r="L128" s="1"/>
      <x:c r="M128" s="1"/>
      <x:c r="N128" s="1"/>
      <x:c r="O128" s="1"/>
      <x:c r="P128" s="1"/>
      <x:c r="Q128" s="1"/>
      <x:c r="R128" s="1"/>
      <x:c r="S128" s="1"/>
      <x:c r="T128" s="1"/>
      <x:c r="U128" s="1"/>
      <x:c r="V128" s="1"/>
      <x:c r="W128" s="1"/>
      <x:c r="X128" s="1"/>
      <x:c r="Y128" s="1"/>
      <x:c r="Z128" s="1"/>
    </x:row>
    <x:row r="129">
      <x:c r="A129" s="100" t="n">
        <x:f>A128+1</x:f>
        <x:v>124</x:v>
      </x:c>
      <x:c r="B129" s="171" t="n">
        <x:f>IF(A129&lt;='Your Mortgage'!$C$8*12,EDATE('Your Mortgage'!$C$9,A129-1),"")</x:f>
        <x:v>49980</x:v>
      </x:c>
      <x:c r="C129" s="172" t="n">
        <x:f>IF(B129="","",'Your Mortgage'!$C$11)</x:f>
        <x:v>2054.2210763521375</x:v>
      </x:c>
      <x:c r="D129" s="172" t="n">
        <x:f>IF(B129="","",'Your Mortgage'!$F$6+IF(A129='Your Mortgage'!$F$8,'Your Mortgage'!$F$7,0))</x:f>
        <x:v>250</x:v>
      </x:c>
      <x:c r="E129" s="173"/>
      <x:c r="F129" s="170"/>
      <x:c r="G129" s="170"/>
      <x:c r="H129" s="170"/>
      <x:c r="I129" s="1"/>
      <x:c r="J129" s="1"/>
      <x:c r="K129" s="1"/>
      <x:c r="L129" s="1"/>
      <x:c r="M129" s="1"/>
      <x:c r="N129" s="1"/>
      <x:c r="O129" s="1"/>
      <x:c r="P129" s="1"/>
      <x:c r="Q129" s="1"/>
      <x:c r="R129" s="1"/>
      <x:c r="S129" s="1"/>
      <x:c r="T129" s="1"/>
      <x:c r="U129" s="1"/>
      <x:c r="V129" s="1"/>
      <x:c r="W129" s="1"/>
      <x:c r="X129" s="1"/>
      <x:c r="Y129" s="1"/>
      <x:c r="Z129" s="1"/>
    </x:row>
    <x:row r="130">
      <x:c r="A130" s="100" t="n">
        <x:f>A129+1</x:f>
        <x:v>125</x:v>
      </x:c>
      <x:c r="B130" s="171" t="n">
        <x:f>IF(A130&lt;='Your Mortgage'!$C$8*12,EDATE('Your Mortgage'!$C$9,A130-1),"")</x:f>
        <x:v>50010</x:v>
      </x:c>
      <x:c r="C130" s="172" t="n">
        <x:f>IF(B130="","",'Your Mortgage'!$C$11)</x:f>
        <x:v>2054.2210763521375</x:v>
      </x:c>
      <x:c r="D130" s="172" t="n">
        <x:f>IF(B130="","",'Your Mortgage'!$F$6+IF(A130='Your Mortgage'!$F$8,'Your Mortgage'!$F$7,0))</x:f>
        <x:v>250</x:v>
      </x:c>
      <x:c r="E130" s="173"/>
      <x:c r="F130" s="170"/>
      <x:c r="G130" s="170"/>
      <x:c r="H130" s="170"/>
      <x:c r="I130" s="1"/>
      <x:c r="J130" s="1"/>
      <x:c r="K130" s="1"/>
      <x:c r="L130" s="1"/>
      <x:c r="M130" s="1"/>
      <x:c r="N130" s="1"/>
      <x:c r="O130" s="1"/>
      <x:c r="P130" s="1"/>
      <x:c r="Q130" s="1"/>
      <x:c r="R130" s="1"/>
      <x:c r="S130" s="1"/>
      <x:c r="T130" s="1"/>
      <x:c r="U130" s="1"/>
      <x:c r="V130" s="1"/>
      <x:c r="W130" s="1"/>
      <x:c r="X130" s="1"/>
      <x:c r="Y130" s="1"/>
      <x:c r="Z130" s="1"/>
    </x:row>
    <x:row r="131">
      <x:c r="A131" s="100" t="n">
        <x:f>A130+1</x:f>
        <x:v>126</x:v>
      </x:c>
      <x:c r="B131" s="171" t="n">
        <x:f>IF(A131&lt;='Your Mortgage'!$C$8*12,EDATE('Your Mortgage'!$C$9,A131-1),"")</x:f>
        <x:v>50041</x:v>
      </x:c>
      <x:c r="C131" s="172" t="n">
        <x:f>IF(B131="","",'Your Mortgage'!$C$11)</x:f>
        <x:v>2054.2210763521375</x:v>
      </x:c>
      <x:c r="D131" s="172" t="n">
        <x:f>IF(B131="","",'Your Mortgage'!$F$6+IF(A131='Your Mortgage'!$F$8,'Your Mortgage'!$F$7,0))</x:f>
        <x:v>250</x:v>
      </x:c>
      <x:c r="E131" s="173"/>
      <x:c r="F131" s="170"/>
      <x:c r="G131" s="170"/>
      <x:c r="H131" s="170"/>
      <x:c r="I131" s="1"/>
      <x:c r="J131" s="1"/>
      <x:c r="K131" s="1"/>
      <x:c r="L131" s="1"/>
      <x:c r="M131" s="1"/>
      <x:c r="N131" s="1"/>
      <x:c r="O131" s="1"/>
      <x:c r="P131" s="1"/>
      <x:c r="Q131" s="1"/>
      <x:c r="R131" s="1"/>
      <x:c r="S131" s="1"/>
      <x:c r="T131" s="1"/>
      <x:c r="U131" s="1"/>
      <x:c r="V131" s="1"/>
      <x:c r="W131" s="1"/>
      <x:c r="X131" s="1"/>
      <x:c r="Y131" s="1"/>
      <x:c r="Z131" s="1"/>
    </x:row>
    <x:row r="132">
      <x:c r="A132" s="100" t="n">
        <x:f>A131+1</x:f>
        <x:v>127</x:v>
      </x:c>
      <x:c r="B132" s="171" t="n">
        <x:f>IF(A132&lt;='Your Mortgage'!$C$8*12,EDATE('Your Mortgage'!$C$9,A132-1),"")</x:f>
        <x:v>50072</x:v>
      </x:c>
      <x:c r="C132" s="172" t="n">
        <x:f>IF(B132="","",'Your Mortgage'!$C$11)</x:f>
        <x:v>2054.2210763521375</x:v>
      </x:c>
      <x:c r="D132" s="172" t="n">
        <x:f>IF(B132="","",'Your Mortgage'!$F$6+IF(A132='Your Mortgage'!$F$8,'Your Mortgage'!$F$7,0))</x:f>
        <x:v>250</x:v>
      </x:c>
      <x:c r="E132" s="173"/>
      <x:c r="F132" s="170"/>
      <x:c r="G132" s="170"/>
      <x:c r="H132" s="170"/>
      <x:c r="I132" s="1"/>
      <x:c r="J132" s="1"/>
      <x:c r="K132" s="1"/>
      <x:c r="L132" s="1"/>
      <x:c r="M132" s="1"/>
      <x:c r="N132" s="1"/>
      <x:c r="O132" s="1"/>
      <x:c r="P132" s="1"/>
      <x:c r="Q132" s="1"/>
      <x:c r="R132" s="1"/>
      <x:c r="S132" s="1"/>
      <x:c r="T132" s="1"/>
      <x:c r="U132" s="1"/>
      <x:c r="V132" s="1"/>
      <x:c r="W132" s="1"/>
      <x:c r="X132" s="1"/>
      <x:c r="Y132" s="1"/>
      <x:c r="Z132" s="1"/>
    </x:row>
    <x:row r="133">
      <x:c r="A133" s="100" t="n">
        <x:f>A132+1</x:f>
        <x:v>128</x:v>
      </x:c>
      <x:c r="B133" s="171" t="n">
        <x:f>IF(A133&lt;='Your Mortgage'!$C$8*12,EDATE('Your Mortgage'!$C$9,A133-1),"")</x:f>
        <x:v>50100</x:v>
      </x:c>
      <x:c r="C133" s="172" t="n">
        <x:f>IF(B133="","",'Your Mortgage'!$C$11)</x:f>
        <x:v>2054.2210763521375</x:v>
      </x:c>
      <x:c r="D133" s="172" t="n">
        <x:f>IF(B133="","",'Your Mortgage'!$F$6+IF(A133='Your Mortgage'!$F$8,'Your Mortgage'!$F$7,0))</x:f>
        <x:v>250</x:v>
      </x:c>
      <x:c r="E133" s="173"/>
      <x:c r="F133" s="170"/>
      <x:c r="G133" s="170"/>
      <x:c r="H133" s="170"/>
      <x:c r="I133" s="1"/>
      <x:c r="J133" s="1"/>
      <x:c r="K133" s="1"/>
      <x:c r="L133" s="1"/>
      <x:c r="M133" s="1"/>
      <x:c r="N133" s="1"/>
      <x:c r="O133" s="1"/>
      <x:c r="P133" s="1"/>
      <x:c r="Q133" s="1"/>
      <x:c r="R133" s="1"/>
      <x:c r="S133" s="1"/>
      <x:c r="T133" s="1"/>
      <x:c r="U133" s="1"/>
      <x:c r="V133" s="1"/>
      <x:c r="W133" s="1"/>
      <x:c r="X133" s="1"/>
      <x:c r="Y133" s="1"/>
      <x:c r="Z133" s="1"/>
    </x:row>
    <x:row r="134">
      <x:c r="A134" s="100" t="n">
        <x:f>A133+1</x:f>
        <x:v>129</x:v>
      </x:c>
      <x:c r="B134" s="171" t="n">
        <x:f>IF(A134&lt;='Your Mortgage'!$C$8*12,EDATE('Your Mortgage'!$C$9,A134-1),"")</x:f>
        <x:v>50131</x:v>
      </x:c>
      <x:c r="C134" s="172" t="n">
        <x:f>IF(B134="","",'Your Mortgage'!$C$11)</x:f>
        <x:v>2054.2210763521375</x:v>
      </x:c>
      <x:c r="D134" s="172" t="n">
        <x:f>IF(B134="","",'Your Mortgage'!$F$6+IF(A134='Your Mortgage'!$F$8,'Your Mortgage'!$F$7,0))</x:f>
        <x:v>250</x:v>
      </x:c>
      <x:c r="E134" s="173"/>
      <x:c r="F134" s="170"/>
      <x:c r="G134" s="170"/>
      <x:c r="H134" s="170"/>
      <x:c r="I134" s="1"/>
      <x:c r="J134" s="1"/>
      <x:c r="K134" s="1"/>
      <x:c r="L134" s="1"/>
      <x:c r="M134" s="1"/>
      <x:c r="N134" s="1"/>
      <x:c r="O134" s="1"/>
      <x:c r="P134" s="1"/>
      <x:c r="Q134" s="1"/>
      <x:c r="R134" s="1"/>
      <x:c r="S134" s="1"/>
      <x:c r="T134" s="1"/>
      <x:c r="U134" s="1"/>
      <x:c r="V134" s="1"/>
      <x:c r="W134" s="1"/>
      <x:c r="X134" s="1"/>
      <x:c r="Y134" s="1"/>
      <x:c r="Z134" s="1"/>
    </x:row>
    <x:row r="135">
      <x:c r="A135" s="100" t="n">
        <x:f>A134+1</x:f>
        <x:v>130</x:v>
      </x:c>
      <x:c r="B135" s="171" t="n">
        <x:f>IF(A135&lt;='Your Mortgage'!$C$8*12,EDATE('Your Mortgage'!$C$9,A135-1),"")</x:f>
        <x:v>50161</x:v>
      </x:c>
      <x:c r="C135" s="172" t="n">
        <x:f>IF(B135="","",'Your Mortgage'!$C$11)</x:f>
        <x:v>2054.2210763521375</x:v>
      </x:c>
      <x:c r="D135" s="172" t="n">
        <x:f>IF(B135="","",'Your Mortgage'!$F$6+IF(A135='Your Mortgage'!$F$8,'Your Mortgage'!$F$7,0))</x:f>
        <x:v>250</x:v>
      </x:c>
      <x:c r="E135" s="173"/>
      <x:c r="F135" s="170"/>
      <x:c r="G135" s="170"/>
      <x:c r="H135" s="170"/>
      <x:c r="I135" s="1"/>
      <x:c r="J135" s="1"/>
      <x:c r="K135" s="1"/>
      <x:c r="L135" s="1"/>
      <x:c r="M135" s="1"/>
      <x:c r="N135" s="1"/>
      <x:c r="O135" s="1"/>
      <x:c r="P135" s="1"/>
      <x:c r="Q135" s="1"/>
      <x:c r="R135" s="1"/>
      <x:c r="S135" s="1"/>
      <x:c r="T135" s="1"/>
      <x:c r="U135" s="1"/>
      <x:c r="V135" s="1"/>
      <x:c r="W135" s="1"/>
      <x:c r="X135" s="1"/>
      <x:c r="Y135" s="1"/>
      <x:c r="Z135" s="1"/>
    </x:row>
    <x:row r="136">
      <x:c r="A136" s="100" t="n">
        <x:f>A135+1</x:f>
        <x:v>131</x:v>
      </x:c>
      <x:c r="B136" s="171" t="n">
        <x:f>IF(A136&lt;='Your Mortgage'!$C$8*12,EDATE('Your Mortgage'!$C$9,A136-1),"")</x:f>
        <x:v>50192</x:v>
      </x:c>
      <x:c r="C136" s="172" t="n">
        <x:f>IF(B136="","",'Your Mortgage'!$C$11)</x:f>
        <x:v>2054.2210763521375</x:v>
      </x:c>
      <x:c r="D136" s="172" t="n">
        <x:f>IF(B136="","",'Your Mortgage'!$F$6+IF(A136='Your Mortgage'!$F$8,'Your Mortgage'!$F$7,0))</x:f>
        <x:v>250</x:v>
      </x:c>
      <x:c r="E136" s="173"/>
      <x:c r="F136" s="170"/>
      <x:c r="G136" s="170"/>
      <x:c r="H136" s="170"/>
      <x:c r="I136" s="1"/>
      <x:c r="J136" s="1"/>
      <x:c r="K136" s="1"/>
      <x:c r="L136" s="1"/>
      <x:c r="M136" s="1"/>
      <x:c r="N136" s="1"/>
      <x:c r="O136" s="1"/>
      <x:c r="P136" s="1"/>
      <x:c r="Q136" s="1"/>
      <x:c r="R136" s="1"/>
      <x:c r="S136" s="1"/>
      <x:c r="T136" s="1"/>
      <x:c r="U136" s="1"/>
      <x:c r="V136" s="1"/>
      <x:c r="W136" s="1"/>
      <x:c r="X136" s="1"/>
      <x:c r="Y136" s="1"/>
      <x:c r="Z136" s="1"/>
    </x:row>
    <x:row r="137">
      <x:c r="A137" s="100" t="n">
        <x:f>A136+1</x:f>
        <x:v>132</x:v>
      </x:c>
      <x:c r="B137" s="171" t="n">
        <x:f>IF(A137&lt;='Your Mortgage'!$C$8*12,EDATE('Your Mortgage'!$C$9,A137-1),"")</x:f>
        <x:v>50222</x:v>
      </x:c>
      <x:c r="C137" s="172" t="n">
        <x:f>IF(B137="","",'Your Mortgage'!$C$11)</x:f>
        <x:v>2054.2210763521375</x:v>
      </x:c>
      <x:c r="D137" s="172" t="n">
        <x:f>IF(B137="","",'Your Mortgage'!$F$6+IF(A137='Your Mortgage'!$F$8,'Your Mortgage'!$F$7,0))</x:f>
        <x:v>250</x:v>
      </x:c>
      <x:c r="E137" s="173"/>
      <x:c r="F137" s="170"/>
      <x:c r="G137" s="170"/>
      <x:c r="H137" s="170"/>
      <x:c r="I137" s="1"/>
      <x:c r="J137" s="1"/>
      <x:c r="K137" s="1"/>
      <x:c r="L137" s="1"/>
      <x:c r="M137" s="1"/>
      <x:c r="N137" s="1"/>
      <x:c r="O137" s="1"/>
      <x:c r="P137" s="1"/>
      <x:c r="Q137" s="1"/>
      <x:c r="R137" s="1"/>
      <x:c r="S137" s="1"/>
      <x:c r="T137" s="1"/>
      <x:c r="U137" s="1"/>
      <x:c r="V137" s="1"/>
      <x:c r="W137" s="1"/>
      <x:c r="X137" s="1"/>
      <x:c r="Y137" s="1"/>
      <x:c r="Z137" s="1"/>
    </x:row>
    <x:row r="138">
      <x:c r="A138" s="100" t="n">
        <x:f>A137+1</x:f>
        <x:v>133</x:v>
      </x:c>
      <x:c r="B138" s="171" t="n">
        <x:f>IF(A138&lt;='Your Mortgage'!$C$8*12,EDATE('Your Mortgage'!$C$9,A138-1),"")</x:f>
        <x:v>50253</x:v>
      </x:c>
      <x:c r="C138" s="172" t="n">
        <x:f>IF(B138="","",'Your Mortgage'!$C$11)</x:f>
        <x:v>2054.2210763521375</x:v>
      </x:c>
      <x:c r="D138" s="172" t="n">
        <x:f>IF(B138="","",'Your Mortgage'!$F$6+IF(A138='Your Mortgage'!$F$8,'Your Mortgage'!$F$7,0))</x:f>
        <x:v>250</x:v>
      </x:c>
      <x:c r="E138" s="173"/>
      <x:c r="F138" s="170"/>
      <x:c r="G138" s="170"/>
      <x:c r="H138" s="170"/>
      <x:c r="I138" s="1"/>
      <x:c r="J138" s="1"/>
      <x:c r="K138" s="1"/>
      <x:c r="L138" s="1"/>
      <x:c r="M138" s="1"/>
      <x:c r="N138" s="1"/>
      <x:c r="O138" s="1"/>
      <x:c r="P138" s="1"/>
      <x:c r="Q138" s="1"/>
      <x:c r="R138" s="1"/>
      <x:c r="S138" s="1"/>
      <x:c r="T138" s="1"/>
      <x:c r="U138" s="1"/>
      <x:c r="V138" s="1"/>
      <x:c r="W138" s="1"/>
      <x:c r="X138" s="1"/>
      <x:c r="Y138" s="1"/>
      <x:c r="Z138" s="1"/>
    </x:row>
    <x:row r="139">
      <x:c r="A139" s="100" t="n">
        <x:f>A138+1</x:f>
        <x:v>134</x:v>
      </x:c>
      <x:c r="B139" s="171" t="n">
        <x:f>IF(A139&lt;='Your Mortgage'!$C$8*12,EDATE('Your Mortgage'!$C$9,A139-1),"")</x:f>
        <x:v>50284</x:v>
      </x:c>
      <x:c r="C139" s="172" t="n">
        <x:f>IF(B139="","",'Your Mortgage'!$C$11)</x:f>
        <x:v>2054.2210763521375</x:v>
      </x:c>
      <x:c r="D139" s="172" t="n">
        <x:f>IF(B139="","",'Your Mortgage'!$F$6+IF(A139='Your Mortgage'!$F$8,'Your Mortgage'!$F$7,0))</x:f>
        <x:v>250</x:v>
      </x:c>
      <x:c r="E139" s="173"/>
      <x:c r="F139" s="170"/>
      <x:c r="G139" s="170"/>
      <x:c r="H139" s="170"/>
      <x:c r="I139" s="1"/>
      <x:c r="J139" s="1"/>
      <x:c r="K139" s="1"/>
      <x:c r="L139" s="1"/>
      <x:c r="M139" s="1"/>
      <x:c r="N139" s="1"/>
      <x:c r="O139" s="1"/>
      <x:c r="P139" s="1"/>
      <x:c r="Q139" s="1"/>
      <x:c r="R139" s="1"/>
      <x:c r="S139" s="1"/>
      <x:c r="T139" s="1"/>
      <x:c r="U139" s="1"/>
      <x:c r="V139" s="1"/>
      <x:c r="W139" s="1"/>
      <x:c r="X139" s="1"/>
      <x:c r="Y139" s="1"/>
      <x:c r="Z139" s="1"/>
    </x:row>
    <x:row r="140">
      <x:c r="A140" s="100" t="n">
        <x:f>A139+1</x:f>
        <x:v>135</x:v>
      </x:c>
      <x:c r="B140" s="171" t="n">
        <x:f>IF(A140&lt;='Your Mortgage'!$C$8*12,EDATE('Your Mortgage'!$C$9,A140-1),"")</x:f>
        <x:v>50314</x:v>
      </x:c>
      <x:c r="C140" s="172" t="n">
        <x:f>IF(B140="","",'Your Mortgage'!$C$11)</x:f>
        <x:v>2054.2210763521375</x:v>
      </x:c>
      <x:c r="D140" s="172" t="n">
        <x:f>IF(B140="","",'Your Mortgage'!$F$6+IF(A140='Your Mortgage'!$F$8,'Your Mortgage'!$F$7,0))</x:f>
        <x:v>250</x:v>
      </x:c>
      <x:c r="E140" s="173"/>
      <x:c r="F140" s="170"/>
      <x:c r="G140" s="170"/>
      <x:c r="H140" s="170"/>
      <x:c r="I140" s="1"/>
      <x:c r="J140" s="1"/>
      <x:c r="K140" s="1"/>
      <x:c r="L140" s="1"/>
      <x:c r="M140" s="1"/>
      <x:c r="N140" s="1"/>
      <x:c r="O140" s="1"/>
      <x:c r="P140" s="1"/>
      <x:c r="Q140" s="1"/>
      <x:c r="R140" s="1"/>
      <x:c r="S140" s="1"/>
      <x:c r="T140" s="1"/>
      <x:c r="U140" s="1"/>
      <x:c r="V140" s="1"/>
      <x:c r="W140" s="1"/>
      <x:c r="X140" s="1"/>
      <x:c r="Y140" s="1"/>
      <x:c r="Z140" s="1"/>
    </x:row>
    <x:row r="141">
      <x:c r="A141" s="100" t="n">
        <x:f>A140+1</x:f>
        <x:v>136</x:v>
      </x:c>
      <x:c r="B141" s="171" t="n">
        <x:f>IF(A141&lt;='Your Mortgage'!$C$8*12,EDATE('Your Mortgage'!$C$9,A141-1),"")</x:f>
        <x:v>50345</x:v>
      </x:c>
      <x:c r="C141" s="172" t="n">
        <x:f>IF(B141="","",'Your Mortgage'!$C$11)</x:f>
        <x:v>2054.2210763521375</x:v>
      </x:c>
      <x:c r="D141" s="172" t="n">
        <x:f>IF(B141="","",'Your Mortgage'!$F$6+IF(A141='Your Mortgage'!$F$8,'Your Mortgage'!$F$7,0))</x:f>
        <x:v>250</x:v>
      </x:c>
      <x:c r="E141" s="173"/>
      <x:c r="F141" s="170"/>
      <x:c r="G141" s="170"/>
      <x:c r="H141" s="170"/>
      <x:c r="I141" s="1"/>
      <x:c r="J141" s="1"/>
      <x:c r="K141" s="1"/>
      <x:c r="L141" s="1"/>
      <x:c r="M141" s="1"/>
      <x:c r="N141" s="1"/>
      <x:c r="O141" s="1"/>
      <x:c r="P141" s="1"/>
      <x:c r="Q141" s="1"/>
      <x:c r="R141" s="1"/>
      <x:c r="S141" s="1"/>
      <x:c r="T141" s="1"/>
      <x:c r="U141" s="1"/>
      <x:c r="V141" s="1"/>
      <x:c r="W141" s="1"/>
      <x:c r="X141" s="1"/>
      <x:c r="Y141" s="1"/>
      <x:c r="Z141" s="1"/>
    </x:row>
    <x:row r="142">
      <x:c r="A142" s="100" t="n">
        <x:f>A141+1</x:f>
        <x:v>137</x:v>
      </x:c>
      <x:c r="B142" s="171" t="n">
        <x:f>IF(A142&lt;='Your Mortgage'!$C$8*12,EDATE('Your Mortgage'!$C$9,A142-1),"")</x:f>
        <x:v>50375</x:v>
      </x:c>
      <x:c r="C142" s="172" t="n">
        <x:f>IF(B142="","",'Your Mortgage'!$C$11)</x:f>
        <x:v>2054.2210763521375</x:v>
      </x:c>
      <x:c r="D142" s="172" t="n">
        <x:f>IF(B142="","",'Your Mortgage'!$F$6+IF(A142='Your Mortgage'!$F$8,'Your Mortgage'!$F$7,0))</x:f>
        <x:v>250</x:v>
      </x:c>
      <x:c r="E142" s="173"/>
      <x:c r="F142" s="170"/>
      <x:c r="G142" s="170"/>
      <x:c r="H142" s="170"/>
      <x:c r="I142" s="1"/>
      <x:c r="J142" s="1"/>
      <x:c r="K142" s="1"/>
      <x:c r="L142" s="1"/>
      <x:c r="M142" s="1"/>
      <x:c r="N142" s="1"/>
      <x:c r="O142" s="1"/>
      <x:c r="P142" s="1"/>
      <x:c r="Q142" s="1"/>
      <x:c r="R142" s="1"/>
      <x:c r="S142" s="1"/>
      <x:c r="T142" s="1"/>
      <x:c r="U142" s="1"/>
      <x:c r="V142" s="1"/>
      <x:c r="W142" s="1"/>
      <x:c r="X142" s="1"/>
      <x:c r="Y142" s="1"/>
      <x:c r="Z142" s="1"/>
    </x:row>
    <x:row r="143">
      <x:c r="A143" s="100" t="n">
        <x:f>A142+1</x:f>
        <x:v>138</x:v>
      </x:c>
      <x:c r="B143" s="171" t="n">
        <x:f>IF(A143&lt;='Your Mortgage'!$C$8*12,EDATE('Your Mortgage'!$C$9,A143-1),"")</x:f>
        <x:v>50406</x:v>
      </x:c>
      <x:c r="C143" s="172" t="n">
        <x:f>IF(B143="","",'Your Mortgage'!$C$11)</x:f>
        <x:v>2054.2210763521375</x:v>
      </x:c>
      <x:c r="D143" s="172" t="n">
        <x:f>IF(B143="","",'Your Mortgage'!$F$6+IF(A143='Your Mortgage'!$F$8,'Your Mortgage'!$F$7,0))</x:f>
        <x:v>250</x:v>
      </x:c>
      <x:c r="E143" s="173"/>
      <x:c r="F143" s="170"/>
      <x:c r="G143" s="170"/>
      <x:c r="H143" s="170"/>
      <x:c r="I143" s="1"/>
      <x:c r="J143" s="1"/>
      <x:c r="K143" s="1"/>
      <x:c r="L143" s="1"/>
      <x:c r="M143" s="1"/>
      <x:c r="N143" s="1"/>
      <x:c r="O143" s="1"/>
      <x:c r="P143" s="1"/>
      <x:c r="Q143" s="1"/>
      <x:c r="R143" s="1"/>
      <x:c r="S143" s="1"/>
      <x:c r="T143" s="1"/>
      <x:c r="U143" s="1"/>
      <x:c r="V143" s="1"/>
      <x:c r="W143" s="1"/>
      <x:c r="X143" s="1"/>
      <x:c r="Y143" s="1"/>
      <x:c r="Z143" s="1"/>
    </x:row>
    <x:row r="144">
      <x:c r="A144" s="100" t="n">
        <x:f>A143+1</x:f>
        <x:v>139</x:v>
      </x:c>
      <x:c r="B144" s="171" t="n">
        <x:f>IF(A144&lt;='Your Mortgage'!$C$8*12,EDATE('Your Mortgage'!$C$9,A144-1),"")</x:f>
        <x:v>50437</x:v>
      </x:c>
      <x:c r="C144" s="172" t="n">
        <x:f>IF(B144="","",'Your Mortgage'!$C$11)</x:f>
        <x:v>2054.2210763521375</x:v>
      </x:c>
      <x:c r="D144" s="172" t="n">
        <x:f>IF(B144="","",'Your Mortgage'!$F$6+IF(A144='Your Mortgage'!$F$8,'Your Mortgage'!$F$7,0))</x:f>
        <x:v>250</x:v>
      </x:c>
      <x:c r="E144" s="173"/>
      <x:c r="F144" s="170"/>
      <x:c r="G144" s="170"/>
      <x:c r="H144" s="170"/>
      <x:c r="I144" s="1"/>
      <x:c r="J144" s="1"/>
      <x:c r="K144" s="1"/>
      <x:c r="L144" s="1"/>
      <x:c r="M144" s="1"/>
      <x:c r="N144" s="1"/>
      <x:c r="O144" s="1"/>
      <x:c r="P144" s="1"/>
      <x:c r="Q144" s="1"/>
      <x:c r="R144" s="1"/>
      <x:c r="S144" s="1"/>
      <x:c r="T144" s="1"/>
      <x:c r="U144" s="1"/>
      <x:c r="V144" s="1"/>
      <x:c r="W144" s="1"/>
      <x:c r="X144" s="1"/>
      <x:c r="Y144" s="1"/>
      <x:c r="Z144" s="1"/>
    </x:row>
    <x:row r="145">
      <x:c r="A145" s="100" t="n">
        <x:f>A144+1</x:f>
        <x:v>140</x:v>
      </x:c>
      <x:c r="B145" s="171" t="n">
        <x:f>IF(A145&lt;='Your Mortgage'!$C$8*12,EDATE('Your Mortgage'!$C$9,A145-1),"")</x:f>
        <x:v>50465</x:v>
      </x:c>
      <x:c r="C145" s="172" t="n">
        <x:f>IF(B145="","",'Your Mortgage'!$C$11)</x:f>
        <x:v>2054.2210763521375</x:v>
      </x:c>
      <x:c r="D145" s="172" t="n">
        <x:f>IF(B145="","",'Your Mortgage'!$F$6+IF(A145='Your Mortgage'!$F$8,'Your Mortgage'!$F$7,0))</x:f>
        <x:v>250</x:v>
      </x:c>
      <x:c r="E145" s="173"/>
      <x:c r="F145" s="170"/>
      <x:c r="G145" s="170"/>
      <x:c r="H145" s="170"/>
      <x:c r="I145" s="1"/>
      <x:c r="J145" s="1"/>
      <x:c r="K145" s="1"/>
      <x:c r="L145" s="1"/>
      <x:c r="M145" s="1"/>
      <x:c r="N145" s="1"/>
      <x:c r="O145" s="1"/>
      <x:c r="P145" s="1"/>
      <x:c r="Q145" s="1"/>
      <x:c r="R145" s="1"/>
      <x:c r="S145" s="1"/>
      <x:c r="T145" s="1"/>
      <x:c r="U145" s="1"/>
      <x:c r="V145" s="1"/>
      <x:c r="W145" s="1"/>
      <x:c r="X145" s="1"/>
      <x:c r="Y145" s="1"/>
      <x:c r="Z145" s="1"/>
    </x:row>
    <x:row r="146">
      <x:c r="A146" s="100" t="n">
        <x:f>A145+1</x:f>
        <x:v>141</x:v>
      </x:c>
      <x:c r="B146" s="171" t="n">
        <x:f>IF(A146&lt;='Your Mortgage'!$C$8*12,EDATE('Your Mortgage'!$C$9,A146-1),"")</x:f>
        <x:v>50496</x:v>
      </x:c>
      <x:c r="C146" s="172" t="n">
        <x:f>IF(B146="","",'Your Mortgage'!$C$11)</x:f>
        <x:v>2054.2210763521375</x:v>
      </x:c>
      <x:c r="D146" s="172" t="n">
        <x:f>IF(B146="","",'Your Mortgage'!$F$6+IF(A146='Your Mortgage'!$F$8,'Your Mortgage'!$F$7,0))</x:f>
        <x:v>250</x:v>
      </x:c>
      <x:c r="E146" s="173"/>
      <x:c r="F146" s="170"/>
      <x:c r="G146" s="170"/>
      <x:c r="H146" s="170"/>
      <x:c r="I146" s="1"/>
      <x:c r="J146" s="1"/>
      <x:c r="K146" s="1"/>
      <x:c r="L146" s="1"/>
      <x:c r="M146" s="1"/>
      <x:c r="N146" s="1"/>
      <x:c r="O146" s="1"/>
      <x:c r="P146" s="1"/>
      <x:c r="Q146" s="1"/>
      <x:c r="R146" s="1"/>
      <x:c r="S146" s="1"/>
      <x:c r="T146" s="1"/>
      <x:c r="U146" s="1"/>
      <x:c r="V146" s="1"/>
      <x:c r="W146" s="1"/>
      <x:c r="X146" s="1"/>
      <x:c r="Y146" s="1"/>
      <x:c r="Z146" s="1"/>
    </x:row>
    <x:row r="147">
      <x:c r="A147" s="100" t="n">
        <x:f>A146+1</x:f>
        <x:v>142</x:v>
      </x:c>
      <x:c r="B147" s="171" t="n">
        <x:f>IF(A147&lt;='Your Mortgage'!$C$8*12,EDATE('Your Mortgage'!$C$9,A147-1),"")</x:f>
        <x:v>50526</x:v>
      </x:c>
      <x:c r="C147" s="172" t="n">
        <x:f>IF(B147="","",'Your Mortgage'!$C$11)</x:f>
        <x:v>2054.2210763521375</x:v>
      </x:c>
      <x:c r="D147" s="172" t="n">
        <x:f>IF(B147="","",'Your Mortgage'!$F$6+IF(A147='Your Mortgage'!$F$8,'Your Mortgage'!$F$7,0))</x:f>
        <x:v>250</x:v>
      </x:c>
      <x:c r="E147" s="173"/>
      <x:c r="F147" s="170"/>
      <x:c r="G147" s="170"/>
      <x:c r="H147" s="170"/>
      <x:c r="I147" s="1"/>
      <x:c r="J147" s="1"/>
      <x:c r="K147" s="1"/>
      <x:c r="L147" s="1"/>
      <x:c r="M147" s="1"/>
      <x:c r="N147" s="1"/>
      <x:c r="O147" s="1"/>
      <x:c r="P147" s="1"/>
      <x:c r="Q147" s="1"/>
      <x:c r="R147" s="1"/>
      <x:c r="S147" s="1"/>
      <x:c r="T147" s="1"/>
      <x:c r="U147" s="1"/>
      <x:c r="V147" s="1"/>
      <x:c r="W147" s="1"/>
      <x:c r="X147" s="1"/>
      <x:c r="Y147" s="1"/>
      <x:c r="Z147" s="1"/>
    </x:row>
    <x:row r="148">
      <x:c r="A148" s="100" t="n">
        <x:f>A147+1</x:f>
        <x:v>143</x:v>
      </x:c>
      <x:c r="B148" s="171" t="n">
        <x:f>IF(A148&lt;='Your Mortgage'!$C$8*12,EDATE('Your Mortgage'!$C$9,A148-1),"")</x:f>
        <x:v>50557</x:v>
      </x:c>
      <x:c r="C148" s="172" t="n">
        <x:f>IF(B148="","",'Your Mortgage'!$C$11)</x:f>
        <x:v>2054.2210763521375</x:v>
      </x:c>
      <x:c r="D148" s="172" t="n">
        <x:f>IF(B148="","",'Your Mortgage'!$F$6+IF(A148='Your Mortgage'!$F$8,'Your Mortgage'!$F$7,0))</x:f>
        <x:v>250</x:v>
      </x:c>
      <x:c r="E148" s="173"/>
      <x:c r="F148" s="170"/>
      <x:c r="G148" s="170"/>
      <x:c r="H148" s="170"/>
      <x:c r="I148" s="1"/>
      <x:c r="J148" s="1"/>
      <x:c r="K148" s="1"/>
      <x:c r="L148" s="1"/>
      <x:c r="M148" s="1"/>
      <x:c r="N148" s="1"/>
      <x:c r="O148" s="1"/>
      <x:c r="P148" s="1"/>
      <x:c r="Q148" s="1"/>
      <x:c r="R148" s="1"/>
      <x:c r="S148" s="1"/>
      <x:c r="T148" s="1"/>
      <x:c r="U148" s="1"/>
      <x:c r="V148" s="1"/>
      <x:c r="W148" s="1"/>
      <x:c r="X148" s="1"/>
      <x:c r="Y148" s="1"/>
      <x:c r="Z148" s="1"/>
    </x:row>
    <x:row r="149">
      <x:c r="A149" s="100" t="n">
        <x:f>A148+1</x:f>
        <x:v>144</x:v>
      </x:c>
      <x:c r="B149" s="171" t="n">
        <x:f>IF(A149&lt;='Your Mortgage'!$C$8*12,EDATE('Your Mortgage'!$C$9,A149-1),"")</x:f>
        <x:v>50587</x:v>
      </x:c>
      <x:c r="C149" s="172" t="n">
        <x:f>IF(B149="","",'Your Mortgage'!$C$11)</x:f>
        <x:v>2054.2210763521375</x:v>
      </x:c>
      <x:c r="D149" s="172" t="n">
        <x:f>IF(B149="","",'Your Mortgage'!$F$6+IF(A149='Your Mortgage'!$F$8,'Your Mortgage'!$F$7,0))</x:f>
        <x:v>250</x:v>
      </x:c>
      <x:c r="E149" s="173"/>
      <x:c r="F149" s="170"/>
      <x:c r="G149" s="170"/>
      <x:c r="H149" s="170"/>
      <x:c r="I149" s="1"/>
      <x:c r="J149" s="1"/>
      <x:c r="K149" s="1"/>
      <x:c r="L149" s="1"/>
      <x:c r="M149" s="1"/>
      <x:c r="N149" s="1"/>
      <x:c r="O149" s="1"/>
      <x:c r="P149" s="1"/>
      <x:c r="Q149" s="1"/>
      <x:c r="R149" s="1"/>
      <x:c r="S149" s="1"/>
      <x:c r="T149" s="1"/>
      <x:c r="U149" s="1"/>
      <x:c r="V149" s="1"/>
      <x:c r="W149" s="1"/>
      <x:c r="X149" s="1"/>
      <x:c r="Y149" s="1"/>
      <x:c r="Z149" s="1"/>
    </x:row>
    <x:row r="150">
      <x:c r="A150" s="100" t="n">
        <x:f>A149+1</x:f>
        <x:v>145</x:v>
      </x:c>
      <x:c r="B150" s="171" t="n">
        <x:f>IF(A150&lt;='Your Mortgage'!$C$8*12,EDATE('Your Mortgage'!$C$9,A150-1),"")</x:f>
        <x:v>50618</x:v>
      </x:c>
      <x:c r="C150" s="172" t="n">
        <x:f>IF(B150="","",'Your Mortgage'!$C$11)</x:f>
        <x:v>2054.2210763521375</x:v>
      </x:c>
      <x:c r="D150" s="172" t="n">
        <x:f>IF(B150="","",'Your Mortgage'!$F$6+IF(A150='Your Mortgage'!$F$8,'Your Mortgage'!$F$7,0))</x:f>
        <x:v>250</x:v>
      </x:c>
      <x:c r="E150" s="173"/>
      <x:c r="F150" s="170"/>
      <x:c r="G150" s="170"/>
      <x:c r="H150" s="170"/>
      <x:c r="I150" s="1"/>
      <x:c r="J150" s="1"/>
      <x:c r="K150" s="1"/>
      <x:c r="L150" s="1"/>
      <x:c r="M150" s="1"/>
      <x:c r="N150" s="1"/>
      <x:c r="O150" s="1"/>
      <x:c r="P150" s="1"/>
      <x:c r="Q150" s="1"/>
      <x:c r="R150" s="1"/>
      <x:c r="S150" s="1"/>
      <x:c r="T150" s="1"/>
      <x:c r="U150" s="1"/>
      <x:c r="V150" s="1"/>
      <x:c r="W150" s="1"/>
      <x:c r="X150" s="1"/>
      <x:c r="Y150" s="1"/>
      <x:c r="Z150" s="1"/>
    </x:row>
    <x:row r="151">
      <x:c r="A151" s="100" t="n">
        <x:f>A150+1</x:f>
        <x:v>146</x:v>
      </x:c>
      <x:c r="B151" s="171" t="n">
        <x:f>IF(A151&lt;='Your Mortgage'!$C$8*12,EDATE('Your Mortgage'!$C$9,A151-1),"")</x:f>
        <x:v>50649</x:v>
      </x:c>
      <x:c r="C151" s="172" t="n">
        <x:f>IF(B151="","",'Your Mortgage'!$C$11)</x:f>
        <x:v>2054.2210763521375</x:v>
      </x:c>
      <x:c r="D151" s="172" t="n">
        <x:f>IF(B151="","",'Your Mortgage'!$F$6+IF(A151='Your Mortgage'!$F$8,'Your Mortgage'!$F$7,0))</x:f>
        <x:v>250</x:v>
      </x:c>
      <x:c r="E151" s="173"/>
      <x:c r="F151" s="170"/>
      <x:c r="G151" s="170"/>
      <x:c r="H151" s="170"/>
      <x:c r="I151" s="1"/>
      <x:c r="J151" s="1"/>
      <x:c r="K151" s="1"/>
      <x:c r="L151" s="1"/>
      <x:c r="M151" s="1"/>
      <x:c r="N151" s="1"/>
      <x:c r="O151" s="1"/>
      <x:c r="P151" s="1"/>
      <x:c r="Q151" s="1"/>
      <x:c r="R151" s="1"/>
      <x:c r="S151" s="1"/>
      <x:c r="T151" s="1"/>
      <x:c r="U151" s="1"/>
      <x:c r="V151" s="1"/>
      <x:c r="W151" s="1"/>
      <x:c r="X151" s="1"/>
      <x:c r="Y151" s="1"/>
      <x:c r="Z151" s="1"/>
    </x:row>
    <x:row r="152">
      <x:c r="A152" s="100" t="n">
        <x:f>A151+1</x:f>
        <x:v>147</x:v>
      </x:c>
      <x:c r="B152" s="171" t="n">
        <x:f>IF(A152&lt;='Your Mortgage'!$C$8*12,EDATE('Your Mortgage'!$C$9,A152-1),"")</x:f>
        <x:v>50679</x:v>
      </x:c>
      <x:c r="C152" s="172" t="n">
        <x:f>IF(B152="","",'Your Mortgage'!$C$11)</x:f>
        <x:v>2054.2210763521375</x:v>
      </x:c>
      <x:c r="D152" s="172" t="n">
        <x:f>IF(B152="","",'Your Mortgage'!$F$6+IF(A152='Your Mortgage'!$F$8,'Your Mortgage'!$F$7,0))</x:f>
        <x:v>250</x:v>
      </x:c>
      <x:c r="E152" s="173"/>
      <x:c r="F152" s="170"/>
      <x:c r="G152" s="170"/>
      <x:c r="H152" s="170"/>
      <x:c r="I152" s="1"/>
      <x:c r="J152" s="1"/>
      <x:c r="K152" s="1"/>
      <x:c r="L152" s="1"/>
      <x:c r="M152" s="1"/>
      <x:c r="N152" s="1"/>
      <x:c r="O152" s="1"/>
      <x:c r="P152" s="1"/>
      <x:c r="Q152" s="1"/>
      <x:c r="R152" s="1"/>
      <x:c r="S152" s="1"/>
      <x:c r="T152" s="1"/>
      <x:c r="U152" s="1"/>
      <x:c r="V152" s="1"/>
      <x:c r="W152" s="1"/>
      <x:c r="X152" s="1"/>
      <x:c r="Y152" s="1"/>
      <x:c r="Z152" s="1"/>
    </x:row>
    <x:row r="153">
      <x:c r="A153" s="100" t="n">
        <x:f>A152+1</x:f>
        <x:v>148</x:v>
      </x:c>
      <x:c r="B153" s="171" t="n">
        <x:f>IF(A153&lt;='Your Mortgage'!$C$8*12,EDATE('Your Mortgage'!$C$9,A153-1),"")</x:f>
        <x:v>50710</x:v>
      </x:c>
      <x:c r="C153" s="172" t="n">
        <x:f>IF(B153="","",'Your Mortgage'!$C$11)</x:f>
        <x:v>2054.2210763521375</x:v>
      </x:c>
      <x:c r="D153" s="172" t="n">
        <x:f>IF(B153="","",'Your Mortgage'!$F$6+IF(A153='Your Mortgage'!$F$8,'Your Mortgage'!$F$7,0))</x:f>
        <x:v>250</x:v>
      </x:c>
      <x:c r="E153" s="173"/>
      <x:c r="F153" s="170"/>
      <x:c r="G153" s="170"/>
      <x:c r="H153" s="170"/>
      <x:c r="I153" s="1"/>
      <x:c r="J153" s="1"/>
      <x:c r="K153" s="1"/>
      <x:c r="L153" s="1"/>
      <x:c r="M153" s="1"/>
      <x:c r="N153" s="1"/>
      <x:c r="O153" s="1"/>
      <x:c r="P153" s="1"/>
      <x:c r="Q153" s="1"/>
      <x:c r="R153" s="1"/>
      <x:c r="S153" s="1"/>
      <x:c r="T153" s="1"/>
      <x:c r="U153" s="1"/>
      <x:c r="V153" s="1"/>
      <x:c r="W153" s="1"/>
      <x:c r="X153" s="1"/>
      <x:c r="Y153" s="1"/>
      <x:c r="Z153" s="1"/>
    </x:row>
    <x:row r="154">
      <x:c r="A154" s="100" t="n">
        <x:f>A153+1</x:f>
        <x:v>149</x:v>
      </x:c>
      <x:c r="B154" s="171" t="n">
        <x:f>IF(A154&lt;='Your Mortgage'!$C$8*12,EDATE('Your Mortgage'!$C$9,A154-1),"")</x:f>
        <x:v>50740</x:v>
      </x:c>
      <x:c r="C154" s="172" t="n">
        <x:f>IF(B154="","",'Your Mortgage'!$C$11)</x:f>
        <x:v>2054.2210763521375</x:v>
      </x:c>
      <x:c r="D154" s="172" t="n">
        <x:f>IF(B154="","",'Your Mortgage'!$F$6+IF(A154='Your Mortgage'!$F$8,'Your Mortgage'!$F$7,0))</x:f>
        <x:v>250</x:v>
      </x:c>
      <x:c r="E154" s="173"/>
      <x:c r="F154" s="170"/>
      <x:c r="G154" s="170"/>
      <x:c r="H154" s="170"/>
      <x:c r="I154" s="1"/>
      <x:c r="J154" s="1"/>
      <x:c r="K154" s="1"/>
      <x:c r="L154" s="1"/>
      <x:c r="M154" s="1"/>
      <x:c r="N154" s="1"/>
      <x:c r="O154" s="1"/>
      <x:c r="P154" s="1"/>
      <x:c r="Q154" s="1"/>
      <x:c r="R154" s="1"/>
      <x:c r="S154" s="1"/>
      <x:c r="T154" s="1"/>
      <x:c r="U154" s="1"/>
      <x:c r="V154" s="1"/>
      <x:c r="W154" s="1"/>
      <x:c r="X154" s="1"/>
      <x:c r="Y154" s="1"/>
      <x:c r="Z154" s="1"/>
    </x:row>
    <x:row r="155">
      <x:c r="A155" s="100" t="n">
        <x:f>A154+1</x:f>
        <x:v>150</x:v>
      </x:c>
      <x:c r="B155" s="171" t="n">
        <x:f>IF(A155&lt;='Your Mortgage'!$C$8*12,EDATE('Your Mortgage'!$C$9,A155-1),"")</x:f>
        <x:v>50771</x:v>
      </x:c>
      <x:c r="C155" s="172" t="n">
        <x:f>IF(B155="","",'Your Mortgage'!$C$11)</x:f>
        <x:v>2054.2210763521375</x:v>
      </x:c>
      <x:c r="D155" s="172" t="n">
        <x:f>IF(B155="","",'Your Mortgage'!$F$6+IF(A155='Your Mortgage'!$F$8,'Your Mortgage'!$F$7,0))</x:f>
        <x:v>250</x:v>
      </x:c>
      <x:c r="E155" s="173"/>
      <x:c r="F155" s="170"/>
      <x:c r="G155" s="170"/>
      <x:c r="H155" s="170"/>
      <x:c r="I155" s="1"/>
      <x:c r="J155" s="1"/>
      <x:c r="K155" s="1"/>
      <x:c r="L155" s="1"/>
      <x:c r="M155" s="1"/>
      <x:c r="N155" s="1"/>
      <x:c r="O155" s="1"/>
      <x:c r="P155" s="1"/>
      <x:c r="Q155" s="1"/>
      <x:c r="R155" s="1"/>
      <x:c r="S155" s="1"/>
      <x:c r="T155" s="1"/>
      <x:c r="U155" s="1"/>
      <x:c r="V155" s="1"/>
      <x:c r="W155" s="1"/>
      <x:c r="X155" s="1"/>
      <x:c r="Y155" s="1"/>
      <x:c r="Z155" s="1"/>
    </x:row>
    <x:row r="156">
      <x:c r="A156" s="100" t="n">
        <x:f>A155+1</x:f>
        <x:v>151</x:v>
      </x:c>
      <x:c r="B156" s="171" t="n">
        <x:f>IF(A156&lt;='Your Mortgage'!$C$8*12,EDATE('Your Mortgage'!$C$9,A156-1),"")</x:f>
        <x:v>50802</x:v>
      </x:c>
      <x:c r="C156" s="172" t="n">
        <x:f>IF(B156="","",'Your Mortgage'!$C$11)</x:f>
        <x:v>2054.2210763521375</x:v>
      </x:c>
      <x:c r="D156" s="172" t="n">
        <x:f>IF(B156="","",'Your Mortgage'!$F$6+IF(A156='Your Mortgage'!$F$8,'Your Mortgage'!$F$7,0))</x:f>
        <x:v>250</x:v>
      </x:c>
      <x:c r="E156" s="173"/>
      <x:c r="F156" s="170"/>
      <x:c r="G156" s="170"/>
      <x:c r="H156" s="170"/>
      <x:c r="I156" s="1"/>
      <x:c r="J156" s="1"/>
      <x:c r="K156" s="1"/>
      <x:c r="L156" s="1"/>
      <x:c r="M156" s="1"/>
      <x:c r="N156" s="1"/>
      <x:c r="O156" s="1"/>
      <x:c r="P156" s="1"/>
      <x:c r="Q156" s="1"/>
      <x:c r="R156" s="1"/>
      <x:c r="S156" s="1"/>
      <x:c r="T156" s="1"/>
      <x:c r="U156" s="1"/>
      <x:c r="V156" s="1"/>
      <x:c r="W156" s="1"/>
      <x:c r="X156" s="1"/>
      <x:c r="Y156" s="1"/>
      <x:c r="Z156" s="1"/>
    </x:row>
    <x:row r="157">
      <x:c r="A157" s="100" t="n">
        <x:f>A156+1</x:f>
        <x:v>152</x:v>
      </x:c>
      <x:c r="B157" s="171" t="n">
        <x:f>IF(A157&lt;='Your Mortgage'!$C$8*12,EDATE('Your Mortgage'!$C$9,A157-1),"")</x:f>
        <x:v>50830</x:v>
      </x:c>
      <x:c r="C157" s="172" t="n">
        <x:f>IF(B157="","",'Your Mortgage'!$C$11)</x:f>
        <x:v>2054.2210763521375</x:v>
      </x:c>
      <x:c r="D157" s="172" t="n">
        <x:f>IF(B157="","",'Your Mortgage'!$F$6+IF(A157='Your Mortgage'!$F$8,'Your Mortgage'!$F$7,0))</x:f>
        <x:v>250</x:v>
      </x:c>
      <x:c r="E157" s="173"/>
      <x:c r="F157" s="170"/>
      <x:c r="G157" s="170"/>
      <x:c r="H157" s="170"/>
      <x:c r="I157" s="1"/>
      <x:c r="J157" s="1"/>
      <x:c r="K157" s="1"/>
      <x:c r="L157" s="1"/>
      <x:c r="M157" s="1"/>
      <x:c r="N157" s="1"/>
      <x:c r="O157" s="1"/>
      <x:c r="P157" s="1"/>
      <x:c r="Q157" s="1"/>
      <x:c r="R157" s="1"/>
      <x:c r="S157" s="1"/>
      <x:c r="T157" s="1"/>
      <x:c r="U157" s="1"/>
      <x:c r="V157" s="1"/>
      <x:c r="W157" s="1"/>
      <x:c r="X157" s="1"/>
      <x:c r="Y157" s="1"/>
      <x:c r="Z157" s="1"/>
    </x:row>
    <x:row r="158">
      <x:c r="A158" s="100" t="n">
        <x:f>A157+1</x:f>
        <x:v>153</x:v>
      </x:c>
      <x:c r="B158" s="171" t="n">
        <x:f>IF(A158&lt;='Your Mortgage'!$C$8*12,EDATE('Your Mortgage'!$C$9,A158-1),"")</x:f>
        <x:v>50861</x:v>
      </x:c>
      <x:c r="C158" s="172" t="n">
        <x:f>IF(B158="","",'Your Mortgage'!$C$11)</x:f>
        <x:v>2054.2210763521375</x:v>
      </x:c>
      <x:c r="D158" s="172" t="n">
        <x:f>IF(B158="","",'Your Mortgage'!$F$6+IF(A158='Your Mortgage'!$F$8,'Your Mortgage'!$F$7,0))</x:f>
        <x:v>250</x:v>
      </x:c>
      <x:c r="E158" s="173"/>
      <x:c r="F158" s="170"/>
      <x:c r="G158" s="170"/>
      <x:c r="H158" s="170"/>
      <x:c r="I158" s="1"/>
      <x:c r="J158" s="1"/>
      <x:c r="K158" s="1"/>
      <x:c r="L158" s="1"/>
      <x:c r="M158" s="1"/>
      <x:c r="N158" s="1"/>
      <x:c r="O158" s="1"/>
      <x:c r="P158" s="1"/>
      <x:c r="Q158" s="1"/>
      <x:c r="R158" s="1"/>
      <x:c r="S158" s="1"/>
      <x:c r="T158" s="1"/>
      <x:c r="U158" s="1"/>
      <x:c r="V158" s="1"/>
      <x:c r="W158" s="1"/>
      <x:c r="X158" s="1"/>
      <x:c r="Y158" s="1"/>
      <x:c r="Z158" s="1"/>
    </x:row>
    <x:row r="159">
      <x:c r="A159" s="100" t="n">
        <x:f>A158+1</x:f>
        <x:v>154</x:v>
      </x:c>
      <x:c r="B159" s="171" t="n">
        <x:f>IF(A159&lt;='Your Mortgage'!$C$8*12,EDATE('Your Mortgage'!$C$9,A159-1),"")</x:f>
        <x:v>50891</x:v>
      </x:c>
      <x:c r="C159" s="172" t="n">
        <x:f>IF(B159="","",'Your Mortgage'!$C$11)</x:f>
        <x:v>2054.2210763521375</x:v>
      </x:c>
      <x:c r="D159" s="172" t="n">
        <x:f>IF(B159="","",'Your Mortgage'!$F$6+IF(A159='Your Mortgage'!$F$8,'Your Mortgage'!$F$7,0))</x:f>
        <x:v>250</x:v>
      </x:c>
      <x:c r="E159" s="173"/>
      <x:c r="F159" s="170"/>
      <x:c r="G159" s="170"/>
      <x:c r="H159" s="170"/>
      <x:c r="I159" s="1"/>
      <x:c r="J159" s="1"/>
      <x:c r="K159" s="1"/>
      <x:c r="L159" s="1"/>
      <x:c r="M159" s="1"/>
      <x:c r="N159" s="1"/>
      <x:c r="O159" s="1"/>
      <x:c r="P159" s="1"/>
      <x:c r="Q159" s="1"/>
      <x:c r="R159" s="1"/>
      <x:c r="S159" s="1"/>
      <x:c r="T159" s="1"/>
      <x:c r="U159" s="1"/>
      <x:c r="V159" s="1"/>
      <x:c r="W159" s="1"/>
      <x:c r="X159" s="1"/>
      <x:c r="Y159" s="1"/>
      <x:c r="Z159" s="1"/>
    </x:row>
    <x:row r="160">
      <x:c r="A160" s="100" t="n">
        <x:f>A159+1</x:f>
        <x:v>155</x:v>
      </x:c>
      <x:c r="B160" s="171" t="n">
        <x:f>IF(A160&lt;='Your Mortgage'!$C$8*12,EDATE('Your Mortgage'!$C$9,A160-1),"")</x:f>
        <x:v>50922</x:v>
      </x:c>
      <x:c r="C160" s="172" t="n">
        <x:f>IF(B160="","",'Your Mortgage'!$C$11)</x:f>
        <x:v>2054.2210763521375</x:v>
      </x:c>
      <x:c r="D160" s="172" t="n">
        <x:f>IF(B160="","",'Your Mortgage'!$F$6+IF(A160='Your Mortgage'!$F$8,'Your Mortgage'!$F$7,0))</x:f>
        <x:v>250</x:v>
      </x:c>
      <x:c r="E160" s="173"/>
      <x:c r="F160" s="170"/>
      <x:c r="G160" s="170"/>
      <x:c r="H160" s="170"/>
      <x:c r="I160" s="1"/>
      <x:c r="J160" s="1"/>
      <x:c r="K160" s="1"/>
      <x:c r="L160" s="1"/>
      <x:c r="M160" s="1"/>
      <x:c r="N160" s="1"/>
      <x:c r="O160" s="1"/>
      <x:c r="P160" s="1"/>
      <x:c r="Q160" s="1"/>
      <x:c r="R160" s="1"/>
      <x:c r="S160" s="1"/>
      <x:c r="T160" s="1"/>
      <x:c r="U160" s="1"/>
      <x:c r="V160" s="1"/>
      <x:c r="W160" s="1"/>
      <x:c r="X160" s="1"/>
      <x:c r="Y160" s="1"/>
      <x:c r="Z160" s="1"/>
    </x:row>
    <x:row r="161">
      <x:c r="A161" s="100" t="n">
        <x:f>A160+1</x:f>
        <x:v>156</x:v>
      </x:c>
      <x:c r="B161" s="171" t="n">
        <x:f>IF(A161&lt;='Your Mortgage'!$C$8*12,EDATE('Your Mortgage'!$C$9,A161-1),"")</x:f>
        <x:v>50952</x:v>
      </x:c>
      <x:c r="C161" s="172" t="n">
        <x:f>IF(B161="","",'Your Mortgage'!$C$11)</x:f>
        <x:v>2054.2210763521375</x:v>
      </x:c>
      <x:c r="D161" s="172" t="n">
        <x:f>IF(B161="","",'Your Mortgage'!$F$6+IF(A161='Your Mortgage'!$F$8,'Your Mortgage'!$F$7,0))</x:f>
        <x:v>250</x:v>
      </x:c>
      <x:c r="E161" s="173"/>
      <x:c r="F161" s="170"/>
      <x:c r="G161" s="170"/>
      <x:c r="H161" s="170"/>
      <x:c r="I161" s="1"/>
      <x:c r="J161" s="1"/>
      <x:c r="K161" s="1"/>
      <x:c r="L161" s="1"/>
      <x:c r="M161" s="1"/>
      <x:c r="N161" s="1"/>
      <x:c r="O161" s="1"/>
      <x:c r="P161" s="1"/>
      <x:c r="Q161" s="1"/>
      <x:c r="R161" s="1"/>
      <x:c r="S161" s="1"/>
      <x:c r="T161" s="1"/>
      <x:c r="U161" s="1"/>
      <x:c r="V161" s="1"/>
      <x:c r="W161" s="1"/>
      <x:c r="X161" s="1"/>
      <x:c r="Y161" s="1"/>
      <x:c r="Z161" s="1"/>
    </x:row>
    <x:row r="162">
      <x:c r="A162" s="100" t="n">
        <x:f>A161+1</x:f>
        <x:v>157</x:v>
      </x:c>
      <x:c r="B162" s="171" t="n">
        <x:f>IF(A162&lt;='Your Mortgage'!$C$8*12,EDATE('Your Mortgage'!$C$9,A162-1),"")</x:f>
        <x:v>50983</x:v>
      </x:c>
      <x:c r="C162" s="172" t="n">
        <x:f>IF(B162="","",'Your Mortgage'!$C$11)</x:f>
        <x:v>2054.2210763521375</x:v>
      </x:c>
      <x:c r="D162" s="172" t="n">
        <x:f>IF(B162="","",'Your Mortgage'!$F$6+IF(A162='Your Mortgage'!$F$8,'Your Mortgage'!$F$7,0))</x:f>
        <x:v>250</x:v>
      </x:c>
      <x:c r="E162" s="173"/>
      <x:c r="F162" s="170"/>
      <x:c r="G162" s="170"/>
      <x:c r="H162" s="170"/>
      <x:c r="I162" s="1"/>
      <x:c r="J162" s="1"/>
      <x:c r="K162" s="1"/>
      <x:c r="L162" s="1"/>
      <x:c r="M162" s="1"/>
      <x:c r="N162" s="1"/>
      <x:c r="O162" s="1"/>
      <x:c r="P162" s="1"/>
      <x:c r="Q162" s="1"/>
      <x:c r="R162" s="1"/>
      <x:c r="S162" s="1"/>
      <x:c r="T162" s="1"/>
      <x:c r="U162" s="1"/>
      <x:c r="V162" s="1"/>
      <x:c r="W162" s="1"/>
      <x:c r="X162" s="1"/>
      <x:c r="Y162" s="1"/>
      <x:c r="Z162" s="1"/>
    </x:row>
    <x:row r="163">
      <x:c r="A163" s="100" t="n">
        <x:f>A162+1</x:f>
        <x:v>158</x:v>
      </x:c>
      <x:c r="B163" s="171" t="n">
        <x:f>IF(A163&lt;='Your Mortgage'!$C$8*12,EDATE('Your Mortgage'!$C$9,A163-1),"")</x:f>
        <x:v>51014</x:v>
      </x:c>
      <x:c r="C163" s="172" t="n">
        <x:f>IF(B163="","",'Your Mortgage'!$C$11)</x:f>
        <x:v>2054.2210763521375</x:v>
      </x:c>
      <x:c r="D163" s="172" t="n">
        <x:f>IF(B163="","",'Your Mortgage'!$F$6+IF(A163='Your Mortgage'!$F$8,'Your Mortgage'!$F$7,0))</x:f>
        <x:v>250</x:v>
      </x:c>
      <x:c r="E163" s="173"/>
      <x:c r="F163" s="170"/>
      <x:c r="G163" s="170"/>
      <x:c r="H163" s="170"/>
      <x:c r="I163" s="1"/>
      <x:c r="J163" s="1"/>
      <x:c r="K163" s="1"/>
      <x:c r="L163" s="1"/>
      <x:c r="M163" s="1"/>
      <x:c r="N163" s="1"/>
      <x:c r="O163" s="1"/>
      <x:c r="P163" s="1"/>
      <x:c r="Q163" s="1"/>
      <x:c r="R163" s="1"/>
      <x:c r="S163" s="1"/>
      <x:c r="T163" s="1"/>
      <x:c r="U163" s="1"/>
      <x:c r="V163" s="1"/>
      <x:c r="W163" s="1"/>
      <x:c r="X163" s="1"/>
      <x:c r="Y163" s="1"/>
      <x:c r="Z163" s="1"/>
    </x:row>
    <x:row r="164">
      <x:c r="A164" s="100" t="n">
        <x:f>A163+1</x:f>
        <x:v>159</x:v>
      </x:c>
      <x:c r="B164" s="171" t="n">
        <x:f>IF(A164&lt;='Your Mortgage'!$C$8*12,EDATE('Your Mortgage'!$C$9,A164-1),"")</x:f>
        <x:v>51044</x:v>
      </x:c>
      <x:c r="C164" s="172" t="n">
        <x:f>IF(B164="","",'Your Mortgage'!$C$11)</x:f>
        <x:v>2054.2210763521375</x:v>
      </x:c>
      <x:c r="D164" s="172" t="n">
        <x:f>IF(B164="","",'Your Mortgage'!$F$6+IF(A164='Your Mortgage'!$F$8,'Your Mortgage'!$F$7,0))</x:f>
        <x:v>250</x:v>
      </x:c>
      <x:c r="E164" s="173"/>
      <x:c r="F164" s="170"/>
      <x:c r="G164" s="170"/>
      <x:c r="H164" s="170"/>
      <x:c r="I164" s="1"/>
      <x:c r="J164" s="1"/>
      <x:c r="K164" s="1"/>
      <x:c r="L164" s="1"/>
      <x:c r="M164" s="1"/>
      <x:c r="N164" s="1"/>
      <x:c r="O164" s="1"/>
      <x:c r="P164" s="1"/>
      <x:c r="Q164" s="1"/>
      <x:c r="R164" s="1"/>
      <x:c r="S164" s="1"/>
      <x:c r="T164" s="1"/>
      <x:c r="U164" s="1"/>
      <x:c r="V164" s="1"/>
      <x:c r="W164" s="1"/>
      <x:c r="X164" s="1"/>
      <x:c r="Y164" s="1"/>
      <x:c r="Z164" s="1"/>
    </x:row>
    <x:row r="165">
      <x:c r="A165" s="100" t="n">
        <x:f>A164+1</x:f>
        <x:v>160</x:v>
      </x:c>
      <x:c r="B165" s="171" t="n">
        <x:f>IF(A165&lt;='Your Mortgage'!$C$8*12,EDATE('Your Mortgage'!$C$9,A165-1),"")</x:f>
        <x:v>51075</x:v>
      </x:c>
      <x:c r="C165" s="172" t="n">
        <x:f>IF(B165="","",'Your Mortgage'!$C$11)</x:f>
        <x:v>2054.2210763521375</x:v>
      </x:c>
      <x:c r="D165" s="172" t="n">
        <x:f>IF(B165="","",'Your Mortgage'!$F$6+IF(A165='Your Mortgage'!$F$8,'Your Mortgage'!$F$7,0))</x:f>
        <x:v>250</x:v>
      </x:c>
      <x:c r="E165" s="173"/>
      <x:c r="F165" s="170"/>
      <x:c r="G165" s="170"/>
      <x:c r="H165" s="170"/>
      <x:c r="I165" s="1"/>
      <x:c r="J165" s="1"/>
      <x:c r="K165" s="1"/>
      <x:c r="L165" s="1"/>
      <x:c r="M165" s="1"/>
      <x:c r="N165" s="1"/>
      <x:c r="O165" s="1"/>
      <x:c r="P165" s="1"/>
      <x:c r="Q165" s="1"/>
      <x:c r="R165" s="1"/>
      <x:c r="S165" s="1"/>
      <x:c r="T165" s="1"/>
      <x:c r="U165" s="1"/>
      <x:c r="V165" s="1"/>
      <x:c r="W165" s="1"/>
      <x:c r="X165" s="1"/>
      <x:c r="Y165" s="1"/>
      <x:c r="Z165" s="1"/>
    </x:row>
    <x:row r="166">
      <x:c r="A166" s="100" t="n">
        <x:f>A165+1</x:f>
        <x:v>161</x:v>
      </x:c>
      <x:c r="B166" s="171" t="n">
        <x:f>IF(A166&lt;='Your Mortgage'!$C$8*12,EDATE('Your Mortgage'!$C$9,A166-1),"")</x:f>
        <x:v>51105</x:v>
      </x:c>
      <x:c r="C166" s="172" t="n">
        <x:f>IF(B166="","",'Your Mortgage'!$C$11)</x:f>
        <x:v>2054.2210763521375</x:v>
      </x:c>
      <x:c r="D166" s="172" t="n">
        <x:f>IF(B166="","",'Your Mortgage'!$F$6+IF(A166='Your Mortgage'!$F$8,'Your Mortgage'!$F$7,0))</x:f>
        <x:v>250</x:v>
      </x:c>
      <x:c r="E166" s="173"/>
      <x:c r="F166" s="170"/>
      <x:c r="G166" s="170"/>
      <x:c r="H166" s="170"/>
      <x:c r="I166" s="1"/>
      <x:c r="J166" s="1"/>
      <x:c r="K166" s="1"/>
      <x:c r="L166" s="1"/>
      <x:c r="M166" s="1"/>
      <x:c r="N166" s="1"/>
      <x:c r="O166" s="1"/>
      <x:c r="P166" s="1"/>
      <x:c r="Q166" s="1"/>
      <x:c r="R166" s="1"/>
      <x:c r="S166" s="1"/>
      <x:c r="T166" s="1"/>
      <x:c r="U166" s="1"/>
      <x:c r="V166" s="1"/>
      <x:c r="W166" s="1"/>
      <x:c r="X166" s="1"/>
      <x:c r="Y166" s="1"/>
      <x:c r="Z166" s="1"/>
    </x:row>
    <x:row r="167">
      <x:c r="A167" s="100" t="n">
        <x:f>A166+1</x:f>
        <x:v>162</x:v>
      </x:c>
      <x:c r="B167" s="171" t="n">
        <x:f>IF(A167&lt;='Your Mortgage'!$C$8*12,EDATE('Your Mortgage'!$C$9,A167-1),"")</x:f>
        <x:v>51136</x:v>
      </x:c>
      <x:c r="C167" s="172" t="n">
        <x:f>IF(B167="","",'Your Mortgage'!$C$11)</x:f>
        <x:v>2054.2210763521375</x:v>
      </x:c>
      <x:c r="D167" s="172" t="n">
        <x:f>IF(B167="","",'Your Mortgage'!$F$6+IF(A167='Your Mortgage'!$F$8,'Your Mortgage'!$F$7,0))</x:f>
        <x:v>250</x:v>
      </x:c>
      <x:c r="E167" s="173"/>
      <x:c r="F167" s="170"/>
      <x:c r="G167" s="170"/>
      <x:c r="H167" s="170"/>
      <x:c r="I167" s="1"/>
      <x:c r="J167" s="1"/>
      <x:c r="K167" s="1"/>
      <x:c r="L167" s="1"/>
      <x:c r="M167" s="1"/>
      <x:c r="N167" s="1"/>
      <x:c r="O167" s="1"/>
      <x:c r="P167" s="1"/>
      <x:c r="Q167" s="1"/>
      <x:c r="R167" s="1"/>
      <x:c r="S167" s="1"/>
      <x:c r="T167" s="1"/>
      <x:c r="U167" s="1"/>
      <x:c r="V167" s="1"/>
      <x:c r="W167" s="1"/>
      <x:c r="X167" s="1"/>
      <x:c r="Y167" s="1"/>
      <x:c r="Z167" s="1"/>
    </x:row>
    <x:row r="168">
      <x:c r="A168" s="100" t="n">
        <x:f>A167+1</x:f>
        <x:v>163</x:v>
      </x:c>
      <x:c r="B168" s="171" t="n">
        <x:f>IF(A168&lt;='Your Mortgage'!$C$8*12,EDATE('Your Mortgage'!$C$9,A168-1),"")</x:f>
        <x:v>51167</x:v>
      </x:c>
      <x:c r="C168" s="172" t="n">
        <x:f>IF(B168="","",'Your Mortgage'!$C$11)</x:f>
        <x:v>2054.2210763521375</x:v>
      </x:c>
      <x:c r="D168" s="172" t="n">
        <x:f>IF(B168="","",'Your Mortgage'!$F$6+IF(A168='Your Mortgage'!$F$8,'Your Mortgage'!$F$7,0))</x:f>
        <x:v>250</x:v>
      </x:c>
      <x:c r="E168" s="173"/>
      <x:c r="F168" s="170"/>
      <x:c r="G168" s="170"/>
      <x:c r="H168" s="170"/>
      <x:c r="I168" s="1"/>
      <x:c r="J168" s="1"/>
      <x:c r="K168" s="1"/>
      <x:c r="L168" s="1"/>
      <x:c r="M168" s="1"/>
      <x:c r="N168" s="1"/>
      <x:c r="O168" s="1"/>
      <x:c r="P168" s="1"/>
      <x:c r="Q168" s="1"/>
      <x:c r="R168" s="1"/>
      <x:c r="S168" s="1"/>
      <x:c r="T168" s="1"/>
      <x:c r="U168" s="1"/>
      <x:c r="V168" s="1"/>
      <x:c r="W168" s="1"/>
      <x:c r="X168" s="1"/>
      <x:c r="Y168" s="1"/>
      <x:c r="Z168" s="1"/>
    </x:row>
    <x:row r="169">
      <x:c r="A169" s="100" t="n">
        <x:f>A168+1</x:f>
        <x:v>164</x:v>
      </x:c>
      <x:c r="B169" s="171" t="n">
        <x:f>IF(A169&lt;='Your Mortgage'!$C$8*12,EDATE('Your Mortgage'!$C$9,A169-1),"")</x:f>
        <x:v>51196</x:v>
      </x:c>
      <x:c r="C169" s="172" t="n">
        <x:f>IF(B169="","",'Your Mortgage'!$C$11)</x:f>
        <x:v>2054.2210763521375</x:v>
      </x:c>
      <x:c r="D169" s="172" t="n">
        <x:f>IF(B169="","",'Your Mortgage'!$F$6+IF(A169='Your Mortgage'!$F$8,'Your Mortgage'!$F$7,0))</x:f>
        <x:v>250</x:v>
      </x:c>
      <x:c r="E169" s="173"/>
      <x:c r="F169" s="170"/>
      <x:c r="G169" s="170"/>
      <x:c r="H169" s="170"/>
      <x:c r="I169" s="1"/>
      <x:c r="J169" s="1"/>
      <x:c r="K169" s="1"/>
      <x:c r="L169" s="1"/>
      <x:c r="M169" s="1"/>
      <x:c r="N169" s="1"/>
      <x:c r="O169" s="1"/>
      <x:c r="P169" s="1"/>
      <x:c r="Q169" s="1"/>
      <x:c r="R169" s="1"/>
      <x:c r="S169" s="1"/>
      <x:c r="T169" s="1"/>
      <x:c r="U169" s="1"/>
      <x:c r="V169" s="1"/>
      <x:c r="W169" s="1"/>
      <x:c r="X169" s="1"/>
      <x:c r="Y169" s="1"/>
      <x:c r="Z169" s="1"/>
    </x:row>
    <x:row r="170">
      <x:c r="A170" s="100" t="n">
        <x:f>A169+1</x:f>
        <x:v>165</x:v>
      </x:c>
      <x:c r="B170" s="171" t="n">
        <x:f>IF(A170&lt;='Your Mortgage'!$C$8*12,EDATE('Your Mortgage'!$C$9,A170-1),"")</x:f>
        <x:v>51227</x:v>
      </x:c>
      <x:c r="C170" s="172" t="n">
        <x:f>IF(B170="","",'Your Mortgage'!$C$11)</x:f>
        <x:v>2054.2210763521375</x:v>
      </x:c>
      <x:c r="D170" s="172" t="n">
        <x:f>IF(B170="","",'Your Mortgage'!$F$6+IF(A170='Your Mortgage'!$F$8,'Your Mortgage'!$F$7,0))</x:f>
        <x:v>250</x:v>
      </x:c>
      <x:c r="E170" s="173"/>
      <x:c r="F170" s="170"/>
      <x:c r="G170" s="170"/>
      <x:c r="H170" s="170"/>
      <x:c r="I170" s="1"/>
      <x:c r="J170" s="1"/>
      <x:c r="K170" s="1"/>
      <x:c r="L170" s="1"/>
      <x:c r="M170" s="1"/>
      <x:c r="N170" s="1"/>
      <x:c r="O170" s="1"/>
      <x:c r="P170" s="1"/>
      <x:c r="Q170" s="1"/>
      <x:c r="R170" s="1"/>
      <x:c r="S170" s="1"/>
      <x:c r="T170" s="1"/>
      <x:c r="U170" s="1"/>
      <x:c r="V170" s="1"/>
      <x:c r="W170" s="1"/>
      <x:c r="X170" s="1"/>
      <x:c r="Y170" s="1"/>
      <x:c r="Z170" s="1"/>
    </x:row>
    <x:row r="171">
      <x:c r="A171" s="100" t="n">
        <x:f>A170+1</x:f>
        <x:v>166</x:v>
      </x:c>
      <x:c r="B171" s="171" t="n">
        <x:f>IF(A171&lt;='Your Mortgage'!$C$8*12,EDATE('Your Mortgage'!$C$9,A171-1),"")</x:f>
        <x:v>51257</x:v>
      </x:c>
      <x:c r="C171" s="172" t="n">
        <x:f>IF(B171="","",'Your Mortgage'!$C$11)</x:f>
        <x:v>2054.2210763521375</x:v>
      </x:c>
      <x:c r="D171" s="172" t="n">
        <x:f>IF(B171="","",'Your Mortgage'!$F$6+IF(A171='Your Mortgage'!$F$8,'Your Mortgage'!$F$7,0))</x:f>
        <x:v>250</x:v>
      </x:c>
      <x:c r="E171" s="173"/>
      <x:c r="F171" s="170"/>
      <x:c r="G171" s="170"/>
      <x:c r="H171" s="170"/>
      <x:c r="I171" s="1"/>
      <x:c r="J171" s="1"/>
      <x:c r="K171" s="1"/>
      <x:c r="L171" s="1"/>
      <x:c r="M171" s="1"/>
      <x:c r="N171" s="1"/>
      <x:c r="O171" s="1"/>
      <x:c r="P171" s="1"/>
      <x:c r="Q171" s="1"/>
      <x:c r="R171" s="1"/>
      <x:c r="S171" s="1"/>
      <x:c r="T171" s="1"/>
      <x:c r="U171" s="1"/>
      <x:c r="V171" s="1"/>
      <x:c r="W171" s="1"/>
      <x:c r="X171" s="1"/>
      <x:c r="Y171" s="1"/>
      <x:c r="Z171" s="1"/>
    </x:row>
    <x:row r="172">
      <x:c r="A172" s="100" t="n">
        <x:f>A171+1</x:f>
        <x:v>167</x:v>
      </x:c>
      <x:c r="B172" s="171" t="n">
        <x:f>IF(A172&lt;='Your Mortgage'!$C$8*12,EDATE('Your Mortgage'!$C$9,A172-1),"")</x:f>
        <x:v>51288</x:v>
      </x:c>
      <x:c r="C172" s="172" t="n">
        <x:f>IF(B172="","",'Your Mortgage'!$C$11)</x:f>
        <x:v>2054.2210763521375</x:v>
      </x:c>
      <x:c r="D172" s="172" t="n">
        <x:f>IF(B172="","",'Your Mortgage'!$F$6+IF(A172='Your Mortgage'!$F$8,'Your Mortgage'!$F$7,0))</x:f>
        <x:v>250</x:v>
      </x:c>
      <x:c r="E172" s="173"/>
      <x:c r="F172" s="170"/>
      <x:c r="G172" s="170"/>
      <x:c r="H172" s="170"/>
      <x:c r="I172" s="1"/>
      <x:c r="J172" s="1"/>
      <x:c r="K172" s="1"/>
      <x:c r="L172" s="1"/>
      <x:c r="M172" s="1"/>
      <x:c r="N172" s="1"/>
      <x:c r="O172" s="1"/>
      <x:c r="P172" s="1"/>
      <x:c r="Q172" s="1"/>
      <x:c r="R172" s="1"/>
      <x:c r="S172" s="1"/>
      <x:c r="T172" s="1"/>
      <x:c r="U172" s="1"/>
      <x:c r="V172" s="1"/>
      <x:c r="W172" s="1"/>
      <x:c r="X172" s="1"/>
      <x:c r="Y172" s="1"/>
      <x:c r="Z172" s="1"/>
    </x:row>
    <x:row r="173">
      <x:c r="A173" s="100" t="n">
        <x:f>A172+1</x:f>
        <x:v>168</x:v>
      </x:c>
      <x:c r="B173" s="171" t="n">
        <x:f>IF(A173&lt;='Your Mortgage'!$C$8*12,EDATE('Your Mortgage'!$C$9,A173-1),"")</x:f>
        <x:v>51318</x:v>
      </x:c>
      <x:c r="C173" s="172" t="n">
        <x:f>IF(B173="","",'Your Mortgage'!$C$11)</x:f>
        <x:v>2054.2210763521375</x:v>
      </x:c>
      <x:c r="D173" s="172" t="n">
        <x:f>IF(B173="","",'Your Mortgage'!$F$6+IF(A173='Your Mortgage'!$F$8,'Your Mortgage'!$F$7,0))</x:f>
        <x:v>250</x:v>
      </x:c>
      <x:c r="E173" s="173"/>
      <x:c r="F173" s="170"/>
      <x:c r="G173" s="170"/>
      <x:c r="H173" s="170"/>
      <x:c r="I173" s="1"/>
      <x:c r="J173" s="1"/>
      <x:c r="K173" s="1"/>
      <x:c r="L173" s="1"/>
      <x:c r="M173" s="1"/>
      <x:c r="N173" s="1"/>
      <x:c r="O173" s="1"/>
      <x:c r="P173" s="1"/>
      <x:c r="Q173" s="1"/>
      <x:c r="R173" s="1"/>
      <x:c r="S173" s="1"/>
      <x:c r="T173" s="1"/>
      <x:c r="U173" s="1"/>
      <x:c r="V173" s="1"/>
      <x:c r="W173" s="1"/>
      <x:c r="X173" s="1"/>
      <x:c r="Y173" s="1"/>
      <x:c r="Z173" s="1"/>
    </x:row>
    <x:row r="174">
      <x:c r="A174" s="100" t="n">
        <x:f>A173+1</x:f>
        <x:v>169</x:v>
      </x:c>
      <x:c r="B174" s="171" t="n">
        <x:f>IF(A174&lt;='Your Mortgage'!$C$8*12,EDATE('Your Mortgage'!$C$9,A174-1),"")</x:f>
        <x:v>51349</x:v>
      </x:c>
      <x:c r="C174" s="172" t="n">
        <x:f>IF(B174="","",'Your Mortgage'!$C$11)</x:f>
        <x:v>2054.2210763521375</x:v>
      </x:c>
      <x:c r="D174" s="172" t="n">
        <x:f>IF(B174="","",'Your Mortgage'!$F$6+IF(A174='Your Mortgage'!$F$8,'Your Mortgage'!$F$7,0))</x:f>
        <x:v>250</x:v>
      </x:c>
      <x:c r="E174" s="173"/>
      <x:c r="F174" s="170"/>
      <x:c r="G174" s="170"/>
      <x:c r="H174" s="170"/>
      <x:c r="I174" s="1"/>
      <x:c r="J174" s="1"/>
      <x:c r="K174" s="1"/>
      <x:c r="L174" s="1"/>
      <x:c r="M174" s="1"/>
      <x:c r="N174" s="1"/>
      <x:c r="O174" s="1"/>
      <x:c r="P174" s="1"/>
      <x:c r="Q174" s="1"/>
      <x:c r="R174" s="1"/>
      <x:c r="S174" s="1"/>
      <x:c r="T174" s="1"/>
      <x:c r="U174" s="1"/>
      <x:c r="V174" s="1"/>
      <x:c r="W174" s="1"/>
      <x:c r="X174" s="1"/>
      <x:c r="Y174" s="1"/>
      <x:c r="Z174" s="1"/>
    </x:row>
    <x:row r="175">
      <x:c r="A175" s="100" t="n">
        <x:f>A174+1</x:f>
        <x:v>170</x:v>
      </x:c>
      <x:c r="B175" s="171" t="n">
        <x:f>IF(A175&lt;='Your Mortgage'!$C$8*12,EDATE('Your Mortgage'!$C$9,A175-1),"")</x:f>
        <x:v>51380</x:v>
      </x:c>
      <x:c r="C175" s="172" t="n">
        <x:f>IF(B175="","",'Your Mortgage'!$C$11)</x:f>
        <x:v>2054.2210763521375</x:v>
      </x:c>
      <x:c r="D175" s="172" t="n">
        <x:f>IF(B175="","",'Your Mortgage'!$F$6+IF(A175='Your Mortgage'!$F$8,'Your Mortgage'!$F$7,0))</x:f>
        <x:v>250</x:v>
      </x:c>
      <x:c r="E175" s="173"/>
      <x:c r="F175" s="170"/>
      <x:c r="G175" s="170"/>
      <x:c r="H175" s="170"/>
      <x:c r="I175" s="1"/>
      <x:c r="J175" s="1"/>
      <x:c r="K175" s="1"/>
      <x:c r="L175" s="1"/>
      <x:c r="M175" s="1"/>
      <x:c r="N175" s="1"/>
      <x:c r="O175" s="1"/>
      <x:c r="P175" s="1"/>
      <x:c r="Q175" s="1"/>
      <x:c r="R175" s="1"/>
      <x:c r="S175" s="1"/>
      <x:c r="T175" s="1"/>
      <x:c r="U175" s="1"/>
      <x:c r="V175" s="1"/>
      <x:c r="W175" s="1"/>
      <x:c r="X175" s="1"/>
      <x:c r="Y175" s="1"/>
      <x:c r="Z175" s="1"/>
    </x:row>
    <x:row r="176">
      <x:c r="A176" s="100" t="n">
        <x:f>A175+1</x:f>
        <x:v>171</x:v>
      </x:c>
      <x:c r="B176" s="171" t="n">
        <x:f>IF(A176&lt;='Your Mortgage'!$C$8*12,EDATE('Your Mortgage'!$C$9,A176-1),"")</x:f>
        <x:v>51410</x:v>
      </x:c>
      <x:c r="C176" s="172" t="n">
        <x:f>IF(B176="","",'Your Mortgage'!$C$11)</x:f>
        <x:v>2054.2210763521375</x:v>
      </x:c>
      <x:c r="D176" s="172" t="n">
        <x:f>IF(B176="","",'Your Mortgage'!$F$6+IF(A176='Your Mortgage'!$F$8,'Your Mortgage'!$F$7,0))</x:f>
        <x:v>250</x:v>
      </x:c>
      <x:c r="E176" s="173"/>
      <x:c r="F176" s="170"/>
      <x:c r="G176" s="170"/>
      <x:c r="H176" s="170"/>
      <x:c r="I176" s="1"/>
      <x:c r="J176" s="1"/>
      <x:c r="K176" s="1"/>
      <x:c r="L176" s="1"/>
      <x:c r="M176" s="1"/>
      <x:c r="N176" s="1"/>
      <x:c r="O176" s="1"/>
      <x:c r="P176" s="1"/>
      <x:c r="Q176" s="1"/>
      <x:c r="R176" s="1"/>
      <x:c r="S176" s="1"/>
      <x:c r="T176" s="1"/>
      <x:c r="U176" s="1"/>
      <x:c r="V176" s="1"/>
      <x:c r="W176" s="1"/>
      <x:c r="X176" s="1"/>
      <x:c r="Y176" s="1"/>
      <x:c r="Z176" s="1"/>
    </x:row>
    <x:row r="177">
      <x:c r="A177" s="100" t="n">
        <x:f>A176+1</x:f>
        <x:v>172</x:v>
      </x:c>
      <x:c r="B177" s="171" t="n">
        <x:f>IF(A177&lt;='Your Mortgage'!$C$8*12,EDATE('Your Mortgage'!$C$9,A177-1),"")</x:f>
        <x:v>51441</x:v>
      </x:c>
      <x:c r="C177" s="172" t="n">
        <x:f>IF(B177="","",'Your Mortgage'!$C$11)</x:f>
        <x:v>2054.2210763521375</x:v>
      </x:c>
      <x:c r="D177" s="172" t="n">
        <x:f>IF(B177="","",'Your Mortgage'!$F$6+IF(A177='Your Mortgage'!$F$8,'Your Mortgage'!$F$7,0))</x:f>
        <x:v>250</x:v>
      </x:c>
      <x:c r="E177" s="173"/>
      <x:c r="F177" s="170"/>
      <x:c r="G177" s="170"/>
      <x:c r="H177" s="170"/>
      <x:c r="I177" s="1"/>
      <x:c r="J177" s="1"/>
      <x:c r="K177" s="1"/>
      <x:c r="L177" s="1"/>
      <x:c r="M177" s="1"/>
      <x:c r="N177" s="1"/>
      <x:c r="O177" s="1"/>
      <x:c r="P177" s="1"/>
      <x:c r="Q177" s="1"/>
      <x:c r="R177" s="1"/>
      <x:c r="S177" s="1"/>
      <x:c r="T177" s="1"/>
      <x:c r="U177" s="1"/>
      <x:c r="V177" s="1"/>
      <x:c r="W177" s="1"/>
      <x:c r="X177" s="1"/>
      <x:c r="Y177" s="1"/>
      <x:c r="Z177" s="1"/>
    </x:row>
    <x:row r="178">
      <x:c r="A178" s="100" t="n">
        <x:f>A177+1</x:f>
        <x:v>173</x:v>
      </x:c>
      <x:c r="B178" s="171" t="n">
        <x:f>IF(A178&lt;='Your Mortgage'!$C$8*12,EDATE('Your Mortgage'!$C$9,A178-1),"")</x:f>
        <x:v>51471</x:v>
      </x:c>
      <x:c r="C178" s="172" t="n">
        <x:f>IF(B178="","",'Your Mortgage'!$C$11)</x:f>
        <x:v>2054.2210763521375</x:v>
      </x:c>
      <x:c r="D178" s="172" t="n">
        <x:f>IF(B178="","",'Your Mortgage'!$F$6+IF(A178='Your Mortgage'!$F$8,'Your Mortgage'!$F$7,0))</x:f>
        <x:v>250</x:v>
      </x:c>
      <x:c r="E178" s="173"/>
      <x:c r="F178" s="170"/>
      <x:c r="G178" s="170"/>
      <x:c r="H178" s="170"/>
      <x:c r="I178" s="1"/>
      <x:c r="J178" s="1"/>
      <x:c r="K178" s="1"/>
      <x:c r="L178" s="1"/>
      <x:c r="M178" s="1"/>
      <x:c r="N178" s="1"/>
      <x:c r="O178" s="1"/>
      <x:c r="P178" s="1"/>
      <x:c r="Q178" s="1"/>
      <x:c r="R178" s="1"/>
      <x:c r="S178" s="1"/>
      <x:c r="T178" s="1"/>
      <x:c r="U178" s="1"/>
      <x:c r="V178" s="1"/>
      <x:c r="W178" s="1"/>
      <x:c r="X178" s="1"/>
      <x:c r="Y178" s="1"/>
      <x:c r="Z178" s="1"/>
    </x:row>
    <x:row r="179">
      <x:c r="A179" s="100" t="n">
        <x:f>A178+1</x:f>
        <x:v>174</x:v>
      </x:c>
      <x:c r="B179" s="171" t="n">
        <x:f>IF(A179&lt;='Your Mortgage'!$C$8*12,EDATE('Your Mortgage'!$C$9,A179-1),"")</x:f>
        <x:v>51502</x:v>
      </x:c>
      <x:c r="C179" s="172" t="n">
        <x:f>IF(B179="","",'Your Mortgage'!$C$11)</x:f>
        <x:v>2054.2210763521375</x:v>
      </x:c>
      <x:c r="D179" s="172" t="n">
        <x:f>IF(B179="","",'Your Mortgage'!$F$6+IF(A179='Your Mortgage'!$F$8,'Your Mortgage'!$F$7,0))</x:f>
        <x:v>250</x:v>
      </x:c>
      <x:c r="E179" s="173"/>
      <x:c r="F179" s="170"/>
      <x:c r="G179" s="170"/>
      <x:c r="H179" s="170"/>
      <x:c r="I179" s="1"/>
      <x:c r="J179" s="1"/>
      <x:c r="K179" s="1"/>
      <x:c r="L179" s="1"/>
      <x:c r="M179" s="1"/>
      <x:c r="N179" s="1"/>
      <x:c r="O179" s="1"/>
      <x:c r="P179" s="1"/>
      <x:c r="Q179" s="1"/>
      <x:c r="R179" s="1"/>
      <x:c r="S179" s="1"/>
      <x:c r="T179" s="1"/>
      <x:c r="U179" s="1"/>
      <x:c r="V179" s="1"/>
      <x:c r="W179" s="1"/>
      <x:c r="X179" s="1"/>
      <x:c r="Y179" s="1"/>
      <x:c r="Z179" s="1"/>
    </x:row>
    <x:row r="180">
      <x:c r="A180" s="100" t="n">
        <x:f>A179+1</x:f>
        <x:v>175</x:v>
      </x:c>
      <x:c r="B180" s="171" t="n">
        <x:f>IF(A180&lt;='Your Mortgage'!$C$8*12,EDATE('Your Mortgage'!$C$9,A180-1),"")</x:f>
        <x:v>51533</x:v>
      </x:c>
      <x:c r="C180" s="172" t="n">
        <x:f>IF(B180="","",'Your Mortgage'!$C$11)</x:f>
        <x:v>2054.2210763521375</x:v>
      </x:c>
      <x:c r="D180" s="172" t="n">
        <x:f>IF(B180="","",'Your Mortgage'!$F$6+IF(A180='Your Mortgage'!$F$8,'Your Mortgage'!$F$7,0))</x:f>
        <x:v>250</x:v>
      </x:c>
      <x:c r="E180" s="173"/>
      <x:c r="F180" s="170"/>
      <x:c r="G180" s="170"/>
      <x:c r="H180" s="170"/>
      <x:c r="I180" s="1"/>
      <x:c r="J180" s="1"/>
      <x:c r="K180" s="1"/>
      <x:c r="L180" s="1"/>
      <x:c r="M180" s="1"/>
      <x:c r="N180" s="1"/>
      <x:c r="O180" s="1"/>
      <x:c r="P180" s="1"/>
      <x:c r="Q180" s="1"/>
      <x:c r="R180" s="1"/>
      <x:c r="S180" s="1"/>
      <x:c r="T180" s="1"/>
      <x:c r="U180" s="1"/>
      <x:c r="V180" s="1"/>
      <x:c r="W180" s="1"/>
      <x:c r="X180" s="1"/>
      <x:c r="Y180" s="1"/>
      <x:c r="Z180" s="1"/>
    </x:row>
    <x:row r="181">
      <x:c r="A181" s="100" t="n">
        <x:f>A180+1</x:f>
        <x:v>176</x:v>
      </x:c>
      <x:c r="B181" s="171" t="n">
        <x:f>IF(A181&lt;='Your Mortgage'!$C$8*12,EDATE('Your Mortgage'!$C$9,A181-1),"")</x:f>
        <x:v>51561</x:v>
      </x:c>
      <x:c r="C181" s="172" t="n">
        <x:f>IF(B181="","",'Your Mortgage'!$C$11)</x:f>
        <x:v>2054.2210763521375</x:v>
      </x:c>
      <x:c r="D181" s="172" t="n">
        <x:f>IF(B181="","",'Your Mortgage'!$F$6+IF(A181='Your Mortgage'!$F$8,'Your Mortgage'!$F$7,0))</x:f>
        <x:v>250</x:v>
      </x:c>
      <x:c r="E181" s="173"/>
      <x:c r="F181" s="170"/>
      <x:c r="G181" s="170"/>
      <x:c r="H181" s="170"/>
      <x:c r="I181" s="1"/>
      <x:c r="J181" s="1"/>
      <x:c r="K181" s="1"/>
      <x:c r="L181" s="1"/>
      <x:c r="M181" s="1"/>
      <x:c r="N181" s="1"/>
      <x:c r="O181" s="1"/>
      <x:c r="P181" s="1"/>
      <x:c r="Q181" s="1"/>
      <x:c r="R181" s="1"/>
      <x:c r="S181" s="1"/>
      <x:c r="T181" s="1"/>
      <x:c r="U181" s="1"/>
      <x:c r="V181" s="1"/>
      <x:c r="W181" s="1"/>
      <x:c r="X181" s="1"/>
      <x:c r="Y181" s="1"/>
      <x:c r="Z181" s="1"/>
    </x:row>
    <x:row r="182">
      <x:c r="A182" s="100" t="n">
        <x:f>A181+1</x:f>
        <x:v>177</x:v>
      </x:c>
      <x:c r="B182" s="171" t="n">
        <x:f>IF(A182&lt;='Your Mortgage'!$C$8*12,EDATE('Your Mortgage'!$C$9,A182-1),"")</x:f>
        <x:v>51592</x:v>
      </x:c>
      <x:c r="C182" s="172" t="n">
        <x:f>IF(B182="","",'Your Mortgage'!$C$11)</x:f>
        <x:v>2054.2210763521375</x:v>
      </x:c>
      <x:c r="D182" s="172" t="n">
        <x:f>IF(B182="","",'Your Mortgage'!$F$6+IF(A182='Your Mortgage'!$F$8,'Your Mortgage'!$F$7,0))</x:f>
        <x:v>250</x:v>
      </x:c>
      <x:c r="E182" s="173"/>
      <x:c r="F182" s="170"/>
      <x:c r="G182" s="170"/>
      <x:c r="H182" s="170"/>
      <x:c r="I182" s="1"/>
      <x:c r="J182" s="1"/>
      <x:c r="K182" s="1"/>
      <x:c r="L182" s="1"/>
      <x:c r="M182" s="1"/>
      <x:c r="N182" s="1"/>
      <x:c r="O182" s="1"/>
      <x:c r="P182" s="1"/>
      <x:c r="Q182" s="1"/>
      <x:c r="R182" s="1"/>
      <x:c r="S182" s="1"/>
      <x:c r="T182" s="1"/>
      <x:c r="U182" s="1"/>
      <x:c r="V182" s="1"/>
      <x:c r="W182" s="1"/>
      <x:c r="X182" s="1"/>
      <x:c r="Y182" s="1"/>
      <x:c r="Z182" s="1"/>
    </x:row>
    <x:row r="183">
      <x:c r="A183" s="100" t="n">
        <x:f>A182+1</x:f>
        <x:v>178</x:v>
      </x:c>
      <x:c r="B183" s="171" t="n">
        <x:f>IF(A183&lt;='Your Mortgage'!$C$8*12,EDATE('Your Mortgage'!$C$9,A183-1),"")</x:f>
        <x:v>51622</x:v>
      </x:c>
      <x:c r="C183" s="172" t="n">
        <x:f>IF(B183="","",'Your Mortgage'!$C$11)</x:f>
        <x:v>2054.2210763521375</x:v>
      </x:c>
      <x:c r="D183" s="172" t="n">
        <x:f>IF(B183="","",'Your Mortgage'!$F$6+IF(A183='Your Mortgage'!$F$8,'Your Mortgage'!$F$7,0))</x:f>
        <x:v>250</x:v>
      </x:c>
      <x:c r="E183" s="173"/>
      <x:c r="F183" s="170"/>
      <x:c r="G183" s="170"/>
      <x:c r="H183" s="170"/>
      <x:c r="I183" s="1"/>
      <x:c r="J183" s="1"/>
      <x:c r="K183" s="1"/>
      <x:c r="L183" s="1"/>
      <x:c r="M183" s="1"/>
      <x:c r="N183" s="1"/>
      <x:c r="O183" s="1"/>
      <x:c r="P183" s="1"/>
      <x:c r="Q183" s="1"/>
      <x:c r="R183" s="1"/>
      <x:c r="S183" s="1"/>
      <x:c r="T183" s="1"/>
      <x:c r="U183" s="1"/>
      <x:c r="V183" s="1"/>
      <x:c r="W183" s="1"/>
      <x:c r="X183" s="1"/>
      <x:c r="Y183" s="1"/>
      <x:c r="Z183" s="1"/>
    </x:row>
    <x:row r="184">
      <x:c r="A184" s="100" t="n">
        <x:f>A183+1</x:f>
        <x:v>179</x:v>
      </x:c>
      <x:c r="B184" s="171" t="n">
        <x:f>IF(A184&lt;='Your Mortgage'!$C$8*12,EDATE('Your Mortgage'!$C$9,A184-1),"")</x:f>
        <x:v>51653</x:v>
      </x:c>
      <x:c r="C184" s="172" t="n">
        <x:f>IF(B184="","",'Your Mortgage'!$C$11)</x:f>
        <x:v>2054.2210763521375</x:v>
      </x:c>
      <x:c r="D184" s="172" t="n">
        <x:f>IF(B184="","",'Your Mortgage'!$F$6+IF(A184='Your Mortgage'!$F$8,'Your Mortgage'!$F$7,0))</x:f>
        <x:v>250</x:v>
      </x:c>
      <x:c r="E184" s="173"/>
      <x:c r="F184" s="170"/>
      <x:c r="G184" s="170"/>
      <x:c r="H184" s="170"/>
      <x:c r="I184" s="1"/>
      <x:c r="J184" s="1"/>
      <x:c r="K184" s="1"/>
      <x:c r="L184" s="1"/>
      <x:c r="M184" s="1"/>
      <x:c r="N184" s="1"/>
      <x:c r="O184" s="1"/>
      <x:c r="P184" s="1"/>
      <x:c r="Q184" s="1"/>
      <x:c r="R184" s="1"/>
      <x:c r="S184" s="1"/>
      <x:c r="T184" s="1"/>
      <x:c r="U184" s="1"/>
      <x:c r="V184" s="1"/>
      <x:c r="W184" s="1"/>
      <x:c r="X184" s="1"/>
      <x:c r="Y184" s="1"/>
      <x:c r="Z184" s="1"/>
    </x:row>
    <x:row r="185">
      <x:c r="A185" s="100" t="n">
        <x:f>A184+1</x:f>
        <x:v>180</x:v>
      </x:c>
      <x:c r="B185" s="171" t="n">
        <x:f>IF(A185&lt;='Your Mortgage'!$C$8*12,EDATE('Your Mortgage'!$C$9,A185-1),"")</x:f>
        <x:v>51683</x:v>
      </x:c>
      <x:c r="C185" s="172" t="n">
        <x:f>IF(B185="","",'Your Mortgage'!$C$11)</x:f>
        <x:v>2054.2210763521375</x:v>
      </x:c>
      <x:c r="D185" s="172" t="n">
        <x:f>IF(B185="","",'Your Mortgage'!$F$6+IF(A185='Your Mortgage'!$F$8,'Your Mortgage'!$F$7,0))</x:f>
        <x:v>250</x:v>
      </x:c>
      <x:c r="E185" s="173"/>
      <x:c r="F185" s="170"/>
      <x:c r="G185" s="170"/>
      <x:c r="H185" s="170"/>
      <x:c r="I185" s="1"/>
      <x:c r="J185" s="1"/>
      <x:c r="K185" s="1"/>
      <x:c r="L185" s="1"/>
      <x:c r="M185" s="1"/>
      <x:c r="N185" s="1"/>
      <x:c r="O185" s="1"/>
      <x:c r="P185" s="1"/>
      <x:c r="Q185" s="1"/>
      <x:c r="R185" s="1"/>
      <x:c r="S185" s="1"/>
      <x:c r="T185" s="1"/>
      <x:c r="U185" s="1"/>
      <x:c r="V185" s="1"/>
      <x:c r="W185" s="1"/>
      <x:c r="X185" s="1"/>
      <x:c r="Y185" s="1"/>
      <x:c r="Z185" s="1"/>
    </x:row>
    <x:row r="186">
      <x:c r="A186" s="100" t="n">
        <x:f>A185+1</x:f>
        <x:v>181</x:v>
      </x:c>
      <x:c r="B186" s="171" t="n">
        <x:f>IF(A186&lt;='Your Mortgage'!$C$8*12,EDATE('Your Mortgage'!$C$9,A186-1),"")</x:f>
        <x:v>51714</x:v>
      </x:c>
      <x:c r="C186" s="172" t="n">
        <x:f>IF(B186="","",'Your Mortgage'!$C$11)</x:f>
        <x:v>2054.2210763521375</x:v>
      </x:c>
      <x:c r="D186" s="172" t="n">
        <x:f>IF(B186="","",'Your Mortgage'!$F$6+IF(A186='Your Mortgage'!$F$8,'Your Mortgage'!$F$7,0))</x:f>
        <x:v>250</x:v>
      </x:c>
      <x:c r="E186" s="173"/>
      <x:c r="F186" s="170"/>
      <x:c r="G186" s="170"/>
      <x:c r="H186" s="170"/>
      <x:c r="I186" s="1"/>
      <x:c r="J186" s="1"/>
      <x:c r="K186" s="1"/>
      <x:c r="L186" s="1"/>
      <x:c r="M186" s="1"/>
      <x:c r="N186" s="1"/>
      <x:c r="O186" s="1"/>
      <x:c r="P186" s="1"/>
      <x:c r="Q186" s="1"/>
      <x:c r="R186" s="1"/>
      <x:c r="S186" s="1"/>
      <x:c r="T186" s="1"/>
      <x:c r="U186" s="1"/>
      <x:c r="V186" s="1"/>
      <x:c r="W186" s="1"/>
      <x:c r="X186" s="1"/>
      <x:c r="Y186" s="1"/>
      <x:c r="Z186" s="1"/>
    </x:row>
    <x:row r="187">
      <x:c r="A187" s="100" t="n">
        <x:f>A186+1</x:f>
        <x:v>182</x:v>
      </x:c>
      <x:c r="B187" s="171" t="n">
        <x:f>IF(A187&lt;='Your Mortgage'!$C$8*12,EDATE('Your Mortgage'!$C$9,A187-1),"")</x:f>
        <x:v>51745</x:v>
      </x:c>
      <x:c r="C187" s="172" t="n">
        <x:f>IF(B187="","",'Your Mortgage'!$C$11)</x:f>
        <x:v>2054.2210763521375</x:v>
      </x:c>
      <x:c r="D187" s="172" t="n">
        <x:f>IF(B187="","",'Your Mortgage'!$F$6+IF(A187='Your Mortgage'!$F$8,'Your Mortgage'!$F$7,0))</x:f>
        <x:v>250</x:v>
      </x:c>
      <x:c r="E187" s="173"/>
      <x:c r="F187" s="170"/>
      <x:c r="G187" s="170"/>
      <x:c r="H187" s="170"/>
      <x:c r="I187" s="1"/>
      <x:c r="J187" s="1"/>
      <x:c r="K187" s="1"/>
      <x:c r="L187" s="1"/>
      <x:c r="M187" s="1"/>
      <x:c r="N187" s="1"/>
      <x:c r="O187" s="1"/>
      <x:c r="P187" s="1"/>
      <x:c r="Q187" s="1"/>
      <x:c r="R187" s="1"/>
      <x:c r="S187" s="1"/>
      <x:c r="T187" s="1"/>
      <x:c r="U187" s="1"/>
      <x:c r="V187" s="1"/>
      <x:c r="W187" s="1"/>
      <x:c r="X187" s="1"/>
      <x:c r="Y187" s="1"/>
      <x:c r="Z187" s="1"/>
    </x:row>
    <x:row r="188">
      <x:c r="A188" s="100" t="n">
        <x:f>A187+1</x:f>
        <x:v>183</x:v>
      </x:c>
      <x:c r="B188" s="171" t="n">
        <x:f>IF(A188&lt;='Your Mortgage'!$C$8*12,EDATE('Your Mortgage'!$C$9,A188-1),"")</x:f>
        <x:v>51775</x:v>
      </x:c>
      <x:c r="C188" s="172" t="n">
        <x:f>IF(B188="","",'Your Mortgage'!$C$11)</x:f>
        <x:v>2054.2210763521375</x:v>
      </x:c>
      <x:c r="D188" s="172" t="n">
        <x:f>IF(B188="","",'Your Mortgage'!$F$6+IF(A188='Your Mortgage'!$F$8,'Your Mortgage'!$F$7,0))</x:f>
        <x:v>250</x:v>
      </x:c>
      <x:c r="E188" s="173"/>
      <x:c r="F188" s="170"/>
      <x:c r="G188" s="170"/>
      <x:c r="H188" s="170"/>
      <x:c r="I188" s="1"/>
      <x:c r="J188" s="1"/>
      <x:c r="K188" s="1"/>
      <x:c r="L188" s="1"/>
      <x:c r="M188" s="1"/>
      <x:c r="N188" s="1"/>
      <x:c r="O188" s="1"/>
      <x:c r="P188" s="1"/>
      <x:c r="Q188" s="1"/>
      <x:c r="R188" s="1"/>
      <x:c r="S188" s="1"/>
      <x:c r="T188" s="1"/>
      <x:c r="U188" s="1"/>
      <x:c r="V188" s="1"/>
      <x:c r="W188" s="1"/>
      <x:c r="X188" s="1"/>
      <x:c r="Y188" s="1"/>
      <x:c r="Z188" s="1"/>
    </x:row>
    <x:row r="189">
      <x:c r="A189" s="100" t="n">
        <x:f>A188+1</x:f>
        <x:v>184</x:v>
      </x:c>
      <x:c r="B189" s="171" t="n">
        <x:f>IF(A189&lt;='Your Mortgage'!$C$8*12,EDATE('Your Mortgage'!$C$9,A189-1),"")</x:f>
        <x:v>51806</x:v>
      </x:c>
      <x:c r="C189" s="172" t="n">
        <x:f>IF(B189="","",'Your Mortgage'!$C$11)</x:f>
        <x:v>2054.2210763521375</x:v>
      </x:c>
      <x:c r="D189" s="172" t="n">
        <x:f>IF(B189="","",'Your Mortgage'!$F$6+IF(A189='Your Mortgage'!$F$8,'Your Mortgage'!$F$7,0))</x:f>
        <x:v>250</x:v>
      </x:c>
      <x:c r="E189" s="173"/>
      <x:c r="F189" s="170"/>
      <x:c r="G189" s="170"/>
      <x:c r="H189" s="170"/>
      <x:c r="I189" s="1"/>
      <x:c r="J189" s="1"/>
      <x:c r="K189" s="1"/>
      <x:c r="L189" s="1"/>
      <x:c r="M189" s="1"/>
      <x:c r="N189" s="1"/>
      <x:c r="O189" s="1"/>
      <x:c r="P189" s="1"/>
      <x:c r="Q189" s="1"/>
      <x:c r="R189" s="1"/>
      <x:c r="S189" s="1"/>
      <x:c r="T189" s="1"/>
      <x:c r="U189" s="1"/>
      <x:c r="V189" s="1"/>
      <x:c r="W189" s="1"/>
      <x:c r="X189" s="1"/>
      <x:c r="Y189" s="1"/>
      <x:c r="Z189" s="1"/>
    </x:row>
    <x:row r="190">
      <x:c r="A190" s="100" t="n">
        <x:f>A189+1</x:f>
        <x:v>185</x:v>
      </x:c>
      <x:c r="B190" s="171" t="n">
        <x:f>IF(A190&lt;='Your Mortgage'!$C$8*12,EDATE('Your Mortgage'!$C$9,A190-1),"")</x:f>
        <x:v>51836</x:v>
      </x:c>
      <x:c r="C190" s="172" t="n">
        <x:f>IF(B190="","",'Your Mortgage'!$C$11)</x:f>
        <x:v>2054.2210763521375</x:v>
      </x:c>
      <x:c r="D190" s="172" t="n">
        <x:f>IF(B190="","",'Your Mortgage'!$F$6+IF(A190='Your Mortgage'!$F$8,'Your Mortgage'!$F$7,0))</x:f>
        <x:v>250</x:v>
      </x:c>
      <x:c r="E190" s="173"/>
      <x:c r="F190" s="170"/>
      <x:c r="G190" s="170"/>
      <x:c r="H190" s="170"/>
      <x:c r="I190" s="1"/>
      <x:c r="J190" s="1"/>
      <x:c r="K190" s="1"/>
      <x:c r="L190" s="1"/>
      <x:c r="M190" s="1"/>
      <x:c r="N190" s="1"/>
      <x:c r="O190" s="1"/>
      <x:c r="P190" s="1"/>
      <x:c r="Q190" s="1"/>
      <x:c r="R190" s="1"/>
      <x:c r="S190" s="1"/>
      <x:c r="T190" s="1"/>
      <x:c r="U190" s="1"/>
      <x:c r="V190" s="1"/>
      <x:c r="W190" s="1"/>
      <x:c r="X190" s="1"/>
      <x:c r="Y190" s="1"/>
      <x:c r="Z190" s="1"/>
    </x:row>
    <x:row r="191">
      <x:c r="A191" s="100" t="n">
        <x:f>A190+1</x:f>
        <x:v>186</x:v>
      </x:c>
      <x:c r="B191" s="171" t="n">
        <x:f>IF(A191&lt;='Your Mortgage'!$C$8*12,EDATE('Your Mortgage'!$C$9,A191-1),"")</x:f>
        <x:v>51867</x:v>
      </x:c>
      <x:c r="C191" s="172" t="n">
        <x:f>IF(B191="","",'Your Mortgage'!$C$11)</x:f>
        <x:v>2054.2210763521375</x:v>
      </x:c>
      <x:c r="D191" s="172" t="n">
        <x:f>IF(B191="","",'Your Mortgage'!$F$6+IF(A191='Your Mortgage'!$F$8,'Your Mortgage'!$F$7,0))</x:f>
        <x:v>250</x:v>
      </x:c>
      <x:c r="E191" s="173"/>
      <x:c r="F191" s="170"/>
      <x:c r="G191" s="170"/>
      <x:c r="H191" s="170"/>
      <x:c r="I191" s="1"/>
      <x:c r="J191" s="1"/>
      <x:c r="K191" s="1"/>
      <x:c r="L191" s="1"/>
      <x:c r="M191" s="1"/>
      <x:c r="N191" s="1"/>
      <x:c r="O191" s="1"/>
      <x:c r="P191" s="1"/>
      <x:c r="Q191" s="1"/>
      <x:c r="R191" s="1"/>
      <x:c r="S191" s="1"/>
      <x:c r="T191" s="1"/>
      <x:c r="U191" s="1"/>
      <x:c r="V191" s="1"/>
      <x:c r="W191" s="1"/>
      <x:c r="X191" s="1"/>
      <x:c r="Y191" s="1"/>
      <x:c r="Z191" s="1"/>
    </x:row>
    <x:row r="192">
      <x:c r="A192" s="100" t="n">
        <x:f>A191+1</x:f>
        <x:v>187</x:v>
      </x:c>
      <x:c r="B192" s="171" t="n">
        <x:f>IF(A192&lt;='Your Mortgage'!$C$8*12,EDATE('Your Mortgage'!$C$9,A192-1),"")</x:f>
        <x:v>51898</x:v>
      </x:c>
      <x:c r="C192" s="172" t="n">
        <x:f>IF(B192="","",'Your Mortgage'!$C$11)</x:f>
        <x:v>2054.2210763521375</x:v>
      </x:c>
      <x:c r="D192" s="172" t="n">
        <x:f>IF(B192="","",'Your Mortgage'!$F$6+IF(A192='Your Mortgage'!$F$8,'Your Mortgage'!$F$7,0))</x:f>
        <x:v>250</x:v>
      </x:c>
      <x:c r="E192" s="173"/>
      <x:c r="F192" s="170"/>
      <x:c r="G192" s="170"/>
      <x:c r="H192" s="170"/>
      <x:c r="I192" s="1"/>
      <x:c r="J192" s="1"/>
      <x:c r="K192" s="1"/>
      <x:c r="L192" s="1"/>
      <x:c r="M192" s="1"/>
      <x:c r="N192" s="1"/>
      <x:c r="O192" s="1"/>
      <x:c r="P192" s="1"/>
      <x:c r="Q192" s="1"/>
      <x:c r="R192" s="1"/>
      <x:c r="S192" s="1"/>
      <x:c r="T192" s="1"/>
      <x:c r="U192" s="1"/>
      <x:c r="V192" s="1"/>
      <x:c r="W192" s="1"/>
      <x:c r="X192" s="1"/>
      <x:c r="Y192" s="1"/>
      <x:c r="Z192" s="1"/>
    </x:row>
    <x:row r="193">
      <x:c r="A193" s="100" t="n">
        <x:f>A192+1</x:f>
        <x:v>188</x:v>
      </x:c>
      <x:c r="B193" s="171" t="n">
        <x:f>IF(A193&lt;='Your Mortgage'!$C$8*12,EDATE('Your Mortgage'!$C$9,A193-1),"")</x:f>
        <x:v>51926</x:v>
      </x:c>
      <x:c r="C193" s="172" t="n">
        <x:f>IF(B193="","",'Your Mortgage'!$C$11)</x:f>
        <x:v>2054.2210763521375</x:v>
      </x:c>
      <x:c r="D193" s="172" t="n">
        <x:f>IF(B193="","",'Your Mortgage'!$F$6+IF(A193='Your Mortgage'!$F$8,'Your Mortgage'!$F$7,0))</x:f>
        <x:v>250</x:v>
      </x:c>
      <x:c r="E193" s="173"/>
      <x:c r="F193" s="170"/>
      <x:c r="G193" s="170"/>
      <x:c r="H193" s="170"/>
      <x:c r="I193" s="1"/>
      <x:c r="J193" s="1"/>
      <x:c r="K193" s="1"/>
      <x:c r="L193" s="1"/>
      <x:c r="M193" s="1"/>
      <x:c r="N193" s="1"/>
      <x:c r="O193" s="1"/>
      <x:c r="P193" s="1"/>
      <x:c r="Q193" s="1"/>
      <x:c r="R193" s="1"/>
      <x:c r="S193" s="1"/>
      <x:c r="T193" s="1"/>
      <x:c r="U193" s="1"/>
      <x:c r="V193" s="1"/>
      <x:c r="W193" s="1"/>
      <x:c r="X193" s="1"/>
      <x:c r="Y193" s="1"/>
      <x:c r="Z193" s="1"/>
    </x:row>
    <x:row r="194">
      <x:c r="A194" s="100" t="n">
        <x:f>A193+1</x:f>
        <x:v>189</x:v>
      </x:c>
      <x:c r="B194" s="171" t="n">
        <x:f>IF(A194&lt;='Your Mortgage'!$C$8*12,EDATE('Your Mortgage'!$C$9,A194-1),"")</x:f>
        <x:v>51957</x:v>
      </x:c>
      <x:c r="C194" s="172" t="n">
        <x:f>IF(B194="","",'Your Mortgage'!$C$11)</x:f>
        <x:v>2054.2210763521375</x:v>
      </x:c>
      <x:c r="D194" s="172" t="n">
        <x:f>IF(B194="","",'Your Mortgage'!$F$6+IF(A194='Your Mortgage'!$F$8,'Your Mortgage'!$F$7,0))</x:f>
        <x:v>250</x:v>
      </x:c>
      <x:c r="E194" s="173"/>
      <x:c r="F194" s="170"/>
      <x:c r="G194" s="170"/>
      <x:c r="H194" s="170"/>
      <x:c r="I194" s="1"/>
      <x:c r="J194" s="1"/>
      <x:c r="K194" s="1"/>
      <x:c r="L194" s="1"/>
      <x:c r="M194" s="1"/>
      <x:c r="N194" s="1"/>
      <x:c r="O194" s="1"/>
      <x:c r="P194" s="1"/>
      <x:c r="Q194" s="1"/>
      <x:c r="R194" s="1"/>
      <x:c r="S194" s="1"/>
      <x:c r="T194" s="1"/>
      <x:c r="U194" s="1"/>
      <x:c r="V194" s="1"/>
      <x:c r="W194" s="1"/>
      <x:c r="X194" s="1"/>
      <x:c r="Y194" s="1"/>
      <x:c r="Z194" s="1"/>
    </x:row>
    <x:row r="195">
      <x:c r="A195" s="100" t="n">
        <x:f>A194+1</x:f>
        <x:v>190</x:v>
      </x:c>
      <x:c r="B195" s="171" t="n">
        <x:f>IF(A195&lt;='Your Mortgage'!$C$8*12,EDATE('Your Mortgage'!$C$9,A195-1),"")</x:f>
        <x:v>51987</x:v>
      </x:c>
      <x:c r="C195" s="172" t="n">
        <x:f>IF(B195="","",'Your Mortgage'!$C$11)</x:f>
        <x:v>2054.2210763521375</x:v>
      </x:c>
      <x:c r="D195" s="172" t="n">
        <x:f>IF(B195="","",'Your Mortgage'!$F$6+IF(A195='Your Mortgage'!$F$8,'Your Mortgage'!$F$7,0))</x:f>
        <x:v>250</x:v>
      </x:c>
      <x:c r="E195" s="173"/>
      <x:c r="F195" s="170"/>
      <x:c r="G195" s="170"/>
      <x:c r="H195" s="170"/>
      <x:c r="I195" s="1"/>
      <x:c r="J195" s="1"/>
      <x:c r="K195" s="1"/>
      <x:c r="L195" s="1"/>
      <x:c r="M195" s="1"/>
      <x:c r="N195" s="1"/>
      <x:c r="O195" s="1"/>
      <x:c r="P195" s="1"/>
      <x:c r="Q195" s="1"/>
      <x:c r="R195" s="1"/>
      <x:c r="S195" s="1"/>
      <x:c r="T195" s="1"/>
      <x:c r="U195" s="1"/>
      <x:c r="V195" s="1"/>
      <x:c r="W195" s="1"/>
      <x:c r="X195" s="1"/>
      <x:c r="Y195" s="1"/>
      <x:c r="Z195" s="1"/>
    </x:row>
    <x:row r="196">
      <x:c r="A196" s="100" t="n">
        <x:f>A195+1</x:f>
        <x:v>191</x:v>
      </x:c>
      <x:c r="B196" s="171" t="n">
        <x:f>IF(A196&lt;='Your Mortgage'!$C$8*12,EDATE('Your Mortgage'!$C$9,A196-1),"")</x:f>
        <x:v>52018</x:v>
      </x:c>
      <x:c r="C196" s="172" t="n">
        <x:f>IF(B196="","",'Your Mortgage'!$C$11)</x:f>
        <x:v>2054.2210763521375</x:v>
      </x:c>
      <x:c r="D196" s="172" t="n">
        <x:f>IF(B196="","",'Your Mortgage'!$F$6+IF(A196='Your Mortgage'!$F$8,'Your Mortgage'!$F$7,0))</x:f>
        <x:v>250</x:v>
      </x:c>
      <x:c r="E196" s="173"/>
      <x:c r="F196" s="170"/>
      <x:c r="G196" s="170"/>
      <x:c r="H196" s="170"/>
      <x:c r="I196" s="1"/>
      <x:c r="J196" s="1"/>
      <x:c r="K196" s="1"/>
      <x:c r="L196" s="1"/>
      <x:c r="M196" s="1"/>
      <x:c r="N196" s="1"/>
      <x:c r="O196" s="1"/>
      <x:c r="P196" s="1"/>
      <x:c r="Q196" s="1"/>
      <x:c r="R196" s="1"/>
      <x:c r="S196" s="1"/>
      <x:c r="T196" s="1"/>
      <x:c r="U196" s="1"/>
      <x:c r="V196" s="1"/>
      <x:c r="W196" s="1"/>
      <x:c r="X196" s="1"/>
      <x:c r="Y196" s="1"/>
      <x:c r="Z196" s="1"/>
    </x:row>
    <x:row r="197">
      <x:c r="A197" s="100" t="n">
        <x:f>A196+1</x:f>
        <x:v>192</x:v>
      </x:c>
      <x:c r="B197" s="171" t="n">
        <x:f>IF(A197&lt;='Your Mortgage'!$C$8*12,EDATE('Your Mortgage'!$C$9,A197-1),"")</x:f>
        <x:v>52048</x:v>
      </x:c>
      <x:c r="C197" s="172" t="n">
        <x:f>IF(B197="","",'Your Mortgage'!$C$11)</x:f>
        <x:v>2054.2210763521375</x:v>
      </x:c>
      <x:c r="D197" s="172" t="n">
        <x:f>IF(B197="","",'Your Mortgage'!$F$6+IF(A197='Your Mortgage'!$F$8,'Your Mortgage'!$F$7,0))</x:f>
        <x:v>250</x:v>
      </x:c>
      <x:c r="E197" s="173"/>
      <x:c r="F197" s="170"/>
      <x:c r="G197" s="170"/>
      <x:c r="H197" s="170"/>
      <x:c r="I197" s="1"/>
      <x:c r="J197" s="1"/>
      <x:c r="K197" s="1"/>
      <x:c r="L197" s="1"/>
      <x:c r="M197" s="1"/>
      <x:c r="N197" s="1"/>
      <x:c r="O197" s="1"/>
      <x:c r="P197" s="1"/>
      <x:c r="Q197" s="1"/>
      <x:c r="R197" s="1"/>
      <x:c r="S197" s="1"/>
      <x:c r="T197" s="1"/>
      <x:c r="U197" s="1"/>
      <x:c r="V197" s="1"/>
      <x:c r="W197" s="1"/>
      <x:c r="X197" s="1"/>
      <x:c r="Y197" s="1"/>
      <x:c r="Z197" s="1"/>
    </x:row>
    <x:row r="198">
      <x:c r="A198" s="100" t="n">
        <x:f>A197+1</x:f>
        <x:v>193</x:v>
      </x:c>
      <x:c r="B198" s="171" t="n">
        <x:f>IF(A198&lt;='Your Mortgage'!$C$8*12,EDATE('Your Mortgage'!$C$9,A198-1),"")</x:f>
        <x:v>52079</x:v>
      </x:c>
      <x:c r="C198" s="172" t="n">
        <x:f>IF(B198="","",'Your Mortgage'!$C$11)</x:f>
        <x:v>2054.2210763521375</x:v>
      </x:c>
      <x:c r="D198" s="172" t="n">
        <x:f>IF(B198="","",'Your Mortgage'!$F$6+IF(A198='Your Mortgage'!$F$8,'Your Mortgage'!$F$7,0))</x:f>
        <x:v>250</x:v>
      </x:c>
      <x:c r="E198" s="173"/>
      <x:c r="F198" s="170"/>
      <x:c r="G198" s="170"/>
      <x:c r="H198" s="170"/>
      <x:c r="I198" s="1"/>
      <x:c r="J198" s="1"/>
      <x:c r="K198" s="1"/>
      <x:c r="L198" s="1"/>
      <x:c r="M198" s="1"/>
      <x:c r="N198" s="1"/>
      <x:c r="O198" s="1"/>
      <x:c r="P198" s="1"/>
      <x:c r="Q198" s="1"/>
      <x:c r="R198" s="1"/>
      <x:c r="S198" s="1"/>
      <x:c r="T198" s="1"/>
      <x:c r="U198" s="1"/>
      <x:c r="V198" s="1"/>
      <x:c r="W198" s="1"/>
      <x:c r="X198" s="1"/>
      <x:c r="Y198" s="1"/>
      <x:c r="Z198" s="1"/>
    </x:row>
    <x:row r="199">
      <x:c r="A199" s="100" t="n">
        <x:f>A198+1</x:f>
        <x:v>194</x:v>
      </x:c>
      <x:c r="B199" s="171" t="n">
        <x:f>IF(A199&lt;='Your Mortgage'!$C$8*12,EDATE('Your Mortgage'!$C$9,A199-1),"")</x:f>
        <x:v>52110</x:v>
      </x:c>
      <x:c r="C199" s="172" t="n">
        <x:f>IF(B199="","",'Your Mortgage'!$C$11)</x:f>
        <x:v>2054.2210763521375</x:v>
      </x:c>
      <x:c r="D199" s="172" t="n">
        <x:f>IF(B199="","",'Your Mortgage'!$F$6+IF(A199='Your Mortgage'!$F$8,'Your Mortgage'!$F$7,0))</x:f>
        <x:v>250</x:v>
      </x:c>
      <x:c r="E199" s="173"/>
      <x:c r="F199" s="170"/>
      <x:c r="G199" s="170"/>
      <x:c r="H199" s="170"/>
      <x:c r="I199" s="1"/>
      <x:c r="J199" s="1"/>
      <x:c r="K199" s="1"/>
      <x:c r="L199" s="1"/>
      <x:c r="M199" s="1"/>
      <x:c r="N199" s="1"/>
      <x:c r="O199" s="1"/>
      <x:c r="P199" s="1"/>
      <x:c r="Q199" s="1"/>
      <x:c r="R199" s="1"/>
      <x:c r="S199" s="1"/>
      <x:c r="T199" s="1"/>
      <x:c r="U199" s="1"/>
      <x:c r="V199" s="1"/>
      <x:c r="W199" s="1"/>
      <x:c r="X199" s="1"/>
      <x:c r="Y199" s="1"/>
      <x:c r="Z199" s="1"/>
    </x:row>
    <x:row r="200">
      <x:c r="A200" s="100" t="n">
        <x:f>A199+1</x:f>
        <x:v>195</x:v>
      </x:c>
      <x:c r="B200" s="171" t="n">
        <x:f>IF(A200&lt;='Your Mortgage'!$C$8*12,EDATE('Your Mortgage'!$C$9,A200-1),"")</x:f>
        <x:v>52140</x:v>
      </x:c>
      <x:c r="C200" s="172" t="n">
        <x:f>IF(B200="","",'Your Mortgage'!$C$11)</x:f>
        <x:v>2054.2210763521375</x:v>
      </x:c>
      <x:c r="D200" s="172" t="n">
        <x:f>IF(B200="","",'Your Mortgage'!$F$6+IF(A200='Your Mortgage'!$F$8,'Your Mortgage'!$F$7,0))</x:f>
        <x:v>250</x:v>
      </x:c>
      <x:c r="E200" s="173"/>
      <x:c r="F200" s="170"/>
      <x:c r="G200" s="170"/>
      <x:c r="H200" s="170"/>
      <x:c r="I200" s="1"/>
      <x:c r="J200" s="1"/>
      <x:c r="K200" s="1"/>
      <x:c r="L200" s="1"/>
      <x:c r="M200" s="1"/>
      <x:c r="N200" s="1"/>
      <x:c r="O200" s="1"/>
      <x:c r="P200" s="1"/>
      <x:c r="Q200" s="1"/>
      <x:c r="R200" s="1"/>
      <x:c r="S200" s="1"/>
      <x:c r="T200" s="1"/>
      <x:c r="U200" s="1"/>
      <x:c r="V200" s="1"/>
      <x:c r="W200" s="1"/>
      <x:c r="X200" s="1"/>
      <x:c r="Y200" s="1"/>
      <x:c r="Z200" s="1"/>
    </x:row>
    <x:row r="201">
      <x:c r="A201" s="100" t="n">
        <x:f>A200+1</x:f>
        <x:v>196</x:v>
      </x:c>
      <x:c r="B201" s="171" t="n">
        <x:f>IF(A201&lt;='Your Mortgage'!$C$8*12,EDATE('Your Mortgage'!$C$9,A201-1),"")</x:f>
        <x:v>52171</x:v>
      </x:c>
      <x:c r="C201" s="172" t="n">
        <x:f>IF(B201="","",'Your Mortgage'!$C$11)</x:f>
        <x:v>2054.2210763521375</x:v>
      </x:c>
      <x:c r="D201" s="172" t="n">
        <x:f>IF(B201="","",'Your Mortgage'!$F$6+IF(A201='Your Mortgage'!$F$8,'Your Mortgage'!$F$7,0))</x:f>
        <x:v>250</x:v>
      </x:c>
      <x:c r="E201" s="173"/>
      <x:c r="F201" s="170"/>
      <x:c r="G201" s="170"/>
      <x:c r="H201" s="170"/>
      <x:c r="I201" s="1"/>
      <x:c r="J201" s="1"/>
      <x:c r="K201" s="1"/>
      <x:c r="L201" s="1"/>
      <x:c r="M201" s="1"/>
      <x:c r="N201" s="1"/>
      <x:c r="O201" s="1"/>
      <x:c r="P201" s="1"/>
      <x:c r="Q201" s="1"/>
      <x:c r="R201" s="1"/>
      <x:c r="S201" s="1"/>
      <x:c r="T201" s="1"/>
      <x:c r="U201" s="1"/>
      <x:c r="V201" s="1"/>
      <x:c r="W201" s="1"/>
      <x:c r="X201" s="1"/>
      <x:c r="Y201" s="1"/>
      <x:c r="Z201" s="1"/>
    </x:row>
    <x:row r="202">
      <x:c r="A202" s="100" t="n">
        <x:f>A201+1</x:f>
        <x:v>197</x:v>
      </x:c>
      <x:c r="B202" s="171" t="n">
        <x:f>IF(A202&lt;='Your Mortgage'!$C$8*12,EDATE('Your Mortgage'!$C$9,A202-1),"")</x:f>
        <x:v>52201</x:v>
      </x:c>
      <x:c r="C202" s="172" t="n">
        <x:f>IF(B202="","",'Your Mortgage'!$C$11)</x:f>
        <x:v>2054.2210763521375</x:v>
      </x:c>
      <x:c r="D202" s="172" t="n">
        <x:f>IF(B202="","",'Your Mortgage'!$F$6+IF(A202='Your Mortgage'!$F$8,'Your Mortgage'!$F$7,0))</x:f>
        <x:v>250</x:v>
      </x:c>
      <x:c r="E202" s="173"/>
      <x:c r="F202" s="170"/>
      <x:c r="G202" s="170"/>
      <x:c r="H202" s="170"/>
      <x:c r="I202" s="1"/>
      <x:c r="J202" s="1"/>
      <x:c r="K202" s="1"/>
      <x:c r="L202" s="1"/>
      <x:c r="M202" s="1"/>
      <x:c r="N202" s="1"/>
      <x:c r="O202" s="1"/>
      <x:c r="P202" s="1"/>
      <x:c r="Q202" s="1"/>
      <x:c r="R202" s="1"/>
      <x:c r="S202" s="1"/>
      <x:c r="T202" s="1"/>
      <x:c r="U202" s="1"/>
      <x:c r="V202" s="1"/>
      <x:c r="W202" s="1"/>
      <x:c r="X202" s="1"/>
      <x:c r="Y202" s="1"/>
      <x:c r="Z202" s="1"/>
    </x:row>
    <x:row r="203">
      <x:c r="A203" s="100" t="n">
        <x:f>A202+1</x:f>
        <x:v>198</x:v>
      </x:c>
      <x:c r="B203" s="171" t="n">
        <x:f>IF(A203&lt;='Your Mortgage'!$C$8*12,EDATE('Your Mortgage'!$C$9,A203-1),"")</x:f>
        <x:v>52232</x:v>
      </x:c>
      <x:c r="C203" s="172" t="n">
        <x:f>IF(B203="","",'Your Mortgage'!$C$11)</x:f>
        <x:v>2054.2210763521375</x:v>
      </x:c>
      <x:c r="D203" s="172" t="n">
        <x:f>IF(B203="","",'Your Mortgage'!$F$6+IF(A203='Your Mortgage'!$F$8,'Your Mortgage'!$F$7,0))</x:f>
        <x:v>250</x:v>
      </x:c>
      <x:c r="E203" s="173"/>
      <x:c r="F203" s="170"/>
      <x:c r="G203" s="170"/>
      <x:c r="H203" s="170"/>
      <x:c r="I203" s="1"/>
      <x:c r="J203" s="1"/>
      <x:c r="K203" s="1"/>
      <x:c r="L203" s="1"/>
      <x:c r="M203" s="1"/>
      <x:c r="N203" s="1"/>
      <x:c r="O203" s="1"/>
      <x:c r="P203" s="1"/>
      <x:c r="Q203" s="1"/>
      <x:c r="R203" s="1"/>
      <x:c r="S203" s="1"/>
      <x:c r="T203" s="1"/>
      <x:c r="U203" s="1"/>
      <x:c r="V203" s="1"/>
      <x:c r="W203" s="1"/>
      <x:c r="X203" s="1"/>
      <x:c r="Y203" s="1"/>
      <x:c r="Z203" s="1"/>
    </x:row>
    <x:row r="204">
      <x:c r="A204" s="100" t="n">
        <x:f>A203+1</x:f>
        <x:v>199</x:v>
      </x:c>
      <x:c r="B204" s="171" t="n">
        <x:f>IF(A204&lt;='Your Mortgage'!$C$8*12,EDATE('Your Mortgage'!$C$9,A204-1),"")</x:f>
        <x:v>52263</x:v>
      </x:c>
      <x:c r="C204" s="172" t="n">
        <x:f>IF(B204="","",'Your Mortgage'!$C$11)</x:f>
        <x:v>2054.2210763521375</x:v>
      </x:c>
      <x:c r="D204" s="172" t="n">
        <x:f>IF(B204="","",'Your Mortgage'!$F$6+IF(A204='Your Mortgage'!$F$8,'Your Mortgage'!$F$7,0))</x:f>
        <x:v>250</x:v>
      </x:c>
      <x:c r="E204" s="173"/>
      <x:c r="F204" s="170"/>
      <x:c r="G204" s="170"/>
      <x:c r="H204" s="170"/>
      <x:c r="I204" s="1"/>
      <x:c r="J204" s="1"/>
      <x:c r="K204" s="1"/>
      <x:c r="L204" s="1"/>
      <x:c r="M204" s="1"/>
      <x:c r="N204" s="1"/>
      <x:c r="O204" s="1"/>
      <x:c r="P204" s="1"/>
      <x:c r="Q204" s="1"/>
      <x:c r="R204" s="1"/>
      <x:c r="S204" s="1"/>
      <x:c r="T204" s="1"/>
      <x:c r="U204" s="1"/>
      <x:c r="V204" s="1"/>
      <x:c r="W204" s="1"/>
      <x:c r="X204" s="1"/>
      <x:c r="Y204" s="1"/>
      <x:c r="Z204" s="1"/>
    </x:row>
    <x:row r="205">
      <x:c r="A205" s="100" t="n">
        <x:f>A204+1</x:f>
        <x:v>200</x:v>
      </x:c>
      <x:c r="B205" s="171" t="n">
        <x:f>IF(A205&lt;='Your Mortgage'!$C$8*12,EDATE('Your Mortgage'!$C$9,A205-1),"")</x:f>
        <x:v>52291</x:v>
      </x:c>
      <x:c r="C205" s="172" t="n">
        <x:f>IF(B205="","",'Your Mortgage'!$C$11)</x:f>
        <x:v>2054.2210763521375</x:v>
      </x:c>
      <x:c r="D205" s="172" t="n">
        <x:f>IF(B205="","",'Your Mortgage'!$F$6+IF(A205='Your Mortgage'!$F$8,'Your Mortgage'!$F$7,0))</x:f>
        <x:v>250</x:v>
      </x:c>
      <x:c r="E205" s="173"/>
      <x:c r="F205" s="170"/>
      <x:c r="G205" s="170"/>
      <x:c r="H205" s="170"/>
      <x:c r="I205" s="1"/>
      <x:c r="J205" s="1"/>
      <x:c r="K205" s="1"/>
      <x:c r="L205" s="1"/>
      <x:c r="M205" s="1"/>
      <x:c r="N205" s="1"/>
      <x:c r="O205" s="1"/>
      <x:c r="P205" s="1"/>
      <x:c r="Q205" s="1"/>
      <x:c r="R205" s="1"/>
      <x:c r="S205" s="1"/>
      <x:c r="T205" s="1"/>
      <x:c r="U205" s="1"/>
      <x:c r="V205" s="1"/>
      <x:c r="W205" s="1"/>
      <x:c r="X205" s="1"/>
      <x:c r="Y205" s="1"/>
      <x:c r="Z205" s="1"/>
    </x:row>
    <x:row r="206">
      <x:c r="A206" s="100" t="n">
        <x:f>A205+1</x:f>
        <x:v>201</x:v>
      </x:c>
      <x:c r="B206" s="171" t="n">
        <x:f>IF(A206&lt;='Your Mortgage'!$C$8*12,EDATE('Your Mortgage'!$C$9,A206-1),"")</x:f>
        <x:v>52322</x:v>
      </x:c>
      <x:c r="C206" s="172" t="n">
        <x:f>IF(B206="","",'Your Mortgage'!$C$11)</x:f>
        <x:v>2054.2210763521375</x:v>
      </x:c>
      <x:c r="D206" s="172" t="n">
        <x:f>IF(B206="","",'Your Mortgage'!$F$6+IF(A206='Your Mortgage'!$F$8,'Your Mortgage'!$F$7,0))</x:f>
        <x:v>250</x:v>
      </x:c>
      <x:c r="E206" s="173"/>
      <x:c r="F206" s="170"/>
      <x:c r="G206" s="170"/>
      <x:c r="H206" s="170"/>
      <x:c r="I206" s="1"/>
      <x:c r="J206" s="1"/>
      <x:c r="K206" s="1"/>
      <x:c r="L206" s="1"/>
      <x:c r="M206" s="1"/>
      <x:c r="N206" s="1"/>
      <x:c r="O206" s="1"/>
      <x:c r="P206" s="1"/>
      <x:c r="Q206" s="1"/>
      <x:c r="R206" s="1"/>
      <x:c r="S206" s="1"/>
      <x:c r="T206" s="1"/>
      <x:c r="U206" s="1"/>
      <x:c r="V206" s="1"/>
      <x:c r="W206" s="1"/>
      <x:c r="X206" s="1"/>
      <x:c r="Y206" s="1"/>
      <x:c r="Z206" s="1"/>
    </x:row>
    <x:row r="207">
      <x:c r="A207" s="100" t="n">
        <x:f>A206+1</x:f>
        <x:v>202</x:v>
      </x:c>
      <x:c r="B207" s="171" t="n">
        <x:f>IF(A207&lt;='Your Mortgage'!$C$8*12,EDATE('Your Mortgage'!$C$9,A207-1),"")</x:f>
        <x:v>52352</x:v>
      </x:c>
      <x:c r="C207" s="172" t="n">
        <x:f>IF(B207="","",'Your Mortgage'!$C$11)</x:f>
        <x:v>2054.2210763521375</x:v>
      </x:c>
      <x:c r="D207" s="172" t="n">
        <x:f>IF(B207="","",'Your Mortgage'!$F$6+IF(A207='Your Mortgage'!$F$8,'Your Mortgage'!$F$7,0))</x:f>
        <x:v>250</x:v>
      </x:c>
      <x:c r="E207" s="173"/>
      <x:c r="F207" s="170"/>
      <x:c r="G207" s="170"/>
      <x:c r="H207" s="170"/>
      <x:c r="I207" s="1"/>
      <x:c r="J207" s="1"/>
      <x:c r="K207" s="1"/>
      <x:c r="L207" s="1"/>
      <x:c r="M207" s="1"/>
      <x:c r="N207" s="1"/>
      <x:c r="O207" s="1"/>
      <x:c r="P207" s="1"/>
      <x:c r="Q207" s="1"/>
      <x:c r="R207" s="1"/>
      <x:c r="S207" s="1"/>
      <x:c r="T207" s="1"/>
      <x:c r="U207" s="1"/>
      <x:c r="V207" s="1"/>
      <x:c r="W207" s="1"/>
      <x:c r="X207" s="1"/>
      <x:c r="Y207" s="1"/>
      <x:c r="Z207" s="1"/>
    </x:row>
    <x:row r="208">
      <x:c r="A208" s="100" t="n">
        <x:f>A207+1</x:f>
        <x:v>203</x:v>
      </x:c>
      <x:c r="B208" s="171" t="n">
        <x:f>IF(A208&lt;='Your Mortgage'!$C$8*12,EDATE('Your Mortgage'!$C$9,A208-1),"")</x:f>
        <x:v>52383</x:v>
      </x:c>
      <x:c r="C208" s="172" t="n">
        <x:f>IF(B208="","",'Your Mortgage'!$C$11)</x:f>
        <x:v>2054.2210763521375</x:v>
      </x:c>
      <x:c r="D208" s="172" t="n">
        <x:f>IF(B208="","",'Your Mortgage'!$F$6+IF(A208='Your Mortgage'!$F$8,'Your Mortgage'!$F$7,0))</x:f>
        <x:v>250</x:v>
      </x:c>
      <x:c r="E208" s="173"/>
      <x:c r="F208" s="170"/>
      <x:c r="G208" s="170"/>
      <x:c r="H208" s="170"/>
      <x:c r="I208" s="1"/>
      <x:c r="J208" s="1"/>
      <x:c r="K208" s="1"/>
      <x:c r="L208" s="1"/>
      <x:c r="M208" s="1"/>
      <x:c r="N208" s="1"/>
      <x:c r="O208" s="1"/>
      <x:c r="P208" s="1"/>
      <x:c r="Q208" s="1"/>
      <x:c r="R208" s="1"/>
      <x:c r="S208" s="1"/>
      <x:c r="T208" s="1"/>
      <x:c r="U208" s="1"/>
      <x:c r="V208" s="1"/>
      <x:c r="W208" s="1"/>
      <x:c r="X208" s="1"/>
      <x:c r="Y208" s="1"/>
      <x:c r="Z208" s="1"/>
    </x:row>
    <x:row r="209">
      <x:c r="A209" s="100" t="n">
        <x:f>A208+1</x:f>
        <x:v>204</x:v>
      </x:c>
      <x:c r="B209" s="171" t="n">
        <x:f>IF(A209&lt;='Your Mortgage'!$C$8*12,EDATE('Your Mortgage'!$C$9,A209-1),"")</x:f>
        <x:v>52413</x:v>
      </x:c>
      <x:c r="C209" s="172" t="n">
        <x:f>IF(B209="","",'Your Mortgage'!$C$11)</x:f>
        <x:v>2054.2210763521375</x:v>
      </x:c>
      <x:c r="D209" s="172" t="n">
        <x:f>IF(B209="","",'Your Mortgage'!$F$6+IF(A209='Your Mortgage'!$F$8,'Your Mortgage'!$F$7,0))</x:f>
        <x:v>250</x:v>
      </x:c>
      <x:c r="E209" s="173"/>
      <x:c r="F209" s="170"/>
      <x:c r="G209" s="170"/>
      <x:c r="H209" s="170"/>
      <x:c r="I209" s="1"/>
      <x:c r="J209" s="1"/>
      <x:c r="K209" s="1"/>
      <x:c r="L209" s="1"/>
      <x:c r="M209" s="1"/>
      <x:c r="N209" s="1"/>
      <x:c r="O209" s="1"/>
      <x:c r="P209" s="1"/>
      <x:c r="Q209" s="1"/>
      <x:c r="R209" s="1"/>
      <x:c r="S209" s="1"/>
      <x:c r="T209" s="1"/>
      <x:c r="U209" s="1"/>
      <x:c r="V209" s="1"/>
      <x:c r="W209" s="1"/>
      <x:c r="X209" s="1"/>
      <x:c r="Y209" s="1"/>
      <x:c r="Z209" s="1"/>
    </x:row>
    <x:row r="210">
      <x:c r="A210" s="100" t="n">
        <x:f>A209+1</x:f>
        <x:v>205</x:v>
      </x:c>
      <x:c r="B210" s="171" t="n">
        <x:f>IF(A210&lt;='Your Mortgage'!$C$8*12,EDATE('Your Mortgage'!$C$9,A210-1),"")</x:f>
        <x:v>52444</x:v>
      </x:c>
      <x:c r="C210" s="172" t="n">
        <x:f>IF(B210="","",'Your Mortgage'!$C$11)</x:f>
        <x:v>2054.2210763521375</x:v>
      </x:c>
      <x:c r="D210" s="172" t="n">
        <x:f>IF(B210="","",'Your Mortgage'!$F$6+IF(A210='Your Mortgage'!$F$8,'Your Mortgage'!$F$7,0))</x:f>
        <x:v>250</x:v>
      </x:c>
      <x:c r="E210" s="173"/>
      <x:c r="F210" s="170"/>
      <x:c r="G210" s="170"/>
      <x:c r="H210" s="170"/>
      <x:c r="I210" s="1"/>
      <x:c r="J210" s="1"/>
      <x:c r="K210" s="1"/>
      <x:c r="L210" s="1"/>
      <x:c r="M210" s="1"/>
      <x:c r="N210" s="1"/>
      <x:c r="O210" s="1"/>
      <x:c r="P210" s="1"/>
      <x:c r="Q210" s="1"/>
      <x:c r="R210" s="1"/>
      <x:c r="S210" s="1"/>
      <x:c r="T210" s="1"/>
      <x:c r="U210" s="1"/>
      <x:c r="V210" s="1"/>
      <x:c r="W210" s="1"/>
      <x:c r="X210" s="1"/>
      <x:c r="Y210" s="1"/>
      <x:c r="Z210" s="1"/>
    </x:row>
    <x:row r="211">
      <x:c r="A211" s="100" t="n">
        <x:f>A210+1</x:f>
        <x:v>206</x:v>
      </x:c>
      <x:c r="B211" s="171" t="n">
        <x:f>IF(A211&lt;='Your Mortgage'!$C$8*12,EDATE('Your Mortgage'!$C$9,A211-1),"")</x:f>
        <x:v>52475</x:v>
      </x:c>
      <x:c r="C211" s="172" t="n">
        <x:f>IF(B211="","",'Your Mortgage'!$C$11)</x:f>
        <x:v>2054.2210763521375</x:v>
      </x:c>
      <x:c r="D211" s="172" t="n">
        <x:f>IF(B211="","",'Your Mortgage'!$F$6+IF(A211='Your Mortgage'!$F$8,'Your Mortgage'!$F$7,0))</x:f>
        <x:v>250</x:v>
      </x:c>
      <x:c r="E211" s="173"/>
      <x:c r="F211" s="170"/>
      <x:c r="G211" s="170"/>
      <x:c r="H211" s="170"/>
      <x:c r="I211" s="1"/>
      <x:c r="J211" s="1"/>
      <x:c r="K211" s="1"/>
      <x:c r="L211" s="1"/>
      <x:c r="M211" s="1"/>
      <x:c r="N211" s="1"/>
      <x:c r="O211" s="1"/>
      <x:c r="P211" s="1"/>
      <x:c r="Q211" s="1"/>
      <x:c r="R211" s="1"/>
      <x:c r="S211" s="1"/>
      <x:c r="T211" s="1"/>
      <x:c r="U211" s="1"/>
      <x:c r="V211" s="1"/>
      <x:c r="W211" s="1"/>
      <x:c r="X211" s="1"/>
      <x:c r="Y211" s="1"/>
      <x:c r="Z211" s="1"/>
    </x:row>
    <x:row r="212">
      <x:c r="A212" s="100" t="n">
        <x:f>A211+1</x:f>
        <x:v>207</x:v>
      </x:c>
      <x:c r="B212" s="171" t="n">
        <x:f>IF(A212&lt;='Your Mortgage'!$C$8*12,EDATE('Your Mortgage'!$C$9,A212-1),"")</x:f>
        <x:v>52505</x:v>
      </x:c>
      <x:c r="C212" s="172" t="n">
        <x:f>IF(B212="","",'Your Mortgage'!$C$11)</x:f>
        <x:v>2054.2210763521375</x:v>
      </x:c>
      <x:c r="D212" s="172" t="n">
        <x:f>IF(B212="","",'Your Mortgage'!$F$6+IF(A212='Your Mortgage'!$F$8,'Your Mortgage'!$F$7,0))</x:f>
        <x:v>250</x:v>
      </x:c>
      <x:c r="E212" s="173"/>
      <x:c r="F212" s="170"/>
      <x:c r="G212" s="170"/>
      <x:c r="H212" s="170"/>
      <x:c r="I212" s="1"/>
      <x:c r="J212" s="1"/>
      <x:c r="K212" s="1"/>
      <x:c r="L212" s="1"/>
      <x:c r="M212" s="1"/>
      <x:c r="N212" s="1"/>
      <x:c r="O212" s="1"/>
      <x:c r="P212" s="1"/>
      <x:c r="Q212" s="1"/>
      <x:c r="R212" s="1"/>
      <x:c r="S212" s="1"/>
      <x:c r="T212" s="1"/>
      <x:c r="U212" s="1"/>
      <x:c r="V212" s="1"/>
      <x:c r="W212" s="1"/>
      <x:c r="X212" s="1"/>
      <x:c r="Y212" s="1"/>
      <x:c r="Z212" s="1"/>
    </x:row>
    <x:row r="213">
      <x:c r="A213" s="100" t="n">
        <x:f>A212+1</x:f>
        <x:v>208</x:v>
      </x:c>
      <x:c r="B213" s="171" t="n">
        <x:f>IF(A213&lt;='Your Mortgage'!$C$8*12,EDATE('Your Mortgage'!$C$9,A213-1),"")</x:f>
        <x:v>52536</x:v>
      </x:c>
      <x:c r="C213" s="172" t="n">
        <x:f>IF(B213="","",'Your Mortgage'!$C$11)</x:f>
        <x:v>2054.2210763521375</x:v>
      </x:c>
      <x:c r="D213" s="172" t="n">
        <x:f>IF(B213="","",'Your Mortgage'!$F$6+IF(A213='Your Mortgage'!$F$8,'Your Mortgage'!$F$7,0))</x:f>
        <x:v>250</x:v>
      </x:c>
      <x:c r="E213" s="173"/>
      <x:c r="F213" s="170"/>
      <x:c r="G213" s="170"/>
      <x:c r="H213" s="170"/>
      <x:c r="I213" s="1"/>
      <x:c r="J213" s="1"/>
      <x:c r="K213" s="1"/>
      <x:c r="L213" s="1"/>
      <x:c r="M213" s="1"/>
      <x:c r="N213" s="1"/>
      <x:c r="O213" s="1"/>
      <x:c r="P213" s="1"/>
      <x:c r="Q213" s="1"/>
      <x:c r="R213" s="1"/>
      <x:c r="S213" s="1"/>
      <x:c r="T213" s="1"/>
      <x:c r="U213" s="1"/>
      <x:c r="V213" s="1"/>
      <x:c r="W213" s="1"/>
      <x:c r="X213" s="1"/>
      <x:c r="Y213" s="1"/>
      <x:c r="Z213" s="1"/>
    </x:row>
    <x:row r="214">
      <x:c r="A214" s="100" t="n">
        <x:f>A213+1</x:f>
        <x:v>209</x:v>
      </x:c>
      <x:c r="B214" s="171" t="n">
        <x:f>IF(A214&lt;='Your Mortgage'!$C$8*12,EDATE('Your Mortgage'!$C$9,A214-1),"")</x:f>
        <x:v>52566</x:v>
      </x:c>
      <x:c r="C214" s="172" t="n">
        <x:f>IF(B214="","",'Your Mortgage'!$C$11)</x:f>
        <x:v>2054.2210763521375</x:v>
      </x:c>
      <x:c r="D214" s="172" t="n">
        <x:f>IF(B214="","",'Your Mortgage'!$F$6+IF(A214='Your Mortgage'!$F$8,'Your Mortgage'!$F$7,0))</x:f>
        <x:v>250</x:v>
      </x:c>
      <x:c r="E214" s="173"/>
      <x:c r="F214" s="170"/>
      <x:c r="G214" s="170"/>
      <x:c r="H214" s="170"/>
      <x:c r="I214" s="1"/>
      <x:c r="J214" s="1"/>
      <x:c r="K214" s="1"/>
      <x:c r="L214" s="1"/>
      <x:c r="M214" s="1"/>
      <x:c r="N214" s="1"/>
      <x:c r="O214" s="1"/>
      <x:c r="P214" s="1"/>
      <x:c r="Q214" s="1"/>
      <x:c r="R214" s="1"/>
      <x:c r="S214" s="1"/>
      <x:c r="T214" s="1"/>
      <x:c r="U214" s="1"/>
      <x:c r="V214" s="1"/>
      <x:c r="W214" s="1"/>
      <x:c r="X214" s="1"/>
      <x:c r="Y214" s="1"/>
      <x:c r="Z214" s="1"/>
    </x:row>
    <x:row r="215">
      <x:c r="A215" s="100" t="n">
        <x:f>A214+1</x:f>
        <x:v>210</x:v>
      </x:c>
      <x:c r="B215" s="171" t="n">
        <x:f>IF(A215&lt;='Your Mortgage'!$C$8*12,EDATE('Your Mortgage'!$C$9,A215-1),"")</x:f>
        <x:v>52597</x:v>
      </x:c>
      <x:c r="C215" s="172" t="n">
        <x:f>IF(B215="","",'Your Mortgage'!$C$11)</x:f>
        <x:v>2054.2210763521375</x:v>
      </x:c>
      <x:c r="D215" s="172" t="n">
        <x:f>IF(B215="","",'Your Mortgage'!$F$6+IF(A215='Your Mortgage'!$F$8,'Your Mortgage'!$F$7,0))</x:f>
        <x:v>250</x:v>
      </x:c>
      <x:c r="E215" s="173"/>
      <x:c r="F215" s="170"/>
      <x:c r="G215" s="170"/>
      <x:c r="H215" s="170"/>
      <x:c r="I215" s="1"/>
      <x:c r="J215" s="1"/>
      <x:c r="K215" s="1"/>
      <x:c r="L215" s="1"/>
      <x:c r="M215" s="1"/>
      <x:c r="N215" s="1"/>
      <x:c r="O215" s="1"/>
      <x:c r="P215" s="1"/>
      <x:c r="Q215" s="1"/>
      <x:c r="R215" s="1"/>
      <x:c r="S215" s="1"/>
      <x:c r="T215" s="1"/>
      <x:c r="U215" s="1"/>
      <x:c r="V215" s="1"/>
      <x:c r="W215" s="1"/>
      <x:c r="X215" s="1"/>
      <x:c r="Y215" s="1"/>
      <x:c r="Z215" s="1"/>
    </x:row>
    <x:row r="216">
      <x:c r="A216" s="100" t="n">
        <x:f>A215+1</x:f>
        <x:v>211</x:v>
      </x:c>
      <x:c r="B216" s="171" t="n">
        <x:f>IF(A216&lt;='Your Mortgage'!$C$8*12,EDATE('Your Mortgage'!$C$9,A216-1),"")</x:f>
        <x:v>52628</x:v>
      </x:c>
      <x:c r="C216" s="172" t="n">
        <x:f>IF(B216="","",'Your Mortgage'!$C$11)</x:f>
        <x:v>2054.2210763521375</x:v>
      </x:c>
      <x:c r="D216" s="172" t="n">
        <x:f>IF(B216="","",'Your Mortgage'!$F$6+IF(A216='Your Mortgage'!$F$8,'Your Mortgage'!$F$7,0))</x:f>
        <x:v>250</x:v>
      </x:c>
      <x:c r="E216" s="173"/>
      <x:c r="F216" s="170"/>
      <x:c r="G216" s="170"/>
      <x:c r="H216" s="170"/>
      <x:c r="I216" s="1"/>
      <x:c r="J216" s="1"/>
      <x:c r="K216" s="1"/>
      <x:c r="L216" s="1"/>
      <x:c r="M216" s="1"/>
      <x:c r="N216" s="1"/>
      <x:c r="O216" s="1"/>
      <x:c r="P216" s="1"/>
      <x:c r="Q216" s="1"/>
      <x:c r="R216" s="1"/>
      <x:c r="S216" s="1"/>
      <x:c r="T216" s="1"/>
      <x:c r="U216" s="1"/>
      <x:c r="V216" s="1"/>
      <x:c r="W216" s="1"/>
      <x:c r="X216" s="1"/>
      <x:c r="Y216" s="1"/>
      <x:c r="Z216" s="1"/>
    </x:row>
    <x:row r="217">
      <x:c r="A217" s="100" t="n">
        <x:f>A216+1</x:f>
        <x:v>212</x:v>
      </x:c>
      <x:c r="B217" s="171" t="n">
        <x:f>IF(A217&lt;='Your Mortgage'!$C$8*12,EDATE('Your Mortgage'!$C$9,A217-1),"")</x:f>
        <x:v>52657</x:v>
      </x:c>
      <x:c r="C217" s="172" t="n">
        <x:f>IF(B217="","",'Your Mortgage'!$C$11)</x:f>
        <x:v>2054.2210763521375</x:v>
      </x:c>
      <x:c r="D217" s="172" t="n">
        <x:f>IF(B217="","",'Your Mortgage'!$F$6+IF(A217='Your Mortgage'!$F$8,'Your Mortgage'!$F$7,0))</x:f>
        <x:v>250</x:v>
      </x:c>
      <x:c r="E217" s="173"/>
      <x:c r="F217" s="170"/>
      <x:c r="G217" s="170"/>
      <x:c r="H217" s="170"/>
      <x:c r="I217" s="1"/>
      <x:c r="J217" s="1"/>
      <x:c r="K217" s="1"/>
      <x:c r="L217" s="1"/>
      <x:c r="M217" s="1"/>
      <x:c r="N217" s="1"/>
      <x:c r="O217" s="1"/>
      <x:c r="P217" s="1"/>
      <x:c r="Q217" s="1"/>
      <x:c r="R217" s="1"/>
      <x:c r="S217" s="1"/>
      <x:c r="T217" s="1"/>
      <x:c r="U217" s="1"/>
      <x:c r="V217" s="1"/>
      <x:c r="W217" s="1"/>
      <x:c r="X217" s="1"/>
      <x:c r="Y217" s="1"/>
      <x:c r="Z217" s="1"/>
    </x:row>
    <x:row r="218">
      <x:c r="A218" s="100" t="n">
        <x:f>A217+1</x:f>
        <x:v>213</x:v>
      </x:c>
      <x:c r="B218" s="171" t="n">
        <x:f>IF(A218&lt;='Your Mortgage'!$C$8*12,EDATE('Your Mortgage'!$C$9,A218-1),"")</x:f>
        <x:v>52688</x:v>
      </x:c>
      <x:c r="C218" s="172" t="n">
        <x:f>IF(B218="","",'Your Mortgage'!$C$11)</x:f>
        <x:v>2054.2210763521375</x:v>
      </x:c>
      <x:c r="D218" s="172" t="n">
        <x:f>IF(B218="","",'Your Mortgage'!$F$6+IF(A218='Your Mortgage'!$F$8,'Your Mortgage'!$F$7,0))</x:f>
        <x:v>250</x:v>
      </x:c>
      <x:c r="E218" s="173"/>
      <x:c r="F218" s="170"/>
      <x:c r="G218" s="170"/>
      <x:c r="H218" s="170"/>
      <x:c r="I218" s="1"/>
      <x:c r="J218" s="1"/>
      <x:c r="K218" s="1"/>
      <x:c r="L218" s="1"/>
      <x:c r="M218" s="1"/>
      <x:c r="N218" s="1"/>
      <x:c r="O218" s="1"/>
      <x:c r="P218" s="1"/>
      <x:c r="Q218" s="1"/>
      <x:c r="R218" s="1"/>
      <x:c r="S218" s="1"/>
      <x:c r="T218" s="1"/>
      <x:c r="U218" s="1"/>
      <x:c r="V218" s="1"/>
      <x:c r="W218" s="1"/>
      <x:c r="X218" s="1"/>
      <x:c r="Y218" s="1"/>
      <x:c r="Z218" s="1"/>
    </x:row>
    <x:row r="219">
      <x:c r="A219" s="100" t="n">
        <x:f>A218+1</x:f>
        <x:v>214</x:v>
      </x:c>
      <x:c r="B219" s="171" t="n">
        <x:f>IF(A219&lt;='Your Mortgage'!$C$8*12,EDATE('Your Mortgage'!$C$9,A219-1),"")</x:f>
        <x:v>52718</x:v>
      </x:c>
      <x:c r="C219" s="172" t="n">
        <x:f>IF(B219="","",'Your Mortgage'!$C$11)</x:f>
        <x:v>2054.2210763521375</x:v>
      </x:c>
      <x:c r="D219" s="172" t="n">
        <x:f>IF(B219="","",'Your Mortgage'!$F$6+IF(A219='Your Mortgage'!$F$8,'Your Mortgage'!$F$7,0))</x:f>
        <x:v>250</x:v>
      </x:c>
      <x:c r="E219" s="173"/>
      <x:c r="F219" s="170"/>
      <x:c r="G219" s="170"/>
      <x:c r="H219" s="170"/>
      <x:c r="I219" s="1"/>
      <x:c r="J219" s="1"/>
      <x:c r="K219" s="1"/>
      <x:c r="L219" s="1"/>
      <x:c r="M219" s="1"/>
      <x:c r="N219" s="1"/>
      <x:c r="O219" s="1"/>
      <x:c r="P219" s="1"/>
      <x:c r="Q219" s="1"/>
      <x:c r="R219" s="1"/>
      <x:c r="S219" s="1"/>
      <x:c r="T219" s="1"/>
      <x:c r="U219" s="1"/>
      <x:c r="V219" s="1"/>
      <x:c r="W219" s="1"/>
      <x:c r="X219" s="1"/>
      <x:c r="Y219" s="1"/>
      <x:c r="Z219" s="1"/>
    </x:row>
    <x:row r="220">
      <x:c r="A220" s="100" t="n">
        <x:f>A219+1</x:f>
        <x:v>215</x:v>
      </x:c>
      <x:c r="B220" s="171" t="n">
        <x:f>IF(A220&lt;='Your Mortgage'!$C$8*12,EDATE('Your Mortgage'!$C$9,A220-1),"")</x:f>
        <x:v>52749</x:v>
      </x:c>
      <x:c r="C220" s="172" t="n">
        <x:f>IF(B220="","",'Your Mortgage'!$C$11)</x:f>
        <x:v>2054.2210763521375</x:v>
      </x:c>
      <x:c r="D220" s="172" t="n">
        <x:f>IF(B220="","",'Your Mortgage'!$F$6+IF(A220='Your Mortgage'!$F$8,'Your Mortgage'!$F$7,0))</x:f>
        <x:v>250</x:v>
      </x:c>
      <x:c r="E220" s="173"/>
      <x:c r="F220" s="170"/>
      <x:c r="G220" s="170"/>
      <x:c r="H220" s="170"/>
      <x:c r="I220" s="1"/>
      <x:c r="J220" s="1"/>
      <x:c r="K220" s="1"/>
      <x:c r="L220" s="1"/>
      <x:c r="M220" s="1"/>
      <x:c r="N220" s="1"/>
      <x:c r="O220" s="1"/>
      <x:c r="P220" s="1"/>
      <x:c r="Q220" s="1"/>
      <x:c r="R220" s="1"/>
      <x:c r="S220" s="1"/>
      <x:c r="T220" s="1"/>
      <x:c r="U220" s="1"/>
      <x:c r="V220" s="1"/>
      <x:c r="W220" s="1"/>
      <x:c r="X220" s="1"/>
      <x:c r="Y220" s="1"/>
      <x:c r="Z220" s="1"/>
    </x:row>
    <x:row r="221">
      <x:c r="A221" s="100" t="n">
        <x:f>A220+1</x:f>
        <x:v>216</x:v>
      </x:c>
      <x:c r="B221" s="171" t="n">
        <x:f>IF(A221&lt;='Your Mortgage'!$C$8*12,EDATE('Your Mortgage'!$C$9,A221-1),"")</x:f>
        <x:v>52779</x:v>
      </x:c>
      <x:c r="C221" s="172" t="n">
        <x:f>IF(B221="","",'Your Mortgage'!$C$11)</x:f>
        <x:v>2054.2210763521375</x:v>
      </x:c>
      <x:c r="D221" s="172" t="n">
        <x:f>IF(B221="","",'Your Mortgage'!$F$6+IF(A221='Your Mortgage'!$F$8,'Your Mortgage'!$F$7,0))</x:f>
        <x:v>250</x:v>
      </x:c>
      <x:c r="E221" s="173"/>
      <x:c r="F221" s="170"/>
      <x:c r="G221" s="170"/>
      <x:c r="H221" s="170"/>
      <x:c r="I221" s="1"/>
      <x:c r="J221" s="1"/>
      <x:c r="K221" s="1"/>
      <x:c r="L221" s="1"/>
      <x:c r="M221" s="1"/>
      <x:c r="N221" s="1"/>
      <x:c r="O221" s="1"/>
      <x:c r="P221" s="1"/>
      <x:c r="Q221" s="1"/>
      <x:c r="R221" s="1"/>
      <x:c r="S221" s="1"/>
      <x:c r="T221" s="1"/>
      <x:c r="U221" s="1"/>
      <x:c r="V221" s="1"/>
      <x:c r="W221" s="1"/>
      <x:c r="X221" s="1"/>
      <x:c r="Y221" s="1"/>
      <x:c r="Z221" s="1"/>
    </x:row>
    <x:row r="222">
      <x:c r="A222" s="100" t="n">
        <x:f>A221+1</x:f>
        <x:v>217</x:v>
      </x:c>
      <x:c r="B222" s="171" t="n">
        <x:f>IF(A222&lt;='Your Mortgage'!$C$8*12,EDATE('Your Mortgage'!$C$9,A222-1),"")</x:f>
        <x:v>52810</x:v>
      </x:c>
      <x:c r="C222" s="172" t="n">
        <x:f>IF(B222="","",'Your Mortgage'!$C$11)</x:f>
        <x:v>2054.2210763521375</x:v>
      </x:c>
      <x:c r="D222" s="172" t="n">
        <x:f>IF(B222="","",'Your Mortgage'!$F$6+IF(A222='Your Mortgage'!$F$8,'Your Mortgage'!$F$7,0))</x:f>
        <x:v>250</x:v>
      </x:c>
      <x:c r="E222" s="173"/>
      <x:c r="F222" s="170"/>
      <x:c r="G222" s="170"/>
      <x:c r="H222" s="170"/>
      <x:c r="I222" s="1"/>
      <x:c r="J222" s="1"/>
      <x:c r="K222" s="1"/>
      <x:c r="L222" s="1"/>
      <x:c r="M222" s="1"/>
      <x:c r="N222" s="1"/>
      <x:c r="O222" s="1"/>
      <x:c r="P222" s="1"/>
      <x:c r="Q222" s="1"/>
      <x:c r="R222" s="1"/>
      <x:c r="S222" s="1"/>
      <x:c r="T222" s="1"/>
      <x:c r="U222" s="1"/>
      <x:c r="V222" s="1"/>
      <x:c r="W222" s="1"/>
      <x:c r="X222" s="1"/>
      <x:c r="Y222" s="1"/>
      <x:c r="Z222" s="1"/>
    </x:row>
    <x:row r="223">
      <x:c r="A223" s="100" t="n">
        <x:f>A222+1</x:f>
        <x:v>218</x:v>
      </x:c>
      <x:c r="B223" s="171" t="n">
        <x:f>IF(A223&lt;='Your Mortgage'!$C$8*12,EDATE('Your Mortgage'!$C$9,A223-1),"")</x:f>
        <x:v>52841</x:v>
      </x:c>
      <x:c r="C223" s="172" t="n">
        <x:f>IF(B223="","",'Your Mortgage'!$C$11)</x:f>
        <x:v>2054.2210763521375</x:v>
      </x:c>
      <x:c r="D223" s="172" t="n">
        <x:f>IF(B223="","",'Your Mortgage'!$F$6+IF(A223='Your Mortgage'!$F$8,'Your Mortgage'!$F$7,0))</x:f>
        <x:v>250</x:v>
      </x:c>
      <x:c r="E223" s="173"/>
      <x:c r="F223" s="170"/>
      <x:c r="G223" s="170"/>
      <x:c r="H223" s="170"/>
      <x:c r="I223" s="1"/>
      <x:c r="J223" s="1"/>
      <x:c r="K223" s="1"/>
      <x:c r="L223" s="1"/>
      <x:c r="M223" s="1"/>
      <x:c r="N223" s="1"/>
      <x:c r="O223" s="1"/>
      <x:c r="P223" s="1"/>
      <x:c r="Q223" s="1"/>
      <x:c r="R223" s="1"/>
      <x:c r="S223" s="1"/>
      <x:c r="T223" s="1"/>
      <x:c r="U223" s="1"/>
      <x:c r="V223" s="1"/>
      <x:c r="W223" s="1"/>
      <x:c r="X223" s="1"/>
      <x:c r="Y223" s="1"/>
      <x:c r="Z223" s="1"/>
    </x:row>
    <x:row r="224">
      <x:c r="A224" s="100" t="n">
        <x:f>A223+1</x:f>
        <x:v>219</x:v>
      </x:c>
      <x:c r="B224" s="171" t="n">
        <x:f>IF(A224&lt;='Your Mortgage'!$C$8*12,EDATE('Your Mortgage'!$C$9,A224-1),"")</x:f>
        <x:v>52871</x:v>
      </x:c>
      <x:c r="C224" s="172" t="n">
        <x:f>IF(B224="","",'Your Mortgage'!$C$11)</x:f>
        <x:v>2054.2210763521375</x:v>
      </x:c>
      <x:c r="D224" s="172" t="n">
        <x:f>IF(B224="","",'Your Mortgage'!$F$6+IF(A224='Your Mortgage'!$F$8,'Your Mortgage'!$F$7,0))</x:f>
        <x:v>250</x:v>
      </x:c>
      <x:c r="E224" s="173"/>
      <x:c r="F224" s="170"/>
      <x:c r="G224" s="170"/>
      <x:c r="H224" s="170"/>
      <x:c r="I224" s="1"/>
      <x:c r="J224" s="1"/>
      <x:c r="K224" s="1"/>
      <x:c r="L224" s="1"/>
      <x:c r="M224" s="1"/>
      <x:c r="N224" s="1"/>
      <x:c r="O224" s="1"/>
      <x:c r="P224" s="1"/>
      <x:c r="Q224" s="1"/>
      <x:c r="R224" s="1"/>
      <x:c r="S224" s="1"/>
      <x:c r="T224" s="1"/>
      <x:c r="U224" s="1"/>
      <x:c r="V224" s="1"/>
      <x:c r="W224" s="1"/>
      <x:c r="X224" s="1"/>
      <x:c r="Y224" s="1"/>
      <x:c r="Z224" s="1"/>
    </x:row>
    <x:row r="225">
      <x:c r="A225" s="100" t="n">
        <x:f>A224+1</x:f>
        <x:v>220</x:v>
      </x:c>
      <x:c r="B225" s="171" t="n">
        <x:f>IF(A225&lt;='Your Mortgage'!$C$8*12,EDATE('Your Mortgage'!$C$9,A225-1),"")</x:f>
        <x:v>52902</x:v>
      </x:c>
      <x:c r="C225" s="172" t="n">
        <x:f>IF(B225="","",'Your Mortgage'!$C$11)</x:f>
        <x:v>2054.2210763521375</x:v>
      </x:c>
      <x:c r="D225" s="172" t="n">
        <x:f>IF(B225="","",'Your Mortgage'!$F$6+IF(A225='Your Mortgage'!$F$8,'Your Mortgage'!$F$7,0))</x:f>
        <x:v>250</x:v>
      </x:c>
      <x:c r="E225" s="173"/>
      <x:c r="F225" s="170"/>
      <x:c r="G225" s="170"/>
      <x:c r="H225" s="170"/>
      <x:c r="I225" s="1"/>
      <x:c r="J225" s="1"/>
      <x:c r="K225" s="1"/>
      <x:c r="L225" s="1"/>
      <x:c r="M225" s="1"/>
      <x:c r="N225" s="1"/>
      <x:c r="O225" s="1"/>
      <x:c r="P225" s="1"/>
      <x:c r="Q225" s="1"/>
      <x:c r="R225" s="1"/>
      <x:c r="S225" s="1"/>
      <x:c r="T225" s="1"/>
      <x:c r="U225" s="1"/>
      <x:c r="V225" s="1"/>
      <x:c r="W225" s="1"/>
      <x:c r="X225" s="1"/>
      <x:c r="Y225" s="1"/>
      <x:c r="Z225" s="1"/>
    </x:row>
    <x:row r="226">
      <x:c r="A226" s="100" t="n">
        <x:f>A225+1</x:f>
        <x:v>221</x:v>
      </x:c>
      <x:c r="B226" s="171" t="n">
        <x:f>IF(A226&lt;='Your Mortgage'!$C$8*12,EDATE('Your Mortgage'!$C$9,A226-1),"")</x:f>
        <x:v>52932</x:v>
      </x:c>
      <x:c r="C226" s="172" t="n">
        <x:f>IF(B226="","",'Your Mortgage'!$C$11)</x:f>
        <x:v>2054.2210763521375</x:v>
      </x:c>
      <x:c r="D226" s="172" t="n">
        <x:f>IF(B226="","",'Your Mortgage'!$F$6+IF(A226='Your Mortgage'!$F$8,'Your Mortgage'!$F$7,0))</x:f>
        <x:v>250</x:v>
      </x:c>
      <x:c r="E226" s="173"/>
      <x:c r="F226" s="170"/>
      <x:c r="G226" s="170"/>
      <x:c r="H226" s="170"/>
      <x:c r="I226" s="1"/>
      <x:c r="J226" s="1"/>
      <x:c r="K226" s="1"/>
      <x:c r="L226" s="1"/>
      <x:c r="M226" s="1"/>
      <x:c r="N226" s="1"/>
      <x:c r="O226" s="1"/>
      <x:c r="P226" s="1"/>
      <x:c r="Q226" s="1"/>
      <x:c r="R226" s="1"/>
      <x:c r="S226" s="1"/>
      <x:c r="T226" s="1"/>
      <x:c r="U226" s="1"/>
      <x:c r="V226" s="1"/>
      <x:c r="W226" s="1"/>
      <x:c r="X226" s="1"/>
      <x:c r="Y226" s="1"/>
      <x:c r="Z226" s="1"/>
    </x:row>
    <x:row r="227">
      <x:c r="A227" s="100" t="n">
        <x:f>A226+1</x:f>
        <x:v>222</x:v>
      </x:c>
      <x:c r="B227" s="171" t="n">
        <x:f>IF(A227&lt;='Your Mortgage'!$C$8*12,EDATE('Your Mortgage'!$C$9,A227-1),"")</x:f>
        <x:v>52963</x:v>
      </x:c>
      <x:c r="C227" s="172" t="n">
        <x:f>IF(B227="","",'Your Mortgage'!$C$11)</x:f>
        <x:v>2054.2210763521375</x:v>
      </x:c>
      <x:c r="D227" s="172" t="n">
        <x:f>IF(B227="","",'Your Mortgage'!$F$6+IF(A227='Your Mortgage'!$F$8,'Your Mortgage'!$F$7,0))</x:f>
        <x:v>250</x:v>
      </x:c>
      <x:c r="E227" s="173"/>
      <x:c r="F227" s="170"/>
      <x:c r="G227" s="170"/>
      <x:c r="H227" s="170"/>
      <x:c r="I227" s="1"/>
      <x:c r="J227" s="1"/>
      <x:c r="K227" s="1"/>
      <x:c r="L227" s="1"/>
      <x:c r="M227" s="1"/>
      <x:c r="N227" s="1"/>
      <x:c r="O227" s="1"/>
      <x:c r="P227" s="1"/>
      <x:c r="Q227" s="1"/>
      <x:c r="R227" s="1"/>
      <x:c r="S227" s="1"/>
      <x:c r="T227" s="1"/>
      <x:c r="U227" s="1"/>
      <x:c r="V227" s="1"/>
      <x:c r="W227" s="1"/>
      <x:c r="X227" s="1"/>
      <x:c r="Y227" s="1"/>
      <x:c r="Z227" s="1"/>
    </x:row>
    <x:row r="228">
      <x:c r="A228" s="100" t="n">
        <x:f>A227+1</x:f>
        <x:v>223</x:v>
      </x:c>
      <x:c r="B228" s="171" t="n">
        <x:f>IF(A228&lt;='Your Mortgage'!$C$8*12,EDATE('Your Mortgage'!$C$9,A228-1),"")</x:f>
        <x:v>52994</x:v>
      </x:c>
      <x:c r="C228" s="172" t="n">
        <x:f>IF(B228="","",'Your Mortgage'!$C$11)</x:f>
        <x:v>2054.2210763521375</x:v>
      </x:c>
      <x:c r="D228" s="172" t="n">
        <x:f>IF(B228="","",'Your Mortgage'!$F$6+IF(A228='Your Mortgage'!$F$8,'Your Mortgage'!$F$7,0))</x:f>
        <x:v>250</x:v>
      </x:c>
      <x:c r="E228" s="173"/>
      <x:c r="F228" s="170"/>
      <x:c r="G228" s="170"/>
      <x:c r="H228" s="170"/>
      <x:c r="I228" s="1"/>
      <x:c r="J228" s="1"/>
      <x:c r="K228" s="1"/>
      <x:c r="L228" s="1"/>
      <x:c r="M228" s="1"/>
      <x:c r="N228" s="1"/>
      <x:c r="O228" s="1"/>
      <x:c r="P228" s="1"/>
      <x:c r="Q228" s="1"/>
      <x:c r="R228" s="1"/>
      <x:c r="S228" s="1"/>
      <x:c r="T228" s="1"/>
      <x:c r="U228" s="1"/>
      <x:c r="V228" s="1"/>
      <x:c r="W228" s="1"/>
      <x:c r="X228" s="1"/>
      <x:c r="Y228" s="1"/>
      <x:c r="Z228" s="1"/>
    </x:row>
    <x:row r="229">
      <x:c r="A229" s="100" t="n">
        <x:f>A228+1</x:f>
        <x:v>224</x:v>
      </x:c>
      <x:c r="B229" s="171" t="n">
        <x:f>IF(A229&lt;='Your Mortgage'!$C$8*12,EDATE('Your Mortgage'!$C$9,A229-1),"")</x:f>
        <x:v>53022</x:v>
      </x:c>
      <x:c r="C229" s="172" t="n">
        <x:f>IF(B229="","",'Your Mortgage'!$C$11)</x:f>
        <x:v>2054.2210763521375</x:v>
      </x:c>
      <x:c r="D229" s="172" t="n">
        <x:f>IF(B229="","",'Your Mortgage'!$F$6+IF(A229='Your Mortgage'!$F$8,'Your Mortgage'!$F$7,0))</x:f>
        <x:v>250</x:v>
      </x:c>
      <x:c r="E229" s="173"/>
      <x:c r="F229" s="170"/>
      <x:c r="G229" s="170"/>
      <x:c r="H229" s="170"/>
      <x:c r="I229" s="1"/>
      <x:c r="J229" s="1"/>
      <x:c r="K229" s="1"/>
      <x:c r="L229" s="1"/>
      <x:c r="M229" s="1"/>
      <x:c r="N229" s="1"/>
      <x:c r="O229" s="1"/>
      <x:c r="P229" s="1"/>
      <x:c r="Q229" s="1"/>
      <x:c r="R229" s="1"/>
      <x:c r="S229" s="1"/>
      <x:c r="T229" s="1"/>
      <x:c r="U229" s="1"/>
      <x:c r="V229" s="1"/>
      <x:c r="W229" s="1"/>
      <x:c r="X229" s="1"/>
      <x:c r="Y229" s="1"/>
      <x:c r="Z229" s="1"/>
    </x:row>
    <x:row r="230">
      <x:c r="A230" s="100" t="n">
        <x:f>A229+1</x:f>
        <x:v>225</x:v>
      </x:c>
      <x:c r="B230" s="171" t="n">
        <x:f>IF(A230&lt;='Your Mortgage'!$C$8*12,EDATE('Your Mortgage'!$C$9,A230-1),"")</x:f>
        <x:v>53053</x:v>
      </x:c>
      <x:c r="C230" s="172" t="n">
        <x:f>IF(B230="","",'Your Mortgage'!$C$11)</x:f>
        <x:v>2054.2210763521375</x:v>
      </x:c>
      <x:c r="D230" s="172" t="n">
        <x:f>IF(B230="","",'Your Mortgage'!$F$6+IF(A230='Your Mortgage'!$F$8,'Your Mortgage'!$F$7,0))</x:f>
        <x:v>250</x:v>
      </x:c>
      <x:c r="E230" s="173"/>
      <x:c r="F230" s="170"/>
      <x:c r="G230" s="170"/>
      <x:c r="H230" s="170"/>
      <x:c r="I230" s="1"/>
      <x:c r="J230" s="1"/>
      <x:c r="K230" s="1"/>
      <x:c r="L230" s="1"/>
      <x:c r="M230" s="1"/>
      <x:c r="N230" s="1"/>
      <x:c r="O230" s="1"/>
      <x:c r="P230" s="1"/>
      <x:c r="Q230" s="1"/>
      <x:c r="R230" s="1"/>
      <x:c r="S230" s="1"/>
      <x:c r="T230" s="1"/>
      <x:c r="U230" s="1"/>
      <x:c r="V230" s="1"/>
      <x:c r="W230" s="1"/>
      <x:c r="X230" s="1"/>
      <x:c r="Y230" s="1"/>
      <x:c r="Z230" s="1"/>
    </x:row>
    <x:row r="231">
      <x:c r="A231" s="100" t="n">
        <x:f>A230+1</x:f>
        <x:v>226</x:v>
      </x:c>
      <x:c r="B231" s="171" t="n">
        <x:f>IF(A231&lt;='Your Mortgage'!$C$8*12,EDATE('Your Mortgage'!$C$9,A231-1),"")</x:f>
        <x:v>53083</x:v>
      </x:c>
      <x:c r="C231" s="172" t="n">
        <x:f>IF(B231="","",'Your Mortgage'!$C$11)</x:f>
        <x:v>2054.2210763521375</x:v>
      </x:c>
      <x:c r="D231" s="172" t="n">
        <x:f>IF(B231="","",'Your Mortgage'!$F$6+IF(A231='Your Mortgage'!$F$8,'Your Mortgage'!$F$7,0))</x:f>
        <x:v>250</x:v>
      </x:c>
      <x:c r="E231" s="173"/>
      <x:c r="F231" s="170"/>
      <x:c r="G231" s="170"/>
      <x:c r="H231" s="170"/>
      <x:c r="I231" s="1"/>
      <x:c r="J231" s="1"/>
      <x:c r="K231" s="1"/>
      <x:c r="L231" s="1"/>
      <x:c r="M231" s="1"/>
      <x:c r="N231" s="1"/>
      <x:c r="O231" s="1"/>
      <x:c r="P231" s="1"/>
      <x:c r="Q231" s="1"/>
      <x:c r="R231" s="1"/>
      <x:c r="S231" s="1"/>
      <x:c r="T231" s="1"/>
      <x:c r="U231" s="1"/>
      <x:c r="V231" s="1"/>
      <x:c r="W231" s="1"/>
      <x:c r="X231" s="1"/>
      <x:c r="Y231" s="1"/>
      <x:c r="Z231" s="1"/>
    </x:row>
    <x:row r="232">
      <x:c r="A232" s="100" t="n">
        <x:f>A231+1</x:f>
        <x:v>227</x:v>
      </x:c>
      <x:c r="B232" s="171" t="n">
        <x:f>IF(A232&lt;='Your Mortgage'!$C$8*12,EDATE('Your Mortgage'!$C$9,A232-1),"")</x:f>
        <x:v>53114</x:v>
      </x:c>
      <x:c r="C232" s="172" t="n">
        <x:f>IF(B232="","",'Your Mortgage'!$C$11)</x:f>
        <x:v>2054.2210763521375</x:v>
      </x:c>
      <x:c r="D232" s="172" t="n">
        <x:f>IF(B232="","",'Your Mortgage'!$F$6+IF(A232='Your Mortgage'!$F$8,'Your Mortgage'!$F$7,0))</x:f>
        <x:v>250</x:v>
      </x:c>
      <x:c r="E232" s="173"/>
      <x:c r="F232" s="170"/>
      <x:c r="G232" s="170"/>
      <x:c r="H232" s="170"/>
      <x:c r="I232" s="1"/>
      <x:c r="J232" s="1"/>
      <x:c r="K232" s="1"/>
      <x:c r="L232" s="1"/>
      <x:c r="M232" s="1"/>
      <x:c r="N232" s="1"/>
      <x:c r="O232" s="1"/>
      <x:c r="P232" s="1"/>
      <x:c r="Q232" s="1"/>
      <x:c r="R232" s="1"/>
      <x:c r="S232" s="1"/>
      <x:c r="T232" s="1"/>
      <x:c r="U232" s="1"/>
      <x:c r="V232" s="1"/>
      <x:c r="W232" s="1"/>
      <x:c r="X232" s="1"/>
      <x:c r="Y232" s="1"/>
      <x:c r="Z232" s="1"/>
    </x:row>
    <x:row r="233">
      <x:c r="A233" s="100" t="n">
        <x:f>A232+1</x:f>
        <x:v>228</x:v>
      </x:c>
      <x:c r="B233" s="171" t="n">
        <x:f>IF(A233&lt;='Your Mortgage'!$C$8*12,EDATE('Your Mortgage'!$C$9,A233-1),"")</x:f>
        <x:v>53144</x:v>
      </x:c>
      <x:c r="C233" s="172" t="n">
        <x:f>IF(B233="","",'Your Mortgage'!$C$11)</x:f>
        <x:v>2054.2210763521375</x:v>
      </x:c>
      <x:c r="D233" s="172" t="n">
        <x:f>IF(B233="","",'Your Mortgage'!$F$6+IF(A233='Your Mortgage'!$F$8,'Your Mortgage'!$F$7,0))</x:f>
        <x:v>250</x:v>
      </x:c>
      <x:c r="E233" s="173"/>
      <x:c r="F233" s="170"/>
      <x:c r="G233" s="170"/>
      <x:c r="H233" s="170"/>
      <x:c r="I233" s="1"/>
      <x:c r="J233" s="1"/>
      <x:c r="K233" s="1"/>
      <x:c r="L233" s="1"/>
      <x:c r="M233" s="1"/>
      <x:c r="N233" s="1"/>
      <x:c r="O233" s="1"/>
      <x:c r="P233" s="1"/>
      <x:c r="Q233" s="1"/>
      <x:c r="R233" s="1"/>
      <x:c r="S233" s="1"/>
      <x:c r="T233" s="1"/>
      <x:c r="U233" s="1"/>
      <x:c r="V233" s="1"/>
      <x:c r="W233" s="1"/>
      <x:c r="X233" s="1"/>
      <x:c r="Y233" s="1"/>
      <x:c r="Z233" s="1"/>
    </x:row>
    <x:row r="234">
      <x:c r="A234" s="100" t="n">
        <x:f>A233+1</x:f>
        <x:v>229</x:v>
      </x:c>
      <x:c r="B234" s="171" t="n">
        <x:f>IF(A234&lt;='Your Mortgage'!$C$8*12,EDATE('Your Mortgage'!$C$9,A234-1),"")</x:f>
        <x:v>53175</x:v>
      </x:c>
      <x:c r="C234" s="172" t="n">
        <x:f>IF(B234="","",'Your Mortgage'!$C$11)</x:f>
        <x:v>2054.2210763521375</x:v>
      </x:c>
      <x:c r="D234" s="172" t="n">
        <x:f>IF(B234="","",'Your Mortgage'!$F$6+IF(A234='Your Mortgage'!$F$8,'Your Mortgage'!$F$7,0))</x:f>
        <x:v>250</x:v>
      </x:c>
      <x:c r="E234" s="173"/>
      <x:c r="F234" s="170"/>
      <x:c r="G234" s="170"/>
      <x:c r="H234" s="170"/>
      <x:c r="I234" s="1"/>
      <x:c r="J234" s="1"/>
      <x:c r="K234" s="1"/>
      <x:c r="L234" s="1"/>
      <x:c r="M234" s="1"/>
      <x:c r="N234" s="1"/>
      <x:c r="O234" s="1"/>
      <x:c r="P234" s="1"/>
      <x:c r="Q234" s="1"/>
      <x:c r="R234" s="1"/>
      <x:c r="S234" s="1"/>
      <x:c r="T234" s="1"/>
      <x:c r="U234" s="1"/>
      <x:c r="V234" s="1"/>
      <x:c r="W234" s="1"/>
      <x:c r="X234" s="1"/>
      <x:c r="Y234" s="1"/>
      <x:c r="Z234" s="1"/>
    </x:row>
    <x:row r="235">
      <x:c r="A235" s="100" t="n">
        <x:f>A234+1</x:f>
        <x:v>230</x:v>
      </x:c>
      <x:c r="B235" s="171" t="n">
        <x:f>IF(A235&lt;='Your Mortgage'!$C$8*12,EDATE('Your Mortgage'!$C$9,A235-1),"")</x:f>
        <x:v>53206</x:v>
      </x:c>
      <x:c r="C235" s="172" t="n">
        <x:f>IF(B235="","",'Your Mortgage'!$C$11)</x:f>
        <x:v>2054.2210763521375</x:v>
      </x:c>
      <x:c r="D235" s="172" t="n">
        <x:f>IF(B235="","",'Your Mortgage'!$F$6+IF(A235='Your Mortgage'!$F$8,'Your Mortgage'!$F$7,0))</x:f>
        <x:v>250</x:v>
      </x:c>
      <x:c r="E235" s="173"/>
      <x:c r="F235" s="170"/>
      <x:c r="G235" s="170"/>
      <x:c r="H235" s="170"/>
      <x:c r="I235" s="1"/>
      <x:c r="J235" s="1"/>
      <x:c r="K235" s="1"/>
      <x:c r="L235" s="1"/>
      <x:c r="M235" s="1"/>
      <x:c r="N235" s="1"/>
      <x:c r="O235" s="1"/>
      <x:c r="P235" s="1"/>
      <x:c r="Q235" s="1"/>
      <x:c r="R235" s="1"/>
      <x:c r="S235" s="1"/>
      <x:c r="T235" s="1"/>
      <x:c r="U235" s="1"/>
      <x:c r="V235" s="1"/>
      <x:c r="W235" s="1"/>
      <x:c r="X235" s="1"/>
      <x:c r="Y235" s="1"/>
      <x:c r="Z235" s="1"/>
    </x:row>
    <x:row r="236">
      <x:c r="A236" s="100" t="n">
        <x:f>A235+1</x:f>
        <x:v>231</x:v>
      </x:c>
      <x:c r="B236" s="171" t="n">
        <x:f>IF(A236&lt;='Your Mortgage'!$C$8*12,EDATE('Your Mortgage'!$C$9,A236-1),"")</x:f>
        <x:v>53236</x:v>
      </x:c>
      <x:c r="C236" s="172" t="n">
        <x:f>IF(B236="","",'Your Mortgage'!$C$11)</x:f>
        <x:v>2054.2210763521375</x:v>
      </x:c>
      <x:c r="D236" s="172" t="n">
        <x:f>IF(B236="","",'Your Mortgage'!$F$6+IF(A236='Your Mortgage'!$F$8,'Your Mortgage'!$F$7,0))</x:f>
        <x:v>250</x:v>
      </x:c>
      <x:c r="E236" s="173"/>
      <x:c r="F236" s="170"/>
      <x:c r="G236" s="170"/>
      <x:c r="H236" s="170"/>
      <x:c r="I236" s="1"/>
      <x:c r="J236" s="1"/>
      <x:c r="K236" s="1"/>
      <x:c r="L236" s="1"/>
      <x:c r="M236" s="1"/>
      <x:c r="N236" s="1"/>
      <x:c r="O236" s="1"/>
      <x:c r="P236" s="1"/>
      <x:c r="Q236" s="1"/>
      <x:c r="R236" s="1"/>
      <x:c r="S236" s="1"/>
      <x:c r="T236" s="1"/>
      <x:c r="U236" s="1"/>
      <x:c r="V236" s="1"/>
      <x:c r="W236" s="1"/>
      <x:c r="X236" s="1"/>
      <x:c r="Y236" s="1"/>
      <x:c r="Z236" s="1"/>
    </x:row>
    <x:row r="237">
      <x:c r="A237" s="100" t="n">
        <x:f>A236+1</x:f>
        <x:v>232</x:v>
      </x:c>
      <x:c r="B237" s="171" t="n">
        <x:f>IF(A237&lt;='Your Mortgage'!$C$8*12,EDATE('Your Mortgage'!$C$9,A237-1),"")</x:f>
        <x:v>53267</x:v>
      </x:c>
      <x:c r="C237" s="172" t="n">
        <x:f>IF(B237="","",'Your Mortgage'!$C$11)</x:f>
        <x:v>2054.2210763521375</x:v>
      </x:c>
      <x:c r="D237" s="172" t="n">
        <x:f>IF(B237="","",'Your Mortgage'!$F$6+IF(A237='Your Mortgage'!$F$8,'Your Mortgage'!$F$7,0))</x:f>
        <x:v>250</x:v>
      </x:c>
      <x:c r="E237" s="173"/>
      <x:c r="F237" s="170"/>
      <x:c r="G237" s="170"/>
      <x:c r="H237" s="170"/>
      <x:c r="I237" s="1"/>
      <x:c r="J237" s="1"/>
      <x:c r="K237" s="1"/>
      <x:c r="L237" s="1"/>
      <x:c r="M237" s="1"/>
      <x:c r="N237" s="1"/>
      <x:c r="O237" s="1"/>
      <x:c r="P237" s="1"/>
      <x:c r="Q237" s="1"/>
      <x:c r="R237" s="1"/>
      <x:c r="S237" s="1"/>
      <x:c r="T237" s="1"/>
      <x:c r="U237" s="1"/>
      <x:c r="V237" s="1"/>
      <x:c r="W237" s="1"/>
      <x:c r="X237" s="1"/>
      <x:c r="Y237" s="1"/>
      <x:c r="Z237" s="1"/>
    </x:row>
    <x:row r="238">
      <x:c r="A238" s="100" t="n">
        <x:f>A237+1</x:f>
        <x:v>233</x:v>
      </x:c>
      <x:c r="B238" s="171" t="n">
        <x:f>IF(A238&lt;='Your Mortgage'!$C$8*12,EDATE('Your Mortgage'!$C$9,A238-1),"")</x:f>
        <x:v>53297</x:v>
      </x:c>
      <x:c r="C238" s="172" t="n">
        <x:f>IF(B238="","",'Your Mortgage'!$C$11)</x:f>
        <x:v>2054.2210763521375</x:v>
      </x:c>
      <x:c r="D238" s="172" t="n">
        <x:f>IF(B238="","",'Your Mortgage'!$F$6+IF(A238='Your Mortgage'!$F$8,'Your Mortgage'!$F$7,0))</x:f>
        <x:v>250</x:v>
      </x:c>
      <x:c r="E238" s="173"/>
      <x:c r="F238" s="170"/>
      <x:c r="G238" s="170"/>
      <x:c r="H238" s="170"/>
      <x:c r="I238" s="1"/>
      <x:c r="J238" s="1"/>
      <x:c r="K238" s="1"/>
      <x:c r="L238" s="1"/>
      <x:c r="M238" s="1"/>
      <x:c r="N238" s="1"/>
      <x:c r="O238" s="1"/>
      <x:c r="P238" s="1"/>
      <x:c r="Q238" s="1"/>
      <x:c r="R238" s="1"/>
      <x:c r="S238" s="1"/>
      <x:c r="T238" s="1"/>
      <x:c r="U238" s="1"/>
      <x:c r="V238" s="1"/>
      <x:c r="W238" s="1"/>
      <x:c r="X238" s="1"/>
      <x:c r="Y238" s="1"/>
      <x:c r="Z238" s="1"/>
    </x:row>
    <x:row r="239">
      <x:c r="A239" s="100" t="n">
        <x:f>A238+1</x:f>
        <x:v>234</x:v>
      </x:c>
      <x:c r="B239" s="171" t="n">
        <x:f>IF(A239&lt;='Your Mortgage'!$C$8*12,EDATE('Your Mortgage'!$C$9,A239-1),"")</x:f>
        <x:v>53328</x:v>
      </x:c>
      <x:c r="C239" s="172" t="n">
        <x:f>IF(B239="","",'Your Mortgage'!$C$11)</x:f>
        <x:v>2054.2210763521375</x:v>
      </x:c>
      <x:c r="D239" s="172" t="n">
        <x:f>IF(B239="","",'Your Mortgage'!$F$6+IF(A239='Your Mortgage'!$F$8,'Your Mortgage'!$F$7,0))</x:f>
        <x:v>250</x:v>
      </x:c>
      <x:c r="E239" s="173"/>
      <x:c r="F239" s="170"/>
      <x:c r="G239" s="170"/>
      <x:c r="H239" s="170"/>
      <x:c r="I239" s="1"/>
      <x:c r="J239" s="1"/>
      <x:c r="K239" s="1"/>
      <x:c r="L239" s="1"/>
      <x:c r="M239" s="1"/>
      <x:c r="N239" s="1"/>
      <x:c r="O239" s="1"/>
      <x:c r="P239" s="1"/>
      <x:c r="Q239" s="1"/>
      <x:c r="R239" s="1"/>
      <x:c r="S239" s="1"/>
      <x:c r="T239" s="1"/>
      <x:c r="U239" s="1"/>
      <x:c r="V239" s="1"/>
      <x:c r="W239" s="1"/>
      <x:c r="X239" s="1"/>
      <x:c r="Y239" s="1"/>
      <x:c r="Z239" s="1"/>
    </x:row>
    <x:row r="240">
      <x:c r="A240" s="100" t="n">
        <x:f>A239+1</x:f>
        <x:v>235</x:v>
      </x:c>
      <x:c r="B240" s="171" t="n">
        <x:f>IF(A240&lt;='Your Mortgage'!$C$8*12,EDATE('Your Mortgage'!$C$9,A240-1),"")</x:f>
        <x:v>53359</x:v>
      </x:c>
      <x:c r="C240" s="172" t="n">
        <x:f>IF(B240="","",'Your Mortgage'!$C$11)</x:f>
        <x:v>2054.2210763521375</x:v>
      </x:c>
      <x:c r="D240" s="172" t="n">
        <x:f>IF(B240="","",'Your Mortgage'!$F$6+IF(A240='Your Mortgage'!$F$8,'Your Mortgage'!$F$7,0))</x:f>
        <x:v>250</x:v>
      </x:c>
      <x:c r="E240" s="173"/>
      <x:c r="F240" s="170"/>
      <x:c r="G240" s="170"/>
      <x:c r="H240" s="170"/>
      <x:c r="I240" s="1"/>
      <x:c r="J240" s="1"/>
      <x:c r="K240" s="1"/>
      <x:c r="L240" s="1"/>
      <x:c r="M240" s="1"/>
      <x:c r="N240" s="1"/>
      <x:c r="O240" s="1"/>
      <x:c r="P240" s="1"/>
      <x:c r="Q240" s="1"/>
      <x:c r="R240" s="1"/>
      <x:c r="S240" s="1"/>
      <x:c r="T240" s="1"/>
      <x:c r="U240" s="1"/>
      <x:c r="V240" s="1"/>
      <x:c r="W240" s="1"/>
      <x:c r="X240" s="1"/>
      <x:c r="Y240" s="1"/>
      <x:c r="Z240" s="1"/>
    </x:row>
    <x:row r="241">
      <x:c r="A241" s="100" t="n">
        <x:f>A240+1</x:f>
        <x:v>236</x:v>
      </x:c>
      <x:c r="B241" s="171" t="n">
        <x:f>IF(A241&lt;='Your Mortgage'!$C$8*12,EDATE('Your Mortgage'!$C$9,A241-1),"")</x:f>
        <x:v>53387</x:v>
      </x:c>
      <x:c r="C241" s="172" t="n">
        <x:f>IF(B241="","",'Your Mortgage'!$C$11)</x:f>
        <x:v>2054.2210763521375</x:v>
      </x:c>
      <x:c r="D241" s="172" t="n">
        <x:f>IF(B241="","",'Your Mortgage'!$F$6+IF(A241='Your Mortgage'!$F$8,'Your Mortgage'!$F$7,0))</x:f>
        <x:v>250</x:v>
      </x:c>
      <x:c r="E241" s="173"/>
      <x:c r="F241" s="170"/>
      <x:c r="G241" s="170"/>
      <x:c r="H241" s="170"/>
      <x:c r="I241" s="1"/>
      <x:c r="J241" s="1"/>
      <x:c r="K241" s="1"/>
      <x:c r="L241" s="1"/>
      <x:c r="M241" s="1"/>
      <x:c r="N241" s="1"/>
      <x:c r="O241" s="1"/>
      <x:c r="P241" s="1"/>
      <x:c r="Q241" s="1"/>
      <x:c r="R241" s="1"/>
      <x:c r="S241" s="1"/>
      <x:c r="T241" s="1"/>
      <x:c r="U241" s="1"/>
      <x:c r="V241" s="1"/>
      <x:c r="W241" s="1"/>
      <x:c r="X241" s="1"/>
      <x:c r="Y241" s="1"/>
      <x:c r="Z241" s="1"/>
    </x:row>
    <x:row r="242">
      <x:c r="A242" s="100" t="n">
        <x:f>A241+1</x:f>
        <x:v>237</x:v>
      </x:c>
      <x:c r="B242" s="171" t="n">
        <x:f>IF(A242&lt;='Your Mortgage'!$C$8*12,EDATE('Your Mortgage'!$C$9,A242-1),"")</x:f>
        <x:v>53418</x:v>
      </x:c>
      <x:c r="C242" s="172" t="n">
        <x:f>IF(B242="","",'Your Mortgage'!$C$11)</x:f>
        <x:v>2054.2210763521375</x:v>
      </x:c>
      <x:c r="D242" s="172" t="n">
        <x:f>IF(B242="","",'Your Mortgage'!$F$6+IF(A242='Your Mortgage'!$F$8,'Your Mortgage'!$F$7,0))</x:f>
        <x:v>250</x:v>
      </x:c>
      <x:c r="E242" s="173"/>
      <x:c r="F242" s="170"/>
      <x:c r="G242" s="170"/>
      <x:c r="H242" s="170"/>
      <x:c r="I242" s="1"/>
      <x:c r="J242" s="1"/>
      <x:c r="K242" s="1"/>
      <x:c r="L242" s="1"/>
      <x:c r="M242" s="1"/>
      <x:c r="N242" s="1"/>
      <x:c r="O242" s="1"/>
      <x:c r="P242" s="1"/>
      <x:c r="Q242" s="1"/>
      <x:c r="R242" s="1"/>
      <x:c r="S242" s="1"/>
      <x:c r="T242" s="1"/>
      <x:c r="U242" s="1"/>
      <x:c r="V242" s="1"/>
      <x:c r="W242" s="1"/>
      <x:c r="X242" s="1"/>
      <x:c r="Y242" s="1"/>
      <x:c r="Z242" s="1"/>
    </x:row>
    <x:row r="243">
      <x:c r="A243" s="100" t="n">
        <x:f>A242+1</x:f>
        <x:v>238</x:v>
      </x:c>
      <x:c r="B243" s="171" t="n">
        <x:f>IF(A243&lt;='Your Mortgage'!$C$8*12,EDATE('Your Mortgage'!$C$9,A243-1),"")</x:f>
        <x:v>53448</x:v>
      </x:c>
      <x:c r="C243" s="172" t="n">
        <x:f>IF(B243="","",'Your Mortgage'!$C$11)</x:f>
        <x:v>2054.2210763521375</x:v>
      </x:c>
      <x:c r="D243" s="172" t="n">
        <x:f>IF(B243="","",'Your Mortgage'!$F$6+IF(A243='Your Mortgage'!$F$8,'Your Mortgage'!$F$7,0))</x:f>
        <x:v>250</x:v>
      </x:c>
      <x:c r="E243" s="173"/>
      <x:c r="F243" s="170"/>
      <x:c r="G243" s="170"/>
      <x:c r="H243" s="170"/>
      <x:c r="I243" s="1"/>
      <x:c r="J243" s="1"/>
      <x:c r="K243" s="1"/>
      <x:c r="L243" s="1"/>
      <x:c r="M243" s="1"/>
      <x:c r="N243" s="1"/>
      <x:c r="O243" s="1"/>
      <x:c r="P243" s="1"/>
      <x:c r="Q243" s="1"/>
      <x:c r="R243" s="1"/>
      <x:c r="S243" s="1"/>
      <x:c r="T243" s="1"/>
      <x:c r="U243" s="1"/>
      <x:c r="V243" s="1"/>
      <x:c r="W243" s="1"/>
      <x:c r="X243" s="1"/>
      <x:c r="Y243" s="1"/>
      <x:c r="Z243" s="1"/>
    </x:row>
    <x:row r="244">
      <x:c r="A244" s="100" t="n">
        <x:f>A243+1</x:f>
        <x:v>239</x:v>
      </x:c>
      <x:c r="B244" s="171" t="n">
        <x:f>IF(A244&lt;='Your Mortgage'!$C$8*12,EDATE('Your Mortgage'!$C$9,A244-1),"")</x:f>
        <x:v>53479</x:v>
      </x:c>
      <x:c r="C244" s="172" t="n">
        <x:f>IF(B244="","",'Your Mortgage'!$C$11)</x:f>
        <x:v>2054.2210763521375</x:v>
      </x:c>
      <x:c r="D244" s="172" t="n">
        <x:f>IF(B244="","",'Your Mortgage'!$F$6+IF(A244='Your Mortgage'!$F$8,'Your Mortgage'!$F$7,0))</x:f>
        <x:v>250</x:v>
      </x:c>
      <x:c r="E244" s="173"/>
      <x:c r="F244" s="170"/>
      <x:c r="G244" s="170"/>
      <x:c r="H244" s="170"/>
      <x:c r="I244" s="1"/>
      <x:c r="J244" s="1"/>
      <x:c r="K244" s="1"/>
      <x:c r="L244" s="1"/>
      <x:c r="M244" s="1"/>
      <x:c r="N244" s="1"/>
      <x:c r="O244" s="1"/>
      <x:c r="P244" s="1"/>
      <x:c r="Q244" s="1"/>
      <x:c r="R244" s="1"/>
      <x:c r="S244" s="1"/>
      <x:c r="T244" s="1"/>
      <x:c r="U244" s="1"/>
      <x:c r="V244" s="1"/>
      <x:c r="W244" s="1"/>
      <x:c r="X244" s="1"/>
      <x:c r="Y244" s="1"/>
      <x:c r="Z244" s="1"/>
    </x:row>
    <x:row r="245">
      <x:c r="A245" s="100" t="n">
        <x:f>A244+1</x:f>
        <x:v>240</x:v>
      </x:c>
      <x:c r="B245" s="171" t="n">
        <x:f>IF(A245&lt;='Your Mortgage'!$C$8*12,EDATE('Your Mortgage'!$C$9,A245-1),"")</x:f>
        <x:v>53509</x:v>
      </x:c>
      <x:c r="C245" s="172" t="n">
        <x:f>IF(B245="","",'Your Mortgage'!$C$11)</x:f>
        <x:v>2054.2210763521375</x:v>
      </x:c>
      <x:c r="D245" s="172" t="n">
        <x:f>IF(B245="","",'Your Mortgage'!$F$6+IF(A245='Your Mortgage'!$F$8,'Your Mortgage'!$F$7,0))</x:f>
        <x:v>250</x:v>
      </x:c>
      <x:c r="E245" s="173"/>
      <x:c r="F245" s="170"/>
      <x:c r="G245" s="170"/>
      <x:c r="H245" s="170"/>
      <x:c r="I245" s="1"/>
      <x:c r="J245" s="1"/>
      <x:c r="K245" s="1"/>
      <x:c r="L245" s="1"/>
      <x:c r="M245" s="1"/>
      <x:c r="N245" s="1"/>
      <x:c r="O245" s="1"/>
      <x:c r="P245" s="1"/>
      <x:c r="Q245" s="1"/>
      <x:c r="R245" s="1"/>
      <x:c r="S245" s="1"/>
      <x:c r="T245" s="1"/>
      <x:c r="U245" s="1"/>
      <x:c r="V245" s="1"/>
      <x:c r="W245" s="1"/>
      <x:c r="X245" s="1"/>
      <x:c r="Y245" s="1"/>
      <x:c r="Z245" s="1"/>
    </x:row>
    <x:row r="246">
      <x:c r="A246" s="100" t="n">
        <x:f>A245+1</x:f>
        <x:v>241</x:v>
      </x:c>
      <x:c r="B246" s="171" t="n">
        <x:f>IF(A246&lt;='Your Mortgage'!$C$8*12,EDATE('Your Mortgage'!$C$9,A246-1),"")</x:f>
        <x:v>53540</x:v>
      </x:c>
      <x:c r="C246" s="172" t="n">
        <x:f>IF(B246="","",'Your Mortgage'!$C$11)</x:f>
        <x:v>2054.2210763521375</x:v>
      </x:c>
      <x:c r="D246" s="172" t="n">
        <x:f>IF(B246="","",'Your Mortgage'!$F$6+IF(A246='Your Mortgage'!$F$8,'Your Mortgage'!$F$7,0))</x:f>
        <x:v>250</x:v>
      </x:c>
      <x:c r="E246" s="173"/>
      <x:c r="F246" s="170"/>
      <x:c r="G246" s="170"/>
      <x:c r="H246" s="170"/>
      <x:c r="I246" s="1"/>
      <x:c r="J246" s="1"/>
      <x:c r="K246" s="1"/>
      <x:c r="L246" s="1"/>
      <x:c r="M246" s="1"/>
      <x:c r="N246" s="1"/>
      <x:c r="O246" s="1"/>
      <x:c r="P246" s="1"/>
      <x:c r="Q246" s="1"/>
      <x:c r="R246" s="1"/>
      <x:c r="S246" s="1"/>
      <x:c r="T246" s="1"/>
      <x:c r="U246" s="1"/>
      <x:c r="V246" s="1"/>
      <x:c r="W246" s="1"/>
      <x:c r="X246" s="1"/>
      <x:c r="Y246" s="1"/>
      <x:c r="Z246" s="1"/>
    </x:row>
    <x:row r="247">
      <x:c r="A247" s="100" t="n">
        <x:f>A246+1</x:f>
        <x:v>242</x:v>
      </x:c>
      <x:c r="B247" s="171" t="n">
        <x:f>IF(A247&lt;='Your Mortgage'!$C$8*12,EDATE('Your Mortgage'!$C$9,A247-1),"")</x:f>
        <x:v>53571</x:v>
      </x:c>
      <x:c r="C247" s="172" t="n">
        <x:f>IF(B247="","",'Your Mortgage'!$C$11)</x:f>
        <x:v>2054.2210763521375</x:v>
      </x:c>
      <x:c r="D247" s="172" t="n">
        <x:f>IF(B247="","",'Your Mortgage'!$F$6+IF(A247='Your Mortgage'!$F$8,'Your Mortgage'!$F$7,0))</x:f>
        <x:v>250</x:v>
      </x:c>
      <x:c r="E247" s="173"/>
      <x:c r="F247" s="170"/>
      <x:c r="G247" s="170"/>
      <x:c r="H247" s="170"/>
      <x:c r="I247" s="1"/>
      <x:c r="J247" s="1"/>
      <x:c r="K247" s="1"/>
      <x:c r="L247" s="1"/>
      <x:c r="M247" s="1"/>
      <x:c r="N247" s="1"/>
      <x:c r="O247" s="1"/>
      <x:c r="P247" s="1"/>
      <x:c r="Q247" s="1"/>
      <x:c r="R247" s="1"/>
      <x:c r="S247" s="1"/>
      <x:c r="T247" s="1"/>
      <x:c r="U247" s="1"/>
      <x:c r="V247" s="1"/>
      <x:c r="W247" s="1"/>
      <x:c r="X247" s="1"/>
      <x:c r="Y247" s="1"/>
      <x:c r="Z247" s="1"/>
    </x:row>
    <x:row r="248">
      <x:c r="A248" s="100" t="n">
        <x:f>A247+1</x:f>
        <x:v>243</x:v>
      </x:c>
      <x:c r="B248" s="171" t="n">
        <x:f>IF(A248&lt;='Your Mortgage'!$C$8*12,EDATE('Your Mortgage'!$C$9,A248-1),"")</x:f>
        <x:v>53601</x:v>
      </x:c>
      <x:c r="C248" s="172" t="n">
        <x:f>IF(B248="","",'Your Mortgage'!$C$11)</x:f>
        <x:v>2054.2210763521375</x:v>
      </x:c>
      <x:c r="D248" s="172" t="n">
        <x:f>IF(B248="","",'Your Mortgage'!$F$6+IF(A248='Your Mortgage'!$F$8,'Your Mortgage'!$F$7,0))</x:f>
        <x:v>250</x:v>
      </x:c>
      <x:c r="E248" s="173"/>
      <x:c r="F248" s="170"/>
      <x:c r="G248" s="170"/>
      <x:c r="H248" s="170"/>
      <x:c r="I248" s="1"/>
      <x:c r="J248" s="1"/>
      <x:c r="K248" s="1"/>
      <x:c r="L248" s="1"/>
      <x:c r="M248" s="1"/>
      <x:c r="N248" s="1"/>
      <x:c r="O248" s="1"/>
      <x:c r="P248" s="1"/>
      <x:c r="Q248" s="1"/>
      <x:c r="R248" s="1"/>
      <x:c r="S248" s="1"/>
      <x:c r="T248" s="1"/>
      <x:c r="U248" s="1"/>
      <x:c r="V248" s="1"/>
      <x:c r="W248" s="1"/>
      <x:c r="X248" s="1"/>
      <x:c r="Y248" s="1"/>
      <x:c r="Z248" s="1"/>
    </x:row>
    <x:row r="249">
      <x:c r="A249" s="100" t="n">
        <x:f>A248+1</x:f>
        <x:v>244</x:v>
      </x:c>
      <x:c r="B249" s="171" t="n">
        <x:f>IF(A249&lt;='Your Mortgage'!$C$8*12,EDATE('Your Mortgage'!$C$9,A249-1),"")</x:f>
        <x:v>53632</x:v>
      </x:c>
      <x:c r="C249" s="172" t="n">
        <x:f>IF(B249="","",'Your Mortgage'!$C$11)</x:f>
        <x:v>2054.2210763521375</x:v>
      </x:c>
      <x:c r="D249" s="172" t="n">
        <x:f>IF(B249="","",'Your Mortgage'!$F$6+IF(A249='Your Mortgage'!$F$8,'Your Mortgage'!$F$7,0))</x:f>
        <x:v>250</x:v>
      </x:c>
      <x:c r="E249" s="173"/>
      <x:c r="F249" s="170"/>
      <x:c r="G249" s="170"/>
      <x:c r="H249" s="170"/>
      <x:c r="I249" s="1"/>
      <x:c r="J249" s="1"/>
      <x:c r="K249" s="1"/>
      <x:c r="L249" s="1"/>
      <x:c r="M249" s="1"/>
      <x:c r="N249" s="1"/>
      <x:c r="O249" s="1"/>
      <x:c r="P249" s="1"/>
      <x:c r="Q249" s="1"/>
      <x:c r="R249" s="1"/>
      <x:c r="S249" s="1"/>
      <x:c r="T249" s="1"/>
      <x:c r="U249" s="1"/>
      <x:c r="V249" s="1"/>
      <x:c r="W249" s="1"/>
      <x:c r="X249" s="1"/>
      <x:c r="Y249" s="1"/>
      <x:c r="Z249" s="1"/>
    </x:row>
    <x:row r="250">
      <x:c r="A250" s="100" t="n">
        <x:f>A249+1</x:f>
        <x:v>245</x:v>
      </x:c>
      <x:c r="B250" s="171" t="n">
        <x:f>IF(A250&lt;='Your Mortgage'!$C$8*12,EDATE('Your Mortgage'!$C$9,A250-1),"")</x:f>
        <x:v>53662</x:v>
      </x:c>
      <x:c r="C250" s="172" t="n">
        <x:f>IF(B250="","",'Your Mortgage'!$C$11)</x:f>
        <x:v>2054.2210763521375</x:v>
      </x:c>
      <x:c r="D250" s="172" t="n">
        <x:f>IF(B250="","",'Your Mortgage'!$F$6+IF(A250='Your Mortgage'!$F$8,'Your Mortgage'!$F$7,0))</x:f>
        <x:v>250</x:v>
      </x:c>
      <x:c r="E250" s="173"/>
      <x:c r="F250" s="170"/>
      <x:c r="G250" s="170"/>
      <x:c r="H250" s="170"/>
      <x:c r="I250" s="1"/>
      <x:c r="J250" s="1"/>
      <x:c r="K250" s="1"/>
      <x:c r="L250" s="1"/>
      <x:c r="M250" s="1"/>
      <x:c r="N250" s="1"/>
      <x:c r="O250" s="1"/>
      <x:c r="P250" s="1"/>
      <x:c r="Q250" s="1"/>
      <x:c r="R250" s="1"/>
      <x:c r="S250" s="1"/>
      <x:c r="T250" s="1"/>
      <x:c r="U250" s="1"/>
      <x:c r="V250" s="1"/>
      <x:c r="W250" s="1"/>
      <x:c r="X250" s="1"/>
      <x:c r="Y250" s="1"/>
      <x:c r="Z250" s="1"/>
    </x:row>
    <x:row r="251">
      <x:c r="A251" s="100" t="n">
        <x:f>A250+1</x:f>
        <x:v>246</x:v>
      </x:c>
      <x:c r="B251" s="171" t="n">
        <x:f>IF(A251&lt;='Your Mortgage'!$C$8*12,EDATE('Your Mortgage'!$C$9,A251-1),"")</x:f>
        <x:v>53693</x:v>
      </x:c>
      <x:c r="C251" s="172" t="n">
        <x:f>IF(B251="","",'Your Mortgage'!$C$11)</x:f>
        <x:v>2054.2210763521375</x:v>
      </x:c>
      <x:c r="D251" s="172" t="n">
        <x:f>IF(B251="","",'Your Mortgage'!$F$6+IF(A251='Your Mortgage'!$F$8,'Your Mortgage'!$F$7,0))</x:f>
        <x:v>250</x:v>
      </x:c>
      <x:c r="E251" s="173"/>
      <x:c r="F251" s="170"/>
      <x:c r="G251" s="170"/>
      <x:c r="H251" s="170"/>
      <x:c r="I251" s="1"/>
      <x:c r="J251" s="1"/>
      <x:c r="K251" s="1"/>
      <x:c r="L251" s="1"/>
      <x:c r="M251" s="1"/>
      <x:c r="N251" s="1"/>
      <x:c r="O251" s="1"/>
      <x:c r="P251" s="1"/>
      <x:c r="Q251" s="1"/>
      <x:c r="R251" s="1"/>
      <x:c r="S251" s="1"/>
      <x:c r="T251" s="1"/>
      <x:c r="U251" s="1"/>
      <x:c r="V251" s="1"/>
      <x:c r="W251" s="1"/>
      <x:c r="X251" s="1"/>
      <x:c r="Y251" s="1"/>
      <x:c r="Z251" s="1"/>
    </x:row>
    <x:row r="252">
      <x:c r="A252" s="100" t="n">
        <x:f>A251+1</x:f>
        <x:v>247</x:v>
      </x:c>
      <x:c r="B252" s="171" t="n">
        <x:f>IF(A252&lt;='Your Mortgage'!$C$8*12,EDATE('Your Mortgage'!$C$9,A252-1),"")</x:f>
        <x:v>53724</x:v>
      </x:c>
      <x:c r="C252" s="172" t="n">
        <x:f>IF(B252="","",'Your Mortgage'!$C$11)</x:f>
        <x:v>2054.2210763521375</x:v>
      </x:c>
      <x:c r="D252" s="172" t="n">
        <x:f>IF(B252="","",'Your Mortgage'!$F$6+IF(A252='Your Mortgage'!$F$8,'Your Mortgage'!$F$7,0))</x:f>
        <x:v>250</x:v>
      </x:c>
      <x:c r="E252" s="173"/>
      <x:c r="F252" s="170"/>
      <x:c r="G252" s="170"/>
      <x:c r="H252" s="170"/>
      <x:c r="I252" s="1"/>
      <x:c r="J252" s="1"/>
      <x:c r="K252" s="1"/>
      <x:c r="L252" s="1"/>
      <x:c r="M252" s="1"/>
      <x:c r="N252" s="1"/>
      <x:c r="O252" s="1"/>
      <x:c r="P252" s="1"/>
      <x:c r="Q252" s="1"/>
      <x:c r="R252" s="1"/>
      <x:c r="S252" s="1"/>
      <x:c r="T252" s="1"/>
      <x:c r="U252" s="1"/>
      <x:c r="V252" s="1"/>
      <x:c r="W252" s="1"/>
      <x:c r="X252" s="1"/>
      <x:c r="Y252" s="1"/>
      <x:c r="Z252" s="1"/>
    </x:row>
    <x:row r="253">
      <x:c r="A253" s="100" t="n">
        <x:f>A252+1</x:f>
        <x:v>248</x:v>
      </x:c>
      <x:c r="B253" s="171" t="n">
        <x:f>IF(A253&lt;='Your Mortgage'!$C$8*12,EDATE('Your Mortgage'!$C$9,A253-1),"")</x:f>
        <x:v>53752</x:v>
      </x:c>
      <x:c r="C253" s="172" t="n">
        <x:f>IF(B253="","",'Your Mortgage'!$C$11)</x:f>
        <x:v>2054.2210763521375</x:v>
      </x:c>
      <x:c r="D253" s="172" t="n">
        <x:f>IF(B253="","",'Your Mortgage'!$F$6+IF(A253='Your Mortgage'!$F$8,'Your Mortgage'!$F$7,0))</x:f>
        <x:v>250</x:v>
      </x:c>
      <x:c r="E253" s="173"/>
      <x:c r="F253" s="170"/>
      <x:c r="G253" s="170"/>
      <x:c r="H253" s="170"/>
      <x:c r="I253" s="1"/>
      <x:c r="J253" s="1"/>
      <x:c r="K253" s="1"/>
      <x:c r="L253" s="1"/>
      <x:c r="M253" s="1"/>
      <x:c r="N253" s="1"/>
      <x:c r="O253" s="1"/>
      <x:c r="P253" s="1"/>
      <x:c r="Q253" s="1"/>
      <x:c r="R253" s="1"/>
      <x:c r="S253" s="1"/>
      <x:c r="T253" s="1"/>
      <x:c r="U253" s="1"/>
      <x:c r="V253" s="1"/>
      <x:c r="W253" s="1"/>
      <x:c r="X253" s="1"/>
      <x:c r="Y253" s="1"/>
      <x:c r="Z253" s="1"/>
    </x:row>
    <x:row r="254">
      <x:c r="A254" s="100" t="n">
        <x:f>A253+1</x:f>
        <x:v>249</x:v>
      </x:c>
      <x:c r="B254" s="171" t="n">
        <x:f>IF(A254&lt;='Your Mortgage'!$C$8*12,EDATE('Your Mortgage'!$C$9,A254-1),"")</x:f>
        <x:v>53783</x:v>
      </x:c>
      <x:c r="C254" s="172" t="n">
        <x:f>IF(B254="","",'Your Mortgage'!$C$11)</x:f>
        <x:v>2054.2210763521375</x:v>
      </x:c>
      <x:c r="D254" s="172" t="n">
        <x:f>IF(B254="","",'Your Mortgage'!$F$6+IF(A254='Your Mortgage'!$F$8,'Your Mortgage'!$F$7,0))</x:f>
        <x:v>250</x:v>
      </x:c>
      <x:c r="E254" s="173"/>
      <x:c r="F254" s="170"/>
      <x:c r="G254" s="170"/>
      <x:c r="H254" s="170"/>
      <x:c r="I254" s="1"/>
      <x:c r="J254" s="1"/>
      <x:c r="K254" s="1"/>
      <x:c r="L254" s="1"/>
      <x:c r="M254" s="1"/>
      <x:c r="N254" s="1"/>
      <x:c r="O254" s="1"/>
      <x:c r="P254" s="1"/>
      <x:c r="Q254" s="1"/>
      <x:c r="R254" s="1"/>
      <x:c r="S254" s="1"/>
      <x:c r="T254" s="1"/>
      <x:c r="U254" s="1"/>
      <x:c r="V254" s="1"/>
      <x:c r="W254" s="1"/>
      <x:c r="X254" s="1"/>
      <x:c r="Y254" s="1"/>
      <x:c r="Z254" s="1"/>
    </x:row>
    <x:row r="255">
      <x:c r="A255" s="100" t="n">
        <x:f>A254+1</x:f>
        <x:v>250</x:v>
      </x:c>
      <x:c r="B255" s="171" t="n">
        <x:f>IF(A255&lt;='Your Mortgage'!$C$8*12,EDATE('Your Mortgage'!$C$9,A255-1),"")</x:f>
        <x:v>53813</x:v>
      </x:c>
      <x:c r="C255" s="172" t="n">
        <x:f>IF(B255="","",'Your Mortgage'!$C$11)</x:f>
        <x:v>2054.2210763521375</x:v>
      </x:c>
      <x:c r="D255" s="172" t="n">
        <x:f>IF(B255="","",'Your Mortgage'!$F$6+IF(A255='Your Mortgage'!$F$8,'Your Mortgage'!$F$7,0))</x:f>
        <x:v>250</x:v>
      </x:c>
      <x:c r="E255" s="173"/>
      <x:c r="F255" s="170"/>
      <x:c r="G255" s="170"/>
      <x:c r="H255" s="170"/>
      <x:c r="I255" s="1"/>
      <x:c r="J255" s="1"/>
      <x:c r="K255" s="1"/>
      <x:c r="L255" s="1"/>
      <x:c r="M255" s="1"/>
      <x:c r="N255" s="1"/>
      <x:c r="O255" s="1"/>
      <x:c r="P255" s="1"/>
      <x:c r="Q255" s="1"/>
      <x:c r="R255" s="1"/>
      <x:c r="S255" s="1"/>
      <x:c r="T255" s="1"/>
      <x:c r="U255" s="1"/>
      <x:c r="V255" s="1"/>
      <x:c r="W255" s="1"/>
      <x:c r="X255" s="1"/>
      <x:c r="Y255" s="1"/>
      <x:c r="Z255" s="1"/>
    </x:row>
    <x:row r="256">
      <x:c r="A256" s="100" t="n">
        <x:f>A255+1</x:f>
        <x:v>251</x:v>
      </x:c>
      <x:c r="B256" s="171" t="n">
        <x:f>IF(A256&lt;='Your Mortgage'!$C$8*12,EDATE('Your Mortgage'!$C$9,A256-1),"")</x:f>
        <x:v>53844</x:v>
      </x:c>
      <x:c r="C256" s="172" t="n">
        <x:f>IF(B256="","",'Your Mortgage'!$C$11)</x:f>
        <x:v>2054.2210763521375</x:v>
      </x:c>
      <x:c r="D256" s="172" t="n">
        <x:f>IF(B256="","",'Your Mortgage'!$F$6+IF(A256='Your Mortgage'!$F$8,'Your Mortgage'!$F$7,0))</x:f>
        <x:v>250</x:v>
      </x:c>
      <x:c r="E256" s="173"/>
      <x:c r="F256" s="170"/>
      <x:c r="G256" s="170"/>
      <x:c r="H256" s="170"/>
      <x:c r="I256" s="1"/>
      <x:c r="J256" s="1"/>
      <x:c r="K256" s="1"/>
      <x:c r="L256" s="1"/>
      <x:c r="M256" s="1"/>
      <x:c r="N256" s="1"/>
      <x:c r="O256" s="1"/>
      <x:c r="P256" s="1"/>
      <x:c r="Q256" s="1"/>
      <x:c r="R256" s="1"/>
      <x:c r="S256" s="1"/>
      <x:c r="T256" s="1"/>
      <x:c r="U256" s="1"/>
      <x:c r="V256" s="1"/>
      <x:c r="W256" s="1"/>
      <x:c r="X256" s="1"/>
      <x:c r="Y256" s="1"/>
      <x:c r="Z256" s="1"/>
    </x:row>
    <x:row r="257">
      <x:c r="A257" s="100" t="n">
        <x:f>A256+1</x:f>
        <x:v>252</x:v>
      </x:c>
      <x:c r="B257" s="171" t="n">
        <x:f>IF(A257&lt;='Your Mortgage'!$C$8*12,EDATE('Your Mortgage'!$C$9,A257-1),"")</x:f>
        <x:v>53874</x:v>
      </x:c>
      <x:c r="C257" s="172" t="n">
        <x:f>IF(B257="","",'Your Mortgage'!$C$11)</x:f>
        <x:v>2054.2210763521375</x:v>
      </x:c>
      <x:c r="D257" s="172" t="n">
        <x:f>IF(B257="","",'Your Mortgage'!$F$6+IF(A257='Your Mortgage'!$F$8,'Your Mortgage'!$F$7,0))</x:f>
        <x:v>250</x:v>
      </x:c>
      <x:c r="E257" s="173"/>
      <x:c r="F257" s="170"/>
      <x:c r="G257" s="170"/>
      <x:c r="H257" s="170"/>
      <x:c r="I257" s="1"/>
      <x:c r="J257" s="1"/>
      <x:c r="K257" s="1"/>
      <x:c r="L257" s="1"/>
      <x:c r="M257" s="1"/>
      <x:c r="N257" s="1"/>
      <x:c r="O257" s="1"/>
      <x:c r="P257" s="1"/>
      <x:c r="Q257" s="1"/>
      <x:c r="R257" s="1"/>
      <x:c r="S257" s="1"/>
      <x:c r="T257" s="1"/>
      <x:c r="U257" s="1"/>
      <x:c r="V257" s="1"/>
      <x:c r="W257" s="1"/>
      <x:c r="X257" s="1"/>
      <x:c r="Y257" s="1"/>
      <x:c r="Z257" s="1"/>
    </x:row>
    <x:row r="258">
      <x:c r="A258" s="100" t="n">
        <x:f>A257+1</x:f>
        <x:v>253</x:v>
      </x:c>
      <x:c r="B258" s="171" t="n">
        <x:f>IF(A258&lt;='Your Mortgage'!$C$8*12,EDATE('Your Mortgage'!$C$9,A258-1),"")</x:f>
        <x:v>53905</x:v>
      </x:c>
      <x:c r="C258" s="172" t="n">
        <x:f>IF(B258="","",'Your Mortgage'!$C$11)</x:f>
        <x:v>2054.2210763521375</x:v>
      </x:c>
      <x:c r="D258" s="172" t="n">
        <x:f>IF(B258="","",'Your Mortgage'!$F$6+IF(A258='Your Mortgage'!$F$8,'Your Mortgage'!$F$7,0))</x:f>
        <x:v>250</x:v>
      </x:c>
      <x:c r="E258" s="173"/>
      <x:c r="F258" s="170"/>
      <x:c r="G258" s="170"/>
      <x:c r="H258" s="170"/>
      <x:c r="I258" s="1"/>
      <x:c r="J258" s="1"/>
      <x:c r="K258" s="1"/>
      <x:c r="L258" s="1"/>
      <x:c r="M258" s="1"/>
      <x:c r="N258" s="1"/>
      <x:c r="O258" s="1"/>
      <x:c r="P258" s="1"/>
      <x:c r="Q258" s="1"/>
      <x:c r="R258" s="1"/>
      <x:c r="S258" s="1"/>
      <x:c r="T258" s="1"/>
      <x:c r="U258" s="1"/>
      <x:c r="V258" s="1"/>
      <x:c r="W258" s="1"/>
      <x:c r="X258" s="1"/>
      <x:c r="Y258" s="1"/>
      <x:c r="Z258" s="1"/>
    </x:row>
    <x:row r="259">
      <x:c r="A259" s="100" t="n">
        <x:f>A258+1</x:f>
        <x:v>254</x:v>
      </x:c>
      <x:c r="B259" s="171" t="n">
        <x:f>IF(A259&lt;='Your Mortgage'!$C$8*12,EDATE('Your Mortgage'!$C$9,A259-1),"")</x:f>
        <x:v>53936</x:v>
      </x:c>
      <x:c r="C259" s="172" t="n">
        <x:f>IF(B259="","",'Your Mortgage'!$C$11)</x:f>
        <x:v>2054.2210763521375</x:v>
      </x:c>
      <x:c r="D259" s="172" t="n">
        <x:f>IF(B259="","",'Your Mortgage'!$F$6+IF(A259='Your Mortgage'!$F$8,'Your Mortgage'!$F$7,0))</x:f>
        <x:v>250</x:v>
      </x:c>
      <x:c r="E259" s="173"/>
      <x:c r="F259" s="170"/>
      <x:c r="G259" s="170"/>
      <x:c r="H259" s="170"/>
      <x:c r="I259" s="1"/>
      <x:c r="J259" s="1"/>
      <x:c r="K259" s="1"/>
      <x:c r="L259" s="1"/>
      <x:c r="M259" s="1"/>
      <x:c r="N259" s="1"/>
      <x:c r="O259" s="1"/>
      <x:c r="P259" s="1"/>
      <x:c r="Q259" s="1"/>
      <x:c r="R259" s="1"/>
      <x:c r="S259" s="1"/>
      <x:c r="T259" s="1"/>
      <x:c r="U259" s="1"/>
      <x:c r="V259" s="1"/>
      <x:c r="W259" s="1"/>
      <x:c r="X259" s="1"/>
      <x:c r="Y259" s="1"/>
      <x:c r="Z259" s="1"/>
    </x:row>
    <x:row r="260">
      <x:c r="A260" s="100" t="n">
        <x:f>A259+1</x:f>
        <x:v>255</x:v>
      </x:c>
      <x:c r="B260" s="171" t="n">
        <x:f>IF(A260&lt;='Your Mortgage'!$C$8*12,EDATE('Your Mortgage'!$C$9,A260-1),"")</x:f>
        <x:v>53966</x:v>
      </x:c>
      <x:c r="C260" s="172" t="n">
        <x:f>IF(B260="","",'Your Mortgage'!$C$11)</x:f>
        <x:v>2054.2210763521375</x:v>
      </x:c>
      <x:c r="D260" s="172" t="n">
        <x:f>IF(B260="","",'Your Mortgage'!$F$6+IF(A260='Your Mortgage'!$F$8,'Your Mortgage'!$F$7,0))</x:f>
        <x:v>250</x:v>
      </x:c>
      <x:c r="E260" s="173"/>
      <x:c r="F260" s="170"/>
      <x:c r="G260" s="170"/>
      <x:c r="H260" s="170"/>
      <x:c r="I260" s="1"/>
      <x:c r="J260" s="1"/>
      <x:c r="K260" s="1"/>
      <x:c r="L260" s="1"/>
      <x:c r="M260" s="1"/>
      <x:c r="N260" s="1"/>
      <x:c r="O260" s="1"/>
      <x:c r="P260" s="1"/>
      <x:c r="Q260" s="1"/>
      <x:c r="R260" s="1"/>
      <x:c r="S260" s="1"/>
      <x:c r="T260" s="1"/>
      <x:c r="U260" s="1"/>
      <x:c r="V260" s="1"/>
      <x:c r="W260" s="1"/>
      <x:c r="X260" s="1"/>
      <x:c r="Y260" s="1"/>
      <x:c r="Z260" s="1"/>
    </x:row>
    <x:row r="261">
      <x:c r="A261" s="100" t="n">
        <x:f>A260+1</x:f>
        <x:v>256</x:v>
      </x:c>
      <x:c r="B261" s="171" t="n">
        <x:f>IF(A261&lt;='Your Mortgage'!$C$8*12,EDATE('Your Mortgage'!$C$9,A261-1),"")</x:f>
        <x:v>53997</x:v>
      </x:c>
      <x:c r="C261" s="172" t="n">
        <x:f>IF(B261="","",'Your Mortgage'!$C$11)</x:f>
        <x:v>2054.2210763521375</x:v>
      </x:c>
      <x:c r="D261" s="172" t="n">
        <x:f>IF(B261="","",'Your Mortgage'!$F$6+IF(A261='Your Mortgage'!$F$8,'Your Mortgage'!$F$7,0))</x:f>
        <x:v>250</x:v>
      </x:c>
      <x:c r="E261" s="173"/>
      <x:c r="F261" s="170"/>
      <x:c r="G261" s="170"/>
      <x:c r="H261" s="170"/>
      <x:c r="I261" s="1"/>
      <x:c r="J261" s="1"/>
      <x:c r="K261" s="1"/>
      <x:c r="L261" s="1"/>
      <x:c r="M261" s="1"/>
      <x:c r="N261" s="1"/>
      <x:c r="O261" s="1"/>
      <x:c r="P261" s="1"/>
      <x:c r="Q261" s="1"/>
      <x:c r="R261" s="1"/>
      <x:c r="S261" s="1"/>
      <x:c r="T261" s="1"/>
      <x:c r="U261" s="1"/>
      <x:c r="V261" s="1"/>
      <x:c r="W261" s="1"/>
      <x:c r="X261" s="1"/>
      <x:c r="Y261" s="1"/>
      <x:c r="Z261" s="1"/>
    </x:row>
    <x:row r="262">
      <x:c r="A262" s="100" t="n">
        <x:f>A261+1</x:f>
        <x:v>257</x:v>
      </x:c>
      <x:c r="B262" s="171" t="n">
        <x:f>IF(A262&lt;='Your Mortgage'!$C$8*12,EDATE('Your Mortgage'!$C$9,A262-1),"")</x:f>
        <x:v>54027</x:v>
      </x:c>
      <x:c r="C262" s="172" t="n">
        <x:f>IF(B262="","",'Your Mortgage'!$C$11)</x:f>
        <x:v>2054.2210763521375</x:v>
      </x:c>
      <x:c r="D262" s="172" t="n">
        <x:f>IF(B262="","",'Your Mortgage'!$F$6+IF(A262='Your Mortgage'!$F$8,'Your Mortgage'!$F$7,0))</x:f>
        <x:v>250</x:v>
      </x:c>
      <x:c r="E262" s="173"/>
      <x:c r="F262" s="170"/>
      <x:c r="G262" s="170"/>
      <x:c r="H262" s="170"/>
      <x:c r="I262" s="1"/>
      <x:c r="J262" s="1"/>
      <x:c r="K262" s="1"/>
      <x:c r="L262" s="1"/>
      <x:c r="M262" s="1"/>
      <x:c r="N262" s="1"/>
      <x:c r="O262" s="1"/>
      <x:c r="P262" s="1"/>
      <x:c r="Q262" s="1"/>
      <x:c r="R262" s="1"/>
      <x:c r="S262" s="1"/>
      <x:c r="T262" s="1"/>
      <x:c r="U262" s="1"/>
      <x:c r="V262" s="1"/>
      <x:c r="W262" s="1"/>
      <x:c r="X262" s="1"/>
      <x:c r="Y262" s="1"/>
      <x:c r="Z262" s="1"/>
    </x:row>
    <x:row r="263">
      <x:c r="A263" s="100" t="n">
        <x:f>A262+1</x:f>
        <x:v>258</x:v>
      </x:c>
      <x:c r="B263" s="171" t="n">
        <x:f>IF(A263&lt;='Your Mortgage'!$C$8*12,EDATE('Your Mortgage'!$C$9,A263-1),"")</x:f>
        <x:v>54058</x:v>
      </x:c>
      <x:c r="C263" s="172" t="n">
        <x:f>IF(B263="","",'Your Mortgage'!$C$11)</x:f>
        <x:v>2054.2210763521375</x:v>
      </x:c>
      <x:c r="D263" s="172" t="n">
        <x:f>IF(B263="","",'Your Mortgage'!$F$6+IF(A263='Your Mortgage'!$F$8,'Your Mortgage'!$F$7,0))</x:f>
        <x:v>250</x:v>
      </x:c>
      <x:c r="E263" s="173"/>
      <x:c r="F263" s="170"/>
      <x:c r="G263" s="170"/>
      <x:c r="H263" s="170"/>
      <x:c r="I263" s="1"/>
      <x:c r="J263" s="1"/>
      <x:c r="K263" s="1"/>
      <x:c r="L263" s="1"/>
      <x:c r="M263" s="1"/>
      <x:c r="N263" s="1"/>
      <x:c r="O263" s="1"/>
      <x:c r="P263" s="1"/>
      <x:c r="Q263" s="1"/>
      <x:c r="R263" s="1"/>
      <x:c r="S263" s="1"/>
      <x:c r="T263" s="1"/>
      <x:c r="U263" s="1"/>
      <x:c r="V263" s="1"/>
      <x:c r="W263" s="1"/>
      <x:c r="X263" s="1"/>
      <x:c r="Y263" s="1"/>
      <x:c r="Z263" s="1"/>
    </x:row>
    <x:row r="264">
      <x:c r="A264" s="100" t="n">
        <x:f>A263+1</x:f>
        <x:v>259</x:v>
      </x:c>
      <x:c r="B264" s="171" t="n">
        <x:f>IF(A264&lt;='Your Mortgage'!$C$8*12,EDATE('Your Mortgage'!$C$9,A264-1),"")</x:f>
        <x:v>54089</x:v>
      </x:c>
      <x:c r="C264" s="172" t="n">
        <x:f>IF(B264="","",'Your Mortgage'!$C$11)</x:f>
        <x:v>2054.2210763521375</x:v>
      </x:c>
      <x:c r="D264" s="172" t="n">
        <x:f>IF(B264="","",'Your Mortgage'!$F$6+IF(A264='Your Mortgage'!$F$8,'Your Mortgage'!$F$7,0))</x:f>
        <x:v>250</x:v>
      </x:c>
      <x:c r="E264" s="173"/>
      <x:c r="F264" s="170"/>
      <x:c r="G264" s="170"/>
      <x:c r="H264" s="170"/>
      <x:c r="I264" s="1"/>
      <x:c r="J264" s="1"/>
      <x:c r="K264" s="1"/>
      <x:c r="L264" s="1"/>
      <x:c r="M264" s="1"/>
      <x:c r="N264" s="1"/>
      <x:c r="O264" s="1"/>
      <x:c r="P264" s="1"/>
      <x:c r="Q264" s="1"/>
      <x:c r="R264" s="1"/>
      <x:c r="S264" s="1"/>
      <x:c r="T264" s="1"/>
      <x:c r="U264" s="1"/>
      <x:c r="V264" s="1"/>
      <x:c r="W264" s="1"/>
      <x:c r="X264" s="1"/>
      <x:c r="Y264" s="1"/>
      <x:c r="Z264" s="1"/>
    </x:row>
    <x:row r="265">
      <x:c r="A265" s="100" t="n">
        <x:f>A264+1</x:f>
        <x:v>260</x:v>
      </x:c>
      <x:c r="B265" s="171" t="n">
        <x:f>IF(A265&lt;='Your Mortgage'!$C$8*12,EDATE('Your Mortgage'!$C$9,A265-1),"")</x:f>
        <x:v>54118</x:v>
      </x:c>
      <x:c r="C265" s="172" t="n">
        <x:f>IF(B265="","",'Your Mortgage'!$C$11)</x:f>
        <x:v>2054.2210763521375</x:v>
      </x:c>
      <x:c r="D265" s="172" t="n">
        <x:f>IF(B265="","",'Your Mortgage'!$F$6+IF(A265='Your Mortgage'!$F$8,'Your Mortgage'!$F$7,0))</x:f>
        <x:v>250</x:v>
      </x:c>
      <x:c r="E265" s="173"/>
      <x:c r="F265" s="170"/>
      <x:c r="G265" s="170"/>
      <x:c r="H265" s="170"/>
      <x:c r="I265" s="1"/>
      <x:c r="J265" s="1"/>
      <x:c r="K265" s="1"/>
      <x:c r="L265" s="1"/>
      <x:c r="M265" s="1"/>
      <x:c r="N265" s="1"/>
      <x:c r="O265" s="1"/>
      <x:c r="P265" s="1"/>
      <x:c r="Q265" s="1"/>
      <x:c r="R265" s="1"/>
      <x:c r="S265" s="1"/>
      <x:c r="T265" s="1"/>
      <x:c r="U265" s="1"/>
      <x:c r="V265" s="1"/>
      <x:c r="W265" s="1"/>
      <x:c r="X265" s="1"/>
      <x:c r="Y265" s="1"/>
      <x:c r="Z265" s="1"/>
    </x:row>
    <x:row r="266">
      <x:c r="A266" s="100" t="n">
        <x:f>A265+1</x:f>
        <x:v>261</x:v>
      </x:c>
      <x:c r="B266" s="171" t="n">
        <x:f>IF(A266&lt;='Your Mortgage'!$C$8*12,EDATE('Your Mortgage'!$C$9,A266-1),"")</x:f>
        <x:v>54149</x:v>
      </x:c>
      <x:c r="C266" s="172" t="n">
        <x:f>IF(B266="","",'Your Mortgage'!$C$11)</x:f>
        <x:v>2054.2210763521375</x:v>
      </x:c>
      <x:c r="D266" s="172" t="n">
        <x:f>IF(B266="","",'Your Mortgage'!$F$6+IF(A266='Your Mortgage'!$F$8,'Your Mortgage'!$F$7,0))</x:f>
        <x:v>250</x:v>
      </x:c>
      <x:c r="E266" s="173"/>
      <x:c r="F266" s="170"/>
      <x:c r="G266" s="170"/>
      <x:c r="H266" s="170"/>
      <x:c r="I266" s="1"/>
      <x:c r="J266" s="1"/>
      <x:c r="K266" s="1"/>
      <x:c r="L266" s="1"/>
      <x:c r="M266" s="1"/>
      <x:c r="N266" s="1"/>
      <x:c r="O266" s="1"/>
      <x:c r="P266" s="1"/>
      <x:c r="Q266" s="1"/>
      <x:c r="R266" s="1"/>
      <x:c r="S266" s="1"/>
      <x:c r="T266" s="1"/>
      <x:c r="U266" s="1"/>
      <x:c r="V266" s="1"/>
      <x:c r="W266" s="1"/>
      <x:c r="X266" s="1"/>
      <x:c r="Y266" s="1"/>
      <x:c r="Z266" s="1"/>
    </x:row>
    <x:row r="267">
      <x:c r="A267" s="100" t="n">
        <x:f>A266+1</x:f>
        <x:v>262</x:v>
      </x:c>
      <x:c r="B267" s="171" t="n">
        <x:f>IF(A267&lt;='Your Mortgage'!$C$8*12,EDATE('Your Mortgage'!$C$9,A267-1),"")</x:f>
        <x:v>54179</x:v>
      </x:c>
      <x:c r="C267" s="172" t="n">
        <x:f>IF(B267="","",'Your Mortgage'!$C$11)</x:f>
        <x:v>2054.2210763521375</x:v>
      </x:c>
      <x:c r="D267" s="172" t="n">
        <x:f>IF(B267="","",'Your Mortgage'!$F$6+IF(A267='Your Mortgage'!$F$8,'Your Mortgage'!$F$7,0))</x:f>
        <x:v>250</x:v>
      </x:c>
      <x:c r="E267" s="173"/>
      <x:c r="F267" s="170"/>
      <x:c r="G267" s="170"/>
      <x:c r="H267" s="170"/>
      <x:c r="I267" s="1"/>
      <x:c r="J267" s="1"/>
      <x:c r="K267" s="1"/>
      <x:c r="L267" s="1"/>
      <x:c r="M267" s="1"/>
      <x:c r="N267" s="1"/>
      <x:c r="O267" s="1"/>
      <x:c r="P267" s="1"/>
      <x:c r="Q267" s="1"/>
      <x:c r="R267" s="1"/>
      <x:c r="S267" s="1"/>
      <x:c r="T267" s="1"/>
      <x:c r="U267" s="1"/>
      <x:c r="V267" s="1"/>
      <x:c r="W267" s="1"/>
      <x:c r="X267" s="1"/>
      <x:c r="Y267" s="1"/>
      <x:c r="Z267" s="1"/>
    </x:row>
    <x:row r="268">
      <x:c r="A268" s="100" t="n">
        <x:f>A267+1</x:f>
        <x:v>263</x:v>
      </x:c>
      <x:c r="B268" s="171" t="n">
        <x:f>IF(A268&lt;='Your Mortgage'!$C$8*12,EDATE('Your Mortgage'!$C$9,A268-1),"")</x:f>
        <x:v>54210</x:v>
      </x:c>
      <x:c r="C268" s="172" t="n">
        <x:f>IF(B268="","",'Your Mortgage'!$C$11)</x:f>
        <x:v>2054.2210763521375</x:v>
      </x:c>
      <x:c r="D268" s="172" t="n">
        <x:f>IF(B268="","",'Your Mortgage'!$F$6+IF(A268='Your Mortgage'!$F$8,'Your Mortgage'!$F$7,0))</x:f>
        <x:v>250</x:v>
      </x:c>
      <x:c r="E268" s="173"/>
      <x:c r="F268" s="170"/>
      <x:c r="G268" s="170"/>
      <x:c r="H268" s="170"/>
      <x:c r="I268" s="1"/>
      <x:c r="J268" s="1"/>
      <x:c r="K268" s="1"/>
      <x:c r="L268" s="1"/>
      <x:c r="M268" s="1"/>
      <x:c r="N268" s="1"/>
      <x:c r="O268" s="1"/>
      <x:c r="P268" s="1"/>
      <x:c r="Q268" s="1"/>
      <x:c r="R268" s="1"/>
      <x:c r="S268" s="1"/>
      <x:c r="T268" s="1"/>
      <x:c r="U268" s="1"/>
      <x:c r="V268" s="1"/>
      <x:c r="W268" s="1"/>
      <x:c r="X268" s="1"/>
      <x:c r="Y268" s="1"/>
      <x:c r="Z268" s="1"/>
    </x:row>
    <x:row r="269">
      <x:c r="A269" s="100" t="n">
        <x:f>A268+1</x:f>
        <x:v>264</x:v>
      </x:c>
      <x:c r="B269" s="171" t="n">
        <x:f>IF(A269&lt;='Your Mortgage'!$C$8*12,EDATE('Your Mortgage'!$C$9,A269-1),"")</x:f>
        <x:v>54240</x:v>
      </x:c>
      <x:c r="C269" s="172" t="n">
        <x:f>IF(B269="","",'Your Mortgage'!$C$11)</x:f>
        <x:v>2054.2210763521375</x:v>
      </x:c>
      <x:c r="D269" s="172" t="n">
        <x:f>IF(B269="","",'Your Mortgage'!$F$6+IF(A269='Your Mortgage'!$F$8,'Your Mortgage'!$F$7,0))</x:f>
        <x:v>250</x:v>
      </x:c>
      <x:c r="E269" s="173"/>
      <x:c r="F269" s="170"/>
      <x:c r="G269" s="170"/>
      <x:c r="H269" s="170"/>
      <x:c r="I269" s="1"/>
      <x:c r="J269" s="1"/>
      <x:c r="K269" s="1"/>
      <x:c r="L269" s="1"/>
      <x:c r="M269" s="1"/>
      <x:c r="N269" s="1"/>
      <x:c r="O269" s="1"/>
      <x:c r="P269" s="1"/>
      <x:c r="Q269" s="1"/>
      <x:c r="R269" s="1"/>
      <x:c r="S269" s="1"/>
      <x:c r="T269" s="1"/>
      <x:c r="U269" s="1"/>
      <x:c r="V269" s="1"/>
      <x:c r="W269" s="1"/>
      <x:c r="X269" s="1"/>
      <x:c r="Y269" s="1"/>
      <x:c r="Z269" s="1"/>
    </x:row>
    <x:row r="270">
      <x:c r="A270" s="100" t="n">
        <x:f>A269+1</x:f>
        <x:v>265</x:v>
      </x:c>
      <x:c r="B270" s="171" t="n">
        <x:f>IF(A270&lt;='Your Mortgage'!$C$8*12,EDATE('Your Mortgage'!$C$9,A270-1),"")</x:f>
        <x:v>54271</x:v>
      </x:c>
      <x:c r="C270" s="172" t="n">
        <x:f>IF(B270="","",'Your Mortgage'!$C$11)</x:f>
        <x:v>2054.2210763521375</x:v>
      </x:c>
      <x:c r="D270" s="172" t="n">
        <x:f>IF(B270="","",'Your Mortgage'!$F$6+IF(A270='Your Mortgage'!$F$8,'Your Mortgage'!$F$7,0))</x:f>
        <x:v>250</x:v>
      </x:c>
      <x:c r="E270" s="173"/>
      <x:c r="F270" s="170"/>
      <x:c r="G270" s="170"/>
      <x:c r="H270" s="170"/>
      <x:c r="I270" s="1"/>
      <x:c r="J270" s="1"/>
      <x:c r="K270" s="1"/>
      <x:c r="L270" s="1"/>
      <x:c r="M270" s="1"/>
      <x:c r="N270" s="1"/>
      <x:c r="O270" s="1"/>
      <x:c r="P270" s="1"/>
      <x:c r="Q270" s="1"/>
      <x:c r="R270" s="1"/>
      <x:c r="S270" s="1"/>
      <x:c r="T270" s="1"/>
      <x:c r="U270" s="1"/>
      <x:c r="V270" s="1"/>
      <x:c r="W270" s="1"/>
      <x:c r="X270" s="1"/>
      <x:c r="Y270" s="1"/>
      <x:c r="Z270" s="1"/>
    </x:row>
    <x:row r="271">
      <x:c r="A271" s="100" t="n">
        <x:f>A270+1</x:f>
        <x:v>266</x:v>
      </x:c>
      <x:c r="B271" s="171" t="n">
        <x:f>IF(A271&lt;='Your Mortgage'!$C$8*12,EDATE('Your Mortgage'!$C$9,A271-1),"")</x:f>
        <x:v>54302</x:v>
      </x:c>
      <x:c r="C271" s="172" t="n">
        <x:f>IF(B271="","",'Your Mortgage'!$C$11)</x:f>
        <x:v>2054.2210763521375</x:v>
      </x:c>
      <x:c r="D271" s="172" t="n">
        <x:f>IF(B271="","",'Your Mortgage'!$F$6+IF(A271='Your Mortgage'!$F$8,'Your Mortgage'!$F$7,0))</x:f>
        <x:v>250</x:v>
      </x:c>
      <x:c r="E271" s="173"/>
      <x:c r="F271" s="170"/>
      <x:c r="G271" s="170"/>
      <x:c r="H271" s="170"/>
      <x:c r="I271" s="1"/>
      <x:c r="J271" s="1"/>
      <x:c r="K271" s="1"/>
      <x:c r="L271" s="1"/>
      <x:c r="M271" s="1"/>
      <x:c r="N271" s="1"/>
      <x:c r="O271" s="1"/>
      <x:c r="P271" s="1"/>
      <x:c r="Q271" s="1"/>
      <x:c r="R271" s="1"/>
      <x:c r="S271" s="1"/>
      <x:c r="T271" s="1"/>
      <x:c r="U271" s="1"/>
      <x:c r="V271" s="1"/>
      <x:c r="W271" s="1"/>
      <x:c r="X271" s="1"/>
      <x:c r="Y271" s="1"/>
      <x:c r="Z271" s="1"/>
    </x:row>
    <x:row r="272">
      <x:c r="A272" s="100" t="n">
        <x:f>A271+1</x:f>
        <x:v>267</x:v>
      </x:c>
      <x:c r="B272" s="171" t="n">
        <x:f>IF(A272&lt;='Your Mortgage'!$C$8*12,EDATE('Your Mortgage'!$C$9,A272-1),"")</x:f>
        <x:v>54332</x:v>
      </x:c>
      <x:c r="C272" s="172" t="n">
        <x:f>IF(B272="","",'Your Mortgage'!$C$11)</x:f>
        <x:v>2054.2210763521375</x:v>
      </x:c>
      <x:c r="D272" s="172" t="n">
        <x:f>IF(B272="","",'Your Mortgage'!$F$6+IF(A272='Your Mortgage'!$F$8,'Your Mortgage'!$F$7,0))</x:f>
        <x:v>250</x:v>
      </x:c>
      <x:c r="E272" s="173"/>
      <x:c r="F272" s="170"/>
      <x:c r="G272" s="170"/>
      <x:c r="H272" s="170"/>
      <x:c r="I272" s="1"/>
      <x:c r="J272" s="1"/>
      <x:c r="K272" s="1"/>
      <x:c r="L272" s="1"/>
      <x:c r="M272" s="1"/>
      <x:c r="N272" s="1"/>
      <x:c r="O272" s="1"/>
      <x:c r="P272" s="1"/>
      <x:c r="Q272" s="1"/>
      <x:c r="R272" s="1"/>
      <x:c r="S272" s="1"/>
      <x:c r="T272" s="1"/>
      <x:c r="U272" s="1"/>
      <x:c r="V272" s="1"/>
      <x:c r="W272" s="1"/>
      <x:c r="X272" s="1"/>
      <x:c r="Y272" s="1"/>
      <x:c r="Z272" s="1"/>
    </x:row>
    <x:row r="273">
      <x:c r="A273" s="100" t="n">
        <x:f>A272+1</x:f>
        <x:v>268</x:v>
      </x:c>
      <x:c r="B273" s="171" t="n">
        <x:f>IF(A273&lt;='Your Mortgage'!$C$8*12,EDATE('Your Mortgage'!$C$9,A273-1),"")</x:f>
        <x:v>54363</x:v>
      </x:c>
      <x:c r="C273" s="172" t="n">
        <x:f>IF(B273="","",'Your Mortgage'!$C$11)</x:f>
        <x:v>2054.2210763521375</x:v>
      </x:c>
      <x:c r="D273" s="172" t="n">
        <x:f>IF(B273="","",'Your Mortgage'!$F$6+IF(A273='Your Mortgage'!$F$8,'Your Mortgage'!$F$7,0))</x:f>
        <x:v>250</x:v>
      </x:c>
      <x:c r="E273" s="173"/>
      <x:c r="F273" s="170"/>
      <x:c r="G273" s="170"/>
      <x:c r="H273" s="170"/>
      <x:c r="I273" s="1"/>
      <x:c r="J273" s="1"/>
      <x:c r="K273" s="1"/>
      <x:c r="L273" s="1"/>
      <x:c r="M273" s="1"/>
      <x:c r="N273" s="1"/>
      <x:c r="O273" s="1"/>
      <x:c r="P273" s="1"/>
      <x:c r="Q273" s="1"/>
      <x:c r="R273" s="1"/>
      <x:c r="S273" s="1"/>
      <x:c r="T273" s="1"/>
      <x:c r="U273" s="1"/>
      <x:c r="V273" s="1"/>
      <x:c r="W273" s="1"/>
      <x:c r="X273" s="1"/>
      <x:c r="Y273" s="1"/>
      <x:c r="Z273" s="1"/>
    </x:row>
    <x:row r="274">
      <x:c r="A274" s="100" t="n">
        <x:f>A273+1</x:f>
        <x:v>269</x:v>
      </x:c>
      <x:c r="B274" s="171" t="n">
        <x:f>IF(A274&lt;='Your Mortgage'!$C$8*12,EDATE('Your Mortgage'!$C$9,A274-1),"")</x:f>
        <x:v>54393</x:v>
      </x:c>
      <x:c r="C274" s="172" t="n">
        <x:f>IF(B274="","",'Your Mortgage'!$C$11)</x:f>
        <x:v>2054.2210763521375</x:v>
      </x:c>
      <x:c r="D274" s="172" t="n">
        <x:f>IF(B274="","",'Your Mortgage'!$F$6+IF(A274='Your Mortgage'!$F$8,'Your Mortgage'!$F$7,0))</x:f>
        <x:v>250</x:v>
      </x:c>
      <x:c r="E274" s="173"/>
      <x:c r="F274" s="170"/>
      <x:c r="G274" s="170"/>
      <x:c r="H274" s="170"/>
      <x:c r="I274" s="1"/>
      <x:c r="J274" s="1"/>
      <x:c r="K274" s="1"/>
      <x:c r="L274" s="1"/>
      <x:c r="M274" s="1"/>
      <x:c r="N274" s="1"/>
      <x:c r="O274" s="1"/>
      <x:c r="P274" s="1"/>
      <x:c r="Q274" s="1"/>
      <x:c r="R274" s="1"/>
      <x:c r="S274" s="1"/>
      <x:c r="T274" s="1"/>
      <x:c r="U274" s="1"/>
      <x:c r="V274" s="1"/>
      <x:c r="W274" s="1"/>
      <x:c r="X274" s="1"/>
      <x:c r="Y274" s="1"/>
      <x:c r="Z274" s="1"/>
    </x:row>
    <x:row r="275">
      <x:c r="A275" s="100" t="n">
        <x:f>A274+1</x:f>
        <x:v>270</x:v>
      </x:c>
      <x:c r="B275" s="171" t="n">
        <x:f>IF(A275&lt;='Your Mortgage'!$C$8*12,EDATE('Your Mortgage'!$C$9,A275-1),"")</x:f>
        <x:v>54424</x:v>
      </x:c>
      <x:c r="C275" s="172" t="n">
        <x:f>IF(B275="","",'Your Mortgage'!$C$11)</x:f>
        <x:v>2054.2210763521375</x:v>
      </x:c>
      <x:c r="D275" s="172" t="n">
        <x:f>IF(B275="","",'Your Mortgage'!$F$6+IF(A275='Your Mortgage'!$F$8,'Your Mortgage'!$F$7,0))</x:f>
        <x:v>250</x:v>
      </x:c>
      <x:c r="E275" s="173"/>
      <x:c r="F275" s="170"/>
      <x:c r="G275" s="170"/>
      <x:c r="H275" s="170"/>
      <x:c r="I275" s="1"/>
      <x:c r="J275" s="1"/>
      <x:c r="K275" s="1"/>
      <x:c r="L275" s="1"/>
      <x:c r="M275" s="1"/>
      <x:c r="N275" s="1"/>
      <x:c r="O275" s="1"/>
      <x:c r="P275" s="1"/>
      <x:c r="Q275" s="1"/>
      <x:c r="R275" s="1"/>
      <x:c r="S275" s="1"/>
      <x:c r="T275" s="1"/>
      <x:c r="U275" s="1"/>
      <x:c r="V275" s="1"/>
      <x:c r="W275" s="1"/>
      <x:c r="X275" s="1"/>
      <x:c r="Y275" s="1"/>
      <x:c r="Z275" s="1"/>
    </x:row>
    <x:row r="276">
      <x:c r="A276" s="100" t="n">
        <x:f>A275+1</x:f>
        <x:v>271</x:v>
      </x:c>
      <x:c r="B276" s="171" t="n">
        <x:f>IF(A276&lt;='Your Mortgage'!$C$8*12,EDATE('Your Mortgage'!$C$9,A276-1),"")</x:f>
        <x:v>54455</x:v>
      </x:c>
      <x:c r="C276" s="172" t="n">
        <x:f>IF(B276="","",'Your Mortgage'!$C$11)</x:f>
        <x:v>2054.2210763521375</x:v>
      </x:c>
      <x:c r="D276" s="172" t="n">
        <x:f>IF(B276="","",'Your Mortgage'!$F$6+IF(A276='Your Mortgage'!$F$8,'Your Mortgage'!$F$7,0))</x:f>
        <x:v>250</x:v>
      </x:c>
      <x:c r="E276" s="173"/>
      <x:c r="F276" s="170"/>
      <x:c r="G276" s="170"/>
      <x:c r="H276" s="170"/>
      <x:c r="I276" s="1"/>
      <x:c r="J276" s="1"/>
      <x:c r="K276" s="1"/>
      <x:c r="L276" s="1"/>
      <x:c r="M276" s="1"/>
      <x:c r="N276" s="1"/>
      <x:c r="O276" s="1"/>
      <x:c r="P276" s="1"/>
      <x:c r="Q276" s="1"/>
      <x:c r="R276" s="1"/>
      <x:c r="S276" s="1"/>
      <x:c r="T276" s="1"/>
      <x:c r="U276" s="1"/>
      <x:c r="V276" s="1"/>
      <x:c r="W276" s="1"/>
      <x:c r="X276" s="1"/>
      <x:c r="Y276" s="1"/>
      <x:c r="Z276" s="1"/>
    </x:row>
    <x:row r="277">
      <x:c r="A277" s="100" t="n">
        <x:f>A276+1</x:f>
        <x:v>272</x:v>
      </x:c>
      <x:c r="B277" s="171" t="n">
        <x:f>IF(A277&lt;='Your Mortgage'!$C$8*12,EDATE('Your Mortgage'!$C$9,A277-1),"")</x:f>
        <x:v>54483</x:v>
      </x:c>
      <x:c r="C277" s="172" t="n">
        <x:f>IF(B277="","",'Your Mortgage'!$C$11)</x:f>
        <x:v>2054.2210763521375</x:v>
      </x:c>
      <x:c r="D277" s="172" t="n">
        <x:f>IF(B277="","",'Your Mortgage'!$F$6+IF(A277='Your Mortgage'!$F$8,'Your Mortgage'!$F$7,0))</x:f>
        <x:v>250</x:v>
      </x:c>
      <x:c r="E277" s="173"/>
      <x:c r="F277" s="170"/>
      <x:c r="G277" s="170"/>
      <x:c r="H277" s="170"/>
      <x:c r="I277" s="1"/>
      <x:c r="J277" s="1"/>
      <x:c r="K277" s="1"/>
      <x:c r="L277" s="1"/>
      <x:c r="M277" s="1"/>
      <x:c r="N277" s="1"/>
      <x:c r="O277" s="1"/>
      <x:c r="P277" s="1"/>
      <x:c r="Q277" s="1"/>
      <x:c r="R277" s="1"/>
      <x:c r="S277" s="1"/>
      <x:c r="T277" s="1"/>
      <x:c r="U277" s="1"/>
      <x:c r="V277" s="1"/>
      <x:c r="W277" s="1"/>
      <x:c r="X277" s="1"/>
      <x:c r="Y277" s="1"/>
      <x:c r="Z277" s="1"/>
    </x:row>
    <x:row r="278">
      <x:c r="A278" s="100" t="n">
        <x:f>A277+1</x:f>
        <x:v>273</x:v>
      </x:c>
      <x:c r="B278" s="171" t="n">
        <x:f>IF(A278&lt;='Your Mortgage'!$C$8*12,EDATE('Your Mortgage'!$C$9,A278-1),"")</x:f>
        <x:v>54514</x:v>
      </x:c>
      <x:c r="C278" s="172" t="n">
        <x:f>IF(B278="","",'Your Mortgage'!$C$11)</x:f>
        <x:v>2054.2210763521375</x:v>
      </x:c>
      <x:c r="D278" s="172" t="n">
        <x:f>IF(B278="","",'Your Mortgage'!$F$6+IF(A278='Your Mortgage'!$F$8,'Your Mortgage'!$F$7,0))</x:f>
        <x:v>250</x:v>
      </x:c>
      <x:c r="E278" s="173"/>
      <x:c r="F278" s="170"/>
      <x:c r="G278" s="170"/>
      <x:c r="H278" s="170"/>
      <x:c r="I278" s="1"/>
      <x:c r="J278" s="1"/>
      <x:c r="K278" s="1"/>
      <x:c r="L278" s="1"/>
      <x:c r="M278" s="1"/>
      <x:c r="N278" s="1"/>
      <x:c r="O278" s="1"/>
      <x:c r="P278" s="1"/>
      <x:c r="Q278" s="1"/>
      <x:c r="R278" s="1"/>
      <x:c r="S278" s="1"/>
      <x:c r="T278" s="1"/>
      <x:c r="U278" s="1"/>
      <x:c r="V278" s="1"/>
      <x:c r="W278" s="1"/>
      <x:c r="X278" s="1"/>
      <x:c r="Y278" s="1"/>
      <x:c r="Z278" s="1"/>
    </x:row>
    <x:row r="279">
      <x:c r="A279" s="100" t="n">
        <x:f>A278+1</x:f>
        <x:v>274</x:v>
      </x:c>
      <x:c r="B279" s="171" t="n">
        <x:f>IF(A279&lt;='Your Mortgage'!$C$8*12,EDATE('Your Mortgage'!$C$9,A279-1),"")</x:f>
        <x:v>54544</x:v>
      </x:c>
      <x:c r="C279" s="172" t="n">
        <x:f>IF(B279="","",'Your Mortgage'!$C$11)</x:f>
        <x:v>2054.2210763521375</x:v>
      </x:c>
      <x:c r="D279" s="172" t="n">
        <x:f>IF(B279="","",'Your Mortgage'!$F$6+IF(A279='Your Mortgage'!$F$8,'Your Mortgage'!$F$7,0))</x:f>
        <x:v>250</x:v>
      </x:c>
      <x:c r="E279" s="173"/>
      <x:c r="F279" s="170"/>
      <x:c r="G279" s="170"/>
      <x:c r="H279" s="170"/>
      <x:c r="I279" s="1"/>
      <x:c r="J279" s="1"/>
      <x:c r="K279" s="1"/>
      <x:c r="L279" s="1"/>
      <x:c r="M279" s="1"/>
      <x:c r="N279" s="1"/>
      <x:c r="O279" s="1"/>
      <x:c r="P279" s="1"/>
      <x:c r="Q279" s="1"/>
      <x:c r="R279" s="1"/>
      <x:c r="S279" s="1"/>
      <x:c r="T279" s="1"/>
      <x:c r="U279" s="1"/>
      <x:c r="V279" s="1"/>
      <x:c r="W279" s="1"/>
      <x:c r="X279" s="1"/>
      <x:c r="Y279" s="1"/>
      <x:c r="Z279" s="1"/>
    </x:row>
    <x:row r="280">
      <x:c r="A280" s="100" t="n">
        <x:f>A279+1</x:f>
        <x:v>275</x:v>
      </x:c>
      <x:c r="B280" s="171" t="n">
        <x:f>IF(A280&lt;='Your Mortgage'!$C$8*12,EDATE('Your Mortgage'!$C$9,A280-1),"")</x:f>
        <x:v>54575</x:v>
      </x:c>
      <x:c r="C280" s="172" t="n">
        <x:f>IF(B280="","",'Your Mortgage'!$C$11)</x:f>
        <x:v>2054.2210763521375</x:v>
      </x:c>
      <x:c r="D280" s="172" t="n">
        <x:f>IF(B280="","",'Your Mortgage'!$F$6+IF(A280='Your Mortgage'!$F$8,'Your Mortgage'!$F$7,0))</x:f>
        <x:v>250</x:v>
      </x:c>
      <x:c r="E280" s="173"/>
      <x:c r="F280" s="170"/>
      <x:c r="G280" s="170"/>
      <x:c r="H280" s="170"/>
      <x:c r="I280" s="1"/>
      <x:c r="J280" s="1"/>
      <x:c r="K280" s="1"/>
      <x:c r="L280" s="1"/>
      <x:c r="M280" s="1"/>
      <x:c r="N280" s="1"/>
      <x:c r="O280" s="1"/>
      <x:c r="P280" s="1"/>
      <x:c r="Q280" s="1"/>
      <x:c r="R280" s="1"/>
      <x:c r="S280" s="1"/>
      <x:c r="T280" s="1"/>
      <x:c r="U280" s="1"/>
      <x:c r="V280" s="1"/>
      <x:c r="W280" s="1"/>
      <x:c r="X280" s="1"/>
      <x:c r="Y280" s="1"/>
      <x:c r="Z280" s="1"/>
    </x:row>
    <x:row r="281">
      <x:c r="A281" s="100" t="n">
        <x:f>A280+1</x:f>
        <x:v>276</x:v>
      </x:c>
      <x:c r="B281" s="171" t="n">
        <x:f>IF(A281&lt;='Your Mortgage'!$C$8*12,EDATE('Your Mortgage'!$C$9,A281-1),"")</x:f>
        <x:v>54605</x:v>
      </x:c>
      <x:c r="C281" s="172" t="n">
        <x:f>IF(B281="","",'Your Mortgage'!$C$11)</x:f>
        <x:v>2054.2210763521375</x:v>
      </x:c>
      <x:c r="D281" s="172" t="n">
        <x:f>IF(B281="","",'Your Mortgage'!$F$6+IF(A281='Your Mortgage'!$F$8,'Your Mortgage'!$F$7,0))</x:f>
        <x:v>250</x:v>
      </x:c>
      <x:c r="E281" s="173"/>
      <x:c r="F281" s="170"/>
      <x:c r="G281" s="170"/>
      <x:c r="H281" s="170"/>
      <x:c r="I281" s="1"/>
      <x:c r="J281" s="1"/>
      <x:c r="K281" s="1"/>
      <x:c r="L281" s="1"/>
      <x:c r="M281" s="1"/>
      <x:c r="N281" s="1"/>
      <x:c r="O281" s="1"/>
      <x:c r="P281" s="1"/>
      <x:c r="Q281" s="1"/>
      <x:c r="R281" s="1"/>
      <x:c r="S281" s="1"/>
      <x:c r="T281" s="1"/>
      <x:c r="U281" s="1"/>
      <x:c r="V281" s="1"/>
      <x:c r="W281" s="1"/>
      <x:c r="X281" s="1"/>
      <x:c r="Y281" s="1"/>
      <x:c r="Z281" s="1"/>
    </x:row>
    <x:row r="282">
      <x:c r="A282" s="100" t="n">
        <x:f>A281+1</x:f>
        <x:v>277</x:v>
      </x:c>
      <x:c r="B282" s="171" t="n">
        <x:f>IF(A282&lt;='Your Mortgage'!$C$8*12,EDATE('Your Mortgage'!$C$9,A282-1),"")</x:f>
        <x:v>54636</x:v>
      </x:c>
      <x:c r="C282" s="172" t="n">
        <x:f>IF(B282="","",'Your Mortgage'!$C$11)</x:f>
        <x:v>2054.2210763521375</x:v>
      </x:c>
      <x:c r="D282" s="172" t="n">
        <x:f>IF(B282="","",'Your Mortgage'!$F$6+IF(A282='Your Mortgage'!$F$8,'Your Mortgage'!$F$7,0))</x:f>
        <x:v>250</x:v>
      </x:c>
      <x:c r="E282" s="173"/>
      <x:c r="F282" s="170"/>
      <x:c r="G282" s="170"/>
      <x:c r="H282" s="170"/>
      <x:c r="I282" s="1"/>
      <x:c r="J282" s="1"/>
      <x:c r="K282" s="1"/>
      <x:c r="L282" s="1"/>
      <x:c r="M282" s="1"/>
      <x:c r="N282" s="1"/>
      <x:c r="O282" s="1"/>
      <x:c r="P282" s="1"/>
      <x:c r="Q282" s="1"/>
      <x:c r="R282" s="1"/>
      <x:c r="S282" s="1"/>
      <x:c r="T282" s="1"/>
      <x:c r="U282" s="1"/>
      <x:c r="V282" s="1"/>
      <x:c r="W282" s="1"/>
      <x:c r="X282" s="1"/>
      <x:c r="Y282" s="1"/>
      <x:c r="Z282" s="1"/>
    </x:row>
    <x:row r="283">
      <x:c r="A283" s="100" t="n">
        <x:f>A282+1</x:f>
        <x:v>278</x:v>
      </x:c>
      <x:c r="B283" s="171" t="n">
        <x:f>IF(A283&lt;='Your Mortgage'!$C$8*12,EDATE('Your Mortgage'!$C$9,A283-1),"")</x:f>
        <x:v>54667</x:v>
      </x:c>
      <x:c r="C283" s="172" t="n">
        <x:f>IF(B283="","",'Your Mortgage'!$C$11)</x:f>
        <x:v>2054.2210763521375</x:v>
      </x:c>
      <x:c r="D283" s="172" t="n">
        <x:f>IF(B283="","",'Your Mortgage'!$F$6+IF(A283='Your Mortgage'!$F$8,'Your Mortgage'!$F$7,0))</x:f>
        <x:v>250</x:v>
      </x:c>
      <x:c r="E283" s="173"/>
      <x:c r="F283" s="170"/>
      <x:c r="G283" s="170"/>
      <x:c r="H283" s="170"/>
      <x:c r="I283" s="1"/>
      <x:c r="J283" s="1"/>
      <x:c r="K283" s="1"/>
      <x:c r="L283" s="1"/>
      <x:c r="M283" s="1"/>
      <x:c r="N283" s="1"/>
      <x:c r="O283" s="1"/>
      <x:c r="P283" s="1"/>
      <x:c r="Q283" s="1"/>
      <x:c r="R283" s="1"/>
      <x:c r="S283" s="1"/>
      <x:c r="T283" s="1"/>
      <x:c r="U283" s="1"/>
      <x:c r="V283" s="1"/>
      <x:c r="W283" s="1"/>
      <x:c r="X283" s="1"/>
      <x:c r="Y283" s="1"/>
      <x:c r="Z283" s="1"/>
    </x:row>
    <x:row r="284">
      <x:c r="A284" s="100" t="n">
        <x:f>A283+1</x:f>
        <x:v>279</x:v>
      </x:c>
      <x:c r="B284" s="171" t="n">
        <x:f>IF(A284&lt;='Your Mortgage'!$C$8*12,EDATE('Your Mortgage'!$C$9,A284-1),"")</x:f>
        <x:v>54697</x:v>
      </x:c>
      <x:c r="C284" s="172" t="n">
        <x:f>IF(B284="","",'Your Mortgage'!$C$11)</x:f>
        <x:v>2054.2210763521375</x:v>
      </x:c>
      <x:c r="D284" s="172" t="n">
        <x:f>IF(B284="","",'Your Mortgage'!$F$6+IF(A284='Your Mortgage'!$F$8,'Your Mortgage'!$F$7,0))</x:f>
        <x:v>250</x:v>
      </x:c>
      <x:c r="E284" s="173"/>
      <x:c r="F284" s="170"/>
      <x:c r="G284" s="170"/>
      <x:c r="H284" s="170"/>
      <x:c r="I284" s="1"/>
      <x:c r="J284" s="1"/>
      <x:c r="K284" s="1"/>
      <x:c r="L284" s="1"/>
      <x:c r="M284" s="1"/>
      <x:c r="N284" s="1"/>
      <x:c r="O284" s="1"/>
      <x:c r="P284" s="1"/>
      <x:c r="Q284" s="1"/>
      <x:c r="R284" s="1"/>
      <x:c r="S284" s="1"/>
      <x:c r="T284" s="1"/>
      <x:c r="U284" s="1"/>
      <x:c r="V284" s="1"/>
      <x:c r="W284" s="1"/>
      <x:c r="X284" s="1"/>
      <x:c r="Y284" s="1"/>
      <x:c r="Z284" s="1"/>
    </x:row>
    <x:row r="285">
      <x:c r="A285" s="100" t="n">
        <x:f>A284+1</x:f>
        <x:v>280</x:v>
      </x:c>
      <x:c r="B285" s="171" t="n">
        <x:f>IF(A285&lt;='Your Mortgage'!$C$8*12,EDATE('Your Mortgage'!$C$9,A285-1),"")</x:f>
        <x:v>54728</x:v>
      </x:c>
      <x:c r="C285" s="172" t="n">
        <x:f>IF(B285="","",'Your Mortgage'!$C$11)</x:f>
        <x:v>2054.2210763521375</x:v>
      </x:c>
      <x:c r="D285" s="172" t="n">
        <x:f>IF(B285="","",'Your Mortgage'!$F$6+IF(A285='Your Mortgage'!$F$8,'Your Mortgage'!$F$7,0))</x:f>
        <x:v>250</x:v>
      </x:c>
      <x:c r="E285" s="173"/>
      <x:c r="F285" s="170"/>
      <x:c r="G285" s="170"/>
      <x:c r="H285" s="170"/>
      <x:c r="I285" s="1"/>
      <x:c r="J285" s="1"/>
      <x:c r="K285" s="1"/>
      <x:c r="L285" s="1"/>
      <x:c r="M285" s="1"/>
      <x:c r="N285" s="1"/>
      <x:c r="O285" s="1"/>
      <x:c r="P285" s="1"/>
      <x:c r="Q285" s="1"/>
      <x:c r="R285" s="1"/>
      <x:c r="S285" s="1"/>
      <x:c r="T285" s="1"/>
      <x:c r="U285" s="1"/>
      <x:c r="V285" s="1"/>
      <x:c r="W285" s="1"/>
      <x:c r="X285" s="1"/>
      <x:c r="Y285" s="1"/>
      <x:c r="Z285" s="1"/>
    </x:row>
    <x:row r="286">
      <x:c r="A286" s="100" t="n">
        <x:f>A285+1</x:f>
        <x:v>281</x:v>
      </x:c>
      <x:c r="B286" s="171" t="n">
        <x:f>IF(A286&lt;='Your Mortgage'!$C$8*12,EDATE('Your Mortgage'!$C$9,A286-1),"")</x:f>
        <x:v>54758</x:v>
      </x:c>
      <x:c r="C286" s="172" t="n">
        <x:f>IF(B286="","",'Your Mortgage'!$C$11)</x:f>
        <x:v>2054.2210763521375</x:v>
      </x:c>
      <x:c r="D286" s="172" t="n">
        <x:f>IF(B286="","",'Your Mortgage'!$F$6+IF(A286='Your Mortgage'!$F$8,'Your Mortgage'!$F$7,0))</x:f>
        <x:v>250</x:v>
      </x:c>
      <x:c r="E286" s="173"/>
      <x:c r="F286" s="170"/>
      <x:c r="G286" s="170"/>
      <x:c r="H286" s="170"/>
      <x:c r="I286" s="1"/>
      <x:c r="J286" s="1"/>
      <x:c r="K286" s="1"/>
      <x:c r="L286" s="1"/>
      <x:c r="M286" s="1"/>
      <x:c r="N286" s="1"/>
      <x:c r="O286" s="1"/>
      <x:c r="P286" s="1"/>
      <x:c r="Q286" s="1"/>
      <x:c r="R286" s="1"/>
      <x:c r="S286" s="1"/>
      <x:c r="T286" s="1"/>
      <x:c r="U286" s="1"/>
      <x:c r="V286" s="1"/>
      <x:c r="W286" s="1"/>
      <x:c r="X286" s="1"/>
      <x:c r="Y286" s="1"/>
      <x:c r="Z286" s="1"/>
    </x:row>
    <x:row r="287">
      <x:c r="A287" s="100" t="n">
        <x:f>A286+1</x:f>
        <x:v>282</x:v>
      </x:c>
      <x:c r="B287" s="171" t="n">
        <x:f>IF(A287&lt;='Your Mortgage'!$C$8*12,EDATE('Your Mortgage'!$C$9,A287-1),"")</x:f>
        <x:v>54789</x:v>
      </x:c>
      <x:c r="C287" s="172" t="n">
        <x:f>IF(B287="","",'Your Mortgage'!$C$11)</x:f>
        <x:v>2054.2210763521375</x:v>
      </x:c>
      <x:c r="D287" s="172" t="n">
        <x:f>IF(B287="","",'Your Mortgage'!$F$6+IF(A287='Your Mortgage'!$F$8,'Your Mortgage'!$F$7,0))</x:f>
        <x:v>250</x:v>
      </x:c>
      <x:c r="E287" s="173"/>
      <x:c r="F287" s="170"/>
      <x:c r="G287" s="170"/>
      <x:c r="H287" s="170"/>
      <x:c r="I287" s="1"/>
      <x:c r="J287" s="1"/>
      <x:c r="K287" s="1"/>
      <x:c r="L287" s="1"/>
      <x:c r="M287" s="1"/>
      <x:c r="N287" s="1"/>
      <x:c r="O287" s="1"/>
      <x:c r="P287" s="1"/>
      <x:c r="Q287" s="1"/>
      <x:c r="R287" s="1"/>
      <x:c r="S287" s="1"/>
      <x:c r="T287" s="1"/>
      <x:c r="U287" s="1"/>
      <x:c r="V287" s="1"/>
      <x:c r="W287" s="1"/>
      <x:c r="X287" s="1"/>
      <x:c r="Y287" s="1"/>
      <x:c r="Z287" s="1"/>
    </x:row>
    <x:row r="288">
      <x:c r="A288" s="100" t="n">
        <x:f>A287+1</x:f>
        <x:v>283</x:v>
      </x:c>
      <x:c r="B288" s="171" t="n">
        <x:f>IF(A288&lt;='Your Mortgage'!$C$8*12,EDATE('Your Mortgage'!$C$9,A288-1),"")</x:f>
        <x:v>54820</x:v>
      </x:c>
      <x:c r="C288" s="172" t="n">
        <x:f>IF(B288="","",'Your Mortgage'!$C$11)</x:f>
        <x:v>2054.2210763521375</x:v>
      </x:c>
      <x:c r="D288" s="172" t="n">
        <x:f>IF(B288="","",'Your Mortgage'!$F$6+IF(A288='Your Mortgage'!$F$8,'Your Mortgage'!$F$7,0))</x:f>
        <x:v>250</x:v>
      </x:c>
      <x:c r="E288" s="173"/>
      <x:c r="F288" s="170"/>
      <x:c r="G288" s="170"/>
      <x:c r="H288" s="170"/>
      <x:c r="I288" s="1"/>
      <x:c r="J288" s="1"/>
      <x:c r="K288" s="1"/>
      <x:c r="L288" s="1"/>
      <x:c r="M288" s="1"/>
      <x:c r="N288" s="1"/>
      <x:c r="O288" s="1"/>
      <x:c r="P288" s="1"/>
      <x:c r="Q288" s="1"/>
      <x:c r="R288" s="1"/>
      <x:c r="S288" s="1"/>
      <x:c r="T288" s="1"/>
      <x:c r="U288" s="1"/>
      <x:c r="V288" s="1"/>
      <x:c r="W288" s="1"/>
      <x:c r="X288" s="1"/>
      <x:c r="Y288" s="1"/>
      <x:c r="Z288" s="1"/>
    </x:row>
    <x:row r="289">
      <x:c r="A289" s="100" t="n">
        <x:f>A288+1</x:f>
        <x:v>284</x:v>
      </x:c>
      <x:c r="B289" s="171" t="n">
        <x:f>IF(A289&lt;='Your Mortgage'!$C$8*12,EDATE('Your Mortgage'!$C$9,A289-1),"")</x:f>
        <x:v>54848</x:v>
      </x:c>
      <x:c r="C289" s="172" t="n">
        <x:f>IF(B289="","",'Your Mortgage'!$C$11)</x:f>
        <x:v>2054.2210763521375</x:v>
      </x:c>
      <x:c r="D289" s="172" t="n">
        <x:f>IF(B289="","",'Your Mortgage'!$F$6+IF(A289='Your Mortgage'!$F$8,'Your Mortgage'!$F$7,0))</x:f>
        <x:v>250</x:v>
      </x:c>
      <x:c r="E289" s="173"/>
      <x:c r="F289" s="170"/>
      <x:c r="G289" s="170"/>
      <x:c r="H289" s="170"/>
      <x:c r="I289" s="1"/>
      <x:c r="J289" s="1"/>
      <x:c r="K289" s="1"/>
      <x:c r="L289" s="1"/>
      <x:c r="M289" s="1"/>
      <x:c r="N289" s="1"/>
      <x:c r="O289" s="1"/>
      <x:c r="P289" s="1"/>
      <x:c r="Q289" s="1"/>
      <x:c r="R289" s="1"/>
      <x:c r="S289" s="1"/>
      <x:c r="T289" s="1"/>
      <x:c r="U289" s="1"/>
      <x:c r="V289" s="1"/>
      <x:c r="W289" s="1"/>
      <x:c r="X289" s="1"/>
      <x:c r="Y289" s="1"/>
      <x:c r="Z289" s="1"/>
    </x:row>
    <x:row r="290">
      <x:c r="A290" s="100" t="n">
        <x:f>A289+1</x:f>
        <x:v>285</x:v>
      </x:c>
      <x:c r="B290" s="171" t="n">
        <x:f>IF(A290&lt;='Your Mortgage'!$C$8*12,EDATE('Your Mortgage'!$C$9,A290-1),"")</x:f>
        <x:v>54879</x:v>
      </x:c>
      <x:c r="C290" s="172" t="n">
        <x:f>IF(B290="","",'Your Mortgage'!$C$11)</x:f>
        <x:v>2054.2210763521375</x:v>
      </x:c>
      <x:c r="D290" s="172" t="n">
        <x:f>IF(B290="","",'Your Mortgage'!$F$6+IF(A290='Your Mortgage'!$F$8,'Your Mortgage'!$F$7,0))</x:f>
        <x:v>250</x:v>
      </x:c>
      <x:c r="E290" s="173"/>
      <x:c r="F290" s="170"/>
      <x:c r="G290" s="170"/>
      <x:c r="H290" s="170"/>
      <x:c r="I290" s="1"/>
      <x:c r="J290" s="1"/>
      <x:c r="K290" s="1"/>
      <x:c r="L290" s="1"/>
      <x:c r="M290" s="1"/>
      <x:c r="N290" s="1"/>
      <x:c r="O290" s="1"/>
      <x:c r="P290" s="1"/>
      <x:c r="Q290" s="1"/>
      <x:c r="R290" s="1"/>
      <x:c r="S290" s="1"/>
      <x:c r="T290" s="1"/>
      <x:c r="U290" s="1"/>
      <x:c r="V290" s="1"/>
      <x:c r="W290" s="1"/>
      <x:c r="X290" s="1"/>
      <x:c r="Y290" s="1"/>
      <x:c r="Z290" s="1"/>
    </x:row>
    <x:row r="291">
      <x:c r="A291" s="100" t="n">
        <x:f>A290+1</x:f>
        <x:v>286</x:v>
      </x:c>
      <x:c r="B291" s="171" t="n">
        <x:f>IF(A291&lt;='Your Mortgage'!$C$8*12,EDATE('Your Mortgage'!$C$9,A291-1),"")</x:f>
        <x:v>54909</x:v>
      </x:c>
      <x:c r="C291" s="172" t="n">
        <x:f>IF(B291="","",'Your Mortgage'!$C$11)</x:f>
        <x:v>2054.2210763521375</x:v>
      </x:c>
      <x:c r="D291" s="172" t="n">
        <x:f>IF(B291="","",'Your Mortgage'!$F$6+IF(A291='Your Mortgage'!$F$8,'Your Mortgage'!$F$7,0))</x:f>
        <x:v>250</x:v>
      </x:c>
      <x:c r="E291" s="173"/>
      <x:c r="F291" s="170"/>
      <x:c r="G291" s="170"/>
      <x:c r="H291" s="170"/>
      <x:c r="I291" s="1"/>
      <x:c r="J291" s="1"/>
      <x:c r="K291" s="1"/>
      <x:c r="L291" s="1"/>
      <x:c r="M291" s="1"/>
      <x:c r="N291" s="1"/>
      <x:c r="O291" s="1"/>
      <x:c r="P291" s="1"/>
      <x:c r="Q291" s="1"/>
      <x:c r="R291" s="1"/>
      <x:c r="S291" s="1"/>
      <x:c r="T291" s="1"/>
      <x:c r="U291" s="1"/>
      <x:c r="V291" s="1"/>
      <x:c r="W291" s="1"/>
      <x:c r="X291" s="1"/>
      <x:c r="Y291" s="1"/>
      <x:c r="Z291" s="1"/>
    </x:row>
    <x:row r="292">
      <x:c r="A292" s="100" t="n">
        <x:f>A291+1</x:f>
        <x:v>287</x:v>
      </x:c>
      <x:c r="B292" s="171" t="n">
        <x:f>IF(A292&lt;='Your Mortgage'!$C$8*12,EDATE('Your Mortgage'!$C$9,A292-1),"")</x:f>
        <x:v>54940</x:v>
      </x:c>
      <x:c r="C292" s="172" t="n">
        <x:f>IF(B292="","",'Your Mortgage'!$C$11)</x:f>
        <x:v>2054.2210763521375</x:v>
      </x:c>
      <x:c r="D292" s="172" t="n">
        <x:f>IF(B292="","",'Your Mortgage'!$F$6+IF(A292='Your Mortgage'!$F$8,'Your Mortgage'!$F$7,0))</x:f>
        <x:v>250</x:v>
      </x:c>
      <x:c r="E292" s="173"/>
      <x:c r="F292" s="170"/>
      <x:c r="G292" s="170"/>
      <x:c r="H292" s="170"/>
      <x:c r="I292" s="1"/>
      <x:c r="J292" s="1"/>
      <x:c r="K292" s="1"/>
      <x:c r="L292" s="1"/>
      <x:c r="M292" s="1"/>
      <x:c r="N292" s="1"/>
      <x:c r="O292" s="1"/>
      <x:c r="P292" s="1"/>
      <x:c r="Q292" s="1"/>
      <x:c r="R292" s="1"/>
      <x:c r="S292" s="1"/>
      <x:c r="T292" s="1"/>
      <x:c r="U292" s="1"/>
      <x:c r="V292" s="1"/>
      <x:c r="W292" s="1"/>
      <x:c r="X292" s="1"/>
      <x:c r="Y292" s="1"/>
      <x:c r="Z292" s="1"/>
    </x:row>
    <x:row r="293">
      <x:c r="A293" s="100" t="n">
        <x:f>A292+1</x:f>
        <x:v>288</x:v>
      </x:c>
      <x:c r="B293" s="171" t="n">
        <x:f>IF(A293&lt;='Your Mortgage'!$C$8*12,EDATE('Your Mortgage'!$C$9,A293-1),"")</x:f>
        <x:v>54970</x:v>
      </x:c>
      <x:c r="C293" s="172" t="n">
        <x:f>IF(B293="","",'Your Mortgage'!$C$11)</x:f>
        <x:v>2054.2210763521375</x:v>
      </x:c>
      <x:c r="D293" s="172" t="n">
        <x:f>IF(B293="","",'Your Mortgage'!$F$6+IF(A293='Your Mortgage'!$F$8,'Your Mortgage'!$F$7,0))</x:f>
        <x:v>250</x:v>
      </x:c>
      <x:c r="E293" s="173"/>
      <x:c r="F293" s="170"/>
      <x:c r="G293" s="170"/>
      <x:c r="H293" s="170"/>
      <x:c r="I293" s="1"/>
      <x:c r="J293" s="1"/>
      <x:c r="K293" s="1"/>
      <x:c r="L293" s="1"/>
      <x:c r="M293" s="1"/>
      <x:c r="N293" s="1"/>
      <x:c r="O293" s="1"/>
      <x:c r="P293" s="1"/>
      <x:c r="Q293" s="1"/>
      <x:c r="R293" s="1"/>
      <x:c r="S293" s="1"/>
      <x:c r="T293" s="1"/>
      <x:c r="U293" s="1"/>
      <x:c r="V293" s="1"/>
      <x:c r="W293" s="1"/>
      <x:c r="X293" s="1"/>
      <x:c r="Y293" s="1"/>
      <x:c r="Z293" s="1"/>
    </x:row>
    <x:row r="294">
      <x:c r="A294" s="100" t="n">
        <x:f>A293+1</x:f>
        <x:v>289</x:v>
      </x:c>
      <x:c r="B294" s="171" t="n">
        <x:f>IF(A294&lt;='Your Mortgage'!$C$8*12,EDATE('Your Mortgage'!$C$9,A294-1),"")</x:f>
        <x:v>55001</x:v>
      </x:c>
      <x:c r="C294" s="172" t="n">
        <x:f>IF(B294="","",'Your Mortgage'!$C$11)</x:f>
        <x:v>2054.2210763521375</x:v>
      </x:c>
      <x:c r="D294" s="172" t="n">
        <x:f>IF(B294="","",'Your Mortgage'!$F$6+IF(A294='Your Mortgage'!$F$8,'Your Mortgage'!$F$7,0))</x:f>
        <x:v>250</x:v>
      </x:c>
      <x:c r="E294" s="173"/>
      <x:c r="F294" s="170"/>
      <x:c r="G294" s="170"/>
      <x:c r="H294" s="170"/>
      <x:c r="I294" s="1"/>
      <x:c r="J294" s="1"/>
      <x:c r="K294" s="1"/>
      <x:c r="L294" s="1"/>
      <x:c r="M294" s="1"/>
      <x:c r="N294" s="1"/>
      <x:c r="O294" s="1"/>
      <x:c r="P294" s="1"/>
      <x:c r="Q294" s="1"/>
      <x:c r="R294" s="1"/>
      <x:c r="S294" s="1"/>
      <x:c r="T294" s="1"/>
      <x:c r="U294" s="1"/>
      <x:c r="V294" s="1"/>
      <x:c r="W294" s="1"/>
      <x:c r="X294" s="1"/>
      <x:c r="Y294" s="1"/>
      <x:c r="Z294" s="1"/>
    </x:row>
    <x:row r="295">
      <x:c r="A295" s="100" t="n">
        <x:f>A294+1</x:f>
        <x:v>290</x:v>
      </x:c>
      <x:c r="B295" s="171" t="n">
        <x:f>IF(A295&lt;='Your Mortgage'!$C$8*12,EDATE('Your Mortgage'!$C$9,A295-1),"")</x:f>
        <x:v>55032</x:v>
      </x:c>
      <x:c r="C295" s="172" t="n">
        <x:f>IF(B295="","",'Your Mortgage'!$C$11)</x:f>
        <x:v>2054.2210763521375</x:v>
      </x:c>
      <x:c r="D295" s="172" t="n">
        <x:f>IF(B295="","",'Your Mortgage'!$F$6+IF(A295='Your Mortgage'!$F$8,'Your Mortgage'!$F$7,0))</x:f>
        <x:v>250</x:v>
      </x:c>
      <x:c r="E295" s="173"/>
      <x:c r="F295" s="170"/>
      <x:c r="G295" s="170"/>
      <x:c r="H295" s="170"/>
      <x:c r="I295" s="1"/>
      <x:c r="J295" s="1"/>
      <x:c r="K295" s="1"/>
      <x:c r="L295" s="1"/>
      <x:c r="M295" s="1"/>
      <x:c r="N295" s="1"/>
      <x:c r="O295" s="1"/>
      <x:c r="P295" s="1"/>
      <x:c r="Q295" s="1"/>
      <x:c r="R295" s="1"/>
      <x:c r="S295" s="1"/>
      <x:c r="T295" s="1"/>
      <x:c r="U295" s="1"/>
      <x:c r="V295" s="1"/>
      <x:c r="W295" s="1"/>
      <x:c r="X295" s="1"/>
      <x:c r="Y295" s="1"/>
      <x:c r="Z295" s="1"/>
    </x:row>
    <x:row r="296">
      <x:c r="A296" s="100" t="n">
        <x:f>A295+1</x:f>
        <x:v>291</x:v>
      </x:c>
      <x:c r="B296" s="171" t="n">
        <x:f>IF(A296&lt;='Your Mortgage'!$C$8*12,EDATE('Your Mortgage'!$C$9,A296-1),"")</x:f>
        <x:v>55062</x:v>
      </x:c>
      <x:c r="C296" s="172" t="n">
        <x:f>IF(B296="","",'Your Mortgage'!$C$11)</x:f>
        <x:v>2054.2210763521375</x:v>
      </x:c>
      <x:c r="D296" s="172" t="n">
        <x:f>IF(B296="","",'Your Mortgage'!$F$6+IF(A296='Your Mortgage'!$F$8,'Your Mortgage'!$F$7,0))</x:f>
        <x:v>250</x:v>
      </x:c>
      <x:c r="E296" s="173"/>
      <x:c r="F296" s="170"/>
      <x:c r="G296" s="170"/>
      <x:c r="H296" s="170"/>
      <x:c r="I296" s="1"/>
      <x:c r="J296" s="1"/>
      <x:c r="K296" s="1"/>
      <x:c r="L296" s="1"/>
      <x:c r="M296" s="1"/>
      <x:c r="N296" s="1"/>
      <x:c r="O296" s="1"/>
      <x:c r="P296" s="1"/>
      <x:c r="Q296" s="1"/>
      <x:c r="R296" s="1"/>
      <x:c r="S296" s="1"/>
      <x:c r="T296" s="1"/>
      <x:c r="U296" s="1"/>
      <x:c r="V296" s="1"/>
      <x:c r="W296" s="1"/>
      <x:c r="X296" s="1"/>
      <x:c r="Y296" s="1"/>
      <x:c r="Z296" s="1"/>
    </x:row>
    <x:row r="297">
      <x:c r="A297" s="100" t="n">
        <x:f>A296+1</x:f>
        <x:v>292</x:v>
      </x:c>
      <x:c r="B297" s="171" t="n">
        <x:f>IF(A297&lt;='Your Mortgage'!$C$8*12,EDATE('Your Mortgage'!$C$9,A297-1),"")</x:f>
        <x:v>55093</x:v>
      </x:c>
      <x:c r="C297" s="172" t="n">
        <x:f>IF(B297="","",'Your Mortgage'!$C$11)</x:f>
        <x:v>2054.2210763521375</x:v>
      </x:c>
      <x:c r="D297" s="172" t="n">
        <x:f>IF(B297="","",'Your Mortgage'!$F$6+IF(A297='Your Mortgage'!$F$8,'Your Mortgage'!$F$7,0))</x:f>
        <x:v>250</x:v>
      </x:c>
      <x:c r="E297" s="173"/>
      <x:c r="F297" s="170"/>
      <x:c r="G297" s="170"/>
      <x:c r="H297" s="170"/>
      <x:c r="I297" s="1"/>
      <x:c r="J297" s="1"/>
      <x:c r="K297" s="1"/>
      <x:c r="L297" s="1"/>
      <x:c r="M297" s="1"/>
      <x:c r="N297" s="1"/>
      <x:c r="O297" s="1"/>
      <x:c r="P297" s="1"/>
      <x:c r="Q297" s="1"/>
      <x:c r="R297" s="1"/>
      <x:c r="S297" s="1"/>
      <x:c r="T297" s="1"/>
      <x:c r="U297" s="1"/>
      <x:c r="V297" s="1"/>
      <x:c r="W297" s="1"/>
      <x:c r="X297" s="1"/>
      <x:c r="Y297" s="1"/>
      <x:c r="Z297" s="1"/>
    </x:row>
    <x:row r="298">
      <x:c r="A298" s="100" t="n">
        <x:f>A297+1</x:f>
        <x:v>293</x:v>
      </x:c>
      <x:c r="B298" s="171" t="n">
        <x:f>IF(A298&lt;='Your Mortgage'!$C$8*12,EDATE('Your Mortgage'!$C$9,A298-1),"")</x:f>
        <x:v>55123</x:v>
      </x:c>
      <x:c r="C298" s="172" t="n">
        <x:f>IF(B298="","",'Your Mortgage'!$C$11)</x:f>
        <x:v>2054.2210763521375</x:v>
      </x:c>
      <x:c r="D298" s="172" t="n">
        <x:f>IF(B298="","",'Your Mortgage'!$F$6+IF(A298='Your Mortgage'!$F$8,'Your Mortgage'!$F$7,0))</x:f>
        <x:v>250</x:v>
      </x:c>
      <x:c r="E298" s="173"/>
      <x:c r="F298" s="170"/>
      <x:c r="G298" s="170"/>
      <x:c r="H298" s="170"/>
      <x:c r="I298" s="1"/>
      <x:c r="J298" s="1"/>
      <x:c r="K298" s="1"/>
      <x:c r="L298" s="1"/>
      <x:c r="M298" s="1"/>
      <x:c r="N298" s="1"/>
      <x:c r="O298" s="1"/>
      <x:c r="P298" s="1"/>
      <x:c r="Q298" s="1"/>
      <x:c r="R298" s="1"/>
      <x:c r="S298" s="1"/>
      <x:c r="T298" s="1"/>
      <x:c r="U298" s="1"/>
      <x:c r="V298" s="1"/>
      <x:c r="W298" s="1"/>
      <x:c r="X298" s="1"/>
      <x:c r="Y298" s="1"/>
      <x:c r="Z298" s="1"/>
    </x:row>
    <x:row r="299">
      <x:c r="A299" s="100" t="n">
        <x:f>A298+1</x:f>
        <x:v>294</x:v>
      </x:c>
      <x:c r="B299" s="171" t="n">
        <x:f>IF(A299&lt;='Your Mortgage'!$C$8*12,EDATE('Your Mortgage'!$C$9,A299-1),"")</x:f>
        <x:v>55154</x:v>
      </x:c>
      <x:c r="C299" s="172" t="n">
        <x:f>IF(B299="","",'Your Mortgage'!$C$11)</x:f>
        <x:v>2054.2210763521375</x:v>
      </x:c>
      <x:c r="D299" s="172" t="n">
        <x:f>IF(B299="","",'Your Mortgage'!$F$6+IF(A299='Your Mortgage'!$F$8,'Your Mortgage'!$F$7,0))</x:f>
        <x:v>250</x:v>
      </x:c>
      <x:c r="E299" s="173"/>
      <x:c r="F299" s="170"/>
      <x:c r="G299" s="170"/>
      <x:c r="H299" s="170"/>
      <x:c r="I299" s="1"/>
      <x:c r="J299" s="1"/>
      <x:c r="K299" s="1"/>
      <x:c r="L299" s="1"/>
      <x:c r="M299" s="1"/>
      <x:c r="N299" s="1"/>
      <x:c r="O299" s="1"/>
      <x:c r="P299" s="1"/>
      <x:c r="Q299" s="1"/>
      <x:c r="R299" s="1"/>
      <x:c r="S299" s="1"/>
      <x:c r="T299" s="1"/>
      <x:c r="U299" s="1"/>
      <x:c r="V299" s="1"/>
      <x:c r="W299" s="1"/>
      <x:c r="X299" s="1"/>
      <x:c r="Y299" s="1"/>
      <x:c r="Z299" s="1"/>
    </x:row>
    <x:row r="300">
      <x:c r="A300" s="100" t="n">
        <x:f>A299+1</x:f>
        <x:v>295</x:v>
      </x:c>
      <x:c r="B300" s="171" t="n">
        <x:f>IF(A300&lt;='Your Mortgage'!$C$8*12,EDATE('Your Mortgage'!$C$9,A300-1),"")</x:f>
        <x:v>55185</x:v>
      </x:c>
      <x:c r="C300" s="172" t="n">
        <x:f>IF(B300="","",'Your Mortgage'!$C$11)</x:f>
        <x:v>2054.2210763521375</x:v>
      </x:c>
      <x:c r="D300" s="172" t="n">
        <x:f>IF(B300="","",'Your Mortgage'!$F$6+IF(A300='Your Mortgage'!$F$8,'Your Mortgage'!$F$7,0))</x:f>
        <x:v>250</x:v>
      </x:c>
      <x:c r="E300" s="173"/>
      <x:c r="F300" s="170"/>
      <x:c r="G300" s="170"/>
      <x:c r="H300" s="170"/>
      <x:c r="I300" s="1"/>
      <x:c r="J300" s="1"/>
      <x:c r="K300" s="1"/>
      <x:c r="L300" s="1"/>
      <x:c r="M300" s="1"/>
      <x:c r="N300" s="1"/>
      <x:c r="O300" s="1"/>
      <x:c r="P300" s="1"/>
      <x:c r="Q300" s="1"/>
      <x:c r="R300" s="1"/>
      <x:c r="S300" s="1"/>
      <x:c r="T300" s="1"/>
      <x:c r="U300" s="1"/>
      <x:c r="V300" s="1"/>
      <x:c r="W300" s="1"/>
      <x:c r="X300" s="1"/>
      <x:c r="Y300" s="1"/>
      <x:c r="Z300" s="1"/>
    </x:row>
    <x:row r="301">
      <x:c r="A301" s="100" t="n">
        <x:f>A300+1</x:f>
        <x:v>296</x:v>
      </x:c>
      <x:c r="B301" s="171" t="n">
        <x:f>IF(A301&lt;='Your Mortgage'!$C$8*12,EDATE('Your Mortgage'!$C$9,A301-1),"")</x:f>
        <x:v>55213</x:v>
      </x:c>
      <x:c r="C301" s="172" t="n">
        <x:f>IF(B301="","",'Your Mortgage'!$C$11)</x:f>
        <x:v>2054.2210763521375</x:v>
      </x:c>
      <x:c r="D301" s="172" t="n">
        <x:f>IF(B301="","",'Your Mortgage'!$F$6+IF(A301='Your Mortgage'!$F$8,'Your Mortgage'!$F$7,0))</x:f>
        <x:v>250</x:v>
      </x:c>
      <x:c r="E301" s="173"/>
      <x:c r="F301" s="170"/>
      <x:c r="G301" s="170"/>
      <x:c r="H301" s="170"/>
      <x:c r="I301" s="1"/>
      <x:c r="J301" s="1"/>
      <x:c r="K301" s="1"/>
      <x:c r="L301" s="1"/>
      <x:c r="M301" s="1"/>
      <x:c r="N301" s="1"/>
      <x:c r="O301" s="1"/>
      <x:c r="P301" s="1"/>
      <x:c r="Q301" s="1"/>
      <x:c r="R301" s="1"/>
      <x:c r="S301" s="1"/>
      <x:c r="T301" s="1"/>
      <x:c r="U301" s="1"/>
      <x:c r="V301" s="1"/>
      <x:c r="W301" s="1"/>
      <x:c r="X301" s="1"/>
      <x:c r="Y301" s="1"/>
      <x:c r="Z301" s="1"/>
    </x:row>
    <x:row r="302">
      <x:c r="A302" s="100" t="n">
        <x:f>A301+1</x:f>
        <x:v>297</x:v>
      </x:c>
      <x:c r="B302" s="171" t="n">
        <x:f>IF(A302&lt;='Your Mortgage'!$C$8*12,EDATE('Your Mortgage'!$C$9,A302-1),"")</x:f>
        <x:v>55244</x:v>
      </x:c>
      <x:c r="C302" s="172" t="n">
        <x:f>IF(B302="","",'Your Mortgage'!$C$11)</x:f>
        <x:v>2054.2210763521375</x:v>
      </x:c>
      <x:c r="D302" s="172" t="n">
        <x:f>IF(B302="","",'Your Mortgage'!$F$6+IF(A302='Your Mortgage'!$F$8,'Your Mortgage'!$F$7,0))</x:f>
        <x:v>250</x:v>
      </x:c>
      <x:c r="E302" s="173"/>
      <x:c r="F302" s="170"/>
      <x:c r="G302" s="170"/>
      <x:c r="H302" s="170"/>
      <x:c r="I302" s="1"/>
      <x:c r="J302" s="1"/>
      <x:c r="K302" s="1"/>
      <x:c r="L302" s="1"/>
      <x:c r="M302" s="1"/>
      <x:c r="N302" s="1"/>
      <x:c r="O302" s="1"/>
      <x:c r="P302" s="1"/>
      <x:c r="Q302" s="1"/>
      <x:c r="R302" s="1"/>
      <x:c r="S302" s="1"/>
      <x:c r="T302" s="1"/>
      <x:c r="U302" s="1"/>
      <x:c r="V302" s="1"/>
      <x:c r="W302" s="1"/>
      <x:c r="X302" s="1"/>
      <x:c r="Y302" s="1"/>
      <x:c r="Z302" s="1"/>
    </x:row>
    <x:row r="303">
      <x:c r="A303" s="100" t="n">
        <x:f>A302+1</x:f>
        <x:v>298</x:v>
      </x:c>
      <x:c r="B303" s="171" t="n">
        <x:f>IF(A303&lt;='Your Mortgage'!$C$8*12,EDATE('Your Mortgage'!$C$9,A303-1),"")</x:f>
        <x:v>55274</x:v>
      </x:c>
      <x:c r="C303" s="172" t="n">
        <x:f>IF(B303="","",'Your Mortgage'!$C$11)</x:f>
        <x:v>2054.2210763521375</x:v>
      </x:c>
      <x:c r="D303" s="172" t="n">
        <x:f>IF(B303="","",'Your Mortgage'!$F$6+IF(A303='Your Mortgage'!$F$8,'Your Mortgage'!$F$7,0))</x:f>
        <x:v>250</x:v>
      </x:c>
      <x:c r="E303" s="173"/>
      <x:c r="F303" s="170"/>
      <x:c r="G303" s="170"/>
      <x:c r="H303" s="170"/>
      <x:c r="I303" s="1"/>
      <x:c r="J303" s="1"/>
      <x:c r="K303" s="1"/>
      <x:c r="L303" s="1"/>
      <x:c r="M303" s="1"/>
      <x:c r="N303" s="1"/>
      <x:c r="O303" s="1"/>
      <x:c r="P303" s="1"/>
      <x:c r="Q303" s="1"/>
      <x:c r="R303" s="1"/>
      <x:c r="S303" s="1"/>
      <x:c r="T303" s="1"/>
      <x:c r="U303" s="1"/>
      <x:c r="V303" s="1"/>
      <x:c r="W303" s="1"/>
      <x:c r="X303" s="1"/>
      <x:c r="Y303" s="1"/>
      <x:c r="Z303" s="1"/>
    </x:row>
    <x:row r="304">
      <x:c r="A304" s="100" t="n">
        <x:f>A303+1</x:f>
        <x:v>299</x:v>
      </x:c>
      <x:c r="B304" s="171" t="n">
        <x:f>IF(A304&lt;='Your Mortgage'!$C$8*12,EDATE('Your Mortgage'!$C$9,A304-1),"")</x:f>
        <x:v>55305</x:v>
      </x:c>
      <x:c r="C304" s="172" t="n">
        <x:f>IF(B304="","",'Your Mortgage'!$C$11)</x:f>
        <x:v>2054.2210763521375</x:v>
      </x:c>
      <x:c r="D304" s="172" t="n">
        <x:f>IF(B304="","",'Your Mortgage'!$F$6+IF(A304='Your Mortgage'!$F$8,'Your Mortgage'!$F$7,0))</x:f>
        <x:v>250</x:v>
      </x:c>
      <x:c r="E304" s="173"/>
      <x:c r="F304" s="170"/>
      <x:c r="G304" s="170"/>
      <x:c r="H304" s="170"/>
      <x:c r="I304" s="1"/>
      <x:c r="J304" s="1"/>
      <x:c r="K304" s="1"/>
      <x:c r="L304" s="1"/>
      <x:c r="M304" s="1"/>
      <x:c r="N304" s="1"/>
      <x:c r="O304" s="1"/>
      <x:c r="P304" s="1"/>
      <x:c r="Q304" s="1"/>
      <x:c r="R304" s="1"/>
      <x:c r="S304" s="1"/>
      <x:c r="T304" s="1"/>
      <x:c r="U304" s="1"/>
      <x:c r="V304" s="1"/>
      <x:c r="W304" s="1"/>
      <x:c r="X304" s="1"/>
      <x:c r="Y304" s="1"/>
      <x:c r="Z304" s="1"/>
    </x:row>
    <x:row r="305">
      <x:c r="A305" s="100" t="n">
        <x:f>A304+1</x:f>
        <x:v>300</x:v>
      </x:c>
      <x:c r="B305" s="171" t="n">
        <x:f>IF(A305&lt;='Your Mortgage'!$C$8*12,EDATE('Your Mortgage'!$C$9,A305-1),"")</x:f>
        <x:v>55335</x:v>
      </x:c>
      <x:c r="C305" s="172" t="n">
        <x:f>IF(B305="","",'Your Mortgage'!$C$11)</x:f>
        <x:v>2054.2210763521375</x:v>
      </x:c>
      <x:c r="D305" s="172" t="n">
        <x:f>IF(B305="","",'Your Mortgage'!$F$6+IF(A305='Your Mortgage'!$F$8,'Your Mortgage'!$F$7,0))</x:f>
        <x:v>250</x:v>
      </x:c>
      <x:c r="E305" s="173"/>
      <x:c r="F305" s="170"/>
      <x:c r="G305" s="170"/>
      <x:c r="H305" s="170"/>
      <x:c r="I305" s="1"/>
      <x:c r="J305" s="1"/>
      <x:c r="K305" s="1"/>
      <x:c r="L305" s="1"/>
      <x:c r="M305" s="1"/>
      <x:c r="N305" s="1"/>
      <x:c r="O305" s="1"/>
      <x:c r="P305" s="1"/>
      <x:c r="Q305" s="1"/>
      <x:c r="R305" s="1"/>
      <x:c r="S305" s="1"/>
      <x:c r="T305" s="1"/>
      <x:c r="U305" s="1"/>
      <x:c r="V305" s="1"/>
      <x:c r="W305" s="1"/>
      <x:c r="X305" s="1"/>
      <x:c r="Y305" s="1"/>
      <x:c r="Z305" s="1"/>
    </x:row>
    <x:row r="306">
      <x:c r="A306" s="100" t="n">
        <x:f>A305+1</x:f>
        <x:v>301</x:v>
      </x:c>
      <x:c r="B306" s="171" t="n">
        <x:f>IF(A306&lt;='Your Mortgage'!$C$8*12,EDATE('Your Mortgage'!$C$9,A306-1),"")</x:f>
        <x:v>55366</x:v>
      </x:c>
      <x:c r="C306" s="172" t="n">
        <x:f>IF(B306="","",'Your Mortgage'!$C$11)</x:f>
        <x:v>2054.2210763521375</x:v>
      </x:c>
      <x:c r="D306" s="172" t="n">
        <x:f>IF(B306="","",'Your Mortgage'!$F$6+IF(A306='Your Mortgage'!$F$8,'Your Mortgage'!$F$7,0))</x:f>
        <x:v>250</x:v>
      </x:c>
      <x:c r="E306" s="173"/>
      <x:c r="F306" s="170"/>
      <x:c r="G306" s="170"/>
      <x:c r="H306" s="170"/>
      <x:c r="I306" s="1"/>
      <x:c r="J306" s="1"/>
      <x:c r="K306" s="1"/>
      <x:c r="L306" s="1"/>
      <x:c r="M306" s="1"/>
      <x:c r="N306" s="1"/>
      <x:c r="O306" s="1"/>
      <x:c r="P306" s="1"/>
      <x:c r="Q306" s="1"/>
      <x:c r="R306" s="1"/>
      <x:c r="S306" s="1"/>
      <x:c r="T306" s="1"/>
      <x:c r="U306" s="1"/>
      <x:c r="V306" s="1"/>
      <x:c r="W306" s="1"/>
      <x:c r="X306" s="1"/>
      <x:c r="Y306" s="1"/>
      <x:c r="Z306" s="1"/>
    </x:row>
    <x:row r="307">
      <x:c r="A307" s="100" t="n">
        <x:f>A306+1</x:f>
        <x:v>302</x:v>
      </x:c>
      <x:c r="B307" s="171" t="n">
        <x:f>IF(A307&lt;='Your Mortgage'!$C$8*12,EDATE('Your Mortgage'!$C$9,A307-1),"")</x:f>
        <x:v>55397</x:v>
      </x:c>
      <x:c r="C307" s="172" t="n">
        <x:f>IF(B307="","",'Your Mortgage'!$C$11)</x:f>
        <x:v>2054.2210763521375</x:v>
      </x:c>
      <x:c r="D307" s="172" t="n">
        <x:f>IF(B307="","",'Your Mortgage'!$F$6+IF(A307='Your Mortgage'!$F$8,'Your Mortgage'!$F$7,0))</x:f>
        <x:v>250</x:v>
      </x:c>
      <x:c r="E307" s="173"/>
      <x:c r="F307" s="170"/>
      <x:c r="G307" s="170"/>
      <x:c r="H307" s="170"/>
      <x:c r="I307" s="1"/>
      <x:c r="J307" s="1"/>
      <x:c r="K307" s="1"/>
      <x:c r="L307" s="1"/>
      <x:c r="M307" s="1"/>
      <x:c r="N307" s="1"/>
      <x:c r="O307" s="1"/>
      <x:c r="P307" s="1"/>
      <x:c r="Q307" s="1"/>
      <x:c r="R307" s="1"/>
      <x:c r="S307" s="1"/>
      <x:c r="T307" s="1"/>
      <x:c r="U307" s="1"/>
      <x:c r="V307" s="1"/>
      <x:c r="W307" s="1"/>
      <x:c r="X307" s="1"/>
      <x:c r="Y307" s="1"/>
      <x:c r="Z307" s="1"/>
    </x:row>
    <x:row r="308">
      <x:c r="A308" s="100" t="n">
        <x:f>A307+1</x:f>
        <x:v>303</x:v>
      </x:c>
      <x:c r="B308" s="171" t="n">
        <x:f>IF(A308&lt;='Your Mortgage'!$C$8*12,EDATE('Your Mortgage'!$C$9,A308-1),"")</x:f>
        <x:v>55427</x:v>
      </x:c>
      <x:c r="C308" s="172" t="n">
        <x:f>IF(B308="","",'Your Mortgage'!$C$11)</x:f>
        <x:v>2054.2210763521375</x:v>
      </x:c>
      <x:c r="D308" s="172" t="n">
        <x:f>IF(B308="","",'Your Mortgage'!$F$6+IF(A308='Your Mortgage'!$F$8,'Your Mortgage'!$F$7,0))</x:f>
        <x:v>250</x:v>
      </x:c>
      <x:c r="E308" s="173"/>
      <x:c r="F308" s="170"/>
      <x:c r="G308" s="170"/>
      <x:c r="H308" s="170"/>
      <x:c r="I308" s="1"/>
      <x:c r="J308" s="1"/>
      <x:c r="K308" s="1"/>
      <x:c r="L308" s="1"/>
      <x:c r="M308" s="1"/>
      <x:c r="N308" s="1"/>
      <x:c r="O308" s="1"/>
      <x:c r="P308" s="1"/>
      <x:c r="Q308" s="1"/>
      <x:c r="R308" s="1"/>
      <x:c r="S308" s="1"/>
      <x:c r="T308" s="1"/>
      <x:c r="U308" s="1"/>
      <x:c r="V308" s="1"/>
      <x:c r="W308" s="1"/>
      <x:c r="X308" s="1"/>
      <x:c r="Y308" s="1"/>
      <x:c r="Z308" s="1"/>
    </x:row>
    <x:row r="309">
      <x:c r="A309" s="100" t="n">
        <x:f>A308+1</x:f>
        <x:v>304</x:v>
      </x:c>
      <x:c r="B309" s="171" t="n">
        <x:f>IF(A309&lt;='Your Mortgage'!$C$8*12,EDATE('Your Mortgage'!$C$9,A309-1),"")</x:f>
        <x:v>55458</x:v>
      </x:c>
      <x:c r="C309" s="172" t="n">
        <x:f>IF(B309="","",'Your Mortgage'!$C$11)</x:f>
        <x:v>2054.2210763521375</x:v>
      </x:c>
      <x:c r="D309" s="172" t="n">
        <x:f>IF(B309="","",'Your Mortgage'!$F$6+IF(A309='Your Mortgage'!$F$8,'Your Mortgage'!$F$7,0))</x:f>
        <x:v>250</x:v>
      </x:c>
      <x:c r="E309" s="173"/>
      <x:c r="F309" s="170"/>
      <x:c r="G309" s="170"/>
      <x:c r="H309" s="170"/>
      <x:c r="I309" s="1"/>
      <x:c r="J309" s="1"/>
      <x:c r="K309" s="1"/>
      <x:c r="L309" s="1"/>
      <x:c r="M309" s="1"/>
      <x:c r="N309" s="1"/>
      <x:c r="O309" s="1"/>
      <x:c r="P309" s="1"/>
      <x:c r="Q309" s="1"/>
      <x:c r="R309" s="1"/>
      <x:c r="S309" s="1"/>
      <x:c r="T309" s="1"/>
      <x:c r="U309" s="1"/>
      <x:c r="V309" s="1"/>
      <x:c r="W309" s="1"/>
      <x:c r="X309" s="1"/>
      <x:c r="Y309" s="1"/>
      <x:c r="Z309" s="1"/>
    </x:row>
    <x:row r="310">
      <x:c r="A310" s="100" t="n">
        <x:f>A309+1</x:f>
        <x:v>305</x:v>
      </x:c>
      <x:c r="B310" s="171" t="n">
        <x:f>IF(A310&lt;='Your Mortgage'!$C$8*12,EDATE('Your Mortgage'!$C$9,A310-1),"")</x:f>
        <x:v>55488</x:v>
      </x:c>
      <x:c r="C310" s="172" t="n">
        <x:f>IF(B310="","",'Your Mortgage'!$C$11)</x:f>
        <x:v>2054.2210763521375</x:v>
      </x:c>
      <x:c r="D310" s="172" t="n">
        <x:f>IF(B310="","",'Your Mortgage'!$F$6+IF(A310='Your Mortgage'!$F$8,'Your Mortgage'!$F$7,0))</x:f>
        <x:v>250</x:v>
      </x:c>
      <x:c r="E310" s="173"/>
      <x:c r="F310" s="170"/>
      <x:c r="G310" s="170"/>
      <x:c r="H310" s="170"/>
      <x:c r="I310" s="1"/>
      <x:c r="J310" s="1"/>
      <x:c r="K310" s="1"/>
      <x:c r="L310" s="1"/>
      <x:c r="M310" s="1"/>
      <x:c r="N310" s="1"/>
      <x:c r="O310" s="1"/>
      <x:c r="P310" s="1"/>
      <x:c r="Q310" s="1"/>
      <x:c r="R310" s="1"/>
      <x:c r="S310" s="1"/>
      <x:c r="T310" s="1"/>
      <x:c r="U310" s="1"/>
      <x:c r="V310" s="1"/>
      <x:c r="W310" s="1"/>
      <x:c r="X310" s="1"/>
      <x:c r="Y310" s="1"/>
      <x:c r="Z310" s="1"/>
    </x:row>
    <x:row r="311">
      <x:c r="A311" s="100" t="n">
        <x:f>A310+1</x:f>
        <x:v>306</x:v>
      </x:c>
      <x:c r="B311" s="171" t="n">
        <x:f>IF(A311&lt;='Your Mortgage'!$C$8*12,EDATE('Your Mortgage'!$C$9,A311-1),"")</x:f>
        <x:v>55519</x:v>
      </x:c>
      <x:c r="C311" s="172" t="n">
        <x:f>IF(B311="","",'Your Mortgage'!$C$11)</x:f>
        <x:v>2054.2210763521375</x:v>
      </x:c>
      <x:c r="D311" s="172" t="n">
        <x:f>IF(B311="","",'Your Mortgage'!$F$6+IF(A311='Your Mortgage'!$F$8,'Your Mortgage'!$F$7,0))</x:f>
        <x:v>250</x:v>
      </x:c>
      <x:c r="E311" s="173"/>
      <x:c r="F311" s="170"/>
      <x:c r="G311" s="170"/>
      <x:c r="H311" s="170"/>
      <x:c r="I311" s="1"/>
      <x:c r="J311" s="1"/>
      <x:c r="K311" s="1"/>
      <x:c r="L311" s="1"/>
      <x:c r="M311" s="1"/>
      <x:c r="N311" s="1"/>
      <x:c r="O311" s="1"/>
      <x:c r="P311" s="1"/>
      <x:c r="Q311" s="1"/>
      <x:c r="R311" s="1"/>
      <x:c r="S311" s="1"/>
      <x:c r="T311" s="1"/>
      <x:c r="U311" s="1"/>
      <x:c r="V311" s="1"/>
      <x:c r="W311" s="1"/>
      <x:c r="X311" s="1"/>
      <x:c r="Y311" s="1"/>
      <x:c r="Z311" s="1"/>
    </x:row>
    <x:row r="312">
      <x:c r="A312" s="100" t="n">
        <x:f>A311+1</x:f>
        <x:v>307</x:v>
      </x:c>
      <x:c r="B312" s="171" t="n">
        <x:f>IF(A312&lt;='Your Mortgage'!$C$8*12,EDATE('Your Mortgage'!$C$9,A312-1),"")</x:f>
        <x:v>55550</x:v>
      </x:c>
      <x:c r="C312" s="172" t="n">
        <x:f>IF(B312="","",'Your Mortgage'!$C$11)</x:f>
        <x:v>2054.2210763521375</x:v>
      </x:c>
      <x:c r="D312" s="172" t="n">
        <x:f>IF(B312="","",'Your Mortgage'!$F$6+IF(A312='Your Mortgage'!$F$8,'Your Mortgage'!$F$7,0))</x:f>
        <x:v>250</x:v>
      </x:c>
      <x:c r="E312" s="173"/>
      <x:c r="F312" s="170"/>
      <x:c r="G312" s="170"/>
      <x:c r="H312" s="170"/>
      <x:c r="I312" s="1"/>
      <x:c r="J312" s="1"/>
      <x:c r="K312" s="1"/>
      <x:c r="L312" s="1"/>
      <x:c r="M312" s="1"/>
      <x:c r="N312" s="1"/>
      <x:c r="O312" s="1"/>
      <x:c r="P312" s="1"/>
      <x:c r="Q312" s="1"/>
      <x:c r="R312" s="1"/>
      <x:c r="S312" s="1"/>
      <x:c r="T312" s="1"/>
      <x:c r="U312" s="1"/>
      <x:c r="V312" s="1"/>
      <x:c r="W312" s="1"/>
      <x:c r="X312" s="1"/>
      <x:c r="Y312" s="1"/>
      <x:c r="Z312" s="1"/>
    </x:row>
    <x:row r="313">
      <x:c r="A313" s="100" t="n">
        <x:f>A312+1</x:f>
        <x:v>308</x:v>
      </x:c>
      <x:c r="B313" s="171" t="n">
        <x:f>IF(A313&lt;='Your Mortgage'!$C$8*12,EDATE('Your Mortgage'!$C$9,A313-1),"")</x:f>
        <x:v>55579</x:v>
      </x:c>
      <x:c r="C313" s="172" t="n">
        <x:f>IF(B313="","",'Your Mortgage'!$C$11)</x:f>
        <x:v>2054.2210763521375</x:v>
      </x:c>
      <x:c r="D313" s="172" t="n">
        <x:f>IF(B313="","",'Your Mortgage'!$F$6+IF(A313='Your Mortgage'!$F$8,'Your Mortgage'!$F$7,0))</x:f>
        <x:v>250</x:v>
      </x:c>
      <x:c r="E313" s="173"/>
      <x:c r="F313" s="170"/>
      <x:c r="G313" s="170"/>
      <x:c r="H313" s="170"/>
      <x:c r="I313" s="1"/>
      <x:c r="J313" s="1"/>
      <x:c r="K313" s="1"/>
      <x:c r="L313" s="1"/>
      <x:c r="M313" s="1"/>
      <x:c r="N313" s="1"/>
      <x:c r="O313" s="1"/>
      <x:c r="P313" s="1"/>
      <x:c r="Q313" s="1"/>
      <x:c r="R313" s="1"/>
      <x:c r="S313" s="1"/>
      <x:c r="T313" s="1"/>
      <x:c r="U313" s="1"/>
      <x:c r="V313" s="1"/>
      <x:c r="W313" s="1"/>
      <x:c r="X313" s="1"/>
      <x:c r="Y313" s="1"/>
      <x:c r="Z313" s="1"/>
    </x:row>
    <x:row r="314">
      <x:c r="A314" s="100" t="n">
        <x:f>A313+1</x:f>
        <x:v>309</x:v>
      </x:c>
      <x:c r="B314" s="171" t="n">
        <x:f>IF(A314&lt;='Your Mortgage'!$C$8*12,EDATE('Your Mortgage'!$C$9,A314-1),"")</x:f>
        <x:v>55610</x:v>
      </x:c>
      <x:c r="C314" s="172" t="n">
        <x:f>IF(B314="","",'Your Mortgage'!$C$11)</x:f>
        <x:v>2054.2210763521375</x:v>
      </x:c>
      <x:c r="D314" s="172" t="n">
        <x:f>IF(B314="","",'Your Mortgage'!$F$6+IF(A314='Your Mortgage'!$F$8,'Your Mortgage'!$F$7,0))</x:f>
        <x:v>250</x:v>
      </x:c>
      <x:c r="E314" s="173"/>
      <x:c r="F314" s="170"/>
      <x:c r="G314" s="170"/>
      <x:c r="H314" s="170"/>
      <x:c r="I314" s="1"/>
      <x:c r="J314" s="1"/>
      <x:c r="K314" s="1"/>
      <x:c r="L314" s="1"/>
      <x:c r="M314" s="1"/>
      <x:c r="N314" s="1"/>
      <x:c r="O314" s="1"/>
      <x:c r="P314" s="1"/>
      <x:c r="Q314" s="1"/>
      <x:c r="R314" s="1"/>
      <x:c r="S314" s="1"/>
      <x:c r="T314" s="1"/>
      <x:c r="U314" s="1"/>
      <x:c r="V314" s="1"/>
      <x:c r="W314" s="1"/>
      <x:c r="X314" s="1"/>
      <x:c r="Y314" s="1"/>
      <x:c r="Z314" s="1"/>
    </x:row>
    <x:row r="315">
      <x:c r="A315" s="100" t="n">
        <x:f>A314+1</x:f>
        <x:v>310</x:v>
      </x:c>
      <x:c r="B315" s="171" t="n">
        <x:f>IF(A315&lt;='Your Mortgage'!$C$8*12,EDATE('Your Mortgage'!$C$9,A315-1),"")</x:f>
        <x:v>55640</x:v>
      </x:c>
      <x:c r="C315" s="172" t="n">
        <x:f>IF(B315="","",'Your Mortgage'!$C$11)</x:f>
        <x:v>2054.2210763521375</x:v>
      </x:c>
      <x:c r="D315" s="172" t="n">
        <x:f>IF(B315="","",'Your Mortgage'!$F$6+IF(A315='Your Mortgage'!$F$8,'Your Mortgage'!$F$7,0))</x:f>
        <x:v>250</x:v>
      </x:c>
      <x:c r="E315" s="173"/>
      <x:c r="F315" s="170"/>
      <x:c r="G315" s="170"/>
      <x:c r="H315" s="170"/>
      <x:c r="I315" s="1"/>
      <x:c r="J315" s="1"/>
      <x:c r="K315" s="1"/>
      <x:c r="L315" s="1"/>
      <x:c r="M315" s="1"/>
      <x:c r="N315" s="1"/>
      <x:c r="O315" s="1"/>
      <x:c r="P315" s="1"/>
      <x:c r="Q315" s="1"/>
      <x:c r="R315" s="1"/>
      <x:c r="S315" s="1"/>
      <x:c r="T315" s="1"/>
      <x:c r="U315" s="1"/>
      <x:c r="V315" s="1"/>
      <x:c r="W315" s="1"/>
      <x:c r="X315" s="1"/>
      <x:c r="Y315" s="1"/>
      <x:c r="Z315" s="1"/>
    </x:row>
    <x:row r="316">
      <x:c r="A316" s="100" t="n">
        <x:f>A315+1</x:f>
        <x:v>311</x:v>
      </x:c>
      <x:c r="B316" s="171" t="n">
        <x:f>IF(A316&lt;='Your Mortgage'!$C$8*12,EDATE('Your Mortgage'!$C$9,A316-1),"")</x:f>
        <x:v>55671</x:v>
      </x:c>
      <x:c r="C316" s="172" t="n">
        <x:f>IF(B316="","",'Your Mortgage'!$C$11)</x:f>
        <x:v>2054.2210763521375</x:v>
      </x:c>
      <x:c r="D316" s="172" t="n">
        <x:f>IF(B316="","",'Your Mortgage'!$F$6+IF(A316='Your Mortgage'!$F$8,'Your Mortgage'!$F$7,0))</x:f>
        <x:v>250</x:v>
      </x:c>
      <x:c r="E316" s="173"/>
      <x:c r="F316" s="170"/>
      <x:c r="G316" s="170"/>
      <x:c r="H316" s="170"/>
      <x:c r="I316" s="1"/>
      <x:c r="J316" s="1"/>
      <x:c r="K316" s="1"/>
      <x:c r="L316" s="1"/>
      <x:c r="M316" s="1"/>
      <x:c r="N316" s="1"/>
      <x:c r="O316" s="1"/>
      <x:c r="P316" s="1"/>
      <x:c r="Q316" s="1"/>
      <x:c r="R316" s="1"/>
      <x:c r="S316" s="1"/>
      <x:c r="T316" s="1"/>
      <x:c r="U316" s="1"/>
      <x:c r="V316" s="1"/>
      <x:c r="W316" s="1"/>
      <x:c r="X316" s="1"/>
      <x:c r="Y316" s="1"/>
      <x:c r="Z316" s="1"/>
    </x:row>
    <x:row r="317">
      <x:c r="A317" s="100" t="n">
        <x:f>A316+1</x:f>
        <x:v>312</x:v>
      </x:c>
      <x:c r="B317" s="171" t="n">
        <x:f>IF(A317&lt;='Your Mortgage'!$C$8*12,EDATE('Your Mortgage'!$C$9,A317-1),"")</x:f>
        <x:v>55701</x:v>
      </x:c>
      <x:c r="C317" s="172" t="n">
        <x:f>IF(B317="","",'Your Mortgage'!$C$11)</x:f>
        <x:v>2054.2210763521375</x:v>
      </x:c>
      <x:c r="D317" s="172" t="n">
        <x:f>IF(B317="","",'Your Mortgage'!$F$6+IF(A317='Your Mortgage'!$F$8,'Your Mortgage'!$F$7,0))</x:f>
        <x:v>250</x:v>
      </x:c>
      <x:c r="E317" s="173"/>
      <x:c r="F317" s="170"/>
      <x:c r="G317" s="170"/>
      <x:c r="H317" s="170"/>
      <x:c r="I317" s="1"/>
      <x:c r="J317" s="1"/>
      <x:c r="K317" s="1"/>
      <x:c r="L317" s="1"/>
      <x:c r="M317" s="1"/>
      <x:c r="N317" s="1"/>
      <x:c r="O317" s="1"/>
      <x:c r="P317" s="1"/>
      <x:c r="Q317" s="1"/>
      <x:c r="R317" s="1"/>
      <x:c r="S317" s="1"/>
      <x:c r="T317" s="1"/>
      <x:c r="U317" s="1"/>
      <x:c r="V317" s="1"/>
      <x:c r="W317" s="1"/>
      <x:c r="X317" s="1"/>
      <x:c r="Y317" s="1"/>
      <x:c r="Z317" s="1"/>
    </x:row>
    <x:row r="318">
      <x:c r="A318" s="100" t="n">
        <x:f>A317+1</x:f>
        <x:v>313</x:v>
      </x:c>
      <x:c r="B318" s="171" t="n">
        <x:f>IF(A318&lt;='Your Mortgage'!$C$8*12,EDATE('Your Mortgage'!$C$9,A318-1),"")</x:f>
        <x:v>55732</x:v>
      </x:c>
      <x:c r="C318" s="172" t="n">
        <x:f>IF(B318="","",'Your Mortgage'!$C$11)</x:f>
        <x:v>2054.2210763521375</x:v>
      </x:c>
      <x:c r="D318" s="172" t="n">
        <x:f>IF(B318="","",'Your Mortgage'!$F$6+IF(A318='Your Mortgage'!$F$8,'Your Mortgage'!$F$7,0))</x:f>
        <x:v>250</x:v>
      </x:c>
      <x:c r="E318" s="173"/>
      <x:c r="F318" s="170"/>
      <x:c r="G318" s="170"/>
      <x:c r="H318" s="170"/>
      <x:c r="I318" s="1"/>
      <x:c r="J318" s="1"/>
      <x:c r="K318" s="1"/>
      <x:c r="L318" s="1"/>
      <x:c r="M318" s="1"/>
      <x:c r="N318" s="1"/>
      <x:c r="O318" s="1"/>
      <x:c r="P318" s="1"/>
      <x:c r="Q318" s="1"/>
      <x:c r="R318" s="1"/>
      <x:c r="S318" s="1"/>
      <x:c r="T318" s="1"/>
      <x:c r="U318" s="1"/>
      <x:c r="V318" s="1"/>
      <x:c r="W318" s="1"/>
      <x:c r="X318" s="1"/>
      <x:c r="Y318" s="1"/>
      <x:c r="Z318" s="1"/>
    </x:row>
    <x:row r="319">
      <x:c r="A319" s="100" t="n">
        <x:f>A318+1</x:f>
        <x:v>314</x:v>
      </x:c>
      <x:c r="B319" s="171" t="n">
        <x:f>IF(A319&lt;='Your Mortgage'!$C$8*12,EDATE('Your Mortgage'!$C$9,A319-1),"")</x:f>
        <x:v>55763</x:v>
      </x:c>
      <x:c r="C319" s="172" t="n">
        <x:f>IF(B319="","",'Your Mortgage'!$C$11)</x:f>
        <x:v>2054.2210763521375</x:v>
      </x:c>
      <x:c r="D319" s="172" t="n">
        <x:f>IF(B319="","",'Your Mortgage'!$F$6+IF(A319='Your Mortgage'!$F$8,'Your Mortgage'!$F$7,0))</x:f>
        <x:v>250</x:v>
      </x:c>
      <x:c r="E319" s="173"/>
      <x:c r="F319" s="170"/>
      <x:c r="G319" s="170"/>
      <x:c r="H319" s="170"/>
      <x:c r="I319" s="1"/>
      <x:c r="J319" s="1"/>
      <x:c r="K319" s="1"/>
      <x:c r="L319" s="1"/>
      <x:c r="M319" s="1"/>
      <x:c r="N319" s="1"/>
      <x:c r="O319" s="1"/>
      <x:c r="P319" s="1"/>
      <x:c r="Q319" s="1"/>
      <x:c r="R319" s="1"/>
      <x:c r="S319" s="1"/>
      <x:c r="T319" s="1"/>
      <x:c r="U319" s="1"/>
      <x:c r="V319" s="1"/>
      <x:c r="W319" s="1"/>
      <x:c r="X319" s="1"/>
      <x:c r="Y319" s="1"/>
      <x:c r="Z319" s="1"/>
    </x:row>
    <x:row r="320">
      <x:c r="A320" s="100" t="n">
        <x:f>A319+1</x:f>
        <x:v>315</x:v>
      </x:c>
      <x:c r="B320" s="171" t="n">
        <x:f>IF(A320&lt;='Your Mortgage'!$C$8*12,EDATE('Your Mortgage'!$C$9,A320-1),"")</x:f>
        <x:v>55793</x:v>
      </x:c>
      <x:c r="C320" s="172" t="n">
        <x:f>IF(B320="","",'Your Mortgage'!$C$11)</x:f>
        <x:v>2054.2210763521375</x:v>
      </x:c>
      <x:c r="D320" s="172" t="n">
        <x:f>IF(B320="","",'Your Mortgage'!$F$6+IF(A320='Your Mortgage'!$F$8,'Your Mortgage'!$F$7,0))</x:f>
        <x:v>250</x:v>
      </x:c>
      <x:c r="E320" s="173"/>
      <x:c r="F320" s="170"/>
      <x:c r="G320" s="170"/>
      <x:c r="H320" s="170"/>
      <x:c r="I320" s="1"/>
      <x:c r="J320" s="1"/>
      <x:c r="K320" s="1"/>
      <x:c r="L320" s="1"/>
      <x:c r="M320" s="1"/>
      <x:c r="N320" s="1"/>
      <x:c r="O320" s="1"/>
      <x:c r="P320" s="1"/>
      <x:c r="Q320" s="1"/>
      <x:c r="R320" s="1"/>
      <x:c r="S320" s="1"/>
      <x:c r="T320" s="1"/>
      <x:c r="U320" s="1"/>
      <x:c r="V320" s="1"/>
      <x:c r="W320" s="1"/>
      <x:c r="X320" s="1"/>
      <x:c r="Y320" s="1"/>
      <x:c r="Z320" s="1"/>
    </x:row>
    <x:row r="321">
      <x:c r="A321" s="100" t="n">
        <x:f>A320+1</x:f>
        <x:v>316</x:v>
      </x:c>
      <x:c r="B321" s="171" t="n">
        <x:f>IF(A321&lt;='Your Mortgage'!$C$8*12,EDATE('Your Mortgage'!$C$9,A321-1),"")</x:f>
        <x:v>55824</x:v>
      </x:c>
      <x:c r="C321" s="172" t="n">
        <x:f>IF(B321="","",'Your Mortgage'!$C$11)</x:f>
        <x:v>2054.2210763521375</x:v>
      </x:c>
      <x:c r="D321" s="172" t="n">
        <x:f>IF(B321="","",'Your Mortgage'!$F$6+IF(A321='Your Mortgage'!$F$8,'Your Mortgage'!$F$7,0))</x:f>
        <x:v>250</x:v>
      </x:c>
      <x:c r="E321" s="173"/>
      <x:c r="F321" s="170"/>
      <x:c r="G321" s="170"/>
      <x:c r="H321" s="170"/>
      <x:c r="I321" s="1"/>
      <x:c r="J321" s="1"/>
      <x:c r="K321" s="1"/>
      <x:c r="L321" s="1"/>
      <x:c r="M321" s="1"/>
      <x:c r="N321" s="1"/>
      <x:c r="O321" s="1"/>
      <x:c r="P321" s="1"/>
      <x:c r="Q321" s="1"/>
      <x:c r="R321" s="1"/>
      <x:c r="S321" s="1"/>
      <x:c r="T321" s="1"/>
      <x:c r="U321" s="1"/>
      <x:c r="V321" s="1"/>
      <x:c r="W321" s="1"/>
      <x:c r="X321" s="1"/>
      <x:c r="Y321" s="1"/>
      <x:c r="Z321" s="1"/>
    </x:row>
    <x:row r="322">
      <x:c r="A322" s="100" t="n">
        <x:f>A321+1</x:f>
        <x:v>317</x:v>
      </x:c>
      <x:c r="B322" s="171" t="n">
        <x:f>IF(A322&lt;='Your Mortgage'!$C$8*12,EDATE('Your Mortgage'!$C$9,A322-1),"")</x:f>
        <x:v>55854</x:v>
      </x:c>
      <x:c r="C322" s="172" t="n">
        <x:f>IF(B322="","",'Your Mortgage'!$C$11)</x:f>
        <x:v>2054.2210763521375</x:v>
      </x:c>
      <x:c r="D322" s="172" t="n">
        <x:f>IF(B322="","",'Your Mortgage'!$F$6+IF(A322='Your Mortgage'!$F$8,'Your Mortgage'!$F$7,0))</x:f>
        <x:v>250</x:v>
      </x:c>
      <x:c r="E322" s="173"/>
      <x:c r="F322" s="170"/>
      <x:c r="G322" s="170"/>
      <x:c r="H322" s="170"/>
      <x:c r="I322" s="1"/>
      <x:c r="J322" s="1"/>
      <x:c r="K322" s="1"/>
      <x:c r="L322" s="1"/>
      <x:c r="M322" s="1"/>
      <x:c r="N322" s="1"/>
      <x:c r="O322" s="1"/>
      <x:c r="P322" s="1"/>
      <x:c r="Q322" s="1"/>
      <x:c r="R322" s="1"/>
      <x:c r="S322" s="1"/>
      <x:c r="T322" s="1"/>
      <x:c r="U322" s="1"/>
      <x:c r="V322" s="1"/>
      <x:c r="W322" s="1"/>
      <x:c r="X322" s="1"/>
      <x:c r="Y322" s="1"/>
      <x:c r="Z322" s="1"/>
    </x:row>
    <x:row r="323">
      <x:c r="A323" s="100" t="n">
        <x:f>A322+1</x:f>
        <x:v>318</x:v>
      </x:c>
      <x:c r="B323" s="171" t="n">
        <x:f>IF(A323&lt;='Your Mortgage'!$C$8*12,EDATE('Your Mortgage'!$C$9,A323-1),"")</x:f>
        <x:v>55885</x:v>
      </x:c>
      <x:c r="C323" s="172" t="n">
        <x:f>IF(B323="","",'Your Mortgage'!$C$11)</x:f>
        <x:v>2054.2210763521375</x:v>
      </x:c>
      <x:c r="D323" s="172" t="n">
        <x:f>IF(B323="","",'Your Mortgage'!$F$6+IF(A323='Your Mortgage'!$F$8,'Your Mortgage'!$F$7,0))</x:f>
        <x:v>250</x:v>
      </x:c>
      <x:c r="E323" s="173"/>
      <x:c r="F323" s="170"/>
      <x:c r="G323" s="170"/>
      <x:c r="H323" s="170"/>
      <x:c r="I323" s="1"/>
      <x:c r="J323" s="1"/>
      <x:c r="K323" s="1"/>
      <x:c r="L323" s="1"/>
      <x:c r="M323" s="1"/>
      <x:c r="N323" s="1"/>
      <x:c r="O323" s="1"/>
      <x:c r="P323" s="1"/>
      <x:c r="Q323" s="1"/>
      <x:c r="R323" s="1"/>
      <x:c r="S323" s="1"/>
      <x:c r="T323" s="1"/>
      <x:c r="U323" s="1"/>
      <x:c r="V323" s="1"/>
      <x:c r="W323" s="1"/>
      <x:c r="X323" s="1"/>
      <x:c r="Y323" s="1"/>
      <x:c r="Z323" s="1"/>
    </x:row>
    <x:row r="324">
      <x:c r="A324" s="100" t="n">
        <x:f>A323+1</x:f>
        <x:v>319</x:v>
      </x:c>
      <x:c r="B324" s="171" t="n">
        <x:f>IF(A324&lt;='Your Mortgage'!$C$8*12,EDATE('Your Mortgage'!$C$9,A324-1),"")</x:f>
        <x:v>55916</x:v>
      </x:c>
      <x:c r="C324" s="172" t="n">
        <x:f>IF(B324="","",'Your Mortgage'!$C$11)</x:f>
        <x:v>2054.2210763521375</x:v>
      </x:c>
      <x:c r="D324" s="172" t="n">
        <x:f>IF(B324="","",'Your Mortgage'!$F$6+IF(A324='Your Mortgage'!$F$8,'Your Mortgage'!$F$7,0))</x:f>
        <x:v>250</x:v>
      </x:c>
      <x:c r="E324" s="173"/>
      <x:c r="F324" s="170"/>
      <x:c r="G324" s="170"/>
      <x:c r="H324" s="170"/>
      <x:c r="I324" s="1"/>
      <x:c r="J324" s="1"/>
      <x:c r="K324" s="1"/>
      <x:c r="L324" s="1"/>
      <x:c r="M324" s="1"/>
      <x:c r="N324" s="1"/>
      <x:c r="O324" s="1"/>
      <x:c r="P324" s="1"/>
      <x:c r="Q324" s="1"/>
      <x:c r="R324" s="1"/>
      <x:c r="S324" s="1"/>
      <x:c r="T324" s="1"/>
      <x:c r="U324" s="1"/>
      <x:c r="V324" s="1"/>
      <x:c r="W324" s="1"/>
      <x:c r="X324" s="1"/>
      <x:c r="Y324" s="1"/>
      <x:c r="Z324" s="1"/>
    </x:row>
    <x:row r="325">
      <x:c r="A325" s="100" t="n">
        <x:f>A324+1</x:f>
        <x:v>320</x:v>
      </x:c>
      <x:c r="B325" s="171" t="n">
        <x:f>IF(A325&lt;='Your Mortgage'!$C$8*12,EDATE('Your Mortgage'!$C$9,A325-1),"")</x:f>
        <x:v>55944</x:v>
      </x:c>
      <x:c r="C325" s="172" t="n">
        <x:f>IF(B325="","",'Your Mortgage'!$C$11)</x:f>
        <x:v>2054.2210763521375</x:v>
      </x:c>
      <x:c r="D325" s="172" t="n">
        <x:f>IF(B325="","",'Your Mortgage'!$F$6+IF(A325='Your Mortgage'!$F$8,'Your Mortgage'!$F$7,0))</x:f>
        <x:v>250</x:v>
      </x:c>
      <x:c r="E325" s="173"/>
      <x:c r="F325" s="170"/>
      <x:c r="G325" s="170"/>
      <x:c r="H325" s="170"/>
      <x:c r="I325" s="1"/>
      <x:c r="J325" s="1"/>
      <x:c r="K325" s="1"/>
      <x:c r="L325" s="1"/>
      <x:c r="M325" s="1"/>
      <x:c r="N325" s="1"/>
      <x:c r="O325" s="1"/>
      <x:c r="P325" s="1"/>
      <x:c r="Q325" s="1"/>
      <x:c r="R325" s="1"/>
      <x:c r="S325" s="1"/>
      <x:c r="T325" s="1"/>
      <x:c r="U325" s="1"/>
      <x:c r="V325" s="1"/>
      <x:c r="W325" s="1"/>
      <x:c r="X325" s="1"/>
      <x:c r="Y325" s="1"/>
      <x:c r="Z325" s="1"/>
    </x:row>
    <x:row r="326">
      <x:c r="A326" s="100" t="n">
        <x:f>A325+1</x:f>
        <x:v>321</x:v>
      </x:c>
      <x:c r="B326" s="171" t="n">
        <x:f>IF(A326&lt;='Your Mortgage'!$C$8*12,EDATE('Your Mortgage'!$C$9,A326-1),"")</x:f>
        <x:v>55975</x:v>
      </x:c>
      <x:c r="C326" s="172" t="n">
        <x:f>IF(B326="","",'Your Mortgage'!$C$11)</x:f>
        <x:v>2054.2210763521375</x:v>
      </x:c>
      <x:c r="D326" s="172" t="n">
        <x:f>IF(B326="","",'Your Mortgage'!$F$6+IF(A326='Your Mortgage'!$F$8,'Your Mortgage'!$F$7,0))</x:f>
        <x:v>250</x:v>
      </x:c>
      <x:c r="E326" s="173"/>
      <x:c r="F326" s="170"/>
      <x:c r="G326" s="170"/>
      <x:c r="H326" s="170"/>
      <x:c r="I326" s="1"/>
      <x:c r="J326" s="1"/>
      <x:c r="K326" s="1"/>
      <x:c r="L326" s="1"/>
      <x:c r="M326" s="1"/>
      <x:c r="N326" s="1"/>
      <x:c r="O326" s="1"/>
      <x:c r="P326" s="1"/>
      <x:c r="Q326" s="1"/>
      <x:c r="R326" s="1"/>
      <x:c r="S326" s="1"/>
      <x:c r="T326" s="1"/>
      <x:c r="U326" s="1"/>
      <x:c r="V326" s="1"/>
      <x:c r="W326" s="1"/>
      <x:c r="X326" s="1"/>
      <x:c r="Y326" s="1"/>
      <x:c r="Z326" s="1"/>
    </x:row>
    <x:row r="327">
      <x:c r="A327" s="100" t="n">
        <x:f>A326+1</x:f>
        <x:v>322</x:v>
      </x:c>
      <x:c r="B327" s="171" t="n">
        <x:f>IF(A327&lt;='Your Mortgage'!$C$8*12,EDATE('Your Mortgage'!$C$9,A327-1),"")</x:f>
        <x:v>56005</x:v>
      </x:c>
      <x:c r="C327" s="172" t="n">
        <x:f>IF(B327="","",'Your Mortgage'!$C$11)</x:f>
        <x:v>2054.2210763521375</x:v>
      </x:c>
      <x:c r="D327" s="172" t="n">
        <x:f>IF(B327="","",'Your Mortgage'!$F$6+IF(A327='Your Mortgage'!$F$8,'Your Mortgage'!$F$7,0))</x:f>
        <x:v>250</x:v>
      </x:c>
      <x:c r="E327" s="173"/>
      <x:c r="F327" s="170"/>
      <x:c r="G327" s="170"/>
      <x:c r="H327" s="170"/>
      <x:c r="I327" s="1"/>
      <x:c r="J327" s="1"/>
      <x:c r="K327" s="1"/>
      <x:c r="L327" s="1"/>
      <x:c r="M327" s="1"/>
      <x:c r="N327" s="1"/>
      <x:c r="O327" s="1"/>
      <x:c r="P327" s="1"/>
      <x:c r="Q327" s="1"/>
      <x:c r="R327" s="1"/>
      <x:c r="S327" s="1"/>
      <x:c r="T327" s="1"/>
      <x:c r="U327" s="1"/>
      <x:c r="V327" s="1"/>
      <x:c r="W327" s="1"/>
      <x:c r="X327" s="1"/>
      <x:c r="Y327" s="1"/>
      <x:c r="Z327" s="1"/>
    </x:row>
    <x:row r="328">
      <x:c r="A328" s="100" t="n">
        <x:f>A327+1</x:f>
        <x:v>323</x:v>
      </x:c>
      <x:c r="B328" s="171" t="n">
        <x:f>IF(A328&lt;='Your Mortgage'!$C$8*12,EDATE('Your Mortgage'!$C$9,A328-1),"")</x:f>
        <x:v>56036</x:v>
      </x:c>
      <x:c r="C328" s="172" t="n">
        <x:f>IF(B328="","",'Your Mortgage'!$C$11)</x:f>
        <x:v>2054.2210763521375</x:v>
      </x:c>
      <x:c r="D328" s="172" t="n">
        <x:f>IF(B328="","",'Your Mortgage'!$F$6+IF(A328='Your Mortgage'!$F$8,'Your Mortgage'!$F$7,0))</x:f>
        <x:v>250</x:v>
      </x:c>
      <x:c r="E328" s="173"/>
      <x:c r="F328" s="170"/>
      <x:c r="G328" s="170"/>
      <x:c r="H328" s="170"/>
      <x:c r="I328" s="1"/>
      <x:c r="J328" s="1"/>
      <x:c r="K328" s="1"/>
      <x:c r="L328" s="1"/>
      <x:c r="M328" s="1"/>
      <x:c r="N328" s="1"/>
      <x:c r="O328" s="1"/>
      <x:c r="P328" s="1"/>
      <x:c r="Q328" s="1"/>
      <x:c r="R328" s="1"/>
      <x:c r="S328" s="1"/>
      <x:c r="T328" s="1"/>
      <x:c r="U328" s="1"/>
      <x:c r="V328" s="1"/>
      <x:c r="W328" s="1"/>
      <x:c r="X328" s="1"/>
      <x:c r="Y328" s="1"/>
      <x:c r="Z328" s="1"/>
    </x:row>
    <x:row r="329">
      <x:c r="A329" s="100" t="n">
        <x:f>A328+1</x:f>
        <x:v>324</x:v>
      </x:c>
      <x:c r="B329" s="171" t="n">
        <x:f>IF(A329&lt;='Your Mortgage'!$C$8*12,EDATE('Your Mortgage'!$C$9,A329-1),"")</x:f>
        <x:v>56066</x:v>
      </x:c>
      <x:c r="C329" s="172" t="n">
        <x:f>IF(B329="","",'Your Mortgage'!$C$11)</x:f>
        <x:v>2054.2210763521375</x:v>
      </x:c>
      <x:c r="D329" s="172" t="n">
        <x:f>IF(B329="","",'Your Mortgage'!$F$6+IF(A329='Your Mortgage'!$F$8,'Your Mortgage'!$F$7,0))</x:f>
        <x:v>250</x:v>
      </x:c>
      <x:c r="E329" s="173"/>
      <x:c r="F329" s="170"/>
      <x:c r="G329" s="170"/>
      <x:c r="H329" s="170"/>
      <x:c r="I329" s="1"/>
      <x:c r="J329" s="1"/>
      <x:c r="K329" s="1"/>
      <x:c r="L329" s="1"/>
      <x:c r="M329" s="1"/>
      <x:c r="N329" s="1"/>
      <x:c r="O329" s="1"/>
      <x:c r="P329" s="1"/>
      <x:c r="Q329" s="1"/>
      <x:c r="R329" s="1"/>
      <x:c r="S329" s="1"/>
      <x:c r="T329" s="1"/>
      <x:c r="U329" s="1"/>
      <x:c r="V329" s="1"/>
      <x:c r="W329" s="1"/>
      <x:c r="X329" s="1"/>
      <x:c r="Y329" s="1"/>
      <x:c r="Z329" s="1"/>
    </x:row>
    <x:row r="330">
      <x:c r="A330" s="100" t="n">
        <x:f>A329+1</x:f>
        <x:v>325</x:v>
      </x:c>
      <x:c r="B330" s="171" t="n">
        <x:f>IF(A330&lt;='Your Mortgage'!$C$8*12,EDATE('Your Mortgage'!$C$9,A330-1),"")</x:f>
        <x:v>56097</x:v>
      </x:c>
      <x:c r="C330" s="172" t="n">
        <x:f>IF(B330="","",'Your Mortgage'!$C$11)</x:f>
        <x:v>2054.2210763521375</x:v>
      </x:c>
      <x:c r="D330" s="172" t="n">
        <x:f>IF(B330="","",'Your Mortgage'!$F$6+IF(A330='Your Mortgage'!$F$8,'Your Mortgage'!$F$7,0))</x:f>
        <x:v>250</x:v>
      </x:c>
      <x:c r="E330" s="173"/>
      <x:c r="F330" s="170"/>
      <x:c r="G330" s="170"/>
      <x:c r="H330" s="170"/>
      <x:c r="I330" s="1"/>
      <x:c r="J330" s="1"/>
      <x:c r="K330" s="1"/>
      <x:c r="L330" s="1"/>
      <x:c r="M330" s="1"/>
      <x:c r="N330" s="1"/>
      <x:c r="O330" s="1"/>
      <x:c r="P330" s="1"/>
      <x:c r="Q330" s="1"/>
      <x:c r="R330" s="1"/>
      <x:c r="S330" s="1"/>
      <x:c r="T330" s="1"/>
      <x:c r="U330" s="1"/>
      <x:c r="V330" s="1"/>
      <x:c r="W330" s="1"/>
      <x:c r="X330" s="1"/>
      <x:c r="Y330" s="1"/>
      <x:c r="Z330" s="1"/>
    </x:row>
    <x:row r="331">
      <x:c r="A331" s="100" t="n">
        <x:f>A330+1</x:f>
        <x:v>326</x:v>
      </x:c>
      <x:c r="B331" s="171" t="n">
        <x:f>IF(A331&lt;='Your Mortgage'!$C$8*12,EDATE('Your Mortgage'!$C$9,A331-1),"")</x:f>
        <x:v>56128</x:v>
      </x:c>
      <x:c r="C331" s="172" t="n">
        <x:f>IF(B331="","",'Your Mortgage'!$C$11)</x:f>
        <x:v>2054.2210763521375</x:v>
      </x:c>
      <x:c r="D331" s="172" t="n">
        <x:f>IF(B331="","",'Your Mortgage'!$F$6+IF(A331='Your Mortgage'!$F$8,'Your Mortgage'!$F$7,0))</x:f>
        <x:v>250</x:v>
      </x:c>
      <x:c r="E331" s="173"/>
      <x:c r="F331" s="170"/>
      <x:c r="G331" s="170"/>
      <x:c r="H331" s="170"/>
      <x:c r="I331" s="1"/>
      <x:c r="J331" s="1"/>
      <x:c r="K331" s="1"/>
      <x:c r="L331" s="1"/>
      <x:c r="M331" s="1"/>
      <x:c r="N331" s="1"/>
      <x:c r="O331" s="1"/>
      <x:c r="P331" s="1"/>
      <x:c r="Q331" s="1"/>
      <x:c r="R331" s="1"/>
      <x:c r="S331" s="1"/>
      <x:c r="T331" s="1"/>
      <x:c r="U331" s="1"/>
      <x:c r="V331" s="1"/>
      <x:c r="W331" s="1"/>
      <x:c r="X331" s="1"/>
      <x:c r="Y331" s="1"/>
      <x:c r="Z331" s="1"/>
    </x:row>
    <x:row r="332">
      <x:c r="A332" s="100" t="n">
        <x:f>A331+1</x:f>
        <x:v>327</x:v>
      </x:c>
      <x:c r="B332" s="171" t="n">
        <x:f>IF(A332&lt;='Your Mortgage'!$C$8*12,EDATE('Your Mortgage'!$C$9,A332-1),"")</x:f>
        <x:v>56158</x:v>
      </x:c>
      <x:c r="C332" s="172" t="n">
        <x:f>IF(B332="","",'Your Mortgage'!$C$11)</x:f>
        <x:v>2054.2210763521375</x:v>
      </x:c>
      <x:c r="D332" s="172" t="n">
        <x:f>IF(B332="","",'Your Mortgage'!$F$6+IF(A332='Your Mortgage'!$F$8,'Your Mortgage'!$F$7,0))</x:f>
        <x:v>250</x:v>
      </x:c>
      <x:c r="E332" s="173"/>
      <x:c r="F332" s="170"/>
      <x:c r="G332" s="170"/>
      <x:c r="H332" s="170"/>
      <x:c r="I332" s="1"/>
      <x:c r="J332" s="1"/>
      <x:c r="K332" s="1"/>
      <x:c r="L332" s="1"/>
      <x:c r="M332" s="1"/>
      <x:c r="N332" s="1"/>
      <x:c r="O332" s="1"/>
      <x:c r="P332" s="1"/>
      <x:c r="Q332" s="1"/>
      <x:c r="R332" s="1"/>
      <x:c r="S332" s="1"/>
      <x:c r="T332" s="1"/>
      <x:c r="U332" s="1"/>
      <x:c r="V332" s="1"/>
      <x:c r="W332" s="1"/>
      <x:c r="X332" s="1"/>
      <x:c r="Y332" s="1"/>
      <x:c r="Z332" s="1"/>
    </x:row>
    <x:row r="333">
      <x:c r="A333" s="100" t="n">
        <x:f>A332+1</x:f>
        <x:v>328</x:v>
      </x:c>
      <x:c r="B333" s="171" t="n">
        <x:f>IF(A333&lt;='Your Mortgage'!$C$8*12,EDATE('Your Mortgage'!$C$9,A333-1),"")</x:f>
        <x:v>56189</x:v>
      </x:c>
      <x:c r="C333" s="172" t="n">
        <x:f>IF(B333="","",'Your Mortgage'!$C$11)</x:f>
        <x:v>2054.2210763521375</x:v>
      </x:c>
      <x:c r="D333" s="172" t="n">
        <x:f>IF(B333="","",'Your Mortgage'!$F$6+IF(A333='Your Mortgage'!$F$8,'Your Mortgage'!$F$7,0))</x:f>
        <x:v>250</x:v>
      </x:c>
      <x:c r="E333" s="173"/>
      <x:c r="F333" s="170"/>
      <x:c r="G333" s="170"/>
      <x:c r="H333" s="170"/>
      <x:c r="I333" s="1"/>
      <x:c r="J333" s="1"/>
      <x:c r="K333" s="1"/>
      <x:c r="L333" s="1"/>
      <x:c r="M333" s="1"/>
      <x:c r="N333" s="1"/>
      <x:c r="O333" s="1"/>
      <x:c r="P333" s="1"/>
      <x:c r="Q333" s="1"/>
      <x:c r="R333" s="1"/>
      <x:c r="S333" s="1"/>
      <x:c r="T333" s="1"/>
      <x:c r="U333" s="1"/>
      <x:c r="V333" s="1"/>
      <x:c r="W333" s="1"/>
      <x:c r="X333" s="1"/>
      <x:c r="Y333" s="1"/>
      <x:c r="Z333" s="1"/>
    </x:row>
    <x:row r="334">
      <x:c r="A334" s="100" t="n">
        <x:f>A333+1</x:f>
        <x:v>329</x:v>
      </x:c>
      <x:c r="B334" s="171" t="n">
        <x:f>IF(A334&lt;='Your Mortgage'!$C$8*12,EDATE('Your Mortgage'!$C$9,A334-1),"")</x:f>
        <x:v>56219</x:v>
      </x:c>
      <x:c r="C334" s="172" t="n">
        <x:f>IF(B334="","",'Your Mortgage'!$C$11)</x:f>
        <x:v>2054.2210763521375</x:v>
      </x:c>
      <x:c r="D334" s="172" t="n">
        <x:f>IF(B334="","",'Your Mortgage'!$F$6+IF(A334='Your Mortgage'!$F$8,'Your Mortgage'!$F$7,0))</x:f>
        <x:v>250</x:v>
      </x:c>
      <x:c r="E334" s="173"/>
      <x:c r="F334" s="170"/>
      <x:c r="G334" s="170"/>
      <x:c r="H334" s="170"/>
      <x:c r="I334" s="1"/>
      <x:c r="J334" s="1"/>
      <x:c r="K334" s="1"/>
      <x:c r="L334" s="1"/>
      <x:c r="M334" s="1"/>
      <x:c r="N334" s="1"/>
      <x:c r="O334" s="1"/>
      <x:c r="P334" s="1"/>
      <x:c r="Q334" s="1"/>
      <x:c r="R334" s="1"/>
      <x:c r="S334" s="1"/>
      <x:c r="T334" s="1"/>
      <x:c r="U334" s="1"/>
      <x:c r="V334" s="1"/>
      <x:c r="W334" s="1"/>
      <x:c r="X334" s="1"/>
      <x:c r="Y334" s="1"/>
      <x:c r="Z334" s="1"/>
    </x:row>
    <x:row r="335">
      <x:c r="A335" s="100" t="n">
        <x:f>A334+1</x:f>
        <x:v>330</x:v>
      </x:c>
      <x:c r="B335" s="171" t="n">
        <x:f>IF(A335&lt;='Your Mortgage'!$C$8*12,EDATE('Your Mortgage'!$C$9,A335-1),"")</x:f>
        <x:v>56250</x:v>
      </x:c>
      <x:c r="C335" s="172" t="n">
        <x:f>IF(B335="","",'Your Mortgage'!$C$11)</x:f>
        <x:v>2054.2210763521375</x:v>
      </x:c>
      <x:c r="D335" s="172" t="n">
        <x:f>IF(B335="","",'Your Mortgage'!$F$6+IF(A335='Your Mortgage'!$F$8,'Your Mortgage'!$F$7,0))</x:f>
        <x:v>250</x:v>
      </x:c>
      <x:c r="E335" s="173"/>
      <x:c r="F335" s="170"/>
      <x:c r="G335" s="170"/>
      <x:c r="H335" s="170"/>
      <x:c r="I335" s="1"/>
      <x:c r="J335" s="1"/>
      <x:c r="K335" s="1"/>
      <x:c r="L335" s="1"/>
      <x:c r="M335" s="1"/>
      <x:c r="N335" s="1"/>
      <x:c r="O335" s="1"/>
      <x:c r="P335" s="1"/>
      <x:c r="Q335" s="1"/>
      <x:c r="R335" s="1"/>
      <x:c r="S335" s="1"/>
      <x:c r="T335" s="1"/>
      <x:c r="U335" s="1"/>
      <x:c r="V335" s="1"/>
      <x:c r="W335" s="1"/>
      <x:c r="X335" s="1"/>
      <x:c r="Y335" s="1"/>
      <x:c r="Z335" s="1"/>
    </x:row>
    <x:row r="336">
      <x:c r="A336" s="100" t="n">
        <x:f>A335+1</x:f>
        <x:v>331</x:v>
      </x:c>
      <x:c r="B336" s="171" t="n">
        <x:f>IF(A336&lt;='Your Mortgage'!$C$8*12,EDATE('Your Mortgage'!$C$9,A336-1),"")</x:f>
        <x:v>56281</x:v>
      </x:c>
      <x:c r="C336" s="172" t="n">
        <x:f>IF(B336="","",'Your Mortgage'!$C$11)</x:f>
        <x:v>2054.2210763521375</x:v>
      </x:c>
      <x:c r="D336" s="172" t="n">
        <x:f>IF(B336="","",'Your Mortgage'!$F$6+IF(A336='Your Mortgage'!$F$8,'Your Mortgage'!$F$7,0))</x:f>
        <x:v>250</x:v>
      </x:c>
      <x:c r="E336" s="173"/>
      <x:c r="F336" s="170"/>
      <x:c r="G336" s="170"/>
      <x:c r="H336" s="170"/>
      <x:c r="I336" s="1"/>
      <x:c r="J336" s="1"/>
      <x:c r="K336" s="1"/>
      <x:c r="L336" s="1"/>
      <x:c r="M336" s="1"/>
      <x:c r="N336" s="1"/>
      <x:c r="O336" s="1"/>
      <x:c r="P336" s="1"/>
      <x:c r="Q336" s="1"/>
      <x:c r="R336" s="1"/>
      <x:c r="S336" s="1"/>
      <x:c r="T336" s="1"/>
      <x:c r="U336" s="1"/>
      <x:c r="V336" s="1"/>
      <x:c r="W336" s="1"/>
      <x:c r="X336" s="1"/>
      <x:c r="Y336" s="1"/>
      <x:c r="Z336" s="1"/>
    </x:row>
    <x:row r="337">
      <x:c r="A337" s="100" t="n">
        <x:f>A336+1</x:f>
        <x:v>332</x:v>
      </x:c>
      <x:c r="B337" s="171" t="n">
        <x:f>IF(A337&lt;='Your Mortgage'!$C$8*12,EDATE('Your Mortgage'!$C$9,A337-1),"")</x:f>
        <x:v>56309</x:v>
      </x:c>
      <x:c r="C337" s="172" t="n">
        <x:f>IF(B337="","",'Your Mortgage'!$C$11)</x:f>
        <x:v>2054.2210763521375</x:v>
      </x:c>
      <x:c r="D337" s="172" t="n">
        <x:f>IF(B337="","",'Your Mortgage'!$F$6+IF(A337='Your Mortgage'!$F$8,'Your Mortgage'!$F$7,0))</x:f>
        <x:v>250</x:v>
      </x:c>
      <x:c r="E337" s="173"/>
      <x:c r="F337" s="170"/>
      <x:c r="G337" s="170"/>
      <x:c r="H337" s="170"/>
      <x:c r="I337" s="1"/>
      <x:c r="J337" s="1"/>
      <x:c r="K337" s="1"/>
      <x:c r="L337" s="1"/>
      <x:c r="M337" s="1"/>
      <x:c r="N337" s="1"/>
      <x:c r="O337" s="1"/>
      <x:c r="P337" s="1"/>
      <x:c r="Q337" s="1"/>
      <x:c r="R337" s="1"/>
      <x:c r="S337" s="1"/>
      <x:c r="T337" s="1"/>
      <x:c r="U337" s="1"/>
      <x:c r="V337" s="1"/>
      <x:c r="W337" s="1"/>
      <x:c r="X337" s="1"/>
      <x:c r="Y337" s="1"/>
      <x:c r="Z337" s="1"/>
    </x:row>
    <x:row r="338">
      <x:c r="A338" s="100" t="n">
        <x:f>A337+1</x:f>
        <x:v>333</x:v>
      </x:c>
      <x:c r="B338" s="171" t="n">
        <x:f>IF(A338&lt;='Your Mortgage'!$C$8*12,EDATE('Your Mortgage'!$C$9,A338-1),"")</x:f>
        <x:v>56340</x:v>
      </x:c>
      <x:c r="C338" s="172" t="n">
        <x:f>IF(B338="","",'Your Mortgage'!$C$11)</x:f>
        <x:v>2054.2210763521375</x:v>
      </x:c>
      <x:c r="D338" s="172" t="n">
        <x:f>IF(B338="","",'Your Mortgage'!$F$6+IF(A338='Your Mortgage'!$F$8,'Your Mortgage'!$F$7,0))</x:f>
        <x:v>250</x:v>
      </x:c>
      <x:c r="E338" s="173"/>
      <x:c r="F338" s="170"/>
      <x:c r="G338" s="170"/>
      <x:c r="H338" s="170"/>
      <x:c r="I338" s="1"/>
      <x:c r="J338" s="1"/>
      <x:c r="K338" s="1"/>
      <x:c r="L338" s="1"/>
      <x:c r="M338" s="1"/>
      <x:c r="N338" s="1"/>
      <x:c r="O338" s="1"/>
      <x:c r="P338" s="1"/>
      <x:c r="Q338" s="1"/>
      <x:c r="R338" s="1"/>
      <x:c r="S338" s="1"/>
      <x:c r="T338" s="1"/>
      <x:c r="U338" s="1"/>
      <x:c r="V338" s="1"/>
      <x:c r="W338" s="1"/>
      <x:c r="X338" s="1"/>
      <x:c r="Y338" s="1"/>
      <x:c r="Z338" s="1"/>
    </x:row>
    <x:row r="339">
      <x:c r="A339" s="100" t="n">
        <x:f>A338+1</x:f>
        <x:v>334</x:v>
      </x:c>
      <x:c r="B339" s="171" t="n">
        <x:f>IF(A339&lt;='Your Mortgage'!$C$8*12,EDATE('Your Mortgage'!$C$9,A339-1),"")</x:f>
        <x:v>56370</x:v>
      </x:c>
      <x:c r="C339" s="172" t="n">
        <x:f>IF(B339="","",'Your Mortgage'!$C$11)</x:f>
        <x:v>2054.2210763521375</x:v>
      </x:c>
      <x:c r="D339" s="172" t="n">
        <x:f>IF(B339="","",'Your Mortgage'!$F$6+IF(A339='Your Mortgage'!$F$8,'Your Mortgage'!$F$7,0))</x:f>
        <x:v>250</x:v>
      </x:c>
      <x:c r="E339" s="173"/>
      <x:c r="F339" s="170"/>
      <x:c r="G339" s="170"/>
      <x:c r="H339" s="170"/>
      <x:c r="I339" s="1"/>
      <x:c r="J339" s="1"/>
      <x:c r="K339" s="1"/>
      <x:c r="L339" s="1"/>
      <x:c r="M339" s="1"/>
      <x:c r="N339" s="1"/>
      <x:c r="O339" s="1"/>
      <x:c r="P339" s="1"/>
      <x:c r="Q339" s="1"/>
      <x:c r="R339" s="1"/>
      <x:c r="S339" s="1"/>
      <x:c r="T339" s="1"/>
      <x:c r="U339" s="1"/>
      <x:c r="V339" s="1"/>
      <x:c r="W339" s="1"/>
      <x:c r="X339" s="1"/>
      <x:c r="Y339" s="1"/>
      <x:c r="Z339" s="1"/>
    </x:row>
    <x:row r="340">
      <x:c r="A340" s="100" t="n">
        <x:f>A339+1</x:f>
        <x:v>335</x:v>
      </x:c>
      <x:c r="B340" s="171" t="n">
        <x:f>IF(A340&lt;='Your Mortgage'!$C$8*12,EDATE('Your Mortgage'!$C$9,A340-1),"")</x:f>
        <x:v>56401</x:v>
      </x:c>
      <x:c r="C340" s="172" t="n">
        <x:f>IF(B340="","",'Your Mortgage'!$C$11)</x:f>
        <x:v>2054.2210763521375</x:v>
      </x:c>
      <x:c r="D340" s="172" t="n">
        <x:f>IF(B340="","",'Your Mortgage'!$F$6+IF(A340='Your Mortgage'!$F$8,'Your Mortgage'!$F$7,0))</x:f>
        <x:v>250</x:v>
      </x:c>
      <x:c r="E340" s="173"/>
      <x:c r="F340" s="170"/>
      <x:c r="G340" s="170"/>
      <x:c r="H340" s="170"/>
      <x:c r="I340" s="1"/>
      <x:c r="J340" s="1"/>
      <x:c r="K340" s="1"/>
      <x:c r="L340" s="1"/>
      <x:c r="M340" s="1"/>
      <x:c r="N340" s="1"/>
      <x:c r="O340" s="1"/>
      <x:c r="P340" s="1"/>
      <x:c r="Q340" s="1"/>
      <x:c r="R340" s="1"/>
      <x:c r="S340" s="1"/>
      <x:c r="T340" s="1"/>
      <x:c r="U340" s="1"/>
      <x:c r="V340" s="1"/>
      <x:c r="W340" s="1"/>
      <x:c r="X340" s="1"/>
      <x:c r="Y340" s="1"/>
      <x:c r="Z340" s="1"/>
    </x:row>
    <x:row r="341">
      <x:c r="A341" s="100" t="n">
        <x:f>A340+1</x:f>
        <x:v>336</x:v>
      </x:c>
      <x:c r="B341" s="171" t="n">
        <x:f>IF(A341&lt;='Your Mortgage'!$C$8*12,EDATE('Your Mortgage'!$C$9,A341-1),"")</x:f>
        <x:v>56431</x:v>
      </x:c>
      <x:c r="C341" s="172" t="n">
        <x:f>IF(B341="","",'Your Mortgage'!$C$11)</x:f>
        <x:v>2054.2210763521375</x:v>
      </x:c>
      <x:c r="D341" s="172" t="n">
        <x:f>IF(B341="","",'Your Mortgage'!$F$6+IF(A341='Your Mortgage'!$F$8,'Your Mortgage'!$F$7,0))</x:f>
        <x:v>250</x:v>
      </x:c>
      <x:c r="E341" s="173"/>
      <x:c r="F341" s="170"/>
      <x:c r="G341" s="170"/>
      <x:c r="H341" s="170"/>
      <x:c r="I341" s="1"/>
      <x:c r="J341" s="1"/>
      <x:c r="K341" s="1"/>
      <x:c r="L341" s="1"/>
      <x:c r="M341" s="1"/>
      <x:c r="N341" s="1"/>
      <x:c r="O341" s="1"/>
      <x:c r="P341" s="1"/>
      <x:c r="Q341" s="1"/>
      <x:c r="R341" s="1"/>
      <x:c r="S341" s="1"/>
      <x:c r="T341" s="1"/>
      <x:c r="U341" s="1"/>
      <x:c r="V341" s="1"/>
      <x:c r="W341" s="1"/>
      <x:c r="X341" s="1"/>
      <x:c r="Y341" s="1"/>
      <x:c r="Z341" s="1"/>
    </x:row>
    <x:row r="342">
      <x:c r="A342" s="100" t="n">
        <x:f>A341+1</x:f>
        <x:v>337</x:v>
      </x:c>
      <x:c r="B342" s="171" t="n">
        <x:f>IF(A342&lt;='Your Mortgage'!$C$8*12,EDATE('Your Mortgage'!$C$9,A342-1),"")</x:f>
        <x:v>56462</x:v>
      </x:c>
      <x:c r="C342" s="172" t="n">
        <x:f>IF(B342="","",'Your Mortgage'!$C$11)</x:f>
        <x:v>2054.2210763521375</x:v>
      </x:c>
      <x:c r="D342" s="172" t="n">
        <x:f>IF(B342="","",'Your Mortgage'!$F$6+IF(A342='Your Mortgage'!$F$8,'Your Mortgage'!$F$7,0))</x:f>
        <x:v>250</x:v>
      </x:c>
      <x:c r="E342" s="173"/>
      <x:c r="F342" s="170"/>
      <x:c r="G342" s="170"/>
      <x:c r="H342" s="170"/>
      <x:c r="I342" s="1"/>
      <x:c r="J342" s="1"/>
      <x:c r="K342" s="1"/>
      <x:c r="L342" s="1"/>
      <x:c r="M342" s="1"/>
      <x:c r="N342" s="1"/>
      <x:c r="O342" s="1"/>
      <x:c r="P342" s="1"/>
      <x:c r="Q342" s="1"/>
      <x:c r="R342" s="1"/>
      <x:c r="S342" s="1"/>
      <x:c r="T342" s="1"/>
      <x:c r="U342" s="1"/>
      <x:c r="V342" s="1"/>
      <x:c r="W342" s="1"/>
      <x:c r="X342" s="1"/>
      <x:c r="Y342" s="1"/>
      <x:c r="Z342" s="1"/>
    </x:row>
    <x:row r="343">
      <x:c r="A343" s="100" t="n">
        <x:f>A342+1</x:f>
        <x:v>338</x:v>
      </x:c>
      <x:c r="B343" s="171" t="n">
        <x:f>IF(A343&lt;='Your Mortgage'!$C$8*12,EDATE('Your Mortgage'!$C$9,A343-1),"")</x:f>
        <x:v>56493</x:v>
      </x:c>
      <x:c r="C343" s="172" t="n">
        <x:f>IF(B343="","",'Your Mortgage'!$C$11)</x:f>
        <x:v>2054.2210763521375</x:v>
      </x:c>
      <x:c r="D343" s="172" t="n">
        <x:f>IF(B343="","",'Your Mortgage'!$F$6+IF(A343='Your Mortgage'!$F$8,'Your Mortgage'!$F$7,0))</x:f>
        <x:v>250</x:v>
      </x:c>
      <x:c r="E343" s="173"/>
      <x:c r="F343" s="170"/>
      <x:c r="G343" s="170"/>
      <x:c r="H343" s="170"/>
      <x:c r="I343" s="1"/>
      <x:c r="J343" s="1"/>
      <x:c r="K343" s="1"/>
      <x:c r="L343" s="1"/>
      <x:c r="M343" s="1"/>
      <x:c r="N343" s="1"/>
      <x:c r="O343" s="1"/>
      <x:c r="P343" s="1"/>
      <x:c r="Q343" s="1"/>
      <x:c r="R343" s="1"/>
      <x:c r="S343" s="1"/>
      <x:c r="T343" s="1"/>
      <x:c r="U343" s="1"/>
      <x:c r="V343" s="1"/>
      <x:c r="W343" s="1"/>
      <x:c r="X343" s="1"/>
      <x:c r="Y343" s="1"/>
      <x:c r="Z343" s="1"/>
    </x:row>
    <x:row r="344">
      <x:c r="A344" s="100" t="n">
        <x:f>A343+1</x:f>
        <x:v>339</x:v>
      </x:c>
      <x:c r="B344" s="171" t="n">
        <x:f>IF(A344&lt;='Your Mortgage'!$C$8*12,EDATE('Your Mortgage'!$C$9,A344-1),"")</x:f>
        <x:v>56523</x:v>
      </x:c>
      <x:c r="C344" s="172" t="n">
        <x:f>IF(B344="","",'Your Mortgage'!$C$11)</x:f>
        <x:v>2054.2210763521375</x:v>
      </x:c>
      <x:c r="D344" s="172" t="n">
        <x:f>IF(B344="","",'Your Mortgage'!$F$6+IF(A344='Your Mortgage'!$F$8,'Your Mortgage'!$F$7,0))</x:f>
        <x:v>250</x:v>
      </x:c>
      <x:c r="E344" s="173"/>
      <x:c r="F344" s="170"/>
      <x:c r="G344" s="170"/>
      <x:c r="H344" s="170"/>
      <x:c r="I344" s="1"/>
      <x:c r="J344" s="1"/>
      <x:c r="K344" s="1"/>
      <x:c r="L344" s="1"/>
      <x:c r="M344" s="1"/>
      <x:c r="N344" s="1"/>
      <x:c r="O344" s="1"/>
      <x:c r="P344" s="1"/>
      <x:c r="Q344" s="1"/>
      <x:c r="R344" s="1"/>
      <x:c r="S344" s="1"/>
      <x:c r="T344" s="1"/>
      <x:c r="U344" s="1"/>
      <x:c r="V344" s="1"/>
      <x:c r="W344" s="1"/>
      <x:c r="X344" s="1"/>
      <x:c r="Y344" s="1"/>
      <x:c r="Z344" s="1"/>
    </x:row>
    <x:row r="345">
      <x:c r="A345" s="100" t="n">
        <x:f>A344+1</x:f>
        <x:v>340</x:v>
      </x:c>
      <x:c r="B345" s="171" t="n">
        <x:f>IF(A345&lt;='Your Mortgage'!$C$8*12,EDATE('Your Mortgage'!$C$9,A345-1),"")</x:f>
        <x:v>56554</x:v>
      </x:c>
      <x:c r="C345" s="172" t="n">
        <x:f>IF(B345="","",'Your Mortgage'!$C$11)</x:f>
        <x:v>2054.2210763521375</x:v>
      </x:c>
      <x:c r="D345" s="172" t="n">
        <x:f>IF(B345="","",'Your Mortgage'!$F$6+IF(A345='Your Mortgage'!$F$8,'Your Mortgage'!$F$7,0))</x:f>
        <x:v>250</x:v>
      </x:c>
      <x:c r="E345" s="173"/>
      <x:c r="F345" s="170"/>
      <x:c r="G345" s="170"/>
      <x:c r="H345" s="170"/>
      <x:c r="I345" s="1"/>
      <x:c r="J345" s="1"/>
      <x:c r="K345" s="1"/>
      <x:c r="L345" s="1"/>
      <x:c r="M345" s="1"/>
      <x:c r="N345" s="1"/>
      <x:c r="O345" s="1"/>
      <x:c r="P345" s="1"/>
      <x:c r="Q345" s="1"/>
      <x:c r="R345" s="1"/>
      <x:c r="S345" s="1"/>
      <x:c r="T345" s="1"/>
      <x:c r="U345" s="1"/>
      <x:c r="V345" s="1"/>
      <x:c r="W345" s="1"/>
      <x:c r="X345" s="1"/>
      <x:c r="Y345" s="1"/>
      <x:c r="Z345" s="1"/>
    </x:row>
    <x:row r="346">
      <x:c r="A346" s="100" t="n">
        <x:f>A345+1</x:f>
        <x:v>341</x:v>
      </x:c>
      <x:c r="B346" s="171" t="n">
        <x:f>IF(A346&lt;='Your Mortgage'!$C$8*12,EDATE('Your Mortgage'!$C$9,A346-1),"")</x:f>
        <x:v>56584</x:v>
      </x:c>
      <x:c r="C346" s="172" t="n">
        <x:f>IF(B346="","",'Your Mortgage'!$C$11)</x:f>
        <x:v>2054.2210763521375</x:v>
      </x:c>
      <x:c r="D346" s="172" t="n">
        <x:f>IF(B346="","",'Your Mortgage'!$F$6+IF(A346='Your Mortgage'!$F$8,'Your Mortgage'!$F$7,0))</x:f>
        <x:v>250</x:v>
      </x:c>
      <x:c r="E346" s="173"/>
      <x:c r="F346" s="170"/>
      <x:c r="G346" s="170"/>
      <x:c r="H346" s="170"/>
      <x:c r="I346" s="1"/>
      <x:c r="J346" s="1"/>
      <x:c r="K346" s="1"/>
      <x:c r="L346" s="1"/>
      <x:c r="M346" s="1"/>
      <x:c r="N346" s="1"/>
      <x:c r="O346" s="1"/>
      <x:c r="P346" s="1"/>
      <x:c r="Q346" s="1"/>
      <x:c r="R346" s="1"/>
      <x:c r="S346" s="1"/>
      <x:c r="T346" s="1"/>
      <x:c r="U346" s="1"/>
      <x:c r="V346" s="1"/>
      <x:c r="W346" s="1"/>
      <x:c r="X346" s="1"/>
      <x:c r="Y346" s="1"/>
      <x:c r="Z346" s="1"/>
    </x:row>
    <x:row r="347">
      <x:c r="A347" s="100" t="n">
        <x:f>A346+1</x:f>
        <x:v>342</x:v>
      </x:c>
      <x:c r="B347" s="171" t="n">
        <x:f>IF(A347&lt;='Your Mortgage'!$C$8*12,EDATE('Your Mortgage'!$C$9,A347-1),"")</x:f>
        <x:v>56615</x:v>
      </x:c>
      <x:c r="C347" s="172" t="n">
        <x:f>IF(B347="","",'Your Mortgage'!$C$11)</x:f>
        <x:v>2054.2210763521375</x:v>
      </x:c>
      <x:c r="D347" s="172" t="n">
        <x:f>IF(B347="","",'Your Mortgage'!$F$6+IF(A347='Your Mortgage'!$F$8,'Your Mortgage'!$F$7,0))</x:f>
        <x:v>250</x:v>
      </x:c>
      <x:c r="E347" s="173"/>
      <x:c r="F347" s="170"/>
      <x:c r="G347" s="170"/>
      <x:c r="H347" s="170"/>
      <x:c r="I347" s="1"/>
      <x:c r="J347" s="1"/>
      <x:c r="K347" s="1"/>
      <x:c r="L347" s="1"/>
      <x:c r="M347" s="1"/>
      <x:c r="N347" s="1"/>
      <x:c r="O347" s="1"/>
      <x:c r="P347" s="1"/>
      <x:c r="Q347" s="1"/>
      <x:c r="R347" s="1"/>
      <x:c r="S347" s="1"/>
      <x:c r="T347" s="1"/>
      <x:c r="U347" s="1"/>
      <x:c r="V347" s="1"/>
      <x:c r="W347" s="1"/>
      <x:c r="X347" s="1"/>
      <x:c r="Y347" s="1"/>
      <x:c r="Z347" s="1"/>
    </x:row>
    <x:row r="348">
      <x:c r="A348" s="100" t="n">
        <x:f>A347+1</x:f>
        <x:v>343</x:v>
      </x:c>
      <x:c r="B348" s="171" t="n">
        <x:f>IF(A348&lt;='Your Mortgage'!$C$8*12,EDATE('Your Mortgage'!$C$9,A348-1),"")</x:f>
        <x:v>56646</x:v>
      </x:c>
      <x:c r="C348" s="172" t="n">
        <x:f>IF(B348="","",'Your Mortgage'!$C$11)</x:f>
        <x:v>2054.2210763521375</x:v>
      </x:c>
      <x:c r="D348" s="172" t="n">
        <x:f>IF(B348="","",'Your Mortgage'!$F$6+IF(A348='Your Mortgage'!$F$8,'Your Mortgage'!$F$7,0))</x:f>
        <x:v>250</x:v>
      </x:c>
      <x:c r="E348" s="173"/>
      <x:c r="F348" s="170"/>
      <x:c r="G348" s="170"/>
      <x:c r="H348" s="170"/>
      <x:c r="I348" s="1"/>
      <x:c r="J348" s="1"/>
      <x:c r="K348" s="1"/>
      <x:c r="L348" s="1"/>
      <x:c r="M348" s="1"/>
      <x:c r="N348" s="1"/>
      <x:c r="O348" s="1"/>
      <x:c r="P348" s="1"/>
      <x:c r="Q348" s="1"/>
      <x:c r="R348" s="1"/>
      <x:c r="S348" s="1"/>
      <x:c r="T348" s="1"/>
      <x:c r="U348" s="1"/>
      <x:c r="V348" s="1"/>
      <x:c r="W348" s="1"/>
      <x:c r="X348" s="1"/>
      <x:c r="Y348" s="1"/>
      <x:c r="Z348" s="1"/>
    </x:row>
    <x:row r="349">
      <x:c r="A349" s="100" t="n">
        <x:f>A348+1</x:f>
        <x:v>344</x:v>
      </x:c>
      <x:c r="B349" s="171" t="n">
        <x:f>IF(A349&lt;='Your Mortgage'!$C$8*12,EDATE('Your Mortgage'!$C$9,A349-1),"")</x:f>
        <x:v>56674</x:v>
      </x:c>
      <x:c r="C349" s="172" t="n">
        <x:f>IF(B349="","",'Your Mortgage'!$C$11)</x:f>
        <x:v>2054.2210763521375</x:v>
      </x:c>
      <x:c r="D349" s="172" t="n">
        <x:f>IF(B349="","",'Your Mortgage'!$F$6+IF(A349='Your Mortgage'!$F$8,'Your Mortgage'!$F$7,0))</x:f>
        <x:v>250</x:v>
      </x:c>
      <x:c r="E349" s="173"/>
      <x:c r="F349" s="170"/>
      <x:c r="G349" s="170"/>
      <x:c r="H349" s="170"/>
      <x:c r="I349" s="1"/>
      <x:c r="J349" s="1"/>
      <x:c r="K349" s="1"/>
      <x:c r="L349" s="1"/>
      <x:c r="M349" s="1"/>
      <x:c r="N349" s="1"/>
      <x:c r="O349" s="1"/>
      <x:c r="P349" s="1"/>
      <x:c r="Q349" s="1"/>
      <x:c r="R349" s="1"/>
      <x:c r="S349" s="1"/>
      <x:c r="T349" s="1"/>
      <x:c r="U349" s="1"/>
      <x:c r="V349" s="1"/>
      <x:c r="W349" s="1"/>
      <x:c r="X349" s="1"/>
      <x:c r="Y349" s="1"/>
      <x:c r="Z349" s="1"/>
    </x:row>
    <x:row r="350">
      <x:c r="A350" s="100" t="n">
        <x:f>A349+1</x:f>
        <x:v>345</x:v>
      </x:c>
      <x:c r="B350" s="171" t="n">
        <x:f>IF(A350&lt;='Your Mortgage'!$C$8*12,EDATE('Your Mortgage'!$C$9,A350-1),"")</x:f>
        <x:v>56705</x:v>
      </x:c>
      <x:c r="C350" s="172" t="n">
        <x:f>IF(B350="","",'Your Mortgage'!$C$11)</x:f>
        <x:v>2054.2210763521375</x:v>
      </x:c>
      <x:c r="D350" s="172" t="n">
        <x:f>IF(B350="","",'Your Mortgage'!$F$6+IF(A350='Your Mortgage'!$F$8,'Your Mortgage'!$F$7,0))</x:f>
        <x:v>250</x:v>
      </x:c>
      <x:c r="E350" s="173"/>
      <x:c r="F350" s="170"/>
      <x:c r="G350" s="170"/>
      <x:c r="H350" s="170"/>
      <x:c r="I350" s="1"/>
      <x:c r="J350" s="1"/>
      <x:c r="K350" s="1"/>
      <x:c r="L350" s="1"/>
      <x:c r="M350" s="1"/>
      <x:c r="N350" s="1"/>
      <x:c r="O350" s="1"/>
      <x:c r="P350" s="1"/>
      <x:c r="Q350" s="1"/>
      <x:c r="R350" s="1"/>
      <x:c r="S350" s="1"/>
      <x:c r="T350" s="1"/>
      <x:c r="U350" s="1"/>
      <x:c r="V350" s="1"/>
      <x:c r="W350" s="1"/>
      <x:c r="X350" s="1"/>
      <x:c r="Y350" s="1"/>
      <x:c r="Z350" s="1"/>
    </x:row>
    <x:row r="351">
      <x:c r="A351" s="100" t="n">
        <x:f>A350+1</x:f>
        <x:v>346</x:v>
      </x:c>
      <x:c r="B351" s="171" t="n">
        <x:f>IF(A351&lt;='Your Mortgage'!$C$8*12,EDATE('Your Mortgage'!$C$9,A351-1),"")</x:f>
        <x:v>56735</x:v>
      </x:c>
      <x:c r="C351" s="172" t="n">
        <x:f>IF(B351="","",'Your Mortgage'!$C$11)</x:f>
        <x:v>2054.2210763521375</x:v>
      </x:c>
      <x:c r="D351" s="172" t="n">
        <x:f>IF(B351="","",'Your Mortgage'!$F$6+IF(A351='Your Mortgage'!$F$8,'Your Mortgage'!$F$7,0))</x:f>
        <x:v>250</x:v>
      </x:c>
      <x:c r="E351" s="173"/>
      <x:c r="F351" s="170"/>
      <x:c r="G351" s="170"/>
      <x:c r="H351" s="170"/>
      <x:c r="I351" s="1"/>
      <x:c r="J351" s="1"/>
      <x:c r="K351" s="1"/>
      <x:c r="L351" s="1"/>
      <x:c r="M351" s="1"/>
      <x:c r="N351" s="1"/>
      <x:c r="O351" s="1"/>
      <x:c r="P351" s="1"/>
      <x:c r="Q351" s="1"/>
      <x:c r="R351" s="1"/>
      <x:c r="S351" s="1"/>
      <x:c r="T351" s="1"/>
      <x:c r="U351" s="1"/>
      <x:c r="V351" s="1"/>
      <x:c r="W351" s="1"/>
      <x:c r="X351" s="1"/>
      <x:c r="Y351" s="1"/>
      <x:c r="Z351" s="1"/>
    </x:row>
    <x:row r="352">
      <x:c r="A352" s="100" t="n">
        <x:f>A351+1</x:f>
        <x:v>347</x:v>
      </x:c>
      <x:c r="B352" s="171" t="n">
        <x:f>IF(A352&lt;='Your Mortgage'!$C$8*12,EDATE('Your Mortgage'!$C$9,A352-1),"")</x:f>
        <x:v>56766</x:v>
      </x:c>
      <x:c r="C352" s="172" t="n">
        <x:f>IF(B352="","",'Your Mortgage'!$C$11)</x:f>
        <x:v>2054.2210763521375</x:v>
      </x:c>
      <x:c r="D352" s="172" t="n">
        <x:f>IF(B352="","",'Your Mortgage'!$F$6+IF(A352='Your Mortgage'!$F$8,'Your Mortgage'!$F$7,0))</x:f>
        <x:v>250</x:v>
      </x:c>
      <x:c r="E352" s="173"/>
      <x:c r="F352" s="170"/>
      <x:c r="G352" s="170"/>
      <x:c r="H352" s="170"/>
      <x:c r="I352" s="1"/>
      <x:c r="J352" s="1"/>
      <x:c r="K352" s="1"/>
      <x:c r="L352" s="1"/>
      <x:c r="M352" s="1"/>
      <x:c r="N352" s="1"/>
      <x:c r="O352" s="1"/>
      <x:c r="P352" s="1"/>
      <x:c r="Q352" s="1"/>
      <x:c r="R352" s="1"/>
      <x:c r="S352" s="1"/>
      <x:c r="T352" s="1"/>
      <x:c r="U352" s="1"/>
      <x:c r="V352" s="1"/>
      <x:c r="W352" s="1"/>
      <x:c r="X352" s="1"/>
      <x:c r="Y352" s="1"/>
      <x:c r="Z352" s="1"/>
    </x:row>
    <x:row r="353">
      <x:c r="A353" s="100" t="n">
        <x:f>A352+1</x:f>
        <x:v>348</x:v>
      </x:c>
      <x:c r="B353" s="171" t="n">
        <x:f>IF(A353&lt;='Your Mortgage'!$C$8*12,EDATE('Your Mortgage'!$C$9,A353-1),"")</x:f>
        <x:v>56796</x:v>
      </x:c>
      <x:c r="C353" s="172" t="n">
        <x:f>IF(B353="","",'Your Mortgage'!$C$11)</x:f>
        <x:v>2054.2210763521375</x:v>
      </x:c>
      <x:c r="D353" s="172" t="n">
        <x:f>IF(B353="","",'Your Mortgage'!$F$6+IF(A353='Your Mortgage'!$F$8,'Your Mortgage'!$F$7,0))</x:f>
        <x:v>250</x:v>
      </x:c>
      <x:c r="E353" s="173"/>
      <x:c r="F353" s="170"/>
      <x:c r="G353" s="170"/>
      <x:c r="H353" s="170"/>
      <x:c r="I353" s="1"/>
      <x:c r="J353" s="1"/>
      <x:c r="K353" s="1"/>
      <x:c r="L353" s="1"/>
      <x:c r="M353" s="1"/>
      <x:c r="N353" s="1"/>
      <x:c r="O353" s="1"/>
      <x:c r="P353" s="1"/>
      <x:c r="Q353" s="1"/>
      <x:c r="R353" s="1"/>
      <x:c r="S353" s="1"/>
      <x:c r="T353" s="1"/>
      <x:c r="U353" s="1"/>
      <x:c r="V353" s="1"/>
      <x:c r="W353" s="1"/>
      <x:c r="X353" s="1"/>
      <x:c r="Y353" s="1"/>
      <x:c r="Z353" s="1"/>
    </x:row>
    <x:row r="354">
      <x:c r="A354" s="100" t="n">
        <x:f>A353+1</x:f>
        <x:v>349</x:v>
      </x:c>
      <x:c r="B354" s="171" t="n">
        <x:f>IF(A354&lt;='Your Mortgage'!$C$8*12,EDATE('Your Mortgage'!$C$9,A354-1),"")</x:f>
        <x:v>56827</x:v>
      </x:c>
      <x:c r="C354" s="172" t="n">
        <x:f>IF(B354="","",'Your Mortgage'!$C$11)</x:f>
        <x:v>2054.2210763521375</x:v>
      </x:c>
      <x:c r="D354" s="172" t="n">
        <x:f>IF(B354="","",'Your Mortgage'!$F$6+IF(A354='Your Mortgage'!$F$8,'Your Mortgage'!$F$7,0))</x:f>
        <x:v>250</x:v>
      </x:c>
      <x:c r="E354" s="173"/>
      <x:c r="F354" s="170"/>
      <x:c r="G354" s="170"/>
      <x:c r="H354" s="170"/>
      <x:c r="I354" s="1"/>
      <x:c r="J354" s="1"/>
      <x:c r="K354" s="1"/>
      <x:c r="L354" s="1"/>
      <x:c r="M354" s="1"/>
      <x:c r="N354" s="1"/>
      <x:c r="O354" s="1"/>
      <x:c r="P354" s="1"/>
      <x:c r="Q354" s="1"/>
      <x:c r="R354" s="1"/>
      <x:c r="S354" s="1"/>
      <x:c r="T354" s="1"/>
      <x:c r="U354" s="1"/>
      <x:c r="V354" s="1"/>
      <x:c r="W354" s="1"/>
      <x:c r="X354" s="1"/>
      <x:c r="Y354" s="1"/>
      <x:c r="Z354" s="1"/>
    </x:row>
    <x:row r="355">
      <x:c r="A355" s="100" t="n">
        <x:f>A354+1</x:f>
        <x:v>350</x:v>
      </x:c>
      <x:c r="B355" s="171" t="n">
        <x:f>IF(A355&lt;='Your Mortgage'!$C$8*12,EDATE('Your Mortgage'!$C$9,A355-1),"")</x:f>
        <x:v>56858</x:v>
      </x:c>
      <x:c r="C355" s="172" t="n">
        <x:f>IF(B355="","",'Your Mortgage'!$C$11)</x:f>
        <x:v>2054.2210763521375</x:v>
      </x:c>
      <x:c r="D355" s="172" t="n">
        <x:f>IF(B355="","",'Your Mortgage'!$F$6+IF(A355='Your Mortgage'!$F$8,'Your Mortgage'!$F$7,0))</x:f>
        <x:v>250</x:v>
      </x:c>
      <x:c r="E355" s="173"/>
      <x:c r="F355" s="170"/>
      <x:c r="G355" s="170"/>
      <x:c r="H355" s="170"/>
      <x:c r="I355" s="1"/>
      <x:c r="J355" s="1"/>
      <x:c r="K355" s="1"/>
      <x:c r="L355" s="1"/>
      <x:c r="M355" s="1"/>
      <x:c r="N355" s="1"/>
      <x:c r="O355" s="1"/>
      <x:c r="P355" s="1"/>
      <x:c r="Q355" s="1"/>
      <x:c r="R355" s="1"/>
      <x:c r="S355" s="1"/>
      <x:c r="T355" s="1"/>
      <x:c r="U355" s="1"/>
      <x:c r="V355" s="1"/>
      <x:c r="W355" s="1"/>
      <x:c r="X355" s="1"/>
      <x:c r="Y355" s="1"/>
      <x:c r="Z355" s="1"/>
    </x:row>
    <x:row r="356">
      <x:c r="A356" s="100" t="n">
        <x:f>A355+1</x:f>
        <x:v>351</x:v>
      </x:c>
      <x:c r="B356" s="171" t="n">
        <x:f>IF(A356&lt;='Your Mortgage'!$C$8*12,EDATE('Your Mortgage'!$C$9,A356-1),"")</x:f>
        <x:v>56888</x:v>
      </x:c>
      <x:c r="C356" s="172" t="n">
        <x:f>IF(B356="","",'Your Mortgage'!$C$11)</x:f>
        <x:v>2054.2210763521375</x:v>
      </x:c>
      <x:c r="D356" s="172" t="n">
        <x:f>IF(B356="","",'Your Mortgage'!$F$6+IF(A356='Your Mortgage'!$F$8,'Your Mortgage'!$F$7,0))</x:f>
        <x:v>250</x:v>
      </x:c>
      <x:c r="E356" s="173"/>
      <x:c r="F356" s="170"/>
      <x:c r="G356" s="170"/>
      <x:c r="H356" s="170"/>
      <x:c r="I356" s="1"/>
      <x:c r="J356" s="1"/>
      <x:c r="K356" s="1"/>
      <x:c r="L356" s="1"/>
      <x:c r="M356" s="1"/>
      <x:c r="N356" s="1"/>
      <x:c r="O356" s="1"/>
      <x:c r="P356" s="1"/>
      <x:c r="Q356" s="1"/>
      <x:c r="R356" s="1"/>
      <x:c r="S356" s="1"/>
      <x:c r="T356" s="1"/>
      <x:c r="U356" s="1"/>
      <x:c r="V356" s="1"/>
      <x:c r="W356" s="1"/>
      <x:c r="X356" s="1"/>
      <x:c r="Y356" s="1"/>
      <x:c r="Z356" s="1"/>
    </x:row>
    <x:row r="357">
      <x:c r="A357" s="100" t="n">
        <x:f>A356+1</x:f>
        <x:v>352</x:v>
      </x:c>
      <x:c r="B357" s="171" t="n">
        <x:f>IF(A357&lt;='Your Mortgage'!$C$8*12,EDATE('Your Mortgage'!$C$9,A357-1),"")</x:f>
        <x:v>56919</x:v>
      </x:c>
      <x:c r="C357" s="172" t="n">
        <x:f>IF(B357="","",'Your Mortgage'!$C$11)</x:f>
        <x:v>2054.2210763521375</x:v>
      </x:c>
      <x:c r="D357" s="172" t="n">
        <x:f>IF(B357="","",'Your Mortgage'!$F$6+IF(A357='Your Mortgage'!$F$8,'Your Mortgage'!$F$7,0))</x:f>
        <x:v>250</x:v>
      </x:c>
      <x:c r="E357" s="173"/>
      <x:c r="F357" s="170"/>
      <x:c r="G357" s="170"/>
      <x:c r="H357" s="170"/>
      <x:c r="I357" s="1"/>
      <x:c r="J357" s="1"/>
      <x:c r="K357" s="1"/>
      <x:c r="L357" s="1"/>
      <x:c r="M357" s="1"/>
      <x:c r="N357" s="1"/>
      <x:c r="O357" s="1"/>
      <x:c r="P357" s="1"/>
      <x:c r="Q357" s="1"/>
      <x:c r="R357" s="1"/>
      <x:c r="S357" s="1"/>
      <x:c r="T357" s="1"/>
      <x:c r="U357" s="1"/>
      <x:c r="V357" s="1"/>
      <x:c r="W357" s="1"/>
      <x:c r="X357" s="1"/>
      <x:c r="Y357" s="1"/>
      <x:c r="Z357" s="1"/>
    </x:row>
    <x:row r="358">
      <x:c r="A358" s="100" t="n">
        <x:f>A357+1</x:f>
        <x:v>353</x:v>
      </x:c>
      <x:c r="B358" s="171" t="n">
        <x:f>IF(A358&lt;='Your Mortgage'!$C$8*12,EDATE('Your Mortgage'!$C$9,A358-1),"")</x:f>
        <x:v>56949</x:v>
      </x:c>
      <x:c r="C358" s="172" t="n">
        <x:f>IF(B358="","",'Your Mortgage'!$C$11)</x:f>
        <x:v>2054.2210763521375</x:v>
      </x:c>
      <x:c r="D358" s="172" t="n">
        <x:f>IF(B358="","",'Your Mortgage'!$F$6+IF(A358='Your Mortgage'!$F$8,'Your Mortgage'!$F$7,0))</x:f>
        <x:v>250</x:v>
      </x:c>
      <x:c r="E358" s="173"/>
      <x:c r="F358" s="170"/>
      <x:c r="G358" s="170"/>
      <x:c r="H358" s="170"/>
      <x:c r="I358" s="1"/>
      <x:c r="J358" s="1"/>
      <x:c r="K358" s="1"/>
      <x:c r="L358" s="1"/>
      <x:c r="M358" s="1"/>
      <x:c r="N358" s="1"/>
      <x:c r="O358" s="1"/>
      <x:c r="P358" s="1"/>
      <x:c r="Q358" s="1"/>
      <x:c r="R358" s="1"/>
      <x:c r="S358" s="1"/>
      <x:c r="T358" s="1"/>
      <x:c r="U358" s="1"/>
      <x:c r="V358" s="1"/>
      <x:c r="W358" s="1"/>
      <x:c r="X358" s="1"/>
      <x:c r="Y358" s="1"/>
      <x:c r="Z358" s="1"/>
    </x:row>
    <x:row r="359">
      <x:c r="A359" s="100" t="n">
        <x:f>A358+1</x:f>
        <x:v>354</x:v>
      </x:c>
      <x:c r="B359" s="171" t="n">
        <x:f>IF(A359&lt;='Your Mortgage'!$C$8*12,EDATE('Your Mortgage'!$C$9,A359-1),"")</x:f>
        <x:v>56980</x:v>
      </x:c>
      <x:c r="C359" s="172" t="n">
        <x:f>IF(B359="","",'Your Mortgage'!$C$11)</x:f>
        <x:v>2054.2210763521375</x:v>
      </x:c>
      <x:c r="D359" s="172" t="n">
        <x:f>IF(B359="","",'Your Mortgage'!$F$6+IF(A359='Your Mortgage'!$F$8,'Your Mortgage'!$F$7,0))</x:f>
        <x:v>250</x:v>
      </x:c>
      <x:c r="E359" s="173"/>
      <x:c r="F359" s="170"/>
      <x:c r="G359" s="170"/>
      <x:c r="H359" s="170"/>
      <x:c r="I359" s="1"/>
      <x:c r="J359" s="1"/>
      <x:c r="K359" s="1"/>
      <x:c r="L359" s="1"/>
      <x:c r="M359" s="1"/>
      <x:c r="N359" s="1"/>
      <x:c r="O359" s="1"/>
      <x:c r="P359" s="1"/>
      <x:c r="Q359" s="1"/>
      <x:c r="R359" s="1"/>
      <x:c r="S359" s="1"/>
      <x:c r="T359" s="1"/>
      <x:c r="U359" s="1"/>
      <x:c r="V359" s="1"/>
      <x:c r="W359" s="1"/>
      <x:c r="X359" s="1"/>
      <x:c r="Y359" s="1"/>
      <x:c r="Z359" s="1"/>
    </x:row>
    <x:row r="360">
      <x:c r="A360" s="100" t="n">
        <x:f>A359+1</x:f>
        <x:v>355</x:v>
      </x:c>
      <x:c r="B360" s="171" t="n">
        <x:f>IF(A360&lt;='Your Mortgage'!$C$8*12,EDATE('Your Mortgage'!$C$9,A360-1),"")</x:f>
        <x:v>57011</x:v>
      </x:c>
      <x:c r="C360" s="172" t="n">
        <x:f>IF(B360="","",'Your Mortgage'!$C$11)</x:f>
        <x:v>2054.2210763521375</x:v>
      </x:c>
      <x:c r="D360" s="172" t="n">
        <x:f>IF(B360="","",'Your Mortgage'!$F$6+IF(A360='Your Mortgage'!$F$8,'Your Mortgage'!$F$7,0))</x:f>
        <x:v>250</x:v>
      </x:c>
      <x:c r="E360" s="173"/>
      <x:c r="F360" s="170"/>
      <x:c r="G360" s="170"/>
      <x:c r="H360" s="170"/>
      <x:c r="I360" s="1"/>
      <x:c r="J360" s="1"/>
      <x:c r="K360" s="1"/>
      <x:c r="L360" s="1"/>
      <x:c r="M360" s="1"/>
      <x:c r="N360" s="1"/>
      <x:c r="O360" s="1"/>
      <x:c r="P360" s="1"/>
      <x:c r="Q360" s="1"/>
      <x:c r="R360" s="1"/>
      <x:c r="S360" s="1"/>
      <x:c r="T360" s="1"/>
      <x:c r="U360" s="1"/>
      <x:c r="V360" s="1"/>
      <x:c r="W360" s="1"/>
      <x:c r="X360" s="1"/>
      <x:c r="Y360" s="1"/>
      <x:c r="Z360" s="1"/>
    </x:row>
    <x:row r="361">
      <x:c r="A361" s="100" t="n">
        <x:f>A360+1</x:f>
        <x:v>356</x:v>
      </x:c>
      <x:c r="B361" s="171" t="n">
        <x:f>IF(A361&lt;='Your Mortgage'!$C$8*12,EDATE('Your Mortgage'!$C$9,A361-1),"")</x:f>
        <x:v>57040</x:v>
      </x:c>
      <x:c r="C361" s="172" t="n">
        <x:f>IF(B361="","",'Your Mortgage'!$C$11)</x:f>
        <x:v>2054.2210763521375</x:v>
      </x:c>
      <x:c r="D361" s="172" t="n">
        <x:f>IF(B361="","",'Your Mortgage'!$F$6+IF(A361='Your Mortgage'!$F$8,'Your Mortgage'!$F$7,0))</x:f>
        <x:v>250</x:v>
      </x:c>
      <x:c r="E361" s="173"/>
      <x:c r="F361" s="170"/>
      <x:c r="G361" s="170"/>
      <x:c r="H361" s="170"/>
      <x:c r="I361" s="1"/>
      <x:c r="J361" s="1"/>
      <x:c r="K361" s="1"/>
      <x:c r="L361" s="1"/>
      <x:c r="M361" s="1"/>
      <x:c r="N361" s="1"/>
      <x:c r="O361" s="1"/>
      <x:c r="P361" s="1"/>
      <x:c r="Q361" s="1"/>
      <x:c r="R361" s="1"/>
      <x:c r="S361" s="1"/>
      <x:c r="T361" s="1"/>
      <x:c r="U361" s="1"/>
      <x:c r="V361" s="1"/>
      <x:c r="W361" s="1"/>
      <x:c r="X361" s="1"/>
      <x:c r="Y361" s="1"/>
      <x:c r="Z361" s="1"/>
    </x:row>
    <x:row r="362">
      <x:c r="A362" s="100" t="n">
        <x:f>A361+1</x:f>
        <x:v>357</x:v>
      </x:c>
      <x:c r="B362" s="171" t="n">
        <x:f>IF(A362&lt;='Your Mortgage'!$C$8*12,EDATE('Your Mortgage'!$C$9,A362-1),"")</x:f>
        <x:v>57071</x:v>
      </x:c>
      <x:c r="C362" s="172" t="n">
        <x:f>IF(B362="","",'Your Mortgage'!$C$11)</x:f>
        <x:v>2054.2210763521375</x:v>
      </x:c>
      <x:c r="D362" s="172" t="n">
        <x:f>IF(B362="","",'Your Mortgage'!$F$6+IF(A362='Your Mortgage'!$F$8,'Your Mortgage'!$F$7,0))</x:f>
        <x:v>250</x:v>
      </x:c>
      <x:c r="E362" s="173"/>
      <x:c r="F362" s="170"/>
      <x:c r="G362" s="170"/>
      <x:c r="H362" s="170"/>
      <x:c r="I362" s="1"/>
      <x:c r="J362" s="1"/>
      <x:c r="K362" s="1"/>
      <x:c r="L362" s="1"/>
      <x:c r="M362" s="1"/>
      <x:c r="N362" s="1"/>
      <x:c r="O362" s="1"/>
      <x:c r="P362" s="1"/>
      <x:c r="Q362" s="1"/>
      <x:c r="R362" s="1"/>
      <x:c r="S362" s="1"/>
      <x:c r="T362" s="1"/>
      <x:c r="U362" s="1"/>
      <x:c r="V362" s="1"/>
      <x:c r="W362" s="1"/>
      <x:c r="X362" s="1"/>
      <x:c r="Y362" s="1"/>
      <x:c r="Z362" s="1"/>
    </x:row>
    <x:row r="363">
      <x:c r="A363" s="100" t="n">
        <x:f>A362+1</x:f>
        <x:v>358</x:v>
      </x:c>
      <x:c r="B363" s="171" t="n">
        <x:f>IF(A363&lt;='Your Mortgage'!$C$8*12,EDATE('Your Mortgage'!$C$9,A363-1),"")</x:f>
        <x:v>57101</x:v>
      </x:c>
      <x:c r="C363" s="172" t="n">
        <x:f>IF(B363="","",'Your Mortgage'!$C$11)</x:f>
        <x:v>2054.2210763521375</x:v>
      </x:c>
      <x:c r="D363" s="172" t="n">
        <x:f>IF(B363="","",'Your Mortgage'!$F$6+IF(A363='Your Mortgage'!$F$8,'Your Mortgage'!$F$7,0))</x:f>
        <x:v>250</x:v>
      </x:c>
      <x:c r="E363" s="173"/>
      <x:c r="F363" s="170"/>
      <x:c r="G363" s="170"/>
      <x:c r="H363" s="170"/>
      <x:c r="I363" s="1"/>
      <x:c r="J363" s="1"/>
      <x:c r="K363" s="1"/>
      <x:c r="L363" s="1"/>
      <x:c r="M363" s="1"/>
      <x:c r="N363" s="1"/>
      <x:c r="O363" s="1"/>
      <x:c r="P363" s="1"/>
      <x:c r="Q363" s="1"/>
      <x:c r="R363" s="1"/>
      <x:c r="S363" s="1"/>
      <x:c r="T363" s="1"/>
      <x:c r="U363" s="1"/>
      <x:c r="V363" s="1"/>
      <x:c r="W363" s="1"/>
      <x:c r="X363" s="1"/>
      <x:c r="Y363" s="1"/>
      <x:c r="Z363" s="1"/>
    </x:row>
    <x:row r="364">
      <x:c r="A364" s="100" t="n">
        <x:f>A363+1</x:f>
        <x:v>359</x:v>
      </x:c>
      <x:c r="B364" s="171" t="n">
        <x:f>IF(A364&lt;='Your Mortgage'!$C$8*12,EDATE('Your Mortgage'!$C$9,A364-1),"")</x:f>
        <x:v>57132</x:v>
      </x:c>
      <x:c r="C364" s="172" t="n">
        <x:f>IF(B364="","",'Your Mortgage'!$C$11)</x:f>
        <x:v>2054.2210763521375</x:v>
      </x:c>
      <x:c r="D364" s="172" t="n">
        <x:f>IF(B364="","",'Your Mortgage'!$F$6+IF(A364='Your Mortgage'!$F$8,'Your Mortgage'!$F$7,0))</x:f>
        <x:v>250</x:v>
      </x:c>
      <x:c r="E364" s="173"/>
      <x:c r="F364" s="170"/>
      <x:c r="G364" s="170"/>
      <x:c r="H364" s="170"/>
      <x:c r="I364" s="1"/>
      <x:c r="J364" s="1"/>
      <x:c r="K364" s="1"/>
      <x:c r="L364" s="1"/>
      <x:c r="M364" s="1"/>
      <x:c r="N364" s="1"/>
      <x:c r="O364" s="1"/>
      <x:c r="P364" s="1"/>
      <x:c r="Q364" s="1"/>
      <x:c r="R364" s="1"/>
      <x:c r="S364" s="1"/>
      <x:c r="T364" s="1"/>
      <x:c r="U364" s="1"/>
      <x:c r="V364" s="1"/>
      <x:c r="W364" s="1"/>
      <x:c r="X364" s="1"/>
      <x:c r="Y364" s="1"/>
      <x:c r="Z364" s="1"/>
    </x:row>
    <x:row r="365">
      <x:c r="A365" s="100" t="n">
        <x:f>A364+1</x:f>
        <x:v>360</x:v>
      </x:c>
      <x:c r="B365" s="171" t="n">
        <x:f>IF(A365&lt;='Your Mortgage'!$C$8*12,EDATE('Your Mortgage'!$C$9,A365-1),"")</x:f>
        <x:v>57162</x:v>
      </x:c>
      <x:c r="C365" s="172" t="n">
        <x:f>IF(B365="","",'Your Mortgage'!$C$11)</x:f>
        <x:v>2054.2210763521375</x:v>
      </x:c>
      <x:c r="D365" s="172" t="n">
        <x:f>IF(B365="","",'Your Mortgage'!$F$6+IF(A365='Your Mortgage'!$F$8,'Your Mortgage'!$F$7,0))</x:f>
        <x:v>250</x:v>
      </x:c>
      <x:c r="E365" s="173"/>
      <x:c r="F365" s="170"/>
      <x:c r="G365" s="170"/>
      <x:c r="H365" s="170"/>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sheetData>
  <x:mergeCells>
    <x:mergeCell ref="A1:H2"/>
    <x:mergeCell ref="A3:H3"/>
  </x:mergeCells>
  <x:conditionalFormatting sqref="F6:F365">
    <x:cfRule type="containsText" dxfId="0" priority="1" operator="containsText" text="Paid"/>
    <x:cfRule type="containsText" dxfId="1" priority="2" operator="containsText" text="Skipped"/>
  </x:conditionalFormatting>
  <x:dataValidations count="1">
    <x:dataValidation type="list" sqref="F6:F365">
      <x:formula1>"Pending,Paid,Skipped"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52" hidden="0" customWidth="1"/>
    <x:col min="4" max="4" width="4" hidden="0" customWidth="1"/>
    <x:col min="5" max="5" width="4" hidden="0" customWidth="1"/>
  </x:cols>
  <x:sheetData>
    <x:row r="1">
      <x:c r="A1" s="215" t="str">
        <x:v>Model checks</x:v>
      </x:c>
      <x:c r="B1" s="215"/>
      <x:c r="C1" s="215"/>
      <x:c r="D1" s="215"/>
      <x:c r="E1" s="215"/>
      <x:c r="F1" s="216"/>
      <x:c r="G1" s="216"/>
      <x:c r="H1" s="216"/>
      <x:c r="I1" s="216"/>
      <x:c r="J1" s="216"/>
      <x:c r="K1" s="216"/>
      <x:c r="L1" s="216"/>
      <x:c r="M1" s="216"/>
      <x:c r="N1" s="216"/>
      <x:c r="O1" s="216"/>
      <x:c r="P1" s="216"/>
      <x:c r="Q1" s="216"/>
      <x:c r="R1" s="216"/>
      <x:c r="S1" s="216"/>
      <x:c r="T1" s="216"/>
      <x:c r="U1" s="216"/>
      <x:c r="V1" s="216"/>
      <x:c r="W1" s="216"/>
      <x:c r="X1" s="216"/>
      <x:c r="Y1" s="216"/>
      <x:c r="Z1" s="216"/>
    </x:row>
    <x:row r="2">
      <x:c r="A2" s="215"/>
      <x:c r="B2" s="215"/>
      <x:c r="C2" s="215"/>
      <x:c r="D2" s="215"/>
      <x:c r="E2" s="215"/>
      <x:c r="F2" s="216"/>
      <x:c r="G2" s="216"/>
      <x:c r="H2" s="216"/>
      <x:c r="I2" s="216"/>
      <x:c r="J2" s="216"/>
      <x:c r="K2" s="216"/>
      <x:c r="L2" s="216"/>
      <x:c r="M2" s="216"/>
      <x:c r="N2" s="216"/>
      <x:c r="O2" s="216"/>
      <x:c r="P2" s="216"/>
      <x:c r="Q2" s="216"/>
      <x:c r="R2" s="216"/>
      <x:c r="S2" s="216"/>
      <x:c r="T2" s="216"/>
      <x:c r="U2" s="216"/>
      <x:c r="V2" s="216"/>
      <x:c r="W2" s="216"/>
      <x:c r="X2" s="216"/>
      <x:c r="Y2" s="216"/>
      <x:c r="Z2" s="216"/>
    </x:row>
    <x:row r="3">
      <x:c r="A3" s="217" t="str">
        <x:v>READY means the entered values pass the workbook's internal consistency tests.</x:v>
      </x:c>
      <x:c r="B3" s="217"/>
      <x:c r="C3" s="217"/>
      <x:c r="D3" s="217"/>
      <x:c r="E3" s="217"/>
      <x:c r="F3" s="216"/>
      <x:c r="G3" s="216"/>
      <x:c r="H3" s="216"/>
      <x:c r="I3" s="216"/>
      <x:c r="J3" s="216"/>
      <x:c r="K3" s="216"/>
      <x:c r="L3" s="216"/>
      <x:c r="M3" s="216"/>
      <x:c r="N3" s="216"/>
      <x:c r="O3" s="216"/>
      <x:c r="P3" s="216"/>
      <x:c r="Q3" s="216"/>
      <x:c r="R3" s="216"/>
      <x:c r="S3" s="216"/>
      <x:c r="T3" s="216"/>
      <x:c r="U3" s="216"/>
      <x:c r="V3" s="216"/>
      <x:c r="W3" s="216"/>
      <x:c r="X3" s="216"/>
      <x:c r="Y3" s="216"/>
      <x:c r="Z3" s="216"/>
    </x:row>
    <x:row r="4">
      <x:c r="A4" s="216"/>
      <x:c r="B4" s="216"/>
      <x:c r="C4" s="216"/>
      <x:c r="D4" s="216"/>
      <x:c r="E4" s="216"/>
      <x:c r="F4" s="216"/>
      <x:c r="G4" s="216"/>
      <x:c r="H4" s="216"/>
      <x:c r="I4" s="216"/>
      <x:c r="J4" s="216"/>
      <x:c r="K4" s="216"/>
      <x:c r="L4" s="216"/>
      <x:c r="M4" s="216"/>
      <x:c r="N4" s="216"/>
      <x:c r="O4" s="216"/>
      <x:c r="P4" s="216"/>
      <x:c r="Q4" s="216"/>
      <x:c r="R4" s="216"/>
      <x:c r="S4" s="216"/>
      <x:c r="T4" s="216"/>
      <x:c r="U4" s="216"/>
      <x:c r="V4" s="216"/>
      <x:c r="W4" s="216"/>
      <x:c r="X4" s="216"/>
      <x:c r="Y4" s="216"/>
      <x:c r="Z4" s="216"/>
    </x:row>
    <x:row r="5">
      <x:c r="A5" s="209" t="str">
        <x:v>Check</x:v>
      </x:c>
      <x:c r="B5" s="209" t="str">
        <x:v>Result</x:v>
      </x:c>
      <x:c r="C5" s="209" t="str">
        <x:v>What it protects</x:v>
      </x:c>
      <x:c r="D5" s="216"/>
      <x:c r="E5" s="216"/>
      <x:c r="F5" s="216"/>
      <x:c r="G5" s="216"/>
      <x:c r="H5" s="216"/>
      <x:c r="I5" s="216"/>
      <x:c r="J5" s="216"/>
      <x:c r="K5" s="216"/>
      <x:c r="L5" s="216"/>
      <x:c r="M5" s="216"/>
      <x:c r="N5" s="216"/>
      <x:c r="O5" s="216"/>
      <x:c r="P5" s="216"/>
      <x:c r="Q5" s="216"/>
      <x:c r="R5" s="216"/>
      <x:c r="S5" s="216"/>
      <x:c r="T5" s="216"/>
      <x:c r="U5" s="216"/>
      <x:c r="V5" s="216"/>
      <x:c r="W5" s="216"/>
      <x:c r="X5" s="216"/>
      <x:c r="Y5" s="216"/>
      <x:c r="Z5" s="216"/>
    </x:row>
    <x:row r="6">
      <x:c r="A6" s="234" t="str">
        <x:v>Principal is positive</x:v>
      </x:c>
      <x:c r="B6" s="242" t="str">
        <x:f>IF('Your Mortgage'!C6&gt;0,"OK","FIX")</x:f>
        <x:v>OK</x:v>
      </x:c>
      <x:c r="C6" s="180" t="str">
        <x:v>Prevents an empty or negative loan</x:v>
      </x:c>
      <x:c r="D6" s="216"/>
      <x:c r="E6" s="216"/>
      <x:c r="F6" s="216"/>
      <x:c r="G6" s="216"/>
      <x:c r="H6" s="216"/>
      <x:c r="I6" s="216"/>
      <x:c r="J6" s="216"/>
      <x:c r="K6" s="216"/>
      <x:c r="L6" s="216"/>
      <x:c r="M6" s="216"/>
      <x:c r="N6" s="216"/>
      <x:c r="O6" s="216"/>
      <x:c r="P6" s="216"/>
      <x:c r="Q6" s="216"/>
      <x:c r="R6" s="216"/>
      <x:c r="S6" s="216"/>
      <x:c r="T6" s="216"/>
      <x:c r="U6" s="216"/>
      <x:c r="V6" s="216"/>
      <x:c r="W6" s="216"/>
      <x:c r="X6" s="216"/>
      <x:c r="Y6" s="216"/>
      <x:c r="Z6" s="216"/>
    </x:row>
    <x:row r="7">
      <x:c r="A7" s="234" t="str">
        <x:v>Interest rate is 0%–25%</x:v>
      </x:c>
      <x:c r="B7" s="242" t="str">
        <x:f>IF(AND('Your Mortgage'!C7&gt;=0,'Your Mortgage'!C7&lt;=25%),"OK","FIX")</x:f>
        <x:v>OK</x:v>
      </x:c>
      <x:c r="C7" s="180" t="str">
        <x:v>Keeps the model within the intended range</x:v>
      </x:c>
      <x:c r="D7" s="216"/>
      <x:c r="E7" s="216"/>
      <x:c r="F7" s="216"/>
      <x:c r="G7" s="216"/>
      <x:c r="H7" s="216"/>
      <x:c r="I7" s="216"/>
      <x:c r="J7" s="216"/>
      <x:c r="K7" s="216"/>
      <x:c r="L7" s="216"/>
      <x:c r="M7" s="216"/>
      <x:c r="N7" s="216"/>
      <x:c r="O7" s="216"/>
      <x:c r="P7" s="216"/>
      <x:c r="Q7" s="216"/>
      <x:c r="R7" s="216"/>
      <x:c r="S7" s="216"/>
      <x:c r="T7" s="216"/>
      <x:c r="U7" s="216"/>
      <x:c r="V7" s="216"/>
      <x:c r="W7" s="216"/>
      <x:c r="X7" s="216"/>
      <x:c r="Y7" s="216"/>
      <x:c r="Z7" s="216"/>
    </x:row>
    <x:row r="8">
      <x:c r="A8" s="234" t="str">
        <x:v>Term is a whole 1–40 years</x:v>
      </x:c>
      <x:c r="B8" s="242" t="str">
        <x:f>IF(AND('Your Mortgage'!C8&gt;=1,'Your Mortgage'!C8&lt;=40,MOD('Your Mortgage'!C8,1)=0),"OK","FIX")</x:f>
        <x:v>OK</x:v>
      </x:c>
      <x:c r="C8" s="180" t="str">
        <x:v>Fits within the 480-payment engine</x:v>
      </x:c>
      <x:c r="D8" s="216"/>
      <x:c r="E8" s="216"/>
      <x:c r="F8" s="216"/>
      <x:c r="G8" s="216"/>
      <x:c r="H8" s="216"/>
      <x:c r="I8" s="216"/>
      <x:c r="J8" s="216"/>
      <x:c r="K8" s="216"/>
      <x:c r="L8" s="216"/>
      <x:c r="M8" s="216"/>
      <x:c r="N8" s="216"/>
      <x:c r="O8" s="216"/>
      <x:c r="P8" s="216"/>
      <x:c r="Q8" s="216"/>
      <x:c r="R8" s="216"/>
      <x:c r="S8" s="216"/>
      <x:c r="T8" s="216"/>
      <x:c r="U8" s="216"/>
      <x:c r="V8" s="216"/>
      <x:c r="W8" s="216"/>
      <x:c r="X8" s="216"/>
      <x:c r="Y8" s="216"/>
      <x:c r="Z8" s="216"/>
    </x:row>
    <x:row r="9">
      <x:c r="A9" s="234" t="str">
        <x:v>First payment date is valid</x:v>
      </x:c>
      <x:c r="B9" s="242" t="str">
        <x:f>IF(ISNUMBER('Your Mortgage'!C9),"OK","FIX")</x:f>
        <x:v>OK</x:v>
      </x:c>
      <x:c r="C9" s="180" t="str">
        <x:v>Creates a reliable payoff date</x:v>
      </x:c>
      <x:c r="D9" s="216"/>
      <x:c r="E9" s="216"/>
      <x:c r="F9" s="216"/>
      <x:c r="G9" s="216"/>
      <x:c r="H9" s="216"/>
      <x:c r="I9" s="216"/>
      <x:c r="J9" s="216"/>
      <x:c r="K9" s="216"/>
      <x:c r="L9" s="216"/>
      <x:c r="M9" s="216"/>
      <x:c r="N9" s="216"/>
      <x:c r="O9" s="216"/>
      <x:c r="P9" s="216"/>
      <x:c r="Q9" s="216"/>
      <x:c r="R9" s="216"/>
      <x:c r="S9" s="216"/>
      <x:c r="T9" s="216"/>
      <x:c r="U9" s="216"/>
      <x:c r="V9" s="216"/>
      <x:c r="W9" s="216"/>
      <x:c r="X9" s="216"/>
      <x:c r="Y9" s="216"/>
      <x:c r="Z9" s="216"/>
    </x:row>
    <x:row r="10">
      <x:c r="A10" s="234" t="str">
        <x:v>Extra payments are nonnegative</x:v>
      </x:c>
      <x:c r="B10" s="242" t="str">
        <x:f>IF(MIN('Your Mortgage'!F6:F7,'Your Mortgage'!I6:I7)&gt;=0,"OK","FIX")</x:f>
        <x:v>OK</x:v>
      </x:c>
      <x:c r="C10" s="180" t="str">
        <x:v>Prevents invalid strategy assumptions</x:v>
      </x:c>
      <x:c r="D10" s="216"/>
      <x:c r="E10" s="216"/>
      <x:c r="F10" s="216"/>
      <x:c r="G10" s="216"/>
      <x:c r="H10" s="216"/>
      <x:c r="I10" s="216"/>
      <x:c r="J10" s="216"/>
      <x:c r="K10" s="216"/>
      <x:c r="L10" s="216"/>
      <x:c r="M10" s="216"/>
      <x:c r="N10" s="216"/>
      <x:c r="O10" s="216"/>
      <x:c r="P10" s="216"/>
      <x:c r="Q10" s="216"/>
      <x:c r="R10" s="216"/>
      <x:c r="S10" s="216"/>
      <x:c r="T10" s="216"/>
      <x:c r="U10" s="216"/>
      <x:c r="V10" s="216"/>
      <x:c r="W10" s="216"/>
      <x:c r="X10" s="216"/>
      <x:c r="Y10" s="216"/>
      <x:c r="Z10" s="216"/>
    </x:row>
    <x:row r="11">
      <x:c r="A11" s="234" t="str">
        <x:v>Lump-sum months fit the term</x:v>
      </x:c>
      <x:c r="B11" s="242" t="str">
        <x:f>IF(AND('Your Mortgage'!F8&gt;=1,'Your Mortgage'!F8&lt;='Your Mortgage'!C8*12,'Your Mortgage'!I8&gt;=1,'Your Mortgage'!I8&lt;='Your Mortgage'!C8*12),"OK","FIX")</x:f>
        <x:v>OK</x:v>
      </x:c>
      <x:c r="C11" s="180" t="str">
        <x:v>Ensures the one-time payment can occur</x:v>
      </x:c>
      <x:c r="D11" s="216"/>
      <x:c r="E11" s="216"/>
      <x:c r="F11" s="216"/>
      <x:c r="G11" s="216"/>
      <x:c r="H11" s="216"/>
      <x:c r="I11" s="216"/>
      <x:c r="J11" s="216"/>
      <x:c r="K11" s="216"/>
      <x:c r="L11" s="216"/>
      <x:c r="M11" s="216"/>
      <x:c r="N11" s="216"/>
      <x:c r="O11" s="216"/>
      <x:c r="P11" s="216"/>
      <x:c r="Q11" s="216"/>
      <x:c r="R11" s="216"/>
      <x:c r="S11" s="216"/>
      <x:c r="T11" s="216"/>
      <x:c r="U11" s="216"/>
      <x:c r="V11" s="216"/>
      <x:c r="W11" s="216"/>
      <x:c r="X11" s="216"/>
      <x:c r="Y11" s="216"/>
      <x:c r="Z11" s="216"/>
    </x:row>
    <x:row r="12">
      <x:c r="A12" s="234" t="str">
        <x:v>Baseline reaches $0</x:v>
      </x:c>
      <x:c r="B12" s="242" t="str">
        <x:f>IF(Amortization!H485&lt;=0.01,"OK","FIX")</x:f>
        <x:v>OK</x:v>
      </x:c>
      <x:c r="C12" s="180" t="str">
        <x:v>Confirms scheduled payoff within the term</x:v>
      </x:c>
      <x:c r="D12" s="216"/>
      <x:c r="E12" s="216"/>
      <x:c r="F12" s="216"/>
      <x:c r="G12" s="216"/>
      <x:c r="H12" s="216"/>
      <x:c r="I12" s="216"/>
      <x:c r="J12" s="216"/>
      <x:c r="K12" s="216"/>
      <x:c r="L12" s="216"/>
      <x:c r="M12" s="216"/>
      <x:c r="N12" s="216"/>
      <x:c r="O12" s="216"/>
      <x:c r="P12" s="216"/>
      <x:c r="Q12" s="216"/>
      <x:c r="R12" s="216"/>
      <x:c r="S12" s="216"/>
      <x:c r="T12" s="216"/>
      <x:c r="U12" s="216"/>
      <x:c r="V12" s="216"/>
      <x:c r="W12" s="216"/>
      <x:c r="X12" s="216"/>
      <x:c r="Y12" s="216"/>
      <x:c r="Z12" s="216"/>
    </x:row>
    <x:row r="13">
      <x:c r="A13" s="234" t="str">
        <x:v>Both strategies reach $0</x:v>
      </x:c>
      <x:c r="B13" s="242" t="str">
        <x:f>IF(AND(Amortization!P485&lt;=0.01,Amortization!X485&lt;=0.01),"OK","FIX")</x:f>
        <x:v>OK</x:v>
      </x:c>
      <x:c r="C13" s="180" t="str">
        <x:v>Confirms extra-payment payoff completion</x:v>
      </x:c>
      <x:c r="D13" s="216"/>
      <x:c r="E13" s="216"/>
      <x:c r="F13" s="216"/>
      <x:c r="G13" s="216"/>
      <x:c r="H13" s="216"/>
      <x:c r="I13" s="216"/>
      <x:c r="J13" s="216"/>
      <x:c r="K13" s="216"/>
      <x:c r="L13" s="216"/>
      <x:c r="M13" s="216"/>
      <x:c r="N13" s="216"/>
      <x:c r="O13" s="216"/>
      <x:c r="P13" s="216"/>
      <x:c r="Q13" s="216"/>
      <x:c r="R13" s="216"/>
      <x:c r="S13" s="216"/>
      <x:c r="T13" s="216"/>
      <x:c r="U13" s="216"/>
      <x:c r="V13" s="216"/>
      <x:c r="W13" s="216"/>
      <x:c r="X13" s="216"/>
      <x:c r="Y13" s="216"/>
      <x:c r="Z13" s="216"/>
    </x:row>
    <x:row r="14">
      <x:c r="A14" s="234" t="str">
        <x:v>Baseline principal reconciles</x:v>
      </x:c>
      <x:c r="B14" s="242" t="str">
        <x:f>IF(ABS(SUM(Amortization!G6:G485)-'Your Mortgage'!C6)&lt;=0.01,"OK","FIX")</x:f>
        <x:v>OK</x:v>
      </x:c>
      <x:c r="C14" s="180" t="str">
        <x:v>Principal paid equals starting balance</x:v>
      </x:c>
      <x:c r="D14" s="216"/>
      <x:c r="E14" s="216"/>
      <x:c r="F14" s="216"/>
      <x:c r="G14" s="216"/>
      <x:c r="H14" s="216"/>
      <x:c r="I14" s="216"/>
      <x:c r="J14" s="216"/>
      <x:c r="K14" s="216"/>
      <x:c r="L14" s="216"/>
      <x:c r="M14" s="216"/>
      <x:c r="N14" s="216"/>
      <x:c r="O14" s="216"/>
      <x:c r="P14" s="216"/>
      <x:c r="Q14" s="216"/>
      <x:c r="R14" s="216"/>
      <x:c r="S14" s="216"/>
      <x:c r="T14" s="216"/>
      <x:c r="U14" s="216"/>
      <x:c r="V14" s="216"/>
      <x:c r="W14" s="216"/>
      <x:c r="X14" s="216"/>
      <x:c r="Y14" s="216"/>
      <x:c r="Z14" s="216"/>
    </x:row>
    <x:row r="15">
      <x:c r="A15" s="234" t="str">
        <x:v>Strategy A principal reconciles</x:v>
      </x:c>
      <x:c r="B15" s="242" t="str">
        <x:f>IF(ABS(SUM(Amortization!O6:O485)-'Your Mortgage'!C6)&lt;=0.01,"OK","FIX")</x:f>
        <x:v>OK</x:v>
      </x:c>
      <x:c r="C15" s="180" t="str">
        <x:v>Principal paid equals starting balance</x:v>
      </x:c>
      <x:c r="D15" s="216"/>
      <x:c r="E15" s="216"/>
      <x:c r="F15" s="216"/>
      <x:c r="G15" s="216"/>
      <x:c r="H15" s="216"/>
      <x:c r="I15" s="216"/>
      <x:c r="J15" s="216"/>
      <x:c r="K15" s="216"/>
      <x:c r="L15" s="216"/>
      <x:c r="M15" s="216"/>
      <x:c r="N15" s="216"/>
      <x:c r="O15" s="216"/>
      <x:c r="P15" s="216"/>
      <x:c r="Q15" s="216"/>
      <x:c r="R15" s="216"/>
      <x:c r="S15" s="216"/>
      <x:c r="T15" s="216"/>
      <x:c r="U15" s="216"/>
      <x:c r="V15" s="216"/>
      <x:c r="W15" s="216"/>
      <x:c r="X15" s="216"/>
      <x:c r="Y15" s="216"/>
      <x:c r="Z15" s="216"/>
    </x:row>
    <x:row r="16">
      <x:c r="A16" s="234" t="str">
        <x:v>Strategy B principal reconciles</x:v>
      </x:c>
      <x:c r="B16" s="242" t="str">
        <x:f>IF(ABS(SUM(Amortization!W6:W485)-'Your Mortgage'!C6)&lt;=0.01,"OK","FIX")</x:f>
        <x:v>OK</x:v>
      </x:c>
      <x:c r="C16" s="180" t="str">
        <x:v>Principal paid equals starting balance</x:v>
      </x:c>
      <x:c r="D16" s="216"/>
      <x:c r="E16" s="216"/>
      <x:c r="F16" s="216"/>
      <x:c r="G16" s="216"/>
      <x:c r="H16" s="216"/>
      <x:c r="I16" s="216"/>
      <x:c r="J16" s="216"/>
      <x:c r="K16" s="216"/>
      <x:c r="L16" s="216"/>
      <x:c r="M16" s="216"/>
      <x:c r="N16" s="216"/>
      <x:c r="O16" s="216"/>
      <x:c r="P16" s="216"/>
      <x:c r="Q16" s="216"/>
      <x:c r="R16" s="216"/>
      <x:c r="S16" s="216"/>
      <x:c r="T16" s="216"/>
      <x:c r="U16" s="216"/>
      <x:c r="V16" s="216"/>
      <x:c r="W16" s="216"/>
      <x:c r="X16" s="216"/>
      <x:c r="Y16" s="216"/>
      <x:c r="Z16" s="216"/>
    </x:row>
    <x:row r="17">
      <x:c r="A17" s="234" t="str">
        <x:v>No negative ending balances</x:v>
      </x:c>
      <x:c r="B17" s="242" t="str">
        <x:f>IF(MIN(Amortization!H6:H485,Amortization!P6:P485,Amortization!X6:X485)&gt;=0,"OK","FIX")</x:f>
        <x:v>OK</x:v>
      </x:c>
      <x:c r="C17" s="180" t="str">
        <x:v>Confirms payoff truncation works</x:v>
      </x:c>
      <x:c r="D17" s="216"/>
      <x:c r="E17" s="216"/>
      <x:c r="F17" s="216"/>
      <x:c r="G17" s="216"/>
      <x:c r="H17" s="216"/>
      <x:c r="I17" s="216"/>
      <x:c r="J17" s="216"/>
      <x:c r="K17" s="216"/>
      <x:c r="L17" s="216"/>
      <x:c r="M17" s="216"/>
      <x:c r="N17" s="216"/>
      <x:c r="O17" s="216"/>
      <x:c r="P17" s="216"/>
      <x:c r="Q17" s="216"/>
      <x:c r="R17" s="216"/>
      <x:c r="S17" s="216"/>
      <x:c r="T17" s="216"/>
      <x:c r="U17" s="216"/>
      <x:c r="V17" s="216"/>
      <x:c r="W17" s="216"/>
      <x:c r="X17" s="216"/>
      <x:c r="Y17" s="216"/>
      <x:c r="Z17" s="216"/>
    </x:row>
    <x:row r="18">
      <x:c r="A18" s="234" t="str">
        <x:v>Representative cash flows reconcile</x:v>
      </x:c>
      <x:c r="B18" s="242" t="str">
        <x:f>IF(AND(ABS(Amortization!C6+Amortization!D6-Amortization!F6-Amortization!H6)&lt;=0.01,ABS(Amortization!I65+Amortization!J65-Amortization!N65-Amortization!P65)&lt;=0.01,ABS(Amortization!Q185+Amortization!R185-Amortization!V185-Amortization!X185)&lt;=0.01),"OK","FIX")</x:f>
        <x:v>OK</x:v>
      </x:c>
      <x:c r="C18" s="180" t="str">
        <x:v>Beginning balance + interest − payment = ending balance</x:v>
      </x:c>
      <x:c r="D18" s="216"/>
      <x:c r="E18" s="216"/>
      <x:c r="F18" s="216"/>
      <x:c r="G18" s="216"/>
      <x:c r="H18" s="216"/>
      <x:c r="I18" s="216"/>
      <x:c r="J18" s="216"/>
      <x:c r="K18" s="216"/>
      <x:c r="L18" s="216"/>
      <x:c r="M18" s="216"/>
      <x:c r="N18" s="216"/>
      <x:c r="O18" s="216"/>
      <x:c r="P18" s="216"/>
      <x:c r="Q18" s="216"/>
      <x:c r="R18" s="216"/>
      <x:c r="S18" s="216"/>
      <x:c r="T18" s="216"/>
      <x:c r="U18" s="216"/>
      <x:c r="V18" s="216"/>
      <x:c r="W18" s="216"/>
      <x:c r="X18" s="216"/>
      <x:c r="Y18" s="216"/>
      <x:c r="Z18" s="216"/>
    </x:row>
    <x:row r="19">
      <x:c r="A19" s="216"/>
      <x:c r="B19" s="216"/>
      <x:c r="C19" s="216"/>
      <x:c r="D19" s="216"/>
      <x:c r="E19" s="216"/>
      <x:c r="F19" s="216"/>
      <x:c r="G19" s="216"/>
      <x:c r="H19" s="216"/>
      <x:c r="I19" s="216"/>
      <x:c r="J19" s="216"/>
      <x:c r="K19" s="216"/>
      <x:c r="L19" s="216"/>
      <x:c r="M19" s="216"/>
      <x:c r="N19" s="216"/>
      <x:c r="O19" s="216"/>
      <x:c r="P19" s="216"/>
      <x:c r="Q19" s="216"/>
      <x:c r="R19" s="216"/>
      <x:c r="S19" s="216"/>
      <x:c r="T19" s="216"/>
      <x:c r="U19" s="216"/>
      <x:c r="V19" s="216"/>
      <x:c r="W19" s="216"/>
      <x:c r="X19" s="216"/>
      <x:c r="Y19" s="216"/>
      <x:c r="Z19" s="216"/>
    </x:row>
    <x:row r="20">
      <x:c r="A20" s="243" t="str">
        <x:v>MODEL STATUS</x:v>
      </x:c>
      <x:c r="B20" s="222" t="str">
        <x:f>IF(COUNTIF(B6:B18,"FIX")=0,"READY","REVIEW INPUTS")</x:f>
        <x:v>READY</x:v>
      </x:c>
      <x:c r="C20" s="224"/>
      <x:c r="D20" s="216"/>
      <x:c r="E20" s="216"/>
      <x:c r="F20" s="216"/>
      <x:c r="G20" s="216"/>
      <x:c r="H20" s="216"/>
      <x:c r="I20" s="216"/>
      <x:c r="J20" s="216"/>
      <x:c r="K20" s="216"/>
      <x:c r="L20" s="216"/>
      <x:c r="M20" s="216"/>
      <x:c r="N20" s="216"/>
      <x:c r="O20" s="216"/>
      <x:c r="P20" s="216"/>
      <x:c r="Q20" s="216"/>
      <x:c r="R20" s="216"/>
      <x:c r="S20" s="216"/>
      <x:c r="T20" s="216"/>
      <x:c r="U20" s="216"/>
      <x:c r="V20" s="216"/>
      <x:c r="W20" s="216"/>
      <x:c r="X20" s="216"/>
      <x:c r="Y20" s="216"/>
      <x:c r="Z20" s="216"/>
    </x:row>
    <x:row r="21">
      <x:c r="A21" s="243"/>
      <x:c r="B21" s="225"/>
      <x:c r="C21" s="227"/>
      <x:c r="D21" s="216"/>
      <x:c r="E21" s="216"/>
      <x:c r="F21" s="216"/>
      <x:c r="G21" s="216"/>
      <x:c r="H21" s="216"/>
      <x:c r="I21" s="216"/>
      <x:c r="J21" s="216"/>
      <x:c r="K21" s="216"/>
      <x:c r="L21" s="216"/>
      <x:c r="M21" s="216"/>
      <x:c r="N21" s="216"/>
      <x:c r="O21" s="216"/>
      <x:c r="P21" s="216"/>
      <x:c r="Q21" s="216"/>
      <x:c r="R21" s="216"/>
      <x:c r="S21" s="216"/>
      <x:c r="T21" s="216"/>
      <x:c r="U21" s="216"/>
      <x:c r="V21" s="216"/>
      <x:c r="W21" s="216"/>
      <x:c r="X21" s="216"/>
      <x:c r="Y21" s="216"/>
      <x:c r="Z21" s="216"/>
    </x:row>
    <x:row r="22">
      <x:c r="A22" s="216"/>
      <x:c r="B22" s="216"/>
      <x:c r="C22" s="216"/>
      <x:c r="D22" s="216"/>
      <x:c r="E22" s="216"/>
      <x:c r="F22" s="216"/>
      <x:c r="G22" s="216"/>
      <x:c r="H22" s="216"/>
      <x:c r="I22" s="216"/>
      <x:c r="J22" s="216"/>
      <x:c r="K22" s="216"/>
      <x:c r="L22" s="216"/>
      <x:c r="M22" s="216"/>
      <x:c r="N22" s="216"/>
      <x:c r="O22" s="216"/>
      <x:c r="P22" s="216"/>
      <x:c r="Q22" s="216"/>
      <x:c r="R22" s="216"/>
      <x:c r="S22" s="216"/>
      <x:c r="T22" s="216"/>
      <x:c r="U22" s="216"/>
      <x:c r="V22" s="216"/>
      <x:c r="W22" s="216"/>
      <x:c r="X22" s="216"/>
      <x:c r="Y22" s="216"/>
      <x:c r="Z22" s="216"/>
    </x:row>
    <x:row r="23">
      <x:c r="A23" s="46" t="str">
        <x:v>Audit note: the workbook uses a monthly fixed-rate payment formula and caps the final scheduled/extra payment so no scenario pays more than the remaining balance plus that month's interest. Human testing in desktop Excel and after Google Sheets import is still required before an Etsy launch.</x:v>
      </x:c>
      <x:c r="B23" s="46"/>
      <x:c r="C23" s="46"/>
      <x:c r="D23" s="216"/>
      <x:c r="E23" s="216"/>
      <x:c r="F23" s="216"/>
      <x:c r="G23" s="216"/>
      <x:c r="H23" s="216"/>
      <x:c r="I23" s="216"/>
      <x:c r="J23" s="216"/>
      <x:c r="K23" s="216"/>
      <x:c r="L23" s="216"/>
      <x:c r="M23" s="216"/>
      <x:c r="N23" s="216"/>
      <x:c r="O23" s="216"/>
      <x:c r="P23" s="216"/>
      <x:c r="Q23" s="216"/>
      <x:c r="R23" s="216"/>
      <x:c r="S23" s="216"/>
      <x:c r="T23" s="216"/>
      <x:c r="U23" s="216"/>
      <x:c r="V23" s="216"/>
      <x:c r="W23" s="216"/>
      <x:c r="X23" s="216"/>
      <x:c r="Y23" s="216"/>
      <x:c r="Z23" s="216"/>
    </x:row>
    <x:row r="24">
      <x:c r="A24" s="46"/>
      <x:c r="B24" s="46"/>
      <x:c r="C24" s="46"/>
      <x:c r="D24" s="216"/>
      <x:c r="E24" s="216"/>
      <x:c r="F24" s="216"/>
      <x:c r="G24" s="216"/>
      <x:c r="H24" s="216"/>
      <x:c r="I24" s="216"/>
      <x:c r="J24" s="216"/>
      <x:c r="K24" s="216"/>
      <x:c r="L24" s="216"/>
      <x:c r="M24" s="216"/>
      <x:c r="N24" s="216"/>
      <x:c r="O24" s="216"/>
      <x:c r="P24" s="216"/>
      <x:c r="Q24" s="216"/>
      <x:c r="R24" s="216"/>
      <x:c r="S24" s="216"/>
      <x:c r="T24" s="216"/>
      <x:c r="U24" s="216"/>
      <x:c r="V24" s="216"/>
      <x:c r="W24" s="216"/>
      <x:c r="X24" s="216"/>
      <x:c r="Y24" s="216"/>
      <x:c r="Z24" s="216"/>
    </x:row>
    <x:row r="25">
      <x:c r="A25" s="46"/>
      <x:c r="B25" s="46"/>
      <x:c r="C25" s="46"/>
      <x:c r="D25" s="216"/>
      <x:c r="E25" s="216"/>
      <x:c r="F25" s="216"/>
      <x:c r="G25" s="216"/>
      <x:c r="H25" s="216"/>
      <x:c r="I25" s="216"/>
      <x:c r="J25" s="216"/>
      <x:c r="K25" s="216"/>
      <x:c r="L25" s="216"/>
      <x:c r="M25" s="216"/>
      <x:c r="N25" s="216"/>
      <x:c r="O25" s="216"/>
      <x:c r="P25" s="216"/>
      <x:c r="Q25" s="216"/>
      <x:c r="R25" s="216"/>
      <x:c r="S25" s="216"/>
      <x:c r="T25" s="216"/>
      <x:c r="U25" s="216"/>
      <x:c r="V25" s="216"/>
      <x:c r="W25" s="216"/>
      <x:c r="X25" s="216"/>
      <x:c r="Y25" s="216"/>
      <x:c r="Z25" s="216"/>
    </x:row>
    <x:row r="26">
      <x:c r="A26" s="46"/>
      <x:c r="B26" s="46"/>
      <x:c r="C26" s="46"/>
      <x:c r="D26" s="216"/>
      <x:c r="E26" s="216"/>
      <x:c r="F26" s="216"/>
      <x:c r="G26" s="216"/>
      <x:c r="H26" s="216"/>
      <x:c r="I26" s="216"/>
      <x:c r="J26" s="216"/>
      <x:c r="K26" s="216"/>
      <x:c r="L26" s="216"/>
      <x:c r="M26" s="216"/>
      <x:c r="N26" s="216"/>
      <x:c r="O26" s="216"/>
      <x:c r="P26" s="216"/>
      <x:c r="Q26" s="216"/>
      <x:c r="R26" s="216"/>
      <x:c r="S26" s="216"/>
      <x:c r="T26" s="216"/>
      <x:c r="U26" s="216"/>
      <x:c r="V26" s="216"/>
      <x:c r="W26" s="216"/>
      <x:c r="X26" s="216"/>
      <x:c r="Y26" s="216"/>
      <x:c r="Z26" s="216"/>
    </x:row>
    <x:row r="27">
      <x:c r="A27" s="216"/>
      <x:c r="B27" s="216"/>
      <x:c r="C27" s="216"/>
      <x:c r="D27" s="216"/>
      <x:c r="E27" s="216"/>
      <x:c r="F27" s="216"/>
      <x:c r="G27" s="216"/>
      <x:c r="H27" s="216"/>
      <x:c r="I27" s="216"/>
      <x:c r="J27" s="216"/>
      <x:c r="K27" s="216"/>
      <x:c r="L27" s="216"/>
      <x:c r="M27" s="216"/>
      <x:c r="N27" s="216"/>
      <x:c r="O27" s="216"/>
      <x:c r="P27" s="216"/>
      <x:c r="Q27" s="216"/>
      <x:c r="R27" s="216"/>
      <x:c r="S27" s="216"/>
      <x:c r="T27" s="216"/>
      <x:c r="U27" s="216"/>
      <x:c r="V27" s="216"/>
      <x:c r="W27" s="216"/>
      <x:c r="X27" s="216"/>
      <x:c r="Y27" s="216"/>
      <x:c r="Z27" s="216"/>
    </x:row>
    <x:row r="28">
      <x:c r="A28" s="216"/>
      <x:c r="B28" s="216"/>
      <x:c r="C28" s="216"/>
      <x:c r="D28" s="216"/>
      <x:c r="E28" s="216"/>
      <x:c r="F28" s="216"/>
      <x:c r="G28" s="216"/>
      <x:c r="H28" s="216"/>
      <x:c r="I28" s="216"/>
      <x:c r="J28" s="216"/>
      <x:c r="K28" s="216"/>
      <x:c r="L28" s="216"/>
      <x:c r="M28" s="216"/>
      <x:c r="N28" s="216"/>
      <x:c r="O28" s="216"/>
      <x:c r="P28" s="216"/>
      <x:c r="Q28" s="216"/>
      <x:c r="R28" s="216"/>
      <x:c r="S28" s="216"/>
      <x:c r="T28" s="216"/>
      <x:c r="U28" s="216"/>
      <x:c r="V28" s="216"/>
      <x:c r="W28" s="216"/>
      <x:c r="X28" s="216"/>
      <x:c r="Y28" s="216"/>
      <x:c r="Z28" s="216"/>
    </x:row>
    <x:row r="29">
      <x:c r="A29" s="216"/>
      <x:c r="B29" s="216"/>
      <x:c r="C29" s="216"/>
      <x:c r="D29" s="216"/>
      <x:c r="E29" s="216"/>
      <x:c r="F29" s="216"/>
      <x:c r="G29" s="216"/>
      <x:c r="H29" s="216"/>
      <x:c r="I29" s="216"/>
      <x:c r="J29" s="216"/>
      <x:c r="K29" s="216"/>
      <x:c r="L29" s="216"/>
      <x:c r="M29" s="216"/>
      <x:c r="N29" s="216"/>
      <x:c r="O29" s="216"/>
      <x:c r="P29" s="216"/>
      <x:c r="Q29" s="216"/>
      <x:c r="R29" s="216"/>
      <x:c r="S29" s="216"/>
      <x:c r="T29" s="216"/>
      <x:c r="U29" s="216"/>
      <x:c r="V29" s="216"/>
      <x:c r="W29" s="216"/>
      <x:c r="X29" s="216"/>
      <x:c r="Y29" s="216"/>
      <x:c r="Z29" s="216"/>
    </x:row>
    <x:row r="30">
      <x:c r="A30" s="216"/>
      <x:c r="B30" s="216"/>
      <x:c r="C30" s="216"/>
      <x:c r="D30" s="216"/>
      <x:c r="E30" s="216"/>
      <x:c r="F30" s="216"/>
      <x:c r="G30" s="216"/>
      <x:c r="H30" s="216"/>
      <x:c r="I30" s="216"/>
      <x:c r="J30" s="216"/>
      <x:c r="K30" s="216"/>
      <x:c r="L30" s="216"/>
      <x:c r="M30" s="216"/>
      <x:c r="N30" s="216"/>
      <x:c r="O30" s="216"/>
      <x:c r="P30" s="216"/>
      <x:c r="Q30" s="216"/>
      <x:c r="R30" s="216"/>
      <x:c r="S30" s="216"/>
      <x:c r="T30" s="216"/>
      <x:c r="U30" s="216"/>
      <x:c r="V30" s="216"/>
      <x:c r="W30" s="216"/>
      <x:c r="X30" s="216"/>
      <x:c r="Y30" s="216"/>
      <x:c r="Z30" s="216"/>
    </x:row>
    <x:row r="31">
      <x:c r="A31" s="216"/>
      <x:c r="B31" s="216"/>
      <x:c r="C31" s="216"/>
      <x:c r="D31" s="216"/>
      <x:c r="E31" s="216"/>
      <x:c r="F31" s="216"/>
      <x:c r="G31" s="216"/>
      <x:c r="H31" s="216"/>
      <x:c r="I31" s="216"/>
      <x:c r="J31" s="216"/>
      <x:c r="K31" s="216"/>
      <x:c r="L31" s="216"/>
      <x:c r="M31" s="216"/>
      <x:c r="N31" s="216"/>
      <x:c r="O31" s="216"/>
      <x:c r="P31" s="216"/>
      <x:c r="Q31" s="216"/>
      <x:c r="R31" s="216"/>
      <x:c r="S31" s="216"/>
      <x:c r="T31" s="216"/>
      <x:c r="U31" s="216"/>
      <x:c r="V31" s="216"/>
      <x:c r="W31" s="216"/>
      <x:c r="X31" s="216"/>
      <x:c r="Y31" s="216"/>
      <x:c r="Z31" s="216"/>
    </x:row>
    <x:row r="32">
      <x:c r="A32" s="216"/>
      <x:c r="B32" s="216"/>
      <x:c r="C32" s="216"/>
      <x:c r="D32" s="216"/>
      <x:c r="E32" s="216"/>
      <x:c r="F32" s="216"/>
      <x:c r="G32" s="216"/>
      <x:c r="H32" s="216"/>
      <x:c r="I32" s="216"/>
      <x:c r="J32" s="216"/>
      <x:c r="K32" s="216"/>
      <x:c r="L32" s="216"/>
      <x:c r="M32" s="216"/>
      <x:c r="N32" s="216"/>
      <x:c r="O32" s="216"/>
      <x:c r="P32" s="216"/>
      <x:c r="Q32" s="216"/>
      <x:c r="R32" s="216"/>
      <x:c r="S32" s="216"/>
      <x:c r="T32" s="216"/>
      <x:c r="U32" s="216"/>
      <x:c r="V32" s="216"/>
      <x:c r="W32" s="216"/>
      <x:c r="X32" s="216"/>
      <x:c r="Y32" s="216"/>
      <x:c r="Z32" s="216"/>
    </x:row>
    <x:row r="33">
      <x:c r="A33" s="216"/>
      <x:c r="B33" s="216"/>
      <x:c r="C33" s="216"/>
      <x:c r="D33" s="216"/>
      <x:c r="E33" s="216"/>
      <x:c r="F33" s="216"/>
      <x:c r="G33" s="216"/>
      <x:c r="H33" s="216"/>
      <x:c r="I33" s="216"/>
      <x:c r="J33" s="216"/>
      <x:c r="K33" s="216"/>
      <x:c r="L33" s="216"/>
      <x:c r="M33" s="216"/>
      <x:c r="N33" s="216"/>
      <x:c r="O33" s="216"/>
      <x:c r="P33" s="216"/>
      <x:c r="Q33" s="216"/>
      <x:c r="R33" s="216"/>
      <x:c r="S33" s="216"/>
      <x:c r="T33" s="216"/>
      <x:c r="U33" s="216"/>
      <x:c r="V33" s="216"/>
      <x:c r="W33" s="216"/>
      <x:c r="X33" s="216"/>
      <x:c r="Y33" s="216"/>
      <x:c r="Z33" s="216"/>
    </x:row>
    <x:row r="34">
      <x:c r="A34" s="216"/>
      <x:c r="B34" s="216"/>
      <x:c r="C34" s="216"/>
      <x:c r="D34" s="216"/>
      <x:c r="E34" s="216"/>
      <x:c r="F34" s="216"/>
      <x:c r="G34" s="216"/>
      <x:c r="H34" s="216"/>
      <x:c r="I34" s="216"/>
      <x:c r="J34" s="216"/>
      <x:c r="K34" s="216"/>
      <x:c r="L34" s="216"/>
      <x:c r="M34" s="216"/>
      <x:c r="N34" s="216"/>
      <x:c r="O34" s="216"/>
      <x:c r="P34" s="216"/>
      <x:c r="Q34" s="216"/>
      <x:c r="R34" s="216"/>
      <x:c r="S34" s="216"/>
      <x:c r="T34" s="216"/>
      <x:c r="U34" s="216"/>
      <x:c r="V34" s="216"/>
      <x:c r="W34" s="216"/>
      <x:c r="X34" s="216"/>
      <x:c r="Y34" s="216"/>
      <x:c r="Z34" s="216"/>
    </x:row>
    <x:row r="35">
      <x:c r="A35" s="216"/>
      <x:c r="B35" s="216"/>
      <x:c r="C35" s="216"/>
      <x:c r="D35" s="216"/>
      <x:c r="E35" s="216"/>
      <x:c r="F35" s="216"/>
      <x:c r="G35" s="216"/>
      <x:c r="H35" s="216"/>
      <x:c r="I35" s="216"/>
      <x:c r="J35" s="216"/>
      <x:c r="K35" s="216"/>
      <x:c r="L35" s="216"/>
      <x:c r="M35" s="216"/>
      <x:c r="N35" s="216"/>
      <x:c r="O35" s="216"/>
      <x:c r="P35" s="216"/>
      <x:c r="Q35" s="216"/>
      <x:c r="R35" s="216"/>
      <x:c r="S35" s="216"/>
      <x:c r="T35" s="216"/>
      <x:c r="U35" s="216"/>
      <x:c r="V35" s="216"/>
      <x:c r="W35" s="216"/>
      <x:c r="X35" s="216"/>
      <x:c r="Y35" s="216"/>
      <x:c r="Z35" s="216"/>
    </x:row>
    <x:row r="36">
      <x:c r="A36" s="216"/>
      <x:c r="B36" s="216"/>
      <x:c r="C36" s="216"/>
      <x:c r="D36" s="216"/>
      <x:c r="E36" s="216"/>
      <x:c r="F36" s="216"/>
      <x:c r="G36" s="216"/>
      <x:c r="H36" s="216"/>
      <x:c r="I36" s="216"/>
      <x:c r="J36" s="216"/>
      <x:c r="K36" s="216"/>
      <x:c r="L36" s="216"/>
      <x:c r="M36" s="216"/>
      <x:c r="N36" s="216"/>
      <x:c r="O36" s="216"/>
      <x:c r="P36" s="216"/>
      <x:c r="Q36" s="216"/>
      <x:c r="R36" s="216"/>
      <x:c r="S36" s="216"/>
      <x:c r="T36" s="216"/>
      <x:c r="U36" s="216"/>
      <x:c r="V36" s="216"/>
      <x:c r="W36" s="216"/>
      <x:c r="X36" s="216"/>
      <x:c r="Y36" s="216"/>
      <x:c r="Z36" s="216"/>
    </x:row>
    <x:row r="37">
      <x:c r="A37" s="216"/>
      <x:c r="B37" s="216"/>
      <x:c r="C37" s="216"/>
      <x:c r="D37" s="216"/>
      <x:c r="E37" s="216"/>
      <x:c r="F37" s="216"/>
      <x:c r="G37" s="216"/>
      <x:c r="H37" s="216"/>
      <x:c r="I37" s="216"/>
      <x:c r="J37" s="216"/>
      <x:c r="K37" s="216"/>
      <x:c r="L37" s="216"/>
      <x:c r="M37" s="216"/>
      <x:c r="N37" s="216"/>
      <x:c r="O37" s="216"/>
      <x:c r="P37" s="216"/>
      <x:c r="Q37" s="216"/>
      <x:c r="R37" s="216"/>
      <x:c r="S37" s="216"/>
      <x:c r="T37" s="216"/>
      <x:c r="U37" s="216"/>
      <x:c r="V37" s="216"/>
      <x:c r="W37" s="216"/>
      <x:c r="X37" s="216"/>
      <x:c r="Y37" s="216"/>
      <x:c r="Z37" s="216"/>
    </x:row>
    <x:row r="38">
      <x:c r="A38" s="216"/>
      <x:c r="B38" s="216"/>
      <x:c r="C38" s="216"/>
      <x:c r="D38" s="216"/>
      <x:c r="E38" s="216"/>
      <x:c r="F38" s="216"/>
      <x:c r="G38" s="216"/>
      <x:c r="H38" s="216"/>
      <x:c r="I38" s="216"/>
      <x:c r="J38" s="216"/>
      <x:c r="K38" s="216"/>
      <x:c r="L38" s="216"/>
      <x:c r="M38" s="216"/>
      <x:c r="N38" s="216"/>
      <x:c r="O38" s="216"/>
      <x:c r="P38" s="216"/>
      <x:c r="Q38" s="216"/>
      <x:c r="R38" s="216"/>
      <x:c r="S38" s="216"/>
      <x:c r="T38" s="216"/>
      <x:c r="U38" s="216"/>
      <x:c r="V38" s="216"/>
      <x:c r="W38" s="216"/>
      <x:c r="X38" s="216"/>
      <x:c r="Y38" s="216"/>
      <x:c r="Z38" s="216"/>
    </x:row>
    <x:row r="39">
      <x:c r="A39" s="216"/>
      <x:c r="B39" s="216"/>
      <x:c r="C39" s="216"/>
      <x:c r="D39" s="216"/>
      <x:c r="E39" s="216"/>
      <x:c r="F39" s="216"/>
      <x:c r="G39" s="216"/>
      <x:c r="H39" s="216"/>
      <x:c r="I39" s="216"/>
      <x:c r="J39" s="216"/>
      <x:c r="K39" s="216"/>
      <x:c r="L39" s="216"/>
      <x:c r="M39" s="216"/>
      <x:c r="N39" s="216"/>
      <x:c r="O39" s="216"/>
      <x:c r="P39" s="216"/>
      <x:c r="Q39" s="216"/>
      <x:c r="R39" s="216"/>
      <x:c r="S39" s="216"/>
      <x:c r="T39" s="216"/>
      <x:c r="U39" s="216"/>
      <x:c r="V39" s="216"/>
      <x:c r="W39" s="216"/>
      <x:c r="X39" s="216"/>
      <x:c r="Y39" s="216"/>
      <x:c r="Z39" s="216"/>
    </x:row>
    <x:row r="40">
      <x:c r="A40" s="216"/>
      <x:c r="B40" s="216"/>
      <x:c r="C40" s="216"/>
      <x:c r="D40" s="216"/>
      <x:c r="E40" s="216"/>
      <x:c r="F40" s="216"/>
      <x:c r="G40" s="216"/>
      <x:c r="H40" s="216"/>
      <x:c r="I40" s="216"/>
      <x:c r="J40" s="216"/>
      <x:c r="K40" s="216"/>
      <x:c r="L40" s="216"/>
      <x:c r="M40" s="216"/>
      <x:c r="N40" s="216"/>
      <x:c r="O40" s="216"/>
      <x:c r="P40" s="216"/>
      <x:c r="Q40" s="216"/>
      <x:c r="R40" s="216"/>
      <x:c r="S40" s="216"/>
      <x:c r="T40" s="216"/>
      <x:c r="U40" s="216"/>
      <x:c r="V40" s="216"/>
      <x:c r="W40" s="216"/>
      <x:c r="X40" s="216"/>
      <x:c r="Y40" s="216"/>
      <x:c r="Z40" s="216"/>
    </x:row>
    <x:row r="41">
      <x:c r="A41" s="216"/>
      <x:c r="B41" s="216"/>
      <x:c r="C41" s="216"/>
      <x:c r="D41" s="216"/>
      <x:c r="E41" s="216"/>
      <x:c r="F41" s="216"/>
      <x:c r="G41" s="216"/>
      <x:c r="H41" s="216"/>
      <x:c r="I41" s="216"/>
      <x:c r="J41" s="216"/>
      <x:c r="K41" s="216"/>
      <x:c r="L41" s="216"/>
      <x:c r="M41" s="216"/>
      <x:c r="N41" s="216"/>
      <x:c r="O41" s="216"/>
      <x:c r="P41" s="216"/>
      <x:c r="Q41" s="216"/>
      <x:c r="R41" s="216"/>
      <x:c r="S41" s="216"/>
      <x:c r="T41" s="216"/>
      <x:c r="U41" s="216"/>
      <x:c r="V41" s="216"/>
      <x:c r="W41" s="216"/>
      <x:c r="X41" s="216"/>
      <x:c r="Y41" s="216"/>
      <x:c r="Z41" s="216"/>
    </x:row>
    <x:row r="42">
      <x:c r="A42" s="216"/>
      <x:c r="B42" s="216"/>
      <x:c r="C42" s="216"/>
      <x:c r="D42" s="216"/>
      <x:c r="E42" s="216"/>
      <x:c r="F42" s="216"/>
      <x:c r="G42" s="216"/>
      <x:c r="H42" s="216"/>
      <x:c r="I42" s="216"/>
      <x:c r="J42" s="216"/>
      <x:c r="K42" s="216"/>
      <x:c r="L42" s="216"/>
      <x:c r="M42" s="216"/>
      <x:c r="N42" s="216"/>
      <x:c r="O42" s="216"/>
      <x:c r="P42" s="216"/>
      <x:c r="Q42" s="216"/>
      <x:c r="R42" s="216"/>
      <x:c r="S42" s="216"/>
      <x:c r="T42" s="216"/>
      <x:c r="U42" s="216"/>
      <x:c r="V42" s="216"/>
      <x:c r="W42" s="216"/>
      <x:c r="X42" s="216"/>
      <x:c r="Y42" s="216"/>
      <x:c r="Z42" s="216"/>
    </x:row>
    <x:row r="43">
      <x:c r="A43" s="216"/>
      <x:c r="B43" s="216"/>
      <x:c r="C43" s="216"/>
      <x:c r="D43" s="216"/>
      <x:c r="E43" s="216"/>
      <x:c r="F43" s="216"/>
      <x:c r="G43" s="216"/>
      <x:c r="H43" s="216"/>
      <x:c r="I43" s="216"/>
      <x:c r="J43" s="216"/>
      <x:c r="K43" s="216"/>
      <x:c r="L43" s="216"/>
      <x:c r="M43" s="216"/>
      <x:c r="N43" s="216"/>
      <x:c r="O43" s="216"/>
      <x:c r="P43" s="216"/>
      <x:c r="Q43" s="216"/>
      <x:c r="R43" s="216"/>
      <x:c r="S43" s="216"/>
      <x:c r="T43" s="216"/>
      <x:c r="U43" s="216"/>
      <x:c r="V43" s="216"/>
      <x:c r="W43" s="216"/>
      <x:c r="X43" s="216"/>
      <x:c r="Y43" s="216"/>
      <x:c r="Z43" s="216"/>
    </x:row>
    <x:row r="44">
      <x:c r="A44" s="216"/>
      <x:c r="B44" s="216"/>
      <x:c r="C44" s="216"/>
      <x:c r="D44" s="216"/>
      <x:c r="E44" s="216"/>
      <x:c r="F44" s="216"/>
      <x:c r="G44" s="216"/>
      <x:c r="H44" s="216"/>
      <x:c r="I44" s="216"/>
      <x:c r="J44" s="216"/>
      <x:c r="K44" s="216"/>
      <x:c r="L44" s="216"/>
      <x:c r="M44" s="216"/>
      <x:c r="N44" s="216"/>
      <x:c r="O44" s="216"/>
      <x:c r="P44" s="216"/>
      <x:c r="Q44" s="216"/>
      <x:c r="R44" s="216"/>
      <x:c r="S44" s="216"/>
      <x:c r="T44" s="216"/>
      <x:c r="U44" s="216"/>
      <x:c r="V44" s="216"/>
      <x:c r="W44" s="216"/>
      <x:c r="X44" s="216"/>
      <x:c r="Y44" s="216"/>
      <x:c r="Z44" s="216"/>
    </x:row>
    <x:row r="45">
      <x:c r="A45" s="216"/>
      <x:c r="B45" s="216"/>
      <x:c r="C45" s="216"/>
      <x:c r="D45" s="216"/>
      <x:c r="E45" s="216"/>
      <x:c r="F45" s="216"/>
      <x:c r="G45" s="216"/>
      <x:c r="H45" s="216"/>
      <x:c r="I45" s="216"/>
      <x:c r="J45" s="216"/>
      <x:c r="K45" s="216"/>
      <x:c r="L45" s="216"/>
      <x:c r="M45" s="216"/>
      <x:c r="N45" s="216"/>
      <x:c r="O45" s="216"/>
      <x:c r="P45" s="216"/>
      <x:c r="Q45" s="216"/>
      <x:c r="R45" s="216"/>
      <x:c r="S45" s="216"/>
      <x:c r="T45" s="216"/>
      <x:c r="U45" s="216"/>
      <x:c r="V45" s="216"/>
      <x:c r="W45" s="216"/>
      <x:c r="X45" s="216"/>
      <x:c r="Y45" s="216"/>
      <x:c r="Z45" s="216"/>
    </x:row>
    <x:row r="46">
      <x:c r="A46" s="216"/>
      <x:c r="B46" s="216"/>
      <x:c r="C46" s="216"/>
      <x:c r="D46" s="216"/>
      <x:c r="E46" s="216"/>
      <x:c r="F46" s="216"/>
      <x:c r="G46" s="216"/>
      <x:c r="H46" s="216"/>
      <x:c r="I46" s="216"/>
      <x:c r="J46" s="216"/>
      <x:c r="K46" s="216"/>
      <x:c r="L46" s="216"/>
      <x:c r="M46" s="216"/>
      <x:c r="N46" s="216"/>
      <x:c r="O46" s="216"/>
      <x:c r="P46" s="216"/>
      <x:c r="Q46" s="216"/>
      <x:c r="R46" s="216"/>
      <x:c r="S46" s="216"/>
      <x:c r="T46" s="216"/>
      <x:c r="U46" s="216"/>
      <x:c r="V46" s="216"/>
      <x:c r="W46" s="216"/>
      <x:c r="X46" s="216"/>
      <x:c r="Y46" s="216"/>
      <x:c r="Z46" s="216"/>
    </x:row>
    <x:row r="47">
      <x:c r="A47" s="216"/>
      <x:c r="B47" s="216"/>
      <x:c r="C47" s="216"/>
      <x:c r="D47" s="216"/>
      <x:c r="E47" s="216"/>
      <x:c r="F47" s="216"/>
      <x:c r="G47" s="216"/>
      <x:c r="H47" s="216"/>
      <x:c r="I47" s="216"/>
      <x:c r="J47" s="216"/>
      <x:c r="K47" s="216"/>
      <x:c r="L47" s="216"/>
      <x:c r="M47" s="216"/>
      <x:c r="N47" s="216"/>
      <x:c r="O47" s="216"/>
      <x:c r="P47" s="216"/>
      <x:c r="Q47" s="216"/>
      <x:c r="R47" s="216"/>
      <x:c r="S47" s="216"/>
      <x:c r="T47" s="216"/>
      <x:c r="U47" s="216"/>
      <x:c r="V47" s="216"/>
      <x:c r="W47" s="216"/>
      <x:c r="X47" s="216"/>
      <x:c r="Y47" s="216"/>
      <x:c r="Z47" s="216"/>
    </x:row>
    <x:row r="48">
      <x:c r="A48" s="216"/>
      <x:c r="B48" s="216"/>
      <x:c r="C48" s="216"/>
      <x:c r="D48" s="216"/>
      <x:c r="E48" s="216"/>
      <x:c r="F48" s="216"/>
      <x:c r="G48" s="216"/>
      <x:c r="H48" s="216"/>
      <x:c r="I48" s="216"/>
      <x:c r="J48" s="216"/>
      <x:c r="K48" s="216"/>
      <x:c r="L48" s="216"/>
      <x:c r="M48" s="216"/>
      <x:c r="N48" s="216"/>
      <x:c r="O48" s="216"/>
      <x:c r="P48" s="216"/>
      <x:c r="Q48" s="216"/>
      <x:c r="R48" s="216"/>
      <x:c r="S48" s="216"/>
      <x:c r="T48" s="216"/>
      <x:c r="U48" s="216"/>
      <x:c r="V48" s="216"/>
      <x:c r="W48" s="216"/>
      <x:c r="X48" s="216"/>
      <x:c r="Y48" s="216"/>
      <x:c r="Z48" s="216"/>
    </x:row>
    <x:row r="49">
      <x:c r="A49" s="216"/>
      <x:c r="B49" s="216"/>
      <x:c r="C49" s="216"/>
      <x:c r="D49" s="216"/>
      <x:c r="E49" s="216"/>
      <x:c r="F49" s="216"/>
      <x:c r="G49" s="216"/>
      <x:c r="H49" s="216"/>
      <x:c r="I49" s="216"/>
      <x:c r="J49" s="216"/>
      <x:c r="K49" s="216"/>
      <x:c r="L49" s="216"/>
      <x:c r="M49" s="216"/>
      <x:c r="N49" s="216"/>
      <x:c r="O49" s="216"/>
      <x:c r="P49" s="216"/>
      <x:c r="Q49" s="216"/>
      <x:c r="R49" s="216"/>
      <x:c r="S49" s="216"/>
      <x:c r="T49" s="216"/>
      <x:c r="U49" s="216"/>
      <x:c r="V49" s="216"/>
      <x:c r="W49" s="216"/>
      <x:c r="X49" s="216"/>
      <x:c r="Y49" s="216"/>
      <x:c r="Z49" s="216"/>
    </x:row>
    <x:row r="50">
      <x:c r="A50" s="216"/>
      <x:c r="B50" s="216"/>
      <x:c r="C50" s="216"/>
      <x:c r="D50" s="216"/>
      <x:c r="E50" s="216"/>
      <x:c r="F50" s="216"/>
      <x:c r="G50" s="216"/>
      <x:c r="H50" s="216"/>
      <x:c r="I50" s="216"/>
      <x:c r="J50" s="216"/>
      <x:c r="K50" s="216"/>
      <x:c r="L50" s="216"/>
      <x:c r="M50" s="216"/>
      <x:c r="N50" s="216"/>
      <x:c r="O50" s="216"/>
      <x:c r="P50" s="216"/>
      <x:c r="Q50" s="216"/>
      <x:c r="R50" s="216"/>
      <x:c r="S50" s="216"/>
      <x:c r="T50" s="216"/>
      <x:c r="U50" s="216"/>
      <x:c r="V50" s="216"/>
      <x:c r="W50" s="216"/>
      <x:c r="X50" s="216"/>
      <x:c r="Y50" s="216"/>
      <x:c r="Z50" s="216"/>
    </x:row>
    <x:row r="51">
      <x:c r="A51" s="216"/>
      <x:c r="B51" s="216"/>
      <x:c r="C51" s="216"/>
      <x:c r="D51" s="216"/>
      <x:c r="E51" s="216"/>
      <x:c r="F51" s="216"/>
      <x:c r="G51" s="216"/>
      <x:c r="H51" s="216"/>
      <x:c r="I51" s="216"/>
      <x:c r="J51" s="216"/>
      <x:c r="K51" s="216"/>
      <x:c r="L51" s="216"/>
      <x:c r="M51" s="216"/>
      <x:c r="N51" s="216"/>
      <x:c r="O51" s="216"/>
      <x:c r="P51" s="216"/>
      <x:c r="Q51" s="216"/>
      <x:c r="R51" s="216"/>
      <x:c r="S51" s="216"/>
      <x:c r="T51" s="216"/>
      <x:c r="U51" s="216"/>
      <x:c r="V51" s="216"/>
      <x:c r="W51" s="216"/>
      <x:c r="X51" s="216"/>
      <x:c r="Y51" s="216"/>
      <x:c r="Z51" s="216"/>
    </x:row>
    <x:row r="52">
      <x:c r="A52" s="216"/>
      <x:c r="B52" s="216"/>
      <x:c r="C52" s="216"/>
      <x:c r="D52" s="216"/>
      <x:c r="E52" s="216"/>
      <x:c r="F52" s="216"/>
      <x:c r="G52" s="216"/>
      <x:c r="H52" s="216"/>
      <x:c r="I52" s="216"/>
      <x:c r="J52" s="216"/>
      <x:c r="K52" s="216"/>
      <x:c r="L52" s="216"/>
      <x:c r="M52" s="216"/>
      <x:c r="N52" s="216"/>
      <x:c r="O52" s="216"/>
      <x:c r="P52" s="216"/>
      <x:c r="Q52" s="216"/>
      <x:c r="R52" s="216"/>
      <x:c r="S52" s="216"/>
      <x:c r="T52" s="216"/>
      <x:c r="U52" s="216"/>
      <x:c r="V52" s="216"/>
      <x:c r="W52" s="216"/>
      <x:c r="X52" s="216"/>
      <x:c r="Y52" s="216"/>
      <x:c r="Z52" s="216"/>
    </x:row>
    <x:row r="53">
      <x:c r="A53" s="216"/>
      <x:c r="B53" s="216"/>
      <x:c r="C53" s="216"/>
      <x:c r="D53" s="216"/>
      <x:c r="E53" s="216"/>
      <x:c r="F53" s="216"/>
      <x:c r="G53" s="216"/>
      <x:c r="H53" s="216"/>
      <x:c r="I53" s="216"/>
      <x:c r="J53" s="216"/>
      <x:c r="K53" s="216"/>
      <x:c r="L53" s="216"/>
      <x:c r="M53" s="216"/>
      <x:c r="N53" s="216"/>
      <x:c r="O53" s="216"/>
      <x:c r="P53" s="216"/>
      <x:c r="Q53" s="216"/>
      <x:c r="R53" s="216"/>
      <x:c r="S53" s="216"/>
      <x:c r="T53" s="216"/>
      <x:c r="U53" s="216"/>
      <x:c r="V53" s="216"/>
      <x:c r="W53" s="216"/>
      <x:c r="X53" s="216"/>
      <x:c r="Y53" s="216"/>
      <x:c r="Z53" s="216"/>
    </x:row>
    <x:row r="54">
      <x:c r="A54" s="216"/>
      <x:c r="B54" s="216"/>
      <x:c r="C54" s="216"/>
      <x:c r="D54" s="216"/>
      <x:c r="E54" s="216"/>
      <x:c r="F54" s="216"/>
      <x:c r="G54" s="216"/>
      <x:c r="H54" s="216"/>
      <x:c r="I54" s="216"/>
      <x:c r="J54" s="216"/>
      <x:c r="K54" s="216"/>
      <x:c r="L54" s="216"/>
      <x:c r="M54" s="216"/>
      <x:c r="N54" s="216"/>
      <x:c r="O54" s="216"/>
      <x:c r="P54" s="216"/>
      <x:c r="Q54" s="216"/>
      <x:c r="R54" s="216"/>
      <x:c r="S54" s="216"/>
      <x:c r="T54" s="216"/>
      <x:c r="U54" s="216"/>
      <x:c r="V54" s="216"/>
      <x:c r="W54" s="216"/>
      <x:c r="X54" s="216"/>
      <x:c r="Y54" s="216"/>
      <x:c r="Z54" s="216"/>
    </x:row>
    <x:row r="55">
      <x:c r="A55" s="216"/>
      <x:c r="B55" s="216"/>
      <x:c r="C55" s="216"/>
      <x:c r="D55" s="216"/>
      <x:c r="E55" s="216"/>
      <x:c r="F55" s="216"/>
      <x:c r="G55" s="216"/>
      <x:c r="H55" s="216"/>
      <x:c r="I55" s="216"/>
      <x:c r="J55" s="216"/>
      <x:c r="K55" s="216"/>
      <x:c r="L55" s="216"/>
      <x:c r="M55" s="216"/>
      <x:c r="N55" s="216"/>
      <x:c r="O55" s="216"/>
      <x:c r="P55" s="216"/>
      <x:c r="Q55" s="216"/>
      <x:c r="R55" s="216"/>
      <x:c r="S55" s="216"/>
      <x:c r="T55" s="216"/>
      <x:c r="U55" s="216"/>
      <x:c r="V55" s="216"/>
      <x:c r="W55" s="216"/>
      <x:c r="X55" s="216"/>
      <x:c r="Y55" s="216"/>
      <x:c r="Z55" s="216"/>
    </x:row>
    <x:row r="56">
      <x:c r="A56" s="216"/>
      <x:c r="B56" s="216"/>
      <x:c r="C56" s="216"/>
      <x:c r="D56" s="216"/>
      <x:c r="E56" s="216"/>
      <x:c r="F56" s="216"/>
      <x:c r="G56" s="216"/>
      <x:c r="H56" s="216"/>
      <x:c r="I56" s="216"/>
      <x:c r="J56" s="216"/>
      <x:c r="K56" s="216"/>
      <x:c r="L56" s="216"/>
      <x:c r="M56" s="216"/>
      <x:c r="N56" s="216"/>
      <x:c r="O56" s="216"/>
      <x:c r="P56" s="216"/>
      <x:c r="Q56" s="216"/>
      <x:c r="R56" s="216"/>
      <x:c r="S56" s="216"/>
      <x:c r="T56" s="216"/>
      <x:c r="U56" s="216"/>
      <x:c r="V56" s="216"/>
      <x:c r="W56" s="216"/>
      <x:c r="X56" s="216"/>
      <x:c r="Y56" s="216"/>
      <x:c r="Z56" s="216"/>
    </x:row>
    <x:row r="57">
      <x:c r="A57" s="216"/>
      <x:c r="B57" s="216"/>
      <x:c r="C57" s="216"/>
      <x:c r="D57" s="216"/>
      <x:c r="E57" s="216"/>
      <x:c r="F57" s="216"/>
      <x:c r="G57" s="216"/>
      <x:c r="H57" s="216"/>
      <x:c r="I57" s="216"/>
      <x:c r="J57" s="216"/>
      <x:c r="K57" s="216"/>
      <x:c r="L57" s="216"/>
      <x:c r="M57" s="216"/>
      <x:c r="N57" s="216"/>
      <x:c r="O57" s="216"/>
      <x:c r="P57" s="216"/>
      <x:c r="Q57" s="216"/>
      <x:c r="R57" s="216"/>
      <x:c r="S57" s="216"/>
      <x:c r="T57" s="216"/>
      <x:c r="U57" s="216"/>
      <x:c r="V57" s="216"/>
      <x:c r="W57" s="216"/>
      <x:c r="X57" s="216"/>
      <x:c r="Y57" s="216"/>
      <x:c r="Z57" s="216"/>
    </x:row>
    <x:row r="58">
      <x:c r="A58" s="216"/>
      <x:c r="B58" s="216"/>
      <x:c r="C58" s="216"/>
      <x:c r="D58" s="216"/>
      <x:c r="E58" s="216"/>
      <x:c r="F58" s="216"/>
      <x:c r="G58" s="216"/>
      <x:c r="H58" s="216"/>
      <x:c r="I58" s="216"/>
      <x:c r="J58" s="216"/>
      <x:c r="K58" s="216"/>
      <x:c r="L58" s="216"/>
      <x:c r="M58" s="216"/>
      <x:c r="N58" s="216"/>
      <x:c r="O58" s="216"/>
      <x:c r="P58" s="216"/>
      <x:c r="Q58" s="216"/>
      <x:c r="R58" s="216"/>
      <x:c r="S58" s="216"/>
      <x:c r="T58" s="216"/>
      <x:c r="U58" s="216"/>
      <x:c r="V58" s="216"/>
      <x:c r="W58" s="216"/>
      <x:c r="X58" s="216"/>
      <x:c r="Y58" s="216"/>
      <x:c r="Z58" s="216"/>
    </x:row>
    <x:row r="59">
      <x:c r="A59" s="216"/>
      <x:c r="B59" s="216"/>
      <x:c r="C59" s="216"/>
      <x:c r="D59" s="216"/>
      <x:c r="E59" s="216"/>
      <x:c r="F59" s="216"/>
      <x:c r="G59" s="216"/>
      <x:c r="H59" s="216"/>
      <x:c r="I59" s="216"/>
      <x:c r="J59" s="216"/>
      <x:c r="K59" s="216"/>
      <x:c r="L59" s="216"/>
      <x:c r="M59" s="216"/>
      <x:c r="N59" s="216"/>
      <x:c r="O59" s="216"/>
      <x:c r="P59" s="216"/>
      <x:c r="Q59" s="216"/>
      <x:c r="R59" s="216"/>
      <x:c r="S59" s="216"/>
      <x:c r="T59" s="216"/>
      <x:c r="U59" s="216"/>
      <x:c r="V59" s="216"/>
      <x:c r="W59" s="216"/>
      <x:c r="X59" s="216"/>
      <x:c r="Y59" s="216"/>
      <x:c r="Z59" s="216"/>
    </x:row>
    <x:row r="60">
      <x:c r="A60" s="216"/>
      <x:c r="B60" s="216"/>
      <x:c r="C60" s="216"/>
      <x:c r="D60" s="216"/>
      <x:c r="E60" s="216"/>
      <x:c r="F60" s="216"/>
      <x:c r="G60" s="216"/>
      <x:c r="H60" s="216"/>
      <x:c r="I60" s="216"/>
      <x:c r="J60" s="216"/>
      <x:c r="K60" s="216"/>
      <x:c r="L60" s="216"/>
      <x:c r="M60" s="216"/>
      <x:c r="N60" s="216"/>
      <x:c r="O60" s="216"/>
      <x:c r="P60" s="216"/>
      <x:c r="Q60" s="216"/>
      <x:c r="R60" s="216"/>
      <x:c r="S60" s="216"/>
      <x:c r="T60" s="216"/>
      <x:c r="U60" s="216"/>
      <x:c r="V60" s="216"/>
      <x:c r="W60" s="216"/>
      <x:c r="X60" s="216"/>
      <x:c r="Y60" s="216"/>
      <x:c r="Z60" s="216"/>
    </x:row>
    <x:row r="61">
      <x:c r="A61" s="216"/>
      <x:c r="B61" s="216"/>
      <x:c r="C61" s="216"/>
      <x:c r="D61" s="216"/>
      <x:c r="E61" s="216"/>
      <x:c r="F61" s="216"/>
      <x:c r="G61" s="216"/>
      <x:c r="H61" s="216"/>
      <x:c r="I61" s="216"/>
      <x:c r="J61" s="216"/>
      <x:c r="K61" s="216"/>
      <x:c r="L61" s="216"/>
      <x:c r="M61" s="216"/>
      <x:c r="N61" s="216"/>
      <x:c r="O61" s="216"/>
      <x:c r="P61" s="216"/>
      <x:c r="Q61" s="216"/>
      <x:c r="R61" s="216"/>
      <x:c r="S61" s="216"/>
      <x:c r="T61" s="216"/>
      <x:c r="U61" s="216"/>
      <x:c r="V61" s="216"/>
      <x:c r="W61" s="216"/>
      <x:c r="X61" s="216"/>
      <x:c r="Y61" s="216"/>
      <x:c r="Z61" s="216"/>
    </x:row>
    <x:row r="62">
      <x:c r="A62" s="216"/>
      <x:c r="B62" s="216"/>
      <x:c r="C62" s="216"/>
      <x:c r="D62" s="216"/>
      <x:c r="E62" s="216"/>
      <x:c r="F62" s="216"/>
      <x:c r="G62" s="216"/>
      <x:c r="H62" s="216"/>
      <x:c r="I62" s="216"/>
      <x:c r="J62" s="216"/>
      <x:c r="K62" s="216"/>
      <x:c r="L62" s="216"/>
      <x:c r="M62" s="216"/>
      <x:c r="N62" s="216"/>
      <x:c r="O62" s="216"/>
      <x:c r="P62" s="216"/>
      <x:c r="Q62" s="216"/>
      <x:c r="R62" s="216"/>
      <x:c r="S62" s="216"/>
      <x:c r="T62" s="216"/>
      <x:c r="U62" s="216"/>
      <x:c r="V62" s="216"/>
      <x:c r="W62" s="216"/>
      <x:c r="X62" s="216"/>
      <x:c r="Y62" s="216"/>
      <x:c r="Z62" s="216"/>
    </x:row>
    <x:row r="63">
      <x:c r="A63" s="216"/>
      <x:c r="B63" s="216"/>
      <x:c r="C63" s="216"/>
      <x:c r="D63" s="216"/>
      <x:c r="E63" s="216"/>
      <x:c r="F63" s="216"/>
      <x:c r="G63" s="216"/>
      <x:c r="H63" s="216"/>
      <x:c r="I63" s="216"/>
      <x:c r="J63" s="216"/>
      <x:c r="K63" s="216"/>
      <x:c r="L63" s="216"/>
      <x:c r="M63" s="216"/>
      <x:c r="N63" s="216"/>
      <x:c r="O63" s="216"/>
      <x:c r="P63" s="216"/>
      <x:c r="Q63" s="216"/>
      <x:c r="R63" s="216"/>
      <x:c r="S63" s="216"/>
      <x:c r="T63" s="216"/>
      <x:c r="U63" s="216"/>
      <x:c r="V63" s="216"/>
      <x:c r="W63" s="216"/>
      <x:c r="X63" s="216"/>
      <x:c r="Y63" s="216"/>
      <x:c r="Z63" s="216"/>
    </x:row>
    <x:row r="64">
      <x:c r="A64" s="216"/>
      <x:c r="B64" s="216"/>
      <x:c r="C64" s="216"/>
      <x:c r="D64" s="216"/>
      <x:c r="E64" s="216"/>
      <x:c r="F64" s="216"/>
      <x:c r="G64" s="216"/>
      <x:c r="H64" s="216"/>
      <x:c r="I64" s="216"/>
      <x:c r="J64" s="216"/>
      <x:c r="K64" s="216"/>
      <x:c r="L64" s="216"/>
      <x:c r="M64" s="216"/>
      <x:c r="N64" s="216"/>
      <x:c r="O64" s="216"/>
      <x:c r="P64" s="216"/>
      <x:c r="Q64" s="216"/>
      <x:c r="R64" s="216"/>
      <x:c r="S64" s="216"/>
      <x:c r="T64" s="216"/>
      <x:c r="U64" s="216"/>
      <x:c r="V64" s="216"/>
      <x:c r="W64" s="216"/>
      <x:c r="X64" s="216"/>
      <x:c r="Y64" s="216"/>
      <x:c r="Z64" s="216"/>
    </x:row>
    <x:row r="65">
      <x:c r="A65" s="216"/>
      <x:c r="B65" s="216"/>
      <x:c r="C65" s="216"/>
      <x:c r="D65" s="216"/>
      <x:c r="E65" s="216"/>
      <x:c r="F65" s="216"/>
      <x:c r="G65" s="216"/>
      <x:c r="H65" s="216"/>
      <x:c r="I65" s="216"/>
      <x:c r="J65" s="216"/>
      <x:c r="K65" s="216"/>
      <x:c r="L65" s="216"/>
      <x:c r="M65" s="216"/>
      <x:c r="N65" s="216"/>
      <x:c r="O65" s="216"/>
      <x:c r="P65" s="216"/>
      <x:c r="Q65" s="216"/>
      <x:c r="R65" s="216"/>
      <x:c r="S65" s="216"/>
      <x:c r="T65" s="216"/>
      <x:c r="U65" s="216"/>
      <x:c r="V65" s="216"/>
      <x:c r="W65" s="216"/>
      <x:c r="X65" s="216"/>
      <x:c r="Y65" s="216"/>
      <x:c r="Z65" s="216"/>
    </x:row>
    <x:row r="66">
      <x:c r="A66" s="216"/>
      <x:c r="B66" s="216"/>
      <x:c r="C66" s="216"/>
      <x:c r="D66" s="216"/>
      <x:c r="E66" s="216"/>
      <x:c r="F66" s="216"/>
      <x:c r="G66" s="216"/>
      <x:c r="H66" s="216"/>
      <x:c r="I66" s="216"/>
      <x:c r="J66" s="216"/>
      <x:c r="K66" s="216"/>
      <x:c r="L66" s="216"/>
      <x:c r="M66" s="216"/>
      <x:c r="N66" s="216"/>
      <x:c r="O66" s="216"/>
      <x:c r="P66" s="216"/>
      <x:c r="Q66" s="216"/>
      <x:c r="R66" s="216"/>
      <x:c r="S66" s="216"/>
      <x:c r="T66" s="216"/>
      <x:c r="U66" s="216"/>
      <x:c r="V66" s="216"/>
      <x:c r="W66" s="216"/>
      <x:c r="X66" s="216"/>
      <x:c r="Y66" s="216"/>
      <x:c r="Z66" s="216"/>
    </x:row>
    <x:row r="67">
      <x:c r="A67" s="216"/>
      <x:c r="B67" s="216"/>
      <x:c r="C67" s="216"/>
      <x:c r="D67" s="216"/>
      <x:c r="E67" s="216"/>
      <x:c r="F67" s="216"/>
      <x:c r="G67" s="216"/>
      <x:c r="H67" s="216"/>
      <x:c r="I67" s="216"/>
      <x:c r="J67" s="216"/>
      <x:c r="K67" s="216"/>
      <x:c r="L67" s="216"/>
      <x:c r="M67" s="216"/>
      <x:c r="N67" s="216"/>
      <x:c r="O67" s="216"/>
      <x:c r="P67" s="216"/>
      <x:c r="Q67" s="216"/>
      <x:c r="R67" s="216"/>
      <x:c r="S67" s="216"/>
      <x:c r="T67" s="216"/>
      <x:c r="U67" s="216"/>
      <x:c r="V67" s="216"/>
      <x:c r="W67" s="216"/>
      <x:c r="X67" s="216"/>
      <x:c r="Y67" s="216"/>
      <x:c r="Z67" s="216"/>
    </x:row>
    <x:row r="68">
      <x:c r="A68" s="216"/>
      <x:c r="B68" s="216"/>
      <x:c r="C68" s="216"/>
      <x:c r="D68" s="216"/>
      <x:c r="E68" s="216"/>
      <x:c r="F68" s="216"/>
      <x:c r="G68" s="216"/>
      <x:c r="H68" s="216"/>
      <x:c r="I68" s="216"/>
      <x:c r="J68" s="216"/>
      <x:c r="K68" s="216"/>
      <x:c r="L68" s="216"/>
      <x:c r="M68" s="216"/>
      <x:c r="N68" s="216"/>
      <x:c r="O68" s="216"/>
      <x:c r="P68" s="216"/>
      <x:c r="Q68" s="216"/>
      <x:c r="R68" s="216"/>
      <x:c r="S68" s="216"/>
      <x:c r="T68" s="216"/>
      <x:c r="U68" s="216"/>
      <x:c r="V68" s="216"/>
      <x:c r="W68" s="216"/>
      <x:c r="X68" s="216"/>
      <x:c r="Y68" s="216"/>
      <x:c r="Z68" s="216"/>
    </x:row>
    <x:row r="69">
      <x:c r="A69" s="216"/>
      <x:c r="B69" s="216"/>
      <x:c r="C69" s="216"/>
      <x:c r="D69" s="216"/>
      <x:c r="E69" s="216"/>
      <x:c r="F69" s="216"/>
      <x:c r="G69" s="216"/>
      <x:c r="H69" s="216"/>
      <x:c r="I69" s="216"/>
      <x:c r="J69" s="216"/>
      <x:c r="K69" s="216"/>
      <x:c r="L69" s="216"/>
      <x:c r="M69" s="216"/>
      <x:c r="N69" s="216"/>
      <x:c r="O69" s="216"/>
      <x:c r="P69" s="216"/>
      <x:c r="Q69" s="216"/>
      <x:c r="R69" s="216"/>
      <x:c r="S69" s="216"/>
      <x:c r="T69" s="216"/>
      <x:c r="U69" s="216"/>
      <x:c r="V69" s="216"/>
      <x:c r="W69" s="216"/>
      <x:c r="X69" s="216"/>
      <x:c r="Y69" s="216"/>
      <x:c r="Z69" s="216"/>
    </x:row>
    <x:row r="70">
      <x:c r="A70" s="216"/>
      <x:c r="B70" s="216"/>
      <x:c r="C70" s="216"/>
      <x:c r="D70" s="216"/>
      <x:c r="E70" s="216"/>
      <x:c r="F70" s="216"/>
      <x:c r="G70" s="216"/>
      <x:c r="H70" s="216"/>
      <x:c r="I70" s="216"/>
      <x:c r="J70" s="216"/>
      <x:c r="K70" s="216"/>
      <x:c r="L70" s="216"/>
      <x:c r="M70" s="216"/>
      <x:c r="N70" s="216"/>
      <x:c r="O70" s="216"/>
      <x:c r="P70" s="216"/>
      <x:c r="Q70" s="216"/>
      <x:c r="R70" s="216"/>
      <x:c r="S70" s="216"/>
      <x:c r="T70" s="216"/>
      <x:c r="U70" s="216"/>
      <x:c r="V70" s="216"/>
      <x:c r="W70" s="216"/>
      <x:c r="X70" s="216"/>
      <x:c r="Y70" s="216"/>
      <x:c r="Z70" s="216"/>
    </x:row>
    <x:row r="71">
      <x:c r="A71" s="216"/>
      <x:c r="B71" s="216"/>
      <x:c r="C71" s="216"/>
      <x:c r="D71" s="216"/>
      <x:c r="E71" s="216"/>
      <x:c r="F71" s="216"/>
      <x:c r="G71" s="216"/>
      <x:c r="H71" s="216"/>
      <x:c r="I71" s="216"/>
      <x:c r="J71" s="216"/>
      <x:c r="K71" s="216"/>
      <x:c r="L71" s="216"/>
      <x:c r="M71" s="216"/>
      <x:c r="N71" s="216"/>
      <x:c r="O71" s="216"/>
      <x:c r="P71" s="216"/>
      <x:c r="Q71" s="216"/>
      <x:c r="R71" s="216"/>
      <x:c r="S71" s="216"/>
      <x:c r="T71" s="216"/>
      <x:c r="U71" s="216"/>
      <x:c r="V71" s="216"/>
      <x:c r="W71" s="216"/>
      <x:c r="X71" s="216"/>
      <x:c r="Y71" s="216"/>
      <x:c r="Z71" s="216"/>
    </x:row>
    <x:row r="72">
      <x:c r="A72" s="216"/>
      <x:c r="B72" s="216"/>
      <x:c r="C72" s="216"/>
      <x:c r="D72" s="216"/>
      <x:c r="E72" s="216"/>
      <x:c r="F72" s="216"/>
      <x:c r="G72" s="216"/>
      <x:c r="H72" s="216"/>
      <x:c r="I72" s="216"/>
      <x:c r="J72" s="216"/>
      <x:c r="K72" s="216"/>
      <x:c r="L72" s="216"/>
      <x:c r="M72" s="216"/>
      <x:c r="N72" s="216"/>
      <x:c r="O72" s="216"/>
      <x:c r="P72" s="216"/>
      <x:c r="Q72" s="216"/>
      <x:c r="R72" s="216"/>
      <x:c r="S72" s="216"/>
      <x:c r="T72" s="216"/>
      <x:c r="U72" s="216"/>
      <x:c r="V72" s="216"/>
      <x:c r="W72" s="216"/>
      <x:c r="X72" s="216"/>
      <x:c r="Y72" s="216"/>
      <x:c r="Z72" s="216"/>
    </x:row>
    <x:row r="73">
      <x:c r="A73" s="216"/>
      <x:c r="B73" s="216"/>
      <x:c r="C73" s="216"/>
      <x:c r="D73" s="216"/>
      <x:c r="E73" s="216"/>
      <x:c r="F73" s="216"/>
      <x:c r="G73" s="216"/>
      <x:c r="H73" s="216"/>
      <x:c r="I73" s="216"/>
      <x:c r="J73" s="216"/>
      <x:c r="K73" s="216"/>
      <x:c r="L73" s="216"/>
      <x:c r="M73" s="216"/>
      <x:c r="N73" s="216"/>
      <x:c r="O73" s="216"/>
      <x:c r="P73" s="216"/>
      <x:c r="Q73" s="216"/>
      <x:c r="R73" s="216"/>
      <x:c r="S73" s="216"/>
      <x:c r="T73" s="216"/>
      <x:c r="U73" s="216"/>
      <x:c r="V73" s="216"/>
      <x:c r="W73" s="216"/>
      <x:c r="X73" s="216"/>
      <x:c r="Y73" s="216"/>
      <x:c r="Z73" s="216"/>
    </x:row>
    <x:row r="74">
      <x:c r="A74" s="216"/>
      <x:c r="B74" s="216"/>
      <x:c r="C74" s="216"/>
      <x:c r="D74" s="216"/>
      <x:c r="E74" s="216"/>
      <x:c r="F74" s="216"/>
      <x:c r="G74" s="216"/>
      <x:c r="H74" s="216"/>
      <x:c r="I74" s="216"/>
      <x:c r="J74" s="216"/>
      <x:c r="K74" s="216"/>
      <x:c r="L74" s="216"/>
      <x:c r="M74" s="216"/>
      <x:c r="N74" s="216"/>
      <x:c r="O74" s="216"/>
      <x:c r="P74" s="216"/>
      <x:c r="Q74" s="216"/>
      <x:c r="R74" s="216"/>
      <x:c r="S74" s="216"/>
      <x:c r="T74" s="216"/>
      <x:c r="U74" s="216"/>
      <x:c r="V74" s="216"/>
      <x:c r="W74" s="216"/>
      <x:c r="X74" s="216"/>
      <x:c r="Y74" s="216"/>
      <x:c r="Z74" s="216"/>
    </x:row>
    <x:row r="75">
      <x:c r="A75" s="216"/>
      <x:c r="B75" s="216"/>
      <x:c r="C75" s="216"/>
      <x:c r="D75" s="216"/>
      <x:c r="E75" s="216"/>
      <x:c r="F75" s="216"/>
      <x:c r="G75" s="216"/>
      <x:c r="H75" s="216"/>
      <x:c r="I75" s="216"/>
      <x:c r="J75" s="216"/>
      <x:c r="K75" s="216"/>
      <x:c r="L75" s="216"/>
      <x:c r="M75" s="216"/>
      <x:c r="N75" s="216"/>
      <x:c r="O75" s="216"/>
      <x:c r="P75" s="216"/>
      <x:c r="Q75" s="216"/>
      <x:c r="R75" s="216"/>
      <x:c r="S75" s="216"/>
      <x:c r="T75" s="216"/>
      <x:c r="U75" s="216"/>
      <x:c r="V75" s="216"/>
      <x:c r="W75" s="216"/>
      <x:c r="X75" s="216"/>
      <x:c r="Y75" s="216"/>
      <x:c r="Z75" s="216"/>
    </x:row>
    <x:row r="76">
      <x:c r="A76" s="216"/>
      <x:c r="B76" s="216"/>
      <x:c r="C76" s="216"/>
      <x:c r="D76" s="216"/>
      <x:c r="E76" s="216"/>
      <x:c r="F76" s="216"/>
      <x:c r="G76" s="216"/>
      <x:c r="H76" s="216"/>
      <x:c r="I76" s="216"/>
      <x:c r="J76" s="216"/>
      <x:c r="K76" s="216"/>
      <x:c r="L76" s="216"/>
      <x:c r="M76" s="216"/>
      <x:c r="N76" s="216"/>
      <x:c r="O76" s="216"/>
      <x:c r="P76" s="216"/>
      <x:c r="Q76" s="216"/>
      <x:c r="R76" s="216"/>
      <x:c r="S76" s="216"/>
      <x:c r="T76" s="216"/>
      <x:c r="U76" s="216"/>
      <x:c r="V76" s="216"/>
      <x:c r="W76" s="216"/>
      <x:c r="X76" s="216"/>
      <x:c r="Y76" s="216"/>
      <x:c r="Z76" s="216"/>
    </x:row>
    <x:row r="77">
      <x:c r="A77" s="216"/>
      <x:c r="B77" s="216"/>
      <x:c r="C77" s="216"/>
      <x:c r="D77" s="216"/>
      <x:c r="E77" s="216"/>
      <x:c r="F77" s="216"/>
      <x:c r="G77" s="216"/>
      <x:c r="H77" s="216"/>
      <x:c r="I77" s="216"/>
      <x:c r="J77" s="216"/>
      <x:c r="K77" s="216"/>
      <x:c r="L77" s="216"/>
      <x:c r="M77" s="216"/>
      <x:c r="N77" s="216"/>
      <x:c r="O77" s="216"/>
      <x:c r="P77" s="216"/>
      <x:c r="Q77" s="216"/>
      <x:c r="R77" s="216"/>
      <x:c r="S77" s="216"/>
      <x:c r="T77" s="216"/>
      <x:c r="U77" s="216"/>
      <x:c r="V77" s="216"/>
      <x:c r="W77" s="216"/>
      <x:c r="X77" s="216"/>
      <x:c r="Y77" s="216"/>
      <x:c r="Z77" s="216"/>
    </x:row>
    <x:row r="78">
      <x:c r="A78" s="216"/>
      <x:c r="B78" s="216"/>
      <x:c r="C78" s="216"/>
      <x:c r="D78" s="216"/>
      <x:c r="E78" s="216"/>
      <x:c r="F78" s="216"/>
      <x:c r="G78" s="216"/>
      <x:c r="H78" s="216"/>
      <x:c r="I78" s="216"/>
      <x:c r="J78" s="216"/>
      <x:c r="K78" s="216"/>
      <x:c r="L78" s="216"/>
      <x:c r="M78" s="216"/>
      <x:c r="N78" s="216"/>
      <x:c r="O78" s="216"/>
      <x:c r="P78" s="216"/>
      <x:c r="Q78" s="216"/>
      <x:c r="R78" s="216"/>
      <x:c r="S78" s="216"/>
      <x:c r="T78" s="216"/>
      <x:c r="U78" s="216"/>
      <x:c r="V78" s="216"/>
      <x:c r="W78" s="216"/>
      <x:c r="X78" s="216"/>
      <x:c r="Y78" s="216"/>
      <x:c r="Z78" s="216"/>
    </x:row>
    <x:row r="79">
      <x:c r="A79" s="216"/>
      <x:c r="B79" s="216"/>
      <x:c r="C79" s="216"/>
      <x:c r="D79" s="216"/>
      <x:c r="E79" s="216"/>
      <x:c r="F79" s="216"/>
      <x:c r="G79" s="216"/>
      <x:c r="H79" s="216"/>
      <x:c r="I79" s="216"/>
      <x:c r="J79" s="216"/>
      <x:c r="K79" s="216"/>
      <x:c r="L79" s="216"/>
      <x:c r="M79" s="216"/>
      <x:c r="N79" s="216"/>
      <x:c r="O79" s="216"/>
      <x:c r="P79" s="216"/>
      <x:c r="Q79" s="216"/>
      <x:c r="R79" s="216"/>
      <x:c r="S79" s="216"/>
      <x:c r="T79" s="216"/>
      <x:c r="U79" s="216"/>
      <x:c r="V79" s="216"/>
      <x:c r="W79" s="216"/>
      <x:c r="X79" s="216"/>
      <x:c r="Y79" s="216"/>
      <x:c r="Z79" s="216"/>
    </x:row>
    <x:row r="80">
      <x:c r="A80" s="216"/>
      <x:c r="B80" s="216"/>
      <x:c r="C80" s="216"/>
      <x:c r="D80" s="216"/>
      <x:c r="E80" s="216"/>
      <x:c r="F80" s="216"/>
      <x:c r="G80" s="216"/>
      <x:c r="H80" s="216"/>
      <x:c r="I80" s="216"/>
      <x:c r="J80" s="216"/>
      <x:c r="K80" s="216"/>
      <x:c r="L80" s="216"/>
      <x:c r="M80" s="216"/>
      <x:c r="N80" s="216"/>
      <x:c r="O80" s="216"/>
      <x:c r="P80" s="216"/>
      <x:c r="Q80" s="216"/>
      <x:c r="R80" s="216"/>
      <x:c r="S80" s="216"/>
      <x:c r="T80" s="216"/>
      <x:c r="U80" s="216"/>
      <x:c r="V80" s="216"/>
      <x:c r="W80" s="216"/>
      <x:c r="X80" s="216"/>
      <x:c r="Y80" s="216"/>
      <x:c r="Z80" s="216"/>
    </x:row>
    <x:row r="81">
      <x:c r="A81" s="216"/>
      <x:c r="B81" s="216"/>
      <x:c r="C81" s="216"/>
      <x:c r="D81" s="216"/>
      <x:c r="E81" s="216"/>
      <x:c r="F81" s="216"/>
      <x:c r="G81" s="216"/>
      <x:c r="H81" s="216"/>
      <x:c r="I81" s="216"/>
      <x:c r="J81" s="216"/>
      <x:c r="K81" s="216"/>
      <x:c r="L81" s="216"/>
      <x:c r="M81" s="216"/>
      <x:c r="N81" s="216"/>
      <x:c r="O81" s="216"/>
      <x:c r="P81" s="216"/>
      <x:c r="Q81" s="216"/>
      <x:c r="R81" s="216"/>
      <x:c r="S81" s="216"/>
      <x:c r="T81" s="216"/>
      <x:c r="U81" s="216"/>
      <x:c r="V81" s="216"/>
      <x:c r="W81" s="216"/>
      <x:c r="X81" s="216"/>
      <x:c r="Y81" s="216"/>
      <x:c r="Z81" s="216"/>
    </x:row>
    <x:row r="82">
      <x:c r="A82" s="216"/>
      <x:c r="B82" s="216"/>
      <x:c r="C82" s="216"/>
      <x:c r="D82" s="216"/>
      <x:c r="E82" s="216"/>
      <x:c r="F82" s="216"/>
      <x:c r="G82" s="216"/>
      <x:c r="H82" s="216"/>
      <x:c r="I82" s="216"/>
      <x:c r="J82" s="216"/>
      <x:c r="K82" s="216"/>
      <x:c r="L82" s="216"/>
      <x:c r="M82" s="216"/>
      <x:c r="N82" s="216"/>
      <x:c r="O82" s="216"/>
      <x:c r="P82" s="216"/>
      <x:c r="Q82" s="216"/>
      <x:c r="R82" s="216"/>
      <x:c r="S82" s="216"/>
      <x:c r="T82" s="216"/>
      <x:c r="U82" s="216"/>
      <x:c r="V82" s="216"/>
      <x:c r="W82" s="216"/>
      <x:c r="X82" s="216"/>
      <x:c r="Y82" s="216"/>
      <x:c r="Z82" s="216"/>
    </x:row>
    <x:row r="83">
      <x:c r="A83" s="216"/>
      <x:c r="B83" s="216"/>
      <x:c r="C83" s="216"/>
      <x:c r="D83" s="216"/>
      <x:c r="E83" s="216"/>
      <x:c r="F83" s="216"/>
      <x:c r="G83" s="216"/>
      <x:c r="H83" s="216"/>
      <x:c r="I83" s="216"/>
      <x:c r="J83" s="216"/>
      <x:c r="K83" s="216"/>
      <x:c r="L83" s="216"/>
      <x:c r="M83" s="216"/>
      <x:c r="N83" s="216"/>
      <x:c r="O83" s="216"/>
      <x:c r="P83" s="216"/>
      <x:c r="Q83" s="216"/>
      <x:c r="R83" s="216"/>
      <x:c r="S83" s="216"/>
      <x:c r="T83" s="216"/>
      <x:c r="U83" s="216"/>
      <x:c r="V83" s="216"/>
      <x:c r="W83" s="216"/>
      <x:c r="X83" s="216"/>
      <x:c r="Y83" s="216"/>
      <x:c r="Z83" s="216"/>
    </x:row>
    <x:row r="84">
      <x:c r="A84" s="216"/>
      <x:c r="B84" s="216"/>
      <x:c r="C84" s="216"/>
      <x:c r="D84" s="216"/>
      <x:c r="E84" s="216"/>
      <x:c r="F84" s="216"/>
      <x:c r="G84" s="216"/>
      <x:c r="H84" s="216"/>
      <x:c r="I84" s="216"/>
      <x:c r="J84" s="216"/>
      <x:c r="K84" s="216"/>
      <x:c r="L84" s="216"/>
      <x:c r="M84" s="216"/>
      <x:c r="N84" s="216"/>
      <x:c r="O84" s="216"/>
      <x:c r="P84" s="216"/>
      <x:c r="Q84" s="216"/>
      <x:c r="R84" s="216"/>
      <x:c r="S84" s="216"/>
      <x:c r="T84" s="216"/>
      <x:c r="U84" s="216"/>
      <x:c r="V84" s="216"/>
      <x:c r="W84" s="216"/>
      <x:c r="X84" s="216"/>
      <x:c r="Y84" s="216"/>
      <x:c r="Z84" s="216"/>
    </x:row>
    <x:row r="85">
      <x:c r="A85" s="216"/>
      <x:c r="B85" s="216"/>
      <x:c r="C85" s="216"/>
      <x:c r="D85" s="216"/>
      <x:c r="E85" s="216"/>
      <x:c r="F85" s="216"/>
      <x:c r="G85" s="216"/>
      <x:c r="H85" s="216"/>
      <x:c r="I85" s="216"/>
      <x:c r="J85" s="216"/>
      <x:c r="K85" s="216"/>
      <x:c r="L85" s="216"/>
      <x:c r="M85" s="216"/>
      <x:c r="N85" s="216"/>
      <x:c r="O85" s="216"/>
      <x:c r="P85" s="216"/>
      <x:c r="Q85" s="216"/>
      <x:c r="R85" s="216"/>
      <x:c r="S85" s="216"/>
      <x:c r="T85" s="216"/>
      <x:c r="U85" s="216"/>
      <x:c r="V85" s="216"/>
      <x:c r="W85" s="216"/>
      <x:c r="X85" s="216"/>
      <x:c r="Y85" s="216"/>
      <x:c r="Z85" s="216"/>
    </x:row>
    <x:row r="86">
      <x:c r="A86" s="216"/>
      <x:c r="B86" s="216"/>
      <x:c r="C86" s="216"/>
      <x:c r="D86" s="216"/>
      <x:c r="E86" s="216"/>
      <x:c r="F86" s="216"/>
      <x:c r="G86" s="216"/>
      <x:c r="H86" s="216"/>
      <x:c r="I86" s="216"/>
      <x:c r="J86" s="216"/>
      <x:c r="K86" s="216"/>
      <x:c r="L86" s="216"/>
      <x:c r="M86" s="216"/>
      <x:c r="N86" s="216"/>
      <x:c r="O86" s="216"/>
      <x:c r="P86" s="216"/>
      <x:c r="Q86" s="216"/>
      <x:c r="R86" s="216"/>
      <x:c r="S86" s="216"/>
      <x:c r="T86" s="216"/>
      <x:c r="U86" s="216"/>
      <x:c r="V86" s="216"/>
      <x:c r="W86" s="216"/>
      <x:c r="X86" s="216"/>
      <x:c r="Y86" s="216"/>
      <x:c r="Z86" s="216"/>
    </x:row>
    <x:row r="87">
      <x:c r="A87" s="216"/>
      <x:c r="B87" s="216"/>
      <x:c r="C87" s="216"/>
      <x:c r="D87" s="216"/>
      <x:c r="E87" s="216"/>
      <x:c r="F87" s="216"/>
      <x:c r="G87" s="216"/>
      <x:c r="H87" s="216"/>
      <x:c r="I87" s="216"/>
      <x:c r="J87" s="216"/>
      <x:c r="K87" s="216"/>
      <x:c r="L87" s="216"/>
      <x:c r="M87" s="216"/>
      <x:c r="N87" s="216"/>
      <x:c r="O87" s="216"/>
      <x:c r="P87" s="216"/>
      <x:c r="Q87" s="216"/>
      <x:c r="R87" s="216"/>
      <x:c r="S87" s="216"/>
      <x:c r="T87" s="216"/>
      <x:c r="U87" s="216"/>
      <x:c r="V87" s="216"/>
      <x:c r="W87" s="216"/>
      <x:c r="X87" s="216"/>
      <x:c r="Y87" s="216"/>
      <x:c r="Z87" s="216"/>
    </x:row>
    <x:row r="88">
      <x:c r="A88" s="216"/>
      <x:c r="B88" s="216"/>
      <x:c r="C88" s="216"/>
      <x:c r="D88" s="216"/>
      <x:c r="E88" s="216"/>
      <x:c r="F88" s="216"/>
      <x:c r="G88" s="216"/>
      <x:c r="H88" s="216"/>
      <x:c r="I88" s="216"/>
      <x:c r="J88" s="216"/>
      <x:c r="K88" s="216"/>
      <x:c r="L88" s="216"/>
      <x:c r="M88" s="216"/>
      <x:c r="N88" s="216"/>
      <x:c r="O88" s="216"/>
      <x:c r="P88" s="216"/>
      <x:c r="Q88" s="216"/>
      <x:c r="R88" s="216"/>
      <x:c r="S88" s="216"/>
      <x:c r="T88" s="216"/>
      <x:c r="U88" s="216"/>
      <x:c r="V88" s="216"/>
      <x:c r="W88" s="216"/>
      <x:c r="X88" s="216"/>
      <x:c r="Y88" s="216"/>
      <x:c r="Z88" s="216"/>
    </x:row>
    <x:row r="89">
      <x:c r="A89" s="216"/>
      <x:c r="B89" s="216"/>
      <x:c r="C89" s="216"/>
      <x:c r="D89" s="216"/>
      <x:c r="E89" s="216"/>
      <x:c r="F89" s="216"/>
      <x:c r="G89" s="216"/>
      <x:c r="H89" s="216"/>
      <x:c r="I89" s="216"/>
      <x:c r="J89" s="216"/>
      <x:c r="K89" s="216"/>
      <x:c r="L89" s="216"/>
      <x:c r="M89" s="216"/>
      <x:c r="N89" s="216"/>
      <x:c r="O89" s="216"/>
      <x:c r="P89" s="216"/>
      <x:c r="Q89" s="216"/>
      <x:c r="R89" s="216"/>
      <x:c r="S89" s="216"/>
      <x:c r="T89" s="216"/>
      <x:c r="U89" s="216"/>
      <x:c r="V89" s="216"/>
      <x:c r="W89" s="216"/>
      <x:c r="X89" s="216"/>
      <x:c r="Y89" s="216"/>
      <x:c r="Z89" s="216"/>
    </x:row>
    <x:row r="90">
      <x:c r="A90" s="216"/>
      <x:c r="B90" s="216"/>
      <x:c r="C90" s="216"/>
      <x:c r="D90" s="216"/>
      <x:c r="E90" s="216"/>
      <x:c r="F90" s="216"/>
      <x:c r="G90" s="216"/>
      <x:c r="H90" s="216"/>
      <x:c r="I90" s="216"/>
      <x:c r="J90" s="216"/>
      <x:c r="K90" s="216"/>
      <x:c r="L90" s="216"/>
      <x:c r="M90" s="216"/>
      <x:c r="N90" s="216"/>
      <x:c r="O90" s="216"/>
      <x:c r="P90" s="216"/>
      <x:c r="Q90" s="216"/>
      <x:c r="R90" s="216"/>
      <x:c r="S90" s="216"/>
      <x:c r="T90" s="216"/>
      <x:c r="U90" s="216"/>
      <x:c r="V90" s="216"/>
      <x:c r="W90" s="216"/>
      <x:c r="X90" s="216"/>
      <x:c r="Y90" s="216"/>
      <x:c r="Z90" s="216"/>
    </x:row>
    <x:row r="91">
      <x:c r="A91" s="216"/>
      <x:c r="B91" s="216"/>
      <x:c r="C91" s="216"/>
      <x:c r="D91" s="216"/>
      <x:c r="E91" s="216"/>
      <x:c r="F91" s="216"/>
      <x:c r="G91" s="216"/>
      <x:c r="H91" s="216"/>
      <x:c r="I91" s="216"/>
      <x:c r="J91" s="216"/>
      <x:c r="K91" s="216"/>
      <x:c r="L91" s="216"/>
      <x:c r="M91" s="216"/>
      <x:c r="N91" s="216"/>
      <x:c r="O91" s="216"/>
      <x:c r="P91" s="216"/>
      <x:c r="Q91" s="216"/>
      <x:c r="R91" s="216"/>
      <x:c r="S91" s="216"/>
      <x:c r="T91" s="216"/>
      <x:c r="U91" s="216"/>
      <x:c r="V91" s="216"/>
      <x:c r="W91" s="216"/>
      <x:c r="X91" s="216"/>
      <x:c r="Y91" s="216"/>
      <x:c r="Z91" s="216"/>
    </x:row>
    <x:row r="92">
      <x:c r="A92" s="216"/>
      <x:c r="B92" s="216"/>
      <x:c r="C92" s="216"/>
      <x:c r="D92" s="216"/>
      <x:c r="E92" s="216"/>
      <x:c r="F92" s="216"/>
      <x:c r="G92" s="216"/>
      <x:c r="H92" s="216"/>
      <x:c r="I92" s="216"/>
      <x:c r="J92" s="216"/>
      <x:c r="K92" s="216"/>
      <x:c r="L92" s="216"/>
      <x:c r="M92" s="216"/>
      <x:c r="N92" s="216"/>
      <x:c r="O92" s="216"/>
      <x:c r="P92" s="216"/>
      <x:c r="Q92" s="216"/>
      <x:c r="R92" s="216"/>
      <x:c r="S92" s="216"/>
      <x:c r="T92" s="216"/>
      <x:c r="U92" s="216"/>
      <x:c r="V92" s="216"/>
      <x:c r="W92" s="216"/>
      <x:c r="X92" s="216"/>
      <x:c r="Y92" s="216"/>
      <x:c r="Z92" s="216"/>
    </x:row>
    <x:row r="93">
      <x:c r="A93" s="216"/>
      <x:c r="B93" s="216"/>
      <x:c r="C93" s="216"/>
      <x:c r="D93" s="216"/>
      <x:c r="E93" s="216"/>
      <x:c r="F93" s="216"/>
      <x:c r="G93" s="216"/>
      <x:c r="H93" s="216"/>
      <x:c r="I93" s="216"/>
      <x:c r="J93" s="216"/>
      <x:c r="K93" s="216"/>
      <x:c r="L93" s="216"/>
      <x:c r="M93" s="216"/>
      <x:c r="N93" s="216"/>
      <x:c r="O93" s="216"/>
      <x:c r="P93" s="216"/>
      <x:c r="Q93" s="216"/>
      <x:c r="R93" s="216"/>
      <x:c r="S93" s="216"/>
      <x:c r="T93" s="216"/>
      <x:c r="U93" s="216"/>
      <x:c r="V93" s="216"/>
      <x:c r="W93" s="216"/>
      <x:c r="X93" s="216"/>
      <x:c r="Y93" s="216"/>
      <x:c r="Z93" s="216"/>
    </x:row>
    <x:row r="94">
      <x:c r="A94" s="216"/>
      <x:c r="B94" s="216"/>
      <x:c r="C94" s="216"/>
      <x:c r="D94" s="216"/>
      <x:c r="E94" s="216"/>
      <x:c r="F94" s="216"/>
      <x:c r="G94" s="216"/>
      <x:c r="H94" s="216"/>
      <x:c r="I94" s="216"/>
      <x:c r="J94" s="216"/>
      <x:c r="K94" s="216"/>
      <x:c r="L94" s="216"/>
      <x:c r="M94" s="216"/>
      <x:c r="N94" s="216"/>
      <x:c r="O94" s="216"/>
      <x:c r="P94" s="216"/>
      <x:c r="Q94" s="216"/>
      <x:c r="R94" s="216"/>
      <x:c r="S94" s="216"/>
      <x:c r="T94" s="216"/>
      <x:c r="U94" s="216"/>
      <x:c r="V94" s="216"/>
      <x:c r="W94" s="216"/>
      <x:c r="X94" s="216"/>
      <x:c r="Y94" s="216"/>
      <x:c r="Z94" s="216"/>
    </x:row>
    <x:row r="95">
      <x:c r="A95" s="216"/>
      <x:c r="B95" s="216"/>
      <x:c r="C95" s="216"/>
      <x:c r="D95" s="216"/>
      <x:c r="E95" s="216"/>
      <x:c r="F95" s="216"/>
      <x:c r="G95" s="216"/>
      <x:c r="H95" s="216"/>
      <x:c r="I95" s="216"/>
      <x:c r="J95" s="216"/>
      <x:c r="K95" s="216"/>
      <x:c r="L95" s="216"/>
      <x:c r="M95" s="216"/>
      <x:c r="N95" s="216"/>
      <x:c r="O95" s="216"/>
      <x:c r="P95" s="216"/>
      <x:c r="Q95" s="216"/>
      <x:c r="R95" s="216"/>
      <x:c r="S95" s="216"/>
      <x:c r="T95" s="216"/>
      <x:c r="U95" s="216"/>
      <x:c r="V95" s="216"/>
      <x:c r="W95" s="216"/>
      <x:c r="X95" s="216"/>
      <x:c r="Y95" s="216"/>
      <x:c r="Z95" s="216"/>
    </x:row>
    <x:row r="96">
      <x:c r="A96" s="216"/>
      <x:c r="B96" s="216"/>
      <x:c r="C96" s="216"/>
      <x:c r="D96" s="216"/>
      <x:c r="E96" s="216"/>
      <x:c r="F96" s="216"/>
      <x:c r="G96" s="216"/>
      <x:c r="H96" s="216"/>
      <x:c r="I96" s="216"/>
      <x:c r="J96" s="216"/>
      <x:c r="K96" s="216"/>
      <x:c r="L96" s="216"/>
      <x:c r="M96" s="216"/>
      <x:c r="N96" s="216"/>
      <x:c r="O96" s="216"/>
      <x:c r="P96" s="216"/>
      <x:c r="Q96" s="216"/>
      <x:c r="R96" s="216"/>
      <x:c r="S96" s="216"/>
      <x:c r="T96" s="216"/>
      <x:c r="U96" s="216"/>
      <x:c r="V96" s="216"/>
      <x:c r="W96" s="216"/>
      <x:c r="X96" s="216"/>
      <x:c r="Y96" s="216"/>
      <x:c r="Z96" s="216"/>
    </x:row>
    <x:row r="97">
      <x:c r="A97" s="216"/>
      <x:c r="B97" s="216"/>
      <x:c r="C97" s="216"/>
      <x:c r="D97" s="216"/>
      <x:c r="E97" s="216"/>
      <x:c r="F97" s="216"/>
      <x:c r="G97" s="216"/>
      <x:c r="H97" s="216"/>
      <x:c r="I97" s="216"/>
      <x:c r="J97" s="216"/>
      <x:c r="K97" s="216"/>
      <x:c r="L97" s="216"/>
      <x:c r="M97" s="216"/>
      <x:c r="N97" s="216"/>
      <x:c r="O97" s="216"/>
      <x:c r="P97" s="216"/>
      <x:c r="Q97" s="216"/>
      <x:c r="R97" s="216"/>
      <x:c r="S97" s="216"/>
      <x:c r="T97" s="216"/>
      <x:c r="U97" s="216"/>
      <x:c r="V97" s="216"/>
      <x:c r="W97" s="216"/>
      <x:c r="X97" s="216"/>
      <x:c r="Y97" s="216"/>
      <x:c r="Z97" s="216"/>
    </x:row>
    <x:row r="98">
      <x:c r="A98" s="216"/>
      <x:c r="B98" s="216"/>
      <x:c r="C98" s="216"/>
      <x:c r="D98" s="216"/>
      <x:c r="E98" s="216"/>
      <x:c r="F98" s="216"/>
      <x:c r="G98" s="216"/>
      <x:c r="H98" s="216"/>
      <x:c r="I98" s="216"/>
      <x:c r="J98" s="216"/>
      <x:c r="K98" s="216"/>
      <x:c r="L98" s="216"/>
      <x:c r="M98" s="216"/>
      <x:c r="N98" s="216"/>
      <x:c r="O98" s="216"/>
      <x:c r="P98" s="216"/>
      <x:c r="Q98" s="216"/>
      <x:c r="R98" s="216"/>
      <x:c r="S98" s="216"/>
      <x:c r="T98" s="216"/>
      <x:c r="U98" s="216"/>
      <x:c r="V98" s="216"/>
      <x:c r="W98" s="216"/>
      <x:c r="X98" s="216"/>
      <x:c r="Y98" s="216"/>
      <x:c r="Z98" s="216"/>
    </x:row>
    <x:row r="99">
      <x:c r="A99" s="216"/>
      <x:c r="B99" s="216"/>
      <x:c r="C99" s="216"/>
      <x:c r="D99" s="216"/>
      <x:c r="E99" s="216"/>
      <x:c r="F99" s="216"/>
      <x:c r="G99" s="216"/>
      <x:c r="H99" s="216"/>
      <x:c r="I99" s="216"/>
      <x:c r="J99" s="216"/>
      <x:c r="K99" s="216"/>
      <x:c r="L99" s="216"/>
      <x:c r="M99" s="216"/>
      <x:c r="N99" s="216"/>
      <x:c r="O99" s="216"/>
      <x:c r="P99" s="216"/>
      <x:c r="Q99" s="216"/>
      <x:c r="R99" s="216"/>
      <x:c r="S99" s="216"/>
      <x:c r="T99" s="216"/>
      <x:c r="U99" s="216"/>
      <x:c r="V99" s="216"/>
      <x:c r="W99" s="216"/>
      <x:c r="X99" s="216"/>
      <x:c r="Y99" s="216"/>
      <x:c r="Z99" s="216"/>
    </x:row>
    <x:row r="100">
      <x:c r="A100" s="216"/>
      <x:c r="B100" s="216"/>
      <x:c r="C100" s="216"/>
      <x:c r="D100" s="216"/>
      <x:c r="E100" s="216"/>
      <x:c r="F100" s="216"/>
      <x:c r="G100" s="216"/>
      <x:c r="H100" s="216"/>
      <x:c r="I100" s="216"/>
      <x:c r="J100" s="216"/>
      <x:c r="K100" s="216"/>
      <x:c r="L100" s="216"/>
      <x:c r="M100" s="216"/>
      <x:c r="N100" s="216"/>
      <x:c r="O100" s="216"/>
      <x:c r="P100" s="216"/>
      <x:c r="Q100" s="216"/>
      <x:c r="R100" s="216"/>
      <x:c r="S100" s="216"/>
      <x:c r="T100" s="216"/>
      <x:c r="U100" s="216"/>
      <x:c r="V100" s="216"/>
      <x:c r="W100" s="216"/>
      <x:c r="X100" s="216"/>
      <x:c r="Y100" s="216"/>
      <x:c r="Z100" s="216"/>
    </x:row>
    <x:row r="101">
      <x:c r="A101" s="216"/>
      <x:c r="B101" s="216"/>
      <x:c r="C101" s="216"/>
      <x:c r="D101" s="216"/>
      <x:c r="E101" s="216"/>
      <x:c r="F101" s="216"/>
      <x:c r="G101" s="216"/>
      <x:c r="H101" s="216"/>
      <x:c r="I101" s="216"/>
      <x:c r="J101" s="216"/>
      <x:c r="K101" s="216"/>
      <x:c r="L101" s="216"/>
      <x:c r="M101" s="216"/>
      <x:c r="N101" s="216"/>
      <x:c r="O101" s="216"/>
      <x:c r="P101" s="216"/>
      <x:c r="Q101" s="216"/>
      <x:c r="R101" s="216"/>
      <x:c r="S101" s="216"/>
      <x:c r="T101" s="216"/>
      <x:c r="U101" s="216"/>
      <x:c r="V101" s="216"/>
      <x:c r="W101" s="216"/>
      <x:c r="X101" s="216"/>
      <x:c r="Y101" s="216"/>
      <x:c r="Z101" s="216"/>
    </x:row>
    <x:row r="102">
      <x:c r="A102" s="216"/>
      <x:c r="B102" s="216"/>
      <x:c r="C102" s="216"/>
      <x:c r="D102" s="216"/>
      <x:c r="E102" s="216"/>
      <x:c r="F102" s="216"/>
      <x:c r="G102" s="216"/>
      <x:c r="H102" s="216"/>
      <x:c r="I102" s="216"/>
      <x:c r="J102" s="216"/>
      <x:c r="K102" s="216"/>
      <x:c r="L102" s="216"/>
      <x:c r="M102" s="216"/>
      <x:c r="N102" s="216"/>
      <x:c r="O102" s="216"/>
      <x:c r="P102" s="216"/>
      <x:c r="Q102" s="216"/>
      <x:c r="R102" s="216"/>
      <x:c r="S102" s="216"/>
      <x:c r="T102" s="216"/>
      <x:c r="U102" s="216"/>
      <x:c r="V102" s="216"/>
      <x:c r="W102" s="216"/>
      <x:c r="X102" s="216"/>
      <x:c r="Y102" s="216"/>
      <x:c r="Z102" s="216"/>
    </x:row>
    <x:row r="103">
      <x:c r="A103" s="216"/>
      <x:c r="B103" s="216"/>
      <x:c r="C103" s="216"/>
      <x:c r="D103" s="216"/>
      <x:c r="E103" s="216"/>
      <x:c r="F103" s="216"/>
      <x:c r="G103" s="216"/>
      <x:c r="H103" s="216"/>
      <x:c r="I103" s="216"/>
      <x:c r="J103" s="216"/>
      <x:c r="K103" s="216"/>
      <x:c r="L103" s="216"/>
      <x:c r="M103" s="216"/>
      <x:c r="N103" s="216"/>
      <x:c r="O103" s="216"/>
      <x:c r="P103" s="216"/>
      <x:c r="Q103" s="216"/>
      <x:c r="R103" s="216"/>
      <x:c r="S103" s="216"/>
      <x:c r="T103" s="216"/>
      <x:c r="U103" s="216"/>
      <x:c r="V103" s="216"/>
      <x:c r="W103" s="216"/>
      <x:c r="X103" s="216"/>
      <x:c r="Y103" s="216"/>
      <x:c r="Z103" s="216"/>
    </x:row>
    <x:row r="104">
      <x:c r="A104" s="216"/>
      <x:c r="B104" s="216"/>
      <x:c r="C104" s="216"/>
      <x:c r="D104" s="216"/>
      <x:c r="E104" s="216"/>
      <x:c r="F104" s="216"/>
      <x:c r="G104" s="216"/>
      <x:c r="H104" s="216"/>
      <x:c r="I104" s="216"/>
      <x:c r="J104" s="216"/>
      <x:c r="K104" s="216"/>
      <x:c r="L104" s="216"/>
      <x:c r="M104" s="216"/>
      <x:c r="N104" s="216"/>
      <x:c r="O104" s="216"/>
      <x:c r="P104" s="216"/>
      <x:c r="Q104" s="216"/>
      <x:c r="R104" s="216"/>
      <x:c r="S104" s="216"/>
      <x:c r="T104" s="216"/>
      <x:c r="U104" s="216"/>
      <x:c r="V104" s="216"/>
      <x:c r="W104" s="216"/>
      <x:c r="X104" s="216"/>
      <x:c r="Y104" s="216"/>
      <x:c r="Z104" s="216"/>
    </x:row>
    <x:row r="105">
      <x:c r="A105" s="216"/>
      <x:c r="B105" s="216"/>
      <x:c r="C105" s="216"/>
      <x:c r="D105" s="216"/>
      <x:c r="E105" s="216"/>
      <x:c r="F105" s="216"/>
      <x:c r="G105" s="216"/>
      <x:c r="H105" s="216"/>
      <x:c r="I105" s="216"/>
      <x:c r="J105" s="216"/>
      <x:c r="K105" s="216"/>
      <x:c r="L105" s="216"/>
      <x:c r="M105" s="216"/>
      <x:c r="N105" s="216"/>
      <x:c r="O105" s="216"/>
      <x:c r="P105" s="216"/>
      <x:c r="Q105" s="216"/>
      <x:c r="R105" s="216"/>
      <x:c r="S105" s="216"/>
      <x:c r="T105" s="216"/>
      <x:c r="U105" s="216"/>
      <x:c r="V105" s="216"/>
      <x:c r="W105" s="216"/>
      <x:c r="X105" s="216"/>
      <x:c r="Y105" s="216"/>
      <x:c r="Z105" s="216"/>
    </x:row>
    <x:row r="106">
      <x:c r="A106" s="216"/>
      <x:c r="B106" s="216"/>
      <x:c r="C106" s="216"/>
      <x:c r="D106" s="216"/>
      <x:c r="E106" s="216"/>
      <x:c r="F106" s="216"/>
      <x:c r="G106" s="216"/>
      <x:c r="H106" s="216"/>
      <x:c r="I106" s="216"/>
      <x:c r="J106" s="216"/>
      <x:c r="K106" s="216"/>
      <x:c r="L106" s="216"/>
      <x:c r="M106" s="216"/>
      <x:c r="N106" s="216"/>
      <x:c r="O106" s="216"/>
      <x:c r="P106" s="216"/>
      <x:c r="Q106" s="216"/>
      <x:c r="R106" s="216"/>
      <x:c r="S106" s="216"/>
      <x:c r="T106" s="216"/>
      <x:c r="U106" s="216"/>
      <x:c r="V106" s="216"/>
      <x:c r="W106" s="216"/>
      <x:c r="X106" s="216"/>
      <x:c r="Y106" s="216"/>
      <x:c r="Z106" s="216"/>
    </x:row>
    <x:row r="107">
      <x:c r="A107" s="216"/>
      <x:c r="B107" s="216"/>
      <x:c r="C107" s="216"/>
      <x:c r="D107" s="216"/>
      <x:c r="E107" s="216"/>
      <x:c r="F107" s="216"/>
      <x:c r="G107" s="216"/>
      <x:c r="H107" s="216"/>
      <x:c r="I107" s="216"/>
      <x:c r="J107" s="216"/>
      <x:c r="K107" s="216"/>
      <x:c r="L107" s="216"/>
      <x:c r="M107" s="216"/>
      <x:c r="N107" s="216"/>
      <x:c r="O107" s="216"/>
      <x:c r="P107" s="216"/>
      <x:c r="Q107" s="216"/>
      <x:c r="R107" s="216"/>
      <x:c r="S107" s="216"/>
      <x:c r="T107" s="216"/>
      <x:c r="U107" s="216"/>
      <x:c r="V107" s="216"/>
      <x:c r="W107" s="216"/>
      <x:c r="X107" s="216"/>
      <x:c r="Y107" s="216"/>
      <x:c r="Z107" s="216"/>
    </x:row>
    <x:row r="108">
      <x:c r="A108" s="216"/>
      <x:c r="B108" s="216"/>
      <x:c r="C108" s="216"/>
      <x:c r="D108" s="216"/>
      <x:c r="E108" s="216"/>
      <x:c r="F108" s="216"/>
      <x:c r="G108" s="216"/>
      <x:c r="H108" s="216"/>
      <x:c r="I108" s="216"/>
      <x:c r="J108" s="216"/>
      <x:c r="K108" s="216"/>
      <x:c r="L108" s="216"/>
      <x:c r="M108" s="216"/>
      <x:c r="N108" s="216"/>
      <x:c r="O108" s="216"/>
      <x:c r="P108" s="216"/>
      <x:c r="Q108" s="216"/>
      <x:c r="R108" s="216"/>
      <x:c r="S108" s="216"/>
      <x:c r="T108" s="216"/>
      <x:c r="U108" s="216"/>
      <x:c r="V108" s="216"/>
      <x:c r="W108" s="216"/>
      <x:c r="X108" s="216"/>
      <x:c r="Y108" s="216"/>
      <x:c r="Z108" s="216"/>
    </x:row>
    <x:row r="109">
      <x:c r="A109" s="216"/>
      <x:c r="B109" s="216"/>
      <x:c r="C109" s="216"/>
      <x:c r="D109" s="216"/>
      <x:c r="E109" s="216"/>
      <x:c r="F109" s="216"/>
      <x:c r="G109" s="216"/>
      <x:c r="H109" s="216"/>
      <x:c r="I109" s="216"/>
      <x:c r="J109" s="216"/>
      <x:c r="K109" s="216"/>
      <x:c r="L109" s="216"/>
      <x:c r="M109" s="216"/>
      <x:c r="N109" s="216"/>
      <x:c r="O109" s="216"/>
      <x:c r="P109" s="216"/>
      <x:c r="Q109" s="216"/>
      <x:c r="R109" s="216"/>
      <x:c r="S109" s="216"/>
      <x:c r="T109" s="216"/>
      <x:c r="U109" s="216"/>
      <x:c r="V109" s="216"/>
      <x:c r="W109" s="216"/>
      <x:c r="X109" s="216"/>
      <x:c r="Y109" s="216"/>
      <x:c r="Z109" s="216"/>
    </x:row>
    <x:row r="110">
      <x:c r="A110" s="216"/>
      <x:c r="B110" s="216"/>
      <x:c r="C110" s="216"/>
      <x:c r="D110" s="216"/>
      <x:c r="E110" s="216"/>
      <x:c r="F110" s="216"/>
      <x:c r="G110" s="216"/>
      <x:c r="H110" s="216"/>
      <x:c r="I110" s="216"/>
      <x:c r="J110" s="216"/>
      <x:c r="K110" s="216"/>
      <x:c r="L110" s="216"/>
      <x:c r="M110" s="216"/>
      <x:c r="N110" s="216"/>
      <x:c r="O110" s="216"/>
      <x:c r="P110" s="216"/>
      <x:c r="Q110" s="216"/>
      <x:c r="R110" s="216"/>
      <x:c r="S110" s="216"/>
      <x:c r="T110" s="216"/>
      <x:c r="U110" s="216"/>
      <x:c r="V110" s="216"/>
      <x:c r="W110" s="216"/>
      <x:c r="X110" s="216"/>
      <x:c r="Y110" s="216"/>
      <x:c r="Z110" s="216"/>
    </x:row>
    <x:row r="111">
      <x:c r="A111" s="216"/>
      <x:c r="B111" s="216"/>
      <x:c r="C111" s="216"/>
      <x:c r="D111" s="216"/>
      <x:c r="E111" s="216"/>
      <x:c r="F111" s="216"/>
      <x:c r="G111" s="216"/>
      <x:c r="H111" s="216"/>
      <x:c r="I111" s="216"/>
      <x:c r="J111" s="216"/>
      <x:c r="K111" s="216"/>
      <x:c r="L111" s="216"/>
      <x:c r="M111" s="216"/>
      <x:c r="N111" s="216"/>
      <x:c r="O111" s="216"/>
      <x:c r="P111" s="216"/>
      <x:c r="Q111" s="216"/>
      <x:c r="R111" s="216"/>
      <x:c r="S111" s="216"/>
      <x:c r="T111" s="216"/>
      <x:c r="U111" s="216"/>
      <x:c r="V111" s="216"/>
      <x:c r="W111" s="216"/>
      <x:c r="X111" s="216"/>
      <x:c r="Y111" s="216"/>
      <x:c r="Z111" s="216"/>
    </x:row>
    <x:row r="112">
      <x:c r="A112" s="216"/>
      <x:c r="B112" s="216"/>
      <x:c r="C112" s="216"/>
      <x:c r="D112" s="216"/>
      <x:c r="E112" s="216"/>
      <x:c r="F112" s="216"/>
      <x:c r="G112" s="216"/>
      <x:c r="H112" s="216"/>
      <x:c r="I112" s="216"/>
      <x:c r="J112" s="216"/>
      <x:c r="K112" s="216"/>
      <x:c r="L112" s="216"/>
      <x:c r="M112" s="216"/>
      <x:c r="N112" s="216"/>
      <x:c r="O112" s="216"/>
      <x:c r="P112" s="216"/>
      <x:c r="Q112" s="216"/>
      <x:c r="R112" s="216"/>
      <x:c r="S112" s="216"/>
      <x:c r="T112" s="216"/>
      <x:c r="U112" s="216"/>
      <x:c r="V112" s="216"/>
      <x:c r="W112" s="216"/>
      <x:c r="X112" s="216"/>
      <x:c r="Y112" s="216"/>
      <x:c r="Z112" s="216"/>
    </x:row>
    <x:row r="113">
      <x:c r="A113" s="216"/>
      <x:c r="B113" s="216"/>
      <x:c r="C113" s="216"/>
      <x:c r="D113" s="216"/>
      <x:c r="E113" s="216"/>
      <x:c r="F113" s="216"/>
      <x:c r="G113" s="216"/>
      <x:c r="H113" s="216"/>
      <x:c r="I113" s="216"/>
      <x:c r="J113" s="216"/>
      <x:c r="K113" s="216"/>
      <x:c r="L113" s="216"/>
      <x:c r="M113" s="216"/>
      <x:c r="N113" s="216"/>
      <x:c r="O113" s="216"/>
      <x:c r="P113" s="216"/>
      <x:c r="Q113" s="216"/>
      <x:c r="R113" s="216"/>
      <x:c r="S113" s="216"/>
      <x:c r="T113" s="216"/>
      <x:c r="U113" s="216"/>
      <x:c r="V113" s="216"/>
      <x:c r="W113" s="216"/>
      <x:c r="X113" s="216"/>
      <x:c r="Y113" s="216"/>
      <x:c r="Z113" s="216"/>
    </x:row>
    <x:row r="114">
      <x:c r="A114" s="216"/>
      <x:c r="B114" s="216"/>
      <x:c r="C114" s="216"/>
      <x:c r="D114" s="216"/>
      <x:c r="E114" s="216"/>
      <x:c r="F114" s="216"/>
      <x:c r="G114" s="216"/>
      <x:c r="H114" s="216"/>
      <x:c r="I114" s="216"/>
      <x:c r="J114" s="216"/>
      <x:c r="K114" s="216"/>
      <x:c r="L114" s="216"/>
      <x:c r="M114" s="216"/>
      <x:c r="N114" s="216"/>
      <x:c r="O114" s="216"/>
      <x:c r="P114" s="216"/>
      <x:c r="Q114" s="216"/>
      <x:c r="R114" s="216"/>
      <x:c r="S114" s="216"/>
      <x:c r="T114" s="216"/>
      <x:c r="U114" s="216"/>
      <x:c r="V114" s="216"/>
      <x:c r="W114" s="216"/>
      <x:c r="X114" s="216"/>
      <x:c r="Y114" s="216"/>
      <x:c r="Z114" s="216"/>
    </x:row>
    <x:row r="115">
      <x:c r="A115" s="216"/>
      <x:c r="B115" s="216"/>
      <x:c r="C115" s="216"/>
      <x:c r="D115" s="216"/>
      <x:c r="E115" s="216"/>
      <x:c r="F115" s="216"/>
      <x:c r="G115" s="216"/>
      <x:c r="H115" s="216"/>
      <x:c r="I115" s="216"/>
      <x:c r="J115" s="216"/>
      <x:c r="K115" s="216"/>
      <x:c r="L115" s="216"/>
      <x:c r="M115" s="216"/>
      <x:c r="N115" s="216"/>
      <x:c r="O115" s="216"/>
      <x:c r="P115" s="216"/>
      <x:c r="Q115" s="216"/>
      <x:c r="R115" s="216"/>
      <x:c r="S115" s="216"/>
      <x:c r="T115" s="216"/>
      <x:c r="U115" s="216"/>
      <x:c r="V115" s="216"/>
      <x:c r="W115" s="216"/>
      <x:c r="X115" s="216"/>
      <x:c r="Y115" s="216"/>
      <x:c r="Z115" s="216"/>
    </x:row>
    <x:row r="116">
      <x:c r="A116" s="216"/>
      <x:c r="B116" s="216"/>
      <x:c r="C116" s="216"/>
      <x:c r="D116" s="216"/>
      <x:c r="E116" s="216"/>
      <x:c r="F116" s="216"/>
      <x:c r="G116" s="216"/>
      <x:c r="H116" s="216"/>
      <x:c r="I116" s="216"/>
      <x:c r="J116" s="216"/>
      <x:c r="K116" s="216"/>
      <x:c r="L116" s="216"/>
      <x:c r="M116" s="216"/>
      <x:c r="N116" s="216"/>
      <x:c r="O116" s="216"/>
      <x:c r="P116" s="216"/>
      <x:c r="Q116" s="216"/>
      <x:c r="R116" s="216"/>
      <x:c r="S116" s="216"/>
      <x:c r="T116" s="216"/>
      <x:c r="U116" s="216"/>
      <x:c r="V116" s="216"/>
      <x:c r="W116" s="216"/>
      <x:c r="X116" s="216"/>
      <x:c r="Y116" s="216"/>
      <x:c r="Z116" s="216"/>
    </x:row>
    <x:row r="117">
      <x:c r="A117" s="216"/>
      <x:c r="B117" s="216"/>
      <x:c r="C117" s="216"/>
      <x:c r="D117" s="216"/>
      <x:c r="E117" s="216"/>
      <x:c r="F117" s="216"/>
      <x:c r="G117" s="216"/>
      <x:c r="H117" s="216"/>
      <x:c r="I117" s="216"/>
      <x:c r="J117" s="216"/>
      <x:c r="K117" s="216"/>
      <x:c r="L117" s="216"/>
      <x:c r="M117" s="216"/>
      <x:c r="N117" s="216"/>
      <x:c r="O117" s="216"/>
      <x:c r="P117" s="216"/>
      <x:c r="Q117" s="216"/>
      <x:c r="R117" s="216"/>
      <x:c r="S117" s="216"/>
      <x:c r="T117" s="216"/>
      <x:c r="U117" s="216"/>
      <x:c r="V117" s="216"/>
      <x:c r="W117" s="216"/>
      <x:c r="X117" s="216"/>
      <x:c r="Y117" s="216"/>
      <x:c r="Z117" s="216"/>
    </x:row>
    <x:row r="118">
      <x:c r="A118" s="216"/>
      <x:c r="B118" s="216"/>
      <x:c r="C118" s="216"/>
      <x:c r="D118" s="216"/>
      <x:c r="E118" s="216"/>
      <x:c r="F118" s="216"/>
      <x:c r="G118" s="216"/>
      <x:c r="H118" s="216"/>
      <x:c r="I118" s="216"/>
      <x:c r="J118" s="216"/>
      <x:c r="K118" s="216"/>
      <x:c r="L118" s="216"/>
      <x:c r="M118" s="216"/>
      <x:c r="N118" s="216"/>
      <x:c r="O118" s="216"/>
      <x:c r="P118" s="216"/>
      <x:c r="Q118" s="216"/>
      <x:c r="R118" s="216"/>
      <x:c r="S118" s="216"/>
      <x:c r="T118" s="216"/>
      <x:c r="U118" s="216"/>
      <x:c r="V118" s="216"/>
      <x:c r="W118" s="216"/>
      <x:c r="X118" s="216"/>
      <x:c r="Y118" s="216"/>
      <x:c r="Z118" s="216"/>
    </x:row>
    <x:row r="119">
      <x:c r="A119" s="216"/>
      <x:c r="B119" s="216"/>
      <x:c r="C119" s="216"/>
      <x:c r="D119" s="216"/>
      <x:c r="E119" s="216"/>
      <x:c r="F119" s="216"/>
      <x:c r="G119" s="216"/>
      <x:c r="H119" s="216"/>
      <x:c r="I119" s="216"/>
      <x:c r="J119" s="216"/>
      <x:c r="K119" s="216"/>
      <x:c r="L119" s="216"/>
      <x:c r="M119" s="216"/>
      <x:c r="N119" s="216"/>
      <x:c r="O119" s="216"/>
      <x:c r="P119" s="216"/>
      <x:c r="Q119" s="216"/>
      <x:c r="R119" s="216"/>
      <x:c r="S119" s="216"/>
      <x:c r="T119" s="216"/>
      <x:c r="U119" s="216"/>
      <x:c r="V119" s="216"/>
      <x:c r="W119" s="216"/>
      <x:c r="X119" s="216"/>
      <x:c r="Y119" s="216"/>
      <x:c r="Z119" s="216"/>
    </x:row>
    <x:row r="120">
      <x:c r="A120" s="216"/>
      <x:c r="B120" s="216"/>
      <x:c r="C120" s="216"/>
      <x:c r="D120" s="216"/>
      <x:c r="E120" s="216"/>
      <x:c r="F120" s="216"/>
      <x:c r="G120" s="216"/>
      <x:c r="H120" s="216"/>
      <x:c r="I120" s="216"/>
      <x:c r="J120" s="216"/>
      <x:c r="K120" s="216"/>
      <x:c r="L120" s="216"/>
      <x:c r="M120" s="216"/>
      <x:c r="N120" s="216"/>
      <x:c r="O120" s="216"/>
      <x:c r="P120" s="216"/>
      <x:c r="Q120" s="216"/>
      <x:c r="R120" s="216"/>
      <x:c r="S120" s="216"/>
      <x:c r="T120" s="216"/>
      <x:c r="U120" s="216"/>
      <x:c r="V120" s="216"/>
      <x:c r="W120" s="216"/>
      <x:c r="X120" s="216"/>
      <x:c r="Y120" s="216"/>
      <x:c r="Z120" s="216"/>
    </x:row>
    <x:row r="121">
      <x:c r="A121" s="216"/>
      <x:c r="B121" s="216"/>
      <x:c r="C121" s="216"/>
      <x:c r="D121" s="216"/>
      <x:c r="E121" s="216"/>
      <x:c r="F121" s="216"/>
      <x:c r="G121" s="216"/>
      <x:c r="H121" s="216"/>
      <x:c r="I121" s="216"/>
      <x:c r="J121" s="216"/>
      <x:c r="K121" s="216"/>
      <x:c r="L121" s="216"/>
      <x:c r="M121" s="216"/>
      <x:c r="N121" s="216"/>
      <x:c r="O121" s="216"/>
      <x:c r="P121" s="216"/>
      <x:c r="Q121" s="216"/>
      <x:c r="R121" s="216"/>
      <x:c r="S121" s="216"/>
      <x:c r="T121" s="216"/>
      <x:c r="U121" s="216"/>
      <x:c r="V121" s="216"/>
      <x:c r="W121" s="216"/>
      <x:c r="X121" s="216"/>
      <x:c r="Y121" s="216"/>
      <x:c r="Z121" s="216"/>
    </x:row>
    <x:row r="122">
      <x:c r="A122" s="216"/>
      <x:c r="B122" s="216"/>
      <x:c r="C122" s="216"/>
      <x:c r="D122" s="216"/>
      <x:c r="E122" s="216"/>
      <x:c r="F122" s="216"/>
      <x:c r="G122" s="216"/>
      <x:c r="H122" s="216"/>
      <x:c r="I122" s="216"/>
      <x:c r="J122" s="216"/>
      <x:c r="K122" s="216"/>
      <x:c r="L122" s="216"/>
      <x:c r="M122" s="216"/>
      <x:c r="N122" s="216"/>
      <x:c r="O122" s="216"/>
      <x:c r="P122" s="216"/>
      <x:c r="Q122" s="216"/>
      <x:c r="R122" s="216"/>
      <x:c r="S122" s="216"/>
      <x:c r="T122" s="216"/>
      <x:c r="U122" s="216"/>
      <x:c r="V122" s="216"/>
      <x:c r="W122" s="216"/>
      <x:c r="X122" s="216"/>
      <x:c r="Y122" s="216"/>
      <x:c r="Z122" s="216"/>
    </x:row>
    <x:row r="123">
      <x:c r="A123" s="216"/>
      <x:c r="B123" s="216"/>
      <x:c r="C123" s="216"/>
      <x:c r="D123" s="216"/>
      <x:c r="E123" s="216"/>
      <x:c r="F123" s="216"/>
      <x:c r="G123" s="216"/>
      <x:c r="H123" s="216"/>
      <x:c r="I123" s="216"/>
      <x:c r="J123" s="216"/>
      <x:c r="K123" s="216"/>
      <x:c r="L123" s="216"/>
      <x:c r="M123" s="216"/>
      <x:c r="N123" s="216"/>
      <x:c r="O123" s="216"/>
      <x:c r="P123" s="216"/>
      <x:c r="Q123" s="216"/>
      <x:c r="R123" s="216"/>
      <x:c r="S123" s="216"/>
      <x:c r="T123" s="216"/>
      <x:c r="U123" s="216"/>
      <x:c r="V123" s="216"/>
      <x:c r="W123" s="216"/>
      <x:c r="X123" s="216"/>
      <x:c r="Y123" s="216"/>
      <x:c r="Z123" s="216"/>
    </x:row>
    <x:row r="124">
      <x:c r="A124" s="216"/>
      <x:c r="B124" s="216"/>
      <x:c r="C124" s="216"/>
      <x:c r="D124" s="216"/>
      <x:c r="E124" s="216"/>
      <x:c r="F124" s="216"/>
      <x:c r="G124" s="216"/>
      <x:c r="H124" s="216"/>
      <x:c r="I124" s="216"/>
      <x:c r="J124" s="216"/>
      <x:c r="K124" s="216"/>
      <x:c r="L124" s="216"/>
      <x:c r="M124" s="216"/>
      <x:c r="N124" s="216"/>
      <x:c r="O124" s="216"/>
      <x:c r="P124" s="216"/>
      <x:c r="Q124" s="216"/>
      <x:c r="R124" s="216"/>
      <x:c r="S124" s="216"/>
      <x:c r="T124" s="216"/>
      <x:c r="U124" s="216"/>
      <x:c r="V124" s="216"/>
      <x:c r="W124" s="216"/>
      <x:c r="X124" s="216"/>
      <x:c r="Y124" s="216"/>
      <x:c r="Z124" s="216"/>
    </x:row>
    <x:row r="125">
      <x:c r="A125" s="216"/>
      <x:c r="B125" s="216"/>
      <x:c r="C125" s="216"/>
      <x:c r="D125" s="216"/>
      <x:c r="E125" s="216"/>
      <x:c r="F125" s="216"/>
      <x:c r="G125" s="216"/>
      <x:c r="H125" s="216"/>
      <x:c r="I125" s="216"/>
      <x:c r="J125" s="216"/>
      <x:c r="K125" s="216"/>
      <x:c r="L125" s="216"/>
      <x:c r="M125" s="216"/>
      <x:c r="N125" s="216"/>
      <x:c r="O125" s="216"/>
      <x:c r="P125" s="216"/>
      <x:c r="Q125" s="216"/>
      <x:c r="R125" s="216"/>
      <x:c r="S125" s="216"/>
      <x:c r="T125" s="216"/>
      <x:c r="U125" s="216"/>
      <x:c r="V125" s="216"/>
      <x:c r="W125" s="216"/>
      <x:c r="X125" s="216"/>
      <x:c r="Y125" s="216"/>
      <x:c r="Z125" s="216"/>
    </x:row>
    <x:row r="126">
      <x:c r="A126" s="216"/>
      <x:c r="B126" s="216"/>
      <x:c r="C126" s="216"/>
      <x:c r="D126" s="216"/>
      <x:c r="E126" s="216"/>
      <x:c r="F126" s="216"/>
      <x:c r="G126" s="216"/>
      <x:c r="H126" s="216"/>
      <x:c r="I126" s="216"/>
      <x:c r="J126" s="216"/>
      <x:c r="K126" s="216"/>
      <x:c r="L126" s="216"/>
      <x:c r="M126" s="216"/>
      <x:c r="N126" s="216"/>
      <x:c r="O126" s="216"/>
      <x:c r="P126" s="216"/>
      <x:c r="Q126" s="216"/>
      <x:c r="R126" s="216"/>
      <x:c r="S126" s="216"/>
      <x:c r="T126" s="216"/>
      <x:c r="U126" s="216"/>
      <x:c r="V126" s="216"/>
      <x:c r="W126" s="216"/>
      <x:c r="X126" s="216"/>
      <x:c r="Y126" s="216"/>
      <x:c r="Z126" s="216"/>
    </x:row>
    <x:row r="127">
      <x:c r="A127" s="216"/>
      <x:c r="B127" s="216"/>
      <x:c r="C127" s="216"/>
      <x:c r="D127" s="216"/>
      <x:c r="E127" s="216"/>
      <x:c r="F127" s="216"/>
      <x:c r="G127" s="216"/>
      <x:c r="H127" s="216"/>
      <x:c r="I127" s="216"/>
      <x:c r="J127" s="216"/>
      <x:c r="K127" s="216"/>
      <x:c r="L127" s="216"/>
      <x:c r="M127" s="216"/>
      <x:c r="N127" s="216"/>
      <x:c r="O127" s="216"/>
      <x:c r="P127" s="216"/>
      <x:c r="Q127" s="216"/>
      <x:c r="R127" s="216"/>
      <x:c r="S127" s="216"/>
      <x:c r="T127" s="216"/>
      <x:c r="U127" s="216"/>
      <x:c r="V127" s="216"/>
      <x:c r="W127" s="216"/>
      <x:c r="X127" s="216"/>
      <x:c r="Y127" s="216"/>
      <x:c r="Z127" s="216"/>
    </x:row>
    <x:row r="128">
      <x:c r="A128" s="216"/>
      <x:c r="B128" s="216"/>
      <x:c r="C128" s="216"/>
      <x:c r="D128" s="216"/>
      <x:c r="E128" s="216"/>
      <x:c r="F128" s="216"/>
      <x:c r="G128" s="216"/>
      <x:c r="H128" s="216"/>
      <x:c r="I128" s="216"/>
      <x:c r="J128" s="216"/>
      <x:c r="K128" s="216"/>
      <x:c r="L128" s="216"/>
      <x:c r="M128" s="216"/>
      <x:c r="N128" s="216"/>
      <x:c r="O128" s="216"/>
      <x:c r="P128" s="216"/>
      <x:c r="Q128" s="216"/>
      <x:c r="R128" s="216"/>
      <x:c r="S128" s="216"/>
      <x:c r="T128" s="216"/>
      <x:c r="U128" s="216"/>
      <x:c r="V128" s="216"/>
      <x:c r="W128" s="216"/>
      <x:c r="X128" s="216"/>
      <x:c r="Y128" s="216"/>
      <x:c r="Z128" s="216"/>
    </x:row>
    <x:row r="129">
      <x:c r="A129" s="216"/>
      <x:c r="B129" s="216"/>
      <x:c r="C129" s="216"/>
      <x:c r="D129" s="216"/>
      <x:c r="E129" s="216"/>
      <x:c r="F129" s="216"/>
      <x:c r="G129" s="216"/>
      <x:c r="H129" s="216"/>
      <x:c r="I129" s="216"/>
      <x:c r="J129" s="216"/>
      <x:c r="K129" s="216"/>
      <x:c r="L129" s="216"/>
      <x:c r="M129" s="216"/>
      <x:c r="N129" s="216"/>
      <x:c r="O129" s="216"/>
      <x:c r="P129" s="216"/>
      <x:c r="Q129" s="216"/>
      <x:c r="R129" s="216"/>
      <x:c r="S129" s="216"/>
      <x:c r="T129" s="216"/>
      <x:c r="U129" s="216"/>
      <x:c r="V129" s="216"/>
      <x:c r="W129" s="216"/>
      <x:c r="X129" s="216"/>
      <x:c r="Y129" s="216"/>
      <x:c r="Z129" s="216"/>
    </x:row>
    <x:row r="130">
      <x:c r="A130" s="216"/>
      <x:c r="B130" s="216"/>
      <x:c r="C130" s="216"/>
      <x:c r="D130" s="216"/>
      <x:c r="E130" s="216"/>
      <x:c r="F130" s="216"/>
      <x:c r="G130" s="216"/>
      <x:c r="H130" s="216"/>
      <x:c r="I130" s="216"/>
      <x:c r="J130" s="216"/>
      <x:c r="K130" s="216"/>
      <x:c r="L130" s="216"/>
      <x:c r="M130" s="216"/>
      <x:c r="N130" s="216"/>
      <x:c r="O130" s="216"/>
      <x:c r="P130" s="216"/>
      <x:c r="Q130" s="216"/>
      <x:c r="R130" s="216"/>
      <x:c r="S130" s="216"/>
      <x:c r="T130" s="216"/>
      <x:c r="U130" s="216"/>
      <x:c r="V130" s="216"/>
      <x:c r="W130" s="216"/>
      <x:c r="X130" s="216"/>
      <x:c r="Y130" s="216"/>
      <x:c r="Z130" s="216"/>
    </x:row>
    <x:row r="131">
      <x:c r="A131" s="216"/>
      <x:c r="B131" s="216"/>
      <x:c r="C131" s="216"/>
      <x:c r="D131" s="216"/>
      <x:c r="E131" s="216"/>
      <x:c r="F131" s="216"/>
      <x:c r="G131" s="216"/>
      <x:c r="H131" s="216"/>
      <x:c r="I131" s="216"/>
      <x:c r="J131" s="216"/>
      <x:c r="K131" s="216"/>
      <x:c r="L131" s="216"/>
      <x:c r="M131" s="216"/>
      <x:c r="N131" s="216"/>
      <x:c r="O131" s="216"/>
      <x:c r="P131" s="216"/>
      <x:c r="Q131" s="216"/>
      <x:c r="R131" s="216"/>
      <x:c r="S131" s="216"/>
      <x:c r="T131" s="216"/>
      <x:c r="U131" s="216"/>
      <x:c r="V131" s="216"/>
      <x:c r="W131" s="216"/>
      <x:c r="X131" s="216"/>
      <x:c r="Y131" s="216"/>
      <x:c r="Z131" s="216"/>
    </x:row>
    <x:row r="132">
      <x:c r="A132" s="216"/>
      <x:c r="B132" s="216"/>
      <x:c r="C132" s="216"/>
      <x:c r="D132" s="216"/>
      <x:c r="E132" s="216"/>
      <x:c r="F132" s="216"/>
      <x:c r="G132" s="216"/>
      <x:c r="H132" s="216"/>
      <x:c r="I132" s="216"/>
      <x:c r="J132" s="216"/>
      <x:c r="K132" s="216"/>
      <x:c r="L132" s="216"/>
      <x:c r="M132" s="216"/>
      <x:c r="N132" s="216"/>
      <x:c r="O132" s="216"/>
      <x:c r="P132" s="216"/>
      <x:c r="Q132" s="216"/>
      <x:c r="R132" s="216"/>
      <x:c r="S132" s="216"/>
      <x:c r="T132" s="216"/>
      <x:c r="U132" s="216"/>
      <x:c r="V132" s="216"/>
      <x:c r="W132" s="216"/>
      <x:c r="X132" s="216"/>
      <x:c r="Y132" s="216"/>
      <x:c r="Z132" s="216"/>
    </x:row>
    <x:row r="133">
      <x:c r="A133" s="216"/>
      <x:c r="B133" s="216"/>
      <x:c r="C133" s="216"/>
      <x:c r="D133" s="216"/>
      <x:c r="E133" s="216"/>
      <x:c r="F133" s="216"/>
      <x:c r="G133" s="216"/>
      <x:c r="H133" s="216"/>
      <x:c r="I133" s="216"/>
      <x:c r="J133" s="216"/>
      <x:c r="K133" s="216"/>
      <x:c r="L133" s="216"/>
      <x:c r="M133" s="216"/>
      <x:c r="N133" s="216"/>
      <x:c r="O133" s="216"/>
      <x:c r="P133" s="216"/>
      <x:c r="Q133" s="216"/>
      <x:c r="R133" s="216"/>
      <x:c r="S133" s="216"/>
      <x:c r="T133" s="216"/>
      <x:c r="U133" s="216"/>
      <x:c r="V133" s="216"/>
      <x:c r="W133" s="216"/>
      <x:c r="X133" s="216"/>
      <x:c r="Y133" s="216"/>
      <x:c r="Z133" s="216"/>
    </x:row>
    <x:row r="134">
      <x:c r="A134" s="216"/>
      <x:c r="B134" s="216"/>
      <x:c r="C134" s="216"/>
      <x:c r="D134" s="216"/>
      <x:c r="E134" s="216"/>
      <x:c r="F134" s="216"/>
      <x:c r="G134" s="216"/>
      <x:c r="H134" s="216"/>
      <x:c r="I134" s="216"/>
      <x:c r="J134" s="216"/>
      <x:c r="K134" s="216"/>
      <x:c r="L134" s="216"/>
      <x:c r="M134" s="216"/>
      <x:c r="N134" s="216"/>
      <x:c r="O134" s="216"/>
      <x:c r="P134" s="216"/>
      <x:c r="Q134" s="216"/>
      <x:c r="R134" s="216"/>
      <x:c r="S134" s="216"/>
      <x:c r="T134" s="216"/>
      <x:c r="U134" s="216"/>
      <x:c r="V134" s="216"/>
      <x:c r="W134" s="216"/>
      <x:c r="X134" s="216"/>
      <x:c r="Y134" s="216"/>
      <x:c r="Z134" s="216"/>
    </x:row>
    <x:row r="135">
      <x:c r="A135" s="216"/>
      <x:c r="B135" s="216"/>
      <x:c r="C135" s="216"/>
      <x:c r="D135" s="216"/>
      <x:c r="E135" s="216"/>
      <x:c r="F135" s="216"/>
      <x:c r="G135" s="216"/>
      <x:c r="H135" s="216"/>
      <x:c r="I135" s="216"/>
      <x:c r="J135" s="216"/>
      <x:c r="K135" s="216"/>
      <x:c r="L135" s="216"/>
      <x:c r="M135" s="216"/>
      <x:c r="N135" s="216"/>
      <x:c r="O135" s="216"/>
      <x:c r="P135" s="216"/>
      <x:c r="Q135" s="216"/>
      <x:c r="R135" s="216"/>
      <x:c r="S135" s="216"/>
      <x:c r="T135" s="216"/>
      <x:c r="U135" s="216"/>
      <x:c r="V135" s="216"/>
      <x:c r="W135" s="216"/>
      <x:c r="X135" s="216"/>
      <x:c r="Y135" s="216"/>
      <x:c r="Z135" s="216"/>
    </x:row>
    <x:row r="136">
      <x:c r="A136" s="216"/>
      <x:c r="B136" s="216"/>
      <x:c r="C136" s="216"/>
      <x:c r="D136" s="216"/>
      <x:c r="E136" s="216"/>
      <x:c r="F136" s="216"/>
      <x:c r="G136" s="216"/>
      <x:c r="H136" s="216"/>
      <x:c r="I136" s="216"/>
      <x:c r="J136" s="216"/>
      <x:c r="K136" s="216"/>
      <x:c r="L136" s="216"/>
      <x:c r="M136" s="216"/>
      <x:c r="N136" s="216"/>
      <x:c r="O136" s="216"/>
      <x:c r="P136" s="216"/>
      <x:c r="Q136" s="216"/>
      <x:c r="R136" s="216"/>
      <x:c r="S136" s="216"/>
      <x:c r="T136" s="216"/>
      <x:c r="U136" s="216"/>
      <x:c r="V136" s="216"/>
      <x:c r="W136" s="216"/>
      <x:c r="X136" s="216"/>
      <x:c r="Y136" s="216"/>
      <x:c r="Z136" s="216"/>
    </x:row>
    <x:row r="137">
      <x:c r="A137" s="216"/>
      <x:c r="B137" s="216"/>
      <x:c r="C137" s="216"/>
      <x:c r="D137" s="216"/>
      <x:c r="E137" s="216"/>
      <x:c r="F137" s="216"/>
      <x:c r="G137" s="216"/>
      <x:c r="H137" s="216"/>
      <x:c r="I137" s="216"/>
      <x:c r="J137" s="216"/>
      <x:c r="K137" s="216"/>
      <x:c r="L137" s="216"/>
      <x:c r="M137" s="216"/>
      <x:c r="N137" s="216"/>
      <x:c r="O137" s="216"/>
      <x:c r="P137" s="216"/>
      <x:c r="Q137" s="216"/>
      <x:c r="R137" s="216"/>
      <x:c r="S137" s="216"/>
      <x:c r="T137" s="216"/>
      <x:c r="U137" s="216"/>
      <x:c r="V137" s="216"/>
      <x:c r="W137" s="216"/>
      <x:c r="X137" s="216"/>
      <x:c r="Y137" s="216"/>
      <x:c r="Z137" s="216"/>
    </x:row>
    <x:row r="138">
      <x:c r="A138" s="216"/>
      <x:c r="B138" s="216"/>
      <x:c r="C138" s="216"/>
      <x:c r="D138" s="216"/>
      <x:c r="E138" s="216"/>
      <x:c r="F138" s="216"/>
      <x:c r="G138" s="216"/>
      <x:c r="H138" s="216"/>
      <x:c r="I138" s="216"/>
      <x:c r="J138" s="216"/>
      <x:c r="K138" s="216"/>
      <x:c r="L138" s="216"/>
      <x:c r="M138" s="216"/>
      <x:c r="N138" s="216"/>
      <x:c r="O138" s="216"/>
      <x:c r="P138" s="216"/>
      <x:c r="Q138" s="216"/>
      <x:c r="R138" s="216"/>
      <x:c r="S138" s="216"/>
      <x:c r="T138" s="216"/>
      <x:c r="U138" s="216"/>
      <x:c r="V138" s="216"/>
      <x:c r="W138" s="216"/>
      <x:c r="X138" s="216"/>
      <x:c r="Y138" s="216"/>
      <x:c r="Z138" s="216"/>
    </x:row>
    <x:row r="139">
      <x:c r="A139" s="216"/>
      <x:c r="B139" s="216"/>
      <x:c r="C139" s="216"/>
      <x:c r="D139" s="216"/>
      <x:c r="E139" s="216"/>
      <x:c r="F139" s="216"/>
      <x:c r="G139" s="216"/>
      <x:c r="H139" s="216"/>
      <x:c r="I139" s="216"/>
      <x:c r="J139" s="216"/>
      <x:c r="K139" s="216"/>
      <x:c r="L139" s="216"/>
      <x:c r="M139" s="216"/>
      <x:c r="N139" s="216"/>
      <x:c r="O139" s="216"/>
      <x:c r="P139" s="216"/>
      <x:c r="Q139" s="216"/>
      <x:c r="R139" s="216"/>
      <x:c r="S139" s="216"/>
      <x:c r="T139" s="216"/>
      <x:c r="U139" s="216"/>
      <x:c r="V139" s="216"/>
      <x:c r="W139" s="216"/>
      <x:c r="X139" s="216"/>
      <x:c r="Y139" s="216"/>
      <x:c r="Z139" s="216"/>
    </x:row>
    <x:row r="140">
      <x:c r="A140" s="216"/>
      <x:c r="B140" s="216"/>
      <x:c r="C140" s="216"/>
      <x:c r="D140" s="216"/>
      <x:c r="E140" s="216"/>
      <x:c r="F140" s="216"/>
      <x:c r="G140" s="216"/>
      <x:c r="H140" s="216"/>
      <x:c r="I140" s="216"/>
      <x:c r="J140" s="216"/>
      <x:c r="K140" s="216"/>
      <x:c r="L140" s="216"/>
      <x:c r="M140" s="216"/>
      <x:c r="N140" s="216"/>
      <x:c r="O140" s="216"/>
      <x:c r="P140" s="216"/>
      <x:c r="Q140" s="216"/>
      <x:c r="R140" s="216"/>
      <x:c r="S140" s="216"/>
      <x:c r="T140" s="216"/>
      <x:c r="U140" s="216"/>
      <x:c r="V140" s="216"/>
      <x:c r="W140" s="216"/>
      <x:c r="X140" s="216"/>
      <x:c r="Y140" s="216"/>
      <x:c r="Z140" s="216"/>
    </x:row>
    <x:row r="141">
      <x:c r="A141" s="216"/>
      <x:c r="B141" s="216"/>
      <x:c r="C141" s="216"/>
      <x:c r="D141" s="216"/>
      <x:c r="E141" s="216"/>
      <x:c r="F141" s="216"/>
      <x:c r="G141" s="216"/>
      <x:c r="H141" s="216"/>
      <x:c r="I141" s="216"/>
      <x:c r="J141" s="216"/>
      <x:c r="K141" s="216"/>
      <x:c r="L141" s="216"/>
      <x:c r="M141" s="216"/>
      <x:c r="N141" s="216"/>
      <x:c r="O141" s="216"/>
      <x:c r="P141" s="216"/>
      <x:c r="Q141" s="216"/>
      <x:c r="R141" s="216"/>
      <x:c r="S141" s="216"/>
      <x:c r="T141" s="216"/>
      <x:c r="U141" s="216"/>
      <x:c r="V141" s="216"/>
      <x:c r="W141" s="216"/>
      <x:c r="X141" s="216"/>
      <x:c r="Y141" s="216"/>
      <x:c r="Z141" s="216"/>
    </x:row>
    <x:row r="142">
      <x:c r="A142" s="216"/>
      <x:c r="B142" s="216"/>
      <x:c r="C142" s="216"/>
      <x:c r="D142" s="216"/>
      <x:c r="E142" s="216"/>
      <x:c r="F142" s="216"/>
      <x:c r="G142" s="216"/>
      <x:c r="H142" s="216"/>
      <x:c r="I142" s="216"/>
      <x:c r="J142" s="216"/>
      <x:c r="K142" s="216"/>
      <x:c r="L142" s="216"/>
      <x:c r="M142" s="216"/>
      <x:c r="N142" s="216"/>
      <x:c r="O142" s="216"/>
      <x:c r="P142" s="216"/>
      <x:c r="Q142" s="216"/>
      <x:c r="R142" s="216"/>
      <x:c r="S142" s="216"/>
      <x:c r="T142" s="216"/>
      <x:c r="U142" s="216"/>
      <x:c r="V142" s="216"/>
      <x:c r="W142" s="216"/>
      <x:c r="X142" s="216"/>
      <x:c r="Y142" s="216"/>
      <x:c r="Z142" s="216"/>
    </x:row>
    <x:row r="143">
      <x:c r="A143" s="216"/>
      <x:c r="B143" s="216"/>
      <x:c r="C143" s="216"/>
      <x:c r="D143" s="216"/>
      <x:c r="E143" s="216"/>
      <x:c r="F143" s="216"/>
      <x:c r="G143" s="216"/>
      <x:c r="H143" s="216"/>
      <x:c r="I143" s="216"/>
      <x:c r="J143" s="216"/>
      <x:c r="K143" s="216"/>
      <x:c r="L143" s="216"/>
      <x:c r="M143" s="216"/>
      <x:c r="N143" s="216"/>
      <x:c r="O143" s="216"/>
      <x:c r="P143" s="216"/>
      <x:c r="Q143" s="216"/>
      <x:c r="R143" s="216"/>
      <x:c r="S143" s="216"/>
      <x:c r="T143" s="216"/>
      <x:c r="U143" s="216"/>
      <x:c r="V143" s="216"/>
      <x:c r="W143" s="216"/>
      <x:c r="X143" s="216"/>
      <x:c r="Y143" s="216"/>
      <x:c r="Z143" s="216"/>
    </x:row>
    <x:row r="144">
      <x:c r="A144" s="216"/>
      <x:c r="B144" s="216"/>
      <x:c r="C144" s="216"/>
      <x:c r="D144" s="216"/>
      <x:c r="E144" s="216"/>
      <x:c r="F144" s="216"/>
      <x:c r="G144" s="216"/>
      <x:c r="H144" s="216"/>
      <x:c r="I144" s="216"/>
      <x:c r="J144" s="216"/>
      <x:c r="K144" s="216"/>
      <x:c r="L144" s="216"/>
      <x:c r="M144" s="216"/>
      <x:c r="N144" s="216"/>
      <x:c r="O144" s="216"/>
      <x:c r="P144" s="216"/>
      <x:c r="Q144" s="216"/>
      <x:c r="R144" s="216"/>
      <x:c r="S144" s="216"/>
      <x:c r="T144" s="216"/>
      <x:c r="U144" s="216"/>
      <x:c r="V144" s="216"/>
      <x:c r="W144" s="216"/>
      <x:c r="X144" s="216"/>
      <x:c r="Y144" s="216"/>
      <x:c r="Z144" s="216"/>
    </x:row>
    <x:row r="145">
      <x:c r="A145" s="216"/>
      <x:c r="B145" s="216"/>
      <x:c r="C145" s="216"/>
      <x:c r="D145" s="216"/>
      <x:c r="E145" s="216"/>
      <x:c r="F145" s="216"/>
      <x:c r="G145" s="216"/>
      <x:c r="H145" s="216"/>
      <x:c r="I145" s="216"/>
      <x:c r="J145" s="216"/>
      <x:c r="K145" s="216"/>
      <x:c r="L145" s="216"/>
      <x:c r="M145" s="216"/>
      <x:c r="N145" s="216"/>
      <x:c r="O145" s="216"/>
      <x:c r="P145" s="216"/>
      <x:c r="Q145" s="216"/>
      <x:c r="R145" s="216"/>
      <x:c r="S145" s="216"/>
      <x:c r="T145" s="216"/>
      <x:c r="U145" s="216"/>
      <x:c r="V145" s="216"/>
      <x:c r="W145" s="216"/>
      <x:c r="X145" s="216"/>
      <x:c r="Y145" s="216"/>
      <x:c r="Z145" s="216"/>
    </x:row>
    <x:row r="146">
      <x:c r="A146" s="216"/>
      <x:c r="B146" s="216"/>
      <x:c r="C146" s="216"/>
      <x:c r="D146" s="216"/>
      <x:c r="E146" s="216"/>
      <x:c r="F146" s="216"/>
      <x:c r="G146" s="216"/>
      <x:c r="H146" s="216"/>
      <x:c r="I146" s="216"/>
      <x:c r="J146" s="216"/>
      <x:c r="K146" s="216"/>
      <x:c r="L146" s="216"/>
      <x:c r="M146" s="216"/>
      <x:c r="N146" s="216"/>
      <x:c r="O146" s="216"/>
      <x:c r="P146" s="216"/>
      <x:c r="Q146" s="216"/>
      <x:c r="R146" s="216"/>
      <x:c r="S146" s="216"/>
      <x:c r="T146" s="216"/>
      <x:c r="U146" s="216"/>
      <x:c r="V146" s="216"/>
      <x:c r="W146" s="216"/>
      <x:c r="X146" s="216"/>
      <x:c r="Y146" s="216"/>
      <x:c r="Z146" s="216"/>
    </x:row>
    <x:row r="147">
      <x:c r="A147" s="216"/>
      <x:c r="B147" s="216"/>
      <x:c r="C147" s="216"/>
      <x:c r="D147" s="216"/>
      <x:c r="E147" s="216"/>
      <x:c r="F147" s="216"/>
      <x:c r="G147" s="216"/>
      <x:c r="H147" s="216"/>
      <x:c r="I147" s="216"/>
      <x:c r="J147" s="216"/>
      <x:c r="K147" s="216"/>
      <x:c r="L147" s="216"/>
      <x:c r="M147" s="216"/>
      <x:c r="N147" s="216"/>
      <x:c r="O147" s="216"/>
      <x:c r="P147" s="216"/>
      <x:c r="Q147" s="216"/>
      <x:c r="R147" s="216"/>
      <x:c r="S147" s="216"/>
      <x:c r="T147" s="216"/>
      <x:c r="U147" s="216"/>
      <x:c r="V147" s="216"/>
      <x:c r="W147" s="216"/>
      <x:c r="X147" s="216"/>
      <x:c r="Y147" s="216"/>
      <x:c r="Z147" s="216"/>
    </x:row>
    <x:row r="148">
      <x:c r="A148" s="216"/>
      <x:c r="B148" s="216"/>
      <x:c r="C148" s="216"/>
      <x:c r="D148" s="216"/>
      <x:c r="E148" s="216"/>
      <x:c r="F148" s="216"/>
      <x:c r="G148" s="216"/>
      <x:c r="H148" s="216"/>
      <x:c r="I148" s="216"/>
      <x:c r="J148" s="216"/>
      <x:c r="K148" s="216"/>
      <x:c r="L148" s="216"/>
      <x:c r="M148" s="216"/>
      <x:c r="N148" s="216"/>
      <x:c r="O148" s="216"/>
      <x:c r="P148" s="216"/>
      <x:c r="Q148" s="216"/>
      <x:c r="R148" s="216"/>
      <x:c r="S148" s="216"/>
      <x:c r="T148" s="216"/>
      <x:c r="U148" s="216"/>
      <x:c r="V148" s="216"/>
      <x:c r="W148" s="216"/>
      <x:c r="X148" s="216"/>
      <x:c r="Y148" s="216"/>
      <x:c r="Z148" s="216"/>
    </x:row>
    <x:row r="149">
      <x:c r="A149" s="216"/>
      <x:c r="B149" s="216"/>
      <x:c r="C149" s="216"/>
      <x:c r="D149" s="216"/>
      <x:c r="E149" s="216"/>
      <x:c r="F149" s="216"/>
      <x:c r="G149" s="216"/>
      <x:c r="H149" s="216"/>
      <x:c r="I149" s="216"/>
      <x:c r="J149" s="216"/>
      <x:c r="K149" s="216"/>
      <x:c r="L149" s="216"/>
      <x:c r="M149" s="216"/>
      <x:c r="N149" s="216"/>
      <x:c r="O149" s="216"/>
      <x:c r="P149" s="216"/>
      <x:c r="Q149" s="216"/>
      <x:c r="R149" s="216"/>
      <x:c r="S149" s="216"/>
      <x:c r="T149" s="216"/>
      <x:c r="U149" s="216"/>
      <x:c r="V149" s="216"/>
      <x:c r="W149" s="216"/>
      <x:c r="X149" s="216"/>
      <x:c r="Y149" s="216"/>
      <x:c r="Z149" s="216"/>
    </x:row>
    <x:row r="150">
      <x:c r="A150" s="216"/>
      <x:c r="B150" s="216"/>
      <x:c r="C150" s="216"/>
      <x:c r="D150" s="216"/>
      <x:c r="E150" s="216"/>
      <x:c r="F150" s="216"/>
      <x:c r="G150" s="216"/>
      <x:c r="H150" s="216"/>
      <x:c r="I150" s="216"/>
      <x:c r="J150" s="216"/>
      <x:c r="K150" s="216"/>
      <x:c r="L150" s="216"/>
      <x:c r="M150" s="216"/>
      <x:c r="N150" s="216"/>
      <x:c r="O150" s="216"/>
      <x:c r="P150" s="216"/>
      <x:c r="Q150" s="216"/>
      <x:c r="R150" s="216"/>
      <x:c r="S150" s="216"/>
      <x:c r="T150" s="216"/>
      <x:c r="U150" s="216"/>
      <x:c r="V150" s="216"/>
      <x:c r="W150" s="216"/>
      <x:c r="X150" s="216"/>
      <x:c r="Y150" s="216"/>
      <x:c r="Z150" s="216"/>
    </x:row>
    <x:row r="151">
      <x:c r="A151" s="216"/>
      <x:c r="B151" s="216"/>
      <x:c r="C151" s="216"/>
      <x:c r="D151" s="216"/>
      <x:c r="E151" s="216"/>
      <x:c r="F151" s="216"/>
      <x:c r="G151" s="216"/>
      <x:c r="H151" s="216"/>
      <x:c r="I151" s="216"/>
      <x:c r="J151" s="216"/>
      <x:c r="K151" s="216"/>
      <x:c r="L151" s="216"/>
      <x:c r="M151" s="216"/>
      <x:c r="N151" s="216"/>
      <x:c r="O151" s="216"/>
      <x:c r="P151" s="216"/>
      <x:c r="Q151" s="216"/>
      <x:c r="R151" s="216"/>
      <x:c r="S151" s="216"/>
      <x:c r="T151" s="216"/>
      <x:c r="U151" s="216"/>
      <x:c r="V151" s="216"/>
      <x:c r="W151" s="216"/>
      <x:c r="X151" s="216"/>
      <x:c r="Y151" s="216"/>
      <x:c r="Z151" s="216"/>
    </x:row>
    <x:row r="152">
      <x:c r="A152" s="216"/>
      <x:c r="B152" s="216"/>
      <x:c r="C152" s="216"/>
      <x:c r="D152" s="216"/>
      <x:c r="E152" s="216"/>
      <x:c r="F152" s="216"/>
      <x:c r="G152" s="216"/>
      <x:c r="H152" s="216"/>
      <x:c r="I152" s="216"/>
      <x:c r="J152" s="216"/>
      <x:c r="K152" s="216"/>
      <x:c r="L152" s="216"/>
      <x:c r="M152" s="216"/>
      <x:c r="N152" s="216"/>
      <x:c r="O152" s="216"/>
      <x:c r="P152" s="216"/>
      <x:c r="Q152" s="216"/>
      <x:c r="R152" s="216"/>
      <x:c r="S152" s="216"/>
      <x:c r="T152" s="216"/>
      <x:c r="U152" s="216"/>
      <x:c r="V152" s="216"/>
      <x:c r="W152" s="216"/>
      <x:c r="X152" s="216"/>
      <x:c r="Y152" s="216"/>
      <x:c r="Z152" s="216"/>
    </x:row>
    <x:row r="153">
      <x:c r="A153" s="216"/>
      <x:c r="B153" s="216"/>
      <x:c r="C153" s="216"/>
      <x:c r="D153" s="216"/>
      <x:c r="E153" s="216"/>
      <x:c r="F153" s="216"/>
      <x:c r="G153" s="216"/>
      <x:c r="H153" s="216"/>
      <x:c r="I153" s="216"/>
      <x:c r="J153" s="216"/>
      <x:c r="K153" s="216"/>
      <x:c r="L153" s="216"/>
      <x:c r="M153" s="216"/>
      <x:c r="N153" s="216"/>
      <x:c r="O153" s="216"/>
      <x:c r="P153" s="216"/>
      <x:c r="Q153" s="216"/>
      <x:c r="R153" s="216"/>
      <x:c r="S153" s="216"/>
      <x:c r="T153" s="216"/>
      <x:c r="U153" s="216"/>
      <x:c r="V153" s="216"/>
      <x:c r="W153" s="216"/>
      <x:c r="X153" s="216"/>
      <x:c r="Y153" s="216"/>
      <x:c r="Z153" s="216"/>
    </x:row>
    <x:row r="154">
      <x:c r="A154" s="216"/>
      <x:c r="B154" s="216"/>
      <x:c r="C154" s="216"/>
      <x:c r="D154" s="216"/>
      <x:c r="E154" s="216"/>
      <x:c r="F154" s="216"/>
      <x:c r="G154" s="216"/>
      <x:c r="H154" s="216"/>
      <x:c r="I154" s="216"/>
      <x:c r="J154" s="216"/>
      <x:c r="K154" s="216"/>
      <x:c r="L154" s="216"/>
      <x:c r="M154" s="216"/>
      <x:c r="N154" s="216"/>
      <x:c r="O154" s="216"/>
      <x:c r="P154" s="216"/>
      <x:c r="Q154" s="216"/>
      <x:c r="R154" s="216"/>
      <x:c r="S154" s="216"/>
      <x:c r="T154" s="216"/>
      <x:c r="U154" s="216"/>
      <x:c r="V154" s="216"/>
      <x:c r="W154" s="216"/>
      <x:c r="X154" s="216"/>
      <x:c r="Y154" s="216"/>
      <x:c r="Z154" s="216"/>
    </x:row>
    <x:row r="155">
      <x:c r="A155" s="216"/>
      <x:c r="B155" s="216"/>
      <x:c r="C155" s="216"/>
      <x:c r="D155" s="216"/>
      <x:c r="E155" s="216"/>
      <x:c r="F155" s="216"/>
      <x:c r="G155" s="216"/>
      <x:c r="H155" s="216"/>
      <x:c r="I155" s="216"/>
      <x:c r="J155" s="216"/>
      <x:c r="K155" s="216"/>
      <x:c r="L155" s="216"/>
      <x:c r="M155" s="216"/>
      <x:c r="N155" s="216"/>
      <x:c r="O155" s="216"/>
      <x:c r="P155" s="216"/>
      <x:c r="Q155" s="216"/>
      <x:c r="R155" s="216"/>
      <x:c r="S155" s="216"/>
      <x:c r="T155" s="216"/>
      <x:c r="U155" s="216"/>
      <x:c r="V155" s="216"/>
      <x:c r="W155" s="216"/>
      <x:c r="X155" s="216"/>
      <x:c r="Y155" s="216"/>
      <x:c r="Z155" s="216"/>
    </x:row>
    <x:row r="156">
      <x:c r="A156" s="216"/>
      <x:c r="B156" s="216"/>
      <x:c r="C156" s="216"/>
      <x:c r="D156" s="216"/>
      <x:c r="E156" s="216"/>
      <x:c r="F156" s="216"/>
      <x:c r="G156" s="216"/>
      <x:c r="H156" s="216"/>
      <x:c r="I156" s="216"/>
      <x:c r="J156" s="216"/>
      <x:c r="K156" s="216"/>
      <x:c r="L156" s="216"/>
      <x:c r="M156" s="216"/>
      <x:c r="N156" s="216"/>
      <x:c r="O156" s="216"/>
      <x:c r="P156" s="216"/>
      <x:c r="Q156" s="216"/>
      <x:c r="R156" s="216"/>
      <x:c r="S156" s="216"/>
      <x:c r="T156" s="216"/>
      <x:c r="U156" s="216"/>
      <x:c r="V156" s="216"/>
      <x:c r="W156" s="216"/>
      <x:c r="X156" s="216"/>
      <x:c r="Y156" s="216"/>
      <x:c r="Z156" s="216"/>
    </x:row>
    <x:row r="157">
      <x:c r="A157" s="216"/>
      <x:c r="B157" s="216"/>
      <x:c r="C157" s="216"/>
      <x:c r="D157" s="216"/>
      <x:c r="E157" s="216"/>
      <x:c r="F157" s="216"/>
      <x:c r="G157" s="216"/>
      <x:c r="H157" s="216"/>
      <x:c r="I157" s="216"/>
      <x:c r="J157" s="216"/>
      <x:c r="K157" s="216"/>
      <x:c r="L157" s="216"/>
      <x:c r="M157" s="216"/>
      <x:c r="N157" s="216"/>
      <x:c r="O157" s="216"/>
      <x:c r="P157" s="216"/>
      <x:c r="Q157" s="216"/>
      <x:c r="R157" s="216"/>
      <x:c r="S157" s="216"/>
      <x:c r="T157" s="216"/>
      <x:c r="U157" s="216"/>
      <x:c r="V157" s="216"/>
      <x:c r="W157" s="216"/>
      <x:c r="X157" s="216"/>
      <x:c r="Y157" s="216"/>
      <x:c r="Z157" s="216"/>
    </x:row>
    <x:row r="158">
      <x:c r="A158" s="216"/>
      <x:c r="B158" s="216"/>
      <x:c r="C158" s="216"/>
      <x:c r="D158" s="216"/>
      <x:c r="E158" s="216"/>
      <x:c r="F158" s="216"/>
      <x:c r="G158" s="216"/>
      <x:c r="H158" s="216"/>
      <x:c r="I158" s="216"/>
      <x:c r="J158" s="216"/>
      <x:c r="K158" s="216"/>
      <x:c r="L158" s="216"/>
      <x:c r="M158" s="216"/>
      <x:c r="N158" s="216"/>
      <x:c r="O158" s="216"/>
      <x:c r="P158" s="216"/>
      <x:c r="Q158" s="216"/>
      <x:c r="R158" s="216"/>
      <x:c r="S158" s="216"/>
      <x:c r="T158" s="216"/>
      <x:c r="U158" s="216"/>
      <x:c r="V158" s="216"/>
      <x:c r="W158" s="216"/>
      <x:c r="X158" s="216"/>
      <x:c r="Y158" s="216"/>
      <x:c r="Z158" s="216"/>
    </x:row>
    <x:row r="159">
      <x:c r="A159" s="216"/>
      <x:c r="B159" s="216"/>
      <x:c r="C159" s="216"/>
      <x:c r="D159" s="216"/>
      <x:c r="E159" s="216"/>
      <x:c r="F159" s="216"/>
      <x:c r="G159" s="216"/>
      <x:c r="H159" s="216"/>
      <x:c r="I159" s="216"/>
      <x:c r="J159" s="216"/>
      <x:c r="K159" s="216"/>
      <x:c r="L159" s="216"/>
      <x:c r="M159" s="216"/>
      <x:c r="N159" s="216"/>
      <x:c r="O159" s="216"/>
      <x:c r="P159" s="216"/>
      <x:c r="Q159" s="216"/>
      <x:c r="R159" s="216"/>
      <x:c r="S159" s="216"/>
      <x:c r="T159" s="216"/>
      <x:c r="U159" s="216"/>
      <x:c r="V159" s="216"/>
      <x:c r="W159" s="216"/>
      <x:c r="X159" s="216"/>
      <x:c r="Y159" s="216"/>
      <x:c r="Z159" s="216"/>
    </x:row>
    <x:row r="160">
      <x:c r="A160" s="216"/>
      <x:c r="B160" s="216"/>
      <x:c r="C160" s="216"/>
      <x:c r="D160" s="216"/>
      <x:c r="E160" s="216"/>
      <x:c r="F160" s="216"/>
      <x:c r="G160" s="216"/>
      <x:c r="H160" s="216"/>
      <x:c r="I160" s="216"/>
      <x:c r="J160" s="216"/>
      <x:c r="K160" s="216"/>
      <x:c r="L160" s="216"/>
      <x:c r="M160" s="216"/>
      <x:c r="N160" s="216"/>
      <x:c r="O160" s="216"/>
      <x:c r="P160" s="216"/>
      <x:c r="Q160" s="216"/>
      <x:c r="R160" s="216"/>
      <x:c r="S160" s="216"/>
      <x:c r="T160" s="216"/>
      <x:c r="U160" s="216"/>
      <x:c r="V160" s="216"/>
      <x:c r="W160" s="216"/>
      <x:c r="X160" s="216"/>
      <x:c r="Y160" s="216"/>
      <x:c r="Z160" s="216"/>
    </x:row>
    <x:row r="161">
      <x:c r="A161" s="216"/>
      <x:c r="B161" s="216"/>
      <x:c r="C161" s="216"/>
      <x:c r="D161" s="216"/>
      <x:c r="E161" s="216"/>
      <x:c r="F161" s="216"/>
      <x:c r="G161" s="216"/>
      <x:c r="H161" s="216"/>
      <x:c r="I161" s="216"/>
      <x:c r="J161" s="216"/>
      <x:c r="K161" s="216"/>
      <x:c r="L161" s="216"/>
      <x:c r="M161" s="216"/>
      <x:c r="N161" s="216"/>
      <x:c r="O161" s="216"/>
      <x:c r="P161" s="216"/>
      <x:c r="Q161" s="216"/>
      <x:c r="R161" s="216"/>
      <x:c r="S161" s="216"/>
      <x:c r="T161" s="216"/>
      <x:c r="U161" s="216"/>
      <x:c r="V161" s="216"/>
      <x:c r="W161" s="216"/>
      <x:c r="X161" s="216"/>
      <x:c r="Y161" s="216"/>
      <x:c r="Z161" s="216"/>
    </x:row>
    <x:row r="162">
      <x:c r="A162" s="216"/>
      <x:c r="B162" s="216"/>
      <x:c r="C162" s="216"/>
      <x:c r="D162" s="216"/>
      <x:c r="E162" s="216"/>
      <x:c r="F162" s="216"/>
      <x:c r="G162" s="216"/>
      <x:c r="H162" s="216"/>
      <x:c r="I162" s="216"/>
      <x:c r="J162" s="216"/>
      <x:c r="K162" s="216"/>
      <x:c r="L162" s="216"/>
      <x:c r="M162" s="216"/>
      <x:c r="N162" s="216"/>
      <x:c r="O162" s="216"/>
      <x:c r="P162" s="216"/>
      <x:c r="Q162" s="216"/>
      <x:c r="R162" s="216"/>
      <x:c r="S162" s="216"/>
      <x:c r="T162" s="216"/>
      <x:c r="U162" s="216"/>
      <x:c r="V162" s="216"/>
      <x:c r="W162" s="216"/>
      <x:c r="X162" s="216"/>
      <x:c r="Y162" s="216"/>
      <x:c r="Z162" s="216"/>
    </x:row>
    <x:row r="163">
      <x:c r="A163" s="216"/>
      <x:c r="B163" s="216"/>
      <x:c r="C163" s="216"/>
      <x:c r="D163" s="216"/>
      <x:c r="E163" s="216"/>
      <x:c r="F163" s="216"/>
      <x:c r="G163" s="216"/>
      <x:c r="H163" s="216"/>
      <x:c r="I163" s="216"/>
      <x:c r="J163" s="216"/>
      <x:c r="K163" s="216"/>
      <x:c r="L163" s="216"/>
      <x:c r="M163" s="216"/>
      <x:c r="N163" s="216"/>
      <x:c r="O163" s="216"/>
      <x:c r="P163" s="216"/>
      <x:c r="Q163" s="216"/>
      <x:c r="R163" s="216"/>
      <x:c r="S163" s="216"/>
      <x:c r="T163" s="216"/>
      <x:c r="U163" s="216"/>
      <x:c r="V163" s="216"/>
      <x:c r="W163" s="216"/>
      <x:c r="X163" s="216"/>
      <x:c r="Y163" s="216"/>
      <x:c r="Z163" s="216"/>
    </x:row>
    <x:row r="164">
      <x:c r="A164" s="216"/>
      <x:c r="B164" s="216"/>
      <x:c r="C164" s="216"/>
      <x:c r="D164" s="216"/>
      <x:c r="E164" s="216"/>
      <x:c r="F164" s="216"/>
      <x:c r="G164" s="216"/>
      <x:c r="H164" s="216"/>
      <x:c r="I164" s="216"/>
      <x:c r="J164" s="216"/>
      <x:c r="K164" s="216"/>
      <x:c r="L164" s="216"/>
      <x:c r="M164" s="216"/>
      <x:c r="N164" s="216"/>
      <x:c r="O164" s="216"/>
      <x:c r="P164" s="216"/>
      <x:c r="Q164" s="216"/>
      <x:c r="R164" s="216"/>
      <x:c r="S164" s="216"/>
      <x:c r="T164" s="216"/>
      <x:c r="U164" s="216"/>
      <x:c r="V164" s="216"/>
      <x:c r="W164" s="216"/>
      <x:c r="X164" s="216"/>
      <x:c r="Y164" s="216"/>
      <x:c r="Z164" s="216"/>
    </x:row>
    <x:row r="165">
      <x:c r="A165" s="216"/>
      <x:c r="B165" s="216"/>
      <x:c r="C165" s="216"/>
      <x:c r="D165" s="216"/>
      <x:c r="E165" s="216"/>
      <x:c r="F165" s="216"/>
      <x:c r="G165" s="216"/>
      <x:c r="H165" s="216"/>
      <x:c r="I165" s="216"/>
      <x:c r="J165" s="216"/>
      <x:c r="K165" s="216"/>
      <x:c r="L165" s="216"/>
      <x:c r="M165" s="216"/>
      <x:c r="N165" s="216"/>
      <x:c r="O165" s="216"/>
      <x:c r="P165" s="216"/>
      <x:c r="Q165" s="216"/>
      <x:c r="R165" s="216"/>
      <x:c r="S165" s="216"/>
      <x:c r="T165" s="216"/>
      <x:c r="U165" s="216"/>
      <x:c r="V165" s="216"/>
      <x:c r="W165" s="216"/>
      <x:c r="X165" s="216"/>
      <x:c r="Y165" s="216"/>
      <x:c r="Z165" s="216"/>
    </x:row>
    <x:row r="166">
      <x:c r="A166" s="216"/>
      <x:c r="B166" s="216"/>
      <x:c r="C166" s="216"/>
      <x:c r="D166" s="216"/>
      <x:c r="E166" s="216"/>
      <x:c r="F166" s="216"/>
      <x:c r="G166" s="216"/>
      <x:c r="H166" s="216"/>
      <x:c r="I166" s="216"/>
      <x:c r="J166" s="216"/>
      <x:c r="K166" s="216"/>
      <x:c r="L166" s="216"/>
      <x:c r="M166" s="216"/>
      <x:c r="N166" s="216"/>
      <x:c r="O166" s="216"/>
      <x:c r="P166" s="216"/>
      <x:c r="Q166" s="216"/>
      <x:c r="R166" s="216"/>
      <x:c r="S166" s="216"/>
      <x:c r="T166" s="216"/>
      <x:c r="U166" s="216"/>
      <x:c r="V166" s="216"/>
      <x:c r="W166" s="216"/>
      <x:c r="X166" s="216"/>
      <x:c r="Y166" s="216"/>
      <x:c r="Z166" s="216"/>
    </x:row>
    <x:row r="167">
      <x:c r="A167" s="216"/>
      <x:c r="B167" s="216"/>
      <x:c r="C167" s="216"/>
      <x:c r="D167" s="216"/>
      <x:c r="E167" s="216"/>
      <x:c r="F167" s="216"/>
      <x:c r="G167" s="216"/>
      <x:c r="H167" s="216"/>
      <x:c r="I167" s="216"/>
      <x:c r="J167" s="216"/>
      <x:c r="K167" s="216"/>
      <x:c r="L167" s="216"/>
      <x:c r="M167" s="216"/>
      <x:c r="N167" s="216"/>
      <x:c r="O167" s="216"/>
      <x:c r="P167" s="216"/>
      <x:c r="Q167" s="216"/>
      <x:c r="R167" s="216"/>
      <x:c r="S167" s="216"/>
      <x:c r="T167" s="216"/>
      <x:c r="U167" s="216"/>
      <x:c r="V167" s="216"/>
      <x:c r="W167" s="216"/>
      <x:c r="X167" s="216"/>
      <x:c r="Y167" s="216"/>
      <x:c r="Z167" s="216"/>
    </x:row>
    <x:row r="168">
      <x:c r="A168" s="216"/>
      <x:c r="B168" s="216"/>
      <x:c r="C168" s="216"/>
      <x:c r="D168" s="216"/>
      <x:c r="E168" s="216"/>
      <x:c r="F168" s="216"/>
      <x:c r="G168" s="216"/>
      <x:c r="H168" s="216"/>
      <x:c r="I168" s="216"/>
      <x:c r="J168" s="216"/>
      <x:c r="K168" s="216"/>
      <x:c r="L168" s="216"/>
      <x:c r="M168" s="216"/>
      <x:c r="N168" s="216"/>
      <x:c r="O168" s="216"/>
      <x:c r="P168" s="216"/>
      <x:c r="Q168" s="216"/>
      <x:c r="R168" s="216"/>
      <x:c r="S168" s="216"/>
      <x:c r="T168" s="216"/>
      <x:c r="U168" s="216"/>
      <x:c r="V168" s="216"/>
      <x:c r="W168" s="216"/>
      <x:c r="X168" s="216"/>
      <x:c r="Y168" s="216"/>
      <x:c r="Z168" s="216"/>
    </x:row>
    <x:row r="169">
      <x:c r="A169" s="216"/>
      <x:c r="B169" s="216"/>
      <x:c r="C169" s="216"/>
      <x:c r="D169" s="216"/>
      <x:c r="E169" s="216"/>
      <x:c r="F169" s="216"/>
      <x:c r="G169" s="216"/>
      <x:c r="H169" s="216"/>
      <x:c r="I169" s="216"/>
      <x:c r="J169" s="216"/>
      <x:c r="K169" s="216"/>
      <x:c r="L169" s="216"/>
      <x:c r="M169" s="216"/>
      <x:c r="N169" s="216"/>
      <x:c r="O169" s="216"/>
      <x:c r="P169" s="216"/>
      <x:c r="Q169" s="216"/>
      <x:c r="R169" s="216"/>
      <x:c r="S169" s="216"/>
      <x:c r="T169" s="216"/>
      <x:c r="U169" s="216"/>
      <x:c r="V169" s="216"/>
      <x:c r="W169" s="216"/>
      <x:c r="X169" s="216"/>
      <x:c r="Y169" s="216"/>
      <x:c r="Z169" s="216"/>
    </x:row>
    <x:row r="170">
      <x:c r="A170" s="216"/>
      <x:c r="B170" s="216"/>
      <x:c r="C170" s="216"/>
      <x:c r="D170" s="216"/>
      <x:c r="E170" s="216"/>
      <x:c r="F170" s="216"/>
      <x:c r="G170" s="216"/>
      <x:c r="H170" s="216"/>
      <x:c r="I170" s="216"/>
      <x:c r="J170" s="216"/>
      <x:c r="K170" s="216"/>
      <x:c r="L170" s="216"/>
      <x:c r="M170" s="216"/>
      <x:c r="N170" s="216"/>
      <x:c r="O170" s="216"/>
      <x:c r="P170" s="216"/>
      <x:c r="Q170" s="216"/>
      <x:c r="R170" s="216"/>
      <x:c r="S170" s="216"/>
      <x:c r="T170" s="216"/>
      <x:c r="U170" s="216"/>
      <x:c r="V170" s="216"/>
      <x:c r="W170" s="216"/>
      <x:c r="X170" s="216"/>
      <x:c r="Y170" s="216"/>
      <x:c r="Z170" s="216"/>
    </x:row>
    <x:row r="171">
      <x:c r="A171" s="216"/>
      <x:c r="B171" s="216"/>
      <x:c r="C171" s="216"/>
      <x:c r="D171" s="216"/>
      <x:c r="E171" s="216"/>
      <x:c r="F171" s="216"/>
      <x:c r="G171" s="216"/>
      <x:c r="H171" s="216"/>
      <x:c r="I171" s="216"/>
      <x:c r="J171" s="216"/>
      <x:c r="K171" s="216"/>
      <x:c r="L171" s="216"/>
      <x:c r="M171" s="216"/>
      <x:c r="N171" s="216"/>
      <x:c r="O171" s="216"/>
      <x:c r="P171" s="216"/>
      <x:c r="Q171" s="216"/>
      <x:c r="R171" s="216"/>
      <x:c r="S171" s="216"/>
      <x:c r="T171" s="216"/>
      <x:c r="U171" s="216"/>
      <x:c r="V171" s="216"/>
      <x:c r="W171" s="216"/>
      <x:c r="X171" s="216"/>
      <x:c r="Y171" s="216"/>
      <x:c r="Z171" s="216"/>
    </x:row>
    <x:row r="172">
      <x:c r="A172" s="216"/>
      <x:c r="B172" s="216"/>
      <x:c r="C172" s="216"/>
      <x:c r="D172" s="216"/>
      <x:c r="E172" s="216"/>
      <x:c r="F172" s="216"/>
      <x:c r="G172" s="216"/>
      <x:c r="H172" s="216"/>
      <x:c r="I172" s="216"/>
      <x:c r="J172" s="216"/>
      <x:c r="K172" s="216"/>
      <x:c r="L172" s="216"/>
      <x:c r="M172" s="216"/>
      <x:c r="N172" s="216"/>
      <x:c r="O172" s="216"/>
      <x:c r="P172" s="216"/>
      <x:c r="Q172" s="216"/>
      <x:c r="R172" s="216"/>
      <x:c r="S172" s="216"/>
      <x:c r="T172" s="216"/>
      <x:c r="U172" s="216"/>
      <x:c r="V172" s="216"/>
      <x:c r="W172" s="216"/>
      <x:c r="X172" s="216"/>
      <x:c r="Y172" s="216"/>
      <x:c r="Z172" s="216"/>
    </x:row>
    <x:row r="173">
      <x:c r="A173" s="216"/>
      <x:c r="B173" s="216"/>
      <x:c r="C173" s="216"/>
      <x:c r="D173" s="216"/>
      <x:c r="E173" s="216"/>
      <x:c r="F173" s="216"/>
      <x:c r="G173" s="216"/>
      <x:c r="H173" s="216"/>
      <x:c r="I173" s="216"/>
      <x:c r="J173" s="216"/>
      <x:c r="K173" s="216"/>
      <x:c r="L173" s="216"/>
      <x:c r="M173" s="216"/>
      <x:c r="N173" s="216"/>
      <x:c r="O173" s="216"/>
      <x:c r="P173" s="216"/>
      <x:c r="Q173" s="216"/>
      <x:c r="R173" s="216"/>
      <x:c r="S173" s="216"/>
      <x:c r="T173" s="216"/>
      <x:c r="U173" s="216"/>
      <x:c r="V173" s="216"/>
      <x:c r="W173" s="216"/>
      <x:c r="X173" s="216"/>
      <x:c r="Y173" s="216"/>
      <x:c r="Z173" s="216"/>
    </x:row>
    <x:row r="174">
      <x:c r="A174" s="216"/>
      <x:c r="B174" s="216"/>
      <x:c r="C174" s="216"/>
      <x:c r="D174" s="216"/>
      <x:c r="E174" s="216"/>
      <x:c r="F174" s="216"/>
      <x:c r="G174" s="216"/>
      <x:c r="H174" s="216"/>
      <x:c r="I174" s="216"/>
      <x:c r="J174" s="216"/>
      <x:c r="K174" s="216"/>
      <x:c r="L174" s="216"/>
      <x:c r="M174" s="216"/>
      <x:c r="N174" s="216"/>
      <x:c r="O174" s="216"/>
      <x:c r="P174" s="216"/>
      <x:c r="Q174" s="216"/>
      <x:c r="R174" s="216"/>
      <x:c r="S174" s="216"/>
      <x:c r="T174" s="216"/>
      <x:c r="U174" s="216"/>
      <x:c r="V174" s="216"/>
      <x:c r="W174" s="216"/>
      <x:c r="X174" s="216"/>
      <x:c r="Y174" s="216"/>
      <x:c r="Z174" s="216"/>
    </x:row>
    <x:row r="175">
      <x:c r="A175" s="216"/>
      <x:c r="B175" s="216"/>
      <x:c r="C175" s="216"/>
      <x:c r="D175" s="216"/>
      <x:c r="E175" s="216"/>
      <x:c r="F175" s="216"/>
      <x:c r="G175" s="216"/>
      <x:c r="H175" s="216"/>
      <x:c r="I175" s="216"/>
      <x:c r="J175" s="216"/>
      <x:c r="K175" s="216"/>
      <x:c r="L175" s="216"/>
      <x:c r="M175" s="216"/>
      <x:c r="N175" s="216"/>
      <x:c r="O175" s="216"/>
      <x:c r="P175" s="216"/>
      <x:c r="Q175" s="216"/>
      <x:c r="R175" s="216"/>
      <x:c r="S175" s="216"/>
      <x:c r="T175" s="216"/>
      <x:c r="U175" s="216"/>
      <x:c r="V175" s="216"/>
      <x:c r="W175" s="216"/>
      <x:c r="X175" s="216"/>
      <x:c r="Y175" s="216"/>
      <x:c r="Z175" s="216"/>
    </x:row>
    <x:row r="176">
      <x:c r="A176" s="216"/>
      <x:c r="B176" s="216"/>
      <x:c r="C176" s="216"/>
      <x:c r="D176" s="216"/>
      <x:c r="E176" s="216"/>
      <x:c r="F176" s="216"/>
      <x:c r="G176" s="216"/>
      <x:c r="H176" s="216"/>
      <x:c r="I176" s="216"/>
      <x:c r="J176" s="216"/>
      <x:c r="K176" s="216"/>
      <x:c r="L176" s="216"/>
      <x:c r="M176" s="216"/>
      <x:c r="N176" s="216"/>
      <x:c r="O176" s="216"/>
      <x:c r="P176" s="216"/>
      <x:c r="Q176" s="216"/>
      <x:c r="R176" s="216"/>
      <x:c r="S176" s="216"/>
      <x:c r="T176" s="216"/>
      <x:c r="U176" s="216"/>
      <x:c r="V176" s="216"/>
      <x:c r="W176" s="216"/>
      <x:c r="X176" s="216"/>
      <x:c r="Y176" s="216"/>
      <x:c r="Z176" s="216"/>
    </x:row>
    <x:row r="177">
      <x:c r="A177" s="216"/>
      <x:c r="B177" s="216"/>
      <x:c r="C177" s="216"/>
      <x:c r="D177" s="216"/>
      <x:c r="E177" s="216"/>
      <x:c r="F177" s="216"/>
      <x:c r="G177" s="216"/>
      <x:c r="H177" s="216"/>
      <x:c r="I177" s="216"/>
      <x:c r="J177" s="216"/>
      <x:c r="K177" s="216"/>
      <x:c r="L177" s="216"/>
      <x:c r="M177" s="216"/>
      <x:c r="N177" s="216"/>
      <x:c r="O177" s="216"/>
      <x:c r="P177" s="216"/>
      <x:c r="Q177" s="216"/>
      <x:c r="R177" s="216"/>
      <x:c r="S177" s="216"/>
      <x:c r="T177" s="216"/>
      <x:c r="U177" s="216"/>
      <x:c r="V177" s="216"/>
      <x:c r="W177" s="216"/>
      <x:c r="X177" s="216"/>
      <x:c r="Y177" s="216"/>
      <x:c r="Z177" s="216"/>
    </x:row>
    <x:row r="178">
      <x:c r="A178" s="216"/>
      <x:c r="B178" s="216"/>
      <x:c r="C178" s="216"/>
      <x:c r="D178" s="216"/>
      <x:c r="E178" s="216"/>
      <x:c r="F178" s="216"/>
      <x:c r="G178" s="216"/>
      <x:c r="H178" s="216"/>
      <x:c r="I178" s="216"/>
      <x:c r="J178" s="216"/>
      <x:c r="K178" s="216"/>
      <x:c r="L178" s="216"/>
      <x:c r="M178" s="216"/>
      <x:c r="N178" s="216"/>
      <x:c r="O178" s="216"/>
      <x:c r="P178" s="216"/>
      <x:c r="Q178" s="216"/>
      <x:c r="R178" s="216"/>
      <x:c r="S178" s="216"/>
      <x:c r="T178" s="216"/>
      <x:c r="U178" s="216"/>
      <x:c r="V178" s="216"/>
      <x:c r="W178" s="216"/>
      <x:c r="X178" s="216"/>
      <x:c r="Y178" s="216"/>
      <x:c r="Z178" s="216"/>
    </x:row>
    <x:row r="179">
      <x:c r="A179" s="216"/>
      <x:c r="B179" s="216"/>
      <x:c r="C179" s="216"/>
      <x:c r="D179" s="216"/>
      <x:c r="E179" s="216"/>
      <x:c r="F179" s="216"/>
      <x:c r="G179" s="216"/>
      <x:c r="H179" s="216"/>
      <x:c r="I179" s="216"/>
      <x:c r="J179" s="216"/>
      <x:c r="K179" s="216"/>
      <x:c r="L179" s="216"/>
      <x:c r="M179" s="216"/>
      <x:c r="N179" s="216"/>
      <x:c r="O179" s="216"/>
      <x:c r="P179" s="216"/>
      <x:c r="Q179" s="216"/>
      <x:c r="R179" s="216"/>
      <x:c r="S179" s="216"/>
      <x:c r="T179" s="216"/>
      <x:c r="U179" s="216"/>
      <x:c r="V179" s="216"/>
      <x:c r="W179" s="216"/>
      <x:c r="X179" s="216"/>
      <x:c r="Y179" s="216"/>
      <x:c r="Z179" s="216"/>
    </x:row>
    <x:row r="180">
      <x:c r="A180" s="216"/>
      <x:c r="B180" s="216"/>
      <x:c r="C180" s="216"/>
      <x:c r="D180" s="216"/>
      <x:c r="E180" s="216"/>
      <x:c r="F180" s="216"/>
      <x:c r="G180" s="216"/>
      <x:c r="H180" s="216"/>
      <x:c r="I180" s="216"/>
      <x:c r="J180" s="216"/>
      <x:c r="K180" s="216"/>
      <x:c r="L180" s="216"/>
      <x:c r="M180" s="216"/>
      <x:c r="N180" s="216"/>
      <x:c r="O180" s="216"/>
      <x:c r="P180" s="216"/>
      <x:c r="Q180" s="216"/>
      <x:c r="R180" s="216"/>
      <x:c r="S180" s="216"/>
      <x:c r="T180" s="216"/>
      <x:c r="U180" s="216"/>
      <x:c r="V180" s="216"/>
      <x:c r="W180" s="216"/>
      <x:c r="X180" s="216"/>
      <x:c r="Y180" s="216"/>
      <x:c r="Z180" s="216"/>
    </x:row>
    <x:row r="181">
      <x:c r="A181" s="216"/>
      <x:c r="B181" s="216"/>
      <x:c r="C181" s="216"/>
      <x:c r="D181" s="216"/>
      <x:c r="E181" s="216"/>
      <x:c r="F181" s="216"/>
      <x:c r="G181" s="216"/>
      <x:c r="H181" s="216"/>
      <x:c r="I181" s="216"/>
      <x:c r="J181" s="216"/>
      <x:c r="K181" s="216"/>
      <x:c r="L181" s="216"/>
      <x:c r="M181" s="216"/>
      <x:c r="N181" s="216"/>
      <x:c r="O181" s="216"/>
      <x:c r="P181" s="216"/>
      <x:c r="Q181" s="216"/>
      <x:c r="R181" s="216"/>
      <x:c r="S181" s="216"/>
      <x:c r="T181" s="216"/>
      <x:c r="U181" s="216"/>
      <x:c r="V181" s="216"/>
      <x:c r="W181" s="216"/>
      <x:c r="X181" s="216"/>
      <x:c r="Y181" s="216"/>
      <x:c r="Z181" s="216"/>
    </x:row>
    <x:row r="182">
      <x:c r="A182" s="216"/>
      <x:c r="B182" s="216"/>
      <x:c r="C182" s="216"/>
      <x:c r="D182" s="216"/>
      <x:c r="E182" s="216"/>
      <x:c r="F182" s="216"/>
      <x:c r="G182" s="216"/>
      <x:c r="H182" s="216"/>
      <x:c r="I182" s="216"/>
      <x:c r="J182" s="216"/>
      <x:c r="K182" s="216"/>
      <x:c r="L182" s="216"/>
      <x:c r="M182" s="216"/>
      <x:c r="N182" s="216"/>
      <x:c r="O182" s="216"/>
      <x:c r="P182" s="216"/>
      <x:c r="Q182" s="216"/>
      <x:c r="R182" s="216"/>
      <x:c r="S182" s="216"/>
      <x:c r="T182" s="216"/>
      <x:c r="U182" s="216"/>
      <x:c r="V182" s="216"/>
      <x:c r="W182" s="216"/>
      <x:c r="X182" s="216"/>
      <x:c r="Y182" s="216"/>
      <x:c r="Z182" s="216"/>
    </x:row>
    <x:row r="183">
      <x:c r="A183" s="216"/>
      <x:c r="B183" s="216"/>
      <x:c r="C183" s="216"/>
      <x:c r="D183" s="216"/>
      <x:c r="E183" s="216"/>
      <x:c r="F183" s="216"/>
      <x:c r="G183" s="216"/>
      <x:c r="H183" s="216"/>
      <x:c r="I183" s="216"/>
      <x:c r="J183" s="216"/>
      <x:c r="K183" s="216"/>
      <x:c r="L183" s="216"/>
      <x:c r="M183" s="216"/>
      <x:c r="N183" s="216"/>
      <x:c r="O183" s="216"/>
      <x:c r="P183" s="216"/>
      <x:c r="Q183" s="216"/>
      <x:c r="R183" s="216"/>
      <x:c r="S183" s="216"/>
      <x:c r="T183" s="216"/>
      <x:c r="U183" s="216"/>
      <x:c r="V183" s="216"/>
      <x:c r="W183" s="216"/>
      <x:c r="X183" s="216"/>
      <x:c r="Y183" s="216"/>
      <x:c r="Z183" s="216"/>
    </x:row>
    <x:row r="184">
      <x:c r="A184" s="216"/>
      <x:c r="B184" s="216"/>
      <x:c r="C184" s="216"/>
      <x:c r="D184" s="216"/>
      <x:c r="E184" s="216"/>
      <x:c r="F184" s="216"/>
      <x:c r="G184" s="216"/>
      <x:c r="H184" s="216"/>
      <x:c r="I184" s="216"/>
      <x:c r="J184" s="216"/>
      <x:c r="K184" s="216"/>
      <x:c r="L184" s="216"/>
      <x:c r="M184" s="216"/>
      <x:c r="N184" s="216"/>
      <x:c r="O184" s="216"/>
      <x:c r="P184" s="216"/>
      <x:c r="Q184" s="216"/>
      <x:c r="R184" s="216"/>
      <x:c r="S184" s="216"/>
      <x:c r="T184" s="216"/>
      <x:c r="U184" s="216"/>
      <x:c r="V184" s="216"/>
      <x:c r="W184" s="216"/>
      <x:c r="X184" s="216"/>
      <x:c r="Y184" s="216"/>
      <x:c r="Z184" s="216"/>
    </x:row>
    <x:row r="185">
      <x:c r="A185" s="216"/>
      <x:c r="B185" s="216"/>
      <x:c r="C185" s="216"/>
      <x:c r="D185" s="216"/>
      <x:c r="E185" s="216"/>
      <x:c r="F185" s="216"/>
      <x:c r="G185" s="216"/>
      <x:c r="H185" s="216"/>
      <x:c r="I185" s="216"/>
      <x:c r="J185" s="216"/>
      <x:c r="K185" s="216"/>
      <x:c r="L185" s="216"/>
      <x:c r="M185" s="216"/>
      <x:c r="N185" s="216"/>
      <x:c r="O185" s="216"/>
      <x:c r="P185" s="216"/>
      <x:c r="Q185" s="216"/>
      <x:c r="R185" s="216"/>
      <x:c r="S185" s="216"/>
      <x:c r="T185" s="216"/>
      <x:c r="U185" s="216"/>
      <x:c r="V185" s="216"/>
      <x:c r="W185" s="216"/>
      <x:c r="X185" s="216"/>
      <x:c r="Y185" s="216"/>
      <x:c r="Z185" s="216"/>
    </x:row>
    <x:row r="186">
      <x:c r="A186" s="216"/>
      <x:c r="B186" s="216"/>
      <x:c r="C186" s="216"/>
      <x:c r="D186" s="216"/>
      <x:c r="E186" s="216"/>
      <x:c r="F186" s="216"/>
      <x:c r="G186" s="216"/>
      <x:c r="H186" s="216"/>
      <x:c r="I186" s="216"/>
      <x:c r="J186" s="216"/>
      <x:c r="K186" s="216"/>
      <x:c r="L186" s="216"/>
      <x:c r="M186" s="216"/>
      <x:c r="N186" s="216"/>
      <x:c r="O186" s="216"/>
      <x:c r="P186" s="216"/>
      <x:c r="Q186" s="216"/>
      <x:c r="R186" s="216"/>
      <x:c r="S186" s="216"/>
      <x:c r="T186" s="216"/>
      <x:c r="U186" s="216"/>
      <x:c r="V186" s="216"/>
      <x:c r="W186" s="216"/>
      <x:c r="X186" s="216"/>
      <x:c r="Y186" s="216"/>
      <x:c r="Z186" s="216"/>
    </x:row>
    <x:row r="187">
      <x:c r="A187" s="216"/>
      <x:c r="B187" s="216"/>
      <x:c r="C187" s="216"/>
      <x:c r="D187" s="216"/>
      <x:c r="E187" s="216"/>
      <x:c r="F187" s="216"/>
      <x:c r="G187" s="216"/>
      <x:c r="H187" s="216"/>
      <x:c r="I187" s="216"/>
      <x:c r="J187" s="216"/>
      <x:c r="K187" s="216"/>
      <x:c r="L187" s="216"/>
      <x:c r="M187" s="216"/>
      <x:c r="N187" s="216"/>
      <x:c r="O187" s="216"/>
      <x:c r="P187" s="216"/>
      <x:c r="Q187" s="216"/>
      <x:c r="R187" s="216"/>
      <x:c r="S187" s="216"/>
      <x:c r="T187" s="216"/>
      <x:c r="U187" s="216"/>
      <x:c r="V187" s="216"/>
      <x:c r="W187" s="216"/>
      <x:c r="X187" s="216"/>
      <x:c r="Y187" s="216"/>
      <x:c r="Z187" s="216"/>
    </x:row>
    <x:row r="188">
      <x:c r="A188" s="216"/>
      <x:c r="B188" s="216"/>
      <x:c r="C188" s="216"/>
      <x:c r="D188" s="216"/>
      <x:c r="E188" s="216"/>
      <x:c r="F188" s="216"/>
      <x:c r="G188" s="216"/>
      <x:c r="H188" s="216"/>
      <x:c r="I188" s="216"/>
      <x:c r="J188" s="216"/>
      <x:c r="K188" s="216"/>
      <x:c r="L188" s="216"/>
      <x:c r="M188" s="216"/>
      <x:c r="N188" s="216"/>
      <x:c r="O188" s="216"/>
      <x:c r="P188" s="216"/>
      <x:c r="Q188" s="216"/>
      <x:c r="R188" s="216"/>
      <x:c r="S188" s="216"/>
      <x:c r="T188" s="216"/>
      <x:c r="U188" s="216"/>
      <x:c r="V188" s="216"/>
      <x:c r="W188" s="216"/>
      <x:c r="X188" s="216"/>
      <x:c r="Y188" s="216"/>
      <x:c r="Z188" s="216"/>
    </x:row>
    <x:row r="189">
      <x:c r="A189" s="216"/>
      <x:c r="B189" s="216"/>
      <x:c r="C189" s="216"/>
      <x:c r="D189" s="216"/>
      <x:c r="E189" s="216"/>
      <x:c r="F189" s="216"/>
      <x:c r="G189" s="216"/>
      <x:c r="H189" s="216"/>
      <x:c r="I189" s="216"/>
      <x:c r="J189" s="216"/>
      <x:c r="K189" s="216"/>
      <x:c r="L189" s="216"/>
      <x:c r="M189" s="216"/>
      <x:c r="N189" s="216"/>
      <x:c r="O189" s="216"/>
      <x:c r="P189" s="216"/>
      <x:c r="Q189" s="216"/>
      <x:c r="R189" s="216"/>
      <x:c r="S189" s="216"/>
      <x:c r="T189" s="216"/>
      <x:c r="U189" s="216"/>
      <x:c r="V189" s="216"/>
      <x:c r="W189" s="216"/>
      <x:c r="X189" s="216"/>
      <x:c r="Y189" s="216"/>
      <x:c r="Z189" s="216"/>
    </x:row>
    <x:row r="190">
      <x:c r="A190" s="216"/>
      <x:c r="B190" s="216"/>
      <x:c r="C190" s="216"/>
      <x:c r="D190" s="216"/>
      <x:c r="E190" s="216"/>
      <x:c r="F190" s="216"/>
      <x:c r="G190" s="216"/>
      <x:c r="H190" s="216"/>
      <x:c r="I190" s="216"/>
      <x:c r="J190" s="216"/>
      <x:c r="K190" s="216"/>
      <x:c r="L190" s="216"/>
      <x:c r="M190" s="216"/>
      <x:c r="N190" s="216"/>
      <x:c r="O190" s="216"/>
      <x:c r="P190" s="216"/>
      <x:c r="Q190" s="216"/>
      <x:c r="R190" s="216"/>
      <x:c r="S190" s="216"/>
      <x:c r="T190" s="216"/>
      <x:c r="U190" s="216"/>
      <x:c r="V190" s="216"/>
      <x:c r="W190" s="216"/>
      <x:c r="X190" s="216"/>
      <x:c r="Y190" s="216"/>
      <x:c r="Z190" s="216"/>
    </x:row>
    <x:row r="191">
      <x:c r="A191" s="216"/>
      <x:c r="B191" s="216"/>
      <x:c r="C191" s="216"/>
      <x:c r="D191" s="216"/>
      <x:c r="E191" s="216"/>
      <x:c r="F191" s="216"/>
      <x:c r="G191" s="216"/>
      <x:c r="H191" s="216"/>
      <x:c r="I191" s="216"/>
      <x:c r="J191" s="216"/>
      <x:c r="K191" s="216"/>
      <x:c r="L191" s="216"/>
      <x:c r="M191" s="216"/>
      <x:c r="N191" s="216"/>
      <x:c r="O191" s="216"/>
      <x:c r="P191" s="216"/>
      <x:c r="Q191" s="216"/>
      <x:c r="R191" s="216"/>
      <x:c r="S191" s="216"/>
      <x:c r="T191" s="216"/>
      <x:c r="U191" s="216"/>
      <x:c r="V191" s="216"/>
      <x:c r="W191" s="216"/>
      <x:c r="X191" s="216"/>
      <x:c r="Y191" s="216"/>
      <x:c r="Z191" s="216"/>
    </x:row>
    <x:row r="192">
      <x:c r="A192" s="216"/>
      <x:c r="B192" s="216"/>
      <x:c r="C192" s="216"/>
      <x:c r="D192" s="216"/>
      <x:c r="E192" s="216"/>
      <x:c r="F192" s="216"/>
      <x:c r="G192" s="216"/>
      <x:c r="H192" s="216"/>
      <x:c r="I192" s="216"/>
      <x:c r="J192" s="216"/>
      <x:c r="K192" s="216"/>
      <x:c r="L192" s="216"/>
      <x:c r="M192" s="216"/>
      <x:c r="N192" s="216"/>
      <x:c r="O192" s="216"/>
      <x:c r="P192" s="216"/>
      <x:c r="Q192" s="216"/>
      <x:c r="R192" s="216"/>
      <x:c r="S192" s="216"/>
      <x:c r="T192" s="216"/>
      <x:c r="U192" s="216"/>
      <x:c r="V192" s="216"/>
      <x:c r="W192" s="216"/>
      <x:c r="X192" s="216"/>
      <x:c r="Y192" s="216"/>
      <x:c r="Z192" s="216"/>
    </x:row>
    <x:row r="193">
      <x:c r="A193" s="216"/>
      <x:c r="B193" s="216"/>
      <x:c r="C193" s="216"/>
      <x:c r="D193" s="216"/>
      <x:c r="E193" s="216"/>
      <x:c r="F193" s="216"/>
      <x:c r="G193" s="216"/>
      <x:c r="H193" s="216"/>
      <x:c r="I193" s="216"/>
      <x:c r="J193" s="216"/>
      <x:c r="K193" s="216"/>
      <x:c r="L193" s="216"/>
      <x:c r="M193" s="216"/>
      <x:c r="N193" s="216"/>
      <x:c r="O193" s="216"/>
      <x:c r="P193" s="216"/>
      <x:c r="Q193" s="216"/>
      <x:c r="R193" s="216"/>
      <x:c r="S193" s="216"/>
      <x:c r="T193" s="216"/>
      <x:c r="U193" s="216"/>
      <x:c r="V193" s="216"/>
      <x:c r="W193" s="216"/>
      <x:c r="X193" s="216"/>
      <x:c r="Y193" s="216"/>
      <x:c r="Z193" s="216"/>
    </x:row>
    <x:row r="194">
      <x:c r="A194" s="216"/>
      <x:c r="B194" s="216"/>
      <x:c r="C194" s="216"/>
      <x:c r="D194" s="216"/>
      <x:c r="E194" s="216"/>
      <x:c r="F194" s="216"/>
      <x:c r="G194" s="216"/>
      <x:c r="H194" s="216"/>
      <x:c r="I194" s="216"/>
      <x:c r="J194" s="216"/>
      <x:c r="K194" s="216"/>
      <x:c r="L194" s="216"/>
      <x:c r="M194" s="216"/>
      <x:c r="N194" s="216"/>
      <x:c r="O194" s="216"/>
      <x:c r="P194" s="216"/>
      <x:c r="Q194" s="216"/>
      <x:c r="R194" s="216"/>
      <x:c r="S194" s="216"/>
      <x:c r="T194" s="216"/>
      <x:c r="U194" s="216"/>
      <x:c r="V194" s="216"/>
      <x:c r="W194" s="216"/>
      <x:c r="X194" s="216"/>
      <x:c r="Y194" s="216"/>
      <x:c r="Z194" s="216"/>
    </x:row>
    <x:row r="195">
      <x:c r="A195" s="216"/>
      <x:c r="B195" s="216"/>
      <x:c r="C195" s="216"/>
      <x:c r="D195" s="216"/>
      <x:c r="E195" s="216"/>
      <x:c r="F195" s="216"/>
      <x:c r="G195" s="216"/>
      <x:c r="H195" s="216"/>
      <x:c r="I195" s="216"/>
      <x:c r="J195" s="216"/>
      <x:c r="K195" s="216"/>
      <x:c r="L195" s="216"/>
      <x:c r="M195" s="216"/>
      <x:c r="N195" s="216"/>
      <x:c r="O195" s="216"/>
      <x:c r="P195" s="216"/>
      <x:c r="Q195" s="216"/>
      <x:c r="R195" s="216"/>
      <x:c r="S195" s="216"/>
      <x:c r="T195" s="216"/>
      <x:c r="U195" s="216"/>
      <x:c r="V195" s="216"/>
      <x:c r="W195" s="216"/>
      <x:c r="X195" s="216"/>
      <x:c r="Y195" s="216"/>
      <x:c r="Z195" s="216"/>
    </x:row>
    <x:row r="196">
      <x:c r="A196" s="216"/>
      <x:c r="B196" s="216"/>
      <x:c r="C196" s="216"/>
      <x:c r="D196" s="216"/>
      <x:c r="E196" s="216"/>
      <x:c r="F196" s="216"/>
      <x:c r="G196" s="216"/>
      <x:c r="H196" s="216"/>
      <x:c r="I196" s="216"/>
      <x:c r="J196" s="216"/>
      <x:c r="K196" s="216"/>
      <x:c r="L196" s="216"/>
      <x:c r="M196" s="216"/>
      <x:c r="N196" s="216"/>
      <x:c r="O196" s="216"/>
      <x:c r="P196" s="216"/>
      <x:c r="Q196" s="216"/>
      <x:c r="R196" s="216"/>
      <x:c r="S196" s="216"/>
      <x:c r="T196" s="216"/>
      <x:c r="U196" s="216"/>
      <x:c r="V196" s="216"/>
      <x:c r="W196" s="216"/>
      <x:c r="X196" s="216"/>
      <x:c r="Y196" s="216"/>
      <x:c r="Z196" s="216"/>
    </x:row>
    <x:row r="197">
      <x:c r="A197" s="216"/>
      <x:c r="B197" s="216"/>
      <x:c r="C197" s="216"/>
      <x:c r="D197" s="216"/>
      <x:c r="E197" s="216"/>
      <x:c r="F197" s="216"/>
      <x:c r="G197" s="216"/>
      <x:c r="H197" s="216"/>
      <x:c r="I197" s="216"/>
      <x:c r="J197" s="216"/>
      <x:c r="K197" s="216"/>
      <x:c r="L197" s="216"/>
      <x:c r="M197" s="216"/>
      <x:c r="N197" s="216"/>
      <x:c r="O197" s="216"/>
      <x:c r="P197" s="216"/>
      <x:c r="Q197" s="216"/>
      <x:c r="R197" s="216"/>
      <x:c r="S197" s="216"/>
      <x:c r="T197" s="216"/>
      <x:c r="U197" s="216"/>
      <x:c r="V197" s="216"/>
      <x:c r="W197" s="216"/>
      <x:c r="X197" s="216"/>
      <x:c r="Y197" s="216"/>
      <x:c r="Z197" s="216"/>
    </x:row>
    <x:row r="198">
      <x:c r="A198" s="216"/>
      <x:c r="B198" s="216"/>
      <x:c r="C198" s="216"/>
      <x:c r="D198" s="216"/>
      <x:c r="E198" s="216"/>
      <x:c r="F198" s="216"/>
      <x:c r="G198" s="216"/>
      <x:c r="H198" s="216"/>
      <x:c r="I198" s="216"/>
      <x:c r="J198" s="216"/>
      <x:c r="K198" s="216"/>
      <x:c r="L198" s="216"/>
      <x:c r="M198" s="216"/>
      <x:c r="N198" s="216"/>
      <x:c r="O198" s="216"/>
      <x:c r="P198" s="216"/>
      <x:c r="Q198" s="216"/>
      <x:c r="R198" s="216"/>
      <x:c r="S198" s="216"/>
      <x:c r="T198" s="216"/>
      <x:c r="U198" s="216"/>
      <x:c r="V198" s="216"/>
      <x:c r="W198" s="216"/>
      <x:c r="X198" s="216"/>
      <x:c r="Y198" s="216"/>
      <x:c r="Z198" s="216"/>
    </x:row>
    <x:row r="199">
      <x:c r="A199" s="216"/>
      <x:c r="B199" s="216"/>
      <x:c r="C199" s="216"/>
      <x:c r="D199" s="216"/>
      <x:c r="E199" s="216"/>
      <x:c r="F199" s="216"/>
      <x:c r="G199" s="216"/>
      <x:c r="H199" s="216"/>
      <x:c r="I199" s="216"/>
      <x:c r="J199" s="216"/>
      <x:c r="K199" s="216"/>
      <x:c r="L199" s="216"/>
      <x:c r="M199" s="216"/>
      <x:c r="N199" s="216"/>
      <x:c r="O199" s="216"/>
      <x:c r="P199" s="216"/>
      <x:c r="Q199" s="216"/>
      <x:c r="R199" s="216"/>
      <x:c r="S199" s="216"/>
      <x:c r="T199" s="216"/>
      <x:c r="U199" s="216"/>
      <x:c r="V199" s="216"/>
      <x:c r="W199" s="216"/>
      <x:c r="X199" s="216"/>
      <x:c r="Y199" s="216"/>
      <x:c r="Z199" s="216"/>
    </x:row>
    <x:row r="200">
      <x:c r="A200" s="216"/>
      <x:c r="B200" s="216"/>
      <x:c r="C200" s="216"/>
      <x:c r="D200" s="216"/>
      <x:c r="E200" s="216"/>
      <x:c r="F200" s="216"/>
      <x:c r="G200" s="216"/>
      <x:c r="H200" s="216"/>
      <x:c r="I200" s="216"/>
      <x:c r="J200" s="216"/>
      <x:c r="K200" s="216"/>
      <x:c r="L200" s="216"/>
      <x:c r="M200" s="216"/>
      <x:c r="N200" s="216"/>
      <x:c r="O200" s="216"/>
      <x:c r="P200" s="216"/>
      <x:c r="Q200" s="216"/>
      <x:c r="R200" s="216"/>
      <x:c r="S200" s="216"/>
      <x:c r="T200" s="216"/>
      <x:c r="U200" s="216"/>
      <x:c r="V200" s="216"/>
      <x:c r="W200" s="216"/>
      <x:c r="X200" s="216"/>
      <x:c r="Y200" s="216"/>
      <x:c r="Z200" s="216"/>
    </x:row>
    <x:row r="201">
      <x:c r="A201" s="216"/>
      <x:c r="B201" s="216"/>
      <x:c r="C201" s="216"/>
      <x:c r="D201" s="216"/>
      <x:c r="E201" s="216"/>
      <x:c r="F201" s="216"/>
      <x:c r="G201" s="216"/>
      <x:c r="H201" s="216"/>
      <x:c r="I201" s="216"/>
      <x:c r="J201" s="216"/>
      <x:c r="K201" s="216"/>
      <x:c r="L201" s="216"/>
      <x:c r="M201" s="216"/>
      <x:c r="N201" s="216"/>
      <x:c r="O201" s="216"/>
      <x:c r="P201" s="216"/>
      <x:c r="Q201" s="216"/>
      <x:c r="R201" s="216"/>
      <x:c r="S201" s="216"/>
      <x:c r="T201" s="216"/>
      <x:c r="U201" s="216"/>
      <x:c r="V201" s="216"/>
      <x:c r="W201" s="216"/>
      <x:c r="X201" s="216"/>
      <x:c r="Y201" s="216"/>
      <x:c r="Z201" s="216"/>
    </x:row>
    <x:row r="202">
      <x:c r="A202" s="216"/>
      <x:c r="B202" s="216"/>
      <x:c r="C202" s="216"/>
      <x:c r="D202" s="216"/>
      <x:c r="E202" s="216"/>
      <x:c r="F202" s="216"/>
      <x:c r="G202" s="216"/>
      <x:c r="H202" s="216"/>
      <x:c r="I202" s="216"/>
      <x:c r="J202" s="216"/>
      <x:c r="K202" s="216"/>
      <x:c r="L202" s="216"/>
      <x:c r="M202" s="216"/>
      <x:c r="N202" s="216"/>
      <x:c r="O202" s="216"/>
      <x:c r="P202" s="216"/>
      <x:c r="Q202" s="216"/>
      <x:c r="R202" s="216"/>
      <x:c r="S202" s="216"/>
      <x:c r="T202" s="216"/>
      <x:c r="U202" s="216"/>
      <x:c r="V202" s="216"/>
      <x:c r="W202" s="216"/>
      <x:c r="X202" s="216"/>
      <x:c r="Y202" s="216"/>
      <x:c r="Z202" s="216"/>
    </x:row>
    <x:row r="203">
      <x:c r="A203" s="216"/>
      <x:c r="B203" s="216"/>
      <x:c r="C203" s="216"/>
      <x:c r="D203" s="216"/>
      <x:c r="E203" s="216"/>
      <x:c r="F203" s="216"/>
      <x:c r="G203" s="216"/>
      <x:c r="H203" s="216"/>
      <x:c r="I203" s="216"/>
      <x:c r="J203" s="216"/>
      <x:c r="K203" s="216"/>
      <x:c r="L203" s="216"/>
      <x:c r="M203" s="216"/>
      <x:c r="N203" s="216"/>
      <x:c r="O203" s="216"/>
      <x:c r="P203" s="216"/>
      <x:c r="Q203" s="216"/>
      <x:c r="R203" s="216"/>
      <x:c r="S203" s="216"/>
      <x:c r="T203" s="216"/>
      <x:c r="U203" s="216"/>
      <x:c r="V203" s="216"/>
      <x:c r="W203" s="216"/>
      <x:c r="X203" s="216"/>
      <x:c r="Y203" s="216"/>
      <x:c r="Z203" s="216"/>
    </x:row>
    <x:row r="204">
      <x:c r="A204" s="216"/>
      <x:c r="B204" s="216"/>
      <x:c r="C204" s="216"/>
      <x:c r="D204" s="216"/>
      <x:c r="E204" s="216"/>
      <x:c r="F204" s="216"/>
      <x:c r="G204" s="216"/>
      <x:c r="H204" s="216"/>
      <x:c r="I204" s="216"/>
      <x:c r="J204" s="216"/>
      <x:c r="K204" s="216"/>
      <x:c r="L204" s="216"/>
      <x:c r="M204" s="216"/>
      <x:c r="N204" s="216"/>
      <x:c r="O204" s="216"/>
      <x:c r="P204" s="216"/>
      <x:c r="Q204" s="216"/>
      <x:c r="R204" s="216"/>
      <x:c r="S204" s="216"/>
      <x:c r="T204" s="216"/>
      <x:c r="U204" s="216"/>
      <x:c r="V204" s="216"/>
      <x:c r="W204" s="216"/>
      <x:c r="X204" s="216"/>
      <x:c r="Y204" s="216"/>
      <x:c r="Z204" s="216"/>
    </x:row>
    <x:row r="205">
      <x:c r="A205" s="216"/>
      <x:c r="B205" s="216"/>
      <x:c r="C205" s="216"/>
      <x:c r="D205" s="216"/>
      <x:c r="E205" s="216"/>
      <x:c r="F205" s="216"/>
      <x:c r="G205" s="216"/>
      <x:c r="H205" s="216"/>
      <x:c r="I205" s="216"/>
      <x:c r="J205" s="216"/>
      <x:c r="K205" s="216"/>
      <x:c r="L205" s="216"/>
      <x:c r="M205" s="216"/>
      <x:c r="N205" s="216"/>
      <x:c r="O205" s="216"/>
      <x:c r="P205" s="216"/>
      <x:c r="Q205" s="216"/>
      <x:c r="R205" s="216"/>
      <x:c r="S205" s="216"/>
      <x:c r="T205" s="216"/>
      <x:c r="U205" s="216"/>
      <x:c r="V205" s="216"/>
      <x:c r="W205" s="216"/>
      <x:c r="X205" s="216"/>
      <x:c r="Y205" s="216"/>
      <x:c r="Z205" s="216"/>
    </x:row>
    <x:row r="206">
      <x:c r="A206" s="216"/>
      <x:c r="B206" s="216"/>
      <x:c r="C206" s="216"/>
      <x:c r="D206" s="216"/>
      <x:c r="E206" s="216"/>
      <x:c r="F206" s="216"/>
      <x:c r="G206" s="216"/>
      <x:c r="H206" s="216"/>
      <x:c r="I206" s="216"/>
      <x:c r="J206" s="216"/>
      <x:c r="K206" s="216"/>
      <x:c r="L206" s="216"/>
      <x:c r="M206" s="216"/>
      <x:c r="N206" s="216"/>
      <x:c r="O206" s="216"/>
      <x:c r="P206" s="216"/>
      <x:c r="Q206" s="216"/>
      <x:c r="R206" s="216"/>
      <x:c r="S206" s="216"/>
      <x:c r="T206" s="216"/>
      <x:c r="U206" s="216"/>
      <x:c r="V206" s="216"/>
      <x:c r="W206" s="216"/>
      <x:c r="X206" s="216"/>
      <x:c r="Y206" s="216"/>
      <x:c r="Z206" s="216"/>
    </x:row>
    <x:row r="207">
      <x:c r="A207" s="216"/>
      <x:c r="B207" s="216"/>
      <x:c r="C207" s="216"/>
      <x:c r="D207" s="216"/>
      <x:c r="E207" s="216"/>
      <x:c r="F207" s="216"/>
      <x:c r="G207" s="216"/>
      <x:c r="H207" s="216"/>
      <x:c r="I207" s="216"/>
      <x:c r="J207" s="216"/>
      <x:c r="K207" s="216"/>
      <x:c r="L207" s="216"/>
      <x:c r="M207" s="216"/>
      <x:c r="N207" s="216"/>
      <x:c r="O207" s="216"/>
      <x:c r="P207" s="216"/>
      <x:c r="Q207" s="216"/>
      <x:c r="R207" s="216"/>
      <x:c r="S207" s="216"/>
      <x:c r="T207" s="216"/>
      <x:c r="U207" s="216"/>
      <x:c r="V207" s="216"/>
      <x:c r="W207" s="216"/>
      <x:c r="X207" s="216"/>
      <x:c r="Y207" s="216"/>
      <x:c r="Z207" s="216"/>
    </x:row>
    <x:row r="208">
      <x:c r="A208" s="216"/>
      <x:c r="B208" s="216"/>
      <x:c r="C208" s="216"/>
      <x:c r="D208" s="216"/>
      <x:c r="E208" s="216"/>
      <x:c r="F208" s="216"/>
      <x:c r="G208" s="216"/>
      <x:c r="H208" s="216"/>
      <x:c r="I208" s="216"/>
      <x:c r="J208" s="216"/>
      <x:c r="K208" s="216"/>
      <x:c r="L208" s="216"/>
      <x:c r="M208" s="216"/>
      <x:c r="N208" s="216"/>
      <x:c r="O208" s="216"/>
      <x:c r="P208" s="216"/>
      <x:c r="Q208" s="216"/>
      <x:c r="R208" s="216"/>
      <x:c r="S208" s="216"/>
      <x:c r="T208" s="216"/>
      <x:c r="U208" s="216"/>
      <x:c r="V208" s="216"/>
      <x:c r="W208" s="216"/>
      <x:c r="X208" s="216"/>
      <x:c r="Y208" s="216"/>
      <x:c r="Z208" s="216"/>
    </x:row>
    <x:row r="209">
      <x:c r="A209" s="216"/>
      <x:c r="B209" s="216"/>
      <x:c r="C209" s="216"/>
      <x:c r="D209" s="216"/>
      <x:c r="E209" s="216"/>
      <x:c r="F209" s="216"/>
      <x:c r="G209" s="216"/>
      <x:c r="H209" s="216"/>
      <x:c r="I209" s="216"/>
      <x:c r="J209" s="216"/>
      <x:c r="K209" s="216"/>
      <x:c r="L209" s="216"/>
      <x:c r="M209" s="216"/>
      <x:c r="N209" s="216"/>
      <x:c r="O209" s="216"/>
      <x:c r="P209" s="216"/>
      <x:c r="Q209" s="216"/>
      <x:c r="R209" s="216"/>
      <x:c r="S209" s="216"/>
      <x:c r="T209" s="216"/>
      <x:c r="U209" s="216"/>
      <x:c r="V209" s="216"/>
      <x:c r="W209" s="216"/>
      <x:c r="X209" s="216"/>
      <x:c r="Y209" s="216"/>
      <x:c r="Z209" s="216"/>
    </x:row>
    <x:row r="210">
      <x:c r="A210" s="216"/>
      <x:c r="B210" s="216"/>
      <x:c r="C210" s="216"/>
      <x:c r="D210" s="216"/>
      <x:c r="E210" s="216"/>
      <x:c r="F210" s="216"/>
      <x:c r="G210" s="216"/>
      <x:c r="H210" s="216"/>
      <x:c r="I210" s="216"/>
      <x:c r="J210" s="216"/>
      <x:c r="K210" s="216"/>
      <x:c r="L210" s="216"/>
      <x:c r="M210" s="216"/>
      <x:c r="N210" s="216"/>
      <x:c r="O210" s="216"/>
      <x:c r="P210" s="216"/>
      <x:c r="Q210" s="216"/>
      <x:c r="R210" s="216"/>
      <x:c r="S210" s="216"/>
      <x:c r="T210" s="216"/>
      <x:c r="U210" s="216"/>
      <x:c r="V210" s="216"/>
      <x:c r="W210" s="216"/>
      <x:c r="X210" s="216"/>
      <x:c r="Y210" s="216"/>
      <x:c r="Z210" s="216"/>
    </x:row>
    <x:row r="211">
      <x:c r="A211" s="216"/>
      <x:c r="B211" s="216"/>
      <x:c r="C211" s="216"/>
      <x:c r="D211" s="216"/>
      <x:c r="E211" s="216"/>
      <x:c r="F211" s="216"/>
      <x:c r="G211" s="216"/>
      <x:c r="H211" s="216"/>
      <x:c r="I211" s="216"/>
      <x:c r="J211" s="216"/>
      <x:c r="K211" s="216"/>
      <x:c r="L211" s="216"/>
      <x:c r="M211" s="216"/>
      <x:c r="N211" s="216"/>
      <x:c r="O211" s="216"/>
      <x:c r="P211" s="216"/>
      <x:c r="Q211" s="216"/>
      <x:c r="R211" s="216"/>
      <x:c r="S211" s="216"/>
      <x:c r="T211" s="216"/>
      <x:c r="U211" s="216"/>
      <x:c r="V211" s="216"/>
      <x:c r="W211" s="216"/>
      <x:c r="X211" s="216"/>
      <x:c r="Y211" s="216"/>
      <x:c r="Z211" s="216"/>
    </x:row>
    <x:row r="212">
      <x:c r="A212" s="216"/>
      <x:c r="B212" s="216"/>
      <x:c r="C212" s="216"/>
      <x:c r="D212" s="216"/>
      <x:c r="E212" s="216"/>
      <x:c r="F212" s="216"/>
      <x:c r="G212" s="216"/>
      <x:c r="H212" s="216"/>
      <x:c r="I212" s="216"/>
      <x:c r="J212" s="216"/>
      <x:c r="K212" s="216"/>
      <x:c r="L212" s="216"/>
      <x:c r="M212" s="216"/>
      <x:c r="N212" s="216"/>
      <x:c r="O212" s="216"/>
      <x:c r="P212" s="216"/>
      <x:c r="Q212" s="216"/>
      <x:c r="R212" s="216"/>
      <x:c r="S212" s="216"/>
      <x:c r="T212" s="216"/>
      <x:c r="U212" s="216"/>
      <x:c r="V212" s="216"/>
      <x:c r="W212" s="216"/>
      <x:c r="X212" s="216"/>
      <x:c r="Y212" s="216"/>
      <x:c r="Z212" s="216"/>
    </x:row>
    <x:row r="213">
      <x:c r="A213" s="216"/>
      <x:c r="B213" s="216"/>
      <x:c r="C213" s="216"/>
      <x:c r="D213" s="216"/>
      <x:c r="E213" s="216"/>
      <x:c r="F213" s="216"/>
      <x:c r="G213" s="216"/>
      <x:c r="H213" s="216"/>
      <x:c r="I213" s="216"/>
      <x:c r="J213" s="216"/>
      <x:c r="K213" s="216"/>
      <x:c r="L213" s="216"/>
      <x:c r="M213" s="216"/>
      <x:c r="N213" s="216"/>
      <x:c r="O213" s="216"/>
      <x:c r="P213" s="216"/>
      <x:c r="Q213" s="216"/>
      <x:c r="R213" s="216"/>
      <x:c r="S213" s="216"/>
      <x:c r="T213" s="216"/>
      <x:c r="U213" s="216"/>
      <x:c r="V213" s="216"/>
      <x:c r="W213" s="216"/>
      <x:c r="X213" s="216"/>
      <x:c r="Y213" s="216"/>
      <x:c r="Z213" s="216"/>
    </x:row>
    <x:row r="214">
      <x:c r="A214" s="216"/>
      <x:c r="B214" s="216"/>
      <x:c r="C214" s="216"/>
      <x:c r="D214" s="216"/>
      <x:c r="E214" s="216"/>
      <x:c r="F214" s="216"/>
      <x:c r="G214" s="216"/>
      <x:c r="H214" s="216"/>
      <x:c r="I214" s="216"/>
      <x:c r="J214" s="216"/>
      <x:c r="K214" s="216"/>
      <x:c r="L214" s="216"/>
      <x:c r="M214" s="216"/>
      <x:c r="N214" s="216"/>
      <x:c r="O214" s="216"/>
      <x:c r="P214" s="216"/>
      <x:c r="Q214" s="216"/>
      <x:c r="R214" s="216"/>
      <x:c r="S214" s="216"/>
      <x:c r="T214" s="216"/>
      <x:c r="U214" s="216"/>
      <x:c r="V214" s="216"/>
      <x:c r="W214" s="216"/>
      <x:c r="X214" s="216"/>
      <x:c r="Y214" s="216"/>
      <x:c r="Z214" s="216"/>
    </x:row>
    <x:row r="215">
      <x:c r="A215" s="216"/>
      <x:c r="B215" s="216"/>
      <x:c r="C215" s="216"/>
      <x:c r="D215" s="216"/>
      <x:c r="E215" s="216"/>
      <x:c r="F215" s="216"/>
      <x:c r="G215" s="216"/>
      <x:c r="H215" s="216"/>
      <x:c r="I215" s="216"/>
      <x:c r="J215" s="216"/>
      <x:c r="K215" s="216"/>
      <x:c r="L215" s="216"/>
      <x:c r="M215" s="216"/>
      <x:c r="N215" s="216"/>
      <x:c r="O215" s="216"/>
      <x:c r="P215" s="216"/>
      <x:c r="Q215" s="216"/>
      <x:c r="R215" s="216"/>
      <x:c r="S215" s="216"/>
      <x:c r="T215" s="216"/>
      <x:c r="U215" s="216"/>
      <x:c r="V215" s="216"/>
      <x:c r="W215" s="216"/>
      <x:c r="X215" s="216"/>
      <x:c r="Y215" s="216"/>
      <x:c r="Z215" s="216"/>
    </x:row>
    <x:row r="216">
      <x:c r="A216" s="216"/>
      <x:c r="B216" s="216"/>
      <x:c r="C216" s="216"/>
      <x:c r="D216" s="216"/>
      <x:c r="E216" s="216"/>
      <x:c r="F216" s="216"/>
      <x:c r="G216" s="216"/>
      <x:c r="H216" s="216"/>
      <x:c r="I216" s="216"/>
      <x:c r="J216" s="216"/>
      <x:c r="K216" s="216"/>
      <x:c r="L216" s="216"/>
      <x:c r="M216" s="216"/>
      <x:c r="N216" s="216"/>
      <x:c r="O216" s="216"/>
      <x:c r="P216" s="216"/>
      <x:c r="Q216" s="216"/>
      <x:c r="R216" s="216"/>
      <x:c r="S216" s="216"/>
      <x:c r="T216" s="216"/>
      <x:c r="U216" s="216"/>
      <x:c r="V216" s="216"/>
      <x:c r="W216" s="216"/>
      <x:c r="X216" s="216"/>
      <x:c r="Y216" s="216"/>
      <x:c r="Z216" s="216"/>
    </x:row>
    <x:row r="217">
      <x:c r="A217" s="216"/>
      <x:c r="B217" s="216"/>
      <x:c r="C217" s="216"/>
      <x:c r="D217" s="216"/>
      <x:c r="E217" s="216"/>
      <x:c r="F217" s="216"/>
      <x:c r="G217" s="216"/>
      <x:c r="H217" s="216"/>
      <x:c r="I217" s="216"/>
      <x:c r="J217" s="216"/>
      <x:c r="K217" s="216"/>
      <x:c r="L217" s="216"/>
      <x:c r="M217" s="216"/>
      <x:c r="N217" s="216"/>
      <x:c r="O217" s="216"/>
      <x:c r="P217" s="216"/>
      <x:c r="Q217" s="216"/>
      <x:c r="R217" s="216"/>
      <x:c r="S217" s="216"/>
      <x:c r="T217" s="216"/>
      <x:c r="U217" s="216"/>
      <x:c r="V217" s="216"/>
      <x:c r="W217" s="216"/>
      <x:c r="X217" s="216"/>
      <x:c r="Y217" s="216"/>
      <x:c r="Z217" s="216"/>
    </x:row>
    <x:row r="218">
      <x:c r="A218" s="216"/>
      <x:c r="B218" s="216"/>
      <x:c r="C218" s="216"/>
      <x:c r="D218" s="216"/>
      <x:c r="E218" s="216"/>
      <x:c r="F218" s="216"/>
      <x:c r="G218" s="216"/>
      <x:c r="H218" s="216"/>
      <x:c r="I218" s="216"/>
      <x:c r="J218" s="216"/>
      <x:c r="K218" s="216"/>
      <x:c r="L218" s="216"/>
      <x:c r="M218" s="216"/>
      <x:c r="N218" s="216"/>
      <x:c r="O218" s="216"/>
      <x:c r="P218" s="216"/>
      <x:c r="Q218" s="216"/>
      <x:c r="R218" s="216"/>
      <x:c r="S218" s="216"/>
      <x:c r="T218" s="216"/>
      <x:c r="U218" s="216"/>
      <x:c r="V218" s="216"/>
      <x:c r="W218" s="216"/>
      <x:c r="X218" s="216"/>
      <x:c r="Y218" s="216"/>
      <x:c r="Z218" s="216"/>
    </x:row>
    <x:row r="219">
      <x:c r="A219" s="216"/>
      <x:c r="B219" s="216"/>
      <x:c r="C219" s="216"/>
      <x:c r="D219" s="216"/>
      <x:c r="E219" s="216"/>
      <x:c r="F219" s="216"/>
      <x:c r="G219" s="216"/>
      <x:c r="H219" s="216"/>
      <x:c r="I219" s="216"/>
      <x:c r="J219" s="216"/>
      <x:c r="K219" s="216"/>
      <x:c r="L219" s="216"/>
      <x:c r="M219" s="216"/>
      <x:c r="N219" s="216"/>
      <x:c r="O219" s="216"/>
      <x:c r="P219" s="216"/>
      <x:c r="Q219" s="216"/>
      <x:c r="R219" s="216"/>
      <x:c r="S219" s="216"/>
      <x:c r="T219" s="216"/>
      <x:c r="U219" s="216"/>
      <x:c r="V219" s="216"/>
      <x:c r="W219" s="216"/>
      <x:c r="X219" s="216"/>
      <x:c r="Y219" s="216"/>
      <x:c r="Z219" s="216"/>
    </x:row>
    <x:row r="220">
      <x:c r="A220" s="216"/>
      <x:c r="B220" s="216"/>
      <x:c r="C220" s="216"/>
      <x:c r="D220" s="216"/>
      <x:c r="E220" s="216"/>
      <x:c r="F220" s="216"/>
      <x:c r="G220" s="216"/>
      <x:c r="H220" s="216"/>
      <x:c r="I220" s="216"/>
      <x:c r="J220" s="216"/>
      <x:c r="K220" s="216"/>
      <x:c r="L220" s="216"/>
      <x:c r="M220" s="216"/>
      <x:c r="N220" s="216"/>
      <x:c r="O220" s="216"/>
      <x:c r="P220" s="216"/>
      <x:c r="Q220" s="216"/>
      <x:c r="R220" s="216"/>
      <x:c r="S220" s="216"/>
      <x:c r="T220" s="216"/>
      <x:c r="U220" s="216"/>
      <x:c r="V220" s="216"/>
      <x:c r="W220" s="216"/>
      <x:c r="X220" s="216"/>
      <x:c r="Y220" s="216"/>
      <x:c r="Z220" s="216"/>
    </x:row>
    <x:row r="221">
      <x:c r="A221" s="216"/>
      <x:c r="B221" s="216"/>
      <x:c r="C221" s="216"/>
      <x:c r="D221" s="216"/>
      <x:c r="E221" s="216"/>
      <x:c r="F221" s="216"/>
      <x:c r="G221" s="216"/>
      <x:c r="H221" s="216"/>
      <x:c r="I221" s="216"/>
      <x:c r="J221" s="216"/>
      <x:c r="K221" s="216"/>
      <x:c r="L221" s="216"/>
      <x:c r="M221" s="216"/>
      <x:c r="N221" s="216"/>
      <x:c r="O221" s="216"/>
      <x:c r="P221" s="216"/>
      <x:c r="Q221" s="216"/>
      <x:c r="R221" s="216"/>
      <x:c r="S221" s="216"/>
      <x:c r="T221" s="216"/>
      <x:c r="U221" s="216"/>
      <x:c r="V221" s="216"/>
      <x:c r="W221" s="216"/>
      <x:c r="X221" s="216"/>
      <x:c r="Y221" s="216"/>
      <x:c r="Z221" s="216"/>
    </x:row>
    <x:row r="222">
      <x:c r="A222" s="216"/>
      <x:c r="B222" s="216"/>
      <x:c r="C222" s="216"/>
      <x:c r="D222" s="216"/>
      <x:c r="E222" s="216"/>
      <x:c r="F222" s="216"/>
      <x:c r="G222" s="216"/>
      <x:c r="H222" s="216"/>
      <x:c r="I222" s="216"/>
      <x:c r="J222" s="216"/>
      <x:c r="K222" s="216"/>
      <x:c r="L222" s="216"/>
      <x:c r="M222" s="216"/>
      <x:c r="N222" s="216"/>
      <x:c r="O222" s="216"/>
      <x:c r="P222" s="216"/>
      <x:c r="Q222" s="216"/>
      <x:c r="R222" s="216"/>
      <x:c r="S222" s="216"/>
      <x:c r="T222" s="216"/>
      <x:c r="U222" s="216"/>
      <x:c r="V222" s="216"/>
      <x:c r="W222" s="216"/>
      <x:c r="X222" s="216"/>
      <x:c r="Y222" s="216"/>
      <x:c r="Z222" s="216"/>
    </x:row>
    <x:row r="223">
      <x:c r="A223" s="216"/>
      <x:c r="B223" s="216"/>
      <x:c r="C223" s="216"/>
      <x:c r="D223" s="216"/>
      <x:c r="E223" s="216"/>
      <x:c r="F223" s="216"/>
      <x:c r="G223" s="216"/>
      <x:c r="H223" s="216"/>
      <x:c r="I223" s="216"/>
      <x:c r="J223" s="216"/>
      <x:c r="K223" s="216"/>
      <x:c r="L223" s="216"/>
      <x:c r="M223" s="216"/>
      <x:c r="N223" s="216"/>
      <x:c r="O223" s="216"/>
      <x:c r="P223" s="216"/>
      <x:c r="Q223" s="216"/>
      <x:c r="R223" s="216"/>
      <x:c r="S223" s="216"/>
      <x:c r="T223" s="216"/>
      <x:c r="U223" s="216"/>
      <x:c r="V223" s="216"/>
      <x:c r="W223" s="216"/>
      <x:c r="X223" s="216"/>
      <x:c r="Y223" s="216"/>
      <x:c r="Z223" s="216"/>
    </x:row>
    <x:row r="224">
      <x:c r="A224" s="216"/>
      <x:c r="B224" s="216"/>
      <x:c r="C224" s="216"/>
      <x:c r="D224" s="216"/>
      <x:c r="E224" s="216"/>
      <x:c r="F224" s="216"/>
      <x:c r="G224" s="216"/>
      <x:c r="H224" s="216"/>
      <x:c r="I224" s="216"/>
      <x:c r="J224" s="216"/>
      <x:c r="K224" s="216"/>
      <x:c r="L224" s="216"/>
      <x:c r="M224" s="216"/>
      <x:c r="N224" s="216"/>
      <x:c r="O224" s="216"/>
      <x:c r="P224" s="216"/>
      <x:c r="Q224" s="216"/>
      <x:c r="R224" s="216"/>
      <x:c r="S224" s="216"/>
      <x:c r="T224" s="216"/>
      <x:c r="U224" s="216"/>
      <x:c r="V224" s="216"/>
      <x:c r="W224" s="216"/>
      <x:c r="X224" s="216"/>
      <x:c r="Y224" s="216"/>
      <x:c r="Z224" s="216"/>
    </x:row>
    <x:row r="225">
      <x:c r="A225" s="216"/>
      <x:c r="B225" s="216"/>
      <x:c r="C225" s="216"/>
      <x:c r="D225" s="216"/>
      <x:c r="E225" s="216"/>
      <x:c r="F225" s="216"/>
      <x:c r="G225" s="216"/>
      <x:c r="H225" s="216"/>
      <x:c r="I225" s="216"/>
      <x:c r="J225" s="216"/>
      <x:c r="K225" s="216"/>
      <x:c r="L225" s="216"/>
      <x:c r="M225" s="216"/>
      <x:c r="N225" s="216"/>
      <x:c r="O225" s="216"/>
      <x:c r="P225" s="216"/>
      <x:c r="Q225" s="216"/>
      <x:c r="R225" s="216"/>
      <x:c r="S225" s="216"/>
      <x:c r="T225" s="216"/>
      <x:c r="U225" s="216"/>
      <x:c r="V225" s="216"/>
      <x:c r="W225" s="216"/>
      <x:c r="X225" s="216"/>
      <x:c r="Y225" s="216"/>
      <x:c r="Z225" s="216"/>
    </x:row>
    <x:row r="226">
      <x:c r="A226" s="216"/>
      <x:c r="B226" s="216"/>
      <x:c r="C226" s="216"/>
      <x:c r="D226" s="216"/>
      <x:c r="E226" s="216"/>
      <x:c r="F226" s="216"/>
      <x:c r="G226" s="216"/>
      <x:c r="H226" s="216"/>
      <x:c r="I226" s="216"/>
      <x:c r="J226" s="216"/>
      <x:c r="K226" s="216"/>
      <x:c r="L226" s="216"/>
      <x:c r="M226" s="216"/>
      <x:c r="N226" s="216"/>
      <x:c r="O226" s="216"/>
      <x:c r="P226" s="216"/>
      <x:c r="Q226" s="216"/>
      <x:c r="R226" s="216"/>
      <x:c r="S226" s="216"/>
      <x:c r="T226" s="216"/>
      <x:c r="U226" s="216"/>
      <x:c r="V226" s="216"/>
      <x:c r="W226" s="216"/>
      <x:c r="X226" s="216"/>
      <x:c r="Y226" s="216"/>
      <x:c r="Z226" s="216"/>
    </x:row>
    <x:row r="227">
      <x:c r="A227" s="216"/>
      <x:c r="B227" s="216"/>
      <x:c r="C227" s="216"/>
      <x:c r="D227" s="216"/>
      <x:c r="E227" s="216"/>
      <x:c r="F227" s="216"/>
      <x:c r="G227" s="216"/>
      <x:c r="H227" s="216"/>
      <x:c r="I227" s="216"/>
      <x:c r="J227" s="216"/>
      <x:c r="K227" s="216"/>
      <x:c r="L227" s="216"/>
      <x:c r="M227" s="216"/>
      <x:c r="N227" s="216"/>
      <x:c r="O227" s="216"/>
      <x:c r="P227" s="216"/>
      <x:c r="Q227" s="216"/>
      <x:c r="R227" s="216"/>
      <x:c r="S227" s="216"/>
      <x:c r="T227" s="216"/>
      <x:c r="U227" s="216"/>
      <x:c r="V227" s="216"/>
      <x:c r="W227" s="216"/>
      <x:c r="X227" s="216"/>
      <x:c r="Y227" s="216"/>
      <x:c r="Z227" s="216"/>
    </x:row>
    <x:row r="228">
      <x:c r="A228" s="216"/>
      <x:c r="B228" s="216"/>
      <x:c r="C228" s="216"/>
      <x:c r="D228" s="216"/>
      <x:c r="E228" s="216"/>
      <x:c r="F228" s="216"/>
      <x:c r="G228" s="216"/>
      <x:c r="H228" s="216"/>
      <x:c r="I228" s="216"/>
      <x:c r="J228" s="216"/>
      <x:c r="K228" s="216"/>
      <x:c r="L228" s="216"/>
      <x:c r="M228" s="216"/>
      <x:c r="N228" s="216"/>
      <x:c r="O228" s="216"/>
      <x:c r="P228" s="216"/>
      <x:c r="Q228" s="216"/>
      <x:c r="R228" s="216"/>
      <x:c r="S228" s="216"/>
      <x:c r="T228" s="216"/>
      <x:c r="U228" s="216"/>
      <x:c r="V228" s="216"/>
      <x:c r="W228" s="216"/>
      <x:c r="X228" s="216"/>
      <x:c r="Y228" s="216"/>
      <x:c r="Z228" s="216"/>
    </x:row>
    <x:row r="229">
      <x:c r="A229" s="216"/>
      <x:c r="B229" s="216"/>
      <x:c r="C229" s="216"/>
      <x:c r="D229" s="216"/>
      <x:c r="E229" s="216"/>
      <x:c r="F229" s="216"/>
      <x:c r="G229" s="216"/>
      <x:c r="H229" s="216"/>
      <x:c r="I229" s="216"/>
      <x:c r="J229" s="216"/>
      <x:c r="K229" s="216"/>
      <x:c r="L229" s="216"/>
      <x:c r="M229" s="216"/>
      <x:c r="N229" s="216"/>
      <x:c r="O229" s="216"/>
      <x:c r="P229" s="216"/>
      <x:c r="Q229" s="216"/>
      <x:c r="R229" s="216"/>
      <x:c r="S229" s="216"/>
      <x:c r="T229" s="216"/>
      <x:c r="U229" s="216"/>
      <x:c r="V229" s="216"/>
      <x:c r="W229" s="216"/>
      <x:c r="X229" s="216"/>
      <x:c r="Y229" s="216"/>
      <x:c r="Z229" s="216"/>
    </x:row>
    <x:row r="230">
      <x:c r="A230" s="216"/>
      <x:c r="B230" s="216"/>
      <x:c r="C230" s="216"/>
      <x:c r="D230" s="216"/>
      <x:c r="E230" s="216"/>
      <x:c r="F230" s="216"/>
      <x:c r="G230" s="216"/>
      <x:c r="H230" s="216"/>
      <x:c r="I230" s="216"/>
      <x:c r="J230" s="216"/>
      <x:c r="K230" s="216"/>
      <x:c r="L230" s="216"/>
      <x:c r="M230" s="216"/>
      <x:c r="N230" s="216"/>
      <x:c r="O230" s="216"/>
      <x:c r="P230" s="216"/>
      <x:c r="Q230" s="216"/>
      <x:c r="R230" s="216"/>
      <x:c r="S230" s="216"/>
      <x:c r="T230" s="216"/>
      <x:c r="U230" s="216"/>
      <x:c r="V230" s="216"/>
      <x:c r="W230" s="216"/>
      <x:c r="X230" s="216"/>
      <x:c r="Y230" s="216"/>
      <x:c r="Z230" s="216"/>
    </x:row>
    <x:row r="231">
      <x:c r="A231" s="216"/>
      <x:c r="B231" s="216"/>
      <x:c r="C231" s="216"/>
      <x:c r="D231" s="216"/>
      <x:c r="E231" s="216"/>
      <x:c r="F231" s="216"/>
      <x:c r="G231" s="216"/>
      <x:c r="H231" s="216"/>
      <x:c r="I231" s="216"/>
      <x:c r="J231" s="216"/>
      <x:c r="K231" s="216"/>
      <x:c r="L231" s="216"/>
      <x:c r="M231" s="216"/>
      <x:c r="N231" s="216"/>
      <x:c r="O231" s="216"/>
      <x:c r="P231" s="216"/>
      <x:c r="Q231" s="216"/>
      <x:c r="R231" s="216"/>
      <x:c r="S231" s="216"/>
      <x:c r="T231" s="216"/>
      <x:c r="U231" s="216"/>
      <x:c r="V231" s="216"/>
      <x:c r="W231" s="216"/>
      <x:c r="X231" s="216"/>
      <x:c r="Y231" s="216"/>
      <x:c r="Z231" s="216"/>
    </x:row>
    <x:row r="232">
      <x:c r="A232" s="216"/>
      <x:c r="B232" s="216"/>
      <x:c r="C232" s="216"/>
      <x:c r="D232" s="216"/>
      <x:c r="E232" s="216"/>
      <x:c r="F232" s="216"/>
      <x:c r="G232" s="216"/>
      <x:c r="H232" s="216"/>
      <x:c r="I232" s="216"/>
      <x:c r="J232" s="216"/>
      <x:c r="K232" s="216"/>
      <x:c r="L232" s="216"/>
      <x:c r="M232" s="216"/>
      <x:c r="N232" s="216"/>
      <x:c r="O232" s="216"/>
      <x:c r="P232" s="216"/>
      <x:c r="Q232" s="216"/>
      <x:c r="R232" s="216"/>
      <x:c r="S232" s="216"/>
      <x:c r="T232" s="216"/>
      <x:c r="U232" s="216"/>
      <x:c r="V232" s="216"/>
      <x:c r="W232" s="216"/>
      <x:c r="X232" s="216"/>
      <x:c r="Y232" s="216"/>
      <x:c r="Z232" s="216"/>
    </x:row>
    <x:row r="233">
      <x:c r="A233" s="216"/>
      <x:c r="B233" s="216"/>
      <x:c r="C233" s="216"/>
      <x:c r="D233" s="216"/>
      <x:c r="E233" s="216"/>
      <x:c r="F233" s="216"/>
      <x:c r="G233" s="216"/>
      <x:c r="H233" s="216"/>
      <x:c r="I233" s="216"/>
      <x:c r="J233" s="216"/>
      <x:c r="K233" s="216"/>
      <x:c r="L233" s="216"/>
      <x:c r="M233" s="216"/>
      <x:c r="N233" s="216"/>
      <x:c r="O233" s="216"/>
      <x:c r="P233" s="216"/>
      <x:c r="Q233" s="216"/>
      <x:c r="R233" s="216"/>
      <x:c r="S233" s="216"/>
      <x:c r="T233" s="216"/>
      <x:c r="U233" s="216"/>
      <x:c r="V233" s="216"/>
      <x:c r="W233" s="216"/>
      <x:c r="X233" s="216"/>
      <x:c r="Y233" s="216"/>
      <x:c r="Z233" s="216"/>
    </x:row>
    <x:row r="234">
      <x:c r="A234" s="216"/>
      <x:c r="B234" s="216"/>
      <x:c r="C234" s="216"/>
      <x:c r="D234" s="216"/>
      <x:c r="E234" s="216"/>
      <x:c r="F234" s="216"/>
      <x:c r="G234" s="216"/>
      <x:c r="H234" s="216"/>
      <x:c r="I234" s="216"/>
      <x:c r="J234" s="216"/>
      <x:c r="K234" s="216"/>
      <x:c r="L234" s="216"/>
      <x:c r="M234" s="216"/>
      <x:c r="N234" s="216"/>
      <x:c r="O234" s="216"/>
      <x:c r="P234" s="216"/>
      <x:c r="Q234" s="216"/>
      <x:c r="R234" s="216"/>
      <x:c r="S234" s="216"/>
      <x:c r="T234" s="216"/>
      <x:c r="U234" s="216"/>
      <x:c r="V234" s="216"/>
      <x:c r="W234" s="216"/>
      <x:c r="X234" s="216"/>
      <x:c r="Y234" s="216"/>
      <x:c r="Z234" s="216"/>
    </x:row>
    <x:row r="235">
      <x:c r="A235" s="216"/>
      <x:c r="B235" s="216"/>
      <x:c r="C235" s="216"/>
      <x:c r="D235" s="216"/>
      <x:c r="E235" s="216"/>
      <x:c r="F235" s="216"/>
      <x:c r="G235" s="216"/>
      <x:c r="H235" s="216"/>
      <x:c r="I235" s="216"/>
      <x:c r="J235" s="216"/>
      <x:c r="K235" s="216"/>
      <x:c r="L235" s="216"/>
      <x:c r="M235" s="216"/>
      <x:c r="N235" s="216"/>
      <x:c r="O235" s="216"/>
      <x:c r="P235" s="216"/>
      <x:c r="Q235" s="216"/>
      <x:c r="R235" s="216"/>
      <x:c r="S235" s="216"/>
      <x:c r="T235" s="216"/>
      <x:c r="U235" s="216"/>
      <x:c r="V235" s="216"/>
      <x:c r="W235" s="216"/>
      <x:c r="X235" s="216"/>
      <x:c r="Y235" s="216"/>
      <x:c r="Z235" s="216"/>
    </x:row>
    <x:row r="236">
      <x:c r="A236" s="216"/>
      <x:c r="B236" s="216"/>
      <x:c r="C236" s="216"/>
      <x:c r="D236" s="216"/>
      <x:c r="E236" s="216"/>
      <x:c r="F236" s="216"/>
      <x:c r="G236" s="216"/>
      <x:c r="H236" s="216"/>
      <x:c r="I236" s="216"/>
      <x:c r="J236" s="216"/>
      <x:c r="K236" s="216"/>
      <x:c r="L236" s="216"/>
      <x:c r="M236" s="216"/>
      <x:c r="N236" s="216"/>
      <x:c r="O236" s="216"/>
      <x:c r="P236" s="216"/>
      <x:c r="Q236" s="216"/>
      <x:c r="R236" s="216"/>
      <x:c r="S236" s="216"/>
      <x:c r="T236" s="216"/>
      <x:c r="U236" s="216"/>
      <x:c r="V236" s="216"/>
      <x:c r="W236" s="216"/>
      <x:c r="X236" s="216"/>
      <x:c r="Y236" s="216"/>
      <x:c r="Z236" s="216"/>
    </x:row>
    <x:row r="237">
      <x:c r="A237" s="216"/>
      <x:c r="B237" s="216"/>
      <x:c r="C237" s="216"/>
      <x:c r="D237" s="216"/>
      <x:c r="E237" s="216"/>
      <x:c r="F237" s="216"/>
      <x:c r="G237" s="216"/>
      <x:c r="H237" s="216"/>
      <x:c r="I237" s="216"/>
      <x:c r="J237" s="216"/>
      <x:c r="K237" s="216"/>
      <x:c r="L237" s="216"/>
      <x:c r="M237" s="216"/>
      <x:c r="N237" s="216"/>
      <x:c r="O237" s="216"/>
      <x:c r="P237" s="216"/>
      <x:c r="Q237" s="216"/>
      <x:c r="R237" s="216"/>
      <x:c r="S237" s="216"/>
      <x:c r="T237" s="216"/>
      <x:c r="U237" s="216"/>
      <x:c r="V237" s="216"/>
      <x:c r="W237" s="216"/>
      <x:c r="X237" s="216"/>
      <x:c r="Y237" s="216"/>
      <x:c r="Z237" s="216"/>
    </x:row>
    <x:row r="238">
      <x:c r="A238" s="216"/>
      <x:c r="B238" s="216"/>
      <x:c r="C238" s="216"/>
      <x:c r="D238" s="216"/>
      <x:c r="E238" s="216"/>
      <x:c r="F238" s="216"/>
      <x:c r="G238" s="216"/>
      <x:c r="H238" s="216"/>
      <x:c r="I238" s="216"/>
      <x:c r="J238" s="216"/>
      <x:c r="K238" s="216"/>
      <x:c r="L238" s="216"/>
      <x:c r="M238" s="216"/>
      <x:c r="N238" s="216"/>
      <x:c r="O238" s="216"/>
      <x:c r="P238" s="216"/>
      <x:c r="Q238" s="216"/>
      <x:c r="R238" s="216"/>
      <x:c r="S238" s="216"/>
      <x:c r="T238" s="216"/>
      <x:c r="U238" s="216"/>
      <x:c r="V238" s="216"/>
      <x:c r="W238" s="216"/>
      <x:c r="X238" s="216"/>
      <x:c r="Y238" s="216"/>
      <x:c r="Z238" s="216"/>
    </x:row>
    <x:row r="239">
      <x:c r="A239" s="216"/>
      <x:c r="B239" s="216"/>
      <x:c r="C239" s="216"/>
      <x:c r="D239" s="216"/>
      <x:c r="E239" s="216"/>
      <x:c r="F239" s="216"/>
      <x:c r="G239" s="216"/>
      <x:c r="H239" s="216"/>
      <x:c r="I239" s="216"/>
      <x:c r="J239" s="216"/>
      <x:c r="K239" s="216"/>
      <x:c r="L239" s="216"/>
      <x:c r="M239" s="216"/>
      <x:c r="N239" s="216"/>
      <x:c r="O239" s="216"/>
      <x:c r="P239" s="216"/>
      <x:c r="Q239" s="216"/>
      <x:c r="R239" s="216"/>
      <x:c r="S239" s="216"/>
      <x:c r="T239" s="216"/>
      <x:c r="U239" s="216"/>
      <x:c r="V239" s="216"/>
      <x:c r="W239" s="216"/>
      <x:c r="X239" s="216"/>
      <x:c r="Y239" s="216"/>
      <x:c r="Z239" s="216"/>
    </x:row>
    <x:row r="240">
      <x:c r="A240" s="216"/>
      <x:c r="B240" s="216"/>
      <x:c r="C240" s="216"/>
      <x:c r="D240" s="216"/>
      <x:c r="E240" s="216"/>
      <x:c r="F240" s="216"/>
      <x:c r="G240" s="216"/>
      <x:c r="H240" s="216"/>
      <x:c r="I240" s="216"/>
      <x:c r="J240" s="216"/>
      <x:c r="K240" s="216"/>
      <x:c r="L240" s="216"/>
      <x:c r="M240" s="216"/>
      <x:c r="N240" s="216"/>
      <x:c r="O240" s="216"/>
      <x:c r="P240" s="216"/>
      <x:c r="Q240" s="216"/>
      <x:c r="R240" s="216"/>
      <x:c r="S240" s="216"/>
      <x:c r="T240" s="216"/>
      <x:c r="U240" s="216"/>
      <x:c r="V240" s="216"/>
      <x:c r="W240" s="216"/>
      <x:c r="X240" s="216"/>
      <x:c r="Y240" s="216"/>
      <x:c r="Z240" s="216"/>
    </x:row>
    <x:row r="241">
      <x:c r="A241" s="216"/>
      <x:c r="B241" s="216"/>
      <x:c r="C241" s="216"/>
      <x:c r="D241" s="216"/>
      <x:c r="E241" s="216"/>
      <x:c r="F241" s="216"/>
      <x:c r="G241" s="216"/>
      <x:c r="H241" s="216"/>
      <x:c r="I241" s="216"/>
      <x:c r="J241" s="216"/>
      <x:c r="K241" s="216"/>
      <x:c r="L241" s="216"/>
      <x:c r="M241" s="216"/>
      <x:c r="N241" s="216"/>
      <x:c r="O241" s="216"/>
      <x:c r="P241" s="216"/>
      <x:c r="Q241" s="216"/>
      <x:c r="R241" s="216"/>
      <x:c r="S241" s="216"/>
      <x:c r="T241" s="216"/>
      <x:c r="U241" s="216"/>
      <x:c r="V241" s="216"/>
      <x:c r="W241" s="216"/>
      <x:c r="X241" s="216"/>
      <x:c r="Y241" s="216"/>
      <x:c r="Z241" s="216"/>
    </x:row>
    <x:row r="242">
      <x:c r="A242" s="216"/>
      <x:c r="B242" s="216"/>
      <x:c r="C242" s="216"/>
      <x:c r="D242" s="216"/>
      <x:c r="E242" s="216"/>
      <x:c r="F242" s="216"/>
      <x:c r="G242" s="216"/>
      <x:c r="H242" s="216"/>
      <x:c r="I242" s="216"/>
      <x:c r="J242" s="216"/>
      <x:c r="K242" s="216"/>
      <x:c r="L242" s="216"/>
      <x:c r="M242" s="216"/>
      <x:c r="N242" s="216"/>
      <x:c r="O242" s="216"/>
      <x:c r="P242" s="216"/>
      <x:c r="Q242" s="216"/>
      <x:c r="R242" s="216"/>
      <x:c r="S242" s="216"/>
      <x:c r="T242" s="216"/>
      <x:c r="U242" s="216"/>
      <x:c r="V242" s="216"/>
      <x:c r="W242" s="216"/>
      <x:c r="X242" s="216"/>
      <x:c r="Y242" s="216"/>
      <x:c r="Z242" s="216"/>
    </x:row>
    <x:row r="243">
      <x:c r="A243" s="216"/>
      <x:c r="B243" s="216"/>
      <x:c r="C243" s="216"/>
      <x:c r="D243" s="216"/>
      <x:c r="E243" s="216"/>
      <x:c r="F243" s="216"/>
      <x:c r="G243" s="216"/>
      <x:c r="H243" s="216"/>
      <x:c r="I243" s="216"/>
      <x:c r="J243" s="216"/>
      <x:c r="K243" s="216"/>
      <x:c r="L243" s="216"/>
      <x:c r="M243" s="216"/>
      <x:c r="N243" s="216"/>
      <x:c r="O243" s="216"/>
      <x:c r="P243" s="216"/>
      <x:c r="Q243" s="216"/>
      <x:c r="R243" s="216"/>
      <x:c r="S243" s="216"/>
      <x:c r="T243" s="216"/>
      <x:c r="U243" s="216"/>
      <x:c r="V243" s="216"/>
      <x:c r="W243" s="216"/>
      <x:c r="X243" s="216"/>
      <x:c r="Y243" s="216"/>
      <x:c r="Z243" s="216"/>
    </x:row>
    <x:row r="244">
      <x:c r="A244" s="216"/>
      <x:c r="B244" s="216"/>
      <x:c r="C244" s="216"/>
      <x:c r="D244" s="216"/>
      <x:c r="E244" s="216"/>
      <x:c r="F244" s="216"/>
      <x:c r="G244" s="216"/>
      <x:c r="H244" s="216"/>
      <x:c r="I244" s="216"/>
      <x:c r="J244" s="216"/>
      <x:c r="K244" s="216"/>
      <x:c r="L244" s="216"/>
      <x:c r="M244" s="216"/>
      <x:c r="N244" s="216"/>
      <x:c r="O244" s="216"/>
      <x:c r="P244" s="216"/>
      <x:c r="Q244" s="216"/>
      <x:c r="R244" s="216"/>
      <x:c r="S244" s="216"/>
      <x:c r="T244" s="216"/>
      <x:c r="U244" s="216"/>
      <x:c r="V244" s="216"/>
      <x:c r="W244" s="216"/>
      <x:c r="X244" s="216"/>
      <x:c r="Y244" s="216"/>
      <x:c r="Z244" s="216"/>
    </x:row>
    <x:row r="245">
      <x:c r="A245" s="216"/>
      <x:c r="B245" s="216"/>
      <x:c r="C245" s="216"/>
      <x:c r="D245" s="216"/>
      <x:c r="E245" s="216"/>
      <x:c r="F245" s="216"/>
      <x:c r="G245" s="216"/>
      <x:c r="H245" s="216"/>
      <x:c r="I245" s="216"/>
      <x:c r="J245" s="216"/>
      <x:c r="K245" s="216"/>
      <x:c r="L245" s="216"/>
      <x:c r="M245" s="216"/>
      <x:c r="N245" s="216"/>
      <x:c r="O245" s="216"/>
      <x:c r="P245" s="216"/>
      <x:c r="Q245" s="216"/>
      <x:c r="R245" s="216"/>
      <x:c r="S245" s="216"/>
      <x:c r="T245" s="216"/>
      <x:c r="U245" s="216"/>
      <x:c r="V245" s="216"/>
      <x:c r="W245" s="216"/>
      <x:c r="X245" s="216"/>
      <x:c r="Y245" s="216"/>
      <x:c r="Z245" s="216"/>
    </x:row>
    <x:row r="246">
      <x:c r="A246" s="216"/>
      <x:c r="B246" s="216"/>
      <x:c r="C246" s="216"/>
      <x:c r="D246" s="216"/>
      <x:c r="E246" s="216"/>
      <x:c r="F246" s="216"/>
      <x:c r="G246" s="216"/>
      <x:c r="H246" s="216"/>
      <x:c r="I246" s="216"/>
      <x:c r="J246" s="216"/>
      <x:c r="K246" s="216"/>
      <x:c r="L246" s="216"/>
      <x:c r="M246" s="216"/>
      <x:c r="N246" s="216"/>
      <x:c r="O246" s="216"/>
      <x:c r="P246" s="216"/>
      <x:c r="Q246" s="216"/>
      <x:c r="R246" s="216"/>
      <x:c r="S246" s="216"/>
      <x:c r="T246" s="216"/>
      <x:c r="U246" s="216"/>
      <x:c r="V246" s="216"/>
      <x:c r="W246" s="216"/>
      <x:c r="X246" s="216"/>
      <x:c r="Y246" s="216"/>
      <x:c r="Z246" s="216"/>
    </x:row>
    <x:row r="247">
      <x:c r="A247" s="216"/>
      <x:c r="B247" s="216"/>
      <x:c r="C247" s="216"/>
      <x:c r="D247" s="216"/>
      <x:c r="E247" s="216"/>
      <x:c r="F247" s="216"/>
      <x:c r="G247" s="216"/>
      <x:c r="H247" s="216"/>
      <x:c r="I247" s="216"/>
      <x:c r="J247" s="216"/>
      <x:c r="K247" s="216"/>
      <x:c r="L247" s="216"/>
      <x:c r="M247" s="216"/>
      <x:c r="N247" s="216"/>
      <x:c r="O247" s="216"/>
      <x:c r="P247" s="216"/>
      <x:c r="Q247" s="216"/>
      <x:c r="R247" s="216"/>
      <x:c r="S247" s="216"/>
      <x:c r="T247" s="216"/>
      <x:c r="U247" s="216"/>
      <x:c r="V247" s="216"/>
      <x:c r="W247" s="216"/>
      <x:c r="X247" s="216"/>
      <x:c r="Y247" s="216"/>
      <x:c r="Z247" s="216"/>
    </x:row>
    <x:row r="248">
      <x:c r="A248" s="216"/>
      <x:c r="B248" s="216"/>
      <x:c r="C248" s="216"/>
      <x:c r="D248" s="216"/>
      <x:c r="E248" s="216"/>
      <x:c r="F248" s="216"/>
      <x:c r="G248" s="216"/>
      <x:c r="H248" s="216"/>
      <x:c r="I248" s="216"/>
      <x:c r="J248" s="216"/>
      <x:c r="K248" s="216"/>
      <x:c r="L248" s="216"/>
      <x:c r="M248" s="216"/>
      <x:c r="N248" s="216"/>
      <x:c r="O248" s="216"/>
      <x:c r="P248" s="216"/>
      <x:c r="Q248" s="216"/>
      <x:c r="R248" s="216"/>
      <x:c r="S248" s="216"/>
      <x:c r="T248" s="216"/>
      <x:c r="U248" s="216"/>
      <x:c r="V248" s="216"/>
      <x:c r="W248" s="216"/>
      <x:c r="X248" s="216"/>
      <x:c r="Y248" s="216"/>
      <x:c r="Z248" s="216"/>
    </x:row>
    <x:row r="249">
      <x:c r="A249" s="216"/>
      <x:c r="B249" s="216"/>
      <x:c r="C249" s="216"/>
      <x:c r="D249" s="216"/>
      <x:c r="E249" s="216"/>
      <x:c r="F249" s="216"/>
      <x:c r="G249" s="216"/>
      <x:c r="H249" s="216"/>
      <x:c r="I249" s="216"/>
      <x:c r="J249" s="216"/>
      <x:c r="K249" s="216"/>
      <x:c r="L249" s="216"/>
      <x:c r="M249" s="216"/>
      <x:c r="N249" s="216"/>
      <x:c r="O249" s="216"/>
      <x:c r="P249" s="216"/>
      <x:c r="Q249" s="216"/>
      <x:c r="R249" s="216"/>
      <x:c r="S249" s="216"/>
      <x:c r="T249" s="216"/>
      <x:c r="U249" s="216"/>
      <x:c r="V249" s="216"/>
      <x:c r="W249" s="216"/>
      <x:c r="X249" s="216"/>
      <x:c r="Y249" s="216"/>
      <x:c r="Z249" s="216"/>
    </x:row>
    <x:row r="250">
      <x:c r="A250" s="216"/>
      <x:c r="B250" s="216"/>
      <x:c r="C250" s="216"/>
      <x:c r="D250" s="216"/>
      <x:c r="E250" s="216"/>
      <x:c r="F250" s="216"/>
      <x:c r="G250" s="216"/>
      <x:c r="H250" s="216"/>
      <x:c r="I250" s="216"/>
      <x:c r="J250" s="216"/>
      <x:c r="K250" s="216"/>
      <x:c r="L250" s="216"/>
      <x:c r="M250" s="216"/>
      <x:c r="N250" s="216"/>
      <x:c r="O250" s="216"/>
      <x:c r="P250" s="216"/>
      <x:c r="Q250" s="216"/>
      <x:c r="R250" s="216"/>
      <x:c r="S250" s="216"/>
      <x:c r="T250" s="216"/>
      <x:c r="U250" s="216"/>
      <x:c r="V250" s="216"/>
      <x:c r="W250" s="216"/>
      <x:c r="X250" s="216"/>
      <x:c r="Y250" s="216"/>
      <x:c r="Z250" s="216"/>
    </x:row>
    <x:row r="251">
      <x:c r="A251" s="216"/>
      <x:c r="B251" s="216"/>
      <x:c r="C251" s="216"/>
      <x:c r="D251" s="216"/>
      <x:c r="E251" s="216"/>
      <x:c r="F251" s="216"/>
      <x:c r="G251" s="216"/>
      <x:c r="H251" s="216"/>
      <x:c r="I251" s="216"/>
      <x:c r="J251" s="216"/>
      <x:c r="K251" s="216"/>
      <x:c r="L251" s="216"/>
      <x:c r="M251" s="216"/>
      <x:c r="N251" s="216"/>
      <x:c r="O251" s="216"/>
      <x:c r="P251" s="216"/>
      <x:c r="Q251" s="216"/>
      <x:c r="R251" s="216"/>
      <x:c r="S251" s="216"/>
      <x:c r="T251" s="216"/>
      <x:c r="U251" s="216"/>
      <x:c r="V251" s="216"/>
      <x:c r="W251" s="216"/>
      <x:c r="X251" s="216"/>
      <x:c r="Y251" s="216"/>
      <x:c r="Z251" s="216"/>
    </x:row>
    <x:row r="252">
      <x:c r="A252" s="216"/>
      <x:c r="B252" s="216"/>
      <x:c r="C252" s="216"/>
      <x:c r="D252" s="216"/>
      <x:c r="E252" s="216"/>
      <x:c r="F252" s="216"/>
      <x:c r="G252" s="216"/>
      <x:c r="H252" s="216"/>
      <x:c r="I252" s="216"/>
      <x:c r="J252" s="216"/>
      <x:c r="K252" s="216"/>
      <x:c r="L252" s="216"/>
      <x:c r="M252" s="216"/>
      <x:c r="N252" s="216"/>
      <x:c r="O252" s="216"/>
      <x:c r="P252" s="216"/>
      <x:c r="Q252" s="216"/>
      <x:c r="R252" s="216"/>
      <x:c r="S252" s="216"/>
      <x:c r="T252" s="216"/>
      <x:c r="U252" s="216"/>
      <x:c r="V252" s="216"/>
      <x:c r="W252" s="216"/>
      <x:c r="X252" s="216"/>
      <x:c r="Y252" s="216"/>
      <x:c r="Z252" s="216"/>
    </x:row>
    <x:row r="253">
      <x:c r="A253" s="216"/>
      <x:c r="B253" s="216"/>
      <x:c r="C253" s="216"/>
      <x:c r="D253" s="216"/>
      <x:c r="E253" s="216"/>
      <x:c r="F253" s="216"/>
      <x:c r="G253" s="216"/>
      <x:c r="H253" s="216"/>
      <x:c r="I253" s="216"/>
      <x:c r="J253" s="216"/>
      <x:c r="K253" s="216"/>
      <x:c r="L253" s="216"/>
      <x:c r="M253" s="216"/>
      <x:c r="N253" s="216"/>
      <x:c r="O253" s="216"/>
      <x:c r="P253" s="216"/>
      <x:c r="Q253" s="216"/>
      <x:c r="R253" s="216"/>
      <x:c r="S253" s="216"/>
      <x:c r="T253" s="216"/>
      <x:c r="U253" s="216"/>
      <x:c r="V253" s="216"/>
      <x:c r="W253" s="216"/>
      <x:c r="X253" s="216"/>
      <x:c r="Y253" s="216"/>
      <x:c r="Z253" s="216"/>
    </x:row>
    <x:row r="254">
      <x:c r="A254" s="216"/>
      <x:c r="B254" s="216"/>
      <x:c r="C254" s="216"/>
      <x:c r="D254" s="216"/>
      <x:c r="E254" s="216"/>
      <x:c r="F254" s="216"/>
      <x:c r="G254" s="216"/>
      <x:c r="H254" s="216"/>
      <x:c r="I254" s="216"/>
      <x:c r="J254" s="216"/>
      <x:c r="K254" s="216"/>
      <x:c r="L254" s="216"/>
      <x:c r="M254" s="216"/>
      <x:c r="N254" s="216"/>
      <x:c r="O254" s="216"/>
      <x:c r="P254" s="216"/>
      <x:c r="Q254" s="216"/>
      <x:c r="R254" s="216"/>
      <x:c r="S254" s="216"/>
      <x:c r="T254" s="216"/>
      <x:c r="U254" s="216"/>
      <x:c r="V254" s="216"/>
      <x:c r="W254" s="216"/>
      <x:c r="X254" s="216"/>
      <x:c r="Y254" s="216"/>
      <x:c r="Z254" s="216"/>
    </x:row>
    <x:row r="255">
      <x:c r="A255" s="216"/>
      <x:c r="B255" s="216"/>
      <x:c r="C255" s="216"/>
      <x:c r="D255" s="216"/>
      <x:c r="E255" s="216"/>
      <x:c r="F255" s="216"/>
      <x:c r="G255" s="216"/>
      <x:c r="H255" s="216"/>
      <x:c r="I255" s="216"/>
      <x:c r="J255" s="216"/>
      <x:c r="K255" s="216"/>
      <x:c r="L255" s="216"/>
      <x:c r="M255" s="216"/>
      <x:c r="N255" s="216"/>
      <x:c r="O255" s="216"/>
      <x:c r="P255" s="216"/>
      <x:c r="Q255" s="216"/>
      <x:c r="R255" s="216"/>
      <x:c r="S255" s="216"/>
      <x:c r="T255" s="216"/>
      <x:c r="U255" s="216"/>
      <x:c r="V255" s="216"/>
      <x:c r="W255" s="216"/>
      <x:c r="X255" s="216"/>
      <x:c r="Y255" s="216"/>
      <x:c r="Z255" s="216"/>
    </x:row>
    <x:row r="256">
      <x:c r="A256" s="216"/>
      <x:c r="B256" s="216"/>
      <x:c r="C256" s="216"/>
      <x:c r="D256" s="216"/>
      <x:c r="E256" s="216"/>
      <x:c r="F256" s="216"/>
      <x:c r="G256" s="216"/>
      <x:c r="H256" s="216"/>
      <x:c r="I256" s="216"/>
      <x:c r="J256" s="216"/>
      <x:c r="K256" s="216"/>
      <x:c r="L256" s="216"/>
      <x:c r="M256" s="216"/>
      <x:c r="N256" s="216"/>
      <x:c r="O256" s="216"/>
      <x:c r="P256" s="216"/>
      <x:c r="Q256" s="216"/>
      <x:c r="R256" s="216"/>
      <x:c r="S256" s="216"/>
      <x:c r="T256" s="216"/>
      <x:c r="U256" s="216"/>
      <x:c r="V256" s="216"/>
      <x:c r="W256" s="216"/>
      <x:c r="X256" s="216"/>
      <x:c r="Y256" s="216"/>
      <x:c r="Z256" s="216"/>
    </x:row>
    <x:row r="257">
      <x:c r="A257" s="216"/>
      <x:c r="B257" s="216"/>
      <x:c r="C257" s="216"/>
      <x:c r="D257" s="216"/>
      <x:c r="E257" s="216"/>
      <x:c r="F257" s="216"/>
      <x:c r="G257" s="216"/>
      <x:c r="H257" s="216"/>
      <x:c r="I257" s="216"/>
      <x:c r="J257" s="216"/>
      <x:c r="K257" s="216"/>
      <x:c r="L257" s="216"/>
      <x:c r="M257" s="216"/>
      <x:c r="N257" s="216"/>
      <x:c r="O257" s="216"/>
      <x:c r="P257" s="216"/>
      <x:c r="Q257" s="216"/>
      <x:c r="R257" s="216"/>
      <x:c r="S257" s="216"/>
      <x:c r="T257" s="216"/>
      <x:c r="U257" s="216"/>
      <x:c r="V257" s="216"/>
      <x:c r="W257" s="216"/>
      <x:c r="X257" s="216"/>
      <x:c r="Y257" s="216"/>
      <x:c r="Z257" s="216"/>
    </x:row>
    <x:row r="258">
      <x:c r="A258" s="216"/>
      <x:c r="B258" s="216"/>
      <x:c r="C258" s="216"/>
      <x:c r="D258" s="216"/>
      <x:c r="E258" s="216"/>
      <x:c r="F258" s="216"/>
      <x:c r="G258" s="216"/>
      <x:c r="H258" s="216"/>
      <x:c r="I258" s="216"/>
      <x:c r="J258" s="216"/>
      <x:c r="K258" s="216"/>
      <x:c r="L258" s="216"/>
      <x:c r="M258" s="216"/>
      <x:c r="N258" s="216"/>
      <x:c r="O258" s="216"/>
      <x:c r="P258" s="216"/>
      <x:c r="Q258" s="216"/>
      <x:c r="R258" s="216"/>
      <x:c r="S258" s="216"/>
      <x:c r="T258" s="216"/>
      <x:c r="U258" s="216"/>
      <x:c r="V258" s="216"/>
      <x:c r="W258" s="216"/>
      <x:c r="X258" s="216"/>
      <x:c r="Y258" s="216"/>
      <x:c r="Z258" s="216"/>
    </x:row>
    <x:row r="259">
      <x:c r="A259" s="216"/>
      <x:c r="B259" s="216"/>
      <x:c r="C259" s="216"/>
      <x:c r="D259" s="216"/>
      <x:c r="E259" s="216"/>
      <x:c r="F259" s="216"/>
      <x:c r="G259" s="216"/>
      <x:c r="H259" s="216"/>
      <x:c r="I259" s="216"/>
      <x:c r="J259" s="216"/>
      <x:c r="K259" s="216"/>
      <x:c r="L259" s="216"/>
      <x:c r="M259" s="216"/>
      <x:c r="N259" s="216"/>
      <x:c r="O259" s="216"/>
      <x:c r="P259" s="216"/>
      <x:c r="Q259" s="216"/>
      <x:c r="R259" s="216"/>
      <x:c r="S259" s="216"/>
      <x:c r="T259" s="216"/>
      <x:c r="U259" s="216"/>
      <x:c r="V259" s="216"/>
      <x:c r="W259" s="216"/>
      <x:c r="X259" s="216"/>
      <x:c r="Y259" s="216"/>
      <x:c r="Z259" s="216"/>
    </x:row>
    <x:row r="260">
      <x:c r="A260" s="216"/>
      <x:c r="B260" s="216"/>
      <x:c r="C260" s="216"/>
      <x:c r="D260" s="216"/>
      <x:c r="E260" s="216"/>
      <x:c r="F260" s="216"/>
      <x:c r="G260" s="216"/>
      <x:c r="H260" s="216"/>
      <x:c r="I260" s="216"/>
      <x:c r="J260" s="216"/>
      <x:c r="K260" s="216"/>
      <x:c r="L260" s="216"/>
      <x:c r="M260" s="216"/>
      <x:c r="N260" s="216"/>
      <x:c r="O260" s="216"/>
      <x:c r="P260" s="216"/>
      <x:c r="Q260" s="216"/>
      <x:c r="R260" s="216"/>
      <x:c r="S260" s="216"/>
      <x:c r="T260" s="216"/>
      <x:c r="U260" s="216"/>
      <x:c r="V260" s="216"/>
      <x:c r="W260" s="216"/>
      <x:c r="X260" s="216"/>
      <x:c r="Y260" s="216"/>
      <x:c r="Z260" s="216"/>
    </x:row>
    <x:row r="261">
      <x:c r="A261" s="216"/>
      <x:c r="B261" s="216"/>
      <x:c r="C261" s="216"/>
      <x:c r="D261" s="216"/>
      <x:c r="E261" s="216"/>
      <x:c r="F261" s="216"/>
      <x:c r="G261" s="216"/>
      <x:c r="H261" s="216"/>
      <x:c r="I261" s="216"/>
      <x:c r="J261" s="216"/>
      <x:c r="K261" s="216"/>
      <x:c r="L261" s="216"/>
      <x:c r="M261" s="216"/>
      <x:c r="N261" s="216"/>
      <x:c r="O261" s="216"/>
      <x:c r="P261" s="216"/>
      <x:c r="Q261" s="216"/>
      <x:c r="R261" s="216"/>
      <x:c r="S261" s="216"/>
      <x:c r="T261" s="216"/>
      <x:c r="U261" s="216"/>
      <x:c r="V261" s="216"/>
      <x:c r="W261" s="216"/>
      <x:c r="X261" s="216"/>
      <x:c r="Y261" s="216"/>
      <x:c r="Z261" s="216"/>
    </x:row>
    <x:row r="262">
      <x:c r="A262" s="216"/>
      <x:c r="B262" s="216"/>
      <x:c r="C262" s="216"/>
      <x:c r="D262" s="216"/>
      <x:c r="E262" s="216"/>
      <x:c r="F262" s="216"/>
      <x:c r="G262" s="216"/>
      <x:c r="H262" s="216"/>
      <x:c r="I262" s="216"/>
      <x:c r="J262" s="216"/>
      <x:c r="K262" s="216"/>
      <x:c r="L262" s="216"/>
      <x:c r="M262" s="216"/>
      <x:c r="N262" s="216"/>
      <x:c r="O262" s="216"/>
      <x:c r="P262" s="216"/>
      <x:c r="Q262" s="216"/>
      <x:c r="R262" s="216"/>
      <x:c r="S262" s="216"/>
      <x:c r="T262" s="216"/>
      <x:c r="U262" s="216"/>
      <x:c r="V262" s="216"/>
      <x:c r="W262" s="216"/>
      <x:c r="X262" s="216"/>
      <x:c r="Y262" s="216"/>
      <x:c r="Z262" s="216"/>
    </x:row>
    <x:row r="263">
      <x:c r="A263" s="216"/>
      <x:c r="B263" s="216"/>
      <x:c r="C263" s="216"/>
      <x:c r="D263" s="216"/>
      <x:c r="E263" s="216"/>
      <x:c r="F263" s="216"/>
      <x:c r="G263" s="216"/>
      <x:c r="H263" s="216"/>
      <x:c r="I263" s="216"/>
      <x:c r="J263" s="216"/>
      <x:c r="K263" s="216"/>
      <x:c r="L263" s="216"/>
      <x:c r="M263" s="216"/>
      <x:c r="N263" s="216"/>
      <x:c r="O263" s="216"/>
      <x:c r="P263" s="216"/>
      <x:c r="Q263" s="216"/>
      <x:c r="R263" s="216"/>
      <x:c r="S263" s="216"/>
      <x:c r="T263" s="216"/>
      <x:c r="U263" s="216"/>
      <x:c r="V263" s="216"/>
      <x:c r="W263" s="216"/>
      <x:c r="X263" s="216"/>
      <x:c r="Y263" s="216"/>
      <x:c r="Z263" s="216"/>
    </x:row>
    <x:row r="264">
      <x:c r="A264" s="216"/>
      <x:c r="B264" s="216"/>
      <x:c r="C264" s="216"/>
      <x:c r="D264" s="216"/>
      <x:c r="E264" s="216"/>
      <x:c r="F264" s="216"/>
      <x:c r="G264" s="216"/>
      <x:c r="H264" s="216"/>
      <x:c r="I264" s="216"/>
      <x:c r="J264" s="216"/>
      <x:c r="K264" s="216"/>
      <x:c r="L264" s="216"/>
      <x:c r="M264" s="216"/>
      <x:c r="N264" s="216"/>
      <x:c r="O264" s="216"/>
      <x:c r="P264" s="216"/>
      <x:c r="Q264" s="216"/>
      <x:c r="R264" s="216"/>
      <x:c r="S264" s="216"/>
      <x:c r="T264" s="216"/>
      <x:c r="U264" s="216"/>
      <x:c r="V264" s="216"/>
      <x:c r="W264" s="216"/>
      <x:c r="X264" s="216"/>
      <x:c r="Y264" s="216"/>
      <x:c r="Z264" s="216"/>
    </x:row>
    <x:row r="265">
      <x:c r="A265" s="216"/>
      <x:c r="B265" s="216"/>
      <x:c r="C265" s="216"/>
      <x:c r="D265" s="216"/>
      <x:c r="E265" s="216"/>
      <x:c r="F265" s="216"/>
      <x:c r="G265" s="216"/>
      <x:c r="H265" s="216"/>
      <x:c r="I265" s="216"/>
      <x:c r="J265" s="216"/>
      <x:c r="K265" s="216"/>
      <x:c r="L265" s="216"/>
      <x:c r="M265" s="216"/>
      <x:c r="N265" s="216"/>
      <x:c r="O265" s="216"/>
      <x:c r="P265" s="216"/>
      <x:c r="Q265" s="216"/>
      <x:c r="R265" s="216"/>
      <x:c r="S265" s="216"/>
      <x:c r="T265" s="216"/>
      <x:c r="U265" s="216"/>
      <x:c r="V265" s="216"/>
      <x:c r="W265" s="216"/>
      <x:c r="X265" s="216"/>
      <x:c r="Y265" s="216"/>
      <x:c r="Z265" s="216"/>
    </x:row>
    <x:row r="266">
      <x:c r="A266" s="216"/>
      <x:c r="B266" s="216"/>
      <x:c r="C266" s="216"/>
      <x:c r="D266" s="216"/>
      <x:c r="E266" s="216"/>
      <x:c r="F266" s="216"/>
      <x:c r="G266" s="216"/>
      <x:c r="H266" s="216"/>
      <x:c r="I266" s="216"/>
      <x:c r="J266" s="216"/>
      <x:c r="K266" s="216"/>
      <x:c r="L266" s="216"/>
      <x:c r="M266" s="216"/>
      <x:c r="N266" s="216"/>
      <x:c r="O266" s="216"/>
      <x:c r="P266" s="216"/>
      <x:c r="Q266" s="216"/>
      <x:c r="R266" s="216"/>
      <x:c r="S266" s="216"/>
      <x:c r="T266" s="216"/>
      <x:c r="U266" s="216"/>
      <x:c r="V266" s="216"/>
      <x:c r="W266" s="216"/>
      <x:c r="X266" s="216"/>
      <x:c r="Y266" s="216"/>
      <x:c r="Z266" s="216"/>
    </x:row>
    <x:row r="267">
      <x:c r="A267" s="216"/>
      <x:c r="B267" s="216"/>
      <x:c r="C267" s="216"/>
      <x:c r="D267" s="216"/>
      <x:c r="E267" s="216"/>
      <x:c r="F267" s="216"/>
      <x:c r="G267" s="216"/>
      <x:c r="H267" s="216"/>
      <x:c r="I267" s="216"/>
      <x:c r="J267" s="216"/>
      <x:c r="K267" s="216"/>
      <x:c r="L267" s="216"/>
      <x:c r="M267" s="216"/>
      <x:c r="N267" s="216"/>
      <x:c r="O267" s="216"/>
      <x:c r="P267" s="216"/>
      <x:c r="Q267" s="216"/>
      <x:c r="R267" s="216"/>
      <x:c r="S267" s="216"/>
      <x:c r="T267" s="216"/>
      <x:c r="U267" s="216"/>
      <x:c r="V267" s="216"/>
      <x:c r="W267" s="216"/>
      <x:c r="X267" s="216"/>
      <x:c r="Y267" s="216"/>
      <x:c r="Z267" s="216"/>
    </x:row>
    <x:row r="268">
      <x:c r="A268" s="216"/>
      <x:c r="B268" s="216"/>
      <x:c r="C268" s="216"/>
      <x:c r="D268" s="216"/>
      <x:c r="E268" s="216"/>
      <x:c r="F268" s="216"/>
      <x:c r="G268" s="216"/>
      <x:c r="H268" s="216"/>
      <x:c r="I268" s="216"/>
      <x:c r="J268" s="216"/>
      <x:c r="K268" s="216"/>
      <x:c r="L268" s="216"/>
      <x:c r="M268" s="216"/>
      <x:c r="N268" s="216"/>
      <x:c r="O268" s="216"/>
      <x:c r="P268" s="216"/>
      <x:c r="Q268" s="216"/>
      <x:c r="R268" s="216"/>
      <x:c r="S268" s="216"/>
      <x:c r="T268" s="216"/>
      <x:c r="U268" s="216"/>
      <x:c r="V268" s="216"/>
      <x:c r="W268" s="216"/>
      <x:c r="X268" s="216"/>
      <x:c r="Y268" s="216"/>
      <x:c r="Z268" s="216"/>
    </x:row>
    <x:row r="269">
      <x:c r="A269" s="216"/>
      <x:c r="B269" s="216"/>
      <x:c r="C269" s="216"/>
      <x:c r="D269" s="216"/>
      <x:c r="E269" s="216"/>
      <x:c r="F269" s="216"/>
      <x:c r="G269" s="216"/>
      <x:c r="H269" s="216"/>
      <x:c r="I269" s="216"/>
      <x:c r="J269" s="216"/>
      <x:c r="K269" s="216"/>
      <x:c r="L269" s="216"/>
      <x:c r="M269" s="216"/>
      <x:c r="N269" s="216"/>
      <x:c r="O269" s="216"/>
      <x:c r="P269" s="216"/>
      <x:c r="Q269" s="216"/>
      <x:c r="R269" s="216"/>
      <x:c r="S269" s="216"/>
      <x:c r="T269" s="216"/>
      <x:c r="U269" s="216"/>
      <x:c r="V269" s="216"/>
      <x:c r="W269" s="216"/>
      <x:c r="X269" s="216"/>
      <x:c r="Y269" s="216"/>
      <x:c r="Z269" s="216"/>
    </x:row>
    <x:row r="270">
      <x:c r="A270" s="216"/>
      <x:c r="B270" s="216"/>
      <x:c r="C270" s="216"/>
      <x:c r="D270" s="216"/>
      <x:c r="E270" s="216"/>
      <x:c r="F270" s="216"/>
      <x:c r="G270" s="216"/>
      <x:c r="H270" s="216"/>
      <x:c r="I270" s="216"/>
      <x:c r="J270" s="216"/>
      <x:c r="K270" s="216"/>
      <x:c r="L270" s="216"/>
      <x:c r="M270" s="216"/>
      <x:c r="N270" s="216"/>
      <x:c r="O270" s="216"/>
      <x:c r="P270" s="216"/>
      <x:c r="Q270" s="216"/>
      <x:c r="R270" s="216"/>
      <x:c r="S270" s="216"/>
      <x:c r="T270" s="216"/>
      <x:c r="U270" s="216"/>
      <x:c r="V270" s="216"/>
      <x:c r="W270" s="216"/>
      <x:c r="X270" s="216"/>
      <x:c r="Y270" s="216"/>
      <x:c r="Z270" s="216"/>
    </x:row>
    <x:row r="271">
      <x:c r="A271" s="216"/>
      <x:c r="B271" s="216"/>
      <x:c r="C271" s="216"/>
      <x:c r="D271" s="216"/>
      <x:c r="E271" s="216"/>
      <x:c r="F271" s="216"/>
      <x:c r="G271" s="216"/>
      <x:c r="H271" s="216"/>
      <x:c r="I271" s="216"/>
      <x:c r="J271" s="216"/>
      <x:c r="K271" s="216"/>
      <x:c r="L271" s="216"/>
      <x:c r="M271" s="216"/>
      <x:c r="N271" s="216"/>
      <x:c r="O271" s="216"/>
      <x:c r="P271" s="216"/>
      <x:c r="Q271" s="216"/>
      <x:c r="R271" s="216"/>
      <x:c r="S271" s="216"/>
      <x:c r="T271" s="216"/>
      <x:c r="U271" s="216"/>
      <x:c r="V271" s="216"/>
      <x:c r="W271" s="216"/>
      <x:c r="X271" s="216"/>
      <x:c r="Y271" s="216"/>
      <x:c r="Z271" s="216"/>
    </x:row>
    <x:row r="272">
      <x:c r="A272" s="216"/>
      <x:c r="B272" s="216"/>
      <x:c r="C272" s="216"/>
      <x:c r="D272" s="216"/>
      <x:c r="E272" s="216"/>
      <x:c r="F272" s="216"/>
      <x:c r="G272" s="216"/>
      <x:c r="H272" s="216"/>
      <x:c r="I272" s="216"/>
      <x:c r="J272" s="216"/>
      <x:c r="K272" s="216"/>
      <x:c r="L272" s="216"/>
      <x:c r="M272" s="216"/>
      <x:c r="N272" s="216"/>
      <x:c r="O272" s="216"/>
      <x:c r="P272" s="216"/>
      <x:c r="Q272" s="216"/>
      <x:c r="R272" s="216"/>
      <x:c r="S272" s="216"/>
      <x:c r="T272" s="216"/>
      <x:c r="U272" s="216"/>
      <x:c r="V272" s="216"/>
      <x:c r="W272" s="216"/>
      <x:c r="X272" s="216"/>
      <x:c r="Y272" s="216"/>
      <x:c r="Z272" s="216"/>
    </x:row>
    <x:row r="273">
      <x:c r="A273" s="216"/>
      <x:c r="B273" s="216"/>
      <x:c r="C273" s="216"/>
      <x:c r="D273" s="216"/>
      <x:c r="E273" s="216"/>
      <x:c r="F273" s="216"/>
      <x:c r="G273" s="216"/>
      <x:c r="H273" s="216"/>
      <x:c r="I273" s="216"/>
      <x:c r="J273" s="216"/>
      <x:c r="K273" s="216"/>
      <x:c r="L273" s="216"/>
      <x:c r="M273" s="216"/>
      <x:c r="N273" s="216"/>
      <x:c r="O273" s="216"/>
      <x:c r="P273" s="216"/>
      <x:c r="Q273" s="216"/>
      <x:c r="R273" s="216"/>
      <x:c r="S273" s="216"/>
      <x:c r="T273" s="216"/>
      <x:c r="U273" s="216"/>
      <x:c r="V273" s="216"/>
      <x:c r="W273" s="216"/>
      <x:c r="X273" s="216"/>
      <x:c r="Y273" s="216"/>
      <x:c r="Z273" s="216"/>
    </x:row>
    <x:row r="274">
      <x:c r="A274" s="216"/>
      <x:c r="B274" s="216"/>
      <x:c r="C274" s="216"/>
      <x:c r="D274" s="216"/>
      <x:c r="E274" s="216"/>
      <x:c r="F274" s="216"/>
      <x:c r="G274" s="216"/>
      <x:c r="H274" s="216"/>
      <x:c r="I274" s="216"/>
      <x:c r="J274" s="216"/>
      <x:c r="K274" s="216"/>
      <x:c r="L274" s="216"/>
      <x:c r="M274" s="216"/>
      <x:c r="N274" s="216"/>
      <x:c r="O274" s="216"/>
      <x:c r="P274" s="216"/>
      <x:c r="Q274" s="216"/>
      <x:c r="R274" s="216"/>
      <x:c r="S274" s="216"/>
      <x:c r="T274" s="216"/>
      <x:c r="U274" s="216"/>
      <x:c r="V274" s="216"/>
      <x:c r="W274" s="216"/>
      <x:c r="X274" s="216"/>
      <x:c r="Y274" s="216"/>
      <x:c r="Z274" s="216"/>
    </x:row>
    <x:row r="275">
      <x:c r="A275" s="216"/>
      <x:c r="B275" s="216"/>
      <x:c r="C275" s="216"/>
      <x:c r="D275" s="216"/>
      <x:c r="E275" s="216"/>
      <x:c r="F275" s="216"/>
      <x:c r="G275" s="216"/>
      <x:c r="H275" s="216"/>
      <x:c r="I275" s="216"/>
      <x:c r="J275" s="216"/>
      <x:c r="K275" s="216"/>
      <x:c r="L275" s="216"/>
      <x:c r="M275" s="216"/>
      <x:c r="N275" s="216"/>
      <x:c r="O275" s="216"/>
      <x:c r="P275" s="216"/>
      <x:c r="Q275" s="216"/>
      <x:c r="R275" s="216"/>
      <x:c r="S275" s="216"/>
      <x:c r="T275" s="216"/>
      <x:c r="U275" s="216"/>
      <x:c r="V275" s="216"/>
      <x:c r="W275" s="216"/>
      <x:c r="X275" s="216"/>
      <x:c r="Y275" s="216"/>
      <x:c r="Z275" s="216"/>
    </x:row>
    <x:row r="276">
      <x:c r="A276" s="216"/>
      <x:c r="B276" s="216"/>
      <x:c r="C276" s="216"/>
      <x:c r="D276" s="216"/>
      <x:c r="E276" s="216"/>
      <x:c r="F276" s="216"/>
      <x:c r="G276" s="216"/>
      <x:c r="H276" s="216"/>
      <x:c r="I276" s="216"/>
      <x:c r="J276" s="216"/>
      <x:c r="K276" s="216"/>
      <x:c r="L276" s="216"/>
      <x:c r="M276" s="216"/>
      <x:c r="N276" s="216"/>
      <x:c r="O276" s="216"/>
      <x:c r="P276" s="216"/>
      <x:c r="Q276" s="216"/>
      <x:c r="R276" s="216"/>
      <x:c r="S276" s="216"/>
      <x:c r="T276" s="216"/>
      <x:c r="U276" s="216"/>
      <x:c r="V276" s="216"/>
      <x:c r="W276" s="216"/>
      <x:c r="X276" s="216"/>
      <x:c r="Y276" s="216"/>
      <x:c r="Z276" s="216"/>
    </x:row>
    <x:row r="277">
      <x:c r="A277" s="216"/>
      <x:c r="B277" s="216"/>
      <x:c r="C277" s="216"/>
      <x:c r="D277" s="216"/>
      <x:c r="E277" s="216"/>
      <x:c r="F277" s="216"/>
      <x:c r="G277" s="216"/>
      <x:c r="H277" s="216"/>
      <x:c r="I277" s="216"/>
      <x:c r="J277" s="216"/>
      <x:c r="K277" s="216"/>
      <x:c r="L277" s="216"/>
      <x:c r="M277" s="216"/>
      <x:c r="N277" s="216"/>
      <x:c r="O277" s="216"/>
      <x:c r="P277" s="216"/>
      <x:c r="Q277" s="216"/>
      <x:c r="R277" s="216"/>
      <x:c r="S277" s="216"/>
      <x:c r="T277" s="216"/>
      <x:c r="U277" s="216"/>
      <x:c r="V277" s="216"/>
      <x:c r="W277" s="216"/>
      <x:c r="X277" s="216"/>
      <x:c r="Y277" s="216"/>
      <x:c r="Z277" s="216"/>
    </x:row>
    <x:row r="278">
      <x:c r="A278" s="216"/>
      <x:c r="B278" s="216"/>
      <x:c r="C278" s="216"/>
      <x:c r="D278" s="216"/>
      <x:c r="E278" s="216"/>
      <x:c r="F278" s="216"/>
      <x:c r="G278" s="216"/>
      <x:c r="H278" s="216"/>
      <x:c r="I278" s="216"/>
      <x:c r="J278" s="216"/>
      <x:c r="K278" s="216"/>
      <x:c r="L278" s="216"/>
      <x:c r="M278" s="216"/>
      <x:c r="N278" s="216"/>
      <x:c r="O278" s="216"/>
      <x:c r="P278" s="216"/>
      <x:c r="Q278" s="216"/>
      <x:c r="R278" s="216"/>
      <x:c r="S278" s="216"/>
      <x:c r="T278" s="216"/>
      <x:c r="U278" s="216"/>
      <x:c r="V278" s="216"/>
      <x:c r="W278" s="216"/>
      <x:c r="X278" s="216"/>
      <x:c r="Y278" s="216"/>
      <x:c r="Z278" s="216"/>
    </x:row>
    <x:row r="279">
      <x:c r="A279" s="216"/>
      <x:c r="B279" s="216"/>
      <x:c r="C279" s="216"/>
      <x:c r="D279" s="216"/>
      <x:c r="E279" s="216"/>
      <x:c r="F279" s="216"/>
      <x:c r="G279" s="216"/>
      <x:c r="H279" s="216"/>
      <x:c r="I279" s="216"/>
      <x:c r="J279" s="216"/>
      <x:c r="K279" s="216"/>
      <x:c r="L279" s="216"/>
      <x:c r="M279" s="216"/>
      <x:c r="N279" s="216"/>
      <x:c r="O279" s="216"/>
      <x:c r="P279" s="216"/>
      <x:c r="Q279" s="216"/>
      <x:c r="R279" s="216"/>
      <x:c r="S279" s="216"/>
      <x:c r="T279" s="216"/>
      <x:c r="U279" s="216"/>
      <x:c r="V279" s="216"/>
      <x:c r="W279" s="216"/>
      <x:c r="X279" s="216"/>
      <x:c r="Y279" s="216"/>
      <x:c r="Z279" s="216"/>
    </x:row>
    <x:row r="280">
      <x:c r="A280" s="216"/>
      <x:c r="B280" s="216"/>
      <x:c r="C280" s="216"/>
      <x:c r="D280" s="216"/>
      <x:c r="E280" s="216"/>
      <x:c r="F280" s="216"/>
      <x:c r="G280" s="216"/>
      <x:c r="H280" s="216"/>
      <x:c r="I280" s="216"/>
      <x:c r="J280" s="216"/>
      <x:c r="K280" s="216"/>
      <x:c r="L280" s="216"/>
      <x:c r="M280" s="216"/>
      <x:c r="N280" s="216"/>
      <x:c r="O280" s="216"/>
      <x:c r="P280" s="216"/>
      <x:c r="Q280" s="216"/>
      <x:c r="R280" s="216"/>
      <x:c r="S280" s="216"/>
      <x:c r="T280" s="216"/>
      <x:c r="U280" s="216"/>
      <x:c r="V280" s="216"/>
      <x:c r="W280" s="216"/>
      <x:c r="X280" s="216"/>
      <x:c r="Y280" s="216"/>
      <x:c r="Z280" s="216"/>
    </x:row>
    <x:row r="281">
      <x:c r="A281" s="216"/>
      <x:c r="B281" s="216"/>
      <x:c r="C281" s="216"/>
      <x:c r="D281" s="216"/>
      <x:c r="E281" s="216"/>
      <x:c r="F281" s="216"/>
      <x:c r="G281" s="216"/>
      <x:c r="H281" s="216"/>
      <x:c r="I281" s="216"/>
      <x:c r="J281" s="216"/>
      <x:c r="K281" s="216"/>
      <x:c r="L281" s="216"/>
      <x:c r="M281" s="216"/>
      <x:c r="N281" s="216"/>
      <x:c r="O281" s="216"/>
      <x:c r="P281" s="216"/>
      <x:c r="Q281" s="216"/>
      <x:c r="R281" s="216"/>
      <x:c r="S281" s="216"/>
      <x:c r="T281" s="216"/>
      <x:c r="U281" s="216"/>
      <x:c r="V281" s="216"/>
      <x:c r="W281" s="216"/>
      <x:c r="X281" s="216"/>
      <x:c r="Y281" s="216"/>
      <x:c r="Z281" s="216"/>
    </x:row>
    <x:row r="282">
      <x:c r="A282" s="216"/>
      <x:c r="B282" s="216"/>
      <x:c r="C282" s="216"/>
      <x:c r="D282" s="216"/>
      <x:c r="E282" s="216"/>
      <x:c r="F282" s="216"/>
      <x:c r="G282" s="216"/>
      <x:c r="H282" s="216"/>
      <x:c r="I282" s="216"/>
      <x:c r="J282" s="216"/>
      <x:c r="K282" s="216"/>
      <x:c r="L282" s="216"/>
      <x:c r="M282" s="216"/>
      <x:c r="N282" s="216"/>
      <x:c r="O282" s="216"/>
      <x:c r="P282" s="216"/>
      <x:c r="Q282" s="216"/>
      <x:c r="R282" s="216"/>
      <x:c r="S282" s="216"/>
      <x:c r="T282" s="216"/>
      <x:c r="U282" s="216"/>
      <x:c r="V282" s="216"/>
      <x:c r="W282" s="216"/>
      <x:c r="X282" s="216"/>
      <x:c r="Y282" s="216"/>
      <x:c r="Z282" s="216"/>
    </x:row>
    <x:row r="283">
      <x:c r="A283" s="216"/>
      <x:c r="B283" s="216"/>
      <x:c r="C283" s="216"/>
      <x:c r="D283" s="216"/>
      <x:c r="E283" s="216"/>
      <x:c r="F283" s="216"/>
      <x:c r="G283" s="216"/>
      <x:c r="H283" s="216"/>
      <x:c r="I283" s="216"/>
      <x:c r="J283" s="216"/>
      <x:c r="K283" s="216"/>
      <x:c r="L283" s="216"/>
      <x:c r="M283" s="216"/>
      <x:c r="N283" s="216"/>
      <x:c r="O283" s="216"/>
      <x:c r="P283" s="216"/>
      <x:c r="Q283" s="216"/>
      <x:c r="R283" s="216"/>
      <x:c r="S283" s="216"/>
      <x:c r="T283" s="216"/>
      <x:c r="U283" s="216"/>
      <x:c r="V283" s="216"/>
      <x:c r="W283" s="216"/>
      <x:c r="X283" s="216"/>
      <x:c r="Y283" s="216"/>
      <x:c r="Z283" s="216"/>
    </x:row>
    <x:row r="284">
      <x:c r="A284" s="216"/>
      <x:c r="B284" s="216"/>
      <x:c r="C284" s="216"/>
      <x:c r="D284" s="216"/>
      <x:c r="E284" s="216"/>
      <x:c r="F284" s="216"/>
      <x:c r="G284" s="216"/>
      <x:c r="H284" s="216"/>
      <x:c r="I284" s="216"/>
      <x:c r="J284" s="216"/>
      <x:c r="K284" s="216"/>
      <x:c r="L284" s="216"/>
      <x:c r="M284" s="216"/>
      <x:c r="N284" s="216"/>
      <x:c r="O284" s="216"/>
      <x:c r="P284" s="216"/>
      <x:c r="Q284" s="216"/>
      <x:c r="R284" s="216"/>
      <x:c r="S284" s="216"/>
      <x:c r="T284" s="216"/>
      <x:c r="U284" s="216"/>
      <x:c r="V284" s="216"/>
      <x:c r="W284" s="216"/>
      <x:c r="X284" s="216"/>
      <x:c r="Y284" s="216"/>
      <x:c r="Z284" s="216"/>
    </x:row>
    <x:row r="285">
      <x:c r="A285" s="216"/>
      <x:c r="B285" s="216"/>
      <x:c r="C285" s="216"/>
      <x:c r="D285" s="216"/>
      <x:c r="E285" s="216"/>
      <x:c r="F285" s="216"/>
      <x:c r="G285" s="216"/>
      <x:c r="H285" s="216"/>
      <x:c r="I285" s="216"/>
      <x:c r="J285" s="216"/>
      <x:c r="K285" s="216"/>
      <x:c r="L285" s="216"/>
      <x:c r="M285" s="216"/>
      <x:c r="N285" s="216"/>
      <x:c r="O285" s="216"/>
      <x:c r="P285" s="216"/>
      <x:c r="Q285" s="216"/>
      <x:c r="R285" s="216"/>
      <x:c r="S285" s="216"/>
      <x:c r="T285" s="216"/>
      <x:c r="U285" s="216"/>
      <x:c r="V285" s="216"/>
      <x:c r="W285" s="216"/>
      <x:c r="X285" s="216"/>
      <x:c r="Y285" s="216"/>
      <x:c r="Z285" s="216"/>
    </x:row>
    <x:row r="286">
      <x:c r="A286" s="216"/>
      <x:c r="B286" s="216"/>
      <x:c r="C286" s="216"/>
      <x:c r="D286" s="216"/>
      <x:c r="E286" s="216"/>
      <x:c r="F286" s="216"/>
      <x:c r="G286" s="216"/>
      <x:c r="H286" s="216"/>
      <x:c r="I286" s="216"/>
      <x:c r="J286" s="216"/>
      <x:c r="K286" s="216"/>
      <x:c r="L286" s="216"/>
      <x:c r="M286" s="216"/>
      <x:c r="N286" s="216"/>
      <x:c r="O286" s="216"/>
      <x:c r="P286" s="216"/>
      <x:c r="Q286" s="216"/>
      <x:c r="R286" s="216"/>
      <x:c r="S286" s="216"/>
      <x:c r="T286" s="216"/>
      <x:c r="U286" s="216"/>
      <x:c r="V286" s="216"/>
      <x:c r="W286" s="216"/>
      <x:c r="X286" s="216"/>
      <x:c r="Y286" s="216"/>
      <x:c r="Z286" s="216"/>
    </x:row>
    <x:row r="287">
      <x:c r="A287" s="216"/>
      <x:c r="B287" s="216"/>
      <x:c r="C287" s="216"/>
      <x:c r="D287" s="216"/>
      <x:c r="E287" s="216"/>
      <x:c r="F287" s="216"/>
      <x:c r="G287" s="216"/>
      <x:c r="H287" s="216"/>
      <x:c r="I287" s="216"/>
      <x:c r="J287" s="216"/>
      <x:c r="K287" s="216"/>
      <x:c r="L287" s="216"/>
      <x:c r="M287" s="216"/>
      <x:c r="N287" s="216"/>
      <x:c r="O287" s="216"/>
      <x:c r="P287" s="216"/>
      <x:c r="Q287" s="216"/>
      <x:c r="R287" s="216"/>
      <x:c r="S287" s="216"/>
      <x:c r="T287" s="216"/>
      <x:c r="U287" s="216"/>
      <x:c r="V287" s="216"/>
      <x:c r="W287" s="216"/>
      <x:c r="X287" s="216"/>
      <x:c r="Y287" s="216"/>
      <x:c r="Z287" s="216"/>
    </x:row>
    <x:row r="288">
      <x:c r="A288" s="216"/>
      <x:c r="B288" s="216"/>
      <x:c r="C288" s="216"/>
      <x:c r="D288" s="216"/>
      <x:c r="E288" s="216"/>
      <x:c r="F288" s="216"/>
      <x:c r="G288" s="216"/>
      <x:c r="H288" s="216"/>
      <x:c r="I288" s="216"/>
      <x:c r="J288" s="216"/>
      <x:c r="K288" s="216"/>
      <x:c r="L288" s="216"/>
      <x:c r="M288" s="216"/>
      <x:c r="N288" s="216"/>
      <x:c r="O288" s="216"/>
      <x:c r="P288" s="216"/>
      <x:c r="Q288" s="216"/>
      <x:c r="R288" s="216"/>
      <x:c r="S288" s="216"/>
      <x:c r="T288" s="216"/>
      <x:c r="U288" s="216"/>
      <x:c r="V288" s="216"/>
      <x:c r="W288" s="216"/>
      <x:c r="X288" s="216"/>
      <x:c r="Y288" s="216"/>
      <x:c r="Z288" s="216"/>
    </x:row>
    <x:row r="289">
      <x:c r="A289" s="216"/>
      <x:c r="B289" s="216"/>
      <x:c r="C289" s="216"/>
      <x:c r="D289" s="216"/>
      <x:c r="E289" s="216"/>
      <x:c r="F289" s="216"/>
      <x:c r="G289" s="216"/>
      <x:c r="H289" s="216"/>
      <x:c r="I289" s="216"/>
      <x:c r="J289" s="216"/>
      <x:c r="K289" s="216"/>
      <x:c r="L289" s="216"/>
      <x:c r="M289" s="216"/>
      <x:c r="N289" s="216"/>
      <x:c r="O289" s="216"/>
      <x:c r="P289" s="216"/>
      <x:c r="Q289" s="216"/>
      <x:c r="R289" s="216"/>
      <x:c r="S289" s="216"/>
      <x:c r="T289" s="216"/>
      <x:c r="U289" s="216"/>
      <x:c r="V289" s="216"/>
      <x:c r="W289" s="216"/>
      <x:c r="X289" s="216"/>
      <x:c r="Y289" s="216"/>
      <x:c r="Z289" s="216"/>
    </x:row>
    <x:row r="290">
      <x:c r="A290" s="216"/>
      <x:c r="B290" s="216"/>
      <x:c r="C290" s="216"/>
      <x:c r="D290" s="216"/>
      <x:c r="E290" s="216"/>
      <x:c r="F290" s="216"/>
      <x:c r="G290" s="216"/>
      <x:c r="H290" s="216"/>
      <x:c r="I290" s="216"/>
      <x:c r="J290" s="216"/>
      <x:c r="K290" s="216"/>
      <x:c r="L290" s="216"/>
      <x:c r="M290" s="216"/>
      <x:c r="N290" s="216"/>
      <x:c r="O290" s="216"/>
      <x:c r="P290" s="216"/>
      <x:c r="Q290" s="216"/>
      <x:c r="R290" s="216"/>
      <x:c r="S290" s="216"/>
      <x:c r="T290" s="216"/>
      <x:c r="U290" s="216"/>
      <x:c r="V290" s="216"/>
      <x:c r="W290" s="216"/>
      <x:c r="X290" s="216"/>
      <x:c r="Y290" s="216"/>
      <x:c r="Z290" s="216"/>
    </x:row>
    <x:row r="291">
      <x:c r="A291" s="216"/>
      <x:c r="B291" s="216"/>
      <x:c r="C291" s="216"/>
      <x:c r="D291" s="216"/>
      <x:c r="E291" s="216"/>
      <x:c r="F291" s="216"/>
      <x:c r="G291" s="216"/>
      <x:c r="H291" s="216"/>
      <x:c r="I291" s="216"/>
      <x:c r="J291" s="216"/>
      <x:c r="K291" s="216"/>
      <x:c r="L291" s="216"/>
      <x:c r="M291" s="216"/>
      <x:c r="N291" s="216"/>
      <x:c r="O291" s="216"/>
      <x:c r="P291" s="216"/>
      <x:c r="Q291" s="216"/>
      <x:c r="R291" s="216"/>
      <x:c r="S291" s="216"/>
      <x:c r="T291" s="216"/>
      <x:c r="U291" s="216"/>
      <x:c r="V291" s="216"/>
      <x:c r="W291" s="216"/>
      <x:c r="X291" s="216"/>
      <x:c r="Y291" s="216"/>
      <x:c r="Z291" s="216"/>
    </x:row>
    <x:row r="292">
      <x:c r="A292" s="216"/>
      <x:c r="B292" s="216"/>
      <x:c r="C292" s="216"/>
      <x:c r="D292" s="216"/>
      <x:c r="E292" s="216"/>
      <x:c r="F292" s="216"/>
      <x:c r="G292" s="216"/>
      <x:c r="H292" s="216"/>
      <x:c r="I292" s="216"/>
      <x:c r="J292" s="216"/>
      <x:c r="K292" s="216"/>
      <x:c r="L292" s="216"/>
      <x:c r="M292" s="216"/>
      <x:c r="N292" s="216"/>
      <x:c r="O292" s="216"/>
      <x:c r="P292" s="216"/>
      <x:c r="Q292" s="216"/>
      <x:c r="R292" s="216"/>
      <x:c r="S292" s="216"/>
      <x:c r="T292" s="216"/>
      <x:c r="U292" s="216"/>
      <x:c r="V292" s="216"/>
      <x:c r="W292" s="216"/>
      <x:c r="X292" s="216"/>
      <x:c r="Y292" s="216"/>
      <x:c r="Z292" s="216"/>
    </x:row>
    <x:row r="293">
      <x:c r="A293" s="216"/>
      <x:c r="B293" s="216"/>
      <x:c r="C293" s="216"/>
      <x:c r="D293" s="216"/>
      <x:c r="E293" s="216"/>
      <x:c r="F293" s="216"/>
      <x:c r="G293" s="216"/>
      <x:c r="H293" s="216"/>
      <x:c r="I293" s="216"/>
      <x:c r="J293" s="216"/>
      <x:c r="K293" s="216"/>
      <x:c r="L293" s="216"/>
      <x:c r="M293" s="216"/>
      <x:c r="N293" s="216"/>
      <x:c r="O293" s="216"/>
      <x:c r="P293" s="216"/>
      <x:c r="Q293" s="216"/>
      <x:c r="R293" s="216"/>
      <x:c r="S293" s="216"/>
      <x:c r="T293" s="216"/>
      <x:c r="U293" s="216"/>
      <x:c r="V293" s="216"/>
      <x:c r="W293" s="216"/>
      <x:c r="X293" s="216"/>
      <x:c r="Y293" s="216"/>
      <x:c r="Z293" s="216"/>
    </x:row>
    <x:row r="294">
      <x:c r="A294" s="216"/>
      <x:c r="B294" s="216"/>
      <x:c r="C294" s="216"/>
      <x:c r="D294" s="216"/>
      <x:c r="E294" s="216"/>
      <x:c r="F294" s="216"/>
      <x:c r="G294" s="216"/>
      <x:c r="H294" s="216"/>
      <x:c r="I294" s="216"/>
      <x:c r="J294" s="216"/>
      <x:c r="K294" s="216"/>
      <x:c r="L294" s="216"/>
      <x:c r="M294" s="216"/>
      <x:c r="N294" s="216"/>
      <x:c r="O294" s="216"/>
      <x:c r="P294" s="216"/>
      <x:c r="Q294" s="216"/>
      <x:c r="R294" s="216"/>
      <x:c r="S294" s="216"/>
      <x:c r="T294" s="216"/>
      <x:c r="U294" s="216"/>
      <x:c r="V294" s="216"/>
      <x:c r="W294" s="216"/>
      <x:c r="X294" s="216"/>
      <x:c r="Y294" s="216"/>
      <x:c r="Z294" s="216"/>
    </x:row>
    <x:row r="295">
      <x:c r="A295" s="216"/>
      <x:c r="B295" s="216"/>
      <x:c r="C295" s="216"/>
      <x:c r="D295" s="216"/>
      <x:c r="E295" s="216"/>
      <x:c r="F295" s="216"/>
      <x:c r="G295" s="216"/>
      <x:c r="H295" s="216"/>
      <x:c r="I295" s="216"/>
      <x:c r="J295" s="216"/>
      <x:c r="K295" s="216"/>
      <x:c r="L295" s="216"/>
      <x:c r="M295" s="216"/>
      <x:c r="N295" s="216"/>
      <x:c r="O295" s="216"/>
      <x:c r="P295" s="216"/>
      <x:c r="Q295" s="216"/>
      <x:c r="R295" s="216"/>
      <x:c r="S295" s="216"/>
      <x:c r="T295" s="216"/>
      <x:c r="U295" s="216"/>
      <x:c r="V295" s="216"/>
      <x:c r="W295" s="216"/>
      <x:c r="X295" s="216"/>
      <x:c r="Y295" s="216"/>
      <x:c r="Z295" s="216"/>
    </x:row>
    <x:row r="296">
      <x:c r="A296" s="216"/>
      <x:c r="B296" s="216"/>
      <x:c r="C296" s="216"/>
      <x:c r="D296" s="216"/>
      <x:c r="E296" s="216"/>
      <x:c r="F296" s="216"/>
      <x:c r="G296" s="216"/>
      <x:c r="H296" s="216"/>
      <x:c r="I296" s="216"/>
      <x:c r="J296" s="216"/>
      <x:c r="K296" s="216"/>
      <x:c r="L296" s="216"/>
      <x:c r="M296" s="216"/>
      <x:c r="N296" s="216"/>
      <x:c r="O296" s="216"/>
      <x:c r="P296" s="216"/>
      <x:c r="Q296" s="216"/>
      <x:c r="R296" s="216"/>
      <x:c r="S296" s="216"/>
      <x:c r="T296" s="216"/>
      <x:c r="U296" s="216"/>
      <x:c r="V296" s="216"/>
      <x:c r="W296" s="216"/>
      <x:c r="X296" s="216"/>
      <x:c r="Y296" s="216"/>
      <x:c r="Z296" s="216"/>
    </x:row>
    <x:row r="297">
      <x:c r="A297" s="216"/>
      <x:c r="B297" s="216"/>
      <x:c r="C297" s="216"/>
      <x:c r="D297" s="216"/>
      <x:c r="E297" s="216"/>
      <x:c r="F297" s="216"/>
      <x:c r="G297" s="216"/>
      <x:c r="H297" s="216"/>
      <x:c r="I297" s="216"/>
      <x:c r="J297" s="216"/>
      <x:c r="K297" s="216"/>
      <x:c r="L297" s="216"/>
      <x:c r="M297" s="216"/>
      <x:c r="N297" s="216"/>
      <x:c r="O297" s="216"/>
      <x:c r="P297" s="216"/>
      <x:c r="Q297" s="216"/>
      <x:c r="R297" s="216"/>
      <x:c r="S297" s="216"/>
      <x:c r="T297" s="216"/>
      <x:c r="U297" s="216"/>
      <x:c r="V297" s="216"/>
      <x:c r="W297" s="216"/>
      <x:c r="X297" s="216"/>
      <x:c r="Y297" s="216"/>
      <x:c r="Z297" s="216"/>
    </x:row>
    <x:row r="298">
      <x:c r="A298" s="216"/>
      <x:c r="B298" s="216"/>
      <x:c r="C298" s="216"/>
      <x:c r="D298" s="216"/>
      <x:c r="E298" s="216"/>
      <x:c r="F298" s="216"/>
      <x:c r="G298" s="216"/>
      <x:c r="H298" s="216"/>
      <x:c r="I298" s="216"/>
      <x:c r="J298" s="216"/>
      <x:c r="K298" s="216"/>
      <x:c r="L298" s="216"/>
      <x:c r="M298" s="216"/>
      <x:c r="N298" s="216"/>
      <x:c r="O298" s="216"/>
      <x:c r="P298" s="216"/>
      <x:c r="Q298" s="216"/>
      <x:c r="R298" s="216"/>
      <x:c r="S298" s="216"/>
      <x:c r="T298" s="216"/>
      <x:c r="U298" s="216"/>
      <x:c r="V298" s="216"/>
      <x:c r="W298" s="216"/>
      <x:c r="X298" s="216"/>
      <x:c r="Y298" s="216"/>
      <x:c r="Z298" s="216"/>
    </x:row>
    <x:row r="299">
      <x:c r="A299" s="216"/>
      <x:c r="B299" s="216"/>
      <x:c r="C299" s="216"/>
      <x:c r="D299" s="216"/>
      <x:c r="E299" s="216"/>
      <x:c r="F299" s="216"/>
      <x:c r="G299" s="216"/>
      <x:c r="H299" s="216"/>
      <x:c r="I299" s="216"/>
      <x:c r="J299" s="216"/>
      <x:c r="K299" s="216"/>
      <x:c r="L299" s="216"/>
      <x:c r="M299" s="216"/>
      <x:c r="N299" s="216"/>
      <x:c r="O299" s="216"/>
      <x:c r="P299" s="216"/>
      <x:c r="Q299" s="216"/>
      <x:c r="R299" s="216"/>
      <x:c r="S299" s="216"/>
      <x:c r="T299" s="216"/>
      <x:c r="U299" s="216"/>
      <x:c r="V299" s="216"/>
      <x:c r="W299" s="216"/>
      <x:c r="X299" s="216"/>
      <x:c r="Y299" s="216"/>
      <x:c r="Z299" s="216"/>
    </x:row>
    <x:row r="300">
      <x:c r="A300" s="216"/>
      <x:c r="B300" s="216"/>
      <x:c r="C300" s="216"/>
      <x:c r="D300" s="216"/>
      <x:c r="E300" s="216"/>
      <x:c r="F300" s="216"/>
      <x:c r="G300" s="216"/>
      <x:c r="H300" s="216"/>
      <x:c r="I300" s="216"/>
      <x:c r="J300" s="216"/>
      <x:c r="K300" s="216"/>
      <x:c r="L300" s="216"/>
      <x:c r="M300" s="216"/>
      <x:c r="N300" s="216"/>
      <x:c r="O300" s="216"/>
      <x:c r="P300" s="216"/>
      <x:c r="Q300" s="216"/>
      <x:c r="R300" s="216"/>
      <x:c r="S300" s="216"/>
      <x:c r="T300" s="216"/>
      <x:c r="U300" s="216"/>
      <x:c r="V300" s="216"/>
      <x:c r="W300" s="216"/>
      <x:c r="X300" s="216"/>
      <x:c r="Y300" s="216"/>
      <x:c r="Z300" s="216"/>
    </x:row>
    <x:row r="301">
      <x:c r="A301" s="216"/>
      <x:c r="B301" s="216"/>
      <x:c r="C301" s="216"/>
      <x:c r="D301" s="216"/>
      <x:c r="E301" s="216"/>
      <x:c r="F301" s="216"/>
      <x:c r="G301" s="216"/>
      <x:c r="H301" s="216"/>
      <x:c r="I301" s="216"/>
      <x:c r="J301" s="216"/>
      <x:c r="K301" s="216"/>
      <x:c r="L301" s="216"/>
      <x:c r="M301" s="216"/>
      <x:c r="N301" s="216"/>
      <x:c r="O301" s="216"/>
      <x:c r="P301" s="216"/>
      <x:c r="Q301" s="216"/>
      <x:c r="R301" s="216"/>
      <x:c r="S301" s="216"/>
      <x:c r="T301" s="216"/>
      <x:c r="U301" s="216"/>
      <x:c r="V301" s="216"/>
      <x:c r="W301" s="216"/>
      <x:c r="X301" s="216"/>
      <x:c r="Y301" s="216"/>
      <x:c r="Z301" s="216"/>
    </x:row>
    <x:row r="302">
      <x:c r="A302" s="216"/>
      <x:c r="B302" s="216"/>
      <x:c r="C302" s="216"/>
      <x:c r="D302" s="216"/>
      <x:c r="E302" s="216"/>
      <x:c r="F302" s="216"/>
      <x:c r="G302" s="216"/>
      <x:c r="H302" s="216"/>
      <x:c r="I302" s="216"/>
      <x:c r="J302" s="216"/>
      <x:c r="K302" s="216"/>
      <x:c r="L302" s="216"/>
      <x:c r="M302" s="216"/>
      <x:c r="N302" s="216"/>
      <x:c r="O302" s="216"/>
      <x:c r="P302" s="216"/>
      <x:c r="Q302" s="216"/>
      <x:c r="R302" s="216"/>
      <x:c r="S302" s="216"/>
      <x:c r="T302" s="216"/>
      <x:c r="U302" s="216"/>
      <x:c r="V302" s="216"/>
      <x:c r="W302" s="216"/>
      <x:c r="X302" s="216"/>
      <x:c r="Y302" s="216"/>
      <x:c r="Z302" s="216"/>
    </x:row>
    <x:row r="303">
      <x:c r="A303" s="216"/>
      <x:c r="B303" s="216"/>
      <x:c r="C303" s="216"/>
      <x:c r="D303" s="216"/>
      <x:c r="E303" s="216"/>
      <x:c r="F303" s="216"/>
      <x:c r="G303" s="216"/>
      <x:c r="H303" s="216"/>
      <x:c r="I303" s="216"/>
      <x:c r="J303" s="216"/>
      <x:c r="K303" s="216"/>
      <x:c r="L303" s="216"/>
      <x:c r="M303" s="216"/>
      <x:c r="N303" s="216"/>
      <x:c r="O303" s="216"/>
      <x:c r="P303" s="216"/>
      <x:c r="Q303" s="216"/>
      <x:c r="R303" s="216"/>
      <x:c r="S303" s="216"/>
      <x:c r="T303" s="216"/>
      <x:c r="U303" s="216"/>
      <x:c r="V303" s="216"/>
      <x:c r="W303" s="216"/>
      <x:c r="X303" s="216"/>
      <x:c r="Y303" s="216"/>
      <x:c r="Z303" s="216"/>
    </x:row>
    <x:row r="304">
      <x:c r="A304" s="216"/>
      <x:c r="B304" s="216"/>
      <x:c r="C304" s="216"/>
      <x:c r="D304" s="216"/>
      <x:c r="E304" s="216"/>
      <x:c r="F304" s="216"/>
      <x:c r="G304" s="216"/>
      <x:c r="H304" s="216"/>
      <x:c r="I304" s="216"/>
      <x:c r="J304" s="216"/>
      <x:c r="K304" s="216"/>
      <x:c r="L304" s="216"/>
      <x:c r="M304" s="216"/>
      <x:c r="N304" s="216"/>
      <x:c r="O304" s="216"/>
      <x:c r="P304" s="216"/>
      <x:c r="Q304" s="216"/>
      <x:c r="R304" s="216"/>
      <x:c r="S304" s="216"/>
      <x:c r="T304" s="216"/>
      <x:c r="U304" s="216"/>
      <x:c r="V304" s="216"/>
      <x:c r="W304" s="216"/>
      <x:c r="X304" s="216"/>
      <x:c r="Y304" s="216"/>
      <x:c r="Z304" s="216"/>
    </x:row>
    <x:row r="305">
      <x:c r="A305" s="216"/>
      <x:c r="B305" s="216"/>
      <x:c r="C305" s="216"/>
      <x:c r="D305" s="216"/>
      <x:c r="E305" s="216"/>
      <x:c r="F305" s="216"/>
      <x:c r="G305" s="216"/>
      <x:c r="H305" s="216"/>
      <x:c r="I305" s="216"/>
      <x:c r="J305" s="216"/>
      <x:c r="K305" s="216"/>
      <x:c r="L305" s="216"/>
      <x:c r="M305" s="216"/>
      <x:c r="N305" s="216"/>
      <x:c r="O305" s="216"/>
      <x:c r="P305" s="216"/>
      <x:c r="Q305" s="216"/>
      <x:c r="R305" s="216"/>
      <x:c r="S305" s="216"/>
      <x:c r="T305" s="216"/>
      <x:c r="U305" s="216"/>
      <x:c r="V305" s="216"/>
      <x:c r="W305" s="216"/>
      <x:c r="X305" s="216"/>
      <x:c r="Y305" s="216"/>
      <x:c r="Z305" s="216"/>
    </x:row>
    <x:row r="306">
      <x:c r="A306" s="216"/>
      <x:c r="B306" s="216"/>
      <x:c r="C306" s="216"/>
      <x:c r="D306" s="216"/>
      <x:c r="E306" s="216"/>
      <x:c r="F306" s="216"/>
      <x:c r="G306" s="216"/>
      <x:c r="H306" s="216"/>
      <x:c r="I306" s="216"/>
      <x:c r="J306" s="216"/>
      <x:c r="K306" s="216"/>
      <x:c r="L306" s="216"/>
      <x:c r="M306" s="216"/>
      <x:c r="N306" s="216"/>
      <x:c r="O306" s="216"/>
      <x:c r="P306" s="216"/>
      <x:c r="Q306" s="216"/>
      <x:c r="R306" s="216"/>
      <x:c r="S306" s="216"/>
      <x:c r="T306" s="216"/>
      <x:c r="U306" s="216"/>
      <x:c r="V306" s="216"/>
      <x:c r="W306" s="216"/>
      <x:c r="X306" s="216"/>
      <x:c r="Y306" s="216"/>
      <x:c r="Z306" s="216"/>
    </x:row>
    <x:row r="307">
      <x:c r="A307" s="216"/>
      <x:c r="B307" s="216"/>
      <x:c r="C307" s="216"/>
      <x:c r="D307" s="216"/>
      <x:c r="E307" s="216"/>
      <x:c r="F307" s="216"/>
      <x:c r="G307" s="216"/>
      <x:c r="H307" s="216"/>
      <x:c r="I307" s="216"/>
      <x:c r="J307" s="216"/>
      <x:c r="K307" s="216"/>
      <x:c r="L307" s="216"/>
      <x:c r="M307" s="216"/>
      <x:c r="N307" s="216"/>
      <x:c r="O307" s="216"/>
      <x:c r="P307" s="216"/>
      <x:c r="Q307" s="216"/>
      <x:c r="R307" s="216"/>
      <x:c r="S307" s="216"/>
      <x:c r="T307" s="216"/>
      <x:c r="U307" s="216"/>
      <x:c r="V307" s="216"/>
      <x:c r="W307" s="216"/>
      <x:c r="X307" s="216"/>
      <x:c r="Y307" s="216"/>
      <x:c r="Z307" s="216"/>
    </x:row>
    <x:row r="308">
      <x:c r="A308" s="216"/>
      <x:c r="B308" s="216"/>
      <x:c r="C308" s="216"/>
      <x:c r="D308" s="216"/>
      <x:c r="E308" s="216"/>
      <x:c r="F308" s="216"/>
      <x:c r="G308" s="216"/>
      <x:c r="H308" s="216"/>
      <x:c r="I308" s="216"/>
      <x:c r="J308" s="216"/>
      <x:c r="K308" s="216"/>
      <x:c r="L308" s="216"/>
      <x:c r="M308" s="216"/>
      <x:c r="N308" s="216"/>
      <x:c r="O308" s="216"/>
      <x:c r="P308" s="216"/>
      <x:c r="Q308" s="216"/>
      <x:c r="R308" s="216"/>
      <x:c r="S308" s="216"/>
      <x:c r="T308" s="216"/>
      <x:c r="U308" s="216"/>
      <x:c r="V308" s="216"/>
      <x:c r="W308" s="216"/>
      <x:c r="X308" s="216"/>
      <x:c r="Y308" s="216"/>
      <x:c r="Z308" s="216"/>
    </x:row>
    <x:row r="309">
      <x:c r="A309" s="216"/>
      <x:c r="B309" s="216"/>
      <x:c r="C309" s="216"/>
      <x:c r="D309" s="216"/>
      <x:c r="E309" s="216"/>
      <x:c r="F309" s="216"/>
      <x:c r="G309" s="216"/>
      <x:c r="H309" s="216"/>
      <x:c r="I309" s="216"/>
      <x:c r="J309" s="216"/>
      <x:c r="K309" s="216"/>
      <x:c r="L309" s="216"/>
      <x:c r="M309" s="216"/>
      <x:c r="N309" s="216"/>
      <x:c r="O309" s="216"/>
      <x:c r="P309" s="216"/>
      <x:c r="Q309" s="216"/>
      <x:c r="R309" s="216"/>
      <x:c r="S309" s="216"/>
      <x:c r="T309" s="216"/>
      <x:c r="U309" s="216"/>
      <x:c r="V309" s="216"/>
      <x:c r="W309" s="216"/>
      <x:c r="X309" s="216"/>
      <x:c r="Y309" s="216"/>
      <x:c r="Z309" s="216"/>
    </x:row>
    <x:row r="310">
      <x:c r="A310" s="216"/>
      <x:c r="B310" s="216"/>
      <x:c r="C310" s="216"/>
      <x:c r="D310" s="216"/>
      <x:c r="E310" s="216"/>
      <x:c r="F310" s="216"/>
      <x:c r="G310" s="216"/>
      <x:c r="H310" s="216"/>
      <x:c r="I310" s="216"/>
      <x:c r="J310" s="216"/>
      <x:c r="K310" s="216"/>
      <x:c r="L310" s="216"/>
      <x:c r="M310" s="216"/>
      <x:c r="N310" s="216"/>
      <x:c r="O310" s="216"/>
      <x:c r="P310" s="216"/>
      <x:c r="Q310" s="216"/>
      <x:c r="R310" s="216"/>
      <x:c r="S310" s="216"/>
      <x:c r="T310" s="216"/>
      <x:c r="U310" s="216"/>
      <x:c r="V310" s="216"/>
      <x:c r="W310" s="216"/>
      <x:c r="X310" s="216"/>
      <x:c r="Y310" s="216"/>
      <x:c r="Z310" s="216"/>
    </x:row>
    <x:row r="311">
      <x:c r="A311" s="216"/>
      <x:c r="B311" s="216"/>
      <x:c r="C311" s="216"/>
      <x:c r="D311" s="216"/>
      <x:c r="E311" s="216"/>
      <x:c r="F311" s="216"/>
      <x:c r="G311" s="216"/>
      <x:c r="H311" s="216"/>
      <x:c r="I311" s="216"/>
      <x:c r="J311" s="216"/>
      <x:c r="K311" s="216"/>
      <x:c r="L311" s="216"/>
      <x:c r="M311" s="216"/>
      <x:c r="N311" s="216"/>
      <x:c r="O311" s="216"/>
      <x:c r="P311" s="216"/>
      <x:c r="Q311" s="216"/>
      <x:c r="R311" s="216"/>
      <x:c r="S311" s="216"/>
      <x:c r="T311" s="216"/>
      <x:c r="U311" s="216"/>
      <x:c r="V311" s="216"/>
      <x:c r="W311" s="216"/>
      <x:c r="X311" s="216"/>
      <x:c r="Y311" s="216"/>
      <x:c r="Z311" s="216"/>
    </x:row>
    <x:row r="312">
      <x:c r="A312" s="216"/>
      <x:c r="B312" s="216"/>
      <x:c r="C312" s="216"/>
      <x:c r="D312" s="216"/>
      <x:c r="E312" s="216"/>
      <x:c r="F312" s="216"/>
      <x:c r="G312" s="216"/>
      <x:c r="H312" s="216"/>
      <x:c r="I312" s="216"/>
      <x:c r="J312" s="216"/>
      <x:c r="K312" s="216"/>
      <x:c r="L312" s="216"/>
      <x:c r="M312" s="216"/>
      <x:c r="N312" s="216"/>
      <x:c r="O312" s="216"/>
      <x:c r="P312" s="216"/>
      <x:c r="Q312" s="216"/>
      <x:c r="R312" s="216"/>
      <x:c r="S312" s="216"/>
      <x:c r="T312" s="216"/>
      <x:c r="U312" s="216"/>
      <x:c r="V312" s="216"/>
      <x:c r="W312" s="216"/>
      <x:c r="X312" s="216"/>
      <x:c r="Y312" s="216"/>
      <x:c r="Z312" s="216"/>
    </x:row>
    <x:row r="313">
      <x:c r="A313" s="216"/>
      <x:c r="B313" s="216"/>
      <x:c r="C313" s="216"/>
      <x:c r="D313" s="216"/>
      <x:c r="E313" s="216"/>
      <x:c r="F313" s="216"/>
      <x:c r="G313" s="216"/>
      <x:c r="H313" s="216"/>
      <x:c r="I313" s="216"/>
      <x:c r="J313" s="216"/>
      <x:c r="K313" s="216"/>
      <x:c r="L313" s="216"/>
      <x:c r="M313" s="216"/>
      <x:c r="N313" s="216"/>
      <x:c r="O313" s="216"/>
      <x:c r="P313" s="216"/>
      <x:c r="Q313" s="216"/>
      <x:c r="R313" s="216"/>
      <x:c r="S313" s="216"/>
      <x:c r="T313" s="216"/>
      <x:c r="U313" s="216"/>
      <x:c r="V313" s="216"/>
      <x:c r="W313" s="216"/>
      <x:c r="X313" s="216"/>
      <x:c r="Y313" s="216"/>
      <x:c r="Z313" s="216"/>
    </x:row>
    <x:row r="314">
      <x:c r="A314" s="216"/>
      <x:c r="B314" s="216"/>
      <x:c r="C314" s="216"/>
      <x:c r="D314" s="216"/>
      <x:c r="E314" s="216"/>
      <x:c r="F314" s="216"/>
      <x:c r="G314" s="216"/>
      <x:c r="H314" s="216"/>
      <x:c r="I314" s="216"/>
      <x:c r="J314" s="216"/>
      <x:c r="K314" s="216"/>
      <x:c r="L314" s="216"/>
      <x:c r="M314" s="216"/>
      <x:c r="N314" s="216"/>
      <x:c r="O314" s="216"/>
      <x:c r="P314" s="216"/>
      <x:c r="Q314" s="216"/>
      <x:c r="R314" s="216"/>
      <x:c r="S314" s="216"/>
      <x:c r="T314" s="216"/>
      <x:c r="U314" s="216"/>
      <x:c r="V314" s="216"/>
      <x:c r="W314" s="216"/>
      <x:c r="X314" s="216"/>
      <x:c r="Y314" s="216"/>
      <x:c r="Z314" s="216"/>
    </x:row>
    <x:row r="315">
      <x:c r="A315" s="216"/>
      <x:c r="B315" s="216"/>
      <x:c r="C315" s="216"/>
      <x:c r="D315" s="216"/>
      <x:c r="E315" s="216"/>
      <x:c r="F315" s="216"/>
      <x:c r="G315" s="216"/>
      <x:c r="H315" s="216"/>
      <x:c r="I315" s="216"/>
      <x:c r="J315" s="216"/>
      <x:c r="K315" s="216"/>
      <x:c r="L315" s="216"/>
      <x:c r="M315" s="216"/>
      <x:c r="N315" s="216"/>
      <x:c r="O315" s="216"/>
      <x:c r="P315" s="216"/>
      <x:c r="Q315" s="216"/>
      <x:c r="R315" s="216"/>
      <x:c r="S315" s="216"/>
      <x:c r="T315" s="216"/>
      <x:c r="U315" s="216"/>
      <x:c r="V315" s="216"/>
      <x:c r="W315" s="216"/>
      <x:c r="X315" s="216"/>
      <x:c r="Y315" s="216"/>
      <x:c r="Z315" s="216"/>
    </x:row>
    <x:row r="316">
      <x:c r="A316" s="216"/>
      <x:c r="B316" s="216"/>
      <x:c r="C316" s="216"/>
      <x:c r="D316" s="216"/>
      <x:c r="E316" s="216"/>
      <x:c r="F316" s="216"/>
      <x:c r="G316" s="216"/>
      <x:c r="H316" s="216"/>
      <x:c r="I316" s="216"/>
      <x:c r="J316" s="216"/>
      <x:c r="K316" s="216"/>
      <x:c r="L316" s="216"/>
      <x:c r="M316" s="216"/>
      <x:c r="N316" s="216"/>
      <x:c r="O316" s="216"/>
      <x:c r="P316" s="216"/>
      <x:c r="Q316" s="216"/>
      <x:c r="R316" s="216"/>
      <x:c r="S316" s="216"/>
      <x:c r="T316" s="216"/>
      <x:c r="U316" s="216"/>
      <x:c r="V316" s="216"/>
      <x:c r="W316" s="216"/>
      <x:c r="X316" s="216"/>
      <x:c r="Y316" s="216"/>
      <x:c r="Z316" s="216"/>
    </x:row>
    <x:row r="317">
      <x:c r="A317" s="216"/>
      <x:c r="B317" s="216"/>
      <x:c r="C317" s="216"/>
      <x:c r="D317" s="216"/>
      <x:c r="E317" s="216"/>
      <x:c r="F317" s="216"/>
      <x:c r="G317" s="216"/>
      <x:c r="H317" s="216"/>
      <x:c r="I317" s="216"/>
      <x:c r="J317" s="216"/>
      <x:c r="K317" s="216"/>
      <x:c r="L317" s="216"/>
      <x:c r="M317" s="216"/>
      <x:c r="N317" s="216"/>
      <x:c r="O317" s="216"/>
      <x:c r="P317" s="216"/>
      <x:c r="Q317" s="216"/>
      <x:c r="R317" s="216"/>
      <x:c r="S317" s="216"/>
      <x:c r="T317" s="216"/>
      <x:c r="U317" s="216"/>
      <x:c r="V317" s="216"/>
      <x:c r="W317" s="216"/>
      <x:c r="X317" s="216"/>
      <x:c r="Y317" s="216"/>
      <x:c r="Z317" s="216"/>
    </x:row>
    <x:row r="318">
      <x:c r="A318" s="216"/>
      <x:c r="B318" s="216"/>
      <x:c r="C318" s="216"/>
      <x:c r="D318" s="216"/>
      <x:c r="E318" s="216"/>
      <x:c r="F318" s="216"/>
      <x:c r="G318" s="216"/>
      <x:c r="H318" s="216"/>
      <x:c r="I318" s="216"/>
      <x:c r="J318" s="216"/>
      <x:c r="K318" s="216"/>
      <x:c r="L318" s="216"/>
      <x:c r="M318" s="216"/>
      <x:c r="N318" s="216"/>
      <x:c r="O318" s="216"/>
      <x:c r="P318" s="216"/>
      <x:c r="Q318" s="216"/>
      <x:c r="R318" s="216"/>
      <x:c r="S318" s="216"/>
      <x:c r="T318" s="216"/>
      <x:c r="U318" s="216"/>
      <x:c r="V318" s="216"/>
      <x:c r="W318" s="216"/>
      <x:c r="X318" s="216"/>
      <x:c r="Y318" s="216"/>
      <x:c r="Z318" s="216"/>
    </x:row>
    <x:row r="319">
      <x:c r="A319" s="216"/>
      <x:c r="B319" s="216"/>
      <x:c r="C319" s="216"/>
      <x:c r="D319" s="216"/>
      <x:c r="E319" s="216"/>
      <x:c r="F319" s="216"/>
      <x:c r="G319" s="216"/>
      <x:c r="H319" s="216"/>
      <x:c r="I319" s="216"/>
      <x:c r="J319" s="216"/>
      <x:c r="K319" s="216"/>
      <x:c r="L319" s="216"/>
      <x:c r="M319" s="216"/>
      <x:c r="N319" s="216"/>
      <x:c r="O319" s="216"/>
      <x:c r="P319" s="216"/>
      <x:c r="Q319" s="216"/>
      <x:c r="R319" s="216"/>
      <x:c r="S319" s="216"/>
      <x:c r="T319" s="216"/>
      <x:c r="U319" s="216"/>
      <x:c r="V319" s="216"/>
      <x:c r="W319" s="216"/>
      <x:c r="X319" s="216"/>
      <x:c r="Y319" s="216"/>
      <x:c r="Z319" s="216"/>
    </x:row>
    <x:row r="320">
      <x:c r="A320" s="216"/>
      <x:c r="B320" s="216"/>
      <x:c r="C320" s="216"/>
      <x:c r="D320" s="216"/>
      <x:c r="E320" s="216"/>
      <x:c r="F320" s="216"/>
      <x:c r="G320" s="216"/>
      <x:c r="H320" s="216"/>
      <x:c r="I320" s="216"/>
      <x:c r="J320" s="216"/>
      <x:c r="K320" s="216"/>
      <x:c r="L320" s="216"/>
      <x:c r="M320" s="216"/>
      <x:c r="N320" s="216"/>
      <x:c r="O320" s="216"/>
      <x:c r="P320" s="216"/>
      <x:c r="Q320" s="216"/>
      <x:c r="R320" s="216"/>
      <x:c r="S320" s="216"/>
      <x:c r="T320" s="216"/>
      <x:c r="U320" s="216"/>
      <x:c r="V320" s="216"/>
      <x:c r="W320" s="216"/>
      <x:c r="X320" s="216"/>
      <x:c r="Y320" s="216"/>
      <x:c r="Z320" s="216"/>
    </x:row>
    <x:row r="321">
      <x:c r="A321" s="216"/>
      <x:c r="B321" s="216"/>
      <x:c r="C321" s="216"/>
      <x:c r="D321" s="216"/>
      <x:c r="E321" s="216"/>
      <x:c r="F321" s="216"/>
      <x:c r="G321" s="216"/>
      <x:c r="H321" s="216"/>
      <x:c r="I321" s="216"/>
      <x:c r="J321" s="216"/>
      <x:c r="K321" s="216"/>
      <x:c r="L321" s="216"/>
      <x:c r="M321" s="216"/>
      <x:c r="N321" s="216"/>
      <x:c r="O321" s="216"/>
      <x:c r="P321" s="216"/>
      <x:c r="Q321" s="216"/>
      <x:c r="R321" s="216"/>
      <x:c r="S321" s="216"/>
      <x:c r="T321" s="216"/>
      <x:c r="U321" s="216"/>
      <x:c r="V321" s="216"/>
      <x:c r="W321" s="216"/>
      <x:c r="X321" s="216"/>
      <x:c r="Y321" s="216"/>
      <x:c r="Z321" s="216"/>
    </x:row>
    <x:row r="322">
      <x:c r="A322" s="216"/>
      <x:c r="B322" s="216"/>
      <x:c r="C322" s="216"/>
      <x:c r="D322" s="216"/>
      <x:c r="E322" s="216"/>
      <x:c r="F322" s="216"/>
      <x:c r="G322" s="216"/>
      <x:c r="H322" s="216"/>
      <x:c r="I322" s="216"/>
      <x:c r="J322" s="216"/>
      <x:c r="K322" s="216"/>
      <x:c r="L322" s="216"/>
      <x:c r="M322" s="216"/>
      <x:c r="N322" s="216"/>
      <x:c r="O322" s="216"/>
      <x:c r="P322" s="216"/>
      <x:c r="Q322" s="216"/>
      <x:c r="R322" s="216"/>
      <x:c r="S322" s="216"/>
      <x:c r="T322" s="216"/>
      <x:c r="U322" s="216"/>
      <x:c r="V322" s="216"/>
      <x:c r="W322" s="216"/>
      <x:c r="X322" s="216"/>
      <x:c r="Y322" s="216"/>
      <x:c r="Z322" s="216"/>
    </x:row>
    <x:row r="323">
      <x:c r="A323" s="216"/>
      <x:c r="B323" s="216"/>
      <x:c r="C323" s="216"/>
      <x:c r="D323" s="216"/>
      <x:c r="E323" s="216"/>
      <x:c r="F323" s="216"/>
      <x:c r="G323" s="216"/>
      <x:c r="H323" s="216"/>
      <x:c r="I323" s="216"/>
      <x:c r="J323" s="216"/>
      <x:c r="K323" s="216"/>
      <x:c r="L323" s="216"/>
      <x:c r="M323" s="216"/>
      <x:c r="N323" s="216"/>
      <x:c r="O323" s="216"/>
      <x:c r="P323" s="216"/>
      <x:c r="Q323" s="216"/>
      <x:c r="R323" s="216"/>
      <x:c r="S323" s="216"/>
      <x:c r="T323" s="216"/>
      <x:c r="U323" s="216"/>
      <x:c r="V323" s="216"/>
      <x:c r="W323" s="216"/>
      <x:c r="X323" s="216"/>
      <x:c r="Y323" s="216"/>
      <x:c r="Z323" s="216"/>
    </x:row>
    <x:row r="324">
      <x:c r="A324" s="216"/>
      <x:c r="B324" s="216"/>
      <x:c r="C324" s="216"/>
      <x:c r="D324" s="216"/>
      <x:c r="E324" s="216"/>
      <x:c r="F324" s="216"/>
      <x:c r="G324" s="216"/>
      <x:c r="H324" s="216"/>
      <x:c r="I324" s="216"/>
      <x:c r="J324" s="216"/>
      <x:c r="K324" s="216"/>
      <x:c r="L324" s="216"/>
      <x:c r="M324" s="216"/>
      <x:c r="N324" s="216"/>
      <x:c r="O324" s="216"/>
      <x:c r="P324" s="216"/>
      <x:c r="Q324" s="216"/>
      <x:c r="R324" s="216"/>
      <x:c r="S324" s="216"/>
      <x:c r="T324" s="216"/>
      <x:c r="U324" s="216"/>
      <x:c r="V324" s="216"/>
      <x:c r="W324" s="216"/>
      <x:c r="X324" s="216"/>
      <x:c r="Y324" s="216"/>
      <x:c r="Z324" s="216"/>
    </x:row>
    <x:row r="325">
      <x:c r="A325" s="216"/>
      <x:c r="B325" s="216"/>
      <x:c r="C325" s="216"/>
      <x:c r="D325" s="216"/>
      <x:c r="E325" s="216"/>
      <x:c r="F325" s="216"/>
      <x:c r="G325" s="216"/>
      <x:c r="H325" s="216"/>
      <x:c r="I325" s="216"/>
      <x:c r="J325" s="216"/>
      <x:c r="K325" s="216"/>
      <x:c r="L325" s="216"/>
      <x:c r="M325" s="216"/>
      <x:c r="N325" s="216"/>
      <x:c r="O325" s="216"/>
      <x:c r="P325" s="216"/>
      <x:c r="Q325" s="216"/>
      <x:c r="R325" s="216"/>
      <x:c r="S325" s="216"/>
      <x:c r="T325" s="216"/>
      <x:c r="U325" s="216"/>
      <x:c r="V325" s="216"/>
      <x:c r="W325" s="216"/>
      <x:c r="X325" s="216"/>
      <x:c r="Y325" s="216"/>
      <x:c r="Z325" s="216"/>
    </x:row>
    <x:row r="326">
      <x:c r="A326" s="216"/>
      <x:c r="B326" s="216"/>
      <x:c r="C326" s="216"/>
      <x:c r="D326" s="216"/>
      <x:c r="E326" s="216"/>
      <x:c r="F326" s="216"/>
      <x:c r="G326" s="216"/>
      <x:c r="H326" s="216"/>
      <x:c r="I326" s="216"/>
      <x:c r="J326" s="216"/>
      <x:c r="K326" s="216"/>
      <x:c r="L326" s="216"/>
      <x:c r="M326" s="216"/>
      <x:c r="N326" s="216"/>
      <x:c r="O326" s="216"/>
      <x:c r="P326" s="216"/>
      <x:c r="Q326" s="216"/>
      <x:c r="R326" s="216"/>
      <x:c r="S326" s="216"/>
      <x:c r="T326" s="216"/>
      <x:c r="U326" s="216"/>
      <x:c r="V326" s="216"/>
      <x:c r="W326" s="216"/>
      <x:c r="X326" s="216"/>
      <x:c r="Y326" s="216"/>
      <x:c r="Z326" s="216"/>
    </x:row>
    <x:row r="327">
      <x:c r="A327" s="216"/>
      <x:c r="B327" s="216"/>
      <x:c r="C327" s="216"/>
      <x:c r="D327" s="216"/>
      <x:c r="E327" s="216"/>
      <x:c r="F327" s="216"/>
      <x:c r="G327" s="216"/>
      <x:c r="H327" s="216"/>
      <x:c r="I327" s="216"/>
      <x:c r="J327" s="216"/>
      <x:c r="K327" s="216"/>
      <x:c r="L327" s="216"/>
      <x:c r="M327" s="216"/>
      <x:c r="N327" s="216"/>
      <x:c r="O327" s="216"/>
      <x:c r="P327" s="216"/>
      <x:c r="Q327" s="216"/>
      <x:c r="R327" s="216"/>
      <x:c r="S327" s="216"/>
      <x:c r="T327" s="216"/>
      <x:c r="U327" s="216"/>
      <x:c r="V327" s="216"/>
      <x:c r="W327" s="216"/>
      <x:c r="X327" s="216"/>
      <x:c r="Y327" s="216"/>
      <x:c r="Z327" s="216"/>
    </x:row>
    <x:row r="328">
      <x:c r="A328" s="216"/>
      <x:c r="B328" s="216"/>
      <x:c r="C328" s="216"/>
      <x:c r="D328" s="216"/>
      <x:c r="E328" s="216"/>
      <x:c r="F328" s="216"/>
      <x:c r="G328" s="216"/>
      <x:c r="H328" s="216"/>
      <x:c r="I328" s="216"/>
      <x:c r="J328" s="216"/>
      <x:c r="K328" s="216"/>
      <x:c r="L328" s="216"/>
      <x:c r="M328" s="216"/>
      <x:c r="N328" s="216"/>
      <x:c r="O328" s="216"/>
      <x:c r="P328" s="216"/>
      <x:c r="Q328" s="216"/>
      <x:c r="R328" s="216"/>
      <x:c r="S328" s="216"/>
      <x:c r="T328" s="216"/>
      <x:c r="U328" s="216"/>
      <x:c r="V328" s="216"/>
      <x:c r="W328" s="216"/>
      <x:c r="X328" s="216"/>
      <x:c r="Y328" s="216"/>
      <x:c r="Z328" s="216"/>
    </x:row>
    <x:row r="329">
      <x:c r="A329" s="216"/>
      <x:c r="B329" s="216"/>
      <x:c r="C329" s="216"/>
      <x:c r="D329" s="216"/>
      <x:c r="E329" s="216"/>
      <x:c r="F329" s="216"/>
      <x:c r="G329" s="216"/>
      <x:c r="H329" s="216"/>
      <x:c r="I329" s="216"/>
      <x:c r="J329" s="216"/>
      <x:c r="K329" s="216"/>
      <x:c r="L329" s="216"/>
      <x:c r="M329" s="216"/>
      <x:c r="N329" s="216"/>
      <x:c r="O329" s="216"/>
      <x:c r="P329" s="216"/>
      <x:c r="Q329" s="216"/>
      <x:c r="R329" s="216"/>
      <x:c r="S329" s="216"/>
      <x:c r="T329" s="216"/>
      <x:c r="U329" s="216"/>
      <x:c r="V329" s="216"/>
      <x:c r="W329" s="216"/>
      <x:c r="X329" s="216"/>
      <x:c r="Y329" s="216"/>
      <x:c r="Z329" s="216"/>
    </x:row>
    <x:row r="330">
      <x:c r="A330" s="216"/>
      <x:c r="B330" s="216"/>
      <x:c r="C330" s="216"/>
      <x:c r="D330" s="216"/>
      <x:c r="E330" s="216"/>
      <x:c r="F330" s="216"/>
      <x:c r="G330" s="216"/>
      <x:c r="H330" s="216"/>
      <x:c r="I330" s="216"/>
      <x:c r="J330" s="216"/>
      <x:c r="K330" s="216"/>
      <x:c r="L330" s="216"/>
      <x:c r="M330" s="216"/>
      <x:c r="N330" s="216"/>
      <x:c r="O330" s="216"/>
      <x:c r="P330" s="216"/>
      <x:c r="Q330" s="216"/>
      <x:c r="R330" s="216"/>
      <x:c r="S330" s="216"/>
      <x:c r="T330" s="216"/>
      <x:c r="U330" s="216"/>
      <x:c r="V330" s="216"/>
      <x:c r="W330" s="216"/>
      <x:c r="X330" s="216"/>
      <x:c r="Y330" s="216"/>
      <x:c r="Z330" s="216"/>
    </x:row>
    <x:row r="331">
      <x:c r="A331" s="216"/>
      <x:c r="B331" s="216"/>
      <x:c r="C331" s="216"/>
      <x:c r="D331" s="216"/>
      <x:c r="E331" s="216"/>
      <x:c r="F331" s="216"/>
      <x:c r="G331" s="216"/>
      <x:c r="H331" s="216"/>
      <x:c r="I331" s="216"/>
      <x:c r="J331" s="216"/>
      <x:c r="K331" s="216"/>
      <x:c r="L331" s="216"/>
      <x:c r="M331" s="216"/>
      <x:c r="N331" s="216"/>
      <x:c r="O331" s="216"/>
      <x:c r="P331" s="216"/>
      <x:c r="Q331" s="216"/>
      <x:c r="R331" s="216"/>
      <x:c r="S331" s="216"/>
      <x:c r="T331" s="216"/>
      <x:c r="U331" s="216"/>
      <x:c r="V331" s="216"/>
      <x:c r="W331" s="216"/>
      <x:c r="X331" s="216"/>
      <x:c r="Y331" s="216"/>
      <x:c r="Z331" s="216"/>
    </x:row>
    <x:row r="332">
      <x:c r="A332" s="216"/>
      <x:c r="B332" s="216"/>
      <x:c r="C332" s="216"/>
      <x:c r="D332" s="216"/>
      <x:c r="E332" s="216"/>
      <x:c r="F332" s="216"/>
      <x:c r="G332" s="216"/>
      <x:c r="H332" s="216"/>
      <x:c r="I332" s="216"/>
      <x:c r="J332" s="216"/>
      <x:c r="K332" s="216"/>
      <x:c r="L332" s="216"/>
      <x:c r="M332" s="216"/>
      <x:c r="N332" s="216"/>
      <x:c r="O332" s="216"/>
      <x:c r="P332" s="216"/>
      <x:c r="Q332" s="216"/>
      <x:c r="R332" s="216"/>
      <x:c r="S332" s="216"/>
      <x:c r="T332" s="216"/>
      <x:c r="U332" s="216"/>
      <x:c r="V332" s="216"/>
      <x:c r="W332" s="216"/>
      <x:c r="X332" s="216"/>
      <x:c r="Y332" s="216"/>
      <x:c r="Z332" s="216"/>
    </x:row>
    <x:row r="333">
      <x:c r="A333" s="216"/>
      <x:c r="B333" s="216"/>
      <x:c r="C333" s="216"/>
      <x:c r="D333" s="216"/>
      <x:c r="E333" s="216"/>
      <x:c r="F333" s="216"/>
      <x:c r="G333" s="216"/>
      <x:c r="H333" s="216"/>
      <x:c r="I333" s="216"/>
      <x:c r="J333" s="216"/>
      <x:c r="K333" s="216"/>
      <x:c r="L333" s="216"/>
      <x:c r="M333" s="216"/>
      <x:c r="N333" s="216"/>
      <x:c r="O333" s="216"/>
      <x:c r="P333" s="216"/>
      <x:c r="Q333" s="216"/>
      <x:c r="R333" s="216"/>
      <x:c r="S333" s="216"/>
      <x:c r="T333" s="216"/>
      <x:c r="U333" s="216"/>
      <x:c r="V333" s="216"/>
      <x:c r="W333" s="216"/>
      <x:c r="X333" s="216"/>
      <x:c r="Y333" s="216"/>
      <x:c r="Z333" s="216"/>
    </x:row>
    <x:row r="334">
      <x:c r="A334" s="216"/>
      <x:c r="B334" s="216"/>
      <x:c r="C334" s="216"/>
      <x:c r="D334" s="216"/>
      <x:c r="E334" s="216"/>
      <x:c r="F334" s="216"/>
      <x:c r="G334" s="216"/>
      <x:c r="H334" s="216"/>
      <x:c r="I334" s="216"/>
      <x:c r="J334" s="216"/>
      <x:c r="K334" s="216"/>
      <x:c r="L334" s="216"/>
      <x:c r="M334" s="216"/>
      <x:c r="N334" s="216"/>
      <x:c r="O334" s="216"/>
      <x:c r="P334" s="216"/>
      <x:c r="Q334" s="216"/>
      <x:c r="R334" s="216"/>
      <x:c r="S334" s="216"/>
      <x:c r="T334" s="216"/>
      <x:c r="U334" s="216"/>
      <x:c r="V334" s="216"/>
      <x:c r="W334" s="216"/>
      <x:c r="X334" s="216"/>
      <x:c r="Y334" s="216"/>
      <x:c r="Z334" s="216"/>
    </x:row>
    <x:row r="335">
      <x:c r="A335" s="216"/>
      <x:c r="B335" s="216"/>
      <x:c r="C335" s="216"/>
      <x:c r="D335" s="216"/>
      <x:c r="E335" s="216"/>
      <x:c r="F335" s="216"/>
      <x:c r="G335" s="216"/>
      <x:c r="H335" s="216"/>
      <x:c r="I335" s="216"/>
      <x:c r="J335" s="216"/>
      <x:c r="K335" s="216"/>
      <x:c r="L335" s="216"/>
      <x:c r="M335" s="216"/>
      <x:c r="N335" s="216"/>
      <x:c r="O335" s="216"/>
      <x:c r="P335" s="216"/>
      <x:c r="Q335" s="216"/>
      <x:c r="R335" s="216"/>
      <x:c r="S335" s="216"/>
      <x:c r="T335" s="216"/>
      <x:c r="U335" s="216"/>
      <x:c r="V335" s="216"/>
      <x:c r="W335" s="216"/>
      <x:c r="X335" s="216"/>
      <x:c r="Y335" s="216"/>
      <x:c r="Z335" s="216"/>
    </x:row>
    <x:row r="336">
      <x:c r="A336" s="216"/>
      <x:c r="B336" s="216"/>
      <x:c r="C336" s="216"/>
      <x:c r="D336" s="216"/>
      <x:c r="E336" s="216"/>
      <x:c r="F336" s="216"/>
      <x:c r="G336" s="216"/>
      <x:c r="H336" s="216"/>
      <x:c r="I336" s="216"/>
      <x:c r="J336" s="216"/>
      <x:c r="K336" s="216"/>
      <x:c r="L336" s="216"/>
      <x:c r="M336" s="216"/>
      <x:c r="N336" s="216"/>
      <x:c r="O336" s="216"/>
      <x:c r="P336" s="216"/>
      <x:c r="Q336" s="216"/>
      <x:c r="R336" s="216"/>
      <x:c r="S336" s="216"/>
      <x:c r="T336" s="216"/>
      <x:c r="U336" s="216"/>
      <x:c r="V336" s="216"/>
      <x:c r="W336" s="216"/>
      <x:c r="X336" s="216"/>
      <x:c r="Y336" s="216"/>
      <x:c r="Z336" s="216"/>
    </x:row>
    <x:row r="337">
      <x:c r="A337" s="216"/>
      <x:c r="B337" s="216"/>
      <x:c r="C337" s="216"/>
      <x:c r="D337" s="216"/>
      <x:c r="E337" s="216"/>
      <x:c r="F337" s="216"/>
      <x:c r="G337" s="216"/>
      <x:c r="H337" s="216"/>
      <x:c r="I337" s="216"/>
      <x:c r="J337" s="216"/>
      <x:c r="K337" s="216"/>
      <x:c r="L337" s="216"/>
      <x:c r="M337" s="216"/>
      <x:c r="N337" s="216"/>
      <x:c r="O337" s="216"/>
      <x:c r="P337" s="216"/>
      <x:c r="Q337" s="216"/>
      <x:c r="R337" s="216"/>
      <x:c r="S337" s="216"/>
      <x:c r="T337" s="216"/>
      <x:c r="U337" s="216"/>
      <x:c r="V337" s="216"/>
      <x:c r="W337" s="216"/>
      <x:c r="X337" s="216"/>
      <x:c r="Y337" s="216"/>
      <x:c r="Z337" s="216"/>
    </x:row>
    <x:row r="338">
      <x:c r="A338" s="216"/>
      <x:c r="B338" s="216"/>
      <x:c r="C338" s="216"/>
      <x:c r="D338" s="216"/>
      <x:c r="E338" s="216"/>
      <x:c r="F338" s="216"/>
      <x:c r="G338" s="216"/>
      <x:c r="H338" s="216"/>
      <x:c r="I338" s="216"/>
      <x:c r="J338" s="216"/>
      <x:c r="K338" s="216"/>
      <x:c r="L338" s="216"/>
      <x:c r="M338" s="216"/>
      <x:c r="N338" s="216"/>
      <x:c r="O338" s="216"/>
      <x:c r="P338" s="216"/>
      <x:c r="Q338" s="216"/>
      <x:c r="R338" s="216"/>
      <x:c r="S338" s="216"/>
      <x:c r="T338" s="216"/>
      <x:c r="U338" s="216"/>
      <x:c r="V338" s="216"/>
      <x:c r="W338" s="216"/>
      <x:c r="X338" s="216"/>
      <x:c r="Y338" s="216"/>
      <x:c r="Z338" s="216"/>
    </x:row>
    <x:row r="339">
      <x:c r="A339" s="216"/>
      <x:c r="B339" s="216"/>
      <x:c r="C339" s="216"/>
      <x:c r="D339" s="216"/>
      <x:c r="E339" s="216"/>
      <x:c r="F339" s="216"/>
      <x:c r="G339" s="216"/>
      <x:c r="H339" s="216"/>
      <x:c r="I339" s="216"/>
      <x:c r="J339" s="216"/>
      <x:c r="K339" s="216"/>
      <x:c r="L339" s="216"/>
      <x:c r="M339" s="216"/>
      <x:c r="N339" s="216"/>
      <x:c r="O339" s="216"/>
      <x:c r="P339" s="216"/>
      <x:c r="Q339" s="216"/>
      <x:c r="R339" s="216"/>
      <x:c r="S339" s="216"/>
      <x:c r="T339" s="216"/>
      <x:c r="U339" s="216"/>
      <x:c r="V339" s="216"/>
      <x:c r="W339" s="216"/>
      <x:c r="X339" s="216"/>
      <x:c r="Y339" s="216"/>
      <x:c r="Z339" s="216"/>
    </x:row>
    <x:row r="340">
      <x:c r="A340" s="216"/>
      <x:c r="B340" s="216"/>
      <x:c r="C340" s="216"/>
      <x:c r="D340" s="216"/>
      <x:c r="E340" s="216"/>
      <x:c r="F340" s="216"/>
      <x:c r="G340" s="216"/>
      <x:c r="H340" s="216"/>
      <x:c r="I340" s="216"/>
      <x:c r="J340" s="216"/>
      <x:c r="K340" s="216"/>
      <x:c r="L340" s="216"/>
      <x:c r="M340" s="216"/>
      <x:c r="N340" s="216"/>
      <x:c r="O340" s="216"/>
      <x:c r="P340" s="216"/>
      <x:c r="Q340" s="216"/>
      <x:c r="R340" s="216"/>
      <x:c r="S340" s="216"/>
      <x:c r="T340" s="216"/>
      <x:c r="U340" s="216"/>
      <x:c r="V340" s="216"/>
      <x:c r="W340" s="216"/>
      <x:c r="X340" s="216"/>
      <x:c r="Y340" s="216"/>
      <x:c r="Z340" s="216"/>
    </x:row>
    <x:row r="341">
      <x:c r="A341" s="216"/>
      <x:c r="B341" s="216"/>
      <x:c r="C341" s="216"/>
      <x:c r="D341" s="216"/>
      <x:c r="E341" s="216"/>
      <x:c r="F341" s="216"/>
      <x:c r="G341" s="216"/>
      <x:c r="H341" s="216"/>
      <x:c r="I341" s="216"/>
      <x:c r="J341" s="216"/>
      <x:c r="K341" s="216"/>
      <x:c r="L341" s="216"/>
      <x:c r="M341" s="216"/>
      <x:c r="N341" s="216"/>
      <x:c r="O341" s="216"/>
      <x:c r="P341" s="216"/>
      <x:c r="Q341" s="216"/>
      <x:c r="R341" s="216"/>
      <x:c r="S341" s="216"/>
      <x:c r="T341" s="216"/>
      <x:c r="U341" s="216"/>
      <x:c r="V341" s="216"/>
      <x:c r="W341" s="216"/>
      <x:c r="X341" s="216"/>
      <x:c r="Y341" s="216"/>
      <x:c r="Z341" s="216"/>
    </x:row>
    <x:row r="342">
      <x:c r="A342" s="216"/>
      <x:c r="B342" s="216"/>
      <x:c r="C342" s="216"/>
      <x:c r="D342" s="216"/>
      <x:c r="E342" s="216"/>
      <x:c r="F342" s="216"/>
      <x:c r="G342" s="216"/>
      <x:c r="H342" s="216"/>
      <x:c r="I342" s="216"/>
      <x:c r="J342" s="216"/>
      <x:c r="K342" s="216"/>
      <x:c r="L342" s="216"/>
      <x:c r="M342" s="216"/>
      <x:c r="N342" s="216"/>
      <x:c r="O342" s="216"/>
      <x:c r="P342" s="216"/>
      <x:c r="Q342" s="216"/>
      <x:c r="R342" s="216"/>
      <x:c r="S342" s="216"/>
      <x:c r="T342" s="216"/>
      <x:c r="U342" s="216"/>
      <x:c r="V342" s="216"/>
      <x:c r="W342" s="216"/>
      <x:c r="X342" s="216"/>
      <x:c r="Y342" s="216"/>
      <x:c r="Z342" s="216"/>
    </x:row>
    <x:row r="343">
      <x:c r="A343" s="216"/>
      <x:c r="B343" s="216"/>
      <x:c r="C343" s="216"/>
      <x:c r="D343" s="216"/>
      <x:c r="E343" s="216"/>
      <x:c r="F343" s="216"/>
      <x:c r="G343" s="216"/>
      <x:c r="H343" s="216"/>
      <x:c r="I343" s="216"/>
      <x:c r="J343" s="216"/>
      <x:c r="K343" s="216"/>
      <x:c r="L343" s="216"/>
      <x:c r="M343" s="216"/>
      <x:c r="N343" s="216"/>
      <x:c r="O343" s="216"/>
      <x:c r="P343" s="216"/>
      <x:c r="Q343" s="216"/>
      <x:c r="R343" s="216"/>
      <x:c r="S343" s="216"/>
      <x:c r="T343" s="216"/>
      <x:c r="U343" s="216"/>
      <x:c r="V343" s="216"/>
      <x:c r="W343" s="216"/>
      <x:c r="X343" s="216"/>
      <x:c r="Y343" s="216"/>
      <x:c r="Z343" s="216"/>
    </x:row>
    <x:row r="344">
      <x:c r="A344" s="216"/>
      <x:c r="B344" s="216"/>
      <x:c r="C344" s="216"/>
      <x:c r="D344" s="216"/>
      <x:c r="E344" s="216"/>
      <x:c r="F344" s="216"/>
      <x:c r="G344" s="216"/>
      <x:c r="H344" s="216"/>
      <x:c r="I344" s="216"/>
      <x:c r="J344" s="216"/>
      <x:c r="K344" s="216"/>
      <x:c r="L344" s="216"/>
      <x:c r="M344" s="216"/>
      <x:c r="N344" s="216"/>
      <x:c r="O344" s="216"/>
      <x:c r="P344" s="216"/>
      <x:c r="Q344" s="216"/>
      <x:c r="R344" s="216"/>
      <x:c r="S344" s="216"/>
      <x:c r="T344" s="216"/>
      <x:c r="U344" s="216"/>
      <x:c r="V344" s="216"/>
      <x:c r="W344" s="216"/>
      <x:c r="X344" s="216"/>
      <x:c r="Y344" s="216"/>
      <x:c r="Z344" s="216"/>
    </x:row>
    <x:row r="345">
      <x:c r="A345" s="216"/>
      <x:c r="B345" s="216"/>
      <x:c r="C345" s="216"/>
      <x:c r="D345" s="216"/>
      <x:c r="E345" s="216"/>
      <x:c r="F345" s="216"/>
      <x:c r="G345" s="216"/>
      <x:c r="H345" s="216"/>
      <x:c r="I345" s="216"/>
      <x:c r="J345" s="216"/>
      <x:c r="K345" s="216"/>
      <x:c r="L345" s="216"/>
      <x:c r="M345" s="216"/>
      <x:c r="N345" s="216"/>
      <x:c r="O345" s="216"/>
      <x:c r="P345" s="216"/>
      <x:c r="Q345" s="216"/>
      <x:c r="R345" s="216"/>
      <x:c r="S345" s="216"/>
      <x:c r="T345" s="216"/>
      <x:c r="U345" s="216"/>
      <x:c r="V345" s="216"/>
      <x:c r="W345" s="216"/>
      <x:c r="X345" s="216"/>
      <x:c r="Y345" s="216"/>
      <x:c r="Z345" s="216"/>
    </x:row>
    <x:row r="346">
      <x:c r="A346" s="216"/>
      <x:c r="B346" s="216"/>
      <x:c r="C346" s="216"/>
      <x:c r="D346" s="216"/>
      <x:c r="E346" s="216"/>
      <x:c r="F346" s="216"/>
      <x:c r="G346" s="216"/>
      <x:c r="H346" s="216"/>
      <x:c r="I346" s="216"/>
      <x:c r="J346" s="216"/>
      <x:c r="K346" s="216"/>
      <x:c r="L346" s="216"/>
      <x:c r="M346" s="216"/>
      <x:c r="N346" s="216"/>
      <x:c r="O346" s="216"/>
      <x:c r="P346" s="216"/>
      <x:c r="Q346" s="216"/>
      <x:c r="R346" s="216"/>
      <x:c r="S346" s="216"/>
      <x:c r="T346" s="216"/>
      <x:c r="U346" s="216"/>
      <x:c r="V346" s="216"/>
      <x:c r="W346" s="216"/>
      <x:c r="X346" s="216"/>
      <x:c r="Y346" s="216"/>
      <x:c r="Z346" s="216"/>
    </x:row>
    <x:row r="347">
      <x:c r="A347" s="216"/>
      <x:c r="B347" s="216"/>
      <x:c r="C347" s="216"/>
      <x:c r="D347" s="216"/>
      <x:c r="E347" s="216"/>
      <x:c r="F347" s="216"/>
      <x:c r="G347" s="216"/>
      <x:c r="H347" s="216"/>
      <x:c r="I347" s="216"/>
      <x:c r="J347" s="216"/>
      <x:c r="K347" s="216"/>
      <x:c r="L347" s="216"/>
      <x:c r="M347" s="216"/>
      <x:c r="N347" s="216"/>
      <x:c r="O347" s="216"/>
      <x:c r="P347" s="216"/>
      <x:c r="Q347" s="216"/>
      <x:c r="R347" s="216"/>
      <x:c r="S347" s="216"/>
      <x:c r="T347" s="216"/>
      <x:c r="U347" s="216"/>
      <x:c r="V347" s="216"/>
      <x:c r="W347" s="216"/>
      <x:c r="X347" s="216"/>
      <x:c r="Y347" s="216"/>
      <x:c r="Z347" s="216"/>
    </x:row>
    <x:row r="348">
      <x:c r="A348" s="216"/>
      <x:c r="B348" s="216"/>
      <x:c r="C348" s="216"/>
      <x:c r="D348" s="216"/>
      <x:c r="E348" s="216"/>
      <x:c r="F348" s="216"/>
      <x:c r="G348" s="216"/>
      <x:c r="H348" s="216"/>
      <x:c r="I348" s="216"/>
      <x:c r="J348" s="216"/>
      <x:c r="K348" s="216"/>
      <x:c r="L348" s="216"/>
      <x:c r="M348" s="216"/>
      <x:c r="N348" s="216"/>
      <x:c r="O348" s="216"/>
      <x:c r="P348" s="216"/>
      <x:c r="Q348" s="216"/>
      <x:c r="R348" s="216"/>
      <x:c r="S348" s="216"/>
      <x:c r="T348" s="216"/>
      <x:c r="U348" s="216"/>
      <x:c r="V348" s="216"/>
      <x:c r="W348" s="216"/>
      <x:c r="X348" s="216"/>
      <x:c r="Y348" s="216"/>
      <x:c r="Z348" s="216"/>
    </x:row>
    <x:row r="349">
      <x:c r="A349" s="216"/>
      <x:c r="B349" s="216"/>
      <x:c r="C349" s="216"/>
      <x:c r="D349" s="216"/>
      <x:c r="E349" s="216"/>
      <x:c r="F349" s="216"/>
      <x:c r="G349" s="216"/>
      <x:c r="H349" s="216"/>
      <x:c r="I349" s="216"/>
      <x:c r="J349" s="216"/>
      <x:c r="K349" s="216"/>
      <x:c r="L349" s="216"/>
      <x:c r="M349" s="216"/>
      <x:c r="N349" s="216"/>
      <x:c r="O349" s="216"/>
      <x:c r="P349" s="216"/>
      <x:c r="Q349" s="216"/>
      <x:c r="R349" s="216"/>
      <x:c r="S349" s="216"/>
      <x:c r="T349" s="216"/>
      <x:c r="U349" s="216"/>
      <x:c r="V349" s="216"/>
      <x:c r="W349" s="216"/>
      <x:c r="X349" s="216"/>
      <x:c r="Y349" s="216"/>
      <x:c r="Z349" s="216"/>
    </x:row>
    <x:row r="350">
      <x:c r="A350" s="216"/>
      <x:c r="B350" s="216"/>
      <x:c r="C350" s="216"/>
      <x:c r="D350" s="216"/>
      <x:c r="E350" s="216"/>
      <x:c r="F350" s="216"/>
      <x:c r="G350" s="216"/>
      <x:c r="H350" s="216"/>
      <x:c r="I350" s="216"/>
      <x:c r="J350" s="216"/>
      <x:c r="K350" s="216"/>
      <x:c r="L350" s="216"/>
      <x:c r="M350" s="216"/>
      <x:c r="N350" s="216"/>
      <x:c r="O350" s="216"/>
      <x:c r="P350" s="216"/>
      <x:c r="Q350" s="216"/>
      <x:c r="R350" s="216"/>
      <x:c r="S350" s="216"/>
      <x:c r="T350" s="216"/>
      <x:c r="U350" s="216"/>
      <x:c r="V350" s="216"/>
      <x:c r="W350" s="216"/>
      <x:c r="X350" s="216"/>
      <x:c r="Y350" s="216"/>
      <x:c r="Z350" s="216"/>
    </x:row>
    <x:row r="351">
      <x:c r="A351" s="216"/>
      <x:c r="B351" s="216"/>
      <x:c r="C351" s="216"/>
      <x:c r="D351" s="216"/>
      <x:c r="E351" s="216"/>
      <x:c r="F351" s="216"/>
      <x:c r="G351" s="216"/>
      <x:c r="H351" s="216"/>
      <x:c r="I351" s="216"/>
      <x:c r="J351" s="216"/>
      <x:c r="K351" s="216"/>
      <x:c r="L351" s="216"/>
      <x:c r="M351" s="216"/>
      <x:c r="N351" s="216"/>
      <x:c r="O351" s="216"/>
      <x:c r="P351" s="216"/>
      <x:c r="Q351" s="216"/>
      <x:c r="R351" s="216"/>
      <x:c r="S351" s="216"/>
      <x:c r="T351" s="216"/>
      <x:c r="U351" s="216"/>
      <x:c r="V351" s="216"/>
      <x:c r="W351" s="216"/>
      <x:c r="X351" s="216"/>
      <x:c r="Y351" s="216"/>
      <x:c r="Z351" s="216"/>
    </x:row>
    <x:row r="352">
      <x:c r="A352" s="216"/>
      <x:c r="B352" s="216"/>
      <x:c r="C352" s="216"/>
      <x:c r="D352" s="216"/>
      <x:c r="E352" s="216"/>
      <x:c r="F352" s="216"/>
      <x:c r="G352" s="216"/>
      <x:c r="H352" s="216"/>
      <x:c r="I352" s="216"/>
      <x:c r="J352" s="216"/>
      <x:c r="K352" s="216"/>
      <x:c r="L352" s="216"/>
      <x:c r="M352" s="216"/>
      <x:c r="N352" s="216"/>
      <x:c r="O352" s="216"/>
      <x:c r="P352" s="216"/>
      <x:c r="Q352" s="216"/>
      <x:c r="R352" s="216"/>
      <x:c r="S352" s="216"/>
      <x:c r="T352" s="216"/>
      <x:c r="U352" s="216"/>
      <x:c r="V352" s="216"/>
      <x:c r="W352" s="216"/>
      <x:c r="X352" s="216"/>
      <x:c r="Y352" s="216"/>
      <x:c r="Z352" s="216"/>
    </x:row>
    <x:row r="353">
      <x:c r="A353" s="216"/>
      <x:c r="B353" s="216"/>
      <x:c r="C353" s="216"/>
      <x:c r="D353" s="216"/>
      <x:c r="E353" s="216"/>
      <x:c r="F353" s="216"/>
      <x:c r="G353" s="216"/>
      <x:c r="H353" s="216"/>
      <x:c r="I353" s="216"/>
      <x:c r="J353" s="216"/>
      <x:c r="K353" s="216"/>
      <x:c r="L353" s="216"/>
      <x:c r="M353" s="216"/>
      <x:c r="N353" s="216"/>
      <x:c r="O353" s="216"/>
      <x:c r="P353" s="216"/>
      <x:c r="Q353" s="216"/>
      <x:c r="R353" s="216"/>
      <x:c r="S353" s="216"/>
      <x:c r="T353" s="216"/>
      <x:c r="U353" s="216"/>
      <x:c r="V353" s="216"/>
      <x:c r="W353" s="216"/>
      <x:c r="X353" s="216"/>
      <x:c r="Y353" s="216"/>
      <x:c r="Z353" s="216"/>
    </x:row>
    <x:row r="354">
      <x:c r="A354" s="216"/>
      <x:c r="B354" s="216"/>
      <x:c r="C354" s="216"/>
      <x:c r="D354" s="216"/>
      <x:c r="E354" s="216"/>
      <x:c r="F354" s="216"/>
      <x:c r="G354" s="216"/>
      <x:c r="H354" s="216"/>
      <x:c r="I354" s="216"/>
      <x:c r="J354" s="216"/>
      <x:c r="K354" s="216"/>
      <x:c r="L354" s="216"/>
      <x:c r="M354" s="216"/>
      <x:c r="N354" s="216"/>
      <x:c r="O354" s="216"/>
      <x:c r="P354" s="216"/>
      <x:c r="Q354" s="216"/>
      <x:c r="R354" s="216"/>
      <x:c r="S354" s="216"/>
      <x:c r="T354" s="216"/>
      <x:c r="U354" s="216"/>
      <x:c r="V354" s="216"/>
      <x:c r="W354" s="216"/>
      <x:c r="X354" s="216"/>
      <x:c r="Y354" s="216"/>
      <x:c r="Z354" s="216"/>
    </x:row>
    <x:row r="355">
      <x:c r="A355" s="216"/>
      <x:c r="B355" s="216"/>
      <x:c r="C355" s="216"/>
      <x:c r="D355" s="216"/>
      <x:c r="E355" s="216"/>
      <x:c r="F355" s="216"/>
      <x:c r="G355" s="216"/>
      <x:c r="H355" s="216"/>
      <x:c r="I355" s="216"/>
      <x:c r="J355" s="216"/>
      <x:c r="K355" s="216"/>
      <x:c r="L355" s="216"/>
      <x:c r="M355" s="216"/>
      <x:c r="N355" s="216"/>
      <x:c r="O355" s="216"/>
      <x:c r="P355" s="216"/>
      <x:c r="Q355" s="216"/>
      <x:c r="R355" s="216"/>
      <x:c r="S355" s="216"/>
      <x:c r="T355" s="216"/>
      <x:c r="U355" s="216"/>
      <x:c r="V355" s="216"/>
      <x:c r="W355" s="216"/>
      <x:c r="X355" s="216"/>
      <x:c r="Y355" s="216"/>
      <x:c r="Z355" s="216"/>
    </x:row>
    <x:row r="356">
      <x:c r="A356" s="216"/>
      <x:c r="B356" s="216"/>
      <x:c r="C356" s="216"/>
      <x:c r="D356" s="216"/>
      <x:c r="E356" s="216"/>
      <x:c r="F356" s="216"/>
      <x:c r="G356" s="216"/>
      <x:c r="H356" s="216"/>
      <x:c r="I356" s="216"/>
      <x:c r="J356" s="216"/>
      <x:c r="K356" s="216"/>
      <x:c r="L356" s="216"/>
      <x:c r="M356" s="216"/>
      <x:c r="N356" s="216"/>
      <x:c r="O356" s="216"/>
      <x:c r="P356" s="216"/>
      <x:c r="Q356" s="216"/>
      <x:c r="R356" s="216"/>
      <x:c r="S356" s="216"/>
      <x:c r="T356" s="216"/>
      <x:c r="U356" s="216"/>
      <x:c r="V356" s="216"/>
      <x:c r="W356" s="216"/>
      <x:c r="X356" s="216"/>
      <x:c r="Y356" s="216"/>
      <x:c r="Z356" s="216"/>
    </x:row>
    <x:row r="357">
      <x:c r="A357" s="216"/>
      <x:c r="B357" s="216"/>
      <x:c r="C357" s="216"/>
      <x:c r="D357" s="216"/>
      <x:c r="E357" s="216"/>
      <x:c r="F357" s="216"/>
      <x:c r="G357" s="216"/>
      <x:c r="H357" s="216"/>
      <x:c r="I357" s="216"/>
      <x:c r="J357" s="216"/>
      <x:c r="K357" s="216"/>
      <x:c r="L357" s="216"/>
      <x:c r="M357" s="216"/>
      <x:c r="N357" s="216"/>
      <x:c r="O357" s="216"/>
      <x:c r="P357" s="216"/>
      <x:c r="Q357" s="216"/>
      <x:c r="R357" s="216"/>
      <x:c r="S357" s="216"/>
      <x:c r="T357" s="216"/>
      <x:c r="U357" s="216"/>
      <x:c r="V357" s="216"/>
      <x:c r="W357" s="216"/>
      <x:c r="X357" s="216"/>
      <x:c r="Y357" s="216"/>
      <x:c r="Z357" s="216"/>
    </x:row>
    <x:row r="358">
      <x:c r="A358" s="216"/>
      <x:c r="B358" s="216"/>
      <x:c r="C358" s="216"/>
      <x:c r="D358" s="216"/>
      <x:c r="E358" s="216"/>
      <x:c r="F358" s="216"/>
      <x:c r="G358" s="216"/>
      <x:c r="H358" s="216"/>
      <x:c r="I358" s="216"/>
      <x:c r="J358" s="216"/>
      <x:c r="K358" s="216"/>
      <x:c r="L358" s="216"/>
      <x:c r="M358" s="216"/>
      <x:c r="N358" s="216"/>
      <x:c r="O358" s="216"/>
      <x:c r="P358" s="216"/>
      <x:c r="Q358" s="216"/>
      <x:c r="R358" s="216"/>
      <x:c r="S358" s="216"/>
      <x:c r="T358" s="216"/>
      <x:c r="U358" s="216"/>
      <x:c r="V358" s="216"/>
      <x:c r="W358" s="216"/>
      <x:c r="X358" s="216"/>
      <x:c r="Y358" s="216"/>
      <x:c r="Z358" s="216"/>
    </x:row>
    <x:row r="359">
      <x:c r="A359" s="216"/>
      <x:c r="B359" s="216"/>
      <x:c r="C359" s="216"/>
      <x:c r="D359" s="216"/>
      <x:c r="E359" s="216"/>
      <x:c r="F359" s="216"/>
      <x:c r="G359" s="216"/>
      <x:c r="H359" s="216"/>
      <x:c r="I359" s="216"/>
      <x:c r="J359" s="216"/>
      <x:c r="K359" s="216"/>
      <x:c r="L359" s="216"/>
      <x:c r="M359" s="216"/>
      <x:c r="N359" s="216"/>
      <x:c r="O359" s="216"/>
      <x:c r="P359" s="216"/>
      <x:c r="Q359" s="216"/>
      <x:c r="R359" s="216"/>
      <x:c r="S359" s="216"/>
      <x:c r="T359" s="216"/>
      <x:c r="U359" s="216"/>
      <x:c r="V359" s="216"/>
      <x:c r="W359" s="216"/>
      <x:c r="X359" s="216"/>
      <x:c r="Y359" s="216"/>
      <x:c r="Z359" s="216"/>
    </x:row>
    <x:row r="360">
      <x:c r="A360" s="216"/>
      <x:c r="B360" s="216"/>
      <x:c r="C360" s="216"/>
      <x:c r="D360" s="216"/>
      <x:c r="E360" s="216"/>
      <x:c r="F360" s="216"/>
      <x:c r="G360" s="216"/>
      <x:c r="H360" s="216"/>
      <x:c r="I360" s="216"/>
      <x:c r="J360" s="216"/>
      <x:c r="K360" s="216"/>
      <x:c r="L360" s="216"/>
      <x:c r="M360" s="216"/>
      <x:c r="N360" s="216"/>
      <x:c r="O360" s="216"/>
      <x:c r="P360" s="216"/>
      <x:c r="Q360" s="216"/>
      <x:c r="R360" s="216"/>
      <x:c r="S360" s="216"/>
      <x:c r="T360" s="216"/>
      <x:c r="U360" s="216"/>
      <x:c r="V360" s="216"/>
      <x:c r="W360" s="216"/>
      <x:c r="X360" s="216"/>
      <x:c r="Y360" s="216"/>
      <x:c r="Z360" s="216"/>
    </x:row>
    <x:row r="361">
      <x:c r="A361" s="216"/>
      <x:c r="B361" s="216"/>
      <x:c r="C361" s="216"/>
      <x:c r="D361" s="216"/>
      <x:c r="E361" s="216"/>
      <x:c r="F361" s="216"/>
      <x:c r="G361" s="216"/>
      <x:c r="H361" s="216"/>
      <x:c r="I361" s="216"/>
      <x:c r="J361" s="216"/>
      <x:c r="K361" s="216"/>
      <x:c r="L361" s="216"/>
      <x:c r="M361" s="216"/>
      <x:c r="N361" s="216"/>
      <x:c r="O361" s="216"/>
      <x:c r="P361" s="216"/>
      <x:c r="Q361" s="216"/>
      <x:c r="R361" s="216"/>
      <x:c r="S361" s="216"/>
      <x:c r="T361" s="216"/>
      <x:c r="U361" s="216"/>
      <x:c r="V361" s="216"/>
      <x:c r="W361" s="216"/>
      <x:c r="X361" s="216"/>
      <x:c r="Y361" s="216"/>
      <x:c r="Z361" s="216"/>
    </x:row>
    <x:row r="362">
      <x:c r="A362" s="216"/>
      <x:c r="B362" s="216"/>
      <x:c r="C362" s="216"/>
      <x:c r="D362" s="216"/>
      <x:c r="E362" s="216"/>
      <x:c r="F362" s="216"/>
      <x:c r="G362" s="216"/>
      <x:c r="H362" s="216"/>
      <x:c r="I362" s="216"/>
      <x:c r="J362" s="216"/>
      <x:c r="K362" s="216"/>
      <x:c r="L362" s="216"/>
      <x:c r="M362" s="216"/>
      <x:c r="N362" s="216"/>
      <x:c r="O362" s="216"/>
      <x:c r="P362" s="216"/>
      <x:c r="Q362" s="216"/>
      <x:c r="R362" s="216"/>
      <x:c r="S362" s="216"/>
      <x:c r="T362" s="216"/>
      <x:c r="U362" s="216"/>
      <x:c r="V362" s="216"/>
      <x:c r="W362" s="216"/>
      <x:c r="X362" s="216"/>
      <x:c r="Y362" s="216"/>
      <x:c r="Z362" s="216"/>
    </x:row>
    <x:row r="363">
      <x:c r="A363" s="216"/>
      <x:c r="B363" s="216"/>
      <x:c r="C363" s="216"/>
      <x:c r="D363" s="216"/>
      <x:c r="E363" s="216"/>
      <x:c r="F363" s="216"/>
      <x:c r="G363" s="216"/>
      <x:c r="H363" s="216"/>
      <x:c r="I363" s="216"/>
      <x:c r="J363" s="216"/>
      <x:c r="K363" s="216"/>
      <x:c r="L363" s="216"/>
      <x:c r="M363" s="216"/>
      <x:c r="N363" s="216"/>
      <x:c r="O363" s="216"/>
      <x:c r="P363" s="216"/>
      <x:c r="Q363" s="216"/>
      <x:c r="R363" s="216"/>
      <x:c r="S363" s="216"/>
      <x:c r="T363" s="216"/>
      <x:c r="U363" s="216"/>
      <x:c r="V363" s="216"/>
      <x:c r="W363" s="216"/>
      <x:c r="X363" s="216"/>
      <x:c r="Y363" s="216"/>
      <x:c r="Z363" s="216"/>
    </x:row>
    <x:row r="364">
      <x:c r="A364" s="216"/>
      <x:c r="B364" s="216"/>
      <x:c r="C364" s="216"/>
      <x:c r="D364" s="216"/>
      <x:c r="E364" s="216"/>
      <x:c r="F364" s="216"/>
      <x:c r="G364" s="216"/>
      <x:c r="H364" s="216"/>
      <x:c r="I364" s="216"/>
      <x:c r="J364" s="216"/>
      <x:c r="K364" s="216"/>
      <x:c r="L364" s="216"/>
      <x:c r="M364" s="216"/>
      <x:c r="N364" s="216"/>
      <x:c r="O364" s="216"/>
      <x:c r="P364" s="216"/>
      <x:c r="Q364" s="216"/>
      <x:c r="R364" s="216"/>
      <x:c r="S364" s="216"/>
      <x:c r="T364" s="216"/>
      <x:c r="U364" s="216"/>
      <x:c r="V364" s="216"/>
      <x:c r="W364" s="216"/>
      <x:c r="X364" s="216"/>
      <x:c r="Y364" s="216"/>
      <x:c r="Z364" s="216"/>
    </x:row>
    <x:row r="365">
      <x:c r="A365" s="216"/>
      <x:c r="B365" s="216"/>
      <x:c r="C365" s="216"/>
      <x:c r="D365" s="216"/>
      <x:c r="E365" s="216"/>
      <x:c r="F365" s="216"/>
      <x:c r="G365" s="216"/>
      <x:c r="H365" s="216"/>
      <x:c r="I365" s="216"/>
      <x:c r="J365" s="216"/>
      <x:c r="K365" s="216"/>
      <x:c r="L365" s="216"/>
      <x:c r="M365" s="216"/>
      <x:c r="N365" s="216"/>
      <x:c r="O365" s="216"/>
      <x:c r="P365" s="216"/>
      <x:c r="Q365" s="216"/>
      <x:c r="R365" s="216"/>
      <x:c r="S365" s="216"/>
      <x:c r="T365" s="216"/>
      <x:c r="U365" s="216"/>
      <x:c r="V365" s="216"/>
      <x:c r="W365" s="216"/>
      <x:c r="X365" s="216"/>
      <x:c r="Y365" s="216"/>
      <x:c r="Z365" s="216"/>
    </x:row>
    <x:row r="366">
      <x:c r="A366" s="216"/>
      <x:c r="B366" s="216"/>
      <x:c r="C366" s="216"/>
      <x:c r="D366" s="216"/>
      <x:c r="E366" s="216"/>
      <x:c r="F366" s="216"/>
      <x:c r="G366" s="216"/>
      <x:c r="H366" s="216"/>
      <x:c r="I366" s="216"/>
      <x:c r="J366" s="216"/>
      <x:c r="K366" s="216"/>
      <x:c r="L366" s="216"/>
      <x:c r="M366" s="216"/>
      <x:c r="N366" s="216"/>
      <x:c r="O366" s="216"/>
      <x:c r="P366" s="216"/>
      <x:c r="Q366" s="216"/>
      <x:c r="R366" s="216"/>
      <x:c r="S366" s="216"/>
      <x:c r="T366" s="216"/>
      <x:c r="U366" s="216"/>
      <x:c r="V366" s="216"/>
      <x:c r="W366" s="216"/>
      <x:c r="X366" s="216"/>
      <x:c r="Y366" s="216"/>
      <x:c r="Z366" s="216"/>
    </x:row>
    <x:row r="367">
      <x:c r="A367" s="216"/>
      <x:c r="B367" s="216"/>
      <x:c r="C367" s="216"/>
      <x:c r="D367" s="216"/>
      <x:c r="E367" s="216"/>
      <x:c r="F367" s="216"/>
      <x:c r="G367" s="216"/>
      <x:c r="H367" s="216"/>
      <x:c r="I367" s="216"/>
      <x:c r="J367" s="216"/>
      <x:c r="K367" s="216"/>
      <x:c r="L367" s="216"/>
      <x:c r="M367" s="216"/>
      <x:c r="N367" s="216"/>
      <x:c r="O367" s="216"/>
      <x:c r="P367" s="216"/>
      <x:c r="Q367" s="216"/>
      <x:c r="R367" s="216"/>
      <x:c r="S367" s="216"/>
      <x:c r="T367" s="216"/>
      <x:c r="U367" s="216"/>
      <x:c r="V367" s="216"/>
      <x:c r="W367" s="216"/>
      <x:c r="X367" s="216"/>
      <x:c r="Y367" s="216"/>
      <x:c r="Z367" s="216"/>
    </x:row>
    <x:row r="368">
      <x:c r="A368" s="216"/>
      <x:c r="B368" s="216"/>
      <x:c r="C368" s="216"/>
      <x:c r="D368" s="216"/>
      <x:c r="E368" s="216"/>
      <x:c r="F368" s="216"/>
      <x:c r="G368" s="216"/>
      <x:c r="H368" s="216"/>
      <x:c r="I368" s="216"/>
      <x:c r="J368" s="216"/>
      <x:c r="K368" s="216"/>
      <x:c r="L368" s="216"/>
      <x:c r="M368" s="216"/>
      <x:c r="N368" s="216"/>
      <x:c r="O368" s="216"/>
      <x:c r="P368" s="216"/>
      <x:c r="Q368" s="216"/>
      <x:c r="R368" s="216"/>
      <x:c r="S368" s="216"/>
      <x:c r="T368" s="216"/>
      <x:c r="U368" s="216"/>
      <x:c r="V368" s="216"/>
      <x:c r="W368" s="216"/>
      <x:c r="X368" s="216"/>
      <x:c r="Y368" s="216"/>
      <x:c r="Z368" s="216"/>
    </x:row>
    <x:row r="369">
      <x:c r="A369" s="216"/>
      <x:c r="B369" s="216"/>
      <x:c r="C369" s="216"/>
      <x:c r="D369" s="216"/>
      <x:c r="E369" s="216"/>
      <x:c r="F369" s="216"/>
      <x:c r="G369" s="216"/>
      <x:c r="H369" s="216"/>
      <x:c r="I369" s="216"/>
      <x:c r="J369" s="216"/>
      <x:c r="K369" s="216"/>
      <x:c r="L369" s="216"/>
      <x:c r="M369" s="216"/>
      <x:c r="N369" s="216"/>
      <x:c r="O369" s="216"/>
      <x:c r="P369" s="216"/>
      <x:c r="Q369" s="216"/>
      <x:c r="R369" s="216"/>
      <x:c r="S369" s="216"/>
      <x:c r="T369" s="216"/>
      <x:c r="U369" s="216"/>
      <x:c r="V369" s="216"/>
      <x:c r="W369" s="216"/>
      <x:c r="X369" s="216"/>
      <x:c r="Y369" s="216"/>
      <x:c r="Z369" s="216"/>
    </x:row>
    <x:row r="370">
      <x:c r="A370" s="216"/>
      <x:c r="B370" s="216"/>
      <x:c r="C370" s="216"/>
      <x:c r="D370" s="216"/>
      <x:c r="E370" s="216"/>
      <x:c r="F370" s="216"/>
      <x:c r="G370" s="216"/>
      <x:c r="H370" s="216"/>
      <x:c r="I370" s="216"/>
      <x:c r="J370" s="216"/>
      <x:c r="K370" s="216"/>
      <x:c r="L370" s="216"/>
      <x:c r="M370" s="216"/>
      <x:c r="N370" s="216"/>
      <x:c r="O370" s="216"/>
      <x:c r="P370" s="216"/>
      <x:c r="Q370" s="216"/>
      <x:c r="R370" s="216"/>
      <x:c r="S370" s="216"/>
      <x:c r="T370" s="216"/>
      <x:c r="U370" s="216"/>
      <x:c r="V370" s="216"/>
      <x:c r="W370" s="216"/>
      <x:c r="X370" s="216"/>
      <x:c r="Y370" s="216"/>
      <x:c r="Z370" s="216"/>
    </x:row>
    <x:row r="371">
      <x:c r="A371" s="216"/>
      <x:c r="B371" s="216"/>
      <x:c r="C371" s="216"/>
      <x:c r="D371" s="216"/>
      <x:c r="E371" s="216"/>
      <x:c r="F371" s="216"/>
      <x:c r="G371" s="216"/>
      <x:c r="H371" s="216"/>
      <x:c r="I371" s="216"/>
      <x:c r="J371" s="216"/>
      <x:c r="K371" s="216"/>
      <x:c r="L371" s="216"/>
      <x:c r="M371" s="216"/>
      <x:c r="N371" s="216"/>
      <x:c r="O371" s="216"/>
      <x:c r="P371" s="216"/>
      <x:c r="Q371" s="216"/>
      <x:c r="R371" s="216"/>
      <x:c r="S371" s="216"/>
      <x:c r="T371" s="216"/>
      <x:c r="U371" s="216"/>
      <x:c r="V371" s="216"/>
      <x:c r="W371" s="216"/>
      <x:c r="X371" s="216"/>
      <x:c r="Y371" s="216"/>
      <x:c r="Z371" s="216"/>
    </x:row>
    <x:row r="372">
      <x:c r="A372" s="216"/>
      <x:c r="B372" s="216"/>
      <x:c r="C372" s="216"/>
      <x:c r="D372" s="216"/>
      <x:c r="E372" s="216"/>
      <x:c r="F372" s="216"/>
      <x:c r="G372" s="216"/>
      <x:c r="H372" s="216"/>
      <x:c r="I372" s="216"/>
      <x:c r="J372" s="216"/>
      <x:c r="K372" s="216"/>
      <x:c r="L372" s="216"/>
      <x:c r="M372" s="216"/>
      <x:c r="N372" s="216"/>
      <x:c r="O372" s="216"/>
      <x:c r="P372" s="216"/>
      <x:c r="Q372" s="216"/>
      <x:c r="R372" s="216"/>
      <x:c r="S372" s="216"/>
      <x:c r="T372" s="216"/>
      <x:c r="U372" s="216"/>
      <x:c r="V372" s="216"/>
      <x:c r="W372" s="216"/>
      <x:c r="X372" s="216"/>
      <x:c r="Y372" s="216"/>
      <x:c r="Z372" s="216"/>
    </x:row>
    <x:row r="373">
      <x:c r="A373" s="216"/>
      <x:c r="B373" s="216"/>
      <x:c r="C373" s="216"/>
      <x:c r="D373" s="216"/>
      <x:c r="E373" s="216"/>
      <x:c r="F373" s="216"/>
      <x:c r="G373" s="216"/>
      <x:c r="H373" s="216"/>
      <x:c r="I373" s="216"/>
      <x:c r="J373" s="216"/>
      <x:c r="K373" s="216"/>
      <x:c r="L373" s="216"/>
      <x:c r="M373" s="216"/>
      <x:c r="N373" s="216"/>
      <x:c r="O373" s="216"/>
      <x:c r="P373" s="216"/>
      <x:c r="Q373" s="216"/>
      <x:c r="R373" s="216"/>
      <x:c r="S373" s="216"/>
      <x:c r="T373" s="216"/>
      <x:c r="U373" s="216"/>
      <x:c r="V373" s="216"/>
      <x:c r="W373" s="216"/>
      <x:c r="X373" s="216"/>
      <x:c r="Y373" s="216"/>
      <x:c r="Z373" s="216"/>
    </x:row>
    <x:row r="374">
      <x:c r="A374" s="216"/>
      <x:c r="B374" s="216"/>
      <x:c r="C374" s="216"/>
      <x:c r="D374" s="216"/>
      <x:c r="E374" s="216"/>
      <x:c r="F374" s="216"/>
      <x:c r="G374" s="216"/>
      <x:c r="H374" s="216"/>
      <x:c r="I374" s="216"/>
      <x:c r="J374" s="216"/>
      <x:c r="K374" s="216"/>
      <x:c r="L374" s="216"/>
      <x:c r="M374" s="216"/>
      <x:c r="N374" s="216"/>
      <x:c r="O374" s="216"/>
      <x:c r="P374" s="216"/>
      <x:c r="Q374" s="216"/>
      <x:c r="R374" s="216"/>
      <x:c r="S374" s="216"/>
      <x:c r="T374" s="216"/>
      <x:c r="U374" s="216"/>
      <x:c r="V374" s="216"/>
      <x:c r="W374" s="216"/>
      <x:c r="X374" s="216"/>
      <x:c r="Y374" s="216"/>
      <x:c r="Z374" s="216"/>
    </x:row>
    <x:row r="375">
      <x:c r="A375" s="216"/>
      <x:c r="B375" s="216"/>
      <x:c r="C375" s="216"/>
      <x:c r="D375" s="216"/>
      <x:c r="E375" s="216"/>
      <x:c r="F375" s="216"/>
      <x:c r="G375" s="216"/>
      <x:c r="H375" s="216"/>
      <x:c r="I375" s="216"/>
      <x:c r="J375" s="216"/>
      <x:c r="K375" s="216"/>
      <x:c r="L375" s="216"/>
      <x:c r="M375" s="216"/>
      <x:c r="N375" s="216"/>
      <x:c r="O375" s="216"/>
      <x:c r="P375" s="216"/>
      <x:c r="Q375" s="216"/>
      <x:c r="R375" s="216"/>
      <x:c r="S375" s="216"/>
      <x:c r="T375" s="216"/>
      <x:c r="U375" s="216"/>
      <x:c r="V375" s="216"/>
      <x:c r="W375" s="216"/>
      <x:c r="X375" s="216"/>
      <x:c r="Y375" s="216"/>
      <x:c r="Z375" s="216"/>
    </x:row>
    <x:row r="376">
      <x:c r="A376" s="216"/>
      <x:c r="B376" s="216"/>
      <x:c r="C376" s="216"/>
      <x:c r="D376" s="216"/>
      <x:c r="E376" s="216"/>
      <x:c r="F376" s="216"/>
      <x:c r="G376" s="216"/>
      <x:c r="H376" s="216"/>
      <x:c r="I376" s="216"/>
      <x:c r="J376" s="216"/>
      <x:c r="K376" s="216"/>
      <x:c r="L376" s="216"/>
      <x:c r="M376" s="216"/>
      <x:c r="N376" s="216"/>
      <x:c r="O376" s="216"/>
      <x:c r="P376" s="216"/>
      <x:c r="Q376" s="216"/>
      <x:c r="R376" s="216"/>
      <x:c r="S376" s="216"/>
      <x:c r="T376" s="216"/>
      <x:c r="U376" s="216"/>
      <x:c r="V376" s="216"/>
      <x:c r="W376" s="216"/>
      <x:c r="X376" s="216"/>
      <x:c r="Y376" s="216"/>
      <x:c r="Z376" s="216"/>
    </x:row>
    <x:row r="377">
      <x:c r="A377" s="216"/>
      <x:c r="B377" s="216"/>
      <x:c r="C377" s="216"/>
      <x:c r="D377" s="216"/>
      <x:c r="E377" s="216"/>
      <x:c r="F377" s="216"/>
      <x:c r="G377" s="216"/>
      <x:c r="H377" s="216"/>
      <x:c r="I377" s="216"/>
      <x:c r="J377" s="216"/>
      <x:c r="K377" s="216"/>
      <x:c r="L377" s="216"/>
      <x:c r="M377" s="216"/>
      <x:c r="N377" s="216"/>
      <x:c r="O377" s="216"/>
      <x:c r="P377" s="216"/>
      <x:c r="Q377" s="216"/>
      <x:c r="R377" s="216"/>
      <x:c r="S377" s="216"/>
      <x:c r="T377" s="216"/>
      <x:c r="U377" s="216"/>
      <x:c r="V377" s="216"/>
      <x:c r="W377" s="216"/>
      <x:c r="X377" s="216"/>
      <x:c r="Y377" s="216"/>
      <x:c r="Z377" s="216"/>
    </x:row>
    <x:row r="378">
      <x:c r="A378" s="216"/>
      <x:c r="B378" s="216"/>
      <x:c r="C378" s="216"/>
      <x:c r="D378" s="216"/>
      <x:c r="E378" s="216"/>
      <x:c r="F378" s="216"/>
      <x:c r="G378" s="216"/>
      <x:c r="H378" s="216"/>
      <x:c r="I378" s="216"/>
      <x:c r="J378" s="216"/>
      <x:c r="K378" s="216"/>
      <x:c r="L378" s="216"/>
      <x:c r="M378" s="216"/>
      <x:c r="N378" s="216"/>
      <x:c r="O378" s="216"/>
      <x:c r="P378" s="216"/>
      <x:c r="Q378" s="216"/>
      <x:c r="R378" s="216"/>
      <x:c r="S378" s="216"/>
      <x:c r="T378" s="216"/>
      <x:c r="U378" s="216"/>
      <x:c r="V378" s="216"/>
      <x:c r="W378" s="216"/>
      <x:c r="X378" s="216"/>
      <x:c r="Y378" s="216"/>
      <x:c r="Z378" s="216"/>
    </x:row>
    <x:row r="379">
      <x:c r="A379" s="216"/>
      <x:c r="B379" s="216"/>
      <x:c r="C379" s="216"/>
      <x:c r="D379" s="216"/>
      <x:c r="E379" s="216"/>
      <x:c r="F379" s="216"/>
      <x:c r="G379" s="216"/>
      <x:c r="H379" s="216"/>
      <x:c r="I379" s="216"/>
      <x:c r="J379" s="216"/>
      <x:c r="K379" s="216"/>
      <x:c r="L379" s="216"/>
      <x:c r="M379" s="216"/>
      <x:c r="N379" s="216"/>
      <x:c r="O379" s="216"/>
      <x:c r="P379" s="216"/>
      <x:c r="Q379" s="216"/>
      <x:c r="R379" s="216"/>
      <x:c r="S379" s="216"/>
      <x:c r="T379" s="216"/>
      <x:c r="U379" s="216"/>
      <x:c r="V379" s="216"/>
      <x:c r="W379" s="216"/>
      <x:c r="X379" s="216"/>
      <x:c r="Y379" s="216"/>
      <x:c r="Z379" s="216"/>
    </x:row>
    <x:row r="380">
      <x:c r="A380" s="216"/>
      <x:c r="B380" s="216"/>
      <x:c r="C380" s="216"/>
      <x:c r="D380" s="216"/>
      <x:c r="E380" s="216"/>
      <x:c r="F380" s="216"/>
      <x:c r="G380" s="216"/>
      <x:c r="H380" s="216"/>
      <x:c r="I380" s="216"/>
      <x:c r="J380" s="216"/>
      <x:c r="K380" s="216"/>
      <x:c r="L380" s="216"/>
      <x:c r="M380" s="216"/>
      <x:c r="N380" s="216"/>
      <x:c r="O380" s="216"/>
      <x:c r="P380" s="216"/>
      <x:c r="Q380" s="216"/>
      <x:c r="R380" s="216"/>
      <x:c r="S380" s="216"/>
      <x:c r="T380" s="216"/>
      <x:c r="U380" s="216"/>
      <x:c r="V380" s="216"/>
      <x:c r="W380" s="216"/>
      <x:c r="X380" s="216"/>
      <x:c r="Y380" s="216"/>
      <x:c r="Z380" s="216"/>
    </x:row>
    <x:row r="381">
      <x:c r="A381" s="216"/>
      <x:c r="B381" s="216"/>
      <x:c r="C381" s="216"/>
      <x:c r="D381" s="216"/>
      <x:c r="E381" s="216"/>
      <x:c r="F381" s="216"/>
      <x:c r="G381" s="216"/>
      <x:c r="H381" s="216"/>
      <x:c r="I381" s="216"/>
      <x:c r="J381" s="216"/>
      <x:c r="K381" s="216"/>
      <x:c r="L381" s="216"/>
      <x:c r="M381" s="216"/>
      <x:c r="N381" s="216"/>
      <x:c r="O381" s="216"/>
      <x:c r="P381" s="216"/>
      <x:c r="Q381" s="216"/>
      <x:c r="R381" s="216"/>
      <x:c r="S381" s="216"/>
      <x:c r="T381" s="216"/>
      <x:c r="U381" s="216"/>
      <x:c r="V381" s="216"/>
      <x:c r="W381" s="216"/>
      <x:c r="X381" s="216"/>
      <x:c r="Y381" s="216"/>
      <x:c r="Z381" s="216"/>
    </x:row>
    <x:row r="382">
      <x:c r="A382" s="216"/>
      <x:c r="B382" s="216"/>
      <x:c r="C382" s="216"/>
      <x:c r="D382" s="216"/>
      <x:c r="E382" s="216"/>
      <x:c r="F382" s="216"/>
      <x:c r="G382" s="216"/>
      <x:c r="H382" s="216"/>
      <x:c r="I382" s="216"/>
      <x:c r="J382" s="216"/>
      <x:c r="K382" s="216"/>
      <x:c r="L382" s="216"/>
      <x:c r="M382" s="216"/>
      <x:c r="N382" s="216"/>
      <x:c r="O382" s="216"/>
      <x:c r="P382" s="216"/>
      <x:c r="Q382" s="216"/>
      <x:c r="R382" s="216"/>
      <x:c r="S382" s="216"/>
      <x:c r="T382" s="216"/>
      <x:c r="U382" s="216"/>
      <x:c r="V382" s="216"/>
      <x:c r="W382" s="216"/>
      <x:c r="X382" s="216"/>
      <x:c r="Y382" s="216"/>
      <x:c r="Z382" s="216"/>
    </x:row>
    <x:row r="383">
      <x:c r="A383" s="216"/>
      <x:c r="B383" s="216"/>
      <x:c r="C383" s="216"/>
      <x:c r="D383" s="216"/>
      <x:c r="E383" s="216"/>
      <x:c r="F383" s="216"/>
      <x:c r="G383" s="216"/>
      <x:c r="H383" s="216"/>
      <x:c r="I383" s="216"/>
      <x:c r="J383" s="216"/>
      <x:c r="K383" s="216"/>
      <x:c r="L383" s="216"/>
      <x:c r="M383" s="216"/>
      <x:c r="N383" s="216"/>
      <x:c r="O383" s="216"/>
      <x:c r="P383" s="216"/>
      <x:c r="Q383" s="216"/>
      <x:c r="R383" s="216"/>
      <x:c r="S383" s="216"/>
      <x:c r="T383" s="216"/>
      <x:c r="U383" s="216"/>
      <x:c r="V383" s="216"/>
      <x:c r="W383" s="216"/>
      <x:c r="X383" s="216"/>
      <x:c r="Y383" s="216"/>
      <x:c r="Z383" s="216"/>
    </x:row>
    <x:row r="384">
      <x:c r="A384" s="216"/>
      <x:c r="B384" s="216"/>
      <x:c r="C384" s="216"/>
      <x:c r="D384" s="216"/>
      <x:c r="E384" s="216"/>
      <x:c r="F384" s="216"/>
      <x:c r="G384" s="216"/>
      <x:c r="H384" s="216"/>
      <x:c r="I384" s="216"/>
      <x:c r="J384" s="216"/>
      <x:c r="K384" s="216"/>
      <x:c r="L384" s="216"/>
      <x:c r="M384" s="216"/>
      <x:c r="N384" s="216"/>
      <x:c r="O384" s="216"/>
      <x:c r="P384" s="216"/>
      <x:c r="Q384" s="216"/>
      <x:c r="R384" s="216"/>
      <x:c r="S384" s="216"/>
      <x:c r="T384" s="216"/>
      <x:c r="U384" s="216"/>
      <x:c r="V384" s="216"/>
      <x:c r="W384" s="216"/>
      <x:c r="X384" s="216"/>
      <x:c r="Y384" s="216"/>
      <x:c r="Z384" s="216"/>
    </x:row>
    <x:row r="385">
      <x:c r="A385" s="216"/>
      <x:c r="B385" s="216"/>
      <x:c r="C385" s="216"/>
      <x:c r="D385" s="216"/>
      <x:c r="E385" s="216"/>
      <x:c r="F385" s="216"/>
      <x:c r="G385" s="216"/>
      <x:c r="H385" s="216"/>
      <x:c r="I385" s="216"/>
      <x:c r="J385" s="216"/>
      <x:c r="K385" s="216"/>
      <x:c r="L385" s="216"/>
      <x:c r="M385" s="216"/>
      <x:c r="N385" s="216"/>
      <x:c r="O385" s="216"/>
      <x:c r="P385" s="216"/>
      <x:c r="Q385" s="216"/>
      <x:c r="R385" s="216"/>
      <x:c r="S385" s="216"/>
      <x:c r="T385" s="216"/>
      <x:c r="U385" s="216"/>
      <x:c r="V385" s="216"/>
      <x:c r="W385" s="216"/>
      <x:c r="X385" s="216"/>
      <x:c r="Y385" s="216"/>
      <x:c r="Z385" s="216"/>
    </x:row>
    <x:row r="386">
      <x:c r="A386" s="216"/>
      <x:c r="B386" s="216"/>
      <x:c r="C386" s="216"/>
      <x:c r="D386" s="216"/>
      <x:c r="E386" s="216"/>
      <x:c r="F386" s="216"/>
      <x:c r="G386" s="216"/>
      <x:c r="H386" s="216"/>
      <x:c r="I386" s="216"/>
      <x:c r="J386" s="216"/>
      <x:c r="K386" s="216"/>
      <x:c r="L386" s="216"/>
      <x:c r="M386" s="216"/>
      <x:c r="N386" s="216"/>
      <x:c r="O386" s="216"/>
      <x:c r="P386" s="216"/>
      <x:c r="Q386" s="216"/>
      <x:c r="R386" s="216"/>
      <x:c r="S386" s="216"/>
      <x:c r="T386" s="216"/>
      <x:c r="U386" s="216"/>
      <x:c r="V386" s="216"/>
      <x:c r="W386" s="216"/>
      <x:c r="X386" s="216"/>
      <x:c r="Y386" s="216"/>
      <x:c r="Z386" s="216"/>
    </x:row>
    <x:row r="387">
      <x:c r="A387" s="216"/>
      <x:c r="B387" s="216"/>
      <x:c r="C387" s="216"/>
      <x:c r="D387" s="216"/>
      <x:c r="E387" s="216"/>
      <x:c r="F387" s="216"/>
      <x:c r="G387" s="216"/>
      <x:c r="H387" s="216"/>
      <x:c r="I387" s="216"/>
      <x:c r="J387" s="216"/>
      <x:c r="K387" s="216"/>
      <x:c r="L387" s="216"/>
      <x:c r="M387" s="216"/>
      <x:c r="N387" s="216"/>
      <x:c r="O387" s="216"/>
      <x:c r="P387" s="216"/>
      <x:c r="Q387" s="216"/>
      <x:c r="R387" s="216"/>
      <x:c r="S387" s="216"/>
      <x:c r="T387" s="216"/>
      <x:c r="U387" s="216"/>
      <x:c r="V387" s="216"/>
      <x:c r="W387" s="216"/>
      <x:c r="X387" s="216"/>
      <x:c r="Y387" s="216"/>
      <x:c r="Z387" s="216"/>
    </x:row>
    <x:row r="388">
      <x:c r="A388" s="216"/>
      <x:c r="B388" s="216"/>
      <x:c r="C388" s="216"/>
      <x:c r="D388" s="216"/>
      <x:c r="E388" s="216"/>
      <x:c r="F388" s="216"/>
      <x:c r="G388" s="216"/>
      <x:c r="H388" s="216"/>
      <x:c r="I388" s="216"/>
      <x:c r="J388" s="216"/>
      <x:c r="K388" s="216"/>
      <x:c r="L388" s="216"/>
      <x:c r="M388" s="216"/>
      <x:c r="N388" s="216"/>
      <x:c r="O388" s="216"/>
      <x:c r="P388" s="216"/>
      <x:c r="Q388" s="216"/>
      <x:c r="R388" s="216"/>
      <x:c r="S388" s="216"/>
      <x:c r="T388" s="216"/>
      <x:c r="U388" s="216"/>
      <x:c r="V388" s="216"/>
      <x:c r="W388" s="216"/>
      <x:c r="X388" s="216"/>
      <x:c r="Y388" s="216"/>
      <x:c r="Z388" s="216"/>
    </x:row>
    <x:row r="389">
      <x:c r="A389" s="216"/>
      <x:c r="B389" s="216"/>
      <x:c r="C389" s="216"/>
      <x:c r="D389" s="216"/>
      <x:c r="E389" s="216"/>
      <x:c r="F389" s="216"/>
      <x:c r="G389" s="216"/>
      <x:c r="H389" s="216"/>
      <x:c r="I389" s="216"/>
      <x:c r="J389" s="216"/>
      <x:c r="K389" s="216"/>
      <x:c r="L389" s="216"/>
      <x:c r="M389" s="216"/>
      <x:c r="N389" s="216"/>
      <x:c r="O389" s="216"/>
      <x:c r="P389" s="216"/>
      <x:c r="Q389" s="216"/>
      <x:c r="R389" s="216"/>
      <x:c r="S389" s="216"/>
      <x:c r="T389" s="216"/>
      <x:c r="U389" s="216"/>
      <x:c r="V389" s="216"/>
      <x:c r="W389" s="216"/>
      <x:c r="X389" s="216"/>
      <x:c r="Y389" s="216"/>
      <x:c r="Z389" s="216"/>
    </x:row>
    <x:row r="390">
      <x:c r="A390" s="216"/>
      <x:c r="B390" s="216"/>
      <x:c r="C390" s="216"/>
      <x:c r="D390" s="216"/>
      <x:c r="E390" s="216"/>
      <x:c r="F390" s="216"/>
      <x:c r="G390" s="216"/>
      <x:c r="H390" s="216"/>
      <x:c r="I390" s="216"/>
      <x:c r="J390" s="216"/>
      <x:c r="K390" s="216"/>
      <x:c r="L390" s="216"/>
      <x:c r="M390" s="216"/>
      <x:c r="N390" s="216"/>
      <x:c r="O390" s="216"/>
      <x:c r="P390" s="216"/>
      <x:c r="Q390" s="216"/>
      <x:c r="R390" s="216"/>
      <x:c r="S390" s="216"/>
      <x:c r="T390" s="216"/>
      <x:c r="U390" s="216"/>
      <x:c r="V390" s="216"/>
      <x:c r="W390" s="216"/>
      <x:c r="X390" s="216"/>
      <x:c r="Y390" s="216"/>
      <x:c r="Z390" s="216"/>
    </x:row>
    <x:row r="391">
      <x:c r="A391" s="216"/>
      <x:c r="B391" s="216"/>
      <x:c r="C391" s="216"/>
      <x:c r="D391" s="216"/>
      <x:c r="E391" s="216"/>
      <x:c r="F391" s="216"/>
      <x:c r="G391" s="216"/>
      <x:c r="H391" s="216"/>
      <x:c r="I391" s="216"/>
      <x:c r="J391" s="216"/>
      <x:c r="K391" s="216"/>
      <x:c r="L391" s="216"/>
      <x:c r="M391" s="216"/>
      <x:c r="N391" s="216"/>
      <x:c r="O391" s="216"/>
      <x:c r="P391" s="216"/>
      <x:c r="Q391" s="216"/>
      <x:c r="R391" s="216"/>
      <x:c r="S391" s="216"/>
      <x:c r="T391" s="216"/>
      <x:c r="U391" s="216"/>
      <x:c r="V391" s="216"/>
      <x:c r="W391" s="216"/>
      <x:c r="X391" s="216"/>
      <x:c r="Y391" s="216"/>
      <x:c r="Z391" s="216"/>
    </x:row>
    <x:row r="392">
      <x:c r="A392" s="216"/>
      <x:c r="B392" s="216"/>
      <x:c r="C392" s="216"/>
      <x:c r="D392" s="216"/>
      <x:c r="E392" s="216"/>
      <x:c r="F392" s="216"/>
      <x:c r="G392" s="216"/>
      <x:c r="H392" s="216"/>
      <x:c r="I392" s="216"/>
      <x:c r="J392" s="216"/>
      <x:c r="K392" s="216"/>
      <x:c r="L392" s="216"/>
      <x:c r="M392" s="216"/>
      <x:c r="N392" s="216"/>
      <x:c r="O392" s="216"/>
      <x:c r="P392" s="216"/>
      <x:c r="Q392" s="216"/>
      <x:c r="R392" s="216"/>
      <x:c r="S392" s="216"/>
      <x:c r="T392" s="216"/>
      <x:c r="U392" s="216"/>
      <x:c r="V392" s="216"/>
      <x:c r="W392" s="216"/>
      <x:c r="X392" s="216"/>
      <x:c r="Y392" s="216"/>
      <x:c r="Z392" s="216"/>
    </x:row>
    <x:row r="393">
      <x:c r="A393" s="216"/>
      <x:c r="B393" s="216"/>
      <x:c r="C393" s="216"/>
      <x:c r="D393" s="216"/>
      <x:c r="E393" s="216"/>
      <x:c r="F393" s="216"/>
      <x:c r="G393" s="216"/>
      <x:c r="H393" s="216"/>
      <x:c r="I393" s="216"/>
      <x:c r="J393" s="216"/>
      <x:c r="K393" s="216"/>
      <x:c r="L393" s="216"/>
      <x:c r="M393" s="216"/>
      <x:c r="N393" s="216"/>
      <x:c r="O393" s="216"/>
      <x:c r="P393" s="216"/>
      <x:c r="Q393" s="216"/>
      <x:c r="R393" s="216"/>
      <x:c r="S393" s="216"/>
      <x:c r="T393" s="216"/>
      <x:c r="U393" s="216"/>
      <x:c r="V393" s="216"/>
      <x:c r="W393" s="216"/>
      <x:c r="X393" s="216"/>
      <x:c r="Y393" s="216"/>
      <x:c r="Z393" s="216"/>
    </x:row>
    <x:row r="394">
      <x:c r="A394" s="216"/>
      <x:c r="B394" s="216"/>
      <x:c r="C394" s="216"/>
      <x:c r="D394" s="216"/>
      <x:c r="E394" s="216"/>
      <x:c r="F394" s="216"/>
      <x:c r="G394" s="216"/>
      <x:c r="H394" s="216"/>
      <x:c r="I394" s="216"/>
      <x:c r="J394" s="216"/>
      <x:c r="K394" s="216"/>
      <x:c r="L394" s="216"/>
      <x:c r="M394" s="216"/>
      <x:c r="N394" s="216"/>
      <x:c r="O394" s="216"/>
      <x:c r="P394" s="216"/>
      <x:c r="Q394" s="216"/>
      <x:c r="R394" s="216"/>
      <x:c r="S394" s="216"/>
      <x:c r="T394" s="216"/>
      <x:c r="U394" s="216"/>
      <x:c r="V394" s="216"/>
      <x:c r="W394" s="216"/>
      <x:c r="X394" s="216"/>
      <x:c r="Y394" s="216"/>
      <x:c r="Z394" s="216"/>
    </x:row>
    <x:row r="395">
      <x:c r="A395" s="216"/>
      <x:c r="B395" s="216"/>
      <x:c r="C395" s="216"/>
      <x:c r="D395" s="216"/>
      <x:c r="E395" s="216"/>
      <x:c r="F395" s="216"/>
      <x:c r="G395" s="216"/>
      <x:c r="H395" s="216"/>
      <x:c r="I395" s="216"/>
      <x:c r="J395" s="216"/>
      <x:c r="K395" s="216"/>
      <x:c r="L395" s="216"/>
      <x:c r="M395" s="216"/>
      <x:c r="N395" s="216"/>
      <x:c r="O395" s="216"/>
      <x:c r="P395" s="216"/>
      <x:c r="Q395" s="216"/>
      <x:c r="R395" s="216"/>
      <x:c r="S395" s="216"/>
      <x:c r="T395" s="216"/>
      <x:c r="U395" s="216"/>
      <x:c r="V395" s="216"/>
      <x:c r="W395" s="216"/>
      <x:c r="X395" s="216"/>
      <x:c r="Y395" s="216"/>
      <x:c r="Z395" s="216"/>
    </x:row>
    <x:row r="396">
      <x:c r="A396" s="216"/>
      <x:c r="B396" s="216"/>
      <x:c r="C396" s="216"/>
      <x:c r="D396" s="216"/>
      <x:c r="E396" s="216"/>
      <x:c r="F396" s="216"/>
      <x:c r="G396" s="216"/>
      <x:c r="H396" s="216"/>
      <x:c r="I396" s="216"/>
      <x:c r="J396" s="216"/>
      <x:c r="K396" s="216"/>
      <x:c r="L396" s="216"/>
      <x:c r="M396" s="216"/>
      <x:c r="N396" s="216"/>
      <x:c r="O396" s="216"/>
      <x:c r="P396" s="216"/>
      <x:c r="Q396" s="216"/>
      <x:c r="R396" s="216"/>
      <x:c r="S396" s="216"/>
      <x:c r="T396" s="216"/>
      <x:c r="U396" s="216"/>
      <x:c r="V396" s="216"/>
      <x:c r="W396" s="216"/>
      <x:c r="X396" s="216"/>
      <x:c r="Y396" s="216"/>
      <x:c r="Z396" s="216"/>
    </x:row>
    <x:row r="397">
      <x:c r="A397" s="216"/>
      <x:c r="B397" s="216"/>
      <x:c r="C397" s="216"/>
      <x:c r="D397" s="216"/>
      <x:c r="E397" s="216"/>
      <x:c r="F397" s="216"/>
      <x:c r="G397" s="216"/>
      <x:c r="H397" s="216"/>
      <x:c r="I397" s="216"/>
      <x:c r="J397" s="216"/>
      <x:c r="K397" s="216"/>
      <x:c r="L397" s="216"/>
      <x:c r="M397" s="216"/>
      <x:c r="N397" s="216"/>
      <x:c r="O397" s="216"/>
      <x:c r="P397" s="216"/>
      <x:c r="Q397" s="216"/>
      <x:c r="R397" s="216"/>
      <x:c r="S397" s="216"/>
      <x:c r="T397" s="216"/>
      <x:c r="U397" s="216"/>
      <x:c r="V397" s="216"/>
      <x:c r="W397" s="216"/>
      <x:c r="X397" s="216"/>
      <x:c r="Y397" s="216"/>
      <x:c r="Z397" s="216"/>
    </x:row>
    <x:row r="398">
      <x:c r="A398" s="216"/>
      <x:c r="B398" s="216"/>
      <x:c r="C398" s="216"/>
      <x:c r="D398" s="216"/>
      <x:c r="E398" s="216"/>
      <x:c r="F398" s="216"/>
      <x:c r="G398" s="216"/>
      <x:c r="H398" s="216"/>
      <x:c r="I398" s="216"/>
      <x:c r="J398" s="216"/>
      <x:c r="K398" s="216"/>
      <x:c r="L398" s="216"/>
      <x:c r="M398" s="216"/>
      <x:c r="N398" s="216"/>
      <x:c r="O398" s="216"/>
      <x:c r="P398" s="216"/>
      <x:c r="Q398" s="216"/>
      <x:c r="R398" s="216"/>
      <x:c r="S398" s="216"/>
      <x:c r="T398" s="216"/>
      <x:c r="U398" s="216"/>
      <x:c r="V398" s="216"/>
      <x:c r="W398" s="216"/>
      <x:c r="X398" s="216"/>
      <x:c r="Y398" s="216"/>
      <x:c r="Z398" s="216"/>
    </x:row>
    <x:row r="399">
      <x:c r="A399" s="216"/>
      <x:c r="B399" s="216"/>
      <x:c r="C399" s="216"/>
      <x:c r="D399" s="216"/>
      <x:c r="E399" s="216"/>
      <x:c r="F399" s="216"/>
      <x:c r="G399" s="216"/>
      <x:c r="H399" s="216"/>
      <x:c r="I399" s="216"/>
      <x:c r="J399" s="216"/>
      <x:c r="K399" s="216"/>
      <x:c r="L399" s="216"/>
      <x:c r="M399" s="216"/>
      <x:c r="N399" s="216"/>
      <x:c r="O399" s="216"/>
      <x:c r="P399" s="216"/>
      <x:c r="Q399" s="216"/>
      <x:c r="R399" s="216"/>
      <x:c r="S399" s="216"/>
      <x:c r="T399" s="216"/>
      <x:c r="U399" s="216"/>
      <x:c r="V399" s="216"/>
      <x:c r="W399" s="216"/>
      <x:c r="X399" s="216"/>
      <x:c r="Y399" s="216"/>
      <x:c r="Z399" s="216"/>
    </x:row>
    <x:row r="400">
      <x:c r="A400" s="216"/>
      <x:c r="B400" s="216"/>
      <x:c r="C400" s="216"/>
      <x:c r="D400" s="216"/>
      <x:c r="E400" s="216"/>
      <x:c r="F400" s="216"/>
      <x:c r="G400" s="216"/>
      <x:c r="H400" s="216"/>
      <x:c r="I400" s="216"/>
      <x:c r="J400" s="216"/>
      <x:c r="K400" s="216"/>
      <x:c r="L400" s="216"/>
      <x:c r="M400" s="216"/>
      <x:c r="N400" s="216"/>
      <x:c r="O400" s="216"/>
      <x:c r="P400" s="216"/>
      <x:c r="Q400" s="216"/>
      <x:c r="R400" s="216"/>
      <x:c r="S400" s="216"/>
      <x:c r="T400" s="216"/>
      <x:c r="U400" s="216"/>
      <x:c r="V400" s="216"/>
      <x:c r="W400" s="216"/>
      <x:c r="X400" s="216"/>
      <x:c r="Y400" s="216"/>
      <x:c r="Z400" s="216"/>
    </x:row>
    <x:row r="401">
      <x:c r="A401" s="216"/>
      <x:c r="B401" s="216"/>
      <x:c r="C401" s="216"/>
      <x:c r="D401" s="216"/>
      <x:c r="E401" s="216"/>
      <x:c r="F401" s="216"/>
      <x:c r="G401" s="216"/>
      <x:c r="H401" s="216"/>
      <x:c r="I401" s="216"/>
      <x:c r="J401" s="216"/>
      <x:c r="K401" s="216"/>
      <x:c r="L401" s="216"/>
      <x:c r="M401" s="216"/>
      <x:c r="N401" s="216"/>
      <x:c r="O401" s="216"/>
      <x:c r="P401" s="216"/>
      <x:c r="Q401" s="216"/>
      <x:c r="R401" s="216"/>
      <x:c r="S401" s="216"/>
      <x:c r="T401" s="216"/>
      <x:c r="U401" s="216"/>
      <x:c r="V401" s="216"/>
      <x:c r="W401" s="216"/>
      <x:c r="X401" s="216"/>
      <x:c r="Y401" s="216"/>
      <x:c r="Z401" s="216"/>
    </x:row>
    <x:row r="402">
      <x:c r="A402" s="216"/>
      <x:c r="B402" s="216"/>
      <x:c r="C402" s="216"/>
      <x:c r="D402" s="216"/>
      <x:c r="E402" s="216"/>
      <x:c r="F402" s="216"/>
      <x:c r="G402" s="216"/>
      <x:c r="H402" s="216"/>
      <x:c r="I402" s="216"/>
      <x:c r="J402" s="216"/>
      <x:c r="K402" s="216"/>
      <x:c r="L402" s="216"/>
      <x:c r="M402" s="216"/>
      <x:c r="N402" s="216"/>
      <x:c r="O402" s="216"/>
      <x:c r="P402" s="216"/>
      <x:c r="Q402" s="216"/>
      <x:c r="R402" s="216"/>
      <x:c r="S402" s="216"/>
      <x:c r="T402" s="216"/>
      <x:c r="U402" s="216"/>
      <x:c r="V402" s="216"/>
      <x:c r="W402" s="216"/>
      <x:c r="X402" s="216"/>
      <x:c r="Y402" s="216"/>
      <x:c r="Z402" s="216"/>
    </x:row>
    <x:row r="403">
      <x:c r="A403" s="216"/>
      <x:c r="B403" s="216"/>
      <x:c r="C403" s="216"/>
      <x:c r="D403" s="216"/>
      <x:c r="E403" s="216"/>
      <x:c r="F403" s="216"/>
      <x:c r="G403" s="216"/>
      <x:c r="H403" s="216"/>
      <x:c r="I403" s="216"/>
      <x:c r="J403" s="216"/>
      <x:c r="K403" s="216"/>
      <x:c r="L403" s="216"/>
      <x:c r="M403" s="216"/>
      <x:c r="N403" s="216"/>
      <x:c r="O403" s="216"/>
      <x:c r="P403" s="216"/>
      <x:c r="Q403" s="216"/>
      <x:c r="R403" s="216"/>
      <x:c r="S403" s="216"/>
      <x:c r="T403" s="216"/>
      <x:c r="U403" s="216"/>
      <x:c r="V403" s="216"/>
      <x:c r="W403" s="216"/>
      <x:c r="X403" s="216"/>
      <x:c r="Y403" s="216"/>
      <x:c r="Z403" s="216"/>
    </x:row>
    <x:row r="404">
      <x:c r="A404" s="216"/>
      <x:c r="B404" s="216"/>
      <x:c r="C404" s="216"/>
      <x:c r="D404" s="216"/>
      <x:c r="E404" s="216"/>
      <x:c r="F404" s="216"/>
      <x:c r="G404" s="216"/>
      <x:c r="H404" s="216"/>
      <x:c r="I404" s="216"/>
      <x:c r="J404" s="216"/>
      <x:c r="K404" s="216"/>
      <x:c r="L404" s="216"/>
      <x:c r="M404" s="216"/>
      <x:c r="N404" s="216"/>
      <x:c r="O404" s="216"/>
      <x:c r="P404" s="216"/>
      <x:c r="Q404" s="216"/>
      <x:c r="R404" s="216"/>
      <x:c r="S404" s="216"/>
      <x:c r="T404" s="216"/>
      <x:c r="U404" s="216"/>
      <x:c r="V404" s="216"/>
      <x:c r="W404" s="216"/>
      <x:c r="X404" s="216"/>
      <x:c r="Y404" s="216"/>
      <x:c r="Z404" s="216"/>
    </x:row>
    <x:row r="405">
      <x:c r="A405" s="216"/>
      <x:c r="B405" s="216"/>
      <x:c r="C405" s="216"/>
      <x:c r="D405" s="216"/>
      <x:c r="E405" s="216"/>
      <x:c r="F405" s="216"/>
      <x:c r="G405" s="216"/>
      <x:c r="H405" s="216"/>
      <x:c r="I405" s="216"/>
      <x:c r="J405" s="216"/>
      <x:c r="K405" s="216"/>
      <x:c r="L405" s="216"/>
      <x:c r="M405" s="216"/>
      <x:c r="N405" s="216"/>
      <x:c r="O405" s="216"/>
      <x:c r="P405" s="216"/>
      <x:c r="Q405" s="216"/>
      <x:c r="R405" s="216"/>
      <x:c r="S405" s="216"/>
      <x:c r="T405" s="216"/>
      <x:c r="U405" s="216"/>
      <x:c r="V405" s="216"/>
      <x:c r="W405" s="216"/>
      <x:c r="X405" s="216"/>
      <x:c r="Y405" s="216"/>
      <x:c r="Z405" s="216"/>
    </x:row>
    <x:row r="406">
      <x:c r="A406" s="216"/>
      <x:c r="B406" s="216"/>
      <x:c r="C406" s="216"/>
      <x:c r="D406" s="216"/>
      <x:c r="E406" s="216"/>
      <x:c r="F406" s="216"/>
      <x:c r="G406" s="216"/>
      <x:c r="H406" s="216"/>
      <x:c r="I406" s="216"/>
      <x:c r="J406" s="216"/>
      <x:c r="K406" s="216"/>
      <x:c r="L406" s="216"/>
      <x:c r="M406" s="216"/>
      <x:c r="N406" s="216"/>
      <x:c r="O406" s="216"/>
      <x:c r="P406" s="216"/>
      <x:c r="Q406" s="216"/>
      <x:c r="R406" s="216"/>
      <x:c r="S406" s="216"/>
      <x:c r="T406" s="216"/>
      <x:c r="U406" s="216"/>
      <x:c r="V406" s="216"/>
      <x:c r="W406" s="216"/>
      <x:c r="X406" s="216"/>
      <x:c r="Y406" s="216"/>
      <x:c r="Z406" s="216"/>
    </x:row>
    <x:row r="407">
      <x:c r="A407" s="216"/>
      <x:c r="B407" s="216"/>
      <x:c r="C407" s="216"/>
      <x:c r="D407" s="216"/>
      <x:c r="E407" s="216"/>
      <x:c r="F407" s="216"/>
      <x:c r="G407" s="216"/>
      <x:c r="H407" s="216"/>
      <x:c r="I407" s="216"/>
      <x:c r="J407" s="216"/>
      <x:c r="K407" s="216"/>
      <x:c r="L407" s="216"/>
      <x:c r="M407" s="216"/>
      <x:c r="N407" s="216"/>
      <x:c r="O407" s="216"/>
      <x:c r="P407" s="216"/>
      <x:c r="Q407" s="216"/>
      <x:c r="R407" s="216"/>
      <x:c r="S407" s="216"/>
      <x:c r="T407" s="216"/>
      <x:c r="U407" s="216"/>
      <x:c r="V407" s="216"/>
      <x:c r="W407" s="216"/>
      <x:c r="X407" s="216"/>
      <x:c r="Y407" s="216"/>
      <x:c r="Z407" s="216"/>
    </x:row>
    <x:row r="408">
      <x:c r="A408" s="216"/>
      <x:c r="B408" s="216"/>
      <x:c r="C408" s="216"/>
      <x:c r="D408" s="216"/>
      <x:c r="E408" s="216"/>
      <x:c r="F408" s="216"/>
      <x:c r="G408" s="216"/>
      <x:c r="H408" s="216"/>
      <x:c r="I408" s="216"/>
      <x:c r="J408" s="216"/>
      <x:c r="K408" s="216"/>
      <x:c r="L408" s="216"/>
      <x:c r="M408" s="216"/>
      <x:c r="N408" s="216"/>
      <x:c r="O408" s="216"/>
      <x:c r="P408" s="216"/>
      <x:c r="Q408" s="216"/>
      <x:c r="R408" s="216"/>
      <x:c r="S408" s="216"/>
      <x:c r="T408" s="216"/>
      <x:c r="U408" s="216"/>
      <x:c r="V408" s="216"/>
      <x:c r="W408" s="216"/>
      <x:c r="X408" s="216"/>
      <x:c r="Y408" s="216"/>
      <x:c r="Z408" s="216"/>
    </x:row>
    <x:row r="409">
      <x:c r="A409" s="216"/>
      <x:c r="B409" s="216"/>
      <x:c r="C409" s="216"/>
      <x:c r="D409" s="216"/>
      <x:c r="E409" s="216"/>
      <x:c r="F409" s="216"/>
      <x:c r="G409" s="216"/>
      <x:c r="H409" s="216"/>
      <x:c r="I409" s="216"/>
      <x:c r="J409" s="216"/>
      <x:c r="K409" s="216"/>
      <x:c r="L409" s="216"/>
      <x:c r="M409" s="216"/>
      <x:c r="N409" s="216"/>
      <x:c r="O409" s="216"/>
      <x:c r="P409" s="216"/>
      <x:c r="Q409" s="216"/>
      <x:c r="R409" s="216"/>
      <x:c r="S409" s="216"/>
      <x:c r="T409" s="216"/>
      <x:c r="U409" s="216"/>
      <x:c r="V409" s="216"/>
      <x:c r="W409" s="216"/>
      <x:c r="X409" s="216"/>
      <x:c r="Y409" s="216"/>
      <x:c r="Z409" s="216"/>
    </x:row>
    <x:row r="410">
      <x:c r="A410" s="216"/>
      <x:c r="B410" s="216"/>
      <x:c r="C410" s="216"/>
      <x:c r="D410" s="216"/>
      <x:c r="E410" s="216"/>
      <x:c r="F410" s="216"/>
      <x:c r="G410" s="216"/>
      <x:c r="H410" s="216"/>
      <x:c r="I410" s="216"/>
      <x:c r="J410" s="216"/>
      <x:c r="K410" s="216"/>
      <x:c r="L410" s="216"/>
      <x:c r="M410" s="216"/>
      <x:c r="N410" s="216"/>
      <x:c r="O410" s="216"/>
      <x:c r="P410" s="216"/>
      <x:c r="Q410" s="216"/>
      <x:c r="R410" s="216"/>
      <x:c r="S410" s="216"/>
      <x:c r="T410" s="216"/>
      <x:c r="U410" s="216"/>
      <x:c r="V410" s="216"/>
      <x:c r="W410" s="216"/>
      <x:c r="X410" s="216"/>
      <x:c r="Y410" s="216"/>
      <x:c r="Z410" s="216"/>
    </x:row>
    <x:row r="411">
      <x:c r="A411" s="216"/>
      <x:c r="B411" s="216"/>
      <x:c r="C411" s="216"/>
      <x:c r="D411" s="216"/>
      <x:c r="E411" s="216"/>
      <x:c r="F411" s="216"/>
      <x:c r="G411" s="216"/>
      <x:c r="H411" s="216"/>
      <x:c r="I411" s="216"/>
      <x:c r="J411" s="216"/>
      <x:c r="K411" s="216"/>
      <x:c r="L411" s="216"/>
      <x:c r="M411" s="216"/>
      <x:c r="N411" s="216"/>
      <x:c r="O411" s="216"/>
      <x:c r="P411" s="216"/>
      <x:c r="Q411" s="216"/>
      <x:c r="R411" s="216"/>
      <x:c r="S411" s="216"/>
      <x:c r="T411" s="216"/>
      <x:c r="U411" s="216"/>
      <x:c r="V411" s="216"/>
      <x:c r="W411" s="216"/>
      <x:c r="X411" s="216"/>
      <x:c r="Y411" s="216"/>
      <x:c r="Z411" s="216"/>
    </x:row>
    <x:row r="412">
      <x:c r="A412" s="216"/>
      <x:c r="B412" s="216"/>
      <x:c r="C412" s="216"/>
      <x:c r="D412" s="216"/>
      <x:c r="E412" s="216"/>
      <x:c r="F412" s="216"/>
      <x:c r="G412" s="216"/>
      <x:c r="H412" s="216"/>
      <x:c r="I412" s="216"/>
      <x:c r="J412" s="216"/>
      <x:c r="K412" s="216"/>
      <x:c r="L412" s="216"/>
      <x:c r="M412" s="216"/>
      <x:c r="N412" s="216"/>
      <x:c r="O412" s="216"/>
      <x:c r="P412" s="216"/>
      <x:c r="Q412" s="216"/>
      <x:c r="R412" s="216"/>
      <x:c r="S412" s="216"/>
      <x:c r="T412" s="216"/>
      <x:c r="U412" s="216"/>
      <x:c r="V412" s="216"/>
      <x:c r="W412" s="216"/>
      <x:c r="X412" s="216"/>
      <x:c r="Y412" s="216"/>
      <x:c r="Z412" s="216"/>
    </x:row>
    <x:row r="413">
      <x:c r="A413" s="216"/>
      <x:c r="B413" s="216"/>
      <x:c r="C413" s="216"/>
      <x:c r="D413" s="216"/>
      <x:c r="E413" s="216"/>
      <x:c r="F413" s="216"/>
      <x:c r="G413" s="216"/>
      <x:c r="H413" s="216"/>
      <x:c r="I413" s="216"/>
      <x:c r="J413" s="216"/>
      <x:c r="K413" s="216"/>
      <x:c r="L413" s="216"/>
      <x:c r="M413" s="216"/>
      <x:c r="N413" s="216"/>
      <x:c r="O413" s="216"/>
      <x:c r="P413" s="216"/>
      <x:c r="Q413" s="216"/>
      <x:c r="R413" s="216"/>
      <x:c r="S413" s="216"/>
      <x:c r="T413" s="216"/>
      <x:c r="U413" s="216"/>
      <x:c r="V413" s="216"/>
      <x:c r="W413" s="216"/>
      <x:c r="X413" s="216"/>
      <x:c r="Y413" s="216"/>
      <x:c r="Z413" s="216"/>
    </x:row>
    <x:row r="414">
      <x:c r="A414" s="216"/>
      <x:c r="B414" s="216"/>
      <x:c r="C414" s="216"/>
      <x:c r="D414" s="216"/>
      <x:c r="E414" s="216"/>
      <x:c r="F414" s="216"/>
      <x:c r="G414" s="216"/>
      <x:c r="H414" s="216"/>
      <x:c r="I414" s="216"/>
      <x:c r="J414" s="216"/>
      <x:c r="K414" s="216"/>
      <x:c r="L414" s="216"/>
      <x:c r="M414" s="216"/>
      <x:c r="N414" s="216"/>
      <x:c r="O414" s="216"/>
      <x:c r="P414" s="216"/>
      <x:c r="Q414" s="216"/>
      <x:c r="R414" s="216"/>
      <x:c r="S414" s="216"/>
      <x:c r="T414" s="216"/>
      <x:c r="U414" s="216"/>
      <x:c r="V414" s="216"/>
      <x:c r="W414" s="216"/>
      <x:c r="X414" s="216"/>
      <x:c r="Y414" s="216"/>
      <x:c r="Z414" s="216"/>
    </x:row>
    <x:row r="415">
      <x:c r="A415" s="216"/>
      <x:c r="B415" s="216"/>
      <x:c r="C415" s="216"/>
      <x:c r="D415" s="216"/>
      <x:c r="E415" s="216"/>
      <x:c r="F415" s="216"/>
      <x:c r="G415" s="216"/>
      <x:c r="H415" s="216"/>
      <x:c r="I415" s="216"/>
      <x:c r="J415" s="216"/>
      <x:c r="K415" s="216"/>
      <x:c r="L415" s="216"/>
      <x:c r="M415" s="216"/>
      <x:c r="N415" s="216"/>
      <x:c r="O415" s="216"/>
      <x:c r="P415" s="216"/>
      <x:c r="Q415" s="216"/>
      <x:c r="R415" s="216"/>
      <x:c r="S415" s="216"/>
      <x:c r="T415" s="216"/>
      <x:c r="U415" s="216"/>
      <x:c r="V415" s="216"/>
      <x:c r="W415" s="216"/>
      <x:c r="X415" s="216"/>
      <x:c r="Y415" s="216"/>
      <x:c r="Z415" s="216"/>
    </x:row>
    <x:row r="416">
      <x:c r="A416" s="216"/>
      <x:c r="B416" s="216"/>
      <x:c r="C416" s="216"/>
      <x:c r="D416" s="216"/>
      <x:c r="E416" s="216"/>
      <x:c r="F416" s="216"/>
      <x:c r="G416" s="216"/>
      <x:c r="H416" s="216"/>
      <x:c r="I416" s="216"/>
      <x:c r="J416" s="216"/>
      <x:c r="K416" s="216"/>
      <x:c r="L416" s="216"/>
      <x:c r="M416" s="216"/>
      <x:c r="N416" s="216"/>
      <x:c r="O416" s="216"/>
      <x:c r="P416" s="216"/>
      <x:c r="Q416" s="216"/>
      <x:c r="R416" s="216"/>
      <x:c r="S416" s="216"/>
      <x:c r="T416" s="216"/>
      <x:c r="U416" s="216"/>
      <x:c r="V416" s="216"/>
      <x:c r="W416" s="216"/>
      <x:c r="X416" s="216"/>
      <x:c r="Y416" s="216"/>
      <x:c r="Z416" s="216"/>
    </x:row>
    <x:row r="417">
      <x:c r="A417" s="216"/>
      <x:c r="B417" s="216"/>
      <x:c r="C417" s="216"/>
      <x:c r="D417" s="216"/>
      <x:c r="E417" s="216"/>
      <x:c r="F417" s="216"/>
      <x:c r="G417" s="216"/>
      <x:c r="H417" s="216"/>
      <x:c r="I417" s="216"/>
      <x:c r="J417" s="216"/>
      <x:c r="K417" s="216"/>
      <x:c r="L417" s="216"/>
      <x:c r="M417" s="216"/>
      <x:c r="N417" s="216"/>
      <x:c r="O417" s="216"/>
      <x:c r="P417" s="216"/>
      <x:c r="Q417" s="216"/>
      <x:c r="R417" s="216"/>
      <x:c r="S417" s="216"/>
      <x:c r="T417" s="216"/>
      <x:c r="U417" s="216"/>
      <x:c r="V417" s="216"/>
      <x:c r="W417" s="216"/>
      <x:c r="X417" s="216"/>
      <x:c r="Y417" s="216"/>
      <x:c r="Z417" s="216"/>
    </x:row>
    <x:row r="418">
      <x:c r="A418" s="216"/>
      <x:c r="B418" s="216"/>
      <x:c r="C418" s="216"/>
      <x:c r="D418" s="216"/>
      <x:c r="E418" s="216"/>
      <x:c r="F418" s="216"/>
      <x:c r="G418" s="216"/>
      <x:c r="H418" s="216"/>
      <x:c r="I418" s="216"/>
      <x:c r="J418" s="216"/>
      <x:c r="K418" s="216"/>
      <x:c r="L418" s="216"/>
      <x:c r="M418" s="216"/>
      <x:c r="N418" s="216"/>
      <x:c r="O418" s="216"/>
      <x:c r="P418" s="216"/>
      <x:c r="Q418" s="216"/>
      <x:c r="R418" s="216"/>
      <x:c r="S418" s="216"/>
      <x:c r="T418" s="216"/>
      <x:c r="U418" s="216"/>
      <x:c r="V418" s="216"/>
      <x:c r="W418" s="216"/>
      <x:c r="X418" s="216"/>
      <x:c r="Y418" s="216"/>
      <x:c r="Z418" s="216"/>
    </x:row>
    <x:row r="419">
      <x:c r="A419" s="216"/>
      <x:c r="B419" s="216"/>
      <x:c r="C419" s="216"/>
      <x:c r="D419" s="216"/>
      <x:c r="E419" s="216"/>
      <x:c r="F419" s="216"/>
      <x:c r="G419" s="216"/>
      <x:c r="H419" s="216"/>
      <x:c r="I419" s="216"/>
      <x:c r="J419" s="216"/>
      <x:c r="K419" s="216"/>
      <x:c r="L419" s="216"/>
      <x:c r="M419" s="216"/>
      <x:c r="N419" s="216"/>
      <x:c r="O419" s="216"/>
      <x:c r="P419" s="216"/>
      <x:c r="Q419" s="216"/>
      <x:c r="R419" s="216"/>
      <x:c r="S419" s="216"/>
      <x:c r="T419" s="216"/>
      <x:c r="U419" s="216"/>
      <x:c r="V419" s="216"/>
      <x:c r="W419" s="216"/>
      <x:c r="X419" s="216"/>
      <x:c r="Y419" s="216"/>
      <x:c r="Z419" s="216"/>
    </x:row>
    <x:row r="420">
      <x:c r="A420" s="216"/>
      <x:c r="B420" s="216"/>
      <x:c r="C420" s="216"/>
      <x:c r="D420" s="216"/>
      <x:c r="E420" s="216"/>
      <x:c r="F420" s="216"/>
      <x:c r="G420" s="216"/>
      <x:c r="H420" s="216"/>
      <x:c r="I420" s="216"/>
      <x:c r="J420" s="216"/>
      <x:c r="K420" s="216"/>
      <x:c r="L420" s="216"/>
      <x:c r="M420" s="216"/>
      <x:c r="N420" s="216"/>
      <x:c r="O420" s="216"/>
      <x:c r="P420" s="216"/>
      <x:c r="Q420" s="216"/>
      <x:c r="R420" s="216"/>
      <x:c r="S420" s="216"/>
      <x:c r="T420" s="216"/>
      <x:c r="U420" s="216"/>
      <x:c r="V420" s="216"/>
      <x:c r="W420" s="216"/>
      <x:c r="X420" s="216"/>
      <x:c r="Y420" s="216"/>
      <x:c r="Z420" s="216"/>
    </x:row>
    <x:row r="421">
      <x:c r="A421" s="216"/>
      <x:c r="B421" s="216"/>
      <x:c r="C421" s="216"/>
      <x:c r="D421" s="216"/>
      <x:c r="E421" s="216"/>
      <x:c r="F421" s="216"/>
      <x:c r="G421" s="216"/>
      <x:c r="H421" s="216"/>
      <x:c r="I421" s="216"/>
      <x:c r="J421" s="216"/>
      <x:c r="K421" s="216"/>
      <x:c r="L421" s="216"/>
      <x:c r="M421" s="216"/>
      <x:c r="N421" s="216"/>
      <x:c r="O421" s="216"/>
      <x:c r="P421" s="216"/>
      <x:c r="Q421" s="216"/>
      <x:c r="R421" s="216"/>
      <x:c r="S421" s="216"/>
      <x:c r="T421" s="216"/>
      <x:c r="U421" s="216"/>
      <x:c r="V421" s="216"/>
      <x:c r="W421" s="216"/>
      <x:c r="X421" s="216"/>
      <x:c r="Y421" s="216"/>
      <x:c r="Z421" s="216"/>
    </x:row>
    <x:row r="422">
      <x:c r="A422" s="216"/>
      <x:c r="B422" s="216"/>
      <x:c r="C422" s="216"/>
      <x:c r="D422" s="216"/>
      <x:c r="E422" s="216"/>
      <x:c r="F422" s="216"/>
      <x:c r="G422" s="216"/>
      <x:c r="H422" s="216"/>
      <x:c r="I422" s="216"/>
      <x:c r="J422" s="216"/>
      <x:c r="K422" s="216"/>
      <x:c r="L422" s="216"/>
      <x:c r="M422" s="216"/>
      <x:c r="N422" s="216"/>
      <x:c r="O422" s="216"/>
      <x:c r="P422" s="216"/>
      <x:c r="Q422" s="216"/>
      <x:c r="R422" s="216"/>
      <x:c r="S422" s="216"/>
      <x:c r="T422" s="216"/>
      <x:c r="U422" s="216"/>
      <x:c r="V422" s="216"/>
      <x:c r="W422" s="216"/>
      <x:c r="X422" s="216"/>
      <x:c r="Y422" s="216"/>
      <x:c r="Z422" s="216"/>
    </x:row>
    <x:row r="423">
      <x:c r="A423" s="216"/>
      <x:c r="B423" s="216"/>
      <x:c r="C423" s="216"/>
      <x:c r="D423" s="216"/>
      <x:c r="E423" s="216"/>
      <x:c r="F423" s="216"/>
      <x:c r="G423" s="216"/>
      <x:c r="H423" s="216"/>
      <x:c r="I423" s="216"/>
      <x:c r="J423" s="216"/>
      <x:c r="K423" s="216"/>
      <x:c r="L423" s="216"/>
      <x:c r="M423" s="216"/>
      <x:c r="N423" s="216"/>
      <x:c r="O423" s="216"/>
      <x:c r="P423" s="216"/>
      <x:c r="Q423" s="216"/>
      <x:c r="R423" s="216"/>
      <x:c r="S423" s="216"/>
      <x:c r="T423" s="216"/>
      <x:c r="U423" s="216"/>
      <x:c r="V423" s="216"/>
      <x:c r="W423" s="216"/>
      <x:c r="X423" s="216"/>
      <x:c r="Y423" s="216"/>
      <x:c r="Z423" s="216"/>
    </x:row>
    <x:row r="424">
      <x:c r="A424" s="216"/>
      <x:c r="B424" s="216"/>
      <x:c r="C424" s="216"/>
      <x:c r="D424" s="216"/>
      <x:c r="E424" s="216"/>
      <x:c r="F424" s="216"/>
      <x:c r="G424" s="216"/>
      <x:c r="H424" s="216"/>
      <x:c r="I424" s="216"/>
      <x:c r="J424" s="216"/>
      <x:c r="K424" s="216"/>
      <x:c r="L424" s="216"/>
      <x:c r="M424" s="216"/>
      <x:c r="N424" s="216"/>
      <x:c r="O424" s="216"/>
      <x:c r="P424" s="216"/>
      <x:c r="Q424" s="216"/>
      <x:c r="R424" s="216"/>
      <x:c r="S424" s="216"/>
      <x:c r="T424" s="216"/>
      <x:c r="U424" s="216"/>
      <x:c r="V424" s="216"/>
      <x:c r="W424" s="216"/>
      <x:c r="X424" s="216"/>
      <x:c r="Y424" s="216"/>
      <x:c r="Z424" s="216"/>
    </x:row>
    <x:row r="425">
      <x:c r="A425" s="216"/>
      <x:c r="B425" s="216"/>
      <x:c r="C425" s="216"/>
      <x:c r="D425" s="216"/>
      <x:c r="E425" s="216"/>
      <x:c r="F425" s="216"/>
      <x:c r="G425" s="216"/>
      <x:c r="H425" s="216"/>
      <x:c r="I425" s="216"/>
      <x:c r="J425" s="216"/>
      <x:c r="K425" s="216"/>
      <x:c r="L425" s="216"/>
      <x:c r="M425" s="216"/>
      <x:c r="N425" s="216"/>
      <x:c r="O425" s="216"/>
      <x:c r="P425" s="216"/>
      <x:c r="Q425" s="216"/>
      <x:c r="R425" s="216"/>
      <x:c r="S425" s="216"/>
      <x:c r="T425" s="216"/>
      <x:c r="U425" s="216"/>
      <x:c r="V425" s="216"/>
      <x:c r="W425" s="216"/>
      <x:c r="X425" s="216"/>
      <x:c r="Y425" s="216"/>
      <x:c r="Z425" s="216"/>
    </x:row>
    <x:row r="426">
      <x:c r="A426" s="216"/>
      <x:c r="B426" s="216"/>
      <x:c r="C426" s="216"/>
      <x:c r="D426" s="216"/>
      <x:c r="E426" s="216"/>
      <x:c r="F426" s="216"/>
      <x:c r="G426" s="216"/>
      <x:c r="H426" s="216"/>
      <x:c r="I426" s="216"/>
      <x:c r="J426" s="216"/>
      <x:c r="K426" s="216"/>
      <x:c r="L426" s="216"/>
      <x:c r="M426" s="216"/>
      <x:c r="N426" s="216"/>
      <x:c r="O426" s="216"/>
      <x:c r="P426" s="216"/>
      <x:c r="Q426" s="216"/>
      <x:c r="R426" s="216"/>
      <x:c r="S426" s="216"/>
      <x:c r="T426" s="216"/>
      <x:c r="U426" s="216"/>
      <x:c r="V426" s="216"/>
      <x:c r="W426" s="216"/>
      <x:c r="X426" s="216"/>
      <x:c r="Y426" s="216"/>
      <x:c r="Z426" s="216"/>
    </x:row>
    <x:row r="427">
      <x:c r="A427" s="216"/>
      <x:c r="B427" s="216"/>
      <x:c r="C427" s="216"/>
      <x:c r="D427" s="216"/>
      <x:c r="E427" s="216"/>
      <x:c r="F427" s="216"/>
      <x:c r="G427" s="216"/>
      <x:c r="H427" s="216"/>
      <x:c r="I427" s="216"/>
      <x:c r="J427" s="216"/>
      <x:c r="K427" s="216"/>
      <x:c r="L427" s="216"/>
      <x:c r="M427" s="216"/>
      <x:c r="N427" s="216"/>
      <x:c r="O427" s="216"/>
      <x:c r="P427" s="216"/>
      <x:c r="Q427" s="216"/>
      <x:c r="R427" s="216"/>
      <x:c r="S427" s="216"/>
      <x:c r="T427" s="216"/>
      <x:c r="U427" s="216"/>
      <x:c r="V427" s="216"/>
      <x:c r="W427" s="216"/>
      <x:c r="X427" s="216"/>
      <x:c r="Y427" s="216"/>
      <x:c r="Z427" s="216"/>
    </x:row>
    <x:row r="428">
      <x:c r="A428" s="216"/>
      <x:c r="B428" s="216"/>
      <x:c r="C428" s="216"/>
      <x:c r="D428" s="216"/>
      <x:c r="E428" s="216"/>
      <x:c r="F428" s="216"/>
      <x:c r="G428" s="216"/>
      <x:c r="H428" s="216"/>
      <x:c r="I428" s="216"/>
      <x:c r="J428" s="216"/>
      <x:c r="K428" s="216"/>
      <x:c r="L428" s="216"/>
      <x:c r="M428" s="216"/>
      <x:c r="N428" s="216"/>
      <x:c r="O428" s="216"/>
      <x:c r="P428" s="216"/>
      <x:c r="Q428" s="216"/>
      <x:c r="R428" s="216"/>
      <x:c r="S428" s="216"/>
      <x:c r="T428" s="216"/>
      <x:c r="U428" s="216"/>
      <x:c r="V428" s="216"/>
      <x:c r="W428" s="216"/>
      <x:c r="X428" s="216"/>
      <x:c r="Y428" s="216"/>
      <x:c r="Z428" s="216"/>
    </x:row>
    <x:row r="429">
      <x:c r="A429" s="216"/>
      <x:c r="B429" s="216"/>
      <x:c r="C429" s="216"/>
      <x:c r="D429" s="216"/>
      <x:c r="E429" s="216"/>
      <x:c r="F429" s="216"/>
      <x:c r="G429" s="216"/>
      <x:c r="H429" s="216"/>
      <x:c r="I429" s="216"/>
      <x:c r="J429" s="216"/>
      <x:c r="K429" s="216"/>
      <x:c r="L429" s="216"/>
      <x:c r="M429" s="216"/>
      <x:c r="N429" s="216"/>
      <x:c r="O429" s="216"/>
      <x:c r="P429" s="216"/>
      <x:c r="Q429" s="216"/>
      <x:c r="R429" s="216"/>
      <x:c r="S429" s="216"/>
      <x:c r="T429" s="216"/>
      <x:c r="U429" s="216"/>
      <x:c r="V429" s="216"/>
      <x:c r="W429" s="216"/>
      <x:c r="X429" s="216"/>
      <x:c r="Y429" s="216"/>
      <x:c r="Z429" s="216"/>
    </x:row>
    <x:row r="430">
      <x:c r="A430" s="216"/>
      <x:c r="B430" s="216"/>
      <x:c r="C430" s="216"/>
      <x:c r="D430" s="216"/>
      <x:c r="E430" s="216"/>
      <x:c r="F430" s="216"/>
      <x:c r="G430" s="216"/>
      <x:c r="H430" s="216"/>
      <x:c r="I430" s="216"/>
      <x:c r="J430" s="216"/>
      <x:c r="K430" s="216"/>
      <x:c r="L430" s="216"/>
      <x:c r="M430" s="216"/>
      <x:c r="N430" s="216"/>
      <x:c r="O430" s="216"/>
      <x:c r="P430" s="216"/>
      <x:c r="Q430" s="216"/>
      <x:c r="R430" s="216"/>
      <x:c r="S430" s="216"/>
      <x:c r="T430" s="216"/>
      <x:c r="U430" s="216"/>
      <x:c r="V430" s="216"/>
      <x:c r="W430" s="216"/>
      <x:c r="X430" s="216"/>
      <x:c r="Y430" s="216"/>
      <x:c r="Z430" s="216"/>
    </x:row>
    <x:row r="431">
      <x:c r="A431" s="216"/>
      <x:c r="B431" s="216"/>
      <x:c r="C431" s="216"/>
      <x:c r="D431" s="216"/>
      <x:c r="E431" s="216"/>
      <x:c r="F431" s="216"/>
      <x:c r="G431" s="216"/>
      <x:c r="H431" s="216"/>
      <x:c r="I431" s="216"/>
      <x:c r="J431" s="216"/>
      <x:c r="K431" s="216"/>
      <x:c r="L431" s="216"/>
      <x:c r="M431" s="216"/>
      <x:c r="N431" s="216"/>
      <x:c r="O431" s="216"/>
      <x:c r="P431" s="216"/>
      <x:c r="Q431" s="216"/>
      <x:c r="R431" s="216"/>
      <x:c r="S431" s="216"/>
      <x:c r="T431" s="216"/>
      <x:c r="U431" s="216"/>
      <x:c r="V431" s="216"/>
      <x:c r="W431" s="216"/>
      <x:c r="X431" s="216"/>
      <x:c r="Y431" s="216"/>
      <x:c r="Z431" s="216"/>
    </x:row>
    <x:row r="432">
      <x:c r="A432" s="216"/>
      <x:c r="B432" s="216"/>
      <x:c r="C432" s="216"/>
      <x:c r="D432" s="216"/>
      <x:c r="E432" s="216"/>
      <x:c r="F432" s="216"/>
      <x:c r="G432" s="216"/>
      <x:c r="H432" s="216"/>
      <x:c r="I432" s="216"/>
      <x:c r="J432" s="216"/>
      <x:c r="K432" s="216"/>
      <x:c r="L432" s="216"/>
      <x:c r="M432" s="216"/>
      <x:c r="N432" s="216"/>
      <x:c r="O432" s="216"/>
      <x:c r="P432" s="216"/>
      <x:c r="Q432" s="216"/>
      <x:c r="R432" s="216"/>
      <x:c r="S432" s="216"/>
      <x:c r="T432" s="216"/>
      <x:c r="U432" s="216"/>
      <x:c r="V432" s="216"/>
      <x:c r="W432" s="216"/>
      <x:c r="X432" s="216"/>
      <x:c r="Y432" s="216"/>
      <x:c r="Z432" s="216"/>
    </x:row>
    <x:row r="433">
      <x:c r="A433" s="216"/>
      <x:c r="B433" s="216"/>
      <x:c r="C433" s="216"/>
      <x:c r="D433" s="216"/>
      <x:c r="E433" s="216"/>
      <x:c r="F433" s="216"/>
      <x:c r="G433" s="216"/>
      <x:c r="H433" s="216"/>
      <x:c r="I433" s="216"/>
      <x:c r="J433" s="216"/>
      <x:c r="K433" s="216"/>
      <x:c r="L433" s="216"/>
      <x:c r="M433" s="216"/>
      <x:c r="N433" s="216"/>
      <x:c r="O433" s="216"/>
      <x:c r="P433" s="216"/>
      <x:c r="Q433" s="216"/>
      <x:c r="R433" s="216"/>
      <x:c r="S433" s="216"/>
      <x:c r="T433" s="216"/>
      <x:c r="U433" s="216"/>
      <x:c r="V433" s="216"/>
      <x:c r="W433" s="216"/>
      <x:c r="X433" s="216"/>
      <x:c r="Y433" s="216"/>
      <x:c r="Z433" s="216"/>
    </x:row>
    <x:row r="434">
      <x:c r="A434" s="216"/>
      <x:c r="B434" s="216"/>
      <x:c r="C434" s="216"/>
      <x:c r="D434" s="216"/>
      <x:c r="E434" s="216"/>
      <x:c r="F434" s="216"/>
      <x:c r="G434" s="216"/>
      <x:c r="H434" s="216"/>
      <x:c r="I434" s="216"/>
      <x:c r="J434" s="216"/>
      <x:c r="K434" s="216"/>
      <x:c r="L434" s="216"/>
      <x:c r="M434" s="216"/>
      <x:c r="N434" s="216"/>
      <x:c r="O434" s="216"/>
      <x:c r="P434" s="216"/>
      <x:c r="Q434" s="216"/>
      <x:c r="R434" s="216"/>
      <x:c r="S434" s="216"/>
      <x:c r="T434" s="216"/>
      <x:c r="U434" s="216"/>
      <x:c r="V434" s="216"/>
      <x:c r="W434" s="216"/>
      <x:c r="X434" s="216"/>
      <x:c r="Y434" s="216"/>
      <x:c r="Z434" s="216"/>
    </x:row>
    <x:row r="435">
      <x:c r="A435" s="216"/>
      <x:c r="B435" s="216"/>
      <x:c r="C435" s="216"/>
      <x:c r="D435" s="216"/>
      <x:c r="E435" s="216"/>
      <x:c r="F435" s="216"/>
      <x:c r="G435" s="216"/>
      <x:c r="H435" s="216"/>
      <x:c r="I435" s="216"/>
      <x:c r="J435" s="216"/>
      <x:c r="K435" s="216"/>
      <x:c r="L435" s="216"/>
      <x:c r="M435" s="216"/>
      <x:c r="N435" s="216"/>
      <x:c r="O435" s="216"/>
      <x:c r="P435" s="216"/>
      <x:c r="Q435" s="216"/>
      <x:c r="R435" s="216"/>
      <x:c r="S435" s="216"/>
      <x:c r="T435" s="216"/>
      <x:c r="U435" s="216"/>
      <x:c r="V435" s="216"/>
      <x:c r="W435" s="216"/>
      <x:c r="X435" s="216"/>
      <x:c r="Y435" s="216"/>
      <x:c r="Z435" s="216"/>
    </x:row>
    <x:row r="436">
      <x:c r="A436" s="216"/>
      <x:c r="B436" s="216"/>
      <x:c r="C436" s="216"/>
      <x:c r="D436" s="216"/>
      <x:c r="E436" s="216"/>
      <x:c r="F436" s="216"/>
      <x:c r="G436" s="216"/>
      <x:c r="H436" s="216"/>
      <x:c r="I436" s="216"/>
      <x:c r="J436" s="216"/>
      <x:c r="K436" s="216"/>
      <x:c r="L436" s="216"/>
      <x:c r="M436" s="216"/>
      <x:c r="N436" s="216"/>
      <x:c r="O436" s="216"/>
      <x:c r="P436" s="216"/>
      <x:c r="Q436" s="216"/>
      <x:c r="R436" s="216"/>
      <x:c r="S436" s="216"/>
      <x:c r="T436" s="216"/>
      <x:c r="U436" s="216"/>
      <x:c r="V436" s="216"/>
      <x:c r="W436" s="216"/>
      <x:c r="X436" s="216"/>
      <x:c r="Y436" s="216"/>
      <x:c r="Z436" s="216"/>
    </x:row>
    <x:row r="437">
      <x:c r="A437" s="216"/>
      <x:c r="B437" s="216"/>
      <x:c r="C437" s="216"/>
      <x:c r="D437" s="216"/>
      <x:c r="E437" s="216"/>
      <x:c r="F437" s="216"/>
      <x:c r="G437" s="216"/>
      <x:c r="H437" s="216"/>
      <x:c r="I437" s="216"/>
      <x:c r="J437" s="216"/>
      <x:c r="K437" s="216"/>
      <x:c r="L437" s="216"/>
      <x:c r="M437" s="216"/>
      <x:c r="N437" s="216"/>
      <x:c r="O437" s="216"/>
      <x:c r="P437" s="216"/>
      <x:c r="Q437" s="216"/>
      <x:c r="R437" s="216"/>
      <x:c r="S437" s="216"/>
      <x:c r="T437" s="216"/>
      <x:c r="U437" s="216"/>
      <x:c r="V437" s="216"/>
      <x:c r="W437" s="216"/>
      <x:c r="X437" s="216"/>
      <x:c r="Y437" s="216"/>
      <x:c r="Z437" s="216"/>
    </x:row>
    <x:row r="438">
      <x:c r="A438" s="216"/>
      <x:c r="B438" s="216"/>
      <x:c r="C438" s="216"/>
      <x:c r="D438" s="216"/>
      <x:c r="E438" s="216"/>
      <x:c r="F438" s="216"/>
      <x:c r="G438" s="216"/>
      <x:c r="H438" s="216"/>
      <x:c r="I438" s="216"/>
      <x:c r="J438" s="216"/>
      <x:c r="K438" s="216"/>
      <x:c r="L438" s="216"/>
      <x:c r="M438" s="216"/>
      <x:c r="N438" s="216"/>
      <x:c r="O438" s="216"/>
      <x:c r="P438" s="216"/>
      <x:c r="Q438" s="216"/>
      <x:c r="R438" s="216"/>
      <x:c r="S438" s="216"/>
      <x:c r="T438" s="216"/>
      <x:c r="U438" s="216"/>
      <x:c r="V438" s="216"/>
      <x:c r="W438" s="216"/>
      <x:c r="X438" s="216"/>
      <x:c r="Y438" s="216"/>
      <x:c r="Z438" s="216"/>
    </x:row>
    <x:row r="439">
      <x:c r="A439" s="216"/>
      <x:c r="B439" s="216"/>
      <x:c r="C439" s="216"/>
      <x:c r="D439" s="216"/>
      <x:c r="E439" s="216"/>
      <x:c r="F439" s="216"/>
      <x:c r="G439" s="216"/>
      <x:c r="H439" s="216"/>
      <x:c r="I439" s="216"/>
      <x:c r="J439" s="216"/>
      <x:c r="K439" s="216"/>
      <x:c r="L439" s="216"/>
      <x:c r="M439" s="216"/>
      <x:c r="N439" s="216"/>
      <x:c r="O439" s="216"/>
      <x:c r="P439" s="216"/>
      <x:c r="Q439" s="216"/>
      <x:c r="R439" s="216"/>
      <x:c r="S439" s="216"/>
      <x:c r="T439" s="216"/>
      <x:c r="U439" s="216"/>
      <x:c r="V439" s="216"/>
      <x:c r="W439" s="216"/>
      <x:c r="X439" s="216"/>
      <x:c r="Y439" s="216"/>
      <x:c r="Z439" s="216"/>
    </x:row>
    <x:row r="440">
      <x:c r="A440" s="216"/>
      <x:c r="B440" s="216"/>
      <x:c r="C440" s="216"/>
      <x:c r="D440" s="216"/>
      <x:c r="E440" s="216"/>
      <x:c r="F440" s="216"/>
      <x:c r="G440" s="216"/>
      <x:c r="H440" s="216"/>
      <x:c r="I440" s="216"/>
      <x:c r="J440" s="216"/>
      <x:c r="K440" s="216"/>
      <x:c r="L440" s="216"/>
      <x:c r="M440" s="216"/>
      <x:c r="N440" s="216"/>
      <x:c r="O440" s="216"/>
      <x:c r="P440" s="216"/>
      <x:c r="Q440" s="216"/>
      <x:c r="R440" s="216"/>
      <x:c r="S440" s="216"/>
      <x:c r="T440" s="216"/>
      <x:c r="U440" s="216"/>
      <x:c r="V440" s="216"/>
      <x:c r="W440" s="216"/>
      <x:c r="X440" s="216"/>
      <x:c r="Y440" s="216"/>
      <x:c r="Z440" s="216"/>
    </x:row>
    <x:row r="441">
      <x:c r="A441" s="216"/>
      <x:c r="B441" s="216"/>
      <x:c r="C441" s="216"/>
      <x:c r="D441" s="216"/>
      <x:c r="E441" s="216"/>
      <x:c r="F441" s="216"/>
      <x:c r="G441" s="216"/>
      <x:c r="H441" s="216"/>
      <x:c r="I441" s="216"/>
      <x:c r="J441" s="216"/>
      <x:c r="K441" s="216"/>
      <x:c r="L441" s="216"/>
      <x:c r="M441" s="216"/>
      <x:c r="N441" s="216"/>
      <x:c r="O441" s="216"/>
      <x:c r="P441" s="216"/>
      <x:c r="Q441" s="216"/>
      <x:c r="R441" s="216"/>
      <x:c r="S441" s="216"/>
      <x:c r="T441" s="216"/>
      <x:c r="U441" s="216"/>
      <x:c r="V441" s="216"/>
      <x:c r="W441" s="216"/>
      <x:c r="X441" s="216"/>
      <x:c r="Y441" s="216"/>
      <x:c r="Z441" s="216"/>
    </x:row>
    <x:row r="442">
      <x:c r="A442" s="216"/>
      <x:c r="B442" s="216"/>
      <x:c r="C442" s="216"/>
      <x:c r="D442" s="216"/>
      <x:c r="E442" s="216"/>
      <x:c r="F442" s="216"/>
      <x:c r="G442" s="216"/>
      <x:c r="H442" s="216"/>
      <x:c r="I442" s="216"/>
      <x:c r="J442" s="216"/>
      <x:c r="K442" s="216"/>
      <x:c r="L442" s="216"/>
      <x:c r="M442" s="216"/>
      <x:c r="N442" s="216"/>
      <x:c r="O442" s="216"/>
      <x:c r="P442" s="216"/>
      <x:c r="Q442" s="216"/>
      <x:c r="R442" s="216"/>
      <x:c r="S442" s="216"/>
      <x:c r="T442" s="216"/>
      <x:c r="U442" s="216"/>
      <x:c r="V442" s="216"/>
      <x:c r="W442" s="216"/>
      <x:c r="X442" s="216"/>
      <x:c r="Y442" s="216"/>
      <x:c r="Z442" s="216"/>
    </x:row>
    <x:row r="443">
      <x:c r="A443" s="216"/>
      <x:c r="B443" s="216"/>
      <x:c r="C443" s="216"/>
      <x:c r="D443" s="216"/>
      <x:c r="E443" s="216"/>
      <x:c r="F443" s="216"/>
      <x:c r="G443" s="216"/>
      <x:c r="H443" s="216"/>
      <x:c r="I443" s="216"/>
      <x:c r="J443" s="216"/>
      <x:c r="K443" s="216"/>
      <x:c r="L443" s="216"/>
      <x:c r="M443" s="216"/>
      <x:c r="N443" s="216"/>
      <x:c r="O443" s="216"/>
      <x:c r="P443" s="216"/>
      <x:c r="Q443" s="216"/>
      <x:c r="R443" s="216"/>
      <x:c r="S443" s="216"/>
      <x:c r="T443" s="216"/>
      <x:c r="U443" s="216"/>
      <x:c r="V443" s="216"/>
      <x:c r="W443" s="216"/>
      <x:c r="X443" s="216"/>
      <x:c r="Y443" s="216"/>
      <x:c r="Z443" s="216"/>
    </x:row>
    <x:row r="444">
      <x:c r="A444" s="216"/>
      <x:c r="B444" s="216"/>
      <x:c r="C444" s="216"/>
      <x:c r="D444" s="216"/>
      <x:c r="E444" s="216"/>
      <x:c r="F444" s="216"/>
      <x:c r="G444" s="216"/>
      <x:c r="H444" s="216"/>
      <x:c r="I444" s="216"/>
      <x:c r="J444" s="216"/>
      <x:c r="K444" s="216"/>
      <x:c r="L444" s="216"/>
      <x:c r="M444" s="216"/>
      <x:c r="N444" s="216"/>
      <x:c r="O444" s="216"/>
      <x:c r="P444" s="216"/>
      <x:c r="Q444" s="216"/>
      <x:c r="R444" s="216"/>
      <x:c r="S444" s="216"/>
      <x:c r="T444" s="216"/>
      <x:c r="U444" s="216"/>
      <x:c r="V444" s="216"/>
      <x:c r="W444" s="216"/>
      <x:c r="X444" s="216"/>
      <x:c r="Y444" s="216"/>
      <x:c r="Z444" s="216"/>
    </x:row>
    <x:row r="445">
      <x:c r="A445" s="216"/>
      <x:c r="B445" s="216"/>
      <x:c r="C445" s="216"/>
      <x:c r="D445" s="216"/>
      <x:c r="E445" s="216"/>
      <x:c r="F445" s="216"/>
      <x:c r="G445" s="216"/>
      <x:c r="H445" s="216"/>
      <x:c r="I445" s="216"/>
      <x:c r="J445" s="216"/>
      <x:c r="K445" s="216"/>
      <x:c r="L445" s="216"/>
      <x:c r="M445" s="216"/>
      <x:c r="N445" s="216"/>
      <x:c r="O445" s="216"/>
      <x:c r="P445" s="216"/>
      <x:c r="Q445" s="216"/>
      <x:c r="R445" s="216"/>
      <x:c r="S445" s="216"/>
      <x:c r="T445" s="216"/>
      <x:c r="U445" s="216"/>
      <x:c r="V445" s="216"/>
      <x:c r="W445" s="216"/>
      <x:c r="X445" s="216"/>
      <x:c r="Y445" s="216"/>
      <x:c r="Z445" s="216"/>
    </x:row>
    <x:row r="446">
      <x:c r="A446" s="216"/>
      <x:c r="B446" s="216"/>
      <x:c r="C446" s="216"/>
      <x:c r="D446" s="216"/>
      <x:c r="E446" s="216"/>
      <x:c r="F446" s="216"/>
      <x:c r="G446" s="216"/>
      <x:c r="H446" s="216"/>
      <x:c r="I446" s="216"/>
      <x:c r="J446" s="216"/>
      <x:c r="K446" s="216"/>
      <x:c r="L446" s="216"/>
      <x:c r="M446" s="216"/>
      <x:c r="N446" s="216"/>
      <x:c r="O446" s="216"/>
      <x:c r="P446" s="216"/>
      <x:c r="Q446" s="216"/>
      <x:c r="R446" s="216"/>
      <x:c r="S446" s="216"/>
      <x:c r="T446" s="216"/>
      <x:c r="U446" s="216"/>
      <x:c r="V446" s="216"/>
      <x:c r="W446" s="216"/>
      <x:c r="X446" s="216"/>
      <x:c r="Y446" s="216"/>
      <x:c r="Z446" s="216"/>
    </x:row>
    <x:row r="447">
      <x:c r="A447" s="216"/>
      <x:c r="B447" s="216"/>
      <x:c r="C447" s="216"/>
      <x:c r="D447" s="216"/>
      <x:c r="E447" s="216"/>
      <x:c r="F447" s="216"/>
      <x:c r="G447" s="216"/>
      <x:c r="H447" s="216"/>
      <x:c r="I447" s="216"/>
      <x:c r="J447" s="216"/>
      <x:c r="K447" s="216"/>
      <x:c r="L447" s="216"/>
      <x:c r="M447" s="216"/>
      <x:c r="N447" s="216"/>
      <x:c r="O447" s="216"/>
      <x:c r="P447" s="216"/>
      <x:c r="Q447" s="216"/>
      <x:c r="R447" s="216"/>
      <x:c r="S447" s="216"/>
      <x:c r="T447" s="216"/>
      <x:c r="U447" s="216"/>
      <x:c r="V447" s="216"/>
      <x:c r="W447" s="216"/>
      <x:c r="X447" s="216"/>
      <x:c r="Y447" s="216"/>
      <x:c r="Z447" s="216"/>
    </x:row>
    <x:row r="448">
      <x:c r="A448" s="216"/>
      <x:c r="B448" s="216"/>
      <x:c r="C448" s="216"/>
      <x:c r="D448" s="216"/>
      <x:c r="E448" s="216"/>
      <x:c r="F448" s="216"/>
      <x:c r="G448" s="216"/>
      <x:c r="H448" s="216"/>
      <x:c r="I448" s="216"/>
      <x:c r="J448" s="216"/>
      <x:c r="K448" s="216"/>
      <x:c r="L448" s="216"/>
      <x:c r="M448" s="216"/>
      <x:c r="N448" s="216"/>
      <x:c r="O448" s="216"/>
      <x:c r="P448" s="216"/>
      <x:c r="Q448" s="216"/>
      <x:c r="R448" s="216"/>
      <x:c r="S448" s="216"/>
      <x:c r="T448" s="216"/>
      <x:c r="U448" s="216"/>
      <x:c r="V448" s="216"/>
      <x:c r="W448" s="216"/>
      <x:c r="X448" s="216"/>
      <x:c r="Y448" s="216"/>
      <x:c r="Z448" s="216"/>
    </x:row>
    <x:row r="449">
      <x:c r="A449" s="216"/>
      <x:c r="B449" s="216"/>
      <x:c r="C449" s="216"/>
      <x:c r="D449" s="216"/>
      <x:c r="E449" s="216"/>
      <x:c r="F449" s="216"/>
      <x:c r="G449" s="216"/>
      <x:c r="H449" s="216"/>
      <x:c r="I449" s="216"/>
      <x:c r="J449" s="216"/>
      <x:c r="K449" s="216"/>
      <x:c r="L449" s="216"/>
      <x:c r="M449" s="216"/>
      <x:c r="N449" s="216"/>
      <x:c r="O449" s="216"/>
      <x:c r="P449" s="216"/>
      <x:c r="Q449" s="216"/>
      <x:c r="R449" s="216"/>
      <x:c r="S449" s="216"/>
      <x:c r="T449" s="216"/>
      <x:c r="U449" s="216"/>
      <x:c r="V449" s="216"/>
      <x:c r="W449" s="216"/>
      <x:c r="X449" s="216"/>
      <x:c r="Y449" s="216"/>
      <x:c r="Z449" s="216"/>
    </x:row>
    <x:row r="450">
      <x:c r="A450" s="216"/>
      <x:c r="B450" s="216"/>
      <x:c r="C450" s="216"/>
      <x:c r="D450" s="216"/>
      <x:c r="E450" s="216"/>
      <x:c r="F450" s="216"/>
      <x:c r="G450" s="216"/>
      <x:c r="H450" s="216"/>
      <x:c r="I450" s="216"/>
      <x:c r="J450" s="216"/>
      <x:c r="K450" s="216"/>
      <x:c r="L450" s="216"/>
      <x:c r="M450" s="216"/>
      <x:c r="N450" s="216"/>
      <x:c r="O450" s="216"/>
      <x:c r="P450" s="216"/>
      <x:c r="Q450" s="216"/>
      <x:c r="R450" s="216"/>
      <x:c r="S450" s="216"/>
      <x:c r="T450" s="216"/>
      <x:c r="U450" s="216"/>
      <x:c r="V450" s="216"/>
      <x:c r="W450" s="216"/>
      <x:c r="X450" s="216"/>
      <x:c r="Y450" s="216"/>
      <x:c r="Z450" s="216"/>
    </x:row>
    <x:row r="451">
      <x:c r="A451" s="216"/>
      <x:c r="B451" s="216"/>
      <x:c r="C451" s="216"/>
      <x:c r="D451" s="216"/>
      <x:c r="E451" s="216"/>
      <x:c r="F451" s="216"/>
      <x:c r="G451" s="216"/>
      <x:c r="H451" s="216"/>
      <x:c r="I451" s="216"/>
      <x:c r="J451" s="216"/>
      <x:c r="K451" s="216"/>
      <x:c r="L451" s="216"/>
      <x:c r="M451" s="216"/>
      <x:c r="N451" s="216"/>
      <x:c r="O451" s="216"/>
      <x:c r="P451" s="216"/>
      <x:c r="Q451" s="216"/>
      <x:c r="R451" s="216"/>
      <x:c r="S451" s="216"/>
      <x:c r="T451" s="216"/>
      <x:c r="U451" s="216"/>
      <x:c r="V451" s="216"/>
      <x:c r="W451" s="216"/>
      <x:c r="X451" s="216"/>
      <x:c r="Y451" s="216"/>
      <x:c r="Z451" s="216"/>
    </x:row>
    <x:row r="452">
      <x:c r="A452" s="216"/>
      <x:c r="B452" s="216"/>
      <x:c r="C452" s="216"/>
      <x:c r="D452" s="216"/>
      <x:c r="E452" s="216"/>
      <x:c r="F452" s="216"/>
      <x:c r="G452" s="216"/>
      <x:c r="H452" s="216"/>
      <x:c r="I452" s="216"/>
      <x:c r="J452" s="216"/>
      <x:c r="K452" s="216"/>
      <x:c r="L452" s="216"/>
      <x:c r="M452" s="216"/>
      <x:c r="N452" s="216"/>
      <x:c r="O452" s="216"/>
      <x:c r="P452" s="216"/>
      <x:c r="Q452" s="216"/>
      <x:c r="R452" s="216"/>
      <x:c r="S452" s="216"/>
      <x:c r="T452" s="216"/>
      <x:c r="U452" s="216"/>
      <x:c r="V452" s="216"/>
      <x:c r="W452" s="216"/>
      <x:c r="X452" s="216"/>
      <x:c r="Y452" s="216"/>
      <x:c r="Z452" s="216"/>
    </x:row>
    <x:row r="453">
      <x:c r="A453" s="216"/>
      <x:c r="B453" s="216"/>
      <x:c r="C453" s="216"/>
      <x:c r="D453" s="216"/>
      <x:c r="E453" s="216"/>
      <x:c r="F453" s="216"/>
      <x:c r="G453" s="216"/>
      <x:c r="H453" s="216"/>
      <x:c r="I453" s="216"/>
      <x:c r="J453" s="216"/>
      <x:c r="K453" s="216"/>
      <x:c r="L453" s="216"/>
      <x:c r="M453" s="216"/>
      <x:c r="N453" s="216"/>
      <x:c r="O453" s="216"/>
      <x:c r="P453" s="216"/>
      <x:c r="Q453" s="216"/>
      <x:c r="R453" s="216"/>
      <x:c r="S453" s="216"/>
      <x:c r="T453" s="216"/>
      <x:c r="U453" s="216"/>
      <x:c r="V453" s="216"/>
      <x:c r="W453" s="216"/>
      <x:c r="X453" s="216"/>
      <x:c r="Y453" s="216"/>
      <x:c r="Z453" s="216"/>
    </x:row>
    <x:row r="454">
      <x:c r="A454" s="216"/>
      <x:c r="B454" s="216"/>
      <x:c r="C454" s="216"/>
      <x:c r="D454" s="216"/>
      <x:c r="E454" s="216"/>
      <x:c r="F454" s="216"/>
      <x:c r="G454" s="216"/>
      <x:c r="H454" s="216"/>
      <x:c r="I454" s="216"/>
      <x:c r="J454" s="216"/>
      <x:c r="K454" s="216"/>
      <x:c r="L454" s="216"/>
      <x:c r="M454" s="216"/>
      <x:c r="N454" s="216"/>
      <x:c r="O454" s="216"/>
      <x:c r="P454" s="216"/>
      <x:c r="Q454" s="216"/>
      <x:c r="R454" s="216"/>
      <x:c r="S454" s="216"/>
      <x:c r="T454" s="216"/>
      <x:c r="U454" s="216"/>
      <x:c r="V454" s="216"/>
      <x:c r="W454" s="216"/>
      <x:c r="X454" s="216"/>
      <x:c r="Y454" s="216"/>
      <x:c r="Z454" s="216"/>
    </x:row>
    <x:row r="455">
      <x:c r="A455" s="216"/>
      <x:c r="B455" s="216"/>
      <x:c r="C455" s="216"/>
      <x:c r="D455" s="216"/>
      <x:c r="E455" s="216"/>
      <x:c r="F455" s="216"/>
      <x:c r="G455" s="216"/>
      <x:c r="H455" s="216"/>
      <x:c r="I455" s="216"/>
      <x:c r="J455" s="216"/>
      <x:c r="K455" s="216"/>
      <x:c r="L455" s="216"/>
      <x:c r="M455" s="216"/>
      <x:c r="N455" s="216"/>
      <x:c r="O455" s="216"/>
      <x:c r="P455" s="216"/>
      <x:c r="Q455" s="216"/>
      <x:c r="R455" s="216"/>
      <x:c r="S455" s="216"/>
      <x:c r="T455" s="216"/>
      <x:c r="U455" s="216"/>
      <x:c r="V455" s="216"/>
      <x:c r="W455" s="216"/>
      <x:c r="X455" s="216"/>
      <x:c r="Y455" s="216"/>
      <x:c r="Z455" s="216"/>
    </x:row>
    <x:row r="456">
      <x:c r="A456" s="216"/>
      <x:c r="B456" s="216"/>
      <x:c r="C456" s="216"/>
      <x:c r="D456" s="216"/>
      <x:c r="E456" s="216"/>
      <x:c r="F456" s="216"/>
      <x:c r="G456" s="216"/>
      <x:c r="H456" s="216"/>
      <x:c r="I456" s="216"/>
      <x:c r="J456" s="216"/>
      <x:c r="K456" s="216"/>
      <x:c r="L456" s="216"/>
      <x:c r="M456" s="216"/>
      <x:c r="N456" s="216"/>
      <x:c r="O456" s="216"/>
      <x:c r="P456" s="216"/>
      <x:c r="Q456" s="216"/>
      <x:c r="R456" s="216"/>
      <x:c r="S456" s="216"/>
      <x:c r="T456" s="216"/>
      <x:c r="U456" s="216"/>
      <x:c r="V456" s="216"/>
      <x:c r="W456" s="216"/>
      <x:c r="X456" s="216"/>
      <x:c r="Y456" s="216"/>
      <x:c r="Z456" s="216"/>
    </x:row>
    <x:row r="457">
      <x:c r="A457" s="216"/>
      <x:c r="B457" s="216"/>
      <x:c r="C457" s="216"/>
      <x:c r="D457" s="216"/>
      <x:c r="E457" s="216"/>
      <x:c r="F457" s="216"/>
      <x:c r="G457" s="216"/>
      <x:c r="H457" s="216"/>
      <x:c r="I457" s="216"/>
      <x:c r="J457" s="216"/>
      <x:c r="K457" s="216"/>
      <x:c r="L457" s="216"/>
      <x:c r="M457" s="216"/>
      <x:c r="N457" s="216"/>
      <x:c r="O457" s="216"/>
      <x:c r="P457" s="216"/>
      <x:c r="Q457" s="216"/>
      <x:c r="R457" s="216"/>
      <x:c r="S457" s="216"/>
      <x:c r="T457" s="216"/>
      <x:c r="U457" s="216"/>
      <x:c r="V457" s="216"/>
      <x:c r="W457" s="216"/>
      <x:c r="X457" s="216"/>
      <x:c r="Y457" s="216"/>
      <x:c r="Z457" s="216"/>
    </x:row>
    <x:row r="458">
      <x:c r="A458" s="216"/>
      <x:c r="B458" s="216"/>
      <x:c r="C458" s="216"/>
      <x:c r="D458" s="216"/>
      <x:c r="E458" s="216"/>
      <x:c r="F458" s="216"/>
      <x:c r="G458" s="216"/>
      <x:c r="H458" s="216"/>
      <x:c r="I458" s="216"/>
      <x:c r="J458" s="216"/>
      <x:c r="K458" s="216"/>
      <x:c r="L458" s="216"/>
      <x:c r="M458" s="216"/>
      <x:c r="N458" s="216"/>
      <x:c r="O458" s="216"/>
      <x:c r="P458" s="216"/>
      <x:c r="Q458" s="216"/>
      <x:c r="R458" s="216"/>
      <x:c r="S458" s="216"/>
      <x:c r="T458" s="216"/>
      <x:c r="U458" s="216"/>
      <x:c r="V458" s="216"/>
      <x:c r="W458" s="216"/>
      <x:c r="X458" s="216"/>
      <x:c r="Y458" s="216"/>
      <x:c r="Z458" s="216"/>
    </x:row>
    <x:row r="459">
      <x:c r="A459" s="216"/>
      <x:c r="B459" s="216"/>
      <x:c r="C459" s="216"/>
      <x:c r="D459" s="216"/>
      <x:c r="E459" s="216"/>
      <x:c r="F459" s="216"/>
      <x:c r="G459" s="216"/>
      <x:c r="H459" s="216"/>
      <x:c r="I459" s="216"/>
      <x:c r="J459" s="216"/>
      <x:c r="K459" s="216"/>
      <x:c r="L459" s="216"/>
      <x:c r="M459" s="216"/>
      <x:c r="N459" s="216"/>
      <x:c r="O459" s="216"/>
      <x:c r="P459" s="216"/>
      <x:c r="Q459" s="216"/>
      <x:c r="R459" s="216"/>
      <x:c r="S459" s="216"/>
      <x:c r="T459" s="216"/>
      <x:c r="U459" s="216"/>
      <x:c r="V459" s="216"/>
      <x:c r="W459" s="216"/>
      <x:c r="X459" s="216"/>
      <x:c r="Y459" s="216"/>
      <x:c r="Z459" s="216"/>
    </x:row>
    <x:row r="460">
      <x:c r="A460" s="216"/>
      <x:c r="B460" s="216"/>
      <x:c r="C460" s="216"/>
      <x:c r="D460" s="216"/>
      <x:c r="E460" s="216"/>
      <x:c r="F460" s="216"/>
      <x:c r="G460" s="216"/>
      <x:c r="H460" s="216"/>
      <x:c r="I460" s="216"/>
      <x:c r="J460" s="216"/>
      <x:c r="K460" s="216"/>
      <x:c r="L460" s="216"/>
      <x:c r="M460" s="216"/>
      <x:c r="N460" s="216"/>
      <x:c r="O460" s="216"/>
      <x:c r="P460" s="216"/>
      <x:c r="Q460" s="216"/>
      <x:c r="R460" s="216"/>
      <x:c r="S460" s="216"/>
      <x:c r="T460" s="216"/>
      <x:c r="U460" s="216"/>
      <x:c r="V460" s="216"/>
      <x:c r="W460" s="216"/>
      <x:c r="X460" s="216"/>
      <x:c r="Y460" s="216"/>
      <x:c r="Z460" s="216"/>
    </x:row>
    <x:row r="461">
      <x:c r="A461" s="216"/>
      <x:c r="B461" s="216"/>
      <x:c r="C461" s="216"/>
      <x:c r="D461" s="216"/>
      <x:c r="E461" s="216"/>
      <x:c r="F461" s="216"/>
      <x:c r="G461" s="216"/>
      <x:c r="H461" s="216"/>
      <x:c r="I461" s="216"/>
      <x:c r="J461" s="216"/>
      <x:c r="K461" s="216"/>
      <x:c r="L461" s="216"/>
      <x:c r="M461" s="216"/>
      <x:c r="N461" s="216"/>
      <x:c r="O461" s="216"/>
      <x:c r="P461" s="216"/>
      <x:c r="Q461" s="216"/>
      <x:c r="R461" s="216"/>
      <x:c r="S461" s="216"/>
      <x:c r="T461" s="216"/>
      <x:c r="U461" s="216"/>
      <x:c r="V461" s="216"/>
      <x:c r="W461" s="216"/>
      <x:c r="X461" s="216"/>
      <x:c r="Y461" s="216"/>
      <x:c r="Z461" s="216"/>
    </x:row>
    <x:row r="462">
      <x:c r="A462" s="216"/>
      <x:c r="B462" s="216"/>
      <x:c r="C462" s="216"/>
      <x:c r="D462" s="216"/>
      <x:c r="E462" s="216"/>
      <x:c r="F462" s="216"/>
      <x:c r="G462" s="216"/>
      <x:c r="H462" s="216"/>
      <x:c r="I462" s="216"/>
      <x:c r="J462" s="216"/>
      <x:c r="K462" s="216"/>
      <x:c r="L462" s="216"/>
      <x:c r="M462" s="216"/>
      <x:c r="N462" s="216"/>
      <x:c r="O462" s="216"/>
      <x:c r="P462" s="216"/>
      <x:c r="Q462" s="216"/>
      <x:c r="R462" s="216"/>
      <x:c r="S462" s="216"/>
      <x:c r="T462" s="216"/>
      <x:c r="U462" s="216"/>
      <x:c r="V462" s="216"/>
      <x:c r="W462" s="216"/>
      <x:c r="X462" s="216"/>
      <x:c r="Y462" s="216"/>
      <x:c r="Z462" s="216"/>
    </x:row>
    <x:row r="463">
      <x:c r="A463" s="216"/>
      <x:c r="B463" s="216"/>
      <x:c r="C463" s="216"/>
      <x:c r="D463" s="216"/>
      <x:c r="E463" s="216"/>
      <x:c r="F463" s="216"/>
      <x:c r="G463" s="216"/>
      <x:c r="H463" s="216"/>
      <x:c r="I463" s="216"/>
      <x:c r="J463" s="216"/>
      <x:c r="K463" s="216"/>
      <x:c r="L463" s="216"/>
      <x:c r="M463" s="216"/>
      <x:c r="N463" s="216"/>
      <x:c r="O463" s="216"/>
      <x:c r="P463" s="216"/>
      <x:c r="Q463" s="216"/>
      <x:c r="R463" s="216"/>
      <x:c r="S463" s="216"/>
      <x:c r="T463" s="216"/>
      <x:c r="U463" s="216"/>
      <x:c r="V463" s="216"/>
      <x:c r="W463" s="216"/>
      <x:c r="X463" s="216"/>
      <x:c r="Y463" s="216"/>
      <x:c r="Z463" s="216"/>
    </x:row>
    <x:row r="464">
      <x:c r="A464" s="216"/>
      <x:c r="B464" s="216"/>
      <x:c r="C464" s="216"/>
      <x:c r="D464" s="216"/>
      <x:c r="E464" s="216"/>
      <x:c r="F464" s="216"/>
      <x:c r="G464" s="216"/>
      <x:c r="H464" s="216"/>
      <x:c r="I464" s="216"/>
      <x:c r="J464" s="216"/>
      <x:c r="K464" s="216"/>
      <x:c r="L464" s="216"/>
      <x:c r="M464" s="216"/>
      <x:c r="N464" s="216"/>
      <x:c r="O464" s="216"/>
      <x:c r="P464" s="216"/>
      <x:c r="Q464" s="216"/>
      <x:c r="R464" s="216"/>
      <x:c r="S464" s="216"/>
      <x:c r="T464" s="216"/>
      <x:c r="U464" s="216"/>
      <x:c r="V464" s="216"/>
      <x:c r="W464" s="216"/>
      <x:c r="X464" s="216"/>
      <x:c r="Y464" s="216"/>
      <x:c r="Z464" s="216"/>
    </x:row>
    <x:row r="465">
      <x:c r="A465" s="216"/>
      <x:c r="B465" s="216"/>
      <x:c r="C465" s="216"/>
      <x:c r="D465" s="216"/>
      <x:c r="E465" s="216"/>
      <x:c r="F465" s="216"/>
      <x:c r="G465" s="216"/>
      <x:c r="H465" s="216"/>
      <x:c r="I465" s="216"/>
      <x:c r="J465" s="216"/>
      <x:c r="K465" s="216"/>
      <x:c r="L465" s="216"/>
      <x:c r="M465" s="216"/>
      <x:c r="N465" s="216"/>
      <x:c r="O465" s="216"/>
      <x:c r="P465" s="216"/>
      <x:c r="Q465" s="216"/>
      <x:c r="R465" s="216"/>
      <x:c r="S465" s="216"/>
      <x:c r="T465" s="216"/>
      <x:c r="U465" s="216"/>
      <x:c r="V465" s="216"/>
      <x:c r="W465" s="216"/>
      <x:c r="X465" s="216"/>
      <x:c r="Y465" s="216"/>
      <x:c r="Z465" s="216"/>
    </x:row>
    <x:row r="466">
      <x:c r="A466" s="216"/>
      <x:c r="B466" s="216"/>
      <x:c r="C466" s="216"/>
      <x:c r="D466" s="216"/>
      <x:c r="E466" s="216"/>
      <x:c r="F466" s="216"/>
      <x:c r="G466" s="216"/>
      <x:c r="H466" s="216"/>
      <x:c r="I466" s="216"/>
      <x:c r="J466" s="216"/>
      <x:c r="K466" s="216"/>
      <x:c r="L466" s="216"/>
      <x:c r="M466" s="216"/>
      <x:c r="N466" s="216"/>
      <x:c r="O466" s="216"/>
      <x:c r="P466" s="216"/>
      <x:c r="Q466" s="216"/>
      <x:c r="R466" s="216"/>
      <x:c r="S466" s="216"/>
      <x:c r="T466" s="216"/>
      <x:c r="U466" s="216"/>
      <x:c r="V466" s="216"/>
      <x:c r="W466" s="216"/>
      <x:c r="X466" s="216"/>
      <x:c r="Y466" s="216"/>
      <x:c r="Z466" s="216"/>
    </x:row>
    <x:row r="467">
      <x:c r="A467" s="216"/>
      <x:c r="B467" s="216"/>
      <x:c r="C467" s="216"/>
      <x:c r="D467" s="216"/>
      <x:c r="E467" s="216"/>
      <x:c r="F467" s="216"/>
      <x:c r="G467" s="216"/>
      <x:c r="H467" s="216"/>
      <x:c r="I467" s="216"/>
      <x:c r="J467" s="216"/>
      <x:c r="K467" s="216"/>
      <x:c r="L467" s="216"/>
      <x:c r="M467" s="216"/>
      <x:c r="N467" s="216"/>
      <x:c r="O467" s="216"/>
      <x:c r="P467" s="216"/>
      <x:c r="Q467" s="216"/>
      <x:c r="R467" s="216"/>
      <x:c r="S467" s="216"/>
      <x:c r="T467" s="216"/>
      <x:c r="U467" s="216"/>
      <x:c r="V467" s="216"/>
      <x:c r="W467" s="216"/>
      <x:c r="X467" s="216"/>
      <x:c r="Y467" s="216"/>
      <x:c r="Z467" s="216"/>
    </x:row>
    <x:row r="468">
      <x:c r="A468" s="216"/>
      <x:c r="B468" s="216"/>
      <x:c r="C468" s="216"/>
      <x:c r="D468" s="216"/>
      <x:c r="E468" s="216"/>
      <x:c r="F468" s="216"/>
      <x:c r="G468" s="216"/>
      <x:c r="H468" s="216"/>
      <x:c r="I468" s="216"/>
      <x:c r="J468" s="216"/>
      <x:c r="K468" s="216"/>
      <x:c r="L468" s="216"/>
      <x:c r="M468" s="216"/>
      <x:c r="N468" s="216"/>
      <x:c r="O468" s="216"/>
      <x:c r="P468" s="216"/>
      <x:c r="Q468" s="216"/>
      <x:c r="R468" s="216"/>
      <x:c r="S468" s="216"/>
      <x:c r="T468" s="216"/>
      <x:c r="U468" s="216"/>
      <x:c r="V468" s="216"/>
      <x:c r="W468" s="216"/>
      <x:c r="X468" s="216"/>
      <x:c r="Y468" s="216"/>
      <x:c r="Z468" s="216"/>
    </x:row>
    <x:row r="469">
      <x:c r="A469" s="216"/>
      <x:c r="B469" s="216"/>
      <x:c r="C469" s="216"/>
      <x:c r="D469" s="216"/>
      <x:c r="E469" s="216"/>
      <x:c r="F469" s="216"/>
      <x:c r="G469" s="216"/>
      <x:c r="H469" s="216"/>
      <x:c r="I469" s="216"/>
      <x:c r="J469" s="216"/>
      <x:c r="K469" s="216"/>
      <x:c r="L469" s="216"/>
      <x:c r="M469" s="216"/>
      <x:c r="N469" s="216"/>
      <x:c r="O469" s="216"/>
      <x:c r="P469" s="216"/>
      <x:c r="Q469" s="216"/>
      <x:c r="R469" s="216"/>
      <x:c r="S469" s="216"/>
      <x:c r="T469" s="216"/>
      <x:c r="U469" s="216"/>
      <x:c r="V469" s="216"/>
      <x:c r="W469" s="216"/>
      <x:c r="X469" s="216"/>
      <x:c r="Y469" s="216"/>
      <x:c r="Z469" s="216"/>
    </x:row>
    <x:row r="470">
      <x:c r="A470" s="216"/>
      <x:c r="B470" s="216"/>
      <x:c r="C470" s="216"/>
      <x:c r="D470" s="216"/>
      <x:c r="E470" s="216"/>
      <x:c r="F470" s="216"/>
      <x:c r="G470" s="216"/>
      <x:c r="H470" s="216"/>
      <x:c r="I470" s="216"/>
      <x:c r="J470" s="216"/>
      <x:c r="K470" s="216"/>
      <x:c r="L470" s="216"/>
      <x:c r="M470" s="216"/>
      <x:c r="N470" s="216"/>
      <x:c r="O470" s="216"/>
      <x:c r="P470" s="216"/>
      <x:c r="Q470" s="216"/>
      <x:c r="R470" s="216"/>
      <x:c r="S470" s="216"/>
      <x:c r="T470" s="216"/>
      <x:c r="U470" s="216"/>
      <x:c r="V470" s="216"/>
      <x:c r="W470" s="216"/>
      <x:c r="X470" s="216"/>
      <x:c r="Y470" s="216"/>
      <x:c r="Z470" s="216"/>
    </x:row>
    <x:row r="471">
      <x:c r="A471" s="216"/>
      <x:c r="B471" s="216"/>
      <x:c r="C471" s="216"/>
      <x:c r="D471" s="216"/>
      <x:c r="E471" s="216"/>
      <x:c r="F471" s="216"/>
      <x:c r="G471" s="216"/>
      <x:c r="H471" s="216"/>
      <x:c r="I471" s="216"/>
      <x:c r="J471" s="216"/>
      <x:c r="K471" s="216"/>
      <x:c r="L471" s="216"/>
      <x:c r="M471" s="216"/>
      <x:c r="N471" s="216"/>
      <x:c r="O471" s="216"/>
      <x:c r="P471" s="216"/>
      <x:c r="Q471" s="216"/>
      <x:c r="R471" s="216"/>
      <x:c r="S471" s="216"/>
      <x:c r="T471" s="216"/>
      <x:c r="U471" s="216"/>
      <x:c r="V471" s="216"/>
      <x:c r="W471" s="216"/>
      <x:c r="X471" s="216"/>
      <x:c r="Y471" s="216"/>
      <x:c r="Z471" s="216"/>
    </x:row>
    <x:row r="472">
      <x:c r="A472" s="216"/>
      <x:c r="B472" s="216"/>
      <x:c r="C472" s="216"/>
      <x:c r="D472" s="216"/>
      <x:c r="E472" s="216"/>
      <x:c r="F472" s="216"/>
      <x:c r="G472" s="216"/>
      <x:c r="H472" s="216"/>
      <x:c r="I472" s="216"/>
      <x:c r="J472" s="216"/>
      <x:c r="K472" s="216"/>
      <x:c r="L472" s="216"/>
      <x:c r="M472" s="216"/>
      <x:c r="N472" s="216"/>
      <x:c r="O472" s="216"/>
      <x:c r="P472" s="216"/>
      <x:c r="Q472" s="216"/>
      <x:c r="R472" s="216"/>
      <x:c r="S472" s="216"/>
      <x:c r="T472" s="216"/>
      <x:c r="U472" s="216"/>
      <x:c r="V472" s="216"/>
      <x:c r="W472" s="216"/>
      <x:c r="X472" s="216"/>
      <x:c r="Y472" s="216"/>
      <x:c r="Z472" s="216"/>
    </x:row>
    <x:row r="473">
      <x:c r="A473" s="216"/>
      <x:c r="B473" s="216"/>
      <x:c r="C473" s="216"/>
      <x:c r="D473" s="216"/>
      <x:c r="E473" s="216"/>
      <x:c r="F473" s="216"/>
      <x:c r="G473" s="216"/>
      <x:c r="H473" s="216"/>
      <x:c r="I473" s="216"/>
      <x:c r="J473" s="216"/>
      <x:c r="K473" s="216"/>
      <x:c r="L473" s="216"/>
      <x:c r="M473" s="216"/>
      <x:c r="N473" s="216"/>
      <x:c r="O473" s="216"/>
      <x:c r="P473" s="216"/>
      <x:c r="Q473" s="216"/>
      <x:c r="R473" s="216"/>
      <x:c r="S473" s="216"/>
      <x:c r="T473" s="216"/>
      <x:c r="U473" s="216"/>
      <x:c r="V473" s="216"/>
      <x:c r="W473" s="216"/>
      <x:c r="X473" s="216"/>
      <x:c r="Y473" s="216"/>
      <x:c r="Z473" s="216"/>
    </x:row>
    <x:row r="474">
      <x:c r="A474" s="216"/>
      <x:c r="B474" s="216"/>
      <x:c r="C474" s="216"/>
      <x:c r="D474" s="216"/>
      <x:c r="E474" s="216"/>
      <x:c r="F474" s="216"/>
      <x:c r="G474" s="216"/>
      <x:c r="H474" s="216"/>
      <x:c r="I474" s="216"/>
      <x:c r="J474" s="216"/>
      <x:c r="K474" s="216"/>
      <x:c r="L474" s="216"/>
      <x:c r="M474" s="216"/>
      <x:c r="N474" s="216"/>
      <x:c r="O474" s="216"/>
      <x:c r="P474" s="216"/>
      <x:c r="Q474" s="216"/>
      <x:c r="R474" s="216"/>
      <x:c r="S474" s="216"/>
      <x:c r="T474" s="216"/>
      <x:c r="U474" s="216"/>
      <x:c r="V474" s="216"/>
      <x:c r="W474" s="216"/>
      <x:c r="X474" s="216"/>
      <x:c r="Y474" s="216"/>
      <x:c r="Z474" s="216"/>
    </x:row>
    <x:row r="475">
      <x:c r="A475" s="216"/>
      <x:c r="B475" s="216"/>
      <x:c r="C475" s="216"/>
      <x:c r="D475" s="216"/>
      <x:c r="E475" s="216"/>
      <x:c r="F475" s="216"/>
      <x:c r="G475" s="216"/>
      <x:c r="H475" s="216"/>
      <x:c r="I475" s="216"/>
      <x:c r="J475" s="216"/>
      <x:c r="K475" s="216"/>
      <x:c r="L475" s="216"/>
      <x:c r="M475" s="216"/>
      <x:c r="N475" s="216"/>
      <x:c r="O475" s="216"/>
      <x:c r="P475" s="216"/>
      <x:c r="Q475" s="216"/>
      <x:c r="R475" s="216"/>
      <x:c r="S475" s="216"/>
      <x:c r="T475" s="216"/>
      <x:c r="U475" s="216"/>
      <x:c r="V475" s="216"/>
      <x:c r="W475" s="216"/>
      <x:c r="X475" s="216"/>
      <x:c r="Y475" s="216"/>
      <x:c r="Z475" s="216"/>
    </x:row>
    <x:row r="476">
      <x:c r="A476" s="216"/>
      <x:c r="B476" s="216"/>
      <x:c r="C476" s="216"/>
      <x:c r="D476" s="216"/>
      <x:c r="E476" s="216"/>
      <x:c r="F476" s="216"/>
      <x:c r="G476" s="216"/>
      <x:c r="H476" s="216"/>
      <x:c r="I476" s="216"/>
      <x:c r="J476" s="216"/>
      <x:c r="K476" s="216"/>
      <x:c r="L476" s="216"/>
      <x:c r="M476" s="216"/>
      <x:c r="N476" s="216"/>
      <x:c r="O476" s="216"/>
      <x:c r="P476" s="216"/>
      <x:c r="Q476" s="216"/>
      <x:c r="R476" s="216"/>
      <x:c r="S476" s="216"/>
      <x:c r="T476" s="216"/>
      <x:c r="U476" s="216"/>
      <x:c r="V476" s="216"/>
      <x:c r="W476" s="216"/>
      <x:c r="X476" s="216"/>
      <x:c r="Y476" s="216"/>
      <x:c r="Z476" s="216"/>
    </x:row>
    <x:row r="477">
      <x:c r="A477" s="216"/>
      <x:c r="B477" s="216"/>
      <x:c r="C477" s="216"/>
      <x:c r="D477" s="216"/>
      <x:c r="E477" s="216"/>
      <x:c r="F477" s="216"/>
      <x:c r="G477" s="216"/>
      <x:c r="H477" s="216"/>
      <x:c r="I477" s="216"/>
      <x:c r="J477" s="216"/>
      <x:c r="K477" s="216"/>
      <x:c r="L477" s="216"/>
      <x:c r="M477" s="216"/>
      <x:c r="N477" s="216"/>
      <x:c r="O477" s="216"/>
      <x:c r="P477" s="216"/>
      <x:c r="Q477" s="216"/>
      <x:c r="R477" s="216"/>
      <x:c r="S477" s="216"/>
      <x:c r="T477" s="216"/>
      <x:c r="U477" s="216"/>
      <x:c r="V477" s="216"/>
      <x:c r="W477" s="216"/>
      <x:c r="X477" s="216"/>
      <x:c r="Y477" s="216"/>
      <x:c r="Z477" s="216"/>
    </x:row>
    <x:row r="478">
      <x:c r="A478" s="216"/>
      <x:c r="B478" s="216"/>
      <x:c r="C478" s="216"/>
      <x:c r="D478" s="216"/>
      <x:c r="E478" s="216"/>
      <x:c r="F478" s="216"/>
      <x:c r="G478" s="216"/>
      <x:c r="H478" s="216"/>
      <x:c r="I478" s="216"/>
      <x:c r="J478" s="216"/>
      <x:c r="K478" s="216"/>
      <x:c r="L478" s="216"/>
      <x:c r="M478" s="216"/>
      <x:c r="N478" s="216"/>
      <x:c r="O478" s="216"/>
      <x:c r="P478" s="216"/>
      <x:c r="Q478" s="216"/>
      <x:c r="R478" s="216"/>
      <x:c r="S478" s="216"/>
      <x:c r="T478" s="216"/>
      <x:c r="U478" s="216"/>
      <x:c r="V478" s="216"/>
      <x:c r="W478" s="216"/>
      <x:c r="X478" s="216"/>
      <x:c r="Y478" s="216"/>
      <x:c r="Z478" s="216"/>
    </x:row>
    <x:row r="479">
      <x:c r="A479" s="216"/>
      <x:c r="B479" s="216"/>
      <x:c r="C479" s="216"/>
      <x:c r="D479" s="216"/>
      <x:c r="E479" s="216"/>
      <x:c r="F479" s="216"/>
      <x:c r="G479" s="216"/>
      <x:c r="H479" s="216"/>
      <x:c r="I479" s="216"/>
      <x:c r="J479" s="216"/>
      <x:c r="K479" s="216"/>
      <x:c r="L479" s="216"/>
      <x:c r="M479" s="216"/>
      <x:c r="N479" s="216"/>
      <x:c r="O479" s="216"/>
      <x:c r="P479" s="216"/>
      <x:c r="Q479" s="216"/>
      <x:c r="R479" s="216"/>
      <x:c r="S479" s="216"/>
      <x:c r="T479" s="216"/>
      <x:c r="U479" s="216"/>
      <x:c r="V479" s="216"/>
      <x:c r="W479" s="216"/>
      <x:c r="X479" s="216"/>
      <x:c r="Y479" s="216"/>
      <x:c r="Z479" s="216"/>
    </x:row>
    <x:row r="480">
      <x:c r="A480" s="216"/>
      <x:c r="B480" s="216"/>
      <x:c r="C480" s="216"/>
      <x:c r="D480" s="216"/>
      <x:c r="E480" s="216"/>
      <x:c r="F480" s="216"/>
      <x:c r="G480" s="216"/>
      <x:c r="H480" s="216"/>
      <x:c r="I480" s="216"/>
      <x:c r="J480" s="216"/>
      <x:c r="K480" s="216"/>
      <x:c r="L480" s="216"/>
      <x:c r="M480" s="216"/>
      <x:c r="N480" s="216"/>
      <x:c r="O480" s="216"/>
      <x:c r="P480" s="216"/>
      <x:c r="Q480" s="216"/>
      <x:c r="R480" s="216"/>
      <x:c r="S480" s="216"/>
      <x:c r="T480" s="216"/>
      <x:c r="U480" s="216"/>
      <x:c r="V480" s="216"/>
      <x:c r="W480" s="216"/>
      <x:c r="X480" s="216"/>
      <x:c r="Y480" s="216"/>
      <x:c r="Z480" s="216"/>
    </x:row>
    <x:row r="481">
      <x:c r="A481" s="216"/>
      <x:c r="B481" s="216"/>
      <x:c r="C481" s="216"/>
      <x:c r="D481" s="216"/>
      <x:c r="E481" s="216"/>
      <x:c r="F481" s="216"/>
      <x:c r="G481" s="216"/>
      <x:c r="H481" s="216"/>
      <x:c r="I481" s="216"/>
      <x:c r="J481" s="216"/>
      <x:c r="K481" s="216"/>
      <x:c r="L481" s="216"/>
      <x:c r="M481" s="216"/>
      <x:c r="N481" s="216"/>
      <x:c r="O481" s="216"/>
      <x:c r="P481" s="216"/>
      <x:c r="Q481" s="216"/>
      <x:c r="R481" s="216"/>
      <x:c r="S481" s="216"/>
      <x:c r="T481" s="216"/>
      <x:c r="U481" s="216"/>
      <x:c r="V481" s="216"/>
      <x:c r="W481" s="216"/>
      <x:c r="X481" s="216"/>
      <x:c r="Y481" s="216"/>
      <x:c r="Z481" s="216"/>
    </x:row>
    <x:row r="482">
      <x:c r="A482" s="216"/>
      <x:c r="B482" s="216"/>
      <x:c r="C482" s="216"/>
      <x:c r="D482" s="216"/>
      <x:c r="E482" s="216"/>
      <x:c r="F482" s="216"/>
      <x:c r="G482" s="216"/>
      <x:c r="H482" s="216"/>
      <x:c r="I482" s="216"/>
      <x:c r="J482" s="216"/>
      <x:c r="K482" s="216"/>
      <x:c r="L482" s="216"/>
      <x:c r="M482" s="216"/>
      <x:c r="N482" s="216"/>
      <x:c r="O482" s="216"/>
      <x:c r="P482" s="216"/>
      <x:c r="Q482" s="216"/>
      <x:c r="R482" s="216"/>
      <x:c r="S482" s="216"/>
      <x:c r="T482" s="216"/>
      <x:c r="U482" s="216"/>
      <x:c r="V482" s="216"/>
      <x:c r="W482" s="216"/>
      <x:c r="X482" s="216"/>
      <x:c r="Y482" s="216"/>
      <x:c r="Z482" s="216"/>
    </x:row>
    <x:row r="483">
      <x:c r="A483" s="216"/>
      <x:c r="B483" s="216"/>
      <x:c r="C483" s="216"/>
      <x:c r="D483" s="216"/>
      <x:c r="E483" s="216"/>
      <x:c r="F483" s="216"/>
      <x:c r="G483" s="216"/>
      <x:c r="H483" s="216"/>
      <x:c r="I483" s="216"/>
      <x:c r="J483" s="216"/>
      <x:c r="K483" s="216"/>
      <x:c r="L483" s="216"/>
      <x:c r="M483" s="216"/>
      <x:c r="N483" s="216"/>
      <x:c r="O483" s="216"/>
      <x:c r="P483" s="216"/>
      <x:c r="Q483" s="216"/>
      <x:c r="R483" s="216"/>
      <x:c r="S483" s="216"/>
      <x:c r="T483" s="216"/>
      <x:c r="U483" s="216"/>
      <x:c r="V483" s="216"/>
      <x:c r="W483" s="216"/>
      <x:c r="X483" s="216"/>
      <x:c r="Y483" s="216"/>
      <x:c r="Z483" s="216"/>
    </x:row>
    <x:row r="484">
      <x:c r="A484" s="216"/>
      <x:c r="B484" s="216"/>
      <x:c r="C484" s="216"/>
      <x:c r="D484" s="216"/>
      <x:c r="E484" s="216"/>
      <x:c r="F484" s="216"/>
      <x:c r="G484" s="216"/>
      <x:c r="H484" s="216"/>
      <x:c r="I484" s="216"/>
      <x:c r="J484" s="216"/>
      <x:c r="K484" s="216"/>
      <x:c r="L484" s="216"/>
      <x:c r="M484" s="216"/>
      <x:c r="N484" s="216"/>
      <x:c r="O484" s="216"/>
      <x:c r="P484" s="216"/>
      <x:c r="Q484" s="216"/>
      <x:c r="R484" s="216"/>
      <x:c r="S484" s="216"/>
      <x:c r="T484" s="216"/>
      <x:c r="U484" s="216"/>
      <x:c r="V484" s="216"/>
      <x:c r="W484" s="216"/>
      <x:c r="X484" s="216"/>
      <x:c r="Y484" s="216"/>
      <x:c r="Z484" s="216"/>
    </x:row>
    <x:row r="485">
      <x:c r="A485" s="216"/>
      <x:c r="B485" s="216"/>
      <x:c r="C485" s="216"/>
      <x:c r="D485" s="216"/>
      <x:c r="E485" s="216"/>
      <x:c r="F485" s="216"/>
      <x:c r="G485" s="216"/>
      <x:c r="H485" s="216"/>
      <x:c r="I485" s="216"/>
      <x:c r="J485" s="216"/>
      <x:c r="K485" s="216"/>
      <x:c r="L485" s="216"/>
      <x:c r="M485" s="216"/>
      <x:c r="N485" s="216"/>
      <x:c r="O485" s="216"/>
      <x:c r="P485" s="216"/>
      <x:c r="Q485" s="216"/>
      <x:c r="R485" s="216"/>
      <x:c r="S485" s="216"/>
      <x:c r="T485" s="216"/>
      <x:c r="U485" s="216"/>
      <x:c r="V485" s="216"/>
      <x:c r="W485" s="216"/>
      <x:c r="X485" s="216"/>
      <x:c r="Y485" s="216"/>
      <x:c r="Z485" s="216"/>
    </x:row>
    <x:row r="486">
      <x:c r="A486" s="216"/>
      <x:c r="B486" s="216"/>
      <x:c r="C486" s="216"/>
      <x:c r="D486" s="216"/>
      <x:c r="E486" s="216"/>
      <x:c r="F486" s="216"/>
      <x:c r="G486" s="216"/>
      <x:c r="H486" s="216"/>
      <x:c r="I486" s="216"/>
      <x:c r="J486" s="216"/>
      <x:c r="K486" s="216"/>
      <x:c r="L486" s="216"/>
      <x:c r="M486" s="216"/>
      <x:c r="N486" s="216"/>
      <x:c r="O486" s="216"/>
      <x:c r="P486" s="216"/>
      <x:c r="Q486" s="216"/>
      <x:c r="R486" s="216"/>
      <x:c r="S486" s="216"/>
      <x:c r="T486" s="216"/>
      <x:c r="U486" s="216"/>
      <x:c r="V486" s="216"/>
      <x:c r="W486" s="216"/>
      <x:c r="X486" s="216"/>
      <x:c r="Y486" s="216"/>
      <x:c r="Z486" s="216"/>
    </x:row>
    <x:row r="487">
      <x:c r="A487" s="216"/>
      <x:c r="B487" s="216"/>
      <x:c r="C487" s="216"/>
      <x:c r="D487" s="216"/>
      <x:c r="E487" s="216"/>
      <x:c r="F487" s="216"/>
      <x:c r="G487" s="216"/>
      <x:c r="H487" s="216"/>
      <x:c r="I487" s="216"/>
      <x:c r="J487" s="216"/>
      <x:c r="K487" s="216"/>
      <x:c r="L487" s="216"/>
      <x:c r="M487" s="216"/>
      <x:c r="N487" s="216"/>
      <x:c r="O487" s="216"/>
      <x:c r="P487" s="216"/>
      <x:c r="Q487" s="216"/>
      <x:c r="R487" s="216"/>
      <x:c r="S487" s="216"/>
      <x:c r="T487" s="216"/>
      <x:c r="U487" s="216"/>
      <x:c r="V487" s="216"/>
      <x:c r="W487" s="216"/>
      <x:c r="X487" s="216"/>
      <x:c r="Y487" s="216"/>
      <x:c r="Z487" s="216"/>
    </x:row>
    <x:row r="488">
      <x:c r="A488" s="216"/>
      <x:c r="B488" s="216"/>
      <x:c r="C488" s="216"/>
      <x:c r="D488" s="216"/>
      <x:c r="E488" s="216"/>
      <x:c r="F488" s="216"/>
      <x:c r="G488" s="216"/>
      <x:c r="H488" s="216"/>
      <x:c r="I488" s="216"/>
      <x:c r="J488" s="216"/>
      <x:c r="K488" s="216"/>
      <x:c r="L488" s="216"/>
      <x:c r="M488" s="216"/>
      <x:c r="N488" s="216"/>
      <x:c r="O488" s="216"/>
      <x:c r="P488" s="216"/>
      <x:c r="Q488" s="216"/>
      <x:c r="R488" s="216"/>
      <x:c r="S488" s="216"/>
      <x:c r="T488" s="216"/>
      <x:c r="U488" s="216"/>
      <x:c r="V488" s="216"/>
      <x:c r="W488" s="216"/>
      <x:c r="X488" s="216"/>
      <x:c r="Y488" s="216"/>
      <x:c r="Z488" s="216"/>
    </x:row>
    <x:row r="489">
      <x:c r="A489" s="216"/>
      <x:c r="B489" s="216"/>
      <x:c r="C489" s="216"/>
      <x:c r="D489" s="216"/>
      <x:c r="E489" s="216"/>
      <x:c r="F489" s="216"/>
      <x:c r="G489" s="216"/>
      <x:c r="H489" s="216"/>
      <x:c r="I489" s="216"/>
      <x:c r="J489" s="216"/>
      <x:c r="K489" s="216"/>
      <x:c r="L489" s="216"/>
      <x:c r="M489" s="216"/>
      <x:c r="N489" s="216"/>
      <x:c r="O489" s="216"/>
      <x:c r="P489" s="216"/>
      <x:c r="Q489" s="216"/>
      <x:c r="R489" s="216"/>
      <x:c r="S489" s="216"/>
      <x:c r="T489" s="216"/>
      <x:c r="U489" s="216"/>
      <x:c r="V489" s="216"/>
      <x:c r="W489" s="216"/>
      <x:c r="X489" s="216"/>
      <x:c r="Y489" s="216"/>
      <x:c r="Z489" s="216"/>
    </x:row>
    <x:row r="490">
      <x:c r="A490" s="216"/>
      <x:c r="B490" s="216"/>
      <x:c r="C490" s="216"/>
      <x:c r="D490" s="216"/>
      <x:c r="E490" s="216"/>
      <x:c r="F490" s="216"/>
      <x:c r="G490" s="216"/>
      <x:c r="H490" s="216"/>
      <x:c r="I490" s="216"/>
      <x:c r="J490" s="216"/>
      <x:c r="K490" s="216"/>
      <x:c r="L490" s="216"/>
      <x:c r="M490" s="216"/>
      <x:c r="N490" s="216"/>
      <x:c r="O490" s="216"/>
      <x:c r="P490" s="216"/>
      <x:c r="Q490" s="216"/>
      <x:c r="R490" s="216"/>
      <x:c r="S490" s="216"/>
      <x:c r="T490" s="216"/>
      <x:c r="U490" s="216"/>
      <x:c r="V490" s="216"/>
      <x:c r="W490" s="216"/>
      <x:c r="X490" s="216"/>
      <x:c r="Y490" s="216"/>
      <x:c r="Z490" s="216"/>
    </x:row>
    <x:row r="491">
      <x:c r="A491" s="216"/>
      <x:c r="B491" s="216"/>
      <x:c r="C491" s="216"/>
      <x:c r="D491" s="216"/>
      <x:c r="E491" s="216"/>
      <x:c r="F491" s="216"/>
      <x:c r="G491" s="216"/>
      <x:c r="H491" s="216"/>
      <x:c r="I491" s="216"/>
      <x:c r="J491" s="216"/>
      <x:c r="K491" s="216"/>
      <x:c r="L491" s="216"/>
      <x:c r="M491" s="216"/>
      <x:c r="N491" s="216"/>
      <x:c r="O491" s="216"/>
      <x:c r="P491" s="216"/>
      <x:c r="Q491" s="216"/>
      <x:c r="R491" s="216"/>
      <x:c r="S491" s="216"/>
      <x:c r="T491" s="216"/>
      <x:c r="U491" s="216"/>
      <x:c r="V491" s="216"/>
      <x:c r="W491" s="216"/>
      <x:c r="X491" s="216"/>
      <x:c r="Y491" s="216"/>
      <x:c r="Z491" s="216"/>
    </x:row>
    <x:row r="492">
      <x:c r="A492" s="216"/>
      <x:c r="B492" s="216"/>
      <x:c r="C492" s="216"/>
      <x:c r="D492" s="216"/>
      <x:c r="E492" s="216"/>
      <x:c r="F492" s="216"/>
      <x:c r="G492" s="216"/>
      <x:c r="H492" s="216"/>
      <x:c r="I492" s="216"/>
      <x:c r="J492" s="216"/>
      <x:c r="K492" s="216"/>
      <x:c r="L492" s="216"/>
      <x:c r="M492" s="216"/>
      <x:c r="N492" s="216"/>
      <x:c r="O492" s="216"/>
      <x:c r="P492" s="216"/>
      <x:c r="Q492" s="216"/>
      <x:c r="R492" s="216"/>
      <x:c r="S492" s="216"/>
      <x:c r="T492" s="216"/>
      <x:c r="U492" s="216"/>
      <x:c r="V492" s="216"/>
      <x:c r="W492" s="216"/>
      <x:c r="X492" s="216"/>
      <x:c r="Y492" s="216"/>
      <x:c r="Z492" s="216"/>
    </x:row>
    <x:row r="493">
      <x:c r="A493" s="216"/>
      <x:c r="B493" s="216"/>
      <x:c r="C493" s="216"/>
      <x:c r="D493" s="216"/>
      <x:c r="E493" s="216"/>
      <x:c r="F493" s="216"/>
      <x:c r="G493" s="216"/>
      <x:c r="H493" s="216"/>
      <x:c r="I493" s="216"/>
      <x:c r="J493" s="216"/>
      <x:c r="K493" s="216"/>
      <x:c r="L493" s="216"/>
      <x:c r="M493" s="216"/>
      <x:c r="N493" s="216"/>
      <x:c r="O493" s="216"/>
      <x:c r="P493" s="216"/>
      <x:c r="Q493" s="216"/>
      <x:c r="R493" s="216"/>
      <x:c r="S493" s="216"/>
      <x:c r="T493" s="216"/>
      <x:c r="U493" s="216"/>
      <x:c r="V493" s="216"/>
      <x:c r="W493" s="216"/>
      <x:c r="X493" s="216"/>
      <x:c r="Y493" s="216"/>
      <x:c r="Z493" s="216"/>
    </x:row>
    <x:row r="494">
      <x:c r="A494" s="216"/>
      <x:c r="B494" s="216"/>
      <x:c r="C494" s="216"/>
      <x:c r="D494" s="216"/>
      <x:c r="E494" s="216"/>
      <x:c r="F494" s="216"/>
      <x:c r="G494" s="216"/>
      <x:c r="H494" s="216"/>
      <x:c r="I494" s="216"/>
      <x:c r="J494" s="216"/>
      <x:c r="K494" s="216"/>
      <x:c r="L494" s="216"/>
      <x:c r="M494" s="216"/>
      <x:c r="N494" s="216"/>
      <x:c r="O494" s="216"/>
      <x:c r="P494" s="216"/>
      <x:c r="Q494" s="216"/>
      <x:c r="R494" s="216"/>
      <x:c r="S494" s="216"/>
      <x:c r="T494" s="216"/>
      <x:c r="U494" s="216"/>
      <x:c r="V494" s="216"/>
      <x:c r="W494" s="216"/>
      <x:c r="X494" s="216"/>
      <x:c r="Y494" s="216"/>
      <x:c r="Z494" s="216"/>
    </x:row>
    <x:row r="495">
      <x:c r="A495" s="216"/>
      <x:c r="B495" s="216"/>
      <x:c r="C495" s="216"/>
      <x:c r="D495" s="216"/>
      <x:c r="E495" s="216"/>
      <x:c r="F495" s="216"/>
      <x:c r="G495" s="216"/>
      <x:c r="H495" s="216"/>
      <x:c r="I495" s="216"/>
      <x:c r="J495" s="216"/>
      <x:c r="K495" s="216"/>
      <x:c r="L495" s="216"/>
      <x:c r="M495" s="216"/>
      <x:c r="N495" s="216"/>
      <x:c r="O495" s="216"/>
      <x:c r="P495" s="216"/>
      <x:c r="Q495" s="216"/>
      <x:c r="R495" s="216"/>
      <x:c r="S495" s="216"/>
      <x:c r="T495" s="216"/>
      <x:c r="U495" s="216"/>
      <x:c r="V495" s="216"/>
      <x:c r="W495" s="216"/>
      <x:c r="X495" s="216"/>
      <x:c r="Y495" s="216"/>
      <x:c r="Z495" s="216"/>
    </x:row>
    <x:row r="496">
      <x:c r="A496" s="216"/>
      <x:c r="B496" s="216"/>
      <x:c r="C496" s="216"/>
      <x:c r="D496" s="216"/>
      <x:c r="E496" s="216"/>
      <x:c r="F496" s="216"/>
      <x:c r="G496" s="216"/>
      <x:c r="H496" s="216"/>
      <x:c r="I496" s="216"/>
      <x:c r="J496" s="216"/>
      <x:c r="K496" s="216"/>
      <x:c r="L496" s="216"/>
      <x:c r="M496" s="216"/>
      <x:c r="N496" s="216"/>
      <x:c r="O496" s="216"/>
      <x:c r="P496" s="216"/>
      <x:c r="Q496" s="216"/>
      <x:c r="R496" s="216"/>
      <x:c r="S496" s="216"/>
      <x:c r="T496" s="216"/>
      <x:c r="U496" s="216"/>
      <x:c r="V496" s="216"/>
      <x:c r="W496" s="216"/>
      <x:c r="X496" s="216"/>
      <x:c r="Y496" s="216"/>
      <x:c r="Z496" s="216"/>
    </x:row>
    <x:row r="497">
      <x:c r="A497" s="216"/>
      <x:c r="B497" s="216"/>
      <x:c r="C497" s="216"/>
      <x:c r="D497" s="216"/>
      <x:c r="E497" s="216"/>
      <x:c r="F497" s="216"/>
      <x:c r="G497" s="216"/>
      <x:c r="H497" s="216"/>
      <x:c r="I497" s="216"/>
      <x:c r="J497" s="216"/>
      <x:c r="K497" s="216"/>
      <x:c r="L497" s="216"/>
      <x:c r="M497" s="216"/>
      <x:c r="N497" s="216"/>
      <x:c r="O497" s="216"/>
      <x:c r="P497" s="216"/>
      <x:c r="Q497" s="216"/>
      <x:c r="R497" s="216"/>
      <x:c r="S497" s="216"/>
      <x:c r="T497" s="216"/>
      <x:c r="U497" s="216"/>
      <x:c r="V497" s="216"/>
      <x:c r="W497" s="216"/>
      <x:c r="X497" s="216"/>
      <x:c r="Y497" s="216"/>
      <x:c r="Z497" s="216"/>
    </x:row>
    <x:row r="498">
      <x:c r="A498" s="216"/>
      <x:c r="B498" s="216"/>
      <x:c r="C498" s="216"/>
      <x:c r="D498" s="216"/>
      <x:c r="E498" s="216"/>
      <x:c r="F498" s="216"/>
      <x:c r="G498" s="216"/>
      <x:c r="H498" s="216"/>
      <x:c r="I498" s="216"/>
      <x:c r="J498" s="216"/>
      <x:c r="K498" s="216"/>
      <x:c r="L498" s="216"/>
      <x:c r="M498" s="216"/>
      <x:c r="N498" s="216"/>
      <x:c r="O498" s="216"/>
      <x:c r="P498" s="216"/>
      <x:c r="Q498" s="216"/>
      <x:c r="R498" s="216"/>
      <x:c r="S498" s="216"/>
      <x:c r="T498" s="216"/>
      <x:c r="U498" s="216"/>
      <x:c r="V498" s="216"/>
      <x:c r="W498" s="216"/>
      <x:c r="X498" s="216"/>
      <x:c r="Y498" s="216"/>
      <x:c r="Z498" s="216"/>
    </x:row>
    <x:row r="499">
      <x:c r="A499" s="216"/>
      <x:c r="B499" s="216"/>
      <x:c r="C499" s="216"/>
      <x:c r="D499" s="216"/>
      <x:c r="E499" s="216"/>
      <x:c r="F499" s="216"/>
      <x:c r="G499" s="216"/>
      <x:c r="H499" s="216"/>
      <x:c r="I499" s="216"/>
      <x:c r="J499" s="216"/>
      <x:c r="K499" s="216"/>
      <x:c r="L499" s="216"/>
      <x:c r="M499" s="216"/>
      <x:c r="N499" s="216"/>
      <x:c r="O499" s="216"/>
      <x:c r="P499" s="216"/>
      <x:c r="Q499" s="216"/>
      <x:c r="R499" s="216"/>
      <x:c r="S499" s="216"/>
      <x:c r="T499" s="216"/>
      <x:c r="U499" s="216"/>
      <x:c r="V499" s="216"/>
      <x:c r="W499" s="216"/>
      <x:c r="X499" s="216"/>
      <x:c r="Y499" s="216"/>
      <x:c r="Z499" s="216"/>
    </x:row>
    <x:row r="500">
      <x:c r="A500" s="216"/>
      <x:c r="B500" s="216"/>
      <x:c r="C500" s="216"/>
      <x:c r="D500" s="216"/>
      <x:c r="E500" s="216"/>
      <x:c r="F500" s="216"/>
      <x:c r="G500" s="216"/>
      <x:c r="H500" s="216"/>
      <x:c r="I500" s="216"/>
      <x:c r="J500" s="216"/>
      <x:c r="K500" s="216"/>
      <x:c r="L500" s="216"/>
      <x:c r="M500" s="216"/>
      <x:c r="N500" s="216"/>
      <x:c r="O500" s="216"/>
      <x:c r="P500" s="216"/>
      <x:c r="Q500" s="216"/>
      <x:c r="R500" s="216"/>
      <x:c r="S500" s="216"/>
      <x:c r="T500" s="216"/>
      <x:c r="U500" s="216"/>
      <x:c r="V500" s="216"/>
      <x:c r="W500" s="216"/>
      <x:c r="X500" s="216"/>
      <x:c r="Y500" s="216"/>
      <x:c r="Z500" s="216"/>
    </x:row>
    <x:row r="501">
      <x:c r="A501" s="216"/>
      <x:c r="B501" s="216"/>
      <x:c r="C501" s="216"/>
      <x:c r="D501" s="216"/>
      <x:c r="E501" s="216"/>
      <x:c r="F501" s="216"/>
      <x:c r="G501" s="216"/>
      <x:c r="H501" s="216"/>
      <x:c r="I501" s="216"/>
      <x:c r="J501" s="216"/>
      <x:c r="K501" s="216"/>
      <x:c r="L501" s="216"/>
      <x:c r="M501" s="216"/>
      <x:c r="N501" s="216"/>
      <x:c r="O501" s="216"/>
      <x:c r="P501" s="216"/>
      <x:c r="Q501" s="216"/>
      <x:c r="R501" s="216"/>
      <x:c r="S501" s="216"/>
      <x:c r="T501" s="216"/>
      <x:c r="U501" s="216"/>
      <x:c r="V501" s="216"/>
      <x:c r="W501" s="216"/>
      <x:c r="X501" s="216"/>
      <x:c r="Y501" s="216"/>
      <x:c r="Z501" s="216"/>
    </x:row>
    <x:row r="502">
      <x:c r="A502" s="216"/>
      <x:c r="B502" s="216"/>
      <x:c r="C502" s="216"/>
      <x:c r="D502" s="216"/>
      <x:c r="E502" s="216"/>
      <x:c r="F502" s="216"/>
      <x:c r="G502" s="216"/>
      <x:c r="H502" s="216"/>
      <x:c r="I502" s="216"/>
      <x:c r="J502" s="216"/>
      <x:c r="K502" s="216"/>
      <x:c r="L502" s="216"/>
      <x:c r="M502" s="216"/>
      <x:c r="N502" s="216"/>
      <x:c r="O502" s="216"/>
      <x:c r="P502" s="216"/>
      <x:c r="Q502" s="216"/>
      <x:c r="R502" s="216"/>
      <x:c r="S502" s="216"/>
      <x:c r="T502" s="216"/>
      <x:c r="U502" s="216"/>
      <x:c r="V502" s="216"/>
      <x:c r="W502" s="216"/>
      <x:c r="X502" s="216"/>
      <x:c r="Y502" s="216"/>
      <x:c r="Z502" s="216"/>
    </x:row>
    <x:row r="503">
      <x:c r="A503" s="216"/>
      <x:c r="B503" s="216"/>
      <x:c r="C503" s="216"/>
      <x:c r="D503" s="216"/>
      <x:c r="E503" s="216"/>
      <x:c r="F503" s="216"/>
      <x:c r="G503" s="216"/>
      <x:c r="H503" s="216"/>
      <x:c r="I503" s="216"/>
      <x:c r="J503" s="216"/>
      <x:c r="K503" s="216"/>
      <x:c r="L503" s="216"/>
      <x:c r="M503" s="216"/>
      <x:c r="N503" s="216"/>
      <x:c r="O503" s="216"/>
      <x:c r="P503" s="216"/>
      <x:c r="Q503" s="216"/>
      <x:c r="R503" s="216"/>
      <x:c r="S503" s="216"/>
      <x:c r="T503" s="216"/>
      <x:c r="U503" s="216"/>
      <x:c r="V503" s="216"/>
      <x:c r="W503" s="216"/>
      <x:c r="X503" s="216"/>
      <x:c r="Y503" s="216"/>
      <x:c r="Z503" s="216"/>
    </x:row>
    <x:row r="504">
      <x:c r="A504" s="216"/>
      <x:c r="B504" s="216"/>
      <x:c r="C504" s="216"/>
      <x:c r="D504" s="216"/>
      <x:c r="E504" s="216"/>
      <x:c r="F504" s="216"/>
      <x:c r="G504" s="216"/>
      <x:c r="H504" s="216"/>
      <x:c r="I504" s="216"/>
      <x:c r="J504" s="216"/>
      <x:c r="K504" s="216"/>
      <x:c r="L504" s="216"/>
      <x:c r="M504" s="216"/>
      <x:c r="N504" s="216"/>
      <x:c r="O504" s="216"/>
      <x:c r="P504" s="216"/>
      <x:c r="Q504" s="216"/>
      <x:c r="R504" s="216"/>
      <x:c r="S504" s="216"/>
      <x:c r="T504" s="216"/>
      <x:c r="U504" s="216"/>
      <x:c r="V504" s="216"/>
      <x:c r="W504" s="216"/>
      <x:c r="X504" s="216"/>
      <x:c r="Y504" s="216"/>
      <x:c r="Z504" s="216"/>
    </x:row>
    <x:row r="505">
      <x:c r="A505" s="216"/>
      <x:c r="B505" s="216"/>
      <x:c r="C505" s="216"/>
      <x:c r="D505" s="216"/>
      <x:c r="E505" s="216"/>
      <x:c r="F505" s="216"/>
      <x:c r="G505" s="216"/>
      <x:c r="H505" s="216"/>
      <x:c r="I505" s="216"/>
      <x:c r="J505" s="216"/>
      <x:c r="K505" s="216"/>
      <x:c r="L505" s="216"/>
      <x:c r="M505" s="216"/>
      <x:c r="N505" s="216"/>
      <x:c r="O505" s="216"/>
      <x:c r="P505" s="216"/>
      <x:c r="Q505" s="216"/>
      <x:c r="R505" s="216"/>
      <x:c r="S505" s="216"/>
      <x:c r="T505" s="216"/>
      <x:c r="U505" s="216"/>
      <x:c r="V505" s="216"/>
      <x:c r="W505" s="216"/>
      <x:c r="X505" s="216"/>
      <x:c r="Y505" s="216"/>
      <x:c r="Z505" s="216"/>
    </x:row>
    <x:row r="506">
      <x:c r="A506" s="216"/>
      <x:c r="B506" s="216"/>
      <x:c r="C506" s="216"/>
      <x:c r="D506" s="216"/>
      <x:c r="E506" s="216"/>
      <x:c r="F506" s="216"/>
      <x:c r="G506" s="216"/>
      <x:c r="H506" s="216"/>
      <x:c r="I506" s="216"/>
      <x:c r="J506" s="216"/>
      <x:c r="K506" s="216"/>
      <x:c r="L506" s="216"/>
      <x:c r="M506" s="216"/>
      <x:c r="N506" s="216"/>
      <x:c r="O506" s="216"/>
      <x:c r="P506" s="216"/>
      <x:c r="Q506" s="216"/>
      <x:c r="R506" s="216"/>
      <x:c r="S506" s="216"/>
      <x:c r="T506" s="216"/>
      <x:c r="U506" s="216"/>
      <x:c r="V506" s="216"/>
      <x:c r="W506" s="216"/>
      <x:c r="X506" s="216"/>
      <x:c r="Y506" s="216"/>
      <x:c r="Z506" s="216"/>
    </x:row>
    <x:row r="507">
      <x:c r="A507" s="216"/>
      <x:c r="B507" s="216"/>
      <x:c r="C507" s="216"/>
      <x:c r="D507" s="216"/>
      <x:c r="E507" s="216"/>
      <x:c r="F507" s="216"/>
      <x:c r="G507" s="216"/>
      <x:c r="H507" s="216"/>
      <x:c r="I507" s="216"/>
      <x:c r="J507" s="216"/>
      <x:c r="K507" s="216"/>
      <x:c r="L507" s="216"/>
      <x:c r="M507" s="216"/>
      <x:c r="N507" s="216"/>
      <x:c r="O507" s="216"/>
      <x:c r="P507" s="216"/>
      <x:c r="Q507" s="216"/>
      <x:c r="R507" s="216"/>
      <x:c r="S507" s="216"/>
      <x:c r="T507" s="216"/>
      <x:c r="U507" s="216"/>
      <x:c r="V507" s="216"/>
      <x:c r="W507" s="216"/>
      <x:c r="X507" s="216"/>
      <x:c r="Y507" s="216"/>
      <x:c r="Z507" s="216"/>
    </x:row>
    <x:row r="508">
      <x:c r="A508" s="216"/>
      <x:c r="B508" s="216"/>
      <x:c r="C508" s="216"/>
      <x:c r="D508" s="216"/>
      <x:c r="E508" s="216"/>
      <x:c r="F508" s="216"/>
      <x:c r="G508" s="216"/>
      <x:c r="H508" s="216"/>
      <x:c r="I508" s="216"/>
      <x:c r="J508" s="216"/>
      <x:c r="K508" s="216"/>
      <x:c r="L508" s="216"/>
      <x:c r="M508" s="216"/>
      <x:c r="N508" s="216"/>
      <x:c r="O508" s="216"/>
      <x:c r="P508" s="216"/>
      <x:c r="Q508" s="216"/>
      <x:c r="R508" s="216"/>
      <x:c r="S508" s="216"/>
      <x:c r="T508" s="216"/>
      <x:c r="U508" s="216"/>
      <x:c r="V508" s="216"/>
      <x:c r="W508" s="216"/>
      <x:c r="X508" s="216"/>
      <x:c r="Y508" s="216"/>
      <x:c r="Z508" s="216"/>
    </x:row>
    <x:row r="509">
      <x:c r="A509" s="216"/>
      <x:c r="B509" s="216"/>
      <x:c r="C509" s="216"/>
      <x:c r="D509" s="216"/>
      <x:c r="E509" s="216"/>
      <x:c r="F509" s="216"/>
      <x:c r="G509" s="216"/>
      <x:c r="H509" s="216"/>
      <x:c r="I509" s="216"/>
      <x:c r="J509" s="216"/>
      <x:c r="K509" s="216"/>
      <x:c r="L509" s="216"/>
      <x:c r="M509" s="216"/>
      <x:c r="N509" s="216"/>
      <x:c r="O509" s="216"/>
      <x:c r="P509" s="216"/>
      <x:c r="Q509" s="216"/>
      <x:c r="R509" s="216"/>
      <x:c r="S509" s="216"/>
      <x:c r="T509" s="216"/>
      <x:c r="U509" s="216"/>
      <x:c r="V509" s="216"/>
      <x:c r="W509" s="216"/>
      <x:c r="X509" s="216"/>
      <x:c r="Y509" s="216"/>
      <x:c r="Z509" s="216"/>
    </x:row>
    <x:row r="510">
      <x:c r="A510" s="216"/>
      <x:c r="B510" s="216"/>
      <x:c r="C510" s="216"/>
      <x:c r="D510" s="216"/>
      <x:c r="E510" s="216"/>
      <x:c r="F510" s="216"/>
      <x:c r="G510" s="216"/>
      <x:c r="H510" s="216"/>
      <x:c r="I510" s="216"/>
      <x:c r="J510" s="216"/>
      <x:c r="K510" s="216"/>
      <x:c r="L510" s="216"/>
      <x:c r="M510" s="216"/>
      <x:c r="N510" s="216"/>
      <x:c r="O510" s="216"/>
      <x:c r="P510" s="216"/>
      <x:c r="Q510" s="216"/>
      <x:c r="R510" s="216"/>
      <x:c r="S510" s="216"/>
      <x:c r="T510" s="216"/>
      <x:c r="U510" s="216"/>
      <x:c r="V510" s="216"/>
      <x:c r="W510" s="216"/>
      <x:c r="X510" s="216"/>
      <x:c r="Y510" s="216"/>
      <x:c r="Z510" s="216"/>
    </x:row>
    <x:row r="511">
      <x:c r="A511" s="216"/>
      <x:c r="B511" s="216"/>
      <x:c r="C511" s="216"/>
      <x:c r="D511" s="216"/>
      <x:c r="E511" s="216"/>
      <x:c r="F511" s="216"/>
      <x:c r="G511" s="216"/>
      <x:c r="H511" s="216"/>
      <x:c r="I511" s="216"/>
      <x:c r="J511" s="216"/>
      <x:c r="K511" s="216"/>
      <x:c r="L511" s="216"/>
      <x:c r="M511" s="216"/>
      <x:c r="N511" s="216"/>
      <x:c r="O511" s="216"/>
      <x:c r="P511" s="216"/>
      <x:c r="Q511" s="216"/>
      <x:c r="R511" s="216"/>
      <x:c r="S511" s="216"/>
      <x:c r="T511" s="216"/>
      <x:c r="U511" s="216"/>
      <x:c r="V511" s="216"/>
      <x:c r="W511" s="216"/>
      <x:c r="X511" s="216"/>
      <x:c r="Y511" s="216"/>
      <x:c r="Z511" s="216"/>
    </x:row>
    <x:row r="512">
      <x:c r="A512" s="216"/>
      <x:c r="B512" s="216"/>
      <x:c r="C512" s="216"/>
      <x:c r="D512" s="216"/>
      <x:c r="E512" s="216"/>
      <x:c r="F512" s="216"/>
      <x:c r="G512" s="216"/>
      <x:c r="H512" s="216"/>
      <x:c r="I512" s="216"/>
      <x:c r="J512" s="216"/>
      <x:c r="K512" s="216"/>
      <x:c r="L512" s="216"/>
      <x:c r="M512" s="216"/>
      <x:c r="N512" s="216"/>
      <x:c r="O512" s="216"/>
      <x:c r="P512" s="216"/>
      <x:c r="Q512" s="216"/>
      <x:c r="R512" s="216"/>
      <x:c r="S512" s="216"/>
      <x:c r="T512" s="216"/>
      <x:c r="U512" s="216"/>
      <x:c r="V512" s="216"/>
      <x:c r="W512" s="216"/>
      <x:c r="X512" s="216"/>
      <x:c r="Y512" s="216"/>
      <x:c r="Z512" s="216"/>
    </x:row>
    <x:row r="513">
      <x:c r="A513" s="216"/>
      <x:c r="B513" s="216"/>
      <x:c r="C513" s="216"/>
      <x:c r="D513" s="216"/>
      <x:c r="E513" s="216"/>
      <x:c r="F513" s="216"/>
      <x:c r="G513" s="216"/>
      <x:c r="H513" s="216"/>
      <x:c r="I513" s="216"/>
      <x:c r="J513" s="216"/>
      <x:c r="K513" s="216"/>
      <x:c r="L513" s="216"/>
      <x:c r="M513" s="216"/>
      <x:c r="N513" s="216"/>
      <x:c r="O513" s="216"/>
      <x:c r="P513" s="216"/>
      <x:c r="Q513" s="216"/>
      <x:c r="R513" s="216"/>
      <x:c r="S513" s="216"/>
      <x:c r="T513" s="216"/>
      <x:c r="U513" s="216"/>
      <x:c r="V513" s="216"/>
      <x:c r="W513" s="216"/>
      <x:c r="X513" s="216"/>
      <x:c r="Y513" s="216"/>
      <x:c r="Z513" s="216"/>
    </x:row>
    <x:row r="514">
      <x:c r="A514" s="216"/>
      <x:c r="B514" s="216"/>
      <x:c r="C514" s="216"/>
      <x:c r="D514" s="216"/>
      <x:c r="E514" s="216"/>
      <x:c r="F514" s="216"/>
      <x:c r="G514" s="216"/>
      <x:c r="H514" s="216"/>
      <x:c r="I514" s="216"/>
      <x:c r="J514" s="216"/>
      <x:c r="K514" s="216"/>
      <x:c r="L514" s="216"/>
      <x:c r="M514" s="216"/>
      <x:c r="N514" s="216"/>
      <x:c r="O514" s="216"/>
      <x:c r="P514" s="216"/>
      <x:c r="Q514" s="216"/>
      <x:c r="R514" s="216"/>
      <x:c r="S514" s="216"/>
      <x:c r="T514" s="216"/>
      <x:c r="U514" s="216"/>
      <x:c r="V514" s="216"/>
      <x:c r="W514" s="216"/>
      <x:c r="X514" s="216"/>
      <x:c r="Y514" s="216"/>
      <x:c r="Z514" s="216"/>
    </x:row>
    <x:row r="515">
      <x:c r="A515" s="216"/>
      <x:c r="B515" s="216"/>
      <x:c r="C515" s="216"/>
      <x:c r="D515" s="216"/>
      <x:c r="E515" s="216"/>
      <x:c r="F515" s="216"/>
      <x:c r="G515" s="216"/>
      <x:c r="H515" s="216"/>
      <x:c r="I515" s="216"/>
      <x:c r="J515" s="216"/>
      <x:c r="K515" s="216"/>
      <x:c r="L515" s="216"/>
      <x:c r="M515" s="216"/>
      <x:c r="N515" s="216"/>
      <x:c r="O515" s="216"/>
      <x:c r="P515" s="216"/>
      <x:c r="Q515" s="216"/>
      <x:c r="R515" s="216"/>
      <x:c r="S515" s="216"/>
      <x:c r="T515" s="216"/>
      <x:c r="U515" s="216"/>
      <x:c r="V515" s="216"/>
      <x:c r="W515" s="216"/>
      <x:c r="X515" s="216"/>
      <x:c r="Y515" s="216"/>
      <x:c r="Z515" s="216"/>
    </x:row>
    <x:row r="516">
      <x:c r="A516" s="216"/>
      <x:c r="B516" s="216"/>
      <x:c r="C516" s="216"/>
      <x:c r="D516" s="216"/>
      <x:c r="E516" s="216"/>
      <x:c r="F516" s="216"/>
      <x:c r="G516" s="216"/>
      <x:c r="H516" s="216"/>
      <x:c r="I516" s="216"/>
      <x:c r="J516" s="216"/>
      <x:c r="K516" s="216"/>
      <x:c r="L516" s="216"/>
      <x:c r="M516" s="216"/>
      <x:c r="N516" s="216"/>
      <x:c r="O516" s="216"/>
      <x:c r="P516" s="216"/>
      <x:c r="Q516" s="216"/>
      <x:c r="R516" s="216"/>
      <x:c r="S516" s="216"/>
      <x:c r="T516" s="216"/>
      <x:c r="U516" s="216"/>
      <x:c r="V516" s="216"/>
      <x:c r="W516" s="216"/>
      <x:c r="X516" s="216"/>
      <x:c r="Y516" s="216"/>
      <x:c r="Z516" s="216"/>
    </x:row>
    <x:row r="517">
      <x:c r="A517" s="216"/>
      <x:c r="B517" s="216"/>
      <x:c r="C517" s="216"/>
      <x:c r="D517" s="216"/>
      <x:c r="E517" s="216"/>
      <x:c r="F517" s="216"/>
      <x:c r="G517" s="216"/>
      <x:c r="H517" s="216"/>
      <x:c r="I517" s="216"/>
      <x:c r="J517" s="216"/>
      <x:c r="K517" s="216"/>
      <x:c r="L517" s="216"/>
      <x:c r="M517" s="216"/>
      <x:c r="N517" s="216"/>
      <x:c r="O517" s="216"/>
      <x:c r="P517" s="216"/>
      <x:c r="Q517" s="216"/>
      <x:c r="R517" s="216"/>
      <x:c r="S517" s="216"/>
      <x:c r="T517" s="216"/>
      <x:c r="U517" s="216"/>
      <x:c r="V517" s="216"/>
      <x:c r="W517" s="216"/>
      <x:c r="X517" s="216"/>
      <x:c r="Y517" s="216"/>
      <x:c r="Z517" s="216"/>
    </x:row>
    <x:row r="518">
      <x:c r="A518" s="216"/>
      <x:c r="B518" s="216"/>
      <x:c r="C518" s="216"/>
      <x:c r="D518" s="216"/>
      <x:c r="E518" s="216"/>
      <x:c r="F518" s="216"/>
      <x:c r="G518" s="216"/>
      <x:c r="H518" s="216"/>
      <x:c r="I518" s="216"/>
      <x:c r="J518" s="216"/>
      <x:c r="K518" s="216"/>
      <x:c r="L518" s="216"/>
      <x:c r="M518" s="216"/>
      <x:c r="N518" s="216"/>
      <x:c r="O518" s="216"/>
      <x:c r="P518" s="216"/>
      <x:c r="Q518" s="216"/>
      <x:c r="R518" s="216"/>
      <x:c r="S518" s="216"/>
      <x:c r="T518" s="216"/>
      <x:c r="U518" s="216"/>
      <x:c r="V518" s="216"/>
      <x:c r="W518" s="216"/>
      <x:c r="X518" s="216"/>
      <x:c r="Y518" s="216"/>
      <x:c r="Z518" s="216"/>
    </x:row>
    <x:row r="519">
      <x:c r="A519" s="216"/>
      <x:c r="B519" s="216"/>
      <x:c r="C519" s="216"/>
      <x:c r="D519" s="216"/>
      <x:c r="E519" s="216"/>
      <x:c r="F519" s="216"/>
      <x:c r="G519" s="216"/>
      <x:c r="H519" s="216"/>
      <x:c r="I519" s="216"/>
      <x:c r="J519" s="216"/>
      <x:c r="K519" s="216"/>
      <x:c r="L519" s="216"/>
      <x:c r="M519" s="216"/>
      <x:c r="N519" s="216"/>
      <x:c r="O519" s="216"/>
      <x:c r="P519" s="216"/>
      <x:c r="Q519" s="216"/>
      <x:c r="R519" s="216"/>
      <x:c r="S519" s="216"/>
      <x:c r="T519" s="216"/>
      <x:c r="U519" s="216"/>
      <x:c r="V519" s="216"/>
      <x:c r="W519" s="216"/>
      <x:c r="X519" s="216"/>
      <x:c r="Y519" s="216"/>
      <x:c r="Z519" s="216"/>
    </x:row>
    <x:row r="520">
      <x:c r="A520" s="216"/>
      <x:c r="B520" s="216"/>
      <x:c r="C520" s="216"/>
      <x:c r="D520" s="216"/>
      <x:c r="E520" s="216"/>
      <x:c r="F520" s="216"/>
      <x:c r="G520" s="216"/>
      <x:c r="H520" s="216"/>
      <x:c r="I520" s="216"/>
      <x:c r="J520" s="216"/>
      <x:c r="K520" s="216"/>
      <x:c r="L520" s="216"/>
      <x:c r="M520" s="216"/>
      <x:c r="N520" s="216"/>
      <x:c r="O520" s="216"/>
      <x:c r="P520" s="216"/>
      <x:c r="Q520" s="216"/>
      <x:c r="R520" s="216"/>
      <x:c r="S520" s="216"/>
      <x:c r="T520" s="216"/>
      <x:c r="U520" s="216"/>
      <x:c r="V520" s="216"/>
      <x:c r="W520" s="216"/>
      <x:c r="X520" s="216"/>
      <x:c r="Y520" s="216"/>
      <x:c r="Z520" s="216"/>
    </x:row>
    <x:row r="521">
      <x:c r="A521" s="216"/>
      <x:c r="B521" s="216"/>
      <x:c r="C521" s="216"/>
      <x:c r="D521" s="216"/>
      <x:c r="E521" s="216"/>
      <x:c r="F521" s="216"/>
      <x:c r="G521" s="216"/>
      <x:c r="H521" s="216"/>
      <x:c r="I521" s="216"/>
      <x:c r="J521" s="216"/>
      <x:c r="K521" s="216"/>
      <x:c r="L521" s="216"/>
      <x:c r="M521" s="216"/>
      <x:c r="N521" s="216"/>
      <x:c r="O521" s="216"/>
      <x:c r="P521" s="216"/>
      <x:c r="Q521" s="216"/>
      <x:c r="R521" s="216"/>
      <x:c r="S521" s="216"/>
      <x:c r="T521" s="216"/>
      <x:c r="U521" s="216"/>
      <x:c r="V521" s="216"/>
      <x:c r="W521" s="216"/>
      <x:c r="X521" s="216"/>
      <x:c r="Y521" s="216"/>
      <x:c r="Z521" s="216"/>
    </x:row>
    <x:row r="522">
      <x:c r="A522" s="216"/>
      <x:c r="B522" s="216"/>
      <x:c r="C522" s="216"/>
      <x:c r="D522" s="216"/>
      <x:c r="E522" s="216"/>
      <x:c r="F522" s="216"/>
      <x:c r="G522" s="216"/>
      <x:c r="H522" s="216"/>
      <x:c r="I522" s="216"/>
      <x:c r="J522" s="216"/>
      <x:c r="K522" s="216"/>
      <x:c r="L522" s="216"/>
      <x:c r="M522" s="216"/>
      <x:c r="N522" s="216"/>
      <x:c r="O522" s="216"/>
      <x:c r="P522" s="216"/>
      <x:c r="Q522" s="216"/>
      <x:c r="R522" s="216"/>
      <x:c r="S522" s="216"/>
      <x:c r="T522" s="216"/>
      <x:c r="U522" s="216"/>
      <x:c r="V522" s="216"/>
      <x:c r="W522" s="216"/>
      <x:c r="X522" s="216"/>
      <x:c r="Y522" s="216"/>
      <x:c r="Z522" s="216"/>
    </x:row>
    <x:row r="523">
      <x:c r="A523" s="216"/>
      <x:c r="B523" s="216"/>
      <x:c r="C523" s="216"/>
      <x:c r="D523" s="216"/>
      <x:c r="E523" s="216"/>
      <x:c r="F523" s="216"/>
      <x:c r="G523" s="216"/>
      <x:c r="H523" s="216"/>
      <x:c r="I523" s="216"/>
      <x:c r="J523" s="216"/>
      <x:c r="K523" s="216"/>
      <x:c r="L523" s="216"/>
      <x:c r="M523" s="216"/>
      <x:c r="N523" s="216"/>
      <x:c r="O523" s="216"/>
      <x:c r="P523" s="216"/>
      <x:c r="Q523" s="216"/>
      <x:c r="R523" s="216"/>
      <x:c r="S523" s="216"/>
      <x:c r="T523" s="216"/>
      <x:c r="U523" s="216"/>
      <x:c r="V523" s="216"/>
      <x:c r="W523" s="216"/>
      <x:c r="X523" s="216"/>
      <x:c r="Y523" s="216"/>
      <x:c r="Z523" s="216"/>
    </x:row>
    <x:row r="524">
      <x:c r="A524" s="216"/>
      <x:c r="B524" s="216"/>
      <x:c r="C524" s="216"/>
      <x:c r="D524" s="216"/>
      <x:c r="E524" s="216"/>
      <x:c r="F524" s="216"/>
      <x:c r="G524" s="216"/>
      <x:c r="H524" s="216"/>
      <x:c r="I524" s="216"/>
      <x:c r="J524" s="216"/>
      <x:c r="K524" s="216"/>
      <x:c r="L524" s="216"/>
      <x:c r="M524" s="216"/>
      <x:c r="N524" s="216"/>
      <x:c r="O524" s="216"/>
      <x:c r="P524" s="216"/>
      <x:c r="Q524" s="216"/>
      <x:c r="R524" s="216"/>
      <x:c r="S524" s="216"/>
      <x:c r="T524" s="216"/>
      <x:c r="U524" s="216"/>
      <x:c r="V524" s="216"/>
      <x:c r="W524" s="216"/>
      <x:c r="X524" s="216"/>
      <x:c r="Y524" s="216"/>
      <x:c r="Z524" s="216"/>
    </x:row>
    <x:row r="525">
      <x:c r="A525" s="216"/>
      <x:c r="B525" s="216"/>
      <x:c r="C525" s="216"/>
      <x:c r="D525" s="216"/>
      <x:c r="E525" s="216"/>
      <x:c r="F525" s="216"/>
      <x:c r="G525" s="216"/>
      <x:c r="H525" s="216"/>
      <x:c r="I525" s="216"/>
      <x:c r="J525" s="216"/>
      <x:c r="K525" s="216"/>
      <x:c r="L525" s="216"/>
      <x:c r="M525" s="216"/>
      <x:c r="N525" s="216"/>
      <x:c r="O525" s="216"/>
      <x:c r="P525" s="216"/>
      <x:c r="Q525" s="216"/>
      <x:c r="R525" s="216"/>
      <x:c r="S525" s="216"/>
      <x:c r="T525" s="216"/>
      <x:c r="U525" s="216"/>
      <x:c r="V525" s="216"/>
      <x:c r="W525" s="216"/>
      <x:c r="X525" s="216"/>
      <x:c r="Y525" s="216"/>
      <x:c r="Z525" s="216"/>
    </x:row>
    <x:row r="526">
      <x:c r="A526" s="216"/>
      <x:c r="B526" s="216"/>
      <x:c r="C526" s="216"/>
      <x:c r="D526" s="216"/>
      <x:c r="E526" s="216"/>
      <x:c r="F526" s="216"/>
      <x:c r="G526" s="216"/>
      <x:c r="H526" s="216"/>
      <x:c r="I526" s="216"/>
      <x:c r="J526" s="216"/>
      <x:c r="K526" s="216"/>
      <x:c r="L526" s="216"/>
      <x:c r="M526" s="216"/>
      <x:c r="N526" s="216"/>
      <x:c r="O526" s="216"/>
      <x:c r="P526" s="216"/>
      <x:c r="Q526" s="216"/>
      <x:c r="R526" s="216"/>
      <x:c r="S526" s="216"/>
      <x:c r="T526" s="216"/>
      <x:c r="U526" s="216"/>
      <x:c r="V526" s="216"/>
      <x:c r="W526" s="216"/>
      <x:c r="X526" s="216"/>
      <x:c r="Y526" s="216"/>
      <x:c r="Z526" s="216"/>
    </x:row>
    <x:row r="527">
      <x:c r="A527" s="216"/>
      <x:c r="B527" s="216"/>
      <x:c r="C527" s="216"/>
      <x:c r="D527" s="216"/>
      <x:c r="E527" s="216"/>
      <x:c r="F527" s="216"/>
      <x:c r="G527" s="216"/>
      <x:c r="H527" s="216"/>
      <x:c r="I527" s="216"/>
      <x:c r="J527" s="216"/>
      <x:c r="K527" s="216"/>
      <x:c r="L527" s="216"/>
      <x:c r="M527" s="216"/>
      <x:c r="N527" s="216"/>
      <x:c r="O527" s="216"/>
      <x:c r="P527" s="216"/>
      <x:c r="Q527" s="216"/>
      <x:c r="R527" s="216"/>
      <x:c r="S527" s="216"/>
      <x:c r="T527" s="216"/>
      <x:c r="U527" s="216"/>
      <x:c r="V527" s="216"/>
      <x:c r="W527" s="216"/>
      <x:c r="X527" s="216"/>
      <x:c r="Y527" s="216"/>
      <x:c r="Z527" s="216"/>
    </x:row>
    <x:row r="528">
      <x:c r="A528" s="216"/>
      <x:c r="B528" s="216"/>
      <x:c r="C528" s="216"/>
      <x:c r="D528" s="216"/>
      <x:c r="E528" s="216"/>
      <x:c r="F528" s="216"/>
      <x:c r="G528" s="216"/>
      <x:c r="H528" s="216"/>
      <x:c r="I528" s="216"/>
      <x:c r="J528" s="216"/>
      <x:c r="K528" s="216"/>
      <x:c r="L528" s="216"/>
      <x:c r="M528" s="216"/>
      <x:c r="N528" s="216"/>
      <x:c r="O528" s="216"/>
      <x:c r="P528" s="216"/>
      <x:c r="Q528" s="216"/>
      <x:c r="R528" s="216"/>
      <x:c r="S528" s="216"/>
      <x:c r="T528" s="216"/>
      <x:c r="U528" s="216"/>
      <x:c r="V528" s="216"/>
      <x:c r="W528" s="216"/>
      <x:c r="X528" s="216"/>
      <x:c r="Y528" s="216"/>
      <x:c r="Z528" s="216"/>
    </x:row>
    <x:row r="529">
      <x:c r="A529" s="216"/>
      <x:c r="B529" s="216"/>
      <x:c r="C529" s="216"/>
      <x:c r="D529" s="216"/>
      <x:c r="E529" s="216"/>
      <x:c r="F529" s="216"/>
      <x:c r="G529" s="216"/>
      <x:c r="H529" s="216"/>
      <x:c r="I529" s="216"/>
      <x:c r="J529" s="216"/>
      <x:c r="K529" s="216"/>
      <x:c r="L529" s="216"/>
      <x:c r="M529" s="216"/>
      <x:c r="N529" s="216"/>
      <x:c r="O529" s="216"/>
      <x:c r="P529" s="216"/>
      <x:c r="Q529" s="216"/>
      <x:c r="R529" s="216"/>
      <x:c r="S529" s="216"/>
      <x:c r="T529" s="216"/>
      <x:c r="U529" s="216"/>
      <x:c r="V529" s="216"/>
      <x:c r="W529" s="216"/>
      <x:c r="X529" s="216"/>
      <x:c r="Y529" s="216"/>
      <x:c r="Z529" s="216"/>
    </x:row>
    <x:row r="530">
      <x:c r="A530" s="216"/>
      <x:c r="B530" s="216"/>
      <x:c r="C530" s="216"/>
      <x:c r="D530" s="216"/>
      <x:c r="E530" s="216"/>
      <x:c r="F530" s="216"/>
      <x:c r="G530" s="216"/>
      <x:c r="H530" s="216"/>
      <x:c r="I530" s="216"/>
      <x:c r="J530" s="216"/>
      <x:c r="K530" s="216"/>
      <x:c r="L530" s="216"/>
      <x:c r="M530" s="216"/>
      <x:c r="N530" s="216"/>
      <x:c r="O530" s="216"/>
      <x:c r="P530" s="216"/>
      <x:c r="Q530" s="216"/>
      <x:c r="R530" s="216"/>
      <x:c r="S530" s="216"/>
      <x:c r="T530" s="216"/>
      <x:c r="U530" s="216"/>
      <x:c r="V530" s="216"/>
      <x:c r="W530" s="216"/>
      <x:c r="X530" s="216"/>
      <x:c r="Y530" s="216"/>
      <x:c r="Z530" s="216"/>
    </x:row>
    <x:row r="531">
      <x:c r="A531" s="216"/>
      <x:c r="B531" s="216"/>
      <x:c r="C531" s="216"/>
      <x:c r="D531" s="216"/>
      <x:c r="E531" s="216"/>
      <x:c r="F531" s="216"/>
      <x:c r="G531" s="216"/>
      <x:c r="H531" s="216"/>
      <x:c r="I531" s="216"/>
      <x:c r="J531" s="216"/>
      <x:c r="K531" s="216"/>
      <x:c r="L531" s="216"/>
      <x:c r="M531" s="216"/>
      <x:c r="N531" s="216"/>
      <x:c r="O531" s="216"/>
      <x:c r="P531" s="216"/>
      <x:c r="Q531" s="216"/>
      <x:c r="R531" s="216"/>
      <x:c r="S531" s="216"/>
      <x:c r="T531" s="216"/>
      <x:c r="U531" s="216"/>
      <x:c r="V531" s="216"/>
      <x:c r="W531" s="216"/>
      <x:c r="X531" s="216"/>
      <x:c r="Y531" s="216"/>
      <x:c r="Z531" s="216"/>
    </x:row>
    <x:row r="532">
      <x:c r="A532" s="216"/>
      <x:c r="B532" s="216"/>
      <x:c r="C532" s="216"/>
      <x:c r="D532" s="216"/>
      <x:c r="E532" s="216"/>
      <x:c r="F532" s="216"/>
      <x:c r="G532" s="216"/>
      <x:c r="H532" s="216"/>
      <x:c r="I532" s="216"/>
      <x:c r="J532" s="216"/>
      <x:c r="K532" s="216"/>
      <x:c r="L532" s="216"/>
      <x:c r="M532" s="216"/>
      <x:c r="N532" s="216"/>
      <x:c r="O532" s="216"/>
      <x:c r="P532" s="216"/>
      <x:c r="Q532" s="216"/>
      <x:c r="R532" s="216"/>
      <x:c r="S532" s="216"/>
      <x:c r="T532" s="216"/>
      <x:c r="U532" s="216"/>
      <x:c r="V532" s="216"/>
      <x:c r="W532" s="216"/>
      <x:c r="X532" s="216"/>
      <x:c r="Y532" s="216"/>
      <x:c r="Z532" s="216"/>
    </x:row>
    <x:row r="533">
      <x:c r="A533" s="216"/>
      <x:c r="B533" s="216"/>
      <x:c r="C533" s="216"/>
      <x:c r="D533" s="216"/>
      <x:c r="E533" s="216"/>
      <x:c r="F533" s="216"/>
      <x:c r="G533" s="216"/>
      <x:c r="H533" s="216"/>
      <x:c r="I533" s="216"/>
      <x:c r="J533" s="216"/>
      <x:c r="K533" s="216"/>
      <x:c r="L533" s="216"/>
      <x:c r="M533" s="216"/>
      <x:c r="N533" s="216"/>
      <x:c r="O533" s="216"/>
      <x:c r="P533" s="216"/>
      <x:c r="Q533" s="216"/>
      <x:c r="R533" s="216"/>
      <x:c r="S533" s="216"/>
      <x:c r="T533" s="216"/>
      <x:c r="U533" s="216"/>
      <x:c r="V533" s="216"/>
      <x:c r="W533" s="216"/>
      <x:c r="X533" s="216"/>
      <x:c r="Y533" s="216"/>
      <x:c r="Z533" s="216"/>
    </x:row>
    <x:row r="534">
      <x:c r="A534" s="216"/>
      <x:c r="B534" s="216"/>
      <x:c r="C534" s="216"/>
      <x:c r="D534" s="216"/>
      <x:c r="E534" s="216"/>
      <x:c r="F534" s="216"/>
      <x:c r="G534" s="216"/>
      <x:c r="H534" s="216"/>
      <x:c r="I534" s="216"/>
      <x:c r="J534" s="216"/>
      <x:c r="K534" s="216"/>
      <x:c r="L534" s="216"/>
      <x:c r="M534" s="216"/>
      <x:c r="N534" s="216"/>
      <x:c r="O534" s="216"/>
      <x:c r="P534" s="216"/>
      <x:c r="Q534" s="216"/>
      <x:c r="R534" s="216"/>
      <x:c r="S534" s="216"/>
      <x:c r="T534" s="216"/>
      <x:c r="U534" s="216"/>
      <x:c r="V534" s="216"/>
      <x:c r="W534" s="216"/>
      <x:c r="X534" s="216"/>
      <x:c r="Y534" s="216"/>
      <x:c r="Z534" s="216"/>
    </x:row>
    <x:row r="535">
      <x:c r="A535" s="216"/>
      <x:c r="B535" s="216"/>
      <x:c r="C535" s="216"/>
      <x:c r="D535" s="216"/>
      <x:c r="E535" s="216"/>
      <x:c r="F535" s="216"/>
      <x:c r="G535" s="216"/>
      <x:c r="H535" s="216"/>
      <x:c r="I535" s="216"/>
      <x:c r="J535" s="216"/>
      <x:c r="K535" s="216"/>
      <x:c r="L535" s="216"/>
      <x:c r="M535" s="216"/>
      <x:c r="N535" s="216"/>
      <x:c r="O535" s="216"/>
      <x:c r="P535" s="216"/>
      <x:c r="Q535" s="216"/>
      <x:c r="R535" s="216"/>
      <x:c r="S535" s="216"/>
      <x:c r="T535" s="216"/>
      <x:c r="U535" s="216"/>
      <x:c r="V535" s="216"/>
      <x:c r="W535" s="216"/>
      <x:c r="X535" s="216"/>
      <x:c r="Y535" s="216"/>
      <x:c r="Z535" s="216"/>
    </x:row>
    <x:row r="536">
      <x:c r="A536" s="216"/>
      <x:c r="B536" s="216"/>
      <x:c r="C536" s="216"/>
      <x:c r="D536" s="216"/>
      <x:c r="E536" s="216"/>
      <x:c r="F536" s="216"/>
      <x:c r="G536" s="216"/>
      <x:c r="H536" s="216"/>
      <x:c r="I536" s="216"/>
      <x:c r="J536" s="216"/>
      <x:c r="K536" s="216"/>
      <x:c r="L536" s="216"/>
      <x:c r="M536" s="216"/>
      <x:c r="N536" s="216"/>
      <x:c r="O536" s="216"/>
      <x:c r="P536" s="216"/>
      <x:c r="Q536" s="216"/>
      <x:c r="R536" s="216"/>
      <x:c r="S536" s="216"/>
      <x:c r="T536" s="216"/>
      <x:c r="U536" s="216"/>
      <x:c r="V536" s="216"/>
      <x:c r="W536" s="216"/>
      <x:c r="X536" s="216"/>
      <x:c r="Y536" s="216"/>
      <x:c r="Z536" s="216"/>
    </x:row>
    <x:row r="537">
      <x:c r="A537" s="216"/>
      <x:c r="B537" s="216"/>
      <x:c r="C537" s="216"/>
      <x:c r="D537" s="216"/>
      <x:c r="E537" s="216"/>
      <x:c r="F537" s="216"/>
      <x:c r="G537" s="216"/>
      <x:c r="H537" s="216"/>
      <x:c r="I537" s="216"/>
      <x:c r="J537" s="216"/>
      <x:c r="K537" s="216"/>
      <x:c r="L537" s="216"/>
      <x:c r="M537" s="216"/>
      <x:c r="N537" s="216"/>
      <x:c r="O537" s="216"/>
      <x:c r="P537" s="216"/>
      <x:c r="Q537" s="216"/>
      <x:c r="R537" s="216"/>
      <x:c r="S537" s="216"/>
      <x:c r="T537" s="216"/>
      <x:c r="U537" s="216"/>
      <x:c r="V537" s="216"/>
      <x:c r="W537" s="216"/>
      <x:c r="X537" s="216"/>
      <x:c r="Y537" s="216"/>
      <x:c r="Z537" s="216"/>
    </x:row>
    <x:row r="538">
      <x:c r="A538" s="216"/>
      <x:c r="B538" s="216"/>
      <x:c r="C538" s="216"/>
      <x:c r="D538" s="216"/>
      <x:c r="E538" s="216"/>
      <x:c r="F538" s="216"/>
      <x:c r="G538" s="216"/>
      <x:c r="H538" s="216"/>
      <x:c r="I538" s="216"/>
      <x:c r="J538" s="216"/>
      <x:c r="K538" s="216"/>
      <x:c r="L538" s="216"/>
      <x:c r="M538" s="216"/>
      <x:c r="N538" s="216"/>
      <x:c r="O538" s="216"/>
      <x:c r="P538" s="216"/>
      <x:c r="Q538" s="216"/>
      <x:c r="R538" s="216"/>
      <x:c r="S538" s="216"/>
      <x:c r="T538" s="216"/>
      <x:c r="U538" s="216"/>
      <x:c r="V538" s="216"/>
      <x:c r="W538" s="216"/>
      <x:c r="X538" s="216"/>
      <x:c r="Y538" s="216"/>
      <x:c r="Z538" s="216"/>
    </x:row>
    <x:row r="539">
      <x:c r="A539" s="216"/>
      <x:c r="B539" s="216"/>
      <x:c r="C539" s="216"/>
      <x:c r="D539" s="216"/>
      <x:c r="E539" s="216"/>
      <x:c r="F539" s="216"/>
      <x:c r="G539" s="216"/>
      <x:c r="H539" s="216"/>
      <x:c r="I539" s="216"/>
      <x:c r="J539" s="216"/>
      <x:c r="K539" s="216"/>
      <x:c r="L539" s="216"/>
      <x:c r="M539" s="216"/>
      <x:c r="N539" s="216"/>
      <x:c r="O539" s="216"/>
      <x:c r="P539" s="216"/>
      <x:c r="Q539" s="216"/>
      <x:c r="R539" s="216"/>
      <x:c r="S539" s="216"/>
      <x:c r="T539" s="216"/>
      <x:c r="U539" s="216"/>
      <x:c r="V539" s="216"/>
      <x:c r="W539" s="216"/>
      <x:c r="X539" s="216"/>
      <x:c r="Y539" s="216"/>
      <x:c r="Z539" s="216"/>
    </x:row>
    <x:row r="540">
      <x:c r="A540" s="216"/>
      <x:c r="B540" s="216"/>
      <x:c r="C540" s="216"/>
      <x:c r="D540" s="216"/>
      <x:c r="E540" s="216"/>
      <x:c r="F540" s="216"/>
      <x:c r="G540" s="216"/>
      <x:c r="H540" s="216"/>
      <x:c r="I540" s="216"/>
      <x:c r="J540" s="216"/>
      <x:c r="K540" s="216"/>
      <x:c r="L540" s="216"/>
      <x:c r="M540" s="216"/>
      <x:c r="N540" s="216"/>
      <x:c r="O540" s="216"/>
      <x:c r="P540" s="216"/>
      <x:c r="Q540" s="216"/>
      <x:c r="R540" s="216"/>
      <x:c r="S540" s="216"/>
      <x:c r="T540" s="216"/>
      <x:c r="U540" s="216"/>
      <x:c r="V540" s="216"/>
      <x:c r="W540" s="216"/>
      <x:c r="X540" s="216"/>
      <x:c r="Y540" s="216"/>
      <x:c r="Z540" s="216"/>
    </x:row>
    <x:row r="541">
      <x:c r="A541" s="216"/>
      <x:c r="B541" s="216"/>
      <x:c r="C541" s="216"/>
      <x:c r="D541" s="216"/>
      <x:c r="E541" s="216"/>
      <x:c r="F541" s="216"/>
      <x:c r="G541" s="216"/>
      <x:c r="H541" s="216"/>
      <x:c r="I541" s="216"/>
      <x:c r="J541" s="216"/>
      <x:c r="K541" s="216"/>
      <x:c r="L541" s="216"/>
      <x:c r="M541" s="216"/>
      <x:c r="N541" s="216"/>
      <x:c r="O541" s="216"/>
      <x:c r="P541" s="216"/>
      <x:c r="Q541" s="216"/>
      <x:c r="R541" s="216"/>
      <x:c r="S541" s="216"/>
      <x:c r="T541" s="216"/>
      <x:c r="U541" s="216"/>
      <x:c r="V541" s="216"/>
      <x:c r="W541" s="216"/>
      <x:c r="X541" s="216"/>
      <x:c r="Y541" s="216"/>
      <x:c r="Z541" s="216"/>
    </x:row>
    <x:row r="542">
      <x:c r="A542" s="216"/>
      <x:c r="B542" s="216"/>
      <x:c r="C542" s="216"/>
      <x:c r="D542" s="216"/>
      <x:c r="E542" s="216"/>
      <x:c r="F542" s="216"/>
      <x:c r="G542" s="216"/>
      <x:c r="H542" s="216"/>
      <x:c r="I542" s="216"/>
      <x:c r="J542" s="216"/>
      <x:c r="K542" s="216"/>
      <x:c r="L542" s="216"/>
      <x:c r="M542" s="216"/>
      <x:c r="N542" s="216"/>
      <x:c r="O542" s="216"/>
      <x:c r="P542" s="216"/>
      <x:c r="Q542" s="216"/>
      <x:c r="R542" s="216"/>
      <x:c r="S542" s="216"/>
      <x:c r="T542" s="216"/>
      <x:c r="U542" s="216"/>
      <x:c r="V542" s="216"/>
      <x:c r="W542" s="216"/>
      <x:c r="X542" s="216"/>
      <x:c r="Y542" s="216"/>
      <x:c r="Z542" s="216"/>
    </x:row>
    <x:row r="543">
      <x:c r="A543" s="216"/>
      <x:c r="B543" s="216"/>
      <x:c r="C543" s="216"/>
      <x:c r="D543" s="216"/>
      <x:c r="E543" s="216"/>
      <x:c r="F543" s="216"/>
      <x:c r="G543" s="216"/>
      <x:c r="H543" s="216"/>
      <x:c r="I543" s="216"/>
      <x:c r="J543" s="216"/>
      <x:c r="K543" s="216"/>
      <x:c r="L543" s="216"/>
      <x:c r="M543" s="216"/>
      <x:c r="N543" s="216"/>
      <x:c r="O543" s="216"/>
      <x:c r="P543" s="216"/>
      <x:c r="Q543" s="216"/>
      <x:c r="R543" s="216"/>
      <x:c r="S543" s="216"/>
      <x:c r="T543" s="216"/>
      <x:c r="U543" s="216"/>
      <x:c r="V543" s="216"/>
      <x:c r="W543" s="216"/>
      <x:c r="X543" s="216"/>
      <x:c r="Y543" s="216"/>
      <x:c r="Z543" s="216"/>
    </x:row>
    <x:row r="544">
      <x:c r="A544" s="216"/>
      <x:c r="B544" s="216"/>
      <x:c r="C544" s="216"/>
      <x:c r="D544" s="216"/>
      <x:c r="E544" s="216"/>
      <x:c r="F544" s="216"/>
      <x:c r="G544" s="216"/>
      <x:c r="H544" s="216"/>
      <x:c r="I544" s="216"/>
      <x:c r="J544" s="216"/>
      <x:c r="K544" s="216"/>
      <x:c r="L544" s="216"/>
      <x:c r="M544" s="216"/>
      <x:c r="N544" s="216"/>
      <x:c r="O544" s="216"/>
      <x:c r="P544" s="216"/>
      <x:c r="Q544" s="216"/>
      <x:c r="R544" s="216"/>
      <x:c r="S544" s="216"/>
      <x:c r="T544" s="216"/>
      <x:c r="U544" s="216"/>
      <x:c r="V544" s="216"/>
      <x:c r="W544" s="216"/>
      <x:c r="X544" s="216"/>
      <x:c r="Y544" s="216"/>
      <x:c r="Z544" s="216"/>
    </x:row>
    <x:row r="545">
      <x:c r="A545" s="216"/>
      <x:c r="B545" s="216"/>
      <x:c r="C545" s="216"/>
      <x:c r="D545" s="216"/>
      <x:c r="E545" s="216"/>
      <x:c r="F545" s="216"/>
      <x:c r="G545" s="216"/>
      <x:c r="H545" s="216"/>
      <x:c r="I545" s="216"/>
      <x:c r="J545" s="216"/>
      <x:c r="K545" s="216"/>
      <x:c r="L545" s="216"/>
      <x:c r="M545" s="216"/>
      <x:c r="N545" s="216"/>
      <x:c r="O545" s="216"/>
      <x:c r="P545" s="216"/>
      <x:c r="Q545" s="216"/>
      <x:c r="R545" s="216"/>
      <x:c r="S545" s="216"/>
      <x:c r="T545" s="216"/>
      <x:c r="U545" s="216"/>
      <x:c r="V545" s="216"/>
      <x:c r="W545" s="216"/>
      <x:c r="X545" s="216"/>
      <x:c r="Y545" s="216"/>
      <x:c r="Z545" s="216"/>
    </x:row>
    <x:row r="546">
      <x:c r="A546" s="216"/>
      <x:c r="B546" s="216"/>
      <x:c r="C546" s="216"/>
      <x:c r="D546" s="216"/>
      <x:c r="E546" s="216"/>
      <x:c r="F546" s="216"/>
      <x:c r="G546" s="216"/>
      <x:c r="H546" s="216"/>
      <x:c r="I546" s="216"/>
      <x:c r="J546" s="216"/>
      <x:c r="K546" s="216"/>
      <x:c r="L546" s="216"/>
      <x:c r="M546" s="216"/>
      <x:c r="N546" s="216"/>
      <x:c r="O546" s="216"/>
      <x:c r="P546" s="216"/>
      <x:c r="Q546" s="216"/>
      <x:c r="R546" s="216"/>
      <x:c r="S546" s="216"/>
      <x:c r="T546" s="216"/>
      <x:c r="U546" s="216"/>
      <x:c r="V546" s="216"/>
      <x:c r="W546" s="216"/>
      <x:c r="X546" s="216"/>
      <x:c r="Y546" s="216"/>
      <x:c r="Z546" s="216"/>
    </x:row>
    <x:row r="547">
      <x:c r="A547" s="216"/>
      <x:c r="B547" s="216"/>
      <x:c r="C547" s="216"/>
      <x:c r="D547" s="216"/>
      <x:c r="E547" s="216"/>
      <x:c r="F547" s="216"/>
      <x:c r="G547" s="216"/>
      <x:c r="H547" s="216"/>
      <x:c r="I547" s="216"/>
      <x:c r="J547" s="216"/>
      <x:c r="K547" s="216"/>
      <x:c r="L547" s="216"/>
      <x:c r="M547" s="216"/>
      <x:c r="N547" s="216"/>
      <x:c r="O547" s="216"/>
      <x:c r="P547" s="216"/>
      <x:c r="Q547" s="216"/>
      <x:c r="R547" s="216"/>
      <x:c r="S547" s="216"/>
      <x:c r="T547" s="216"/>
      <x:c r="U547" s="216"/>
      <x:c r="V547" s="216"/>
      <x:c r="W547" s="216"/>
      <x:c r="X547" s="216"/>
      <x:c r="Y547" s="216"/>
      <x:c r="Z547" s="216"/>
    </x:row>
    <x:row r="548">
      <x:c r="A548" s="216"/>
      <x:c r="B548" s="216"/>
      <x:c r="C548" s="216"/>
      <x:c r="D548" s="216"/>
      <x:c r="E548" s="216"/>
      <x:c r="F548" s="216"/>
      <x:c r="G548" s="216"/>
      <x:c r="H548" s="216"/>
      <x:c r="I548" s="216"/>
      <x:c r="J548" s="216"/>
      <x:c r="K548" s="216"/>
      <x:c r="L548" s="216"/>
      <x:c r="M548" s="216"/>
      <x:c r="N548" s="216"/>
      <x:c r="O548" s="216"/>
      <x:c r="P548" s="216"/>
      <x:c r="Q548" s="216"/>
      <x:c r="R548" s="216"/>
      <x:c r="S548" s="216"/>
      <x:c r="T548" s="216"/>
      <x:c r="U548" s="216"/>
      <x:c r="V548" s="216"/>
      <x:c r="W548" s="216"/>
      <x:c r="X548" s="216"/>
      <x:c r="Y548" s="216"/>
      <x:c r="Z548" s="216"/>
    </x:row>
    <x:row r="549">
      <x:c r="A549" s="216"/>
      <x:c r="B549" s="216"/>
      <x:c r="C549" s="216"/>
      <x:c r="D549" s="216"/>
      <x:c r="E549" s="216"/>
      <x:c r="F549" s="216"/>
      <x:c r="G549" s="216"/>
      <x:c r="H549" s="216"/>
      <x:c r="I549" s="216"/>
      <x:c r="J549" s="216"/>
      <x:c r="K549" s="216"/>
      <x:c r="L549" s="216"/>
      <x:c r="M549" s="216"/>
      <x:c r="N549" s="216"/>
      <x:c r="O549" s="216"/>
      <x:c r="P549" s="216"/>
      <x:c r="Q549" s="216"/>
      <x:c r="R549" s="216"/>
      <x:c r="S549" s="216"/>
      <x:c r="T549" s="216"/>
      <x:c r="U549" s="216"/>
      <x:c r="V549" s="216"/>
      <x:c r="W549" s="216"/>
      <x:c r="X549" s="216"/>
      <x:c r="Y549" s="216"/>
      <x:c r="Z549" s="216"/>
    </x:row>
    <x:row r="550">
      <x:c r="A550" s="216"/>
      <x:c r="B550" s="216"/>
      <x:c r="C550" s="216"/>
      <x:c r="D550" s="216"/>
      <x:c r="E550" s="216"/>
      <x:c r="F550" s="216"/>
      <x:c r="G550" s="216"/>
      <x:c r="H550" s="216"/>
      <x:c r="I550" s="216"/>
      <x:c r="J550" s="216"/>
      <x:c r="K550" s="216"/>
      <x:c r="L550" s="216"/>
      <x:c r="M550" s="216"/>
      <x:c r="N550" s="216"/>
      <x:c r="O550" s="216"/>
      <x:c r="P550" s="216"/>
      <x:c r="Q550" s="216"/>
      <x:c r="R550" s="216"/>
      <x:c r="S550" s="216"/>
      <x:c r="T550" s="216"/>
      <x:c r="U550" s="216"/>
      <x:c r="V550" s="216"/>
      <x:c r="W550" s="216"/>
      <x:c r="X550" s="216"/>
      <x:c r="Y550" s="216"/>
      <x:c r="Z550" s="216"/>
    </x:row>
    <x:row r="551">
      <x:c r="A551" s="216"/>
      <x:c r="B551" s="216"/>
      <x:c r="C551" s="216"/>
      <x:c r="D551" s="216"/>
      <x:c r="E551" s="216"/>
      <x:c r="F551" s="216"/>
      <x:c r="G551" s="216"/>
      <x:c r="H551" s="216"/>
      <x:c r="I551" s="216"/>
      <x:c r="J551" s="216"/>
      <x:c r="K551" s="216"/>
      <x:c r="L551" s="216"/>
      <x:c r="M551" s="216"/>
      <x:c r="N551" s="216"/>
      <x:c r="O551" s="216"/>
      <x:c r="P551" s="216"/>
      <x:c r="Q551" s="216"/>
      <x:c r="R551" s="216"/>
      <x:c r="S551" s="216"/>
      <x:c r="T551" s="216"/>
      <x:c r="U551" s="216"/>
      <x:c r="V551" s="216"/>
      <x:c r="W551" s="216"/>
      <x:c r="X551" s="216"/>
      <x:c r="Y551" s="216"/>
      <x:c r="Z551" s="216"/>
    </x:row>
    <x:row r="552">
      <x:c r="A552" s="216"/>
      <x:c r="B552" s="216"/>
      <x:c r="C552" s="216"/>
      <x:c r="D552" s="216"/>
      <x:c r="E552" s="216"/>
      <x:c r="F552" s="216"/>
      <x:c r="G552" s="216"/>
      <x:c r="H552" s="216"/>
      <x:c r="I552" s="216"/>
      <x:c r="J552" s="216"/>
      <x:c r="K552" s="216"/>
      <x:c r="L552" s="216"/>
      <x:c r="M552" s="216"/>
      <x:c r="N552" s="216"/>
      <x:c r="O552" s="216"/>
      <x:c r="P552" s="216"/>
      <x:c r="Q552" s="216"/>
      <x:c r="R552" s="216"/>
      <x:c r="S552" s="216"/>
      <x:c r="T552" s="216"/>
      <x:c r="U552" s="216"/>
      <x:c r="V552" s="216"/>
      <x:c r="W552" s="216"/>
      <x:c r="X552" s="216"/>
      <x:c r="Y552" s="216"/>
      <x:c r="Z552" s="216"/>
    </x:row>
    <x:row r="553">
      <x:c r="A553" s="216"/>
      <x:c r="B553" s="216"/>
      <x:c r="C553" s="216"/>
      <x:c r="D553" s="216"/>
      <x:c r="E553" s="216"/>
      <x:c r="F553" s="216"/>
      <x:c r="G553" s="216"/>
      <x:c r="H553" s="216"/>
      <x:c r="I553" s="216"/>
      <x:c r="J553" s="216"/>
      <x:c r="K553" s="216"/>
      <x:c r="L553" s="216"/>
      <x:c r="M553" s="216"/>
      <x:c r="N553" s="216"/>
      <x:c r="O553" s="216"/>
      <x:c r="P553" s="216"/>
      <x:c r="Q553" s="216"/>
      <x:c r="R553" s="216"/>
      <x:c r="S553" s="216"/>
      <x:c r="T553" s="216"/>
      <x:c r="U553" s="216"/>
      <x:c r="V553" s="216"/>
      <x:c r="W553" s="216"/>
      <x:c r="X553" s="216"/>
      <x:c r="Y553" s="216"/>
      <x:c r="Z553" s="216"/>
    </x:row>
    <x:row r="554">
      <x:c r="A554" s="216"/>
      <x:c r="B554" s="216"/>
      <x:c r="C554" s="216"/>
      <x:c r="D554" s="216"/>
      <x:c r="E554" s="216"/>
      <x:c r="F554" s="216"/>
      <x:c r="G554" s="216"/>
      <x:c r="H554" s="216"/>
      <x:c r="I554" s="216"/>
      <x:c r="J554" s="216"/>
      <x:c r="K554" s="216"/>
      <x:c r="L554" s="216"/>
      <x:c r="M554" s="216"/>
      <x:c r="N554" s="216"/>
      <x:c r="O554" s="216"/>
      <x:c r="P554" s="216"/>
      <x:c r="Q554" s="216"/>
      <x:c r="R554" s="216"/>
      <x:c r="S554" s="216"/>
      <x:c r="T554" s="216"/>
      <x:c r="U554" s="216"/>
      <x:c r="V554" s="216"/>
      <x:c r="W554" s="216"/>
      <x:c r="X554" s="216"/>
      <x:c r="Y554" s="216"/>
      <x:c r="Z554" s="216"/>
    </x:row>
    <x:row r="555">
      <x:c r="A555" s="216"/>
      <x:c r="B555" s="216"/>
      <x:c r="C555" s="216"/>
      <x:c r="D555" s="216"/>
      <x:c r="E555" s="216"/>
      <x:c r="F555" s="216"/>
      <x:c r="G555" s="216"/>
      <x:c r="H555" s="216"/>
      <x:c r="I555" s="216"/>
      <x:c r="J555" s="216"/>
      <x:c r="K555" s="216"/>
      <x:c r="L555" s="216"/>
      <x:c r="M555" s="216"/>
      <x:c r="N555" s="216"/>
      <x:c r="O555" s="216"/>
      <x:c r="P555" s="216"/>
      <x:c r="Q555" s="216"/>
      <x:c r="R555" s="216"/>
      <x:c r="S555" s="216"/>
      <x:c r="T555" s="216"/>
      <x:c r="U555" s="216"/>
      <x:c r="V555" s="216"/>
      <x:c r="W555" s="216"/>
      <x:c r="X555" s="216"/>
      <x:c r="Y555" s="216"/>
      <x:c r="Z555" s="216"/>
    </x:row>
    <x:row r="556">
      <x:c r="A556" s="216"/>
      <x:c r="B556" s="216"/>
      <x:c r="C556" s="216"/>
      <x:c r="D556" s="216"/>
      <x:c r="E556" s="216"/>
      <x:c r="F556" s="216"/>
      <x:c r="G556" s="216"/>
      <x:c r="H556" s="216"/>
      <x:c r="I556" s="216"/>
      <x:c r="J556" s="216"/>
      <x:c r="K556" s="216"/>
      <x:c r="L556" s="216"/>
      <x:c r="M556" s="216"/>
      <x:c r="N556" s="216"/>
      <x:c r="O556" s="216"/>
      <x:c r="P556" s="216"/>
      <x:c r="Q556" s="216"/>
      <x:c r="R556" s="216"/>
      <x:c r="S556" s="216"/>
      <x:c r="T556" s="216"/>
      <x:c r="U556" s="216"/>
      <x:c r="V556" s="216"/>
      <x:c r="W556" s="216"/>
      <x:c r="X556" s="216"/>
      <x:c r="Y556" s="216"/>
      <x:c r="Z556" s="216"/>
    </x:row>
    <x:row r="557">
      <x:c r="A557" s="216"/>
      <x:c r="B557" s="216"/>
      <x:c r="C557" s="216"/>
      <x:c r="D557" s="216"/>
      <x:c r="E557" s="216"/>
      <x:c r="F557" s="216"/>
      <x:c r="G557" s="216"/>
      <x:c r="H557" s="216"/>
      <x:c r="I557" s="216"/>
      <x:c r="J557" s="216"/>
      <x:c r="K557" s="216"/>
      <x:c r="L557" s="216"/>
      <x:c r="M557" s="216"/>
      <x:c r="N557" s="216"/>
      <x:c r="O557" s="216"/>
      <x:c r="P557" s="216"/>
      <x:c r="Q557" s="216"/>
      <x:c r="R557" s="216"/>
      <x:c r="S557" s="216"/>
      <x:c r="T557" s="216"/>
      <x:c r="U557" s="216"/>
      <x:c r="V557" s="216"/>
      <x:c r="W557" s="216"/>
      <x:c r="X557" s="216"/>
      <x:c r="Y557" s="216"/>
      <x:c r="Z557" s="216"/>
    </x:row>
    <x:row r="558">
      <x:c r="A558" s="216"/>
      <x:c r="B558" s="216"/>
      <x:c r="C558" s="216"/>
      <x:c r="D558" s="216"/>
      <x:c r="E558" s="216"/>
      <x:c r="F558" s="216"/>
      <x:c r="G558" s="216"/>
      <x:c r="H558" s="216"/>
      <x:c r="I558" s="216"/>
      <x:c r="J558" s="216"/>
      <x:c r="K558" s="216"/>
      <x:c r="L558" s="216"/>
      <x:c r="M558" s="216"/>
      <x:c r="N558" s="216"/>
      <x:c r="O558" s="216"/>
      <x:c r="P558" s="216"/>
      <x:c r="Q558" s="216"/>
      <x:c r="R558" s="216"/>
      <x:c r="S558" s="216"/>
      <x:c r="T558" s="216"/>
      <x:c r="U558" s="216"/>
      <x:c r="V558" s="216"/>
      <x:c r="W558" s="216"/>
      <x:c r="X558" s="216"/>
      <x:c r="Y558" s="216"/>
      <x:c r="Z558" s="216"/>
    </x:row>
    <x:row r="559">
      <x:c r="A559" s="216"/>
      <x:c r="B559" s="216"/>
      <x:c r="C559" s="216"/>
      <x:c r="D559" s="216"/>
      <x:c r="E559" s="216"/>
      <x:c r="F559" s="216"/>
      <x:c r="G559" s="216"/>
      <x:c r="H559" s="216"/>
      <x:c r="I559" s="216"/>
      <x:c r="J559" s="216"/>
      <x:c r="K559" s="216"/>
      <x:c r="L559" s="216"/>
      <x:c r="M559" s="216"/>
      <x:c r="N559" s="216"/>
      <x:c r="O559" s="216"/>
      <x:c r="P559" s="216"/>
      <x:c r="Q559" s="216"/>
      <x:c r="R559" s="216"/>
      <x:c r="S559" s="216"/>
      <x:c r="T559" s="216"/>
      <x:c r="U559" s="216"/>
      <x:c r="V559" s="216"/>
      <x:c r="W559" s="216"/>
      <x:c r="X559" s="216"/>
      <x:c r="Y559" s="216"/>
      <x:c r="Z559" s="216"/>
    </x:row>
    <x:row r="560">
      <x:c r="A560" s="216"/>
      <x:c r="B560" s="216"/>
      <x:c r="C560" s="216"/>
      <x:c r="D560" s="216"/>
      <x:c r="E560" s="216"/>
      <x:c r="F560" s="216"/>
      <x:c r="G560" s="216"/>
      <x:c r="H560" s="216"/>
      <x:c r="I560" s="216"/>
      <x:c r="J560" s="216"/>
      <x:c r="K560" s="216"/>
      <x:c r="L560" s="216"/>
      <x:c r="M560" s="216"/>
      <x:c r="N560" s="216"/>
      <x:c r="O560" s="216"/>
      <x:c r="P560" s="216"/>
      <x:c r="Q560" s="216"/>
      <x:c r="R560" s="216"/>
      <x:c r="S560" s="216"/>
      <x:c r="T560" s="216"/>
      <x:c r="U560" s="216"/>
      <x:c r="V560" s="216"/>
      <x:c r="W560" s="216"/>
      <x:c r="X560" s="216"/>
      <x:c r="Y560" s="216"/>
      <x:c r="Z560" s="216"/>
    </x:row>
    <x:row r="561">
      <x:c r="A561" s="216"/>
      <x:c r="B561" s="216"/>
      <x:c r="C561" s="216"/>
      <x:c r="D561" s="216"/>
      <x:c r="E561" s="216"/>
      <x:c r="F561" s="216"/>
      <x:c r="G561" s="216"/>
      <x:c r="H561" s="216"/>
      <x:c r="I561" s="216"/>
      <x:c r="J561" s="216"/>
      <x:c r="K561" s="216"/>
      <x:c r="L561" s="216"/>
      <x:c r="M561" s="216"/>
      <x:c r="N561" s="216"/>
      <x:c r="O561" s="216"/>
      <x:c r="P561" s="216"/>
      <x:c r="Q561" s="216"/>
      <x:c r="R561" s="216"/>
      <x:c r="S561" s="216"/>
      <x:c r="T561" s="216"/>
      <x:c r="U561" s="216"/>
      <x:c r="V561" s="216"/>
      <x:c r="W561" s="216"/>
      <x:c r="X561" s="216"/>
      <x:c r="Y561" s="216"/>
      <x:c r="Z561" s="216"/>
    </x:row>
    <x:row r="562">
      <x:c r="A562" s="216"/>
      <x:c r="B562" s="216"/>
      <x:c r="C562" s="216"/>
      <x:c r="D562" s="216"/>
      <x:c r="E562" s="216"/>
      <x:c r="F562" s="216"/>
      <x:c r="G562" s="216"/>
      <x:c r="H562" s="216"/>
      <x:c r="I562" s="216"/>
      <x:c r="J562" s="216"/>
      <x:c r="K562" s="216"/>
      <x:c r="L562" s="216"/>
      <x:c r="M562" s="216"/>
      <x:c r="N562" s="216"/>
      <x:c r="O562" s="216"/>
      <x:c r="P562" s="216"/>
      <x:c r="Q562" s="216"/>
      <x:c r="R562" s="216"/>
      <x:c r="S562" s="216"/>
      <x:c r="T562" s="216"/>
      <x:c r="U562" s="216"/>
      <x:c r="V562" s="216"/>
      <x:c r="W562" s="216"/>
      <x:c r="X562" s="216"/>
      <x:c r="Y562" s="216"/>
      <x:c r="Z562" s="216"/>
    </x:row>
    <x:row r="563">
      <x:c r="A563" s="216"/>
      <x:c r="B563" s="216"/>
      <x:c r="C563" s="216"/>
      <x:c r="D563" s="216"/>
      <x:c r="E563" s="216"/>
      <x:c r="F563" s="216"/>
      <x:c r="G563" s="216"/>
      <x:c r="H563" s="216"/>
      <x:c r="I563" s="216"/>
      <x:c r="J563" s="216"/>
      <x:c r="K563" s="216"/>
      <x:c r="L563" s="216"/>
      <x:c r="M563" s="216"/>
      <x:c r="N563" s="216"/>
      <x:c r="O563" s="216"/>
      <x:c r="P563" s="216"/>
      <x:c r="Q563" s="216"/>
      <x:c r="R563" s="216"/>
      <x:c r="S563" s="216"/>
      <x:c r="T563" s="216"/>
      <x:c r="U563" s="216"/>
      <x:c r="V563" s="216"/>
      <x:c r="W563" s="216"/>
      <x:c r="X563" s="216"/>
      <x:c r="Y563" s="216"/>
      <x:c r="Z563" s="216"/>
    </x:row>
    <x:row r="564">
      <x:c r="A564" s="216"/>
      <x:c r="B564" s="216"/>
      <x:c r="C564" s="216"/>
      <x:c r="D564" s="216"/>
      <x:c r="E564" s="216"/>
      <x:c r="F564" s="216"/>
      <x:c r="G564" s="216"/>
      <x:c r="H564" s="216"/>
      <x:c r="I564" s="216"/>
      <x:c r="J564" s="216"/>
      <x:c r="K564" s="216"/>
      <x:c r="L564" s="216"/>
      <x:c r="M564" s="216"/>
      <x:c r="N564" s="216"/>
      <x:c r="O564" s="216"/>
      <x:c r="P564" s="216"/>
      <x:c r="Q564" s="216"/>
      <x:c r="R564" s="216"/>
      <x:c r="S564" s="216"/>
      <x:c r="T564" s="216"/>
      <x:c r="U564" s="216"/>
      <x:c r="V564" s="216"/>
      <x:c r="W564" s="216"/>
      <x:c r="X564" s="216"/>
      <x:c r="Y564" s="216"/>
      <x:c r="Z564" s="216"/>
    </x:row>
    <x:row r="565">
      <x:c r="A565" s="216"/>
      <x:c r="B565" s="216"/>
      <x:c r="C565" s="216"/>
      <x:c r="D565" s="216"/>
      <x:c r="E565" s="216"/>
      <x:c r="F565" s="216"/>
      <x:c r="G565" s="216"/>
      <x:c r="H565" s="216"/>
      <x:c r="I565" s="216"/>
      <x:c r="J565" s="216"/>
      <x:c r="K565" s="216"/>
      <x:c r="L565" s="216"/>
      <x:c r="M565" s="216"/>
      <x:c r="N565" s="216"/>
      <x:c r="O565" s="216"/>
      <x:c r="P565" s="216"/>
      <x:c r="Q565" s="216"/>
      <x:c r="R565" s="216"/>
      <x:c r="S565" s="216"/>
      <x:c r="T565" s="216"/>
      <x:c r="U565" s="216"/>
      <x:c r="V565" s="216"/>
      <x:c r="W565" s="216"/>
      <x:c r="X565" s="216"/>
      <x:c r="Y565" s="216"/>
      <x:c r="Z565" s="216"/>
    </x:row>
    <x:row r="566">
      <x:c r="A566" s="216"/>
      <x:c r="B566" s="216"/>
      <x:c r="C566" s="216"/>
      <x:c r="D566" s="216"/>
      <x:c r="E566" s="216"/>
      <x:c r="F566" s="216"/>
      <x:c r="G566" s="216"/>
      <x:c r="H566" s="216"/>
      <x:c r="I566" s="216"/>
      <x:c r="J566" s="216"/>
      <x:c r="K566" s="216"/>
      <x:c r="L566" s="216"/>
      <x:c r="M566" s="216"/>
      <x:c r="N566" s="216"/>
      <x:c r="O566" s="216"/>
      <x:c r="P566" s="216"/>
      <x:c r="Q566" s="216"/>
      <x:c r="R566" s="216"/>
      <x:c r="S566" s="216"/>
      <x:c r="T566" s="216"/>
      <x:c r="U566" s="216"/>
      <x:c r="V566" s="216"/>
      <x:c r="W566" s="216"/>
      <x:c r="X566" s="216"/>
      <x:c r="Y566" s="216"/>
      <x:c r="Z566" s="216"/>
    </x:row>
    <x:row r="567">
      <x:c r="A567" s="216"/>
      <x:c r="B567" s="216"/>
      <x:c r="C567" s="216"/>
      <x:c r="D567" s="216"/>
      <x:c r="E567" s="216"/>
      <x:c r="F567" s="216"/>
      <x:c r="G567" s="216"/>
      <x:c r="H567" s="216"/>
      <x:c r="I567" s="216"/>
      <x:c r="J567" s="216"/>
      <x:c r="K567" s="216"/>
      <x:c r="L567" s="216"/>
      <x:c r="M567" s="216"/>
      <x:c r="N567" s="216"/>
      <x:c r="O567" s="216"/>
      <x:c r="P567" s="216"/>
      <x:c r="Q567" s="216"/>
      <x:c r="R567" s="216"/>
      <x:c r="S567" s="216"/>
      <x:c r="T567" s="216"/>
      <x:c r="U567" s="216"/>
      <x:c r="V567" s="216"/>
      <x:c r="W567" s="216"/>
      <x:c r="X567" s="216"/>
      <x:c r="Y567" s="216"/>
      <x:c r="Z567" s="216"/>
    </x:row>
    <x:row r="568">
      <x:c r="A568" s="216"/>
      <x:c r="B568" s="216"/>
      <x:c r="C568" s="216"/>
      <x:c r="D568" s="216"/>
      <x:c r="E568" s="216"/>
      <x:c r="F568" s="216"/>
      <x:c r="G568" s="216"/>
      <x:c r="H568" s="216"/>
      <x:c r="I568" s="216"/>
      <x:c r="J568" s="216"/>
      <x:c r="K568" s="216"/>
      <x:c r="L568" s="216"/>
      <x:c r="M568" s="216"/>
      <x:c r="N568" s="216"/>
      <x:c r="O568" s="216"/>
      <x:c r="P568" s="216"/>
      <x:c r="Q568" s="216"/>
      <x:c r="R568" s="216"/>
      <x:c r="S568" s="216"/>
      <x:c r="T568" s="216"/>
      <x:c r="U568" s="216"/>
      <x:c r="V568" s="216"/>
      <x:c r="W568" s="216"/>
      <x:c r="X568" s="216"/>
      <x:c r="Y568" s="216"/>
      <x:c r="Z568" s="216"/>
    </x:row>
    <x:row r="569">
      <x:c r="A569" s="216"/>
      <x:c r="B569" s="216"/>
      <x:c r="C569" s="216"/>
      <x:c r="D569" s="216"/>
      <x:c r="E569" s="216"/>
      <x:c r="F569" s="216"/>
      <x:c r="G569" s="216"/>
      <x:c r="H569" s="216"/>
      <x:c r="I569" s="216"/>
      <x:c r="J569" s="216"/>
      <x:c r="K569" s="216"/>
      <x:c r="L569" s="216"/>
      <x:c r="M569" s="216"/>
      <x:c r="N569" s="216"/>
      <x:c r="O569" s="216"/>
      <x:c r="P569" s="216"/>
      <x:c r="Q569" s="216"/>
      <x:c r="R569" s="216"/>
      <x:c r="S569" s="216"/>
      <x:c r="T569" s="216"/>
      <x:c r="U569" s="216"/>
      <x:c r="V569" s="216"/>
      <x:c r="W569" s="216"/>
      <x:c r="X569" s="216"/>
      <x:c r="Y569" s="216"/>
      <x:c r="Z569" s="216"/>
    </x:row>
    <x:row r="570">
      <x:c r="A570" s="216"/>
      <x:c r="B570" s="216"/>
      <x:c r="C570" s="216"/>
      <x:c r="D570" s="216"/>
      <x:c r="E570" s="216"/>
      <x:c r="F570" s="216"/>
      <x:c r="G570" s="216"/>
      <x:c r="H570" s="216"/>
      <x:c r="I570" s="216"/>
      <x:c r="J570" s="216"/>
      <x:c r="K570" s="216"/>
      <x:c r="L570" s="216"/>
      <x:c r="M570" s="216"/>
      <x:c r="N570" s="216"/>
      <x:c r="O570" s="216"/>
      <x:c r="P570" s="216"/>
      <x:c r="Q570" s="216"/>
      <x:c r="R570" s="216"/>
      <x:c r="S570" s="216"/>
      <x:c r="T570" s="216"/>
      <x:c r="U570" s="216"/>
      <x:c r="V570" s="216"/>
      <x:c r="W570" s="216"/>
      <x:c r="X570" s="216"/>
      <x:c r="Y570" s="216"/>
      <x:c r="Z570" s="216"/>
    </x:row>
    <x:row r="571">
      <x:c r="A571" s="216"/>
      <x:c r="B571" s="216"/>
      <x:c r="C571" s="216"/>
      <x:c r="D571" s="216"/>
      <x:c r="E571" s="216"/>
      <x:c r="F571" s="216"/>
      <x:c r="G571" s="216"/>
      <x:c r="H571" s="216"/>
      <x:c r="I571" s="216"/>
      <x:c r="J571" s="216"/>
      <x:c r="K571" s="216"/>
      <x:c r="L571" s="216"/>
      <x:c r="M571" s="216"/>
      <x:c r="N571" s="216"/>
      <x:c r="O571" s="216"/>
      <x:c r="P571" s="216"/>
      <x:c r="Q571" s="216"/>
      <x:c r="R571" s="216"/>
      <x:c r="S571" s="216"/>
      <x:c r="T571" s="216"/>
      <x:c r="U571" s="216"/>
      <x:c r="V571" s="216"/>
      <x:c r="W571" s="216"/>
      <x:c r="X571" s="216"/>
      <x:c r="Y571" s="216"/>
      <x:c r="Z571" s="216"/>
    </x:row>
    <x:row r="572">
      <x:c r="A572" s="216"/>
      <x:c r="B572" s="216"/>
      <x:c r="C572" s="216"/>
      <x:c r="D572" s="216"/>
      <x:c r="E572" s="216"/>
      <x:c r="F572" s="216"/>
      <x:c r="G572" s="216"/>
      <x:c r="H572" s="216"/>
      <x:c r="I572" s="216"/>
      <x:c r="J572" s="216"/>
      <x:c r="K572" s="216"/>
      <x:c r="L572" s="216"/>
      <x:c r="M572" s="216"/>
      <x:c r="N572" s="216"/>
      <x:c r="O572" s="216"/>
      <x:c r="P572" s="216"/>
      <x:c r="Q572" s="216"/>
      <x:c r="R572" s="216"/>
      <x:c r="S572" s="216"/>
      <x:c r="T572" s="216"/>
      <x:c r="U572" s="216"/>
      <x:c r="V572" s="216"/>
      <x:c r="W572" s="216"/>
      <x:c r="X572" s="216"/>
      <x:c r="Y572" s="216"/>
      <x:c r="Z572" s="216"/>
    </x:row>
    <x:row r="573">
      <x:c r="A573" s="216"/>
      <x:c r="B573" s="216"/>
      <x:c r="C573" s="216"/>
      <x:c r="D573" s="216"/>
      <x:c r="E573" s="216"/>
      <x:c r="F573" s="216"/>
      <x:c r="G573" s="216"/>
      <x:c r="H573" s="216"/>
      <x:c r="I573" s="216"/>
      <x:c r="J573" s="216"/>
      <x:c r="K573" s="216"/>
      <x:c r="L573" s="216"/>
      <x:c r="M573" s="216"/>
      <x:c r="N573" s="216"/>
      <x:c r="O573" s="216"/>
      <x:c r="P573" s="216"/>
      <x:c r="Q573" s="216"/>
      <x:c r="R573" s="216"/>
      <x:c r="S573" s="216"/>
      <x:c r="T573" s="216"/>
      <x:c r="U573" s="216"/>
      <x:c r="V573" s="216"/>
      <x:c r="W573" s="216"/>
      <x:c r="X573" s="216"/>
      <x:c r="Y573" s="216"/>
      <x:c r="Z573" s="216"/>
    </x:row>
    <x:row r="574">
      <x:c r="A574" s="216"/>
      <x:c r="B574" s="216"/>
      <x:c r="C574" s="216"/>
      <x:c r="D574" s="216"/>
      <x:c r="E574" s="216"/>
      <x:c r="F574" s="216"/>
      <x:c r="G574" s="216"/>
      <x:c r="H574" s="216"/>
      <x:c r="I574" s="216"/>
      <x:c r="J574" s="216"/>
      <x:c r="K574" s="216"/>
      <x:c r="L574" s="216"/>
      <x:c r="M574" s="216"/>
      <x:c r="N574" s="216"/>
      <x:c r="O574" s="216"/>
      <x:c r="P574" s="216"/>
      <x:c r="Q574" s="216"/>
      <x:c r="R574" s="216"/>
      <x:c r="S574" s="216"/>
      <x:c r="T574" s="216"/>
      <x:c r="U574" s="216"/>
      <x:c r="V574" s="216"/>
      <x:c r="W574" s="216"/>
      <x:c r="X574" s="216"/>
      <x:c r="Y574" s="216"/>
      <x:c r="Z574" s="216"/>
    </x:row>
    <x:row r="575">
      <x:c r="A575" s="216"/>
      <x:c r="B575" s="216"/>
      <x:c r="C575" s="216"/>
      <x:c r="D575" s="216"/>
      <x:c r="E575" s="216"/>
      <x:c r="F575" s="216"/>
      <x:c r="G575" s="216"/>
      <x:c r="H575" s="216"/>
      <x:c r="I575" s="216"/>
      <x:c r="J575" s="216"/>
      <x:c r="K575" s="216"/>
      <x:c r="L575" s="216"/>
      <x:c r="M575" s="216"/>
      <x:c r="N575" s="216"/>
      <x:c r="O575" s="216"/>
      <x:c r="P575" s="216"/>
      <x:c r="Q575" s="216"/>
      <x:c r="R575" s="216"/>
      <x:c r="S575" s="216"/>
      <x:c r="T575" s="216"/>
      <x:c r="U575" s="216"/>
      <x:c r="V575" s="216"/>
      <x:c r="W575" s="216"/>
      <x:c r="X575" s="216"/>
      <x:c r="Y575" s="216"/>
      <x:c r="Z575" s="216"/>
    </x:row>
    <x:row r="576">
      <x:c r="A576" s="216"/>
      <x:c r="B576" s="216"/>
      <x:c r="C576" s="216"/>
      <x:c r="D576" s="216"/>
      <x:c r="E576" s="216"/>
      <x:c r="F576" s="216"/>
      <x:c r="G576" s="216"/>
      <x:c r="H576" s="216"/>
      <x:c r="I576" s="216"/>
      <x:c r="J576" s="216"/>
      <x:c r="K576" s="216"/>
      <x:c r="L576" s="216"/>
      <x:c r="M576" s="216"/>
      <x:c r="N576" s="216"/>
      <x:c r="O576" s="216"/>
      <x:c r="P576" s="216"/>
      <x:c r="Q576" s="216"/>
      <x:c r="R576" s="216"/>
      <x:c r="S576" s="216"/>
      <x:c r="T576" s="216"/>
      <x:c r="U576" s="216"/>
      <x:c r="V576" s="216"/>
      <x:c r="W576" s="216"/>
      <x:c r="X576" s="216"/>
      <x:c r="Y576" s="216"/>
      <x:c r="Z576" s="216"/>
    </x:row>
    <x:row r="577">
      <x:c r="A577" s="216"/>
      <x:c r="B577" s="216"/>
      <x:c r="C577" s="216"/>
      <x:c r="D577" s="216"/>
      <x:c r="E577" s="216"/>
      <x:c r="F577" s="216"/>
      <x:c r="G577" s="216"/>
      <x:c r="H577" s="216"/>
      <x:c r="I577" s="216"/>
      <x:c r="J577" s="216"/>
      <x:c r="K577" s="216"/>
      <x:c r="L577" s="216"/>
      <x:c r="M577" s="216"/>
      <x:c r="N577" s="216"/>
      <x:c r="O577" s="216"/>
      <x:c r="P577" s="216"/>
      <x:c r="Q577" s="216"/>
      <x:c r="R577" s="216"/>
      <x:c r="S577" s="216"/>
      <x:c r="T577" s="216"/>
      <x:c r="U577" s="216"/>
      <x:c r="V577" s="216"/>
      <x:c r="W577" s="216"/>
      <x:c r="X577" s="216"/>
      <x:c r="Y577" s="216"/>
      <x:c r="Z577" s="216"/>
    </x:row>
    <x:row r="578">
      <x:c r="A578" s="216"/>
      <x:c r="B578" s="216"/>
      <x:c r="C578" s="216"/>
      <x:c r="D578" s="216"/>
      <x:c r="E578" s="216"/>
      <x:c r="F578" s="216"/>
      <x:c r="G578" s="216"/>
      <x:c r="H578" s="216"/>
      <x:c r="I578" s="216"/>
      <x:c r="J578" s="216"/>
      <x:c r="K578" s="216"/>
      <x:c r="L578" s="216"/>
      <x:c r="M578" s="216"/>
      <x:c r="N578" s="216"/>
      <x:c r="O578" s="216"/>
      <x:c r="P578" s="216"/>
      <x:c r="Q578" s="216"/>
      <x:c r="R578" s="216"/>
      <x:c r="S578" s="216"/>
      <x:c r="T578" s="216"/>
      <x:c r="U578" s="216"/>
      <x:c r="V578" s="216"/>
      <x:c r="W578" s="216"/>
      <x:c r="X578" s="216"/>
      <x:c r="Y578" s="216"/>
      <x:c r="Z578" s="216"/>
    </x:row>
    <x:row r="579">
      <x:c r="A579" s="216"/>
      <x:c r="B579" s="216"/>
      <x:c r="C579" s="216"/>
      <x:c r="D579" s="216"/>
      <x:c r="E579" s="216"/>
      <x:c r="F579" s="216"/>
      <x:c r="G579" s="216"/>
      <x:c r="H579" s="216"/>
      <x:c r="I579" s="216"/>
      <x:c r="J579" s="216"/>
      <x:c r="K579" s="216"/>
      <x:c r="L579" s="216"/>
      <x:c r="M579" s="216"/>
      <x:c r="N579" s="216"/>
      <x:c r="O579" s="216"/>
      <x:c r="P579" s="216"/>
      <x:c r="Q579" s="216"/>
      <x:c r="R579" s="216"/>
      <x:c r="S579" s="216"/>
      <x:c r="T579" s="216"/>
      <x:c r="U579" s="216"/>
      <x:c r="V579" s="216"/>
      <x:c r="W579" s="216"/>
      <x:c r="X579" s="216"/>
      <x:c r="Y579" s="216"/>
      <x:c r="Z579" s="216"/>
    </x:row>
    <x:row r="580">
      <x:c r="A580" s="216"/>
      <x:c r="B580" s="216"/>
      <x:c r="C580" s="216"/>
      <x:c r="D580" s="216"/>
      <x:c r="E580" s="216"/>
      <x:c r="F580" s="216"/>
      <x:c r="G580" s="216"/>
      <x:c r="H580" s="216"/>
      <x:c r="I580" s="216"/>
      <x:c r="J580" s="216"/>
      <x:c r="K580" s="216"/>
      <x:c r="L580" s="216"/>
      <x:c r="M580" s="216"/>
      <x:c r="N580" s="216"/>
      <x:c r="O580" s="216"/>
      <x:c r="P580" s="216"/>
      <x:c r="Q580" s="216"/>
      <x:c r="R580" s="216"/>
      <x:c r="S580" s="216"/>
      <x:c r="T580" s="216"/>
      <x:c r="U580" s="216"/>
      <x:c r="V580" s="216"/>
      <x:c r="W580" s="216"/>
      <x:c r="X580" s="216"/>
      <x:c r="Y580" s="216"/>
      <x:c r="Z580" s="216"/>
    </x:row>
    <x:row r="581">
      <x:c r="A581" s="216"/>
      <x:c r="B581" s="216"/>
      <x:c r="C581" s="216"/>
      <x:c r="D581" s="216"/>
      <x:c r="E581" s="216"/>
      <x:c r="F581" s="216"/>
      <x:c r="G581" s="216"/>
      <x:c r="H581" s="216"/>
      <x:c r="I581" s="216"/>
      <x:c r="J581" s="216"/>
      <x:c r="K581" s="216"/>
      <x:c r="L581" s="216"/>
      <x:c r="M581" s="216"/>
      <x:c r="N581" s="216"/>
      <x:c r="O581" s="216"/>
      <x:c r="P581" s="216"/>
      <x:c r="Q581" s="216"/>
      <x:c r="R581" s="216"/>
      <x:c r="S581" s="216"/>
      <x:c r="T581" s="216"/>
      <x:c r="U581" s="216"/>
      <x:c r="V581" s="216"/>
      <x:c r="W581" s="216"/>
      <x:c r="X581" s="216"/>
      <x:c r="Y581" s="216"/>
      <x:c r="Z581" s="216"/>
    </x:row>
    <x:row r="582">
      <x:c r="A582" s="216"/>
      <x:c r="B582" s="216"/>
      <x:c r="C582" s="216"/>
      <x:c r="D582" s="216"/>
      <x:c r="E582" s="216"/>
      <x:c r="F582" s="216"/>
      <x:c r="G582" s="216"/>
      <x:c r="H582" s="216"/>
      <x:c r="I582" s="216"/>
      <x:c r="J582" s="216"/>
      <x:c r="K582" s="216"/>
      <x:c r="L582" s="216"/>
      <x:c r="M582" s="216"/>
      <x:c r="N582" s="216"/>
      <x:c r="O582" s="216"/>
      <x:c r="P582" s="216"/>
      <x:c r="Q582" s="216"/>
      <x:c r="R582" s="216"/>
      <x:c r="S582" s="216"/>
      <x:c r="T582" s="216"/>
      <x:c r="U582" s="216"/>
      <x:c r="V582" s="216"/>
      <x:c r="W582" s="216"/>
      <x:c r="X582" s="216"/>
      <x:c r="Y582" s="216"/>
      <x:c r="Z582" s="216"/>
    </x:row>
    <x:row r="583">
      <x:c r="A583" s="216"/>
      <x:c r="B583" s="216"/>
      <x:c r="C583" s="216"/>
      <x:c r="D583" s="216"/>
      <x:c r="E583" s="216"/>
      <x:c r="F583" s="216"/>
      <x:c r="G583" s="216"/>
      <x:c r="H583" s="216"/>
      <x:c r="I583" s="216"/>
      <x:c r="J583" s="216"/>
      <x:c r="K583" s="216"/>
      <x:c r="L583" s="216"/>
      <x:c r="M583" s="216"/>
      <x:c r="N583" s="216"/>
      <x:c r="O583" s="216"/>
      <x:c r="P583" s="216"/>
      <x:c r="Q583" s="216"/>
      <x:c r="R583" s="216"/>
      <x:c r="S583" s="216"/>
      <x:c r="T583" s="216"/>
      <x:c r="U583" s="216"/>
      <x:c r="V583" s="216"/>
      <x:c r="W583" s="216"/>
      <x:c r="X583" s="216"/>
      <x:c r="Y583" s="216"/>
      <x:c r="Z583" s="216"/>
    </x:row>
    <x:row r="584">
      <x:c r="A584" s="216"/>
      <x:c r="B584" s="216"/>
      <x:c r="C584" s="216"/>
      <x:c r="D584" s="216"/>
      <x:c r="E584" s="216"/>
      <x:c r="F584" s="216"/>
      <x:c r="G584" s="216"/>
      <x:c r="H584" s="216"/>
      <x:c r="I584" s="216"/>
      <x:c r="J584" s="216"/>
      <x:c r="K584" s="216"/>
      <x:c r="L584" s="216"/>
      <x:c r="M584" s="216"/>
      <x:c r="N584" s="216"/>
      <x:c r="O584" s="216"/>
      <x:c r="P584" s="216"/>
      <x:c r="Q584" s="216"/>
      <x:c r="R584" s="216"/>
      <x:c r="S584" s="216"/>
      <x:c r="T584" s="216"/>
      <x:c r="U584" s="216"/>
      <x:c r="V584" s="216"/>
      <x:c r="W584" s="216"/>
      <x:c r="X584" s="216"/>
      <x:c r="Y584" s="216"/>
      <x:c r="Z584" s="216"/>
    </x:row>
    <x:row r="585">
      <x:c r="A585" s="216"/>
      <x:c r="B585" s="216"/>
      <x:c r="C585" s="216"/>
      <x:c r="D585" s="216"/>
      <x:c r="E585" s="216"/>
      <x:c r="F585" s="216"/>
      <x:c r="G585" s="216"/>
      <x:c r="H585" s="216"/>
      <x:c r="I585" s="216"/>
      <x:c r="J585" s="216"/>
      <x:c r="K585" s="216"/>
      <x:c r="L585" s="216"/>
      <x:c r="M585" s="216"/>
      <x:c r="N585" s="216"/>
      <x:c r="O585" s="216"/>
      <x:c r="P585" s="216"/>
      <x:c r="Q585" s="216"/>
      <x:c r="R585" s="216"/>
      <x:c r="S585" s="216"/>
      <x:c r="T585" s="216"/>
      <x:c r="U585" s="216"/>
      <x:c r="V585" s="216"/>
      <x:c r="W585" s="216"/>
      <x:c r="X585" s="216"/>
      <x:c r="Y585" s="216"/>
      <x:c r="Z585" s="216"/>
    </x:row>
    <x:row r="586">
      <x:c r="A586" s="216"/>
      <x:c r="B586" s="216"/>
      <x:c r="C586" s="216"/>
      <x:c r="D586" s="216"/>
      <x:c r="E586" s="216"/>
      <x:c r="F586" s="216"/>
      <x:c r="G586" s="216"/>
      <x:c r="H586" s="216"/>
      <x:c r="I586" s="216"/>
      <x:c r="J586" s="216"/>
      <x:c r="K586" s="216"/>
      <x:c r="L586" s="216"/>
      <x:c r="M586" s="216"/>
      <x:c r="N586" s="216"/>
      <x:c r="O586" s="216"/>
      <x:c r="P586" s="216"/>
      <x:c r="Q586" s="216"/>
      <x:c r="R586" s="216"/>
      <x:c r="S586" s="216"/>
      <x:c r="T586" s="216"/>
      <x:c r="U586" s="216"/>
      <x:c r="V586" s="216"/>
      <x:c r="W586" s="216"/>
      <x:c r="X586" s="216"/>
      <x:c r="Y586" s="216"/>
      <x:c r="Z586" s="216"/>
    </x:row>
    <x:row r="587">
      <x:c r="A587" s="216"/>
      <x:c r="B587" s="216"/>
      <x:c r="C587" s="216"/>
      <x:c r="D587" s="216"/>
      <x:c r="E587" s="216"/>
      <x:c r="F587" s="216"/>
      <x:c r="G587" s="216"/>
      <x:c r="H587" s="216"/>
      <x:c r="I587" s="216"/>
      <x:c r="J587" s="216"/>
      <x:c r="K587" s="216"/>
      <x:c r="L587" s="216"/>
      <x:c r="M587" s="216"/>
      <x:c r="N587" s="216"/>
      <x:c r="O587" s="216"/>
      <x:c r="P587" s="216"/>
      <x:c r="Q587" s="216"/>
      <x:c r="R587" s="216"/>
      <x:c r="S587" s="216"/>
      <x:c r="T587" s="216"/>
      <x:c r="U587" s="216"/>
      <x:c r="V587" s="216"/>
      <x:c r="W587" s="216"/>
      <x:c r="X587" s="216"/>
      <x:c r="Y587" s="216"/>
      <x:c r="Z587" s="216"/>
    </x:row>
    <x:row r="588">
      <x:c r="A588" s="216"/>
      <x:c r="B588" s="216"/>
      <x:c r="C588" s="216"/>
      <x:c r="D588" s="216"/>
      <x:c r="E588" s="216"/>
      <x:c r="F588" s="216"/>
      <x:c r="G588" s="216"/>
      <x:c r="H588" s="216"/>
      <x:c r="I588" s="216"/>
      <x:c r="J588" s="216"/>
      <x:c r="K588" s="216"/>
      <x:c r="L588" s="216"/>
      <x:c r="M588" s="216"/>
      <x:c r="N588" s="216"/>
      <x:c r="O588" s="216"/>
      <x:c r="P588" s="216"/>
      <x:c r="Q588" s="216"/>
      <x:c r="R588" s="216"/>
      <x:c r="S588" s="216"/>
      <x:c r="T588" s="216"/>
      <x:c r="U588" s="216"/>
      <x:c r="V588" s="216"/>
      <x:c r="W588" s="216"/>
      <x:c r="X588" s="216"/>
      <x:c r="Y588" s="216"/>
      <x:c r="Z588" s="216"/>
    </x:row>
    <x:row r="589">
      <x:c r="A589" s="216"/>
      <x:c r="B589" s="216"/>
      <x:c r="C589" s="216"/>
      <x:c r="D589" s="216"/>
      <x:c r="E589" s="216"/>
      <x:c r="F589" s="216"/>
      <x:c r="G589" s="216"/>
      <x:c r="H589" s="216"/>
      <x:c r="I589" s="216"/>
      <x:c r="J589" s="216"/>
      <x:c r="K589" s="216"/>
      <x:c r="L589" s="216"/>
      <x:c r="M589" s="216"/>
      <x:c r="N589" s="216"/>
      <x:c r="O589" s="216"/>
      <x:c r="P589" s="216"/>
      <x:c r="Q589" s="216"/>
      <x:c r="R589" s="216"/>
      <x:c r="S589" s="216"/>
      <x:c r="T589" s="216"/>
      <x:c r="U589" s="216"/>
      <x:c r="V589" s="216"/>
      <x:c r="W589" s="216"/>
      <x:c r="X589" s="216"/>
      <x:c r="Y589" s="216"/>
      <x:c r="Z589" s="216"/>
    </x:row>
    <x:row r="590">
      <x:c r="A590" s="216"/>
      <x:c r="B590" s="216"/>
      <x:c r="C590" s="216"/>
      <x:c r="D590" s="216"/>
      <x:c r="E590" s="216"/>
      <x:c r="F590" s="216"/>
      <x:c r="G590" s="216"/>
      <x:c r="H590" s="216"/>
      <x:c r="I590" s="216"/>
      <x:c r="J590" s="216"/>
      <x:c r="K590" s="216"/>
      <x:c r="L590" s="216"/>
      <x:c r="M590" s="216"/>
      <x:c r="N590" s="216"/>
      <x:c r="O590" s="216"/>
      <x:c r="P590" s="216"/>
      <x:c r="Q590" s="216"/>
      <x:c r="R590" s="216"/>
      <x:c r="S590" s="216"/>
      <x:c r="T590" s="216"/>
      <x:c r="U590" s="216"/>
      <x:c r="V590" s="216"/>
      <x:c r="W590" s="216"/>
      <x:c r="X590" s="216"/>
      <x:c r="Y590" s="216"/>
      <x:c r="Z590" s="216"/>
    </x:row>
    <x:row r="591">
      <x:c r="A591" s="216"/>
      <x:c r="B591" s="216"/>
      <x:c r="C591" s="216"/>
      <x:c r="D591" s="216"/>
      <x:c r="E591" s="216"/>
      <x:c r="F591" s="216"/>
      <x:c r="G591" s="216"/>
      <x:c r="H591" s="216"/>
      <x:c r="I591" s="216"/>
      <x:c r="J591" s="216"/>
      <x:c r="K591" s="216"/>
      <x:c r="L591" s="216"/>
      <x:c r="M591" s="216"/>
      <x:c r="N591" s="216"/>
      <x:c r="O591" s="216"/>
      <x:c r="P591" s="216"/>
      <x:c r="Q591" s="216"/>
      <x:c r="R591" s="216"/>
      <x:c r="S591" s="216"/>
      <x:c r="T591" s="216"/>
      <x:c r="U591" s="216"/>
      <x:c r="V591" s="216"/>
      <x:c r="W591" s="216"/>
      <x:c r="X591" s="216"/>
      <x:c r="Y591" s="216"/>
      <x:c r="Z591" s="216"/>
    </x:row>
    <x:row r="592">
      <x:c r="A592" s="216"/>
      <x:c r="B592" s="216"/>
      <x:c r="C592" s="216"/>
      <x:c r="D592" s="216"/>
      <x:c r="E592" s="216"/>
      <x:c r="F592" s="216"/>
      <x:c r="G592" s="216"/>
      <x:c r="H592" s="216"/>
      <x:c r="I592" s="216"/>
      <x:c r="J592" s="216"/>
      <x:c r="K592" s="216"/>
      <x:c r="L592" s="216"/>
      <x:c r="M592" s="216"/>
      <x:c r="N592" s="216"/>
      <x:c r="O592" s="216"/>
      <x:c r="P592" s="216"/>
      <x:c r="Q592" s="216"/>
      <x:c r="R592" s="216"/>
      <x:c r="S592" s="216"/>
      <x:c r="T592" s="216"/>
      <x:c r="U592" s="216"/>
      <x:c r="V592" s="216"/>
      <x:c r="W592" s="216"/>
      <x:c r="X592" s="216"/>
      <x:c r="Y592" s="216"/>
      <x:c r="Z592" s="216"/>
    </x:row>
    <x:row r="593">
      <x:c r="A593" s="216"/>
      <x:c r="B593" s="216"/>
      <x:c r="C593" s="216"/>
      <x:c r="D593" s="216"/>
      <x:c r="E593" s="216"/>
      <x:c r="F593" s="216"/>
      <x:c r="G593" s="216"/>
      <x:c r="H593" s="216"/>
      <x:c r="I593" s="216"/>
      <x:c r="J593" s="216"/>
      <x:c r="K593" s="216"/>
      <x:c r="L593" s="216"/>
      <x:c r="M593" s="216"/>
      <x:c r="N593" s="216"/>
      <x:c r="O593" s="216"/>
      <x:c r="P593" s="216"/>
      <x:c r="Q593" s="216"/>
      <x:c r="R593" s="216"/>
      <x:c r="S593" s="216"/>
      <x:c r="T593" s="216"/>
      <x:c r="U593" s="216"/>
      <x:c r="V593" s="216"/>
      <x:c r="W593" s="216"/>
      <x:c r="X593" s="216"/>
      <x:c r="Y593" s="216"/>
      <x:c r="Z593" s="216"/>
    </x:row>
    <x:row r="594">
      <x:c r="A594" s="216"/>
      <x:c r="B594" s="216"/>
      <x:c r="C594" s="216"/>
      <x:c r="D594" s="216"/>
      <x:c r="E594" s="216"/>
      <x:c r="F594" s="216"/>
      <x:c r="G594" s="216"/>
      <x:c r="H594" s="216"/>
      <x:c r="I594" s="216"/>
      <x:c r="J594" s="216"/>
      <x:c r="K594" s="216"/>
      <x:c r="L594" s="216"/>
      <x:c r="M594" s="216"/>
      <x:c r="N594" s="216"/>
      <x:c r="O594" s="216"/>
      <x:c r="P594" s="216"/>
      <x:c r="Q594" s="216"/>
      <x:c r="R594" s="216"/>
      <x:c r="S594" s="216"/>
      <x:c r="T594" s="216"/>
      <x:c r="U594" s="216"/>
      <x:c r="V594" s="216"/>
      <x:c r="W594" s="216"/>
      <x:c r="X594" s="216"/>
      <x:c r="Y594" s="216"/>
      <x:c r="Z594" s="216"/>
    </x:row>
    <x:row r="595">
      <x:c r="A595" s="216"/>
      <x:c r="B595" s="216"/>
      <x:c r="C595" s="216"/>
      <x:c r="D595" s="216"/>
      <x:c r="E595" s="216"/>
      <x:c r="F595" s="216"/>
      <x:c r="G595" s="216"/>
      <x:c r="H595" s="216"/>
      <x:c r="I595" s="216"/>
      <x:c r="J595" s="216"/>
      <x:c r="K595" s="216"/>
      <x:c r="L595" s="216"/>
      <x:c r="M595" s="216"/>
      <x:c r="N595" s="216"/>
      <x:c r="O595" s="216"/>
      <x:c r="P595" s="216"/>
      <x:c r="Q595" s="216"/>
      <x:c r="R595" s="216"/>
      <x:c r="S595" s="216"/>
      <x:c r="T595" s="216"/>
      <x:c r="U595" s="216"/>
      <x:c r="V595" s="216"/>
      <x:c r="W595" s="216"/>
      <x:c r="X595" s="216"/>
      <x:c r="Y595" s="216"/>
      <x:c r="Z595" s="216"/>
    </x:row>
    <x:row r="596">
      <x:c r="A596" s="216"/>
      <x:c r="B596" s="216"/>
      <x:c r="C596" s="216"/>
      <x:c r="D596" s="216"/>
      <x:c r="E596" s="216"/>
      <x:c r="F596" s="216"/>
      <x:c r="G596" s="216"/>
      <x:c r="H596" s="216"/>
      <x:c r="I596" s="216"/>
      <x:c r="J596" s="216"/>
      <x:c r="K596" s="216"/>
      <x:c r="L596" s="216"/>
      <x:c r="M596" s="216"/>
      <x:c r="N596" s="216"/>
      <x:c r="O596" s="216"/>
      <x:c r="P596" s="216"/>
      <x:c r="Q596" s="216"/>
      <x:c r="R596" s="216"/>
      <x:c r="S596" s="216"/>
      <x:c r="T596" s="216"/>
      <x:c r="U596" s="216"/>
      <x:c r="V596" s="216"/>
      <x:c r="W596" s="216"/>
      <x:c r="X596" s="216"/>
      <x:c r="Y596" s="216"/>
      <x:c r="Z596" s="216"/>
    </x:row>
    <x:row r="597">
      <x:c r="A597" s="216"/>
      <x:c r="B597" s="216"/>
      <x:c r="C597" s="216"/>
      <x:c r="D597" s="216"/>
      <x:c r="E597" s="216"/>
      <x:c r="F597" s="216"/>
      <x:c r="G597" s="216"/>
      <x:c r="H597" s="216"/>
      <x:c r="I597" s="216"/>
      <x:c r="J597" s="216"/>
      <x:c r="K597" s="216"/>
      <x:c r="L597" s="216"/>
      <x:c r="M597" s="216"/>
      <x:c r="N597" s="216"/>
      <x:c r="O597" s="216"/>
      <x:c r="P597" s="216"/>
      <x:c r="Q597" s="216"/>
      <x:c r="R597" s="216"/>
      <x:c r="S597" s="216"/>
      <x:c r="T597" s="216"/>
      <x:c r="U597" s="216"/>
      <x:c r="V597" s="216"/>
      <x:c r="W597" s="216"/>
      <x:c r="X597" s="216"/>
      <x:c r="Y597" s="216"/>
      <x:c r="Z597" s="216"/>
    </x:row>
    <x:row r="598">
      <x:c r="A598" s="216"/>
      <x:c r="B598" s="216"/>
      <x:c r="C598" s="216"/>
      <x:c r="D598" s="216"/>
      <x:c r="E598" s="216"/>
      <x:c r="F598" s="216"/>
      <x:c r="G598" s="216"/>
      <x:c r="H598" s="216"/>
      <x:c r="I598" s="216"/>
      <x:c r="J598" s="216"/>
      <x:c r="K598" s="216"/>
      <x:c r="L598" s="216"/>
      <x:c r="M598" s="216"/>
      <x:c r="N598" s="216"/>
      <x:c r="O598" s="216"/>
      <x:c r="P598" s="216"/>
      <x:c r="Q598" s="216"/>
      <x:c r="R598" s="216"/>
      <x:c r="S598" s="216"/>
      <x:c r="T598" s="216"/>
      <x:c r="U598" s="216"/>
      <x:c r="V598" s="216"/>
      <x:c r="W598" s="216"/>
      <x:c r="X598" s="216"/>
      <x:c r="Y598" s="216"/>
      <x:c r="Z598" s="216"/>
    </x:row>
    <x:row r="599">
      <x:c r="A599" s="216"/>
      <x:c r="B599" s="216"/>
      <x:c r="C599" s="216"/>
      <x:c r="D599" s="216"/>
      <x:c r="E599" s="216"/>
      <x:c r="F599" s="216"/>
      <x:c r="G599" s="216"/>
      <x:c r="H599" s="216"/>
      <x:c r="I599" s="216"/>
      <x:c r="J599" s="216"/>
      <x:c r="K599" s="216"/>
      <x:c r="L599" s="216"/>
      <x:c r="M599" s="216"/>
      <x:c r="N599" s="216"/>
      <x:c r="O599" s="216"/>
      <x:c r="P599" s="216"/>
      <x:c r="Q599" s="216"/>
      <x:c r="R599" s="216"/>
      <x:c r="S599" s="216"/>
      <x:c r="T599" s="216"/>
      <x:c r="U599" s="216"/>
      <x:c r="V599" s="216"/>
      <x:c r="W599" s="216"/>
      <x:c r="X599" s="216"/>
      <x:c r="Y599" s="216"/>
      <x:c r="Z599" s="216"/>
    </x:row>
    <x:row r="600">
      <x:c r="A600" s="216"/>
      <x:c r="B600" s="216"/>
      <x:c r="C600" s="216"/>
      <x:c r="D600" s="216"/>
      <x:c r="E600" s="216"/>
      <x:c r="F600" s="216"/>
      <x:c r="G600" s="216"/>
      <x:c r="H600" s="216"/>
      <x:c r="I600" s="216"/>
      <x:c r="J600" s="216"/>
      <x:c r="K600" s="216"/>
      <x:c r="L600" s="216"/>
      <x:c r="M600" s="216"/>
      <x:c r="N600" s="216"/>
      <x:c r="O600" s="216"/>
      <x:c r="P600" s="216"/>
      <x:c r="Q600" s="216"/>
      <x:c r="R600" s="216"/>
      <x:c r="S600" s="216"/>
      <x:c r="T600" s="216"/>
      <x:c r="U600" s="216"/>
      <x:c r="V600" s="216"/>
      <x:c r="W600" s="216"/>
      <x:c r="X600" s="216"/>
      <x:c r="Y600" s="216"/>
      <x:c r="Z600" s="216"/>
    </x:row>
  </x:sheetData>
  <x:mergeCells>
    <x:mergeCell ref="A1:E2"/>
    <x:mergeCell ref="A3:E3"/>
    <x:mergeCell ref="A20:A21"/>
    <x:mergeCell ref="B20:C21"/>
    <x:mergeCell ref="A23:C26"/>
  </x:mergeCells>
  <x:conditionalFormatting sqref="B6:B18">
    <x:cfRule type="containsText" dxfId="2" priority="1" operator="containsText" text="OK"/>
    <x:cfRule type="containsText" dxfId="3" priority="2" operator="containsText" text="FIX"/>
  </x:conditionalFormatting>
  <x:pageMargins left="0.7" right="0.7" top="0.75" bottom="0.75" header="0.3" footer="0.3"/>
</x:worksheet>
</file>