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ae49e609384d11" /></Relationships>
</file>

<file path=xl/workbook.xml><?xml version="1.0" encoding="utf-8"?>
<x:workbook xmlns:x="http://schemas.openxmlformats.org/spreadsheetml/2006/main">
  <x:sheets>
    <x:sheet xmlns:r="http://schemas.openxmlformats.org/officeDocument/2006/relationships" name="Competitors" sheetId="1" r:id="Rc38a8b2a101b4c1b"/>
    <x:sheet xmlns:r="http://schemas.openxmlformats.org/officeDocument/2006/relationships" name="EverBee" sheetId="2" r:id="R41ae00687faf4cc9"/>
    <x:sheet xmlns:r="http://schemas.openxmlformats.org/officeDocument/2006/relationships" name="Keywords" sheetId="3" r:id="R5eabcfe5fa30453c"/>
    <x:sheet xmlns:r="http://schemas.openxmlformats.org/officeDocument/2006/relationships" name="Reviews" sheetId="4" r:id="R741aec323f2d444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
    <x:numFmt numFmtId="202" formatCode="0.0"/>
    <x:numFmt numFmtId="203" formatCode="0.0%"/>
    <x:numFmt numFmtId="204" formatCode="0"/>
    <x:numFmt numFmtId="205" formatCode="0%"/>
  </x:numFmts>
  <x:fonts count="8">
    <x:font>
      <x:sz val="11"/>
      <x:name val="Carlito"/>
    </x:font>
    <x:font>
      <x:sz val="9"/>
      <x:color rgb="FF24332F"/>
      <x:name val="Arial"/>
    </x:font>
    <x:font>
      <x:b/>
      <x:sz val="9"/>
      <x:color rgb="FFFFFFFF"/>
      <x:name val="Arial"/>
    </x:font>
    <x:font>
      <x:b/>
      <x:sz val="16"/>
      <x:color rgb="FFFFFFFF"/>
      <x:name val="Arial"/>
    </x:font>
    <x:font>
      <x:b/>
      <x:sz val="10"/>
      <x:color rgb="FF24332F"/>
      <x:name val="Arial"/>
    </x:font>
    <x:font>
      <x:b/>
      <x:sz val="11"/>
      <x:color rgb="FF24332F"/>
      <x:name val="Arial"/>
    </x:font>
    <x:font>
      <x:sz val="10"/>
      <x:color rgb="FF24332F"/>
      <x:name val="Arial"/>
    </x:font>
    <x:font>
      <x:b/>
      <x:sz val="10"/>
      <x:color rgb="FFFFFFFF"/>
      <x:name val="Arial"/>
    </x:font>
  </x:fonts>
  <x:fills count="6">
    <x:fill>
      <x:patternFill patternType="none"/>
    </x:fill>
    <x:fill>
      <x:patternFill patternType="gray125"/>
    </x:fill>
    <x:fill>
      <x:patternFill patternType="solid">
        <x:fgColor rgb="FF285247"/>
      </x:patternFill>
    </x:fill>
    <x:fill>
      <x:patternFill patternType="solid">
        <x:fgColor rgb="FFB8D2C5"/>
      </x:patternFill>
    </x:fill>
    <x:fill>
      <x:patternFill patternType="solid">
        <x:fgColor rgb="FFF2B84B"/>
      </x:patternFill>
    </x:fill>
    <x:fill>
      <x:patternFill patternType="solid">
        <x:fgColor rgb="FFFFF3CF"/>
      </x:patternFill>
    </x:fill>
  </x:fills>
  <x:borders count="4">
    <x:border/>
    <x:border>
      <x:bottom style="thin">
        <x:color rgb="FFE7EDEA"/>
      </x:bottom>
    </x:border>
    <x:border>
      <x:top style="thin">
        <x:color rgb="FFE7EDEA"/>
      </x:top>
      <x:bottom style="thin">
        <x:color rgb="FFE7EDEA"/>
      </x:bottom>
    </x:border>
    <x:border>
      <x:top style="thin">
        <x:color rgb="FFE7EDEA"/>
      </x:top>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0" fontId="2" fillId="2" borderId="1" xfId="0" applyNumberFormat="1" applyFont="1" applyFill="1" applyBorder="1" applyAlignment="1">
      <x:alignment vertical="center" wrapText="1"/>
    </x:xf>
    <x:xf numFmtId="0" fontId="1" fillId="0" borderId="2" xfId="0" applyNumberFormat="1" applyFont="1" applyFill="1" applyBorder="1"/>
    <x:xf numFmtId="200" fontId="1" fillId="0" borderId="2" xfId="0" applyNumberFormat="1" applyFont="1" applyFill="1" applyBorder="1"/>
    <x:xf numFmtId="201" fontId="1" fillId="0" borderId="2" xfId="0" applyNumberFormat="1" applyFont="1" applyFill="1" applyBorder="1"/>
    <x:xf numFmtId="202" fontId="1" fillId="0" borderId="2" xfId="0" applyNumberFormat="1" applyFont="1" applyFill="1" applyBorder="1"/>
    <x:xf numFmtId="0" fontId="1" fillId="0" borderId="3" xfId="0" applyNumberFormat="1" applyFont="1" applyFill="1" applyBorder="1"/>
    <x:xf numFmtId="200" fontId="1" fillId="0" borderId="3" xfId="0" applyNumberFormat="1" applyFont="1" applyFill="1" applyBorder="1"/>
    <x:xf numFmtId="201" fontId="1" fillId="0" borderId="3" xfId="0" applyNumberFormat="1" applyFont="1" applyFill="1" applyBorder="1"/>
    <x:xf numFmtId="202" fontId="1" fillId="0" borderId="3"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0" fillId="5" borderId="0" xfId="0" applyNumberFormat="1" applyFont="1" applyFill="1" applyBorder="1"/>
    <x:xf numFmtId="0" fontId="6" fillId="0" borderId="0" xfId="0" applyNumberFormat="1" applyFont="1" applyFill="1" applyBorder="1"/>
    <x:xf numFmtId="0" fontId="6" fillId="2" borderId="0" xfId="0" applyNumberFormat="1" applyFont="1" applyFill="1" applyBorder="1"/>
    <x:xf numFmtId="0" fontId="7" fillId="2" borderId="0" xfId="0" applyNumberFormat="1" applyFont="1" applyFill="1" applyBorder="1"/>
    <x:xf numFmtId="203" fontId="6" fillId="0" borderId="0" xfId="0" applyNumberFormat="1" applyFont="1" applyFill="1" applyBorder="1"/>
    <x:xf numFmtId="0" fontId="7" fillId="2" borderId="0" xfId="0" applyNumberFormat="1" applyFont="1" applyFill="1" applyBorder="1" applyAlignment="1">
      <x:alignment wrapText="1"/>
    </x:xf>
    <x:xf numFmtId="0" fontId="6" fillId="0" borderId="0" xfId="0" applyNumberFormat="1" applyFont="1" applyFill="1" applyBorder="1" applyAlignment="1">
      <x:alignment wrapText="1"/>
    </x:xf>
    <x:xf numFmtId="200" fontId="6" fillId="0" borderId="0" xfId="0" applyNumberFormat="1" applyFont="1" applyFill="1" applyBorder="1"/>
    <x:xf numFmtId="202"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eda81d5c584c5e" /><Relationship Type="http://schemas.openxmlformats.org/officeDocument/2006/relationships/theme" Target="/xl/theme/theme1.xml" Id="R0b9a345da59a451c" /><Relationship Type="http://schemas.openxmlformats.org/officeDocument/2006/relationships/sharedStrings" Target="/xl/sharedStrings.xml" Id="R270a3acdcbd34944" /><Relationship Type="http://schemas.openxmlformats.org/officeDocument/2006/relationships/worksheet" Target="/xl/worksheets/sheet1.xml" Id="Rc38a8b2a101b4c1b" /><Relationship Type="http://schemas.openxmlformats.org/officeDocument/2006/relationships/worksheet" Target="/xl/worksheets/sheet2.xml" Id="R41ae00687faf4cc9" /><Relationship Type="http://schemas.openxmlformats.org/officeDocument/2006/relationships/worksheet" Target="/xl/worksheets/sheet3.xml" Id="R5eabcfe5fa30453c" /><Relationship Type="http://schemas.openxmlformats.org/officeDocument/2006/relationships/worksheet" Target="/xl/worksheets/sheet4.xml" Id="R741aec323f2d4440" /></Relationships>
</file>

<file path=xl/tables/table1.xml><?xml version="1.0" encoding="utf-8"?>
<x:table xmlns:x="http://schemas.openxmlformats.org/spreadsheetml/2006/main" id="2" name="CompetitorTable" displayName="CompetitorTable" ref="A10:L60" headerRowCount="1" totalsRowCount="0" totalsRowShown="0">
  <x:tableColumns count="12">
    <x:tableColumn id="1" name="Segment"/>
    <x:tableColumn id="2" name="Product"/>
    <x:tableColumn id="3" name="Shop"/>
    <x:tableColumn id="4" name="Price"/>
    <x:tableColumn id="5" name="Est. Sales"/>
    <x:tableColumn id="6" name="Est. Revenue"/>
    <x:tableColumn id="7" name="Reviews"/>
    <x:tableColumn id="8" name="Age (months)"/>
    <x:tableColumn id="9" name="Conversion Rate"/>
    <x:tableColumn id="10" name="Views"/>
    <x:tableColumn id="11" name="Revenue / Est. Sale"/>
    <x:tableColumn id="12" name="Product Link"/>
  </x:tableColumns>
  <x:tableStyleInfo name="TableStyleMedium4" showFirstColumn="0" showLastColumn="0" showRowStripes="1" showColumnStripes="0"/>
</x:table>
</file>

<file path=xl/tables/table2.xml><?xml version="1.0" encoding="utf-8"?>
<x:table xmlns:x="http://schemas.openxmlformats.org/spreadsheetml/2006/main" id="1" name="EverBeeSourceTable" displayName="EverBeeSourceTable" ref="A1:AJ1601" headerRowCount="1" totalsRowCount="0" totalsRowShown="0">
  <x:tableColumns count="36">
    <x:tableColumn id="1" name="Product Name"/>
    <x:tableColumn id="2" name="Product Link"/>
    <x:tableColumn id="3" name="Shop Name"/>
    <x:tableColumn id="4" name="Shop Link"/>
    <x:tableColumn id="5" name="Price"/>
    <x:tableColumn id="6" name="Est. Sales"/>
    <x:tableColumn id="7" name="Est. Revenue"/>
    <x:tableColumn id="8" name="Growth Rate"/>
    <x:tableColumn id="9" name="Est. Total Sales"/>
    <x:tableColumn id="10" name="Total Reviews"/>
    <x:tableColumn id="11" name="Listing Age"/>
    <x:tableColumn id="12" name="Total Favorites"/>
    <x:tableColumn id="13" name="Avg. Reviews"/>
    <x:tableColumn id="14" name="Total Views"/>
    <x:tableColumn id="15" name="Category"/>
    <x:tableColumn id="16" name="Shop Age"/>
    <x:tableColumn id="17" name="Visibility Score"/>
    <x:tableColumn id="18" name="Conversion Rate"/>
    <x:tableColumn id="19" name="Total Shop Sales"/>
    <x:tableColumn id="20" name="Tags"/>
    <x:tableColumn id="21" name="Tag 1"/>
    <x:tableColumn id="22" name="Tag 2"/>
    <x:tableColumn id="23" name="Tag 3"/>
    <x:tableColumn id="24" name="Tag 4"/>
    <x:tableColumn id="25" name="Tag 5"/>
    <x:tableColumn id="26" name="Tag 6"/>
    <x:tableColumn id="27" name="Tag 7"/>
    <x:tableColumn id="28" name="Tag 8"/>
    <x:tableColumn id="29" name="Tag 9"/>
    <x:tableColumn id="30" name="Tag 10"/>
    <x:tableColumn id="31" name="Tag 11"/>
    <x:tableColumn id="32" name="Tag 12"/>
    <x:tableColumn id="33" name="Tag 13"/>
    <x:tableColumn id="34" name="Segment"/>
    <x:tableColumn id="35" name="Listing Age Months"/>
    <x:tableColumn id="36" name="Active Estimate"/>
  </x:tableColumns>
  <x:tableStyleInfo name="TableStyleMedium4" showFirstColumn="0" showLastColumn="0" showRowStripes="1" showColumnStripes="0"/>
</x:table>
</file>

<file path=xl/tables/table3.xml><?xml version="1.0" encoding="utf-8"?>
<x:table xmlns:x="http://schemas.openxmlformats.org/spreadsheetml/2006/main" id="3" name="KeywordTable" displayName="KeywordTable" ref="A1:E81" headerRowCount="1" totalsRowCount="0" totalsRowShown="0">
  <x:tableColumns count="5">
    <x:tableColumn id="1" name="Segment"/>
    <x:tableColumn id="2" name="Rank"/>
    <x:tableColumn id="3" name="Keyword"/>
    <x:tableColumn id="4" name="Count"/>
    <x:tableColumn id="5" name="Share"/>
  </x:tableColumns>
  <x:tableStyleInfo name="TableStyleMedium4" showFirstColumn="0" showLastColumn="0" showRowStripes="1" showColumnStripes="0"/>
</x:table>
</file>

<file path=xl/tables/table4.xml><?xml version="1.0" encoding="utf-8"?>
<x:table xmlns:x="http://schemas.openxmlformats.org/spreadsheetml/2006/main" id="4" name="ReviewEvidenceTable" displayName="ReviewEvidenceTable" ref="A1:H6" headerRowCount="1" totalsRowCount="0" totalsRowShown="0">
  <x:tableColumns count="8">
    <x:tableColumn id="1" name="Listing ID"/>
    <x:tableColumn id="2" name="Product type"/>
    <x:tableColumn id="3" name="Current price"/>
    <x:tableColumn id="4" name="Rating"/>
    <x:tableColumn id="5" name="Review count"/>
    <x:tableColumn id="6" name="Review theme"/>
    <x:tableColumn id="7" name="H4HappyLiving implication"/>
    <x:tableColumn id="8" name="Source URL"/>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320069bc544f08" /></Relationships>
</file>

<file path=xl/worksheets/_rels/sheet2.xml.rels>&#65279;<?xml version="1.0" encoding="utf-8"?><Relationships xmlns="http://schemas.openxmlformats.org/package/2006/relationships"><Relationship Type="http://schemas.openxmlformats.org/officeDocument/2006/relationships/table" Target="/xl/tables/table2.xml" Id="R8d893a820ced47d4" /></Relationships>
</file>

<file path=xl/worksheets/_rels/sheet3.xml.rels>&#65279;<?xml version="1.0" encoding="utf-8"?><Relationships xmlns="http://schemas.openxmlformats.org/package/2006/relationships"><Relationship Type="http://schemas.openxmlformats.org/officeDocument/2006/relationships/table" Target="/xl/tables/table3.xml" Id="R2911ac48b0284f74" /></Relationships>
</file>

<file path=xl/worksheets/_rels/sheet4.xml.rels>&#65279;<?xml version="1.0" encoding="utf-8"?><Relationships xmlns="http://schemas.openxmlformats.org/package/2006/relationships"><Relationship Type="http://schemas.openxmlformats.org/officeDocument/2006/relationships/table" Target="/xl/tables/table4.xml" Id="R34186a003eb64fc9"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54" hidden="0" customWidth="1"/>
    <x:col min="3" max="3" width="22" hidden="0" customWidth="1"/>
    <x:col min="4" max="4" width="28" hidden="0" customWidth="1"/>
    <x:col min="5" max="5" width="16" hidden="0" customWidth="1"/>
    <x:col min="6" max="6" width="28" hidden="0" customWidth="1"/>
    <x:col min="7" max="7" width="14" hidden="0" customWidth="1"/>
    <x:col min="8" max="8" width="14" hidden="0" customWidth="1"/>
    <x:col min="9" max="9" width="14" hidden="0" customWidth="1"/>
    <x:col min="10" max="10" width="14" hidden="0" customWidth="1"/>
    <x:col min="11" max="11" width="14" hidden="0" customWidth="1"/>
    <x:col min="12" max="12" width="40" hidden="0" customWidth="1"/>
  </x:cols>
  <x:sheetData>
    <x:row r="1" ht="34" customHeight="1">
      <x:c r="A1" s="20" t="str">
        <x:v>Mortgage Planners — Evidence Summary</x:v>
      </x:c>
      <x:c r="B1" s="20"/>
      <x:c r="C1" s="20"/>
      <x:c r="D1" s="20"/>
      <x:c r="E1" s="20"/>
      <x:c r="F1" s="20"/>
      <x:c r="G1" s="20"/>
      <x:c r="H1" s="20"/>
      <x:c r="I1" s="20"/>
      <x:c r="J1" s="20"/>
      <x:c r="K1" s="20"/>
      <x:c r="L1" s="20"/>
    </x:row>
    <x:row r="2">
      <x:c r="A2" s="22" t="str">
        <x:v>Export rows</x:v>
      </x:c>
      <x:c r="B2" t="n">
        <x:f>COUNTA('EverBee'!$A$2:$A$1601)</x:f>
        <x:v>1600</x:v>
      </x:c>
      <x:c r="D2" s="22" t="str">
        <x:v>Estimated target sales</x:v>
      </x:c>
      <x:c r="E2" t="n">
        <x:f>SUMIFS('EverBee'!$F$2:$F$1601,'EverBee'!$AH$2:$AH$1601,"Mortgage payoff / calculator")</x:f>
        <x:v>76</x:v>
      </x:c>
      <x:c r="F2" s="22" t="str">
        <x:v>Score component</x:v>
      </x:c>
      <x:c r="G2" s="22" t="str">
        <x:v>Score</x:v>
      </x:c>
      <x:c r="H2" s="22" t="str">
        <x:v>Weight</x:v>
      </x:c>
    </x:row>
    <x:row r="3">
      <x:c r="A3" s="22" t="str">
        <x:v>Mortgage payoff listings</x:v>
      </x:c>
      <x:c r="B3" t="n">
        <x:f>COUNTIF('EverBee'!$AH$2:$AH$1601,"Mortgage payoff / calculator")</x:f>
        <x:v>171</x:v>
      </x:c>
      <x:c r="D3" s="22" t="str">
        <x:v>Estimated target revenue</x:v>
      </x:c>
      <x:c r="E3" s="27" t="n">
        <x:f>SUMIFS('EverBee'!$G$2:$G$1601,'EverBee'!$AH$2:$AH$1601,"Mortgage payoff / calculator")</x:f>
        <x:v>440</x:v>
      </x:c>
      <x:c r="F3" t="str">
        <x:v>Demand evidence</x:v>
      </x:c>
      <x:c r="G3" s="31" t="n">
        <x:v>55</x:v>
      </x:c>
      <x:c r="H3" s="30" t="n">
        <x:v>0.25</x:v>
      </x:c>
    </x:row>
    <x:row r="4">
      <x:c r="A4" s="22" t="str">
        <x:v>Listings with estimated sales</x:v>
      </x:c>
      <x:c r="B4" t="n">
        <x:f>COUNTIFS('EverBee'!$AH$2:$AH$1601,"Mortgage payoff / calculator",'EverBee'!$F$2:$F$1601,"&gt;0")</x:f>
        <x:v>9</x:v>
      </x:c>
      <x:c r="D4" s="22" t="str">
        <x:v>Active-listing share</x:v>
      </x:c>
      <x:c r="E4" s="28" t="n">
        <x:f>B4/B3</x:f>
        <x:v>0.05263157894736842</x:v>
      </x:c>
      <x:c r="F4" t="str">
        <x:v>Competitive opportunity</x:v>
      </x:c>
      <x:c r="G4" s="31" t="n">
        <x:v>50</x:v>
      </x:c>
      <x:c r="H4" s="30" t="n">
        <x:v>0.2</x:v>
      </x:c>
    </x:row>
    <x:row r="5">
      <x:c r="A5" s="22" t="str">
        <x:v>Median target price</x:v>
      </x:c>
      <x:c r="B5" s="26" t="n">
        <x:f>MEDIAN(_xlfn._xlws.FILTER('EverBee'!$E$2:$E$1601,'EverBee'!$AH$2:$AH$1601="Mortgage payoff / calculator"))</x:f>
        <x:v>6.99</x:v>
      </x:c>
      <x:c r="D5" s="22" t="str">
        <x:v>Opportunity score</x:v>
      </x:c>
      <x:c r="E5" s="29" t="n">
        <x:f>SUMPRODUCT(G3:G8,H3:H8)</x:f>
        <x:v>61.75</x:v>
      </x:c>
      <x:c r="F5" t="str">
        <x:v>Differentiation potential</x:v>
      </x:c>
      <x:c r="G5" s="31" t="n">
        <x:v>75</x:v>
      </x:c>
      <x:c r="H5" s="30" t="n">
        <x:v>0.2</x:v>
      </x:c>
    </x:row>
    <x:row r="6">
      <x:c r="A6" s="22" t="str">
        <x:v>Decision</x:v>
      </x:c>
      <x:c r="B6" s="24" t="str">
        <x:v>TEST</x:v>
      </x:c>
      <x:c r="F6" t="str">
        <x:v>H4HappyLiving brand fit</x:v>
      </x:c>
      <x:c r="G6" s="31" t="n">
        <x:v>70</x:v>
      </x:c>
      <x:c r="H6" s="30" t="n">
        <x:v>0.15</x:v>
      </x:c>
    </x:row>
    <x:row r="7">
      <x:c r="A7" s="22" t="str">
        <x:v>Confidence</x:v>
      </x:c>
      <x:c r="B7" t="str">
        <x:v>Medium</x:v>
      </x:c>
      <x:c r="F7" t="str">
        <x:v>Profit potential</x:v>
      </x:c>
      <x:c r="G7" s="31" t="n">
        <x:v>70</x:v>
      </x:c>
      <x:c r="H7" s="30" t="n">
        <x:v>0.1</x:v>
      </x:c>
    </x:row>
    <x:row r="8" ht="34" customHeight="1">
      <x:c r="A8" s="22" t="str">
        <x:v>Data note</x:v>
      </x:c>
      <x:c r="B8" s="25" t="str">
        <x:v>EverBee figures are estimates; Etsy prices and reviews are observed snapshots.</x:v>
      </x:c>
      <x:c r="C8" s="25"/>
      <x:c r="F8" t="str">
        <x:v>Production feasibility</x:v>
      </x:c>
      <x:c r="G8" s="31" t="n">
        <x:v>55</x:v>
      </x:c>
      <x:c r="H8" s="30" t="n">
        <x:v>0.1</x:v>
      </x:c>
    </x:row>
    <x:row r="10">
      <x:c r="A10" s="4" t="str">
        <x:v>Segment</x:v>
      </x:c>
      <x:c r="B10" s="4" t="str">
        <x:v>Product</x:v>
      </x:c>
      <x:c r="C10" s="4" t="str">
        <x:v>Shop</x:v>
      </x:c>
      <x:c r="D10" s="4" t="str">
        <x:v>Price</x:v>
      </x:c>
      <x:c r="E10" s="4" t="str">
        <x:v>Est. Sales</x:v>
      </x:c>
      <x:c r="F10" s="4" t="str">
        <x:v>Est. Revenue</x:v>
      </x:c>
      <x:c r="G10" s="4" t="str">
        <x:v>Reviews</x:v>
      </x:c>
      <x:c r="H10" s="4" t="str">
        <x:v>Age (months)</x:v>
      </x:c>
      <x:c r="I10" s="4" t="str">
        <x:v>Conversion Rate</x:v>
      </x:c>
      <x:c r="J10" s="4" t="str">
        <x:v>Views</x:v>
      </x:c>
      <x:c r="K10" s="4" t="str">
        <x:v>Revenue / Est. Sale</x:v>
      </x:c>
      <x:c r="L10" s="4" t="str">
        <x:v>Product Link</x:v>
      </x:c>
    </x:row>
    <x:row r="11">
      <x:c r="A11" s="1" t="str">
        <x:v>Mortgage payoff / calculator</x:v>
      </x:c>
      <x:c r="B11" s="1" t="str">
        <x:v>Mortgage Payoff Planner Spreadsheet, Pay Off Mortgage Faster, Extra Payment Calculator, Amortization Schedule, Refinance Analyzer</x:v>
      </x:c>
      <x:c r="C11" s="1" t="str">
        <x:v>SellerKitLab</x:v>
      </x:c>
      <x:c r="D11" s="6" t="n">
        <x:v>6.99</x:v>
      </x:c>
      <x:c r="E11" s="1" t="n">
        <x:v>24</x:v>
      </x:c>
      <x:c r="F11" s="7" t="n">
        <x:v>168</x:v>
      </x:c>
      <x:c r="G11" s="1" t="n">
        <x:v>1</x:v>
      </x:c>
      <x:c r="H11" s="1" t="n">
        <x:v>2</x:v>
      </x:c>
      <x:c r="I11" s="8" t="n">
        <x:v>13.22</x:v>
      </x:c>
      <x:c r="J11" s="1" t="n">
        <x:v>174</x:v>
      </x:c>
      <x:c r="K11" s="6" t="n">
        <x:f>IF(E11&gt;0,F11/E11,0)</x:f>
        <x:v>7</x:v>
      </x:c>
      <x:c r="L11" s="1" t="str">
        <x:v>https://www.etsy.com/listing/4512281874/mortgage-payoff-planner-spreadsheet-pay</x:v>
      </x:c>
    </x:row>
    <x:row r="12">
      <x:c r="A12" s="1" t="str">
        <x:v>Mortgage payoff / calculator</x:v>
      </x:c>
      <x:c r="B12" s="1" t="str">
        <x:v>Mortgage Payoff Tracker Spreadsheet | Amortization Schedule | Extra Payment Calculator | Google Sheets Template</x:v>
      </x:c>
      <x:c r="C12" s="1" t="str">
        <x:v>thedashboardstudioco</x:v>
      </x:c>
      <x:c r="D12" s="6" t="n">
        <x:v>7.81</x:v>
      </x:c>
      <x:c r="E12" s="1" t="n">
        <x:v>14</x:v>
      </x:c>
      <x:c r="F12" s="7" t="n">
        <x:v>109</x:v>
      </x:c>
      <x:c r="G12" s="1" t="n">
        <x:v>8</x:v>
      </x:c>
      <x:c r="H12" s="1" t="n">
        <x:v>4</x:v>
      </x:c>
      <x:c r="I12" s="8" t="n">
        <x:v>2.32</x:v>
      </x:c>
      <x:c r="J12" s="1" t="n">
        <x:v>1939</x:v>
      </x:c>
      <x:c r="K12" s="6" t="n">
        <x:f>IF(E12&gt;0,F12/E12,0)</x:f>
        <x:v>7.785714285714286</x:v>
      </x:c>
      <x:c r="L12" s="1" t="str">
        <x:v>https://www.etsy.com/listing/4469956431/mortgage-payoff-tracker-spreadsheet</x:v>
      </x:c>
    </x:row>
    <x:row r="13">
      <x:c r="A13" s="1" t="str">
        <x:v>Mortgage payoff / calculator</x:v>
      </x:c>
      <x:c r="B13" s="1" t="str">
        <x:v>Early Mortgage Payoff Savings Binder | House Down Payments Tracker | A6 Home Renovations Budget Planner| 5k Savings Challenge for Homeowners</x:v>
      </x:c>
      <x:c r="C13" s="1" t="str">
        <x:v>MoxyDesignsCo</x:v>
      </x:c>
      <x:c r="D13" s="6" t="n">
        <x:v>10</x:v>
      </x:c>
      <x:c r="E13" s="1" t="n">
        <x:v>6</x:v>
      </x:c>
      <x:c r="F13" s="7" t="n">
        <x:v>60</x:v>
      </x:c>
      <x:c r="G13" s="1" t="n">
        <x:v>3</x:v>
      </x:c>
      <x:c r="H13" s="1" t="n">
        <x:v>8</x:v>
      </x:c>
      <x:c r="I13" s="8" t="n">
        <x:v>1.68</x:v>
      </x:c>
      <x:c r="J13" s="1" t="n">
        <x:v>476</x:v>
      </x:c>
      <x:c r="K13" s="6" t="n">
        <x:f>IF(E13&gt;0,F13/E13,0)</x:f>
        <x:v>10</x:v>
      </x:c>
      <x:c r="L13" s="1" t="str">
        <x:v>https://www.etsy.com/listing/4412451901/early-mortgage-payoff-savings-binder</x:v>
      </x:c>
    </x:row>
    <x:row r="14">
      <x:c r="A14" s="1" t="str">
        <x:v>Mortgage payoff / calculator</x:v>
      </x:c>
      <x:c r="B14" s="1" t="str">
        <x:v>Mortgage Payoff Calculator Excel Template Amortization Schedule Extra Payment Tracker Home Loan Spreadsheet Financial Planning Tool</x:v>
      </x:c>
      <x:c r="C14" s="1" t="str">
        <x:v>ArdentWorkshop</x:v>
      </x:c>
      <x:c r="D14" s="6" t="n">
        <x:v>9.95</x:v>
      </x:c>
      <x:c r="E14" s="1" t="n">
        <x:v>4</x:v>
      </x:c>
      <x:c r="F14" s="7" t="n">
        <x:v>38</x:v>
      </x:c>
      <x:c r="G14" s="1" t="n">
        <x:v>17</x:v>
      </x:c>
      <x:c r="H14" s="1" t="n">
        <x:v>12</x:v>
      </x:c>
      <x:c r="I14" s="8" t="n">
        <x:v>0.24</x:v>
      </x:c>
      <x:c r="J14" s="1" t="n">
        <x:v>5362</x:v>
      </x:c>
      <x:c r="K14" s="6" t="n">
        <x:f>IF(E14&gt;0,F14/E14,0)</x:f>
        <x:v>9.5</x:v>
      </x:c>
      <x:c r="L14" s="1" t="str">
        <x:v>https://www.etsy.com/listing/4344538071/mortgage-payoff-calculator-excel</x:v>
      </x:c>
    </x:row>
    <x:row r="15">
      <x:c r="A15" s="1" t="str">
        <x:v>Mortgage payoff / calculator</x:v>
      </x:c>
      <x:c r="B15" s="1" t="str">
        <x:v>Mortgage Payoff Calculator | Google Sheets Template | Early Loan Repayment | Amortization Schedule Spreadsheet</x:v>
      </x:c>
      <x:c r="C15" s="1" t="str">
        <x:v>TalkMoneyWithChrista</x:v>
      </x:c>
      <x:c r="D15" s="6" t="n">
        <x:v>1</x:v>
      </x:c>
      <x:c r="E15" s="1" t="n">
        <x:v>22</x:v>
      </x:c>
      <x:c r="F15" s="7" t="n">
        <x:v>22</x:v>
      </x:c>
      <x:c r="G15" s="1" t="n">
        <x:v>6</x:v>
      </x:c>
      <x:c r="H15" s="1" t="n">
        <x:v>20</x:v>
      </x:c>
      <x:c r="I15" s="8" t="n">
        <x:v>3.93</x:v>
      </x:c>
      <x:c r="J15" s="1" t="n">
        <x:v>3410</x:v>
      </x:c>
      <x:c r="K15" s="6" t="n">
        <x:f>IF(E15&gt;0,F15/E15,0)</x:f>
        <x:v>1</x:v>
      </x:c>
      <x:c r="L15" s="1" t="str">
        <x:v>https://www.etsy.com/listing/1819884123/mortgage-payoff-calculator-google-sheets</x:v>
      </x:c>
    </x:row>
    <x:row r="16">
      <x:c r="A16" s="1" t="str">
        <x:v>Mortgage payoff / calculator</x:v>
      </x:c>
      <x:c r="B16" s="1" t="str">
        <x:v>Mortgage Calculator - Real Estate Planning and Amortization</x:v>
      </x:c>
      <x:c r="C16" s="1" t="str">
        <x:v>WealthMavenTemplates</x:v>
      </x:c>
      <x:c r="D16" s="6" t="n">
        <x:v>8</x:v>
      </x:c>
      <x:c r="E16" s="1" t="n">
        <x:v>2</x:v>
      </x:c>
      <x:c r="F16" s="7" t="n">
        <x:v>16</x:v>
      </x:c>
      <x:c r="G16" s="1" t="n">
        <x:v>28</x:v>
      </x:c>
      <x:c r="H16" s="1" t="n">
        <x:v>21</x:v>
      </x:c>
      <x:c r="I16" s="8" t="n">
        <x:v>2.9</x:v>
      </x:c>
      <x:c r="J16" s="1" t="n">
        <x:v>12326</x:v>
      </x:c>
      <x:c r="K16" s="6" t="n">
        <x:f>IF(E16&gt;0,F16/E16,0)</x:f>
        <x:v>8</x:v>
      </x:c>
      <x:c r="L16" s="1" t="str">
        <x:v>https://www.etsy.com/listing/1793508826/mortgage-calculator-template-real-estate</x:v>
      </x:c>
    </x:row>
    <x:row r="17">
      <x:c r="A17" s="1" t="str">
        <x:v>Mortgage payoff / calculator</x:v>
      </x:c>
      <x:c r="B17" s="1" t="str">
        <x:v>Mortgage Payoff Calculator Excel Google Sheets, Early Payoff Tracker, Extra Payment Amortization Schedule, Refinance Bi-Weekly Analyzer</x:v>
      </x:c>
      <x:c r="C17" s="1" t="str">
        <x:v>SheetLoomStudio</x:v>
      </x:c>
      <x:c r="D17" s="6" t="n">
        <x:v>13.99</x:v>
      </x:c>
      <x:c r="E17" s="1" t="n">
        <x:v>1</x:v>
      </x:c>
      <x:c r="F17" s="7" t="n">
        <x:v>14</x:v>
      </x:c>
      <x:c r="G17" s="1" t="n">
        <x:v>1</x:v>
      </x:c>
      <x:c r="H17" s="1" t="n">
        <x:v>1</x:v>
      </x:c>
      <x:c r="I17" s="8" t="n">
        <x:v>0</x:v>
      </x:c>
      <x:c r="J17" s="1" t="n">
        <x:v>28</x:v>
      </x:c>
      <x:c r="K17" s="6" t="n">
        <x:f>IF(E17&gt;0,F17/E17,0)</x:f>
        <x:v>14</x:v>
      </x:c>
      <x:c r="L17" s="1" t="str">
        <x:v>https://www.etsy.com/listing/4521174310/mortgage-payoff-calculator-spreadsheet</x:v>
      </x:c>
    </x:row>
    <x:row r="18">
      <x:c r="A18" s="1" t="str">
        <x:v>Mortgage payoff / calculator</x:v>
      </x:c>
      <x:c r="B18" s="1" t="str">
        <x:v>Mortgage Payoff Calculator Google Sheets Template Early Loan Repayment Tracker Amortization Schedule Home Loan Interest Savings Spreadsheet</x:v>
      </x:c>
      <x:c r="C18" s="1" t="str">
        <x:v>ArdentWorkshop</x:v>
      </x:c>
      <x:c r="D18" s="6" t="n">
        <x:v>9.95</x:v>
      </x:c>
      <x:c r="E18" s="1" t="n">
        <x:v>1</x:v>
      </x:c>
      <x:c r="F18" s="7" t="n">
        <x:v>10</x:v>
      </x:c>
      <x:c r="G18" s="1" t="n">
        <x:v>2</x:v>
      </x:c>
      <x:c r="H18" s="1" t="n">
        <x:v>11</x:v>
      </x:c>
      <x:c r="I18" s="8" t="n">
        <x:v>0.15</x:v>
      </x:c>
      <x:c r="J18" s="1" t="n">
        <x:v>652</x:v>
      </x:c>
      <x:c r="K18" s="6" t="n">
        <x:f>IF(E18&gt;0,F18/E18,0)</x:f>
        <x:v>10</x:v>
      </x:c>
      <x:c r="L18" s="1" t="str">
        <x:v>https://www.etsy.com/listing/4360002451/mortgage-payoff-calculator-google-sheets</x:v>
      </x:c>
    </x:row>
    <x:row r="19">
      <x:c r="A19" s="1" t="str">
        <x:v>Mortgage payoff / calculator</x:v>
      </x:c>
      <x:c r="B19" s="1" t="str">
        <x:v>Mortgage Payoff Calculator Google Spreadsheet – Extra Payments &amp; Amortization Schedule</x:v>
      </x:c>
      <x:c r="C19" s="1" t="str">
        <x:v>ExceptionalSheets</x:v>
      </x:c>
      <x:c r="D19" s="6" t="n">
        <x:v>1.29</x:v>
      </x:c>
      <x:c r="E19" s="1" t="n">
        <x:v>2</x:v>
      </x:c>
      <x:c r="F19" s="7" t="n">
        <x:v>3</x:v>
      </x:c>
      <x:c r="G19" s="1" t="n">
        <x:v>34</x:v>
      </x:c>
      <x:c r="H19" s="1" t="n">
        <x:v>40</x:v>
      </x:c>
      <x:c r="I19" s="8" t="n">
        <x:v>7.76</x:v>
      </x:c>
      <x:c r="J19" s="1" t="n">
        <x:v>5476</x:v>
      </x:c>
      <x:c r="K19" s="6" t="n">
        <x:f>IF(E19&gt;0,F19/E19,0)</x:f>
        <x:v>1.5</x:v>
      </x:c>
      <x:c r="L19" s="1" t="str">
        <x:v>https://www.etsy.com/listing/1419395424/mortgage-payoff-calculator-google</x:v>
      </x:c>
    </x:row>
    <x:row r="20">
      <x:c r="A20" s="1" t="str">
        <x:v>Mortgage payoff / calculator</x:v>
      </x:c>
      <x:c r="B20" s="1" t="str">
        <x:v>Loan Repayment Google Sheets Spreadsheet, Mortgage Amortization Calculator Template with Extra Payments to Payoff a Mortgage or Car Loan</x:v>
      </x:c>
      <x:c r="C20" s="1" t="str">
        <x:v>MomMoneyMap</x:v>
      </x:c>
      <x:c r="D20" s="6" t="n">
        <x:v>6.99</x:v>
      </x:c>
      <x:c r="E20" s="1" t="n">
        <x:v>0</x:v>
      </x:c>
      <x:c r="F20" s="7" t="n">
        <x:v>0</x:v>
      </x:c>
      <x:c r="G20" s="1" t="n">
        <x:v>45</x:v>
      </x:c>
      <x:c r="H20" s="1" t="n">
        <x:v>62</x:v>
      </x:c>
      <x:c r="I20" s="8" t="n">
        <x:v>2.62</x:v>
      </x:c>
      <x:c r="J20" s="1" t="n">
        <x:v>17386</x:v>
      </x:c>
      <x:c r="K20" s="6" t="n">
        <x:f>IF(E20&gt;0,F20/E20,0)</x:f>
        <x:v>0</x:v>
      </x:c>
      <x:c r="L20" s="1" t="str">
        <x:v>https://www.etsy.com/listing/1018344183/loan-repayment-google-sheets-spreadsheet</x:v>
      </x:c>
    </x:row>
    <x:row r="21">
      <x:c r="A21" s="1" t="str">
        <x:v>Mortgage payoff / calculator</x:v>
      </x:c>
      <x:c r="B21" s="1" t="str">
        <x:v>Mortgage Payoff Tracker: Fixed Rate Loan Calculator (Google Sheets)</x:v>
      </x:c>
      <x:c r="C21" s="1" t="str">
        <x:v>BuildWealthNow</x:v>
      </x:c>
      <x:c r="D21" s="6" t="n">
        <x:v>5</x:v>
      </x:c>
      <x:c r="E21" s="1" t="n">
        <x:v>0</x:v>
      </x:c>
      <x:c r="F21" s="7" t="n">
        <x:v>0</x:v>
      </x:c>
      <x:c r="G21" s="1" t="n">
        <x:v>7</x:v>
      </x:c>
      <x:c r="H21" s="1" t="n">
        <x:v>30</x:v>
      </x:c>
      <x:c r="I21" s="8" t="n">
        <x:v>0</x:v>
      </x:c>
      <x:c r="J21" s="1" t="n">
        <x:v>0</x:v>
      </x:c>
      <x:c r="K21" s="6" t="n">
        <x:f>IF(E21&gt;0,F21/E21,0)</x:f>
        <x:v>0</x:v>
      </x:c>
      <x:c r="L21" s="1" t="str">
        <x:v>https://www.etsy.com/listing/1590262365/mortgage-payoff-tracker-fixed-rate-loan</x:v>
      </x:c>
    </x:row>
    <x:row r="22">
      <x:c r="A22" s="1" t="str">
        <x:v>Mortgage payoff / calculator</x:v>
      </x:c>
      <x:c r="B22" s="1" t="str">
        <x:v>Loan Comparison spreadsheet refinancing mortgage calculator best deal betwene 3 lenders Microsoft Excel Google Sheets or Numbers for Mac</x:v>
      </x:c>
      <x:c r="C22" s="1" t="str">
        <x:v>AllAboutPlannersShop</x:v>
      </x:c>
      <x:c r="D22" s="6" t="n">
        <x:v>2.08</x:v>
      </x:c>
      <x:c r="E22" s="1" t="n">
        <x:v>0</x:v>
      </x:c>
      <x:c r="F22" s="7" t="n">
        <x:v>0</x:v>
      </x:c>
      <x:c r="G22" s="1" t="n">
        <x:v>7</x:v>
      </x:c>
      <x:c r="H22" s="1" t="n">
        <x:v>65</x:v>
      </x:c>
      <x:c r="I22" s="8" t="n">
        <x:v>3.89</x:v>
      </x:c>
      <x:c r="J22" s="1" t="n">
        <x:v>2055</x:v>
      </x:c>
      <x:c r="K22" s="6" t="n">
        <x:f>IF(E22&gt;0,F22/E22,0)</x:f>
        <x:v>0</x:v>
      </x:c>
      <x:c r="L22" s="1" t="str">
        <x:v>https://www.etsy.com/listing/955014910/loan-comparison-spreadsheet-refinancing</x:v>
      </x:c>
    </x:row>
    <x:row r="23">
      <x:c r="A23" s="1" t="str">
        <x:v>Mortgage payoff / calculator</x:v>
      </x:c>
      <x:c r="B23" s="1" t="str">
        <x:v>Mortgage Payoff Calculator Excel Spreadsheet – Extra Payments &amp; Amortization Schedule</x:v>
      </x:c>
      <x:c r="C23" s="1" t="str">
        <x:v>ExceptionalSheets</x:v>
      </x:c>
      <x:c r="D23" s="6" t="n">
        <x:v>1.29</x:v>
      </x:c>
      <x:c r="E23" s="1" t="n">
        <x:v>0</x:v>
      </x:c>
      <x:c r="F23" s="7" t="n">
        <x:v>0</x:v>
      </x:c>
      <x:c r="G23" s="1" t="n">
        <x:v>7</x:v>
      </x:c>
      <x:c r="H23" s="1" t="n">
        <x:v>40</x:v>
      </x:c>
      <x:c r="I23" s="8" t="n">
        <x:v>5.36</x:v>
      </x:c>
      <x:c r="J23" s="1" t="n">
        <x:v>1232</x:v>
      </x:c>
      <x:c r="K23" s="6" t="n">
        <x:f>IF(E23&gt;0,F23/E23,0)</x:f>
        <x:v>0</x:v>
      </x:c>
      <x:c r="L23" s="1" t="str">
        <x:v>https://www.etsy.com/listing/1419393280/mortgage-payoff-calculator-excel</x:v>
      </x:c>
    </x:row>
    <x:row r="24">
      <x:c r="A24" s="1" t="str">
        <x:v>Mortgage payoff / calculator</x:v>
      </x:c>
      <x:c r="B24" s="1" t="str">
        <x:v>Mortgage Payoff Tracker Printable, Visual payment tracker, Home payoff printable with balloons 2024 Money Goals Planning page</x:v>
      </x:c>
      <x:c r="C24" s="1" t="str">
        <x:v>PreciousLittleArrows</x:v>
      </x:c>
      <x:c r="D24" s="6" t="n">
        <x:v>2.4</x:v>
      </x:c>
      <x:c r="E24" s="1" t="n">
        <x:v>0</x:v>
      </x:c>
      <x:c r="F24" s="7" t="n">
        <x:v>0</x:v>
      </x:c>
      <x:c r="G24" s="1" t="n">
        <x:v>5</x:v>
      </x:c>
      <x:c r="H24" s="1" t="n">
        <x:v>57</x:v>
      </x:c>
      <x:c r="I24" s="8" t="n">
        <x:v>2.45</x:v>
      </x:c>
      <x:c r="J24" s="1" t="n">
        <x:v>1061</x:v>
      </x:c>
      <x:c r="K24" s="6" t="n">
        <x:f>IF(E24&gt;0,F24/E24,0)</x:f>
        <x:v>0</x:v>
      </x:c>
      <x:c r="L24" s="1" t="str">
        <x:v>https://www.etsy.com/listing/1104926709/mortgage-payoff-tracker-printable-visual</x:v>
      </x:c>
    </x:row>
    <x:row r="25">
      <x:c r="A25" s="1" t="str">
        <x:v>Mortgage payoff / calculator</x:v>
      </x:c>
      <x:c r="B25" s="1" t="str">
        <x:v>Home Affordability &amp; Mortgage Calculator | Google Sheets (Digital)</x:v>
      </x:c>
      <x:c r="C25" s="1" t="str">
        <x:v>WealthMavenTemplates</x:v>
      </x:c>
      <x:c r="D25" s="6" t="n">
        <x:v>2</x:v>
      </x:c>
      <x:c r="E25" s="1" t="n">
        <x:v>0</x:v>
      </x:c>
      <x:c r="F25" s="7" t="n">
        <x:v>0</x:v>
      </x:c>
      <x:c r="G25" s="1" t="n">
        <x:v>3</x:v>
      </x:c>
      <x:c r="H25" s="1" t="n">
        <x:v>17</x:v>
      </x:c>
      <x:c r="I25" s="8" t="n">
        <x:v>3.74</x:v>
      </x:c>
      <x:c r="J25" s="1" t="n">
        <x:v>1017</x:v>
      </x:c>
      <x:c r="K25" s="6" t="n">
        <x:f>IF(E25&gt;0,F25/E25,0)</x:f>
        <x:v>0</x:v>
      </x:c>
      <x:c r="L25" s="1" t="str">
        <x:v>https://www.etsy.com/listing/1855522388/home-affordability-mortgage-calculator</x:v>
      </x:c>
    </x:row>
    <x:row r="26">
      <x:c r="A26" s="1" t="str">
        <x:v>Mortgage payoff / calculator</x:v>
      </x:c>
      <x:c r="B26" s="1" t="str">
        <x:v>Multiple Loan Early Payoff Calculator | Excel Spreadsheet, Student Loan Payoff, Mortgage Payoff, Debt Payment Tracker</x:v>
      </x:c>
      <x:c r="C26" s="1" t="str">
        <x:v>EverydayAnalyst</x:v>
      </x:c>
      <x:c r="D26" s="6" t="n">
        <x:v>5.99</x:v>
      </x:c>
      <x:c r="E26" s="1" t="n">
        <x:v>0</x:v>
      </x:c>
      <x:c r="F26" s="7" t="n">
        <x:v>0</x:v>
      </x:c>
      <x:c r="G26" s="1" t="n">
        <x:v>3</x:v>
      </x:c>
      <x:c r="H26" s="1" t="n">
        <x:v>26</x:v>
      </x:c>
      <x:c r="I26" s="8" t="n">
        <x:v>0.09</x:v>
      </x:c>
      <x:c r="J26" s="1" t="n">
        <x:v>1058</x:v>
      </x:c>
      <x:c r="K26" s="6" t="n">
        <x:f>IF(E26&gt;0,F26/E26,0)</x:f>
        <x:v>0</x:v>
      </x:c>
      <x:c r="L26" s="1" t="str">
        <x:v>https://www.etsy.com/listing/1723448540/multiple-loan-early-payoff-calculator</x:v>
      </x:c>
    </x:row>
    <x:row r="27">
      <x:c r="A27" s="1" t="str">
        <x:v>Mortgage payoff / calculator</x:v>
      </x:c>
      <x:c r="B27" s="1" t="str">
        <x:v>30 Year Mortgage Payoff Tracker: Printable House Loan Planner (Digital Download)</x:v>
      </x:c>
      <x:c r="C27" s="1" t="str">
        <x:v>bbhdesignss</x:v>
      </x:c>
      <x:c r="D27" s="6" t="n">
        <x:v>2</x:v>
      </x:c>
      <x:c r="E27" s="1" t="n">
        <x:v>0</x:v>
      </x:c>
      <x:c r="F27" s="7" t="n">
        <x:v>0</x:v>
      </x:c>
      <x:c r="G27" s="1" t="n">
        <x:v>3</x:v>
      </x:c>
      <x:c r="H27" s="1" t="n">
        <x:v>60</x:v>
      </x:c>
      <x:c r="I27" s="8" t="n">
        <x:v>1.97</x:v>
      </x:c>
      <x:c r="J27" s="1" t="n">
        <x:v>1118</x:v>
      </x:c>
      <x:c r="K27" s="6" t="n">
        <x:f>IF(E27&gt;0,F27/E27,0)</x:f>
        <x:v>0</x:v>
      </x:c>
      <x:c r="L27" s="1" t="str">
        <x:v>https://www.etsy.com/listing/1037791416/30-year-mortgage-payoff-tracker</x:v>
      </x:c>
    </x:row>
    <x:row r="28">
      <x:c r="A28" s="1" t="str">
        <x:v>Mortgage payoff / calculator</x:v>
      </x:c>
      <x:c r="B28" s="1" t="str">
        <x:v>Simple Mortgage Loan Amortization Schedule Tracker, Planner, and Calculator in one using Google Sheets</x:v>
      </x:c>
      <x:c r="C28" s="1" t="str">
        <x:v>SimpleMomFinance</x:v>
      </x:c>
      <x:c r="D28" s="6" t="n">
        <x:v>3</x:v>
      </x:c>
      <x:c r="E28" s="1" t="n">
        <x:v>0</x:v>
      </x:c>
      <x:c r="F28" s="7" t="n">
        <x:v>0</x:v>
      </x:c>
      <x:c r="G28" s="1" t="n">
        <x:v>3</x:v>
      </x:c>
      <x:c r="H28" s="1" t="n">
        <x:v>54</x:v>
      </x:c>
      <x:c r="I28" s="8" t="n">
        <x:v>0.1</x:v>
      </x:c>
      <x:c r="J28" s="1" t="n">
        <x:v>1045</x:v>
      </x:c>
      <x:c r="K28" s="6" t="n">
        <x:f>IF(E28&gt;0,F28/E28,0)</x:f>
        <x:v>0</x:v>
      </x:c>
      <x:c r="L28" s="1" t="str">
        <x:v>https://www.etsy.com/listing/1166192175/simple-mortgage-loan-amortization</x:v>
      </x:c>
    </x:row>
    <x:row r="29">
      <x:c r="A29" s="1" t="str">
        <x:v>Mortgage payoff / calculator</x:v>
      </x:c>
      <x:c r="B29" s="1" t="str">
        <x:v>4-in-1 Mortgage Payoff Spreadsheet | Automatic Calculations &amp; Formulas | Google Sheets on Desktop | Fixed-Rate Mortgage Tracker</x:v>
      </x:c>
      <x:c r="C29" s="1" t="str">
        <x:v>LiveWithoutLoans</x:v>
      </x:c>
      <x:c r="D29" s="6" t="n">
        <x:v>14.99</x:v>
      </x:c>
      <x:c r="E29" s="1" t="n">
        <x:v>0</x:v>
      </x:c>
      <x:c r="F29" s="7" t="n">
        <x:v>0</x:v>
      </x:c>
      <x:c r="G29" s="1" t="n">
        <x:v>2</x:v>
      </x:c>
      <x:c r="H29" s="1" t="n">
        <x:v>1</x:v>
      </x:c>
      <x:c r="I29" s="8" t="n">
        <x:v>1.46</x:v>
      </x:c>
      <x:c r="J29" s="1" t="n">
        <x:v>2668</x:v>
      </x:c>
      <x:c r="K29" s="6" t="n">
        <x:f>IF(E29&gt;0,F29/E29,0)</x:f>
        <x:v>0</x:v>
      </x:c>
      <x:c r="L29" s="1" t="str">
        <x:v>https://www.etsy.com/listing/4411246326/4-in-1-mortgage-payoff-spreadsheet</x:v>
      </x:c>
    </x:row>
    <x:row r="30">
      <x:c r="A30" s="1" t="str">
        <x:v>Mortgage payoff / calculator</x:v>
      </x:c>
      <x:c r="B30" s="1" t="str">
        <x:v>Mortgage Payoff Tracker: Loan Amortization Schedule (Excel - Instant Download)</x:v>
      </x:c>
      <x:c r="C30" s="1" t="str">
        <x:v>DocsNJosh</x:v>
      </x:c>
      <x:c r="D30" s="6" t="n">
        <x:v>11.75</x:v>
      </x:c>
      <x:c r="E30" s="1" t="n">
        <x:v>0</x:v>
      </x:c>
      <x:c r="F30" s="7" t="n">
        <x:v>0</x:v>
      </x:c>
      <x:c r="G30" s="1" t="n">
        <x:v>2</x:v>
      </x:c>
      <x:c r="H30" s="1" t="n">
        <x:v>6</x:v>
      </x:c>
      <x:c r="I30" s="8" t="n">
        <x:v>0</x:v>
      </x:c>
      <x:c r="J30" s="1" t="n">
        <x:v>124</x:v>
      </x:c>
      <x:c r="K30" s="6" t="n">
        <x:f>IF(E30&gt;0,F30/E30,0)</x:f>
        <x:v>0</x:v>
      </x:c>
      <x:c r="L30" s="1" t="str">
        <x:v>https://www.etsy.com/listing/4365017943/mortgage-payoff-tracker-loan</x:v>
      </x:c>
    </x:row>
    <x:row r="31">
      <x:c r="A31" s="1" t="str">
        <x:v>Mortgage payoff / calculator</x:v>
      </x:c>
      <x:c r="B31" s="1" t="str">
        <x:v>Mortgage Calculator Excel Template | Loan &amp; Amortization Spreadsheet for Home Buyers (Digital Download)</x:v>
      </x:c>
      <x:c r="C31" s="1" t="str">
        <x:v>ExcelWonders</x:v>
      </x:c>
      <x:c r="D31" s="6" t="n">
        <x:v>24.95</x:v>
      </x:c>
      <x:c r="E31" s="1" t="n">
        <x:v>0</x:v>
      </x:c>
      <x:c r="F31" s="7" t="n">
        <x:v>0</x:v>
      </x:c>
      <x:c r="G31" s="1" t="n">
        <x:v>2</x:v>
      </x:c>
      <x:c r="H31" s="1" t="n">
        <x:v>26</x:v>
      </x:c>
      <x:c r="I31" s="8" t="n">
        <x:v>1.17</x:v>
      </x:c>
      <x:c r="J31" s="1" t="n">
        <x:v>1621</x:v>
      </x:c>
      <x:c r="K31" s="6" t="n">
        <x:f>IF(E31&gt;0,F31/E31,0)</x:f>
        <x:v>0</x:v>
      </x:c>
      <x:c r="L31" s="1" t="str">
        <x:v>https://www.etsy.com/listing/1724878417/mortgage-calculator-excel-template-loan</x:v>
      </x:c>
    </x:row>
    <x:row r="32">
      <x:c r="A32" s="1" t="str">
        <x:v>Mortgage payoff / calculator</x:v>
      </x:c>
      <x:c r="B32" s="1" t="str">
        <x:v>Mortgage Tracker Printable, Debt Payment Tracker, Debt Payoff Planner, Debt Snowball Grid, Mortgage Payoff Planner, Financial Sheet PDF</x:v>
      </x:c>
      <x:c r="C32" s="1" t="str">
        <x:v>ClaireCoClassroom</x:v>
      </x:c>
      <x:c r="D32" s="6" t="n">
        <x:v>1.5</x:v>
      </x:c>
      <x:c r="E32" s="1" t="n">
        <x:v>0</x:v>
      </x:c>
      <x:c r="F32" s="7" t="n">
        <x:v>0</x:v>
      </x:c>
      <x:c r="G32" s="1" t="n">
        <x:v>2</x:v>
      </x:c>
      <x:c r="H32" s="1" t="n">
        <x:v>53</x:v>
      </x:c>
      <x:c r="I32" s="8" t="n">
        <x:v>3.6</x:v>
      </x:c>
      <x:c r="J32" s="1" t="n">
        <x:v>555</x:v>
      </x:c>
      <x:c r="K32" s="6" t="n">
        <x:f>IF(E32&gt;0,F32/E32,0)</x:f>
        <x:v>0</x:v>
      </x:c>
      <x:c r="L32" s="1" t="str">
        <x:v>https://www.etsy.com/listing/1172220200/mortgage-tracker-printable-debt-payment</x:v>
      </x:c>
    </x:row>
    <x:row r="33">
      <x:c r="A33" s="1" t="str">
        <x:v>Mortgage payoff / calculator</x:v>
      </x:c>
      <x:c r="B33" s="1" t="str">
        <x:v>Canadian Homebuyer Toolkit: Mortgage Calculator &amp; Checklist (Printable PDF)</x:v>
      </x:c>
      <x:c r="C33" s="1" t="str">
        <x:v>PlaneoStudio</x:v>
      </x:c>
      <x:c r="D33" s="6" t="n">
        <x:v>5.85</x:v>
      </x:c>
      <x:c r="E33" s="1" t="n">
        <x:v>0</x:v>
      </x:c>
      <x:c r="F33" s="7" t="n">
        <x:v>0</x:v>
      </x:c>
      <x:c r="G33" s="1" t="n">
        <x:v>1</x:v>
      </x:c>
      <x:c r="H33" s="1" t="n">
        <x:v>4</x:v>
      </x:c>
      <x:c r="I33" s="8" t="n">
        <x:v>0</x:v>
      </x:c>
      <x:c r="J33" s="1" t="n">
        <x:v>102</x:v>
      </x:c>
      <x:c r="K33" s="6" t="n">
        <x:f>IF(E33&gt;0,F33/E33,0)</x:f>
        <x:v>0</x:v>
      </x:c>
      <x:c r="L33" s="1" t="str">
        <x:v>https://www.etsy.com/listing/4380224927/canadian-homebuyer-toolkit-mortgage</x:v>
      </x:c>
    </x:row>
    <x:row r="34">
      <x:c r="A34" s="1" t="str">
        <x:v>Mortgage payoff / calculator</x:v>
      </x:c>
      <x:c r="B34" s="1" t="str">
        <x:v>HOME Downpayment Savings or Mortgage Payoff Goal Tracker - Printable Digital Download - Customize Money Home Budget Plan Fund Jar Bank</x:v>
      </x:c>
      <x:c r="C34" s="1" t="str">
        <x:v>HappyMondayDesigns</x:v>
      </x:c>
      <x:c r="D34" s="6" t="n">
        <x:v>5.25</x:v>
      </x:c>
      <x:c r="E34" s="1" t="n">
        <x:v>0</x:v>
      </x:c>
      <x:c r="F34" s="7" t="n">
        <x:v>0</x:v>
      </x:c>
      <x:c r="G34" s="1" t="n">
        <x:v>1</x:v>
      </x:c>
      <x:c r="H34" s="1" t="n">
        <x:v>94</x:v>
      </x:c>
      <x:c r="I34" s="8" t="n">
        <x:v>0.51</x:v>
      </x:c>
      <x:c r="J34" s="1" t="n">
        <x:v>988</x:v>
      </x:c>
      <x:c r="K34" s="6" t="n">
        <x:f>IF(E34&gt;0,F34/E34,0)</x:f>
        <x:v>0</x:v>
      </x:c>
      <x:c r="L34" s="1" t="str">
        <x:v>https://www.etsy.com/listing/632351786/home-downpayment-savings-or-mortgage</x:v>
      </x:c>
    </x:row>
    <x:row r="35">
      <x:c r="A35" s="1" t="str">
        <x:v>Mortgage payoff / calculator</x:v>
      </x:c>
      <x:c r="B35" s="1" t="str">
        <x:v>Mortgage Payoff Debt Tracker Progress Sheet | House Down Payment Saving Chart | Debt-Free Goal Tracker | Deposit Progress Colouring Sheet</x:v>
      </x:c>
      <x:c r="C35" s="1" t="str">
        <x:v>ProPrintablePlanners</x:v>
      </x:c>
      <x:c r="D35" s="6" t="n">
        <x:v>7.99</x:v>
      </x:c>
      <x:c r="E35" s="1" t="n">
        <x:v>0</x:v>
      </x:c>
      <x:c r="F35" s="7" t="n">
        <x:v>0</x:v>
      </x:c>
      <x:c r="G35" s="1" t="n">
        <x:v>1</x:v>
      </x:c>
      <x:c r="H35" s="1" t="n">
        <x:v>77</x:v>
      </x:c>
      <x:c r="I35" s="8" t="n">
        <x:v>0.82</x:v>
      </x:c>
      <x:c r="J35" s="1" t="n">
        <x:v>2310</x:v>
      </x:c>
      <x:c r="K35" s="6" t="n">
        <x:f>IF(E35&gt;0,F35/E35,0)</x:f>
        <x:v>0</x:v>
      </x:c>
      <x:c r="L35" s="1" t="str">
        <x:v>https://www.etsy.com/listing/766060370/mortgage-payoff-debt-tracker-progress</x:v>
      </x:c>
    </x:row>
    <x:row r="36">
      <x:c r="A36" s="1" t="str">
        <x:v>Mortgage payoff / calculator</x:v>
      </x:c>
      <x:c r="B36" s="1" t="str">
        <x:v>House Mortgage Payoff Tracker Google Sheets Home Loan Amortization Spreadsheet Extra Principal Payment Planner</x:v>
      </x:c>
      <x:c r="C36" s="1" t="str">
        <x:v>CashflowControl</x:v>
      </x:c>
      <x:c r="D36" s="6" t="n">
        <x:v>3.61</x:v>
      </x:c>
      <x:c r="E36" s="1" t="n">
        <x:v>0</x:v>
      </x:c>
      <x:c r="F36" s="7" t="n">
        <x:v>0</x:v>
      </x:c>
      <x:c r="G36" s="1" t="n">
        <x:v>1</x:v>
      </x:c>
      <x:c r="H36" s="1" t="n">
        <x:v>1</x:v>
      </x:c>
      <x:c r="I36" s="8" t="n">
        <x:v>8.24</x:v>
      </x:c>
      <x:c r="J36" s="1" t="n">
        <x:v>170</x:v>
      </x:c>
      <x:c r="K36" s="6" t="n">
        <x:f>IF(E36&gt;0,F36/E36,0)</x:f>
        <x:v>0</x:v>
      </x:c>
      <x:c r="L36" s="1" t="str">
        <x:v>https://www.etsy.com/listing/4532254619/house-mortgage-payoff-tracker-google</x:v>
      </x:c>
    </x:row>
    <x:row r="37">
      <x:c r="A37" s="1" t="str">
        <x:v>Mortgage payoff / calculator</x:v>
      </x:c>
      <x:c r="B37" s="1" t="str">
        <x:v>Mortgage Payoff Tracker, House Payoff Tracker, Mortgage Savings, Debt Payoff, Dave Ramsey, Mortgage Coloring Sheet, Mortgage payoff tracker</x:v>
      </x:c>
      <x:c r="C37" s="1" t="str">
        <x:v>thejoybox</x:v>
      </x:c>
      <x:c r="D37" s="6" t="n">
        <x:v>2.25</x:v>
      </x:c>
      <x:c r="E37" s="1" t="n">
        <x:v>0</x:v>
      </x:c>
      <x:c r="F37" s="7" t="n">
        <x:v>0</x:v>
      </x:c>
      <x:c r="G37" s="1" t="n">
        <x:v>1</x:v>
      </x:c>
      <x:c r="H37" s="1" t="n">
        <x:v>17</x:v>
      </x:c>
      <x:c r="I37" s="8" t="n">
        <x:v>0.23</x:v>
      </x:c>
      <x:c r="J37" s="1" t="n">
        <x:v>433</x:v>
      </x:c>
      <x:c r="K37" s="6" t="n">
        <x:f>IF(E37&gt;0,F37/E37,0)</x:f>
        <x:v>0</x:v>
      </x:c>
      <x:c r="L37" s="1" t="str">
        <x:v>https://www.etsy.com/listing/1871030587/mortgage-payoff-tracker-house-payoff</x:v>
      </x:c>
    </x:row>
    <x:row r="38">
      <x:c r="A38" s="1" t="str">
        <x:v>Mortgage payoff / calculator</x:v>
      </x:c>
      <x:c r="B38" s="1" t="str">
        <x:v>Mortgage Payoff Tracker | House Loan Tracker | Finance Sheet | Debt Payoff Log | Money Organizer | Loan Schedule | PDF | A4 | A5 | Letter</x:v>
      </x:c>
      <x:c r="C38" s="1" t="str">
        <x:v>PixelPearPrints</x:v>
      </x:c>
      <x:c r="D38" s="6" t="n">
        <x:v>1.87</x:v>
      </x:c>
      <x:c r="E38" s="1" t="n">
        <x:v>0</x:v>
      </x:c>
      <x:c r="F38" s="7" t="n">
        <x:v>0</x:v>
      </x:c>
      <x:c r="G38" s="1" t="n">
        <x:v>1</x:v>
      </x:c>
      <x:c r="H38" s="1" t="n">
        <x:v>48</x:v>
      </x:c>
      <x:c r="I38" s="8" t="n">
        <x:v>0.8</x:v>
      </x:c>
      <x:c r="J38" s="1" t="n">
        <x:v>1119</x:v>
      </x:c>
      <x:c r="K38" s="6" t="n">
        <x:f>IF(E38&gt;0,F38/E38,0)</x:f>
        <x:v>0</x:v>
      </x:c>
      <x:c r="L38" s="1" t="str">
        <x:v>https://www.etsy.com/listing/1254571268/mortgage-payoff-tracker-house-loan</x:v>
      </x:c>
    </x:row>
    <x:row r="39">
      <x:c r="A39" s="1" t="str">
        <x:v>Mortgage payoff / calculator</x:v>
      </x:c>
      <x:c r="B39" s="1" t="str">
        <x:v>Mortgage Calculator - Personal Finance made easy.  Understand your total costs with tax benefits, compare listings and more</x:v>
      </x:c>
      <x:c r="C39" s="1" t="str">
        <x:v>NeverlandFinance</x:v>
      </x:c>
      <x:c r="D39" s="6" t="n">
        <x:v>4.99</x:v>
      </x:c>
      <x:c r="E39" s="1" t="n">
        <x:v>0</x:v>
      </x:c>
      <x:c r="F39" s="7" t="n">
        <x:v>0</x:v>
      </x:c>
      <x:c r="G39" s="1" t="n">
        <x:v>1</x:v>
      </x:c>
      <x:c r="H39" s="1" t="n">
        <x:v>42</x:v>
      </x:c>
      <x:c r="I39" s="8" t="n">
        <x:v>0</x:v>
      </x:c>
      <x:c r="J39" s="1" t="n">
        <x:v>178</x:v>
      </x:c>
      <x:c r="K39" s="6" t="n">
        <x:f>IF(E39&gt;0,F39/E39,0)</x:f>
        <x:v>0</x:v>
      </x:c>
      <x:c r="L39" s="1" t="str">
        <x:v>https://www.etsy.com/listing/1403332237/mortgage-calculator-personal-finance</x:v>
      </x:c>
    </x:row>
    <x:row r="40">
      <x:c r="A40" s="1" t="str">
        <x:v>Mortgage payoff / calculator</x:v>
      </x:c>
      <x:c r="B40" s="1" t="str">
        <x:v>Amortization Payment Schedule Template | Loan Payment Tracker Spreadsheet | Mortgage Calculator Template</x:v>
      </x:c>
      <x:c r="C40" s="1" t="str">
        <x:v>Xeasysheets</x:v>
      </x:c>
      <x:c r="D40" s="6" t="n">
        <x:v>11.09</x:v>
      </x:c>
      <x:c r="E40" s="1" t="n">
        <x:v>0</x:v>
      </x:c>
      <x:c r="F40" s="7" t="n">
        <x:v>0</x:v>
      </x:c>
      <x:c r="G40" s="1" t="n">
        <x:v>0</x:v>
      </x:c>
      <x:c r="H40" s="1" t="n">
        <x:v>3</x:v>
      </x:c>
      <x:c r="I40" s="8" t="n">
        <x:v>0</x:v>
      </x:c>
      <x:c r="J40" s="1" t="n">
        <x:v>0</x:v>
      </x:c>
      <x:c r="K40" s="6" t="n">
        <x:f>IF(E40&gt;0,F40/E40,0)</x:f>
        <x:v>0</x:v>
      </x:c>
      <x:c r="L40" s="1" t="str">
        <x:v>https://www.etsy.com/listing/4493400126/amortization-payment-schedule-template</x:v>
      </x:c>
    </x:row>
    <x:row r="41">
      <x:c r="A41" s="1" t="str">
        <x:v>Mortgage payoff / calculator</x:v>
      </x:c>
      <x:c r="B41" s="1" t="str">
        <x:v>Loan Amortization Calculator with Extra Payments &amp; Chart | Advanced Mortgage Calculator Excel Spreadsheet Loan Repayment schedule Digital DL</x:v>
      </x:c>
      <x:c r="C41" s="1" t="str">
        <x:v>JazConsulting</x:v>
      </x:c>
      <x:c r="D41" s="6" t="n">
        <x:v>9.07</x:v>
      </x:c>
      <x:c r="E41" s="1" t="n">
        <x:v>0</x:v>
      </x:c>
      <x:c r="F41" s="7" t="n">
        <x:v>0</x:v>
      </x:c>
      <x:c r="G41" s="1" t="n">
        <x:v>0</x:v>
      </x:c>
      <x:c r="H41" s="1" t="n">
        <x:v>7</x:v>
      </x:c>
      <x:c r="I41" s="8" t="n">
        <x:v>0</x:v>
      </x:c>
      <x:c r="J41" s="1" t="n">
        <x:v>86</x:v>
      </x:c>
      <x:c r="K41" s="6" t="n">
        <x:f>IF(E41&gt;0,F41/E41,0)</x:f>
        <x:v>0</x:v>
      </x:c>
      <x:c r="L41" s="1" t="str">
        <x:v>https://www.etsy.com/listing/4430142886/loan-amortization-calculator-with-extra</x:v>
      </x:c>
    </x:row>
    <x:row r="42">
      <x:c r="A42" s="1" t="str">
        <x:v>Mortgage payoff / calculator</x:v>
      </x:c>
      <x:c r="B42" s="1" t="str">
        <x:v>Mortgage calculator Spreadsheet Template, Expense tracker, Finance Management, Financial Planner, Google Sheets Digital Budget</x:v>
      </x:c>
      <x:c r="C42" s="1" t="str">
        <x:v>BudgetflowStudio</x:v>
      </x:c>
      <x:c r="D42" s="6" t="n">
        <x:v>2.29</x:v>
      </x:c>
      <x:c r="E42" s="1" t="n">
        <x:v>0</x:v>
      </x:c>
      <x:c r="F42" s="7" t="n">
        <x:v>0</x:v>
      </x:c>
      <x:c r="G42" s="1" t="n">
        <x:v>0</x:v>
      </x:c>
      <x:c r="H42" s="1" t="n">
        <x:v>16</x:v>
      </x:c>
      <x:c r="I42" s="8" t="n">
        <x:v>0</x:v>
      </x:c>
      <x:c r="J42" s="1" t="n">
        <x:v>26</x:v>
      </x:c>
      <x:c r="K42" s="6" t="n">
        <x:f>IF(E42&gt;0,F42/E42,0)</x:f>
        <x:v>0</x:v>
      </x:c>
      <x:c r="L42" s="1" t="str">
        <x:v>https://www.etsy.com/listing/1885484485/mortgage-calculator-spreadsheet-template</x:v>
      </x:c>
    </x:row>
    <x:row r="43">
      <x:c r="A43" s="1" t="str">
        <x:v>Mortgage payoff / calculator</x:v>
      </x:c>
      <x:c r="B43" s="1" t="str">
        <x:v>Mortgage Calculator: Loan Comparison Spreadsheet (Google Sheets &amp; Excel Digital Download</x:v>
      </x:c>
      <x:c r="C43" s="1" t="str">
        <x:v>INSPIRACORE</x:v>
      </x:c>
      <x:c r="D43" s="6" t="n">
        <x:v>11.77</x:v>
      </x:c>
      <x:c r="E43" s="1" t="n">
        <x:v>0</x:v>
      </x:c>
      <x:c r="F43" s="7" t="n">
        <x:v>0</x:v>
      </x:c>
      <x:c r="G43" s="1" t="n">
        <x:v>0</x:v>
      </x:c>
      <x:c r="H43" s="1" t="n">
        <x:v>6</x:v>
      </x:c>
      <x:c r="I43" s="8" t="n">
        <x:v>0</x:v>
      </x:c>
      <x:c r="J43" s="1" t="n">
        <x:v>92</x:v>
      </x:c>
      <x:c r="K43" s="6" t="n">
        <x:f>IF(E43&gt;0,F43/E43,0)</x:f>
        <x:v>0</x:v>
      </x:c>
      <x:c r="L43" s="1" t="str">
        <x:v>https://www.etsy.com/listing/4320505717/mortgage-calculator-loan-comparison</x:v>
      </x:c>
    </x:row>
    <x:row r="44">
      <x:c r="A44" s="1" t="str">
        <x:v>Mortgage payoff / calculator</x:v>
      </x:c>
      <x:c r="B44" s="1" t="str">
        <x:v>Mortgage Calculator: Home Buyer Budget Planner with DTI &amp; Cash to Close (Instant Download)</x:v>
      </x:c>
      <x:c r="C44" s="1" t="str">
        <x:v>SolutionsArchitect</x:v>
      </x:c>
      <x:c r="D44" s="6" t="n">
        <x:v>4.99</x:v>
      </x:c>
      <x:c r="E44" s="1" t="n">
        <x:v>0</x:v>
      </x:c>
      <x:c r="F44" s="7" t="n">
        <x:v>0</x:v>
      </x:c>
      <x:c r="G44" s="1" t="n">
        <x:v>0</x:v>
      </x:c>
      <x:c r="H44" s="1" t="n">
        <x:v>1</x:v>
      </x:c>
      <x:c r="I44" s="8" t="n">
        <x:v>0</x:v>
      </x:c>
      <x:c r="J44" s="1" t="n">
        <x:v>38</x:v>
      </x:c>
      <x:c r="K44" s="6" t="n">
        <x:f>IF(E44&gt;0,F44/E44,0)</x:f>
        <x:v>0</x:v>
      </x:c>
      <x:c r="L44" s="1" t="str">
        <x:v>https://www.etsy.com/listing/4392750862/mortgage-calculator-home-buyer-budget</x:v>
      </x:c>
    </x:row>
    <x:row r="45">
      <x:c r="A45" s="1" t="str">
        <x:v>Mortgage payoff / calculator</x:v>
      </x:c>
      <x:c r="B45" s="1" t="str">
        <x:v>Mortgage Payoff Tracker Printable | Antique Key Design (Instant Download)</x:v>
      </x:c>
      <x:c r="C45" s="1" t="str">
        <x:v>QuietMomentCo</x:v>
      </x:c>
      <x:c r="D45" s="6" t="n">
        <x:v>2.99</x:v>
      </x:c>
      <x:c r="E45" s="1" t="n">
        <x:v>0</x:v>
      </x:c>
      <x:c r="F45" s="7" t="n">
        <x:v>0</x:v>
      </x:c>
      <x:c r="G45" s="1" t="n">
        <x:v>0</x:v>
      </x:c>
      <x:c r="H45" s="1" t="n">
        <x:v>1</x:v>
      </x:c>
      <x:c r="I45" s="8" t="n">
        <x:v>0</x:v>
      </x:c>
      <x:c r="J45" s="1" t="n">
        <x:v>16</x:v>
      </x:c>
      <x:c r="K45" s="6" t="n">
        <x:f>IF(E45&gt;0,F45/E45,0)</x:f>
        <x:v>0</x:v>
      </x:c>
      <x:c r="L45" s="1" t="str">
        <x:v>https://www.etsy.com/listing/4501998004/mortgage-payoff-tracker-printable</x:v>
      </x:c>
    </x:row>
    <x:row r="46">
      <x:c r="A46" s="1" t="str">
        <x:v>Mortgage payoff / calculator</x:v>
      </x:c>
      <x:c r="B46" s="1" t="str">
        <x:v>Mortgage Payoff Calculator Excel Spreadsheet | Amortization Schedule (Digital Download)</x:v>
      </x:c>
      <x:c r="C46" s="1" t="str">
        <x:v>CandiceLeeDesigns</x:v>
      </x:c>
      <x:c r="D46" s="6" t="n">
        <x:v>9.99</x:v>
      </x:c>
      <x:c r="E46" s="1" t="n">
        <x:v>0</x:v>
      </x:c>
      <x:c r="F46" s="7" t="n">
        <x:v>0</x:v>
      </x:c>
      <x:c r="G46" s="1" t="n">
        <x:v>0</x:v>
      </x:c>
      <x:c r="H46" s="1" t="n">
        <x:v>1</x:v>
      </x:c>
      <x:c r="I46" s="8" t="n">
        <x:v>0</x:v>
      </x:c>
      <x:c r="J46" s="1" t="n">
        <x:v>0</x:v>
      </x:c>
      <x:c r="K46" s="6" t="n">
        <x:f>IF(E46&gt;0,F46/E46,0)</x:f>
        <x:v>0</x:v>
      </x:c>
      <x:c r="L46" s="1" t="str">
        <x:v>https://www.etsy.com/listing/4480940525/mortgage-payoff-calculator-excel</x:v>
      </x:c>
    </x:row>
    <x:row r="47">
      <x:c r="A47" s="1" t="str">
        <x:v>Mortgage payoff / calculator</x:v>
      </x:c>
      <x:c r="B47" s="1" t="str">
        <x:v>Home Mortgage Calculator – Excel Spreadsheet – Track Loan Payments &amp; Interest</x:v>
      </x:c>
      <x:c r="C47" s="1" t="str">
        <x:v>CivilProTemplates</x:v>
      </x:c>
      <x:c r="D47" s="6" t="n">
        <x:v>2.99</x:v>
      </x:c>
      <x:c r="E47" s="1" t="n">
        <x:v>0</x:v>
      </x:c>
      <x:c r="F47" s="7" t="n">
        <x:v>0</x:v>
      </x:c>
      <x:c r="G47" s="1" t="n">
        <x:v>0</x:v>
      </x:c>
      <x:c r="H47" s="1" t="n">
        <x:v>1</x:v>
      </x:c>
      <x:c r="I47" s="8" t="n">
        <x:v>0</x:v>
      </x:c>
      <x:c r="J47" s="1" t="n">
        <x:v>6</x:v>
      </x:c>
      <x:c r="K47" s="6" t="n">
        <x:f>IF(E47&gt;0,F47/E47,0)</x:f>
        <x:v>0</x:v>
      </x:c>
      <x:c r="L47" s="1" t="str">
        <x:v>https://www.etsy.com/listing/4519513330/home-mortgage-calculator-excel</x:v>
      </x:c>
    </x:row>
    <x:row r="48">
      <x:c r="A48" s="1" t="str">
        <x:v>Mortgage payoff / calculator</x:v>
      </x:c>
      <x:c r="B48" s="1" t="str">
        <x:v>UK Home Buying Toolkit | Mortgage Calculator, Cost Tracker, Stamp Duty, Moving Planner | Excel Template</x:v>
      </x:c>
      <x:c r="C48" s="1" t="str">
        <x:v>Propertylogic</x:v>
      </x:c>
      <x:c r="D48" s="6" t="n">
        <x:v>6.09</x:v>
      </x:c>
      <x:c r="E48" s="1" t="n">
        <x:v>0</x:v>
      </x:c>
      <x:c r="F48" s="7" t="n">
        <x:v>0</x:v>
      </x:c>
      <x:c r="G48" s="1" t="n">
        <x:v>0</x:v>
      </x:c>
      <x:c r="H48" s="1" t="n">
        <x:v>8</x:v>
      </x:c>
      <x:c r="I48" s="8" t="n">
        <x:v>0</x:v>
      </x:c>
      <x:c r="J48" s="1" t="n">
        <x:v>43</x:v>
      </x:c>
      <x:c r="K48" s="6" t="n">
        <x:f>IF(E48&gt;0,F48/E48,0)</x:f>
        <x:v>0</x:v>
      </x:c>
      <x:c r="L48" s="1" t="str">
        <x:v>https://www.etsy.com/listing/4387702249/uk-home-buying-toolkit-mortgage</x:v>
      </x:c>
    </x:row>
    <x:row r="49">
      <x:c r="A49" s="1" t="str">
        <x:v>Mortgage payoff / calculator</x:v>
      </x:c>
      <x:c r="B49" s="1" t="str">
        <x:v>Mortgage Payoff Planner Spreadsheet | Extra Payment Calculator | Amortization Schedule | Excel &amp; Google Sheets | Interest Savings Tracker</x:v>
      </x:c>
      <x:c r="C49" s="1" t="str">
        <x:v>FarButClose</x:v>
      </x:c>
      <x:c r="D49" s="6" t="n">
        <x:v>7.5</x:v>
      </x:c>
      <x:c r="E49" s="1" t="n">
        <x:v>0</x:v>
      </x:c>
      <x:c r="F49" s="7" t="n">
        <x:v>0</x:v>
      </x:c>
      <x:c r="G49" s="1" t="n">
        <x:v>0</x:v>
      </x:c>
      <x:c r="H49" s="1" t="n">
        <x:v>1</x:v>
      </x:c>
      <x:c r="I49" s="8" t="n">
        <x:v>0</x:v>
      </x:c>
      <x:c r="J49" s="1" t="n">
        <x:v>4</x:v>
      </x:c>
      <x:c r="K49" s="6" t="n">
        <x:f>IF(E49&gt;0,F49/E49,0)</x:f>
        <x:v>0</x:v>
      </x:c>
      <x:c r="L49" s="1" t="str">
        <x:v>https://www.etsy.com/listing/4538247080/mortgage-payoff-planner-spreadsheet</x:v>
      </x:c>
    </x:row>
    <x:row r="50">
      <x:c r="A50" s="1" t="str">
        <x:v>Mortgage payoff / calculator</x:v>
      </x:c>
      <x:c r="B50" s="1" t="str">
        <x:v>Mortgage Payoff Calculator with Line of Credit | Excel Amortization Spreadsheet | Extra Payment &amp; Debt Payoff Planner | Google Sheets</x:v>
      </x:c>
      <x:c r="C50" s="1" t="str">
        <x:v>PrimeSheetMall</x:v>
      </x:c>
      <x:c r="D50" s="6" t="n">
        <x:v>2.67</x:v>
      </x:c>
      <x:c r="E50" s="1" t="n">
        <x:v>0</x:v>
      </x:c>
      <x:c r="F50" s="7" t="n">
        <x:v>0</x:v>
      </x:c>
      <x:c r="G50" s="1" t="n">
        <x:v>0</x:v>
      </x:c>
      <x:c r="H50" s="1" t="n">
        <x:v>1</x:v>
      </x:c>
      <x:c r="I50" s="8" t="n">
        <x:v>0</x:v>
      </x:c>
      <x:c r="J50" s="1" t="n">
        <x:v>7</x:v>
      </x:c>
      <x:c r="K50" s="6" t="n">
        <x:f>IF(E50&gt;0,F50/E50,0)</x:f>
        <x:v>0</x:v>
      </x:c>
      <x:c r="L50" s="1" t="str">
        <x:v>https://www.etsy.com/listing/4534955091/mortgage-payoff-calculator-with-line-of</x:v>
      </x:c>
    </x:row>
    <x:row r="51">
      <x:c r="A51" s="1" t="str">
        <x:v>Home buying planner</x:v>
      </x:c>
      <x:c r="B51" s="1" t="str">
        <x:v>Home Buying Planner, House Buying Guide, First-Time Homebuyer Checklist, Moving Planner, House Hunting Guide for New Homeowners Phase 4</x:v>
      </x:c>
      <x:c r="C51" s="1" t="str">
        <x:v>HattyBirdCreates</x:v>
      </x:c>
      <x:c r="D51" s="6" t="n">
        <x:v>19.95</x:v>
      </x:c>
      <x:c r="E51" s="1" t="n">
        <x:v>0</x:v>
      </x:c>
      <x:c r="F51" s="7" t="n">
        <x:v>0</x:v>
      </x:c>
      <x:c r="G51" s="1" t="n">
        <x:v>6</x:v>
      </x:c>
      <x:c r="H51" s="1" t="n">
        <x:v>35</x:v>
      </x:c>
      <x:c r="I51" s="8" t="n">
        <x:v>2.78</x:v>
      </x:c>
      <x:c r="J51" s="1" t="n">
        <x:v>1833</x:v>
      </x:c>
      <x:c r="K51" s="6" t="n">
        <x:f>IF(E51&gt;0,F51/E51,0)</x:f>
        <x:v>0</x:v>
      </x:c>
      <x:c r="L51" s="1" t="str">
        <x:v>https://www.etsy.com/listing/1548058947/home-buying-planner-house-buying-guide</x:v>
      </x:c>
    </x:row>
    <x:row r="52">
      <x:c r="A52" s="1" t="str">
        <x:v>Home buying planner</x:v>
      </x:c>
      <x:c r="B52" s="1" t="str">
        <x:v>First Time Home Buyer Workbook | Home Buying Guide | Before You Start House Hunting | Fillable PDF | Digital Download</x:v>
      </x:c>
      <x:c r="C52" s="1" t="str">
        <x:v>ModernPrintsbyAlexis</x:v>
      </x:c>
      <x:c r="D52" s="6" t="n">
        <x:v>14.99</x:v>
      </x:c>
      <x:c r="E52" s="1" t="n">
        <x:v>0</x:v>
      </x:c>
      <x:c r="F52" s="7" t="n">
        <x:v>0</x:v>
      </x:c>
      <x:c r="G52" s="1" t="n">
        <x:v>3</x:v>
      </x:c>
      <x:c r="H52" s="1" t="n">
        <x:v>4</x:v>
      </x:c>
      <x:c r="I52" s="8" t="n">
        <x:v>1.69</x:v>
      </x:c>
      <x:c r="J52" s="1" t="n">
        <x:v>1239</x:v>
      </x:c>
      <x:c r="K52" s="6" t="n">
        <x:f>IF(E52&gt;0,F52/E52,0)</x:f>
        <x:v>0</x:v>
      </x:c>
      <x:c r="L52" s="1" t="str">
        <x:v>https://www.etsy.com/listing/4465729171/first-time-home-buyer-workbook-home</x:v>
      </x:c>
    </x:row>
    <x:row r="53">
      <x:c r="A53" s="1" t="str">
        <x:v>Home buying planner</x:v>
      </x:c>
      <x:c r="B53" s="1" t="str">
        <x:v>The House Hunter&amp;#39;s Decision Engine: First-Time Buyer Dream Home Scoring Matrix | Real Estate Tracker, Property Rating &amp; Market Research Tool</x:v>
      </x:c>
      <x:c r="C53" s="1" t="str">
        <x:v>alterly</x:v>
      </x:c>
      <x:c r="D53" s="6" t="n">
        <x:v>7.98</x:v>
      </x:c>
      <x:c r="E53" s="1" t="n">
        <x:v>0</x:v>
      </x:c>
      <x:c r="F53" s="7" t="n">
        <x:v>0</x:v>
      </x:c>
      <x:c r="G53" s="1" t="n">
        <x:v>3</x:v>
      </x:c>
      <x:c r="H53" s="1" t="n">
        <x:v>18</x:v>
      </x:c>
      <x:c r="I53" s="8" t="n">
        <x:v>2.37</x:v>
      </x:c>
      <x:c r="J53" s="1" t="n">
        <x:v>760</x:v>
      </x:c>
      <x:c r="K53" s="6" t="n">
        <x:f>IF(E53&gt;0,F53/E53,0)</x:f>
        <x:v>0</x:v>
      </x:c>
      <x:c r="L53" s="1" t="str">
        <x:v>https://www.etsy.com/listing/1857603415/the-house-hunters-decision-engine-first</x:v>
      </x:c>
    </x:row>
    <x:row r="54">
      <x:c r="A54" s="1" t="str">
        <x:v>Home buying planner</x:v>
      </x:c>
      <x:c r="B54" s="1" t="str">
        <x:v>Home Buying &amp; Budget Spreadsheet Excel, House Purchase Calculator, Real Estate Budget Planner, Home Affordability Tool, Mortgage Comparison</x:v>
      </x:c>
      <x:c r="C54" s="1" t="str">
        <x:v>SpreadWiseCo</x:v>
      </x:c>
      <x:c r="D54" s="6" t="n">
        <x:v>26.99</x:v>
      </x:c>
      <x:c r="E54" s="1" t="n">
        <x:v>0</x:v>
      </x:c>
      <x:c r="F54" s="7" t="n">
        <x:v>0</x:v>
      </x:c>
      <x:c r="G54" s="1" t="n">
        <x:v>2</x:v>
      </x:c>
      <x:c r="H54" s="1" t="n">
        <x:v>20</x:v>
      </x:c>
      <x:c r="I54" s="8" t="n">
        <x:v>0.81</x:v>
      </x:c>
      <x:c r="J54" s="1" t="n">
        <x:v>1487</x:v>
      </x:c>
      <x:c r="K54" s="6" t="n">
        <x:f>IF(E54&gt;0,F54/E54,0)</x:f>
        <x:v>0</x:v>
      </x:c>
      <x:c r="L54" s="1" t="str">
        <x:v>https://www.etsy.com/listing/1834516349/home-buying-budget-spreadsheet-excel</x:v>
      </x:c>
    </x:row>
    <x:row r="55">
      <x:c r="A55" s="1" t="str">
        <x:v>Home buying planner</x:v>
      </x:c>
      <x:c r="B55" s="1" t="str">
        <x:v>Editable Home Buying Planner A4 US Letter Printable Real Estate Checklist Mortgage Budget Tracker First Time Buyer Guide Canva house planner</x:v>
      </x:c>
      <x:c r="C55" s="1" t="str">
        <x:v>EliteTemplateStudio</x:v>
      </x:c>
      <x:c r="D55" s="6" t="n">
        <x:v>9.57</x:v>
      </x:c>
      <x:c r="E55" s="1" t="n">
        <x:v>0</x:v>
      </x:c>
      <x:c r="F55" s="7" t="n">
        <x:v>0</x:v>
      </x:c>
      <x:c r="G55" s="1" t="n">
        <x:v>1</x:v>
      </x:c>
      <x:c r="H55" s="1" t="n">
        <x:v>14</x:v>
      </x:c>
      <x:c r="I55" s="8" t="n">
        <x:v>7.69</x:v>
      </x:c>
      <x:c r="J55" s="1" t="n">
        <x:v>169</x:v>
      </x:c>
      <x:c r="K55" s="6" t="n">
        <x:f>IF(E55&gt;0,F55/E55,0)</x:f>
        <x:v>0</x:v>
      </x:c>
      <x:c r="L55" s="1" t="str">
        <x:v>https://www.etsy.com/listing/4305120868/editable-home-buying-planner-a4-us</x:v>
      </x:c>
    </x:row>
    <x:row r="56">
      <x:c r="A56" s="1" t="str">
        <x:v>Home buying planner</x:v>
      </x:c>
      <x:c r="B56" s="1" t="str">
        <x:v>Home Buying Planner, Real Estate Organizer, Mortgage Tracker, House Hunting Journal, Personal Finance Notebook</x:v>
      </x:c>
      <x:c r="C56" s="1" t="str">
        <x:v>scribbleforsuccess</x:v>
      </x:c>
      <x:c r="D56" s="6" t="n">
        <x:v>6.08</x:v>
      </x:c>
      <x:c r="E56" s="1" t="n">
        <x:v>0</x:v>
      </x:c>
      <x:c r="F56" s="7" t="n">
        <x:v>0</x:v>
      </x:c>
      <x:c r="G56" s="1" t="n">
        <x:v>0</x:v>
      </x:c>
      <x:c r="H56" s="1" t="n">
        <x:v>32</x:v>
      </x:c>
      <x:c r="I56" s="8" t="n">
        <x:v>0</x:v>
      </x:c>
      <x:c r="J56" s="1" t="n">
        <x:v>1520</x:v>
      </x:c>
      <x:c r="K56" s="6" t="n">
        <x:f>IF(E56&gt;0,F56/E56,0)</x:f>
        <x:v>0</x:v>
      </x:c>
      <x:c r="L56" s="1" t="str">
        <x:v>https://www.etsy.com/listing/1606119063/home-buying-planner-real-estate</x:v>
      </x:c>
    </x:row>
    <x:row r="57">
      <x:c r="A57" s="1" t="str">
        <x:v>Home buying planner</x:v>
      </x:c>
      <x:c r="B57" s="1" t="str">
        <x:v>First Home Buyer Planner PDF | Mortgage Budget, House Inspection Checklist &amp; Property Filing System</x:v>
      </x:c>
      <x:c r="C57" s="1" t="str">
        <x:v>MadeforMoving</x:v>
      </x:c>
      <x:c r="D57" s="6" t="n">
        <x:v>13.84</x:v>
      </x:c>
      <x:c r="E57" s="1" t="n">
        <x:v>0</x:v>
      </x:c>
      <x:c r="F57" s="7" t="n">
        <x:v>0</x:v>
      </x:c>
      <x:c r="G57" s="1" t="n">
        <x:v>0</x:v>
      </x:c>
      <x:c r="H57" s="1" t="n">
        <x:v>46</x:v>
      </x:c>
      <x:c r="I57" s="8" t="n">
        <x:v>0</x:v>
      </x:c>
      <x:c r="J57" s="1" t="n">
        <x:v>123</x:v>
      </x:c>
      <x:c r="K57" s="6" t="n">
        <x:f>IF(E57&gt;0,F57/E57,0)</x:f>
        <x:v>0</x:v>
      </x:c>
      <x:c r="L57" s="1" t="str">
        <x:v>https://www.etsy.com/listing/1314956837/home-buying-planner-checklist-mortgage</x:v>
      </x:c>
    </x:row>
    <x:row r="58">
      <x:c r="A58" s="1" t="str">
        <x:v>Home buying planner</x:v>
      </x:c>
      <x:c r="B58" s="1" t="str">
        <x:v>First-Time Home Buyer Checklist | Readiness Planner (PDF)</x:v>
      </x:c>
      <x:c r="C58" s="1" t="str">
        <x:v>LivingWithAlly</x:v>
      </x:c>
      <x:c r="D58" s="6" t="n">
        <x:v>2.99</x:v>
      </x:c>
      <x:c r="E58" s="1" t="n">
        <x:v>0</x:v>
      </x:c>
      <x:c r="F58" s="7" t="n">
        <x:v>0</x:v>
      </x:c>
      <x:c r="G58" s="1" t="n">
        <x:v>0</x:v>
      </x:c>
      <x:c r="H58" s="1" t="n">
        <x:v>6</x:v>
      </x:c>
      <x:c r="I58" s="8" t="n">
        <x:v>0</x:v>
      </x:c>
      <x:c r="J58" s="1" t="n">
        <x:v>185</x:v>
      </x:c>
      <x:c r="K58" s="6" t="n">
        <x:f>IF(E58&gt;0,F58/E58,0)</x:f>
        <x:v>0</x:v>
      </x:c>
      <x:c r="L58" s="1" t="str">
        <x:v>https://www.etsy.com/listing/4435651062/first-time-home-buyer-readiness</x:v>
      </x:c>
    </x:row>
    <x:row r="59">
      <x:c r="A59" s="1" t="str">
        <x:v>Home buying planner</x:v>
      </x:c>
      <x:c r="B59" s="1" t="str">
        <x:v>First Home Buyer Planner | Interactive Checklist, Mortgage Tracker, Budget Calculator, Room Planner</x:v>
      </x:c>
      <x:c r="C59" s="1" t="str">
        <x:v>Groundshift</x:v>
      </x:c>
      <x:c r="D59" s="6" t="n">
        <x:v>8.56</x:v>
      </x:c>
      <x:c r="E59" s="1" t="n">
        <x:v>0</x:v>
      </x:c>
      <x:c r="F59" s="7" t="n">
        <x:v>0</x:v>
      </x:c>
      <x:c r="G59" s="1" t="n">
        <x:v>0</x:v>
      </x:c>
      <x:c r="H59" s="1" t="n">
        <x:v>1</x:v>
      </x:c>
      <x:c r="I59" s="8" t="n">
        <x:v>0</x:v>
      </x:c>
      <x:c r="J59" s="1" t="n">
        <x:v>326</x:v>
      </x:c>
      <x:c r="K59" s="6" t="n">
        <x:f>IF(E59&gt;0,F59/E59,0)</x:f>
        <x:v>0</x:v>
      </x:c>
      <x:c r="L59" s="1" t="str">
        <x:v>https://www.etsy.com/listing/4515633517/first-home-buyer-planner-interactive</x:v>
      </x:c>
    </x:row>
    <x:row r="60">
      <x:c r="A60" s="1" t="str">
        <x:v>Home buying planner</x:v>
      </x:c>
      <x:c r="B60" s="1" t="str">
        <x:v>Home Buying Questions Printable | What to Ask at Open House | Property Inspection Planner PDF</x:v>
      </x:c>
      <x:c r="C60" s="1" t="str">
        <x:v>MadeforMoving</x:v>
      </x:c>
      <x:c r="D60" s="6" t="n">
        <x:v>4.13</x:v>
      </x:c>
      <x:c r="E60" s="1" t="n">
        <x:v>0</x:v>
      </x:c>
      <x:c r="F60" s="7" t="n">
        <x:v>0</x:v>
      </x:c>
      <x:c r="G60" s="1" t="n">
        <x:v>0</x:v>
      </x:c>
      <x:c r="H60" s="1" t="n">
        <x:v>38</x:v>
      </x:c>
      <x:c r="I60" s="8" t="n">
        <x:v>0</x:v>
      </x:c>
      <x:c r="J60" s="1" t="n">
        <x:v>81</x:v>
      </x:c>
      <x:c r="K60" s="6" t="n">
        <x:f>IF(E60&gt;0,F60/E60,0)</x:f>
        <x:v>0</x:v>
      </x:c>
      <x:c r="L60" s="1" t="str">
        <x:v>https://www.etsy.com/listing/1476768720/home-buying-questions-checklist-house</x:v>
      </x:c>
    </x:row>
  </x:sheetData>
  <x:mergeCells>
    <x:mergeCell ref="A1:L1"/>
    <x:mergeCell ref="B8:C8"/>
  </x:mergeCells>
  <x:pageMargins left="0.7" right="0.7" top="0.75" bottom="0.75" header="0.3" footer="0.3"/>
  <x:tableParts count="1">
    <x:tablePart xmlns:r="http://schemas.openxmlformats.org/officeDocument/2006/relationships" r:id="R6f320069bc544f0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38" hidden="0" customWidth="1"/>
    <x:col min="3" max="3" width="22" hidden="0" customWidth="1"/>
    <x:col min="4" max="4" width="3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48"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4" hidden="0" customWidth="1"/>
    <x:col min="35" max="35" width="24" hidden="0" customWidth="1"/>
    <x:col min="36" max="36" width="24" hidden="0" customWidth="1"/>
  </x:cols>
  <x:sheetData>
    <x:row r="1" ht="34" customHeight="1">
      <x:c r="A1" s="9" t="str">
        <x:v>Product Name</x:v>
      </x:c>
      <x:c r="B1" s="9" t="str">
        <x:v>Product Link</x:v>
      </x:c>
      <x:c r="C1" s="9" t="str">
        <x:v>Shop Name</x:v>
      </x:c>
      <x:c r="D1" s="9" t="str">
        <x:v>Shop Link</x:v>
      </x:c>
      <x:c r="E1" s="9" t="str">
        <x:v>Price</x:v>
      </x:c>
      <x:c r="F1" s="9" t="str">
        <x:v>Est. Sales</x:v>
      </x:c>
      <x:c r="G1" s="9" t="str">
        <x:v>Est. Revenue</x:v>
      </x:c>
      <x:c r="H1" s="9" t="str">
        <x:v>Growth Rate</x:v>
      </x:c>
      <x:c r="I1" s="9" t="str">
        <x:v>Est. Total Sales</x:v>
      </x:c>
      <x:c r="J1" s="9" t="str">
        <x:v>Total Reviews</x:v>
      </x:c>
      <x:c r="K1" s="9" t="str">
        <x:v>Listing Age</x:v>
      </x:c>
      <x:c r="L1" s="9" t="str">
        <x:v>Total Favorites</x:v>
      </x:c>
      <x:c r="M1" s="9" t="str">
        <x:v>Avg. Reviews</x:v>
      </x:c>
      <x:c r="N1" s="9" t="str">
        <x:v>Total Views</x:v>
      </x:c>
      <x:c r="O1" s="9" t="str">
        <x:v>Category</x:v>
      </x:c>
      <x:c r="P1" s="9" t="str">
        <x:v>Shop Age</x:v>
      </x:c>
      <x:c r="Q1" s="9" t="str">
        <x:v>Visibility Score</x:v>
      </x:c>
      <x:c r="R1" s="9" t="str">
        <x:v>Conversion Rate</x:v>
      </x:c>
      <x:c r="S1" s="9" t="str">
        <x:v>Total Shop Sales</x:v>
      </x:c>
      <x:c r="T1" s="9" t="str">
        <x:v>Tags</x:v>
      </x:c>
      <x:c r="U1" s="9" t="str">
        <x:v>Tag 1</x:v>
      </x:c>
      <x:c r="V1" s="9" t="str">
        <x:v>Tag 2</x:v>
      </x:c>
      <x:c r="W1" s="9" t="str">
        <x:v>Tag 3</x:v>
      </x:c>
      <x:c r="X1" s="9" t="str">
        <x:v>Tag 4</x:v>
      </x:c>
      <x:c r="Y1" s="9" t="str">
        <x:v>Tag 5</x:v>
      </x:c>
      <x:c r="Z1" s="9" t="str">
        <x:v>Tag 6</x:v>
      </x:c>
      <x:c r="AA1" s="9" t="str">
        <x:v>Tag 7</x:v>
      </x:c>
      <x:c r="AB1" s="9" t="str">
        <x:v>Tag 8</x:v>
      </x:c>
      <x:c r="AC1" s="9" t="str">
        <x:v>Tag 9</x:v>
      </x:c>
      <x:c r="AD1" s="9" t="str">
        <x:v>Tag 10</x:v>
      </x:c>
      <x:c r="AE1" s="9" t="str">
        <x:v>Tag 11</x:v>
      </x:c>
      <x:c r="AF1" s="9" t="str">
        <x:v>Tag 12</x:v>
      </x:c>
      <x:c r="AG1" s="9" t="str">
        <x:v>Tag 13</x:v>
      </x:c>
      <x:c r="AH1" s="9" t="str">
        <x:v>Segment</x:v>
      </x:c>
      <x:c r="AI1" s="9" t="str">
        <x:v>Listing Age Months</x:v>
      </x:c>
      <x:c r="AJ1" s="9" t="str">
        <x:v>Active Estimate</x:v>
      </x:c>
    </x:row>
    <x:row r="2">
      <x:c r="A2" s="10" t="str">
        <x:v>Debt Payoff Tracker, Snowball Avalanche Calculator, Credit Card Tracker, Home Loan, Student Loan, Debt-Free Planner (Google Sheets &amp; Excel)</x:v>
      </x:c>
      <x:c r="B2" s="10" t="str">
        <x:v>https://www.etsy.com/listing/1762787854/debt-payoff-tracker-snowball-avalanche</x:v>
      </x:c>
      <x:c r="C2" s="10" t="str">
        <x:v>JrenDigital</x:v>
      </x:c>
      <x:c r="D2" s="10" t="str">
        <x:v>https://www.etsy.com/shop/JrenDigital</x:v>
      </x:c>
      <x:c r="E2" s="11" t="n">
        <x:v>11.86</x:v>
      </x:c>
      <x:c r="F2" s="10" t="n">
        <x:v>212</x:v>
      </x:c>
      <x:c r="G2" s="12" t="n">
        <x:v>2514</x:v>
      </x:c>
      <x:c r="H2" s="13" t="n">
        <x:v>29</x:v>
      </x:c>
      <x:c r="I2" s="10" t="n">
        <x:v>8947</x:v>
      </x:c>
      <x:c r="J2" s="10" t="n">
        <x:v>622</x:v>
      </x:c>
      <x:c r="K2" s="10" t="str">
        <x:v>23 Mo.</x:v>
      </x:c>
      <x:c r="L2" s="10" t="n">
        <x:v>3240</x:v>
      </x:c>
      <x:c r="M2" s="10" t="n">
        <x:v>27</x:v>
      </x:c>
      <x:c r="N2" s="10" t="n">
        <x:v>130019</x:v>
      </x:c>
      <x:c r="O2" s="10" t="str">
        <x:v>Paper &amp; Party Supplies</x:v>
      </x:c>
      <x:c r="P2" s="10" t="n">
        <x:v>41</x:v>
      </x:c>
      <x:c r="Q2" s="10" t="n">
        <x:v>100</x:v>
      </x:c>
      <x:c r="R2" s="13" t="n">
        <x:v>6.88</x:v>
      </x:c>
      <x:c r="S2" s="10" t="n">
        <x:v>80099</x:v>
      </x:c>
      <x:c r="T2" s="10" t="str">
        <x:v>financial planner,debt payoff tracker,debt snowball,debt payoff chart,debt payment tracker,credit card payoff,debt template,debt avalanche,student loan debt,google sheets budget,mortgage payoff,credit utilization,credit score debt</x:v>
      </x:c>
      <x:c r="U2" s="10" t="str">
        <x:v>financial planner</x:v>
      </x:c>
      <x:c r="V2" s="10" t="str">
        <x:v>debt payoff tracker</x:v>
      </x:c>
      <x:c r="W2" s="10" t="str">
        <x:v>debt snowball</x:v>
      </x:c>
      <x:c r="X2" s="10" t="str">
        <x:v>debt payoff chart</x:v>
      </x:c>
      <x:c r="Y2" s="10" t="str">
        <x:v>debt payment tracker</x:v>
      </x:c>
      <x:c r="Z2" s="10" t="str">
        <x:v>credit card payoff</x:v>
      </x:c>
      <x:c r="AA2" s="10" t="str">
        <x:v>debt template</x:v>
      </x:c>
      <x:c r="AB2" s="10" t="str">
        <x:v>debt avalanche</x:v>
      </x:c>
      <x:c r="AC2" s="10" t="str">
        <x:v>student loan debt</x:v>
      </x:c>
      <x:c r="AD2" s="10" t="str">
        <x:v>google sheets budget</x:v>
      </x:c>
      <x:c r="AE2" s="10" t="str">
        <x:v>mortgage payoff</x:v>
      </x:c>
      <x:c r="AF2" s="10" t="str">
        <x:v>credit utilization</x:v>
      </x:c>
      <x:c r="AG2" s="10" t="str">
        <x:v>credit score debt</x:v>
      </x:c>
      <x:c r="AH2" s="10" t="str">
        <x:v>General debt payoff</x:v>
      </x:c>
      <x:c r="AI2" s="13" t="n">
        <x:v>23</x:v>
      </x:c>
      <x:c r="AJ2" s="10" t="str">
        <x:f>IF(F2&gt;0,"Active","No est. sales")</x:f>
        <x:v>Active</x:v>
      </x:c>
    </x:row>
    <x:row r="3">
      <x:c r="A3" s="10" t="str">
        <x:v>Debt Payoff Tracker Debt Snowball Excel Debt Avalanche Calculator Google Sheets Credit Card Loan Tracker Credit Card Payoff Mortgage Payment</x:v>
      </x:c>
      <x:c r="B3" s="10" t="str">
        <x:v>https://www.etsy.com/listing/1844117537/debt-payoff-tracker-debt-snowball-excel</x:v>
      </x:c>
      <x:c r="C3" s="10" t="str">
        <x:v>PrioriDigitalStudio</x:v>
      </x:c>
      <x:c r="D3" s="10" t="str">
        <x:v>https://www.etsy.com/shop/PrioriDigitalStudio</x:v>
      </x:c>
      <x:c r="E3" s="11" t="n">
        <x:v>9.95</x:v>
      </x:c>
      <x:c r="F3" s="10" t="n">
        <x:v>82</x:v>
      </x:c>
      <x:c r="G3" s="12" t="n">
        <x:v>815</x:v>
      </x:c>
      <x:c r="H3" s="13" t="n">
        <x:v>167</x:v>
      </x:c>
      <x:c r="I3" s="10" t="n">
        <x:v>2234</x:v>
      </x:c>
      <x:c r="J3" s="10" t="n">
        <x:v>102</x:v>
      </x:c>
      <x:c r="K3" s="10" t="str">
        <x:v>19 Mo.</x:v>
      </x:c>
      <x:c r="L3" s="10" t="n">
        <x:v>519</x:v>
      </x:c>
      <x:c r="M3" s="10" t="n">
        <x:v>5</x:v>
      </x:c>
      <x:c r="N3" s="10" t="n">
        <x:v>24967</x:v>
      </x:c>
      <x:c r="O3" s="10" t="str">
        <x:v>Paper &amp; Party Supplies</x:v>
      </x:c>
      <x:c r="P3" s="10" t="n">
        <x:v>40</x:v>
      </x:c>
      <x:c r="Q3" s="10" t="n">
        <x:v>100</x:v>
      </x:c>
      <x:c r="R3" s="13" t="n">
        <x:v>8.95</x:v>
      </x:c>
      <x:c r="S3" s="10" t="n">
        <x:v>167903</x:v>
      </x:c>
      <x:c r="T3" s="10" t="str">
        <x:v>credit utilization,debt avalanche,mortgage payoff,credit card payoff,debt payoff chart,debt snowball,student loan debt,debt payment tracker,debt template,financial planner,credit score debt,debt payoff tracker,credit score focus</x:v>
      </x:c>
      <x:c r="U3" s="10" t="str">
        <x:v>credit utilization</x:v>
      </x:c>
      <x:c r="V3" s="10" t="str">
        <x:v>debt avalanche</x:v>
      </x:c>
      <x:c r="W3" s="10" t="str">
        <x:v>mortgage payoff</x:v>
      </x:c>
      <x:c r="X3" s="10" t="str">
        <x:v>credit card payoff</x:v>
      </x:c>
      <x:c r="Y3" s="10" t="str">
        <x:v>debt payoff chart</x:v>
      </x:c>
      <x:c r="Z3" s="10" t="str">
        <x:v>debt snowball</x:v>
      </x:c>
      <x:c r="AA3" s="10" t="str">
        <x:v>student loan debt</x:v>
      </x:c>
      <x:c r="AB3" s="10" t="str">
        <x:v>debt payment tracker</x:v>
      </x:c>
      <x:c r="AC3" s="10" t="str">
        <x:v>debt template</x:v>
      </x:c>
      <x:c r="AD3" s="10" t="str">
        <x:v>financial planner</x:v>
      </x:c>
      <x:c r="AE3" s="10" t="str">
        <x:v>credit score debt</x:v>
      </x:c>
      <x:c r="AF3" s="10" t="str">
        <x:v>debt payoff tracker</x:v>
      </x:c>
      <x:c r="AG3" s="10" t="str">
        <x:v>credit score focus</x:v>
      </x:c>
      <x:c r="AH3" s="10" t="str">
        <x:v>General debt payoff</x:v>
      </x:c>
      <x:c r="AI3" s="13" t="n">
        <x:v>19</x:v>
      </x:c>
      <x:c r="AJ3" s="10" t="str">
        <x:f>IF(F3&gt;0,"Active","No est. sales")</x:f>
        <x:v>Active</x:v>
      </x:c>
    </x:row>
    <x:row r="4">
      <x:c r="A4" s="10" t="str">
        <x:v>Debt Payoff Tracker Debt Snowball Avalanche Calculator Google Sheet Loan Credit Card Tracker Payoff Debt Free Financial Planner Debt Payment</x:v>
      </x:c>
      <x:c r="B4" s="10" t="str">
        <x:v>https://www.etsy.com/listing/4312360157/debt-payoff-tracker-debt-snowball</x:v>
      </x:c>
      <x:c r="C4" s="10" t="str">
        <x:v>DesignFestivals</x:v>
      </x:c>
      <x:c r="D4" s="10" t="str">
        <x:v>https://www.etsy.com/shop/DesignFestivals</x:v>
      </x:c>
      <x:c r="E4" s="11" t="n">
        <x:v>3.99</x:v>
      </x:c>
      <x:c r="F4" s="10" t="n">
        <x:v>168</x:v>
      </x:c>
      <x:c r="G4" s="12" t="n">
        <x:v>670</x:v>
      </x:c>
      <x:c r="H4" s="13" t="n">
        <x:v>-54</x:v>
      </x:c>
      <x:c r="I4" s="10" t="n">
        <x:v>1287</x:v>
      </x:c>
      <x:c r="J4" s="10" t="n">
        <x:v>61</x:v>
      </x:c>
      <x:c r="K4" s="10" t="str">
        <x:v>14 Mo.</x:v>
      </x:c>
      <x:c r="L4" s="10" t="n">
        <x:v>552</x:v>
      </x:c>
      <x:c r="M4" s="10" t="n">
        <x:v>4</x:v>
      </x:c>
      <x:c r="N4" s="10" t="n">
        <x:v>20122</x:v>
      </x:c>
      <x:c r="O4" s="10" t="str"/>
      <x:c r="P4" s="10" t="n">
        <x:v>14</x:v>
      </x:c>
      <x:c r="Q4" s="10" t="n">
        <x:v>100</x:v>
      </x:c>
      <x:c r="R4" s="13" t="n">
        <x:v>6.4</x:v>
      </x:c>
      <x:c r="S4" s="10" t="n">
        <x:v>7934</x:v>
      </x:c>
      <x:c r="T4" s="10" t="str">
        <x:v>debt payoff tracker,debt snowball,debt payoff chart,debt payment tracker,credit card payoff,debt template,debt avalanche,personal finances,financial planner,student loan debt,debt google sheets,mortgage payoff,credit utilization</x:v>
      </x:c>
      <x:c r="U4" s="10" t="str">
        <x:v>debt payoff tracker</x:v>
      </x:c>
      <x:c r="V4" s="10" t="str">
        <x:v>debt snowball</x:v>
      </x:c>
      <x:c r="W4" s="10" t="str">
        <x:v>debt payoff chart</x:v>
      </x:c>
      <x:c r="X4" s="10" t="str">
        <x:v>debt payment tracker</x:v>
      </x:c>
      <x:c r="Y4" s="10" t="str">
        <x:v>credit card payoff</x:v>
      </x:c>
      <x:c r="Z4" s="10" t="str">
        <x:v>debt template</x:v>
      </x:c>
      <x:c r="AA4" s="10" t="str">
        <x:v>debt avalanche</x:v>
      </x:c>
      <x:c r="AB4" s="10" t="str">
        <x:v>personal finances</x:v>
      </x:c>
      <x:c r="AC4" s="10" t="str">
        <x:v>financial planner</x:v>
      </x:c>
      <x:c r="AD4" s="10" t="str">
        <x:v>student loan debt</x:v>
      </x:c>
      <x:c r="AE4" s="10" t="str">
        <x:v>debt google sheets</x:v>
      </x:c>
      <x:c r="AF4" s="10" t="str">
        <x:v>mortgage payoff</x:v>
      </x:c>
      <x:c r="AG4" s="10" t="str">
        <x:v>credit utilization</x:v>
      </x:c>
      <x:c r="AH4" s="10" t="str">
        <x:v>General debt payoff</x:v>
      </x:c>
      <x:c r="AI4" s="13" t="n">
        <x:v>14</x:v>
      </x:c>
      <x:c r="AJ4" s="10" t="str">
        <x:f>IF(F4&gt;0,"Active","No est. sales")</x:f>
        <x:v>Active</x:v>
      </x:c>
    </x:row>
    <x:row r="5">
      <x:c r="A5" s="10" t="str">
        <x:v>Debt-Free Planner Snowball, Avalanche, Custom, Credit Score Focus | Loan Tracker, Credit Card, Student Loan | Google Sheets Excel Dark Mode</x:v>
      </x:c>
      <x:c r="B5" s="10" t="str">
        <x:v>https://www.etsy.com/listing/4353097155/debt-free-planner-snowball-avalanche</x:v>
      </x:c>
      <x:c r="C5" s="10" t="str">
        <x:v>JrenDigital</x:v>
      </x:c>
      <x:c r="D5" s="10" t="str">
        <x:v>https://www.etsy.com/shop/JrenDigital</x:v>
      </x:c>
      <x:c r="E5" s="11" t="n">
        <x:v>11.86</x:v>
      </x:c>
      <x:c r="F5" s="10" t="n">
        <x:v>43</x:v>
      </x:c>
      <x:c r="G5" s="12" t="n">
        <x:v>510</x:v>
      </x:c>
      <x:c r="H5" s="13" t="n">
        <x:v>50</x:v>
      </x:c>
      <x:c r="I5" s="10" t="n">
        <x:v>258</x:v>
      </x:c>
      <x:c r="J5" s="10" t="n">
        <x:v>18</x:v>
      </x:c>
      <x:c r="K5" s="10" t="str">
        <x:v>11 Mo.</x:v>
      </x:c>
      <x:c r="L5" s="10" t="n">
        <x:v>75</x:v>
      </x:c>
      <x:c r="M5" s="10" t="n">
        <x:v>2</x:v>
      </x:c>
      <x:c r="N5" s="10" t="n">
        <x:v>3027</x:v>
      </x:c>
      <x:c r="O5" s="10" t="str">
        <x:v>Paper &amp; Party Supplies</x:v>
      </x:c>
      <x:c r="P5" s="10" t="n">
        <x:v>41</x:v>
      </x:c>
      <x:c r="Q5" s="10" t="n">
        <x:v>72</x:v>
      </x:c>
      <x:c r="R5" s="13" t="n">
        <x:v>8.52</x:v>
      </x:c>
      <x:c r="S5" s="10" t="n">
        <x:v>80099</x:v>
      </x:c>
      <x:c r="T5" s="10" t="str">
        <x:v>financial planner,debt payoff tracker,debt snowball,debt payoff chart,debt payment tracker,credit card payoff,debt avalanche,mortgage payoff,credit utilization,credit score debt,excel debt tracker,student loan tracker,debt tracker custom</x:v>
      </x:c>
      <x:c r="U5" s="10" t="str">
        <x:v>financial planner</x:v>
      </x:c>
      <x:c r="V5" s="10" t="str">
        <x:v>debt payoff tracker</x:v>
      </x:c>
      <x:c r="W5" s="10" t="str">
        <x:v>debt snowball</x:v>
      </x:c>
      <x:c r="X5" s="10" t="str">
        <x:v>debt payoff chart</x:v>
      </x:c>
      <x:c r="Y5" s="10" t="str">
        <x:v>debt payment tracker</x:v>
      </x:c>
      <x:c r="Z5" s="10" t="str">
        <x:v>credit card payoff</x:v>
      </x:c>
      <x:c r="AA5" s="10" t="str">
        <x:v>debt avalanche</x:v>
      </x:c>
      <x:c r="AB5" s="10" t="str">
        <x:v>mortgage payoff</x:v>
      </x:c>
      <x:c r="AC5" s="10" t="str">
        <x:v>credit utilization</x:v>
      </x:c>
      <x:c r="AD5" s="10" t="str">
        <x:v>credit score debt</x:v>
      </x:c>
      <x:c r="AE5" s="10" t="str">
        <x:v>excel debt tracker</x:v>
      </x:c>
      <x:c r="AF5" s="10" t="str">
        <x:v>student loan tracker</x:v>
      </x:c>
      <x:c r="AG5" s="10" t="str">
        <x:v>debt tracker custom</x:v>
      </x:c>
      <x:c r="AH5" s="10" t="str">
        <x:v>Other mortgage-related</x:v>
      </x:c>
      <x:c r="AI5" s="13" t="n">
        <x:v>11</x:v>
      </x:c>
      <x:c r="AJ5" s="10" t="str">
        <x:f>IF(F5&gt;0,"Active","No est. sales")</x:f>
        <x:v>Active</x:v>
      </x:c>
    </x:row>
    <x:row r="6">
      <x:c r="A6" s="10" t="str">
        <x:v>Real Estate Investment Portfolio Tracker Google Sheets Loan Spreadsheet Personal Finance Tracker Mortgage Rental Property Management Planner</x:v>
      </x:c>
      <x:c r="B6" s="10" t="str">
        <x:v>https://www.etsy.com/listing/4407050844/real-estate-investment-portfolio-tracker</x:v>
      </x:c>
      <x:c r="C6" s="10" t="str">
        <x:v>RoveraStudio</x:v>
      </x:c>
      <x:c r="D6" s="10" t="str">
        <x:v>https://www.etsy.com/shop/RoveraStudio</x:v>
      </x:c>
      <x:c r="E6" s="11" t="n">
        <x:v>22.22</x:v>
      </x:c>
      <x:c r="F6" s="10" t="n">
        <x:v>19</x:v>
      </x:c>
      <x:c r="G6" s="12" t="n">
        <x:v>422</x:v>
      </x:c>
      <x:c r="H6" s="13" t="n">
        <x:v>0</x:v>
      </x:c>
      <x:c r="I6" s="10" t="n">
        <x:v>23</x:v>
      </x:c>
      <x:c r="J6" s="10" t="n">
        <x:v>2</x:v>
      </x:c>
      <x:c r="K6" s="10" t="str">
        <x:v>8 Mo.</x:v>
      </x:c>
      <x:c r="L6" s="10" t="n">
        <x:v>27</x:v>
      </x:c>
      <x:c r="M6" s="10" t="n">
        <x:v>0</x:v>
      </x:c>
      <x:c r="N6" s="10" t="n">
        <x:v>672</x:v>
      </x:c>
      <x:c r="O6" s="10" t="str">
        <x:v>Paper &amp; Party Supplies</x:v>
      </x:c>
      <x:c r="P6" s="10" t="n">
        <x:v>21</x:v>
      </x:c>
      <x:c r="Q6" s="10" t="n">
        <x:v>33</x:v>
      </x:c>
      <x:c r="R6" s="13" t="n">
        <x:v>3.42</x:v>
      </x:c>
      <x:c r="S6" s="10" t="n">
        <x:v>1459</x:v>
      </x:c>
      <x:c r="T6" s="10" t="str">
        <x:v>real estate planner,realtor planner,real estate agent,loan tracker,rental tracker,landlord spreadsheet,rental property,property spreadsheet,property management,expense tracker,real estate template,property rental,google sheets</x:v>
      </x:c>
      <x:c r="U6" s="10" t="str">
        <x:v>real estate planner</x:v>
      </x:c>
      <x:c r="V6" s="10" t="str">
        <x:v>realtor planner</x:v>
      </x:c>
      <x:c r="W6" s="10" t="str">
        <x:v>real estate agent</x:v>
      </x:c>
      <x:c r="X6" s="10" t="str">
        <x:v>loan tracker</x:v>
      </x:c>
      <x:c r="Y6" s="10" t="str">
        <x:v>rental tracker</x:v>
      </x:c>
      <x:c r="Z6" s="10" t="str">
        <x:v>landlord spreadsheet</x:v>
      </x:c>
      <x:c r="AA6" s="10" t="str">
        <x:v>rental property</x:v>
      </x:c>
      <x:c r="AB6" s="10" t="str">
        <x:v>property spreadsheet</x:v>
      </x:c>
      <x:c r="AC6" s="10" t="str">
        <x:v>property management</x:v>
      </x:c>
      <x:c r="AD6" s="10" t="str">
        <x:v>expense tracker</x:v>
      </x:c>
      <x:c r="AE6" s="10" t="str">
        <x:v>real estate template</x:v>
      </x:c>
      <x:c r="AF6" s="10" t="str">
        <x:v>property rental</x:v>
      </x:c>
      <x:c r="AG6" s="10" t="str">
        <x:v>google sheets</x:v>
      </x:c>
      <x:c r="AH6" s="10" t="str">
        <x:v>Property investment</x:v>
      </x:c>
      <x:c r="AI6" s="13" t="n">
        <x:v>8</x:v>
      </x:c>
      <x:c r="AJ6" s="10" t="str">
        <x:f>IF(F6&gt;0,"Active","No est. sales")</x:f>
        <x:v>Active</x:v>
      </x:c>
    </x:row>
    <x:row r="7">
      <x:c r="A7" s="10" t="str">
        <x:v>Debt Snowball Avalanche Calculator Spreadsheet Custom Debt Payoff Strategy Tracker Credit Card Loan Mortgage Excel &amp; Google Sheets Debt Free</x:v>
      </x:c>
      <x:c r="B7" s="10" t="str">
        <x:v>https://www.etsy.com/listing/4334780350/debt-payoff-tracker-debt-snowball-excel</x:v>
      </x:c>
      <x:c r="C7" s="10" t="str">
        <x:v>PrioriDigitalStudio</x:v>
      </x:c>
      <x:c r="D7" s="10" t="str">
        <x:v>https://www.etsy.com/shop/PrioriDigitalStudio</x:v>
      </x:c>
      <x:c r="E7" s="11" t="n">
        <x:v>9.95</x:v>
      </x:c>
      <x:c r="F7" s="10" t="n">
        <x:v>31</x:v>
      </x:c>
      <x:c r="G7" s="12" t="n">
        <x:v>310</x:v>
      </x:c>
      <x:c r="H7" s="13" t="n">
        <x:v>-100</x:v>
      </x:c>
      <x:c r="I7" s="10" t="n">
        <x:v>253</x:v>
      </x:c>
      <x:c r="J7" s="10" t="n">
        <x:v>17</x:v>
      </x:c>
      <x:c r="K7" s="10" t="str">
        <x:v>12 Mo.</x:v>
      </x:c>
      <x:c r="L7" s="10" t="n">
        <x:v>95</x:v>
      </x:c>
      <x:c r="M7" s="10" t="n">
        <x:v>1</x:v>
      </x:c>
      <x:c r="N7" s="10" t="n">
        <x:v>4499</x:v>
      </x:c>
      <x:c r="O7" s="10" t="str">
        <x:v>Paper &amp; Party Supplies</x:v>
      </x:c>
      <x:c r="P7" s="10" t="n">
        <x:v>40</x:v>
      </x:c>
      <x:c r="Q7" s="10" t="n">
        <x:v>90</x:v>
      </x:c>
      <x:c r="R7" s="13" t="n">
        <x:v>5.62</x:v>
      </x:c>
      <x:c r="S7" s="10" t="n">
        <x:v>167903</x:v>
      </x:c>
      <x:c r="T7" s="10" t="str">
        <x:v>debt snowball excel,debt avalanche sheet,snowball calculator,avalanche calculator,payoff strategy tool,debt payoff tracker,loan tracker,debt method tracker,debt calculator,mortgage planner,debt payoff system,payoff plan custom,debt plan calculator</x:v>
      </x:c>
      <x:c r="U7" s="10" t="str">
        <x:v>debt snowball excel</x:v>
      </x:c>
      <x:c r="V7" s="10" t="str">
        <x:v>debt avalanche sheet</x:v>
      </x:c>
      <x:c r="W7" s="10" t="str">
        <x:v>snowball calculator</x:v>
      </x:c>
      <x:c r="X7" s="10" t="str">
        <x:v>avalanche calculator</x:v>
      </x:c>
      <x:c r="Y7" s="10" t="str">
        <x:v>payoff strategy tool</x:v>
      </x:c>
      <x:c r="Z7" s="10" t="str">
        <x:v>debt payoff tracker</x:v>
      </x:c>
      <x:c r="AA7" s="10" t="str">
        <x:v>loan tracker</x:v>
      </x:c>
      <x:c r="AB7" s="10" t="str">
        <x:v>debt method tracker</x:v>
      </x:c>
      <x:c r="AC7" s="10" t="str">
        <x:v>debt calculator</x:v>
      </x:c>
      <x:c r="AD7" s="10" t="str">
        <x:v>mortgage planner</x:v>
      </x:c>
      <x:c r="AE7" s="10" t="str">
        <x:v>debt payoff system</x:v>
      </x:c>
      <x:c r="AF7" s="10" t="str">
        <x:v>payoff plan custom</x:v>
      </x:c>
      <x:c r="AG7" s="10" t="str">
        <x:v>debt plan calculator</x:v>
      </x:c>
      <x:c r="AH7" s="10" t="str">
        <x:v>General debt payoff</x:v>
      </x:c>
      <x:c r="AI7" s="13" t="n">
        <x:v>12</x:v>
      </x:c>
      <x:c r="AJ7" s="10" t="str">
        <x:f>IF(F7&gt;0,"Active","No est. sales")</x:f>
        <x:v>Active</x:v>
      </x:c>
    </x:row>
    <x:row r="8">
      <x:c r="A8" s="10" t="str">
        <x:v>Apple Numbers Debt Payoff Tracker Debt Snowball Avalanche Calculator Credit Card Debt Student Loan Template Mortgage Debt Free Planner iPad</x:v>
      </x:c>
      <x:c r="B8" s="10" t="str">
        <x:v>https://www.etsy.com/listing/4484561895/apple-numbers-debt-payoff-tracker-debt</x:v>
      </x:c>
      <x:c r="C8" s="10" t="str">
        <x:v>BrightFoxCreation</x:v>
      </x:c>
      <x:c r="D8" s="10" t="str">
        <x:v>https://www.etsy.com/shop/BrightFoxCreation</x:v>
      </x:c>
      <x:c r="E8" s="11" t="n">
        <x:v>15.98</x:v>
      </x:c>
      <x:c r="F8" s="10" t="n">
        <x:v>18</x:v>
      </x:c>
      <x:c r="G8" s="12" t="n">
        <x:v>288</x:v>
      </x:c>
      <x:c r="H8" s="13" t="n">
        <x:v>0</x:v>
      </x:c>
      <x:c r="I8" s="10" t="n">
        <x:v>32</x:v>
      </x:c>
      <x:c r="J8" s="10" t="n">
        <x:v>2</x:v>
      </x:c>
      <x:c r="K8" s="10" t="str">
        <x:v>3 Mo.</x:v>
      </x:c>
      <x:c r="L8" s="10" t="n">
        <x:v>17</x:v>
      </x:c>
      <x:c r="M8" s="10" t="n">
        <x:v>1</x:v>
      </x:c>
      <x:c r="N8" s="10" t="n">
        <x:v>492</x:v>
      </x:c>
      <x:c r="O8" s="10" t="str"/>
      <x:c r="P8" s="10" t="n">
        <x:v>15</x:v>
      </x:c>
      <x:c r="Q8" s="10" t="n">
        <x:v>45</x:v>
      </x:c>
      <x:c r="R8" s="13" t="n">
        <x:v>6.5</x:v>
      </x:c>
      <x:c r="S8" s="10" t="n">
        <x:v>6150</x:v>
      </x:c>
      <x:c r="T8" s="10" t="str">
        <x:v>debt payoff tracker,snowball spreadsheet,debt payment tracker,student loan payoff,house debt payoff,debt repayment,mortgage payment,car payoff tracker,debt free planner,debt payoff template,debt avalanche track,debt apple number,credit card debt</x:v>
      </x:c>
      <x:c r="U8" s="10" t="str">
        <x:v>debt payoff tracker</x:v>
      </x:c>
      <x:c r="V8" s="10" t="str">
        <x:v>snowball spreadsheet</x:v>
      </x:c>
      <x:c r="W8" s="10" t="str">
        <x:v>debt payment tracker</x:v>
      </x:c>
      <x:c r="X8" s="10" t="str">
        <x:v>student loan payoff</x:v>
      </x:c>
      <x:c r="Y8" s="10" t="str">
        <x:v>house debt payoff</x:v>
      </x:c>
      <x:c r="Z8" s="10" t="str">
        <x:v>debt repayment</x:v>
      </x:c>
      <x:c r="AA8" s="10" t="str">
        <x:v>mortgage payment</x:v>
      </x:c>
      <x:c r="AB8" s="10" t="str">
        <x:v>car payoff tracker</x:v>
      </x:c>
      <x:c r="AC8" s="10" t="str">
        <x:v>debt free planner</x:v>
      </x:c>
      <x:c r="AD8" s="10" t="str">
        <x:v>debt payoff template</x:v>
      </x:c>
      <x:c r="AE8" s="10" t="str">
        <x:v>debt avalanche track</x:v>
      </x:c>
      <x:c r="AF8" s="10" t="str">
        <x:v>debt apple number</x:v>
      </x:c>
      <x:c r="AG8" s="10" t="str">
        <x:v>credit card debt</x:v>
      </x:c>
      <x:c r="AH8" s="10" t="str">
        <x:v>General debt payoff</x:v>
      </x:c>
      <x:c r="AI8" s="13" t="n">
        <x:v>3</x:v>
      </x:c>
      <x:c r="AJ8" s="10" t="str">
        <x:f>IF(F8&gt;0,"Active","No est. sales")</x:f>
        <x:v>Active</x:v>
      </x:c>
    </x:row>
    <x:row r="9">
      <x:c r="A9" s="10" t="str">
        <x:v>Debt Payoff Calculator Dark Mode Snowball Avalanche Custom Google Sheets Credit Card Loan Mortgage Payment Tracker Debt Repayment Planner</x:v>
      </x:c>
      <x:c r="B9" s="10" t="str">
        <x:v>https://www.etsy.com/listing/4446706788/debt-payoff-calculator-dark-mode</x:v>
      </x:c>
      <x:c r="C9" s="10" t="str">
        <x:v>SmartKitDesigns</x:v>
      </x:c>
      <x:c r="D9" s="10" t="str">
        <x:v>https://www.etsy.com/shop/SmartKitDesigns</x:v>
      </x:c>
      <x:c r="E9" s="11" t="n">
        <x:v>11.99</x:v>
      </x:c>
      <x:c r="F9" s="10" t="n">
        <x:v>22</x:v>
      </x:c>
      <x:c r="G9" s="12" t="n">
        <x:v>264</x:v>
      </x:c>
      <x:c r="H9" s="13" t="n">
        <x:v>0</x:v>
      </x:c>
      <x:c r="I9" s="10" t="n">
        <x:v>15</x:v>
      </x:c>
      <x:c r="J9" s="10" t="n">
        <x:v>1</x:v>
      </x:c>
      <x:c r="K9" s="10" t="str">
        <x:v>6 Mo.</x:v>
      </x:c>
      <x:c r="L9" s="10" t="n">
        <x:v>7</x:v>
      </x:c>
      <x:c r="M9" s="10" t="n">
        <x:v>0</x:v>
      </x:c>
      <x:c r="N9" s="10" t="n">
        <x:v>270</x:v>
      </x:c>
      <x:c r="O9" s="10" t="str"/>
      <x:c r="P9" s="10" t="n">
        <x:v>12</x:v>
      </x:c>
      <x:c r="Q9" s="10" t="n">
        <x:v>0</x:v>
      </x:c>
      <x:c r="R9" s="13" t="n">
        <x:v>5.56</x:v>
      </x:c>
      <x:c r="S9" s="10" t="n">
        <x:v>1666</x:v>
      </x:c>
      <x:c r="T9" s="10" t="str">
        <x:v>debt google sheets,debt spreadsheet,debt snowball,debt calculator,mortgage payoff,debt payoff tracker,dark mode tracker,budget planner,credit card debt,financial planner,student loan payoff,debt avalanche,debt payment tracker</x:v>
      </x:c>
      <x:c r="U9" s="10" t="str">
        <x:v>debt google sheets</x:v>
      </x:c>
      <x:c r="V9" s="10" t="str">
        <x:v>debt spreadsheet</x:v>
      </x:c>
      <x:c r="W9" s="10" t="str">
        <x:v>debt snowball</x:v>
      </x:c>
      <x:c r="X9" s="10" t="str">
        <x:v>debt calculator</x:v>
      </x:c>
      <x:c r="Y9" s="10" t="str">
        <x:v>mortgage payoff</x:v>
      </x:c>
      <x:c r="Z9" s="10" t="str">
        <x:v>debt payoff tracker</x:v>
      </x:c>
      <x:c r="AA9" s="10" t="str">
        <x:v>dark mode tracker</x:v>
      </x:c>
      <x:c r="AB9" s="10" t="str">
        <x:v>budget planner</x:v>
      </x:c>
      <x:c r="AC9" s="10" t="str">
        <x:v>credit card debt</x:v>
      </x:c>
      <x:c r="AD9" s="10" t="str">
        <x:v>financial planner</x:v>
      </x:c>
      <x:c r="AE9" s="10" t="str">
        <x:v>student loan payoff</x:v>
      </x:c>
      <x:c r="AF9" s="10" t="str">
        <x:v>debt avalanche</x:v>
      </x:c>
      <x:c r="AG9" s="10" t="str">
        <x:v>debt payment tracker</x:v>
      </x:c>
      <x:c r="AH9" s="10" t="str">
        <x:v>General debt payoff</x:v>
      </x:c>
      <x:c r="AI9" s="13" t="n">
        <x:v>6</x:v>
      </x:c>
      <x:c r="AJ9" s="10" t="str">
        <x:f>IF(F9&gt;0,"Active","No est. sales")</x:f>
        <x:v>Active</x:v>
      </x:c>
    </x:row>
    <x:row r="10">
      <x:c r="A10" s="10" t="str">
        <x:v>Debt Payoff Calculator Snowball Avalanche Custom Google Sheets Credit Card Loan Mortgage Payment Tracker Debt Repayment Personal Finance</x:v>
      </x:c>
      <x:c r="B10" s="10" t="str">
        <x:v>https://www.etsy.com/listing/4446336167/debt-payoff-calculator-snowball</x:v>
      </x:c>
      <x:c r="C10" s="10" t="str">
        <x:v>SmartKitDesigns</x:v>
      </x:c>
      <x:c r="D10" s="10" t="str">
        <x:v>https://www.etsy.com/shop/SmartKitDesigns</x:v>
      </x:c>
      <x:c r="E10" s="11" t="n">
        <x:v>11.99</x:v>
      </x:c>
      <x:c r="F10" s="10" t="n">
        <x:v>16</x:v>
      </x:c>
      <x:c r="G10" s="12" t="n">
        <x:v>192</x:v>
      </x:c>
      <x:c r="H10" s="13" t="n">
        <x:v>-100</x:v>
      </x:c>
      <x:c r="I10" s="10" t="n">
        <x:v>15</x:v>
      </x:c>
      <x:c r="J10" s="10" t="n">
        <x:v>1</x:v>
      </x:c>
      <x:c r="K10" s="10" t="str">
        <x:v>6 Mo.</x:v>
      </x:c>
      <x:c r="L10" s="10" t="n">
        <x:v>4</x:v>
      </x:c>
      <x:c r="M10" s="10" t="n">
        <x:v>0</x:v>
      </x:c>
      <x:c r="N10" s="10" t="n">
        <x:v>205</x:v>
      </x:c>
      <x:c r="O10" s="10" t="str"/>
      <x:c r="P10" s="10" t="n">
        <x:v>12</x:v>
      </x:c>
      <x:c r="Q10" s="10" t="n">
        <x:v>0</x:v>
      </x:c>
      <x:c r="R10" s="13" t="n">
        <x:v>7.32</x:v>
      </x:c>
      <x:c r="S10" s="10" t="n">
        <x:v>1666</x:v>
      </x:c>
      <x:c r="T10" s="10" t="str">
        <x:v>debt google sheets,debt snowball,debt calculator,mortgage payoff,debt spreadsheet,debt payoff tracker,budget planner,credit card debt,financial planner,student loan payoff,debt avalanche,google sheets budget,debt payment tracker</x:v>
      </x:c>
      <x:c r="U10" s="10" t="str">
        <x:v>debt google sheets</x:v>
      </x:c>
      <x:c r="V10" s="10" t="str">
        <x:v>debt snowball</x:v>
      </x:c>
      <x:c r="W10" s="10" t="str">
        <x:v>debt calculator</x:v>
      </x:c>
      <x:c r="X10" s="10" t="str">
        <x:v>mortgage payoff</x:v>
      </x:c>
      <x:c r="Y10" s="10" t="str">
        <x:v>debt spreadsheet</x:v>
      </x:c>
      <x:c r="Z10" s="10" t="str">
        <x:v>debt payoff tracker</x:v>
      </x:c>
      <x:c r="AA10" s="10" t="str">
        <x:v>budget planner</x:v>
      </x:c>
      <x:c r="AB10" s="10" t="str">
        <x:v>credit card debt</x:v>
      </x:c>
      <x:c r="AC10" s="10" t="str">
        <x:v>financial planner</x:v>
      </x:c>
      <x:c r="AD10" s="10" t="str">
        <x:v>student loan payoff</x:v>
      </x:c>
      <x:c r="AE10" s="10" t="str">
        <x:v>debt avalanche</x:v>
      </x:c>
      <x:c r="AF10" s="10" t="str">
        <x:v>google sheets budget</x:v>
      </x:c>
      <x:c r="AG10" s="10" t="str">
        <x:v>debt payment tracker</x:v>
      </x:c>
      <x:c r="AH10" s="10" t="str">
        <x:v>General debt payoff</x:v>
      </x:c>
      <x:c r="AI10" s="13" t="n">
        <x:v>6</x:v>
      </x:c>
      <x:c r="AJ10" s="10" t="str">
        <x:f>IF(F10&gt;0,"Active","No est. sales")</x:f>
        <x:v>Active</x:v>
      </x:c>
    </x:row>
    <x:row r="11">
      <x:c r="A11" s="10" t="str">
        <x:v>Debt Payoff Tracker Debt Snowball Avalanche Calculator Google Sheets Credit Card Loan Debt Template Financial Template Planner Spreadsheet</x:v>
      </x:c>
      <x:c r="B11" s="10" t="str">
        <x:v>https://www.etsy.com/listing/1822496181/debt-payoff-tracker-debt-snowball</x:v>
      </x:c>
      <x:c r="C11" s="10" t="str">
        <x:v>TheWeeklyCrew</x:v>
      </x:c>
      <x:c r="D11" s="10" t="str">
        <x:v>https://www.etsy.com/shop/TheWeeklyCrew</x:v>
      </x:c>
      <x:c r="E11" s="11" t="n">
        <x:v>7.36</x:v>
      </x:c>
      <x:c r="F11" s="10" t="n">
        <x:v>24</x:v>
      </x:c>
      <x:c r="G11" s="12" t="n">
        <x:v>177</x:v>
      </x:c>
      <x:c r="H11" s="13" t="n">
        <x:v>0</x:v>
      </x:c>
      <x:c r="I11" s="10" t="n">
        <x:v>1259</x:v>
      </x:c>
      <x:c r="J11" s="10" t="n">
        <x:v>104</x:v>
      </x:c>
      <x:c r="K11" s="10" t="str">
        <x:v>20 Mo.</x:v>
      </x:c>
      <x:c r="L11" s="10" t="n">
        <x:v>630</x:v>
      </x:c>
      <x:c r="M11" s="10" t="n">
        <x:v>5</x:v>
      </x:c>
      <x:c r="N11" s="10" t="n">
        <x:v>27934</x:v>
      </x:c>
      <x:c r="O11" s="10" t="str">
        <x:v>Paper &amp; Party Supplies</x:v>
      </x:c>
      <x:c r="P11" s="10" t="n">
        <x:v>49</x:v>
      </x:c>
      <x:c r="Q11" s="10" t="n">
        <x:v>100</x:v>
      </x:c>
      <x:c r="R11" s="13" t="n">
        <x:v>4.51</x:v>
      </x:c>
      <x:c r="S11" s="10" t="n">
        <x:v>153206</x:v>
      </x:c>
      <x:c r="T11" s="10" t="str">
        <x:v>debt payment tracker,debt snowball,debt avalanche,debt payoff planner,debt calculator,debt google sheets,debt spreadsheet,credit card payoff,student loan tracker,mortgage payoff,loan payoff tracker,credit utilization,dark mode template</x:v>
      </x:c>
      <x:c r="U11" s="10" t="str">
        <x:v>debt payment tracker</x:v>
      </x:c>
      <x:c r="V11" s="10" t="str">
        <x:v>debt snowball</x:v>
      </x:c>
      <x:c r="W11" s="10" t="str">
        <x:v>debt avalanche</x:v>
      </x:c>
      <x:c r="X11" s="10" t="str">
        <x:v>debt payoff planner</x:v>
      </x:c>
      <x:c r="Y11" s="10" t="str">
        <x:v>debt calculator</x:v>
      </x:c>
      <x:c r="Z11" s="10" t="str">
        <x:v>debt google sheets</x:v>
      </x:c>
      <x:c r="AA11" s="10" t="str">
        <x:v>debt spreadsheet</x:v>
      </x:c>
      <x:c r="AB11" s="10" t="str">
        <x:v>credit card payoff</x:v>
      </x:c>
      <x:c r="AC11" s="10" t="str">
        <x:v>student loan tracker</x:v>
      </x:c>
      <x:c r="AD11" s="10" t="str">
        <x:v>mortgage payoff</x:v>
      </x:c>
      <x:c r="AE11" s="10" t="str">
        <x:v>loan payoff tracker</x:v>
      </x:c>
      <x:c r="AF11" s="10" t="str">
        <x:v>credit utilization</x:v>
      </x:c>
      <x:c r="AG11" s="10" t="str">
        <x:v>dark mode template</x:v>
      </x:c>
      <x:c r="AH11" s="10" t="str">
        <x:v>General debt payoff</x:v>
      </x:c>
      <x:c r="AI11" s="13" t="n">
        <x:v>20</x:v>
      </x:c>
      <x:c r="AJ11" s="10" t="str">
        <x:f>IF(F11&gt;0,"Active","No est. sales")</x:f>
        <x:v>Active</x:v>
      </x:c>
    </x:row>
    <x:row r="12">
      <x:c r="A12" s="10" t="str">
        <x:v>Mortgage Payoff Planner Spreadsheet, Pay Off Mortgage Faster, Extra Payment Calculator, Amortization Schedule, Refinance Analyzer</x:v>
      </x:c>
      <x:c r="B12" s="10" t="str">
        <x:v>https://www.etsy.com/listing/4512281874/mortgage-payoff-planner-spreadsheet-pay</x:v>
      </x:c>
      <x:c r="C12" s="10" t="str">
        <x:v>SellerKitLab</x:v>
      </x:c>
      <x:c r="D12" s="10" t="str">
        <x:v>https://www.etsy.com/shop/SellerKitLab</x:v>
      </x:c>
      <x:c r="E12" s="11" t="n">
        <x:v>6.99</x:v>
      </x:c>
      <x:c r="F12" s="10" t="n">
        <x:v>24</x:v>
      </x:c>
      <x:c r="G12" s="12" t="n">
        <x:v>168</x:v>
      </x:c>
      <x:c r="H12" s="13" t="n">
        <x:v>0</x:v>
      </x:c>
      <x:c r="I12" s="10" t="n">
        <x:v>23</x:v>
      </x:c>
      <x:c r="J12" s="10" t="n">
        <x:v>1</x:v>
      </x:c>
      <x:c r="K12" s="10" t="str">
        <x:v>2 Mo.</x:v>
      </x:c>
      <x:c r="L12" s="10" t="n">
        <x:v>4</x:v>
      </x:c>
      <x:c r="M12" s="10" t="n">
        <x:v>1</x:v>
      </x:c>
      <x:c r="N12" s="10" t="n">
        <x:v>174</x:v>
      </x:c>
      <x:c r="O12" s="10" t="str"/>
      <x:c r="P12" s="10" t="n">
        <x:v>2</x:v>
      </x:c>
      <x:c r="Q12" s="10" t="n">
        <x:v>33</x:v>
      </x:c>
      <x:c r="R12" s="13" t="n">
        <x:v>13.22</x:v>
      </x:c>
      <x:c r="S12" s="10" t="n">
        <x:v>260</x:v>
      </x:c>
      <x:c r="T12" s="10" t="str">
        <x:v>mortgage payoff,mortgage planner,payoff calculator,extra payment,amortization,home loan tracker,refinance planner,equity tracker,debt payoff,mortgage tracker,finance tracker,excel planner,google sheets</x:v>
      </x:c>
      <x:c r="U12" s="10" t="str">
        <x:v>mortgage payoff</x:v>
      </x:c>
      <x:c r="V12" s="10" t="str">
        <x:v>mortgage planner</x:v>
      </x:c>
      <x:c r="W12" s="10" t="str">
        <x:v>payoff calculator</x:v>
      </x:c>
      <x:c r="X12" s="10" t="str">
        <x:v>extra payment</x:v>
      </x:c>
      <x:c r="Y12" s="10" t="str">
        <x:v>amortization</x:v>
      </x:c>
      <x:c r="Z12" s="10" t="str">
        <x:v>home loan tracker</x:v>
      </x:c>
      <x:c r="AA12" s="10" t="str">
        <x:v>refinance planner</x:v>
      </x:c>
      <x:c r="AB12" s="10" t="str">
        <x:v>equity tracker</x:v>
      </x:c>
      <x:c r="AC12" s="10" t="str">
        <x:v>debt payoff</x:v>
      </x:c>
      <x:c r="AD12" s="10" t="str">
        <x:v>mortgage tracker</x:v>
      </x:c>
      <x:c r="AE12" s="10" t="str">
        <x:v>finance tracker</x:v>
      </x:c>
      <x:c r="AF12" s="10" t="str">
        <x:v>excel planner</x:v>
      </x:c>
      <x:c r="AG12" s="10" t="str">
        <x:v>google sheets</x:v>
      </x:c>
      <x:c r="AH12" s="10" t="str">
        <x:v>Mortgage payoff / calculator</x:v>
      </x:c>
      <x:c r="AI12" s="13" t="n">
        <x:v>2</x:v>
      </x:c>
      <x:c r="AJ12" s="10" t="str">
        <x:f>IF(F12&gt;0,"Active","No est. sales")</x:f>
        <x:v>Active</x:v>
      </x:c>
    </x:row>
    <x:row r="13">
      <x:c r="A13" s="10" t="str">
        <x:v>Mortgage Payoff Tracker Spreadsheet | Amortization Schedule | Extra Payment Calculator | Google Sheets Template</x:v>
      </x:c>
      <x:c r="B13" s="10" t="str">
        <x:v>https://www.etsy.com/listing/4469956431/mortgage-payoff-tracker-spreadsheet</x:v>
      </x:c>
      <x:c r="C13" s="10" t="str">
        <x:v>thedashboardstudioco</x:v>
      </x:c>
      <x:c r="D13" s="10" t="str">
        <x:v>https://www.etsy.com/shop/thedashboardstudioco</x:v>
      </x:c>
      <x:c r="E13" s="11" t="n">
        <x:v>7.81</x:v>
      </x:c>
      <x:c r="F13" s="10" t="n">
        <x:v>14</x:v>
      </x:c>
      <x:c r="G13" s="12" t="n">
        <x:v>109</x:v>
      </x:c>
      <x:c r="H13" s="13" t="n">
        <x:v>200</x:v>
      </x:c>
      <x:c r="I13" s="10" t="n">
        <x:v>45</x:v>
      </x:c>
      <x:c r="J13" s="10" t="n">
        <x:v>8</x:v>
      </x:c>
      <x:c r="K13" s="10" t="str">
        <x:v>4 Mo.</x:v>
      </x:c>
      <x:c r="L13" s="10" t="n">
        <x:v>45</x:v>
      </x:c>
      <x:c r="M13" s="10" t="n">
        <x:v>2</x:v>
      </x:c>
      <x:c r="N13" s="10" t="n">
        <x:v>1939</x:v>
      </x:c>
      <x:c r="O13" s="10" t="str"/>
      <x:c r="P13" s="10" t="n">
        <x:v>6</x:v>
      </x:c>
      <x:c r="Q13" s="10" t="n">
        <x:v>100</x:v>
      </x:c>
      <x:c r="R13" s="13" t="n">
        <x:v>2.32</x:v>
      </x:c>
      <x:c r="S13" s="10" t="n">
        <x:v>109</x:v>
      </x:c>
      <x:c r="T13" s="10" t="str">
        <x:v>mortgage tracker,mortgage payoff,mortgage spreadsheet,mortgage calculator,amortization sheet,mortgage planner,loan payoff tracker,extra payment calc,mortgage dashboard,homeowner planner,financial tracker,google sheets tool,mortgage template</x:v>
      </x:c>
      <x:c r="U13" s="10" t="str">
        <x:v>mortgage tracker</x:v>
      </x:c>
      <x:c r="V13" s="10" t="str">
        <x:v>mortgage payoff</x:v>
      </x:c>
      <x:c r="W13" s="10" t="str">
        <x:v>mortgage spreadsheet</x:v>
      </x:c>
      <x:c r="X13" s="10" t="str">
        <x:v>mortgage calculator</x:v>
      </x:c>
      <x:c r="Y13" s="10" t="str">
        <x:v>amortization sheet</x:v>
      </x:c>
      <x:c r="Z13" s="10" t="str">
        <x:v>mortgage planner</x:v>
      </x:c>
      <x:c r="AA13" s="10" t="str">
        <x:v>loan payoff tracker</x:v>
      </x:c>
      <x:c r="AB13" s="10" t="str">
        <x:v>extra payment calc</x:v>
      </x:c>
      <x:c r="AC13" s="10" t="str">
        <x:v>mortgage dashboard</x:v>
      </x:c>
      <x:c r="AD13" s="10" t="str">
        <x:v>homeowner planner</x:v>
      </x:c>
      <x:c r="AE13" s="10" t="str">
        <x:v>financial tracker</x:v>
      </x:c>
      <x:c r="AF13" s="10" t="str">
        <x:v>google sheets tool</x:v>
      </x:c>
      <x:c r="AG13" s="10" t="str">
        <x:v>mortgage template</x:v>
      </x:c>
      <x:c r="AH13" s="10" t="str">
        <x:v>Mortgage payoff / calculator</x:v>
      </x:c>
      <x:c r="AI13" s="13" t="n">
        <x:v>4</x:v>
      </x:c>
      <x:c r="AJ13" s="10" t="str">
        <x:f>IF(F13&gt;0,"Active","No est. sales")</x:f>
        <x:v>Active</x:v>
      </x:c>
    </x:row>
    <x:row r="14">
      <x:c r="A14" s="10" t="str">
        <x:v>Debt Tracker Google Sheets Debt Payoff Tracker Snowball Debt Calculator Loan Credit Card Mortgage Payment Credit Score Debt Free Planner</x:v>
      </x:c>
      <x:c r="B14" s="10" t="str">
        <x:v>https://www.etsy.com/listing/1484568203/debt-payoff-tracker-debt-snowball-excel</x:v>
      </x:c>
      <x:c r="C14" s="10" t="str">
        <x:v>PrioriDigitalStudio</x:v>
      </x:c>
      <x:c r="D14" s="10" t="str">
        <x:v>https://www.etsy.com/shop/PrioriDigitalStudio</x:v>
      </x:c>
      <x:c r="E14" s="11" t="n">
        <x:v>9.95</x:v>
      </x:c>
      <x:c r="F14" s="10" t="n">
        <x:v>7</x:v>
      </x:c>
      <x:c r="G14" s="12" t="n">
        <x:v>70</x:v>
      </x:c>
      <x:c r="H14" s="13" t="n">
        <x:v>100</x:v>
      </x:c>
      <x:c r="I14" s="10" t="n">
        <x:v>396</x:v>
      </x:c>
      <x:c r="J14" s="10" t="n">
        <x:v>45</x:v>
      </x:c>
      <x:c r="K14" s="10" t="str">
        <x:v>38 Mo.</x:v>
      </x:c>
      <x:c r="L14" s="10" t="n">
        <x:v>173</x:v>
      </x:c>
      <x:c r="M14" s="10" t="n">
        <x:v>1</x:v>
      </x:c>
      <x:c r="N14" s="10" t="n">
        <x:v>5145</x:v>
      </x:c>
      <x:c r="O14" s="10" t="str">
        <x:v>Paper &amp; Party Supplies</x:v>
      </x:c>
      <x:c r="P14" s="10" t="n">
        <x:v>40</x:v>
      </x:c>
      <x:c r="Q14" s="10" t="n">
        <x:v>42</x:v>
      </x:c>
      <x:c r="R14" s="13" t="n">
        <x:v>7.7</x:v>
      </x:c>
      <x:c r="S14" s="10" t="n">
        <x:v>167903</x:v>
      </x:c>
      <x:c r="T14" s="10" t="str">
        <x:v>debt tracker,debt payoff plan,debt snowball,debt avalanche,credit card debt,loan tracker,mortgage tracker,credit utilization,finance tracker,loan payoff,payoff tracker,debt calculator,easy debt plan</x:v>
      </x:c>
      <x:c r="U14" s="10" t="str">
        <x:v>debt tracker</x:v>
      </x:c>
      <x:c r="V14" s="10" t="str">
        <x:v>debt payoff plan</x:v>
      </x:c>
      <x:c r="W14" s="10" t="str">
        <x:v>debt snowball</x:v>
      </x:c>
      <x:c r="X14" s="10" t="str">
        <x:v>debt avalanche</x:v>
      </x:c>
      <x:c r="Y14" s="10" t="str">
        <x:v>credit card debt</x:v>
      </x:c>
      <x:c r="Z14" s="10" t="str">
        <x:v>loan tracker</x:v>
      </x:c>
      <x:c r="AA14" s="10" t="str">
        <x:v>mortgage tracker</x:v>
      </x:c>
      <x:c r="AB14" s="10" t="str">
        <x:v>credit utilization</x:v>
      </x:c>
      <x:c r="AC14" s="10" t="str">
        <x:v>finance tracker</x:v>
      </x:c>
      <x:c r="AD14" s="10" t="str">
        <x:v>loan payoff</x:v>
      </x:c>
      <x:c r="AE14" s="10" t="str">
        <x:v>payoff tracker</x:v>
      </x:c>
      <x:c r="AF14" s="10" t="str">
        <x:v>debt calculator</x:v>
      </x:c>
      <x:c r="AG14" s="10" t="str">
        <x:v>easy debt plan</x:v>
      </x:c>
      <x:c r="AH14" s="10" t="str">
        <x:v>General debt payoff</x:v>
      </x:c>
      <x:c r="AI14" s="13" t="n">
        <x:v>38</x:v>
      </x:c>
      <x:c r="AJ14" s="10" t="str">
        <x:f>IF(F14&gt;0,"Active","No est. sales")</x:f>
        <x:v>Active</x:v>
      </x:c>
    </x:row>
    <x:row r="15">
      <x:c r="A15" s="10" t="str">
        <x:v>Early Mortgage Payoff Savings Binder | House Down Payments Tracker | A6 Home Renovations Budget Planner| 5k Savings Challenge for Homeowners</x:v>
      </x:c>
      <x:c r="B15" s="10" t="str">
        <x:v>https://www.etsy.com/listing/4412451901/early-mortgage-payoff-savings-binder</x:v>
      </x:c>
      <x:c r="C15" s="10" t="str">
        <x:v>MoxyDesignsCo</x:v>
      </x:c>
      <x:c r="D15" s="10" t="str">
        <x:v>https://www.etsy.com/shop/MoxyDesignsCo</x:v>
      </x:c>
      <x:c r="E15" s="11" t="n">
        <x:v>10</x:v>
      </x:c>
      <x:c r="F15" s="10" t="n">
        <x:v>6</x:v>
      </x:c>
      <x:c r="G15" s="12" t="n">
        <x:v>60</x:v>
      </x:c>
      <x:c r="H15" s="13" t="n">
        <x:v>0</x:v>
      </x:c>
      <x:c r="I15" s="10" t="n">
        <x:v>8</x:v>
      </x:c>
      <x:c r="J15" s="10" t="n">
        <x:v>3</x:v>
      </x:c>
      <x:c r="K15" s="10" t="str">
        <x:v>8 Mo.</x:v>
      </x:c>
      <x:c r="L15" s="10" t="n">
        <x:v>18</x:v>
      </x:c>
      <x:c r="M15" s="10" t="n">
        <x:v>0</x:v>
      </x:c>
      <x:c r="N15" s="10" t="n">
        <x:v>476</x:v>
      </x:c>
      <x:c r="O15" s="10" t="str">
        <x:v>Paper &amp; Party Supplies</x:v>
      </x:c>
      <x:c r="P15" s="10" t="n">
        <x:v>36</x:v>
      </x:c>
      <x:c r="Q15" s="10" t="n">
        <x:v>25</x:v>
      </x:c>
      <x:c r="R15" s="13" t="n">
        <x:v>1.68</x:v>
      </x:c>
      <x:c r="S15" s="10" t="n">
        <x:v>3041</x:v>
      </x:c>
      <x:c r="T15" s="10" t="str">
        <x:v>budget,savings,budgeting,laminated,cash stuffing,saving challenges,mortage tracker,housepayofftracker,downpayment savings,2026savings,2026savingschallenge,a6binder,a6binderplanner</x:v>
      </x:c>
      <x:c r="U15" s="10" t="str">
        <x:v>budget</x:v>
      </x:c>
      <x:c r="V15" s="10" t="str">
        <x:v>savings</x:v>
      </x:c>
      <x:c r="W15" s="10" t="str">
        <x:v>budgeting</x:v>
      </x:c>
      <x:c r="X15" s="10" t="str">
        <x:v>laminated</x:v>
      </x:c>
      <x:c r="Y15" s="10" t="str">
        <x:v>cash stuffing</x:v>
      </x:c>
      <x:c r="Z15" s="10" t="str">
        <x:v>saving challenges</x:v>
      </x:c>
      <x:c r="AA15" s="10" t="str">
        <x:v>mortage tracker</x:v>
      </x:c>
      <x:c r="AB15" s="10" t="str">
        <x:v>housepayofftracker</x:v>
      </x:c>
      <x:c r="AC15" s="10" t="str">
        <x:v>downpayment savings</x:v>
      </x:c>
      <x:c r="AD15" s="10" t="str">
        <x:v>2026savings</x:v>
      </x:c>
      <x:c r="AE15" s="10" t="str">
        <x:v>2026savingschallenge</x:v>
      </x:c>
      <x:c r="AF15" s="10" t="str">
        <x:v>a6binder</x:v>
      </x:c>
      <x:c r="AG15" s="10" t="str">
        <x:v>a6binderplanner</x:v>
      </x:c>
      <x:c r="AH15" s="10" t="str">
        <x:v>Mortgage payoff / calculator</x:v>
      </x:c>
      <x:c r="AI15" s="13" t="n">
        <x:v>8</x:v>
      </x:c>
      <x:c r="AJ15" s="10" t="str">
        <x:f>IF(F15&gt;0,"Active","No est. sales")</x:f>
        <x:v>Active</x:v>
      </x:c>
    </x:row>
    <x:row r="16">
      <x:c r="A16" s="10" t="str">
        <x:v>Mortgage Payoff Calculator Excel Template Amortization Schedule Extra Payment Tracker Home Loan Spreadsheet Financial Planning Tool</x:v>
      </x:c>
      <x:c r="B16" s="10" t="str">
        <x:v>https://www.etsy.com/listing/4344538071/mortgage-payoff-calculator-excel</x:v>
      </x:c>
      <x:c r="C16" s="10" t="str">
        <x:v>ArdentWorkshop</x:v>
      </x:c>
      <x:c r="D16" s="10" t="str">
        <x:v>https://www.etsy.com/shop/ArdentWorkshop</x:v>
      </x:c>
      <x:c r="E16" s="11" t="n">
        <x:v>9.95</x:v>
      </x:c>
      <x:c r="F16" s="10" t="n">
        <x:v>4</x:v>
      </x:c>
      <x:c r="G16" s="12" t="n">
        <x:v>38</x:v>
      </x:c>
      <x:c r="H16" s="13" t="n">
        <x:v>100</x:v>
      </x:c>
      <x:c r="I16" s="10" t="n">
        <x:v>13</x:v>
      </x:c>
      <x:c r="J16" s="10" t="n">
        <x:v>17</x:v>
      </x:c>
      <x:c r="K16" s="10" t="str">
        <x:v>12 Mo.</x:v>
      </x:c>
      <x:c r="L16" s="10" t="n">
        <x:v>62</x:v>
      </x:c>
      <x:c r="M16" s="10" t="n">
        <x:v>1</x:v>
      </x:c>
      <x:c r="N16" s="10" t="n">
        <x:v>5362</x:v>
      </x:c>
      <x:c r="O16" s="10" t="str"/>
      <x:c r="P16" s="10" t="n">
        <x:v>18</x:v>
      </x:c>
      <x:c r="Q16" s="10" t="n">
        <x:v>99</x:v>
      </x:c>
      <x:c r="R16" s="13" t="n">
        <x:v>0.24</x:v>
      </x:c>
      <x:c r="S16" s="10" t="n">
        <x:v>1845</x:v>
      </x:c>
      <x:c r="T16" s="10" t="str">
        <x:v>mortgage payoff,mortgage pay off,loan payoff tracker,mortgage spreadsheet,mortgage calculator,debt spreadsheet,house loan payoff,real estate excel,debt payoff tracker,amortization,debt tracker,loan calculator,financial planner</x:v>
      </x:c>
      <x:c r="U16" s="10" t="str">
        <x:v>mortgage payoff</x:v>
      </x:c>
      <x:c r="V16" s="10" t="str">
        <x:v>mortgage pay off</x:v>
      </x:c>
      <x:c r="W16" s="10" t="str">
        <x:v>loan payoff tracker</x:v>
      </x:c>
      <x:c r="X16" s="10" t="str">
        <x:v>mortgage spreadsheet</x:v>
      </x:c>
      <x:c r="Y16" s="10" t="str">
        <x:v>mortgage calculator</x:v>
      </x:c>
      <x:c r="Z16" s="10" t="str">
        <x:v>debt spreadsheet</x:v>
      </x:c>
      <x:c r="AA16" s="10" t="str">
        <x:v>house loan payoff</x:v>
      </x:c>
      <x:c r="AB16" s="10" t="str">
        <x:v>real estate excel</x:v>
      </x:c>
      <x:c r="AC16" s="10" t="str">
        <x:v>debt payoff tracker</x:v>
      </x:c>
      <x:c r="AD16" s="10" t="str">
        <x:v>amortization</x:v>
      </x:c>
      <x:c r="AE16" s="10" t="str">
        <x:v>debt tracker</x:v>
      </x:c>
      <x:c r="AF16" s="10" t="str">
        <x:v>loan calculator</x:v>
      </x:c>
      <x:c r="AG16" s="10" t="str">
        <x:v>financial planner</x:v>
      </x:c>
      <x:c r="AH16" s="10" t="str">
        <x:v>Mortgage payoff / calculator</x:v>
      </x:c>
      <x:c r="AI16" s="13" t="n">
        <x:v>12</x:v>
      </x:c>
      <x:c r="AJ16" s="10" t="str">
        <x:f>IF(F16&gt;0,"Active","No est. sales")</x:f>
        <x:v>Active</x:v>
      </x:c>
    </x:row>
    <x:row r="17">
      <x:c r="A17" s="10" t="str">
        <x:v>Debt Tracker Printable Personal Ring Inserts Student Loan Debt Payoff Planner, Card Debt Journal, Debt Repayment Tracker, Digital Download</x:v>
      </x:c>
      <x:c r="B17" s="10" t="str">
        <x:v>https://www.etsy.com/listing/1426284001/debt-tracker-printable-personal-ring</x:v>
      </x:c>
      <x:c r="C17" s="10" t="str">
        <x:v>Monthlyjoy</x:v>
      </x:c>
      <x:c r="D17" s="10" t="str">
        <x:v>https://www.etsy.com/shop/Monthlyjoy</x:v>
      </x:c>
      <x:c r="E17" s="11" t="n">
        <x:v>3.4</x:v>
      </x:c>
      <x:c r="F17" s="10" t="n">
        <x:v>10</x:v>
      </x:c>
      <x:c r="G17" s="12" t="n">
        <x:v>34</x:v>
      </x:c>
      <x:c r="H17" s="13" t="n">
        <x:v>0</x:v>
      </x:c>
      <x:c r="I17" s="10" t="n">
        <x:v>57</x:v>
      </x:c>
      <x:c r="J17" s="10" t="n">
        <x:v>6</x:v>
      </x:c>
      <x:c r="K17" s="10" t="str">
        <x:v>41 Mo.</x:v>
      </x:c>
      <x:c r="L17" s="10" t="n">
        <x:v>30</x:v>
      </x:c>
      <x:c r="M17" s="10" t="n">
        <x:v>0</x:v>
      </x:c>
      <x:c r="N17" s="10" t="n">
        <x:v>951</x:v>
      </x:c>
      <x:c r="O17" s="10" t="str">
        <x:v>Paper &amp; Party Supplies</x:v>
      </x:c>
      <x:c r="P17" s="10" t="n">
        <x:v>66</x:v>
      </x:c>
      <x:c r="Q17" s="10" t="n">
        <x:v>0</x:v>
      </x:c>
      <x:c r="R17" s="13" t="n">
        <x:v>5.99</x:v>
      </x:c>
      <x:c r="S17" s="10" t="n">
        <x:v>24015</x:v>
      </x:c>
      <x:c r="T17" s="10" t="str">
        <x:v>debt tracker,debt snowball,personal planner,money management,student loan payoff,debt organizer,mortgage tracker,printable inserts,filofax personal,binder planner pdf,credit card debt log,debt planner sheet,financial planning</x:v>
      </x:c>
      <x:c r="U17" s="10" t="str">
        <x:v>debt tracker</x:v>
      </x:c>
      <x:c r="V17" s="10" t="str">
        <x:v>debt snowball</x:v>
      </x:c>
      <x:c r="W17" s="10" t="str">
        <x:v>personal planner</x:v>
      </x:c>
      <x:c r="X17" s="10" t="str">
        <x:v>money management</x:v>
      </x:c>
      <x:c r="Y17" s="10" t="str">
        <x:v>student loan payoff</x:v>
      </x:c>
      <x:c r="Z17" s="10" t="str">
        <x:v>debt organizer</x:v>
      </x:c>
      <x:c r="AA17" s="10" t="str">
        <x:v>mortgage tracker</x:v>
      </x:c>
      <x:c r="AB17" s="10" t="str">
        <x:v>printable inserts</x:v>
      </x:c>
      <x:c r="AC17" s="10" t="str">
        <x:v>filofax personal</x:v>
      </x:c>
      <x:c r="AD17" s="10" t="str">
        <x:v>binder planner pdf</x:v>
      </x:c>
      <x:c r="AE17" s="10" t="str">
        <x:v>credit card debt log</x:v>
      </x:c>
      <x:c r="AF17" s="10" t="str">
        <x:v>debt planner sheet</x:v>
      </x:c>
      <x:c r="AG17" s="10" t="str">
        <x:v>financial planning</x:v>
      </x:c>
      <x:c r="AH17" s="10" t="str">
        <x:v>General debt payoff</x:v>
      </x:c>
      <x:c r="AI17" s="13" t="n">
        <x:v>41</x:v>
      </x:c>
      <x:c r="AJ17" s="10" t="str">
        <x:f>IF(F17&gt;0,"Active","No est. sales")</x:f>
        <x:v>Active</x:v>
      </x:c>
    </x:row>
    <x:row r="18">
      <x:c r="A18" s="10" t="str">
        <x:v>Making Moves Moving Prep Moving Day Planner Stickers</x:v>
      </x:c>
      <x:c r="B18" s="10" t="str">
        <x:v>https://www.etsy.com/listing/980389621/making-moves-moving-prep-moving-day</x:v>
      </x:c>
      <x:c r="C18" s="10" t="str">
        <x:v>SparkleShineStudios</x:v>
      </x:c>
      <x:c r="D18" s="10" t="str">
        <x:v>https://www.etsy.com/shop/SparkleShineStudios</x:v>
      </x:c>
      <x:c r="E18" s="11" t="n">
        <x:v>3.95</x:v>
      </x:c>
      <x:c r="F18" s="10" t="n">
        <x:v>8</x:v>
      </x:c>
      <x:c r="G18" s="12" t="n">
        <x:v>32</x:v>
      </x:c>
      <x:c r="H18" s="13" t="n">
        <x:v>0</x:v>
      </x:c>
      <x:c r="I18" s="10" t="n">
        <x:v>311</x:v>
      </x:c>
      <x:c r="J18" s="10" t="n">
        <x:v>71</x:v>
      </x:c>
      <x:c r="K18" s="10" t="str">
        <x:v>64 Mo.</x:v>
      </x:c>
      <x:c r="L18" s="10" t="n">
        <x:v>310</x:v>
      </x:c>
      <x:c r="M18" s="10" t="n">
        <x:v>1</x:v>
      </x:c>
      <x:c r="N18" s="10" t="n">
        <x:v>5959</x:v>
      </x:c>
      <x:c r="O18" s="10" t="str">
        <x:v>Paper &amp; Party Supplies</x:v>
      </x:c>
      <x:c r="P18" s="10" t="n">
        <x:v>84</x:v>
      </x:c>
      <x:c r="Q18" s="10" t="n">
        <x:v>36</x:v>
      </x:c>
      <x:c r="R18" s="13" t="n">
        <x:v>5.22</x:v>
      </x:c>
      <x:c r="S18" s="10" t="n">
        <x:v>83820</x:v>
      </x:c>
      <x:c r="T18" s="10" t="str">
        <x:v>mortgage,renting,new house,moving day,quarantine stickers,b6 planner,printpression,ring planner,personal planner,hobonichi,happy planner,bullet journal,planner stickers</x:v>
      </x:c>
      <x:c r="U18" s="10" t="str">
        <x:v>mortgage</x:v>
      </x:c>
      <x:c r="V18" s="10" t="str">
        <x:v>renting</x:v>
      </x:c>
      <x:c r="W18" s="10" t="str">
        <x:v>new house</x:v>
      </x:c>
      <x:c r="X18" s="10" t="str">
        <x:v>moving day</x:v>
      </x:c>
      <x:c r="Y18" s="10" t="str">
        <x:v>quarantine stickers</x:v>
      </x:c>
      <x:c r="Z18" s="10" t="str">
        <x:v>b6 planner</x:v>
      </x:c>
      <x:c r="AA18" s="10" t="str">
        <x:v>printpression</x:v>
      </x:c>
      <x:c r="AB18" s="10" t="str">
        <x:v>ring planner</x:v>
      </x:c>
      <x:c r="AC18" s="10" t="str">
        <x:v>personal planner</x:v>
      </x:c>
      <x:c r="AD18" s="10" t="str">
        <x:v>hobonichi</x:v>
      </x:c>
      <x:c r="AE18" s="10" t="str">
        <x:v>happy planner</x:v>
      </x:c>
      <x:c r="AF18" s="10" t="str">
        <x:v>bullet journal</x:v>
      </x:c>
      <x:c r="AG18" s="10" t="str">
        <x:v>planner stickers</x:v>
      </x:c>
      <x:c r="AH18" s="10" t="str">
        <x:v>Other mortgage-related</x:v>
      </x:c>
      <x:c r="AI18" s="13" t="n">
        <x:v>64</x:v>
      </x:c>
      <x:c r="AJ18" s="10" t="str">
        <x:f>IF(F18&gt;0,"Active","No est. sales")</x:f>
        <x:v>Active</x:v>
      </x:c>
    </x:row>
    <x:row r="19">
      <x:c r="A19" s="10" t="str">
        <x:v>Debt Payoff Tracker Debt Snowball Avalanche Calculator for Google Sheets | Debt Free Planner Loan Tracker Credit Card Payoff Custom Chart</x:v>
      </x:c>
      <x:c r="B19" s="10" t="str">
        <x:v>https://www.etsy.com/listing/1412009999/debt-payoff-tracker-debt-snowball</x:v>
      </x:c>
      <x:c r="C19" s="10" t="str">
        <x:v>TheWeeklyCrew</x:v>
      </x:c>
      <x:c r="D19" s="10" t="str">
        <x:v>https://www.etsy.com/shop/TheWeeklyCrew</x:v>
      </x:c>
      <x:c r="E19" s="11" t="n">
        <x:v>7.36</x:v>
      </x:c>
      <x:c r="F19" s="10" t="n">
        <x:v>4</x:v>
      </x:c>
      <x:c r="G19" s="12" t="n">
        <x:v>29</x:v>
      </x:c>
      <x:c r="H19" s="13" t="n">
        <x:v>200</x:v>
      </x:c>
      <x:c r="I19" s="10" t="n">
        <x:v>8563</x:v>
      </x:c>
      <x:c r="J19" s="10" t="n">
        <x:v>707</x:v>
      </x:c>
      <x:c r="K19" s="10" t="str">
        <x:v>41 Mo.</x:v>
      </x:c>
      <x:c r="L19" s="10" t="n">
        <x:v>2124</x:v>
      </x:c>
      <x:c r="M19" s="10" t="n">
        <x:v>17</x:v>
      </x:c>
      <x:c r="N19" s="10" t="n">
        <x:v>85177</x:v>
      </x:c>
      <x:c r="O19" s="10" t="str">
        <x:v>Paper &amp; Party Supplies</x:v>
      </x:c>
      <x:c r="P19" s="10" t="n">
        <x:v>49</x:v>
      </x:c>
      <x:c r="Q19" s="10" t="n">
        <x:v>100</x:v>
      </x:c>
      <x:c r="R19" s="13" t="n">
        <x:v>10.05</x:v>
      </x:c>
      <x:c r="S19" s="10" t="n">
        <x:v>153206</x:v>
      </x:c>
      <x:c r="T19" s="10" t="str">
        <x:v>debt payment tracker,debt snowball,debt avalanche,debt payoff planner,debt calculator,loan payoff tracker,credit card debt,mortgage payoff,student loan debt,financial planner,personal finance,debt google sheets,snowball method</x:v>
      </x:c>
      <x:c r="U19" s="10" t="str">
        <x:v>debt payment tracker</x:v>
      </x:c>
      <x:c r="V19" s="10" t="str">
        <x:v>debt snowball</x:v>
      </x:c>
      <x:c r="W19" s="10" t="str">
        <x:v>debt avalanche</x:v>
      </x:c>
      <x:c r="X19" s="10" t="str">
        <x:v>debt payoff planner</x:v>
      </x:c>
      <x:c r="Y19" s="10" t="str">
        <x:v>debt calculator</x:v>
      </x:c>
      <x:c r="Z19" s="10" t="str">
        <x:v>loan payoff tracker</x:v>
      </x:c>
      <x:c r="AA19" s="10" t="str">
        <x:v>credit card debt</x:v>
      </x:c>
      <x:c r="AB19" s="10" t="str">
        <x:v>mortgage payoff</x:v>
      </x:c>
      <x:c r="AC19" s="10" t="str">
        <x:v>student loan debt</x:v>
      </x:c>
      <x:c r="AD19" s="10" t="str">
        <x:v>financial planner</x:v>
      </x:c>
      <x:c r="AE19" s="10" t="str">
        <x:v>personal finance</x:v>
      </x:c>
      <x:c r="AF19" s="10" t="str">
        <x:v>debt google sheets</x:v>
      </x:c>
      <x:c r="AG19" s="10" t="str">
        <x:v>snowball method</x:v>
      </x:c>
      <x:c r="AH19" s="10" t="str">
        <x:v>General debt payoff</x:v>
      </x:c>
      <x:c r="AI19" s="13" t="n">
        <x:v>41</x:v>
      </x:c>
      <x:c r="AJ19" s="10" t="str">
        <x:f>IF(F19&gt;0,"Active","No est. sales")</x:f>
        <x:v>Active</x:v>
      </x:c>
    </x:row>
    <x:row r="20">
      <x:c r="A20" s="10" t="str">
        <x:v>Glitter House Stickers, Envelope Seals, craft supply, 1/2-2in</x:v>
      </x:c>
      <x:c r="B20" s="10" t="str">
        <x:v>https://www.etsy.com/listing/606130651/glitter-house-stickers-envelope-seals</x:v>
      </x:c>
      <x:c r="C20" s="10" t="str">
        <x:v>PolkaDotssandMore</x:v>
      </x:c>
      <x:c r="D20" s="10" t="str">
        <x:v>https://www.etsy.com/shop/PolkaDotssandMore</x:v>
      </x:c>
      <x:c r="E20" s="11" t="n">
        <x:v>4.87</x:v>
      </x:c>
      <x:c r="F20" s="10" t="n">
        <x:v>6</x:v>
      </x:c>
      <x:c r="G20" s="12" t="n">
        <x:v>29</x:v>
      </x:c>
      <x:c r="H20" s="13" t="n">
        <x:v>0</x:v>
      </x:c>
      <x:c r="I20" s="10" t="n">
        <x:v>51</x:v>
      </x:c>
      <x:c r="J20" s="10" t="n">
        <x:v>9</x:v>
      </x:c>
      <x:c r="K20" s="10" t="str">
        <x:v>99 Mo.</x:v>
      </x:c>
      <x:c r="L20" s="10" t="n">
        <x:v>117</x:v>
      </x:c>
      <x:c r="M20" s="10" t="n">
        <x:v>0</x:v>
      </x:c>
      <x:c r="N20" s="10" t="n">
        <x:v>1610</x:v>
      </x:c>
      <x:c r="O20" s="10" t="str">
        <x:v>Paper &amp; Party Supplies</x:v>
      </x:c>
      <x:c r="P20" s="10" t="n">
        <x:v>132</x:v>
      </x:c>
      <x:c r="Q20" s="10" t="n">
        <x:v>0</x:v>
      </x:c>
      <x:c r="R20" s="13" t="n">
        <x:v>3.17</x:v>
      </x:c>
      <x:c r="S20" s="10" t="n">
        <x:v>40327</x:v>
      </x:c>
      <x:c r="T20" s="10" t="str">
        <x:v>gold envelope seal,invitation seal,housewarming party,glitter house icon,gold house stickers,planner stickers,mortgage sticker,new house sticker,house warming gift,real estate agent,first home sticker,new address we moved,realtor architect</x:v>
      </x:c>
      <x:c r="U20" s="10" t="str">
        <x:v>gold envelope seal</x:v>
      </x:c>
      <x:c r="V20" s="10" t="str">
        <x:v>invitation seal</x:v>
      </x:c>
      <x:c r="W20" s="10" t="str">
        <x:v>housewarming party</x:v>
      </x:c>
      <x:c r="X20" s="10" t="str">
        <x:v>glitter house icon</x:v>
      </x:c>
      <x:c r="Y20" s="10" t="str">
        <x:v>gold house stickers</x:v>
      </x:c>
      <x:c r="Z20" s="10" t="str">
        <x:v>planner stickers</x:v>
      </x:c>
      <x:c r="AA20" s="10" t="str">
        <x:v>mortgage sticker</x:v>
      </x:c>
      <x:c r="AB20" s="10" t="str">
        <x:v>new house sticker</x:v>
      </x:c>
      <x:c r="AC20" s="10" t="str">
        <x:v>house warming gift</x:v>
      </x:c>
      <x:c r="AD20" s="10" t="str">
        <x:v>real estate agent</x:v>
      </x:c>
      <x:c r="AE20" s="10" t="str">
        <x:v>first home sticker</x:v>
      </x:c>
      <x:c r="AF20" s="10" t="str">
        <x:v>new address we moved</x:v>
      </x:c>
      <x:c r="AG20" s="10" t="str">
        <x:v>realtor architect</x:v>
      </x:c>
      <x:c r="AH20" s="10" t="str">
        <x:v>Other mortgage-related</x:v>
      </x:c>
      <x:c r="AI20" s="13" t="n">
        <x:v>99</x:v>
      </x:c>
      <x:c r="AJ20" s="10" t="str">
        <x:f>IF(F20&gt;0,"Active","No est. sales")</x:f>
        <x:v>Active</x:v>
      </x:c>
    </x:row>
    <x:row r="21">
      <x:c r="A21" s="10" t="str">
        <x:v>Debt Snowball Spreadsheet Google Sheet Excel Debt Payoff Tracker Debt Snowball Calculator Student Loan Payoff House Debt Payoff Credit Cards</x:v>
      </x:c>
      <x:c r="B21" s="10" t="str">
        <x:v>https://www.etsy.com/listing/1448178154/debt-snowball-spreadsheet-google-sheet</x:v>
      </x:c>
      <x:c r="C21" s="10" t="str">
        <x:v>PrioriDigitalStudio</x:v>
      </x:c>
      <x:c r="D21" s="10" t="str">
        <x:v>https://www.etsy.com/shop/PrioriDigitalStudio</x:v>
      </x:c>
      <x:c r="E21" s="11" t="n">
        <x:v>6.22</x:v>
      </x:c>
      <x:c r="F21" s="10" t="n">
        <x:v>4</x:v>
      </x:c>
      <x:c r="G21" s="12" t="n">
        <x:v>25</x:v>
      </x:c>
      <x:c r="H21" s="13" t="n">
        <x:v>0</x:v>
      </x:c>
      <x:c r="I21" s="10" t="n">
        <x:v>2013</x:v>
      </x:c>
      <x:c r="J21" s="10" t="n">
        <x:v>201</x:v>
      </x:c>
      <x:c r="K21" s="10" t="str">
        <x:v>39 Mo.</x:v>
      </x:c>
      <x:c r="L21" s="10" t="n">
        <x:v>560</x:v>
      </x:c>
      <x:c r="M21" s="10" t="n">
        <x:v>5</x:v>
      </x:c>
      <x:c r="N21" s="10" t="n">
        <x:v>23522</x:v>
      </x:c>
      <x:c r="O21" s="10" t="str">
        <x:v>Paper &amp; Party Supplies</x:v>
      </x:c>
      <x:c r="P21" s="10" t="n">
        <x:v>40</x:v>
      </x:c>
      <x:c r="Q21" s="10" t="n">
        <x:v>100</x:v>
      </x:c>
      <x:c r="R21" s="13" t="n">
        <x:v>8.56</x:v>
      </x:c>
      <x:c r="S21" s="10" t="n">
        <x:v>167903</x:v>
      </x:c>
      <x:c r="T21" s="10" t="str">
        <x:v>finance planner,excel spreadsheet,debt google sheets,debt spreadsheet,debt payoff tracker,budget planner,personal finance,loan payoff,mortgage payoff,debt snowball excel,debt tracker excel,budget spreadsheet,monthly budget</x:v>
      </x:c>
      <x:c r="U21" s="10" t="str">
        <x:v>finance planner</x:v>
      </x:c>
      <x:c r="V21" s="10" t="str">
        <x:v>excel spreadsheet</x:v>
      </x:c>
      <x:c r="W21" s="10" t="str">
        <x:v>debt google sheets</x:v>
      </x:c>
      <x:c r="X21" s="10" t="str">
        <x:v>debt spreadsheet</x:v>
      </x:c>
      <x:c r="Y21" s="10" t="str">
        <x:v>debt payoff tracker</x:v>
      </x:c>
      <x:c r="Z21" s="10" t="str">
        <x:v>budget planner</x:v>
      </x:c>
      <x:c r="AA21" s="10" t="str">
        <x:v>personal finance</x:v>
      </x:c>
      <x:c r="AB21" s="10" t="str">
        <x:v>loan payoff</x:v>
      </x:c>
      <x:c r="AC21" s="10" t="str">
        <x:v>mortgage payoff</x:v>
      </x:c>
      <x:c r="AD21" s="10" t="str">
        <x:v>debt snowball excel</x:v>
      </x:c>
      <x:c r="AE21" s="10" t="str">
        <x:v>debt tracker excel</x:v>
      </x:c>
      <x:c r="AF21" s="10" t="str">
        <x:v>budget spreadsheet</x:v>
      </x:c>
      <x:c r="AG21" s="10" t="str">
        <x:v>monthly budget</x:v>
      </x:c>
      <x:c r="AH21" s="10" t="str">
        <x:v>General debt payoff</x:v>
      </x:c>
      <x:c r="AI21" s="13" t="n">
        <x:v>39</x:v>
      </x:c>
      <x:c r="AJ21" s="10" t="str">
        <x:f>IF(F21&gt;0,"Active","No est. sales")</x:f>
        <x:v>Active</x:v>
      </x:c>
    </x:row>
    <x:row r="22">
      <x:c r="A22" s="10" t="str">
        <x:v>Budget Spreadsheet | Debt Payoff Tracker for Google Sheets, Snowball Calculator, Budget Spreadsheet</x:v>
      </x:c>
      <x:c r="B22" s="10" t="str">
        <x:v>https://www.etsy.com/listing/1734431000/debt-payoff-tracker-google-sheets-debt</x:v>
      </x:c>
      <x:c r="C22" s="10" t="str">
        <x:v>PLANCONCEPT</x:v>
      </x:c>
      <x:c r="D22" s="10" t="str">
        <x:v>https://www.etsy.com/shop/PLANCONCEPT</x:v>
      </x:c>
      <x:c r="E22" s="11" t="n">
        <x:v>11.49</x:v>
      </x:c>
      <x:c r="F22" s="10" t="n">
        <x:v>3</x:v>
      </x:c>
      <x:c r="G22" s="12" t="n">
        <x:v>24</x:v>
      </x:c>
      <x:c r="H22" s="13" t="n">
        <x:v>0</x:v>
      </x:c>
      <x:c r="I22" s="10" t="n">
        <x:v>64</x:v>
      </x:c>
      <x:c r="J22" s="10" t="n">
        <x:v>4</x:v>
      </x:c>
      <x:c r="K22" s="10" t="str">
        <x:v>25 Mo.</x:v>
      </x:c>
      <x:c r="L22" s="10" t="n">
        <x:v>52</x:v>
      </x:c>
      <x:c r="M22" s="10" t="n">
        <x:v>0</x:v>
      </x:c>
      <x:c r="N22" s="10" t="n">
        <x:v>1133</x:v>
      </x:c>
      <x:c r="O22" s="10" t="str">
        <x:v>Paper &amp; Party Supplies</x:v>
      </x:c>
      <x:c r="P22" s="10" t="n">
        <x:v>52</x:v>
      </x:c>
      <x:c r="Q22" s="10" t="n">
        <x:v>25</x:v>
      </x:c>
      <x:c r="R22" s="13" t="n">
        <x:v>5.65</x:v>
      </x:c>
      <x:c r="S22" s="10" t="n">
        <x:v>70454</x:v>
      </x:c>
      <x:c r="T22" s="10" t="str">
        <x:v>budget spreadsheet,budget planner,debt payoff tracker,debt snowball,debt tracker,budget template,google sheets budget,digital budget,financial planner,budget tracker,mortgage tracker,debt calculator,expense tracker</x:v>
      </x:c>
      <x:c r="U22" s="10" t="str">
        <x:v>budget spreadsheet</x:v>
      </x:c>
      <x:c r="V22" s="10" t="str">
        <x:v>budget planner</x:v>
      </x:c>
      <x:c r="W22" s="10" t="str">
        <x:v>debt payoff tracker</x:v>
      </x:c>
      <x:c r="X22" s="10" t="str">
        <x:v>debt snowball</x:v>
      </x:c>
      <x:c r="Y22" s="10" t="str">
        <x:v>debt tracker</x:v>
      </x:c>
      <x:c r="Z22" s="10" t="str">
        <x:v>budget template</x:v>
      </x:c>
      <x:c r="AA22" s="10" t="str">
        <x:v>google sheets budget</x:v>
      </x:c>
      <x:c r="AB22" s="10" t="str">
        <x:v>digital budget</x:v>
      </x:c>
      <x:c r="AC22" s="10" t="str">
        <x:v>financial planner</x:v>
      </x:c>
      <x:c r="AD22" s="10" t="str">
        <x:v>budget tracker</x:v>
      </x:c>
      <x:c r="AE22" s="10" t="str">
        <x:v>mortgage tracker</x:v>
      </x:c>
      <x:c r="AF22" s="10" t="str">
        <x:v>debt calculator</x:v>
      </x:c>
      <x:c r="AG22" s="10" t="str">
        <x:v>expense tracker</x:v>
      </x:c>
      <x:c r="AH22" s="10" t="str">
        <x:v>General debt payoff</x:v>
      </x:c>
      <x:c r="AI22" s="13" t="n">
        <x:v>25</x:v>
      </x:c>
      <x:c r="AJ22" s="10" t="str">
        <x:f>IF(F22&gt;0,"Active","No est. sales")</x:f>
        <x:v>Active</x:v>
      </x:c>
    </x:row>
    <x:row r="23">
      <x:c r="A23" s="10" t="str">
        <x:v>Mortgage Payoff Calculator | Google Sheets Template | Early Loan Repayment | Amortization Schedule Spreadsheet</x:v>
      </x:c>
      <x:c r="B23" s="10" t="str">
        <x:v>https://www.etsy.com/listing/1819884123/mortgage-payoff-calculator-google-sheets</x:v>
      </x:c>
      <x:c r="C23" s="10" t="str">
        <x:v>TalkMoneyWithChrista</x:v>
      </x:c>
      <x:c r="D23" s="10" t="str">
        <x:v>https://www.etsy.com/shop/TalkMoneyWithChrista</x:v>
      </x:c>
      <x:c r="E23" s="11" t="n">
        <x:v>1</x:v>
      </x:c>
      <x:c r="F23" s="10" t="n">
        <x:v>22</x:v>
      </x:c>
      <x:c r="G23" s="12" t="n">
        <x:v>22</x:v>
      </x:c>
      <x:c r="H23" s="13" t="n">
        <x:v>0</x:v>
      </x:c>
      <x:c r="I23" s="10" t="n">
        <x:v>134</x:v>
      </x:c>
      <x:c r="J23" s="10" t="n">
        <x:v>6</x:v>
      </x:c>
      <x:c r="K23" s="10" t="str">
        <x:v>20 Mo.</x:v>
      </x:c>
      <x:c r="L23" s="10" t="n">
        <x:v>33</x:v>
      </x:c>
      <x:c r="M23" s="10" t="n">
        <x:v>0</x:v>
      </x:c>
      <x:c r="N23" s="10" t="n">
        <x:v>3410</x:v>
      </x:c>
      <x:c r="O23" s="10" t="str"/>
      <x:c r="P23" s="10" t="n">
        <x:v>20</x:v>
      </x:c>
      <x:c r="Q23" s="10" t="n">
        <x:v>51</x:v>
      </x:c>
      <x:c r="R23" s="13" t="n">
        <x:v>3.93</x:v>
      </x:c>
      <x:c r="S23" s="10" t="n">
        <x:v>134</x:v>
      </x:c>
      <x:c r="T23" s="10" t="str">
        <x:v>mortgage payoff,mortgage calculator,googlesheetstemplate,home loan tracker,amortizationschedule,mortgage spreadsheet,early loan payoff,debt payoff tracker,mortgage tracker,extra payment calc,financial planner,interest calculator,digital download</x:v>
      </x:c>
      <x:c r="U23" s="10" t="str">
        <x:v>mortgage payoff</x:v>
      </x:c>
      <x:c r="V23" s="10" t="str">
        <x:v>mortgage calculator</x:v>
      </x:c>
      <x:c r="W23" s="10" t="str">
        <x:v>googlesheetstemplate</x:v>
      </x:c>
      <x:c r="X23" s="10" t="str">
        <x:v>home loan tracker</x:v>
      </x:c>
      <x:c r="Y23" s="10" t="str">
        <x:v>amortizationschedule</x:v>
      </x:c>
      <x:c r="Z23" s="10" t="str">
        <x:v>mortgage spreadsheet</x:v>
      </x:c>
      <x:c r="AA23" s="10" t="str">
        <x:v>early loan payoff</x:v>
      </x:c>
      <x:c r="AB23" s="10" t="str">
        <x:v>debt payoff tracker</x:v>
      </x:c>
      <x:c r="AC23" s="10" t="str">
        <x:v>mortgage tracker</x:v>
      </x:c>
      <x:c r="AD23" s="10" t="str">
        <x:v>extra payment calc</x:v>
      </x:c>
      <x:c r="AE23" s="10" t="str">
        <x:v>financial planner</x:v>
      </x:c>
      <x:c r="AF23" s="10" t="str">
        <x:v>interest calculator</x:v>
      </x:c>
      <x:c r="AG23" s="10" t="str">
        <x:v>digital download</x:v>
      </x:c>
      <x:c r="AH23" s="10" t="str">
        <x:v>Mortgage payoff / calculator</x:v>
      </x:c>
      <x:c r="AI23" s="13" t="n">
        <x:v>20</x:v>
      </x:c>
      <x:c r="AJ23" s="10" t="str">
        <x:f>IF(F23&gt;0,"Active","No est. sales")</x:f>
        <x:v>Active</x:v>
      </x:c>
    </x:row>
    <x:row r="24">
      <x:c r="A24" s="10" t="str">
        <x:v>Mortgage Reminder Stickers (1/2&amp;quot; each), Planner Stickers, Bill and Chore Stickers for Calendars, Planners, Scrapbooks, Crafts and more</x:v>
      </x:c>
      <x:c r="B24" s="10" t="str">
        <x:v>https://www.etsy.com/listing/519569237/mortgage-reminder-stickers-12-each</x:v>
      </x:c>
      <x:c r="C24" s="10" t="str">
        <x:v>frannielambstickers</x:v>
      </x:c>
      <x:c r="D24" s="10" t="str">
        <x:v>https://www.etsy.com/shop/frannielambstickers</x:v>
      </x:c>
      <x:c r="E24" s="11" t="n">
        <x:v>3.99</x:v>
      </x:c>
      <x:c r="F24" s="10" t="n">
        <x:v>5</x:v>
      </x:c>
      <x:c r="G24" s="12" t="n">
        <x:v>20</x:v>
      </x:c>
      <x:c r="H24" s="13" t="n">
        <x:v>-100</x:v>
      </x:c>
      <x:c r="I24" s="10" t="n">
        <x:v>462</x:v>
      </x:c>
      <x:c r="J24" s="10" t="n">
        <x:v>94</x:v>
      </x:c>
      <x:c r="K24" s="10" t="str">
        <x:v>112 Mo.</x:v>
      </x:c>
      <x:c r="L24" s="10" t="n">
        <x:v>488</x:v>
      </x:c>
      <x:c r="M24" s="10" t="n">
        <x:v>1</x:v>
      </x:c>
      <x:c r="N24" s="10" t="n">
        <x:v>4001</x:v>
      </x:c>
      <x:c r="O24" s="10" t="str">
        <x:v>Paper &amp; Party Supplies</x:v>
      </x:c>
      <x:c r="P24" s="10" t="n">
        <x:v>112</x:v>
      </x:c>
      <x:c r="Q24" s="10" t="n">
        <x:v>0</x:v>
      </x:c>
      <x:c r="R24" s="13" t="n">
        <x:v>11.55</x:v>
      </x:c>
      <x:c r="S24" s="10" t="n">
        <x:v>166558</x:v>
      </x:c>
      <x:c r="T24" s="10" t="str">
        <x:v>planner stickers,stickers,kawaii stickers,cute stickers,reminder stickers,mortgage due sticker,mortgage stickers,bill due stickers,icon stickers,bill stickers,chore stickers,craft stickers</x:v>
      </x:c>
      <x:c r="U24" s="10" t="str">
        <x:v>planner stickers</x:v>
      </x:c>
      <x:c r="V24" s="10" t="str">
        <x:v>stickers</x:v>
      </x:c>
      <x:c r="W24" s="10" t="str">
        <x:v>kawaii stickers</x:v>
      </x:c>
      <x:c r="X24" s="10" t="str">
        <x:v>cute stickers</x:v>
      </x:c>
      <x:c r="Y24" s="10" t="str">
        <x:v>reminder stickers</x:v>
      </x:c>
      <x:c r="Z24" s="10" t="str">
        <x:v>mortgage due sticker</x:v>
      </x:c>
      <x:c r="AA24" s="10" t="str">
        <x:v>mortgage stickers</x:v>
      </x:c>
      <x:c r="AB24" s="10" t="str">
        <x:v>bill due stickers</x:v>
      </x:c>
      <x:c r="AC24" s="10" t="str">
        <x:v>icon stickers</x:v>
      </x:c>
      <x:c r="AD24" s="10" t="str">
        <x:v>bill stickers</x:v>
      </x:c>
      <x:c r="AE24" s="10" t="str">
        <x:v>chore stickers</x:v>
      </x:c>
      <x:c r="AF24" s="10" t="str">
        <x:v>craft stickers</x:v>
      </x:c>
      <x:c r="AG24" s="10" t="str">
        <x:v>--</x:v>
      </x:c>
      <x:c r="AH24" s="10" t="str">
        <x:v>Other mortgage-related</x:v>
      </x:c>
      <x:c r="AI24" s="13" t="n">
        <x:v>112</x:v>
      </x:c>
      <x:c r="AJ24" s="10" t="str">
        <x:f>IF(F24&gt;0,"Active","No est. sales")</x:f>
        <x:v>Active</x:v>
      </x:c>
    </x:row>
    <x:row r="25">
      <x:c r="A25" s="10" t="str">
        <x:v>2007-8~~Monthly Sub Due Dots Planner Stickers.</x:v>
      </x:c>
      <x:c r="B25" s="10" t="str">
        <x:v>https://www.etsy.com/listing/1158469579/2007-8monthly-sub-due-dots-planner</x:v>
      </x:c>
      <x:c r="C25" s="10" t="str">
        <x:v>PlanToPlan</x:v>
      </x:c>
      <x:c r="D25" s="10" t="str">
        <x:v>https://www.etsy.com/shop/PlanToPlan</x:v>
      </x:c>
      <x:c r="E25" s="11" t="n">
        <x:v>3.25</x:v>
      </x:c>
      <x:c r="F25" s="10" t="n">
        <x:v>5</x:v>
      </x:c>
      <x:c r="G25" s="12" t="n">
        <x:v>16</x:v>
      </x:c>
      <x:c r="H25" s="13" t="n">
        <x:v>0</x:v>
      </x:c>
      <x:c r="I25" s="10" t="n">
        <x:v>47</x:v>
      </x:c>
      <x:c r="J25" s="10" t="n">
        <x:v>9</x:v>
      </x:c>
      <x:c r="K25" s="10" t="str">
        <x:v>54 Mo.</x:v>
      </x:c>
      <x:c r="L25" s="10" t="n">
        <x:v>39</x:v>
      </x:c>
      <x:c r="M25" s="10" t="n">
        <x:v>0</x:v>
      </x:c>
      <x:c r="N25" s="10" t="n">
        <x:v>381</x:v>
      </x:c>
      <x:c r="O25" s="10" t="str">
        <x:v>Paper &amp; Party Supplies</x:v>
      </x:c>
      <x:c r="P25" s="10" t="n">
        <x:v>126</x:v>
      </x:c>
      <x:c r="Q25" s="10" t="n">
        <x:v>0</x:v>
      </x:c>
      <x:c r="R25" s="13" t="n">
        <x:v>12.34</x:v>
      </x:c>
      <x:c r="S25" s="10" t="n">
        <x:v>319985</x:v>
      </x:c>
      <x:c r="T25" s="10" t="str">
        <x:v>planner stickers,reminder stickers,appointment stickers,tracker stickers,functional stickers,plantoplan,bill due stickers,cellphone stickers,mortgage stickers,college stickers,student loan sticker,monthly sub sticker,erin condren</x:v>
      </x:c>
      <x:c r="U25" s="10" t="str">
        <x:v>planner stickers</x:v>
      </x:c>
      <x:c r="V25" s="10" t="str">
        <x:v>reminder stickers</x:v>
      </x:c>
      <x:c r="W25" s="10" t="str">
        <x:v>appointment stickers</x:v>
      </x:c>
      <x:c r="X25" s="10" t="str">
        <x:v>tracker stickers</x:v>
      </x:c>
      <x:c r="Y25" s="10" t="str">
        <x:v>functional stickers</x:v>
      </x:c>
      <x:c r="Z25" s="10" t="str">
        <x:v>plantoplan</x:v>
      </x:c>
      <x:c r="AA25" s="10" t="str">
        <x:v>bill due stickers</x:v>
      </x:c>
      <x:c r="AB25" s="10" t="str">
        <x:v>cellphone stickers</x:v>
      </x:c>
      <x:c r="AC25" s="10" t="str">
        <x:v>mortgage stickers</x:v>
      </x:c>
      <x:c r="AD25" s="10" t="str">
        <x:v>college stickers</x:v>
      </x:c>
      <x:c r="AE25" s="10" t="str">
        <x:v>student loan sticker</x:v>
      </x:c>
      <x:c r="AF25" s="10" t="str">
        <x:v>monthly sub sticker</x:v>
      </x:c>
      <x:c r="AG25" s="10" t="str">
        <x:v>erin condren</x:v>
      </x:c>
      <x:c r="AH25" s="10" t="str">
        <x:v>Other mortgage-related</x:v>
      </x:c>
      <x:c r="AI25" s="13" t="n">
        <x:v>54</x:v>
      </x:c>
      <x:c r="AJ25" s="10" t="str">
        <x:f>IF(F25&gt;0,"Active","No est. sales")</x:f>
        <x:v>Active</x:v>
      </x:c>
    </x:row>
    <x:row r="26">
      <x:c r="A26" s="10" t="str">
        <x:v>1326-1~~Mortgage Due Boxes Planner Stickers.</x:v>
      </x:c>
      <x:c r="B26" s="10" t="str">
        <x:v>https://www.etsy.com/listing/1504526803/1326-1mortgage-due-boxes-planner</x:v>
      </x:c>
      <x:c r="C26" s="10" t="str">
        <x:v>PlanToPlan</x:v>
      </x:c>
      <x:c r="D26" s="10" t="str">
        <x:v>https://www.etsy.com/shop/PlanToPlan</x:v>
      </x:c>
      <x:c r="E26" s="11" t="n">
        <x:v>3.25</x:v>
      </x:c>
      <x:c r="F26" s="10" t="n">
        <x:v>5</x:v>
      </x:c>
      <x:c r="G26" s="12" t="n">
        <x:v>16</x:v>
      </x:c>
      <x:c r="H26" s="13" t="n">
        <x:v>0</x:v>
      </x:c>
      <x:c r="I26" s="10" t="n">
        <x:v>31</x:v>
      </x:c>
      <x:c r="J26" s="10" t="n">
        <x:v>6</x:v>
      </x:c>
      <x:c r="K26" s="10" t="str">
        <x:v>37 Mo.</x:v>
      </x:c>
      <x:c r="L26" s="10" t="n">
        <x:v>30</x:v>
      </x:c>
      <x:c r="M26" s="10" t="n">
        <x:v>0</x:v>
      </x:c>
      <x:c r="N26" s="10" t="n">
        <x:v>237</x:v>
      </x:c>
      <x:c r="O26" s="10" t="str">
        <x:v>Paper &amp; Party Supplies</x:v>
      </x:c>
      <x:c r="P26" s="10" t="n">
        <x:v>126</x:v>
      </x:c>
      <x:c r="Q26" s="10" t="n">
        <x:v>0</x:v>
      </x:c>
      <x:c r="R26" s="13" t="n">
        <x:v>13.08</x:v>
      </x:c>
      <x:c r="S26" s="10" t="n">
        <x:v>319985</x:v>
      </x:c>
      <x:c r="T26" s="10" t="str">
        <x:v>planner stickers,reminder stickers,appointment stickers,tracker stickers,functional stickers,plantoplan,bill due stickers,quarter boxes,to do stickers,mortgage stickers,rent due stickers,erin condren,hobonichi stickers</x:v>
      </x:c>
      <x:c r="U26" s="10" t="str">
        <x:v>planner stickers</x:v>
      </x:c>
      <x:c r="V26" s="10" t="str">
        <x:v>reminder stickers</x:v>
      </x:c>
      <x:c r="W26" s="10" t="str">
        <x:v>appointment stickers</x:v>
      </x:c>
      <x:c r="X26" s="10" t="str">
        <x:v>tracker stickers</x:v>
      </x:c>
      <x:c r="Y26" s="10" t="str">
        <x:v>functional stickers</x:v>
      </x:c>
      <x:c r="Z26" s="10" t="str">
        <x:v>plantoplan</x:v>
      </x:c>
      <x:c r="AA26" s="10" t="str">
        <x:v>bill due stickers</x:v>
      </x:c>
      <x:c r="AB26" s="10" t="str">
        <x:v>quarter boxes</x:v>
      </x:c>
      <x:c r="AC26" s="10" t="str">
        <x:v>to do stickers</x:v>
      </x:c>
      <x:c r="AD26" s="10" t="str">
        <x:v>mortgage stickers</x:v>
      </x:c>
      <x:c r="AE26" s="10" t="str">
        <x:v>rent due stickers</x:v>
      </x:c>
      <x:c r="AF26" s="10" t="str">
        <x:v>erin condren</x:v>
      </x:c>
      <x:c r="AG26" s="10" t="str">
        <x:v>hobonichi stickers</x:v>
      </x:c>
      <x:c r="AH26" s="10" t="str">
        <x:v>Other mortgage-related</x:v>
      </x:c>
      <x:c r="AI26" s="13" t="n">
        <x:v>37</x:v>
      </x:c>
      <x:c r="AJ26" s="10" t="str">
        <x:f>IF(F26&gt;0,"Active","No est. sales")</x:f>
        <x:v>Active</x:v>
      </x:c>
    </x:row>
    <x:row r="27">
      <x:c r="A27" s="10" t="str">
        <x:v>1326-12~~Trash Bill Due Boxes Planner Stickers.</x:v>
      </x:c>
      <x:c r="B27" s="10" t="str">
        <x:v>https://www.etsy.com/listing/1490349088/1326-12trash-bill-due-boxes-planner</x:v>
      </x:c>
      <x:c r="C27" s="10" t="str">
        <x:v>PlanToPlan</x:v>
      </x:c>
      <x:c r="D27" s="10" t="str">
        <x:v>https://www.etsy.com/shop/PlanToPlan</x:v>
      </x:c>
      <x:c r="E27" s="11" t="n">
        <x:v>3.25</x:v>
      </x:c>
      <x:c r="F27" s="10" t="n">
        <x:v>5</x:v>
      </x:c>
      <x:c r="G27" s="12" t="n">
        <x:v>16</x:v>
      </x:c>
      <x:c r="H27" s="13" t="n">
        <x:v>0</x:v>
      </x:c>
      <x:c r="I27" s="10" t="n">
        <x:v>26</x:v>
      </x:c>
      <x:c r="J27" s="10" t="n">
        <x:v>5</x:v>
      </x:c>
      <x:c r="K27" s="10" t="str">
        <x:v>37 Mo.</x:v>
      </x:c>
      <x:c r="L27" s="10" t="n">
        <x:v>28</x:v>
      </x:c>
      <x:c r="M27" s="10" t="n">
        <x:v>0</x:v>
      </x:c>
      <x:c r="N27" s="10" t="n">
        <x:v>106</x:v>
      </x:c>
      <x:c r="O27" s="10" t="str">
        <x:v>Paper &amp; Party Supplies</x:v>
      </x:c>
      <x:c r="P27" s="10" t="n">
        <x:v>126</x:v>
      </x:c>
      <x:c r="Q27" s="10" t="n">
        <x:v>0</x:v>
      </x:c>
      <x:c r="R27" s="13" t="n">
        <x:v>24.53</x:v>
      </x:c>
      <x:c r="S27" s="10" t="n">
        <x:v>319985</x:v>
      </x:c>
      <x:c r="T27" s="10" t="str">
        <x:v>planner stickers,reminder stickers,appointment stickers,tracker stickers,functional stickers,plantoplan,bill due stickers,quarter boxes,to do stickers,mortgage stickers,rent due stickers,trash due stickers,trash bill stickers</x:v>
      </x:c>
      <x:c r="U27" s="10" t="str">
        <x:v>planner stickers</x:v>
      </x:c>
      <x:c r="V27" s="10" t="str">
        <x:v>reminder stickers</x:v>
      </x:c>
      <x:c r="W27" s="10" t="str">
        <x:v>appointment stickers</x:v>
      </x:c>
      <x:c r="X27" s="10" t="str">
        <x:v>tracker stickers</x:v>
      </x:c>
      <x:c r="Y27" s="10" t="str">
        <x:v>functional stickers</x:v>
      </x:c>
      <x:c r="Z27" s="10" t="str">
        <x:v>plantoplan</x:v>
      </x:c>
      <x:c r="AA27" s="10" t="str">
        <x:v>bill due stickers</x:v>
      </x:c>
      <x:c r="AB27" s="10" t="str">
        <x:v>quarter boxes</x:v>
      </x:c>
      <x:c r="AC27" s="10" t="str">
        <x:v>to do stickers</x:v>
      </x:c>
      <x:c r="AD27" s="10" t="str">
        <x:v>mortgage stickers</x:v>
      </x:c>
      <x:c r="AE27" s="10" t="str">
        <x:v>rent due stickers</x:v>
      </x:c>
      <x:c r="AF27" s="10" t="str">
        <x:v>trash due stickers</x:v>
      </x:c>
      <x:c r="AG27" s="10" t="str">
        <x:v>trash bill stickers</x:v>
      </x:c>
      <x:c r="AH27" s="10" t="str">
        <x:v>Other mortgage-related</x:v>
      </x:c>
      <x:c r="AI27" s="13" t="n">
        <x:v>37</x:v>
      </x:c>
      <x:c r="AJ27" s="10" t="str">
        <x:f>IF(F27&gt;0,"Active","No est. sales")</x:f>
        <x:v>Active</x:v>
      </x:c>
    </x:row>
    <x:row r="28">
      <x:c r="A28" s="10" t="str">
        <x:v>Debt Snowball Spreadsheet | Debt Payoff Calculator | Google Sheets Debt Tracker | Financial Planner | Debt Payment | Dave Ramsey | Debt Free</x:v>
      </x:c>
      <x:c r="B28" s="10" t="str">
        <x:v>https://www.etsy.com/listing/1207384729/debt-snowball-spreadsheet-debt-payoff</x:v>
      </x:c>
      <x:c r="C28" s="10" t="str">
        <x:v>PLANCONCEPT</x:v>
      </x:c>
      <x:c r="D28" s="10" t="str">
        <x:v>https://www.etsy.com/shop/PLANCONCEPT</x:v>
      </x:c>
      <x:c r="E28" s="11" t="n">
        <x:v>8.05</x:v>
      </x:c>
      <x:c r="F28" s="10" t="n">
        <x:v>2</x:v>
      </x:c>
      <x:c r="G28" s="12" t="n">
        <x:v>16</x:v>
      </x:c>
      <x:c r="H28" s="13" t="n">
        <x:v>0</x:v>
      </x:c>
      <x:c r="I28" s="10" t="n">
        <x:v>450</x:v>
      </x:c>
      <x:c r="J28" s="10" t="n">
        <x:v>55</x:v>
      </x:c>
      <x:c r="K28" s="10" t="str">
        <x:v>51 Mo.</x:v>
      </x:c>
      <x:c r="L28" s="10" t="n">
        <x:v>198</x:v>
      </x:c>
      <x:c r="M28" s="10" t="n">
        <x:v>1</x:v>
      </x:c>
      <x:c r="N28" s="10" t="n">
        <x:v>6172</x:v>
      </x:c>
      <x:c r="O28" s="10" t="str">
        <x:v>Paper &amp; Party Supplies</x:v>
      </x:c>
      <x:c r="P28" s="10" t="n">
        <x:v>52</x:v>
      </x:c>
      <x:c r="Q28" s="10" t="n">
        <x:v>42</x:v>
      </x:c>
      <x:c r="R28" s="13" t="n">
        <x:v>7.29</x:v>
      </x:c>
      <x:c r="S28" s="10" t="n">
        <x:v>70454</x:v>
      </x:c>
      <x:c r="T28" s="10" t="str">
        <x:v>budget spreadsheet,budget template,spreadsheet template,beige template,debt snowball,dave ramsey,debt tracker,google sheets,budget tracker,mortgage tracker,debt calculator,finance planner,debt payoff</x:v>
      </x:c>
      <x:c r="U28" s="10" t="str">
        <x:v>budget spreadsheet</x:v>
      </x:c>
      <x:c r="V28" s="10" t="str">
        <x:v>budget template</x:v>
      </x:c>
      <x:c r="W28" s="10" t="str">
        <x:v>spreadsheet template</x:v>
      </x:c>
      <x:c r="X28" s="10" t="str">
        <x:v>beige template</x:v>
      </x:c>
      <x:c r="Y28" s="10" t="str">
        <x:v>debt snowball</x:v>
      </x:c>
      <x:c r="Z28" s="10" t="str">
        <x:v>dave ramsey</x:v>
      </x:c>
      <x:c r="AA28" s="10" t="str">
        <x:v>debt tracker</x:v>
      </x:c>
      <x:c r="AB28" s="10" t="str">
        <x:v>google sheets</x:v>
      </x:c>
      <x:c r="AC28" s="10" t="str">
        <x:v>budget tracker</x:v>
      </x:c>
      <x:c r="AD28" s="10" t="str">
        <x:v>mortgage tracker</x:v>
      </x:c>
      <x:c r="AE28" s="10" t="str">
        <x:v>debt calculator</x:v>
      </x:c>
      <x:c r="AF28" s="10" t="str">
        <x:v>finance planner</x:v>
      </x:c>
      <x:c r="AG28" s="10" t="str">
        <x:v>debt payoff</x:v>
      </x:c>
      <x:c r="AH28" s="10" t="str">
        <x:v>General debt payoff</x:v>
      </x:c>
      <x:c r="AI28" s="13" t="n">
        <x:v>51</x:v>
      </x:c>
      <x:c r="AJ28" s="10" t="str">
        <x:f>IF(F28&gt;0,"Active","No est. sales")</x:f>
        <x:v>Active</x:v>
      </x:c>
    </x:row>
    <x:row r="29">
      <x:c r="A29" s="10" t="str">
        <x:v>Mortgage Calculator - Real Estate Planning and Amortization</x:v>
      </x:c>
      <x:c r="B29" s="10" t="str">
        <x:v>https://www.etsy.com/listing/1793508826/mortgage-calculator-template-real-estate</x:v>
      </x:c>
      <x:c r="C29" s="10" t="str">
        <x:v>WealthMavenTemplates</x:v>
      </x:c>
      <x:c r="D29" s="10" t="str">
        <x:v>https://www.etsy.com/shop/WealthMavenTemplates</x:v>
      </x:c>
      <x:c r="E29" s="11" t="n">
        <x:v>8</x:v>
      </x:c>
      <x:c r="F29" s="10" t="n">
        <x:v>2</x:v>
      </x:c>
      <x:c r="G29" s="12" t="n">
        <x:v>16</x:v>
      </x:c>
      <x:c r="H29" s="13" t="n">
        <x:v>-100</x:v>
      </x:c>
      <x:c r="I29" s="10" t="n">
        <x:v>357</x:v>
      </x:c>
      <x:c r="J29" s="10" t="n">
        <x:v>28</x:v>
      </x:c>
      <x:c r="K29" s="10" t="str">
        <x:v>21 Mo.</x:v>
      </x:c>
      <x:c r="L29" s="10" t="n">
        <x:v>294</x:v>
      </x:c>
      <x:c r="M29" s="10" t="n">
        <x:v>1</x:v>
      </x:c>
      <x:c r="N29" s="10" t="n">
        <x:v>12326</x:v>
      </x:c>
      <x:c r="O29" s="10" t="str"/>
      <x:c r="P29" s="10" t="n">
        <x:v>44</x:v>
      </x:c>
      <x:c r="Q29" s="10" t="n">
        <x:v>100</x:v>
      </x:c>
      <x:c r="R29" s="13" t="n">
        <x:v>2.9</x:v>
      </x:c>
      <x:c r="S29" s="10" t="n">
        <x:v>4910</x:v>
      </x:c>
      <x:c r="T29" s="10" t="str">
        <x:v>mortgage calculator,real estate,amortization,loan tracker,debt schedule,property planning,home buying,google sheets,finance planner,digital download,wealth maven,investment tool,house budget</x:v>
      </x:c>
      <x:c r="U29" s="10" t="str">
        <x:v>mortgage calculator</x:v>
      </x:c>
      <x:c r="V29" s="10" t="str">
        <x:v>real estate</x:v>
      </x:c>
      <x:c r="W29" s="10" t="str">
        <x:v>amortization</x:v>
      </x:c>
      <x:c r="X29" s="10" t="str">
        <x:v>loan tracker</x:v>
      </x:c>
      <x:c r="Y29" s="10" t="str">
        <x:v>debt schedule</x:v>
      </x:c>
      <x:c r="Z29" s="10" t="str">
        <x:v>property planning</x:v>
      </x:c>
      <x:c r="AA29" s="10" t="str">
        <x:v>home buying</x:v>
      </x:c>
      <x:c r="AB29" s="10" t="str">
        <x:v>google sheets</x:v>
      </x:c>
      <x:c r="AC29" s="10" t="str">
        <x:v>finance planner</x:v>
      </x:c>
      <x:c r="AD29" s="10" t="str">
        <x:v>digital download</x:v>
      </x:c>
      <x:c r="AE29" s="10" t="str">
        <x:v>wealth maven</x:v>
      </x:c>
      <x:c r="AF29" s="10" t="str">
        <x:v>investment tool</x:v>
      </x:c>
      <x:c r="AG29" s="10" t="str">
        <x:v>house budget</x:v>
      </x:c>
      <x:c r="AH29" s="10" t="str">
        <x:v>Mortgage payoff / calculator</x:v>
      </x:c>
      <x:c r="AI29" s="13" t="n">
        <x:v>21</x:v>
      </x:c>
      <x:c r="AJ29" s="10" t="str">
        <x:f>IF(F29&gt;0,"Active","No est. sales")</x:f>
        <x:v>Active</x:v>
      </x:c>
    </x:row>
    <x:row r="30">
      <x:c r="A30" s="10" t="str">
        <x:v>Debt Payoff Tracker Google Sheets Debt Snowball Avalanche Calculator Spreadsheet Credit Card Loan Mortgage Payoff Debt Free Planner</x:v>
      </x:c>
      <x:c r="B30" s="10" t="str">
        <x:v>https://www.etsy.com/listing/4356961897/debt-payoff-tracker-google-sheets-debt</x:v>
      </x:c>
      <x:c r="C30" s="10" t="str">
        <x:v>ByTwoSistersAndCo</x:v>
      </x:c>
      <x:c r="D30" s="10" t="str">
        <x:v>https://www.etsy.com/shop/ByTwoSistersAndCo</x:v>
      </x:c>
      <x:c r="E30" s="11" t="n">
        <x:v>3.98</x:v>
      </x:c>
      <x:c r="F30" s="10" t="n">
        <x:v>4</x:v>
      </x:c>
      <x:c r="G30" s="12" t="n">
        <x:v>16</x:v>
      </x:c>
      <x:c r="H30" s="13" t="n">
        <x:v>0</x:v>
      </x:c>
      <x:c r="I30" s="10" t="n">
        <x:v>19</x:v>
      </x:c>
      <x:c r="J30" s="10" t="n">
        <x:v>1</x:v>
      </x:c>
      <x:c r="K30" s="10" t="str">
        <x:v>11 Mo.</x:v>
      </x:c>
      <x:c r="L30" s="10" t="n">
        <x:v>4</x:v>
      </x:c>
      <x:c r="M30" s="10" t="n">
        <x:v>0</x:v>
      </x:c>
      <x:c r="N30" s="10" t="n">
        <x:v>216</x:v>
      </x:c>
      <x:c r="O30" s="10" t="str">
        <x:v>Paper &amp; Party Supplies</x:v>
      </x:c>
      <x:c r="P30" s="10" t="n">
        <x:v>12</x:v>
      </x:c>
      <x:c r="Q30" s="10" t="n">
        <x:v>0</x:v>
      </x:c>
      <x:c r="R30" s="13" t="n">
        <x:v>8.8</x:v>
      </x:c>
      <x:c r="S30" s="10" t="n">
        <x:v>62</x:v>
      </x:c>
      <x:c r="T30" s="10" t="str">
        <x:v>debt google sheets,debt spreadsheet,snowball calculator,debt avalanche,mortgage payoff,debt payoff tracker,financial planner,budget planner,credit card debt,snowball method,loan payoff tracker,credit utilization,subscription tracker</x:v>
      </x:c>
      <x:c r="U30" s="10" t="str">
        <x:v>debt google sheets</x:v>
      </x:c>
      <x:c r="V30" s="10" t="str">
        <x:v>debt spreadsheet</x:v>
      </x:c>
      <x:c r="W30" s="10" t="str">
        <x:v>snowball calculator</x:v>
      </x:c>
      <x:c r="X30" s="10" t="str">
        <x:v>debt avalanche</x:v>
      </x:c>
      <x:c r="Y30" s="10" t="str">
        <x:v>mortgage payoff</x:v>
      </x:c>
      <x:c r="Z30" s="10" t="str">
        <x:v>debt payoff tracker</x:v>
      </x:c>
      <x:c r="AA30" s="10" t="str">
        <x:v>financial planner</x:v>
      </x:c>
      <x:c r="AB30" s="10" t="str">
        <x:v>budget planner</x:v>
      </x:c>
      <x:c r="AC30" s="10" t="str">
        <x:v>credit card debt</x:v>
      </x:c>
      <x:c r="AD30" s="10" t="str">
        <x:v>snowball method</x:v>
      </x:c>
      <x:c r="AE30" s="10" t="str">
        <x:v>loan payoff tracker</x:v>
      </x:c>
      <x:c r="AF30" s="10" t="str">
        <x:v>credit utilization</x:v>
      </x:c>
      <x:c r="AG30" s="10" t="str">
        <x:v>subscription tracker</x:v>
      </x:c>
      <x:c r="AH30" s="10" t="str">
        <x:v>General debt payoff</x:v>
      </x:c>
      <x:c r="AI30" s="13" t="n">
        <x:v>11</x:v>
      </x:c>
      <x:c r="AJ30" s="10" t="str">
        <x:f>IF(F30&gt;0,"Active","No est. sales")</x:f>
        <x:v>Active</x:v>
      </x:c>
    </x:row>
    <x:row r="31">
      <x:c r="A31" s="10" t="str">
        <x:v>Mortgage Due Script Planner Stickers  (Budget Tracking and Monthly Finance Stickers)</x:v>
      </x:c>
      <x:c r="B31" s="10" t="str">
        <x:v>https://www.etsy.com/listing/904500693/mortgage-due-script-planner-stickers</x:v>
      </x:c>
      <x:c r="C31" s="10" t="str">
        <x:v>SparkleShineStudios</x:v>
      </x:c>
      <x:c r="D31" s="10" t="str">
        <x:v>https://www.etsy.com/shop/SparkleShineStudios</x:v>
      </x:c>
      <x:c r="E31" s="11" t="n">
        <x:v>3.95</x:v>
      </x:c>
      <x:c r="F31" s="10" t="n">
        <x:v>4</x:v>
      </x:c>
      <x:c r="G31" s="12" t="n">
        <x:v>16</x:v>
      </x:c>
      <x:c r="H31" s="13" t="n">
        <x:v>0</x:v>
      </x:c>
      <x:c r="I31" s="10" t="n">
        <x:v>48</x:v>
      </x:c>
      <x:c r="J31" s="10" t="n">
        <x:v>11</x:v>
      </x:c>
      <x:c r="K31" s="10" t="str">
        <x:v>68 Mo.</x:v>
      </x:c>
      <x:c r="L31" s="10" t="n">
        <x:v>66</x:v>
      </x:c>
      <x:c r="M31" s="10" t="n">
        <x:v>0</x:v>
      </x:c>
      <x:c r="N31" s="10" t="n">
        <x:v>950</x:v>
      </x:c>
      <x:c r="O31" s="10" t="str">
        <x:v>Paper &amp; Party Supplies</x:v>
      </x:c>
      <x:c r="P31" s="10" t="n">
        <x:v>84</x:v>
      </x:c>
      <x:c r="Q31" s="10" t="n">
        <x:v>0</x:v>
      </x:c>
      <x:c r="R31" s="13" t="n">
        <x:v>5.05</x:v>
      </x:c>
      <x:c r="S31" s="10" t="n">
        <x:v>83820</x:v>
      </x:c>
      <x:c r="T31" s="10" t="str">
        <x:v>mortgage due,household bills,pay bill,stalogy,b6,happy planner,bullet journal,bible journaling,hobonichi weeks,budgeting,finances,bill due,planner stickers</x:v>
      </x:c>
      <x:c r="U31" s="10" t="str">
        <x:v>mortgage due</x:v>
      </x:c>
      <x:c r="V31" s="10" t="str">
        <x:v>household bills</x:v>
      </x:c>
      <x:c r="W31" s="10" t="str">
        <x:v>pay bill</x:v>
      </x:c>
      <x:c r="X31" s="10" t="str">
        <x:v>stalogy</x:v>
      </x:c>
      <x:c r="Y31" s="10" t="str">
        <x:v>b6</x:v>
      </x:c>
      <x:c r="Z31" s="10" t="str">
        <x:v>happy planner</x:v>
      </x:c>
      <x:c r="AA31" s="10" t="str">
        <x:v>bullet journal</x:v>
      </x:c>
      <x:c r="AB31" s="10" t="str">
        <x:v>bible journaling</x:v>
      </x:c>
      <x:c r="AC31" s="10" t="str">
        <x:v>hobonichi weeks</x:v>
      </x:c>
      <x:c r="AD31" s="10" t="str">
        <x:v>budgeting</x:v>
      </x:c>
      <x:c r="AE31" s="10" t="str">
        <x:v>finances</x:v>
      </x:c>
      <x:c r="AF31" s="10" t="str">
        <x:v>bill due</x:v>
      </x:c>
      <x:c r="AG31" s="10" t="str">
        <x:v>planner stickers</x:v>
      </x:c>
      <x:c r="AH31" s="10" t="str">
        <x:v>Other mortgage-related</x:v>
      </x:c>
      <x:c r="AI31" s="13" t="n">
        <x:v>68</x:v>
      </x:c>
      <x:c r="AJ31" s="10" t="str">
        <x:f>IF(F31&gt;0,"Active","No est. sales")</x:f>
        <x:v>Active</x:v>
      </x:c>
    </x:row>
    <x:row r="32">
      <x:c r="A32" s="10" t="str">
        <x:v>House Savings Pay Bill Due Stickers | Piggy Bank Finance Budget Mortage Rent Hand Drawn for Bullet Journals, Planner, Traveler&amp;#39;s Notebooks</x:v>
      </x:c>
      <x:c r="B32" s="10" t="str">
        <x:v>https://www.etsy.com/listing/1207361111/house-savings-pay-bill-due-stickers</x:v>
      </x:c>
      <x:c r="C32" s="10" t="str">
        <x:v>3YearsApart</x:v>
      </x:c>
      <x:c r="D32" s="10" t="str">
        <x:v>https://www.etsy.com/shop/3YearsApart</x:v>
      </x:c>
      <x:c r="E32" s="11" t="n">
        <x:v>3</x:v>
      </x:c>
      <x:c r="F32" s="10" t="n">
        <x:v>5</x:v>
      </x:c>
      <x:c r="G32" s="12" t="n">
        <x:v>15</x:v>
      </x:c>
      <x:c r="H32" s="13" t="n">
        <x:v>0</x:v>
      </x:c>
      <x:c r="I32" s="10" t="n">
        <x:v>4</x:v>
      </x:c>
      <x:c r="J32" s="10" t="n">
        <x:v>1</x:v>
      </x:c>
      <x:c r="K32" s="10" t="str">
        <x:v>51 Mo.</x:v>
      </x:c>
      <x:c r="L32" s="10" t="n">
        <x:v>2</x:v>
      </x:c>
      <x:c r="M32" s="10" t="n">
        <x:v>0</x:v>
      </x:c>
      <x:c r="N32" s="10" t="n">
        <x:v>32</x:v>
      </x:c>
      <x:c r="O32" s="10" t="str">
        <x:v>Paper &amp; Party Supplies</x:v>
      </x:c>
      <x:c r="P32" s="10" t="n">
        <x:v>103</x:v>
      </x:c>
      <x:c r="Q32" s="10" t="n">
        <x:v>0</x:v>
      </x:c>
      <x:c r="R32" s="13" t="n">
        <x:v>12.5</x:v>
      </x:c>
      <x:c r="S32" s="10" t="n">
        <x:v>4841</x:v>
      </x:c>
      <x:c r="T32" s="10" t="str">
        <x:v>planner stickers,bullet journal,hand drawn stickers,3 years apart,budget stickers,piggy bank stickers,finance stickers,house savings,house stickers,pay bill stickers,bill due stickers,mortgage stickers,rent stickers</x:v>
      </x:c>
      <x:c r="U32" s="10" t="str">
        <x:v>planner stickers</x:v>
      </x:c>
      <x:c r="V32" s="10" t="str">
        <x:v>bullet journal</x:v>
      </x:c>
      <x:c r="W32" s="10" t="str">
        <x:v>hand drawn stickers</x:v>
      </x:c>
      <x:c r="X32" s="10" t="str">
        <x:v>3 years apart</x:v>
      </x:c>
      <x:c r="Y32" s="10" t="str">
        <x:v>budget stickers</x:v>
      </x:c>
      <x:c r="Z32" s="10" t="str">
        <x:v>piggy bank stickers</x:v>
      </x:c>
      <x:c r="AA32" s="10" t="str">
        <x:v>finance stickers</x:v>
      </x:c>
      <x:c r="AB32" s="10" t="str">
        <x:v>house savings</x:v>
      </x:c>
      <x:c r="AC32" s="10" t="str">
        <x:v>house stickers</x:v>
      </x:c>
      <x:c r="AD32" s="10" t="str">
        <x:v>pay bill stickers</x:v>
      </x:c>
      <x:c r="AE32" s="10" t="str">
        <x:v>bill due stickers</x:v>
      </x:c>
      <x:c r="AF32" s="10" t="str">
        <x:v>mortgage stickers</x:v>
      </x:c>
      <x:c r="AG32" s="10" t="str">
        <x:v>rent stickers</x:v>
      </x:c>
      <x:c r="AH32" s="10" t="str">
        <x:v>Other mortgage-related</x:v>
      </x:c>
      <x:c r="AI32" s="13" t="n">
        <x:v>51</x:v>
      </x:c>
      <x:c r="AJ32" s="10" t="str">
        <x:f>IF(F32&gt;0,"Active","No est. sales")</x:f>
        <x:v>Active</x:v>
      </x:c>
    </x:row>
    <x:row r="33">
      <x:c r="A33" s="10" t="str">
        <x:v>Mortgage Payoff Calculator Excel Google Sheets, Early Payoff Tracker, Extra Payment Amortization Schedule, Refinance Bi-Weekly Analyzer</x:v>
      </x:c>
      <x:c r="B33" s="10" t="str">
        <x:v>https://www.etsy.com/listing/4521174310/mortgage-payoff-calculator-spreadsheet</x:v>
      </x:c>
      <x:c r="C33" s="10" t="str">
        <x:v>SheetLoomStudio</x:v>
      </x:c>
      <x:c r="D33" s="10" t="str">
        <x:v>https://www.etsy.com/shop/SheetLoomStudio</x:v>
      </x:c>
      <x:c r="E33" s="11" t="n">
        <x:v>13.99</x:v>
      </x:c>
      <x:c r="F33" s="10" t="n">
        <x:v>1</x:v>
      </x:c>
      <x:c r="G33" s="12" t="n">
        <x:v>14</x:v>
      </x:c>
      <x:c r="H33" s="13" t="n">
        <x:v>0</x:v>
      </x:c>
      <x:c r="I33" s="10" t="n">
        <x:v>0</x:v>
      </x:c>
      <x:c r="J33" s="10" t="n">
        <x:v>1</x:v>
      </x:c>
      <x:c r="K33" s="10" t="str">
        <x:v>1 Mo.</x:v>
      </x:c>
      <x:c r="L33" s="10" t="n">
        <x:v>1</x:v>
      </x:c>
      <x:c r="M33" s="10" t="n">
        <x:v>1</x:v>
      </x:c>
      <x:c r="N33" s="10" t="n">
        <x:v>28</x:v>
      </x:c>
      <x:c r="O33" s="10" t="str">
        <x:v>Paper &amp; Party Supplies</x:v>
      </x:c>
      <x:c r="P33" s="10" t="n">
        <x:v>6</x:v>
      </x:c>
      <x:c r="Q33" s="10" t="n">
        <x:v>0</x:v>
      </x:c>
      <x:c r="R33" s="13" t="n">
        <x:v>0</x:v>
      </x:c>
      <x:c r="S33" s="10" t="n">
        <x:v>1</x:v>
      </x:c>
      <x:c r="T33" s="10" t="str">
        <x:v>mortgage payoff,mortgage calculator,early payoff tracker,amortization sheet,extra payment calc,debt free planner,biweekly payment,interest saved calc,mortgage spreadsheet,home loan tracker,payoff schedule,excel mortgage,pay off mortgage</x:v>
      </x:c>
      <x:c r="U33" s="10" t="str">
        <x:v>mortgage payoff</x:v>
      </x:c>
      <x:c r="V33" s="10" t="str">
        <x:v>mortgage calculator</x:v>
      </x:c>
      <x:c r="W33" s="10" t="str">
        <x:v>early payoff tracker</x:v>
      </x:c>
      <x:c r="X33" s="10" t="str">
        <x:v>amortization sheet</x:v>
      </x:c>
      <x:c r="Y33" s="10" t="str">
        <x:v>extra payment calc</x:v>
      </x:c>
      <x:c r="Z33" s="10" t="str">
        <x:v>debt free planner</x:v>
      </x:c>
      <x:c r="AA33" s="10" t="str">
        <x:v>biweekly payment</x:v>
      </x:c>
      <x:c r="AB33" s="10" t="str">
        <x:v>interest saved calc</x:v>
      </x:c>
      <x:c r="AC33" s="10" t="str">
        <x:v>mortgage spreadsheet</x:v>
      </x:c>
      <x:c r="AD33" s="10" t="str">
        <x:v>home loan tracker</x:v>
      </x:c>
      <x:c r="AE33" s="10" t="str">
        <x:v>payoff schedule</x:v>
      </x:c>
      <x:c r="AF33" s="10" t="str">
        <x:v>excel mortgage</x:v>
      </x:c>
      <x:c r="AG33" s="10" t="str">
        <x:v>pay off mortgage</x:v>
      </x:c>
      <x:c r="AH33" s="10" t="str">
        <x:v>Mortgage payoff / calculator</x:v>
      </x:c>
      <x:c r="AI33" s="13" t="n">
        <x:v>1</x:v>
      </x:c>
      <x:c r="AJ33" s="10" t="str">
        <x:f>IF(F33&gt;0,"Active","No est. sales")</x:f>
        <x:v>Active</x:v>
      </x:c>
    </x:row>
    <x:row r="34">
      <x:c r="A34" s="10" t="str">
        <x:v>10K House Savings Tracker Printable: A4, A5, Letter Sizes (PDF Download</x:v>
      </x:c>
      <x:c r="B34" s="10" t="str">
        <x:v>https://www.etsy.com/listing/4322544862/10k-house-savings-tracker-printable-a4</x:v>
      </x:c>
      <x:c r="C34" s="10" t="str">
        <x:v>thedandyplanner</x:v>
      </x:c>
      <x:c r="D34" s="10" t="str">
        <x:v>https://www.etsy.com/shop/thedandyplanner</x:v>
      </x:c>
      <x:c r="E34" s="11" t="n">
        <x:v>2.65</x:v>
      </x:c>
      <x:c r="F34" s="10" t="n">
        <x:v>5</x:v>
      </x:c>
      <x:c r="G34" s="12" t="n">
        <x:v>13</x:v>
      </x:c>
      <x:c r="H34" s="13" t="n">
        <x:v>200</x:v>
      </x:c>
      <x:c r="I34" s="10" t="n">
        <x:v>10</x:v>
      </x:c>
      <x:c r="J34" s="10" t="n">
        <x:v>1</x:v>
      </x:c>
      <x:c r="K34" s="10" t="str">
        <x:v>13 Mo.</x:v>
      </x:c>
      <x:c r="L34" s="10" t="n">
        <x:v>2</x:v>
      </x:c>
      <x:c r="M34" s="10" t="n">
        <x:v>0</x:v>
      </x:c>
      <x:c r="N34" s="10" t="n">
        <x:v>25</x:v>
      </x:c>
      <x:c r="O34" s="10" t="str"/>
      <x:c r="P34" s="10" t="n">
        <x:v>72</x:v>
      </x:c>
      <x:c r="Q34" s="10" t="n">
        <x:v>0</x:v>
      </x:c>
      <x:c r="R34" s="13" t="n">
        <x:v>40</x:v>
      </x:c>
      <x:c r="S34" s="10" t="n">
        <x:v>4717</x:v>
      </x:c>
      <x:c r="T34" s="10" t="str">
        <x:v>a4 printable,a5 printable,letter printable,planner printable,minimalist planner,snowball dept,expense tracker,finances trackers,house savings,home savings,mortgage savings,house tracker,home tracker</x:v>
      </x:c>
      <x:c r="U34" s="10" t="str">
        <x:v>a4 printable</x:v>
      </x:c>
      <x:c r="V34" s="10" t="str">
        <x:v>a5 printable</x:v>
      </x:c>
      <x:c r="W34" s="10" t="str">
        <x:v>letter printable</x:v>
      </x:c>
      <x:c r="X34" s="10" t="str">
        <x:v>planner printable</x:v>
      </x:c>
      <x:c r="Y34" s="10" t="str">
        <x:v>minimalist planner</x:v>
      </x:c>
      <x:c r="Z34" s="10" t="str">
        <x:v>snowball dept</x:v>
      </x:c>
      <x:c r="AA34" s="10" t="str">
        <x:v>expense tracker</x:v>
      </x:c>
      <x:c r="AB34" s="10" t="str">
        <x:v>finances trackers</x:v>
      </x:c>
      <x:c r="AC34" s="10" t="str">
        <x:v>house savings</x:v>
      </x:c>
      <x:c r="AD34" s="10" t="str">
        <x:v>home savings</x:v>
      </x:c>
      <x:c r="AE34" s="10" t="str">
        <x:v>mortgage savings</x:v>
      </x:c>
      <x:c r="AF34" s="10" t="str">
        <x:v>house tracker</x:v>
      </x:c>
      <x:c r="AG34" s="10" t="str">
        <x:v>home tracker</x:v>
      </x:c>
      <x:c r="AH34" s="10" t="str">
        <x:v>Other mortgage-related</x:v>
      </x:c>
      <x:c r="AI34" s="13" t="n">
        <x:v>13</x:v>
      </x:c>
      <x:c r="AJ34" s="10" t="str">
        <x:f>IF(F34&gt;0,"Active","No est. sales")</x:f>
        <x:v>Active</x:v>
      </x:c>
    </x:row>
    <x:row r="35">
      <x:c r="A35" s="10" t="str">
        <x:v>Debt Avalanche Spreadsheet Google Sheets Debt Payoff Tracker Debt Avalanche Calculator Student Loan Payoff Mortgage Debt Payoff</x:v>
      </x:c>
      <x:c r="B35" s="10" t="str">
        <x:v>https://www.etsy.com/listing/1665985994/debt-avalanche-spreadsheet-google-sheets</x:v>
      </x:c>
      <x:c r="C35" s="10" t="str">
        <x:v>ExpertEasePro</x:v>
      </x:c>
      <x:c r="D35" s="10" t="str">
        <x:v>https://www.etsy.com/shop/ExpertEasePro</x:v>
      </x:c>
      <x:c r="E35" s="11" t="n">
        <x:v>4.99</x:v>
      </x:c>
      <x:c r="F35" s="10" t="n">
        <x:v>2</x:v>
      </x:c>
      <x:c r="G35" s="12" t="n">
        <x:v>10</x:v>
      </x:c>
      <x:c r="H35" s="13" t="n">
        <x:v>100</x:v>
      </x:c>
      <x:c r="I35" s="10" t="n">
        <x:v>10</x:v>
      </x:c>
      <x:c r="J35" s="10" t="n">
        <x:v>1</x:v>
      </x:c>
      <x:c r="K35" s="10" t="str">
        <x:v>29 Mo.</x:v>
      </x:c>
      <x:c r="L35" s="10" t="n">
        <x:v>5</x:v>
      </x:c>
      <x:c r="M35" s="10" t="n">
        <x:v>0</x:v>
      </x:c>
      <x:c r="N35" s="10" t="n">
        <x:v>530</x:v>
      </x:c>
      <x:c r="O35" s="10" t="str">
        <x:v>Paper &amp; Party Supplies</x:v>
      </x:c>
      <x:c r="P35" s="10" t="n">
        <x:v>35</x:v>
      </x:c>
      <x:c r="Q35" s="10" t="n">
        <x:v>0</x:v>
      </x:c>
      <x:c r="R35" s="13" t="n">
        <x:v>1.89</x:v>
      </x:c>
      <x:c r="S35" s="10" t="n">
        <x:v>5332</x:v>
      </x:c>
      <x:c r="T35" s="10" t="str">
        <x:v>debt payoff,debt tracker,student loan payoff,mortgage payoff,debt repayment,personal finance,debt track template,debt payoff planner,loan payoff template,debt repayment sheet,avalanche debt,debt avalanche,avalnche method</x:v>
      </x:c>
      <x:c r="U35" s="10" t="str">
        <x:v>debt payoff</x:v>
      </x:c>
      <x:c r="V35" s="10" t="str">
        <x:v>debt tracker</x:v>
      </x:c>
      <x:c r="W35" s="10" t="str">
        <x:v>student loan payoff</x:v>
      </x:c>
      <x:c r="X35" s="10" t="str">
        <x:v>mortgage payoff</x:v>
      </x:c>
      <x:c r="Y35" s="10" t="str">
        <x:v>debt repayment</x:v>
      </x:c>
      <x:c r="Z35" s="10" t="str">
        <x:v>personal finance</x:v>
      </x:c>
      <x:c r="AA35" s="10" t="str">
        <x:v>debt track template</x:v>
      </x:c>
      <x:c r="AB35" s="10" t="str">
        <x:v>debt payoff planner</x:v>
      </x:c>
      <x:c r="AC35" s="10" t="str">
        <x:v>loan payoff template</x:v>
      </x:c>
      <x:c r="AD35" s="10" t="str">
        <x:v>debt repayment sheet</x:v>
      </x:c>
      <x:c r="AE35" s="10" t="str">
        <x:v>avalanche debt</x:v>
      </x:c>
      <x:c r="AF35" s="10" t="str">
        <x:v>debt avalanche</x:v>
      </x:c>
      <x:c r="AG35" s="10" t="str">
        <x:v>avalnche method</x:v>
      </x:c>
      <x:c r="AH35" s="10" t="str">
        <x:v>General debt payoff</x:v>
      </x:c>
      <x:c r="AI35" s="13" t="n">
        <x:v>29</x:v>
      </x:c>
      <x:c r="AJ35" s="10" t="str">
        <x:f>IF(F35&gt;0,"Active","No est. sales")</x:f>
        <x:v>Active</x:v>
      </x:c>
    </x:row>
    <x:row r="36">
      <x:c r="A36" s="10" t="str">
        <x:v>Mortgage Payoff Calculator Google Sheets Template Early Loan Repayment Tracker Amortization Schedule Home Loan Interest Savings Spreadsheet</x:v>
      </x:c>
      <x:c r="B36" s="10" t="str">
        <x:v>https://www.etsy.com/listing/4360002451/mortgage-payoff-calculator-google-sheets</x:v>
      </x:c>
      <x:c r="C36" s="10" t="str">
        <x:v>ArdentWorkshop</x:v>
      </x:c>
      <x:c r="D36" s="10" t="str">
        <x:v>https://www.etsy.com/shop/ArdentWorkshop</x:v>
      </x:c>
      <x:c r="E36" s="11" t="n">
        <x:v>9.95</x:v>
      </x:c>
      <x:c r="F36" s="10" t="n">
        <x:v>1</x:v>
      </x:c>
      <x:c r="G36" s="12" t="n">
        <x:v>10</x:v>
      </x:c>
      <x:c r="H36" s="13" t="n">
        <x:v>0</x:v>
      </x:c>
      <x:c r="I36" s="10" t="n">
        <x:v>1</x:v>
      </x:c>
      <x:c r="J36" s="10" t="n">
        <x:v>2</x:v>
      </x:c>
      <x:c r="K36" s="10" t="str">
        <x:v>11 Mo.</x:v>
      </x:c>
      <x:c r="L36" s="10" t="n">
        <x:v>5</x:v>
      </x:c>
      <x:c r="M36" s="10" t="n">
        <x:v>0</x:v>
      </x:c>
      <x:c r="N36" s="10" t="n">
        <x:v>652</x:v>
      </x:c>
      <x:c r="O36" s="10" t="str"/>
      <x:c r="P36" s="10" t="n">
        <x:v>18</x:v>
      </x:c>
      <x:c r="Q36" s="10" t="n">
        <x:v>25</x:v>
      </x:c>
      <x:c r="R36" s="13" t="n">
        <x:v>0.15</x:v>
      </x:c>
      <x:c r="S36" s="10" t="n">
        <x:v>1845</x:v>
      </x:c>
      <x:c r="T36" s="10" t="str">
        <x:v>mortgage payoff,mortgage pay off,loan payoff tracker,mortgage spreadsheet,mortgage calculator,debt spreadsheet,debt payoff tracker,amortization,debt tracker,loan calculator,financial planner,loan google sheets,debt google sheets</x:v>
      </x:c>
      <x:c r="U36" s="10" t="str">
        <x:v>mortgage payoff</x:v>
      </x:c>
      <x:c r="V36" s="10" t="str">
        <x:v>mortgage pay off</x:v>
      </x:c>
      <x:c r="W36" s="10" t="str">
        <x:v>loan payoff tracker</x:v>
      </x:c>
      <x:c r="X36" s="10" t="str">
        <x:v>mortgage spreadsheet</x:v>
      </x:c>
      <x:c r="Y36" s="10" t="str">
        <x:v>mortgage calculator</x:v>
      </x:c>
      <x:c r="Z36" s="10" t="str">
        <x:v>debt spreadsheet</x:v>
      </x:c>
      <x:c r="AA36" s="10" t="str">
        <x:v>debt payoff tracker</x:v>
      </x:c>
      <x:c r="AB36" s="10" t="str">
        <x:v>amortization</x:v>
      </x:c>
      <x:c r="AC36" s="10" t="str">
        <x:v>debt tracker</x:v>
      </x:c>
      <x:c r="AD36" s="10" t="str">
        <x:v>loan calculator</x:v>
      </x:c>
      <x:c r="AE36" s="10" t="str">
        <x:v>financial planner</x:v>
      </x:c>
      <x:c r="AF36" s="10" t="str">
        <x:v>loan google sheets</x:v>
      </x:c>
      <x:c r="AG36" s="10" t="str">
        <x:v>debt google sheets</x:v>
      </x:c>
      <x:c r="AH36" s="10" t="str">
        <x:v>Mortgage payoff / calculator</x:v>
      </x:c>
      <x:c r="AI36" s="13" t="n">
        <x:v>11</x:v>
      </x:c>
      <x:c r="AJ36" s="10" t="str">
        <x:f>IF(F36&gt;0,"Active","No est. sales")</x:f>
        <x:v>Active</x:v>
      </x:c>
    </x:row>
    <x:row r="37">
      <x:c r="A37" s="10" t="str">
        <x:v>Budget Spreadsheet | Debt Snowball Tracker Google Sheets | Debt Payoff Expense Finance Spreadsheet | Budget Personal Template</x:v>
      </x:c>
      <x:c r="B37" s="10" t="str">
        <x:v>https://www.etsy.com/listing/1748619513/debt-snowball-tracker-google-sheets-debt</x:v>
      </x:c>
      <x:c r="C37" s="10" t="str">
        <x:v>PLANCONCEPT</x:v>
      </x:c>
      <x:c r="D37" s="10" t="str">
        <x:v>https://www.etsy.com/shop/PLANCONCEPT</x:v>
      </x:c>
      <x:c r="E37" s="11" t="n">
        <x:v>8.05</x:v>
      </x:c>
      <x:c r="F37" s="10" t="n">
        <x:v>1</x:v>
      </x:c>
      <x:c r="G37" s="12" t="n">
        <x:v>8</x:v>
      </x:c>
      <x:c r="H37" s="13" t="n">
        <x:v>0</x:v>
      </x:c>
      <x:c r="I37" s="10" t="n">
        <x:v>1</x:v>
      </x:c>
      <x:c r="J37" s="10" t="n">
        <x:v>0</x:v>
      </x:c>
      <x:c r="K37" s="10" t="str">
        <x:v>25 Mo.</x:v>
      </x:c>
      <x:c r="L37" s="10" t="n">
        <x:v>7</x:v>
      </x:c>
      <x:c r="M37" s="10" t="n">
        <x:v>0</x:v>
      </x:c>
      <x:c r="N37" s="10" t="n">
        <x:v>69</x:v>
      </x:c>
      <x:c r="O37" s="10" t="str">
        <x:v>Paper &amp; Party Supplies</x:v>
      </x:c>
      <x:c r="P37" s="10" t="n">
        <x:v>52</x:v>
      </x:c>
      <x:c r="Q37" s="10" t="n">
        <x:v>0</x:v>
      </x:c>
      <x:c r="R37" s="13" t="n">
        <x:v>1.45</x:v>
      </x:c>
      <x:c r="S37" s="10" t="n">
        <x:v>70454</x:v>
      </x:c>
      <x:c r="T37" s="10" t="str">
        <x:v>budget spreadsheet,budget planner,debt payoff tracker,debt snowball,debt tracker,budget template,google sheets budget,digital budget,financial planner,budget tracker,mortgage tracker,debt calculator,expense tracker</x:v>
      </x:c>
      <x:c r="U37" s="10" t="str">
        <x:v>budget spreadsheet</x:v>
      </x:c>
      <x:c r="V37" s="10" t="str">
        <x:v>budget planner</x:v>
      </x:c>
      <x:c r="W37" s="10" t="str">
        <x:v>debt payoff tracker</x:v>
      </x:c>
      <x:c r="X37" s="10" t="str">
        <x:v>debt snowball</x:v>
      </x:c>
      <x:c r="Y37" s="10" t="str">
        <x:v>debt tracker</x:v>
      </x:c>
      <x:c r="Z37" s="10" t="str">
        <x:v>budget template</x:v>
      </x:c>
      <x:c r="AA37" s="10" t="str">
        <x:v>google sheets budget</x:v>
      </x:c>
      <x:c r="AB37" s="10" t="str">
        <x:v>digital budget</x:v>
      </x:c>
      <x:c r="AC37" s="10" t="str">
        <x:v>financial planner</x:v>
      </x:c>
      <x:c r="AD37" s="10" t="str">
        <x:v>budget tracker</x:v>
      </x:c>
      <x:c r="AE37" s="10" t="str">
        <x:v>mortgage tracker</x:v>
      </x:c>
      <x:c r="AF37" s="10" t="str">
        <x:v>debt calculator</x:v>
      </x:c>
      <x:c r="AG37" s="10" t="str">
        <x:v>expense tracker</x:v>
      </x:c>
      <x:c r="AH37" s="10" t="str">
        <x:v>General debt payoff</x:v>
      </x:c>
      <x:c r="AI37" s="13" t="n">
        <x:v>25</x:v>
      </x:c>
      <x:c r="AJ37" s="10" t="str">
        <x:f>IF(F37&gt;0,"Active","No est. sales")</x:f>
        <x:v>Active</x:v>
      </x:c>
    </x:row>
    <x:row r="38">
      <x:c r="A38" s="10" t="str">
        <x:v>Budget Spreadsheet | Debt Payoff Tracker Google Sheets | Snowball Avalanche Calculator (Digital Download)</x:v>
      </x:c>
      <x:c r="B38" s="10" t="str">
        <x:v>https://www.etsy.com/listing/1734436570/debt-payoff-tracker-google-sheets-debt</x:v>
      </x:c>
      <x:c r="C38" s="10" t="str">
        <x:v>PLANCONCEPT</x:v>
      </x:c>
      <x:c r="D38" s="10" t="str">
        <x:v>https://www.etsy.com/shop/PLANCONCEPT</x:v>
      </x:c>
      <x:c r="E38" s="11" t="n">
        <x:v>8.05</x:v>
      </x:c>
      <x:c r="F38" s="10" t="n">
        <x:v>1</x:v>
      </x:c>
      <x:c r="G38" s="12" t="n">
        <x:v>8</x:v>
      </x:c>
      <x:c r="H38" s="13" t="n">
        <x:v>0</x:v>
      </x:c>
      <x:c r="I38" s="10" t="n">
        <x:v>18</x:v>
      </x:c>
      <x:c r="J38" s="10" t="n">
        <x:v>0</x:v>
      </x:c>
      <x:c r="K38" s="10" t="str">
        <x:v>25 Mo.</x:v>
      </x:c>
      <x:c r="L38" s="10" t="n">
        <x:v>17</x:v>
      </x:c>
      <x:c r="M38" s="10" t="n">
        <x:v>0</x:v>
      </x:c>
      <x:c r="N38" s="10" t="n">
        <x:v>497</x:v>
      </x:c>
      <x:c r="O38" s="10" t="str">
        <x:v>Paper &amp; Party Supplies</x:v>
      </x:c>
      <x:c r="P38" s="10" t="n">
        <x:v>52</x:v>
      </x:c>
      <x:c r="Q38" s="10" t="n">
        <x:v>0</x:v>
      </x:c>
      <x:c r="R38" s="13" t="n">
        <x:v>3.62</x:v>
      </x:c>
      <x:c r="S38" s="10" t="n">
        <x:v>70454</x:v>
      </x:c>
      <x:c r="T38" s="10" t="str">
        <x:v>budget spreadsheet,budget planner,debt payoff tracker,debt snowball,debt tracker,budget template,google sheets budget,digital budget,financial planner,budget tracker,mortgage tracker,debt calculator,expense tracker</x:v>
      </x:c>
      <x:c r="U38" s="10" t="str">
        <x:v>budget spreadsheet</x:v>
      </x:c>
      <x:c r="V38" s="10" t="str">
        <x:v>budget planner</x:v>
      </x:c>
      <x:c r="W38" s="10" t="str">
        <x:v>debt payoff tracker</x:v>
      </x:c>
      <x:c r="X38" s="10" t="str">
        <x:v>debt snowball</x:v>
      </x:c>
      <x:c r="Y38" s="10" t="str">
        <x:v>debt tracker</x:v>
      </x:c>
      <x:c r="Z38" s="10" t="str">
        <x:v>budget template</x:v>
      </x:c>
      <x:c r="AA38" s="10" t="str">
        <x:v>google sheets budget</x:v>
      </x:c>
      <x:c r="AB38" s="10" t="str">
        <x:v>digital budget</x:v>
      </x:c>
      <x:c r="AC38" s="10" t="str">
        <x:v>financial planner</x:v>
      </x:c>
      <x:c r="AD38" s="10" t="str">
        <x:v>budget tracker</x:v>
      </x:c>
      <x:c r="AE38" s="10" t="str">
        <x:v>mortgage tracker</x:v>
      </x:c>
      <x:c r="AF38" s="10" t="str">
        <x:v>debt calculator</x:v>
      </x:c>
      <x:c r="AG38" s="10" t="str">
        <x:v>expense tracker</x:v>
      </x:c>
      <x:c r="AH38" s="10" t="str">
        <x:v>General debt payoff</x:v>
      </x:c>
      <x:c r="AI38" s="13" t="n">
        <x:v>25</x:v>
      </x:c>
      <x:c r="AJ38" s="10" t="str">
        <x:f>IF(F38&gt;0,"Active","No est. sales")</x:f>
        <x:v>Active</x:v>
      </x:c>
    </x:row>
    <x:row r="39">
      <x:c r="A39" s="10" t="str">
        <x:v>Debt Payoff Tracker Debt Snowball Excel Debt Avalanche Calculator Google Sheets Credit Card Loan Tracker Credit Card Payoff Mortgage Payment</x:v>
      </x:c>
      <x:c r="B39" s="10" t="str">
        <x:v>https://www.etsy.com/listing/4473989540/debt-payoff-tracker-debt-snowball-excel</x:v>
      </x:c>
      <x:c r="C39" s="10" t="str">
        <x:v>PrioriDigitalStudio</x:v>
      </x:c>
      <x:c r="D39" s="10" t="str">
        <x:v>https://www.etsy.com/shop/PrioriDigitalStudio</x:v>
      </x:c>
      <x:c r="E39" s="11" t="n">
        <x:v>7.1</x:v>
      </x:c>
      <x:c r="F39" s="10" t="n">
        <x:v>1</x:v>
      </x:c>
      <x:c r="G39" s="12" t="n">
        <x:v>7</x:v>
      </x:c>
      <x:c r="H39" s="13" t="n">
        <x:v>-100</x:v>
      </x:c>
      <x:c r="I39" s="10" t="n">
        <x:v>7</x:v>
      </x:c>
      <x:c r="J39" s="10" t="n">
        <x:v>2</x:v>
      </x:c>
      <x:c r="K39" s="10" t="str">
        <x:v>4 Mo.</x:v>
      </x:c>
      <x:c r="L39" s="10" t="n">
        <x:v>6</x:v>
      </x:c>
      <x:c r="M39" s="10" t="n">
        <x:v>1</x:v>
      </x:c>
      <x:c r="N39" s="10" t="n">
        <x:v>129</x:v>
      </x:c>
      <x:c r="O39" s="10" t="str">
        <x:v>Paper &amp; Party Supplies</x:v>
      </x:c>
      <x:c r="P39" s="10" t="n">
        <x:v>40</x:v>
      </x:c>
      <x:c r="Q39" s="10" t="n">
        <x:v>0</x:v>
      </x:c>
      <x:c r="R39" s="13" t="n">
        <x:v>5.43</x:v>
      </x:c>
      <x:c r="S39" s="10" t="n">
        <x:v>167903</x:v>
      </x:c>
      <x:c r="T39" s="10" t="str">
        <x:v>debt google sheets,debt spreadsheet,debt payoff tracker,personal finance,mortgage payoff,debt snowball excel,debt tracker excel,snowball calculator,student loan payoff,credit card debt,financial planner,debt avalanche,budget planner</x:v>
      </x:c>
      <x:c r="U39" s="10" t="str">
        <x:v>debt google sheets</x:v>
      </x:c>
      <x:c r="V39" s="10" t="str">
        <x:v>debt spreadsheet</x:v>
      </x:c>
      <x:c r="W39" s="10" t="str">
        <x:v>debt payoff tracker</x:v>
      </x:c>
      <x:c r="X39" s="10" t="str">
        <x:v>personal finance</x:v>
      </x:c>
      <x:c r="Y39" s="10" t="str">
        <x:v>mortgage payoff</x:v>
      </x:c>
      <x:c r="Z39" s="10" t="str">
        <x:v>debt snowball excel</x:v>
      </x:c>
      <x:c r="AA39" s="10" t="str">
        <x:v>debt tracker excel</x:v>
      </x:c>
      <x:c r="AB39" s="10" t="str">
        <x:v>snowball calculator</x:v>
      </x:c>
      <x:c r="AC39" s="10" t="str">
        <x:v>student loan payoff</x:v>
      </x:c>
      <x:c r="AD39" s="10" t="str">
        <x:v>credit card debt</x:v>
      </x:c>
      <x:c r="AE39" s="10" t="str">
        <x:v>financial planner</x:v>
      </x:c>
      <x:c r="AF39" s="10" t="str">
        <x:v>debt avalanche</x:v>
      </x:c>
      <x:c r="AG39" s="10" t="str">
        <x:v>budget planner</x:v>
      </x:c>
      <x:c r="AH39" s="10" t="str">
        <x:v>General debt payoff</x:v>
      </x:c>
      <x:c r="AI39" s="13" t="n">
        <x:v>4</x:v>
      </x:c>
      <x:c r="AJ39" s="10" t="str">
        <x:f>IF(F39&gt;0,"Active","No est. sales")</x:f>
        <x:v>Active</x:v>
      </x:c>
    </x:row>
    <x:row r="40">
      <x:c r="A40" s="10" t="str">
        <x:v>Debt Payoff Tracker Debt Snowball Excel Debt Avalanche Calculator Google Sheets Credit Card Loan Tracker Mortgage Payoff Dark Mode Finance</x:v>
      </x:c>
      <x:c r="B40" s="10" t="str">
        <x:v>https://www.etsy.com/listing/4473980435/debt-payoff-tracker-debt-snowball-excel</x:v>
      </x:c>
      <x:c r="C40" s="10" t="str">
        <x:v>PrioriDigitalStudio</x:v>
      </x:c>
      <x:c r="D40" s="10" t="str">
        <x:v>https://www.etsy.com/shop/PrioriDigitalStudio</x:v>
      </x:c>
      <x:c r="E40" s="11" t="n">
        <x:v>7.1</x:v>
      </x:c>
      <x:c r="F40" s="10" t="n">
        <x:v>1</x:v>
      </x:c>
      <x:c r="G40" s="12" t="n">
        <x:v>7</x:v>
      </x:c>
      <x:c r="H40" s="13" t="n">
        <x:v>-100</x:v>
      </x:c>
      <x:c r="I40" s="10" t="n">
        <x:v>10</x:v>
      </x:c>
      <x:c r="J40" s="10" t="n">
        <x:v>1</x:v>
      </x:c>
      <x:c r="K40" s="10" t="str">
        <x:v>4 Mo.</x:v>
      </x:c>
      <x:c r="L40" s="10" t="n">
        <x:v>7</x:v>
      </x:c>
      <x:c r="M40" s="10" t="n">
        <x:v>0</x:v>
      </x:c>
      <x:c r="N40" s="10" t="n">
        <x:v>207</x:v>
      </x:c>
      <x:c r="O40" s="10" t="str">
        <x:v>Paper &amp; Party Supplies</x:v>
      </x:c>
      <x:c r="P40" s="10" t="n">
        <x:v>40</x:v>
      </x:c>
      <x:c r="Q40" s="10" t="n">
        <x:v>25</x:v>
      </x:c>
      <x:c r="R40" s="13" t="n">
        <x:v>4.83</x:v>
      </x:c>
      <x:c r="S40" s="10" t="n">
        <x:v>167903</x:v>
      </x:c>
      <x:c r="T40" s="10" t="str">
        <x:v>debt google sheets,debt spreadsheet,debt payoff tracker,personal finance,mortgage payoff,debt snowball excel,debt tracker excel,snowball calculator,student loan payoff,credit card debt,financial planner,debt avalanche,budget planner</x:v>
      </x:c>
      <x:c r="U40" s="10" t="str">
        <x:v>debt google sheets</x:v>
      </x:c>
      <x:c r="V40" s="10" t="str">
        <x:v>debt spreadsheet</x:v>
      </x:c>
      <x:c r="W40" s="10" t="str">
        <x:v>debt payoff tracker</x:v>
      </x:c>
      <x:c r="X40" s="10" t="str">
        <x:v>personal finance</x:v>
      </x:c>
      <x:c r="Y40" s="10" t="str">
        <x:v>mortgage payoff</x:v>
      </x:c>
      <x:c r="Z40" s="10" t="str">
        <x:v>debt snowball excel</x:v>
      </x:c>
      <x:c r="AA40" s="10" t="str">
        <x:v>debt tracker excel</x:v>
      </x:c>
      <x:c r="AB40" s="10" t="str">
        <x:v>snowball calculator</x:v>
      </x:c>
      <x:c r="AC40" s="10" t="str">
        <x:v>student loan payoff</x:v>
      </x:c>
      <x:c r="AD40" s="10" t="str">
        <x:v>credit card debt</x:v>
      </x:c>
      <x:c r="AE40" s="10" t="str">
        <x:v>financial planner</x:v>
      </x:c>
      <x:c r="AF40" s="10" t="str">
        <x:v>debt avalanche</x:v>
      </x:c>
      <x:c r="AG40" s="10" t="str">
        <x:v>budget planner</x:v>
      </x:c>
      <x:c r="AH40" s="10" t="str">
        <x:v>General debt payoff</x:v>
      </x:c>
      <x:c r="AI40" s="13" t="n">
        <x:v>4</x:v>
      </x:c>
      <x:c r="AJ40" s="10" t="str">
        <x:f>IF(F40&gt;0,"Active","No est. sales")</x:f>
        <x:v>Active</x:v>
      </x:c>
    </x:row>
    <x:row r="41">
      <x:c r="A41" s="10" t="str">
        <x:v>Debt Payoff Tracker Google Sheets Snowball Avalanche Loan Payoff Tracker Budget Spreadsheet Personal Finance Planner Template</x:v>
      </x:c>
      <x:c r="B41" s="10" t="str">
        <x:v>https://www.etsy.com/listing/4438703946/debt-payoff-tracker-google-sheets-light</x:v>
      </x:c>
      <x:c r="C41" s="10" t="str">
        <x:v>MahoganySheets</x:v>
      </x:c>
      <x:c r="D41" s="10" t="str">
        <x:v>https://www.etsy.com/shop/MahoganySheets</x:v>
      </x:c>
      <x:c r="E41" s="11" t="n">
        <x:v>2.4</x:v>
      </x:c>
      <x:c r="F41" s="10" t="n">
        <x:v>2</x:v>
      </x:c>
      <x:c r="G41" s="12" t="n">
        <x:v>5</x:v>
      </x:c>
      <x:c r="H41" s="13" t="n">
        <x:v>-100</x:v>
      </x:c>
      <x:c r="I41" s="10" t="n">
        <x:v>16</x:v>
      </x:c>
      <x:c r="J41" s="10" t="n">
        <x:v>3</x:v>
      </x:c>
      <x:c r="K41" s="10" t="str">
        <x:v>6 Mo.</x:v>
      </x:c>
      <x:c r="L41" s="10" t="n">
        <x:v>2</x:v>
      </x:c>
      <x:c r="M41" s="10" t="n">
        <x:v>1</x:v>
      </x:c>
      <x:c r="N41" s="10" t="n">
        <x:v>144</x:v>
      </x:c>
      <x:c r="O41" s="10" t="str"/>
      <x:c r="P41" s="10" t="n">
        <x:v>8</x:v>
      </x:c>
      <x:c r="Q41" s="10" t="n">
        <x:v>0</x:v>
      </x:c>
      <x:c r="R41" s="13" t="n">
        <x:v>11.11</x:v>
      </x:c>
      <x:c r="S41" s="10" t="n">
        <x:v>118</x:v>
      </x:c>
      <x:c r="T41" s="10" t="str">
        <x:v>debt payoff tracker,personal finance,credit card debt,financial planner,budget planner,debt google sheets,loan payoff tracker,mortgage payoff,budget spreadsheet,paycheck budget,budget by paycheck,debt payment plan,debt snowball</x:v>
      </x:c>
      <x:c r="U41" s="10" t="str">
        <x:v>debt payoff tracker</x:v>
      </x:c>
      <x:c r="V41" s="10" t="str">
        <x:v>personal finance</x:v>
      </x:c>
      <x:c r="W41" s="10" t="str">
        <x:v>credit card debt</x:v>
      </x:c>
      <x:c r="X41" s="10" t="str">
        <x:v>financial planner</x:v>
      </x:c>
      <x:c r="Y41" s="10" t="str">
        <x:v>budget planner</x:v>
      </x:c>
      <x:c r="Z41" s="10" t="str">
        <x:v>debt google sheets</x:v>
      </x:c>
      <x:c r="AA41" s="10" t="str">
        <x:v>loan payoff tracker</x:v>
      </x:c>
      <x:c r="AB41" s="10" t="str">
        <x:v>mortgage payoff</x:v>
      </x:c>
      <x:c r="AC41" s="10" t="str">
        <x:v>budget spreadsheet</x:v>
      </x:c>
      <x:c r="AD41" s="10" t="str">
        <x:v>paycheck budget</x:v>
      </x:c>
      <x:c r="AE41" s="10" t="str">
        <x:v>budget by paycheck</x:v>
      </x:c>
      <x:c r="AF41" s="10" t="str">
        <x:v>debt payment plan</x:v>
      </x:c>
      <x:c r="AG41" s="10" t="str">
        <x:v>debt snowball</x:v>
      </x:c>
      <x:c r="AH41" s="10" t="str">
        <x:v>General debt payoff</x:v>
      </x:c>
      <x:c r="AI41" s="13" t="n">
        <x:v>6</x:v>
      </x:c>
      <x:c r="AJ41" s="10" t="str">
        <x:f>IF(F41&gt;0,"Active","No est. sales")</x:f>
        <x:v>Active</x:v>
      </x:c>
    </x:row>
    <x:row r="42">
      <x:c r="A42" s="10" t="str">
        <x:v>Debt Payoff Tracker Google Sheets Excel, Debt Snowball Sheet Planner, Mortgage Student Loan Payoff System Avalanche Balance Calculator</x:v>
      </x:c>
      <x:c r="B42" s="10" t="str">
        <x:v>https://www.etsy.com/listing/4424165883/excel-light-mode-debt-payoff-tracker</x:v>
      </x:c>
      <x:c r="C42" s="10" t="str">
        <x:v>MahoganySheets</x:v>
      </x:c>
      <x:c r="D42" s="10" t="str">
        <x:v>https://www.etsy.com/shop/MahoganySheets</x:v>
      </x:c>
      <x:c r="E42" s="11" t="n">
        <x:v>2.4</x:v>
      </x:c>
      <x:c r="F42" s="10" t="n">
        <x:v>2</x:v>
      </x:c>
      <x:c r="G42" s="12" t="n">
        <x:v>5</x:v>
      </x:c>
      <x:c r="H42" s="13" t="n">
        <x:v>-100</x:v>
      </x:c>
      <x:c r="I42" s="10" t="n">
        <x:v>11</x:v>
      </x:c>
      <x:c r="J42" s="10" t="n">
        <x:v>2</x:v>
      </x:c>
      <x:c r="K42" s="10" t="str">
        <x:v>7 Mo.</x:v>
      </x:c>
      <x:c r="L42" s="10" t="n">
        <x:v>3</x:v>
      </x:c>
      <x:c r="M42" s="10" t="n">
        <x:v>0</x:v>
      </x:c>
      <x:c r="N42" s="10" t="n">
        <x:v>210</x:v>
      </x:c>
      <x:c r="O42" s="10" t="str"/>
      <x:c r="P42" s="10" t="n">
        <x:v>8</x:v>
      </x:c>
      <x:c r="Q42" s="10" t="n">
        <x:v>0</x:v>
      </x:c>
      <x:c r="R42" s="13" t="n">
        <x:v>5.24</x:v>
      </x:c>
      <x:c r="S42" s="10" t="n">
        <x:v>118</x:v>
      </x:c>
      <x:c r="T42" s="10" t="str">
        <x:v>debt payoff tracker,debt snowball sheet,google sheets debt,excel debt planner,debt payoff system,snowball calculator,debt payoff chart,mortgage payoff plan,student loan tracker,debt avalanche excel,yearly debt plan,mortgage schedule,simple debt tracker</x:v>
      </x:c>
      <x:c r="U42" s="10" t="str">
        <x:v>debt payoff tracker</x:v>
      </x:c>
      <x:c r="V42" s="10" t="str">
        <x:v>debt snowball sheet</x:v>
      </x:c>
      <x:c r="W42" s="10" t="str">
        <x:v>google sheets debt</x:v>
      </x:c>
      <x:c r="X42" s="10" t="str">
        <x:v>excel debt planner</x:v>
      </x:c>
      <x:c r="Y42" s="10" t="str">
        <x:v>debt payoff system</x:v>
      </x:c>
      <x:c r="Z42" s="10" t="str">
        <x:v>snowball calculator</x:v>
      </x:c>
      <x:c r="AA42" s="10" t="str">
        <x:v>debt payoff chart</x:v>
      </x:c>
      <x:c r="AB42" s="10" t="str">
        <x:v>mortgage payoff plan</x:v>
      </x:c>
      <x:c r="AC42" s="10" t="str">
        <x:v>student loan tracker</x:v>
      </x:c>
      <x:c r="AD42" s="10" t="str">
        <x:v>debt avalanche excel</x:v>
      </x:c>
      <x:c r="AE42" s="10" t="str">
        <x:v>yearly debt plan</x:v>
      </x:c>
      <x:c r="AF42" s="10" t="str">
        <x:v>mortgage schedule</x:v>
      </x:c>
      <x:c r="AG42" s="10" t="str">
        <x:v>simple debt tracker</x:v>
      </x:c>
      <x:c r="AH42" s="10" t="str">
        <x:v>General debt payoff</x:v>
      </x:c>
      <x:c r="AI42" s="13" t="n">
        <x:v>7</x:v>
      </x:c>
      <x:c r="AJ42" s="10" t="str">
        <x:f>IF(F42&gt;0,"Active","No est. sales")</x:f>
        <x:v>Active</x:v>
      </x:c>
    </x:row>
    <x:row r="43">
      <x:c r="A43" s="10" t="str">
        <x:v>Debt Payoff Tracker Google Sheets Dark Mode Debt Snowball Avalanche Calculator Credit Card Loan Mortgage Payoff Debt Free Planner</x:v>
      </x:c>
      <x:c r="B43" s="10" t="str">
        <x:v>https://www.etsy.com/listing/4356952996/debt-payoff-tracker-google-sheets-dark</x:v>
      </x:c>
      <x:c r="C43" s="10" t="str">
        <x:v>ByTwoSistersAndCo</x:v>
      </x:c>
      <x:c r="D43" s="10" t="str">
        <x:v>https://www.etsy.com/shop/ByTwoSistersAndCo</x:v>
      </x:c>
      <x:c r="E43" s="11" t="n">
        <x:v>3.98</x:v>
      </x:c>
      <x:c r="F43" s="10" t="n">
        <x:v>1</x:v>
      </x:c>
      <x:c r="G43" s="12" t="n">
        <x:v>4</x:v>
      </x:c>
      <x:c r="H43" s="13" t="n">
        <x:v>0</x:v>
      </x:c>
      <x:c r="I43" s="10" t="n">
        <x:v>11</x:v>
      </x:c>
      <x:c r="J43" s="10" t="n">
        <x:v>0</x:v>
      </x:c>
      <x:c r="K43" s="10" t="str">
        <x:v>11 Mo.</x:v>
      </x:c>
      <x:c r="L43" s="10" t="n">
        <x:v>4</x:v>
      </x:c>
      <x:c r="M43" s="10" t="n">
        <x:v>0</x:v>
      </x:c>
      <x:c r="N43" s="10" t="n">
        <x:v>279</x:v>
      </x:c>
      <x:c r="O43" s="10" t="str">
        <x:v>Paper &amp; Party Supplies</x:v>
      </x:c>
      <x:c r="P43" s="10" t="n">
        <x:v>12</x:v>
      </x:c>
      <x:c r="Q43" s="10" t="n">
        <x:v>0</x:v>
      </x:c>
      <x:c r="R43" s="13" t="n">
        <x:v>3.94</x:v>
      </x:c>
      <x:c r="S43" s="10" t="n">
        <x:v>62</x:v>
      </x:c>
      <x:c r="T43" s="10" t="str">
        <x:v>debt google sheets,debt spreadsheet,snowball calculator,debt avalanche,mortgage payoff,debt payoff tracker,budget planner,credit card debt,dark mode,financial planner,debt tracker,credit utilization,subscription tracker</x:v>
      </x:c>
      <x:c r="U43" s="10" t="str">
        <x:v>debt google sheets</x:v>
      </x:c>
      <x:c r="V43" s="10" t="str">
        <x:v>debt spreadsheet</x:v>
      </x:c>
      <x:c r="W43" s="10" t="str">
        <x:v>snowball calculator</x:v>
      </x:c>
      <x:c r="X43" s="10" t="str">
        <x:v>debt avalanche</x:v>
      </x:c>
      <x:c r="Y43" s="10" t="str">
        <x:v>mortgage payoff</x:v>
      </x:c>
      <x:c r="Z43" s="10" t="str">
        <x:v>debt payoff tracker</x:v>
      </x:c>
      <x:c r="AA43" s="10" t="str">
        <x:v>budget planner</x:v>
      </x:c>
      <x:c r="AB43" s="10" t="str">
        <x:v>credit card debt</x:v>
      </x:c>
      <x:c r="AC43" s="10" t="str">
        <x:v>dark mode</x:v>
      </x:c>
      <x:c r="AD43" s="10" t="str">
        <x:v>financial planner</x:v>
      </x:c>
      <x:c r="AE43" s="10" t="str">
        <x:v>debt tracker</x:v>
      </x:c>
      <x:c r="AF43" s="10" t="str">
        <x:v>credit utilization</x:v>
      </x:c>
      <x:c r="AG43" s="10" t="str">
        <x:v>subscription tracker</x:v>
      </x:c>
      <x:c r="AH43" s="10" t="str">
        <x:v>General debt payoff</x:v>
      </x:c>
      <x:c r="AI43" s="13" t="n">
        <x:v>11</x:v>
      </x:c>
      <x:c r="AJ43" s="10" t="str">
        <x:f>IF(F43&gt;0,"Active","No est. sales")</x:f>
        <x:v>Active</x:v>
      </x:c>
    </x:row>
    <x:row r="44">
      <x:c r="A44" s="10" t="str">
        <x:v>Mortgage Payoff Calculator Google Spreadsheet – Extra Payments &amp; Amortization Schedule</x:v>
      </x:c>
      <x:c r="B44" s="10" t="str">
        <x:v>https://www.etsy.com/listing/1419395424/mortgage-payoff-calculator-google</x:v>
      </x:c>
      <x:c r="C44" s="10" t="str">
        <x:v>ExceptionalSheets</x:v>
      </x:c>
      <x:c r="D44" s="10" t="str">
        <x:v>https://www.etsy.com/shop/ExceptionalSheets</x:v>
      </x:c>
      <x:c r="E44" s="11" t="n">
        <x:v>1.29</x:v>
      </x:c>
      <x:c r="F44" s="10" t="n">
        <x:v>2</x:v>
      </x:c>
      <x:c r="G44" s="12" t="n">
        <x:v>3</x:v>
      </x:c>
      <x:c r="H44" s="13" t="n">
        <x:v>0</x:v>
      </x:c>
      <x:c r="I44" s="10" t="n">
        <x:v>425</x:v>
      </x:c>
      <x:c r="J44" s="10" t="n">
        <x:v>34</x:v>
      </x:c>
      <x:c r="K44" s="10" t="str">
        <x:v>40 Mo.</x:v>
      </x:c>
      <x:c r="L44" s="10" t="n">
        <x:v>112</x:v>
      </x:c>
      <x:c r="M44" s="10" t="n">
        <x:v>1</x:v>
      </x:c>
      <x:c r="N44" s="10" t="n">
        <x:v>5476</x:v>
      </x:c>
      <x:c r="O44" s="10" t="str"/>
      <x:c r="P44" s="10" t="n">
        <x:v>43</x:v>
      </x:c>
      <x:c r="Q44" s="10" t="n">
        <x:v>45</x:v>
      </x:c>
      <x:c r="R44" s="13" t="n">
        <x:v>7.76</x:v>
      </x:c>
      <x:c r="S44" s="10" t="n">
        <x:v>527</x:v>
      </x:c>
      <x:c r="T44" s="10" t="str">
        <x:v>mortgage payoff,mortgage calculator,loan amortization,amortization,spreadsheet template,extra payments,interest savings,home loan tracker,mortgage planner,debt payoff,budget planning,google spreadsheet,excel calculator</x:v>
      </x:c>
      <x:c r="U44" s="10" t="str">
        <x:v>mortgage payoff</x:v>
      </x:c>
      <x:c r="V44" s="10" t="str">
        <x:v>mortgage calculator</x:v>
      </x:c>
      <x:c r="W44" s="10" t="str">
        <x:v>loan amortization</x:v>
      </x:c>
      <x:c r="X44" s="10" t="str">
        <x:v>amortization</x:v>
      </x:c>
      <x:c r="Y44" s="10" t="str">
        <x:v>spreadsheet template</x:v>
      </x:c>
      <x:c r="Z44" s="10" t="str">
        <x:v>extra payments</x:v>
      </x:c>
      <x:c r="AA44" s="10" t="str">
        <x:v>interest savings</x:v>
      </x:c>
      <x:c r="AB44" s="10" t="str">
        <x:v>home loan tracker</x:v>
      </x:c>
      <x:c r="AC44" s="10" t="str">
        <x:v>mortgage planner</x:v>
      </x:c>
      <x:c r="AD44" s="10" t="str">
        <x:v>debt payoff</x:v>
      </x:c>
      <x:c r="AE44" s="10" t="str">
        <x:v>budget planning</x:v>
      </x:c>
      <x:c r="AF44" s="10" t="str">
        <x:v>google spreadsheet</x:v>
      </x:c>
      <x:c r="AG44" s="10" t="str">
        <x:v>excel calculator</x:v>
      </x:c>
      <x:c r="AH44" s="10" t="str">
        <x:v>Mortgage payoff / calculator</x:v>
      </x:c>
      <x:c r="AI44" s="13" t="n">
        <x:v>40</x:v>
      </x:c>
      <x:c r="AJ44" s="10" t="str">
        <x:f>IF(F44&gt;0,"Active","No est. sales")</x:f>
        <x:v>Active</x:v>
      </x:c>
    </x:row>
    <x:row r="45">
      <x:c r="A45" s="10" t="str">
        <x:v>It&amp;#39;s Giving Debt Free, Debt Free Gift, Paid off loans gift, gift for friend, financial freedom, fire movement, financially independent</x:v>
      </x:c>
      <x:c r="B45" s="10" t="str">
        <x:v>https://www.etsy.com/listing/1592321136/its-giving-debt-free-debt-free-gift-paid</x:v>
      </x:c>
      <x:c r="C45" s="10" t="str">
        <x:v>PoshAdhesiveArt</x:v>
      </x:c>
      <x:c r="D45" s="10" t="str">
        <x:v>https://www.etsy.com/shop/PoshAdhesiveArt</x:v>
      </x:c>
      <x:c r="E45" s="11" t="n">
        <x:v>43.58</x:v>
      </x:c>
      <x:c r="F45" s="10" t="n">
        <x:v>0</x:v>
      </x:c>
      <x:c r="G45" s="12" t="n">
        <x:v>0</x:v>
      </x:c>
      <x:c r="H45" s="13" t="n">
        <x:v>0</x:v>
      </x:c>
      <x:c r="I45" s="10" t="n">
        <x:v>0</x:v>
      </x:c>
      <x:c r="J45" s="10" t="n">
        <x:v>0</x:v>
      </x:c>
      <x:c r="K45" s="10" t="str">
        <x:v>16 Mo.</x:v>
      </x:c>
      <x:c r="L45" s="10" t="n">
        <x:v>1</x:v>
      </x:c>
      <x:c r="M45" s="10" t="n">
        <x:v>0</x:v>
      </x:c>
      <x:c r="N45" s="10" t="n">
        <x:v>23</x:v>
      </x:c>
      <x:c r="O45" s="10" t="str">
        <x:v>Home &amp; Living</x:v>
      </x:c>
      <x:c r="P45" s="10" t="n">
        <x:v>23</x:v>
      </x:c>
      <x:c r="Q45" s="10" t="n">
        <x:v>0</x:v>
      </x:c>
      <x:c r="R45" s="13" t="n">
        <x:v>0</x:v>
      </x:c>
      <x:c r="S45" s="10" t="n">
        <x:v>710</x:v>
      </x:c>
      <x:c r="T45" s="10" t="str">
        <x:v>loan payoff gift,credit card debt,debt avalanche,debt calculator,debt free gift,debt snowball,financial planner,fire movement,loan payoff tracker,mortgage payoff,no debt,personal finance,student loan debt</x:v>
      </x:c>
      <x:c r="U45" s="10" t="str">
        <x:v>loan payoff gift</x:v>
      </x:c>
      <x:c r="V45" s="10" t="str">
        <x:v>credit card debt</x:v>
      </x:c>
      <x:c r="W45" s="10" t="str">
        <x:v>debt avalanche</x:v>
      </x:c>
      <x:c r="X45" s="10" t="str">
        <x:v>debt calculator</x:v>
      </x:c>
      <x:c r="Y45" s="10" t="str">
        <x:v>debt free gift</x:v>
      </x:c>
      <x:c r="Z45" s="10" t="str">
        <x:v>debt snowball</x:v>
      </x:c>
      <x:c r="AA45" s="10" t="str">
        <x:v>financial planner</x:v>
      </x:c>
      <x:c r="AB45" s="10" t="str">
        <x:v>fire movement</x:v>
      </x:c>
      <x:c r="AC45" s="10" t="str">
        <x:v>loan payoff tracker</x:v>
      </x:c>
      <x:c r="AD45" s="10" t="str">
        <x:v>mortgage payoff</x:v>
      </x:c>
      <x:c r="AE45" s="10" t="str">
        <x:v>no debt</x:v>
      </x:c>
      <x:c r="AF45" s="10" t="str">
        <x:v>personal finance</x:v>
      </x:c>
      <x:c r="AG45" s="10" t="str">
        <x:v>student loan debt</x:v>
      </x:c>
      <x:c r="AH45" s="10" t="str">
        <x:v>Other mortgage-related</x:v>
      </x:c>
      <x:c r="AI45" s="13" t="n">
        <x:v>16</x:v>
      </x:c>
      <x:c r="AJ45" s="10" t="str">
        <x:f>IF(F45&gt;0,"Active","No est. sales")</x:f>
        <x:v>No est. sales</x:v>
      </x:c>
    </x:row>
    <x:row r="46">
      <x:c r="A46" s="10" t="str">
        <x:v>Real Estate Budget Planner: Home Down Payment Savings Tracker (Printable PDF)</x:v>
      </x:c>
      <x:c r="B46" s="10" t="str">
        <x:v>https://www.etsy.com/listing/1905810903/real-estate-budget-planner-home-down</x:v>
      </x:c>
      <x:c r="C46" s="10" t="str">
        <x:v>AJEllyByBeth</x:v>
      </x:c>
      <x:c r="D46" s="10" t="str">
        <x:v>https://www.etsy.com/shop/AJEllyByBeth</x:v>
      </x:c>
      <x:c r="E46" s="11" t="n">
        <x:v>10</x:v>
      </x:c>
      <x:c r="F46" s="10" t="n">
        <x:v>0</x:v>
      </x:c>
      <x:c r="G46" s="12" t="n">
        <x:v>0</x:v>
      </x:c>
      <x:c r="H46" s="13" t="n">
        <x:v>0</x:v>
      </x:c>
      <x:c r="I46" s="10" t="n">
        <x:v>0</x:v>
      </x:c>
      <x:c r="J46" s="10" t="n">
        <x:v>0</x:v>
      </x:c>
      <x:c r="K46" s="10" t="str">
        <x:v>6 Mo.</x:v>
      </x:c>
      <x:c r="L46" s="10" t="n">
        <x:v>1</x:v>
      </x:c>
      <x:c r="M46" s="10" t="n">
        <x:v>0</x:v>
      </x:c>
      <x:c r="N46" s="10" t="n">
        <x:v>9</x:v>
      </x:c>
      <x:c r="O46" s="10" t="str"/>
      <x:c r="P46" s="10" t="n">
        <x:v>7</x:v>
      </x:c>
      <x:c r="Q46" s="10" t="n">
        <x:v>0</x:v>
      </x:c>
      <x:c r="R46" s="13" t="n">
        <x:v>0</x:v>
      </x:c>
      <x:c r="S46" s="10" t="n">
        <x:v>3</x:v>
      </x:c>
      <x:c r="T46" s="10" t="str">
        <x:v>savings tracker,real estate tracker,home payment planner,down payment planner,property budget,investment budget,savings template,mortgage template,closing cost pdf,budget pdf,printable tracker,homebuyer budget,minimalist planner</x:v>
      </x:c>
      <x:c r="U46" s="10" t="str">
        <x:v>savings tracker</x:v>
      </x:c>
      <x:c r="V46" s="10" t="str">
        <x:v>real estate tracker</x:v>
      </x:c>
      <x:c r="W46" s="10" t="str">
        <x:v>home payment planner</x:v>
      </x:c>
      <x:c r="X46" s="10" t="str">
        <x:v>down payment planner</x:v>
      </x:c>
      <x:c r="Y46" s="10" t="str">
        <x:v>property budget</x:v>
      </x:c>
      <x:c r="Z46" s="10" t="str">
        <x:v>investment budget</x:v>
      </x:c>
      <x:c r="AA46" s="10" t="str">
        <x:v>savings template</x:v>
      </x:c>
      <x:c r="AB46" s="10" t="str">
        <x:v>mortgage template</x:v>
      </x:c>
      <x:c r="AC46" s="10" t="str">
        <x:v>closing cost pdf</x:v>
      </x:c>
      <x:c r="AD46" s="10" t="str">
        <x:v>budget pdf</x:v>
      </x:c>
      <x:c r="AE46" s="10" t="str">
        <x:v>printable tracker</x:v>
      </x:c>
      <x:c r="AF46" s="10" t="str">
        <x:v>homebuyer budget</x:v>
      </x:c>
      <x:c r="AG46" s="10" t="str">
        <x:v>minimalist planner</x:v>
      </x:c>
      <x:c r="AH46" s="10" t="str">
        <x:v>Other mortgage-related</x:v>
      </x:c>
      <x:c r="AI46" s="13" t="n">
        <x:v>6</x:v>
      </x:c>
      <x:c r="AJ46" s="10" t="str">
        <x:f>IF(F46&gt;0,"Active","No est. sales")</x:f>
        <x:v>No est. sales</x:v>
      </x:c>
    </x:row>
    <x:row r="47">
      <x:c r="A47" s="10" t="str">
        <x:v>House - minimal icons</x:v>
      </x:c>
      <x:c r="B47" s="10" t="str">
        <x:v>https://www.etsy.com/listing/975188356/house-minimal-icons</x:v>
      </x:c>
      <x:c r="C47" s="10" t="str">
        <x:v>ErikaCraftz</x:v>
      </x:c>
      <x:c r="D47" s="10" t="str">
        <x:v>https://www.etsy.com/shop/ErikaCraftz</x:v>
      </x:c>
      <x:c r="E47" s="11" t="n">
        <x:v>3</x:v>
      </x:c>
      <x:c r="F47" s="10" t="n">
        <x:v>0</x:v>
      </x:c>
      <x:c r="G47" s="12" t="n">
        <x:v>0</x:v>
      </x:c>
      <x:c r="H47" s="13" t="n">
        <x:v>0</x:v>
      </x:c>
      <x:c r="I47" s="10" t="n">
        <x:v>21</x:v>
      </x:c>
      <x:c r="J47" s="10" t="n">
        <x:v>6</x:v>
      </x:c>
      <x:c r="K47" s="10" t="str">
        <x:v>48 Mo.</x:v>
      </x:c>
      <x:c r="L47" s="10" t="n">
        <x:v>55</x:v>
      </x:c>
      <x:c r="M47" s="10" t="n">
        <x:v>0</x:v>
      </x:c>
      <x:c r="N47" s="10" t="n">
        <x:v>181</x:v>
      </x:c>
      <x:c r="O47" s="10" t="str">
        <x:v>Paper &amp; Party Supplies</x:v>
      </x:c>
      <x:c r="P47" s="10" t="n">
        <x:v>77</x:v>
      </x:c>
      <x:c r="Q47" s="10" t="n">
        <x:v>0</x:v>
      </x:c>
      <x:c r="R47" s="13" t="n">
        <x:v>11.6</x:v>
      </x:c>
      <x:c r="S47" s="10" t="n">
        <x:v>29119</x:v>
      </x:c>
      <x:c r="T47" s="10" t="str">
        <x:v>rent,mortgage,bills,house,minimal planning,minimal icons,planner stickers,icon stickers</x:v>
      </x:c>
      <x:c r="U47" s="10" t="str">
        <x:v>rent</x:v>
      </x:c>
      <x:c r="V47" s="10" t="str">
        <x:v>mortgage</x:v>
      </x:c>
      <x:c r="W47" s="10" t="str">
        <x:v>bills</x:v>
      </x:c>
      <x:c r="X47" s="10" t="str">
        <x:v>house</x:v>
      </x:c>
      <x:c r="Y47" s="10" t="str">
        <x:v>minimal planning</x:v>
      </x:c>
      <x:c r="Z47" s="10" t="str">
        <x:v>minimal icons</x:v>
      </x:c>
      <x:c r="AA47" s="10" t="str">
        <x:v>planner stickers</x:v>
      </x:c>
      <x:c r="AB47" s="10" t="str">
        <x:v>icon stickers</x:v>
      </x:c>
      <x:c r="AC47" s="10" t="str">
        <x:v>--</x:v>
      </x:c>
      <x:c r="AD47" s="10" t="str">
        <x:v>--</x:v>
      </x:c>
      <x:c r="AE47" s="10" t="str">
        <x:v>--</x:v>
      </x:c>
      <x:c r="AF47" s="10" t="str">
        <x:v>--</x:v>
      </x:c>
      <x:c r="AG47" s="10" t="str">
        <x:v>--</x:v>
      </x:c>
      <x:c r="AH47" s="10" t="str">
        <x:v>Other mortgage-related</x:v>
      </x:c>
      <x:c r="AI47" s="13" t="n">
        <x:v>48</x:v>
      </x:c>
      <x:c r="AJ47" s="10" t="str">
        <x:f>IF(F47&gt;0,"Active","No est. sales")</x:f>
        <x:v>No est. sales</x:v>
      </x:c>
    </x:row>
    <x:row r="48">
      <x:c r="A48" s="10" t="str">
        <x:v>First Time Home Buyer Guide &amp; Workbook | Printable Homebuyer Checklist PDF | Mortgage Deposit Planner | Instant Download A4 A5</x:v>
      </x:c>
      <x:c r="B48" s="10" t="str">
        <x:v>https://www.etsy.com/listing/4521565279/first-time-home-buyer-guide-workbook</x:v>
      </x:c>
      <x:c r="C48" s="10" t="str">
        <x:v>LifeStructStudio</x:v>
      </x:c>
      <x:c r="D48" s="10" t="str">
        <x:v>https://www.etsy.com/shop/LifeStructStudio</x:v>
      </x:c>
      <x:c r="E48" s="11" t="n">
        <x:v>9.18</x:v>
      </x:c>
      <x:c r="F48" s="10" t="n">
        <x:v>0</x:v>
      </x:c>
      <x:c r="G48" s="12" t="n">
        <x:v>0</x:v>
      </x:c>
      <x:c r="H48" s="13" t="n">
        <x:v>0</x:v>
      </x:c>
      <x:c r="I48" s="10" t="n">
        <x:v>0</x:v>
      </x:c>
      <x:c r="J48" s="10" t="n">
        <x:v>0</x:v>
      </x:c>
      <x:c r="K48" s="10" t="str">
        <x:v>1 Mo.</x:v>
      </x:c>
      <x:c r="L48" s="10" t="n">
        <x:v>0</x:v>
      </x:c>
      <x:c r="M48" s="10" t="n">
        <x:v>0</x:v>
      </x:c>
      <x:c r="N48" s="10" t="n">
        <x:v>0</x:v>
      </x:c>
      <x:c r="O48" s="10" t="str">
        <x:v>Books, Movies &amp; Music</x:v>
      </x:c>
      <x:c r="P48" s="10" t="n">
        <x:v>2</x:v>
      </x:c>
      <x:c r="Q48" s="10" t="n">
        <x:v>0</x:v>
      </x:c>
      <x:c r="R48" s="13" t="n">
        <x:v>0</x:v>
      </x:c>
      <x:c r="S48" s="10" t="n">
        <x:v>1</x:v>
      </x:c>
      <x:c r="T48" s="10" t="str">
        <x:v>hunting buying ebook,house application,inspection financial,neighborhood closing,investment budgeting,ownership insurance,appraisal property,negotiation purchase,planning research,qualification estate,documentation saving,paperwork settlement,contract relocation</x:v>
      </x:c>
      <x:c r="U48" s="10" t="str">
        <x:v>hunting buying ebook</x:v>
      </x:c>
      <x:c r="V48" s="10" t="str">
        <x:v>house application</x:v>
      </x:c>
      <x:c r="W48" s="10" t="str">
        <x:v>inspection financial</x:v>
      </x:c>
      <x:c r="X48" s="10" t="str">
        <x:v>neighborhood closing</x:v>
      </x:c>
      <x:c r="Y48" s="10" t="str">
        <x:v>investment budgeting</x:v>
      </x:c>
      <x:c r="Z48" s="10" t="str">
        <x:v>ownership insurance</x:v>
      </x:c>
      <x:c r="AA48" s="10" t="str">
        <x:v>appraisal property</x:v>
      </x:c>
      <x:c r="AB48" s="10" t="str">
        <x:v>negotiation purchase</x:v>
      </x:c>
      <x:c r="AC48" s="10" t="str">
        <x:v>planning research</x:v>
      </x:c>
      <x:c r="AD48" s="10" t="str">
        <x:v>qualification estate</x:v>
      </x:c>
      <x:c r="AE48" s="10" t="str">
        <x:v>documentation saving</x:v>
      </x:c>
      <x:c r="AF48" s="10" t="str">
        <x:v>paperwork settlement</x:v>
      </x:c>
      <x:c r="AG48" s="10" t="str">
        <x:v>contract relocation</x:v>
      </x:c>
      <x:c r="AH48" s="10" t="str">
        <x:v>Home buying planner</x:v>
      </x:c>
      <x:c r="AI48" s="13" t="n">
        <x:v>1</x:v>
      </x:c>
      <x:c r="AJ48" s="10" t="str">
        <x:f>IF(F48&gt;0,"Active","No est. sales")</x:f>
        <x:v>No est. sales</x:v>
      </x:c>
    </x:row>
    <x:row r="49">
      <x:c r="A49" s="10" t="str">
        <x:v>Loan Amortization Spreadsheet: Debt Payoff Tracker | Google Sheets | Purple</x:v>
      </x:c>
      <x:c r="B49" s="10" t="str">
        <x:v>https://www.etsy.com/listing/4394983061/loan-amortization-spreadsheet-debt</x:v>
      </x:c>
      <x:c r="C49" s="10" t="str">
        <x:v>BusyBeePagesCo</x:v>
      </x:c>
      <x:c r="D49" s="10" t="str">
        <x:v>https://www.etsy.com/shop/BusyBeePagesCo</x:v>
      </x:c>
      <x:c r="E49" s="11" t="n">
        <x:v>5.99</x:v>
      </x:c>
      <x:c r="F49" s="10" t="n">
        <x:v>0</x:v>
      </x:c>
      <x:c r="G49" s="12" t="n">
        <x:v>0</x:v>
      </x:c>
      <x:c r="H49" s="13" t="n">
        <x:v>0</x:v>
      </x:c>
      <x:c r="I49" s="10" t="n">
        <x:v>0</x:v>
      </x:c>
      <x:c r="J49" s="10" t="n">
        <x:v>0</x:v>
      </x:c>
      <x:c r="K49" s="10" t="str">
        <x:v>9 Mo.</x:v>
      </x:c>
      <x:c r="L49" s="10" t="n">
        <x:v>0</x:v>
      </x:c>
      <x:c r="M49" s="10" t="n">
        <x:v>0</x:v>
      </x:c>
      <x:c r="N49" s="10" t="n">
        <x:v>3</x:v>
      </x:c>
      <x:c r="O49" s="10" t="str"/>
      <x:c r="P49" s="10" t="n">
        <x:v>13</x:v>
      </x:c>
      <x:c r="Q49" s="10" t="n">
        <x:v>0</x:v>
      </x:c>
      <x:c r="R49" s="13" t="n">
        <x:v>0</x:v>
      </x:c>
      <x:c r="S49" s="10" t="n">
        <x:v>1</x:v>
      </x:c>
      <x:c r="T49" s="10" t="str">
        <x:v>loan tracker,loan payoff,extra payments,mortgage tracker,payoff planner,debt payoff,amortization,early payoff,finance tracker,loan calculator,budget planner,debt tracker,payoff tracker</x:v>
      </x:c>
      <x:c r="U49" s="10" t="str">
        <x:v>loan tracker</x:v>
      </x:c>
      <x:c r="V49" s="10" t="str">
        <x:v>loan payoff</x:v>
      </x:c>
      <x:c r="W49" s="10" t="str">
        <x:v>extra payments</x:v>
      </x:c>
      <x:c r="X49" s="10" t="str">
        <x:v>mortgage tracker</x:v>
      </x:c>
      <x:c r="Y49" s="10" t="str">
        <x:v>payoff planner</x:v>
      </x:c>
      <x:c r="Z49" s="10" t="str">
        <x:v>debt payoff</x:v>
      </x:c>
      <x:c r="AA49" s="10" t="str">
        <x:v>amortization</x:v>
      </x:c>
      <x:c r="AB49" s="10" t="str">
        <x:v>early payoff</x:v>
      </x:c>
      <x:c r="AC49" s="10" t="str">
        <x:v>finance tracker</x:v>
      </x:c>
      <x:c r="AD49" s="10" t="str">
        <x:v>loan calculator</x:v>
      </x:c>
      <x:c r="AE49" s="10" t="str">
        <x:v>budget planner</x:v>
      </x:c>
      <x:c r="AF49" s="10" t="str">
        <x:v>debt tracker</x:v>
      </x:c>
      <x:c r="AG49" s="10" t="str">
        <x:v>payoff tracker</x:v>
      </x:c>
      <x:c r="AH49" s="10" t="str">
        <x:v>General debt payoff</x:v>
      </x:c>
      <x:c r="AI49" s="13" t="n">
        <x:v>9</x:v>
      </x:c>
      <x:c r="AJ49" s="10" t="str">
        <x:f>IF(F49&gt;0,"Active","No est. sales")</x:f>
        <x:v>No est. sales</x:v>
      </x:c>
    </x:row>
    <x:row r="50">
      <x:c r="A50" s="10" t="str">
        <x:v>First Time Home Buyer Guide| Home Buyer Guide Template - 32 Pages - Simplify Your Home Buying Process | Canva Template | Downloadable</x:v>
      </x:c>
      <x:c r="B50" s="10" t="str">
        <x:v>https://www.etsy.com/listing/4305813926/first-time-home-buyer-guide-home-buyer</x:v>
      </x:c>
      <x:c r="C50" s="10" t="str">
        <x:v>PixelandPunch</x:v>
      </x:c>
      <x:c r="D50" s="10" t="str">
        <x:v>https://www.etsy.com/shop/PixelandPunch</x:v>
      </x:c>
      <x:c r="E50" s="11" t="n">
        <x:v>6.81</x:v>
      </x:c>
      <x:c r="F50" s="10" t="n">
        <x:v>0</x:v>
      </x:c>
      <x:c r="G50" s="12" t="n">
        <x:v>0</x:v>
      </x:c>
      <x:c r="H50" s="13" t="n">
        <x:v>0</x:v>
      </x:c>
      <x:c r="I50" s="10" t="n">
        <x:v>0</x:v>
      </x:c>
      <x:c r="J50" s="10" t="n">
        <x:v>0</x:v>
      </x:c>
      <x:c r="K50" s="10" t="str">
        <x:v>4 Mo.</x:v>
      </x:c>
      <x:c r="L50" s="10" t="n">
        <x:v>0</x:v>
      </x:c>
      <x:c r="M50" s="10" t="n">
        <x:v>0</x:v>
      </x:c>
      <x:c r="N50" s="10" t="n">
        <x:v>26</x:v>
      </x:c>
      <x:c r="O50" s="10" t="str">
        <x:v>Books, Movies &amp; Music</x:v>
      </x:c>
      <x:c r="P50" s="10" t="n">
        <x:v>6</x:v>
      </x:c>
      <x:c r="Q50" s="10" t="n">
        <x:v>0</x:v>
      </x:c>
      <x:c r="R50" s="13" t="n">
        <x:v>0</x:v>
      </x:c>
      <x:c r="S50" s="10" t="n">
        <x:v>2</x:v>
      </x:c>
      <x:c r="T50" s="10" t="str">
        <x:v>house buyer,home buying guide,real estate tips,homeowner checklist,mortgage planner,home buying binder,house hunting kit,digital home guide,new homeowner pdf,budgeting for home,property buying tips,download guide,ebook</x:v>
      </x:c>
      <x:c r="U50" s="10" t="str">
        <x:v>house buyer</x:v>
      </x:c>
      <x:c r="V50" s="10" t="str">
        <x:v>home buying guide</x:v>
      </x:c>
      <x:c r="W50" s="10" t="str">
        <x:v>real estate tips</x:v>
      </x:c>
      <x:c r="X50" s="10" t="str">
        <x:v>homeowner checklist</x:v>
      </x:c>
      <x:c r="Y50" s="10" t="str">
        <x:v>mortgage planner</x:v>
      </x:c>
      <x:c r="Z50" s="10" t="str">
        <x:v>home buying binder</x:v>
      </x:c>
      <x:c r="AA50" s="10" t="str">
        <x:v>house hunting kit</x:v>
      </x:c>
      <x:c r="AB50" s="10" t="str">
        <x:v>digital home guide</x:v>
      </x:c>
      <x:c r="AC50" s="10" t="str">
        <x:v>new homeowner pdf</x:v>
      </x:c>
      <x:c r="AD50" s="10" t="str">
        <x:v>budgeting for home</x:v>
      </x:c>
      <x:c r="AE50" s="10" t="str">
        <x:v>property buying tips</x:v>
      </x:c>
      <x:c r="AF50" s="10" t="str">
        <x:v>download guide</x:v>
      </x:c>
      <x:c r="AG50" s="10" t="str">
        <x:v>ebook</x:v>
      </x:c>
      <x:c r="AH50" s="10" t="str">
        <x:v>Home buying planner</x:v>
      </x:c>
      <x:c r="AI50" s="13" t="n">
        <x:v>4</x:v>
      </x:c>
      <x:c r="AJ50" s="10" t="str">
        <x:f>IF(F50&gt;0,"Active","No est. sales")</x:f>
        <x:v>No est. sales</x:v>
      </x:c>
    </x:row>
    <x:row r="51">
      <x:c r="A51" s="10" t="str">
        <x:v>First Time Home Buyer Guide | Home Buying Spreadsheet | House Comparison Tool | Mortgage Calculator | Home Inspection Checklist | Excel</x:v>
      </x:c>
      <x:c r="B51" s="10" t="str">
        <x:v>https://www.etsy.com/listing/4479407972/first-time-home-buyer-guide-home-buying</x:v>
      </x:c>
      <x:c r="C51" s="10" t="str">
        <x:v>SheetWize</x:v>
      </x:c>
      <x:c r="D51" s="10" t="str">
        <x:v>https://www.etsy.com/shop/SheetWize</x:v>
      </x:c>
      <x:c r="E51" s="11" t="n">
        <x:v>14.99</x:v>
      </x:c>
      <x:c r="F51" s="10" t="n">
        <x:v>0</x:v>
      </x:c>
      <x:c r="G51" s="12" t="n">
        <x:v>0</x:v>
      </x:c>
      <x:c r="H51" s="13" t="n">
        <x:v>0</x:v>
      </x:c>
      <x:c r="I51" s="10" t="n">
        <x:v>0</x:v>
      </x:c>
      <x:c r="J51" s="10" t="n">
        <x:v>0</x:v>
      </x:c>
      <x:c r="K51" s="10" t="str">
        <x:v>1 Mo.</x:v>
      </x:c>
      <x:c r="L51" s="10" t="n">
        <x:v>0</x:v>
      </x:c>
      <x:c r="M51" s="10" t="n">
        <x:v>0</x:v>
      </x:c>
      <x:c r="N51" s="10" t="n">
        <x:v>14</x:v>
      </x:c>
      <x:c r="O51" s="10" t="str"/>
      <x:c r="P51" s="10" t="n">
        <x:v>1</x:v>
      </x:c>
      <x:c r="Q51" s="10" t="n">
        <x:v>0</x:v>
      </x:c>
      <x:c r="R51" s="13" t="n">
        <x:v>0</x:v>
      </x:c>
      <x:c r="S51" s="10" t="n">
        <x:v>2</x:v>
      </x:c>
      <x:c r="T51" s="10" t="str">
        <x:v>home buyer guide,home buying planner,house checklist,mortgage calculator,home comparison,home inspection,house hunting,new home checklist,home spreadsheet,real estate tool,home buying kit,excel template,google sheets</x:v>
      </x:c>
      <x:c r="U51" s="10" t="str">
        <x:v>home buyer guide</x:v>
      </x:c>
      <x:c r="V51" s="10" t="str">
        <x:v>home buying planner</x:v>
      </x:c>
      <x:c r="W51" s="10" t="str">
        <x:v>house checklist</x:v>
      </x:c>
      <x:c r="X51" s="10" t="str">
        <x:v>mortgage calculator</x:v>
      </x:c>
      <x:c r="Y51" s="10" t="str">
        <x:v>home comparison</x:v>
      </x:c>
      <x:c r="Z51" s="10" t="str">
        <x:v>home inspection</x:v>
      </x:c>
      <x:c r="AA51" s="10" t="str">
        <x:v>house hunting</x:v>
      </x:c>
      <x:c r="AB51" s="10" t="str">
        <x:v>new home checklist</x:v>
      </x:c>
      <x:c r="AC51" s="10" t="str">
        <x:v>home spreadsheet</x:v>
      </x:c>
      <x:c r="AD51" s="10" t="str">
        <x:v>real estate tool</x:v>
      </x:c>
      <x:c r="AE51" s="10" t="str">
        <x:v>home buying kit</x:v>
      </x:c>
      <x:c r="AF51" s="10" t="str">
        <x:v>excel template</x:v>
      </x:c>
      <x:c r="AG51" s="10" t="str">
        <x:v>google sheets</x:v>
      </x:c>
      <x:c r="AH51" s="10" t="str">
        <x:v>Home buying planner</x:v>
      </x:c>
      <x:c r="AI51" s="13" t="n">
        <x:v>1</x:v>
      </x:c>
      <x:c r="AJ51" s="10" t="str">
        <x:f>IF(F51&gt;0,"Active","No est. sales")</x:f>
        <x:v>No est. sales</x:v>
      </x:c>
    </x:row>
    <x:row r="52">
      <x:c r="A52" s="10" t="str">
        <x:v>First-Time Home Buyer Excel Planner | Budget &amp; Mortgage Calculator Spreadsheet | Editable Template</x:v>
      </x:c>
      <x:c r="B52" s="10" t="str">
        <x:v>https://www.etsy.com/listing/4472072702/first-time-homebuyer-budget-spreadsheet</x:v>
      </x:c>
      <x:c r="C52" s="10" t="str">
        <x:v>TheHomeStretchShop</x:v>
      </x:c>
      <x:c r="D52" s="10" t="str">
        <x:v>https://www.etsy.com/shop/TheHomeStretchShop</x:v>
      </x:c>
      <x:c r="E52" s="11" t="n">
        <x:v>9.99</x:v>
      </x:c>
      <x:c r="F52" s="10" t="n">
        <x:v>0</x:v>
      </x:c>
      <x:c r="G52" s="12" t="n">
        <x:v>0</x:v>
      </x:c>
      <x:c r="H52" s="13" t="n">
        <x:v>0</x:v>
      </x:c>
      <x:c r="I52" s="10" t="n">
        <x:v>0</x:v>
      </x:c>
      <x:c r="J52" s="10" t="n">
        <x:v>0</x:v>
      </x:c>
      <x:c r="K52" s="10" t="str">
        <x:v>1 Mo.</x:v>
      </x:c>
      <x:c r="L52" s="10" t="n">
        <x:v>0</x:v>
      </x:c>
      <x:c r="M52" s="10" t="n">
        <x:v>0</x:v>
      </x:c>
      <x:c r="N52" s="10" t="n">
        <x:v>21</x:v>
      </x:c>
      <x:c r="O52" s="10" t="str"/>
      <x:c r="P52" s="10" t="n">
        <x:v>1</x:v>
      </x:c>
      <x:c r="Q52" s="10" t="n">
        <x:v>0</x:v>
      </x:c>
      <x:c r="R52" s="13" t="n">
        <x:v>0</x:v>
      </x:c>
      <x:c r="S52" s="10" t="n">
        <x:v>0</x:v>
      </x:c>
      <x:c r="T52" s="10" t="str">
        <x:v>home buyer planner,budget planner excel,mortgage calculator,down payment planner,home finance planner,first time homebuyer,house budget planner,real estate planner,home buying guide,buyer spreadsheet,home spreadsheet,finance excel,excel budget sheet</x:v>
      </x:c>
      <x:c r="U52" s="10" t="str">
        <x:v>home buyer planner</x:v>
      </x:c>
      <x:c r="V52" s="10" t="str">
        <x:v>budget planner excel</x:v>
      </x:c>
      <x:c r="W52" s="10" t="str">
        <x:v>mortgage calculator</x:v>
      </x:c>
      <x:c r="X52" s="10" t="str">
        <x:v>down payment planner</x:v>
      </x:c>
      <x:c r="Y52" s="10" t="str">
        <x:v>home finance planner</x:v>
      </x:c>
      <x:c r="Z52" s="10" t="str">
        <x:v>first time homebuyer</x:v>
      </x:c>
      <x:c r="AA52" s="10" t="str">
        <x:v>house budget planner</x:v>
      </x:c>
      <x:c r="AB52" s="10" t="str">
        <x:v>real estate planner</x:v>
      </x:c>
      <x:c r="AC52" s="10" t="str">
        <x:v>home buying guide</x:v>
      </x:c>
      <x:c r="AD52" s="10" t="str">
        <x:v>buyer spreadsheet</x:v>
      </x:c>
      <x:c r="AE52" s="10" t="str">
        <x:v>home spreadsheet</x:v>
      </x:c>
      <x:c r="AF52" s="10" t="str">
        <x:v>finance excel</x:v>
      </x:c>
      <x:c r="AG52" s="10" t="str">
        <x:v>excel budget sheet</x:v>
      </x:c>
      <x:c r="AH52" s="10" t="str">
        <x:v>Home buying planner</x:v>
      </x:c>
      <x:c r="AI52" s="13" t="n">
        <x:v>1</x:v>
      </x:c>
      <x:c r="AJ52" s="10" t="str">
        <x:f>IF(F52&gt;0,"Active","No est. sales")</x:f>
        <x:v>No est. sales</x:v>
      </x:c>
    </x:row>
    <x:row r="53">
      <x:c r="A53" s="10" t="str">
        <x:v>Credit Utilization Optimization Toolkit | Statement Date Payment Planner | Credit Score Preparation System for Loans &amp; Approvals</x:v>
      </x:c>
      <x:c r="B53" s="10" t="str">
        <x:v>https://www.etsy.com/listing/4472705505/credit-utilization-optimization-toolkit</x:v>
      </x:c>
      <x:c r="C53" s="10" t="str">
        <x:v>CreditMama</x:v>
      </x:c>
      <x:c r="D53" s="10" t="str">
        <x:v>https://www.etsy.com/shop/CreditMama</x:v>
      </x:c>
      <x:c r="E53" s="11" t="n">
        <x:v>39</x:v>
      </x:c>
      <x:c r="F53" s="10" t="n">
        <x:v>0</x:v>
      </x:c>
      <x:c r="G53" s="12" t="n">
        <x:v>0</x:v>
      </x:c>
      <x:c r="H53" s="13" t="n">
        <x:v>0</x:v>
      </x:c>
      <x:c r="I53" s="10" t="n">
        <x:v>0</x:v>
      </x:c>
      <x:c r="J53" s="10" t="n">
        <x:v>0</x:v>
      </x:c>
      <x:c r="K53" s="10" t="str">
        <x:v>2 Mo.</x:v>
      </x:c>
      <x:c r="L53" s="10" t="n">
        <x:v>0</x:v>
      </x:c>
      <x:c r="M53" s="10" t="n">
        <x:v>0</x:v>
      </x:c>
      <x:c r="N53" s="10" t="n">
        <x:v>10</x:v>
      </x:c>
      <x:c r="O53" s="10" t="str"/>
      <x:c r="P53" s="10" t="n">
        <x:v>2</x:v>
      </x:c>
      <x:c r="Q53" s="10" t="n">
        <x:v>0</x:v>
      </x:c>
      <x:c r="R53" s="13" t="n">
        <x:v>0</x:v>
      </x:c>
      <x:c r="S53" s="10" t="n">
        <x:v>0</x:v>
      </x:c>
      <x:c r="T53" s="10" t="str">
        <x:v>credit utilization,utilization tracker,statement date,credit card timing,credit payment plan,improve credit,boost credit score,credit repair tool,mortgage prep,loan prep tool,credit card tracker,google sheets tool,spreadsheet planner</x:v>
      </x:c>
      <x:c r="U53" s="10" t="str">
        <x:v>credit utilization</x:v>
      </x:c>
      <x:c r="V53" s="10" t="str">
        <x:v>utilization tracker</x:v>
      </x:c>
      <x:c r="W53" s="10" t="str">
        <x:v>statement date</x:v>
      </x:c>
      <x:c r="X53" s="10" t="str">
        <x:v>credit card timing</x:v>
      </x:c>
      <x:c r="Y53" s="10" t="str">
        <x:v>credit payment plan</x:v>
      </x:c>
      <x:c r="Z53" s="10" t="str">
        <x:v>improve credit</x:v>
      </x:c>
      <x:c r="AA53" s="10" t="str">
        <x:v>boost credit score</x:v>
      </x:c>
      <x:c r="AB53" s="10" t="str">
        <x:v>credit repair tool</x:v>
      </x:c>
      <x:c r="AC53" s="10" t="str">
        <x:v>mortgage prep</x:v>
      </x:c>
      <x:c r="AD53" s="10" t="str">
        <x:v>loan prep tool</x:v>
      </x:c>
      <x:c r="AE53" s="10" t="str">
        <x:v>credit card tracker</x:v>
      </x:c>
      <x:c r="AF53" s="10" t="str">
        <x:v>google sheets tool</x:v>
      </x:c>
      <x:c r="AG53" s="10" t="str">
        <x:v>spreadsheet planner</x:v>
      </x:c>
      <x:c r="AH53" s="10" t="str">
        <x:v>Other mortgage-related</x:v>
      </x:c>
      <x:c r="AI53" s="13" t="n">
        <x:v>2</x:v>
      </x:c>
      <x:c r="AJ53" s="10" t="str">
        <x:f>IF(F53&gt;0,"Active","No est. sales")</x:f>
        <x:v>No est. sales</x:v>
      </x:c>
    </x:row>
    <x:row r="54">
      <x:c r="A54" s="10" t="str">
        <x:v>Debt Snowball Tracker, Google Sheets, Loan Tracker, Debt Payoff, Debt Payment Tracker, Debt Planner, Snowball Calculator, Debt Avalanche</x:v>
      </x:c>
      <x:c r="B54" s="10" t="str">
        <x:v>https://www.etsy.com/listing/1712375851/debt-snowball-tracker-google-sheets-loan</x:v>
      </x:c>
      <x:c r="C54" s="10" t="str">
        <x:v>CeceHaven</x:v>
      </x:c>
      <x:c r="D54" s="10" t="str">
        <x:v>https://www.etsy.com/shop/CeceHaven</x:v>
      </x:c>
      <x:c r="E54" s="11" t="n">
        <x:v>3.57</x:v>
      </x:c>
      <x:c r="F54" s="10" t="n">
        <x:v>0</x:v>
      </x:c>
      <x:c r="G54" s="12" t="n">
        <x:v>0</x:v>
      </x:c>
      <x:c r="H54" s="13" t="n">
        <x:v>0</x:v>
      </x:c>
      <x:c r="I54" s="10" t="n">
        <x:v>0</x:v>
      </x:c>
      <x:c r="J54" s="10" t="n">
        <x:v>0</x:v>
      </x:c>
      <x:c r="K54" s="10" t="str">
        <x:v>11 Mo.</x:v>
      </x:c>
      <x:c r="L54" s="10" t="n">
        <x:v>0</x:v>
      </x:c>
      <x:c r="M54" s="10" t="n">
        <x:v>0</x:v>
      </x:c>
      <x:c r="N54" s="10" t="n">
        <x:v>0</x:v>
      </x:c>
      <x:c r="O54" s="10" t="str"/>
      <x:c r="P54" s="10" t="n">
        <x:v>16</x:v>
      </x:c>
      <x:c r="Q54" s="10" t="n">
        <x:v>0</x:v>
      </x:c>
      <x:c r="R54" s="13" t="n">
        <x:v>0</x:v>
      </x:c>
      <x:c r="S54" s="10" t="n">
        <x:v>3</x:v>
      </x:c>
      <x:c r="T54" s="10" t="str">
        <x:v>debt payoff tracker,debt snowball,debt payment tracker,debt calculator,debt planner,snowball method,credit card tracker,debt repayment,mortgage payoff,debt avalanche,personal finance,google sheets,loan tracker</x:v>
      </x:c>
      <x:c r="U54" s="10" t="str">
        <x:v>debt payoff tracker</x:v>
      </x:c>
      <x:c r="V54" s="10" t="str">
        <x:v>debt snowball</x:v>
      </x:c>
      <x:c r="W54" s="10" t="str">
        <x:v>debt payment tracker</x:v>
      </x:c>
      <x:c r="X54" s="10" t="str">
        <x:v>debt calculator</x:v>
      </x:c>
      <x:c r="Y54" s="10" t="str">
        <x:v>debt planner</x:v>
      </x:c>
      <x:c r="Z54" s="10" t="str">
        <x:v>snowball method</x:v>
      </x:c>
      <x:c r="AA54" s="10" t="str">
        <x:v>credit card tracker</x:v>
      </x:c>
      <x:c r="AB54" s="10" t="str">
        <x:v>debt repayment</x:v>
      </x:c>
      <x:c r="AC54" s="10" t="str">
        <x:v>mortgage payoff</x:v>
      </x:c>
      <x:c r="AD54" s="10" t="str">
        <x:v>debt avalanche</x:v>
      </x:c>
      <x:c r="AE54" s="10" t="str">
        <x:v>personal finance</x:v>
      </x:c>
      <x:c r="AF54" s="10" t="str">
        <x:v>google sheets</x:v>
      </x:c>
      <x:c r="AG54" s="10" t="str">
        <x:v>loan tracker</x:v>
      </x:c>
      <x:c r="AH54" s="10" t="str">
        <x:v>General debt payoff</x:v>
      </x:c>
      <x:c r="AI54" s="13" t="n">
        <x:v>11</x:v>
      </x:c>
      <x:c r="AJ54" s="10" t="str">
        <x:f>IF(F54&gt;0,"Active","No est. sales")</x:f>
        <x:v>No est. sales</x:v>
      </x:c>
    </x:row>
    <x:row r="55">
      <x:c r="A55" s="10" t="str">
        <x:v>Monthly expenses tracker printable, Finance planner, Budget tracker, Spending log, Monthly budget, PDF digital monthly expenses tracker</x:v>
      </x:c>
      <x:c r="B55" s="10" t="str">
        <x:v>https://www.etsy.com/listing/1643134464/monthly-expenses-tracker-printable</x:v>
      </x:c>
      <x:c r="C55" s="10" t="str">
        <x:v>RaeDigitalCreations</x:v>
      </x:c>
      <x:c r="D55" s="10" t="str">
        <x:v>https://www.etsy.com/shop/RaeDigitalCreations</x:v>
      </x:c>
      <x:c r="E55" s="11" t="n">
        <x:v>1.5</x:v>
      </x:c>
      <x:c r="F55" s="10" t="n">
        <x:v>0</x:v>
      </x:c>
      <x:c r="G55" s="12" t="n">
        <x:v>0</x:v>
      </x:c>
      <x:c r="H55" s="13" t="n">
        <x:v>0</x:v>
      </x:c>
      <x:c r="I55" s="10" t="n">
        <x:v>0</x:v>
      </x:c>
      <x:c r="J55" s="10" t="n">
        <x:v>0</x:v>
      </x:c>
      <x:c r="K55" s="10" t="str">
        <x:v>30 Mo.</x:v>
      </x:c>
      <x:c r="L55" s="10" t="n">
        <x:v>0</x:v>
      </x:c>
      <x:c r="M55" s="10" t="n">
        <x:v>0</x:v>
      </x:c>
      <x:c r="N55" s="10" t="n">
        <x:v>7</x:v>
      </x:c>
      <x:c r="O55" s="10" t="str"/>
      <x:c r="P55" s="10" t="n">
        <x:v>33</x:v>
      </x:c>
      <x:c r="Q55" s="10" t="n">
        <x:v>0</x:v>
      </x:c>
      <x:c r="R55" s="13" t="n">
        <x:v>0</x:v>
      </x:c>
      <x:c r="S55" s="10" t="n">
        <x:v>343</x:v>
      </x:c>
      <x:c r="T55" s="10" t="str">
        <x:v>paycheck budget,saving tracker,cash tracker,monthly budget,student loan tracker,finance tracker,debt tracker,mortgage tracker,budget planner,money planner,monthly expenses log,expense tracker,purchase log</x:v>
      </x:c>
      <x:c r="U55" s="10" t="str">
        <x:v>paycheck budget</x:v>
      </x:c>
      <x:c r="V55" s="10" t="str">
        <x:v>saving tracker</x:v>
      </x:c>
      <x:c r="W55" s="10" t="str">
        <x:v>cash tracker</x:v>
      </x:c>
      <x:c r="X55" s="10" t="str">
        <x:v>monthly budget</x:v>
      </x:c>
      <x:c r="Y55" s="10" t="str">
        <x:v>student loan tracker</x:v>
      </x:c>
      <x:c r="Z55" s="10" t="str">
        <x:v>finance tracker</x:v>
      </x:c>
      <x:c r="AA55" s="10" t="str">
        <x:v>debt tracker</x:v>
      </x:c>
      <x:c r="AB55" s="10" t="str">
        <x:v>mortgage tracker</x:v>
      </x:c>
      <x:c r="AC55" s="10" t="str">
        <x:v>budget planner</x:v>
      </x:c>
      <x:c r="AD55" s="10" t="str">
        <x:v>money planner</x:v>
      </x:c>
      <x:c r="AE55" s="10" t="str">
        <x:v>monthly expenses log</x:v>
      </x:c>
      <x:c r="AF55" s="10" t="str">
        <x:v>expense tracker</x:v>
      </x:c>
      <x:c r="AG55" s="10" t="str">
        <x:v>purchase log</x:v>
      </x:c>
      <x:c r="AH55" s="10" t="str">
        <x:v>Other mortgage-related</x:v>
      </x:c>
      <x:c r="AI55" s="13" t="n">
        <x:v>30</x:v>
      </x:c>
      <x:c r="AJ55" s="10" t="str">
        <x:f>IF(F55&gt;0,"Active","No est. sales")</x:f>
        <x:v>No est. sales</x:v>
      </x:c>
    </x:row>
    <x:row r="56">
      <x:c r="A56" s="10" t="str">
        <x:v>Loan Amortization Spreadsheet: Debt Payoff Tracker | Google Sheets | Yellow</x:v>
      </x:c>
      <x:c r="B56" s="10" t="str">
        <x:v>https://www.etsy.com/listing/4395246367/loan-amortization-spreadsheet-debt</x:v>
      </x:c>
      <x:c r="C56" s="10" t="str">
        <x:v>BusyBeePagesCo</x:v>
      </x:c>
      <x:c r="D56" s="10" t="str">
        <x:v>https://www.etsy.com/shop/BusyBeePagesCo</x:v>
      </x:c>
      <x:c r="E56" s="11" t="n">
        <x:v>5.99</x:v>
      </x:c>
      <x:c r="F56" s="10" t="n">
        <x:v>0</x:v>
      </x:c>
      <x:c r="G56" s="12" t="n">
        <x:v>0</x:v>
      </x:c>
      <x:c r="H56" s="13" t="n">
        <x:v>0</x:v>
      </x:c>
      <x:c r="I56" s="10" t="n">
        <x:v>0</x:v>
      </x:c>
      <x:c r="J56" s="10" t="n">
        <x:v>0</x:v>
      </x:c>
      <x:c r="K56" s="10" t="str">
        <x:v>9 Mo.</x:v>
      </x:c>
      <x:c r="L56" s="10" t="n">
        <x:v>0</x:v>
      </x:c>
      <x:c r="M56" s="10" t="n">
        <x:v>0</x:v>
      </x:c>
      <x:c r="N56" s="10" t="n">
        <x:v>7</x:v>
      </x:c>
      <x:c r="O56" s="10" t="str"/>
      <x:c r="P56" s="10" t="n">
        <x:v>13</x:v>
      </x:c>
      <x:c r="Q56" s="10" t="n">
        <x:v>0</x:v>
      </x:c>
      <x:c r="R56" s="13" t="n">
        <x:v>0</x:v>
      </x:c>
      <x:c r="S56" s="10" t="n">
        <x:v>1</x:v>
      </x:c>
      <x:c r="T56" s="10" t="str">
        <x:v>loan tracker,loan payoff,extra payments,mortgage tracker,payoff planner,debt payoff,amortization,early payoff,finance tracker,loan calculator,budget planner,debt tracker,payoff tracker</x:v>
      </x:c>
      <x:c r="U56" s="10" t="str">
        <x:v>loan tracker</x:v>
      </x:c>
      <x:c r="V56" s="10" t="str">
        <x:v>loan payoff</x:v>
      </x:c>
      <x:c r="W56" s="10" t="str">
        <x:v>extra payments</x:v>
      </x:c>
      <x:c r="X56" s="10" t="str">
        <x:v>mortgage tracker</x:v>
      </x:c>
      <x:c r="Y56" s="10" t="str">
        <x:v>payoff planner</x:v>
      </x:c>
      <x:c r="Z56" s="10" t="str">
        <x:v>debt payoff</x:v>
      </x:c>
      <x:c r="AA56" s="10" t="str">
        <x:v>amortization</x:v>
      </x:c>
      <x:c r="AB56" s="10" t="str">
        <x:v>early payoff</x:v>
      </x:c>
      <x:c r="AC56" s="10" t="str">
        <x:v>finance tracker</x:v>
      </x:c>
      <x:c r="AD56" s="10" t="str">
        <x:v>loan calculator</x:v>
      </x:c>
      <x:c r="AE56" s="10" t="str">
        <x:v>budget planner</x:v>
      </x:c>
      <x:c r="AF56" s="10" t="str">
        <x:v>debt tracker</x:v>
      </x:c>
      <x:c r="AG56" s="10" t="str">
        <x:v>payoff tracker</x:v>
      </x:c>
      <x:c r="AH56" s="10" t="str">
        <x:v>General debt payoff</x:v>
      </x:c>
      <x:c r="AI56" s="13" t="n">
        <x:v>9</x:v>
      </x:c>
      <x:c r="AJ56" s="10" t="str">
        <x:f>IF(F56&gt;0,"Active","No est. sales")</x:f>
        <x:v>No est. sales</x:v>
      </x:c>
    </x:row>
    <x:row r="57">
      <x:c r="A57" s="10" t="str">
        <x:v>Rent vs Buy Calculator Spreadsheet (Hong Kong) | Lifetime Home Cost Comparison (Excel, Google Sheets)</x:v>
      </x:c>
      <x:c r="B57" s="10" t="str">
        <x:v>https://www.etsy.com/listing/4512682873/rent-vs-buy-calculator-spreadsheet-hong</x:v>
      </x:c>
      <x:c r="C57" s="10" t="str">
        <x:v>CellCraftShop</x:v>
      </x:c>
      <x:c r="D57" s="10" t="str">
        <x:v>https://www.etsy.com/shop/CellCraftShop</x:v>
      </x:c>
      <x:c r="E57" s="11" t="n">
        <x:v>24.99</x:v>
      </x:c>
      <x:c r="F57" s="10" t="n">
        <x:v>0</x:v>
      </x:c>
      <x:c r="G57" s="12" t="n">
        <x:v>0</x:v>
      </x:c>
      <x:c r="H57" s="13" t="n">
        <x:v>0</x:v>
      </x:c>
      <x:c r="I57" s="10" t="n">
        <x:v>0</x:v>
      </x:c>
      <x:c r="J57" s="10" t="n">
        <x:v>0</x:v>
      </x:c>
      <x:c r="K57" s="10" t="str">
        <x:v>1 Mo.</x:v>
      </x:c>
      <x:c r="L57" s="10" t="n">
        <x:v>1</x:v>
      </x:c>
      <x:c r="M57" s="10" t="n">
        <x:v>0</x:v>
      </x:c>
      <x:c r="N57" s="10" t="n">
        <x:v>4</x:v>
      </x:c>
      <x:c r="O57" s="10" t="str"/>
      <x:c r="P57" s="10" t="n">
        <x:v>2</x:v>
      </x:c>
      <x:c r="Q57" s="10" t="n">
        <x:v>0</x:v>
      </x:c>
      <x:c r="R57" s="13" t="n">
        <x:v>0</x:v>
      </x:c>
      <x:c r="S57" s="10" t="n">
        <x:v>4</x:v>
      </x:c>
      <x:c r="T57" s="10" t="str">
        <x:v>rent vs buy,rent vs buy calc,home buying tool,first time buyer,mortgage calculator,home cost analysis,real estate planner,buy or rent sheet,housing cost tool,excel home calc,google sheets calc,home finance tool,property cost calc</x:v>
      </x:c>
      <x:c r="U57" s="10" t="str">
        <x:v>rent vs buy</x:v>
      </x:c>
      <x:c r="V57" s="10" t="str">
        <x:v>rent vs buy calc</x:v>
      </x:c>
      <x:c r="W57" s="10" t="str">
        <x:v>home buying tool</x:v>
      </x:c>
      <x:c r="X57" s="10" t="str">
        <x:v>first time buyer</x:v>
      </x:c>
      <x:c r="Y57" s="10" t="str">
        <x:v>mortgage calculator</x:v>
      </x:c>
      <x:c r="Z57" s="10" t="str">
        <x:v>home cost analysis</x:v>
      </x:c>
      <x:c r="AA57" s="10" t="str">
        <x:v>real estate planner</x:v>
      </x:c>
      <x:c r="AB57" s="10" t="str">
        <x:v>buy or rent sheet</x:v>
      </x:c>
      <x:c r="AC57" s="10" t="str">
        <x:v>housing cost tool</x:v>
      </x:c>
      <x:c r="AD57" s="10" t="str">
        <x:v>excel home calc</x:v>
      </x:c>
      <x:c r="AE57" s="10" t="str">
        <x:v>google sheets calc</x:v>
      </x:c>
      <x:c r="AF57" s="10" t="str">
        <x:v>home finance tool</x:v>
      </x:c>
      <x:c r="AG57" s="10" t="str">
        <x:v>property cost calc</x:v>
      </x:c>
      <x:c r="AH57" s="10" t="str">
        <x:v>Other mortgage-related</x:v>
      </x:c>
      <x:c r="AI57" s="13" t="n">
        <x:v>1</x:v>
      </x:c>
      <x:c r="AJ57" s="10" t="str">
        <x:f>IF(F57&gt;0,"Active","No est. sales")</x:f>
        <x:v>No est. sales</x:v>
      </x:c>
    </x:row>
    <x:row r="58">
      <x:c r="A58" s="10" t="str">
        <x:v>Home Buying Planner Printable | Mortgage Budget, House Hunt Checklist, Loan Tracker &amp; Notes | Digital Download for First-Time Buyers</x:v>
      </x:c>
      <x:c r="B58" s="10" t="str">
        <x:v>https://www.etsy.com/listing/1891487178/home-buying-planner-printable-mortgage</x:v>
      </x:c>
      <x:c r="C58" s="10" t="str">
        <x:v>DigitalRealEstatePro</x:v>
      </x:c>
      <x:c r="D58" s="10" t="str">
        <x:v>https://www.etsy.com/shop/DigitalRealEstatePro</x:v>
      </x:c>
      <x:c r="E58" s="11" t="n">
        <x:v>5</x:v>
      </x:c>
      <x:c r="F58" s="10" t="n">
        <x:v>0</x:v>
      </x:c>
      <x:c r="G58" s="12" t="n">
        <x:v>0</x:v>
      </x:c>
      <x:c r="H58" s="13" t="n">
        <x:v>0</x:v>
      </x:c>
      <x:c r="I58" s="10" t="n">
        <x:v>0</x:v>
      </x:c>
      <x:c r="J58" s="10" t="n">
        <x:v>0</x:v>
      </x:c>
      <x:c r="K58" s="10" t="str">
        <x:v>4 Mo.</x:v>
      </x:c>
      <x:c r="L58" s="10" t="n">
        <x:v>2</x:v>
      </x:c>
      <x:c r="M58" s="10" t="n">
        <x:v>0</x:v>
      </x:c>
      <x:c r="N58" s="10" t="n">
        <x:v>17</x:v>
      </x:c>
      <x:c r="O58" s="10" t="str">
        <x:v>Paper &amp; Party Supplies</x:v>
      </x:c>
      <x:c r="P58" s="10" t="n">
        <x:v>5</x:v>
      </x:c>
      <x:c r="Q58" s="10" t="n">
        <x:v>0</x:v>
      </x:c>
      <x:c r="R58" s="13" t="n">
        <x:v>0</x:v>
      </x:c>
      <x:c r="S58" s="10" t="n">
        <x:v>7</x:v>
      </x:c>
      <x:c r="T58" s="10" t="str">
        <x:v>home buying planner,house hunt guide,mortgage tracker,real estate planner,printable checklist,buying a home pdf,loan tracker sheet,home budget plan,house search log,property checklist,first home planner,digital home binder,new home checklist</x:v>
      </x:c>
      <x:c r="U58" s="10" t="str">
        <x:v>home buying planner</x:v>
      </x:c>
      <x:c r="V58" s="10" t="str">
        <x:v>house hunt guide</x:v>
      </x:c>
      <x:c r="W58" s="10" t="str">
        <x:v>mortgage tracker</x:v>
      </x:c>
      <x:c r="X58" s="10" t="str">
        <x:v>real estate planner</x:v>
      </x:c>
      <x:c r="Y58" s="10" t="str">
        <x:v>printable checklist</x:v>
      </x:c>
      <x:c r="Z58" s="10" t="str">
        <x:v>buying a home pdf</x:v>
      </x:c>
      <x:c r="AA58" s="10" t="str">
        <x:v>loan tracker sheet</x:v>
      </x:c>
      <x:c r="AB58" s="10" t="str">
        <x:v>home budget plan</x:v>
      </x:c>
      <x:c r="AC58" s="10" t="str">
        <x:v>house search log</x:v>
      </x:c>
      <x:c r="AD58" s="10" t="str">
        <x:v>property checklist</x:v>
      </x:c>
      <x:c r="AE58" s="10" t="str">
        <x:v>first home planner</x:v>
      </x:c>
      <x:c r="AF58" s="10" t="str">
        <x:v>digital home binder</x:v>
      </x:c>
      <x:c r="AG58" s="10" t="str">
        <x:v>new home checklist</x:v>
      </x:c>
      <x:c r="AH58" s="10" t="str">
        <x:v>Home buying planner</x:v>
      </x:c>
      <x:c r="AI58" s="13" t="n">
        <x:v>4</x:v>
      </x:c>
      <x:c r="AJ58" s="10" t="str">
        <x:f>IF(F58&gt;0,"Active","No est. sales")</x:f>
        <x:v>No est. sales</x:v>
      </x:c>
    </x:row>
    <x:row r="59">
      <x:c r="A59" s="10" t="str">
        <x:v>Mortgage-Ready Method: Step-by-Step House Fund Planner (Digital Download)</x:v>
      </x:c>
      <x:c r="B59" s="10" t="str">
        <x:v>https://www.etsy.com/listing/4460994091/mortgage-ready-method-step-by-step-house</x:v>
      </x:c>
      <x:c r="C59" s="10" t="str">
        <x:v>FinchyPlansLife</x:v>
      </x:c>
      <x:c r="D59" s="10" t="str">
        <x:v>https://www.etsy.com/shop/FinchyPlansLife</x:v>
      </x:c>
      <x:c r="E59" s="11" t="n">
        <x:v>18</x:v>
      </x:c>
      <x:c r="F59" s="10" t="n">
        <x:v>0</x:v>
      </x:c>
      <x:c r="G59" s="12" t="n">
        <x:v>0</x:v>
      </x:c>
      <x:c r="H59" s="13" t="n">
        <x:v>0</x:v>
      </x:c>
      <x:c r="I59" s="10" t="n">
        <x:v>0</x:v>
      </x:c>
      <x:c r="J59" s="10" t="n">
        <x:v>0</x:v>
      </x:c>
      <x:c r="K59" s="10" t="str">
        <x:v>3 Mo.</x:v>
      </x:c>
      <x:c r="L59" s="10" t="n">
        <x:v>0</x:v>
      </x:c>
      <x:c r="M59" s="10" t="n">
        <x:v>0</x:v>
      </x:c>
      <x:c r="N59" s="10" t="n">
        <x:v>12</x:v>
      </x:c>
      <x:c r="O59" s="10" t="str">
        <x:v>Books, Movies &amp; Music</x:v>
      </x:c>
      <x:c r="P59" s="10" t="n">
        <x:v>3</x:v>
      </x:c>
      <x:c r="Q59" s="10" t="n">
        <x:v>0</x:v>
      </x:c>
      <x:c r="R59" s="13" t="n">
        <x:v>0</x:v>
      </x:c>
      <x:c r="S59" s="10" t="n">
        <x:v>0</x:v>
      </x:c>
      <x:c r="T59" s="10" t="str">
        <x:v>mortgage planner,budgeting,mortgage budget,saving for house,house planning,home ownership,first home,first time buyer,homeowner planner,house budget,how to buy a house,mortgage prep,home purchase guide</x:v>
      </x:c>
      <x:c r="U59" s="10" t="str">
        <x:v>mortgage planner</x:v>
      </x:c>
      <x:c r="V59" s="10" t="str">
        <x:v>budgeting</x:v>
      </x:c>
      <x:c r="W59" s="10" t="str">
        <x:v>mortgage budget</x:v>
      </x:c>
      <x:c r="X59" s="10" t="str">
        <x:v>saving for house</x:v>
      </x:c>
      <x:c r="Y59" s="10" t="str">
        <x:v>house planning</x:v>
      </x:c>
      <x:c r="Z59" s="10" t="str">
        <x:v>home ownership</x:v>
      </x:c>
      <x:c r="AA59" s="10" t="str">
        <x:v>first home</x:v>
      </x:c>
      <x:c r="AB59" s="10" t="str">
        <x:v>first time buyer</x:v>
      </x:c>
      <x:c r="AC59" s="10" t="str">
        <x:v>homeowner planner</x:v>
      </x:c>
      <x:c r="AD59" s="10" t="str">
        <x:v>house budget</x:v>
      </x:c>
      <x:c r="AE59" s="10" t="str">
        <x:v>how to buy a house</x:v>
      </x:c>
      <x:c r="AF59" s="10" t="str">
        <x:v>mortgage prep</x:v>
      </x:c>
      <x:c r="AG59" s="10" t="str">
        <x:v>home purchase guide</x:v>
      </x:c>
      <x:c r="AH59" s="10" t="str">
        <x:v>Other mortgage-related</x:v>
      </x:c>
      <x:c r="AI59" s="13" t="n">
        <x:v>3</x:v>
      </x:c>
      <x:c r="AJ59" s="10" t="str">
        <x:f>IF(F59&gt;0,"Active","No est. sales")</x:f>
        <x:v>No est. sales</x:v>
      </x:c>
    </x:row>
    <x:row r="60">
      <x:c r="A60" s="10" t="str">
        <x:v>A5 Home Savings Printable - A5 Binder Insert - Customizable Budget Print</x:v>
      </x:c>
      <x:c r="B60" s="10" t="str">
        <x:v>https://www.etsy.com/listing/4356354631/a5-home-savings-printable-a5-binder</x:v>
      </x:c>
      <x:c r="C60" s="10" t="str">
        <x:v>stephsmadeit</x:v>
      </x:c>
      <x:c r="D60" s="10" t="str">
        <x:v>https://www.etsy.com/shop/stephsmadeit</x:v>
      </x:c>
      <x:c r="E60" s="11" t="n">
        <x:v>1.5</x:v>
      </x:c>
      <x:c r="F60" s="10" t="n">
        <x:v>0</x:v>
      </x:c>
      <x:c r="G60" s="12" t="n">
        <x:v>0</x:v>
      </x:c>
      <x:c r="H60" s="13" t="n">
        <x:v>0</x:v>
      </x:c>
      <x:c r="I60" s="10" t="n">
        <x:v>0</x:v>
      </x:c>
      <x:c r="J60" s="10" t="n">
        <x:v>0</x:v>
      </x:c>
      <x:c r="K60" s="10" t="str">
        <x:v>4 Mo.</x:v>
      </x:c>
      <x:c r="L60" s="10" t="n">
        <x:v>1</x:v>
      </x:c>
      <x:c r="M60" s="10" t="n">
        <x:v>0</x:v>
      </x:c>
      <x:c r="N60" s="10" t="n">
        <x:v>19</x:v>
      </x:c>
      <x:c r="O60" s="10" t="str"/>
      <x:c r="P60" s="10" t="n">
        <x:v>71</x:v>
      </x:c>
      <x:c r="Q60" s="10" t="n">
        <x:v>0</x:v>
      </x:c>
      <x:c r="R60" s="13" t="n">
        <x:v>0</x:v>
      </x:c>
      <x:c r="S60" s="10" t="n">
        <x:v>3801</x:v>
      </x:c>
      <x:c r="T60" s="10" t="str">
        <x:v>a5 a6 mortgage loan,diy planner insert,pink girly aesthetic,savings binder,house sinking fund,custom amount,savings tracker,savings challenge,1k 2k 5k 10k 15k 20k</x:v>
      </x:c>
      <x:c r="U60" s="10" t="str">
        <x:v>a5 a6 mortgage loan</x:v>
      </x:c>
      <x:c r="V60" s="10" t="str">
        <x:v>diy planner insert</x:v>
      </x:c>
      <x:c r="W60" s="10" t="str">
        <x:v>pink girly aesthetic</x:v>
      </x:c>
      <x:c r="X60" s="10" t="str">
        <x:v>savings binder</x:v>
      </x:c>
      <x:c r="Y60" s="10" t="str">
        <x:v>house sinking fund</x:v>
      </x:c>
      <x:c r="Z60" s="10" t="str">
        <x:v>custom amount</x:v>
      </x:c>
      <x:c r="AA60" s="10" t="str">
        <x:v>savings tracker</x:v>
      </x:c>
      <x:c r="AB60" s="10" t="str">
        <x:v>savings challenge</x:v>
      </x:c>
      <x:c r="AC60" s="10" t="str">
        <x:v>1k 2k 5k 10k 15k 20k</x:v>
      </x:c>
      <x:c r="AD60" s="10" t="str">
        <x:v>--</x:v>
      </x:c>
      <x:c r="AE60" s="10" t="str">
        <x:v>--</x:v>
      </x:c>
      <x:c r="AF60" s="10" t="str">
        <x:v>--</x:v>
      </x:c>
      <x:c r="AG60" s="10" t="str">
        <x:v>--</x:v>
      </x:c>
      <x:c r="AH60" s="10" t="str">
        <x:v>Other mortgage-related</x:v>
      </x:c>
      <x:c r="AI60" s="13" t="n">
        <x:v>4</x:v>
      </x:c>
      <x:c r="AJ60" s="10" t="str">
        <x:f>IF(F60&gt;0,"Active","No est. sales")</x:f>
        <x:v>No est. sales</x:v>
      </x:c>
    </x:row>
    <x:row r="61">
      <x:c r="A61" s="10" t="str">
        <x:v>Debt Payoff Tracker Debt Snowball Avalanche Calculator Printable Credit Card Loan Payoff Debt Free Planner Credit Utilization Rate</x:v>
      </x:c>
      <x:c r="B61" s="10" t="str">
        <x:v>https://www.etsy.com/listing/1868656440/debt-payoff-tracker-debt-snowball</x:v>
      </x:c>
      <x:c r="C61" s="10" t="str">
        <x:v>HelpyCo</x:v>
      </x:c>
      <x:c r="D61" s="10" t="str">
        <x:v>https://www.etsy.com/shop/HelpyCo</x:v>
      </x:c>
      <x:c r="E61" s="11" t="n">
        <x:v>3</x:v>
      </x:c>
      <x:c r="F61" s="10" t="n">
        <x:v>0</x:v>
      </x:c>
      <x:c r="G61" s="12" t="n">
        <x:v>0</x:v>
      </x:c>
      <x:c r="H61" s="13" t="n">
        <x:v>0</x:v>
      </x:c>
      <x:c r="I61" s="10" t="n">
        <x:v>0</x:v>
      </x:c>
      <x:c r="J61" s="10" t="n">
        <x:v>0</x:v>
      </x:c>
      <x:c r="K61" s="10" t="str">
        <x:v>7 Mo.</x:v>
      </x:c>
      <x:c r="L61" s="10" t="n">
        <x:v>2</x:v>
      </x:c>
      <x:c r="M61" s="10" t="n">
        <x:v>0</x:v>
      </x:c>
      <x:c r="N61" s="10" t="n">
        <x:v>22</x:v>
      </x:c>
      <x:c r="O61" s="10" t="str">
        <x:v>Paper &amp; Party Supplies</x:v>
      </x:c>
      <x:c r="P61" s="10" t="n">
        <x:v>8</x:v>
      </x:c>
      <x:c r="Q61" s="10" t="n">
        <x:v>0</x:v>
      </x:c>
      <x:c r="R61" s="13" t="n">
        <x:v>0</x:v>
      </x:c>
      <x:c r="S61" s="10" t="n">
        <x:v>5</x:v>
      </x:c>
      <x:c r="T61" s="10" t="str">
        <x:v>credit utilization,debt avalanche,mortgage payoff,google sheets budget,credit card payoff,debt payoff chart,debt snowball,student loan debt,debt payment tracker,debt payoff tracker,debt template,financial planner,personal finance</x:v>
      </x:c>
      <x:c r="U61" s="10" t="str">
        <x:v>credit utilization</x:v>
      </x:c>
      <x:c r="V61" s="10" t="str">
        <x:v>debt avalanche</x:v>
      </x:c>
      <x:c r="W61" s="10" t="str">
        <x:v>mortgage payoff</x:v>
      </x:c>
      <x:c r="X61" s="10" t="str">
        <x:v>google sheets budget</x:v>
      </x:c>
      <x:c r="Y61" s="10" t="str">
        <x:v>credit card payoff</x:v>
      </x:c>
      <x:c r="Z61" s="10" t="str">
        <x:v>debt payoff chart</x:v>
      </x:c>
      <x:c r="AA61" s="10" t="str">
        <x:v>debt snowball</x:v>
      </x:c>
      <x:c r="AB61" s="10" t="str">
        <x:v>student loan debt</x:v>
      </x:c>
      <x:c r="AC61" s="10" t="str">
        <x:v>debt payment tracker</x:v>
      </x:c>
      <x:c r="AD61" s="10" t="str">
        <x:v>debt payoff tracker</x:v>
      </x:c>
      <x:c r="AE61" s="10" t="str">
        <x:v>debt template</x:v>
      </x:c>
      <x:c r="AF61" s="10" t="str">
        <x:v>financial planner</x:v>
      </x:c>
      <x:c r="AG61" s="10" t="str">
        <x:v>personal finance</x:v>
      </x:c>
      <x:c r="AH61" s="10" t="str">
        <x:v>General debt payoff</x:v>
      </x:c>
      <x:c r="AI61" s="13" t="n">
        <x:v>7</x:v>
      </x:c>
      <x:c r="AJ61" s="10" t="str">
        <x:f>IF(F61&gt;0,"Active","No est. sales")</x:f>
        <x:v>No est. sales</x:v>
      </x:c>
    </x:row>
    <x:row r="62">
      <x:c r="A62" s="10" t="str">
        <x:v>Debt Payoff Tracker Debt Snowball Excel Debt Avalanche Calculator Google Sheets Credit Card Loan Tracker Credit Card Payoff Mortgage Payment</x:v>
      </x:c>
      <x:c r="B62" s="10" t="str">
        <x:v>https://www.etsy.com/listing/4336050400/debt-payoff-tracker-debt-snowball-excel</x:v>
      </x:c>
      <x:c r="C62" s="10" t="str">
        <x:v>SHEETPOP</x:v>
      </x:c>
      <x:c r="D62" s="10" t="str">
        <x:v>https://www.etsy.com/shop/SHEETPOP</x:v>
      </x:c>
      <x:c r="E62" s="11" t="n">
        <x:v>7.27</x:v>
      </x:c>
      <x:c r="F62" s="10" t="n">
        <x:v>0</x:v>
      </x:c>
      <x:c r="G62" s="12" t="n">
        <x:v>0</x:v>
      </x:c>
      <x:c r="H62" s="13" t="n">
        <x:v>0</x:v>
      </x:c>
      <x:c r="I62" s="10" t="n">
        <x:v>0</x:v>
      </x:c>
      <x:c r="J62" s="10" t="n">
        <x:v>0</x:v>
      </x:c>
      <x:c r="K62" s="10" t="str">
        <x:v>5 Mo.</x:v>
      </x:c>
      <x:c r="L62" s="10" t="n">
        <x:v>1</x:v>
      </x:c>
      <x:c r="M62" s="10" t="n">
        <x:v>0</x:v>
      </x:c>
      <x:c r="N62" s="10" t="n">
        <x:v>7</x:v>
      </x:c>
      <x:c r="O62" s="10" t="str"/>
      <x:c r="P62" s="10" t="n">
        <x:v>37</x:v>
      </x:c>
      <x:c r="Q62" s="10" t="n">
        <x:v>0</x:v>
      </x:c>
      <x:c r="R62" s="13" t="n">
        <x:v>0</x:v>
      </x:c>
      <x:c r="S62" s="10" t="n">
        <x:v>192</x:v>
      </x:c>
      <x:c r="T62" s="10" t="str">
        <x:v>debt google sheets,debt spreadsheet,debt payoff tracker,personal finance,mortgage payoff,debt snowball excel,debt tracker excel,snowball calculator,student loan payoff,credit card debt,financial planner,debt avalanche,budget planner</x:v>
      </x:c>
      <x:c r="U62" s="10" t="str">
        <x:v>debt google sheets</x:v>
      </x:c>
      <x:c r="V62" s="10" t="str">
        <x:v>debt spreadsheet</x:v>
      </x:c>
      <x:c r="W62" s="10" t="str">
        <x:v>debt payoff tracker</x:v>
      </x:c>
      <x:c r="X62" s="10" t="str">
        <x:v>personal finance</x:v>
      </x:c>
      <x:c r="Y62" s="10" t="str">
        <x:v>mortgage payoff</x:v>
      </x:c>
      <x:c r="Z62" s="10" t="str">
        <x:v>debt snowball excel</x:v>
      </x:c>
      <x:c r="AA62" s="10" t="str">
        <x:v>debt tracker excel</x:v>
      </x:c>
      <x:c r="AB62" s="10" t="str">
        <x:v>snowball calculator</x:v>
      </x:c>
      <x:c r="AC62" s="10" t="str">
        <x:v>student loan payoff</x:v>
      </x:c>
      <x:c r="AD62" s="10" t="str">
        <x:v>credit card debt</x:v>
      </x:c>
      <x:c r="AE62" s="10" t="str">
        <x:v>financial planner</x:v>
      </x:c>
      <x:c r="AF62" s="10" t="str">
        <x:v>debt avalanche</x:v>
      </x:c>
      <x:c r="AG62" s="10" t="str">
        <x:v>budget planner</x:v>
      </x:c>
      <x:c r="AH62" s="10" t="str">
        <x:v>General debt payoff</x:v>
      </x:c>
      <x:c r="AI62" s="13" t="n">
        <x:v>5</x:v>
      </x:c>
      <x:c r="AJ62" s="10" t="str">
        <x:f>IF(F62&gt;0,"Active","No est. sales")</x:f>
        <x:v>No est. sales</x:v>
      </x:c>
    </x:row>
    <x:row r="63">
      <x:c r="A63" s="10" t="str">
        <x:v>Debt Pay Off Tracker Spreadsheet, Snowball Method Calculator for Google Sheets, Debt Payment Template for Financial Freedom, Debt Free Tool</x:v>
      </x:c>
      <x:c r="B63" s="10" t="str">
        <x:v>https://www.etsy.com/listing/1847768593/debt-pay-off-tracker-spreadsheet</x:v>
      </x:c>
      <x:c r="C63" s="10" t="str">
        <x:v>LilotteCo</x:v>
      </x:c>
      <x:c r="D63" s="10" t="str">
        <x:v>https://www.etsy.com/shop/LilotteCo</x:v>
      </x:c>
      <x:c r="E63" s="11" t="n">
        <x:v>9.3</x:v>
      </x:c>
      <x:c r="F63" s="10" t="n">
        <x:v>0</x:v>
      </x:c>
      <x:c r="G63" s="12" t="n">
        <x:v>0</x:v>
      </x:c>
      <x:c r="H63" s="13" t="n">
        <x:v>0</x:v>
      </x:c>
      <x:c r="I63" s="10" t="n">
        <x:v>0</x:v>
      </x:c>
      <x:c r="J63" s="10" t="n">
        <x:v>0</x:v>
      </x:c>
      <x:c r="K63" s="10" t="str">
        <x:v>17 Mo.</x:v>
      </x:c>
      <x:c r="L63" s="10" t="n">
        <x:v>2</x:v>
      </x:c>
      <x:c r="M63" s="10" t="n">
        <x:v>0</x:v>
      </x:c>
      <x:c r="N63" s="10" t="n">
        <x:v>50</x:v>
      </x:c>
      <x:c r="O63" s="10" t="str">
        <x:v>Paper &amp; Party Supplies</x:v>
      </x:c>
      <x:c r="P63" s="10" t="n">
        <x:v>70</x:v>
      </x:c>
      <x:c r="Q63" s="10" t="n">
        <x:v>0</x:v>
      </x:c>
      <x:c r="R63" s="13" t="n">
        <x:v>0</x:v>
      </x:c>
      <x:c r="S63" s="10" t="n">
        <x:v>6957</x:v>
      </x:c>
      <x:c r="T63" s="10" t="str">
        <x:v>debt snowball,snowball calculator,budget spreadsheet,debt payoff,spreadsheet tracker,debt free calculator,financial planner,credit card payoff,student loan debt,debt payment tracker,mortgage payoff,debt free tool,google sheets budget</x:v>
      </x:c>
      <x:c r="U63" s="10" t="str">
        <x:v>debt snowball</x:v>
      </x:c>
      <x:c r="V63" s="10" t="str">
        <x:v>snowball calculator</x:v>
      </x:c>
      <x:c r="W63" s="10" t="str">
        <x:v>budget spreadsheet</x:v>
      </x:c>
      <x:c r="X63" s="10" t="str">
        <x:v>debt payoff</x:v>
      </x:c>
      <x:c r="Y63" s="10" t="str">
        <x:v>spreadsheet tracker</x:v>
      </x:c>
      <x:c r="Z63" s="10" t="str">
        <x:v>debt free calculator</x:v>
      </x:c>
      <x:c r="AA63" s="10" t="str">
        <x:v>financial planner</x:v>
      </x:c>
      <x:c r="AB63" s="10" t="str">
        <x:v>credit card payoff</x:v>
      </x:c>
      <x:c r="AC63" s="10" t="str">
        <x:v>student loan debt</x:v>
      </x:c>
      <x:c r="AD63" s="10" t="str">
        <x:v>debt payment tracker</x:v>
      </x:c>
      <x:c r="AE63" s="10" t="str">
        <x:v>mortgage payoff</x:v>
      </x:c>
      <x:c r="AF63" s="10" t="str">
        <x:v>debt free tool</x:v>
      </x:c>
      <x:c r="AG63" s="10" t="str">
        <x:v>google sheets budget</x:v>
      </x:c>
      <x:c r="AH63" s="10" t="str">
        <x:v>Other mortgage-related</x:v>
      </x:c>
      <x:c r="AI63" s="13" t="n">
        <x:v>17</x:v>
      </x:c>
      <x:c r="AJ63" s="10" t="str">
        <x:f>IF(F63&gt;0,"Active","No est. sales")</x:f>
        <x:v>No est. sales</x:v>
      </x:c>
    </x:row>
    <x:row r="64">
      <x:c r="A64" s="10" t="str">
        <x:v>Money Tracker Printable Bundle | Budget Debt Savings Planner Payment Payoff Chart Financial | Letter Pdf A5 A4</x:v>
      </x:c>
      <x:c r="B64" s="10" t="str">
        <x:v>https://www.etsy.com/listing/812691476/money-tracker-printable-bundle-budget</x:v>
      </x:c>
      <x:c r="C64" s="10" t="str">
        <x:v>MTJW</x:v>
      </x:c>
      <x:c r="D64" s="10" t="str">
        <x:v>https://www.etsy.com/shop/MTJW</x:v>
      </x:c>
      <x:c r="E64" s="11" t="n">
        <x:v>5.97</x:v>
      </x:c>
      <x:c r="F64" s="10" t="n">
        <x:v>0</x:v>
      </x:c>
      <x:c r="G64" s="12" t="n">
        <x:v>0</x:v>
      </x:c>
      <x:c r="H64" s="13" t="n">
        <x:v>0</x:v>
      </x:c>
      <x:c r="I64" s="10" t="n">
        <x:v>4</x:v>
      </x:c>
      <x:c r="J64" s="10" t="n">
        <x:v>3</x:v>
      </x:c>
      <x:c r="K64" s="10" t="str">
        <x:v>73 Mo.</x:v>
      </x:c>
      <x:c r="L64" s="10" t="n">
        <x:v>21</x:v>
      </x:c>
      <x:c r="M64" s="10" t="n">
        <x:v>0</x:v>
      </x:c>
      <x:c r="N64" s="10" t="n">
        <x:v>594</x:v>
      </x:c>
      <x:c r="O64" s="10" t="str">
        <x:v>Paper &amp; Party Supplies</x:v>
      </x:c>
      <x:c r="P64" s="10" t="n">
        <x:v>85</x:v>
      </x:c>
      <x:c r="Q64" s="10" t="n">
        <x:v>0</x:v>
      </x:c>
      <x:c r="R64" s="13" t="n">
        <x:v>0.67</x:v>
      </x:c>
      <x:c r="S64" s="10" t="n">
        <x:v>125</x:v>
      </x:c>
      <x:c r="T64" s="10" t="str">
        <x:v>budget tracker,payment tracker,savings tracker,financial planner,instant download,digital download,printables,payoff tracker,budget planner,car loan payoff,mortgage payoff,finance planner,money tracker</x:v>
      </x:c>
      <x:c r="U64" s="10" t="str">
        <x:v>budget tracker</x:v>
      </x:c>
      <x:c r="V64" s="10" t="str">
        <x:v>payment tracker</x:v>
      </x:c>
      <x:c r="W64" s="10" t="str">
        <x:v>savings tracker</x:v>
      </x:c>
      <x:c r="X64" s="10" t="str">
        <x:v>financial planner</x:v>
      </x:c>
      <x:c r="Y64" s="10" t="str">
        <x:v>instant download</x:v>
      </x:c>
      <x:c r="Z64" s="10" t="str">
        <x:v>digital download</x:v>
      </x:c>
      <x:c r="AA64" s="10" t="str">
        <x:v>printables</x:v>
      </x:c>
      <x:c r="AB64" s="10" t="str">
        <x:v>payoff tracker</x:v>
      </x:c>
      <x:c r="AC64" s="10" t="str">
        <x:v>budget planner</x:v>
      </x:c>
      <x:c r="AD64" s="10" t="str">
        <x:v>car loan payoff</x:v>
      </x:c>
      <x:c r="AE64" s="10" t="str">
        <x:v>mortgage payoff</x:v>
      </x:c>
      <x:c r="AF64" s="10" t="str">
        <x:v>finance planner</x:v>
      </x:c>
      <x:c r="AG64" s="10" t="str">
        <x:v>money tracker</x:v>
      </x:c>
      <x:c r="AH64" s="10" t="str">
        <x:v>Other mortgage-related</x:v>
      </x:c>
      <x:c r="AI64" s="13" t="n">
        <x:v>73</x:v>
      </x:c>
      <x:c r="AJ64" s="10" t="str">
        <x:f>IF(F64&gt;0,"Active","No est. sales")</x:f>
        <x:v>No est. sales</x:v>
      </x:c>
    </x:row>
    <x:row r="65">
      <x:c r="A65" s="10" t="str">
        <x:v>Debt Payoff Tracker Spreadsheet Snowball Avalanche Calculator Credit Card Loan Bill Template House Mortgage Free Budget Planner Google Sheet</x:v>
      </x:c>
      <x:c r="B65" s="10" t="str">
        <x:v>https://www.etsy.com/listing/4460793807/debt-payoff-tracker-spreadsheet-snowball</x:v>
      </x:c>
      <x:c r="C65" s="10" t="str">
        <x:v>TangiSigns</x:v>
      </x:c>
      <x:c r="D65" s="10" t="str">
        <x:v>https://www.etsy.com/shop/TangiSigns</x:v>
      </x:c>
      <x:c r="E65" s="11" t="n">
        <x:v>2</x:v>
      </x:c>
      <x:c r="F65" s="10" t="n">
        <x:v>0</x:v>
      </x:c>
      <x:c r="G65" s="12" t="n">
        <x:v>0</x:v>
      </x:c>
      <x:c r="H65" s="13" t="n">
        <x:v>0</x:v>
      </x:c>
      <x:c r="I65" s="10" t="n">
        <x:v>0</x:v>
      </x:c>
      <x:c r="J65" s="10" t="n">
        <x:v>0</x:v>
      </x:c>
      <x:c r="K65" s="10" t="str">
        <x:v>5 Mo.</x:v>
      </x:c>
      <x:c r="L65" s="10" t="n">
        <x:v>0</x:v>
      </x:c>
      <x:c r="M65" s="10" t="n">
        <x:v>0</x:v>
      </x:c>
      <x:c r="N65" s="10" t="n">
        <x:v>7</x:v>
      </x:c>
      <x:c r="O65" s="10" t="str"/>
      <x:c r="P65" s="10" t="n">
        <x:v>12</x:v>
      </x:c>
      <x:c r="Q65" s="10" t="n">
        <x:v>0</x:v>
      </x:c>
      <x:c r="R65" s="13" t="n">
        <x:v>0</x:v>
      </x:c>
      <x:c r="S65" s="10" t="n">
        <x:v>4259</x:v>
      </x:c>
      <x:c r="T65" s="10" t="str">
        <x:v>credit utilization,debt google sheets,debt avalanche,credit card loan,snowball spreadsheet,mortgage payoff,google sheets budget,credit card payoff,debt snowball,debt payment tracker,debt payoff tracker,debt template,financial planner</x:v>
      </x:c>
      <x:c r="U65" s="10" t="str">
        <x:v>credit utilization</x:v>
      </x:c>
      <x:c r="V65" s="10" t="str">
        <x:v>debt google sheets</x:v>
      </x:c>
      <x:c r="W65" s="10" t="str">
        <x:v>debt avalanche</x:v>
      </x:c>
      <x:c r="X65" s="10" t="str">
        <x:v>credit card loan</x:v>
      </x:c>
      <x:c r="Y65" s="10" t="str">
        <x:v>snowball spreadsheet</x:v>
      </x:c>
      <x:c r="Z65" s="10" t="str">
        <x:v>mortgage payoff</x:v>
      </x:c>
      <x:c r="AA65" s="10" t="str">
        <x:v>google sheets budget</x:v>
      </x:c>
      <x:c r="AB65" s="10" t="str">
        <x:v>credit card payoff</x:v>
      </x:c>
      <x:c r="AC65" s="10" t="str">
        <x:v>debt snowball</x:v>
      </x:c>
      <x:c r="AD65" s="10" t="str">
        <x:v>debt payment tracker</x:v>
      </x:c>
      <x:c r="AE65" s="10" t="str">
        <x:v>debt payoff tracker</x:v>
      </x:c>
      <x:c r="AF65" s="10" t="str">
        <x:v>debt template</x:v>
      </x:c>
      <x:c r="AG65" s="10" t="str">
        <x:v>financial planner</x:v>
      </x:c>
      <x:c r="AH65" s="10" t="str">
        <x:v>General debt payoff</x:v>
      </x:c>
      <x:c r="AI65" s="13" t="n">
        <x:v>5</x:v>
      </x:c>
      <x:c r="AJ65" s="10" t="str">
        <x:f>IF(F65&gt;0,"Active","No est. sales")</x:f>
        <x:v>No est. sales</x:v>
      </x:c>
    </x:row>
    <x:row r="66">
      <x:c r="A66" s="10" t="str">
        <x:v>Notion Template Budget Planner Travel Financial Mortgage/Rent Scheduler Bills tracker water elect phone  27 PDF</x:v>
      </x:c>
      <x:c r="B66" s="10" t="str">
        <x:v>https://www.etsy.com/listing/1436121406/notion-template-budget-planner-travel</x:v>
      </x:c>
      <x:c r="C66" s="10" t="str">
        <x:v>ModernProductsdotca</x:v>
      </x:c>
      <x:c r="D66" s="10" t="str">
        <x:v>https://www.etsy.com/shop/ModernProductsdotca</x:v>
      </x:c>
      <x:c r="E66" s="11" t="n">
        <x:v>14.19</x:v>
      </x:c>
      <x:c r="F66" s="10" t="n">
        <x:v>0</x:v>
      </x:c>
      <x:c r="G66" s="12" t="n">
        <x:v>0</x:v>
      </x:c>
      <x:c r="H66" s="13" t="n">
        <x:v>0</x:v>
      </x:c>
      <x:c r="I66" s="10" t="n">
        <x:v>0</x:v>
      </x:c>
      <x:c r="J66" s="10" t="n">
        <x:v>0</x:v>
      </x:c>
      <x:c r="K66" s="10" t="str">
        <x:v>40 Mo.</x:v>
      </x:c>
      <x:c r="L66" s="10" t="n">
        <x:v>1</x:v>
      </x:c>
      <x:c r="M66" s="10" t="n">
        <x:v>0</x:v>
      </x:c>
      <x:c r="N66" s="10" t="n">
        <x:v>80</x:v>
      </x:c>
      <x:c r="O66" s="10" t="str">
        <x:v>Paper &amp; Party Supplies</x:v>
      </x:c>
      <x:c r="P66" s="10" t="n">
        <x:v>40</x:v>
      </x:c>
      <x:c r="Q66" s="10" t="n">
        <x:v>0</x:v>
      </x:c>
      <x:c r="R66" s="13" t="n">
        <x:v>0</x:v>
      </x:c>
      <x:c r="S66" s="10" t="n">
        <x:v>4</x:v>
      </x:c>
      <x:c r="T66" s="10" t="str">
        <x:v>digital planner,digital products,daily planner,planner printable,cat formula 1,pet photo album,build a bear clothes,shower curtain,cat painting,kpop album,notion template,budget planner,bills tracker</x:v>
      </x:c>
      <x:c r="U66" s="10" t="str">
        <x:v>digital planner</x:v>
      </x:c>
      <x:c r="V66" s="10" t="str">
        <x:v>digital products</x:v>
      </x:c>
      <x:c r="W66" s="10" t="str">
        <x:v>daily planner</x:v>
      </x:c>
      <x:c r="X66" s="10" t="str">
        <x:v>planner printable</x:v>
      </x:c>
      <x:c r="Y66" s="10" t="str">
        <x:v>cat formula 1</x:v>
      </x:c>
      <x:c r="Z66" s="10" t="str">
        <x:v>pet photo album</x:v>
      </x:c>
      <x:c r="AA66" s="10" t="str">
        <x:v>build a bear clothes</x:v>
      </x:c>
      <x:c r="AB66" s="10" t="str">
        <x:v>shower curtain</x:v>
      </x:c>
      <x:c r="AC66" s="10" t="str">
        <x:v>cat painting</x:v>
      </x:c>
      <x:c r="AD66" s="10" t="str">
        <x:v>kpop album</x:v>
      </x:c>
      <x:c r="AE66" s="10" t="str">
        <x:v>notion template</x:v>
      </x:c>
      <x:c r="AF66" s="10" t="str">
        <x:v>budget planner</x:v>
      </x:c>
      <x:c r="AG66" s="10" t="str">
        <x:v>bills tracker</x:v>
      </x:c>
      <x:c r="AH66" s="10" t="str">
        <x:v>Other mortgage-related</x:v>
      </x:c>
      <x:c r="AI66" s="13" t="n">
        <x:v>40</x:v>
      </x:c>
      <x:c r="AJ66" s="10" t="str">
        <x:f>IF(F66&gt;0,"Active","No est. sales")</x:f>
        <x:v>No est. sales</x:v>
      </x:c>
    </x:row>
    <x:row r="67">
      <x:c r="A67" s="10" t="str">
        <x:v>Mortgage Payment Planner Stickers, Nia - S1322/S1332</x:v>
      </x:c>
      <x:c r="B67" s="10" t="str">
        <x:v>https://www.etsy.com/listing/1420892376/mortgage-payment-planner-stickers-nia</x:v>
      </x:c>
      <x:c r="C67" s="10" t="str">
        <x:v>VaaleaTumma</x:v>
      </x:c>
      <x:c r="D67" s="10" t="str">
        <x:v>https://www.etsy.com/shop/VaaleaTumma</x:v>
      </x:c>
      <x:c r="E67" s="11" t="n">
        <x:v>2.9</x:v>
      </x:c>
      <x:c r="F67" s="10" t="n">
        <x:v>0</x:v>
      </x:c>
      <x:c r="G67" s="12" t="n">
        <x:v>0</x:v>
      </x:c>
      <x:c r="H67" s="13" t="n">
        <x:v>0</x:v>
      </x:c>
      <x:c r="I67" s="10" t="n">
        <x:v>34</x:v>
      </x:c>
      <x:c r="J67" s="10" t="n">
        <x:v>5</x:v>
      </x:c>
      <x:c r="K67" s="10" t="str">
        <x:v>40 Mo.</x:v>
      </x:c>
      <x:c r="L67" s="10" t="n">
        <x:v>45</x:v>
      </x:c>
      <x:c r="M67" s="10" t="n">
        <x:v>0</x:v>
      </x:c>
      <x:c r="N67" s="10" t="n">
        <x:v>509</x:v>
      </x:c>
      <x:c r="O67" s="10" t="str">
        <x:v>Paper &amp; Party Supplies</x:v>
      </x:c>
      <x:c r="P67" s="10" t="n">
        <x:v>113</x:v>
      </x:c>
      <x:c r="Q67" s="10" t="n">
        <x:v>0</x:v>
      </x:c>
      <x:c r="R67" s="13" t="n">
        <x:v>6.68</x:v>
      </x:c>
      <x:c r="S67" s="10" t="n">
        <x:v>93859</x:v>
      </x:c>
      <x:c r="T67" s="10" t="str">
        <x:v>mortgage payment,bill planner,finance planner,budget planner,money management,debt tracker,bill tracker,planner stickers,financial planning,monthly expenses,money planner,personal finance,mortgage tracker</x:v>
      </x:c>
      <x:c r="U67" s="10" t="str">
        <x:v>mortgage payment</x:v>
      </x:c>
      <x:c r="V67" s="10" t="str">
        <x:v>bill planner</x:v>
      </x:c>
      <x:c r="W67" s="10" t="str">
        <x:v>finance planner</x:v>
      </x:c>
      <x:c r="X67" s="10" t="str">
        <x:v>budget planner</x:v>
      </x:c>
      <x:c r="Y67" s="10" t="str">
        <x:v>money management</x:v>
      </x:c>
      <x:c r="Z67" s="10" t="str">
        <x:v>debt tracker</x:v>
      </x:c>
      <x:c r="AA67" s="10" t="str">
        <x:v>bill tracker</x:v>
      </x:c>
      <x:c r="AB67" s="10" t="str">
        <x:v>planner stickers</x:v>
      </x:c>
      <x:c r="AC67" s="10" t="str">
        <x:v>financial planning</x:v>
      </x:c>
      <x:c r="AD67" s="10" t="str">
        <x:v>monthly expenses</x:v>
      </x:c>
      <x:c r="AE67" s="10" t="str">
        <x:v>money planner</x:v>
      </x:c>
      <x:c r="AF67" s="10" t="str">
        <x:v>personal finance</x:v>
      </x:c>
      <x:c r="AG67" s="10" t="str">
        <x:v>mortgage tracker</x:v>
      </x:c>
      <x:c r="AH67" s="10" t="str">
        <x:v>Other mortgage-related</x:v>
      </x:c>
      <x:c r="AI67" s="13" t="n">
        <x:v>40</x:v>
      </x:c>
      <x:c r="AJ67" s="10" t="str">
        <x:f>IF(F67&gt;0,"Active","No est. sales")</x:f>
        <x:v>No est. sales</x:v>
      </x:c>
    </x:row>
    <x:row r="68">
      <x:c r="A68" s="10" t="str">
        <x:v>Debt Payment Tracker: Excel &amp; Google Sheets, Snowball Avalanche Spreadsheet</x:v>
      </x:c>
      <x:c r="B68" s="10" t="str">
        <x:v>https://www.etsy.com/listing/4333401284/debt-payment-tracker-excel-google-sheets</x:v>
      </x:c>
      <x:c r="C68" s="10" t="str">
        <x:v>PrintablePeachCrafts</x:v>
      </x:c>
      <x:c r="D68" s="10" t="str">
        <x:v>https://www.etsy.com/shop/PrintablePeachCrafts</x:v>
      </x:c>
      <x:c r="E68" s="11" t="n">
        <x:v>4.5</x:v>
      </x:c>
      <x:c r="F68" s="10" t="n">
        <x:v>0</x:v>
      </x:c>
      <x:c r="G68" s="12" t="n">
        <x:v>0</x:v>
      </x:c>
      <x:c r="H68" s="13" t="n">
        <x:v>0</x:v>
      </x:c>
      <x:c r="I68" s="10" t="n">
        <x:v>0</x:v>
      </x:c>
      <x:c r="J68" s="10" t="n">
        <x:v>0</x:v>
      </x:c>
      <x:c r="K68" s="10" t="str">
        <x:v>12 Mo.</x:v>
      </x:c>
      <x:c r="L68" s="10" t="n">
        <x:v>4</x:v>
      </x:c>
      <x:c r="M68" s="10" t="n">
        <x:v>0</x:v>
      </x:c>
      <x:c r="N68" s="10" t="n">
        <x:v>57</x:v>
      </x:c>
      <x:c r="O68" s="10" t="str">
        <x:v>Paper &amp; Party Supplies</x:v>
      </x:c>
      <x:c r="P68" s="10" t="n">
        <x:v>13</x:v>
      </x:c>
      <x:c r="Q68" s="10" t="n">
        <x:v>0</x:v>
      </x:c>
      <x:c r="R68" s="13" t="n">
        <x:v>0</x:v>
      </x:c>
      <x:c r="S68" s="10" t="n">
        <x:v>136</x:v>
      </x:c>
      <x:c r="T68" s="10" t="str">
        <x:v>google sheets budget,debt payoff tracker,credit card payoff,debt payment tracker,debt payoff chart,debt snowball,student loan debt,debt template,financial planner,personal finance,mortgage payoff,debt avalanche,debt tracker excel</x:v>
      </x:c>
      <x:c r="U68" s="10" t="str">
        <x:v>google sheets budget</x:v>
      </x:c>
      <x:c r="V68" s="10" t="str">
        <x:v>debt payoff tracker</x:v>
      </x:c>
      <x:c r="W68" s="10" t="str">
        <x:v>credit card payoff</x:v>
      </x:c>
      <x:c r="X68" s="10" t="str">
        <x:v>debt payment tracker</x:v>
      </x:c>
      <x:c r="Y68" s="10" t="str">
        <x:v>debt payoff chart</x:v>
      </x:c>
      <x:c r="Z68" s="10" t="str">
        <x:v>debt snowball</x:v>
      </x:c>
      <x:c r="AA68" s="10" t="str">
        <x:v>student loan debt</x:v>
      </x:c>
      <x:c r="AB68" s="10" t="str">
        <x:v>debt template</x:v>
      </x:c>
      <x:c r="AC68" s="10" t="str">
        <x:v>financial planner</x:v>
      </x:c>
      <x:c r="AD68" s="10" t="str">
        <x:v>personal finance</x:v>
      </x:c>
      <x:c r="AE68" s="10" t="str">
        <x:v>mortgage payoff</x:v>
      </x:c>
      <x:c r="AF68" s="10" t="str">
        <x:v>debt avalanche</x:v>
      </x:c>
      <x:c r="AG68" s="10" t="str">
        <x:v>debt tracker excel</x:v>
      </x:c>
      <x:c r="AH68" s="10" t="str">
        <x:v>Other mortgage-related</x:v>
      </x:c>
      <x:c r="AI68" s="13" t="n">
        <x:v>12</x:v>
      </x:c>
      <x:c r="AJ68" s="10" t="str">
        <x:f>IF(F68&gt;0,"Active","No est. sales")</x:f>
        <x:v>No est. sales</x:v>
      </x:c>
    </x:row>
    <x:row r="69">
      <x:c r="A69" s="10" t="str">
        <x:v>Debt Snowball Tracker Half-Letter Planner Printable Student Loan Payoff, Finance Template, Credit Card Debt Planner, Mortgage Debt Free</x:v>
      </x:c>
      <x:c r="B69" s="10" t="str">
        <x:v>https://www.etsy.com/listing/1314956055/debt-snowball-tracker-half-letter</x:v>
      </x:c>
      <x:c r="C69" s="10" t="str">
        <x:v>Monthlyjoy</x:v>
      </x:c>
      <x:c r="D69" s="10" t="str">
        <x:v>https://www.etsy.com/shop/Monthlyjoy</x:v>
      </x:c>
      <x:c r="E69" s="11" t="n">
        <x:v>3.4</x:v>
      </x:c>
      <x:c r="F69" s="10" t="n">
        <x:v>0</x:v>
      </x:c>
      <x:c r="G69" s="12" t="n">
        <x:v>0</x:v>
      </x:c>
      <x:c r="H69" s="13" t="n">
        <x:v>0</x:v>
      </x:c>
      <x:c r="I69" s="10" t="n">
        <x:v>9</x:v>
      </x:c>
      <x:c r="J69" s="10" t="n">
        <x:v>1</x:v>
      </x:c>
      <x:c r="K69" s="10" t="str">
        <x:v>46 Mo.</x:v>
      </x:c>
      <x:c r="L69" s="10" t="n">
        <x:v>11</x:v>
      </x:c>
      <x:c r="M69" s="10" t="n">
        <x:v>0</x:v>
      </x:c>
      <x:c r="N69" s="10" t="n">
        <x:v>145</x:v>
      </x:c>
      <x:c r="O69" s="10" t="str">
        <x:v>Paper &amp; Party Supplies</x:v>
      </x:c>
      <x:c r="P69" s="10" t="n">
        <x:v>66</x:v>
      </x:c>
      <x:c r="Q69" s="10" t="n">
        <x:v>0</x:v>
      </x:c>
      <x:c r="R69" s="13" t="n">
        <x:v>6.21</x:v>
      </x:c>
      <x:c r="S69" s="10" t="n">
        <x:v>24015</x:v>
      </x:c>
      <x:c r="T69" s="10" t="str">
        <x:v>debt tracker pdf,half-letter planner,inserts minimalist,debt payoff,financial template,debt free tracker,debt snowball,student loan payoff,mortgage debt log,horizontal layout,credit card debt,simple debt planner,snowball payoff</x:v>
      </x:c>
      <x:c r="U69" s="10" t="str">
        <x:v>debt tracker pdf</x:v>
      </x:c>
      <x:c r="V69" s="10" t="str">
        <x:v>half-letter planner</x:v>
      </x:c>
      <x:c r="W69" s="10" t="str">
        <x:v>inserts minimalist</x:v>
      </x:c>
      <x:c r="X69" s="10" t="str">
        <x:v>debt payoff</x:v>
      </x:c>
      <x:c r="Y69" s="10" t="str">
        <x:v>financial template</x:v>
      </x:c>
      <x:c r="Z69" s="10" t="str">
        <x:v>debt free tracker</x:v>
      </x:c>
      <x:c r="AA69" s="10" t="str">
        <x:v>debt snowball</x:v>
      </x:c>
      <x:c r="AB69" s="10" t="str">
        <x:v>student loan payoff</x:v>
      </x:c>
      <x:c r="AC69" s="10" t="str">
        <x:v>mortgage debt log</x:v>
      </x:c>
      <x:c r="AD69" s="10" t="str">
        <x:v>horizontal layout</x:v>
      </x:c>
      <x:c r="AE69" s="10" t="str">
        <x:v>credit card debt</x:v>
      </x:c>
      <x:c r="AF69" s="10" t="str">
        <x:v>simple debt planner</x:v>
      </x:c>
      <x:c r="AG69" s="10" t="str">
        <x:v>snowball payoff</x:v>
      </x:c>
      <x:c r="AH69" s="10" t="str">
        <x:v>General debt payoff</x:v>
      </x:c>
      <x:c r="AI69" s="13" t="n">
        <x:v>46</x:v>
      </x:c>
      <x:c r="AJ69" s="10" t="str">
        <x:f>IF(F69&gt;0,"Active","No est. sales")</x:f>
        <x:v>No est. sales</x:v>
      </x:c>
    </x:row>
    <x:row r="70">
      <x:c r="A70" s="10" t="str">
        <x:v>Amortization Payment Schedule Template | Loan Payment Tracker Spreadsheet | Mortgage Calculator Template</x:v>
      </x:c>
      <x:c r="B70" s="10" t="str">
        <x:v>https://www.etsy.com/listing/4493400126/amortization-payment-schedule-template</x:v>
      </x:c>
      <x:c r="C70" s="10" t="str">
        <x:v>Xeasysheets</x:v>
      </x:c>
      <x:c r="D70" s="10" t="str">
        <x:v>https://www.etsy.com/shop/Xeasysheets</x:v>
      </x:c>
      <x:c r="E70" s="11" t="n">
        <x:v>11.09</x:v>
      </x:c>
      <x:c r="F70" s="10" t="n">
        <x:v>0</x:v>
      </x:c>
      <x:c r="G70" s="12" t="n">
        <x:v>0</x:v>
      </x:c>
      <x:c r="H70" s="13" t="n">
        <x:v>0</x:v>
      </x:c>
      <x:c r="I70" s="10" t="n">
        <x:v>0</x:v>
      </x:c>
      <x:c r="J70" s="10" t="n">
        <x:v>0</x:v>
      </x:c>
      <x:c r="K70" s="10" t="str">
        <x:v>3 Mo.</x:v>
      </x:c>
      <x:c r="L70" s="10" t="n">
        <x:v>0</x:v>
      </x:c>
      <x:c r="M70" s="10" t="n">
        <x:v>0</x:v>
      </x:c>
      <x:c r="N70" s="10" t="n">
        <x:v>0</x:v>
      </x:c>
      <x:c r="O70" s="10" t="str"/>
      <x:c r="P70" s="10" t="n">
        <x:v>12</x:v>
      </x:c>
      <x:c r="Q70" s="10" t="n">
        <x:v>0</x:v>
      </x:c>
      <x:c r="R70" s="13" t="n">
        <x:v>0</x:v>
      </x:c>
      <x:c r="S70" s="10" t="n">
        <x:v>2161</x:v>
      </x:c>
      <x:c r="T70" s="10" t="str">
        <x:v>payment tracker,loan schedule,mortgage sheet,excel template,google sheets,loan planner,debt tracker,payment plan,finance tracker,interest tracker,loan calculator,budget planner,repayment plan</x:v>
      </x:c>
      <x:c r="U70" s="10" t="str">
        <x:v>payment tracker</x:v>
      </x:c>
      <x:c r="V70" s="10" t="str">
        <x:v>loan schedule</x:v>
      </x:c>
      <x:c r="W70" s="10" t="str">
        <x:v>mortgage sheet</x:v>
      </x:c>
      <x:c r="X70" s="10" t="str">
        <x:v>excel template</x:v>
      </x:c>
      <x:c r="Y70" s="10" t="str">
        <x:v>google sheets</x:v>
      </x:c>
      <x:c r="Z70" s="10" t="str">
        <x:v>loan planner</x:v>
      </x:c>
      <x:c r="AA70" s="10" t="str">
        <x:v>debt tracker</x:v>
      </x:c>
      <x:c r="AB70" s="10" t="str">
        <x:v>payment plan</x:v>
      </x:c>
      <x:c r="AC70" s="10" t="str">
        <x:v>finance tracker</x:v>
      </x:c>
      <x:c r="AD70" s="10" t="str">
        <x:v>interest tracker</x:v>
      </x:c>
      <x:c r="AE70" s="10" t="str">
        <x:v>loan calculator</x:v>
      </x:c>
      <x:c r="AF70" s="10" t="str">
        <x:v>budget planner</x:v>
      </x:c>
      <x:c r="AG70" s="10" t="str">
        <x:v>repayment plan</x:v>
      </x:c>
      <x:c r="AH70" s="10" t="str">
        <x:v>Mortgage payoff / calculator</x:v>
      </x:c>
      <x:c r="AI70" s="13" t="n">
        <x:v>3</x:v>
      </x:c>
      <x:c r="AJ70" s="10" t="str">
        <x:f>IF(F70&gt;0,"Active","No est. sales")</x:f>
        <x:v>No est. sales</x:v>
      </x:c>
    </x:row>
    <x:row r="71">
      <x:c r="A71" s="10" t="str">
        <x:v>Loan Amortization Schedule Excel | Repayment Tracker Spreadsheet | Debt Payment Calculator | Loan Payment Schedule</x:v>
      </x:c>
      <x:c r="B71" s="10" t="str">
        <x:v>https://www.etsy.com/listing/4493946358/loan-amortization-schedule-excel</x:v>
      </x:c>
      <x:c r="C71" s="10" t="str">
        <x:v>Xeasysheets</x:v>
      </x:c>
      <x:c r="D71" s="10" t="str">
        <x:v>https://www.etsy.com/shop/Xeasysheets</x:v>
      </x:c>
      <x:c r="E71" s="11" t="n">
        <x:v>11.09</x:v>
      </x:c>
      <x:c r="F71" s="10" t="n">
        <x:v>0</x:v>
      </x:c>
      <x:c r="G71" s="12" t="n">
        <x:v>0</x:v>
      </x:c>
      <x:c r="H71" s="13" t="n">
        <x:v>0</x:v>
      </x:c>
      <x:c r="I71" s="10" t="n">
        <x:v>0</x:v>
      </x:c>
      <x:c r="J71" s="10" t="n">
        <x:v>0</x:v>
      </x:c>
      <x:c r="K71" s="10" t="str">
        <x:v>3 Mo.</x:v>
      </x:c>
      <x:c r="L71" s="10" t="n">
        <x:v>0</x:v>
      </x:c>
      <x:c r="M71" s="10" t="n">
        <x:v>0</x:v>
      </x:c>
      <x:c r="N71" s="10" t="n">
        <x:v>1</x:v>
      </x:c>
      <x:c r="O71" s="10" t="str"/>
      <x:c r="P71" s="10" t="n">
        <x:v>12</x:v>
      </x:c>
      <x:c r="Q71" s="10" t="n">
        <x:v>0</x:v>
      </x:c>
      <x:c r="R71" s="13" t="n">
        <x:v>0</x:v>
      </x:c>
      <x:c r="S71" s="10" t="n">
        <x:v>2161</x:v>
      </x:c>
      <x:c r="T71" s="10" t="str">
        <x:v>loan repayment,debt tracker,payment schedule,debt payoff tracker,finance spreadsheet,loan planner,excel template,budgeting tools,debt management,amortization,loan calculator,sheets finance,mortgage</x:v>
      </x:c>
      <x:c r="U71" s="10" t="str">
        <x:v>loan repayment</x:v>
      </x:c>
      <x:c r="V71" s="10" t="str">
        <x:v>debt tracker</x:v>
      </x:c>
      <x:c r="W71" s="10" t="str">
        <x:v>payment schedule</x:v>
      </x:c>
      <x:c r="X71" s="10" t="str">
        <x:v>debt payoff tracker</x:v>
      </x:c>
      <x:c r="Y71" s="10" t="str">
        <x:v>finance spreadsheet</x:v>
      </x:c>
      <x:c r="Z71" s="10" t="str">
        <x:v>loan planner</x:v>
      </x:c>
      <x:c r="AA71" s="10" t="str">
        <x:v>excel template</x:v>
      </x:c>
      <x:c r="AB71" s="10" t="str">
        <x:v>budgeting tools</x:v>
      </x:c>
      <x:c r="AC71" s="10" t="str">
        <x:v>debt management</x:v>
      </x:c>
      <x:c r="AD71" s="10" t="str">
        <x:v>amortization</x:v>
      </x:c>
      <x:c r="AE71" s="10" t="str">
        <x:v>loan calculator</x:v>
      </x:c>
      <x:c r="AF71" s="10" t="str">
        <x:v>sheets finance</x:v>
      </x:c>
      <x:c r="AG71" s="10" t="str">
        <x:v>mortgage</x:v>
      </x:c>
      <x:c r="AH71" s="10" t="str">
        <x:v>General loan calculator</x:v>
      </x:c>
      <x:c r="AI71" s="13" t="n">
        <x:v>3</x:v>
      </x:c>
      <x:c r="AJ71" s="10" t="str">
        <x:f>IF(F71&gt;0,"Active","No est. sales")</x:f>
        <x:v>No est. sales</x:v>
      </x:c>
    </x:row>
    <x:row r="72">
      <x:c r="A72" s="10" t="str">
        <x:v>Mortgage | Bill Reminder Functional Printable Planner Stickers | Cut Files</x:v>
      </x:c>
      <x:c r="B72" s="10" t="str">
        <x:v>https://www.etsy.com/listing/4387002300/mortgage-bill-planner-stickers-budget</x:v>
      </x:c>
      <x:c r="C72" s="10" t="str">
        <x:v>StudioSisDesign</x:v>
      </x:c>
      <x:c r="D72" s="10" t="str">
        <x:v>https://www.etsy.com/shop/StudioSisDesign</x:v>
      </x:c>
      <x:c r="E72" s="11" t="n">
        <x:v>2.4</x:v>
      </x:c>
      <x:c r="F72" s="10" t="n">
        <x:v>0</x:v>
      </x:c>
      <x:c r="G72" s="12" t="n">
        <x:v>0</x:v>
      </x:c>
      <x:c r="H72" s="13" t="n">
        <x:v>0</x:v>
      </x:c>
      <x:c r="I72" s="10" t="n">
        <x:v>0</x:v>
      </x:c>
      <x:c r="J72" s="10" t="n">
        <x:v>0</x:v>
      </x:c>
      <x:c r="K72" s="10" t="str">
        <x:v>9 Mo.</x:v>
      </x:c>
      <x:c r="L72" s="10" t="n">
        <x:v>6</x:v>
      </x:c>
      <x:c r="M72" s="10" t="n">
        <x:v>0</x:v>
      </x:c>
      <x:c r="N72" s="10" t="n">
        <x:v>44</x:v>
      </x:c>
      <x:c r="O72" s="10" t="str">
        <x:v>Paper &amp; Party Supplies</x:v>
      </x:c>
      <x:c r="P72" s="10" t="n">
        <x:v>14</x:v>
      </x:c>
      <x:c r="Q72" s="10" t="n">
        <x:v>0</x:v>
      </x:c>
      <x:c r="R72" s="13" t="n">
        <x:v>0</x:v>
      </x:c>
      <x:c r="S72" s="10" t="n">
        <x:v>8088</x:v>
      </x:c>
      <x:c r="T72" s="10" t="str">
        <x:v>planner stickers,printable stickers,functional sticker,planner functional,finance stickers,bill due stickers,bill reminder,budget stickers,budgeting printable,budgeting stickers,monthly bill tracker,cut files,mortgage stickers</x:v>
      </x:c>
      <x:c r="U72" s="10" t="str">
        <x:v>planner stickers</x:v>
      </x:c>
      <x:c r="V72" s="10" t="str">
        <x:v>printable stickers</x:v>
      </x:c>
      <x:c r="W72" s="10" t="str">
        <x:v>functional sticker</x:v>
      </x:c>
      <x:c r="X72" s="10" t="str">
        <x:v>planner functional</x:v>
      </x:c>
      <x:c r="Y72" s="10" t="str">
        <x:v>finance stickers</x:v>
      </x:c>
      <x:c r="Z72" s="10" t="str">
        <x:v>bill due stickers</x:v>
      </x:c>
      <x:c r="AA72" s="10" t="str">
        <x:v>bill reminder</x:v>
      </x:c>
      <x:c r="AB72" s="10" t="str">
        <x:v>budget stickers</x:v>
      </x:c>
      <x:c r="AC72" s="10" t="str">
        <x:v>budgeting printable</x:v>
      </x:c>
      <x:c r="AD72" s="10" t="str">
        <x:v>budgeting stickers</x:v>
      </x:c>
      <x:c r="AE72" s="10" t="str">
        <x:v>monthly bill tracker</x:v>
      </x:c>
      <x:c r="AF72" s="10" t="str">
        <x:v>cut files</x:v>
      </x:c>
      <x:c r="AG72" s="10" t="str">
        <x:v>mortgage stickers</x:v>
      </x:c>
      <x:c r="AH72" s="10" t="str">
        <x:v>Other mortgage-related</x:v>
      </x:c>
      <x:c r="AI72" s="13" t="n">
        <x:v>9</x:v>
      </x:c>
      <x:c r="AJ72" s="10" t="str">
        <x:f>IF(F72&gt;0,"Active","No est. sales")</x:f>
        <x:v>No est. sales</x:v>
      </x:c>
    </x:row>
    <x:row r="73">
      <x:c r="A73" s="10" t="str">
        <x:v>Debt Snowball Tracker Printable FC Compact Inserts, Credit Card Debt Journal, Student Loan Payoff, Money Management, Instant Download PDF</x:v>
      </x:c>
      <x:c r="B73" s="10" t="str">
        <x:v>https://www.etsy.com/listing/1218022035/debt-snowball-tracker-printable-fc</x:v>
      </x:c>
      <x:c r="C73" s="10" t="str">
        <x:v>Monthlyjoy</x:v>
      </x:c>
      <x:c r="D73" s="10" t="str">
        <x:v>https://www.etsy.com/shop/Monthlyjoy</x:v>
      </x:c>
      <x:c r="E73" s="11" t="n">
        <x:v>3.3</x:v>
      </x:c>
      <x:c r="F73" s="10" t="n">
        <x:v>0</x:v>
      </x:c>
      <x:c r="G73" s="12" t="n">
        <x:v>0</x:v>
      </x:c>
      <x:c r="H73" s="13" t="n">
        <x:v>0</x:v>
      </x:c>
      <x:c r="I73" s="10" t="n">
        <x:v>19</x:v>
      </x:c>
      <x:c r="J73" s="10" t="n">
        <x:v>2</x:v>
      </x:c>
      <x:c r="K73" s="10" t="str">
        <x:v>51 Mo.</x:v>
      </x:c>
      <x:c r="L73" s="10" t="n">
        <x:v>17</x:v>
      </x:c>
      <x:c r="M73" s="10" t="n">
        <x:v>0</x:v>
      </x:c>
      <x:c r="N73" s="10" t="n">
        <x:v>355</x:v>
      </x:c>
      <x:c r="O73" s="10" t="str">
        <x:v>Paper &amp; Party Supplies</x:v>
      </x:c>
      <x:c r="P73" s="10" t="n">
        <x:v>66</x:v>
      </x:c>
      <x:c r="Q73" s="10" t="n">
        <x:v>0</x:v>
      </x:c>
      <x:c r="R73" s="13" t="n">
        <x:v>5.35</x:v>
      </x:c>
      <x:c r="S73" s="10" t="n">
        <x:v>24015</x:v>
      </x:c>
      <x:c r="T73" s="10" t="str">
        <x:v>debt tracker,debt payoff,fc compact inserts,printable planner,finance journal,debt template,credit card debt,money management,debt organizer,fc compact planner,student loan payoff,mortgage tracker,inserts minimalist</x:v>
      </x:c>
      <x:c r="U73" s="10" t="str">
        <x:v>debt tracker</x:v>
      </x:c>
      <x:c r="V73" s="10" t="str">
        <x:v>debt payoff</x:v>
      </x:c>
      <x:c r="W73" s="10" t="str">
        <x:v>fc compact inserts</x:v>
      </x:c>
      <x:c r="X73" s="10" t="str">
        <x:v>printable planner</x:v>
      </x:c>
      <x:c r="Y73" s="10" t="str">
        <x:v>finance journal</x:v>
      </x:c>
      <x:c r="Z73" s="10" t="str">
        <x:v>debt template</x:v>
      </x:c>
      <x:c r="AA73" s="10" t="str">
        <x:v>credit card debt</x:v>
      </x:c>
      <x:c r="AB73" s="10" t="str">
        <x:v>money management</x:v>
      </x:c>
      <x:c r="AC73" s="10" t="str">
        <x:v>debt organizer</x:v>
      </x:c>
      <x:c r="AD73" s="10" t="str">
        <x:v>fc compact planner</x:v>
      </x:c>
      <x:c r="AE73" s="10" t="str">
        <x:v>student loan payoff</x:v>
      </x:c>
      <x:c r="AF73" s="10" t="str">
        <x:v>mortgage tracker</x:v>
      </x:c>
      <x:c r="AG73" s="10" t="str">
        <x:v>inserts minimalist</x:v>
      </x:c>
      <x:c r="AH73" s="10" t="str">
        <x:v>General debt payoff</x:v>
      </x:c>
      <x:c r="AI73" s="13" t="n">
        <x:v>51</x:v>
      </x:c>
      <x:c r="AJ73" s="10" t="str">
        <x:f>IF(F73&gt;0,"Active","No est. sales")</x:f>
        <x:v>No est. sales</x:v>
      </x:c>
    </x:row>
    <x:row r="74">
      <x:c r="A74" s="10" t="str">
        <x:v>Mortgage Planner Sticker | Pay Mortgage Planner Sticker | Mortgage Bill Planner Sticker | Bullet Journaling Stickers</x:v>
      </x:c>
      <x:c r="B74" s="10" t="str">
        <x:v>https://www.etsy.com/listing/1243956226/mortgage-planner-sticker-pay-mortgage</x:v>
      </x:c>
      <x:c r="C74" s="10" t="str">
        <x:v>MiBlushe</x:v>
      </x:c>
      <x:c r="D74" s="10" t="str">
        <x:v>https://www.etsy.com/shop/MiBlushe</x:v>
      </x:c>
      <x:c r="E74" s="11" t="n">
        <x:v>5.23</x:v>
      </x:c>
      <x:c r="F74" s="10" t="n">
        <x:v>0</x:v>
      </x:c>
      <x:c r="G74" s="12" t="n">
        <x:v>0</x:v>
      </x:c>
      <x:c r="H74" s="13" t="n">
        <x:v>0</x:v>
      </x:c>
      <x:c r="I74" s="10" t="n">
        <x:v>0</x:v>
      </x:c>
      <x:c r="J74" s="10" t="n">
        <x:v>0</x:v>
      </x:c>
      <x:c r="K74" s="10" t="str">
        <x:v>49 Mo.</x:v>
      </x:c>
      <x:c r="L74" s="10" t="n">
        <x:v>12</x:v>
      </x:c>
      <x:c r="M74" s="10" t="n">
        <x:v>0</x:v>
      </x:c>
      <x:c r="N74" s="10" t="n">
        <x:v>89</x:v>
      </x:c>
      <x:c r="O74" s="10" t="str">
        <x:v>Paper &amp; Party Supplies</x:v>
      </x:c>
      <x:c r="P74" s="10" t="n">
        <x:v>116</x:v>
      </x:c>
      <x:c r="Q74" s="10" t="n">
        <x:v>0</x:v>
      </x:c>
      <x:c r="R74" s="13" t="n">
        <x:v>0</x:v>
      </x:c>
      <x:c r="S74" s="10" t="n">
        <x:v>546</x:v>
      </x:c>
      <x:c r="T74" s="10" t="str">
        <x:v>bullet journal,stationary,planner stickers,stickers,erin condren,happy planner,life planner,bullet journaling,planner sticker,take your meds,medicine sticker,medicine planner,meds planner sticker</x:v>
      </x:c>
      <x:c r="U74" s="10" t="str">
        <x:v>bullet journal</x:v>
      </x:c>
      <x:c r="V74" s="10" t="str">
        <x:v>stationary</x:v>
      </x:c>
      <x:c r="W74" s="10" t="str">
        <x:v>planner stickers</x:v>
      </x:c>
      <x:c r="X74" s="10" t="str">
        <x:v>stickers</x:v>
      </x:c>
      <x:c r="Y74" s="10" t="str">
        <x:v>erin condren</x:v>
      </x:c>
      <x:c r="Z74" s="10" t="str">
        <x:v>happy planner</x:v>
      </x:c>
      <x:c r="AA74" s="10" t="str">
        <x:v>life planner</x:v>
      </x:c>
      <x:c r="AB74" s="10" t="str">
        <x:v>bullet journaling</x:v>
      </x:c>
      <x:c r="AC74" s="10" t="str">
        <x:v>planner sticker</x:v>
      </x:c>
      <x:c r="AD74" s="10" t="str">
        <x:v>take your meds</x:v>
      </x:c>
      <x:c r="AE74" s="10" t="str">
        <x:v>medicine sticker</x:v>
      </x:c>
      <x:c r="AF74" s="10" t="str">
        <x:v>medicine planner</x:v>
      </x:c>
      <x:c r="AG74" s="10" t="str">
        <x:v>meds planner sticker</x:v>
      </x:c>
      <x:c r="AH74" s="10" t="str">
        <x:v>Other mortgage-related</x:v>
      </x:c>
      <x:c r="AI74" s="13" t="n">
        <x:v>49</x:v>
      </x:c>
      <x:c r="AJ74" s="10" t="str">
        <x:f>IF(F74&gt;0,"Active","No est. sales")</x:f>
        <x:v>No est. sales</x:v>
      </x:c>
    </x:row>
    <x:row r="75">
      <x:c r="A75" s="10" t="str">
        <x:v>Mortgage Broker Instagram Kit 7in1 Bundle Canva Template-Content Planner-Caption-Reel Script-Insta Story-Carousel Social Branding</x:v>
      </x:c>
      <x:c r="B75" s="10" t="str">
        <x:v>https://www.etsy.com/listing/1844694978/mortgage-broker-instagram-kit-7in1</x:v>
      </x:c>
      <x:c r="C75" s="10" t="str">
        <x:v>websetin</x:v>
      </x:c>
      <x:c r="D75" s="10" t="str">
        <x:v>https://www.etsy.com/shop/websetin</x:v>
      </x:c>
      <x:c r="E75" s="11" t="n">
        <x:v>23</x:v>
      </x:c>
      <x:c r="F75" s="10" t="n">
        <x:v>0</x:v>
      </x:c>
      <x:c r="G75" s="12" t="n">
        <x:v>0</x:v>
      </x:c>
      <x:c r="H75" s="13" t="n">
        <x:v>0</x:v>
      </x:c>
      <x:c r="I75" s="10" t="n">
        <x:v>0</x:v>
      </x:c>
      <x:c r="J75" s="10" t="n">
        <x:v>0</x:v>
      </x:c>
      <x:c r="K75" s="10" t="str">
        <x:v>18 Mo.</x:v>
      </x:c>
      <x:c r="L75" s="10" t="n">
        <x:v>0</x:v>
      </x:c>
      <x:c r="M75" s="10" t="n">
        <x:v>0</x:v>
      </x:c>
      <x:c r="N75" s="10" t="n">
        <x:v>26</x:v>
      </x:c>
      <x:c r="O75" s="10" t="str">
        <x:v>Paper &amp; Party Supplies</x:v>
      </x:c>
      <x:c r="P75" s="10" t="n">
        <x:v>58</x:v>
      </x:c>
      <x:c r="Q75" s="10" t="n">
        <x:v>0</x:v>
      </x:c>
      <x:c r="R75" s="13" t="n">
        <x:v>0</x:v>
      </x:c>
      <x:c r="S75" s="10" t="n">
        <x:v>350</x:v>
      </x:c>
      <x:c r="T75" s="10" t="str">
        <x:v>mortgage broker post,mortgage broker plan,mortgage broker,thank-you cards,mortgage broker gift,real estate planner,business cards,custom client folder,closing gift ideas,real estate wall art,home keychains,mortgage calculator,pens for brokers</x:v>
      </x:c>
      <x:c r="U75" s="10" t="str">
        <x:v>mortgage broker post</x:v>
      </x:c>
      <x:c r="V75" s="10" t="str">
        <x:v>mortgage broker plan</x:v>
      </x:c>
      <x:c r="W75" s="10" t="str">
        <x:v>mortgage broker</x:v>
      </x:c>
      <x:c r="X75" s="10" t="str">
        <x:v>thank-you cards</x:v>
      </x:c>
      <x:c r="Y75" s="10" t="str">
        <x:v>mortgage broker gift</x:v>
      </x:c>
      <x:c r="Z75" s="10" t="str">
        <x:v>real estate planner</x:v>
      </x:c>
      <x:c r="AA75" s="10" t="str">
        <x:v>business cards</x:v>
      </x:c>
      <x:c r="AB75" s="10" t="str">
        <x:v>custom client folder</x:v>
      </x:c>
      <x:c r="AC75" s="10" t="str">
        <x:v>closing gift ideas</x:v>
      </x:c>
      <x:c r="AD75" s="10" t="str">
        <x:v>real estate wall art</x:v>
      </x:c>
      <x:c r="AE75" s="10" t="str">
        <x:v>home keychains</x:v>
      </x:c>
      <x:c r="AF75" s="10" t="str">
        <x:v>mortgage calculator</x:v>
      </x:c>
      <x:c r="AG75" s="10" t="str">
        <x:v>pens for brokers</x:v>
      </x:c>
      <x:c r="AH75" s="10" t="str">
        <x:v>Loan officer / B2B</x:v>
      </x:c>
      <x:c r="AI75" s="13" t="n">
        <x:v>18</x:v>
      </x:c>
      <x:c r="AJ75" s="10" t="str">
        <x:f>IF(F75&gt;0,"Active","No est. sales")</x:f>
        <x:v>No est. sales</x:v>
      </x:c>
    </x:row>
    <x:row r="76">
      <x:c r="A76" s="10" t="str">
        <x:v>Loan Amortization Calculator with Extra Payments &amp; Chart | Advanced Mortgage Calculator Excel Spreadsheet Loan Repayment schedule Digital DL</x:v>
      </x:c>
      <x:c r="B76" s="10" t="str">
        <x:v>https://www.etsy.com/listing/4430142886/loan-amortization-calculator-with-extra</x:v>
      </x:c>
      <x:c r="C76" s="10" t="str">
        <x:v>JazConsulting</x:v>
      </x:c>
      <x:c r="D76" s="10" t="str">
        <x:v>https://www.etsy.com/shop/JazConsulting</x:v>
      </x:c>
      <x:c r="E76" s="11" t="n">
        <x:v>9.07</x:v>
      </x:c>
      <x:c r="F76" s="10" t="n">
        <x:v>0</x:v>
      </x:c>
      <x:c r="G76" s="12" t="n">
        <x:v>0</x:v>
      </x:c>
      <x:c r="H76" s="13" t="n">
        <x:v>0</x:v>
      </x:c>
      <x:c r="I76" s="10" t="n">
        <x:v>0</x:v>
      </x:c>
      <x:c r="J76" s="10" t="n">
        <x:v>0</x:v>
      </x:c>
      <x:c r="K76" s="10" t="str">
        <x:v>7 Mo.</x:v>
      </x:c>
      <x:c r="L76" s="10" t="n">
        <x:v>2</x:v>
      </x:c>
      <x:c r="M76" s="10" t="n">
        <x:v>0</x:v>
      </x:c>
      <x:c r="N76" s="10" t="n">
        <x:v>86</x:v>
      </x:c>
      <x:c r="O76" s="10" t="str">
        <x:v>Home &amp; Living</x:v>
      </x:c>
      <x:c r="P76" s="10" t="n">
        <x:v>71</x:v>
      </x:c>
      <x:c r="Q76" s="10" t="n">
        <x:v>0</x:v>
      </x:c>
      <x:c r="R76" s="13" t="n">
        <x:v>0</x:v>
      </x:c>
      <x:c r="S76" s="10" t="n">
        <x:v>116</x:v>
      </x:c>
      <x:c r="T76" s="10" t="str">
        <x:v>amortization,mortgage calc,loan calculator,debt payoff,sheets finance,budget planner,financial tool,early payoff,loan schedule,money tracker,finance sheet,interest calculator,debt calculator</x:v>
      </x:c>
      <x:c r="U76" s="10" t="str">
        <x:v>amortization</x:v>
      </x:c>
      <x:c r="V76" s="10" t="str">
        <x:v>mortgage calc</x:v>
      </x:c>
      <x:c r="W76" s="10" t="str">
        <x:v>loan calculator</x:v>
      </x:c>
      <x:c r="X76" s="10" t="str">
        <x:v>debt payoff</x:v>
      </x:c>
      <x:c r="Y76" s="10" t="str">
        <x:v>sheets finance</x:v>
      </x:c>
      <x:c r="Z76" s="10" t="str">
        <x:v>budget planner</x:v>
      </x:c>
      <x:c r="AA76" s="10" t="str">
        <x:v>financial tool</x:v>
      </x:c>
      <x:c r="AB76" s="10" t="str">
        <x:v>early payoff</x:v>
      </x:c>
      <x:c r="AC76" s="10" t="str">
        <x:v>loan schedule</x:v>
      </x:c>
      <x:c r="AD76" s="10" t="str">
        <x:v>money tracker</x:v>
      </x:c>
      <x:c r="AE76" s="10" t="str">
        <x:v>finance sheet</x:v>
      </x:c>
      <x:c r="AF76" s="10" t="str">
        <x:v>interest calculator</x:v>
      </x:c>
      <x:c r="AG76" s="10" t="str">
        <x:v>debt calculator</x:v>
      </x:c>
      <x:c r="AH76" s="10" t="str">
        <x:v>Mortgage payoff / calculator</x:v>
      </x:c>
      <x:c r="AI76" s="13" t="n">
        <x:v>7</x:v>
      </x:c>
      <x:c r="AJ76" s="10" t="str">
        <x:f>IF(F76&gt;0,"Active","No est. sales")</x:f>
        <x:v>No est. sales</x:v>
      </x:c>
    </x:row>
    <x:row r="77">
      <x:c r="A77" s="10" t="str">
        <x:v>Mortgage calculator Spreadsheet Template, Expense tracker, Finance Management, Financial Planner, Google Sheets Digital Budget</x:v>
      </x:c>
      <x:c r="B77" s="10" t="str">
        <x:v>https://www.etsy.com/listing/1885484485/mortgage-calculator-spreadsheet-template</x:v>
      </x:c>
      <x:c r="C77" s="10" t="str">
        <x:v>BudgetflowStudio</x:v>
      </x:c>
      <x:c r="D77" s="10" t="str">
        <x:v>https://www.etsy.com/shop/BudgetflowStudio</x:v>
      </x:c>
      <x:c r="E77" s="11" t="n">
        <x:v>2.29</x:v>
      </x:c>
      <x:c r="F77" s="10" t="n">
        <x:v>0</x:v>
      </x:c>
      <x:c r="G77" s="12" t="n">
        <x:v>0</x:v>
      </x:c>
      <x:c r="H77" s="13" t="n">
        <x:v>0</x:v>
      </x:c>
      <x:c r="I77" s="10" t="n">
        <x:v>0</x:v>
      </x:c>
      <x:c r="J77" s="10" t="n">
        <x:v>0</x:v>
      </x:c>
      <x:c r="K77" s="10" t="str">
        <x:v>16 Mo.</x:v>
      </x:c>
      <x:c r="L77" s="10" t="n">
        <x:v>2</x:v>
      </x:c>
      <x:c r="M77" s="10" t="n">
        <x:v>0</x:v>
      </x:c>
      <x:c r="N77" s="10" t="n">
        <x:v>26</x:v>
      </x:c>
      <x:c r="O77" s="10" t="str"/>
      <x:c r="P77" s="10" t="n">
        <x:v>17</x:v>
      </x:c>
      <x:c r="Q77" s="10" t="n">
        <x:v>0</x:v>
      </x:c>
      <x:c r="R77" s="13" t="n">
        <x:v>0</x:v>
      </x:c>
      <x:c r="S77" s="10" t="n">
        <x:v>30</x:v>
      </x:c>
      <x:c r="T77" s="10" t="str">
        <x:v>expense tracker,budget,fianancial advisor,spreadsheet,google excel,accounting,bookkeeping,digital planner free,google sheets,money management,finance management,mortgage payment,mortgage calculator</x:v>
      </x:c>
      <x:c r="U77" s="10" t="str">
        <x:v>expense tracker</x:v>
      </x:c>
      <x:c r="V77" s="10" t="str">
        <x:v>budget</x:v>
      </x:c>
      <x:c r="W77" s="10" t="str">
        <x:v>fianancial advisor</x:v>
      </x:c>
      <x:c r="X77" s="10" t="str">
        <x:v>spreadsheet</x:v>
      </x:c>
      <x:c r="Y77" s="10" t="str">
        <x:v>google excel</x:v>
      </x:c>
      <x:c r="Z77" s="10" t="str">
        <x:v>accounting</x:v>
      </x:c>
      <x:c r="AA77" s="10" t="str">
        <x:v>bookkeeping</x:v>
      </x:c>
      <x:c r="AB77" s="10" t="str">
        <x:v>digital planner free</x:v>
      </x:c>
      <x:c r="AC77" s="10" t="str">
        <x:v>google sheets</x:v>
      </x:c>
      <x:c r="AD77" s="10" t="str">
        <x:v>money management</x:v>
      </x:c>
      <x:c r="AE77" s="10" t="str">
        <x:v>finance management</x:v>
      </x:c>
      <x:c r="AF77" s="10" t="str">
        <x:v>mortgage payment</x:v>
      </x:c>
      <x:c r="AG77" s="10" t="str">
        <x:v>mortgage calculator</x:v>
      </x:c>
      <x:c r="AH77" s="10" t="str">
        <x:v>Mortgage payoff / calculator</x:v>
      </x:c>
      <x:c r="AI77" s="13" t="n">
        <x:v>16</x:v>
      </x:c>
      <x:c r="AJ77" s="10" t="str">
        <x:f>IF(F77&gt;0,"Active","No est. sales")</x:f>
        <x:v>No est. sales</x:v>
      </x:c>
    </x:row>
    <x:row r="78">
      <x:c r="A78" s="10" t="str">
        <x:v>Home Printable Planner Stickers Mortgage Stickers Icon Stickers Functional Stickers Cut File Bill Stickers for Erin Condren Planner Rainbow</x:v>
      </x:c>
      <x:c r="B78" s="10" t="str">
        <x:v>https://www.etsy.com/listing/487965716/home-printable-planner-stickers-mortgage</x:v>
      </x:c>
      <x:c r="C78" s="10" t="str">
        <x:v>loveplannerprintable</x:v>
      </x:c>
      <x:c r="D78" s="10" t="str">
        <x:v>https://www.etsy.com/shop/loveplannerprintable</x:v>
      </x:c>
      <x:c r="E78" s="11" t="n">
        <x:v>4.5</x:v>
      </x:c>
      <x:c r="F78" s="10" t="n">
        <x:v>0</x:v>
      </x:c>
      <x:c r="G78" s="12" t="n">
        <x:v>0</x:v>
      </x:c>
      <x:c r="H78" s="13" t="n">
        <x:v>0</x:v>
      </x:c>
      <x:c r="I78" s="10" t="n">
        <x:v>35</x:v>
      </x:c>
      <x:c r="J78" s="10" t="n">
        <x:v>5</x:v>
      </x:c>
      <x:c r="K78" s="10" t="str">
        <x:v>115 Mo.</x:v>
      </x:c>
      <x:c r="L78" s="10" t="n">
        <x:v>62</x:v>
      </x:c>
      <x:c r="M78" s="10" t="n">
        <x:v>0</x:v>
      </x:c>
      <x:c r="N78" s="10" t="n">
        <x:v>613</x:v>
      </x:c>
      <x:c r="O78" s="10" t="str">
        <x:v>Paper &amp; Party Supplies</x:v>
      </x:c>
      <x:c r="P78" s="10" t="n">
        <x:v>124</x:v>
      </x:c>
      <x:c r="Q78" s="10" t="n">
        <x:v>0</x:v>
      </x:c>
      <x:c r="R78" s="13" t="n">
        <x:v>5.71</x:v>
      </x:c>
      <x:c r="S78" s="10" t="n">
        <x:v>9564</x:v>
      </x:c>
      <x:c r="T78" s="10" t="str">
        <x:v>planner,planner stickers,printable stickers,printable planner,digital printable,digital planner,icon stickers,functional stickers,cut file,home planner,mortgage stickers,bill stickers,for erin condren</x:v>
      </x:c>
      <x:c r="U78" s="10" t="str">
        <x:v>planner</x:v>
      </x:c>
      <x:c r="V78" s="10" t="str">
        <x:v>planner stickers</x:v>
      </x:c>
      <x:c r="W78" s="10" t="str">
        <x:v>printable stickers</x:v>
      </x:c>
      <x:c r="X78" s="10" t="str">
        <x:v>printable planner</x:v>
      </x:c>
      <x:c r="Y78" s="10" t="str">
        <x:v>digital printable</x:v>
      </x:c>
      <x:c r="Z78" s="10" t="str">
        <x:v>digital planner</x:v>
      </x:c>
      <x:c r="AA78" s="10" t="str">
        <x:v>icon stickers</x:v>
      </x:c>
      <x:c r="AB78" s="10" t="str">
        <x:v>functional stickers</x:v>
      </x:c>
      <x:c r="AC78" s="10" t="str">
        <x:v>cut file</x:v>
      </x:c>
      <x:c r="AD78" s="10" t="str">
        <x:v>home planner</x:v>
      </x:c>
      <x:c r="AE78" s="10" t="str">
        <x:v>mortgage stickers</x:v>
      </x:c>
      <x:c r="AF78" s="10" t="str">
        <x:v>bill stickers</x:v>
      </x:c>
      <x:c r="AG78" s="10" t="str">
        <x:v>for erin condren</x:v>
      </x:c>
      <x:c r="AH78" s="10" t="str">
        <x:v>Other mortgage-related</x:v>
      </x:c>
      <x:c r="AI78" s="13" t="n">
        <x:v>115</x:v>
      </x:c>
      <x:c r="AJ78" s="10" t="str">
        <x:f>IF(F78&gt;0,"Active","No est. sales")</x:f>
        <x:v>No est. sales</x:v>
      </x:c>
    </x:row>
    <x:row r="79">
      <x:c r="A79" s="10" t="str">
        <x:v>First-Time Home Buyer Planner | House Hunting Checklist, Mortgage Tracker (Instant Download PDF)</x:v>
      </x:c>
      <x:c r="B79" s="10" t="str">
        <x:v>https://www.etsy.com/listing/4526285904/first-time-home-buyer-planner-house</x:v>
      </x:c>
      <x:c r="C79" s="10" t="str">
        <x:v>DigitalStudio100</x:v>
      </x:c>
      <x:c r="D79" s="10" t="str">
        <x:v>https://www.etsy.com/shop/DigitalStudio100</x:v>
      </x:c>
      <x:c r="E79" s="11" t="n">
        <x:v>8.66</x:v>
      </x:c>
      <x:c r="F79" s="10" t="n">
        <x:v>0</x:v>
      </x:c>
      <x:c r="G79" s="12" t="n">
        <x:v>0</x:v>
      </x:c>
      <x:c r="H79" s="13" t="n">
        <x:v>0</x:v>
      </x:c>
      <x:c r="I79" s="10" t="n">
        <x:v>0</x:v>
      </x:c>
      <x:c r="J79" s="10" t="n">
        <x:v>0</x:v>
      </x:c>
      <x:c r="K79" s="10" t="str">
        <x:v>1 Mo.</x:v>
      </x:c>
      <x:c r="L79" s="10" t="n">
        <x:v>0</x:v>
      </x:c>
      <x:c r="M79" s="10" t="n">
        <x:v>0</x:v>
      </x:c>
      <x:c r="N79" s="10" t="n">
        <x:v>1</x:v>
      </x:c>
      <x:c r="O79" s="10" t="str"/>
      <x:c r="P79" s="10" t="n">
        <x:v>1</x:v>
      </x:c>
      <x:c r="Q79" s="10" t="n">
        <x:v>0</x:v>
      </x:c>
      <x:c r="R79" s="13" t="n">
        <x:v>0</x:v>
      </x:c>
      <x:c r="S79" s="10" t="n">
        <x:v>3</x:v>
      </x:c>
      <x:c r="T79" s="10" t="str">
        <x:v>home buyer planner,first time buyer,mortgage planner,moving planner,home buying guide,property viewing,deposit tracker,home buyer checklist,real estate planner,house viewing notes,new home planner</x:v>
      </x:c>
      <x:c r="U79" s="10" t="str">
        <x:v>home buyer planner</x:v>
      </x:c>
      <x:c r="V79" s="10" t="str">
        <x:v>first time buyer</x:v>
      </x:c>
      <x:c r="W79" s="10" t="str">
        <x:v>mortgage planner</x:v>
      </x:c>
      <x:c r="X79" s="10" t="str">
        <x:v>moving planner</x:v>
      </x:c>
      <x:c r="Y79" s="10" t="str">
        <x:v>home buying guide</x:v>
      </x:c>
      <x:c r="Z79" s="10" t="str">
        <x:v>property viewing</x:v>
      </x:c>
      <x:c r="AA79" s="10" t="str">
        <x:v>deposit tracker</x:v>
      </x:c>
      <x:c r="AB79" s="10" t="str">
        <x:v>home buyer checklist</x:v>
      </x:c>
      <x:c r="AC79" s="10" t="str">
        <x:v>real estate planner</x:v>
      </x:c>
      <x:c r="AD79" s="10" t="str">
        <x:v>house viewing notes</x:v>
      </x:c>
      <x:c r="AE79" s="10" t="str">
        <x:v>new home planner</x:v>
      </x:c>
      <x:c r="AF79" s="10" t="str">
        <x:v>--</x:v>
      </x:c>
      <x:c r="AG79" s="10" t="str">
        <x:v>--</x:v>
      </x:c>
      <x:c r="AH79" s="10" t="str">
        <x:v>Home buying planner</x:v>
      </x:c>
      <x:c r="AI79" s="13" t="n">
        <x:v>1</x:v>
      </x:c>
      <x:c r="AJ79" s="10" t="str">
        <x:f>IF(F79&gt;0,"Active","No est. sales")</x:f>
        <x:v>No est. sales</x:v>
      </x:c>
    </x:row>
    <x:row r="80">
      <x:c r="A80" s="10" t="str">
        <x:v>UK Home Buyer Spreadsheet | Stamp Duty Calculator 2026 Planner | (Excel Download)</x:v>
      </x:c>
      <x:c r="B80" s="10" t="str">
        <x:v>https://www.etsy.com/listing/4520404629/uk-home-buyer-spreadsheet-stamp-duty</x:v>
      </x:c>
      <x:c r="C80" s="10" t="str">
        <x:v>SterlingsSheets</x:v>
      </x:c>
      <x:c r="D80" s="10" t="str">
        <x:v>https://www.etsy.com/shop/SterlingsSheets</x:v>
      </x:c>
      <x:c r="E80" s="11" t="n">
        <x:v>13.41</x:v>
      </x:c>
      <x:c r="F80" s="10" t="n">
        <x:v>0</x:v>
      </x:c>
      <x:c r="G80" s="12" t="n">
        <x:v>0</x:v>
      </x:c>
      <x:c r="H80" s="13" t="n">
        <x:v>0</x:v>
      </x:c>
      <x:c r="I80" s="10" t="n">
        <x:v>0</x:v>
      </x:c>
      <x:c r="J80" s="10" t="n">
        <x:v>0</x:v>
      </x:c>
      <x:c r="K80" s="10" t="str">
        <x:v>1 Mo.</x:v>
      </x:c>
      <x:c r="L80" s="10" t="n">
        <x:v>0</x:v>
      </x:c>
      <x:c r="M80" s="10" t="n">
        <x:v>0</x:v>
      </x:c>
      <x:c r="N80" s="10" t="n">
        <x:v>11</x:v>
      </x:c>
      <x:c r="O80" s="10" t="str"/>
      <x:c r="P80" s="10" t="n">
        <x:v>3</x:v>
      </x:c>
      <x:c r="Q80" s="10" t="n">
        <x:v>0</x:v>
      </x:c>
      <x:c r="R80" s="13" t="n">
        <x:v>0</x:v>
      </x:c>
      <x:c r="S80" s="10" t="n">
        <x:v>1</x:v>
      </x:c>
      <x:c r="T80" s="10" t="str">
        <x:v>stamp duty calc,first time buyer,house buying planner,uk home buying,moving house list,house purchase,mortgage calculator,buyer spreadsheet,excel template uk,leasehold checklist,conveyancing tracker,property tracker,new home planner</x:v>
      </x:c>
      <x:c r="U80" s="10" t="str">
        <x:v>stamp duty calc</x:v>
      </x:c>
      <x:c r="V80" s="10" t="str">
        <x:v>first time buyer</x:v>
      </x:c>
      <x:c r="W80" s="10" t="str">
        <x:v>house buying planner</x:v>
      </x:c>
      <x:c r="X80" s="10" t="str">
        <x:v>uk home buying</x:v>
      </x:c>
      <x:c r="Y80" s="10" t="str">
        <x:v>moving house list</x:v>
      </x:c>
      <x:c r="Z80" s="10" t="str">
        <x:v>house purchase</x:v>
      </x:c>
      <x:c r="AA80" s="10" t="str">
        <x:v>mortgage calculator</x:v>
      </x:c>
      <x:c r="AB80" s="10" t="str">
        <x:v>buyer spreadsheet</x:v>
      </x:c>
      <x:c r="AC80" s="10" t="str">
        <x:v>excel template uk</x:v>
      </x:c>
      <x:c r="AD80" s="10" t="str">
        <x:v>leasehold checklist</x:v>
      </x:c>
      <x:c r="AE80" s="10" t="str">
        <x:v>conveyancing tracker</x:v>
      </x:c>
      <x:c r="AF80" s="10" t="str">
        <x:v>property tracker</x:v>
      </x:c>
      <x:c r="AG80" s="10" t="str">
        <x:v>new home planner</x:v>
      </x:c>
      <x:c r="AH80" s="10" t="str">
        <x:v>Other mortgage-related</x:v>
      </x:c>
      <x:c r="AI80" s="13" t="n">
        <x:v>1</x:v>
      </x:c>
      <x:c r="AJ80" s="10" t="str">
        <x:f>IF(F80&gt;0,"Active","No est. sales")</x:f>
        <x:v>No est. sales</x:v>
      </x:c>
    </x:row>
    <x:row r="81">
      <x:c r="A81" s="10" t="str">
        <x:v>Mortgage Calculator: Loan Comparison Spreadsheet (Google Sheets &amp; Excel Digital Download</x:v>
      </x:c>
      <x:c r="B81" s="10" t="str">
        <x:v>https://www.etsy.com/listing/4320505717/mortgage-calculator-loan-comparison</x:v>
      </x:c>
      <x:c r="C81" s="10" t="str">
        <x:v>INSPIRACORE</x:v>
      </x:c>
      <x:c r="D81" s="10" t="str">
        <x:v>https://www.etsy.com/shop/INSPIRACORE</x:v>
      </x:c>
      <x:c r="E81" s="11" t="n">
        <x:v>11.77</x:v>
      </x:c>
      <x:c r="F81" s="10" t="n">
        <x:v>0</x:v>
      </x:c>
      <x:c r="G81" s="12" t="n">
        <x:v>0</x:v>
      </x:c>
      <x:c r="H81" s="13" t="n">
        <x:v>0</x:v>
      </x:c>
      <x:c r="I81" s="10" t="n">
        <x:v>0</x:v>
      </x:c>
      <x:c r="J81" s="10" t="n">
        <x:v>0</x:v>
      </x:c>
      <x:c r="K81" s="10" t="str">
        <x:v>6 Mo.</x:v>
      </x:c>
      <x:c r="L81" s="10" t="n">
        <x:v>2</x:v>
      </x:c>
      <x:c r="M81" s="10" t="n">
        <x:v>0</x:v>
      </x:c>
      <x:c r="N81" s="10" t="n">
        <x:v>92</x:v>
      </x:c>
      <x:c r="O81" s="10" t="str"/>
      <x:c r="P81" s="10" t="n">
        <x:v>17</x:v>
      </x:c>
      <x:c r="Q81" s="10" t="n">
        <x:v>0</x:v>
      </x:c>
      <x:c r="R81" s="13" t="n">
        <x:v>0</x:v>
      </x:c>
      <x:c r="S81" s="10" t="n">
        <x:v>198</x:v>
      </x:c>
      <x:c r="T81" s="10" t="str">
        <x:v>mortgage calculator,fha loan tracker,loan payment sheet,home loan planner,excel mortgage tool,google sheets loan,monthly loan tracker,fha calculator,loan amortization,real estate planner,budgeting template,finance spreadsheet,mortgage estimator</x:v>
      </x:c>
      <x:c r="U81" s="10" t="str">
        <x:v>mortgage calculator</x:v>
      </x:c>
      <x:c r="V81" s="10" t="str">
        <x:v>fha loan tracker</x:v>
      </x:c>
      <x:c r="W81" s="10" t="str">
        <x:v>loan payment sheet</x:v>
      </x:c>
      <x:c r="X81" s="10" t="str">
        <x:v>home loan planner</x:v>
      </x:c>
      <x:c r="Y81" s="10" t="str">
        <x:v>excel mortgage tool</x:v>
      </x:c>
      <x:c r="Z81" s="10" t="str">
        <x:v>google sheets loan</x:v>
      </x:c>
      <x:c r="AA81" s="10" t="str">
        <x:v>monthly loan tracker</x:v>
      </x:c>
      <x:c r="AB81" s="10" t="str">
        <x:v>fha calculator</x:v>
      </x:c>
      <x:c r="AC81" s="10" t="str">
        <x:v>loan amortization</x:v>
      </x:c>
      <x:c r="AD81" s="10" t="str">
        <x:v>real estate planner</x:v>
      </x:c>
      <x:c r="AE81" s="10" t="str">
        <x:v>budgeting template</x:v>
      </x:c>
      <x:c r="AF81" s="10" t="str">
        <x:v>finance spreadsheet</x:v>
      </x:c>
      <x:c r="AG81" s="10" t="str">
        <x:v>mortgage estimator</x:v>
      </x:c>
      <x:c r="AH81" s="10" t="str">
        <x:v>Mortgage payoff / calculator</x:v>
      </x:c>
      <x:c r="AI81" s="13" t="n">
        <x:v>6</x:v>
      </x:c>
      <x:c r="AJ81" s="10" t="str">
        <x:f>IF(F81&gt;0,"Active","No est. sales")</x:f>
        <x:v>No est. sales</x:v>
      </x:c>
    </x:row>
    <x:row r="82">
      <x:c r="A82" s="10" t="str">
        <x:v>Loan Estimate Import Tool &amp; Mortgage Calculator | Automated Home Budget Spreadsheet | Closing Cost and PITI Planner for Excel</x:v>
      </x:c>
      <x:c r="B82" s="10" t="str">
        <x:v>https://www.etsy.com/listing/4364668852/loan-estimate-import-tool-mortgage</x:v>
      </x:c>
      <x:c r="C82" s="10" t="str">
        <x:v>EggSheets</x:v>
      </x:c>
      <x:c r="D82" s="10" t="str">
        <x:v>https://www.etsy.com/shop/EggSheets</x:v>
      </x:c>
      <x:c r="E82" s="11" t="n">
        <x:v>2</x:v>
      </x:c>
      <x:c r="F82" s="10" t="n">
        <x:v>0</x:v>
      </x:c>
      <x:c r="G82" s="12" t="n">
        <x:v>0</x:v>
      </x:c>
      <x:c r="H82" s="13" t="n">
        <x:v>0</x:v>
      </x:c>
      <x:c r="I82" s="10" t="n">
        <x:v>0</x:v>
      </x:c>
      <x:c r="J82" s="10" t="n">
        <x:v>0</x:v>
      </x:c>
      <x:c r="K82" s="10" t="str">
        <x:v>2 Mo.</x:v>
      </x:c>
      <x:c r="L82" s="10" t="n">
        <x:v>0</x:v>
      </x:c>
      <x:c r="M82" s="10" t="n">
        <x:v>0</x:v>
      </x:c>
      <x:c r="N82" s="10" t="n">
        <x:v>82</x:v>
      </x:c>
      <x:c r="O82" s="10" t="str"/>
      <x:c r="P82" s="10" t="n">
        <x:v>2</x:v>
      </x:c>
      <x:c r="Q82" s="10" t="n">
        <x:v>0</x:v>
      </x:c>
      <x:c r="R82" s="13" t="n">
        <x:v>0</x:v>
      </x:c>
      <x:c r="S82" s="10" t="n">
        <x:v>1</x:v>
      </x:c>
      <x:c r="T82" s="10" t="str">
        <x:v>mortgage calculator,loan estimate tool,home buying planner,first time homebuyer,real estate budget,closing cost calc,piti calculator,excel template,budget spreadsheet,mortgage planner,financial planner,home loan analysis</x:v>
      </x:c>
      <x:c r="U82" s="10" t="str">
        <x:v>mortgage calculator</x:v>
      </x:c>
      <x:c r="V82" s="10" t="str">
        <x:v>loan estimate tool</x:v>
      </x:c>
      <x:c r="W82" s="10" t="str">
        <x:v>home buying planner</x:v>
      </x:c>
      <x:c r="X82" s="10" t="str">
        <x:v>first time homebuyer</x:v>
      </x:c>
      <x:c r="Y82" s="10" t="str">
        <x:v>real estate budget</x:v>
      </x:c>
      <x:c r="Z82" s="10" t="str">
        <x:v>closing cost calc</x:v>
      </x:c>
      <x:c r="AA82" s="10" t="str">
        <x:v>piti calculator</x:v>
      </x:c>
      <x:c r="AB82" s="10" t="str">
        <x:v>excel template</x:v>
      </x:c>
      <x:c r="AC82" s="10" t="str">
        <x:v>budget spreadsheet</x:v>
      </x:c>
      <x:c r="AD82" s="10" t="str">
        <x:v>mortgage planner</x:v>
      </x:c>
      <x:c r="AE82" s="10" t="str">
        <x:v>financial planner</x:v>
      </x:c>
      <x:c r="AF82" s="10" t="str">
        <x:v>home loan analysis</x:v>
      </x:c>
      <x:c r="AG82" s="10" t="str">
        <x:v>--</x:v>
      </x:c>
      <x:c r="AH82" s="10" t="str">
        <x:v>Home buying planner</x:v>
      </x:c>
      <x:c r="AI82" s="13" t="n">
        <x:v>2</x:v>
      </x:c>
      <x:c r="AJ82" s="10" t="str">
        <x:f>IF(F82&gt;0,"Active","No est. sales")</x:f>
        <x:v>No est. sales</x:v>
      </x:c>
    </x:row>
    <x:row r="83">
      <x:c r="A83" s="10" t="str">
        <x:v>Payment Transfer Planner Sticker | Money Bill Rent Mortgage Credit Card Banking | Agenda Diary Journal Schedule Appointment Functional Bujo</x:v>
      </x:c>
      <x:c r="B83" s="10" t="str">
        <x:v>https://www.etsy.com/listing/4447504806/payment-transfer-planner-sticker-money</x:v>
      </x:c>
      <x:c r="C83" s="10" t="str">
        <x:v>bunnylionstory</x:v>
      </x:c>
      <x:c r="D83" s="10" t="str">
        <x:v>https://www.etsy.com/shop/bunnylionstory</x:v>
      </x:c>
      <x:c r="E83" s="11" t="n">
        <x:v>3.06</x:v>
      </x:c>
      <x:c r="F83" s="10" t="n">
        <x:v>0</x:v>
      </x:c>
      <x:c r="G83" s="12" t="n">
        <x:v>0</x:v>
      </x:c>
      <x:c r="H83" s="13" t="n">
        <x:v>0</x:v>
      </x:c>
      <x:c r="I83" s="10" t="n">
        <x:v>0</x:v>
      </x:c>
      <x:c r="J83" s="10" t="n">
        <x:v>0</x:v>
      </x:c>
      <x:c r="K83" s="10" t="str">
        <x:v>1 Mo.</x:v>
      </x:c>
      <x:c r="L83" s="10" t="n">
        <x:v>1</x:v>
      </x:c>
      <x:c r="M83" s="10" t="n">
        <x:v>0</x:v>
      </x:c>
      <x:c r="N83" s="10" t="n">
        <x:v>2</x:v>
      </x:c>
      <x:c r="O83" s="10" t="str">
        <x:v>Paper &amp; Party Supplies</x:v>
      </x:c>
      <x:c r="P83" s="10" t="n">
        <x:v>121</x:v>
      </x:c>
      <x:c r="Q83" s="10" t="n">
        <x:v>0</x:v>
      </x:c>
      <x:c r="R83" s="13" t="n">
        <x:v>0</x:v>
      </x:c>
      <x:c r="S83" s="10" t="n">
        <x:v>5882</x:v>
      </x:c>
      <x:c r="T83" s="10" t="str">
        <x:v>planner stickers,reminder sticker,journal sticker,journaling,planner deco,journaling sticker,goal sticker,payment sticker,e-banking sticker,money transfer,transfer sticker,money payment,online transfer</x:v>
      </x:c>
      <x:c r="U83" s="10" t="str">
        <x:v>planner stickers</x:v>
      </x:c>
      <x:c r="V83" s="10" t="str">
        <x:v>reminder sticker</x:v>
      </x:c>
      <x:c r="W83" s="10" t="str">
        <x:v>journal sticker</x:v>
      </x:c>
      <x:c r="X83" s="10" t="str">
        <x:v>journaling</x:v>
      </x:c>
      <x:c r="Y83" s="10" t="str">
        <x:v>planner deco</x:v>
      </x:c>
      <x:c r="Z83" s="10" t="str">
        <x:v>journaling sticker</x:v>
      </x:c>
      <x:c r="AA83" s="10" t="str">
        <x:v>goal sticker</x:v>
      </x:c>
      <x:c r="AB83" s="10" t="str">
        <x:v>payment sticker</x:v>
      </x:c>
      <x:c r="AC83" s="10" t="str">
        <x:v>e-banking sticker</x:v>
      </x:c>
      <x:c r="AD83" s="10" t="str">
        <x:v>money transfer</x:v>
      </x:c>
      <x:c r="AE83" s="10" t="str">
        <x:v>transfer sticker</x:v>
      </x:c>
      <x:c r="AF83" s="10" t="str">
        <x:v>money payment</x:v>
      </x:c>
      <x:c r="AG83" s="10" t="str">
        <x:v>online transfer</x:v>
      </x:c>
      <x:c r="AH83" s="10" t="str">
        <x:v>Other mortgage-related</x:v>
      </x:c>
      <x:c r="AI83" s="13" t="n">
        <x:v>1</x:v>
      </x:c>
      <x:c r="AJ83" s="10" t="str">
        <x:f>IF(F83&gt;0,"Active","No est. sales")</x:f>
        <x:v>No est. sales</x:v>
      </x:c>
    </x:row>
    <x:row r="84">
      <x:c r="A84" s="10" t="str">
        <x:v>Loan Program Flyer</x:v>
      </x:c>
      <x:c r="B84" s="10" t="str">
        <x:v>https://www.etsy.com/listing/1539807610/loan-program-flyer</x:v>
      </x:c>
      <x:c r="C84" s="10" t="str">
        <x:v>MayleysMagnolias</x:v>
      </x:c>
      <x:c r="D84" s="10" t="str">
        <x:v>https://www.etsy.com/shop/MayleysMagnolias</x:v>
      </x:c>
      <x:c r="E84" s="11" t="n">
        <x:v>3.49</x:v>
      </x:c>
      <x:c r="F84" s="10" t="n">
        <x:v>0</x:v>
      </x:c>
      <x:c r="G84" s="12" t="n">
        <x:v>0</x:v>
      </x:c>
      <x:c r="H84" s="13" t="n">
        <x:v>0</x:v>
      </x:c>
      <x:c r="I84" s="10" t="n">
        <x:v>0</x:v>
      </x:c>
      <x:c r="J84" s="10" t="n">
        <x:v>0</x:v>
      </x:c>
      <x:c r="K84" s="10" t="str">
        <x:v>25 Mo.</x:v>
      </x:c>
      <x:c r="L84" s="10" t="n">
        <x:v>10</x:v>
      </x:c>
      <x:c r="M84" s="10" t="n">
        <x:v>0</x:v>
      </x:c>
      <x:c r="N84" s="10" t="n">
        <x:v>247</x:v>
      </x:c>
      <x:c r="O84" s="10" t="str"/>
      <x:c r="P84" s="10" t="n">
        <x:v>30</x:v>
      </x:c>
      <x:c r="Q84" s="10" t="n">
        <x:v>0</x:v>
      </x:c>
      <x:c r="R84" s="13" t="n">
        <x:v>0</x:v>
      </x:c>
      <x:c r="S84" s="10" t="n">
        <x:v>7</x:v>
      </x:c>
      <x:c r="T84" s="10" t="str">
        <x:v>realtor,real estate,loan officer,lender,mortgage,open house,flyer,digital,marketing,agent,program,insurance,financial planner</x:v>
      </x:c>
      <x:c r="U84" s="10" t="str">
        <x:v>realtor</x:v>
      </x:c>
      <x:c r="V84" s="10" t="str">
        <x:v>real estate</x:v>
      </x:c>
      <x:c r="W84" s="10" t="str">
        <x:v>loan officer</x:v>
      </x:c>
      <x:c r="X84" s="10" t="str">
        <x:v>lender</x:v>
      </x:c>
      <x:c r="Y84" s="10" t="str">
        <x:v>mortgage</x:v>
      </x:c>
      <x:c r="Z84" s="10" t="str">
        <x:v>open house</x:v>
      </x:c>
      <x:c r="AA84" s="10" t="str">
        <x:v>flyer</x:v>
      </x:c>
      <x:c r="AB84" s="10" t="str">
        <x:v>digital</x:v>
      </x:c>
      <x:c r="AC84" s="10" t="str">
        <x:v>marketing</x:v>
      </x:c>
      <x:c r="AD84" s="10" t="str">
        <x:v>agent</x:v>
      </x:c>
      <x:c r="AE84" s="10" t="str">
        <x:v>program</x:v>
      </x:c>
      <x:c r="AF84" s="10" t="str">
        <x:v>insurance</x:v>
      </x:c>
      <x:c r="AG84" s="10" t="str">
        <x:v>financial planner</x:v>
      </x:c>
      <x:c r="AH84" s="10" t="str">
        <x:v>Loan officer / B2B</x:v>
      </x:c>
      <x:c r="AI84" s="13" t="n">
        <x:v>25</x:v>
      </x:c>
      <x:c r="AJ84" s="10" t="str">
        <x:f>IF(F84&gt;0,"Active","No est. sales")</x:f>
        <x:v>No est. sales</x:v>
      </x:c>
    </x:row>
    <x:row r="85">
      <x:c r="A85" s="10" t="str">
        <x:v>Financial Ratio Analysis | Excel Ratio Spreadsheet | Business Finance Tool</x:v>
      </x:c>
      <x:c r="B85" s="10" t="str">
        <x:v>https://www.etsy.com/listing/4523761408/financial-ratio-analysis-excel-ratio</x:v>
      </x:c>
      <x:c r="C85" s="10" t="str">
        <x:v>BusinessBooksCanada</x:v>
      </x:c>
      <x:c r="D85" s="10" t="str">
        <x:v>https://www.etsy.com/shop/BusinessBooksCanada</x:v>
      </x:c>
      <x:c r="E85" s="11" t="n">
        <x:v>353.67</x:v>
      </x:c>
      <x:c r="F85" s="10" t="n">
        <x:v>0</x:v>
      </x:c>
      <x:c r="G85" s="12" t="n">
        <x:v>0</x:v>
      </x:c>
      <x:c r="H85" s="13" t="n">
        <x:v>0</x:v>
      </x:c>
      <x:c r="I85" s="10" t="n">
        <x:v>0</x:v>
      </x:c>
      <x:c r="J85" s="10" t="n">
        <x:v>0</x:v>
      </x:c>
      <x:c r="K85" s="10" t="str">
        <x:v>1 Mo.</x:v>
      </x:c>
      <x:c r="L85" s="10" t="n">
        <x:v>0</x:v>
      </x:c>
      <x:c r="M85" s="10" t="n">
        <x:v>0</x:v>
      </x:c>
      <x:c r="N85" s="10" t="n">
        <x:v>0</x:v>
      </x:c>
      <x:c r="O85" s="10" t="str"/>
      <x:c r="P85" s="10" t="n">
        <x:v>0</x:v>
      </x:c>
      <x:c r="Q85" s="10" t="n">
        <x:v>0</x:v>
      </x:c>
      <x:c r="R85" s="13" t="n">
        <x:v>0</x:v>
      </x:c>
      <x:c r="S85" s="10" t="n">
        <x:v>0</x:v>
      </x:c>
      <x:c r="T85" s="10" t="str">
        <x:v>business ratios,ratio spreadsheet,financial planner,ratio analysis,ratio calculator,financial health,business finance,tool to get loans,business metrics,mortgage qualifier,track money use,leverage liquidity,track profitability</x:v>
      </x:c>
      <x:c r="U85" s="10" t="str">
        <x:v>business ratios</x:v>
      </x:c>
      <x:c r="V85" s="10" t="str">
        <x:v>ratio spreadsheet</x:v>
      </x:c>
      <x:c r="W85" s="10" t="str">
        <x:v>financial planner</x:v>
      </x:c>
      <x:c r="X85" s="10" t="str">
        <x:v>ratio analysis</x:v>
      </x:c>
      <x:c r="Y85" s="10" t="str">
        <x:v>ratio calculator</x:v>
      </x:c>
      <x:c r="Z85" s="10" t="str">
        <x:v>financial health</x:v>
      </x:c>
      <x:c r="AA85" s="10" t="str">
        <x:v>business finance</x:v>
      </x:c>
      <x:c r="AB85" s="10" t="str">
        <x:v>tool to get loans</x:v>
      </x:c>
      <x:c r="AC85" s="10" t="str">
        <x:v>business metrics</x:v>
      </x:c>
      <x:c r="AD85" s="10" t="str">
        <x:v>mortgage qualifier</x:v>
      </x:c>
      <x:c r="AE85" s="10" t="str">
        <x:v>track money use</x:v>
      </x:c>
      <x:c r="AF85" s="10" t="str">
        <x:v>leverage liquidity</x:v>
      </x:c>
      <x:c r="AG85" s="10" t="str">
        <x:v>track profitability</x:v>
      </x:c>
      <x:c r="AH85" s="10" t="str">
        <x:v>Other mortgage-related</x:v>
      </x:c>
      <x:c r="AI85" s="13" t="n">
        <x:v>1</x:v>
      </x:c>
      <x:c r="AJ85" s="10" t="str">
        <x:f>IF(F85&gt;0,"Active","No est. sales")</x:f>
        <x:v>No est. sales</x:v>
      </x:c>
    </x:row>
    <x:row r="86">
      <x:c r="A86" s="10" t="str">
        <x:v>First Time Buyer Guide Bundle UK | House Deposit Tracker &amp; Home Buying Checklist Printable PDF</x:v>
      </x:c>
      <x:c r="B86" s="10" t="str">
        <x:v>https://www.etsy.com/listing/4494960412/first-time-buyer-guide-bundle-uk-house</x:v>
      </x:c>
      <x:c r="C86" s="10" t="str">
        <x:v>MaeCreativeProducts</x:v>
      </x:c>
      <x:c r="D86" s="10" t="str">
        <x:v>https://www.etsy.com/shop/MaeCreativeProducts</x:v>
      </x:c>
      <x:c r="E86" s="11" t="n">
        <x:v>12.05</x:v>
      </x:c>
      <x:c r="F86" s="10" t="n">
        <x:v>0</x:v>
      </x:c>
      <x:c r="G86" s="12" t="n">
        <x:v>0</x:v>
      </x:c>
      <x:c r="H86" s="13" t="n">
        <x:v>0</x:v>
      </x:c>
      <x:c r="I86" s="10" t="n">
        <x:v>0</x:v>
      </x:c>
      <x:c r="J86" s="10" t="n">
        <x:v>0</x:v>
      </x:c>
      <x:c r="K86" s="10" t="str">
        <x:v>1 Mo.</x:v>
      </x:c>
      <x:c r="L86" s="10" t="n">
        <x:v>0</x:v>
      </x:c>
      <x:c r="M86" s="10" t="n">
        <x:v>0</x:v>
      </x:c>
      <x:c r="N86" s="10" t="n">
        <x:v>24</x:v>
      </x:c>
      <x:c r="O86" s="10" t="str"/>
      <x:c r="P86" s="10" t="n">
        <x:v>1</x:v>
      </x:c>
      <x:c r="Q86" s="10" t="n">
        <x:v>0</x:v>
      </x:c>
      <x:c r="R86" s="13" t="n">
        <x:v>0</x:v>
      </x:c>
      <x:c r="S86" s="10" t="n">
        <x:v>0</x:v>
      </x:c>
      <x:c r="T86" s="10" t="str">
        <x:v>first time buyer uk,house deposit,save for a house,uk budget planner,financial planner uk,first home planner,printable planner,mortgage planner uk,savings challenge uk,house deposit track,budget tracker pdf,house savings plan,property buying uk</x:v>
      </x:c>
      <x:c r="U86" s="10" t="str">
        <x:v>first time buyer uk</x:v>
      </x:c>
      <x:c r="V86" s="10" t="str">
        <x:v>house deposit</x:v>
      </x:c>
      <x:c r="W86" s="10" t="str">
        <x:v>save for a house</x:v>
      </x:c>
      <x:c r="X86" s="10" t="str">
        <x:v>uk budget planner</x:v>
      </x:c>
      <x:c r="Y86" s="10" t="str">
        <x:v>financial planner uk</x:v>
      </x:c>
      <x:c r="Z86" s="10" t="str">
        <x:v>first home planner</x:v>
      </x:c>
      <x:c r="AA86" s="10" t="str">
        <x:v>printable planner</x:v>
      </x:c>
      <x:c r="AB86" s="10" t="str">
        <x:v>mortgage planner uk</x:v>
      </x:c>
      <x:c r="AC86" s="10" t="str">
        <x:v>savings challenge uk</x:v>
      </x:c>
      <x:c r="AD86" s="10" t="str">
        <x:v>house deposit track</x:v>
      </x:c>
      <x:c r="AE86" s="10" t="str">
        <x:v>budget tracker pdf</x:v>
      </x:c>
      <x:c r="AF86" s="10" t="str">
        <x:v>house savings plan</x:v>
      </x:c>
      <x:c r="AG86" s="10" t="str">
        <x:v>property buying uk</x:v>
      </x:c>
      <x:c r="AH86" s="10" t="str">
        <x:v>Home buying planner</x:v>
      </x:c>
      <x:c r="AI86" s="13" t="n">
        <x:v>1</x:v>
      </x:c>
      <x:c r="AJ86" s="10" t="str">
        <x:f>IF(F86&gt;0,"Active","No est. sales")</x:f>
        <x:v>No est. sales</x:v>
      </x:c>
    </x:row>
    <x:row r="87">
      <x:c r="A87" s="10" t="str">
        <x:v>Debt Payoff Tracker Debt Snowball Calculator Google Sheets Excel Credit Card Loan Tracker Mortgage Payment Credit Card Debt Calculator Tool</x:v>
      </x:c>
      <x:c r="B87" s="10" t="str">
        <x:v>https://www.etsy.com/listing/4358108200/debt-payoff-tracker-debt-snowball</x:v>
      </x:c>
      <x:c r="C87" s="10" t="str">
        <x:v>RichwhaleStudio</x:v>
      </x:c>
      <x:c r="D87" s="10" t="str">
        <x:v>https://www.etsy.com/shop/RichwhaleStudio</x:v>
      </x:c>
      <x:c r="E87" s="11" t="n">
        <x:v>2.89</x:v>
      </x:c>
      <x:c r="F87" s="10" t="n">
        <x:v>0</x:v>
      </x:c>
      <x:c r="G87" s="12" t="n">
        <x:v>0</x:v>
      </x:c>
      <x:c r="H87" s="13" t="n">
        <x:v>0</x:v>
      </x:c>
      <x:c r="I87" s="10" t="n">
        <x:v>0</x:v>
      </x:c>
      <x:c r="J87" s="10" t="n">
        <x:v>0</x:v>
      </x:c>
      <x:c r="K87" s="10" t="str">
        <x:v>1 Mo.</x:v>
      </x:c>
      <x:c r="L87" s="10" t="n">
        <x:v>0</x:v>
      </x:c>
      <x:c r="M87" s="10" t="n">
        <x:v>0</x:v>
      </x:c>
      <x:c r="N87" s="10" t="n">
        <x:v>0</x:v>
      </x:c>
      <x:c r="O87" s="10" t="str"/>
      <x:c r="P87" s="10" t="n">
        <x:v>7</x:v>
      </x:c>
      <x:c r="Q87" s="10" t="n">
        <x:v>0</x:v>
      </x:c>
      <x:c r="R87" s="13" t="n">
        <x:v>0</x:v>
      </x:c>
      <x:c r="S87" s="10" t="n">
        <x:v>168</x:v>
      </x:c>
      <x:c r="T87" s="10" t="str">
        <x:v>budget planner,credit card debt,debt google sheets,debt payoff tracker,debt snowball excel,debt spreadsheet,debt tracker excel,financial planner,mortgage payoff,personal finance,snowball calculator,student loan payoff,snowball payoff</x:v>
      </x:c>
      <x:c r="U87" s="10" t="str">
        <x:v>budget planner</x:v>
      </x:c>
      <x:c r="V87" s="10" t="str">
        <x:v>credit card debt</x:v>
      </x:c>
      <x:c r="W87" s="10" t="str">
        <x:v>debt google sheets</x:v>
      </x:c>
      <x:c r="X87" s="10" t="str">
        <x:v>debt payoff tracker</x:v>
      </x:c>
      <x:c r="Y87" s="10" t="str">
        <x:v>debt snowball excel</x:v>
      </x:c>
      <x:c r="Z87" s="10" t="str">
        <x:v>debt spreadsheet</x:v>
      </x:c>
      <x:c r="AA87" s="10" t="str">
        <x:v>debt tracker excel</x:v>
      </x:c>
      <x:c r="AB87" s="10" t="str">
        <x:v>financial planner</x:v>
      </x:c>
      <x:c r="AC87" s="10" t="str">
        <x:v>mortgage payoff</x:v>
      </x:c>
      <x:c r="AD87" s="10" t="str">
        <x:v>personal finance</x:v>
      </x:c>
      <x:c r="AE87" s="10" t="str">
        <x:v>snowball calculator</x:v>
      </x:c>
      <x:c r="AF87" s="10" t="str">
        <x:v>student loan payoff</x:v>
      </x:c>
      <x:c r="AG87" s="10" t="str">
        <x:v>snowball payoff</x:v>
      </x:c>
      <x:c r="AH87" s="10" t="str">
        <x:v>General debt payoff</x:v>
      </x:c>
      <x:c r="AI87" s="13" t="n">
        <x:v>1</x:v>
      </x:c>
      <x:c r="AJ87" s="10" t="str">
        <x:f>IF(F87&gt;0,"Active","No est. sales")</x:f>
        <x:v>No est. sales</x:v>
      </x:c>
    </x:row>
    <x:row r="88">
      <x:c r="A88" s="10" t="str">
        <x:v>Early Mortgage Repayment Template</x:v>
      </x:c>
      <x:c r="B88" s="10" t="str">
        <x:v>https://www.etsy.com/listing/1495917918/early-mortgage-repayment-template</x:v>
      </x:c>
      <x:c r="C88" s="10" t="str">
        <x:v>TrackerBin</x:v>
      </x:c>
      <x:c r="D88" s="10" t="str">
        <x:v>https://www.etsy.com/shop/TrackerBin</x:v>
      </x:c>
      <x:c r="E88" s="11" t="n">
        <x:v>2.92</x:v>
      </x:c>
      <x:c r="F88" s="10" t="n">
        <x:v>0</x:v>
      </x:c>
      <x:c r="G88" s="12" t="n">
        <x:v>0</x:v>
      </x:c>
      <x:c r="H88" s="13" t="n">
        <x:v>0</x:v>
      </x:c>
      <x:c r="I88" s="10" t="n">
        <x:v>0</x:v>
      </x:c>
      <x:c r="J88" s="10" t="n">
        <x:v>0</x:v>
      </x:c>
      <x:c r="K88" s="10" t="str">
        <x:v>24 Mo.</x:v>
      </x:c>
      <x:c r="L88" s="10" t="n">
        <x:v>1</x:v>
      </x:c>
      <x:c r="M88" s="10" t="n">
        <x:v>0</x:v>
      </x:c>
      <x:c r="N88" s="10" t="n">
        <x:v>0</x:v>
      </x:c>
      <x:c r="O88" s="10" t="str">
        <x:v>Paper &amp; Party Supplies</x:v>
      </x:c>
      <x:c r="P88" s="10" t="n">
        <x:v>25</x:v>
      </x:c>
      <x:c r="Q88" s="10" t="n">
        <x:v>0</x:v>
      </x:c>
      <x:c r="R88" s="13" t="n">
        <x:v>0</x:v>
      </x:c>
      <x:c r="S88" s="10" t="n">
        <x:v>11</x:v>
      </x:c>
      <x:c r="T88" s="10" t="str">
        <x:v>google sheets,excel,template,calender,planner,calculator,emi,finance,personal,smartfinance,financialplanner,mortgage,moneymatter</x:v>
      </x:c>
      <x:c r="U88" s="10" t="str">
        <x:v>google sheets</x:v>
      </x:c>
      <x:c r="V88" s="10" t="str">
        <x:v>excel</x:v>
      </x:c>
      <x:c r="W88" s="10" t="str">
        <x:v>template</x:v>
      </x:c>
      <x:c r="X88" s="10" t="str">
        <x:v>calender</x:v>
      </x:c>
      <x:c r="Y88" s="10" t="str">
        <x:v>planner</x:v>
      </x:c>
      <x:c r="Z88" s="10" t="str">
        <x:v>calculator</x:v>
      </x:c>
      <x:c r="AA88" s="10" t="str">
        <x:v>emi</x:v>
      </x:c>
      <x:c r="AB88" s="10" t="str">
        <x:v>finance</x:v>
      </x:c>
      <x:c r="AC88" s="10" t="str">
        <x:v>personal</x:v>
      </x:c>
      <x:c r="AD88" s="10" t="str">
        <x:v>smartfinance</x:v>
      </x:c>
      <x:c r="AE88" s="10" t="str">
        <x:v>financialplanner</x:v>
      </x:c>
      <x:c r="AF88" s="10" t="str">
        <x:v>mortgage</x:v>
      </x:c>
      <x:c r="AG88" s="10" t="str">
        <x:v>moneymatter</x:v>
      </x:c>
      <x:c r="AH88" s="10" t="str">
        <x:v>Other mortgage-related</x:v>
      </x:c>
      <x:c r="AI88" s="13" t="n">
        <x:v>24</x:v>
      </x:c>
      <x:c r="AJ88" s="10" t="str">
        <x:f>IF(F88&gt;0,"Active","No est. sales")</x:f>
        <x:v>No est. sales</x:v>
      </x:c>
    </x:row>
    <x:row r="89">
      <x:c r="A89" s="10" t="str">
        <x:v>Mortgage Calculator: Home Buyer Budget Planner with DTI &amp; Cash to Close (Instant Download)</x:v>
      </x:c>
      <x:c r="B89" s="10" t="str">
        <x:v>https://www.etsy.com/listing/4392750862/mortgage-calculator-home-buyer-budget</x:v>
      </x:c>
      <x:c r="C89" s="10" t="str">
        <x:v>SolutionsArchitect</x:v>
      </x:c>
      <x:c r="D89" s="10" t="str">
        <x:v>https://www.etsy.com/shop/SolutionsArchitect</x:v>
      </x:c>
      <x:c r="E89" s="11" t="n">
        <x:v>4.99</x:v>
      </x:c>
      <x:c r="F89" s="10" t="n">
        <x:v>0</x:v>
      </x:c>
      <x:c r="G89" s="12" t="n">
        <x:v>0</x:v>
      </x:c>
      <x:c r="H89" s="13" t="n">
        <x:v>0</x:v>
      </x:c>
      <x:c r="I89" s="10" t="n">
        <x:v>0</x:v>
      </x:c>
      <x:c r="J89" s="10" t="n">
        <x:v>0</x:v>
      </x:c>
      <x:c r="K89" s="10" t="str">
        <x:v>1 Mo.</x:v>
      </x:c>
      <x:c r="L89" s="10" t="n">
        <x:v>0</x:v>
      </x:c>
      <x:c r="M89" s="10" t="n">
        <x:v>0</x:v>
      </x:c>
      <x:c r="N89" s="10" t="n">
        <x:v>38</x:v>
      </x:c>
      <x:c r="O89" s="10" t="str"/>
      <x:c r="P89" s="10" t="n">
        <x:v>1</x:v>
      </x:c>
      <x:c r="Q89" s="10" t="n">
        <x:v>0</x:v>
      </x:c>
      <x:c r="R89" s="13" t="n">
        <x:v>0</x:v>
      </x:c>
      <x:c r="S89" s="10" t="n">
        <x:v>0</x:v>
      </x:c>
      <x:c r="T89" s="10" t="str">
        <x:v>mortgage,mortgage calc,home buyer,first time buyer,budget template,real estate,financial plan,debt to income,piti calculator,closing costs,amortization,excel template,instant download</x:v>
      </x:c>
      <x:c r="U89" s="10" t="str">
        <x:v>mortgage</x:v>
      </x:c>
      <x:c r="V89" s="10" t="str">
        <x:v>mortgage calc</x:v>
      </x:c>
      <x:c r="W89" s="10" t="str">
        <x:v>home buyer</x:v>
      </x:c>
      <x:c r="X89" s="10" t="str">
        <x:v>first time buyer</x:v>
      </x:c>
      <x:c r="Y89" s="10" t="str">
        <x:v>budget template</x:v>
      </x:c>
      <x:c r="Z89" s="10" t="str">
        <x:v>real estate</x:v>
      </x:c>
      <x:c r="AA89" s="10" t="str">
        <x:v>financial plan</x:v>
      </x:c>
      <x:c r="AB89" s="10" t="str">
        <x:v>debt to income</x:v>
      </x:c>
      <x:c r="AC89" s="10" t="str">
        <x:v>piti calculator</x:v>
      </x:c>
      <x:c r="AD89" s="10" t="str">
        <x:v>closing costs</x:v>
      </x:c>
      <x:c r="AE89" s="10" t="str">
        <x:v>amortization</x:v>
      </x:c>
      <x:c r="AF89" s="10" t="str">
        <x:v>excel template</x:v>
      </x:c>
      <x:c r="AG89" s="10" t="str">
        <x:v>instant download</x:v>
      </x:c>
      <x:c r="AH89" s="10" t="str">
        <x:v>Mortgage payoff / calculator</x:v>
      </x:c>
      <x:c r="AI89" s="13" t="n">
        <x:v>1</x:v>
      </x:c>
      <x:c r="AJ89" s="10" t="str">
        <x:f>IF(F89&gt;0,"Active","No est. sales")</x:f>
        <x:v>No est. sales</x:v>
      </x:c>
    </x:row>
    <x:row r="90">
      <x:c r="A90" s="10" t="str">
        <x:v>Mortgage Payoff Tracker Printable | Antique Key Design (Instant Download)</x:v>
      </x:c>
      <x:c r="B90" s="10" t="str">
        <x:v>https://www.etsy.com/listing/4501998004/mortgage-payoff-tracker-printable</x:v>
      </x:c>
      <x:c r="C90" s="10" t="str">
        <x:v>QuietMomentCo</x:v>
      </x:c>
      <x:c r="D90" s="10" t="str">
        <x:v>https://www.etsy.com/shop/QuietMomentCo</x:v>
      </x:c>
      <x:c r="E90" s="11" t="n">
        <x:v>2.99</x:v>
      </x:c>
      <x:c r="F90" s="10" t="n">
        <x:v>0</x:v>
      </x:c>
      <x:c r="G90" s="12" t="n">
        <x:v>0</x:v>
      </x:c>
      <x:c r="H90" s="13" t="n">
        <x:v>0</x:v>
      </x:c>
      <x:c r="I90" s="10" t="n">
        <x:v>0</x:v>
      </x:c>
      <x:c r="J90" s="10" t="n">
        <x:v>0</x:v>
      </x:c>
      <x:c r="K90" s="10" t="str">
        <x:v>1 Mo.</x:v>
      </x:c>
      <x:c r="L90" s="10" t="n">
        <x:v>1</x:v>
      </x:c>
      <x:c r="M90" s="10" t="n">
        <x:v>0</x:v>
      </x:c>
      <x:c r="N90" s="10" t="n">
        <x:v>16</x:v>
      </x:c>
      <x:c r="O90" s="10" t="str">
        <x:v>Paper &amp; Party Supplies</x:v>
      </x:c>
      <x:c r="P90" s="10" t="n">
        <x:v>2</x:v>
      </x:c>
      <x:c r="Q90" s="10" t="n">
        <x:v>0</x:v>
      </x:c>
      <x:c r="R90" s="13" t="n">
        <x:v>0</x:v>
      </x:c>
      <x:c r="S90" s="10" t="n">
        <x:v>1</x:v>
      </x:c>
      <x:c r="T90" s="10" t="str">
        <x:v>home loan tracker,coloring debt track,debt payoff tracker,mortgage tracker pdf,debt free journey,house payoff chart,home ownership goal,mortgage color page,debt snowball print,financial planner,budget tracker print,printable goal track</x:v>
      </x:c>
      <x:c r="U90" s="10" t="str">
        <x:v>home loan tracker</x:v>
      </x:c>
      <x:c r="V90" s="10" t="str">
        <x:v>coloring debt track</x:v>
      </x:c>
      <x:c r="W90" s="10" t="str">
        <x:v>debt payoff tracker</x:v>
      </x:c>
      <x:c r="X90" s="10" t="str">
        <x:v>mortgage tracker pdf</x:v>
      </x:c>
      <x:c r="Y90" s="10" t="str">
        <x:v>debt free journey</x:v>
      </x:c>
      <x:c r="Z90" s="10" t="str">
        <x:v>house payoff chart</x:v>
      </x:c>
      <x:c r="AA90" s="10" t="str">
        <x:v>home ownership goal</x:v>
      </x:c>
      <x:c r="AB90" s="10" t="str">
        <x:v>mortgage color page</x:v>
      </x:c>
      <x:c r="AC90" s="10" t="str">
        <x:v>debt snowball print</x:v>
      </x:c>
      <x:c r="AD90" s="10" t="str">
        <x:v>financial planner</x:v>
      </x:c>
      <x:c r="AE90" s="10" t="str">
        <x:v>budget tracker print</x:v>
      </x:c>
      <x:c r="AF90" s="10" t="str">
        <x:v>printable goal track</x:v>
      </x:c>
      <x:c r="AG90" s="10" t="str">
        <x:v>--</x:v>
      </x:c>
      <x:c r="AH90" s="10" t="str">
        <x:v>Mortgage payoff / calculator</x:v>
      </x:c>
      <x:c r="AI90" s="13" t="n">
        <x:v>1</x:v>
      </x:c>
      <x:c r="AJ90" s="10" t="str">
        <x:f>IF(F90&gt;0,"Active","No est. sales")</x:f>
        <x:v>No est. sales</x:v>
      </x:c>
    </x:row>
    <x:row r="91">
      <x:c r="A91" s="10" t="str">
        <x:v>Printable Balloon House Savings Tracker | Goal Sheet for Home Savings | Mortgage Tracker | Coloring Money Tracker | Home Fund Planner</x:v>
      </x:c>
      <x:c r="B91" s="10" t="str">
        <x:v>https://www.etsy.com/listing/1806481120/printable-balloon-house-savings-tracker</x:v>
      </x:c>
      <x:c r="C91" s="10" t="str">
        <x:v>NeuroFriendlyFinds</x:v>
      </x:c>
      <x:c r="D91" s="10" t="str">
        <x:v>https://www.etsy.com/shop/NeuroFriendlyFinds</x:v>
      </x:c>
      <x:c r="E91" s="11" t="n">
        <x:v>1.45</x:v>
      </x:c>
      <x:c r="F91" s="10" t="n">
        <x:v>0</x:v>
      </x:c>
      <x:c r="G91" s="12" t="n">
        <x:v>0</x:v>
      </x:c>
      <x:c r="H91" s="13" t="n">
        <x:v>0</x:v>
      </x:c>
      <x:c r="I91" s="10" t="n">
        <x:v>0</x:v>
      </x:c>
      <x:c r="J91" s="10" t="n">
        <x:v>0</x:v>
      </x:c>
      <x:c r="K91" s="10" t="str">
        <x:v>2 Mo.</x:v>
      </x:c>
      <x:c r="L91" s="10" t="n">
        <x:v>1</x:v>
      </x:c>
      <x:c r="M91" s="10" t="n">
        <x:v>0</x:v>
      </x:c>
      <x:c r="N91" s="10" t="n">
        <x:v>19</x:v>
      </x:c>
      <x:c r="O91" s="10" t="str">
        <x:v>Paper &amp; Party Supplies</x:v>
      </x:c>
      <x:c r="P91" s="10" t="n">
        <x:v>3</x:v>
      </x:c>
      <x:c r="Q91" s="10" t="n">
        <x:v>0</x:v>
      </x:c>
      <x:c r="R91" s="13" t="n">
        <x:v>0</x:v>
      </x:c>
      <x:c r="S91" s="10" t="n">
        <x:v>0</x:v>
      </x:c>
      <x:c r="T91" s="10" t="str">
        <x:v>savings tracker,money tracker,savings chart,home savings goal,dream home,budget tools,visual savings,savings goal,home fund tracker,house deposit,financial planner,fun tracker,kids money tracker</x:v>
      </x:c>
      <x:c r="U91" s="10" t="str">
        <x:v>savings tracker</x:v>
      </x:c>
      <x:c r="V91" s="10" t="str">
        <x:v>money tracker</x:v>
      </x:c>
      <x:c r="W91" s="10" t="str">
        <x:v>savings chart</x:v>
      </x:c>
      <x:c r="X91" s="10" t="str">
        <x:v>home savings goal</x:v>
      </x:c>
      <x:c r="Y91" s="10" t="str">
        <x:v>dream home</x:v>
      </x:c>
      <x:c r="Z91" s="10" t="str">
        <x:v>budget tools</x:v>
      </x:c>
      <x:c r="AA91" s="10" t="str">
        <x:v>visual savings</x:v>
      </x:c>
      <x:c r="AB91" s="10" t="str">
        <x:v>savings goal</x:v>
      </x:c>
      <x:c r="AC91" s="10" t="str">
        <x:v>home fund tracker</x:v>
      </x:c>
      <x:c r="AD91" s="10" t="str">
        <x:v>house deposit</x:v>
      </x:c>
      <x:c r="AE91" s="10" t="str">
        <x:v>financial planner</x:v>
      </x:c>
      <x:c r="AF91" s="10" t="str">
        <x:v>fun tracker</x:v>
      </x:c>
      <x:c r="AG91" s="10" t="str">
        <x:v>kids money tracker</x:v>
      </x:c>
      <x:c r="AH91" s="10" t="str">
        <x:v>Other mortgage-related</x:v>
      </x:c>
      <x:c r="AI91" s="13" t="n">
        <x:v>2</x:v>
      </x:c>
      <x:c r="AJ91" s="10" t="str">
        <x:f>IF(F91&gt;0,"Active","No est. sales")</x:f>
        <x:v>No est. sales</x:v>
      </x:c>
    </x:row>
    <x:row r="92">
      <x:c r="A92" s="10" t="str">
        <x:v>Personal Finacial Planner Template</x:v>
      </x:c>
      <x:c r="B92" s="10" t="str">
        <x:v>https://www.etsy.com/listing/4312926434/personal-finacial-planner-template</x:v>
      </x:c>
      <x:c r="C92" s="10" t="str">
        <x:v>theclarityvault</x:v>
      </x:c>
      <x:c r="D92" s="10" t="str">
        <x:v>https://www.etsy.com/shop/theclarityvault</x:v>
      </x:c>
      <x:c r="E92" s="11" t="n">
        <x:v>2.68</x:v>
      </x:c>
      <x:c r="F92" s="10" t="n">
        <x:v>0</x:v>
      </x:c>
      <x:c r="G92" s="12" t="n">
        <x:v>0</x:v>
      </x:c>
      <x:c r="H92" s="13" t="n">
        <x:v>0</x:v>
      </x:c>
      <x:c r="I92" s="10" t="n">
        <x:v>0</x:v>
      </x:c>
      <x:c r="J92" s="10" t="n">
        <x:v>0</x:v>
      </x:c>
      <x:c r="K92" s="10" t="str">
        <x:v>4 Mo.</x:v>
      </x:c>
      <x:c r="L92" s="10" t="n">
        <x:v>0</x:v>
      </x:c>
      <x:c r="M92" s="10" t="n">
        <x:v>0</x:v>
      </x:c>
      <x:c r="N92" s="10" t="n">
        <x:v>1</x:v>
      </x:c>
      <x:c r="O92" s="10" t="str"/>
      <x:c r="P92" s="10" t="n">
        <x:v>4</x:v>
      </x:c>
      <x:c r="Q92" s="10" t="n">
        <x:v>0</x:v>
      </x:c>
      <x:c r="R92" s="13" t="n">
        <x:v>0</x:v>
      </x:c>
      <x:c r="S92" s="10" t="n">
        <x:v>0</x:v>
      </x:c>
      <x:c r="T92" s="10" t="str">
        <x:v>finance,goals,planner,money,saving money,finacial,finance planning,save money,mortgage,bills,pay</x:v>
      </x:c>
      <x:c r="U92" s="10" t="str">
        <x:v>finance</x:v>
      </x:c>
      <x:c r="V92" s="10" t="str">
        <x:v>goals</x:v>
      </x:c>
      <x:c r="W92" s="10" t="str">
        <x:v>planner</x:v>
      </x:c>
      <x:c r="X92" s="10" t="str">
        <x:v>money</x:v>
      </x:c>
      <x:c r="Y92" s="10" t="str">
        <x:v>saving money</x:v>
      </x:c>
      <x:c r="Z92" s="10" t="str">
        <x:v>finacial</x:v>
      </x:c>
      <x:c r="AA92" s="10" t="str">
        <x:v>finance planning</x:v>
      </x:c>
      <x:c r="AB92" s="10" t="str">
        <x:v>save money</x:v>
      </x:c>
      <x:c r="AC92" s="10" t="str">
        <x:v>mortgage</x:v>
      </x:c>
      <x:c r="AD92" s="10" t="str">
        <x:v>bills</x:v>
      </x:c>
      <x:c r="AE92" s="10" t="str">
        <x:v>pay</x:v>
      </x:c>
      <x:c r="AF92" s="10" t="str">
        <x:v>--</x:v>
      </x:c>
      <x:c r="AG92" s="10" t="str">
        <x:v>--</x:v>
      </x:c>
      <x:c r="AH92" s="10" t="str">
        <x:v>Other mortgage-related</x:v>
      </x:c>
      <x:c r="AI92" s="13" t="n">
        <x:v>4</x:v>
      </x:c>
      <x:c r="AJ92" s="10" t="str">
        <x:f>IF(F92&gt;0,"Active","No est. sales")</x:f>
        <x:v>No est. sales</x:v>
      </x:c>
    </x:row>
    <x:row r="93">
      <x:c r="A93" s="10" t="str">
        <x:v>Debt Payoff Tracker Bundle Debt Payoff Planner Minimalist Design Digital Planner for Debt Tracking and Budget Planner inserts Debt Payment</x:v>
      </x:c>
      <x:c r="B93" s="10" t="str">
        <x:v>https://www.etsy.com/listing/1733315067/debt-payoff-tracker-bundle-debt-payoff</x:v>
      </x:c>
      <x:c r="C93" s="10" t="str">
        <x:v>TSWSHOPStore</x:v>
      </x:c>
      <x:c r="D93" s="10" t="str">
        <x:v>https://www.etsy.com/shop/TSWSHOPStore</x:v>
      </x:c>
      <x:c r="E93" s="11" t="n">
        <x:v>8.45</x:v>
      </x:c>
      <x:c r="F93" s="10" t="n">
        <x:v>0</x:v>
      </x:c>
      <x:c r="G93" s="12" t="n">
        <x:v>0</x:v>
      </x:c>
      <x:c r="H93" s="13" t="n">
        <x:v>0</x:v>
      </x:c>
      <x:c r="I93" s="10" t="n">
        <x:v>0</x:v>
      </x:c>
      <x:c r="J93" s="10" t="n">
        <x:v>0</x:v>
      </x:c>
      <x:c r="K93" s="10" t="str">
        <x:v>15 Mo.</x:v>
      </x:c>
      <x:c r="L93" s="10" t="n">
        <x:v>0</x:v>
      </x:c>
      <x:c r="M93" s="10" t="n">
        <x:v>0</x:v>
      </x:c>
      <x:c r="N93" s="10" t="n">
        <x:v>692</x:v>
      </x:c>
      <x:c r="O93" s="10" t="str">
        <x:v>Paper &amp; Party Supplies</x:v>
      </x:c>
      <x:c r="P93" s="10" t="n">
        <x:v>16</x:v>
      </x:c>
      <x:c r="Q93" s="10" t="n">
        <x:v>0</x:v>
      </x:c>
      <x:c r="R93" s="13" t="n">
        <x:v>0</x:v>
      </x:c>
      <x:c r="S93" s="10" t="n">
        <x:v>1</x:v>
      </x:c>
      <x:c r="T93" s="10" t="str">
        <x:v>debt payment tracker,debt snowball,debt avalanche,debt payoff planner,loan payoff tracker,mortgage payoff,financial planner,snowball method,debt tracker,debt payoff tracker,finance planner,spending tracker,debt repayment</x:v>
      </x:c>
      <x:c r="U93" s="10" t="str">
        <x:v>debt payment tracker</x:v>
      </x:c>
      <x:c r="V93" s="10" t="str">
        <x:v>debt snowball</x:v>
      </x:c>
      <x:c r="W93" s="10" t="str">
        <x:v>debt avalanche</x:v>
      </x:c>
      <x:c r="X93" s="10" t="str">
        <x:v>debt payoff planner</x:v>
      </x:c>
      <x:c r="Y93" s="10" t="str">
        <x:v>loan payoff tracker</x:v>
      </x:c>
      <x:c r="Z93" s="10" t="str">
        <x:v>mortgage payoff</x:v>
      </x:c>
      <x:c r="AA93" s="10" t="str">
        <x:v>financial planner</x:v>
      </x:c>
      <x:c r="AB93" s="10" t="str">
        <x:v>snowball method</x:v>
      </x:c>
      <x:c r="AC93" s="10" t="str">
        <x:v>debt tracker</x:v>
      </x:c>
      <x:c r="AD93" s="10" t="str">
        <x:v>debt payoff tracker</x:v>
      </x:c>
      <x:c r="AE93" s="10" t="str">
        <x:v>finance planner</x:v>
      </x:c>
      <x:c r="AF93" s="10" t="str">
        <x:v>spending tracker</x:v>
      </x:c>
      <x:c r="AG93" s="10" t="str">
        <x:v>debt repayment</x:v>
      </x:c>
      <x:c r="AH93" s="10" t="str">
        <x:v>General debt payoff</x:v>
      </x:c>
      <x:c r="AI93" s="13" t="n">
        <x:v>15</x:v>
      </x:c>
      <x:c r="AJ93" s="10" t="str">
        <x:f>IF(F93&gt;0,"Active","No est. sales")</x:f>
        <x:v>No est. sales</x:v>
      </x:c>
    </x:row>
    <x:row r="94">
      <x:c r="A94" s="10" t="str">
        <x:v>Home Buying Planner: Google Sheets &amp; Notion Template (Digital Download)</x:v>
      </x:c>
      <x:c r="B94" s="10" t="str">
        <x:v>https://www.etsy.com/listing/4340324709/home-buying-planner-google-sheets-notion</x:v>
      </x:c>
      <x:c r="C94" s="10" t="str">
        <x:v>EVTechTemplates</x:v>
      </x:c>
      <x:c r="D94" s="10" t="str">
        <x:v>https://www.etsy.com/shop/EVTechTemplates</x:v>
      </x:c>
      <x:c r="E94" s="11" t="n">
        <x:v>27</x:v>
      </x:c>
      <x:c r="F94" s="10" t="n">
        <x:v>0</x:v>
      </x:c>
      <x:c r="G94" s="12" t="n">
        <x:v>0</x:v>
      </x:c>
      <x:c r="H94" s="13" t="n">
        <x:v>0</x:v>
      </x:c>
      <x:c r="I94" s="10" t="n">
        <x:v>0</x:v>
      </x:c>
      <x:c r="J94" s="10" t="n">
        <x:v>0</x:v>
      </x:c>
      <x:c r="K94" s="10" t="str">
        <x:v>2 Mo.</x:v>
      </x:c>
      <x:c r="L94" s="10" t="n">
        <x:v>0</x:v>
      </x:c>
      <x:c r="M94" s="10" t="n">
        <x:v>0</x:v>
      </x:c>
      <x:c r="N94" s="10" t="n">
        <x:v>9</x:v>
      </x:c>
      <x:c r="O94" s="10" t="str"/>
      <x:c r="P94" s="10" t="n">
        <x:v>23</x:v>
      </x:c>
      <x:c r="Q94" s="10" t="n">
        <x:v>0</x:v>
      </x:c>
      <x:c r="R94" s="13" t="n">
        <x:v>0</x:v>
      </x:c>
      <x:c r="S94" s="10" t="n">
        <x:v>11</x:v>
      </x:c>
      <x:c r="T94" s="10" t="str">
        <x:v>first time home buy,notion template,google sheets budget,home buying planner,real estate binder,mortgage tracker,closing cost sheet,new home checklist,house buying,real estate template,digital download,closing day organize,real estate pdf</x:v>
      </x:c>
      <x:c r="U94" s="10" t="str">
        <x:v>first time home buy</x:v>
      </x:c>
      <x:c r="V94" s="10" t="str">
        <x:v>notion template</x:v>
      </x:c>
      <x:c r="W94" s="10" t="str">
        <x:v>google sheets budget</x:v>
      </x:c>
      <x:c r="X94" s="10" t="str">
        <x:v>home buying planner</x:v>
      </x:c>
      <x:c r="Y94" s="10" t="str">
        <x:v>real estate binder</x:v>
      </x:c>
      <x:c r="Z94" s="10" t="str">
        <x:v>mortgage tracker</x:v>
      </x:c>
      <x:c r="AA94" s="10" t="str">
        <x:v>closing cost sheet</x:v>
      </x:c>
      <x:c r="AB94" s="10" t="str">
        <x:v>new home checklist</x:v>
      </x:c>
      <x:c r="AC94" s="10" t="str">
        <x:v>house buying</x:v>
      </x:c>
      <x:c r="AD94" s="10" t="str">
        <x:v>real estate template</x:v>
      </x:c>
      <x:c r="AE94" s="10" t="str">
        <x:v>digital download</x:v>
      </x:c>
      <x:c r="AF94" s="10" t="str">
        <x:v>closing day organize</x:v>
      </x:c>
      <x:c r="AG94" s="10" t="str">
        <x:v>real estate pdf</x:v>
      </x:c>
      <x:c r="AH94" s="10" t="str">
        <x:v>Home buying planner</x:v>
      </x:c>
      <x:c r="AI94" s="13" t="n">
        <x:v>2</x:v>
      </x:c>
      <x:c r="AJ94" s="10" t="str">
        <x:f>IF(F94&gt;0,"Active","No est. sales")</x:f>
        <x:v>No est. sales</x:v>
      </x:c>
    </x:row>
    <x:row r="95">
      <x:c r="A95" s="10" t="str">
        <x:v>Personal Finance Bundle Excel Google Sheets | Net Worth Tracker Debt Snowball Payoff + Mortgage Payoff Calculator Spreadsheet</x:v>
      </x:c>
      <x:c r="B95" s="10" t="str">
        <x:v>https://www.etsy.com/listing/4519727024/personal-finance-bundle-excel-google</x:v>
      </x:c>
      <x:c r="C95" s="10" t="str">
        <x:v>AccountantSheetsCPA</x:v>
      </x:c>
      <x:c r="D95" s="10" t="str">
        <x:v>https://www.etsy.com/shop/AccountantSheetsCPA</x:v>
      </x:c>
      <x:c r="E95" s="11" t="n">
        <x:v>14.99</x:v>
      </x:c>
      <x:c r="F95" s="10" t="n">
        <x:v>0</x:v>
      </x:c>
      <x:c r="G95" s="12" t="n">
        <x:v>0</x:v>
      </x:c>
      <x:c r="H95" s="13" t="n">
        <x:v>0</x:v>
      </x:c>
      <x:c r="I95" s="10" t="n">
        <x:v>0</x:v>
      </x:c>
      <x:c r="J95" s="10" t="n">
        <x:v>0</x:v>
      </x:c>
      <x:c r="K95" s="10" t="str">
        <x:v>1 Mo.</x:v>
      </x:c>
      <x:c r="L95" s="10" t="n">
        <x:v>0</x:v>
      </x:c>
      <x:c r="M95" s="10" t="n">
        <x:v>0</x:v>
      </x:c>
      <x:c r="N95" s="10" t="n">
        <x:v>1</x:v>
      </x:c>
      <x:c r="O95" s="10" t="str"/>
      <x:c r="P95" s="10" t="n">
        <x:v>1</x:v>
      </x:c>
      <x:c r="Q95" s="10" t="n">
        <x:v>0</x:v>
      </x:c>
      <x:c r="R95" s="13" t="n">
        <x:v>0</x:v>
      </x:c>
      <x:c r="S95" s="10" t="n">
        <x:v>1</x:v>
      </x:c>
      <x:c r="T95" s="10" t="str">
        <x:v>personal finance,net worth tracker,debt payoff,mortgage payoff,finance bundle,money tracker,debt snowball,budget bundle,spreadsheet bundle,debt free,financial planner,money management,amortization</x:v>
      </x:c>
      <x:c r="U95" s="10" t="str">
        <x:v>personal finance</x:v>
      </x:c>
      <x:c r="V95" s="10" t="str">
        <x:v>net worth tracker</x:v>
      </x:c>
      <x:c r="W95" s="10" t="str">
        <x:v>debt payoff</x:v>
      </x:c>
      <x:c r="X95" s="10" t="str">
        <x:v>mortgage payoff</x:v>
      </x:c>
      <x:c r="Y95" s="10" t="str">
        <x:v>finance bundle</x:v>
      </x:c>
      <x:c r="Z95" s="10" t="str">
        <x:v>money tracker</x:v>
      </x:c>
      <x:c r="AA95" s="10" t="str">
        <x:v>debt snowball</x:v>
      </x:c>
      <x:c r="AB95" s="10" t="str">
        <x:v>budget bundle</x:v>
      </x:c>
      <x:c r="AC95" s="10" t="str">
        <x:v>spreadsheet bundle</x:v>
      </x:c>
      <x:c r="AD95" s="10" t="str">
        <x:v>debt free</x:v>
      </x:c>
      <x:c r="AE95" s="10" t="str">
        <x:v>financial planner</x:v>
      </x:c>
      <x:c r="AF95" s="10" t="str">
        <x:v>money management</x:v>
      </x:c>
      <x:c r="AG95" s="10" t="str">
        <x:v>amortization</x:v>
      </x:c>
      <x:c r="AH95" s="10" t="str">
        <x:v>General debt payoff</x:v>
      </x:c>
      <x:c r="AI95" s="13" t="n">
        <x:v>1</x:v>
      </x:c>
      <x:c r="AJ95" s="10" t="str">
        <x:f>IF(F95&gt;0,"Active","No est. sales")</x:f>
        <x:v>No est. sales</x:v>
      </x:c>
    </x:row>
    <x:row r="96">
      <x:c r="A96" s="10" t="str">
        <x:v>Customizable Template for Your Teenager-  Monthly Bills.pdf</x:v>
      </x:c>
      <x:c r="B96" s="10" t="str">
        <x:v>https://www.etsy.com/listing/4316328098/customizable-template-for-your-teenager</x:v>
      </x:c>
      <x:c r="C96" s="10" t="str">
        <x:v>THEPARENTGUIDE</x:v>
      </x:c>
      <x:c r="D96" s="10" t="str">
        <x:v>https://www.etsy.com/shop/THEPARENTGUIDE</x:v>
      </x:c>
      <x:c r="E96" s="11" t="n">
        <x:v>0.99</x:v>
      </x:c>
      <x:c r="F96" s="10" t="n">
        <x:v>0</x:v>
      </x:c>
      <x:c r="G96" s="12" t="n">
        <x:v>0</x:v>
      </x:c>
      <x:c r="H96" s="13" t="n">
        <x:v>0</x:v>
      </x:c>
      <x:c r="I96" s="10" t="n">
        <x:v>0</x:v>
      </x:c>
      <x:c r="J96" s="10" t="n">
        <x:v>0</x:v>
      </x:c>
      <x:c r="K96" s="10" t="str">
        <x:v>9 Mo.</x:v>
      </x:c>
      <x:c r="L96" s="10" t="n">
        <x:v>0</x:v>
      </x:c>
      <x:c r="M96" s="10" t="n">
        <x:v>0</x:v>
      </x:c>
      <x:c r="N96" s="10" t="n">
        <x:v>53</x:v>
      </x:c>
      <x:c r="O96" s="10" t="str">
        <x:v>Paper &amp; Party Supplies</x:v>
      </x:c>
      <x:c r="P96" s="10" t="n">
        <x:v>9</x:v>
      </x:c>
      <x:c r="Q96" s="10" t="n">
        <x:v>0</x:v>
      </x:c>
      <x:c r="R96" s="13" t="n">
        <x:v>0</x:v>
      </x:c>
      <x:c r="S96" s="10" t="n">
        <x:v>1</x:v>
      </x:c>
      <x:c r="T96" s="10" t="str">
        <x:v>invoice,bill,teenager bill,room rent,mortgage,financial planner,teenager invoice,template,pdf template</x:v>
      </x:c>
      <x:c r="U96" s="10" t="str">
        <x:v>invoice</x:v>
      </x:c>
      <x:c r="V96" s="10" t="str">
        <x:v>bill</x:v>
      </x:c>
      <x:c r="W96" s="10" t="str">
        <x:v>teenager bill</x:v>
      </x:c>
      <x:c r="X96" s="10" t="str">
        <x:v>room rent</x:v>
      </x:c>
      <x:c r="Y96" s="10" t="str">
        <x:v>mortgage</x:v>
      </x:c>
      <x:c r="Z96" s="10" t="str">
        <x:v>financial planner</x:v>
      </x:c>
      <x:c r="AA96" s="10" t="str">
        <x:v>teenager invoice</x:v>
      </x:c>
      <x:c r="AB96" s="10" t="str">
        <x:v>template</x:v>
      </x:c>
      <x:c r="AC96" s="10" t="str">
        <x:v>pdf template</x:v>
      </x:c>
      <x:c r="AD96" s="10" t="str">
        <x:v>--</x:v>
      </x:c>
      <x:c r="AE96" s="10" t="str">
        <x:v>--</x:v>
      </x:c>
      <x:c r="AF96" s="10" t="str">
        <x:v>--</x:v>
      </x:c>
      <x:c r="AG96" s="10" t="str">
        <x:v>--</x:v>
      </x:c>
      <x:c r="AH96" s="10" t="str">
        <x:v>Other mortgage-related</x:v>
      </x:c>
      <x:c r="AI96" s="13" t="n">
        <x:v>9</x:v>
      </x:c>
      <x:c r="AJ96" s="10" t="str">
        <x:f>IF(F96&gt;0,"Active","No est. sales")</x:f>
        <x:v>No est. sales</x:v>
      </x:c>
    </x:row>
    <x:row r="97">
      <x:c r="A97" s="10" t="str">
        <x:v>Mortgage Payoff Calculator Excel Spreadsheet | Amortization Schedule (Digital Download)</x:v>
      </x:c>
      <x:c r="B97" s="10" t="str">
        <x:v>https://www.etsy.com/listing/4480940525/mortgage-payoff-calculator-excel</x:v>
      </x:c>
      <x:c r="C97" s="10" t="str">
        <x:v>CandiceLeeDesigns</x:v>
      </x:c>
      <x:c r="D97" s="10" t="str">
        <x:v>https://www.etsy.com/shop/CandiceLeeDesigns</x:v>
      </x:c>
      <x:c r="E97" s="11" t="n">
        <x:v>9.99</x:v>
      </x:c>
      <x:c r="F97" s="10" t="n">
        <x:v>0</x:v>
      </x:c>
      <x:c r="G97" s="12" t="n">
        <x:v>0</x:v>
      </x:c>
      <x:c r="H97" s="13" t="n">
        <x:v>0</x:v>
      </x:c>
      <x:c r="I97" s="10" t="n">
        <x:v>0</x:v>
      </x:c>
      <x:c r="J97" s="10" t="n">
        <x:v>0</x:v>
      </x:c>
      <x:c r="K97" s="10" t="str">
        <x:v>1 Mo.</x:v>
      </x:c>
      <x:c r="L97" s="10" t="n">
        <x:v>0</x:v>
      </x:c>
      <x:c r="M97" s="10" t="n">
        <x:v>0</x:v>
      </x:c>
      <x:c r="N97" s="10" t="n">
        <x:v>0</x:v>
      </x:c>
      <x:c r="O97" s="10" t="str"/>
      <x:c r="P97" s="10" t="n">
        <x:v>1</x:v>
      </x:c>
      <x:c r="Q97" s="10" t="n">
        <x:v>0</x:v>
      </x:c>
      <x:c r="R97" s="13" t="n">
        <x:v>0</x:v>
      </x:c>
      <x:c r="S97" s="10" t="n">
        <x:v>0</x:v>
      </x:c>
      <x:c r="T97" s="10" t="str">
        <x:v>mortgage spreadsheet,mortgage payoff,amortization,mortgage calculator,extra payment calc,loan payoff tracker,home loan planner,debt payoff sheet,excel budget templ,interest savings,pay off mortgage,finance spreadsheet,budgeting tool</x:v>
      </x:c>
      <x:c r="U97" s="10" t="str">
        <x:v>mortgage spreadsheet</x:v>
      </x:c>
      <x:c r="V97" s="10" t="str">
        <x:v>mortgage payoff</x:v>
      </x:c>
      <x:c r="W97" s="10" t="str">
        <x:v>amortization</x:v>
      </x:c>
      <x:c r="X97" s="10" t="str">
        <x:v>mortgage calculator</x:v>
      </x:c>
      <x:c r="Y97" s="10" t="str">
        <x:v>extra payment calc</x:v>
      </x:c>
      <x:c r="Z97" s="10" t="str">
        <x:v>loan payoff tracker</x:v>
      </x:c>
      <x:c r="AA97" s="10" t="str">
        <x:v>home loan planner</x:v>
      </x:c>
      <x:c r="AB97" s="10" t="str">
        <x:v>debt payoff sheet</x:v>
      </x:c>
      <x:c r="AC97" s="10" t="str">
        <x:v>excel budget templ</x:v>
      </x:c>
      <x:c r="AD97" s="10" t="str">
        <x:v>interest savings</x:v>
      </x:c>
      <x:c r="AE97" s="10" t="str">
        <x:v>pay off mortgage</x:v>
      </x:c>
      <x:c r="AF97" s="10" t="str">
        <x:v>finance spreadsheet</x:v>
      </x:c>
      <x:c r="AG97" s="10" t="str">
        <x:v>budgeting tool</x:v>
      </x:c>
      <x:c r="AH97" s="10" t="str">
        <x:v>Mortgage payoff / calculator</x:v>
      </x:c>
      <x:c r="AI97" s="13" t="n">
        <x:v>1</x:v>
      </x:c>
      <x:c r="AJ97" s="10" t="str">
        <x:f>IF(F97&gt;0,"Active","No est. sales")</x:f>
        <x:v>No est. sales</x:v>
      </x:c>
    </x:row>
    <x:row r="98">
      <x:c r="A98" s="10" t="str">
        <x:v>Debt Snowball Tracker ,Google Sheets, Loan Tracker, Debt Payoff, Debt Payment Tracker, Debt Planner, Snowball Calculator, Debt Tracker</x:v>
      </x:c>
      <x:c r="B98" s="10" t="str">
        <x:v>https://www.etsy.com/listing/1671688022/debt-snowball-tracker-google-sheets-loan</x:v>
      </x:c>
      <x:c r="C98" s="10" t="str">
        <x:v>CeceHaven</x:v>
      </x:c>
      <x:c r="D98" s="10" t="str">
        <x:v>https://www.etsy.com/shop/CeceHaven</x:v>
      </x:c>
      <x:c r="E98" s="11" t="n">
        <x:v>7.15</x:v>
      </x:c>
      <x:c r="F98" s="10" t="n">
        <x:v>0</x:v>
      </x:c>
      <x:c r="G98" s="12" t="n">
        <x:v>0</x:v>
      </x:c>
      <x:c r="H98" s="13" t="n">
        <x:v>0</x:v>
      </x:c>
      <x:c r="I98" s="10" t="n">
        <x:v>0</x:v>
      </x:c>
      <x:c r="J98" s="10" t="n">
        <x:v>0</x:v>
      </x:c>
      <x:c r="K98" s="10" t="str">
        <x:v>13 Mo.</x:v>
      </x:c>
      <x:c r="L98" s="10" t="n">
        <x:v>0</x:v>
      </x:c>
      <x:c r="M98" s="10" t="n">
        <x:v>0</x:v>
      </x:c>
      <x:c r="N98" s="10" t="n">
        <x:v>2</x:v>
      </x:c>
      <x:c r="O98" s="10" t="str"/>
      <x:c r="P98" s="10" t="n">
        <x:v>16</x:v>
      </x:c>
      <x:c r="Q98" s="10" t="n">
        <x:v>0</x:v>
      </x:c>
      <x:c r="R98" s="13" t="n">
        <x:v>0</x:v>
      </x:c>
      <x:c r="S98" s="10" t="n">
        <x:v>3</x:v>
      </x:c>
      <x:c r="T98" s="10" t="str">
        <x:v>debt payoff tracker,debt snowball,debt payment tracker,debt calculator,debt planner,snowball method,credit card tracker,debt repayment,mortgage payoff,debt avalanche,personal finance,google sheets,loan tracker</x:v>
      </x:c>
      <x:c r="U98" s="10" t="str">
        <x:v>debt payoff tracker</x:v>
      </x:c>
      <x:c r="V98" s="10" t="str">
        <x:v>debt snowball</x:v>
      </x:c>
      <x:c r="W98" s="10" t="str">
        <x:v>debt payment tracker</x:v>
      </x:c>
      <x:c r="X98" s="10" t="str">
        <x:v>debt calculator</x:v>
      </x:c>
      <x:c r="Y98" s="10" t="str">
        <x:v>debt planner</x:v>
      </x:c>
      <x:c r="Z98" s="10" t="str">
        <x:v>snowball method</x:v>
      </x:c>
      <x:c r="AA98" s="10" t="str">
        <x:v>credit card tracker</x:v>
      </x:c>
      <x:c r="AB98" s="10" t="str">
        <x:v>debt repayment</x:v>
      </x:c>
      <x:c r="AC98" s="10" t="str">
        <x:v>mortgage payoff</x:v>
      </x:c>
      <x:c r="AD98" s="10" t="str">
        <x:v>debt avalanche</x:v>
      </x:c>
      <x:c r="AE98" s="10" t="str">
        <x:v>personal finance</x:v>
      </x:c>
      <x:c r="AF98" s="10" t="str">
        <x:v>google sheets</x:v>
      </x:c>
      <x:c r="AG98" s="10" t="str">
        <x:v>loan tracker</x:v>
      </x:c>
      <x:c r="AH98" s="10" t="str">
        <x:v>General debt payoff</x:v>
      </x:c>
      <x:c r="AI98" s="13" t="n">
        <x:v>13</x:v>
      </x:c>
      <x:c r="AJ98" s="10" t="str">
        <x:f>IF(F98&gt;0,"Active","No est. sales")</x:f>
        <x:v>No est. sales</x:v>
      </x:c>
    </x:row>
    <x:row r="99">
      <x:c r="A99" s="10" t="str">
        <x:v>Debt Avalanche Spreadsheet for Google Sheets, Debt Payment Planner Tracker, Loan Payoff Budget Template, INSTANT DOWNLOAD - Black LD018</x:v>
      </x:c>
      <x:c r="B99" s="10" t="str">
        <x:v>https://www.etsy.com/listing/1594634487/debt-avalanche-spreadsheet-for-google</x:v>
      </x:c>
      <x:c r="C99" s="10" t="str">
        <x:v>LivingFreeofD</x:v>
      </x:c>
      <x:c r="D99" s="10" t="str">
        <x:v>https://www.etsy.com/shop/LivingFreeofD</x:v>
      </x:c>
      <x:c r="E99" s="11" t="n">
        <x:v>4.82</x:v>
      </x:c>
      <x:c r="F99" s="10" t="n">
        <x:v>0</x:v>
      </x:c>
      <x:c r="G99" s="12" t="n">
        <x:v>0</x:v>
      </x:c>
      <x:c r="H99" s="13" t="n">
        <x:v>0</x:v>
      </x:c>
      <x:c r="I99" s="10" t="n">
        <x:v>0</x:v>
      </x:c>
      <x:c r="J99" s="10" t="n">
        <x:v>0</x:v>
      </x:c>
      <x:c r="K99" s="10" t="str">
        <x:v>33 Mo.</x:v>
      </x:c>
      <x:c r="L99" s="10" t="n">
        <x:v>1</x:v>
      </x:c>
      <x:c r="M99" s="10" t="n">
        <x:v>0</x:v>
      </x:c>
      <x:c r="N99" s="10" t="n">
        <x:v>26</x:v>
      </x:c>
      <x:c r="O99" s="10" t="str"/>
      <x:c r="P99" s="10" t="n">
        <x:v>70</x:v>
      </x:c>
      <x:c r="Q99" s="10" t="n">
        <x:v>0</x:v>
      </x:c>
      <x:c r="R99" s="13" t="n">
        <x:v>0</x:v>
      </x:c>
      <x:c r="S99" s="10" t="n">
        <x:v>2039</x:v>
      </x:c>
      <x:c r="T99" s="10" t="str">
        <x:v>debt payment tracker,debt snowball,debt avalanche,debt payoff planner,debt calculator,loan payoff tracker,credit card debt,mortgage payoff,student loan debt,financial planner,personal finance,debt google sheets,snowball method</x:v>
      </x:c>
      <x:c r="U99" s="10" t="str">
        <x:v>debt payment tracker</x:v>
      </x:c>
      <x:c r="V99" s="10" t="str">
        <x:v>debt snowball</x:v>
      </x:c>
      <x:c r="W99" s="10" t="str">
        <x:v>debt avalanche</x:v>
      </x:c>
      <x:c r="X99" s="10" t="str">
        <x:v>debt payoff planner</x:v>
      </x:c>
      <x:c r="Y99" s="10" t="str">
        <x:v>debt calculator</x:v>
      </x:c>
      <x:c r="Z99" s="10" t="str">
        <x:v>loan payoff tracker</x:v>
      </x:c>
      <x:c r="AA99" s="10" t="str">
        <x:v>credit card debt</x:v>
      </x:c>
      <x:c r="AB99" s="10" t="str">
        <x:v>mortgage payoff</x:v>
      </x:c>
      <x:c r="AC99" s="10" t="str">
        <x:v>student loan debt</x:v>
      </x:c>
      <x:c r="AD99" s="10" t="str">
        <x:v>financial planner</x:v>
      </x:c>
      <x:c r="AE99" s="10" t="str">
        <x:v>personal finance</x:v>
      </x:c>
      <x:c r="AF99" s="10" t="str">
        <x:v>debt google sheets</x:v>
      </x:c>
      <x:c r="AG99" s="10" t="str">
        <x:v>snowball method</x:v>
      </x:c>
      <x:c r="AH99" s="10" t="str">
        <x:v>General debt payoff</x:v>
      </x:c>
      <x:c r="AI99" s="13" t="n">
        <x:v>33</x:v>
      </x:c>
      <x:c r="AJ99" s="10" t="str">
        <x:f>IF(F99&gt;0,"Active","No est. sales")</x:f>
        <x:v>No est. sales</x:v>
      </x:c>
    </x:row>
    <x:row r="100">
      <x:c r="A100" s="10" t="str">
        <x:v>House Payment Tracker - Pastel Gray Planner Stickers</x:v>
      </x:c>
      <x:c r="B100" s="10" t="str">
        <x:v>https://www.etsy.com/listing/984598634/house-payment-tracker-pastel-gray</x:v>
      </x:c>
      <x:c r="C100" s="10" t="str">
        <x:v>SofiStickers</x:v>
      </x:c>
      <x:c r="D100" s="10" t="str">
        <x:v>https://www.etsy.com/shop/SofiStickers</x:v>
      </x:c>
      <x:c r="E100" s="11" t="n">
        <x:v>2</x:v>
      </x:c>
      <x:c r="F100" s="10" t="n">
        <x:v>0</x:v>
      </x:c>
      <x:c r="G100" s="12" t="n">
        <x:v>0</x:v>
      </x:c>
      <x:c r="H100" s="13" t="n">
        <x:v>0</x:v>
      </x:c>
      <x:c r="I100" s="10" t="n">
        <x:v>13</x:v>
      </x:c>
      <x:c r="J100" s="10" t="n">
        <x:v>4</x:v>
      </x:c>
      <x:c r="K100" s="10" t="str">
        <x:v>63 Mo.</x:v>
      </x:c>
      <x:c r="L100" s="10" t="n">
        <x:v>23</x:v>
      </x:c>
      <x:c r="M100" s="10" t="n">
        <x:v>0</x:v>
      </x:c>
      <x:c r="N100" s="10" t="n">
        <x:v>151</x:v>
      </x:c>
      <x:c r="O100" s="10" t="str">
        <x:v>Paper &amp; Party Supplies</x:v>
      </x:c>
      <x:c r="P100" s="10" t="n">
        <x:v>63</x:v>
      </x:c>
      <x:c r="Q100" s="10" t="n">
        <x:v>0</x:v>
      </x:c>
      <x:c r="R100" s="13" t="n">
        <x:v>8.61</x:v>
      </x:c>
      <x:c r="S100" s="10" t="n">
        <x:v>5120</x:v>
      </x:c>
      <x:c r="T100" s="10" t="str">
        <x:v>bill due stickers,budget stickers,pastel stickers,life planner,planner accessories,bullet journal,bill tracker,budgeting stickers,house bill due,mortgage,pastel gray,house payment,budget planner</x:v>
      </x:c>
      <x:c r="U100" s="10" t="str">
        <x:v>bill due stickers</x:v>
      </x:c>
      <x:c r="V100" s="10" t="str">
        <x:v>budget stickers</x:v>
      </x:c>
      <x:c r="W100" s="10" t="str">
        <x:v>pastel stickers</x:v>
      </x:c>
      <x:c r="X100" s="10" t="str">
        <x:v>life planner</x:v>
      </x:c>
      <x:c r="Y100" s="10" t="str">
        <x:v>planner accessories</x:v>
      </x:c>
      <x:c r="Z100" s="10" t="str">
        <x:v>bullet journal</x:v>
      </x:c>
      <x:c r="AA100" s="10" t="str">
        <x:v>bill tracker</x:v>
      </x:c>
      <x:c r="AB100" s="10" t="str">
        <x:v>budgeting stickers</x:v>
      </x:c>
      <x:c r="AC100" s="10" t="str">
        <x:v>house bill due</x:v>
      </x:c>
      <x:c r="AD100" s="10" t="str">
        <x:v>mortgage</x:v>
      </x:c>
      <x:c r="AE100" s="10" t="str">
        <x:v>pastel gray</x:v>
      </x:c>
      <x:c r="AF100" s="10" t="str">
        <x:v>house payment</x:v>
      </x:c>
      <x:c r="AG100" s="10" t="str">
        <x:v>budget planner</x:v>
      </x:c>
      <x:c r="AH100" s="10" t="str">
        <x:v>Other mortgage-related</x:v>
      </x:c>
      <x:c r="AI100" s="13" t="n">
        <x:v>63</x:v>
      </x:c>
      <x:c r="AJ100" s="10" t="str">
        <x:f>IF(F100&gt;0,"Active","No est. sales")</x:f>
        <x:v>No est. sales</x:v>
      </x:c>
    </x:row>
    <x:row r="101">
      <x:c r="A101" s="10" t="str">
        <x:v>House Payment Tracker - Pastel Pink Planner Stickers</x:v>
      </x:c>
      <x:c r="B101" s="10" t="str">
        <x:v>https://www.etsy.com/listing/984539622/house-payment-tracker-pastel-pink</x:v>
      </x:c>
      <x:c r="C101" s="10" t="str">
        <x:v>SofiStickers</x:v>
      </x:c>
      <x:c r="D101" s="10" t="str">
        <x:v>https://www.etsy.com/shop/SofiStickers</x:v>
      </x:c>
      <x:c r="E101" s="11" t="n">
        <x:v>2</x:v>
      </x:c>
      <x:c r="F101" s="10" t="n">
        <x:v>0</x:v>
      </x:c>
      <x:c r="G101" s="12" t="n">
        <x:v>0</x:v>
      </x:c>
      <x:c r="H101" s="13" t="n">
        <x:v>0</x:v>
      </x:c>
      <x:c r="I101" s="10" t="n">
        <x:v>16</x:v>
      </x:c>
      <x:c r="J101" s="10" t="n">
        <x:v>5</x:v>
      </x:c>
      <x:c r="K101" s="10" t="str">
        <x:v>63 Mo.</x:v>
      </x:c>
      <x:c r="L101" s="10" t="n">
        <x:v>19</x:v>
      </x:c>
      <x:c r="M101" s="10" t="n">
        <x:v>0</x:v>
      </x:c>
      <x:c r="N101" s="10" t="n">
        <x:v>131</x:v>
      </x:c>
      <x:c r="O101" s="10" t="str">
        <x:v>Paper &amp; Party Supplies</x:v>
      </x:c>
      <x:c r="P101" s="10" t="n">
        <x:v>63</x:v>
      </x:c>
      <x:c r="Q101" s="10" t="n">
        <x:v>0</x:v>
      </x:c>
      <x:c r="R101" s="13" t="n">
        <x:v>12.21</x:v>
      </x:c>
      <x:c r="S101" s="10" t="n">
        <x:v>5120</x:v>
      </x:c>
      <x:c r="T101" s="10" t="str">
        <x:v>bill due stickers,budget stickers,pastel stickers,life planner,planner accessories,bullet journal,bill tracker,budgeting stickers,mortgage,payment tracker,pastel pink,house oayment,budget planner</x:v>
      </x:c>
      <x:c r="U101" s="10" t="str">
        <x:v>bill due stickers</x:v>
      </x:c>
      <x:c r="V101" s="10" t="str">
        <x:v>budget stickers</x:v>
      </x:c>
      <x:c r="W101" s="10" t="str">
        <x:v>pastel stickers</x:v>
      </x:c>
      <x:c r="X101" s="10" t="str">
        <x:v>life planner</x:v>
      </x:c>
      <x:c r="Y101" s="10" t="str">
        <x:v>planner accessories</x:v>
      </x:c>
      <x:c r="Z101" s="10" t="str">
        <x:v>bullet journal</x:v>
      </x:c>
      <x:c r="AA101" s="10" t="str">
        <x:v>bill tracker</x:v>
      </x:c>
      <x:c r="AB101" s="10" t="str">
        <x:v>budgeting stickers</x:v>
      </x:c>
      <x:c r="AC101" s="10" t="str">
        <x:v>mortgage</x:v>
      </x:c>
      <x:c r="AD101" s="10" t="str">
        <x:v>payment tracker</x:v>
      </x:c>
      <x:c r="AE101" s="10" t="str">
        <x:v>pastel pink</x:v>
      </x:c>
      <x:c r="AF101" s="10" t="str">
        <x:v>house oayment</x:v>
      </x:c>
      <x:c r="AG101" s="10" t="str">
        <x:v>budget planner</x:v>
      </x:c>
      <x:c r="AH101" s="10" t="str">
        <x:v>Other mortgage-related</x:v>
      </x:c>
      <x:c r="AI101" s="13" t="n">
        <x:v>63</x:v>
      </x:c>
      <x:c r="AJ101" s="10" t="str">
        <x:f>IF(F101&gt;0,"Active","No est. sales")</x:f>
        <x:v>No est. sales</x:v>
      </x:c>
    </x:row>
    <x:row r="102">
      <x:c r="A102" s="10" t="str">
        <x:v>Mortgage Corner Sticker - Pastel Green Planner Stickers</x:v>
      </x:c>
      <x:c r="B102" s="10" t="str">
        <x:v>https://www.etsy.com/listing/1158446936/mortgage-corner-sticker-pastel-green</x:v>
      </x:c>
      <x:c r="C102" s="10" t="str">
        <x:v>SofiStickers</x:v>
      </x:c>
      <x:c r="D102" s="10" t="str">
        <x:v>https://www.etsy.com/shop/SofiStickers</x:v>
      </x:c>
      <x:c r="E102" s="11" t="n">
        <x:v>2</x:v>
      </x:c>
      <x:c r="F102" s="10" t="n">
        <x:v>0</x:v>
      </x:c>
      <x:c r="G102" s="12" t="n">
        <x:v>0</x:v>
      </x:c>
      <x:c r="H102" s="13" t="n">
        <x:v>0</x:v>
      </x:c>
      <x:c r="I102" s="10" t="n">
        <x:v>0</x:v>
      </x:c>
      <x:c r="J102" s="10" t="n">
        <x:v>0</x:v>
      </x:c>
      <x:c r="K102" s="10" t="str">
        <x:v>53 Mo.</x:v>
      </x:c>
      <x:c r="L102" s="10" t="n">
        <x:v>4</x:v>
      </x:c>
      <x:c r="M102" s="10" t="n">
        <x:v>0</x:v>
      </x:c>
      <x:c r="N102" s="10" t="n">
        <x:v>7</x:v>
      </x:c>
      <x:c r="O102" s="10" t="str">
        <x:v>Paper &amp; Party Supplies</x:v>
      </x:c>
      <x:c r="P102" s="10" t="n">
        <x:v>63</x:v>
      </x:c>
      <x:c r="Q102" s="10" t="n">
        <x:v>0</x:v>
      </x:c>
      <x:c r="R102" s="13" t="n">
        <x:v>0</x:v>
      </x:c>
      <x:c r="S102" s="10" t="n">
        <x:v>5120</x:v>
      </x:c>
      <x:c r="T102" s="10" t="str">
        <x:v>budget stickers,life planner,planner accessories,bullet journal,budgeting stickers,budget planner,weekly planner,functional stickers,monthly planner,corner sticker,mortgage,pastel green</x:v>
      </x:c>
      <x:c r="U102" s="10" t="str">
        <x:v>budget stickers</x:v>
      </x:c>
      <x:c r="V102" s="10" t="str">
        <x:v>life planner</x:v>
      </x:c>
      <x:c r="W102" s="10" t="str">
        <x:v>planner accessories</x:v>
      </x:c>
      <x:c r="X102" s="10" t="str">
        <x:v>bullet journal</x:v>
      </x:c>
      <x:c r="Y102" s="10" t="str">
        <x:v>budgeting stickers</x:v>
      </x:c>
      <x:c r="Z102" s="10" t="str">
        <x:v>budget planner</x:v>
      </x:c>
      <x:c r="AA102" s="10" t="str">
        <x:v>weekly planner</x:v>
      </x:c>
      <x:c r="AB102" s="10" t="str">
        <x:v>functional stickers</x:v>
      </x:c>
      <x:c r="AC102" s="10" t="str">
        <x:v>monthly planner</x:v>
      </x:c>
      <x:c r="AD102" s="10" t="str">
        <x:v>corner sticker</x:v>
      </x:c>
      <x:c r="AE102" s="10" t="str">
        <x:v>mortgage</x:v>
      </x:c>
      <x:c r="AF102" s="10" t="str">
        <x:v>pastel green</x:v>
      </x:c>
      <x:c r="AG102" s="10" t="str">
        <x:v>--</x:v>
      </x:c>
      <x:c r="AH102" s="10" t="str">
        <x:v>Other mortgage-related</x:v>
      </x:c>
      <x:c r="AI102" s="13" t="n">
        <x:v>53</x:v>
      </x:c>
      <x:c r="AJ102" s="10" t="str">
        <x:f>IF(F102&gt;0,"Active","No est. sales")</x:f>
        <x:v>No est. sales</x:v>
      </x:c>
    </x:row>
    <x:row r="103">
      <x:c r="A103" s="10" t="str">
        <x:v>Mortgage Corner Sticker - Pastel Yellow Planner Stickers</x:v>
      </x:c>
      <x:c r="B103" s="10" t="str">
        <x:v>https://www.etsy.com/listing/1158447430/mortgage-corner-sticker-pastel-yellow</x:v>
      </x:c>
      <x:c r="C103" s="10" t="str">
        <x:v>SofiStickers</x:v>
      </x:c>
      <x:c r="D103" s="10" t="str">
        <x:v>https://www.etsy.com/shop/SofiStickers</x:v>
      </x:c>
      <x:c r="E103" s="11" t="n">
        <x:v>2</x:v>
      </x:c>
      <x:c r="F103" s="10" t="n">
        <x:v>0</x:v>
      </x:c>
      <x:c r="G103" s="12" t="n">
        <x:v>0</x:v>
      </x:c>
      <x:c r="H103" s="13" t="n">
        <x:v>0</x:v>
      </x:c>
      <x:c r="I103" s="10" t="n">
        <x:v>0</x:v>
      </x:c>
      <x:c r="J103" s="10" t="n">
        <x:v>0</x:v>
      </x:c>
      <x:c r="K103" s="10" t="str">
        <x:v>53 Mo.</x:v>
      </x:c>
      <x:c r="L103" s="10" t="n">
        <x:v>1</x:v>
      </x:c>
      <x:c r="M103" s="10" t="n">
        <x:v>0</x:v>
      </x:c>
      <x:c r="N103" s="10" t="n">
        <x:v>14</x:v>
      </x:c>
      <x:c r="O103" s="10" t="str">
        <x:v>Paper &amp; Party Supplies</x:v>
      </x:c>
      <x:c r="P103" s="10" t="n">
        <x:v>63</x:v>
      </x:c>
      <x:c r="Q103" s="10" t="n">
        <x:v>0</x:v>
      </x:c>
      <x:c r="R103" s="13" t="n">
        <x:v>0</x:v>
      </x:c>
      <x:c r="S103" s="10" t="n">
        <x:v>5120</x:v>
      </x:c>
      <x:c r="T103" s="10" t="str">
        <x:v>budget stickers,life planner,planner accessories,bullet journal,budgeting stickers,budget planner,weekly planner,functional stickers,monthly planner,corner sticker,mortgage,pastel yellow</x:v>
      </x:c>
      <x:c r="U103" s="10" t="str">
        <x:v>budget stickers</x:v>
      </x:c>
      <x:c r="V103" s="10" t="str">
        <x:v>life planner</x:v>
      </x:c>
      <x:c r="W103" s="10" t="str">
        <x:v>planner accessories</x:v>
      </x:c>
      <x:c r="X103" s="10" t="str">
        <x:v>bullet journal</x:v>
      </x:c>
      <x:c r="Y103" s="10" t="str">
        <x:v>budgeting stickers</x:v>
      </x:c>
      <x:c r="Z103" s="10" t="str">
        <x:v>budget planner</x:v>
      </x:c>
      <x:c r="AA103" s="10" t="str">
        <x:v>weekly planner</x:v>
      </x:c>
      <x:c r="AB103" s="10" t="str">
        <x:v>functional stickers</x:v>
      </x:c>
      <x:c r="AC103" s="10" t="str">
        <x:v>monthly planner</x:v>
      </x:c>
      <x:c r="AD103" s="10" t="str">
        <x:v>corner sticker</x:v>
      </x:c>
      <x:c r="AE103" s="10" t="str">
        <x:v>mortgage</x:v>
      </x:c>
      <x:c r="AF103" s="10" t="str">
        <x:v>pastel yellow</x:v>
      </x:c>
      <x:c r="AG103" s="10" t="str">
        <x:v>--</x:v>
      </x:c>
      <x:c r="AH103" s="10" t="str">
        <x:v>Other mortgage-related</x:v>
      </x:c>
      <x:c r="AI103" s="13" t="n">
        <x:v>53</x:v>
      </x:c>
      <x:c r="AJ103" s="10" t="str">
        <x:f>IF(F103&gt;0,"Active","No est. sales")</x:f>
        <x:v>No est. sales</x:v>
      </x:c>
    </x:row>
    <x:row r="104">
      <x:c r="A104" s="10" t="str">
        <x:v>Payday Planner Stickers: Erin Condren, Limelife, Plum Paper</x:v>
      </x:c>
      <x:c r="B104" s="10" t="str">
        <x:v>https://www.etsy.com/listing/805912905/payday-planner-stickers-erin-condren</x:v>
      </x:c>
      <x:c r="C104" s="10" t="str">
        <x:v>MyOwnCraftsStore</x:v>
      </x:c>
      <x:c r="D104" s="10" t="str">
        <x:v>https://www.etsy.com/shop/MyOwnCraftsStore</x:v>
      </x:c>
      <x:c r="E104" s="11" t="n">
        <x:v>0.97</x:v>
      </x:c>
      <x:c r="F104" s="10" t="n">
        <x:v>0</x:v>
      </x:c>
      <x:c r="G104" s="12" t="n">
        <x:v>0</x:v>
      </x:c>
      <x:c r="H104" s="13" t="n">
        <x:v>0</x:v>
      </x:c>
      <x:c r="I104" s="10" t="n">
        <x:v>81</x:v>
      </x:c>
      <x:c r="J104" s="10" t="n">
        <x:v>17</x:v>
      </x:c>
      <x:c r="K104" s="10" t="str">
        <x:v>74 Mo.</x:v>
      </x:c>
      <x:c r="L104" s="10" t="n">
        <x:v>44</x:v>
      </x:c>
      <x:c r="M104" s="10" t="n">
        <x:v>0</x:v>
      </x:c>
      <x:c r="N104" s="10" t="n">
        <x:v>1161</x:v>
      </x:c>
      <x:c r="O104" s="10" t="str">
        <x:v>Paper &amp; Party Supplies</x:v>
      </x:c>
      <x:c r="P104" s="10" t="n">
        <x:v>124</x:v>
      </x:c>
      <x:c r="Q104" s="10" t="n">
        <x:v>0</x:v>
      </x:c>
      <x:c r="R104" s="13" t="n">
        <x:v>6.98</x:v>
      </x:c>
      <x:c r="S104" s="10" t="n">
        <x:v>31622</x:v>
      </x:c>
      <x:c r="T104" s="10" t="str">
        <x:v>sticker,erin condren,limelife,plum paper,life planner,planner stickers,pay day sticker,payday,payment,pay rent,pay gas,mortgage,utility</x:v>
      </x:c>
      <x:c r="U104" s="10" t="str">
        <x:v>sticker</x:v>
      </x:c>
      <x:c r="V104" s="10" t="str">
        <x:v>erin condren</x:v>
      </x:c>
      <x:c r="W104" s="10" t="str">
        <x:v>limelife</x:v>
      </x:c>
      <x:c r="X104" s="10" t="str">
        <x:v>plum paper</x:v>
      </x:c>
      <x:c r="Y104" s="10" t="str">
        <x:v>life planner</x:v>
      </x:c>
      <x:c r="Z104" s="10" t="str">
        <x:v>planner stickers</x:v>
      </x:c>
      <x:c r="AA104" s="10" t="str">
        <x:v>pay day sticker</x:v>
      </x:c>
      <x:c r="AB104" s="10" t="str">
        <x:v>payday</x:v>
      </x:c>
      <x:c r="AC104" s="10" t="str">
        <x:v>payment</x:v>
      </x:c>
      <x:c r="AD104" s="10" t="str">
        <x:v>pay rent</x:v>
      </x:c>
      <x:c r="AE104" s="10" t="str">
        <x:v>pay gas</x:v>
      </x:c>
      <x:c r="AF104" s="10" t="str">
        <x:v>mortgage</x:v>
      </x:c>
      <x:c r="AG104" s="10" t="str">
        <x:v>utility</x:v>
      </x:c>
      <x:c r="AH104" s="10" t="str">
        <x:v>Other mortgage-related</x:v>
      </x:c>
      <x:c r="AI104" s="13" t="n">
        <x:v>74</x:v>
      </x:c>
      <x:c r="AJ104" s="10" t="str">
        <x:f>IF(F104&gt;0,"Active","No est. sales")</x:f>
        <x:v>No est. sales</x:v>
      </x:c>
    </x:row>
    <x:row r="105">
      <x:c r="A105" s="10" t="str">
        <x:v>Payday Planner Stickers: Erin Condren, Limelife, Plum Paper</x:v>
      </x:c>
      <x:c r="B105" s="10" t="str">
        <x:v>https://www.etsy.com/listing/803582561/payday-planner-stickers-erin-condren</x:v>
      </x:c>
      <x:c r="C105" s="10" t="str">
        <x:v>MyOwnCraftsStore</x:v>
      </x:c>
      <x:c r="D105" s="10" t="str">
        <x:v>https://www.etsy.com/shop/MyOwnCraftsStore</x:v>
      </x:c>
      <x:c r="E105" s="11" t="n">
        <x:v>0.97</x:v>
      </x:c>
      <x:c r="F105" s="10" t="n">
        <x:v>0</x:v>
      </x:c>
      <x:c r="G105" s="12" t="n">
        <x:v>0</x:v>
      </x:c>
      <x:c r="H105" s="13" t="n">
        <x:v>0</x:v>
      </x:c>
      <x:c r="I105" s="10" t="n">
        <x:v>119</x:v>
      </x:c>
      <x:c r="J105" s="10" t="n">
        <x:v>25</x:v>
      </x:c>
      <x:c r="K105" s="10" t="str">
        <x:v>74 Mo.</x:v>
      </x:c>
      <x:c r="L105" s="10" t="n">
        <x:v>66</x:v>
      </x:c>
      <x:c r="M105" s="10" t="n">
        <x:v>0</x:v>
      </x:c>
      <x:c r="N105" s="10" t="n">
        <x:v>1441</x:v>
      </x:c>
      <x:c r="O105" s="10" t="str">
        <x:v>Paper &amp; Party Supplies</x:v>
      </x:c>
      <x:c r="P105" s="10" t="n">
        <x:v>124</x:v>
      </x:c>
      <x:c r="Q105" s="10" t="n">
        <x:v>0</x:v>
      </x:c>
      <x:c r="R105" s="13" t="n">
        <x:v>8.26</x:v>
      </x:c>
      <x:c r="S105" s="10" t="n">
        <x:v>31622</x:v>
      </x:c>
      <x:c r="T105" s="10" t="str">
        <x:v>sticker,planner,erin condren,limelife,plum paper,life planner,planner stickers,payday icons,payday sticker,payday,pay due,pay rent,pay mortgage</x:v>
      </x:c>
      <x:c r="U105" s="10" t="str">
        <x:v>sticker</x:v>
      </x:c>
      <x:c r="V105" s="10" t="str">
        <x:v>planner</x:v>
      </x:c>
      <x:c r="W105" s="10" t="str">
        <x:v>erin condren</x:v>
      </x:c>
      <x:c r="X105" s="10" t="str">
        <x:v>limelife</x:v>
      </x:c>
      <x:c r="Y105" s="10" t="str">
        <x:v>plum paper</x:v>
      </x:c>
      <x:c r="Z105" s="10" t="str">
        <x:v>life planner</x:v>
      </x:c>
      <x:c r="AA105" s="10" t="str">
        <x:v>planner stickers</x:v>
      </x:c>
      <x:c r="AB105" s="10" t="str">
        <x:v>payday icons</x:v>
      </x:c>
      <x:c r="AC105" s="10" t="str">
        <x:v>payday sticker</x:v>
      </x:c>
      <x:c r="AD105" s="10" t="str">
        <x:v>payday</x:v>
      </x:c>
      <x:c r="AE105" s="10" t="str">
        <x:v>pay due</x:v>
      </x:c>
      <x:c r="AF105" s="10" t="str">
        <x:v>pay rent</x:v>
      </x:c>
      <x:c r="AG105" s="10" t="str">
        <x:v>pay mortgage</x:v>
      </x:c>
      <x:c r="AH105" s="10" t="str">
        <x:v>Other mortgage-related</x:v>
      </x:c>
      <x:c r="AI105" s="13" t="n">
        <x:v>74</x:v>
      </x:c>
      <x:c r="AJ105" s="10" t="str">
        <x:f>IF(F105&gt;0,"Active","No est. sales")</x:f>
        <x:v>No est. sales</x:v>
      </x:c>
    </x:row>
    <x:row r="106">
      <x:c r="A106" s="10" t="str">
        <x:v>Pay Bills Planner Stickers: Erin Condren, Limelife, Plum Paper</x:v>
      </x:c>
      <x:c r="B106" s="10" t="str">
        <x:v>https://www.etsy.com/listing/472055686/pay-bills-planner-stickers-erin-condren</x:v>
      </x:c>
      <x:c r="C106" s="10" t="str">
        <x:v>MyOwnCraftsStore</x:v>
      </x:c>
      <x:c r="D106" s="10" t="str">
        <x:v>https://www.etsy.com/shop/MyOwnCraftsStore</x:v>
      </x:c>
      <x:c r="E106" s="11" t="n">
        <x:v>0.97</x:v>
      </x:c>
      <x:c r="F106" s="10" t="n">
        <x:v>0</x:v>
      </x:c>
      <x:c r="G106" s="12" t="n">
        <x:v>0</x:v>
      </x:c>
      <x:c r="H106" s="13" t="n">
        <x:v>0</x:v>
      </x:c>
      <x:c r="I106" s="10" t="n">
        <x:v>178</x:v>
      </x:c>
      <x:c r="J106" s="10" t="n">
        <x:v>37</x:v>
      </x:c>
      <x:c r="K106" s="10" t="str">
        <x:v>117 Mo.</x:v>
      </x:c>
      <x:c r="L106" s="10" t="n">
        <x:v>174</x:v>
      </x:c>
      <x:c r="M106" s="10" t="n">
        <x:v>0</x:v>
      </x:c>
      <x:c r="N106" s="10" t="n">
        <x:v>4001</x:v>
      </x:c>
      <x:c r="O106" s="10" t="str">
        <x:v>Paper &amp; Party Supplies</x:v>
      </x:c>
      <x:c r="P106" s="10" t="n">
        <x:v>124</x:v>
      </x:c>
      <x:c r="Q106" s="10" t="n">
        <x:v>0</x:v>
      </x:c>
      <x:c r="R106" s="13" t="n">
        <x:v>4.45</x:v>
      </x:c>
      <x:c r="S106" s="10" t="n">
        <x:v>31622</x:v>
      </x:c>
      <x:c r="T106" s="10" t="str">
        <x:v>sticker,erin condren,plum paper,life planner,filofax,functional boxes,functional,planner stickers,pay bill,pay day,pay rent,pay mortgage,lease car</x:v>
      </x:c>
      <x:c r="U106" s="10" t="str">
        <x:v>sticker</x:v>
      </x:c>
      <x:c r="V106" s="10" t="str">
        <x:v>erin condren</x:v>
      </x:c>
      <x:c r="W106" s="10" t="str">
        <x:v>plum paper</x:v>
      </x:c>
      <x:c r="X106" s="10" t="str">
        <x:v>life planner</x:v>
      </x:c>
      <x:c r="Y106" s="10" t="str">
        <x:v>filofax</x:v>
      </x:c>
      <x:c r="Z106" s="10" t="str">
        <x:v>functional boxes</x:v>
      </x:c>
      <x:c r="AA106" s="10" t="str">
        <x:v>functional</x:v>
      </x:c>
      <x:c r="AB106" s="10" t="str">
        <x:v>planner stickers</x:v>
      </x:c>
      <x:c r="AC106" s="10" t="str">
        <x:v>pay bill</x:v>
      </x:c>
      <x:c r="AD106" s="10" t="str">
        <x:v>pay day</x:v>
      </x:c>
      <x:c r="AE106" s="10" t="str">
        <x:v>pay rent</x:v>
      </x:c>
      <x:c r="AF106" s="10" t="str">
        <x:v>pay mortgage</x:v>
      </x:c>
      <x:c r="AG106" s="10" t="str">
        <x:v>lease car</x:v>
      </x:c>
      <x:c r="AH106" s="10" t="str">
        <x:v>Other mortgage-related</x:v>
      </x:c>
      <x:c r="AI106" s="13" t="n">
        <x:v>117</x:v>
      </x:c>
      <x:c r="AJ106" s="10" t="str">
        <x:f>IF(F106&gt;0,"Active","No est. sales")</x:f>
        <x:v>No est. sales</x:v>
      </x:c>
    </x:row>
    <x:row r="107">
      <x:c r="A107" s="10" t="str">
        <x:v>Rent vs Buy Calculator Canada | Google Sheets Financial Planner | Home Buying Decision Tool | Mortgage vs Renting Spreadsheet | Investment</x:v>
      </x:c>
      <x:c r="B107" s="10" t="str">
        <x:v>https://www.etsy.com/listing/4508633170/rent-vs-buy-calculator-canada-google</x:v>
      </x:c>
      <x:c r="C107" s="10" t="str">
        <x:v>StarlitPixel</x:v>
      </x:c>
      <x:c r="D107" s="10" t="str">
        <x:v>https://www.etsy.com/shop/StarlitPixel</x:v>
      </x:c>
      <x:c r="E107" s="11" t="n">
        <x:v>21.29</x:v>
      </x:c>
      <x:c r="F107" s="10" t="n">
        <x:v>0</x:v>
      </x:c>
      <x:c r="G107" s="12" t="n">
        <x:v>0</x:v>
      </x:c>
      <x:c r="H107" s="13" t="n">
        <x:v>0</x:v>
      </x:c>
      <x:c r="I107" s="10" t="n">
        <x:v>0</x:v>
      </x:c>
      <x:c r="J107" s="10" t="n">
        <x:v>0</x:v>
      </x:c>
      <x:c r="K107" s="10" t="str">
        <x:v>2 Mo.</x:v>
      </x:c>
      <x:c r="L107" s="10" t="n">
        <x:v>0</x:v>
      </x:c>
      <x:c r="M107" s="10" t="n">
        <x:v>0</x:v>
      </x:c>
      <x:c r="N107" s="10" t="n">
        <x:v>2</x:v>
      </x:c>
      <x:c r="O107" s="10" t="str">
        <x:v>Paper &amp; Party Supplies</x:v>
      </x:c>
      <x:c r="P107" s="10" t="n">
        <x:v>35</x:v>
      </x:c>
      <x:c r="Q107" s="10" t="n">
        <x:v>0</x:v>
      </x:c>
      <x:c r="R107" s="13" t="n">
        <x:v>0</x:v>
      </x:c>
      <x:c r="S107" s="10" t="n">
        <x:v>4</x:v>
      </x:c>
      <x:c r="T107" s="10" t="str">
        <x:v>home buying,canadian mortgage,rent or buy,home affordability,personal finance,investment property,real estate finance,home buyer tool,rent vs buy,buy vs rent,mortgage calculator,net worth spreadshee,first time buyer</x:v>
      </x:c>
      <x:c r="U107" s="10" t="str">
        <x:v>home buying</x:v>
      </x:c>
      <x:c r="V107" s="10" t="str">
        <x:v>canadian mortgage</x:v>
      </x:c>
      <x:c r="W107" s="10" t="str">
        <x:v>rent or buy</x:v>
      </x:c>
      <x:c r="X107" s="10" t="str">
        <x:v>home affordability</x:v>
      </x:c>
      <x:c r="Y107" s="10" t="str">
        <x:v>personal finance</x:v>
      </x:c>
      <x:c r="Z107" s="10" t="str">
        <x:v>investment property</x:v>
      </x:c>
      <x:c r="AA107" s="10" t="str">
        <x:v>real estate finance</x:v>
      </x:c>
      <x:c r="AB107" s="10" t="str">
        <x:v>home buyer tool</x:v>
      </x:c>
      <x:c r="AC107" s="10" t="str">
        <x:v>rent vs buy</x:v>
      </x:c>
      <x:c r="AD107" s="10" t="str">
        <x:v>buy vs rent</x:v>
      </x:c>
      <x:c r="AE107" s="10" t="str">
        <x:v>mortgage calculator</x:v>
      </x:c>
      <x:c r="AF107" s="10" t="str">
        <x:v>net worth spreadshee</x:v>
      </x:c>
      <x:c r="AG107" s="10" t="str">
        <x:v>first time buyer</x:v>
      </x:c>
      <x:c r="AH107" s="10" t="str">
        <x:v>Other mortgage-related</x:v>
      </x:c>
      <x:c r="AI107" s="13" t="n">
        <x:v>2</x:v>
      </x:c>
      <x:c r="AJ107" s="10" t="str">
        <x:f>IF(F107&gt;0,"Active","No est. sales")</x:f>
        <x:v>No est. sales</x:v>
      </x:c>
    </x:row>
    <x:row r="108">
      <x:c r="A108" s="10" t="str">
        <x:v>Kawaii House Planner Stickers – Blank Box Tracker Stickers for Planning</x:v>
      </x:c>
      <x:c r="B108" s="10" t="str">
        <x:v>https://www.etsy.com/listing/541429483/kawaii-house-planner-stickers-blank-box</x:v>
      </x:c>
      <x:c r="C108" s="10" t="str">
        <x:v>BusyBeeStickers</x:v>
      </x:c>
      <x:c r="D108" s="10" t="str">
        <x:v>https://www.etsy.com/shop/BusyBeeStickers</x:v>
      </x:c>
      <x:c r="E108" s="11" t="n">
        <x:v>2.96</x:v>
      </x:c>
      <x:c r="F108" s="10" t="n">
        <x:v>0</x:v>
      </x:c>
      <x:c r="G108" s="12" t="n">
        <x:v>0</x:v>
      </x:c>
      <x:c r="H108" s="13" t="n">
        <x:v>0</x:v>
      </x:c>
      <x:c r="I108" s="10" t="n">
        <x:v>99</x:v>
      </x:c>
      <x:c r="J108" s="10" t="n">
        <x:v>24</x:v>
      </x:c>
      <x:c r="K108" s="10" t="str">
        <x:v>100 Mo.</x:v>
      </x:c>
      <x:c r="L108" s="10" t="n">
        <x:v>139</x:v>
      </x:c>
      <x:c r="M108" s="10" t="n">
        <x:v>0</x:v>
      </x:c>
      <x:c r="N108" s="10" t="n">
        <x:v>1289</x:v>
      </x:c>
      <x:c r="O108" s="10" t="str">
        <x:v>Paper &amp; Party Supplies</x:v>
      </x:c>
      <x:c r="P108" s="10" t="n">
        <x:v>109</x:v>
      </x:c>
      <x:c r="Q108" s="10" t="n">
        <x:v>0</x:v>
      </x:c>
      <x:c r="R108" s="13" t="n">
        <x:v>7.68</x:v>
      </x:c>
      <x:c r="S108" s="10" t="n">
        <x:v>28591</x:v>
      </x:c>
      <x:c r="T108" s="10" t="str">
        <x:v>quarter box,planner,planner stickers uk,kawaii stickers,kawaii house sticker,house sticker,rent due sticker,mortgage due sticker,home maintenance,home payment,blank box,vertical planner,scrapbook stickers</x:v>
      </x:c>
      <x:c r="U108" s="10" t="str">
        <x:v>quarter box</x:v>
      </x:c>
      <x:c r="V108" s="10" t="str">
        <x:v>planner</x:v>
      </x:c>
      <x:c r="W108" s="10" t="str">
        <x:v>planner stickers uk</x:v>
      </x:c>
      <x:c r="X108" s="10" t="str">
        <x:v>kawaii stickers</x:v>
      </x:c>
      <x:c r="Y108" s="10" t="str">
        <x:v>kawaii house sticker</x:v>
      </x:c>
      <x:c r="Z108" s="10" t="str">
        <x:v>house sticker</x:v>
      </x:c>
      <x:c r="AA108" s="10" t="str">
        <x:v>rent due sticker</x:v>
      </x:c>
      <x:c r="AB108" s="10" t="str">
        <x:v>mortgage due sticker</x:v>
      </x:c>
      <x:c r="AC108" s="10" t="str">
        <x:v>home maintenance</x:v>
      </x:c>
      <x:c r="AD108" s="10" t="str">
        <x:v>home payment</x:v>
      </x:c>
      <x:c r="AE108" s="10" t="str">
        <x:v>blank box</x:v>
      </x:c>
      <x:c r="AF108" s="10" t="str">
        <x:v>vertical planner</x:v>
      </x:c>
      <x:c r="AG108" s="10" t="str">
        <x:v>scrapbook stickers</x:v>
      </x:c>
      <x:c r="AH108" s="10" t="str">
        <x:v>Other mortgage-related</x:v>
      </x:c>
      <x:c r="AI108" s="13" t="n">
        <x:v>100</x:v>
      </x:c>
      <x:c r="AJ108" s="10" t="str">
        <x:f>IF(F108&gt;0,"Active","No est. sales")</x:f>
        <x:v>No est. sales</x:v>
      </x:c>
    </x:row>
    <x:row r="109">
      <x:c r="A109" s="10" t="str">
        <x:v>Mortgage &amp; Rent Payment Planner Stickers | Bill Pay Planner Stickers | Monthly Budget Stickers | Functional Finance Planner Stickers</x:v>
      </x:c>
      <x:c r="B109" s="10" t="str">
        <x:v>https://www.etsy.com/listing/4508760989/mortgage-rent-payment-planner-stickers</x:v>
      </x:c>
      <x:c r="C109" s="10" t="str">
        <x:v>LibbyandLouStickerCo</x:v>
      </x:c>
      <x:c r="D109" s="10" t="str">
        <x:v>https://www.etsy.com/shop/LibbyandLouStickerCo</x:v>
      </x:c>
      <x:c r="E109" s="11" t="n">
        <x:v>4.2</x:v>
      </x:c>
      <x:c r="F109" s="10" t="n">
        <x:v>0</x:v>
      </x:c>
      <x:c r="G109" s="12" t="n">
        <x:v>0</x:v>
      </x:c>
      <x:c r="H109" s="13" t="n">
        <x:v>0</x:v>
      </x:c>
      <x:c r="I109" s="10" t="n">
        <x:v>0</x:v>
      </x:c>
      <x:c r="J109" s="10" t="n">
        <x:v>0</x:v>
      </x:c>
      <x:c r="K109" s="10" t="str">
        <x:v>2 Mo.</x:v>
      </x:c>
      <x:c r="L109" s="10" t="n">
        <x:v>9</x:v>
      </x:c>
      <x:c r="M109" s="10" t="n">
        <x:v>0</x:v>
      </x:c>
      <x:c r="N109" s="10" t="n">
        <x:v>41</x:v>
      </x:c>
      <x:c r="O109" s="10" t="str">
        <x:v>Paper &amp; Party Supplies</x:v>
      </x:c>
      <x:c r="P109" s="10" t="n">
        <x:v>112</x:v>
      </x:c>
      <x:c r="Q109" s="10" t="n">
        <x:v>0</x:v>
      </x:c>
      <x:c r="R109" s="13" t="n">
        <x:v>0</x:v>
      </x:c>
      <x:c r="S109" s="10" t="n">
        <x:v>41989</x:v>
      </x:c>
      <x:c r="T109" s="10" t="str">
        <x:v>bill pay stickers,budget planner,finance,monthly bills,planner stickers,budget stickers,expense tracker,functional sticker,money planner,cash stuffing,monthly planner,mortgage sticker,rent payment</x:v>
      </x:c>
      <x:c r="U109" s="10" t="str">
        <x:v>bill pay stickers</x:v>
      </x:c>
      <x:c r="V109" s="10" t="str">
        <x:v>budget planner</x:v>
      </x:c>
      <x:c r="W109" s="10" t="str">
        <x:v>finance</x:v>
      </x:c>
      <x:c r="X109" s="10" t="str">
        <x:v>monthly bills</x:v>
      </x:c>
      <x:c r="Y109" s="10" t="str">
        <x:v>planner stickers</x:v>
      </x:c>
      <x:c r="Z109" s="10" t="str">
        <x:v>budget stickers</x:v>
      </x:c>
      <x:c r="AA109" s="10" t="str">
        <x:v>expense tracker</x:v>
      </x:c>
      <x:c r="AB109" s="10" t="str">
        <x:v>functional sticker</x:v>
      </x:c>
      <x:c r="AC109" s="10" t="str">
        <x:v>money planner</x:v>
      </x:c>
      <x:c r="AD109" s="10" t="str">
        <x:v>cash stuffing</x:v>
      </x:c>
      <x:c r="AE109" s="10" t="str">
        <x:v>monthly planner</x:v>
      </x:c>
      <x:c r="AF109" s="10" t="str">
        <x:v>mortgage sticker</x:v>
      </x:c>
      <x:c r="AG109" s="10" t="str">
        <x:v>rent payment</x:v>
      </x:c>
      <x:c r="AH109" s="10" t="str">
        <x:v>Other mortgage-related</x:v>
      </x:c>
      <x:c r="AI109" s="13" t="n">
        <x:v>2</x:v>
      </x:c>
      <x:c r="AJ109" s="10" t="str">
        <x:f>IF(F109&gt;0,"Active","No est. sales")</x:f>
        <x:v>No est. sales</x:v>
      </x:c>
    </x:row>
    <x:row r="110">
      <x:c r="A110" s="10" t="str">
        <x:v>Digital Debt Tracker, Debt Payment Log, Debt Snowball, Payoff Log Template for Goodnotes Ipad, Printable PDF</x:v>
      </x:c>
      <x:c r="B110" s="10" t="str">
        <x:v>https://www.etsy.com/listing/1705650801/digital-debt-tracker-debt-payment-log</x:v>
      </x:c>
      <x:c r="C110" s="10" t="str">
        <x:v>LiliesDaily</x:v>
      </x:c>
      <x:c r="D110" s="10" t="str">
        <x:v>https://www.etsy.com/shop/LiliesDaily</x:v>
      </x:c>
      <x:c r="E110" s="11" t="n">
        <x:v>2.7</x:v>
      </x:c>
      <x:c r="F110" s="10" t="n">
        <x:v>0</x:v>
      </x:c>
      <x:c r="G110" s="12" t="n">
        <x:v>0</x:v>
      </x:c>
      <x:c r="H110" s="13" t="n">
        <x:v>0</x:v>
      </x:c>
      <x:c r="I110" s="10" t="n">
        <x:v>0</x:v>
      </x:c>
      <x:c r="J110" s="10" t="n">
        <x:v>0</x:v>
      </x:c>
      <x:c r="K110" s="10" t="str">
        <x:v>28 Mo.</x:v>
      </x:c>
      <x:c r="L110" s="10" t="n">
        <x:v>37</x:v>
      </x:c>
      <x:c r="M110" s="10" t="n">
        <x:v>0</x:v>
      </x:c>
      <x:c r="N110" s="10" t="n">
        <x:v>662</x:v>
      </x:c>
      <x:c r="O110" s="10" t="str"/>
      <x:c r="P110" s="10" t="n">
        <x:v>71</x:v>
      </x:c>
      <x:c r="Q110" s="10" t="n">
        <x:v>0</x:v>
      </x:c>
      <x:c r="R110" s="13" t="n">
        <x:v>0</x:v>
      </x:c>
      <x:c r="S110" s="10" t="n">
        <x:v>48855</x:v>
      </x:c>
      <x:c r="T110" s="10" t="str">
        <x:v>debt payoff tracker,debt snowball,mortgage tracker,money tracker,debt payment log,debt repayment,digital planner,goodnotes planner,digital inserts,payment tracker,tracker printable,personal finance,financial planner</x:v>
      </x:c>
      <x:c r="U110" s="10" t="str">
        <x:v>debt payoff tracker</x:v>
      </x:c>
      <x:c r="V110" s="10" t="str">
        <x:v>debt snowball</x:v>
      </x:c>
      <x:c r="W110" s="10" t="str">
        <x:v>mortgage tracker</x:v>
      </x:c>
      <x:c r="X110" s="10" t="str">
        <x:v>money tracker</x:v>
      </x:c>
      <x:c r="Y110" s="10" t="str">
        <x:v>debt payment log</x:v>
      </x:c>
      <x:c r="Z110" s="10" t="str">
        <x:v>debt repayment</x:v>
      </x:c>
      <x:c r="AA110" s="10" t="str">
        <x:v>digital planner</x:v>
      </x:c>
      <x:c r="AB110" s="10" t="str">
        <x:v>goodnotes planner</x:v>
      </x:c>
      <x:c r="AC110" s="10" t="str">
        <x:v>digital inserts</x:v>
      </x:c>
      <x:c r="AD110" s="10" t="str">
        <x:v>payment tracker</x:v>
      </x:c>
      <x:c r="AE110" s="10" t="str">
        <x:v>tracker printable</x:v>
      </x:c>
      <x:c r="AF110" s="10" t="str">
        <x:v>personal finance</x:v>
      </x:c>
      <x:c r="AG110" s="10" t="str">
        <x:v>financial planner</x:v>
      </x:c>
      <x:c r="AH110" s="10" t="str">
        <x:v>General debt payoff</x:v>
      </x:c>
      <x:c r="AI110" s="13" t="n">
        <x:v>28</x:v>
      </x:c>
      <x:c r="AJ110" s="10" t="str">
        <x:f>IF(F110&gt;0,"Active","No est. sales")</x:f>
        <x:v>No est. sales</x:v>
      </x:c>
    </x:row>
    <x:row r="111">
      <x:c r="A111" s="10" t="str">
        <x:v>Homebuyer Workbook | First-Time Home Buyer Guide (Digital Download)</x:v>
      </x:c>
      <x:c r="B111" s="10" t="str">
        <x:v>https://www.etsy.com/listing/4411012023/homebuyer-workbook-first-time-home-buyer</x:v>
      </x:c>
      <x:c r="C111" s="10" t="str">
        <x:v>RockSolidFinance</x:v>
      </x:c>
      <x:c r="D111" s="10" t="str">
        <x:v>https://www.etsy.com/shop/RockSolidFinance</x:v>
      </x:c>
      <x:c r="E111" s="11" t="n">
        <x:v>19.99</x:v>
      </x:c>
      <x:c r="F111" s="10" t="n">
        <x:v>0</x:v>
      </x:c>
      <x:c r="G111" s="12" t="n">
        <x:v>0</x:v>
      </x:c>
      <x:c r="H111" s="13" t="n">
        <x:v>0</x:v>
      </x:c>
      <x:c r="I111" s="10" t="n">
        <x:v>0</x:v>
      </x:c>
      <x:c r="J111" s="10" t="n">
        <x:v>0</x:v>
      </x:c>
      <x:c r="K111" s="10" t="str">
        <x:v>8 Mo.</x:v>
      </x:c>
      <x:c r="L111" s="10" t="n">
        <x:v>0</x:v>
      </x:c>
      <x:c r="M111" s="10" t="n">
        <x:v>0</x:v>
      </x:c>
      <x:c r="N111" s="10" t="n">
        <x:v>11</x:v>
      </x:c>
      <x:c r="O111" s="10" t="str"/>
      <x:c r="P111" s="10" t="n">
        <x:v>8</x:v>
      </x:c>
      <x:c r="Q111" s="10" t="n">
        <x:v>0</x:v>
      </x:c>
      <x:c r="R111" s="13" t="n">
        <x:v>0</x:v>
      </x:c>
      <x:c r="S111" s="10" t="n">
        <x:v>37</x:v>
      </x:c>
      <x:c r="T111" s="10" t="str">
        <x:v>homebuyer workbook,home buyer guide,house hunting,home buying planner,real estate org,home buyer planner,house budget tracker,financial planning,mortgage planning,home purchase check</x:v>
      </x:c>
      <x:c r="U111" s="10" t="str">
        <x:v>homebuyer workbook</x:v>
      </x:c>
      <x:c r="V111" s="10" t="str">
        <x:v>home buyer guide</x:v>
      </x:c>
      <x:c r="W111" s="10" t="str">
        <x:v>house hunting</x:v>
      </x:c>
      <x:c r="X111" s="10" t="str">
        <x:v>home buying planner</x:v>
      </x:c>
      <x:c r="Y111" s="10" t="str">
        <x:v>real estate org</x:v>
      </x:c>
      <x:c r="Z111" s="10" t="str">
        <x:v>home buyer planner</x:v>
      </x:c>
      <x:c r="AA111" s="10" t="str">
        <x:v>house budget tracker</x:v>
      </x:c>
      <x:c r="AB111" s="10" t="str">
        <x:v>financial planning</x:v>
      </x:c>
      <x:c r="AC111" s="10" t="str">
        <x:v>mortgage planning</x:v>
      </x:c>
      <x:c r="AD111" s="10" t="str">
        <x:v>home purchase check</x:v>
      </x:c>
      <x:c r="AE111" s="10" t="str">
        <x:v>--</x:v>
      </x:c>
      <x:c r="AF111" s="10" t="str">
        <x:v>--</x:v>
      </x:c>
      <x:c r="AG111" s="10" t="str">
        <x:v>--</x:v>
      </x:c>
      <x:c r="AH111" s="10" t="str">
        <x:v>Home buying planner</x:v>
      </x:c>
      <x:c r="AI111" s="13" t="n">
        <x:v>8</x:v>
      </x:c>
      <x:c r="AJ111" s="10" t="str">
        <x:f>IF(F111&gt;0,"Active","No est. sales")</x:f>
        <x:v>No est. sales</x:v>
      </x:c>
    </x:row>
    <x:row r="112">
      <x:c r="A112" s="10" t="str">
        <x:v>Kawaii Houses Mini Planner Stickers</x:v>
      </x:c>
      <x:c r="B112" s="10" t="str">
        <x:v>https://www.etsy.com/listing/789807499/kawaii-houses-mini-planner-stickers</x:v>
      </x:c>
      <x:c r="C112" s="10" t="str">
        <x:v>SWLStationery</x:v>
      </x:c>
      <x:c r="D112" s="10" t="str">
        <x:v>https://www.etsy.com/shop/SWLStationery</x:v>
      </x:c>
      <x:c r="E112" s="11" t="n">
        <x:v>1.66</x:v>
      </x:c>
      <x:c r="F112" s="10" t="n">
        <x:v>0</x:v>
      </x:c>
      <x:c r="G112" s="12" t="n">
        <x:v>0</x:v>
      </x:c>
      <x:c r="H112" s="13" t="n">
        <x:v>0</x:v>
      </x:c>
      <x:c r="I112" s="10" t="n">
        <x:v>14</x:v>
      </x:c>
      <x:c r="J112" s="10" t="n">
        <x:v>3</x:v>
      </x:c>
      <x:c r="K112" s="10" t="str">
        <x:v>76 Mo.</x:v>
      </x:c>
      <x:c r="L112" s="10" t="n">
        <x:v>5</x:v>
      </x:c>
      <x:c r="M112" s="10" t="n">
        <x:v>0</x:v>
      </x:c>
      <x:c r="N112" s="10" t="n">
        <x:v>70</x:v>
      </x:c>
      <x:c r="O112" s="10" t="str">
        <x:v>Paper &amp; Party Supplies</x:v>
      </x:c>
      <x:c r="P112" s="10" t="n">
        <x:v>90</x:v>
      </x:c>
      <x:c r="Q112" s="10" t="n">
        <x:v>0</x:v>
      </x:c>
      <x:c r="R112" s="13" t="n">
        <x:v>20</x:v>
      </x:c>
      <x:c r="S112" s="10" t="n">
        <x:v>11460</x:v>
      </x:c>
      <x:c r="T112" s="10" t="str">
        <x:v>erin condren,filofax,happy planner,planner,diary,cute,kawaii,planner stickers,journal,stickers,rent,mortgage,house</x:v>
      </x:c>
      <x:c r="U112" s="10" t="str">
        <x:v>erin condren</x:v>
      </x:c>
      <x:c r="V112" s="10" t="str">
        <x:v>filofax</x:v>
      </x:c>
      <x:c r="W112" s="10" t="str">
        <x:v>happy planner</x:v>
      </x:c>
      <x:c r="X112" s="10" t="str">
        <x:v>planner</x:v>
      </x:c>
      <x:c r="Y112" s="10" t="str">
        <x:v>diary</x:v>
      </x:c>
      <x:c r="Z112" s="10" t="str">
        <x:v>cute</x:v>
      </x:c>
      <x:c r="AA112" s="10" t="str">
        <x:v>kawaii</x:v>
      </x:c>
      <x:c r="AB112" s="10" t="str">
        <x:v>planner stickers</x:v>
      </x:c>
      <x:c r="AC112" s="10" t="str">
        <x:v>journal</x:v>
      </x:c>
      <x:c r="AD112" s="10" t="str">
        <x:v>stickers</x:v>
      </x:c>
      <x:c r="AE112" s="10" t="str">
        <x:v>rent</x:v>
      </x:c>
      <x:c r="AF112" s="10" t="str">
        <x:v>mortgage</x:v>
      </x:c>
      <x:c r="AG112" s="10" t="str">
        <x:v>house</x:v>
      </x:c>
      <x:c r="AH112" s="10" t="str">
        <x:v>Other mortgage-related</x:v>
      </x:c>
      <x:c r="AI112" s="13" t="n">
        <x:v>76</x:v>
      </x:c>
      <x:c r="AJ112" s="10" t="str">
        <x:f>IF(F112&gt;0,"Active","No est. sales")</x:f>
        <x:v>No est. sales</x:v>
      </x:c>
    </x:row>
    <x:row r="113">
      <x:c r="A113" s="10" t="str">
        <x:v>Loan Amortization Schedule Excel Template</x:v>
      </x:c>
      <x:c r="B113" s="10" t="str">
        <x:v>https://www.etsy.com/listing/4531100043/loan-amortization-schedule-excel</x:v>
      </x:c>
      <x:c r="C113" s="10" t="str">
        <x:v>CashHeaven</x:v>
      </x:c>
      <x:c r="D113" s="10" t="str">
        <x:v>https://www.etsy.com/shop/CashHeaven</x:v>
      </x:c>
      <x:c r="E113" s="11" t="n">
        <x:v>4.99</x:v>
      </x:c>
      <x:c r="F113" s="10" t="n">
        <x:v>0</x:v>
      </x:c>
      <x:c r="G113" s="12" t="n">
        <x:v>0</x:v>
      </x:c>
      <x:c r="H113" s="13" t="n">
        <x:v>0</x:v>
      </x:c>
      <x:c r="I113" s="10" t="n">
        <x:v>0</x:v>
      </x:c>
      <x:c r="J113" s="10" t="n">
        <x:v>0</x:v>
      </x:c>
      <x:c r="K113" s="10" t="str">
        <x:v>1 Mo.</x:v>
      </x:c>
      <x:c r="L113" s="10" t="n">
        <x:v>0</x:v>
      </x:c>
      <x:c r="M113" s="10" t="n">
        <x:v>0</x:v>
      </x:c>
      <x:c r="N113" s="10" t="n">
        <x:v>0</x:v>
      </x:c>
      <x:c r="O113" s="10" t="str"/>
      <x:c r="P113" s="10" t="n">
        <x:v>65</x:v>
      </x:c>
      <x:c r="Q113" s="10" t="n">
        <x:v>0</x:v>
      </x:c>
      <x:c r="R113" s="13" t="n">
        <x:v>0</x:v>
      </x:c>
      <x:c r="S113" s="10" t="n">
        <x:v>55</x:v>
      </x:c>
      <x:c r="T113" s="10" t="str">
        <x:v>loan amortization,mortgage calculator,loan payoff tracker,extra payment,early payoff,mortgage payoff,debt payoff,biweekly mortgage,excel template,google sheets,loan calculator,mortgage tracker,payoff planner</x:v>
      </x:c>
      <x:c r="U113" s="10" t="str">
        <x:v>loan amortization</x:v>
      </x:c>
      <x:c r="V113" s="10" t="str">
        <x:v>mortgage calculator</x:v>
      </x:c>
      <x:c r="W113" s="10" t="str">
        <x:v>loan payoff tracker</x:v>
      </x:c>
      <x:c r="X113" s="10" t="str">
        <x:v>extra payment</x:v>
      </x:c>
      <x:c r="Y113" s="10" t="str">
        <x:v>early payoff</x:v>
      </x:c>
      <x:c r="Z113" s="10" t="str">
        <x:v>mortgage payoff</x:v>
      </x:c>
      <x:c r="AA113" s="10" t="str">
        <x:v>debt payoff</x:v>
      </x:c>
      <x:c r="AB113" s="10" t="str">
        <x:v>biweekly mortgage</x:v>
      </x:c>
      <x:c r="AC113" s="10" t="str">
        <x:v>excel template</x:v>
      </x:c>
      <x:c r="AD113" s="10" t="str">
        <x:v>google sheets</x:v>
      </x:c>
      <x:c r="AE113" s="10" t="str">
        <x:v>loan calculator</x:v>
      </x:c>
      <x:c r="AF113" s="10" t="str">
        <x:v>mortgage tracker</x:v>
      </x:c>
      <x:c r="AG113" s="10" t="str">
        <x:v>payoff planner</x:v>
      </x:c>
      <x:c r="AH113" s="10" t="str">
        <x:v>General loan calculator</x:v>
      </x:c>
      <x:c r="AI113" s="13" t="n">
        <x:v>1</x:v>
      </x:c>
      <x:c r="AJ113" s="10" t="str">
        <x:f>IF(F113&gt;0,"Active","No est. sales")</x:f>
        <x:v>No est. sales</x:v>
      </x:c>
    </x:row>
    <x:row r="114">
      <x:c r="A114" s="10" t="str">
        <x:v>Debt planner stickers printable icon bills payments mortgage credit card loan reminder Planner  made for Erin Condren any planner HIS084</x:v>
      </x:c>
      <x:c r="B114" s="10" t="str">
        <x:v>https://www.etsy.com/listing/257418176/debt-planner-stickers-printable-icon</x:v>
      </x:c>
      <x:c r="C114" s="10" t="str">
        <x:v>AllAboutPlannersShop</x:v>
      </x:c>
      <x:c r="D114" s="10" t="str">
        <x:v>https://www.etsy.com/shop/AllAboutPlannersShop</x:v>
      </x:c>
      <x:c r="E114" s="11" t="n">
        <x:v>0.97</x:v>
      </x:c>
      <x:c r="F114" s="10" t="n">
        <x:v>0</x:v>
      </x:c>
      <x:c r="G114" s="12" t="n">
        <x:v>0</x:v>
      </x:c>
      <x:c r="H114" s="13" t="n">
        <x:v>0</x:v>
      </x:c>
      <x:c r="I114" s="10" t="n">
        <x:v>0</x:v>
      </x:c>
      <x:c r="J114" s="10" t="n">
        <x:v>0</x:v>
      </x:c>
      <x:c r="K114" s="10" t="str">
        <x:v>128 Mo.</x:v>
      </x:c>
      <x:c r="L114" s="10" t="n">
        <x:v>34</x:v>
      </x:c>
      <x:c r="M114" s="10" t="n">
        <x:v>0</x:v>
      </x:c>
      <x:c r="N114" s="10" t="n">
        <x:v>511</x:v>
      </x:c>
      <x:c r="O114" s="10" t="str">
        <x:v>Paper &amp; Party Supplies</x:v>
      </x:c>
      <x:c r="P114" s="10" t="n">
        <x:v>162</x:v>
      </x:c>
      <x:c r="Q114" s="10" t="n">
        <x:v>0</x:v>
      </x:c>
      <x:c r="R114" s="13" t="n">
        <x:v>0</x:v>
      </x:c>
      <x:c r="S114" s="10" t="n">
        <x:v>34189</x:v>
      </x:c>
      <x:c r="T114" s="10" t="str">
        <x:v>planner,sticker,calendar,rainbow,printable,erin condren,organize,party,celebrate,birthday,anniversary,wedding,plum paper</x:v>
      </x:c>
      <x:c r="U114" s="10" t="str">
        <x:v>planner</x:v>
      </x:c>
      <x:c r="V114" s="10" t="str">
        <x:v>sticker</x:v>
      </x:c>
      <x:c r="W114" s="10" t="str">
        <x:v>calendar</x:v>
      </x:c>
      <x:c r="X114" s="10" t="str">
        <x:v>rainbow</x:v>
      </x:c>
      <x:c r="Y114" s="10" t="str">
        <x:v>printable</x:v>
      </x:c>
      <x:c r="Z114" s="10" t="str">
        <x:v>erin condren</x:v>
      </x:c>
      <x:c r="AA114" s="10" t="str">
        <x:v>organize</x:v>
      </x:c>
      <x:c r="AB114" s="10" t="str">
        <x:v>party</x:v>
      </x:c>
      <x:c r="AC114" s="10" t="str">
        <x:v>celebrate</x:v>
      </x:c>
      <x:c r="AD114" s="10" t="str">
        <x:v>birthday</x:v>
      </x:c>
      <x:c r="AE114" s="10" t="str">
        <x:v>anniversary</x:v>
      </x:c>
      <x:c r="AF114" s="10" t="str">
        <x:v>wedding</x:v>
      </x:c>
      <x:c r="AG114" s="10" t="str">
        <x:v>plum paper</x:v>
      </x:c>
      <x:c r="AH114" s="10" t="str">
        <x:v>Other mortgage-related</x:v>
      </x:c>
      <x:c r="AI114" s="13" t="n">
        <x:v>128</x:v>
      </x:c>
      <x:c r="AJ114" s="10" t="str">
        <x:f>IF(F114&gt;0,"Active","No est. sales")</x:f>
        <x:v>No est. sales</x:v>
      </x:c>
    </x:row>
    <x:row r="115">
      <x:c r="A115" s="10" t="str">
        <x:v>Hobonichi Cousin Date Covers - Planner Stickers, Planner Icons</x:v>
      </x:c>
      <x:c r="B115" s="10" t="str">
        <x:v>https://www.etsy.com/listing/1540876226/hobonichi-cousin-date-covers-planner</x:v>
      </x:c>
      <x:c r="C115" s="10" t="str">
        <x:v>AllycatsShop</x:v>
      </x:c>
      <x:c r="D115" s="10" t="str">
        <x:v>https://www.etsy.com/shop/AllycatsShop</x:v>
      </x:c>
      <x:c r="E115" s="11" t="n">
        <x:v>2.84</x:v>
      </x:c>
      <x:c r="F115" s="10" t="n">
        <x:v>0</x:v>
      </x:c>
      <x:c r="G115" s="12" t="n">
        <x:v>0</x:v>
      </x:c>
      <x:c r="H115" s="13" t="n">
        <x:v>0</x:v>
      </x:c>
      <x:c r="I115" s="10" t="n">
        <x:v>0</x:v>
      </x:c>
      <x:c r="J115" s="10" t="n">
        <x:v>0</x:v>
      </x:c>
      <x:c r="K115" s="10" t="str">
        <x:v>35 Mo.</x:v>
      </x:c>
      <x:c r="L115" s="10" t="n">
        <x:v>9</x:v>
      </x:c>
      <x:c r="M115" s="10" t="n">
        <x:v>0</x:v>
      </x:c>
      <x:c r="N115" s="10" t="n">
        <x:v>296</x:v>
      </x:c>
      <x:c r="O115" s="10" t="str">
        <x:v>Paper &amp; Party Supplies</x:v>
      </x:c>
      <x:c r="P115" s="10" t="n">
        <x:v>160</x:v>
      </x:c>
      <x:c r="Q115" s="10" t="n">
        <x:v>0</x:v>
      </x:c>
      <x:c r="R115" s="13" t="n">
        <x:v>0</x:v>
      </x:c>
      <x:c r="S115" s="10" t="n">
        <x:v>37604</x:v>
      </x:c>
      <x:c r="T115" s="10" t="str">
        <x:v>planner stickers,erin condren sticker,erin condren planner,mambi stickers,plum paper stickers,personal stickers,doodle stickers,meal tracker sticker,icon stickers,house icon,house stickers,mortgage sticker,rent sticker</x:v>
      </x:c>
      <x:c r="U115" s="10" t="str">
        <x:v>planner stickers</x:v>
      </x:c>
      <x:c r="V115" s="10" t="str">
        <x:v>erin condren sticker</x:v>
      </x:c>
      <x:c r="W115" s="10" t="str">
        <x:v>erin condren planner</x:v>
      </x:c>
      <x:c r="X115" s="10" t="str">
        <x:v>mambi stickers</x:v>
      </x:c>
      <x:c r="Y115" s="10" t="str">
        <x:v>plum paper stickers</x:v>
      </x:c>
      <x:c r="Z115" s="10" t="str">
        <x:v>personal stickers</x:v>
      </x:c>
      <x:c r="AA115" s="10" t="str">
        <x:v>doodle stickers</x:v>
      </x:c>
      <x:c r="AB115" s="10" t="str">
        <x:v>meal tracker sticker</x:v>
      </x:c>
      <x:c r="AC115" s="10" t="str">
        <x:v>icon stickers</x:v>
      </x:c>
      <x:c r="AD115" s="10" t="str">
        <x:v>house icon</x:v>
      </x:c>
      <x:c r="AE115" s="10" t="str">
        <x:v>house stickers</x:v>
      </x:c>
      <x:c r="AF115" s="10" t="str">
        <x:v>mortgage sticker</x:v>
      </x:c>
      <x:c r="AG115" s="10" t="str">
        <x:v>rent sticker</x:v>
      </x:c>
      <x:c r="AH115" s="10" t="str">
        <x:v>Other mortgage-related</x:v>
      </x:c>
      <x:c r="AI115" s="13" t="n">
        <x:v>35</x:v>
      </x:c>
      <x:c r="AJ115" s="10" t="str">
        <x:f>IF(F115&gt;0,"Active","No est. sales")</x:f>
        <x:v>No est. sales</x:v>
      </x:c>
    </x:row>
    <x:row r="116">
      <x:c r="A116" s="10" t="str">
        <x:v>Movie Night Stickers - Planner Stickers</x:v>
      </x:c>
      <x:c r="B116" s="10" t="str">
        <x:v>https://www.etsy.com/listing/613412003/movie-night-stickers-planner-stickers</x:v>
      </x:c>
      <x:c r="C116" s="10" t="str">
        <x:v>AllycatsShop</x:v>
      </x:c>
      <x:c r="D116" s="10" t="str">
        <x:v>https://www.etsy.com/shop/AllycatsShop</x:v>
      </x:c>
      <x:c r="E116" s="11" t="n">
        <x:v>2.84</x:v>
      </x:c>
      <x:c r="F116" s="10" t="n">
        <x:v>0</x:v>
      </x:c>
      <x:c r="G116" s="12" t="n">
        <x:v>0</x:v>
      </x:c>
      <x:c r="H116" s="13" t="n">
        <x:v>0</x:v>
      </x:c>
      <x:c r="I116" s="10" t="n">
        <x:v>24</x:v>
      </x:c>
      <x:c r="J116" s="10" t="n">
        <x:v>5</x:v>
      </x:c>
      <x:c r="K116" s="10" t="str">
        <x:v>98 Mo.</x:v>
      </x:c>
      <x:c r="L116" s="10" t="n">
        <x:v>37</x:v>
      </x:c>
      <x:c r="M116" s="10" t="n">
        <x:v>0</x:v>
      </x:c>
      <x:c r="N116" s="10" t="n">
        <x:v>477</x:v>
      </x:c>
      <x:c r="O116" s="10" t="str">
        <x:v>Craft Supplies &amp; Tools</x:v>
      </x:c>
      <x:c r="P116" s="10" t="n">
        <x:v>160</x:v>
      </x:c>
      <x:c r="Q116" s="10" t="n">
        <x:v>0</x:v>
      </x:c>
      <x:c r="R116" s="13" t="n">
        <x:v>5.03</x:v>
      </x:c>
      <x:c r="S116" s="10" t="n">
        <x:v>37604</x:v>
      </x:c>
      <x:c r="T116" s="10" t="str">
        <x:v>erin condren,life planner,planner stickers,stickers,rainbow,mambi,plum paper,mortgage due,movie night,date night,movies,movie slate,theatre stickers</x:v>
      </x:c>
      <x:c r="U116" s="10" t="str">
        <x:v>erin condren</x:v>
      </x:c>
      <x:c r="V116" s="10" t="str">
        <x:v>life planner</x:v>
      </x:c>
      <x:c r="W116" s="10" t="str">
        <x:v>planner stickers</x:v>
      </x:c>
      <x:c r="X116" s="10" t="str">
        <x:v>stickers</x:v>
      </x:c>
      <x:c r="Y116" s="10" t="str">
        <x:v>rainbow</x:v>
      </x:c>
      <x:c r="Z116" s="10" t="str">
        <x:v>mambi</x:v>
      </x:c>
      <x:c r="AA116" s="10" t="str">
        <x:v>plum paper</x:v>
      </x:c>
      <x:c r="AB116" s="10" t="str">
        <x:v>mortgage due</x:v>
      </x:c>
      <x:c r="AC116" s="10" t="str">
        <x:v>movie night</x:v>
      </x:c>
      <x:c r="AD116" s="10" t="str">
        <x:v>date night</x:v>
      </x:c>
      <x:c r="AE116" s="10" t="str">
        <x:v>movies</x:v>
      </x:c>
      <x:c r="AF116" s="10" t="str">
        <x:v>movie slate</x:v>
      </x:c>
      <x:c r="AG116" s="10" t="str">
        <x:v>theatre stickers</x:v>
      </x:c>
      <x:c r="AH116" s="10" t="str">
        <x:v>Other mortgage-related</x:v>
      </x:c>
      <x:c r="AI116" s="13" t="n">
        <x:v>98</x:v>
      </x:c>
      <x:c r="AJ116" s="10" t="str">
        <x:f>IF(F116&gt;0,"Active","No est. sales")</x:f>
        <x:v>No est. sales</x:v>
      </x:c>
    </x:row>
    <x:row r="117">
      <x:c r="A117" s="10" t="str">
        <x:v>Debt Snowball Spreadsheet Calculator, Debt Repayment Planner, Loan Amortization Tracker, Google Sheets Template, Financial Freedom FIRE Tool</x:v>
      </x:c>
      <x:c r="B117" s="10" t="str">
        <x:v>https://www.etsy.com/listing/1092142507/debt-snowball-spreadsheet-calculator</x:v>
      </x:c>
      <x:c r="C117" s="10" t="str">
        <x:v>OrderlyCore</x:v>
      </x:c>
      <x:c r="D117" s="10" t="str">
        <x:v>https://www.etsy.com/shop/OrderlyCore</x:v>
      </x:c>
      <x:c r="E117" s="11" t="n">
        <x:v>4.99</x:v>
      </x:c>
      <x:c r="F117" s="10" t="n">
        <x:v>0</x:v>
      </x:c>
      <x:c r="G117" s="12" t="n">
        <x:v>0</x:v>
      </x:c>
      <x:c r="H117" s="13" t="n">
        <x:v>0</x:v>
      </x:c>
      <x:c r="I117" s="10" t="n">
        <x:v>7</x:v>
      </x:c>
      <x:c r="J117" s="10" t="n">
        <x:v>2</x:v>
      </x:c>
      <x:c r="K117" s="10" t="str">
        <x:v>58 Mo.</x:v>
      </x:c>
      <x:c r="L117" s="10" t="n">
        <x:v>10</x:v>
      </x:c>
      <x:c r="M117" s="10" t="n">
        <x:v>0</x:v>
      </x:c>
      <x:c r="N117" s="10" t="n">
        <x:v>249</x:v>
      </x:c>
      <x:c r="O117" s="10" t="str">
        <x:v>Paper &amp; Party Supplies</x:v>
      </x:c>
      <x:c r="P117" s="10" t="n">
        <x:v>63</x:v>
      </x:c>
      <x:c r="Q117" s="10" t="n">
        <x:v>0</x:v>
      </x:c>
      <x:c r="R117" s="13" t="n">
        <x:v>2.81</x:v>
      </x:c>
      <x:c r="S117" s="10" t="n">
        <x:v>492</x:v>
      </x:c>
      <x:c r="T117" s="10" t="str">
        <x:v>debt snowball payoff,snowball spreadsheet,spread sheet payment,sheet calculator log,debt repayment lease,repayment planner fi,loan amortization re,amortization tracker,google sheets purple,template credit card,financial freedom,progress tool report,dave ramsey mortgage</x:v>
      </x:c>
      <x:c r="U117" s="10" t="str">
        <x:v>debt snowball payoff</x:v>
      </x:c>
      <x:c r="V117" s="10" t="str">
        <x:v>snowball spreadsheet</x:v>
      </x:c>
      <x:c r="W117" s="10" t="str">
        <x:v>spread sheet payment</x:v>
      </x:c>
      <x:c r="X117" s="10" t="str">
        <x:v>sheet calculator log</x:v>
      </x:c>
      <x:c r="Y117" s="10" t="str">
        <x:v>debt repayment lease</x:v>
      </x:c>
      <x:c r="Z117" s="10" t="str">
        <x:v>repayment planner fi</x:v>
      </x:c>
      <x:c r="AA117" s="10" t="str">
        <x:v>loan amortization re</x:v>
      </x:c>
      <x:c r="AB117" s="10" t="str">
        <x:v>amortization tracker</x:v>
      </x:c>
      <x:c r="AC117" s="10" t="str">
        <x:v>google sheets purple</x:v>
      </x:c>
      <x:c r="AD117" s="10" t="str">
        <x:v>template credit card</x:v>
      </x:c>
      <x:c r="AE117" s="10" t="str">
        <x:v>financial freedom</x:v>
      </x:c>
      <x:c r="AF117" s="10" t="str">
        <x:v>progress tool report</x:v>
      </x:c>
      <x:c r="AG117" s="10" t="str">
        <x:v>dave ramsey mortgage</x:v>
      </x:c>
      <x:c r="AH117" s="10" t="str">
        <x:v>General debt payoff</x:v>
      </x:c>
      <x:c r="AI117" s="13" t="n">
        <x:v>58</x:v>
      </x:c>
      <x:c r="AJ117" s="10" t="str">
        <x:f>IF(F117&gt;0,"Active","No est. sales")</x:f>
        <x:v>No est. sales</x:v>
      </x:c>
    </x:row>
    <x:row r="118">
      <x:c r="A118" s="10" t="str">
        <x:v>2425-2~~ House Payment Due Planner Stickers.</x:v>
      </x:c>
      <x:c r="B118" s="10" t="str">
        <x:v>https://www.etsy.com/listing/1865298992/2425-2-house-payment-due-planner</x:v>
      </x:c>
      <x:c r="C118" s="10" t="str">
        <x:v>PlanToPlan</x:v>
      </x:c>
      <x:c r="D118" s="10" t="str">
        <x:v>https://www.etsy.com/shop/PlanToPlan</x:v>
      </x:c>
      <x:c r="E118" s="11" t="n">
        <x:v>3.25</x:v>
      </x:c>
      <x:c r="F118" s="10" t="n">
        <x:v>0</x:v>
      </x:c>
      <x:c r="G118" s="12" t="n">
        <x:v>0</x:v>
      </x:c>
      <x:c r="H118" s="13" t="n">
        <x:v>0</x:v>
      </x:c>
      <x:c r="I118" s="10" t="n">
        <x:v>10</x:v>
      </x:c>
      <x:c r="J118" s="10" t="n">
        <x:v>2</x:v>
      </x:c>
      <x:c r="K118" s="10" t="str">
        <x:v>17 Mo.</x:v>
      </x:c>
      <x:c r="L118" s="10" t="n">
        <x:v>31</x:v>
      </x:c>
      <x:c r="M118" s="10" t="n">
        <x:v>0</x:v>
      </x:c>
      <x:c r="N118" s="10" t="n">
        <x:v>107</x:v>
      </x:c>
      <x:c r="O118" s="10" t="str">
        <x:v>Paper &amp; Party Supplies</x:v>
      </x:c>
      <x:c r="P118" s="10" t="n">
        <x:v>126</x:v>
      </x:c>
      <x:c r="Q118" s="10" t="n">
        <x:v>0</x:v>
      </x:c>
      <x:c r="R118" s="13" t="n">
        <x:v>9.35</x:v>
      </x:c>
      <x:c r="S118" s="10" t="n">
        <x:v>319985</x:v>
      </x:c>
      <x:c r="T118" s="10" t="str">
        <x:v>planner stickers,calendar stickers,plan to plan,icon stickers,bujo stickers,bullet journal,multi color icons,reminder stickers,house stickers,rent due stickers,mortgage stickers,hoa fee stickers,erin condren</x:v>
      </x:c>
      <x:c r="U118" s="10" t="str">
        <x:v>planner stickers</x:v>
      </x:c>
      <x:c r="V118" s="10" t="str">
        <x:v>calendar stickers</x:v>
      </x:c>
      <x:c r="W118" s="10" t="str">
        <x:v>plan to plan</x:v>
      </x:c>
      <x:c r="X118" s="10" t="str">
        <x:v>icon stickers</x:v>
      </x:c>
      <x:c r="Y118" s="10" t="str">
        <x:v>bujo stickers</x:v>
      </x:c>
      <x:c r="Z118" s="10" t="str">
        <x:v>bullet journal</x:v>
      </x:c>
      <x:c r="AA118" s="10" t="str">
        <x:v>multi color icons</x:v>
      </x:c>
      <x:c r="AB118" s="10" t="str">
        <x:v>reminder stickers</x:v>
      </x:c>
      <x:c r="AC118" s="10" t="str">
        <x:v>house stickers</x:v>
      </x:c>
      <x:c r="AD118" s="10" t="str">
        <x:v>rent due stickers</x:v>
      </x:c>
      <x:c r="AE118" s="10" t="str">
        <x:v>mortgage stickers</x:v>
      </x:c>
      <x:c r="AF118" s="10" t="str">
        <x:v>hoa fee stickers</x:v>
      </x:c>
      <x:c r="AG118" s="10" t="str">
        <x:v>erin condren</x:v>
      </x:c>
      <x:c r="AH118" s="10" t="str">
        <x:v>Other mortgage-related</x:v>
      </x:c>
      <x:c r="AI118" s="13" t="n">
        <x:v>17</x:v>
      </x:c>
      <x:c r="AJ118" s="10" t="str">
        <x:f>IF(F118&gt;0,"Active","No est. sales")</x:f>
        <x:v>No est. sales</x:v>
      </x:c>
    </x:row>
    <x:row r="119">
      <x:c r="A119" s="10" t="str">
        <x:v>2532-4~~Rent Due Boxes Planner Stickers.</x:v>
      </x:c>
      <x:c r="B119" s="10" t="str">
        <x:v>https://www.etsy.com/listing/1426036970/2532-4rent-due-boxes-planner-stickers</x:v>
      </x:c>
      <x:c r="C119" s="10" t="str">
        <x:v>PlanToPlan</x:v>
      </x:c>
      <x:c r="D119" s="10" t="str">
        <x:v>https://www.etsy.com/shop/PlanToPlan</x:v>
      </x:c>
      <x:c r="E119" s="11" t="n">
        <x:v>3.25</x:v>
      </x:c>
      <x:c r="F119" s="10" t="n">
        <x:v>0</x:v>
      </x:c>
      <x:c r="G119" s="12" t="n">
        <x:v>0</x:v>
      </x:c>
      <x:c r="H119" s="13" t="n">
        <x:v>0</x:v>
      </x:c>
      <x:c r="I119" s="10" t="n">
        <x:v>5</x:v>
      </x:c>
      <x:c r="J119" s="10" t="n">
        <x:v>1</x:v>
      </x:c>
      <x:c r="K119" s="10" t="str">
        <x:v>40 Mo.</x:v>
      </x:c>
      <x:c r="L119" s="10" t="n">
        <x:v>27</x:v>
      </x:c>
      <x:c r="M119" s="10" t="n">
        <x:v>0</x:v>
      </x:c>
      <x:c r="N119" s="10" t="n">
        <x:v>109</x:v>
      </x:c>
      <x:c r="O119" s="10" t="str">
        <x:v>Paper &amp; Party Supplies</x:v>
      </x:c>
      <x:c r="P119" s="10" t="n">
        <x:v>126</x:v>
      </x:c>
      <x:c r="Q119" s="10" t="n">
        <x:v>0</x:v>
      </x:c>
      <x:c r="R119" s="13" t="n">
        <x:v>4.59</x:v>
      </x:c>
      <x:c r="S119" s="10" t="n">
        <x:v>319985</x:v>
      </x:c>
      <x:c r="T119" s="10" t="str">
        <x:v>planner stickers,reminder stickers,appointment stickers,tracker stickers,functional stickers,plantoplan,bill due stickers,quarter boxes,to do stickers,mortgage stickers,rent due stickers,erin condren,hobonichi stickers</x:v>
      </x:c>
      <x:c r="U119" s="10" t="str">
        <x:v>planner stickers</x:v>
      </x:c>
      <x:c r="V119" s="10" t="str">
        <x:v>reminder stickers</x:v>
      </x:c>
      <x:c r="W119" s="10" t="str">
        <x:v>appointment stickers</x:v>
      </x:c>
      <x:c r="X119" s="10" t="str">
        <x:v>tracker stickers</x:v>
      </x:c>
      <x:c r="Y119" s="10" t="str">
        <x:v>functional stickers</x:v>
      </x:c>
      <x:c r="Z119" s="10" t="str">
        <x:v>plantoplan</x:v>
      </x:c>
      <x:c r="AA119" s="10" t="str">
        <x:v>bill due stickers</x:v>
      </x:c>
      <x:c r="AB119" s="10" t="str">
        <x:v>quarter boxes</x:v>
      </x:c>
      <x:c r="AC119" s="10" t="str">
        <x:v>to do stickers</x:v>
      </x:c>
      <x:c r="AD119" s="10" t="str">
        <x:v>mortgage stickers</x:v>
      </x:c>
      <x:c r="AE119" s="10" t="str">
        <x:v>rent due stickers</x:v>
      </x:c>
      <x:c r="AF119" s="10" t="str">
        <x:v>erin condren</x:v>
      </x:c>
      <x:c r="AG119" s="10" t="str">
        <x:v>hobonichi stickers</x:v>
      </x:c>
      <x:c r="AH119" s="10" t="str">
        <x:v>Other mortgage-related</x:v>
      </x:c>
      <x:c r="AI119" s="13" t="n">
        <x:v>40</x:v>
      </x:c>
      <x:c r="AJ119" s="10" t="str">
        <x:f>IF(F119&gt;0,"Active","No est. sales")</x:f>
        <x:v>No est. sales</x:v>
      </x:c>
    </x:row>
    <x:row r="120">
      <x:c r="A120" s="10" t="str">
        <x:v>2559-7~~Rent Boxes Planner Stickers.</x:v>
      </x:c>
      <x:c r="B120" s="10" t="str">
        <x:v>https://www.etsy.com/listing/1601810681/2559-7rent-boxes-planner-stickers</x:v>
      </x:c>
      <x:c r="C120" s="10" t="str">
        <x:v>PlanToPlan</x:v>
      </x:c>
      <x:c r="D120" s="10" t="str">
        <x:v>https://www.etsy.com/shop/PlanToPlan</x:v>
      </x:c>
      <x:c r="E120" s="11" t="n">
        <x:v>3.25</x:v>
      </x:c>
      <x:c r="F120" s="10" t="n">
        <x:v>0</x:v>
      </x:c>
      <x:c r="G120" s="12" t="n">
        <x:v>0</x:v>
      </x:c>
      <x:c r="H120" s="13" t="n">
        <x:v>0</x:v>
      </x:c>
      <x:c r="I120" s="10" t="n">
        <x:v>0</x:v>
      </x:c>
      <x:c r="J120" s="10" t="n">
        <x:v>0</x:v>
      </x:c>
      <x:c r="K120" s="10" t="str">
        <x:v>32 Mo.</x:v>
      </x:c>
      <x:c r="L120" s="10" t="n">
        <x:v>28</x:v>
      </x:c>
      <x:c r="M120" s="10" t="n">
        <x:v>0</x:v>
      </x:c>
      <x:c r="N120" s="10" t="n">
        <x:v>88</x:v>
      </x:c>
      <x:c r="O120" s="10" t="str">
        <x:v>Paper &amp; Party Supplies</x:v>
      </x:c>
      <x:c r="P120" s="10" t="n">
        <x:v>126</x:v>
      </x:c>
      <x:c r="Q120" s="10" t="n">
        <x:v>0</x:v>
      </x:c>
      <x:c r="R120" s="13" t="n">
        <x:v>0</x:v>
      </x:c>
      <x:c r="S120" s="10" t="n">
        <x:v>319985</x:v>
      </x:c>
      <x:c r="T120" s="10" t="str">
        <x:v>planner stickers,plan to plan,icon stickers,plantoplan,reminder stickers,to do stickers,task trackers,bill due stickers,bill stickers,car payment stickers,budget stickers,mortgage stickers,rent stickers</x:v>
      </x:c>
      <x:c r="U120" s="10" t="str">
        <x:v>planner stickers</x:v>
      </x:c>
      <x:c r="V120" s="10" t="str">
        <x:v>plan to plan</x:v>
      </x:c>
      <x:c r="W120" s="10" t="str">
        <x:v>icon stickers</x:v>
      </x:c>
      <x:c r="X120" s="10" t="str">
        <x:v>plantoplan</x:v>
      </x:c>
      <x:c r="Y120" s="10" t="str">
        <x:v>reminder stickers</x:v>
      </x:c>
      <x:c r="Z120" s="10" t="str">
        <x:v>to do stickers</x:v>
      </x:c>
      <x:c r="AA120" s="10" t="str">
        <x:v>task trackers</x:v>
      </x:c>
      <x:c r="AB120" s="10" t="str">
        <x:v>bill due stickers</x:v>
      </x:c>
      <x:c r="AC120" s="10" t="str">
        <x:v>bill stickers</x:v>
      </x:c>
      <x:c r="AD120" s="10" t="str">
        <x:v>car payment stickers</x:v>
      </x:c>
      <x:c r="AE120" s="10" t="str">
        <x:v>budget stickers</x:v>
      </x:c>
      <x:c r="AF120" s="10" t="str">
        <x:v>mortgage stickers</x:v>
      </x:c>
      <x:c r="AG120" s="10" t="str">
        <x:v>rent stickers</x:v>
      </x:c>
      <x:c r="AH120" s="10" t="str">
        <x:v>Other mortgage-related</x:v>
      </x:c>
      <x:c r="AI120" s="13" t="n">
        <x:v>32</x:v>
      </x:c>
      <x:c r="AJ120" s="10" t="str">
        <x:f>IF(F120&gt;0,"Active","No est. sales")</x:f>
        <x:v>No est. sales</x:v>
      </x:c>
    </x:row>
    <x:row r="121">
      <x:c r="A121" s="10" t="str">
        <x:v>2745-21~~Credit Card Bill Due Planner Stickers.</x:v>
      </x:c>
      <x:c r="B121" s="10" t="str">
        <x:v>https://www.etsy.com/listing/1736598422/2745-21credit-card-bill-due-planner</x:v>
      </x:c>
      <x:c r="C121" s="10" t="str">
        <x:v>PlanToPlan</x:v>
      </x:c>
      <x:c r="D121" s="10" t="str">
        <x:v>https://www.etsy.com/shop/PlanToPlan</x:v>
      </x:c>
      <x:c r="E121" s="11" t="n">
        <x:v>3.25</x:v>
      </x:c>
      <x:c r="F121" s="10" t="n">
        <x:v>0</x:v>
      </x:c>
      <x:c r="G121" s="12" t="n">
        <x:v>0</x:v>
      </x:c>
      <x:c r="H121" s="13" t="n">
        <x:v>0</x:v>
      </x:c>
      <x:c r="I121" s="10" t="n">
        <x:v>10</x:v>
      </x:c>
      <x:c r="J121" s="10" t="n">
        <x:v>2</x:v>
      </x:c>
      <x:c r="K121" s="10" t="str">
        <x:v>25 Mo.</x:v>
      </x:c>
      <x:c r="L121" s="10" t="n">
        <x:v>28</x:v>
      </x:c>
      <x:c r="M121" s="10" t="n">
        <x:v>0</x:v>
      </x:c>
      <x:c r="N121" s="10" t="n">
        <x:v>108</x:v>
      </x:c>
      <x:c r="O121" s="10" t="str">
        <x:v>Paper &amp; Party Supplies</x:v>
      </x:c>
      <x:c r="P121" s="10" t="n">
        <x:v>126</x:v>
      </x:c>
      <x:c r="Q121" s="10" t="n">
        <x:v>0</x:v>
      </x:c>
      <x:c r="R121" s="13" t="n">
        <x:v>9.26</x:v>
      </x:c>
      <x:c r="S121" s="10" t="n">
        <x:v>319985</x:v>
      </x:c>
      <x:c r="T121" s="10" t="str">
        <x:v>planner stickers,reminder stickers,appointment stickers,tracker stickers,functional stickers,plantoplan,bill due stickers,cellphone stickers,cable bill stickers,electric bill,mortgage stickers,credit card bill due,credit card stickers</x:v>
      </x:c>
      <x:c r="U121" s="10" t="str">
        <x:v>planner stickers</x:v>
      </x:c>
      <x:c r="V121" s="10" t="str">
        <x:v>reminder stickers</x:v>
      </x:c>
      <x:c r="W121" s="10" t="str">
        <x:v>appointment stickers</x:v>
      </x:c>
      <x:c r="X121" s="10" t="str">
        <x:v>tracker stickers</x:v>
      </x:c>
      <x:c r="Y121" s="10" t="str">
        <x:v>functional stickers</x:v>
      </x:c>
      <x:c r="Z121" s="10" t="str">
        <x:v>plantoplan</x:v>
      </x:c>
      <x:c r="AA121" s="10" t="str">
        <x:v>bill due stickers</x:v>
      </x:c>
      <x:c r="AB121" s="10" t="str">
        <x:v>cellphone stickers</x:v>
      </x:c>
      <x:c r="AC121" s="10" t="str">
        <x:v>cable bill stickers</x:v>
      </x:c>
      <x:c r="AD121" s="10" t="str">
        <x:v>electric bill</x:v>
      </x:c>
      <x:c r="AE121" s="10" t="str">
        <x:v>mortgage stickers</x:v>
      </x:c>
      <x:c r="AF121" s="10" t="str">
        <x:v>credit card bill due</x:v>
      </x:c>
      <x:c r="AG121" s="10" t="str">
        <x:v>credit card stickers</x:v>
      </x:c>
      <x:c r="AH121" s="10" t="str">
        <x:v>Other mortgage-related</x:v>
      </x:c>
      <x:c r="AI121" s="13" t="n">
        <x:v>25</x:v>
      </x:c>
      <x:c r="AJ121" s="10" t="str">
        <x:f>IF(F121&gt;0,"Active","No est. sales")</x:f>
        <x:v>No est. sales</x:v>
      </x:c>
    </x:row>
    <x:row r="122">
      <x:c r="A122" s="10" t="str">
        <x:v>2425-1~~HOA Fee Due Planner Stickers.</x:v>
      </x:c>
      <x:c r="B122" s="10" t="str">
        <x:v>https://www.etsy.com/listing/1879487351/2425-1hoa-fee-due-planner-stickers</x:v>
      </x:c>
      <x:c r="C122" s="10" t="str">
        <x:v>PlanToPlan</x:v>
      </x:c>
      <x:c r="D122" s="10" t="str">
        <x:v>https://www.etsy.com/shop/PlanToPlan</x:v>
      </x:c>
      <x:c r="E122" s="11" t="n">
        <x:v>3.25</x:v>
      </x:c>
      <x:c r="F122" s="10" t="n">
        <x:v>0</x:v>
      </x:c>
      <x:c r="G122" s="12" t="n">
        <x:v>0</x:v>
      </x:c>
      <x:c r="H122" s="13" t="n">
        <x:v>0</x:v>
      </x:c>
      <x:c r="I122" s="10" t="n">
        <x:v>26</x:v>
      </x:c>
      <x:c r="J122" s="10" t="n">
        <x:v>5</x:v>
      </x:c>
      <x:c r="K122" s="10" t="str">
        <x:v>17 Mo.</x:v>
      </x:c>
      <x:c r="L122" s="10" t="n">
        <x:v>30</x:v>
      </x:c>
      <x:c r="M122" s="10" t="n">
        <x:v>0</x:v>
      </x:c>
      <x:c r="N122" s="10" t="n">
        <x:v>153</x:v>
      </x:c>
      <x:c r="O122" s="10" t="str">
        <x:v>Paper &amp; Party Supplies</x:v>
      </x:c>
      <x:c r="P122" s="10" t="n">
        <x:v>126</x:v>
      </x:c>
      <x:c r="Q122" s="10" t="n">
        <x:v>0</x:v>
      </x:c>
      <x:c r="R122" s="13" t="n">
        <x:v>16.99</x:v>
      </x:c>
      <x:c r="S122" s="10" t="n">
        <x:v>319985</x:v>
      </x:c>
      <x:c r="T122" s="10" t="str">
        <x:v>planner stickers,calendar stickers,plan to plan,icon stickers,bujo stickers,bullet journal,multi color icons,reminder stickers,house stickers,rent due stickers,mortgage stickers,hoa fee stickers,erin condren</x:v>
      </x:c>
      <x:c r="U122" s="10" t="str">
        <x:v>planner stickers</x:v>
      </x:c>
      <x:c r="V122" s="10" t="str">
        <x:v>calendar stickers</x:v>
      </x:c>
      <x:c r="W122" s="10" t="str">
        <x:v>plan to plan</x:v>
      </x:c>
      <x:c r="X122" s="10" t="str">
        <x:v>icon stickers</x:v>
      </x:c>
      <x:c r="Y122" s="10" t="str">
        <x:v>bujo stickers</x:v>
      </x:c>
      <x:c r="Z122" s="10" t="str">
        <x:v>bullet journal</x:v>
      </x:c>
      <x:c r="AA122" s="10" t="str">
        <x:v>multi color icons</x:v>
      </x:c>
      <x:c r="AB122" s="10" t="str">
        <x:v>reminder stickers</x:v>
      </x:c>
      <x:c r="AC122" s="10" t="str">
        <x:v>house stickers</x:v>
      </x:c>
      <x:c r="AD122" s="10" t="str">
        <x:v>rent due stickers</x:v>
      </x:c>
      <x:c r="AE122" s="10" t="str">
        <x:v>mortgage stickers</x:v>
      </x:c>
      <x:c r="AF122" s="10" t="str">
        <x:v>hoa fee stickers</x:v>
      </x:c>
      <x:c r="AG122" s="10" t="str">
        <x:v>erin condren</x:v>
      </x:c>
      <x:c r="AH122" s="10" t="str">
        <x:v>Other mortgage-related</x:v>
      </x:c>
      <x:c r="AI122" s="13" t="n">
        <x:v>17</x:v>
      </x:c>
      <x:c r="AJ122" s="10" t="str">
        <x:f>IF(F122&gt;0,"Active","No est. sales")</x:f>
        <x:v>No est. sales</x:v>
      </x:c>
    </x:row>
    <x:row r="123">
      <x:c r="A123" s="10" t="str">
        <x:v>1868-15~~Mortgage Due Boxes Planner Stickers.</x:v>
      </x:c>
      <x:c r="B123" s="10" t="str">
        <x:v>https://www.etsy.com/listing/1052829446/1868-15mortgage-due-boxes-planner</x:v>
      </x:c>
      <x:c r="C123" s="10" t="str">
        <x:v>PlanToPlan</x:v>
      </x:c>
      <x:c r="D123" s="10" t="str">
        <x:v>https://www.etsy.com/shop/PlanToPlan</x:v>
      </x:c>
      <x:c r="E123" s="11" t="n">
        <x:v>3.25</x:v>
      </x:c>
      <x:c r="F123" s="10" t="n">
        <x:v>0</x:v>
      </x:c>
      <x:c r="G123" s="12" t="n">
        <x:v>0</x:v>
      </x:c>
      <x:c r="H123" s="13" t="n">
        <x:v>0</x:v>
      </x:c>
      <x:c r="I123" s="10" t="n">
        <x:v>37</x:v>
      </x:c>
      <x:c r="J123" s="10" t="n">
        <x:v>7</x:v>
      </x:c>
      <x:c r="K123" s="10" t="str">
        <x:v>59 Mo.</x:v>
      </x:c>
      <x:c r="L123" s="10" t="n">
        <x:v>36</x:v>
      </x:c>
      <x:c r="M123" s="10" t="n">
        <x:v>0</x:v>
      </x:c>
      <x:c r="N123" s="10" t="n">
        <x:v>339</x:v>
      </x:c>
      <x:c r="O123" s="10" t="str">
        <x:v>Paper &amp; Party Supplies</x:v>
      </x:c>
      <x:c r="P123" s="10" t="n">
        <x:v>126</x:v>
      </x:c>
      <x:c r="Q123" s="10" t="n">
        <x:v>0</x:v>
      </x:c>
      <x:c r="R123" s="13" t="n">
        <x:v>10.91</x:v>
      </x:c>
      <x:c r="S123" s="10" t="n">
        <x:v>319985</x:v>
      </x:c>
      <x:c r="T123" s="10" t="str">
        <x:v>planner stickers,reminder stickers,appointment stickers,tracker stickers,functional stickers,plantoplan,bill due stickers,quarter boxes,to do stickers,mortgage stickers,rent due stickers,erin condren,hobonichi stickers</x:v>
      </x:c>
      <x:c r="U123" s="10" t="str">
        <x:v>planner stickers</x:v>
      </x:c>
      <x:c r="V123" s="10" t="str">
        <x:v>reminder stickers</x:v>
      </x:c>
      <x:c r="W123" s="10" t="str">
        <x:v>appointment stickers</x:v>
      </x:c>
      <x:c r="X123" s="10" t="str">
        <x:v>tracker stickers</x:v>
      </x:c>
      <x:c r="Y123" s="10" t="str">
        <x:v>functional stickers</x:v>
      </x:c>
      <x:c r="Z123" s="10" t="str">
        <x:v>plantoplan</x:v>
      </x:c>
      <x:c r="AA123" s="10" t="str">
        <x:v>bill due stickers</x:v>
      </x:c>
      <x:c r="AB123" s="10" t="str">
        <x:v>quarter boxes</x:v>
      </x:c>
      <x:c r="AC123" s="10" t="str">
        <x:v>to do stickers</x:v>
      </x:c>
      <x:c r="AD123" s="10" t="str">
        <x:v>mortgage stickers</x:v>
      </x:c>
      <x:c r="AE123" s="10" t="str">
        <x:v>rent due stickers</x:v>
      </x:c>
      <x:c r="AF123" s="10" t="str">
        <x:v>erin condren</x:v>
      </x:c>
      <x:c r="AG123" s="10" t="str">
        <x:v>hobonichi stickers</x:v>
      </x:c>
      <x:c r="AH123" s="10" t="str">
        <x:v>Other mortgage-related</x:v>
      </x:c>
      <x:c r="AI123" s="13" t="n">
        <x:v>59</x:v>
      </x:c>
      <x:c r="AJ123" s="10" t="str">
        <x:f>IF(F123&gt;0,"Active","No est. sales")</x:f>
        <x:v>No est. sales</x:v>
      </x:c>
    </x:row>
    <x:row r="124">
      <x:c r="A124" s="10" t="str">
        <x:v>Loan Account Info Tracker Printable: Loan account list and details record log (Digital Download &amp; Fillable PDF)</x:v>
      </x:c>
      <x:c r="B124" s="10" t="str">
        <x:v>https://www.etsy.com/listing/1770912222/loan-account-info-tracker-printable-loan</x:v>
      </x:c>
      <x:c r="C124" s="10" t="str">
        <x:v>PrioritizedLiving</x:v>
      </x:c>
      <x:c r="D124" s="10" t="str">
        <x:v>https://www.etsy.com/shop/PrioritizedLiving</x:v>
      </x:c>
      <x:c r="E124" s="11" t="n">
        <x:v>2.47</x:v>
      </x:c>
      <x:c r="F124" s="10" t="n">
        <x:v>0</x:v>
      </x:c>
      <x:c r="G124" s="12" t="n">
        <x:v>0</x:v>
      </x:c>
      <x:c r="H124" s="13" t="n">
        <x:v>0</x:v>
      </x:c>
      <x:c r="I124" s="10" t="n">
        <x:v>0</x:v>
      </x:c>
      <x:c r="J124" s="10" t="n">
        <x:v>0</x:v>
      </x:c>
      <x:c r="K124" s="10" t="str">
        <x:v>23 Mo.</x:v>
      </x:c>
      <x:c r="L124" s="10" t="n">
        <x:v>1</x:v>
      </x:c>
      <x:c r="M124" s="10" t="n">
        <x:v>0</x:v>
      </x:c>
      <x:c r="N124" s="10" t="n">
        <x:v>57</x:v>
      </x:c>
      <x:c r="O124" s="10" t="str">
        <x:v>Paper &amp; Party Supplies</x:v>
      </x:c>
      <x:c r="P124" s="10" t="n">
        <x:v>68</x:v>
      </x:c>
      <x:c r="Q124" s="10" t="n">
        <x:v>0</x:v>
      </x:c>
      <x:c r="R124" s="13" t="n">
        <x:v>0</x:v>
      </x:c>
      <x:c r="S124" s="10" t="n">
        <x:v>155</x:v>
      </x:c>
      <x:c r="T124" s="10" t="str">
        <x:v>financial planner,financial tracker,money management,finance organizer,money planner,financial printable,money printable,account log,account information,loan tracker,mortgage tracker,student loan tracker,debt tracker</x:v>
      </x:c>
      <x:c r="U124" s="10" t="str">
        <x:v>financial planner</x:v>
      </x:c>
      <x:c r="V124" s="10" t="str">
        <x:v>financial tracker</x:v>
      </x:c>
      <x:c r="W124" s="10" t="str">
        <x:v>money management</x:v>
      </x:c>
      <x:c r="X124" s="10" t="str">
        <x:v>finance organizer</x:v>
      </x:c>
      <x:c r="Y124" s="10" t="str">
        <x:v>money planner</x:v>
      </x:c>
      <x:c r="Z124" s="10" t="str">
        <x:v>financial printable</x:v>
      </x:c>
      <x:c r="AA124" s="10" t="str">
        <x:v>money printable</x:v>
      </x:c>
      <x:c r="AB124" s="10" t="str">
        <x:v>account log</x:v>
      </x:c>
      <x:c r="AC124" s="10" t="str">
        <x:v>account information</x:v>
      </x:c>
      <x:c r="AD124" s="10" t="str">
        <x:v>loan tracker</x:v>
      </x:c>
      <x:c r="AE124" s="10" t="str">
        <x:v>mortgage tracker</x:v>
      </x:c>
      <x:c r="AF124" s="10" t="str">
        <x:v>student loan tracker</x:v>
      </x:c>
      <x:c r="AG124" s="10" t="str">
        <x:v>debt tracker</x:v>
      </x:c>
      <x:c r="AH124" s="10" t="str">
        <x:v>Other mortgage-related</x:v>
      </x:c>
      <x:c r="AI124" s="13" t="n">
        <x:v>23</x:v>
      </x:c>
      <x:c r="AJ124" s="10" t="str">
        <x:f>IF(F124&gt;0,"Active","No est. sales")</x:f>
        <x:v>No est. sales</x:v>
      </x:c>
    </x:row>
    <x:row r="125">
      <x:c r="A125" s="10" t="str">
        <x:v>Debt Payoff Tracker, Debt Payment Tracker, Debt Planner, Debt Worksheet Printable PDF, Monthly Debt Budget Tracker, Debt Repayment Template</x:v>
      </x:c>
      <x:c r="B125" s="10" t="str">
        <x:v>https://www.etsy.com/listing/1455098241/debt-payoff-tracker-debt-payment-tracker</x:v>
      </x:c>
      <x:c r="C125" s="10" t="str">
        <x:v>MakeEasyShop</x:v>
      </x:c>
      <x:c r="D125" s="10" t="str">
        <x:v>https://www.etsy.com/shop/MakeEasyShop</x:v>
      </x:c>
      <x:c r="E125" s="11" t="n">
        <x:v>3.55</x:v>
      </x:c>
      <x:c r="F125" s="10" t="n">
        <x:v>0</x:v>
      </x:c>
      <x:c r="G125" s="12" t="n">
        <x:v>0</x:v>
      </x:c>
      <x:c r="H125" s="13" t="n">
        <x:v>0</x:v>
      </x:c>
      <x:c r="I125" s="10" t="n">
        <x:v>0</x:v>
      </x:c>
      <x:c r="J125" s="10" t="n">
        <x:v>0</x:v>
      </x:c>
      <x:c r="K125" s="10" t="str">
        <x:v>39 Mo.</x:v>
      </x:c>
      <x:c r="L125" s="10" t="n">
        <x:v>4</x:v>
      </x:c>
      <x:c r="M125" s="10" t="n">
        <x:v>0</x:v>
      </x:c>
      <x:c r="N125" s="10" t="n">
        <x:v>71</x:v>
      </x:c>
      <x:c r="O125" s="10" t="str">
        <x:v>Paper &amp; Party Supplies</x:v>
      </x:c>
      <x:c r="P125" s="10" t="n">
        <x:v>44</x:v>
      </x:c>
      <x:c r="Q125" s="10" t="n">
        <x:v>0</x:v>
      </x:c>
      <x:c r="R125" s="13" t="n">
        <x:v>0</x:v>
      </x:c>
      <x:c r="S125" s="10" t="n">
        <x:v>2808</x:v>
      </x:c>
      <x:c r="T125" s="10" t="str">
        <x:v>debt payoff planner,debt tracker,credit card debt,debt printable,debt free tracker,debt payoff chart,mortgage tracker,payment log,house payoff tracker,debt tracker digital,printable tracker,money tracker,finance tracker</x:v>
      </x:c>
      <x:c r="U125" s="10" t="str">
        <x:v>debt payoff planner</x:v>
      </x:c>
      <x:c r="V125" s="10" t="str">
        <x:v>debt tracker</x:v>
      </x:c>
      <x:c r="W125" s="10" t="str">
        <x:v>credit card debt</x:v>
      </x:c>
      <x:c r="X125" s="10" t="str">
        <x:v>debt printable</x:v>
      </x:c>
      <x:c r="Y125" s="10" t="str">
        <x:v>debt free tracker</x:v>
      </x:c>
      <x:c r="Z125" s="10" t="str">
        <x:v>debt payoff chart</x:v>
      </x:c>
      <x:c r="AA125" s="10" t="str">
        <x:v>mortgage tracker</x:v>
      </x:c>
      <x:c r="AB125" s="10" t="str">
        <x:v>payment log</x:v>
      </x:c>
      <x:c r="AC125" s="10" t="str">
        <x:v>house payoff tracker</x:v>
      </x:c>
      <x:c r="AD125" s="10" t="str">
        <x:v>debt tracker digital</x:v>
      </x:c>
      <x:c r="AE125" s="10" t="str">
        <x:v>printable tracker</x:v>
      </x:c>
      <x:c r="AF125" s="10" t="str">
        <x:v>money tracker</x:v>
      </x:c>
      <x:c r="AG125" s="10" t="str">
        <x:v>finance tracker</x:v>
      </x:c>
      <x:c r="AH125" s="10" t="str">
        <x:v>General debt payoff</x:v>
      </x:c>
      <x:c r="AI125" s="13" t="n">
        <x:v>39</x:v>
      </x:c>
      <x:c r="AJ125" s="10" t="str">
        <x:f>IF(F125&gt;0,"Active","No est. sales")</x:f>
        <x:v>No est. sales</x:v>
      </x:c>
    </x:row>
    <x:row r="126">
      <x:c r="A126" s="10" t="str">
        <x:v>Credit Card Debt Payoff Tracker Debt Snowball Calculator Excel Loan Debt Credit Tracker Payoff Debt Free Financial Planner Debt Payment</x:v>
      </x:c>
      <x:c r="B126" s="10" t="str">
        <x:v>https://www.etsy.com/listing/4523100995/credit-card-debt-payoff-tracker-debt</x:v>
      </x:c>
      <x:c r="C126" s="10" t="str">
        <x:v>SteadyLedgerStudio</x:v>
      </x:c>
      <x:c r="D126" s="10" t="str">
        <x:v>https://www.etsy.com/shop/SteadyLedgerStudio</x:v>
      </x:c>
      <x:c r="E126" s="11" t="n">
        <x:v>1.31</x:v>
      </x:c>
      <x:c r="F126" s="10" t="n">
        <x:v>0</x:v>
      </x:c>
      <x:c r="G126" s="12" t="n">
        <x:v>0</x:v>
      </x:c>
      <x:c r="H126" s="13" t="n">
        <x:v>0</x:v>
      </x:c>
      <x:c r="I126" s="10" t="n">
        <x:v>0</x:v>
      </x:c>
      <x:c r="J126" s="10" t="n">
        <x:v>0</x:v>
      </x:c>
      <x:c r="K126" s="10" t="str">
        <x:v>1 Mo.</x:v>
      </x:c>
      <x:c r="L126" s="10" t="n">
        <x:v>0</x:v>
      </x:c>
      <x:c r="M126" s="10" t="n">
        <x:v>0</x:v>
      </x:c>
      <x:c r="N126" s="10" t="n">
        <x:v>1</x:v>
      </x:c>
      <x:c r="O126" s="10" t="str"/>
      <x:c r="P126" s="10" t="n">
        <x:v>2</x:v>
      </x:c>
      <x:c r="Q126" s="10" t="n">
        <x:v>0</x:v>
      </x:c>
      <x:c r="R126" s="13" t="n">
        <x:v>0</x:v>
      </x:c>
      <x:c r="S126" s="10" t="n">
        <x:v>0</x:v>
      </x:c>
      <x:c r="T126" s="10" t="str">
        <x:v>debt payoff tracker,debt snowball,debt payoff chart,debt payment tracker,credit card payoff,debt template,debt avalanche,personal finances,financial planner,student loan debt,debt google sheets,mortgage payoff,credit utilization</x:v>
      </x:c>
      <x:c r="U126" s="10" t="str">
        <x:v>debt payoff tracker</x:v>
      </x:c>
      <x:c r="V126" s="10" t="str">
        <x:v>debt snowball</x:v>
      </x:c>
      <x:c r="W126" s="10" t="str">
        <x:v>debt payoff chart</x:v>
      </x:c>
      <x:c r="X126" s="10" t="str">
        <x:v>debt payment tracker</x:v>
      </x:c>
      <x:c r="Y126" s="10" t="str">
        <x:v>credit card payoff</x:v>
      </x:c>
      <x:c r="Z126" s="10" t="str">
        <x:v>debt template</x:v>
      </x:c>
      <x:c r="AA126" s="10" t="str">
        <x:v>debt avalanche</x:v>
      </x:c>
      <x:c r="AB126" s="10" t="str">
        <x:v>personal finances</x:v>
      </x:c>
      <x:c r="AC126" s="10" t="str">
        <x:v>financial planner</x:v>
      </x:c>
      <x:c r="AD126" s="10" t="str">
        <x:v>student loan debt</x:v>
      </x:c>
      <x:c r="AE126" s="10" t="str">
        <x:v>debt google sheets</x:v>
      </x:c>
      <x:c r="AF126" s="10" t="str">
        <x:v>mortgage payoff</x:v>
      </x:c>
      <x:c r="AG126" s="10" t="str">
        <x:v>credit utilization</x:v>
      </x:c>
      <x:c r="AH126" s="10" t="str">
        <x:v>General debt payoff</x:v>
      </x:c>
      <x:c r="AI126" s="13" t="n">
        <x:v>1</x:v>
      </x:c>
      <x:c r="AJ126" s="10" t="str">
        <x:f>IF(F126&gt;0,"Active","No est. sales")</x:f>
        <x:v>No est. sales</x:v>
      </x:c>
    </x:row>
    <x:row r="127">
      <x:c r="A127" s="10" t="str">
        <x:v>Debt Payoff Tracker, Snowball Avalanche Calculator, Credit Card Tracker, Home Loan, Student Loan, Debt-Free Planner (Google Sheets &amp; Excel)</x:v>
      </x:c>
      <x:c r="B127" s="10" t="str">
        <x:v>https://www.etsy.com/listing/4531903364/debt-payoff-tracker-snowball-avalanche</x:v>
      </x:c>
      <x:c r="C127" s="10" t="str">
        <x:v>VelvetLaneCrafts</x:v>
      </x:c>
      <x:c r="D127" s="10" t="str">
        <x:v>https://www.etsy.com/shop/VelvetLaneCrafts</x:v>
      </x:c>
      <x:c r="E127" s="11" t="n">
        <x:v>5</x:v>
      </x:c>
      <x:c r="F127" s="10" t="n">
        <x:v>0</x:v>
      </x:c>
      <x:c r="G127" s="12" t="n">
        <x:v>0</x:v>
      </x:c>
      <x:c r="H127" s="13" t="n">
        <x:v>0</x:v>
      </x:c>
      <x:c r="I127" s="10" t="n">
        <x:v>0</x:v>
      </x:c>
      <x:c r="J127" s="10" t="n">
        <x:v>0</x:v>
      </x:c>
      <x:c r="K127" s="10" t="str">
        <x:v>1 Mo.</x:v>
      </x:c>
      <x:c r="L127" s="10" t="n">
        <x:v>0</x:v>
      </x:c>
      <x:c r="M127" s="10" t="n">
        <x:v>0</x:v>
      </x:c>
      <x:c r="N127" s="10" t="n">
        <x:v>0</x:v>
      </x:c>
      <x:c r="O127" s="10" t="str">
        <x:v>Art &amp; Collectibles</x:v>
      </x:c>
      <x:c r="P127" s="10" t="n">
        <x:v>1</x:v>
      </x:c>
      <x:c r="Q127" s="10" t="n">
        <x:v>0</x:v>
      </x:c>
      <x:c r="R127" s="13" t="n">
        <x:v>0</x:v>
      </x:c>
      <x:c r="S127" s="10" t="n">
        <x:v>3</x:v>
      </x:c>
      <x:c r="T127" s="10" t="str">
        <x:v>financial planner,debt payoff tracker,debt snowball,debt payoff chart,debt payment tracker,credit card payoff,debt template,debt avalanche,student loan debt,google sheets budget,mortgage payoff,credit utilization,credit score debt</x:v>
      </x:c>
      <x:c r="U127" s="10" t="str">
        <x:v>financial planner</x:v>
      </x:c>
      <x:c r="V127" s="10" t="str">
        <x:v>debt payoff tracker</x:v>
      </x:c>
      <x:c r="W127" s="10" t="str">
        <x:v>debt snowball</x:v>
      </x:c>
      <x:c r="X127" s="10" t="str">
        <x:v>debt payoff chart</x:v>
      </x:c>
      <x:c r="Y127" s="10" t="str">
        <x:v>debt payment tracker</x:v>
      </x:c>
      <x:c r="Z127" s="10" t="str">
        <x:v>credit card payoff</x:v>
      </x:c>
      <x:c r="AA127" s="10" t="str">
        <x:v>debt template</x:v>
      </x:c>
      <x:c r="AB127" s="10" t="str">
        <x:v>debt avalanche</x:v>
      </x:c>
      <x:c r="AC127" s="10" t="str">
        <x:v>student loan debt</x:v>
      </x:c>
      <x:c r="AD127" s="10" t="str">
        <x:v>google sheets budget</x:v>
      </x:c>
      <x:c r="AE127" s="10" t="str">
        <x:v>mortgage payoff</x:v>
      </x:c>
      <x:c r="AF127" s="10" t="str">
        <x:v>credit utilization</x:v>
      </x:c>
      <x:c r="AG127" s="10" t="str">
        <x:v>credit score debt</x:v>
      </x:c>
      <x:c r="AH127" s="10" t="str">
        <x:v>General debt payoff</x:v>
      </x:c>
      <x:c r="AI127" s="13" t="n">
        <x:v>1</x:v>
      </x:c>
      <x:c r="AJ127" s="10" t="str">
        <x:f>IF(F127&gt;0,"Active","No est. sales")</x:f>
        <x:v>No est. sales</x:v>
      </x:c>
    </x:row>
    <x:row r="128">
      <x:c r="A128" s="10" t="str">
        <x:v>Debt Freedom Bundle: Debt Payoff Planner, Snowball, Avalanche (Digital Download)</x:v>
      </x:c>
      <x:c r="B128" s="10" t="str">
        <x:v>https://www.etsy.com/listing/4515900877/debt-freedom-bundle-debt-payoff-planner</x:v>
      </x:c>
      <x:c r="C128" s="10" t="str">
        <x:v>QuietUtilityCo</x:v>
      </x:c>
      <x:c r="D128" s="10" t="str">
        <x:v>https://www.etsy.com/shop/QuietUtilityCo</x:v>
      </x:c>
      <x:c r="E128" s="11" t="n">
        <x:v>49.99</x:v>
      </x:c>
      <x:c r="F128" s="10" t="n">
        <x:v>0</x:v>
      </x:c>
      <x:c r="G128" s="12" t="n">
        <x:v>0</x:v>
      </x:c>
      <x:c r="H128" s="13" t="n">
        <x:v>0</x:v>
      </x:c>
      <x:c r="I128" s="10" t="n">
        <x:v>0</x:v>
      </x:c>
      <x:c r="J128" s="10" t="n">
        <x:v>0</x:v>
      </x:c>
      <x:c r="K128" s="10" t="str">
        <x:v>1 Mo.</x:v>
      </x:c>
      <x:c r="L128" s="10" t="n">
        <x:v>0</x:v>
      </x:c>
      <x:c r="M128" s="10" t="n">
        <x:v>0</x:v>
      </x:c>
      <x:c r="N128" s="10" t="n">
        <x:v>4</x:v>
      </x:c>
      <x:c r="O128" s="10" t="str"/>
      <x:c r="P128" s="10" t="n">
        <x:v>2</x:v>
      </x:c>
      <x:c r="Q128" s="10" t="n">
        <x:v>0</x:v>
      </x:c>
      <x:c r="R128" s="13" t="n">
        <x:v>0</x:v>
      </x:c>
      <x:c r="S128" s="10" t="n">
        <x:v>0</x:v>
      </x:c>
      <x:c r="T128" s="10" t="str">
        <x:v>debt freedom,debt payoff,debt tracker,mortgage payoff,debt avalanche,debt planner,debt free,budget planner,money planner,finance tracker,google sheets,personal finance,debt reduction</x:v>
      </x:c>
      <x:c r="U128" s="10" t="str">
        <x:v>debt freedom</x:v>
      </x:c>
      <x:c r="V128" s="10" t="str">
        <x:v>debt payoff</x:v>
      </x:c>
      <x:c r="W128" s="10" t="str">
        <x:v>debt tracker</x:v>
      </x:c>
      <x:c r="X128" s="10" t="str">
        <x:v>mortgage payoff</x:v>
      </x:c>
      <x:c r="Y128" s="10" t="str">
        <x:v>debt avalanche</x:v>
      </x:c>
      <x:c r="Z128" s="10" t="str">
        <x:v>debt planner</x:v>
      </x:c>
      <x:c r="AA128" s="10" t="str">
        <x:v>debt free</x:v>
      </x:c>
      <x:c r="AB128" s="10" t="str">
        <x:v>budget planner</x:v>
      </x:c>
      <x:c r="AC128" s="10" t="str">
        <x:v>money planner</x:v>
      </x:c>
      <x:c r="AD128" s="10" t="str">
        <x:v>finance tracker</x:v>
      </x:c>
      <x:c r="AE128" s="10" t="str">
        <x:v>google sheets</x:v>
      </x:c>
      <x:c r="AF128" s="10" t="str">
        <x:v>personal finance</x:v>
      </x:c>
      <x:c r="AG128" s="10" t="str">
        <x:v>debt reduction</x:v>
      </x:c>
      <x:c r="AH128" s="10" t="str">
        <x:v>General debt payoff</x:v>
      </x:c>
      <x:c r="AI128" s="13" t="n">
        <x:v>1</x:v>
      </x:c>
      <x:c r="AJ128" s="10" t="str">
        <x:f>IF(F128&gt;0,"Active","No est. sales")</x:f>
        <x:v>No est. sales</x:v>
      </x:c>
    </x:row>
    <x:row r="129">
      <x:c r="A129" s="10" t="str">
        <x:v>Home Mortgage Calculator – Excel Spreadsheet – Track Loan Payments &amp; Interest</x:v>
      </x:c>
      <x:c r="B129" s="10" t="str">
        <x:v>https://www.etsy.com/listing/4519513330/home-mortgage-calculator-excel</x:v>
      </x:c>
      <x:c r="C129" s="10" t="str">
        <x:v>CivilProTemplates</x:v>
      </x:c>
      <x:c r="D129" s="10" t="str">
        <x:v>https://www.etsy.com/shop/CivilProTemplates</x:v>
      </x:c>
      <x:c r="E129" s="11" t="n">
        <x:v>2.99</x:v>
      </x:c>
      <x:c r="F129" s="10" t="n">
        <x:v>0</x:v>
      </x:c>
      <x:c r="G129" s="12" t="n">
        <x:v>0</x:v>
      </x:c>
      <x:c r="H129" s="13" t="n">
        <x:v>0</x:v>
      </x:c>
      <x:c r="I129" s="10" t="n">
        <x:v>0</x:v>
      </x:c>
      <x:c r="J129" s="10" t="n">
        <x:v>0</x:v>
      </x:c>
      <x:c r="K129" s="10" t="str">
        <x:v>1 Mo.</x:v>
      </x:c>
      <x:c r="L129" s="10" t="n">
        <x:v>0</x:v>
      </x:c>
      <x:c r="M129" s="10" t="n">
        <x:v>0</x:v>
      </x:c>
      <x:c r="N129" s="10" t="n">
        <x:v>6</x:v>
      </x:c>
      <x:c r="O129" s="10" t="str">
        <x:v>Paper &amp; Party Supplies</x:v>
      </x:c>
      <x:c r="P129" s="10" t="n">
        <x:v>4</x:v>
      </x:c>
      <x:c r="Q129" s="10" t="n">
        <x:v>0</x:v>
      </x:c>
      <x:c r="R129" s="13" t="n">
        <x:v>0</x:v>
      </x:c>
      <x:c r="S129" s="10" t="n">
        <x:v>0</x:v>
      </x:c>
      <x:c r="T129" s="10" t="str">
        <x:v>mortgage calculator,excel spreadsheet,loan amortization,home loan tracker,payoff planner,debt payoff,mortgage payoff,home buyer tool,financial planner,amortizationschedule,loan calculator,extrapayment tracker,home construction</x:v>
      </x:c>
      <x:c r="U129" s="10" t="str">
        <x:v>mortgage calculator</x:v>
      </x:c>
      <x:c r="V129" s="10" t="str">
        <x:v>excel spreadsheet</x:v>
      </x:c>
      <x:c r="W129" s="10" t="str">
        <x:v>loan amortization</x:v>
      </x:c>
      <x:c r="X129" s="10" t="str">
        <x:v>home loan tracker</x:v>
      </x:c>
      <x:c r="Y129" s="10" t="str">
        <x:v>payoff planner</x:v>
      </x:c>
      <x:c r="Z129" s="10" t="str">
        <x:v>debt payoff</x:v>
      </x:c>
      <x:c r="AA129" s="10" t="str">
        <x:v>mortgage payoff</x:v>
      </x:c>
      <x:c r="AB129" s="10" t="str">
        <x:v>home buyer tool</x:v>
      </x:c>
      <x:c r="AC129" s="10" t="str">
        <x:v>financial planner</x:v>
      </x:c>
      <x:c r="AD129" s="10" t="str">
        <x:v>amortizationschedule</x:v>
      </x:c>
      <x:c r="AE129" s="10" t="str">
        <x:v>loan calculator</x:v>
      </x:c>
      <x:c r="AF129" s="10" t="str">
        <x:v>extrapayment tracker</x:v>
      </x:c>
      <x:c r="AG129" s="10" t="str">
        <x:v>home construction</x:v>
      </x:c>
      <x:c r="AH129" s="10" t="str">
        <x:v>Mortgage payoff / calculator</x:v>
      </x:c>
      <x:c r="AI129" s="13" t="n">
        <x:v>1</x:v>
      </x:c>
      <x:c r="AJ129" s="10" t="str">
        <x:f>IF(F129&gt;0,"Active","No est. sales")</x:f>
        <x:v>No est. sales</x:v>
      </x:c>
    </x:row>
    <x:row r="130">
      <x:c r="A130" s="10" t="str">
        <x:v>Real Estate Portfolio Tracker | Equity and NOI Log | Net Worth Printable PDF</x:v>
      </x:c>
      <x:c r="B130" s="10" t="str">
        <x:v>https://www.etsy.com/listing/4506060114/real-estate-portfolio-tracker-equity-and</x:v>
      </x:c>
      <x:c r="C130" s="10" t="str">
        <x:v>KitHaus</x:v>
      </x:c>
      <x:c r="D130" s="10" t="str">
        <x:v>https://www.etsy.com/shop/KitHaus</x:v>
      </x:c>
      <x:c r="E130" s="11" t="n">
        <x:v>0.99</x:v>
      </x:c>
      <x:c r="F130" s="10" t="n">
        <x:v>0</x:v>
      </x:c>
      <x:c r="G130" s="12" t="n">
        <x:v>0</x:v>
      </x:c>
      <x:c r="H130" s="13" t="n">
        <x:v>0</x:v>
      </x:c>
      <x:c r="I130" s="10" t="n">
        <x:v>0</x:v>
      </x:c>
      <x:c r="J130" s="10" t="n">
        <x:v>0</x:v>
      </x:c>
      <x:c r="K130" s="10" t="str">
        <x:v>2 Mo.</x:v>
      </x:c>
      <x:c r="L130" s="10" t="n">
        <x:v>0</x:v>
      </x:c>
      <x:c r="M130" s="10" t="n">
        <x:v>0</x:v>
      </x:c>
      <x:c r="N130" s="10" t="n">
        <x:v>0</x:v>
      </x:c>
      <x:c r="O130" s="10" t="str">
        <x:v>Art &amp; Collectibles</x:v>
      </x:c>
      <x:c r="P130" s="10" t="n">
        <x:v>9</x:v>
      </x:c>
      <x:c r="Q130" s="10" t="n">
        <x:v>0</x:v>
      </x:c>
      <x:c r="R130" s="13" t="n">
        <x:v>0</x:v>
      </x:c>
      <x:c r="S130" s="10" t="n">
        <x:v>77</x:v>
      </x:c>
      <x:c r="T130" s="10" t="str">
        <x:v>real estate portfoli,property equity log,rental income tracke,cap rate calculator,noi tracker,real estate net wort,property investment,mortgage balance tra,real estate planner</x:v>
      </x:c>
      <x:c r="U130" s="10" t="str">
        <x:v>real estate portfoli</x:v>
      </x:c>
      <x:c r="V130" s="10" t="str">
        <x:v>property equity log</x:v>
      </x:c>
      <x:c r="W130" s="10" t="str">
        <x:v>rental income tracke</x:v>
      </x:c>
      <x:c r="X130" s="10" t="str">
        <x:v>cap rate calculator</x:v>
      </x:c>
      <x:c r="Y130" s="10" t="str">
        <x:v>noi tracker</x:v>
      </x:c>
      <x:c r="Z130" s="10" t="str">
        <x:v>real estate net wort</x:v>
      </x:c>
      <x:c r="AA130" s="10" t="str">
        <x:v>property investment</x:v>
      </x:c>
      <x:c r="AB130" s="10" t="str">
        <x:v>mortgage balance tra</x:v>
      </x:c>
      <x:c r="AC130" s="10" t="str">
        <x:v>real estate planner</x:v>
      </x:c>
      <x:c r="AD130" s="10" t="str">
        <x:v>--</x:v>
      </x:c>
      <x:c r="AE130" s="10" t="str">
        <x:v>--</x:v>
      </x:c>
      <x:c r="AF130" s="10" t="str">
        <x:v>--</x:v>
      </x:c>
      <x:c r="AG130" s="10" t="str">
        <x:v>--</x:v>
      </x:c>
      <x:c r="AH130" s="10" t="str">
        <x:v>Property investment</x:v>
      </x:c>
      <x:c r="AI130" s="13" t="n">
        <x:v>2</x:v>
      </x:c>
      <x:c r="AJ130" s="10" t="str">
        <x:f>IF(F130&gt;0,"Active","No est. sales")</x:f>
        <x:v>No est. sales</x:v>
      </x:c>
    </x:row>
    <x:row r="131">
      <x:c r="A131" s="10" t="str">
        <x:v>Home Buying Spreadsheet, First Time Home Buyer, House Hunting, Mortgage Comparison, Property Tour Log, Closing Costs, Google Sheets Excel</x:v>
      </x:c>
      <x:c r="B131" s="10" t="str">
        <x:v>https://www.etsy.com/listing/4517212919/home-buying-spreadsheet-first-time-home</x:v>
      </x:c>
      <x:c r="C131" s="10" t="str">
        <x:v>Verande</x:v>
      </x:c>
      <x:c r="D131" s="10" t="str">
        <x:v>https://www.etsy.com/shop/Verande</x:v>
      </x:c>
      <x:c r="E131" s="11" t="n">
        <x:v>11.39</x:v>
      </x:c>
      <x:c r="F131" s="10" t="n">
        <x:v>0</x:v>
      </x:c>
      <x:c r="G131" s="12" t="n">
        <x:v>0</x:v>
      </x:c>
      <x:c r="H131" s="13" t="n">
        <x:v>0</x:v>
      </x:c>
      <x:c r="I131" s="10" t="n">
        <x:v>0</x:v>
      </x:c>
      <x:c r="J131" s="10" t="n">
        <x:v>0</x:v>
      </x:c>
      <x:c r="K131" s="10" t="str">
        <x:v>1 Mo.</x:v>
      </x:c>
      <x:c r="L131" s="10" t="n">
        <x:v>0</x:v>
      </x:c>
      <x:c r="M131" s="10" t="n">
        <x:v>0</x:v>
      </x:c>
      <x:c r="N131" s="10" t="n">
        <x:v>0</x:v>
      </x:c>
      <x:c r="O131" s="10" t="str"/>
      <x:c r="P131" s="10" t="n">
        <x:v>1</x:v>
      </x:c>
      <x:c r="Q131" s="10" t="n">
        <x:v>0</x:v>
      </x:c>
      <x:c r="R131" s="13" t="n">
        <x:v>0</x:v>
      </x:c>
      <x:c r="S131" s="10" t="n">
        <x:v>0</x:v>
      </x:c>
      <x:c r="T131" s="10" t="str">
        <x:v>home buying,first time buyer,house hunting,home buyer planner,mortgage comparison,real estate planner,closing checklist,property tour log,home buying gift,realtor planner,home purchase,new homeowner,home buyer gift</x:v>
      </x:c>
      <x:c r="U131" s="10" t="str">
        <x:v>home buying</x:v>
      </x:c>
      <x:c r="V131" s="10" t="str">
        <x:v>first time buyer</x:v>
      </x:c>
      <x:c r="W131" s="10" t="str">
        <x:v>house hunting</x:v>
      </x:c>
      <x:c r="X131" s="10" t="str">
        <x:v>home buyer planner</x:v>
      </x:c>
      <x:c r="Y131" s="10" t="str">
        <x:v>mortgage comparison</x:v>
      </x:c>
      <x:c r="Z131" s="10" t="str">
        <x:v>real estate planner</x:v>
      </x:c>
      <x:c r="AA131" s="10" t="str">
        <x:v>closing checklist</x:v>
      </x:c>
      <x:c r="AB131" s="10" t="str">
        <x:v>property tour log</x:v>
      </x:c>
      <x:c r="AC131" s="10" t="str">
        <x:v>home buying gift</x:v>
      </x:c>
      <x:c r="AD131" s="10" t="str">
        <x:v>realtor planner</x:v>
      </x:c>
      <x:c r="AE131" s="10" t="str">
        <x:v>home purchase</x:v>
      </x:c>
      <x:c r="AF131" s="10" t="str">
        <x:v>new homeowner</x:v>
      </x:c>
      <x:c r="AG131" s="10" t="str">
        <x:v>home buyer gift</x:v>
      </x:c>
      <x:c r="AH131" s="10" t="str">
        <x:v>Home buying planner</x:v>
      </x:c>
      <x:c r="AI131" s="13" t="n">
        <x:v>1</x:v>
      </x:c>
      <x:c r="AJ131" s="10" t="str">
        <x:f>IF(F131&gt;0,"Active","No est. sales")</x:f>
        <x:v>No est. sales</x:v>
      </x:c>
    </x:row>
    <x:row r="132">
      <x:c r="A132" s="10" t="str">
        <x:v>Home &amp; Life Planner – Digital Organizer for Daily Tasks, Budgeting and Wellness</x:v>
      </x:c>
      <x:c r="B132" s="10" t="str">
        <x:v>https://www.etsy.com/listing/1875751456/home-life-planner-digital-organizer-for</x:v>
      </x:c>
      <x:c r="C132" s="10" t="str">
        <x:v>DigitalRealEstatePro</x:v>
      </x:c>
      <x:c r="D132" s="10" t="str">
        <x:v>https://www.etsy.com/shop/DigitalRealEstatePro</x:v>
      </x:c>
      <x:c r="E132" s="11" t="n">
        <x:v>4.39</x:v>
      </x:c>
      <x:c r="F132" s="10" t="n">
        <x:v>0</x:v>
      </x:c>
      <x:c r="G132" s="12" t="n">
        <x:v>0</x:v>
      </x:c>
      <x:c r="H132" s="13" t="n">
        <x:v>0</x:v>
      </x:c>
      <x:c r="I132" s="10" t="n">
        <x:v>0</x:v>
      </x:c>
      <x:c r="J132" s="10" t="n">
        <x:v>0</x:v>
      </x:c>
      <x:c r="K132" s="10" t="str">
        <x:v>5 Mo.</x:v>
      </x:c>
      <x:c r="L132" s="10" t="n">
        <x:v>0</x:v>
      </x:c>
      <x:c r="M132" s="10" t="n">
        <x:v>0</x:v>
      </x:c>
      <x:c r="N132" s="10" t="n">
        <x:v>7</x:v>
      </x:c>
      <x:c r="O132" s="10" t="str">
        <x:v>Paper &amp; Party Supplies</x:v>
      </x:c>
      <x:c r="P132" s="10" t="n">
        <x:v>5</x:v>
      </x:c>
      <x:c r="Q132" s="10" t="n">
        <x:v>0</x:v>
      </x:c>
      <x:c r="R132" s="13" t="n">
        <x:v>0</x:v>
      </x:c>
      <x:c r="S132" s="10" t="n">
        <x:v>7</x:v>
      </x:c>
      <x:c r="T132" s="10" t="str">
        <x:v>real estate planner,property management,rental tracker,real estate investor,property log,real estate journal,mortgage planner,investment tracker,real estate budget,rental income log,property portfolio,digital planner</x:v>
      </x:c>
      <x:c r="U132" s="10" t="str">
        <x:v>real estate planner</x:v>
      </x:c>
      <x:c r="V132" s="10" t="str">
        <x:v>property management</x:v>
      </x:c>
      <x:c r="W132" s="10" t="str">
        <x:v>rental tracker</x:v>
      </x:c>
      <x:c r="X132" s="10" t="str">
        <x:v>real estate investor</x:v>
      </x:c>
      <x:c r="Y132" s="10" t="str">
        <x:v>property log</x:v>
      </x:c>
      <x:c r="Z132" s="10" t="str">
        <x:v>real estate journal</x:v>
      </x:c>
      <x:c r="AA132" s="10" t="str">
        <x:v>mortgage planner</x:v>
      </x:c>
      <x:c r="AB132" s="10" t="str">
        <x:v>investment tracker</x:v>
      </x:c>
      <x:c r="AC132" s="10" t="str">
        <x:v>real estate budget</x:v>
      </x:c>
      <x:c r="AD132" s="10" t="str">
        <x:v>rental income log</x:v>
      </x:c>
      <x:c r="AE132" s="10" t="str">
        <x:v>property portfolio</x:v>
      </x:c>
      <x:c r="AF132" s="10" t="str">
        <x:v>digital planner</x:v>
      </x:c>
      <x:c r="AG132" s="10" t="str">
        <x:v>--</x:v>
      </x:c>
      <x:c r="AH132" s="10" t="str">
        <x:v>Property investment</x:v>
      </x:c>
      <x:c r="AI132" s="13" t="n">
        <x:v>5</x:v>
      </x:c>
      <x:c r="AJ132" s="10" t="str">
        <x:f>IF(F132&gt;0,"Active","No est. sales")</x:f>
        <x:v>No est. sales</x:v>
      </x:c>
    </x:row>
    <x:row r="133">
      <x:c r="A133" s="10" t="str">
        <x:v>Home Buying Affordability Planner | Mortgage Budget, House Comparison Spreadsheet (Digital Download)</x:v>
      </x:c>
      <x:c r="B133" s="10" t="str">
        <x:v>https://www.etsy.com/listing/4507439002/home-buying-affordability-planner</x:v>
      </x:c>
      <x:c r="C133" s="10" t="str">
        <x:v>PrimeLedgerCo</x:v>
      </x:c>
      <x:c r="D133" s="10" t="str">
        <x:v>https://www.etsy.com/shop/PrimeLedgerCo</x:v>
      </x:c>
      <x:c r="E133" s="11" t="n">
        <x:v>16.99</x:v>
      </x:c>
      <x:c r="F133" s="10" t="n">
        <x:v>0</x:v>
      </x:c>
      <x:c r="G133" s="12" t="n">
        <x:v>0</x:v>
      </x:c>
      <x:c r="H133" s="13" t="n">
        <x:v>0</x:v>
      </x:c>
      <x:c r="I133" s="10" t="n">
        <x:v>0</x:v>
      </x:c>
      <x:c r="J133" s="10" t="n">
        <x:v>0</x:v>
      </x:c>
      <x:c r="K133" s="10" t="str">
        <x:v>1 Mo.</x:v>
      </x:c>
      <x:c r="L133" s="10" t="n">
        <x:v>0</x:v>
      </x:c>
      <x:c r="M133" s="10" t="n">
        <x:v>0</x:v>
      </x:c>
      <x:c r="N133" s="10" t="n">
        <x:v>7</x:v>
      </x:c>
      <x:c r="O133" s="10" t="str"/>
      <x:c r="P133" s="10" t="n">
        <x:v>2</x:v>
      </x:c>
      <x:c r="Q133" s="10" t="n">
        <x:v>0</x:v>
      </x:c>
      <x:c r="R133" s="13" t="n">
        <x:v>0</x:v>
      </x:c>
      <x:c r="S133" s="10" t="n">
        <x:v>4</x:v>
      </x:c>
      <x:c r="T133" s="10" t="str">
        <x:v>home buying planner,affordability calc,house affordability,mortgage budget,first time buyer,closing cost calc,down payment plan,house comparison,home purchase plan,home budget sheet,mortgage calculator,house cost tracker,home buyer tool</x:v>
      </x:c>
      <x:c r="U133" s="10" t="str">
        <x:v>home buying planner</x:v>
      </x:c>
      <x:c r="V133" s="10" t="str">
        <x:v>affordability calc</x:v>
      </x:c>
      <x:c r="W133" s="10" t="str">
        <x:v>house affordability</x:v>
      </x:c>
      <x:c r="X133" s="10" t="str">
        <x:v>mortgage budget</x:v>
      </x:c>
      <x:c r="Y133" s="10" t="str">
        <x:v>first time buyer</x:v>
      </x:c>
      <x:c r="Z133" s="10" t="str">
        <x:v>closing cost calc</x:v>
      </x:c>
      <x:c r="AA133" s="10" t="str">
        <x:v>down payment plan</x:v>
      </x:c>
      <x:c r="AB133" s="10" t="str">
        <x:v>house comparison</x:v>
      </x:c>
      <x:c r="AC133" s="10" t="str">
        <x:v>home purchase plan</x:v>
      </x:c>
      <x:c r="AD133" s="10" t="str">
        <x:v>home budget sheet</x:v>
      </x:c>
      <x:c r="AE133" s="10" t="str">
        <x:v>mortgage calculator</x:v>
      </x:c>
      <x:c r="AF133" s="10" t="str">
        <x:v>house cost tracker</x:v>
      </x:c>
      <x:c r="AG133" s="10" t="str">
        <x:v>home buyer tool</x:v>
      </x:c>
      <x:c r="AH133" s="10" t="str">
        <x:v>Home buying planner</x:v>
      </x:c>
      <x:c r="AI133" s="13" t="n">
        <x:v>1</x:v>
      </x:c>
      <x:c r="AJ133" s="10" t="str">
        <x:f>IF(F133&gt;0,"Active","No est. sales")</x:f>
        <x:v>No est. sales</x:v>
      </x:c>
    </x:row>
    <x:row r="134">
      <x:c r="A134" s="10" t="str">
        <x:v>UK Home Buying Toolkit | Mortgage Calculator, Cost Tracker, Stamp Duty, Moving Planner | Excel Template</x:v>
      </x:c>
      <x:c r="B134" s="10" t="str">
        <x:v>https://www.etsy.com/listing/4387702249/uk-home-buying-toolkit-mortgage</x:v>
      </x:c>
      <x:c r="C134" s="10" t="str">
        <x:v>Propertylogic</x:v>
      </x:c>
      <x:c r="D134" s="10" t="str">
        <x:v>https://www.etsy.com/shop/Propertylogic</x:v>
      </x:c>
      <x:c r="E134" s="11" t="n">
        <x:v>6.09</x:v>
      </x:c>
      <x:c r="F134" s="10" t="n">
        <x:v>0</x:v>
      </x:c>
      <x:c r="G134" s="12" t="n">
        <x:v>0</x:v>
      </x:c>
      <x:c r="H134" s="13" t="n">
        <x:v>0</x:v>
      </x:c>
      <x:c r="I134" s="10" t="n">
        <x:v>0</x:v>
      </x:c>
      <x:c r="J134" s="10" t="n">
        <x:v>0</x:v>
      </x:c>
      <x:c r="K134" s="10" t="str">
        <x:v>8 Mo.</x:v>
      </x:c>
      <x:c r="L134" s="10" t="n">
        <x:v>1</x:v>
      </x:c>
      <x:c r="M134" s="10" t="n">
        <x:v>0</x:v>
      </x:c>
      <x:c r="N134" s="10" t="n">
        <x:v>43</x:v>
      </x:c>
      <x:c r="O134" s="10" t="str"/>
      <x:c r="P134" s="10" t="n">
        <x:v>8</x:v>
      </x:c>
      <x:c r="Q134" s="10" t="n">
        <x:v>0</x:v>
      </x:c>
      <x:c r="R134" s="13" t="n">
        <x:v>0</x:v>
      </x:c>
      <x:c r="S134" s="10" t="n">
        <x:v>0</x:v>
      </x:c>
      <x:c r="T134" s="10" t="str">
        <x:v>home buying toolkit,mortgage calculator,home cost tracker,stamp duty,moving house,home buying,first time buyer uk,house purchase,home buyer finance,property planning,home purchase</x:v>
      </x:c>
      <x:c r="U134" s="10" t="str">
        <x:v>home buying toolkit</x:v>
      </x:c>
      <x:c r="V134" s="10" t="str">
        <x:v>mortgage calculator</x:v>
      </x:c>
      <x:c r="W134" s="10" t="str">
        <x:v>home cost tracker</x:v>
      </x:c>
      <x:c r="X134" s="10" t="str">
        <x:v>stamp duty</x:v>
      </x:c>
      <x:c r="Y134" s="10" t="str">
        <x:v>moving house</x:v>
      </x:c>
      <x:c r="Z134" s="10" t="str">
        <x:v>home buying</x:v>
      </x:c>
      <x:c r="AA134" s="10" t="str">
        <x:v>first time buyer uk</x:v>
      </x:c>
      <x:c r="AB134" s="10" t="str">
        <x:v>house purchase</x:v>
      </x:c>
      <x:c r="AC134" s="10" t="str">
        <x:v>home buyer finance</x:v>
      </x:c>
      <x:c r="AD134" s="10" t="str">
        <x:v>property planning</x:v>
      </x:c>
      <x:c r="AE134" s="10" t="str">
        <x:v>home purchase</x:v>
      </x:c>
      <x:c r="AF134" s="10" t="str">
        <x:v>--</x:v>
      </x:c>
      <x:c r="AG134" s="10" t="str">
        <x:v>--</x:v>
      </x:c>
      <x:c r="AH134" s="10" t="str">
        <x:v>Mortgage payoff / calculator</x:v>
      </x:c>
      <x:c r="AI134" s="13" t="n">
        <x:v>8</x:v>
      </x:c>
      <x:c r="AJ134" s="10" t="str">
        <x:f>IF(F134&gt;0,"Active","No est. sales")</x:f>
        <x:v>No est. sales</x:v>
      </x:c>
    </x:row>
    <x:row r="135">
      <x:c r="A135" s="10" t="str">
        <x:v>Debt Payoff Tracker, Debt Snowball Avalanche Calculator, Credit Card Tracker, Student Loan, Home Loan, Debt Free (Google Sheets &amp; Excel)</x:v>
      </x:c>
      <x:c r="B135" s="10" t="str">
        <x:v>https://www.etsy.com/listing/4525123091/debt-payoff-tracker-debt-snowball</x:v>
      </x:c>
      <x:c r="C135" s="10" t="str">
        <x:v>maxdigiprint</x:v>
      </x:c>
      <x:c r="D135" s="10" t="str">
        <x:v>https://www.etsy.com/shop/maxdigiprint</x:v>
      </x:c>
      <x:c r="E135" s="11" t="n">
        <x:v>5.86</x:v>
      </x:c>
      <x:c r="F135" s="10" t="n">
        <x:v>0</x:v>
      </x:c>
      <x:c r="G135" s="12" t="n">
        <x:v>0</x:v>
      </x:c>
      <x:c r="H135" s="13" t="n">
        <x:v>0</x:v>
      </x:c>
      <x:c r="I135" s="10" t="n">
        <x:v>0</x:v>
      </x:c>
      <x:c r="J135" s="10" t="n">
        <x:v>0</x:v>
      </x:c>
      <x:c r="K135" s="10" t="str">
        <x:v>1 Mo.</x:v>
      </x:c>
      <x:c r="L135" s="10" t="n">
        <x:v>0</x:v>
      </x:c>
      <x:c r="M135" s="10" t="n">
        <x:v>0</x:v>
      </x:c>
      <x:c r="N135" s="10" t="n">
        <x:v>0</x:v>
      </x:c>
      <x:c r="O135" s="10" t="str"/>
      <x:c r="P135" s="10" t="n">
        <x:v>16</x:v>
      </x:c>
      <x:c r="Q135" s="10" t="n">
        <x:v>0</x:v>
      </x:c>
      <x:c r="R135" s="13" t="n">
        <x:v>0</x:v>
      </x:c>
      <x:c r="S135" s="10" t="n">
        <x:v>0</x:v>
      </x:c>
      <x:c r="T135" s="10" t="str">
        <x:v>budget spreadsheet,debt free chart,debt payment tracker,snowball method,debt planner,credit card payoff,mortgage payoff,debt avalanche,credit utilization,credit score debt,debt spreadsheet,google sheets budget,debt tracker excel</x:v>
      </x:c>
      <x:c r="U135" s="10" t="str">
        <x:v>budget spreadsheet</x:v>
      </x:c>
      <x:c r="V135" s="10" t="str">
        <x:v>debt free chart</x:v>
      </x:c>
      <x:c r="W135" s="10" t="str">
        <x:v>debt payment tracker</x:v>
      </x:c>
      <x:c r="X135" s="10" t="str">
        <x:v>snowball method</x:v>
      </x:c>
      <x:c r="Y135" s="10" t="str">
        <x:v>debt planner</x:v>
      </x:c>
      <x:c r="Z135" s="10" t="str">
        <x:v>credit card payoff</x:v>
      </x:c>
      <x:c r="AA135" s="10" t="str">
        <x:v>mortgage payoff</x:v>
      </x:c>
      <x:c r="AB135" s="10" t="str">
        <x:v>debt avalanche</x:v>
      </x:c>
      <x:c r="AC135" s="10" t="str">
        <x:v>credit utilization</x:v>
      </x:c>
      <x:c r="AD135" s="10" t="str">
        <x:v>credit score debt</x:v>
      </x:c>
      <x:c r="AE135" s="10" t="str">
        <x:v>debt spreadsheet</x:v>
      </x:c>
      <x:c r="AF135" s="10" t="str">
        <x:v>google sheets budget</x:v>
      </x:c>
      <x:c r="AG135" s="10" t="str">
        <x:v>debt tracker excel</x:v>
      </x:c>
      <x:c r="AH135" s="10" t="str">
        <x:v>General debt payoff</x:v>
      </x:c>
      <x:c r="AI135" s="13" t="n">
        <x:v>1</x:v>
      </x:c>
      <x:c r="AJ135" s="10" t="str">
        <x:f>IF(F135&gt;0,"Active","No est. sales")</x:f>
        <x:v>No est. sales</x:v>
      </x:c>
    </x:row>
    <x:row r="136">
      <x:c r="A136" s="10" t="str">
        <x:v>Bill Due Planner Stickers | Home Payment Due Stickers | Pay Bills Reminder | Utilities | Water, Electric, Internet, Phone, Rent/Mortgage</x:v>
      </x:c>
      <x:c r="B136" s="10" t="str">
        <x:v>https://www.etsy.com/listing/1766406771/bill-due-planner-stickers-home-payment</x:v>
      </x:c>
      <x:c r="C136" s="10" t="str">
        <x:v>NikkiStickyCo</x:v>
      </x:c>
      <x:c r="D136" s="10" t="str">
        <x:v>https://www.etsy.com/shop/NikkiStickyCo</x:v>
      </x:c>
      <x:c r="E136" s="11" t="n">
        <x:v>4.4</x:v>
      </x:c>
      <x:c r="F136" s="10" t="n">
        <x:v>0</x:v>
      </x:c>
      <x:c r="G136" s="12" t="n">
        <x:v>0</x:v>
      </x:c>
      <x:c r="H136" s="13" t="n">
        <x:v>0</x:v>
      </x:c>
      <x:c r="I136" s="10" t="n">
        <x:v>0</x:v>
      </x:c>
      <x:c r="J136" s="10" t="n">
        <x:v>0</x:v>
      </x:c>
      <x:c r="K136" s="10" t="str">
        <x:v>22 Mo.</x:v>
      </x:c>
      <x:c r="L136" s="10" t="n">
        <x:v>11</x:v>
      </x:c>
      <x:c r="M136" s="10" t="n">
        <x:v>0</x:v>
      </x:c>
      <x:c r="N136" s="10" t="n">
        <x:v>192</x:v>
      </x:c>
      <x:c r="O136" s="10" t="str">
        <x:v>Paper &amp; Party Supplies</x:v>
      </x:c>
      <x:c r="P136" s="10" t="n">
        <x:v>83</x:v>
      </x:c>
      <x:c r="Q136" s="10" t="n">
        <x:v>0</x:v>
      </x:c>
      <x:c r="R136" s="13" t="n">
        <x:v>0</x:v>
      </x:c>
      <x:c r="S136" s="10" t="n">
        <x:v>824</x:v>
      </x:c>
      <x:c r="T136" s="10" t="str">
        <x:v>planner stickers,functional stickers,reminder stickers,bill tracker,monthly bills,home bill stickers,finance stickers,electric bill due,phone bill due,water bill due,internet bill due,rent payment due,mortgage payment due</x:v>
      </x:c>
      <x:c r="U136" s="10" t="str">
        <x:v>planner stickers</x:v>
      </x:c>
      <x:c r="V136" s="10" t="str">
        <x:v>functional stickers</x:v>
      </x:c>
      <x:c r="W136" s="10" t="str">
        <x:v>reminder stickers</x:v>
      </x:c>
      <x:c r="X136" s="10" t="str">
        <x:v>bill tracker</x:v>
      </x:c>
      <x:c r="Y136" s="10" t="str">
        <x:v>monthly bills</x:v>
      </x:c>
      <x:c r="Z136" s="10" t="str">
        <x:v>home bill stickers</x:v>
      </x:c>
      <x:c r="AA136" s="10" t="str">
        <x:v>finance stickers</x:v>
      </x:c>
      <x:c r="AB136" s="10" t="str">
        <x:v>electric bill due</x:v>
      </x:c>
      <x:c r="AC136" s="10" t="str">
        <x:v>phone bill due</x:v>
      </x:c>
      <x:c r="AD136" s="10" t="str">
        <x:v>water bill due</x:v>
      </x:c>
      <x:c r="AE136" s="10" t="str">
        <x:v>internet bill due</x:v>
      </x:c>
      <x:c r="AF136" s="10" t="str">
        <x:v>rent payment due</x:v>
      </x:c>
      <x:c r="AG136" s="10" t="str">
        <x:v>mortgage payment due</x:v>
      </x:c>
      <x:c r="AH136" s="10" t="str">
        <x:v>Other mortgage-related</x:v>
      </x:c>
      <x:c r="AI136" s="13" t="n">
        <x:v>22</x:v>
      </x:c>
      <x:c r="AJ136" s="10" t="str">
        <x:f>IF(F136&gt;0,"Active","No est. sales")</x:f>
        <x:v>No est. sales</x:v>
      </x:c>
    </x:row>
    <x:row r="137">
      <x:c r="A137" s="10" t="str">
        <x:v>Loan Amortization Spreadsheet: Debt Payoff Tracker | Google Sheets | Blue</x:v>
      </x:c>
      <x:c r="B137" s="10" t="str">
        <x:v>https://www.etsy.com/listing/4393815251/loan-amortization-spreadsheet-debt</x:v>
      </x:c>
      <x:c r="C137" s="10" t="str">
        <x:v>BusyBeePagesCo</x:v>
      </x:c>
      <x:c r="D137" s="10" t="str">
        <x:v>https://www.etsy.com/shop/BusyBeePagesCo</x:v>
      </x:c>
      <x:c r="E137" s="11" t="n">
        <x:v>5.99</x:v>
      </x:c>
      <x:c r="F137" s="10" t="n">
        <x:v>0</x:v>
      </x:c>
      <x:c r="G137" s="12" t="n">
        <x:v>0</x:v>
      </x:c>
      <x:c r="H137" s="13" t="n">
        <x:v>0</x:v>
      </x:c>
      <x:c r="I137" s="10" t="n">
        <x:v>0</x:v>
      </x:c>
      <x:c r="J137" s="10" t="n">
        <x:v>0</x:v>
      </x:c>
      <x:c r="K137" s="10" t="str">
        <x:v>9 Mo.</x:v>
      </x:c>
      <x:c r="L137" s="10" t="n">
        <x:v>0</x:v>
      </x:c>
      <x:c r="M137" s="10" t="n">
        <x:v>0</x:v>
      </x:c>
      <x:c r="N137" s="10" t="n">
        <x:v>9</x:v>
      </x:c>
      <x:c r="O137" s="10" t="str"/>
      <x:c r="P137" s="10" t="n">
        <x:v>13</x:v>
      </x:c>
      <x:c r="Q137" s="10" t="n">
        <x:v>0</x:v>
      </x:c>
      <x:c r="R137" s="13" t="n">
        <x:v>0</x:v>
      </x:c>
      <x:c r="S137" s="10" t="n">
        <x:v>1</x:v>
      </x:c>
      <x:c r="T137" s="10" t="str">
        <x:v>loan tracker,loan payoff,extra payments,mortgage tracker,payoff planner,debt payoff,amortization,early payoff,finance tracker,loan calculator,budget planner,debt tracker,payoff tracker</x:v>
      </x:c>
      <x:c r="U137" s="10" t="str">
        <x:v>loan tracker</x:v>
      </x:c>
      <x:c r="V137" s="10" t="str">
        <x:v>loan payoff</x:v>
      </x:c>
      <x:c r="W137" s="10" t="str">
        <x:v>extra payments</x:v>
      </x:c>
      <x:c r="X137" s="10" t="str">
        <x:v>mortgage tracker</x:v>
      </x:c>
      <x:c r="Y137" s="10" t="str">
        <x:v>payoff planner</x:v>
      </x:c>
      <x:c r="Z137" s="10" t="str">
        <x:v>debt payoff</x:v>
      </x:c>
      <x:c r="AA137" s="10" t="str">
        <x:v>amortization</x:v>
      </x:c>
      <x:c r="AB137" s="10" t="str">
        <x:v>early payoff</x:v>
      </x:c>
      <x:c r="AC137" s="10" t="str">
        <x:v>finance tracker</x:v>
      </x:c>
      <x:c r="AD137" s="10" t="str">
        <x:v>loan calculator</x:v>
      </x:c>
      <x:c r="AE137" s="10" t="str">
        <x:v>budget planner</x:v>
      </x:c>
      <x:c r="AF137" s="10" t="str">
        <x:v>debt tracker</x:v>
      </x:c>
      <x:c r="AG137" s="10" t="str">
        <x:v>payoff tracker</x:v>
      </x:c>
      <x:c r="AH137" s="10" t="str">
        <x:v>General debt payoff</x:v>
      </x:c>
      <x:c r="AI137" s="13" t="n">
        <x:v>9</x:v>
      </x:c>
      <x:c r="AJ137" s="10" t="str">
        <x:f>IF(F137&gt;0,"Active","No est. sales")</x:f>
        <x:v>No est. sales</x:v>
      </x:c>
    </x:row>
    <x:row r="138">
      <x:c r="A138" s="10" t="str">
        <x:v>Home Buying Planner, First House Purchase Organizer, Real Estate Binder, New Homeowner Checklist Kit</x:v>
      </x:c>
      <x:c r="B138" s="10" t="str">
        <x:v>https://www.etsy.com/listing/4452341589/home-buying-planner-first-house-purchase</x:v>
      </x:c>
      <x:c r="C138" s="10" t="str">
        <x:v>UrbanDaftSpace</x:v>
      </x:c>
      <x:c r="D138" s="10" t="str">
        <x:v>https://www.etsy.com/shop/UrbanDaftSpace</x:v>
      </x:c>
      <x:c r="E138" s="11" t="n">
        <x:v>2.28</x:v>
      </x:c>
      <x:c r="F138" s="10" t="n">
        <x:v>0</x:v>
      </x:c>
      <x:c r="G138" s="12" t="n">
        <x:v>0</x:v>
      </x:c>
      <x:c r="H138" s="13" t="n">
        <x:v>0</x:v>
      </x:c>
      <x:c r="I138" s="10" t="n">
        <x:v>0</x:v>
      </x:c>
      <x:c r="J138" s="10" t="n">
        <x:v>0</x:v>
      </x:c>
      <x:c r="K138" s="10" t="str">
        <x:v>5 Mo.</x:v>
      </x:c>
      <x:c r="L138" s="10" t="n">
        <x:v>0</x:v>
      </x:c>
      <x:c r="M138" s="10" t="n">
        <x:v>0</x:v>
      </x:c>
      <x:c r="N138" s="10" t="n">
        <x:v>5</x:v>
      </x:c>
      <x:c r="O138" s="10" t="str"/>
      <x:c r="P138" s="10" t="n">
        <x:v>5</x:v>
      </x:c>
      <x:c r="Q138" s="10" t="n">
        <x:v>0</x:v>
      </x:c>
      <x:c r="R138" s="13" t="n">
        <x:v>0</x:v>
      </x:c>
      <x:c r="S138" s="10" t="n">
        <x:v>0</x:v>
      </x:c>
      <x:c r="T138" s="10" t="str">
        <x:v>home buying planner,first home buyer,house hunting,real estate binder,home purchase guide,new homeowner gift,property planner,mortgage organizer,home search tracker,moving planner,realtor closing gift,budget planner,house checklist</x:v>
      </x:c>
      <x:c r="U138" s="10" t="str">
        <x:v>home buying planner</x:v>
      </x:c>
      <x:c r="V138" s="10" t="str">
        <x:v>first home buyer</x:v>
      </x:c>
      <x:c r="W138" s="10" t="str">
        <x:v>house hunting</x:v>
      </x:c>
      <x:c r="X138" s="10" t="str">
        <x:v>real estate binder</x:v>
      </x:c>
      <x:c r="Y138" s="10" t="str">
        <x:v>home purchase guide</x:v>
      </x:c>
      <x:c r="Z138" s="10" t="str">
        <x:v>new homeowner gift</x:v>
      </x:c>
      <x:c r="AA138" s="10" t="str">
        <x:v>property planner</x:v>
      </x:c>
      <x:c r="AB138" s="10" t="str">
        <x:v>mortgage organizer</x:v>
      </x:c>
      <x:c r="AC138" s="10" t="str">
        <x:v>home search tracker</x:v>
      </x:c>
      <x:c r="AD138" s="10" t="str">
        <x:v>moving planner</x:v>
      </x:c>
      <x:c r="AE138" s="10" t="str">
        <x:v>realtor closing gift</x:v>
      </x:c>
      <x:c r="AF138" s="10" t="str">
        <x:v>budget planner</x:v>
      </x:c>
      <x:c r="AG138" s="10" t="str">
        <x:v>house checklist</x:v>
      </x:c>
      <x:c r="AH138" s="10" t="str">
        <x:v>Home buying planner</x:v>
      </x:c>
      <x:c r="AI138" s="13" t="n">
        <x:v>5</x:v>
      </x:c>
      <x:c r="AJ138" s="10" t="str">
        <x:f>IF(F138&gt;0,"Active","No est. sales")</x:f>
        <x:v>No est. sales</x:v>
      </x:c>
    </x:row>
    <x:row r="139">
      <x:c r="A139" s="10" t="str">
        <x:v>New Homeowner Finance Kit, Home Affordability &amp; Mortgage Calculator Excel, Closing Cost and Move Planner, First Time Home Buyer Checklist</x:v>
      </x:c>
      <x:c r="B139" s="10" t="str">
        <x:v>https://www.etsy.com/listing/4529861198/new-homeowner-finance-kit-home</x:v>
      </x:c>
      <x:c r="C139" s="10" t="str">
        <x:v>Notaform</x:v>
      </x:c>
      <x:c r="D139" s="10" t="str">
        <x:v>https://www.etsy.com/shop/Notaform</x:v>
      </x:c>
      <x:c r="E139" s="11" t="n">
        <x:v>14.26</x:v>
      </x:c>
      <x:c r="F139" s="10" t="n">
        <x:v>0</x:v>
      </x:c>
      <x:c r="G139" s="12" t="n">
        <x:v>0</x:v>
      </x:c>
      <x:c r="H139" s="13" t="n">
        <x:v>0</x:v>
      </x:c>
      <x:c r="I139" s="10" t="n">
        <x:v>0</x:v>
      </x:c>
      <x:c r="J139" s="10" t="n">
        <x:v>0</x:v>
      </x:c>
      <x:c r="K139" s="10" t="str">
        <x:v>1 Mo.</x:v>
      </x:c>
      <x:c r="L139" s="10" t="n">
        <x:v>0</x:v>
      </x:c>
      <x:c r="M139" s="10" t="n">
        <x:v>0</x:v>
      </x:c>
      <x:c r="N139" s="10" t="n">
        <x:v>3</x:v>
      </x:c>
      <x:c r="O139" s="10" t="str"/>
      <x:c r="P139" s="10" t="n">
        <x:v>1</x:v>
      </x:c>
      <x:c r="Q139" s="10" t="n">
        <x:v>0</x:v>
      </x:c>
      <x:c r="R139" s="13" t="n">
        <x:v>0</x:v>
      </x:c>
      <x:c r="S139" s="10" t="n">
        <x:v>0</x:v>
      </x:c>
      <x:c r="T139" s="10" t="str">
        <x:v>first home buyer,mortgage calculator,home affordability,closing costs,new homeowner,house budget,home buyer planner,buy a house,moving checklist,home maintenance,personal finance,budget spreadsheet,excel template</x:v>
      </x:c>
      <x:c r="U139" s="10" t="str">
        <x:v>first home buyer</x:v>
      </x:c>
      <x:c r="V139" s="10" t="str">
        <x:v>mortgage calculator</x:v>
      </x:c>
      <x:c r="W139" s="10" t="str">
        <x:v>home affordability</x:v>
      </x:c>
      <x:c r="X139" s="10" t="str">
        <x:v>closing costs</x:v>
      </x:c>
      <x:c r="Y139" s="10" t="str">
        <x:v>new homeowner</x:v>
      </x:c>
      <x:c r="Z139" s="10" t="str">
        <x:v>house budget</x:v>
      </x:c>
      <x:c r="AA139" s="10" t="str">
        <x:v>home buyer planner</x:v>
      </x:c>
      <x:c r="AB139" s="10" t="str">
        <x:v>buy a house</x:v>
      </x:c>
      <x:c r="AC139" s="10" t="str">
        <x:v>moving checklist</x:v>
      </x:c>
      <x:c r="AD139" s="10" t="str">
        <x:v>home maintenance</x:v>
      </x:c>
      <x:c r="AE139" s="10" t="str">
        <x:v>personal finance</x:v>
      </x:c>
      <x:c r="AF139" s="10" t="str">
        <x:v>budget spreadsheet</x:v>
      </x:c>
      <x:c r="AG139" s="10" t="str">
        <x:v>excel template</x:v>
      </x:c>
      <x:c r="AH139" s="10" t="str">
        <x:v>Home buying planner</x:v>
      </x:c>
      <x:c r="AI139" s="13" t="n">
        <x:v>1</x:v>
      </x:c>
      <x:c r="AJ139" s="10" t="str">
        <x:f>IF(F139&gt;0,"Active","No est. sales")</x:f>
        <x:v>No est. sales</x:v>
      </x:c>
    </x:row>
    <x:row r="140">
      <x:c r="A140" s="10" t="str">
        <x:v>Canadian Mortgage Affordability Calculator | Home Buying Budget Spreadsheet | GDS TDS Stress Test Excel Template | Canada Real Estate</x:v>
      </x:c>
      <x:c r="B140" s="10" t="str">
        <x:v>https://www.etsy.com/listing/4533726722/canadian-mortgage-affordability</x:v>
      </x:c>
      <x:c r="C140" s="10" t="str">
        <x:v>TidyTemplateCoShop</x:v>
      </x:c>
      <x:c r="D140" s="10" t="str">
        <x:v>https://www.etsy.com/shop/TidyTemplateCoShop</x:v>
      </x:c>
      <x:c r="E140" s="11" t="n">
        <x:v>7.1</x:v>
      </x:c>
      <x:c r="F140" s="10" t="n">
        <x:v>0</x:v>
      </x:c>
      <x:c r="G140" s="12" t="n">
        <x:v>0</x:v>
      </x:c>
      <x:c r="H140" s="13" t="n">
        <x:v>0</x:v>
      </x:c>
      <x:c r="I140" s="10" t="n">
        <x:v>0</x:v>
      </x:c>
      <x:c r="J140" s="10" t="n">
        <x:v>0</x:v>
      </x:c>
      <x:c r="K140" s="10" t="str">
        <x:v>1 Mo.</x:v>
      </x:c>
      <x:c r="L140" s="10" t="n">
        <x:v>0</x:v>
      </x:c>
      <x:c r="M140" s="10" t="n">
        <x:v>0</x:v>
      </x:c>
      <x:c r="N140" s="10" t="n">
        <x:v>4</x:v>
      </x:c>
      <x:c r="O140" s="10" t="str"/>
      <x:c r="P140" s="10" t="n">
        <x:v>0</x:v>
      </x:c>
      <x:c r="Q140" s="10" t="n">
        <x:v>0</x:v>
      </x:c>
      <x:c r="R140" s="13" t="n">
        <x:v>0</x:v>
      </x:c>
      <x:c r="S140" s="10" t="n">
        <x:v>0</x:v>
      </x:c>
      <x:c r="T140" s="10" t="str">
        <x:v>mortgage calculator,canada mortgage,home affordability,mortgage spreadsheet,canadian real estate,mortgage stress test,house budget,excel calculator,home buying planner,mortgage template,gds tds ratio,digital download</x:v>
      </x:c>
      <x:c r="U140" s="10" t="str">
        <x:v>mortgage calculator</x:v>
      </x:c>
      <x:c r="V140" s="10" t="str">
        <x:v>canada mortgage</x:v>
      </x:c>
      <x:c r="W140" s="10" t="str">
        <x:v>home affordability</x:v>
      </x:c>
      <x:c r="X140" s="10" t="str">
        <x:v>mortgage spreadsheet</x:v>
      </x:c>
      <x:c r="Y140" s="10" t="str">
        <x:v>canadian real estate</x:v>
      </x:c>
      <x:c r="Z140" s="10" t="str">
        <x:v>mortgage stress test</x:v>
      </x:c>
      <x:c r="AA140" s="10" t="str">
        <x:v>house budget</x:v>
      </x:c>
      <x:c r="AB140" s="10" t="str">
        <x:v>excel calculator</x:v>
      </x:c>
      <x:c r="AC140" s="10" t="str">
        <x:v>home buying planner</x:v>
      </x:c>
      <x:c r="AD140" s="10" t="str">
        <x:v>mortgage template</x:v>
      </x:c>
      <x:c r="AE140" s="10" t="str">
        <x:v>gds tds ratio</x:v>
      </x:c>
      <x:c r="AF140" s="10" t="str">
        <x:v>digital download</x:v>
      </x:c>
      <x:c r="AG140" s="10" t="str">
        <x:v>--</x:v>
      </x:c>
      <x:c r="AH140" s="10" t="str">
        <x:v>Home buying planner</x:v>
      </x:c>
      <x:c r="AI140" s="13" t="n">
        <x:v>1</x:v>
      </x:c>
      <x:c r="AJ140" s="10" t="str">
        <x:f>IF(F140&gt;0,"Active","No est. sales")</x:f>
        <x:v>No est. sales</x:v>
      </x:c>
    </x:row>
    <x:row r="141">
      <x:c r="A141" s="10" t="str">
        <x:v>100K House Savings Tracker, House Payoff Tracker Printable, Savings Challenge, Savings Tracker, Saving Goals, House Down Payment Planner PDF</x:v>
      </x:c>
      <x:c r="B141" s="10" t="str">
        <x:v>https://www.etsy.com/listing/1117994648/100k-house-savings-tracker-house-payoff</x:v>
      </x:c>
      <x:c r="C141" s="10" t="str">
        <x:v>ThreeDollsPrintables</x:v>
      </x:c>
      <x:c r="D141" s="10" t="str">
        <x:v>https://www.etsy.com/shop/ThreeDollsPrintables</x:v>
      </x:c>
      <x:c r="E141" s="11" t="n">
        <x:v>2</x:v>
      </x:c>
      <x:c r="F141" s="10" t="n">
        <x:v>0</x:v>
      </x:c>
      <x:c r="G141" s="12" t="n">
        <x:v>0</x:v>
      </x:c>
      <x:c r="H141" s="13" t="n">
        <x:v>0</x:v>
      </x:c>
      <x:c r="I141" s="10" t="n">
        <x:v>13</x:v>
      </x:c>
      <x:c r="J141" s="10" t="n">
        <x:v>1</x:v>
      </x:c>
      <x:c r="K141" s="10" t="str">
        <x:v>55 Mo.</x:v>
      </x:c>
      <x:c r="L141" s="10" t="n">
        <x:v>47</x:v>
      </x:c>
      <x:c r="M141" s="10" t="n">
        <x:v>0</x:v>
      </x:c>
      <x:c r="N141" s="10" t="n">
        <x:v>1660</x:v>
      </x:c>
      <x:c r="O141" s="10" t="str">
        <x:v>Paper &amp; Party Supplies</x:v>
      </x:c>
      <x:c r="P141" s="10" t="n">
        <x:v>70</x:v>
      </x:c>
      <x:c r="Q141" s="10" t="n">
        <x:v>0</x:v>
      </x:c>
      <x:c r="R141" s="13" t="n">
        <x:v>0.78</x:v>
      </x:c>
      <x:c r="S141" s="10" t="n">
        <x:v>4169</x:v>
      </x:c>
      <x:c r="T141" s="10" t="str">
        <x:v>savings challenge,saving challenge,house saving tracker,house payoff tracker,finance tracker,dave ramsay,savings goal,savings planner,printable saving,house down payment,home savings tracker,mortgage tracker,100k savings tracker</x:v>
      </x:c>
      <x:c r="U141" s="10" t="str">
        <x:v>savings challenge</x:v>
      </x:c>
      <x:c r="V141" s="10" t="str">
        <x:v>saving challenge</x:v>
      </x:c>
      <x:c r="W141" s="10" t="str">
        <x:v>house saving tracker</x:v>
      </x:c>
      <x:c r="X141" s="10" t="str">
        <x:v>house payoff tracker</x:v>
      </x:c>
      <x:c r="Y141" s="10" t="str">
        <x:v>finance tracker</x:v>
      </x:c>
      <x:c r="Z141" s="10" t="str">
        <x:v>dave ramsay</x:v>
      </x:c>
      <x:c r="AA141" s="10" t="str">
        <x:v>savings goal</x:v>
      </x:c>
      <x:c r="AB141" s="10" t="str">
        <x:v>savings planner</x:v>
      </x:c>
      <x:c r="AC141" s="10" t="str">
        <x:v>printable saving</x:v>
      </x:c>
      <x:c r="AD141" s="10" t="str">
        <x:v>house down payment</x:v>
      </x:c>
      <x:c r="AE141" s="10" t="str">
        <x:v>home savings tracker</x:v>
      </x:c>
      <x:c r="AF141" s="10" t="str">
        <x:v>mortgage tracker</x:v>
      </x:c>
      <x:c r="AG141" s="10" t="str">
        <x:v>100k savings tracker</x:v>
      </x:c>
      <x:c r="AH141" s="10" t="str">
        <x:v>Other mortgage-related</x:v>
      </x:c>
      <x:c r="AI141" s="13" t="n">
        <x:v>55</x:v>
      </x:c>
      <x:c r="AJ141" s="10" t="str">
        <x:f>IF(F141&gt;0,"Active","No est. sales")</x:f>
        <x:v>No est. sales</x:v>
      </x:c>
    </x:row>
    <x:row r="142">
      <x:c r="A142" s="10" t="str">
        <x:v>Editable Moving Checklist Template | Realtor Client Gift (Canva PDF)</x:v>
      </x:c>
      <x:c r="B142" s="10" t="str">
        <x:v>https://www.etsy.com/listing/4321557137/editable-moving-checklist-template</x:v>
      </x:c>
      <x:c r="C142" s="10" t="str">
        <x:v>RealtorDesignShop</x:v>
      </x:c>
      <x:c r="D142" s="10" t="str">
        <x:v>https://www.etsy.com/shop/RealtorDesignShop</x:v>
      </x:c>
      <x:c r="E142" s="11" t="n">
        <x:v>7.1</x:v>
      </x:c>
      <x:c r="F142" s="10" t="n">
        <x:v>0</x:v>
      </x:c>
      <x:c r="G142" s="12" t="n">
        <x:v>0</x:v>
      </x:c>
      <x:c r="H142" s="13" t="n">
        <x:v>0</x:v>
      </x:c>
      <x:c r="I142" s="10" t="n">
        <x:v>0</x:v>
      </x:c>
      <x:c r="J142" s="10" t="n">
        <x:v>0</x:v>
      </x:c>
      <x:c r="K142" s="10" t="str">
        <x:v>13 Mo.</x:v>
      </x:c>
      <x:c r="L142" s="10" t="n">
        <x:v>0</x:v>
      </x:c>
      <x:c r="M142" s="10" t="n">
        <x:v>0</x:v>
      </x:c>
      <x:c r="N142" s="10" t="n">
        <x:v>7</x:v>
      </x:c>
      <x:c r="O142" s="10" t="str">
        <x:v>Paper &amp; Party Supplies</x:v>
      </x:c>
      <x:c r="P142" s="10" t="n">
        <x:v>59</x:v>
      </x:c>
      <x:c r="Q142" s="10" t="n">
        <x:v>0</x:v>
      </x:c>
      <x:c r="R142" s="13" t="n">
        <x:v>0</x:v>
      </x:c>
      <x:c r="S142" s="10" t="n">
        <x:v>86</x:v>
      </x:c>
      <x:c r="T142" s="10" t="str">
        <x:v>moving day planner,homebuyer gift,digital product,mortgage broker,real estate download,client gift idea,editable checklist,canva template,realtor marketing,moving checklist</x:v>
      </x:c>
      <x:c r="U142" s="10" t="str">
        <x:v>moving day planner</x:v>
      </x:c>
      <x:c r="V142" s="10" t="str">
        <x:v>homebuyer gift</x:v>
      </x:c>
      <x:c r="W142" s="10" t="str">
        <x:v>digital product</x:v>
      </x:c>
      <x:c r="X142" s="10" t="str">
        <x:v>mortgage broker</x:v>
      </x:c>
      <x:c r="Y142" s="10" t="str">
        <x:v>real estate download</x:v>
      </x:c>
      <x:c r="Z142" s="10" t="str">
        <x:v>client gift idea</x:v>
      </x:c>
      <x:c r="AA142" s="10" t="str">
        <x:v>editable checklist</x:v>
      </x:c>
      <x:c r="AB142" s="10" t="str">
        <x:v>canva template</x:v>
      </x:c>
      <x:c r="AC142" s="10" t="str">
        <x:v>realtor marketing</x:v>
      </x:c>
      <x:c r="AD142" s="10" t="str">
        <x:v>moving checklist</x:v>
      </x:c>
      <x:c r="AE142" s="10" t="str">
        <x:v>--</x:v>
      </x:c>
      <x:c r="AF142" s="10" t="str">
        <x:v>--</x:v>
      </x:c>
      <x:c r="AG142" s="10" t="str">
        <x:v>--</x:v>
      </x:c>
      <x:c r="AH142" s="10" t="str">
        <x:v>Loan officer / B2B</x:v>
      </x:c>
      <x:c r="AI142" s="13" t="n">
        <x:v>13</x:v>
      </x:c>
      <x:c r="AJ142" s="10" t="str">
        <x:f>IF(F142&gt;0,"Active","No est. sales")</x:f>
        <x:v>No est. sales</x:v>
      </x:c>
    </x:row>
    <x:row r="143">
      <x:c r="A143" s="10" t="str">
        <x:v>First Time Home Buyer Planner | House Hunting Checklist | Mortgage &amp; Budget Tracker | Moving Planner</x:v>
      </x:c>
      <x:c r="B143" s="10" t="str">
        <x:v>https://www.etsy.com/listing/4493951437/first-time-home-buyer-planner-house</x:v>
      </x:c>
      <x:c r="C143" s="10" t="str">
        <x:v>Szabigital</x:v>
      </x:c>
      <x:c r="D143" s="10" t="str">
        <x:v>https://www.etsy.com/shop/Szabigital</x:v>
      </x:c>
      <x:c r="E143" s="11" t="n">
        <x:v>4.98</x:v>
      </x:c>
      <x:c r="F143" s="10" t="n">
        <x:v>0</x:v>
      </x:c>
      <x:c r="G143" s="12" t="n">
        <x:v>0</x:v>
      </x:c>
      <x:c r="H143" s="13" t="n">
        <x:v>0</x:v>
      </x:c>
      <x:c r="I143" s="10" t="n">
        <x:v>0</x:v>
      </x:c>
      <x:c r="J143" s="10" t="n">
        <x:v>0</x:v>
      </x:c>
      <x:c r="K143" s="10" t="str">
        <x:v>3 Mo.</x:v>
      </x:c>
      <x:c r="L143" s="10" t="n">
        <x:v>0</x:v>
      </x:c>
      <x:c r="M143" s="10" t="n">
        <x:v>0</x:v>
      </x:c>
      <x:c r="N143" s="10" t="n">
        <x:v>22</x:v>
      </x:c>
      <x:c r="O143" s="10" t="str">
        <x:v>Paper &amp; Party Supplies</x:v>
      </x:c>
      <x:c r="P143" s="10" t="n">
        <x:v>4</x:v>
      </x:c>
      <x:c r="Q143" s="10" t="n">
        <x:v>0</x:v>
      </x:c>
      <x:c r="R143" s="13" t="n">
        <x:v>0</x:v>
      </x:c>
      <x:c r="S143" s="10" t="n">
        <x:v>7</x:v>
      </x:c>
      <x:c r="T143" s="10" t="str">
        <x:v>moving planner pdf,home buying planner,house hunting check,moving organizer pdf,relocation planner,first home buyer gui,home planner print,moving checklist,house comparison she,renovation planner,budget planner home,digital moving plan,home organization</x:v>
      </x:c>
      <x:c r="U143" s="10" t="str">
        <x:v>moving planner pdf</x:v>
      </x:c>
      <x:c r="V143" s="10" t="str">
        <x:v>home buying planner</x:v>
      </x:c>
      <x:c r="W143" s="10" t="str">
        <x:v>house hunting check</x:v>
      </x:c>
      <x:c r="X143" s="10" t="str">
        <x:v>moving organizer pdf</x:v>
      </x:c>
      <x:c r="Y143" s="10" t="str">
        <x:v>relocation planner</x:v>
      </x:c>
      <x:c r="Z143" s="10" t="str">
        <x:v>first home buyer gui</x:v>
      </x:c>
      <x:c r="AA143" s="10" t="str">
        <x:v>home planner print</x:v>
      </x:c>
      <x:c r="AB143" s="10" t="str">
        <x:v>moving checklist</x:v>
      </x:c>
      <x:c r="AC143" s="10" t="str">
        <x:v>house comparison she</x:v>
      </x:c>
      <x:c r="AD143" s="10" t="str">
        <x:v>renovation planner</x:v>
      </x:c>
      <x:c r="AE143" s="10" t="str">
        <x:v>budget planner home</x:v>
      </x:c>
      <x:c r="AF143" s="10" t="str">
        <x:v>digital moving plan</x:v>
      </x:c>
      <x:c r="AG143" s="10" t="str">
        <x:v>home organization</x:v>
      </x:c>
      <x:c r="AH143" s="10" t="str">
        <x:v>Home buying planner</x:v>
      </x:c>
      <x:c r="AI143" s="13" t="n">
        <x:v>3</x:v>
      </x:c>
      <x:c r="AJ143" s="10" t="str">
        <x:f>IF(F143&gt;0,"Active","No est. sales")</x:f>
        <x:v>No est. sales</x:v>
      </x:c>
    </x:row>
    <x:row r="144">
      <x:c r="A144" s="10" t="str">
        <x:v>Mortgage Payoff Planner Spreadsheet | Extra Payment Calculator | Amortization Schedule | Excel &amp; Google Sheets | Interest Savings Tracker</x:v>
      </x:c>
      <x:c r="B144" s="10" t="str">
        <x:v>https://www.etsy.com/listing/4538247080/mortgage-payoff-planner-spreadsheet</x:v>
      </x:c>
      <x:c r="C144" s="10" t="str">
        <x:v>FarButClose</x:v>
      </x:c>
      <x:c r="D144" s="10" t="str">
        <x:v>https://www.etsy.com/shop/FarButClose</x:v>
      </x:c>
      <x:c r="E144" s="11" t="n">
        <x:v>7.5</x:v>
      </x:c>
      <x:c r="F144" s="10" t="n">
        <x:v>0</x:v>
      </x:c>
      <x:c r="G144" s="12" t="n">
        <x:v>0</x:v>
      </x:c>
      <x:c r="H144" s="13" t="n">
        <x:v>0</x:v>
      </x:c>
      <x:c r="I144" s="10" t="n">
        <x:v>0</x:v>
      </x:c>
      <x:c r="J144" s="10" t="n">
        <x:v>0</x:v>
      </x:c>
      <x:c r="K144" s="10" t="str">
        <x:v>1 Mo.</x:v>
      </x:c>
      <x:c r="L144" s="10" t="n">
        <x:v>1</x:v>
      </x:c>
      <x:c r="M144" s="10" t="n">
        <x:v>0</x:v>
      </x:c>
      <x:c r="N144" s="10" t="n">
        <x:v>4</x:v>
      </x:c>
      <x:c r="O144" s="10" t="str"/>
      <x:c r="P144" s="10" t="n">
        <x:v>6</x:v>
      </x:c>
      <x:c r="Q144" s="10" t="n">
        <x:v>0</x:v>
      </x:c>
      <x:c r="R144" s="13" t="n">
        <x:v>0</x:v>
      </x:c>
      <x:c r="S144" s="10" t="n">
        <x:v>13</x:v>
      </x:c>
      <x:c r="T144" s="10" t="str">
        <x:v>mortgage payoff,mortgage tracker,payoff planner,loan calculator,amortization,home loan,extra payment,interest tracker,excel template,google sheets,finance planner,debt free,mortgage excel</x:v>
      </x:c>
      <x:c r="U144" s="10" t="str">
        <x:v>mortgage payoff</x:v>
      </x:c>
      <x:c r="V144" s="10" t="str">
        <x:v>mortgage tracker</x:v>
      </x:c>
      <x:c r="W144" s="10" t="str">
        <x:v>payoff planner</x:v>
      </x:c>
      <x:c r="X144" s="10" t="str">
        <x:v>loan calculator</x:v>
      </x:c>
      <x:c r="Y144" s="10" t="str">
        <x:v>amortization</x:v>
      </x:c>
      <x:c r="Z144" s="10" t="str">
        <x:v>home loan</x:v>
      </x:c>
      <x:c r="AA144" s="10" t="str">
        <x:v>extra payment</x:v>
      </x:c>
      <x:c r="AB144" s="10" t="str">
        <x:v>interest tracker</x:v>
      </x:c>
      <x:c r="AC144" s="10" t="str">
        <x:v>excel template</x:v>
      </x:c>
      <x:c r="AD144" s="10" t="str">
        <x:v>google sheets</x:v>
      </x:c>
      <x:c r="AE144" s="10" t="str">
        <x:v>finance planner</x:v>
      </x:c>
      <x:c r="AF144" s="10" t="str">
        <x:v>debt free</x:v>
      </x:c>
      <x:c r="AG144" s="10" t="str">
        <x:v>mortgage excel</x:v>
      </x:c>
      <x:c r="AH144" s="10" t="str">
        <x:v>Mortgage payoff / calculator</x:v>
      </x:c>
      <x:c r="AI144" s="13" t="n">
        <x:v>1</x:v>
      </x:c>
      <x:c r="AJ144" s="10" t="str">
        <x:f>IF(F144&gt;0,"Active","No est. sales")</x:f>
        <x:v>No est. sales</x:v>
      </x:c>
    </x:row>
    <x:row r="145">
      <x:c r="A145" s="10" t="str">
        <x:v>2026 Personal Finance Excel Template | Budget, Investments, Mortgage, Tax Calculator (Digital Download)</x:v>
      </x:c>
      <x:c r="B145" s="10" t="str">
        <x:v>https://www.etsy.com/listing/4544105968/2026-personal-finance-excel-template</x:v>
      </x:c>
      <x:c r="C145" s="10" t="str">
        <x:v>FinScope</x:v>
      </x:c>
      <x:c r="D145" s="10" t="str">
        <x:v>https://www.etsy.com/shop/FinScope</x:v>
      </x:c>
      <x:c r="E145" s="11" t="n">
        <x:v>8.5</x:v>
      </x:c>
      <x:c r="F145" s="10" t="n">
        <x:v>0</x:v>
      </x:c>
      <x:c r="G145" s="12" t="n">
        <x:v>0</x:v>
      </x:c>
      <x:c r="H145" s="13" t="n">
        <x:v>0</x:v>
      </x:c>
      <x:c r="I145" s="10" t="n">
        <x:v>0</x:v>
      </x:c>
      <x:c r="J145" s="10" t="n">
        <x:v>0</x:v>
      </x:c>
      <x:c r="K145" s="10" t="str">
        <x:v>1 Mo.</x:v>
      </x:c>
      <x:c r="L145" s="10" t="n">
        <x:v>0</x:v>
      </x:c>
      <x:c r="M145" s="10" t="n">
        <x:v>0</x:v>
      </x:c>
      <x:c r="N145" s="10" t="n">
        <x:v>13</x:v>
      </x:c>
      <x:c r="O145" s="10" t="str"/>
      <x:c r="P145" s="10" t="n">
        <x:v>0</x:v>
      </x:c>
      <x:c r="Q145" s="10" t="n">
        <x:v>0</x:v>
      </x:c>
      <x:c r="R145" s="13" t="n">
        <x:v>0</x:v>
      </x:c>
      <x:c r="S145" s="10" t="n">
        <x:v>0</x:v>
      </x:c>
      <x:c r="T145" s="10" t="str">
        <x:v>canadian budget,canadian finance,personal finance,excel budget,excel template,budget planner,expense tracker,money planner,investment tracker,mortgage planner,tax estimator,rrsp,fhsa</x:v>
      </x:c>
      <x:c r="U145" s="10" t="str">
        <x:v>canadian budget</x:v>
      </x:c>
      <x:c r="V145" s="10" t="str">
        <x:v>canadian finance</x:v>
      </x:c>
      <x:c r="W145" s="10" t="str">
        <x:v>personal finance</x:v>
      </x:c>
      <x:c r="X145" s="10" t="str">
        <x:v>excel budget</x:v>
      </x:c>
      <x:c r="Y145" s="10" t="str">
        <x:v>excel template</x:v>
      </x:c>
      <x:c r="Z145" s="10" t="str">
        <x:v>budget planner</x:v>
      </x:c>
      <x:c r="AA145" s="10" t="str">
        <x:v>expense tracker</x:v>
      </x:c>
      <x:c r="AB145" s="10" t="str">
        <x:v>money planner</x:v>
      </x:c>
      <x:c r="AC145" s="10" t="str">
        <x:v>investment tracker</x:v>
      </x:c>
      <x:c r="AD145" s="10" t="str">
        <x:v>mortgage planner</x:v>
      </x:c>
      <x:c r="AE145" s="10" t="str">
        <x:v>tax estimator</x:v>
      </x:c>
      <x:c r="AF145" s="10" t="str">
        <x:v>rrsp</x:v>
      </x:c>
      <x:c r="AG145" s="10" t="str">
        <x:v>fhsa</x:v>
      </x:c>
      <x:c r="AH145" s="10" t="str">
        <x:v>Other mortgage-related</x:v>
      </x:c>
      <x:c r="AI145" s="13" t="n">
        <x:v>1</x:v>
      </x:c>
      <x:c r="AJ145" s="10" t="str">
        <x:f>IF(F145&gt;0,"Active","No est. sales")</x:f>
        <x:v>No est. sales</x:v>
      </x:c>
    </x:row>
    <x:row r="146">
      <x:c r="A146" s="10" t="str">
        <x:v>Debt snowball spreadsheet payoff spreadsheet calculator  google sheets mortgage payoff student loan credit card mortgage Budget Planner</x:v>
      </x:c>
      <x:c r="B146" s="10" t="str">
        <x:v>https://www.etsy.com/listing/1443005304/debt-snowball-calculator-finance-planner</x:v>
      </x:c>
      <x:c r="C146" s="10" t="str">
        <x:v>MoneyDecodedShop</x:v>
      </x:c>
      <x:c r="D146" s="10" t="str">
        <x:v>https://www.etsy.com/shop/MoneyDecodedShop</x:v>
      </x:c>
      <x:c r="E146" s="11" t="n">
        <x:v>7.2</x:v>
      </x:c>
      <x:c r="F146" s="10" t="n">
        <x:v>0</x:v>
      </x:c>
      <x:c r="G146" s="12" t="n">
        <x:v>0</x:v>
      </x:c>
      <x:c r="H146" s="13" t="n">
        <x:v>0</x:v>
      </x:c>
      <x:c r="I146" s="10" t="n">
        <x:v>0</x:v>
      </x:c>
      <x:c r="J146" s="10" t="n">
        <x:v>0</x:v>
      </x:c>
      <x:c r="K146" s="10" t="str">
        <x:v>39 Mo.</x:v>
      </x:c>
      <x:c r="L146" s="10" t="n">
        <x:v>4</x:v>
      </x:c>
      <x:c r="M146" s="10" t="n">
        <x:v>0</x:v>
      </x:c>
      <x:c r="N146" s="10" t="n">
        <x:v>39</x:v>
      </x:c>
      <x:c r="O146" s="10" t="str">
        <x:v>Paper &amp; Party Supplies</x:v>
      </x:c>
      <x:c r="P146" s="10" t="n">
        <x:v>43</x:v>
      </x:c>
      <x:c r="Q146" s="10" t="n">
        <x:v>0</x:v>
      </x:c>
      <x:c r="R146" s="13" t="n">
        <x:v>0</x:v>
      </x:c>
      <x:c r="S146" s="10" t="n">
        <x:v>1419</x:v>
      </x:c>
      <x:c r="T146" s="10" t="str">
        <x:v>debt snowball,payoff repayment,credit card tracker,payment free,google sheets,spreadsheet,personal finance,management freedom,reduction goal,calculator loan,mortgage student,credit card excel,student budget plan</x:v>
      </x:c>
      <x:c r="U146" s="10" t="str">
        <x:v>debt snowball</x:v>
      </x:c>
      <x:c r="V146" s="10" t="str">
        <x:v>payoff repayment</x:v>
      </x:c>
      <x:c r="W146" s="10" t="str">
        <x:v>credit card tracker</x:v>
      </x:c>
      <x:c r="X146" s="10" t="str">
        <x:v>payment free</x:v>
      </x:c>
      <x:c r="Y146" s="10" t="str">
        <x:v>google sheets</x:v>
      </x:c>
      <x:c r="Z146" s="10" t="str">
        <x:v>spreadsheet</x:v>
      </x:c>
      <x:c r="AA146" s="10" t="str">
        <x:v>personal finance</x:v>
      </x:c>
      <x:c r="AB146" s="10" t="str">
        <x:v>management freedom</x:v>
      </x:c>
      <x:c r="AC146" s="10" t="str">
        <x:v>reduction goal</x:v>
      </x:c>
      <x:c r="AD146" s="10" t="str">
        <x:v>calculator loan</x:v>
      </x:c>
      <x:c r="AE146" s="10" t="str">
        <x:v>mortgage student</x:v>
      </x:c>
      <x:c r="AF146" s="10" t="str">
        <x:v>credit card excel</x:v>
      </x:c>
      <x:c r="AG146" s="10" t="str">
        <x:v>student budget plan</x:v>
      </x:c>
      <x:c r="AH146" s="10" t="str">
        <x:v>General debt payoff</x:v>
      </x:c>
      <x:c r="AI146" s="13" t="n">
        <x:v>39</x:v>
      </x:c>
      <x:c r="AJ146" s="10" t="str">
        <x:f>IF(F146&gt;0,"Active","No est. sales")</x:f>
        <x:v>No est. sales</x:v>
      </x:c>
    </x:row>
    <x:row r="147">
      <x:c r="A147" s="10" t="str">
        <x:v>Cute Polar Bear &amp;quot;Rent Due&amp;quot; Planner Stickers, Budgeting, Hand Drawn, Bullet Journal, Hobonichi, Travel Journaling</x:v>
      </x:c>
      <x:c r="B147" s="10" t="str">
        <x:v>https://www.etsy.com/listing/1670625708/cute-polar-bear-rent-due-planner</x:v>
      </x:c>
      <x:c r="C147" s="10" t="str">
        <x:v>BusyBearCollection</x:v>
      </x:c>
      <x:c r="D147" s="10" t="str">
        <x:v>https://www.etsy.com/shop/BusyBearCollection</x:v>
      </x:c>
      <x:c r="E147" s="11" t="n">
        <x:v>3.25</x:v>
      </x:c>
      <x:c r="F147" s="10" t="n">
        <x:v>0</x:v>
      </x:c>
      <x:c r="G147" s="12" t="n">
        <x:v>0</x:v>
      </x:c>
      <x:c r="H147" s="13" t="n">
        <x:v>0</x:v>
      </x:c>
      <x:c r="I147" s="10" t="n">
        <x:v>20</x:v>
      </x:c>
      <x:c r="J147" s="10" t="n">
        <x:v>5</x:v>
      </x:c>
      <x:c r="K147" s="10" t="str">
        <x:v>29 Mo.</x:v>
      </x:c>
      <x:c r="L147" s="10" t="n">
        <x:v>87</x:v>
      </x:c>
      <x:c r="M147" s="10" t="n">
        <x:v>0</x:v>
      </x:c>
      <x:c r="N147" s="10" t="n">
        <x:v>1704</x:v>
      </x:c>
      <x:c r="O147" s="10" t="str">
        <x:v>Paper &amp; Party Supplies</x:v>
      </x:c>
      <x:c r="P147" s="10" t="n">
        <x:v>55</x:v>
      </x:c>
      <x:c r="Q147" s="10" t="n">
        <x:v>25</x:v>
      </x:c>
      <x:c r="R147" s="13" t="n">
        <x:v>1.17</x:v>
      </x:c>
      <x:c r="S147" s="10" t="n">
        <x:v>1998</x:v>
      </x:c>
      <x:c r="T147" s="10" t="str">
        <x:v>planner stickers,cute polar bear,bullet journal,traveller's notebook,notebook therapy,financial budgeting,money management,busy bear sticker,bills due,pay bill reminder,utility bill,rent due,mortgage payment</x:v>
      </x:c>
      <x:c r="U147" s="10" t="str">
        <x:v>planner stickers</x:v>
      </x:c>
      <x:c r="V147" s="10" t="str">
        <x:v>cute polar bear</x:v>
      </x:c>
      <x:c r="W147" s="10" t="str">
        <x:v>bullet journal</x:v>
      </x:c>
      <x:c r="X147" s="10" t="str">
        <x:v>traveller's notebook</x:v>
      </x:c>
      <x:c r="Y147" s="10" t="str">
        <x:v>notebook therapy</x:v>
      </x:c>
      <x:c r="Z147" s="10" t="str">
        <x:v>financial budgeting</x:v>
      </x:c>
      <x:c r="AA147" s="10" t="str">
        <x:v>money management</x:v>
      </x:c>
      <x:c r="AB147" s="10" t="str">
        <x:v>busy bear sticker</x:v>
      </x:c>
      <x:c r="AC147" s="10" t="str">
        <x:v>bills due</x:v>
      </x:c>
      <x:c r="AD147" s="10" t="str">
        <x:v>pay bill reminder</x:v>
      </x:c>
      <x:c r="AE147" s="10" t="str">
        <x:v>utility bill</x:v>
      </x:c>
      <x:c r="AF147" s="10" t="str">
        <x:v>rent due</x:v>
      </x:c>
      <x:c r="AG147" s="10" t="str">
        <x:v>mortgage payment</x:v>
      </x:c>
      <x:c r="AH147" s="10" t="str">
        <x:v>Other mortgage-related</x:v>
      </x:c>
      <x:c r="AI147" s="13" t="n">
        <x:v>29</x:v>
      </x:c>
      <x:c r="AJ147" s="10" t="str">
        <x:f>IF(F147&gt;0,"Active","No est. sales")</x:f>
        <x:v>No est. sales</x:v>
      </x:c>
    </x:row>
    <x:row r="148">
      <x:c r="A148" s="10" t="str">
        <x:v>Ireland Home Finance Tracker 2026 Monthly Budget Planner - Irish Tax Relief Guide - Excel Spreadsheet</x:v>
      </x:c>
      <x:c r="B148" s="10" t="str">
        <x:v>https://www.etsy.com/listing/4474456689/ireland-home-finance-tracker-2026</x:v>
      </x:c>
      <x:c r="C148" s="10" t="str">
        <x:v>IrishCuppaTea</x:v>
      </x:c>
      <x:c r="D148" s="10" t="str">
        <x:v>https://www.etsy.com/shop/IrishCuppaTea</x:v>
      </x:c>
      <x:c r="E148" s="11" t="n">
        <x:v>22.76</x:v>
      </x:c>
      <x:c r="F148" s="10" t="n">
        <x:v>0</x:v>
      </x:c>
      <x:c r="G148" s="12" t="n">
        <x:v>0</x:v>
      </x:c>
      <x:c r="H148" s="13" t="n">
        <x:v>0</x:v>
      </x:c>
      <x:c r="I148" s="10" t="n">
        <x:v>0</x:v>
      </x:c>
      <x:c r="J148" s="10" t="n">
        <x:v>0</x:v>
      </x:c>
      <x:c r="K148" s="10" t="str">
        <x:v>4 Mo.</x:v>
      </x:c>
      <x:c r="L148" s="10" t="n">
        <x:v>0</x:v>
      </x:c>
      <x:c r="M148" s="10" t="n">
        <x:v>0</x:v>
      </x:c>
      <x:c r="N148" s="10" t="n">
        <x:v>25</x:v>
      </x:c>
      <x:c r="O148" s="10" t="str">
        <x:v>Art &amp; Collectibles</x:v>
      </x:c>
      <x:c r="P148" s="10" t="n">
        <x:v>36</x:v>
      </x:c>
      <x:c r="Q148" s="10" t="n">
        <x:v>0</x:v>
      </x:c>
      <x:c r="R148" s="13" t="n">
        <x:v>0</x:v>
      </x:c>
      <x:c r="S148" s="10" t="n">
        <x:v>3</x:v>
      </x:c>
      <x:c r="T148" s="10" t="str">
        <x:v>budget spreadsheet,home finance tracker,irish house budget,budget planner 2026,mortgage tracker ire,ireland,monthly budget ire,family budget ire,savings tracker,instant download</x:v>
      </x:c>
      <x:c r="U148" s="10" t="str">
        <x:v>budget spreadsheet</x:v>
      </x:c>
      <x:c r="V148" s="10" t="str">
        <x:v>home finance tracker</x:v>
      </x:c>
      <x:c r="W148" s="10" t="str">
        <x:v>irish house budget</x:v>
      </x:c>
      <x:c r="X148" s="10" t="str">
        <x:v>budget planner 2026</x:v>
      </x:c>
      <x:c r="Y148" s="10" t="str">
        <x:v>mortgage tracker ire</x:v>
      </x:c>
      <x:c r="Z148" s="10" t="str">
        <x:v>ireland</x:v>
      </x:c>
      <x:c r="AA148" s="10" t="str">
        <x:v>monthly budget ire</x:v>
      </x:c>
      <x:c r="AB148" s="10" t="str">
        <x:v>family budget ire</x:v>
      </x:c>
      <x:c r="AC148" s="10" t="str">
        <x:v>savings tracker</x:v>
      </x:c>
      <x:c r="AD148" s="10" t="str">
        <x:v>instant download</x:v>
      </x:c>
      <x:c r="AE148" s="10" t="str">
        <x:v>--</x:v>
      </x:c>
      <x:c r="AF148" s="10" t="str">
        <x:v>--</x:v>
      </x:c>
      <x:c r="AG148" s="10" t="str">
        <x:v>--</x:v>
      </x:c>
      <x:c r="AH148" s="10" t="str">
        <x:v>Other mortgage-related</x:v>
      </x:c>
      <x:c r="AI148" s="13" t="n">
        <x:v>4</x:v>
      </x:c>
      <x:c r="AJ148" s="10" t="str">
        <x:f>IF(F148&gt;0,"Active","No est. sales")</x:f>
        <x:v>No est. sales</x:v>
      </x:c>
    </x:row>
    <x:row r="149">
      <x:c r="A149" s="10" t="str">
        <x:v>Home Affordability Calculator: Budget Planner Google Sheets Template</x:v>
      </x:c>
      <x:c r="B149" s="10" t="str">
        <x:v>https://www.etsy.com/listing/4389721133/home-affordability-calculator-budget</x:v>
      </x:c>
      <x:c r="C149" s="10" t="str">
        <x:v>FinlyFinance</x:v>
      </x:c>
      <x:c r="D149" s="10" t="str">
        <x:v>https://www.etsy.com/shop/FinlyFinance</x:v>
      </x:c>
      <x:c r="E149" s="11" t="n">
        <x:v>4.99</x:v>
      </x:c>
      <x:c r="F149" s="10" t="n">
        <x:v>0</x:v>
      </x:c>
      <x:c r="G149" s="12" t="n">
        <x:v>0</x:v>
      </x:c>
      <x:c r="H149" s="13" t="n">
        <x:v>0</x:v>
      </x:c>
      <x:c r="I149" s="10" t="n">
        <x:v>0</x:v>
      </x:c>
      <x:c r="J149" s="10" t="n">
        <x:v>0</x:v>
      </x:c>
      <x:c r="K149" s="10" t="str">
        <x:v>9 Mo.</x:v>
      </x:c>
      <x:c r="L149" s="10" t="n">
        <x:v>0</x:v>
      </x:c>
      <x:c r="M149" s="10" t="n">
        <x:v>0</x:v>
      </x:c>
      <x:c r="N149" s="10" t="n">
        <x:v>18</x:v>
      </x:c>
      <x:c r="O149" s="10" t="str"/>
      <x:c r="P149" s="10" t="n">
        <x:v>9</x:v>
      </x:c>
      <x:c r="Q149" s="10" t="n">
        <x:v>0</x:v>
      </x:c>
      <x:c r="R149" s="13" t="n">
        <x:v>0</x:v>
      </x:c>
      <x:c r="S149" s="10" t="n">
        <x:v>0</x:v>
      </x:c>
      <x:c r="T149" s="10" t="str">
        <x:v>home affordability,house budget,mortgage calculator,dream home planner,home loan chart,house savings,mortgage payment,real estate budget,home buying,financial planning,real estate planner,property purchase,property planner</x:v>
      </x:c>
      <x:c r="U149" s="10" t="str">
        <x:v>home affordability</x:v>
      </x:c>
      <x:c r="V149" s="10" t="str">
        <x:v>house budget</x:v>
      </x:c>
      <x:c r="W149" s="10" t="str">
        <x:v>mortgage calculator</x:v>
      </x:c>
      <x:c r="X149" s="10" t="str">
        <x:v>dream home planner</x:v>
      </x:c>
      <x:c r="Y149" s="10" t="str">
        <x:v>home loan chart</x:v>
      </x:c>
      <x:c r="Z149" s="10" t="str">
        <x:v>house savings</x:v>
      </x:c>
      <x:c r="AA149" s="10" t="str">
        <x:v>mortgage payment</x:v>
      </x:c>
      <x:c r="AB149" s="10" t="str">
        <x:v>real estate budget</x:v>
      </x:c>
      <x:c r="AC149" s="10" t="str">
        <x:v>home buying</x:v>
      </x:c>
      <x:c r="AD149" s="10" t="str">
        <x:v>financial planning</x:v>
      </x:c>
      <x:c r="AE149" s="10" t="str">
        <x:v>real estate planner</x:v>
      </x:c>
      <x:c r="AF149" s="10" t="str">
        <x:v>property purchase</x:v>
      </x:c>
      <x:c r="AG149" s="10" t="str">
        <x:v>property planner</x:v>
      </x:c>
      <x:c r="AH149" s="10" t="str">
        <x:v>Other mortgage-related</x:v>
      </x:c>
      <x:c r="AI149" s="13" t="n">
        <x:v>9</x:v>
      </x:c>
      <x:c r="AJ149" s="10" t="str">
        <x:f>IF(F149&gt;0,"Active","No est. sales")</x:f>
        <x:v>No est. sales</x:v>
      </x:c>
    </x:row>
    <x:row r="150">
      <x:c r="A150" s="10" t="str">
        <x:v>First Home Buyer Printable Planner – Checklist, Budget, Inspection Sheet, Moving Day, Mortgage PDF</x:v>
      </x:c>
      <x:c r="B150" s="10" t="str">
        <x:v>https://www.etsy.com/listing/4311183636/first-home-buyer-printable-planner</x:v>
      </x:c>
      <x:c r="C150" s="10" t="str">
        <x:v>Havenmark</x:v>
      </x:c>
      <x:c r="D150" s="10" t="str">
        <x:v>https://www.etsy.com/shop/Havenmark</x:v>
      </x:c>
      <x:c r="E150" s="11" t="n">
        <x:v>4.59</x:v>
      </x:c>
      <x:c r="F150" s="10" t="n">
        <x:v>0</x:v>
      </x:c>
      <x:c r="G150" s="12" t="n">
        <x:v>0</x:v>
      </x:c>
      <x:c r="H150" s="13" t="n">
        <x:v>0</x:v>
      </x:c>
      <x:c r="I150" s="10" t="n">
        <x:v>0</x:v>
      </x:c>
      <x:c r="J150" s="10" t="n">
        <x:v>0</x:v>
      </x:c>
      <x:c r="K150" s="10" t="str">
        <x:v>14 Mo.</x:v>
      </x:c>
      <x:c r="L150" s="10" t="n">
        <x:v>0</x:v>
      </x:c>
      <x:c r="M150" s="10" t="n">
        <x:v>0</x:v>
      </x:c>
      <x:c r="N150" s="10" t="n">
        <x:v>41</x:v>
      </x:c>
      <x:c r="O150" s="10" t="str"/>
      <x:c r="P150" s="10" t="n">
        <x:v>14</x:v>
      </x:c>
      <x:c r="Q150" s="10" t="n">
        <x:v>0</x:v>
      </x:c>
      <x:c r="R150" s="13" t="n">
        <x:v>0</x:v>
      </x:c>
      <x:c r="S150" s="10" t="n">
        <x:v>0</x:v>
      </x:c>
      <x:c r="T150" s="10" t="str">
        <x:v>first home buyer,open home sheet,digital home bundle,mortgage planner,home buyer guide,moving day checklist,printable planner,realestate checklist,budget planner,house hunting,australian home,pdf home organizer,property inspection</x:v>
      </x:c>
      <x:c r="U150" s="10" t="str">
        <x:v>first home buyer</x:v>
      </x:c>
      <x:c r="V150" s="10" t="str">
        <x:v>open home sheet</x:v>
      </x:c>
      <x:c r="W150" s="10" t="str">
        <x:v>digital home bundle</x:v>
      </x:c>
      <x:c r="X150" s="10" t="str">
        <x:v>mortgage planner</x:v>
      </x:c>
      <x:c r="Y150" s="10" t="str">
        <x:v>home buyer guide</x:v>
      </x:c>
      <x:c r="Z150" s="10" t="str">
        <x:v>moving day checklist</x:v>
      </x:c>
      <x:c r="AA150" s="10" t="str">
        <x:v>printable planner</x:v>
      </x:c>
      <x:c r="AB150" s="10" t="str">
        <x:v>realestate checklist</x:v>
      </x:c>
      <x:c r="AC150" s="10" t="str">
        <x:v>budget planner</x:v>
      </x:c>
      <x:c r="AD150" s="10" t="str">
        <x:v>house hunting</x:v>
      </x:c>
      <x:c r="AE150" s="10" t="str">
        <x:v>australian home</x:v>
      </x:c>
      <x:c r="AF150" s="10" t="str">
        <x:v>pdf home organizer</x:v>
      </x:c>
      <x:c r="AG150" s="10" t="str">
        <x:v>property inspection</x:v>
      </x:c>
      <x:c r="AH150" s="10" t="str">
        <x:v>Home buying planner</x:v>
      </x:c>
      <x:c r="AI150" s="13" t="n">
        <x:v>14</x:v>
      </x:c>
      <x:c r="AJ150" s="10" t="str">
        <x:f>IF(F150&gt;0,"Active","No est. sales")</x:f>
        <x:v>No est. sales</x:v>
      </x:c>
    </x:row>
    <x:row r="151">
      <x:c r="A151" s="10" t="str">
        <x:v>Australian First Home Buyer Tracker | Google Sheets Deposit Stamp Duty Calculator (Digital Download)</x:v>
      </x:c>
      <x:c r="B151" s="10" t="str">
        <x:v>https://www.etsy.com/listing/4511013552/australian-first-home-buyer-tracker</x:v>
      </x:c>
      <x:c r="C151" s="10" t="str">
        <x:v>FolioStudioAU</x:v>
      </x:c>
      <x:c r="D151" s="10" t="str">
        <x:v>https://www.etsy.com/shop/FolioStudioAU</x:v>
      </x:c>
      <x:c r="E151" s="11" t="n">
        <x:v>12.59</x:v>
      </x:c>
      <x:c r="F151" s="10" t="n">
        <x:v>0</x:v>
      </x:c>
      <x:c r="G151" s="12" t="n">
        <x:v>0</x:v>
      </x:c>
      <x:c r="H151" s="13" t="n">
        <x:v>0</x:v>
      </x:c>
      <x:c r="I151" s="10" t="n">
        <x:v>0</x:v>
      </x:c>
      <x:c r="J151" s="10" t="n">
        <x:v>0</x:v>
      </x:c>
      <x:c r="K151" s="10" t="str">
        <x:v>2 Mo.</x:v>
      </x:c>
      <x:c r="L151" s="10" t="n">
        <x:v>1</x:v>
      </x:c>
      <x:c r="M151" s="10" t="n">
        <x:v>0</x:v>
      </x:c>
      <x:c r="N151" s="10" t="n">
        <x:v>22</x:v>
      </x:c>
      <x:c r="O151" s="10" t="str"/>
      <x:c r="P151" s="10" t="n">
        <x:v>2</x:v>
      </x:c>
      <x:c r="Q151" s="10" t="n">
        <x:v>0</x:v>
      </x:c>
      <x:c r="R151" s="13" t="n">
        <x:v>0</x:v>
      </x:c>
      <x:c r="S151" s="10" t="n">
        <x:v>6</x:v>
      </x:c>
      <x:c r="T151" s="10" t="str">
        <x:v>first home buyer,home buyer tracker,deposit tracker,mortgage tracker,property planner,home buying tool,google sheets,budget spreadsheet,property tracker,home loan planner,digital download,best seller,home buyer guide</x:v>
      </x:c>
      <x:c r="U151" s="10" t="str">
        <x:v>first home buyer</x:v>
      </x:c>
      <x:c r="V151" s="10" t="str">
        <x:v>home buyer tracker</x:v>
      </x:c>
      <x:c r="W151" s="10" t="str">
        <x:v>deposit tracker</x:v>
      </x:c>
      <x:c r="X151" s="10" t="str">
        <x:v>mortgage tracker</x:v>
      </x:c>
      <x:c r="Y151" s="10" t="str">
        <x:v>property planner</x:v>
      </x:c>
      <x:c r="Z151" s="10" t="str">
        <x:v>home buying tool</x:v>
      </x:c>
      <x:c r="AA151" s="10" t="str">
        <x:v>google sheets</x:v>
      </x:c>
      <x:c r="AB151" s="10" t="str">
        <x:v>budget spreadsheet</x:v>
      </x:c>
      <x:c r="AC151" s="10" t="str">
        <x:v>property tracker</x:v>
      </x:c>
      <x:c r="AD151" s="10" t="str">
        <x:v>home loan planner</x:v>
      </x:c>
      <x:c r="AE151" s="10" t="str">
        <x:v>digital download</x:v>
      </x:c>
      <x:c r="AF151" s="10" t="str">
        <x:v>best seller</x:v>
      </x:c>
      <x:c r="AG151" s="10" t="str">
        <x:v>home buyer guide</x:v>
      </x:c>
      <x:c r="AH151" s="10" t="str">
        <x:v>Other mortgage-related</x:v>
      </x:c>
      <x:c r="AI151" s="13" t="n">
        <x:v>2</x:v>
      </x:c>
      <x:c r="AJ151" s="10" t="str">
        <x:f>IF(F151&gt;0,"Active","No est. sales")</x:f>
        <x:v>No est. sales</x:v>
      </x:c>
    </x:row>
    <x:row r="152">
      <x:c r="A152" s="10" t="str">
        <x:v>Mortgage Comparison Spreadsheet Google Sheets, Home Loan Comparison Template, Mortgage Planner, Cost Comparison, Mortgage Worksheet Planning</x:v>
      </x:c>
      <x:c r="B152" s="10" t="str">
        <x:v>https://www.etsy.com/listing/4484029251/mortgage-comparison-spreadsheet-google</x:v>
      </x:c>
      <x:c r="C152" s="10" t="str">
        <x:v>TrackerPro</x:v>
      </x:c>
      <x:c r="D152" s="10" t="str">
        <x:v>https://www.etsy.com/shop/TrackerPro</x:v>
      </x:c>
      <x:c r="E152" s="11" t="n">
        <x:v>7.43</x:v>
      </x:c>
      <x:c r="F152" s="10" t="n">
        <x:v>0</x:v>
      </x:c>
      <x:c r="G152" s="12" t="n">
        <x:v>0</x:v>
      </x:c>
      <x:c r="H152" s="13" t="n">
        <x:v>0</x:v>
      </x:c>
      <x:c r="I152" s="10" t="n">
        <x:v>0</x:v>
      </x:c>
      <x:c r="J152" s="10" t="n">
        <x:v>0</x:v>
      </x:c>
      <x:c r="K152" s="10" t="str">
        <x:v>3 Mo.</x:v>
      </x:c>
      <x:c r="L152" s="10" t="n">
        <x:v>1</x:v>
      </x:c>
      <x:c r="M152" s="10" t="n">
        <x:v>0</x:v>
      </x:c>
      <x:c r="N152" s="10" t="n">
        <x:v>14</x:v>
      </x:c>
      <x:c r="O152" s="10" t="str">
        <x:v>Paper &amp; Party Supplies</x:v>
      </x:c>
      <x:c r="P152" s="10" t="n">
        <x:v>43</x:v>
      </x:c>
      <x:c r="Q152" s="10" t="n">
        <x:v>0</x:v>
      </x:c>
      <x:c r="R152" s="13" t="n">
        <x:v>0</x:v>
      </x:c>
      <x:c r="S152" s="10" t="n">
        <x:v>18476</x:v>
      </x:c>
      <x:c r="T152" s="10" t="str">
        <x:v>loan spreadsheet,mortgage spreadsheet,spreadsheet template,cost comparison,mortgage planner,comparison worksheet,mortgage shopping,home loan,home loan tracker,loan planner,cost analysis,loan comparison,mortgage worksheet</x:v>
      </x:c>
      <x:c r="U152" s="10" t="str">
        <x:v>loan spreadsheet</x:v>
      </x:c>
      <x:c r="V152" s="10" t="str">
        <x:v>mortgage spreadsheet</x:v>
      </x:c>
      <x:c r="W152" s="10" t="str">
        <x:v>spreadsheet template</x:v>
      </x:c>
      <x:c r="X152" s="10" t="str">
        <x:v>cost comparison</x:v>
      </x:c>
      <x:c r="Y152" s="10" t="str">
        <x:v>mortgage planner</x:v>
      </x:c>
      <x:c r="Z152" s="10" t="str">
        <x:v>comparison worksheet</x:v>
      </x:c>
      <x:c r="AA152" s="10" t="str">
        <x:v>mortgage shopping</x:v>
      </x:c>
      <x:c r="AB152" s="10" t="str">
        <x:v>home loan</x:v>
      </x:c>
      <x:c r="AC152" s="10" t="str">
        <x:v>home loan tracker</x:v>
      </x:c>
      <x:c r="AD152" s="10" t="str">
        <x:v>loan planner</x:v>
      </x:c>
      <x:c r="AE152" s="10" t="str">
        <x:v>cost analysis</x:v>
      </x:c>
      <x:c r="AF152" s="10" t="str">
        <x:v>loan comparison</x:v>
      </x:c>
      <x:c r="AG152" s="10" t="str">
        <x:v>mortgage worksheet</x:v>
      </x:c>
      <x:c r="AH152" s="10" t="str">
        <x:v>Other mortgage-related</x:v>
      </x:c>
      <x:c r="AI152" s="13" t="n">
        <x:v>3</x:v>
      </x:c>
      <x:c r="AJ152" s="10" t="str">
        <x:f>IF(F152&gt;0,"Active","No est. sales")</x:f>
        <x:v>No est. sales</x:v>
      </x:c>
    </x:row>
    <x:row r="153">
      <x:c r="A153" s="10" t="str">
        <x:v>First-Time Buyer Planner | England Home Buying Guide (Printable PDF)</x:v>
      </x:c>
      <x:c r="B153" s="10" t="str">
        <x:v>https://www.etsy.com/listing/4544367013/first-time-buyer-planner-england-home</x:v>
      </x:c>
      <x:c r="C153" s="10" t="str">
        <x:v>WildeMargin</x:v>
      </x:c>
      <x:c r="D153" s="10" t="str">
        <x:v>https://www.etsy.com/shop/WildeMargin</x:v>
      </x:c>
      <x:c r="E153" s="11" t="n">
        <x:v>13.31</x:v>
      </x:c>
      <x:c r="F153" s="10" t="n">
        <x:v>0</x:v>
      </x:c>
      <x:c r="G153" s="12" t="n">
        <x:v>0</x:v>
      </x:c>
      <x:c r="H153" s="13" t="n">
        <x:v>0</x:v>
      </x:c>
      <x:c r="I153" s="10" t="n">
        <x:v>0</x:v>
      </x:c>
      <x:c r="J153" s="10" t="n">
        <x:v>0</x:v>
      </x:c>
      <x:c r="K153" s="10" t="str">
        <x:v>1 Mo.</x:v>
      </x:c>
      <x:c r="L153" s="10" t="n">
        <x:v>0</x:v>
      </x:c>
      <x:c r="M153" s="10" t="n">
        <x:v>0</x:v>
      </x:c>
      <x:c r="N153" s="10" t="n">
        <x:v>0</x:v>
      </x:c>
      <x:c r="O153" s="10" t="str"/>
      <x:c r="P153" s="10" t="n">
        <x:v>0</x:v>
      </x:c>
      <x:c r="Q153" s="10" t="n">
        <x:v>0</x:v>
      </x:c>
      <x:c r="R153" s="13" t="n">
        <x:v>0</x:v>
      </x:c>
      <x:c r="S153" s="10" t="n">
        <x:v>0</x:v>
      </x:c>
      <x:c r="T153" s="10" t="str">
        <x:v>first time buyer,home buying planner,house buying planner,property checklist,moving house planner,printable planner,fillable pdf,home purchase guide,buying a house uk,england home buyer,mortgage checklist,new home organiser,conveyancing tracker</x:v>
      </x:c>
      <x:c r="U153" s="10" t="str">
        <x:v>first time buyer</x:v>
      </x:c>
      <x:c r="V153" s="10" t="str">
        <x:v>home buying planner</x:v>
      </x:c>
      <x:c r="W153" s="10" t="str">
        <x:v>house buying planner</x:v>
      </x:c>
      <x:c r="X153" s="10" t="str">
        <x:v>property checklist</x:v>
      </x:c>
      <x:c r="Y153" s="10" t="str">
        <x:v>moving house planner</x:v>
      </x:c>
      <x:c r="Z153" s="10" t="str">
        <x:v>printable planner</x:v>
      </x:c>
      <x:c r="AA153" s="10" t="str">
        <x:v>fillable pdf</x:v>
      </x:c>
      <x:c r="AB153" s="10" t="str">
        <x:v>home purchase guide</x:v>
      </x:c>
      <x:c r="AC153" s="10" t="str">
        <x:v>buying a house uk</x:v>
      </x:c>
      <x:c r="AD153" s="10" t="str">
        <x:v>england home buyer</x:v>
      </x:c>
      <x:c r="AE153" s="10" t="str">
        <x:v>mortgage checklist</x:v>
      </x:c>
      <x:c r="AF153" s="10" t="str">
        <x:v>new home organiser</x:v>
      </x:c>
      <x:c r="AG153" s="10" t="str">
        <x:v>conveyancing tracker</x:v>
      </x:c>
      <x:c r="AH153" s="10" t="str">
        <x:v>Home buying planner</x:v>
      </x:c>
      <x:c r="AI153" s="13" t="n">
        <x:v>1</x:v>
      </x:c>
      <x:c r="AJ153" s="10" t="str">
        <x:f>IF(F153&gt;0,"Active","No est. sales")</x:f>
        <x:v>No est. sales</x:v>
      </x:c>
    </x:row>
    <x:row r="154">
      <x:c r="A154" s="10" t="str">
        <x:v>Ms Bandits Home Printable Character Stickers | Finance Planner Stickers | Mortgage | Rent | Silhouette Cut Files | PNG | PDF | xclusive</x:v>
      </x:c>
      <x:c r="B154" s="10" t="str">
        <x:v>https://www.etsy.com/listing/760103882/ms-bandits-home-printable-character</x:v>
      </x:c>
      <x:c r="C154" s="10" t="str">
        <x:v>PrintPetticoatBandit</x:v>
      </x:c>
      <x:c r="D154" s="10" t="str">
        <x:v>https://www.etsy.com/shop/PrintPetticoatBandit</x:v>
      </x:c>
      <x:c r="E154" s="11" t="n">
        <x:v>4.93</x:v>
      </x:c>
      <x:c r="F154" s="10" t="n">
        <x:v>0</x:v>
      </x:c>
      <x:c r="G154" s="12" t="n">
        <x:v>0</x:v>
      </x:c>
      <x:c r="H154" s="13" t="n">
        <x:v>0</x:v>
      </x:c>
      <x:c r="I154" s="10" t="n">
        <x:v>49</x:v>
      </x:c>
      <x:c r="J154" s="10" t="n">
        <x:v>5</x:v>
      </x:c>
      <x:c r="K154" s="10" t="str">
        <x:v>78 Mo.</x:v>
      </x:c>
      <x:c r="L154" s="10" t="n">
        <x:v>36</x:v>
      </x:c>
      <x:c r="M154" s="10" t="n">
        <x:v>0</x:v>
      </x:c>
      <x:c r="N154" s="10" t="n">
        <x:v>515</x:v>
      </x:c>
      <x:c r="O154" s="10" t="str">
        <x:v>Paper &amp; Party Supplies</x:v>
      </x:c>
      <x:c r="P154" s="10" t="n">
        <x:v>115</x:v>
      </x:c>
      <x:c r="Q154" s="10" t="n">
        <x:v>0</x:v>
      </x:c>
      <x:c r="R154" s="13" t="n">
        <x:v>9.51</x:v>
      </x:c>
      <x:c r="S154" s="10" t="n">
        <x:v>96866</x:v>
      </x:c>
      <x:c r="T154" s="10" t="str">
        <x:v>finance,printable character,planner girl sticker,ms bandit,budgeting,character stickers,printable stickers,budget stickers,rent,home payments,mortage,renovations,rent due</x:v>
      </x:c>
      <x:c r="U154" s="10" t="str">
        <x:v>finance</x:v>
      </x:c>
      <x:c r="V154" s="10" t="str">
        <x:v>printable character</x:v>
      </x:c>
      <x:c r="W154" s="10" t="str">
        <x:v>planner girl sticker</x:v>
      </x:c>
      <x:c r="X154" s="10" t="str">
        <x:v>ms bandit</x:v>
      </x:c>
      <x:c r="Y154" s="10" t="str">
        <x:v>budgeting</x:v>
      </x:c>
      <x:c r="Z154" s="10" t="str">
        <x:v>character stickers</x:v>
      </x:c>
      <x:c r="AA154" s="10" t="str">
        <x:v>printable stickers</x:v>
      </x:c>
      <x:c r="AB154" s="10" t="str">
        <x:v>budget stickers</x:v>
      </x:c>
      <x:c r="AC154" s="10" t="str">
        <x:v>rent</x:v>
      </x:c>
      <x:c r="AD154" s="10" t="str">
        <x:v>home payments</x:v>
      </x:c>
      <x:c r="AE154" s="10" t="str">
        <x:v>mortage</x:v>
      </x:c>
      <x:c r="AF154" s="10" t="str">
        <x:v>renovations</x:v>
      </x:c>
      <x:c r="AG154" s="10" t="str">
        <x:v>rent due</x:v>
      </x:c>
      <x:c r="AH154" s="10" t="str">
        <x:v>Other mortgage-related</x:v>
      </x:c>
      <x:c r="AI154" s="13" t="n">
        <x:v>78</x:v>
      </x:c>
      <x:c r="AJ154" s="10" t="str">
        <x:f>IF(F154&gt;0,"Active","No est. sales")</x:f>
        <x:v>No est. sales</x:v>
      </x:c>
    </x:row>
    <x:row r="155">
      <x:c r="A155" s="10" t="str">
        <x:v>New Homeowner Planner Google Sheets | Mortgage Renovation Vendors Maintenance | Digital Planner Download</x:v>
      </x:c>
      <x:c r="B155" s="10" t="str">
        <x:v>https://www.etsy.com/listing/4468681265/new-homeowner-planner-google-sheets</x:v>
      </x:c>
      <x:c r="C155" s="10" t="str">
        <x:v>PlanItNeatly</x:v>
      </x:c>
      <x:c r="D155" s="10" t="str">
        <x:v>https://www.etsy.com/shop/PlanItNeatly</x:v>
      </x:c>
      <x:c r="E155" s="11" t="n">
        <x:v>17.03</x:v>
      </x:c>
      <x:c r="F155" s="10" t="n">
        <x:v>0</x:v>
      </x:c>
      <x:c r="G155" s="12" t="n">
        <x:v>0</x:v>
      </x:c>
      <x:c r="H155" s="13" t="n">
        <x:v>0</x:v>
      </x:c>
      <x:c r="I155" s="10" t="n">
        <x:v>0</x:v>
      </x:c>
      <x:c r="J155" s="10" t="n">
        <x:v>0</x:v>
      </x:c>
      <x:c r="K155" s="10" t="str">
        <x:v>4 Mo.</x:v>
      </x:c>
      <x:c r="L155" s="10" t="n">
        <x:v>1</x:v>
      </x:c>
      <x:c r="M155" s="10" t="n">
        <x:v>0</x:v>
      </x:c>
      <x:c r="N155" s="10" t="n">
        <x:v>6</x:v>
      </x:c>
      <x:c r="O155" s="10" t="str">
        <x:v>Paper &amp; Party Supplies</x:v>
      </x:c>
      <x:c r="P155" s="10" t="n">
        <x:v>4</x:v>
      </x:c>
      <x:c r="Q155" s="10" t="n">
        <x:v>0</x:v>
      </x:c>
      <x:c r="R155" s="13" t="n">
        <x:v>0</x:v>
      </x:c>
      <x:c r="S155" s="10" t="n">
        <x:v>0</x:v>
      </x:c>
      <x:c r="T155" s="10" t="str"/>
      <x:c r="U155" s="10" t="str">
        <x:v>--</x:v>
      </x:c>
      <x:c r="V155" s="10" t="str">
        <x:v>--</x:v>
      </x:c>
      <x:c r="W155" s="10" t="str">
        <x:v>--</x:v>
      </x:c>
      <x:c r="X155" s="10" t="str">
        <x:v>--</x:v>
      </x:c>
      <x:c r="Y155" s="10" t="str">
        <x:v>--</x:v>
      </x:c>
      <x:c r="Z155" s="10" t="str">
        <x:v>--</x:v>
      </x:c>
      <x:c r="AA155" s="10" t="str">
        <x:v>--</x:v>
      </x:c>
      <x:c r="AB155" s="10" t="str">
        <x:v>--</x:v>
      </x:c>
      <x:c r="AC155" s="10" t="str">
        <x:v>--</x:v>
      </x:c>
      <x:c r="AD155" s="10" t="str">
        <x:v>--</x:v>
      </x:c>
      <x:c r="AE155" s="10" t="str">
        <x:v>--</x:v>
      </x:c>
      <x:c r="AF155" s="10" t="str">
        <x:v>--</x:v>
      </x:c>
      <x:c r="AG155" s="10" t="str">
        <x:v>--</x:v>
      </x:c>
      <x:c r="AH155" s="10" t="str">
        <x:v>Other mortgage-related</x:v>
      </x:c>
      <x:c r="AI155" s="13" t="n">
        <x:v>4</x:v>
      </x:c>
      <x:c r="AJ155" s="10" t="str">
        <x:f>IF(F155&gt;0,"Active","No est. sales")</x:f>
        <x:v>No est. sales</x:v>
      </x:c>
    </x:row>
    <x:row r="156">
      <x:c r="A156" s="10" t="str">
        <x:v>MINI Happy Home Payment Rent Monthly Reminder Tracker Cute Kawaii Personal Planner Stickers Erin Condren Midori A5 Plum Funny Mortgage House</x:v>
      </x:c>
      <x:c r="B156" s="10" t="str">
        <x:v>https://www.etsy.com/listing/476925101/mini-happy-home-payment-rent-monthly</x:v>
      </x:c>
      <x:c r="C156" s="10" t="str">
        <x:v>aHappyBlueTree</x:v>
      </x:c>
      <x:c r="D156" s="10" t="str">
        <x:v>https://www.etsy.com/shop/aHappyBlueTree</x:v>
      </x:c>
      <x:c r="E156" s="11" t="n">
        <x:v>3.95</x:v>
      </x:c>
      <x:c r="F156" s="10" t="n">
        <x:v>0</x:v>
      </x:c>
      <x:c r="G156" s="12" t="n">
        <x:v>0</x:v>
      </x:c>
      <x:c r="H156" s="13" t="n">
        <x:v>0</x:v>
      </x:c>
      <x:c r="I156" s="10" t="n">
        <x:v>297</x:v>
      </x:c>
      <x:c r="J156" s="10" t="n">
        <x:v>72</x:v>
      </x:c>
      <x:c r="K156" s="10" t="str">
        <x:v>118 Mo.</x:v>
      </x:c>
      <x:c r="L156" s="10" t="n">
        <x:v>215</x:v>
      </x:c>
      <x:c r="M156" s="10" t="n">
        <x:v>1</x:v>
      </x:c>
      <x:c r="N156" s="10" t="n">
        <x:v>2659</x:v>
      </x:c>
      <x:c r="O156" s="10" t="str">
        <x:v>Paper &amp; Party Supplies</x:v>
      </x:c>
      <x:c r="P156" s="10" t="n">
        <x:v>126</x:v>
      </x:c>
      <x:c r="Q156" s="10" t="n">
        <x:v>0</x:v>
      </x:c>
      <x:c r="R156" s="13" t="n">
        <x:v>11.17</x:v>
      </x:c>
      <x:c r="S156" s="10" t="n">
        <x:v>150331</x:v>
      </x:c>
      <x:c r="T156" s="10" t="str">
        <x:v>planner,stickers,calendar,happy,kawaii,cute,erin condren,monthly,house,mortgage,home,rent,budget</x:v>
      </x:c>
      <x:c r="U156" s="10" t="str">
        <x:v>planner</x:v>
      </x:c>
      <x:c r="V156" s="10" t="str">
        <x:v>stickers</x:v>
      </x:c>
      <x:c r="W156" s="10" t="str">
        <x:v>calendar</x:v>
      </x:c>
      <x:c r="X156" s="10" t="str">
        <x:v>happy</x:v>
      </x:c>
      <x:c r="Y156" s="10" t="str">
        <x:v>kawaii</x:v>
      </x:c>
      <x:c r="Z156" s="10" t="str">
        <x:v>cute</x:v>
      </x:c>
      <x:c r="AA156" s="10" t="str">
        <x:v>erin condren</x:v>
      </x:c>
      <x:c r="AB156" s="10" t="str">
        <x:v>monthly</x:v>
      </x:c>
      <x:c r="AC156" s="10" t="str">
        <x:v>house</x:v>
      </x:c>
      <x:c r="AD156" s="10" t="str">
        <x:v>mortgage</x:v>
      </x:c>
      <x:c r="AE156" s="10" t="str">
        <x:v>home</x:v>
      </x:c>
      <x:c r="AF156" s="10" t="str">
        <x:v>rent</x:v>
      </x:c>
      <x:c r="AG156" s="10" t="str">
        <x:v>budget</x:v>
      </x:c>
      <x:c r="AH156" s="10" t="str">
        <x:v>Other mortgage-related</x:v>
      </x:c>
      <x:c r="AI156" s="13" t="n">
        <x:v>118</x:v>
      </x:c>
      <x:c r="AJ156" s="10" t="str">
        <x:f>IF(F156&gt;0,"Active","No est. sales")</x:f>
        <x:v>No est. sales</x:v>
      </x:c>
    </x:row>
    <x:row r="157">
      <x:c r="A157" s="10" t="str">
        <x:v>Loan Amortization Calculator Google Sheets | Mortgage Payment Schedule and Tracker | Debt Payoff and Interest Spreadsheet</x:v>
      </x:c>
      <x:c r="B157" s="10" t="str">
        <x:v>https://www.etsy.com/listing/4323597693/loan-amortization-calculator-google</x:v>
      </x:c>
      <x:c r="C157" s="10" t="str">
        <x:v>sheetchief</x:v>
      </x:c>
      <x:c r="D157" s="10" t="str">
        <x:v>https://www.etsy.com/shop/sheetchief</x:v>
      </x:c>
      <x:c r="E157" s="11" t="n">
        <x:v>9</x:v>
      </x:c>
      <x:c r="F157" s="10" t="n">
        <x:v>0</x:v>
      </x:c>
      <x:c r="G157" s="12" t="n">
        <x:v>0</x:v>
      </x:c>
      <x:c r="H157" s="13" t="n">
        <x:v>0</x:v>
      </x:c>
      <x:c r="I157" s="10" t="n">
        <x:v>0</x:v>
      </x:c>
      <x:c r="J157" s="10" t="n">
        <x:v>0</x:v>
      </x:c>
      <x:c r="K157" s="10" t="str">
        <x:v>13 Mo.</x:v>
      </x:c>
      <x:c r="L157" s="10" t="n">
        <x:v>3</x:v>
      </x:c>
      <x:c r="M157" s="10" t="n">
        <x:v>0</x:v>
      </x:c>
      <x:c r="N157" s="10" t="n">
        <x:v>126</x:v>
      </x:c>
      <x:c r="O157" s="10" t="str">
        <x:v>Paper &amp; Party Supplies</x:v>
      </x:c>
      <x:c r="P157" s="10" t="n">
        <x:v>60</x:v>
      </x:c>
      <x:c r="Q157" s="10" t="n">
        <x:v>0</x:v>
      </x:c>
      <x:c r="R157" s="13" t="n">
        <x:v>0</x:v>
      </x:c>
      <x:c r="S157" s="10" t="n">
        <x:v>385</x:v>
      </x:c>
      <x:c r="T157" s="10" t="str">
        <x:v>loan amortization,mortgage tracker,payment schedule,interest tracker,debt payoff,refinance sheet,car loan tracker,student loan,mortgage planner,sba loan tracker,debt tracker,loan calculator,google sheets</x:v>
      </x:c>
      <x:c r="U157" s="10" t="str">
        <x:v>loan amortization</x:v>
      </x:c>
      <x:c r="V157" s="10" t="str">
        <x:v>mortgage tracker</x:v>
      </x:c>
      <x:c r="W157" s="10" t="str">
        <x:v>payment schedule</x:v>
      </x:c>
      <x:c r="X157" s="10" t="str">
        <x:v>interest tracker</x:v>
      </x:c>
      <x:c r="Y157" s="10" t="str">
        <x:v>debt payoff</x:v>
      </x:c>
      <x:c r="Z157" s="10" t="str">
        <x:v>refinance sheet</x:v>
      </x:c>
      <x:c r="AA157" s="10" t="str">
        <x:v>car loan tracker</x:v>
      </x:c>
      <x:c r="AB157" s="10" t="str">
        <x:v>student loan</x:v>
      </x:c>
      <x:c r="AC157" s="10" t="str">
        <x:v>mortgage planner</x:v>
      </x:c>
      <x:c r="AD157" s="10" t="str">
        <x:v>sba loan tracker</x:v>
      </x:c>
      <x:c r="AE157" s="10" t="str">
        <x:v>debt tracker</x:v>
      </x:c>
      <x:c r="AF157" s="10" t="str">
        <x:v>loan calculator</x:v>
      </x:c>
      <x:c r="AG157" s="10" t="str">
        <x:v>google sheets</x:v>
      </x:c>
      <x:c r="AH157" s="10" t="str">
        <x:v>General debt payoff</x:v>
      </x:c>
      <x:c r="AI157" s="13" t="n">
        <x:v>13</x:v>
      </x:c>
      <x:c r="AJ157" s="10" t="str">
        <x:f>IF(F157&gt;0,"Active","No est. sales")</x:f>
        <x:v>No est. sales</x:v>
      </x:c>
    </x:row>
    <x:row r="158">
      <x:c r="A158" s="10" t="str">
        <x:v>Mortgage Payoff Calculator with Line of Credit | Excel Amortization Spreadsheet | Extra Payment &amp; Debt Payoff Planner | Google Sheets</x:v>
      </x:c>
      <x:c r="B158" s="10" t="str">
        <x:v>https://www.etsy.com/listing/4534955091/mortgage-payoff-calculator-with-line-of</x:v>
      </x:c>
      <x:c r="C158" s="10" t="str">
        <x:v>PrimeSheetMall</x:v>
      </x:c>
      <x:c r="D158" s="10" t="str">
        <x:v>https://www.etsy.com/shop/PrimeSheetMall</x:v>
      </x:c>
      <x:c r="E158" s="11" t="n">
        <x:v>2.67</x:v>
      </x:c>
      <x:c r="F158" s="10" t="n">
        <x:v>0</x:v>
      </x:c>
      <x:c r="G158" s="12" t="n">
        <x:v>0</x:v>
      </x:c>
      <x:c r="H158" s="13" t="n">
        <x:v>0</x:v>
      </x:c>
      <x:c r="I158" s="10" t="n">
        <x:v>0</x:v>
      </x:c>
      <x:c r="J158" s="10" t="n">
        <x:v>0</x:v>
      </x:c>
      <x:c r="K158" s="10" t="str">
        <x:v>1 Mo.</x:v>
      </x:c>
      <x:c r="L158" s="10" t="n">
        <x:v>0</x:v>
      </x:c>
      <x:c r="M158" s="10" t="n">
        <x:v>0</x:v>
      </x:c>
      <x:c r="N158" s="10" t="n">
        <x:v>7</x:v>
      </x:c>
      <x:c r="O158" s="10" t="str"/>
      <x:c r="P158" s="10" t="n">
        <x:v>9</x:v>
      </x:c>
      <x:c r="Q158" s="10" t="n">
        <x:v>0</x:v>
      </x:c>
      <x:c r="R158" s="13" t="n">
        <x:v>0</x:v>
      </x:c>
      <x:c r="S158" s="10" t="n">
        <x:v>1066</x:v>
      </x:c>
      <x:c r="T158" s="10" t="str">
        <x:v>mortgage payoff,amortization sheet,extra payment calc,debt payoff planner,loan payment track,mortgage calculator,home loan tracker,line of credit,heloc strategy,early payoff tool,interest savings,excel mortgage,google sheets loan</x:v>
      </x:c>
      <x:c r="U158" s="10" t="str">
        <x:v>mortgage payoff</x:v>
      </x:c>
      <x:c r="V158" s="10" t="str">
        <x:v>amortization sheet</x:v>
      </x:c>
      <x:c r="W158" s="10" t="str">
        <x:v>extra payment calc</x:v>
      </x:c>
      <x:c r="X158" s="10" t="str">
        <x:v>debt payoff planner</x:v>
      </x:c>
      <x:c r="Y158" s="10" t="str">
        <x:v>loan payment track</x:v>
      </x:c>
      <x:c r="Z158" s="10" t="str">
        <x:v>mortgage calculator</x:v>
      </x:c>
      <x:c r="AA158" s="10" t="str">
        <x:v>home loan tracker</x:v>
      </x:c>
      <x:c r="AB158" s="10" t="str">
        <x:v>line of credit</x:v>
      </x:c>
      <x:c r="AC158" s="10" t="str">
        <x:v>heloc strategy</x:v>
      </x:c>
      <x:c r="AD158" s="10" t="str">
        <x:v>early payoff tool</x:v>
      </x:c>
      <x:c r="AE158" s="10" t="str">
        <x:v>interest savings</x:v>
      </x:c>
      <x:c r="AF158" s="10" t="str">
        <x:v>excel mortgage</x:v>
      </x:c>
      <x:c r="AG158" s="10" t="str">
        <x:v>google sheets loan</x:v>
      </x:c>
      <x:c r="AH158" s="10" t="str">
        <x:v>Mortgage payoff / calculator</x:v>
      </x:c>
      <x:c r="AI158" s="13" t="n">
        <x:v>1</x:v>
      </x:c>
      <x:c r="AJ158" s="10" t="str">
        <x:f>IF(F158&gt;0,"Active","No est. sales")</x:f>
        <x:v>No est. sales</x:v>
      </x:c>
    </x:row>
    <x:row r="159">
      <x:c r="A159" s="10" t="str">
        <x:v>House Hunting Tracker – Mortgage, Price Per m2 Calculator (Excel, Google Sheets)</x:v>
      </x:c>
      <x:c r="B159" s="10" t="str">
        <x:v>https://www.etsy.com/listing/4479844042/house-hunting-tracker-mortgage-price-per</x:v>
      </x:c>
      <x:c r="C159" s="10" t="str">
        <x:v>ProductivityForgeHQ</x:v>
      </x:c>
      <x:c r="D159" s="10" t="str">
        <x:v>https://www.etsy.com/shop/ProductivityForgeHQ</x:v>
      </x:c>
      <x:c r="E159" s="11" t="n">
        <x:v>5.68</x:v>
      </x:c>
      <x:c r="F159" s="10" t="n">
        <x:v>0</x:v>
      </x:c>
      <x:c r="G159" s="12" t="n">
        <x:v>0</x:v>
      </x:c>
      <x:c r="H159" s="13" t="n">
        <x:v>0</x:v>
      </x:c>
      <x:c r="I159" s="10" t="n">
        <x:v>0</x:v>
      </x:c>
      <x:c r="J159" s="10" t="n">
        <x:v>0</x:v>
      </x:c>
      <x:c r="K159" s="10" t="str">
        <x:v>4 Mo.</x:v>
      </x:c>
      <x:c r="L159" s="10" t="n">
        <x:v>0</x:v>
      </x:c>
      <x:c r="M159" s="10" t="n">
        <x:v>0</x:v>
      </x:c>
      <x:c r="N159" s="10" t="n">
        <x:v>23</x:v>
      </x:c>
      <x:c r="O159" s="10" t="str">
        <x:v>Paper &amp; Party Supplies</x:v>
      </x:c>
      <x:c r="P159" s="10" t="n">
        <x:v>4</x:v>
      </x:c>
      <x:c r="Q159" s="10" t="n">
        <x:v>0</x:v>
      </x:c>
      <x:c r="R159" s="13" t="n">
        <x:v>0</x:v>
      </x:c>
      <x:c r="S159" s="10" t="n">
        <x:v>176</x:v>
      </x:c>
      <x:c r="T159" s="10" t="str">
        <x:v>home buying tracker,mortgage calculator,house comparison,real estate tracker,home buyer planner,property tracker,first time buyer,house search tracker,digital download,home purchase,budget planner,property comparison,house hunting</x:v>
      </x:c>
      <x:c r="U159" s="10" t="str">
        <x:v>home buying tracker</x:v>
      </x:c>
      <x:c r="V159" s="10" t="str">
        <x:v>mortgage calculator</x:v>
      </x:c>
      <x:c r="W159" s="10" t="str">
        <x:v>house comparison</x:v>
      </x:c>
      <x:c r="X159" s="10" t="str">
        <x:v>real estate tracker</x:v>
      </x:c>
      <x:c r="Y159" s="10" t="str">
        <x:v>home buyer planner</x:v>
      </x:c>
      <x:c r="Z159" s="10" t="str">
        <x:v>property tracker</x:v>
      </x:c>
      <x:c r="AA159" s="10" t="str">
        <x:v>first time buyer</x:v>
      </x:c>
      <x:c r="AB159" s="10" t="str">
        <x:v>house search tracker</x:v>
      </x:c>
      <x:c r="AC159" s="10" t="str">
        <x:v>digital download</x:v>
      </x:c>
      <x:c r="AD159" s="10" t="str">
        <x:v>home purchase</x:v>
      </x:c>
      <x:c r="AE159" s="10" t="str">
        <x:v>budget planner</x:v>
      </x:c>
      <x:c r="AF159" s="10" t="str">
        <x:v>property comparison</x:v>
      </x:c>
      <x:c r="AG159" s="10" t="str">
        <x:v>house hunting</x:v>
      </x:c>
      <x:c r="AH159" s="10" t="str">
        <x:v>Home buying planner</x:v>
      </x:c>
      <x:c r="AI159" s="13" t="n">
        <x:v>4</x:v>
      </x:c>
      <x:c r="AJ159" s="10" t="str">
        <x:f>IF(F159&gt;0,"Active","No est. sales")</x:f>
        <x:v>No est. sales</x:v>
      </x:c>
    </x:row>
    <x:row r="160">
      <x:c r="A160" s="10" t="str">
        <x:v>Mortgage Payment Tracker | Google Sheets Excel Spreadsheet Budget Finance Template</x:v>
      </x:c>
      <x:c r="B160" s="10" t="str">
        <x:v>https://www.etsy.com/listing/4488108271/mortgage-payment-tracker-google-sheets</x:v>
      </x:c>
      <x:c r="C160" s="10" t="str">
        <x:v>ProductivityForgeHQ</x:v>
      </x:c>
      <x:c r="D160" s="10" t="str">
        <x:v>https://www.etsy.com/shop/ProductivityForgeHQ</x:v>
      </x:c>
      <x:c r="E160" s="11" t="n">
        <x:v>5.68</x:v>
      </x:c>
      <x:c r="F160" s="10" t="n">
        <x:v>0</x:v>
      </x:c>
      <x:c r="G160" s="12" t="n">
        <x:v>0</x:v>
      </x:c>
      <x:c r="H160" s="13" t="n">
        <x:v>0</x:v>
      </x:c>
      <x:c r="I160" s="10" t="n">
        <x:v>0</x:v>
      </x:c>
      <x:c r="J160" s="10" t="n">
        <x:v>0</x:v>
      </x:c>
      <x:c r="K160" s="10" t="str">
        <x:v>3 Mo.</x:v>
      </x:c>
      <x:c r="L160" s="10" t="n">
        <x:v>0</x:v>
      </x:c>
      <x:c r="M160" s="10" t="n">
        <x:v>0</x:v>
      </x:c>
      <x:c r="N160" s="10" t="n">
        <x:v>60</x:v>
      </x:c>
      <x:c r="O160" s="10" t="str">
        <x:v>Paper &amp; Party Supplies</x:v>
      </x:c>
      <x:c r="P160" s="10" t="n">
        <x:v>4</x:v>
      </x:c>
      <x:c r="Q160" s="10" t="n">
        <x:v>0</x:v>
      </x:c>
      <x:c r="R160" s="13" t="n">
        <x:v>0</x:v>
      </x:c>
      <x:c r="S160" s="10" t="n">
        <x:v>176</x:v>
      </x:c>
      <x:c r="T160" s="10" t="str">
        <x:v>mortgage payment,mortgage planner,budget tracker,finance planner,money tracker,budget template,expense tracker,finance spreadsheet,savings planner,money planner,excel template,google sheets,spreadsheet</x:v>
      </x:c>
      <x:c r="U160" s="10" t="str">
        <x:v>mortgage payment</x:v>
      </x:c>
      <x:c r="V160" s="10" t="str">
        <x:v>mortgage planner</x:v>
      </x:c>
      <x:c r="W160" s="10" t="str">
        <x:v>budget tracker</x:v>
      </x:c>
      <x:c r="X160" s="10" t="str">
        <x:v>finance planner</x:v>
      </x:c>
      <x:c r="Y160" s="10" t="str">
        <x:v>money tracker</x:v>
      </x:c>
      <x:c r="Z160" s="10" t="str">
        <x:v>budget template</x:v>
      </x:c>
      <x:c r="AA160" s="10" t="str">
        <x:v>expense tracker</x:v>
      </x:c>
      <x:c r="AB160" s="10" t="str">
        <x:v>finance spreadsheet</x:v>
      </x:c>
      <x:c r="AC160" s="10" t="str">
        <x:v>savings planner</x:v>
      </x:c>
      <x:c r="AD160" s="10" t="str">
        <x:v>money planner</x:v>
      </x:c>
      <x:c r="AE160" s="10" t="str">
        <x:v>excel template</x:v>
      </x:c>
      <x:c r="AF160" s="10" t="str">
        <x:v>google sheets</x:v>
      </x:c>
      <x:c r="AG160" s="10" t="str">
        <x:v>spreadsheet</x:v>
      </x:c>
      <x:c r="AH160" s="10" t="str">
        <x:v>Other mortgage-related</x:v>
      </x:c>
      <x:c r="AI160" s="13" t="n">
        <x:v>3</x:v>
      </x:c>
      <x:c r="AJ160" s="10" t="str">
        <x:f>IF(F160&gt;0,"Active","No est. sales")</x:f>
        <x:v>No est. sales</x:v>
      </x:c>
    </x:row>
    <x:row r="161">
      <x:c r="A161" s="10" t="str">
        <x:v>First Time Home Buyer Planner Canada | Mortgage Calculator &amp; Budget Tracker | Excel | Google Sheets</x:v>
      </x:c>
      <x:c r="B161" s="10" t="str">
        <x:v>https://www.etsy.com/listing/1790337201/home-buying-planner-canada-excel-google</x:v>
      </x:c>
      <x:c r="C161" s="10" t="str">
        <x:v>HomeBuyingAdvising</x:v>
      </x:c>
      <x:c r="D161" s="10" t="str">
        <x:v>https://www.etsy.com/shop/HomeBuyingAdvising</x:v>
      </x:c>
      <x:c r="E161" s="11" t="n">
        <x:v>17.73</x:v>
      </x:c>
      <x:c r="F161" s="10" t="n">
        <x:v>0</x:v>
      </x:c>
      <x:c r="G161" s="12" t="n">
        <x:v>0</x:v>
      </x:c>
      <x:c r="H161" s="13" t="n">
        <x:v>0</x:v>
      </x:c>
      <x:c r="I161" s="10" t="n">
        <x:v>0</x:v>
      </x:c>
      <x:c r="J161" s="10" t="n">
        <x:v>0</x:v>
      </x:c>
      <x:c r="K161" s="10" t="str">
        <x:v>22 Mo.</x:v>
      </x:c>
      <x:c r="L161" s="10" t="n">
        <x:v>6</x:v>
      </x:c>
      <x:c r="M161" s="10" t="n">
        <x:v>0</x:v>
      </x:c>
      <x:c r="N161" s="10" t="n">
        <x:v>452</x:v>
      </x:c>
      <x:c r="O161" s="10" t="str"/>
      <x:c r="P161" s="10" t="n">
        <x:v>22</x:v>
      </x:c>
      <x:c r="Q161" s="10" t="n">
        <x:v>0</x:v>
      </x:c>
      <x:c r="R161" s="13" t="n">
        <x:v>0</x:v>
      </x:c>
      <x:c r="S161" s="10" t="n">
        <x:v>14</x:v>
      </x:c>
      <x:c r="T161" s="10" t="str">
        <x:v>mortgage calculator,mortgage planner,home buying planner,excel tool,budget spreadsheet,home buying list,homebuying guide,home buying costs,home buying process,mortgage guide,expense planner,first home buyer,mortgage canada</x:v>
      </x:c>
      <x:c r="U161" s="10" t="str">
        <x:v>mortgage calculator</x:v>
      </x:c>
      <x:c r="V161" s="10" t="str">
        <x:v>mortgage planner</x:v>
      </x:c>
      <x:c r="W161" s="10" t="str">
        <x:v>home buying planner</x:v>
      </x:c>
      <x:c r="X161" s="10" t="str">
        <x:v>excel tool</x:v>
      </x:c>
      <x:c r="Y161" s="10" t="str">
        <x:v>budget spreadsheet</x:v>
      </x:c>
      <x:c r="Z161" s="10" t="str">
        <x:v>home buying list</x:v>
      </x:c>
      <x:c r="AA161" s="10" t="str">
        <x:v>homebuying guide</x:v>
      </x:c>
      <x:c r="AB161" s="10" t="str">
        <x:v>home buying costs</x:v>
      </x:c>
      <x:c r="AC161" s="10" t="str">
        <x:v>home buying process</x:v>
      </x:c>
      <x:c r="AD161" s="10" t="str">
        <x:v>mortgage guide</x:v>
      </x:c>
      <x:c r="AE161" s="10" t="str">
        <x:v>expense planner</x:v>
      </x:c>
      <x:c r="AF161" s="10" t="str">
        <x:v>first home buyer</x:v>
      </x:c>
      <x:c r="AG161" s="10" t="str">
        <x:v>mortgage canada</x:v>
      </x:c>
      <x:c r="AH161" s="10" t="str">
        <x:v>Home buying planner</x:v>
      </x:c>
      <x:c r="AI161" s="13" t="n">
        <x:v>22</x:v>
      </x:c>
      <x:c r="AJ161" s="10" t="str">
        <x:f>IF(F161&gt;0,"Active","No est. sales")</x:f>
        <x:v>No est. sales</x:v>
      </x:c>
    </x:row>
    <x:row r="162">
      <x:c r="A162" s="10" t="str">
        <x:v>Debt Payoff Tracker Debt Snowball Avalanche Calculator Excel Google Sheets Loan Credit Card Tracker Debt Free Financial Planner Payment</x:v>
      </x:c>
      <x:c r="B162" s="10" t="str">
        <x:v>https://www.etsy.com/listing/4524788580/debt-payoff-tracker-debt-snowball</x:v>
      </x:c>
      <x:c r="C162" s="10" t="str">
        <x:v>SteadyLedgerStudio</x:v>
      </x:c>
      <x:c r="D162" s="10" t="str">
        <x:v>https://www.etsy.com/shop/SteadyLedgerStudio</x:v>
      </x:c>
      <x:c r="E162" s="11" t="n">
        <x:v>1.98</x:v>
      </x:c>
      <x:c r="F162" s="10" t="n">
        <x:v>0</x:v>
      </x:c>
      <x:c r="G162" s="12" t="n">
        <x:v>0</x:v>
      </x:c>
      <x:c r="H162" s="13" t="n">
        <x:v>0</x:v>
      </x:c>
      <x:c r="I162" s="10" t="n">
        <x:v>0</x:v>
      </x:c>
      <x:c r="J162" s="10" t="n">
        <x:v>0</x:v>
      </x:c>
      <x:c r="K162" s="10" t="str">
        <x:v>1 Mo.</x:v>
      </x:c>
      <x:c r="L162" s="10" t="n">
        <x:v>0</x:v>
      </x:c>
      <x:c r="M162" s="10" t="n">
        <x:v>0</x:v>
      </x:c>
      <x:c r="N162" s="10" t="n">
        <x:v>0</x:v>
      </x:c>
      <x:c r="O162" s="10" t="str"/>
      <x:c r="P162" s="10" t="n">
        <x:v>2</x:v>
      </x:c>
      <x:c r="Q162" s="10" t="n">
        <x:v>0</x:v>
      </x:c>
      <x:c r="R162" s="13" t="n">
        <x:v>0</x:v>
      </x:c>
      <x:c r="S162" s="10" t="n">
        <x:v>0</x:v>
      </x:c>
      <x:c r="T162" s="10" t="str">
        <x:v>debt payoff tracker,debt snowball,debt payoff chart,debt payment tracker,credit card payoff,debt template,debt avalanche,personal finances,financial planner,student loan debt,debt google sheets,mortgage payoff,credit utilization</x:v>
      </x:c>
      <x:c r="U162" s="10" t="str">
        <x:v>debt payoff tracker</x:v>
      </x:c>
      <x:c r="V162" s="10" t="str">
        <x:v>debt snowball</x:v>
      </x:c>
      <x:c r="W162" s="10" t="str">
        <x:v>debt payoff chart</x:v>
      </x:c>
      <x:c r="X162" s="10" t="str">
        <x:v>debt payment tracker</x:v>
      </x:c>
      <x:c r="Y162" s="10" t="str">
        <x:v>credit card payoff</x:v>
      </x:c>
      <x:c r="Z162" s="10" t="str">
        <x:v>debt template</x:v>
      </x:c>
      <x:c r="AA162" s="10" t="str">
        <x:v>debt avalanche</x:v>
      </x:c>
      <x:c r="AB162" s="10" t="str">
        <x:v>personal finances</x:v>
      </x:c>
      <x:c r="AC162" s="10" t="str">
        <x:v>financial planner</x:v>
      </x:c>
      <x:c r="AD162" s="10" t="str">
        <x:v>student loan debt</x:v>
      </x:c>
      <x:c r="AE162" s="10" t="str">
        <x:v>debt google sheets</x:v>
      </x:c>
      <x:c r="AF162" s="10" t="str">
        <x:v>mortgage payoff</x:v>
      </x:c>
      <x:c r="AG162" s="10" t="str">
        <x:v>credit utilization</x:v>
      </x:c>
      <x:c r="AH162" s="10" t="str">
        <x:v>General debt payoff</x:v>
      </x:c>
      <x:c r="AI162" s="13" t="n">
        <x:v>1</x:v>
      </x:c>
      <x:c r="AJ162" s="10" t="str">
        <x:f>IF(F162&gt;0,"Active","No est. sales")</x:f>
        <x:v>No est. sales</x:v>
      </x:c>
    </x:row>
    <x:row r="163">
      <x:c r="A163" s="10" t="str">
        <x:v>Loan Amortization Spreadsheet: Debt Payoff Tracker | Google Sheets | Red</x:v>
      </x:c>
      <x:c r="B163" s="10" t="str">
        <x:v>https://www.etsy.com/listing/4395249266/loan-amortization-spreadsheet-debt</x:v>
      </x:c>
      <x:c r="C163" s="10" t="str">
        <x:v>BusyBeePagesCo</x:v>
      </x:c>
      <x:c r="D163" s="10" t="str">
        <x:v>https://www.etsy.com/shop/BusyBeePagesCo</x:v>
      </x:c>
      <x:c r="E163" s="11" t="n">
        <x:v>5.99</x:v>
      </x:c>
      <x:c r="F163" s="10" t="n">
        <x:v>0</x:v>
      </x:c>
      <x:c r="G163" s="12" t="n">
        <x:v>0</x:v>
      </x:c>
      <x:c r="H163" s="13" t="n">
        <x:v>0</x:v>
      </x:c>
      <x:c r="I163" s="10" t="n">
        <x:v>0</x:v>
      </x:c>
      <x:c r="J163" s="10" t="n">
        <x:v>0</x:v>
      </x:c>
      <x:c r="K163" s="10" t="str">
        <x:v>9 Mo.</x:v>
      </x:c>
      <x:c r="L163" s="10" t="n">
        <x:v>1</x:v>
      </x:c>
      <x:c r="M163" s="10" t="n">
        <x:v>0</x:v>
      </x:c>
      <x:c r="N163" s="10" t="n">
        <x:v>4</x:v>
      </x:c>
      <x:c r="O163" s="10" t="str"/>
      <x:c r="P163" s="10" t="n">
        <x:v>13</x:v>
      </x:c>
      <x:c r="Q163" s="10" t="n">
        <x:v>0</x:v>
      </x:c>
      <x:c r="R163" s="13" t="n">
        <x:v>0</x:v>
      </x:c>
      <x:c r="S163" s="10" t="n">
        <x:v>1</x:v>
      </x:c>
      <x:c r="T163" s="10" t="str">
        <x:v>loan tracker,loan payoff,extra payments,mortgage tracker,payoff planner,debt payoff,amortization,early payoff,finance tracker,loan calculator,budget planner,debt tracker,payoff tracker</x:v>
      </x:c>
      <x:c r="U163" s="10" t="str">
        <x:v>loan tracker</x:v>
      </x:c>
      <x:c r="V163" s="10" t="str">
        <x:v>loan payoff</x:v>
      </x:c>
      <x:c r="W163" s="10" t="str">
        <x:v>extra payments</x:v>
      </x:c>
      <x:c r="X163" s="10" t="str">
        <x:v>mortgage tracker</x:v>
      </x:c>
      <x:c r="Y163" s="10" t="str">
        <x:v>payoff planner</x:v>
      </x:c>
      <x:c r="Z163" s="10" t="str">
        <x:v>debt payoff</x:v>
      </x:c>
      <x:c r="AA163" s="10" t="str">
        <x:v>amortization</x:v>
      </x:c>
      <x:c r="AB163" s="10" t="str">
        <x:v>early payoff</x:v>
      </x:c>
      <x:c r="AC163" s="10" t="str">
        <x:v>finance tracker</x:v>
      </x:c>
      <x:c r="AD163" s="10" t="str">
        <x:v>loan calculator</x:v>
      </x:c>
      <x:c r="AE163" s="10" t="str">
        <x:v>budget planner</x:v>
      </x:c>
      <x:c r="AF163" s="10" t="str">
        <x:v>debt tracker</x:v>
      </x:c>
      <x:c r="AG163" s="10" t="str">
        <x:v>payoff tracker</x:v>
      </x:c>
      <x:c r="AH163" s="10" t="str">
        <x:v>General debt payoff</x:v>
      </x:c>
      <x:c r="AI163" s="13" t="n">
        <x:v>9</x:v>
      </x:c>
      <x:c r="AJ163" s="10" t="str">
        <x:f>IF(F163&gt;0,"Active","No est. sales")</x:f>
        <x:v>No est. sales</x:v>
      </x:c>
    </x:row>
    <x:row r="164">
      <x:c r="A164" s="10" t="str">
        <x:v>First Home Buyer Planner | House Deposit Savings Tracker | Home Buying Checklist | Excel &amp; Google Sheets Budget Planner | Digital Download</x:v>
      </x:c>
      <x:c r="B164" s="10" t="str">
        <x:v>https://www.etsy.com/listing/4537575440/first-home-buyer-planner-house-deposit</x:v>
      </x:c>
      <x:c r="C164" s="10" t="str">
        <x:v>NorelineDesign</x:v>
      </x:c>
      <x:c r="D164" s="10" t="str">
        <x:v>https://www.etsy.com/shop/NorelineDesign</x:v>
      </x:c>
      <x:c r="E164" s="11" t="n">
        <x:v>18.23</x:v>
      </x:c>
      <x:c r="F164" s="10" t="n">
        <x:v>0</x:v>
      </x:c>
      <x:c r="G164" s="12" t="n">
        <x:v>0</x:v>
      </x:c>
      <x:c r="H164" s="13" t="n">
        <x:v>0</x:v>
      </x:c>
      <x:c r="I164" s="10" t="n">
        <x:v>0</x:v>
      </x:c>
      <x:c r="J164" s="10" t="n">
        <x:v>0</x:v>
      </x:c>
      <x:c r="K164" s="10" t="str">
        <x:v>1 Mo.</x:v>
      </x:c>
      <x:c r="L164" s="10" t="n">
        <x:v>0</x:v>
      </x:c>
      <x:c r="M164" s="10" t="n">
        <x:v>0</x:v>
      </x:c>
      <x:c r="N164" s="10" t="n">
        <x:v>0</x:v>
      </x:c>
      <x:c r="O164" s="10" t="str"/>
      <x:c r="P164" s="10" t="n">
        <x:v>2</x:v>
      </x:c>
      <x:c r="Q164" s="10" t="n">
        <x:v>0</x:v>
      </x:c>
      <x:c r="R164" s="13" t="n">
        <x:v>0</x:v>
      </x:c>
      <x:c r="S164" s="10" t="n">
        <x:v>0</x:v>
      </x:c>
      <x:c r="T164" s="10" t="str">
        <x:v>first home buyer,house deposit plan,home buying list,house savings plan,mortgage budget,excel home buyer,real estate budget,sheets house buyer,deposit fund plan,closing cost sheet,first time buyer,house fund planner,digital download</x:v>
      </x:c>
      <x:c r="U164" s="10" t="str">
        <x:v>first home buyer</x:v>
      </x:c>
      <x:c r="V164" s="10" t="str">
        <x:v>house deposit plan</x:v>
      </x:c>
      <x:c r="W164" s="10" t="str">
        <x:v>home buying list</x:v>
      </x:c>
      <x:c r="X164" s="10" t="str">
        <x:v>house savings plan</x:v>
      </x:c>
      <x:c r="Y164" s="10" t="str">
        <x:v>mortgage budget</x:v>
      </x:c>
      <x:c r="Z164" s="10" t="str">
        <x:v>excel home buyer</x:v>
      </x:c>
      <x:c r="AA164" s="10" t="str">
        <x:v>real estate budget</x:v>
      </x:c>
      <x:c r="AB164" s="10" t="str">
        <x:v>sheets house buyer</x:v>
      </x:c>
      <x:c r="AC164" s="10" t="str">
        <x:v>deposit fund plan</x:v>
      </x:c>
      <x:c r="AD164" s="10" t="str">
        <x:v>closing cost sheet</x:v>
      </x:c>
      <x:c r="AE164" s="10" t="str">
        <x:v>first time buyer</x:v>
      </x:c>
      <x:c r="AF164" s="10" t="str">
        <x:v>house fund planner</x:v>
      </x:c>
      <x:c r="AG164" s="10" t="str">
        <x:v>digital download</x:v>
      </x:c>
      <x:c r="AH164" s="10" t="str">
        <x:v>Home buying planner</x:v>
      </x:c>
      <x:c r="AI164" s="13" t="n">
        <x:v>1</x:v>
      </x:c>
      <x:c r="AJ164" s="10" t="str">
        <x:f>IF(F164&gt;0,"Active","No est. sales")</x:f>
        <x:v>No est. sales</x:v>
      </x:c>
    </x:row>
    <x:row r="165">
      <x:c r="A165" s="10" t="str">
        <x:v>Pay Off Your Mortgage Faster Printable | Mortgage Payoff Tracker | Home Loan Payment Tracker | Financial Freedom Planner</x:v>
      </x:c>
      <x:c r="B165" s="10" t="str">
        <x:v>https://www.etsy.com/listing/4527044065/pay-off-your-mortgage-faster-printable</x:v>
      </x:c>
      <x:c r="C165" s="10" t="str">
        <x:v>CurlyGlamBudget</x:v>
      </x:c>
      <x:c r="D165" s="10" t="str">
        <x:v>https://www.etsy.com/shop/CurlyGlamBudget</x:v>
      </x:c>
      <x:c r="E165" s="11" t="n">
        <x:v>2.99</x:v>
      </x:c>
      <x:c r="F165" s="10" t="n">
        <x:v>0</x:v>
      </x:c>
      <x:c r="G165" s="12" t="n">
        <x:v>0</x:v>
      </x:c>
      <x:c r="H165" s="13" t="n">
        <x:v>0</x:v>
      </x:c>
      <x:c r="I165" s="10" t="n">
        <x:v>0</x:v>
      </x:c>
      <x:c r="J165" s="10" t="n">
        <x:v>0</x:v>
      </x:c>
      <x:c r="K165" s="10" t="str">
        <x:v>1 Mo.</x:v>
      </x:c>
      <x:c r="L165" s="10" t="n">
        <x:v>2</x:v>
      </x:c>
      <x:c r="M165" s="10" t="n">
        <x:v>0</x:v>
      </x:c>
      <x:c r="N165" s="10" t="n">
        <x:v>11</x:v>
      </x:c>
      <x:c r="O165" s="10" t="str"/>
      <x:c r="P165" s="10" t="n">
        <x:v>2</x:v>
      </x:c>
      <x:c r="Q165" s="10" t="n">
        <x:v>0</x:v>
      </x:c>
      <x:c r="R165" s="13" t="n">
        <x:v>0</x:v>
      </x:c>
      <x:c r="S165" s="10" t="n">
        <x:v>60</x:v>
      </x:c>
      <x:c r="T165" s="10" t="str">
        <x:v>mortgage tracker,payoff tracker,pay off mortgage,mortgage payoff,debt free journey,debt free planner,loan payoff,home planner,house planner,homeowner planner,payoff worksheet,home budget,debt payoff</x:v>
      </x:c>
      <x:c r="U165" s="10" t="str">
        <x:v>mortgage tracker</x:v>
      </x:c>
      <x:c r="V165" s="10" t="str">
        <x:v>payoff tracker</x:v>
      </x:c>
      <x:c r="W165" s="10" t="str">
        <x:v>pay off mortgage</x:v>
      </x:c>
      <x:c r="X165" s="10" t="str">
        <x:v>mortgage payoff</x:v>
      </x:c>
      <x:c r="Y165" s="10" t="str">
        <x:v>debt free journey</x:v>
      </x:c>
      <x:c r="Z165" s="10" t="str">
        <x:v>debt free planner</x:v>
      </x:c>
      <x:c r="AA165" s="10" t="str">
        <x:v>loan payoff</x:v>
      </x:c>
      <x:c r="AB165" s="10" t="str">
        <x:v>home planner</x:v>
      </x:c>
      <x:c r="AC165" s="10" t="str">
        <x:v>house planner</x:v>
      </x:c>
      <x:c r="AD165" s="10" t="str">
        <x:v>homeowner planner</x:v>
      </x:c>
      <x:c r="AE165" s="10" t="str">
        <x:v>payoff worksheet</x:v>
      </x:c>
      <x:c r="AF165" s="10" t="str">
        <x:v>home budget</x:v>
      </x:c>
      <x:c r="AG165" s="10" t="str">
        <x:v>debt payoff</x:v>
      </x:c>
      <x:c r="AH165" s="10" t="str">
        <x:v>Mortgage payoff / calculator</x:v>
      </x:c>
      <x:c r="AI165" s="13" t="n">
        <x:v>1</x:v>
      </x:c>
      <x:c r="AJ165" s="10" t="str">
        <x:f>IF(F165&gt;0,"Active","No est. sales")</x:f>
        <x:v>No est. sales</x:v>
      </x:c>
    </x:row>
    <x:row r="166">
      <x:c r="A166" s="10" t="str">
        <x:v>House Down Payment, Mortgage Budget Sheet, My Dream House Savings Fund, Savings Funds Challenge Printable, House Savings Tracker, budgeting</x:v>
      </x:c>
      <x:c r="B166" s="10" t="str">
        <x:v>https://www.etsy.com/listing/1256512190/house-down-payment-mortgage-budget-sheet</x:v>
      </x:c>
      <x:c r="C166" s="10" t="str">
        <x:v>TheSavvyCoin</x:v>
      </x:c>
      <x:c r="D166" s="10" t="str">
        <x:v>https://www.etsy.com/shop/TheSavvyCoin</x:v>
      </x:c>
      <x:c r="E166" s="11" t="n">
        <x:v>4</x:v>
      </x:c>
      <x:c r="F166" s="10" t="n">
        <x:v>0</x:v>
      </x:c>
      <x:c r="G166" s="12" t="n">
        <x:v>0</x:v>
      </x:c>
      <x:c r="H166" s="13" t="n">
        <x:v>0</x:v>
      </x:c>
      <x:c r="I166" s="10" t="n">
        <x:v>23</x:v>
      </x:c>
      <x:c r="J166" s="10" t="n">
        <x:v>8</x:v>
      </x:c>
      <x:c r="K166" s="10" t="str">
        <x:v>45 Mo.</x:v>
      </x:c>
      <x:c r="L166" s="10" t="n">
        <x:v>60</x:v>
      </x:c>
      <x:c r="M166" s="10" t="n">
        <x:v>0</x:v>
      </x:c>
      <x:c r="N166" s="10" t="n">
        <x:v>968</x:v>
      </x:c>
      <x:c r="O166" s="10" t="str">
        <x:v>Paper &amp; Party Supplies</x:v>
      </x:c>
      <x:c r="P166" s="10" t="n">
        <x:v>48</x:v>
      </x:c>
      <x:c r="Q166" s="10" t="n">
        <x:v>0</x:v>
      </x:c>
      <x:c r="R166" s="13" t="n">
        <x:v>2.38</x:v>
      </x:c>
      <x:c r="S166" s="10" t="n">
        <x:v>3210</x:v>
      </x:c>
      <x:c r="T166" s="10" t="str">
        <x:v>budget planner,savings challenge,money challenge,challenge trackers,a6 budget planner,a6 savings paper,debt free life,mortgage planner,mortgage budget,mortgage savings,dream home challenge,dream home tracker,house fund tracker</x:v>
      </x:c>
      <x:c r="U166" s="10" t="str">
        <x:v>budget planner</x:v>
      </x:c>
      <x:c r="V166" s="10" t="str">
        <x:v>savings challenge</x:v>
      </x:c>
      <x:c r="W166" s="10" t="str">
        <x:v>money challenge</x:v>
      </x:c>
      <x:c r="X166" s="10" t="str">
        <x:v>challenge trackers</x:v>
      </x:c>
      <x:c r="Y166" s="10" t="str">
        <x:v>a6 budget planner</x:v>
      </x:c>
      <x:c r="Z166" s="10" t="str">
        <x:v>a6 savings paper</x:v>
      </x:c>
      <x:c r="AA166" s="10" t="str">
        <x:v>debt free life</x:v>
      </x:c>
      <x:c r="AB166" s="10" t="str">
        <x:v>mortgage planner</x:v>
      </x:c>
      <x:c r="AC166" s="10" t="str">
        <x:v>mortgage budget</x:v>
      </x:c>
      <x:c r="AD166" s="10" t="str">
        <x:v>mortgage savings</x:v>
      </x:c>
      <x:c r="AE166" s="10" t="str">
        <x:v>dream home challenge</x:v>
      </x:c>
      <x:c r="AF166" s="10" t="str">
        <x:v>dream home tracker</x:v>
      </x:c>
      <x:c r="AG166" s="10" t="str">
        <x:v>house fund tracker</x:v>
      </x:c>
      <x:c r="AH166" s="10" t="str">
        <x:v>Other mortgage-related</x:v>
      </x:c>
      <x:c r="AI166" s="13" t="n">
        <x:v>45</x:v>
      </x:c>
      <x:c r="AJ166" s="10" t="str">
        <x:f>IF(F166&gt;0,"Active","No est. sales")</x:f>
        <x:v>No est. sales</x:v>
      </x:c>
    </x:row>
    <x:row r="167">
      <x:c r="A167" s="10" t="str">
        <x:v>Home Buying Checklist | Pre-Approval to Closing Day Planner | Printable PDF</x:v>
      </x:c>
      <x:c r="B167" s="10" t="str">
        <x:v>https://www.etsy.com/listing/4506063654/home-buying-checklist-pre-approval-to</x:v>
      </x:c>
      <x:c r="C167" s="10" t="str">
        <x:v>KitHaus</x:v>
      </x:c>
      <x:c r="D167" s="10" t="str">
        <x:v>https://www.etsy.com/shop/KitHaus</x:v>
      </x:c>
      <x:c r="E167" s="11" t="n">
        <x:v>0.99</x:v>
      </x:c>
      <x:c r="F167" s="10" t="n">
        <x:v>0</x:v>
      </x:c>
      <x:c r="G167" s="12" t="n">
        <x:v>0</x:v>
      </x:c>
      <x:c r="H167" s="13" t="n">
        <x:v>0</x:v>
      </x:c>
      <x:c r="I167" s="10" t="n">
        <x:v>0</x:v>
      </x:c>
      <x:c r="J167" s="10" t="n">
        <x:v>0</x:v>
      </x:c>
      <x:c r="K167" s="10" t="str">
        <x:v>2 Mo.</x:v>
      </x:c>
      <x:c r="L167" s="10" t="n">
        <x:v>0</x:v>
      </x:c>
      <x:c r="M167" s="10" t="n">
        <x:v>0</x:v>
      </x:c>
      <x:c r="N167" s="10" t="n">
        <x:v>0</x:v>
      </x:c>
      <x:c r="O167" s="10" t="str">
        <x:v>Art &amp; Collectibles</x:v>
      </x:c>
      <x:c r="P167" s="10" t="n">
        <x:v>9</x:v>
      </x:c>
      <x:c r="Q167" s="10" t="n">
        <x:v>0</x:v>
      </x:c>
      <x:c r="R167" s="13" t="n">
        <x:v>0</x:v>
      </x:c>
      <x:c r="S167" s="10" t="n">
        <x:v>77</x:v>
      </x:c>
      <x:c r="T167" s="10" t="str">
        <x:v>home buying checklis,pre-approval tracker,home search planner,offer log tracker,inspection contingen,closing day checklis,first time home buye,home purchase planne,mortgage pre-approva</x:v>
      </x:c>
      <x:c r="U167" s="10" t="str">
        <x:v>home buying checklis</x:v>
      </x:c>
      <x:c r="V167" s="10" t="str">
        <x:v>pre-approval tracker</x:v>
      </x:c>
      <x:c r="W167" s="10" t="str">
        <x:v>home search planner</x:v>
      </x:c>
      <x:c r="X167" s="10" t="str">
        <x:v>offer log tracker</x:v>
      </x:c>
      <x:c r="Y167" s="10" t="str">
        <x:v>inspection contingen</x:v>
      </x:c>
      <x:c r="Z167" s="10" t="str">
        <x:v>closing day checklis</x:v>
      </x:c>
      <x:c r="AA167" s="10" t="str">
        <x:v>first time home buye</x:v>
      </x:c>
      <x:c r="AB167" s="10" t="str">
        <x:v>home purchase planne</x:v>
      </x:c>
      <x:c r="AC167" s="10" t="str">
        <x:v>mortgage pre-approva</x:v>
      </x:c>
      <x:c r="AD167" s="10" t="str">
        <x:v>--</x:v>
      </x:c>
      <x:c r="AE167" s="10" t="str">
        <x:v>--</x:v>
      </x:c>
      <x:c r="AF167" s="10" t="str">
        <x:v>--</x:v>
      </x:c>
      <x:c r="AG167" s="10" t="str">
        <x:v>--</x:v>
      </x:c>
      <x:c r="AH167" s="10" t="str">
        <x:v>Home buying planner</x:v>
      </x:c>
      <x:c r="AI167" s="13" t="n">
        <x:v>2</x:v>
      </x:c>
      <x:c r="AJ167" s="10" t="str">
        <x:f>IF(F167&gt;0,"Active","No est. sales")</x:f>
        <x:v>No est. sales</x:v>
      </x:c>
    </x:row>
    <x:row r="168">
      <x:c r="A168" s="10" t="str">
        <x:v>Debt Payoff &amp; Mortgage Planner AU</x:v>
      </x:c>
      <x:c r="B168" s="10" t="str">
        <x:v>https://www.etsy.com/listing/4522232251/debt-payoff-mortgage-planner-au</x:v>
      </x:c>
      <x:c r="C168" s="10" t="str">
        <x:v>CashflowClarityAU</x:v>
      </x:c>
      <x:c r="D168" s="10" t="str">
        <x:v>https://www.etsy.com/shop/CashflowClarityAU</x:v>
      </x:c>
      <x:c r="E168" s="11" t="n">
        <x:v>8.31</x:v>
      </x:c>
      <x:c r="F168" s="10" t="n">
        <x:v>0</x:v>
      </x:c>
      <x:c r="G168" s="12" t="n">
        <x:v>0</x:v>
      </x:c>
      <x:c r="H168" s="13" t="n">
        <x:v>0</x:v>
      </x:c>
      <x:c r="I168" s="10" t="n">
        <x:v>0</x:v>
      </x:c>
      <x:c r="J168" s="10" t="n">
        <x:v>0</x:v>
      </x:c>
      <x:c r="K168" s="10" t="str">
        <x:v>1 Mo.</x:v>
      </x:c>
      <x:c r="L168" s="10" t="n">
        <x:v>0</x:v>
      </x:c>
      <x:c r="M168" s="10" t="n">
        <x:v>0</x:v>
      </x:c>
      <x:c r="N168" s="10" t="n">
        <x:v>2</x:v>
      </x:c>
      <x:c r="O168" s="10" t="str"/>
      <x:c r="P168" s="10" t="n">
        <x:v>2</x:v>
      </x:c>
      <x:c r="Q168" s="10" t="n">
        <x:v>0</x:v>
      </x:c>
      <x:c r="R168" s="13" t="n">
        <x:v>0</x:v>
      </x:c>
      <x:c r="S168" s="10" t="n">
        <x:v>0</x:v>
      </x:c>
      <x:c r="T168" s="10" t="str">
        <x:v>debt payoff au,mortgage planner,debt tracker,repayment planner,budget debt au,cashflow planner,loan payoff sheet,credit card debt,mortgage budget au,excel debt au,google sheets au,family finance,money planner au</x:v>
      </x:c>
      <x:c r="U168" s="10" t="str">
        <x:v>debt payoff au</x:v>
      </x:c>
      <x:c r="V168" s="10" t="str">
        <x:v>mortgage planner</x:v>
      </x:c>
      <x:c r="W168" s="10" t="str">
        <x:v>debt tracker</x:v>
      </x:c>
      <x:c r="X168" s="10" t="str">
        <x:v>repayment planner</x:v>
      </x:c>
      <x:c r="Y168" s="10" t="str">
        <x:v>budget debt au</x:v>
      </x:c>
      <x:c r="Z168" s="10" t="str">
        <x:v>cashflow planner</x:v>
      </x:c>
      <x:c r="AA168" s="10" t="str">
        <x:v>loan payoff sheet</x:v>
      </x:c>
      <x:c r="AB168" s="10" t="str">
        <x:v>credit card debt</x:v>
      </x:c>
      <x:c r="AC168" s="10" t="str">
        <x:v>mortgage budget au</x:v>
      </x:c>
      <x:c r="AD168" s="10" t="str">
        <x:v>excel debt au</x:v>
      </x:c>
      <x:c r="AE168" s="10" t="str">
        <x:v>google sheets au</x:v>
      </x:c>
      <x:c r="AF168" s="10" t="str">
        <x:v>family finance</x:v>
      </x:c>
      <x:c r="AG168" s="10" t="str">
        <x:v>money planner au</x:v>
      </x:c>
      <x:c r="AH168" s="10" t="str">
        <x:v>General debt payoff</x:v>
      </x:c>
      <x:c r="AI168" s="13" t="n">
        <x:v>1</x:v>
      </x:c>
      <x:c r="AJ168" s="10" t="str">
        <x:f>IF(F168&gt;0,"Active","No est. sales")</x:f>
        <x:v>No est. sales</x:v>
      </x:c>
    </x:row>
    <x:row r="169">
      <x:c r="A169" s="10" t="str">
        <x:v>Debt Snowball Chart | Weekly Repayment Planner for Student Loans, Mortgage &amp; Credit Card (PDF - US Letter/ A4/ A5/ Classic HP / Half Page)</x:v>
      </x:c>
      <x:c r="B169" s="10" t="str">
        <x:v>https://www.etsy.com/listing/4453382220/weekly-debt-tracker-printable-simple</x:v>
      </x:c>
      <x:c r="C169" s="10" t="str">
        <x:v>AnchoredtoBloom</x:v>
      </x:c>
      <x:c r="D169" s="10" t="str">
        <x:v>https://www.etsy.com/shop/AnchoredtoBloom</x:v>
      </x:c>
      <x:c r="E169" s="11" t="n">
        <x:v>1.49</x:v>
      </x:c>
      <x:c r="F169" s="10" t="n">
        <x:v>0</x:v>
      </x:c>
      <x:c r="G169" s="12" t="n">
        <x:v>0</x:v>
      </x:c>
      <x:c r="H169" s="13" t="n">
        <x:v>0</x:v>
      </x:c>
      <x:c r="I169" s="10" t="n">
        <x:v>0</x:v>
      </x:c>
      <x:c r="J169" s="10" t="n">
        <x:v>0</x:v>
      </x:c>
      <x:c r="K169" s="10" t="str">
        <x:v>5 Mo.</x:v>
      </x:c>
      <x:c r="L169" s="10" t="n">
        <x:v>0</x:v>
      </x:c>
      <x:c r="M169" s="10" t="n">
        <x:v>0</x:v>
      </x:c>
      <x:c r="N169" s="10" t="n">
        <x:v>5</x:v>
      </x:c>
      <x:c r="O169" s="10" t="str"/>
      <x:c r="P169" s="10" t="n">
        <x:v>8</x:v>
      </x:c>
      <x:c r="Q169" s="10" t="n">
        <x:v>0</x:v>
      </x:c>
      <x:c r="R169" s="13" t="n">
        <x:v>0</x:v>
      </x:c>
      <x:c r="S169" s="10" t="n">
        <x:v>13</x:v>
      </x:c>
      <x:c r="T169" s="10" t="str">
        <x:v>weekly debt tracker,credit card tracker,debt payment tracker,debt payoff tracker,debt repay tracker,debt-free-goals,debt paying sheet,credit card debt pay,debt motivation,debt snowball chart,debt payoff method,mortgage debt payoff,student debt payoff</x:v>
      </x:c>
      <x:c r="U169" s="10" t="str">
        <x:v>weekly debt tracker</x:v>
      </x:c>
      <x:c r="V169" s="10" t="str">
        <x:v>credit card tracker</x:v>
      </x:c>
      <x:c r="W169" s="10" t="str">
        <x:v>debt payment tracker</x:v>
      </x:c>
      <x:c r="X169" s="10" t="str">
        <x:v>debt payoff tracker</x:v>
      </x:c>
      <x:c r="Y169" s="10" t="str">
        <x:v>debt repay tracker</x:v>
      </x:c>
      <x:c r="Z169" s="10" t="str">
        <x:v>debt-free-goals</x:v>
      </x:c>
      <x:c r="AA169" s="10" t="str">
        <x:v>debt paying sheet</x:v>
      </x:c>
      <x:c r="AB169" s="10" t="str">
        <x:v>credit card debt pay</x:v>
      </x:c>
      <x:c r="AC169" s="10" t="str">
        <x:v>debt motivation</x:v>
      </x:c>
      <x:c r="AD169" s="10" t="str">
        <x:v>debt snowball chart</x:v>
      </x:c>
      <x:c r="AE169" s="10" t="str">
        <x:v>debt payoff method</x:v>
      </x:c>
      <x:c r="AF169" s="10" t="str">
        <x:v>mortgage debt payoff</x:v>
      </x:c>
      <x:c r="AG169" s="10" t="str">
        <x:v>student debt payoff</x:v>
      </x:c>
      <x:c r="AH169" s="10" t="str">
        <x:v>General debt payoff</x:v>
      </x:c>
      <x:c r="AI169" s="13" t="n">
        <x:v>5</x:v>
      </x:c>
      <x:c r="AJ169" s="10" t="str">
        <x:f>IF(F169&gt;0,"Active","No est. sales")</x:f>
        <x:v>No est. sales</x:v>
      </x:c>
    </x:row>
    <x:row r="170">
      <x:c r="A170" s="10" t="str">
        <x:v>Pay Mortgage Script Planner Stickers Mortgage Reminder Stickers for Planners and Calendars</x:v>
      </x:c>
      <x:c r="B170" s="10" t="str">
        <x:v>https://www.etsy.com/listing/1546080899/pay-mortgage-script-planner-stickers</x:v>
      </x:c>
      <x:c r="C170" s="10" t="str">
        <x:v>foxandroseink</x:v>
      </x:c>
      <x:c r="D170" s="10" t="str">
        <x:v>https://www.etsy.com/shop/foxandroseink</x:v>
      </x:c>
      <x:c r="E170" s="11" t="n">
        <x:v>2.95</x:v>
      </x:c>
      <x:c r="F170" s="10" t="n">
        <x:v>0</x:v>
      </x:c>
      <x:c r="G170" s="12" t="n">
        <x:v>0</x:v>
      </x:c>
      <x:c r="H170" s="13" t="n">
        <x:v>0</x:v>
      </x:c>
      <x:c r="I170" s="10" t="n">
        <x:v>0</x:v>
      </x:c>
      <x:c r="J170" s="10" t="n">
        <x:v>0</x:v>
      </x:c>
      <x:c r="K170" s="10" t="str">
        <x:v>35 Mo.</x:v>
      </x:c>
      <x:c r="L170" s="10" t="n">
        <x:v>2</x:v>
      </x:c>
      <x:c r="M170" s="10" t="n">
        <x:v>0</x:v>
      </x:c>
      <x:c r="N170" s="10" t="n">
        <x:v>21</x:v>
      </x:c>
      <x:c r="O170" s="10" t="str">
        <x:v>Paper &amp; Party Supplies</x:v>
      </x:c>
      <x:c r="P170" s="10" t="n">
        <x:v>75</x:v>
      </x:c>
      <x:c r="Q170" s="10" t="n">
        <x:v>0</x:v>
      </x:c>
      <x:c r="R170" s="13" t="n">
        <x:v>0</x:v>
      </x:c>
      <x:c r="S170" s="10" t="n">
        <x:v>6307</x:v>
      </x:c>
      <x:c r="T170" s="10" t="str">
        <x:v>planner sticker,script planner,script stickers,calendar stickers,word stickers,reminder stickers,mini planner scripts,cursive font,stickers for planner,mortgage payment,pay mortgage,house note,house payment</x:v>
      </x:c>
      <x:c r="U170" s="10" t="str">
        <x:v>planner sticker</x:v>
      </x:c>
      <x:c r="V170" s="10" t="str">
        <x:v>script planner</x:v>
      </x:c>
      <x:c r="W170" s="10" t="str">
        <x:v>script stickers</x:v>
      </x:c>
      <x:c r="X170" s="10" t="str">
        <x:v>calendar stickers</x:v>
      </x:c>
      <x:c r="Y170" s="10" t="str">
        <x:v>word stickers</x:v>
      </x:c>
      <x:c r="Z170" s="10" t="str">
        <x:v>reminder stickers</x:v>
      </x:c>
      <x:c r="AA170" s="10" t="str">
        <x:v>mini planner scripts</x:v>
      </x:c>
      <x:c r="AB170" s="10" t="str">
        <x:v>cursive font</x:v>
      </x:c>
      <x:c r="AC170" s="10" t="str">
        <x:v>stickers for planner</x:v>
      </x:c>
      <x:c r="AD170" s="10" t="str">
        <x:v>mortgage payment</x:v>
      </x:c>
      <x:c r="AE170" s="10" t="str">
        <x:v>pay mortgage</x:v>
      </x:c>
      <x:c r="AF170" s="10" t="str">
        <x:v>house note</x:v>
      </x:c>
      <x:c r="AG170" s="10" t="str">
        <x:v>house payment</x:v>
      </x:c>
      <x:c r="AH170" s="10" t="str">
        <x:v>Other mortgage-related</x:v>
      </x:c>
      <x:c r="AI170" s="13" t="n">
        <x:v>35</x:v>
      </x:c>
      <x:c r="AJ170" s="10" t="str">
        <x:f>IF(F170&gt;0,"Active","No est. sales")</x:f>
        <x:v>No est. sales</x:v>
      </x:c>
    </x:row>
    <x:row r="171">
      <x:c r="A171" s="10" t="str">
        <x:v>First-Time Homebuyer Planner, Checklist, Closing Costs, House Tracker (Digital Download)</x:v>
      </x:c>
      <x:c r="B171" s="10" t="str">
        <x:v>https://www.etsy.com/listing/4533955713/first-time-homebuyer-planner-checklist</x:v>
      </x:c>
      <x:c r="C171" s="10" t="str">
        <x:v>RootandReady</x:v>
      </x:c>
      <x:c r="D171" s="10" t="str">
        <x:v>https://www.etsy.com/shop/RootandReady</x:v>
      </x:c>
      <x:c r="E171" s="11" t="n">
        <x:v>24</x:v>
      </x:c>
      <x:c r="F171" s="10" t="n">
        <x:v>0</x:v>
      </x:c>
      <x:c r="G171" s="12" t="n">
        <x:v>0</x:v>
      </x:c>
      <x:c r="H171" s="13" t="n">
        <x:v>0</x:v>
      </x:c>
      <x:c r="I171" s="10" t="n">
        <x:v>0</x:v>
      </x:c>
      <x:c r="J171" s="10" t="n">
        <x:v>0</x:v>
      </x:c>
      <x:c r="K171" s="10" t="str">
        <x:v>1 Mo.</x:v>
      </x:c>
      <x:c r="L171" s="10" t="n">
        <x:v>0</x:v>
      </x:c>
      <x:c r="M171" s="10" t="n">
        <x:v>0</x:v>
      </x:c>
      <x:c r="N171" s="10" t="n">
        <x:v>2</x:v>
      </x:c>
      <x:c r="O171" s="10" t="str">
        <x:v>Paper &amp; Party Supplies</x:v>
      </x:c>
      <x:c r="P171" s="10" t="n">
        <x:v>30</x:v>
      </x:c>
      <x:c r="Q171" s="10" t="n">
        <x:v>0</x:v>
      </x:c>
      <x:c r="R171" s="13" t="n">
        <x:v>0</x:v>
      </x:c>
      <x:c r="S171" s="10" t="n">
        <x:v>0</x:v>
      </x:c>
      <x:c r="T171" s="10" t="str">
        <x:v>home buying planner,house hunt tracker,closing cost tracker,mortgage checklist,real estate planner,home comparison list,new homeowner gift,closing day guide,home maintenance log,house shopping list,realtor client gift,budget planner pdf,printable tracker</x:v>
      </x:c>
      <x:c r="U171" s="10" t="str">
        <x:v>home buying planner</x:v>
      </x:c>
      <x:c r="V171" s="10" t="str">
        <x:v>house hunt tracker</x:v>
      </x:c>
      <x:c r="W171" s="10" t="str">
        <x:v>closing cost tracker</x:v>
      </x:c>
      <x:c r="X171" s="10" t="str">
        <x:v>mortgage checklist</x:v>
      </x:c>
      <x:c r="Y171" s="10" t="str">
        <x:v>real estate planner</x:v>
      </x:c>
      <x:c r="Z171" s="10" t="str">
        <x:v>home comparison list</x:v>
      </x:c>
      <x:c r="AA171" s="10" t="str">
        <x:v>new homeowner gift</x:v>
      </x:c>
      <x:c r="AB171" s="10" t="str">
        <x:v>closing day guide</x:v>
      </x:c>
      <x:c r="AC171" s="10" t="str">
        <x:v>home maintenance log</x:v>
      </x:c>
      <x:c r="AD171" s="10" t="str">
        <x:v>house shopping list</x:v>
      </x:c>
      <x:c r="AE171" s="10" t="str">
        <x:v>realtor client gift</x:v>
      </x:c>
      <x:c r="AF171" s="10" t="str">
        <x:v>budget planner pdf</x:v>
      </x:c>
      <x:c r="AG171" s="10" t="str">
        <x:v>printable tracker</x:v>
      </x:c>
      <x:c r="AH171" s="10" t="str">
        <x:v>Home buying planner</x:v>
      </x:c>
      <x:c r="AI171" s="13" t="n">
        <x:v>1</x:v>
      </x:c>
      <x:c r="AJ171" s="10" t="str">
        <x:f>IF(F171&gt;0,"Active","No est. sales")</x:f>
        <x:v>No est. sales</x:v>
      </x:c>
    </x:row>
    <x:row r="172">
      <x:c r="A172" s="10" t="str">
        <x:v>Debt Payoff Calculator | google sheets home and mortgage template (Digital Download)</x:v>
      </x:c>
      <x:c r="B172" s="10" t="str">
        <x:v>https://www.etsy.com/listing/4454659970/mortgage-payoff-calculator-spreadsheet</x:v>
      </x:c>
      <x:c r="C172" s="10" t="str">
        <x:v>TheYellowFinancer</x:v>
      </x:c>
      <x:c r="D172" s="10" t="str">
        <x:v>https://www.etsy.com/shop/TheYellowFinancer</x:v>
      </x:c>
      <x:c r="E172" s="11" t="n">
        <x:v>0.95</x:v>
      </x:c>
      <x:c r="F172" s="10" t="n">
        <x:v>0</x:v>
      </x:c>
      <x:c r="G172" s="12" t="n">
        <x:v>0</x:v>
      </x:c>
      <x:c r="H172" s="13" t="n">
        <x:v>0</x:v>
      </x:c>
      <x:c r="I172" s="10" t="n">
        <x:v>0</x:v>
      </x:c>
      <x:c r="J172" s="10" t="n">
        <x:v>0</x:v>
      </x:c>
      <x:c r="K172" s="10" t="str">
        <x:v>5 Mo.</x:v>
      </x:c>
      <x:c r="L172" s="10" t="n">
        <x:v>0</x:v>
      </x:c>
      <x:c r="M172" s="10" t="n">
        <x:v>0</x:v>
      </x:c>
      <x:c r="N172" s="10" t="n">
        <x:v>67</x:v>
      </x:c>
      <x:c r="O172" s="10" t="str"/>
      <x:c r="P172" s="10" t="n">
        <x:v>56</x:v>
      </x:c>
      <x:c r="Q172" s="10" t="n">
        <x:v>0</x:v>
      </x:c>
      <x:c r="R172" s="13" t="n">
        <x:v>0</x:v>
      </x:c>
      <x:c r="S172" s="10" t="n">
        <x:v>6</x:v>
      </x:c>
      <x:c r="T172" s="10" t="str">
        <x:v>mortgage spreadsheet,payment tracker,loan calculator,excel template,google sheets,mortgage payoff,planning tool,budget planner,digital download,mortgage interest,money,debt spreadsheet,monthly bills</x:v>
      </x:c>
      <x:c r="U172" s="10" t="str">
        <x:v>mortgage spreadsheet</x:v>
      </x:c>
      <x:c r="V172" s="10" t="str">
        <x:v>payment tracker</x:v>
      </x:c>
      <x:c r="W172" s="10" t="str">
        <x:v>loan calculator</x:v>
      </x:c>
      <x:c r="X172" s="10" t="str">
        <x:v>excel template</x:v>
      </x:c>
      <x:c r="Y172" s="10" t="str">
        <x:v>google sheets</x:v>
      </x:c>
      <x:c r="Z172" s="10" t="str">
        <x:v>mortgage payoff</x:v>
      </x:c>
      <x:c r="AA172" s="10" t="str">
        <x:v>planning tool</x:v>
      </x:c>
      <x:c r="AB172" s="10" t="str">
        <x:v>budget planner</x:v>
      </x:c>
      <x:c r="AC172" s="10" t="str">
        <x:v>digital download</x:v>
      </x:c>
      <x:c r="AD172" s="10" t="str">
        <x:v>mortgage interest</x:v>
      </x:c>
      <x:c r="AE172" s="10" t="str">
        <x:v>money</x:v>
      </x:c>
      <x:c r="AF172" s="10" t="str">
        <x:v>debt spreadsheet</x:v>
      </x:c>
      <x:c r="AG172" s="10" t="str">
        <x:v>monthly bills</x:v>
      </x:c>
      <x:c r="AH172" s="10" t="str">
        <x:v>General debt payoff</x:v>
      </x:c>
      <x:c r="AI172" s="13" t="n">
        <x:v>5</x:v>
      </x:c>
      <x:c r="AJ172" s="10" t="str">
        <x:f>IF(F172&gt;0,"Active","No est. sales")</x:f>
        <x:v>No est. sales</x:v>
      </x:c>
    </x:row>
    <x:row r="173">
      <x:c r="A173" s="10" t="str">
        <x:v>Debt Payoff Tracker: Snowball Avalanche Calculator (Google Sheets)</x:v>
      </x:c>
      <x:c r="B173" s="10" t="str">
        <x:v>https://www.etsy.com/listing/1776927769/debt-payoff-tracker-snowball-avalanche</x:v>
      </x:c>
      <x:c r="C173" s="10" t="str">
        <x:v>JrenDigital</x:v>
      </x:c>
      <x:c r="D173" s="10" t="str">
        <x:v>https://www.etsy.com/shop/JrenDigital</x:v>
      </x:c>
      <x:c r="E173" s="11" t="n">
        <x:v>9.77</x:v>
      </x:c>
      <x:c r="F173" s="10" t="n">
        <x:v>0</x:v>
      </x:c>
      <x:c r="G173" s="12" t="n">
        <x:v>0</x:v>
      </x:c>
      <x:c r="H173" s="13" t="n">
        <x:v>0</x:v>
      </x:c>
      <x:c r="I173" s="10" t="n">
        <x:v>115</x:v>
      </x:c>
      <x:c r="J173" s="10" t="n">
        <x:v>8</x:v>
      </x:c>
      <x:c r="K173" s="10" t="str">
        <x:v>23 Mo.</x:v>
      </x:c>
      <x:c r="L173" s="10" t="n">
        <x:v>28</x:v>
      </x:c>
      <x:c r="M173" s="10" t="n">
        <x:v>0</x:v>
      </x:c>
      <x:c r="N173" s="10" t="n">
        <x:v>1897</x:v>
      </x:c>
      <x:c r="O173" s="10" t="str">
        <x:v>Paper &amp; Party Supplies</x:v>
      </x:c>
      <x:c r="P173" s="10" t="n">
        <x:v>41</x:v>
      </x:c>
      <x:c r="Q173" s="10" t="n">
        <x:v>33</x:v>
      </x:c>
      <x:c r="R173" s="13" t="n">
        <x:v>6.06</x:v>
      </x:c>
      <x:c r="S173" s="10" t="n">
        <x:v>80099</x:v>
      </x:c>
      <x:c r="T173" s="10" t="str">
        <x:v>financial planner,debt payoff tracker,debt snowball,debt payoff chart,debt payment tracker,credit card payoff,debt template,debt avalanche,personal finance,student loan debt,google sheets budget,mortgage payoff,credit utilization</x:v>
      </x:c>
      <x:c r="U173" s="10" t="str">
        <x:v>financial planner</x:v>
      </x:c>
      <x:c r="V173" s="10" t="str">
        <x:v>debt payoff tracker</x:v>
      </x:c>
      <x:c r="W173" s="10" t="str">
        <x:v>debt snowball</x:v>
      </x:c>
      <x:c r="X173" s="10" t="str">
        <x:v>debt payoff chart</x:v>
      </x:c>
      <x:c r="Y173" s="10" t="str">
        <x:v>debt payment tracker</x:v>
      </x:c>
      <x:c r="Z173" s="10" t="str">
        <x:v>credit card payoff</x:v>
      </x:c>
      <x:c r="AA173" s="10" t="str">
        <x:v>debt template</x:v>
      </x:c>
      <x:c r="AB173" s="10" t="str">
        <x:v>debt avalanche</x:v>
      </x:c>
      <x:c r="AC173" s="10" t="str">
        <x:v>personal finance</x:v>
      </x:c>
      <x:c r="AD173" s="10" t="str">
        <x:v>student loan debt</x:v>
      </x:c>
      <x:c r="AE173" s="10" t="str">
        <x:v>google sheets budget</x:v>
      </x:c>
      <x:c r="AF173" s="10" t="str">
        <x:v>mortgage payoff</x:v>
      </x:c>
      <x:c r="AG173" s="10" t="str">
        <x:v>credit utilization</x:v>
      </x:c>
      <x:c r="AH173" s="10" t="str">
        <x:v>General debt payoff</x:v>
      </x:c>
      <x:c r="AI173" s="13" t="n">
        <x:v>23</x:v>
      </x:c>
      <x:c r="AJ173" s="10" t="str">
        <x:f>IF(F173&gt;0,"Active","No est. sales")</x:f>
        <x:v>No est. sales</x:v>
      </x:c>
    </x:row>
    <x:row r="174">
      <x:c r="A174" s="10" t="str">
        <x:v>Debt Tracker Spreadsheet: Snowball, Avalanche, Custom, Credit Score Methods Google Sheets &amp; Excel Template | Loan Credit Card Payoff Tracker</x:v>
      </x:c>
      <x:c r="B174" s="10" t="str">
        <x:v>https://www.etsy.com/listing/1806648433/debt-payoff-tracker-snowball-avalanche</x:v>
      </x:c>
      <x:c r="C174" s="10" t="str">
        <x:v>JrenDigital</x:v>
      </x:c>
      <x:c r="D174" s="10" t="str">
        <x:v>https://www.etsy.com/shop/JrenDigital</x:v>
      </x:c>
      <x:c r="E174" s="11" t="n">
        <x:v>11.16</x:v>
      </x:c>
      <x:c r="F174" s="10" t="n">
        <x:v>0</x:v>
      </x:c>
      <x:c r="G174" s="12" t="n">
        <x:v>0</x:v>
      </x:c>
      <x:c r="H174" s="13" t="n">
        <x:v>0</x:v>
      </x:c>
      <x:c r="I174" s="10" t="n">
        <x:v>359</x:v>
      </x:c>
      <x:c r="J174" s="10" t="n">
        <x:v>25</x:v>
      </x:c>
      <x:c r="K174" s="10" t="str">
        <x:v>21 Mo.</x:v>
      </x:c>
      <x:c r="L174" s="10" t="n">
        <x:v>101</x:v>
      </x:c>
      <x:c r="M174" s="10" t="n">
        <x:v>1</x:v>
      </x:c>
      <x:c r="N174" s="10" t="n">
        <x:v>3837</x:v>
      </x:c>
      <x:c r="O174" s="10" t="str">
        <x:v>Paper &amp; Party Supplies</x:v>
      </x:c>
      <x:c r="P174" s="10" t="n">
        <x:v>41</x:v>
      </x:c>
      <x:c r="Q174" s="10" t="n">
        <x:v>54</x:v>
      </x:c>
      <x:c r="R174" s="13" t="n">
        <x:v>9.36</x:v>
      </x:c>
      <x:c r="S174" s="10" t="n">
        <x:v>80099</x:v>
      </x:c>
      <x:c r="T174" s="10" t="str">
        <x:v>financial planner,debt payoff tracker,debt snowball,debt payoff chart,debt payment tracker,credit card payoff,debt template,debt avalanche,personal finance,student loan debt,google sheets budget,mortgage payoff,credit utilization</x:v>
      </x:c>
      <x:c r="U174" s="10" t="str">
        <x:v>financial planner</x:v>
      </x:c>
      <x:c r="V174" s="10" t="str">
        <x:v>debt payoff tracker</x:v>
      </x:c>
      <x:c r="W174" s="10" t="str">
        <x:v>debt snowball</x:v>
      </x:c>
      <x:c r="X174" s="10" t="str">
        <x:v>debt payoff chart</x:v>
      </x:c>
      <x:c r="Y174" s="10" t="str">
        <x:v>debt payment tracker</x:v>
      </x:c>
      <x:c r="Z174" s="10" t="str">
        <x:v>credit card payoff</x:v>
      </x:c>
      <x:c r="AA174" s="10" t="str">
        <x:v>debt template</x:v>
      </x:c>
      <x:c r="AB174" s="10" t="str">
        <x:v>debt avalanche</x:v>
      </x:c>
      <x:c r="AC174" s="10" t="str">
        <x:v>personal finance</x:v>
      </x:c>
      <x:c r="AD174" s="10" t="str">
        <x:v>student loan debt</x:v>
      </x:c>
      <x:c r="AE174" s="10" t="str">
        <x:v>google sheets budget</x:v>
      </x:c>
      <x:c r="AF174" s="10" t="str">
        <x:v>mortgage payoff</x:v>
      </x:c>
      <x:c r="AG174" s="10" t="str">
        <x:v>credit utilization</x:v>
      </x:c>
      <x:c r="AH174" s="10" t="str">
        <x:v>General debt payoff</x:v>
      </x:c>
      <x:c r="AI174" s="13" t="n">
        <x:v>21</x:v>
      </x:c>
      <x:c r="AJ174" s="10" t="str">
        <x:f>IF(F174&gt;0,"Active","No est. sales")</x:f>
        <x:v>No est. sales</x:v>
      </x:c>
    </x:row>
    <x:row r="175">
      <x:c r="A175" s="10" t="str">
        <x:v>Debt Payoff Tracker: Excel &amp; Google Sheets Debt Snowball Calculator (Digital Download)</x:v>
      </x:c>
      <x:c r="B175" s="10" t="str">
        <x:v>https://www.etsy.com/listing/4348113842/debt-payoff-tracker-excel-google-sheets</x:v>
      </x:c>
      <x:c r="C175" s="10" t="str">
        <x:v>ChezminaCo</x:v>
      </x:c>
      <x:c r="D175" s="10" t="str">
        <x:v>https://www.etsy.com/shop/ChezminaCo</x:v>
      </x:c>
      <x:c r="E175" s="11" t="n">
        <x:v>5</x:v>
      </x:c>
      <x:c r="F175" s="10" t="n">
        <x:v>0</x:v>
      </x:c>
      <x:c r="G175" s="12" t="n">
        <x:v>0</x:v>
      </x:c>
      <x:c r="H175" s="13" t="n">
        <x:v>0</x:v>
      </x:c>
      <x:c r="I175" s="10" t="n">
        <x:v>0</x:v>
      </x:c>
      <x:c r="J175" s="10" t="n">
        <x:v>0</x:v>
      </x:c>
      <x:c r="K175" s="10" t="str">
        <x:v>11 Mo.</x:v>
      </x:c>
      <x:c r="L175" s="10" t="n">
        <x:v>0</x:v>
      </x:c>
      <x:c r="M175" s="10" t="n">
        <x:v>0</x:v>
      </x:c>
      <x:c r="N175" s="10" t="n">
        <x:v>10</x:v>
      </x:c>
      <x:c r="O175" s="10" t="str"/>
      <x:c r="P175" s="10" t="n">
        <x:v>29</x:v>
      </x:c>
      <x:c r="Q175" s="10" t="n">
        <x:v>0</x:v>
      </x:c>
      <x:c r="R175" s="13" t="n">
        <x:v>0</x:v>
      </x:c>
      <x:c r="S175" s="10" t="n">
        <x:v>24</x:v>
      </x:c>
      <x:c r="T175" s="10" t="str">
        <x:v>debt tracker,debt snowball excel,loan payoff,debt calculator,student loan tracker,credit card tracker,mortgage payoff,financial planner,finance tool,excel debt,digital budget,budget tracker,printable budget</x:v>
      </x:c>
      <x:c r="U175" s="10" t="str">
        <x:v>debt tracker</x:v>
      </x:c>
      <x:c r="V175" s="10" t="str">
        <x:v>debt snowball excel</x:v>
      </x:c>
      <x:c r="W175" s="10" t="str">
        <x:v>loan payoff</x:v>
      </x:c>
      <x:c r="X175" s="10" t="str">
        <x:v>debt calculator</x:v>
      </x:c>
      <x:c r="Y175" s="10" t="str">
        <x:v>student loan tracker</x:v>
      </x:c>
      <x:c r="Z175" s="10" t="str">
        <x:v>credit card tracker</x:v>
      </x:c>
      <x:c r="AA175" s="10" t="str">
        <x:v>mortgage payoff</x:v>
      </x:c>
      <x:c r="AB175" s="10" t="str">
        <x:v>financial planner</x:v>
      </x:c>
      <x:c r="AC175" s="10" t="str">
        <x:v>finance tool</x:v>
      </x:c>
      <x:c r="AD175" s="10" t="str">
        <x:v>excel debt</x:v>
      </x:c>
      <x:c r="AE175" s="10" t="str">
        <x:v>digital budget</x:v>
      </x:c>
      <x:c r="AF175" s="10" t="str">
        <x:v>budget tracker</x:v>
      </x:c>
      <x:c r="AG175" s="10" t="str">
        <x:v>printable budget</x:v>
      </x:c>
      <x:c r="AH175" s="10" t="str">
        <x:v>General debt payoff</x:v>
      </x:c>
      <x:c r="AI175" s="13" t="n">
        <x:v>11</x:v>
      </x:c>
      <x:c r="AJ175" s="10" t="str">
        <x:f>IF(F175&gt;0,"Active","No est. sales")</x:f>
        <x:v>No est. sales</x:v>
      </x:c>
    </x:row>
    <x:row r="176">
      <x:c r="A176" s="10" t="str">
        <x:v>Debt Payoff Tracker Excel | Loan Amortization | Mortgage Calculator | Debt Snowball | Finance Sheets</x:v>
      </x:c>
      <x:c r="B176" s="10" t="str">
        <x:v>https://www.etsy.com/listing/4520922074/debt-payoff-tracker-excel-loan</x:v>
      </x:c>
      <x:c r="C176" s="10" t="str">
        <x:v>TemplateVerseStu</x:v>
      </x:c>
      <x:c r="D176" s="10" t="str">
        <x:v>https://www.etsy.com/shop/TemplateVerseStu</x:v>
      </x:c>
      <x:c r="E176" s="11" t="n">
        <x:v>5.3</x:v>
      </x:c>
      <x:c r="F176" s="10" t="n">
        <x:v>0</x:v>
      </x:c>
      <x:c r="G176" s="12" t="n">
        <x:v>0</x:v>
      </x:c>
      <x:c r="H176" s="13" t="n">
        <x:v>0</x:v>
      </x:c>
      <x:c r="I176" s="10" t="n">
        <x:v>0</x:v>
      </x:c>
      <x:c r="J176" s="10" t="n">
        <x:v>0</x:v>
      </x:c>
      <x:c r="K176" s="10" t="str">
        <x:v>1 Mo.</x:v>
      </x:c>
      <x:c r="L176" s="10" t="n">
        <x:v>0</x:v>
      </x:c>
      <x:c r="M176" s="10" t="n">
        <x:v>0</x:v>
      </x:c>
      <x:c r="N176" s="10" t="n">
        <x:v>2</x:v>
      </x:c>
      <x:c r="O176" s="10" t="str"/>
      <x:c r="P176" s="10" t="n">
        <x:v>17</x:v>
      </x:c>
      <x:c r="Q176" s="10" t="n">
        <x:v>0</x:v>
      </x:c>
      <x:c r="R176" s="13" t="n">
        <x:v>0</x:v>
      </x:c>
      <x:c r="S176" s="10" t="n">
        <x:v>219</x:v>
      </x:c>
      <x:c r="T176" s="10" t="str">
        <x:v>debt payoff tracker,loan amortization,mortgage calculator,debt snowball plan,extra paymnet calc,debt free tracker,loan payoff excel,financial planner,debt reduction,money management,personal finance,amortization,debt log</x:v>
      </x:c>
      <x:c r="U176" s="10" t="str">
        <x:v>debt payoff tracker</x:v>
      </x:c>
      <x:c r="V176" s="10" t="str">
        <x:v>loan amortization</x:v>
      </x:c>
      <x:c r="W176" s="10" t="str">
        <x:v>mortgage calculator</x:v>
      </x:c>
      <x:c r="X176" s="10" t="str">
        <x:v>debt snowball plan</x:v>
      </x:c>
      <x:c r="Y176" s="10" t="str">
        <x:v>extra paymnet calc</x:v>
      </x:c>
      <x:c r="Z176" s="10" t="str">
        <x:v>debt free tracker</x:v>
      </x:c>
      <x:c r="AA176" s="10" t="str">
        <x:v>loan payoff excel</x:v>
      </x:c>
      <x:c r="AB176" s="10" t="str">
        <x:v>financial planner</x:v>
      </x:c>
      <x:c r="AC176" s="10" t="str">
        <x:v>debt reduction</x:v>
      </x:c>
      <x:c r="AD176" s="10" t="str">
        <x:v>money management</x:v>
      </x:c>
      <x:c r="AE176" s="10" t="str">
        <x:v>personal finance</x:v>
      </x:c>
      <x:c r="AF176" s="10" t="str">
        <x:v>amortization</x:v>
      </x:c>
      <x:c r="AG176" s="10" t="str">
        <x:v>debt log</x:v>
      </x:c>
      <x:c r="AH176" s="10" t="str">
        <x:v>General debt payoff</x:v>
      </x:c>
      <x:c r="AI176" s="13" t="n">
        <x:v>1</x:v>
      </x:c>
      <x:c r="AJ176" s="10" t="str">
        <x:f>IF(F176&gt;0,"Active","No est. sales")</x:f>
        <x:v>No est. sales</x:v>
      </x:c>
    </x:row>
    <x:row r="177">
      <x:c r="A177" s="10" t="str">
        <x:v>Ultimate Mortgage comparison ; Mortgage Calculator ; Excel &amp; Google Sheets ; Real Estate Planning ; Debt Tracker ; Real Estate</x:v>
      </x:c>
      <x:c r="B177" s="10" t="str">
        <x:v>https://www.etsy.com/listing/1655026179/ultimate-mortgage-comparison-mortgage</x:v>
      </x:c>
      <x:c r="C177" s="10" t="str">
        <x:v>SheetsElite</x:v>
      </x:c>
      <x:c r="D177" s="10" t="str">
        <x:v>https://www.etsy.com/shop/SheetsElite</x:v>
      </x:c>
      <x:c r="E177" s="11" t="n">
        <x:v>13.99</x:v>
      </x:c>
      <x:c r="F177" s="10" t="n">
        <x:v>0</x:v>
      </x:c>
      <x:c r="G177" s="12" t="n">
        <x:v>0</x:v>
      </x:c>
      <x:c r="H177" s="13" t="n">
        <x:v>0</x:v>
      </x:c>
      <x:c r="I177" s="10" t="n">
        <x:v>116</x:v>
      </x:c>
      <x:c r="J177" s="10" t="n">
        <x:v>11</x:v>
      </x:c>
      <x:c r="K177" s="10" t="str">
        <x:v>30 Mo.</x:v>
      </x:c>
      <x:c r="L177" s="10" t="n">
        <x:v>114</x:v>
      </x:c>
      <x:c r="M177" s="10" t="n">
        <x:v>0</x:v>
      </x:c>
      <x:c r="N177" s="10" t="n">
        <x:v>3888</x:v>
      </x:c>
      <x:c r="O177" s="10" t="str"/>
      <x:c r="P177" s="10" t="n">
        <x:v>40</x:v>
      </x:c>
      <x:c r="Q177" s="10" t="n">
        <x:v>42</x:v>
      </x:c>
      <x:c r="R177" s="13" t="n">
        <x:v>2.98</x:v>
      </x:c>
      <x:c r="S177" s="10" t="n">
        <x:v>1280</x:v>
      </x:c>
      <x:c r="T177" s="10" t="str">
        <x:v>mortgage planner,home loan comparison,refinance,mortgage payoff,mortgage calculator,budget,debt elimination,debt manager,debt tracker,debt snowball,finance planner,finance tracker,spreadsheet</x:v>
      </x:c>
      <x:c r="U177" s="10" t="str">
        <x:v>mortgage planner</x:v>
      </x:c>
      <x:c r="V177" s="10" t="str">
        <x:v>home loan comparison</x:v>
      </x:c>
      <x:c r="W177" s="10" t="str">
        <x:v>refinance</x:v>
      </x:c>
      <x:c r="X177" s="10" t="str">
        <x:v>mortgage payoff</x:v>
      </x:c>
      <x:c r="Y177" s="10" t="str">
        <x:v>mortgage calculator</x:v>
      </x:c>
      <x:c r="Z177" s="10" t="str">
        <x:v>budget</x:v>
      </x:c>
      <x:c r="AA177" s="10" t="str">
        <x:v>debt elimination</x:v>
      </x:c>
      <x:c r="AB177" s="10" t="str">
        <x:v>debt manager</x:v>
      </x:c>
      <x:c r="AC177" s="10" t="str">
        <x:v>debt tracker</x:v>
      </x:c>
      <x:c r="AD177" s="10" t="str">
        <x:v>debt snowball</x:v>
      </x:c>
      <x:c r="AE177" s="10" t="str">
        <x:v>finance planner</x:v>
      </x:c>
      <x:c r="AF177" s="10" t="str">
        <x:v>finance tracker</x:v>
      </x:c>
      <x:c r="AG177" s="10" t="str">
        <x:v>spreadsheet</x:v>
      </x:c>
      <x:c r="AH177" s="10" t="str">
        <x:v>General debt payoff</x:v>
      </x:c>
      <x:c r="AI177" s="13" t="n">
        <x:v>30</x:v>
      </x:c>
      <x:c r="AJ177" s="10" t="str">
        <x:f>IF(F177&gt;0,"Active","No est. sales")</x:f>
        <x:v>No est. sales</x:v>
      </x:c>
    </x:row>
    <x:row r="178">
      <x:c r="A178" s="10" t="str">
        <x:v>Debt Payoff Tracker: Snowball, Avalanche, Custom (Google Sheets)</x:v>
      </x:c>
      <x:c r="B178" s="10" t="str">
        <x:v>https://www.etsy.com/listing/1451202144/debt-payoff-tracker-snowball-avalanche</x:v>
      </x:c>
      <x:c r="C178" s="10" t="str">
        <x:v>LimeFlowerCreatives</x:v>
      </x:c>
      <x:c r="D178" s="10" t="str">
        <x:v>https://www.etsy.com/shop/LimeFlowerCreatives</x:v>
      </x:c>
      <x:c r="E178" s="11" t="n">
        <x:v>11.99</x:v>
      </x:c>
      <x:c r="F178" s="10" t="n">
        <x:v>0</x:v>
      </x:c>
      <x:c r="G178" s="12" t="n">
        <x:v>0</x:v>
      </x:c>
      <x:c r="H178" s="13" t="n">
        <x:v>0</x:v>
      </x:c>
      <x:c r="I178" s="10" t="n">
        <x:v>0</x:v>
      </x:c>
      <x:c r="J178" s="10" t="n">
        <x:v>0</x:v>
      </x:c>
      <x:c r="K178" s="10" t="str">
        <x:v>39 Mo.</x:v>
      </x:c>
      <x:c r="L178" s="10" t="n">
        <x:v>6</x:v>
      </x:c>
      <x:c r="M178" s="10" t="n">
        <x:v>0</x:v>
      </x:c>
      <x:c r="N178" s="10" t="n">
        <x:v>79</x:v>
      </x:c>
      <x:c r="O178" s="10" t="str"/>
      <x:c r="P178" s="10" t="n">
        <x:v>40</x:v>
      </x:c>
      <x:c r="Q178" s="10" t="n">
        <x:v>0</x:v>
      </x:c>
      <x:c r="R178" s="13" t="n">
        <x:v>0</x:v>
      </x:c>
      <x:c r="S178" s="10" t="n">
        <x:v>606</x:v>
      </x:c>
      <x:c r="T178" s="10" t="str">
        <x:v>debt payoff tracker,snowball calculator,debt snowball sheets,debt tracker sheet,avalanche debt,debt payment tracker,mortgage tracker,payoff calculator,debt free chart,credit card payoff,debt planner,student loan payoff</x:v>
      </x:c>
      <x:c r="U178" s="10" t="str">
        <x:v>debt payoff tracker</x:v>
      </x:c>
      <x:c r="V178" s="10" t="str">
        <x:v>snowball calculator</x:v>
      </x:c>
      <x:c r="W178" s="10" t="str">
        <x:v>debt snowball sheets</x:v>
      </x:c>
      <x:c r="X178" s="10" t="str">
        <x:v>debt tracker sheet</x:v>
      </x:c>
      <x:c r="Y178" s="10" t="str">
        <x:v>avalanche debt</x:v>
      </x:c>
      <x:c r="Z178" s="10" t="str">
        <x:v>debt payment tracker</x:v>
      </x:c>
      <x:c r="AA178" s="10" t="str">
        <x:v>mortgage tracker</x:v>
      </x:c>
      <x:c r="AB178" s="10" t="str">
        <x:v>payoff calculator</x:v>
      </x:c>
      <x:c r="AC178" s="10" t="str">
        <x:v>debt free chart</x:v>
      </x:c>
      <x:c r="AD178" s="10" t="str">
        <x:v>credit card payoff</x:v>
      </x:c>
      <x:c r="AE178" s="10" t="str">
        <x:v>debt planner</x:v>
      </x:c>
      <x:c r="AF178" s="10" t="str">
        <x:v>student loan payoff</x:v>
      </x:c>
      <x:c r="AG178" s="10" t="str">
        <x:v>--</x:v>
      </x:c>
      <x:c r="AH178" s="10" t="str">
        <x:v>General debt payoff</x:v>
      </x:c>
      <x:c r="AI178" s="13" t="n">
        <x:v>39</x:v>
      </x:c>
      <x:c r="AJ178" s="10" t="str">
        <x:f>IF(F178&gt;0,"Active","No est. sales")</x:f>
        <x:v>No est. sales</x:v>
      </x:c>
    </x:row>
    <x:row r="179">
      <x:c r="A179" s="10" t="str">
        <x:v>Mortgage House Tracker Icons, Functional Planner Stickers, Monthly Payment Reminder</x:v>
      </x:c>
      <x:c r="B179" s="10" t="str">
        <x:v>https://www.etsy.com/listing/4452719642/mortgage-house-tracker-icons-functional</x:v>
      </x:c>
      <x:c r="C179" s="10" t="str">
        <x:v>PlushPlanning</x:v>
      </x:c>
      <x:c r="D179" s="10" t="str">
        <x:v>https://www.etsy.com/shop/PlushPlanning</x:v>
      </x:c>
      <x:c r="E179" s="11" t="n">
        <x:v>7.99</x:v>
      </x:c>
      <x:c r="F179" s="10" t="n">
        <x:v>0</x:v>
      </x:c>
      <x:c r="G179" s="12" t="n">
        <x:v>0</x:v>
      </x:c>
      <x:c r="H179" s="13" t="n">
        <x:v>0</x:v>
      </x:c>
      <x:c r="I179" s="10" t="n">
        <x:v>0</x:v>
      </x:c>
      <x:c r="J179" s="10" t="n">
        <x:v>0</x:v>
      </x:c>
      <x:c r="K179" s="10" t="str">
        <x:v>5 Mo.</x:v>
      </x:c>
      <x:c r="L179" s="10" t="n">
        <x:v>0</x:v>
      </x:c>
      <x:c r="M179" s="10" t="n">
        <x:v>0</x:v>
      </x:c>
      <x:c r="N179" s="10" t="n">
        <x:v>13</x:v>
      </x:c>
      <x:c r="O179" s="10" t="str">
        <x:v>Paper &amp; Party Supplies</x:v>
      </x:c>
      <x:c r="P179" s="10" t="n">
        <x:v>78</x:v>
      </x:c>
      <x:c r="Q179" s="10" t="n">
        <x:v>0</x:v>
      </x:c>
      <x:c r="R179" s="13" t="n">
        <x:v>0</x:v>
      </x:c>
      <x:c r="S179" s="10" t="n">
        <x:v>50202</x:v>
      </x:c>
      <x:c r="T179" s="10" t="str">
        <x:v>credit tracker,credit trackers,functional stickers,sticker credit,monthly reminder,pay now,sticker pay,phone bill,phone bills,bills phone,mortgage,mortgage house,mortgage bills</x:v>
      </x:c>
      <x:c r="U179" s="10" t="str">
        <x:v>credit tracker</x:v>
      </x:c>
      <x:c r="V179" s="10" t="str">
        <x:v>credit trackers</x:v>
      </x:c>
      <x:c r="W179" s="10" t="str">
        <x:v>functional stickers</x:v>
      </x:c>
      <x:c r="X179" s="10" t="str">
        <x:v>sticker credit</x:v>
      </x:c>
      <x:c r="Y179" s="10" t="str">
        <x:v>monthly reminder</x:v>
      </x:c>
      <x:c r="Z179" s="10" t="str">
        <x:v>pay now</x:v>
      </x:c>
      <x:c r="AA179" s="10" t="str">
        <x:v>sticker pay</x:v>
      </x:c>
      <x:c r="AB179" s="10" t="str">
        <x:v>phone bill</x:v>
      </x:c>
      <x:c r="AC179" s="10" t="str">
        <x:v>phone bills</x:v>
      </x:c>
      <x:c r="AD179" s="10" t="str">
        <x:v>bills phone</x:v>
      </x:c>
      <x:c r="AE179" s="10" t="str">
        <x:v>mortgage</x:v>
      </x:c>
      <x:c r="AF179" s="10" t="str">
        <x:v>mortgage house</x:v>
      </x:c>
      <x:c r="AG179" s="10" t="str">
        <x:v>mortgage bills</x:v>
      </x:c>
      <x:c r="AH179" s="10" t="str">
        <x:v>Other mortgage-related</x:v>
      </x:c>
      <x:c r="AI179" s="13" t="n">
        <x:v>5</x:v>
      </x:c>
      <x:c r="AJ179" s="10" t="str">
        <x:f>IF(F179&gt;0,"Active","No est. sales")</x:f>
        <x:v>No est. sales</x:v>
      </x:c>
    </x:row>
    <x:row r="180">
      <x:c r="A180" s="10" t="str">
        <x:v>JSD#15 || Thanksgiving stickers, Turkey stickers, Pumpkin stickers, Give thanks stickers, Fall Stickers, EC planner Stickers, Happy Planner</x:v>
      </x:c>
      <x:c r="B180" s="10" t="str">
        <x:v>https://www.etsy.com/listing/631464010/jsd15-thanksgiving-stickers-turkey</x:v>
      </x:c>
      <x:c r="C180" s="10" t="str">
        <x:v>JillsStickerDesigns</x:v>
      </x:c>
      <x:c r="D180" s="10" t="str">
        <x:v>https://www.etsy.com/shop/JillsStickerDesigns</x:v>
      </x:c>
      <x:c r="E180" s="11" t="n">
        <x:v>3</x:v>
      </x:c>
      <x:c r="F180" s="10" t="n">
        <x:v>0</x:v>
      </x:c>
      <x:c r="G180" s="12" t="n">
        <x:v>0</x:v>
      </x:c>
      <x:c r="H180" s="13" t="n">
        <x:v>0</x:v>
      </x:c>
      <x:c r="I180" s="10" t="n">
        <x:v>3</x:v>
      </x:c>
      <x:c r="J180" s="10" t="n">
        <x:v>1</x:v>
      </x:c>
      <x:c r="K180" s="10" t="str">
        <x:v>94 Mo.</x:v>
      </x:c>
      <x:c r="L180" s="10" t="n">
        <x:v>3</x:v>
      </x:c>
      <x:c r="M180" s="10" t="n">
        <x:v>0</x:v>
      </x:c>
      <x:c r="N180" s="10" t="n">
        <x:v>148</x:v>
      </x:c>
      <x:c r="O180" s="10" t="str">
        <x:v>Paper &amp; Party Supplies</x:v>
      </x:c>
      <x:c r="P180" s="10" t="n">
        <x:v>94</x:v>
      </x:c>
      <x:c r="Q180" s="10" t="n">
        <x:v>0</x:v>
      </x:c>
      <x:c r="R180" s="13" t="n">
        <x:v>2.03</x:v>
      </x:c>
      <x:c r="S180" s="10" t="n">
        <x:v>1065</x:v>
      </x:c>
      <x:c r="T180" s="10" t="str">
        <x:v>2 pack sticker set,multi color stickers,gas payment bill,electric bill due,mortgage pymt due,planner sticker,stickers labels tags,reminder stickers,phone bill sticker,water bill sticker,bill due stickers,ec planner stickers,paper party supplies</x:v>
      </x:c>
      <x:c r="U180" s="10" t="str">
        <x:v>2 pack sticker set</x:v>
      </x:c>
      <x:c r="V180" s="10" t="str">
        <x:v>multi color stickers</x:v>
      </x:c>
      <x:c r="W180" s="10" t="str">
        <x:v>gas payment bill</x:v>
      </x:c>
      <x:c r="X180" s="10" t="str">
        <x:v>electric bill due</x:v>
      </x:c>
      <x:c r="Y180" s="10" t="str">
        <x:v>mortgage pymt due</x:v>
      </x:c>
      <x:c r="Z180" s="10" t="str">
        <x:v>planner sticker</x:v>
      </x:c>
      <x:c r="AA180" s="10" t="str">
        <x:v>stickers labels tags</x:v>
      </x:c>
      <x:c r="AB180" s="10" t="str">
        <x:v>reminder stickers</x:v>
      </x:c>
      <x:c r="AC180" s="10" t="str">
        <x:v>phone bill sticker</x:v>
      </x:c>
      <x:c r="AD180" s="10" t="str">
        <x:v>water bill sticker</x:v>
      </x:c>
      <x:c r="AE180" s="10" t="str">
        <x:v>bill due stickers</x:v>
      </x:c>
      <x:c r="AF180" s="10" t="str">
        <x:v>ec planner stickers</x:v>
      </x:c>
      <x:c r="AG180" s="10" t="str">
        <x:v>paper party supplies</x:v>
      </x:c>
      <x:c r="AH180" s="10" t="str">
        <x:v>Other mortgage-related</x:v>
      </x:c>
      <x:c r="AI180" s="13" t="n">
        <x:v>94</x:v>
      </x:c>
      <x:c r="AJ180" s="10" t="str">
        <x:f>IF(F180&gt;0,"Active","No est. sales")</x:f>
        <x:v>No est. sales</x:v>
      </x:c>
    </x:row>
    <x:row r="181">
      <x:c r="A181" s="10" t="str">
        <x:v>First-Time Home Buyer Planner | Checklist, Budget Tracker (Printable PDF)</x:v>
      </x:c>
      <x:c r="B181" s="10" t="str">
        <x:v>https://www.etsy.com/listing/4300981463/first-time-home-buyer-planner-checklist</x:v>
      </x:c>
      <x:c r="C181" s="10" t="str">
        <x:v>TransformationWorks</x:v>
      </x:c>
      <x:c r="D181" s="10" t="str">
        <x:v>https://www.etsy.com/shop/TransformationWorks</x:v>
      </x:c>
      <x:c r="E181" s="11" t="n">
        <x:v>11.98</x:v>
      </x:c>
      <x:c r="F181" s="10" t="n">
        <x:v>0</x:v>
      </x:c>
      <x:c r="G181" s="12" t="n">
        <x:v>0</x:v>
      </x:c>
      <x:c r="H181" s="13" t="n">
        <x:v>0</x:v>
      </x:c>
      <x:c r="I181" s="10" t="n">
        <x:v>0</x:v>
      </x:c>
      <x:c r="J181" s="10" t="n">
        <x:v>0</x:v>
      </x:c>
      <x:c r="K181" s="10" t="str">
        <x:v>14 Mo.</x:v>
      </x:c>
      <x:c r="L181" s="10" t="n">
        <x:v>2</x:v>
      </x:c>
      <x:c r="M181" s="10" t="n">
        <x:v>0</x:v>
      </x:c>
      <x:c r="N181" s="10" t="n">
        <x:v>34</x:v>
      </x:c>
      <x:c r="O181" s="10" t="str"/>
      <x:c r="P181" s="10" t="n">
        <x:v>15</x:v>
      </x:c>
      <x:c r="Q181" s="10" t="n">
        <x:v>0</x:v>
      </x:c>
      <x:c r="R181" s="13" t="n">
        <x:v>0</x:v>
      </x:c>
      <x:c r="S181" s="10" t="n">
        <x:v>30</x:v>
      </x:c>
      <x:c r="T181" s="10" t="str">
        <x:v>home buying planner,home buyer checklist,mortgage tracker,plr,house hunting binder,realestate checklist,house hunting,digital home planner,property comparison,home buying template,moving planner,home buyer guide,new home buyer</x:v>
      </x:c>
      <x:c r="U181" s="10" t="str">
        <x:v>home buying planner</x:v>
      </x:c>
      <x:c r="V181" s="10" t="str">
        <x:v>home buyer checklist</x:v>
      </x:c>
      <x:c r="W181" s="10" t="str">
        <x:v>mortgage tracker</x:v>
      </x:c>
      <x:c r="X181" s="10" t="str">
        <x:v>plr</x:v>
      </x:c>
      <x:c r="Y181" s="10" t="str">
        <x:v>house hunting binder</x:v>
      </x:c>
      <x:c r="Z181" s="10" t="str">
        <x:v>realestate checklist</x:v>
      </x:c>
      <x:c r="AA181" s="10" t="str">
        <x:v>house hunting</x:v>
      </x:c>
      <x:c r="AB181" s="10" t="str">
        <x:v>digital home planner</x:v>
      </x:c>
      <x:c r="AC181" s="10" t="str">
        <x:v>property comparison</x:v>
      </x:c>
      <x:c r="AD181" s="10" t="str">
        <x:v>home buying template</x:v>
      </x:c>
      <x:c r="AE181" s="10" t="str">
        <x:v>moving planner</x:v>
      </x:c>
      <x:c r="AF181" s="10" t="str">
        <x:v>home buyer guide</x:v>
      </x:c>
      <x:c r="AG181" s="10" t="str">
        <x:v>new home buyer</x:v>
      </x:c>
      <x:c r="AH181" s="10" t="str">
        <x:v>Home buying planner</x:v>
      </x:c>
      <x:c r="AI181" s="13" t="n">
        <x:v>14</x:v>
      </x:c>
      <x:c r="AJ181" s="10" t="str">
        <x:f>IF(F181&gt;0,"Active","No est. sales")</x:f>
        <x:v>No est. sales</x:v>
      </x:c>
    </x:row>
    <x:row r="182">
      <x:c r="A182" s="10" t="str">
        <x:v>Financial Organizer Debt Payoff Coloring Pages</x:v>
      </x:c>
      <x:c r="B182" s="10" t="str">
        <x:v>https://www.etsy.com/listing/530051256/financial-organizer-debt-payoff-coloring</x:v>
      </x:c>
      <x:c r="C182" s="10" t="str">
        <x:v>PDPrintables</x:v>
      </x:c>
      <x:c r="D182" s="10" t="str">
        <x:v>https://www.etsy.com/shop/PDPrintables</x:v>
      </x:c>
      <x:c r="E182" s="11" t="n">
        <x:v>3.99</x:v>
      </x:c>
      <x:c r="F182" s="10" t="n">
        <x:v>0</x:v>
      </x:c>
      <x:c r="G182" s="12" t="n">
        <x:v>0</x:v>
      </x:c>
      <x:c r="H182" s="13" t="n">
        <x:v>0</x:v>
      </x:c>
      <x:c r="I182" s="10" t="n">
        <x:v>165</x:v>
      </x:c>
      <x:c r="J182" s="10" t="n">
        <x:v>11</x:v>
      </x:c>
      <x:c r="K182" s="10" t="str">
        <x:v>108 Mo.</x:v>
      </x:c>
      <x:c r="L182" s="10" t="n">
        <x:v>262</x:v>
      </x:c>
      <x:c r="M182" s="10" t="n">
        <x:v>0</x:v>
      </x:c>
      <x:c r="N182" s="10" t="n">
        <x:v>12149</x:v>
      </x:c>
      <x:c r="O182" s="10" t="str">
        <x:v>Paper &amp; Party Supplies</x:v>
      </x:c>
      <x:c r="P182" s="10" t="n">
        <x:v>162</x:v>
      </x:c>
      <x:c r="Q182" s="10" t="n">
        <x:v>39</x:v>
      </x:c>
      <x:c r="R182" s="13" t="n">
        <x:v>1.36</x:v>
      </x:c>
      <x:c r="S182" s="10" t="n">
        <x:v>7914</x:v>
      </x:c>
      <x:c r="T182" s="10" t="str">
        <x:v>financial organizer,mortgage,debt payoff,debt tracker,debt snowball,debt free,loan payoff,adult coloring pages,organization,printable,credit card,financial planner,personal finance</x:v>
      </x:c>
      <x:c r="U182" s="10" t="str">
        <x:v>financial organizer</x:v>
      </x:c>
      <x:c r="V182" s="10" t="str">
        <x:v>mortgage</x:v>
      </x:c>
      <x:c r="W182" s="10" t="str">
        <x:v>debt payoff</x:v>
      </x:c>
      <x:c r="X182" s="10" t="str">
        <x:v>debt tracker</x:v>
      </x:c>
      <x:c r="Y182" s="10" t="str">
        <x:v>debt snowball</x:v>
      </x:c>
      <x:c r="Z182" s="10" t="str">
        <x:v>debt free</x:v>
      </x:c>
      <x:c r="AA182" s="10" t="str">
        <x:v>loan payoff</x:v>
      </x:c>
      <x:c r="AB182" s="10" t="str">
        <x:v>adult coloring pages</x:v>
      </x:c>
      <x:c r="AC182" s="10" t="str">
        <x:v>organization</x:v>
      </x:c>
      <x:c r="AD182" s="10" t="str">
        <x:v>printable</x:v>
      </x:c>
      <x:c r="AE182" s="10" t="str">
        <x:v>credit card</x:v>
      </x:c>
      <x:c r="AF182" s="10" t="str">
        <x:v>financial planner</x:v>
      </x:c>
      <x:c r="AG182" s="10" t="str">
        <x:v>personal finance</x:v>
      </x:c>
      <x:c r="AH182" s="10" t="str">
        <x:v>General debt payoff</x:v>
      </x:c>
      <x:c r="AI182" s="13" t="n">
        <x:v>108</x:v>
      </x:c>
      <x:c r="AJ182" s="10" t="str">
        <x:f>IF(F182&gt;0,"Active","No est. sales")</x:f>
        <x:v>No est. sales</x:v>
      </x:c>
    </x:row>
    <x:row r="183">
      <x:c r="A183" s="10" t="str">
        <x:v>50K House Savings Tracker Printable: A4, A5, Letter Sizes (PDF Downloadable Template</x:v>
      </x:c>
      <x:c r="B183" s="10" t="str">
        <x:v>https://www.etsy.com/listing/4322545830/50k-house-savings-tracker-printable-a4</x:v>
      </x:c>
      <x:c r="C183" s="10" t="str">
        <x:v>thedandyplanner</x:v>
      </x:c>
      <x:c r="D183" s="10" t="str">
        <x:v>https://www.etsy.com/shop/thedandyplanner</x:v>
      </x:c>
      <x:c r="E183" s="11" t="n">
        <x:v>2.65</x:v>
      </x:c>
      <x:c r="F183" s="10" t="n">
        <x:v>0</x:v>
      </x:c>
      <x:c r="G183" s="12" t="n">
        <x:v>0</x:v>
      </x:c>
      <x:c r="H183" s="13" t="n">
        <x:v>0</x:v>
      </x:c>
      <x:c r="I183" s="10" t="n">
        <x:v>0</x:v>
      </x:c>
      <x:c r="J183" s="10" t="n">
        <x:v>0</x:v>
      </x:c>
      <x:c r="K183" s="10" t="str">
        <x:v>13 Mo.</x:v>
      </x:c>
      <x:c r="L183" s="10" t="n">
        <x:v>4</x:v>
      </x:c>
      <x:c r="M183" s="10" t="n">
        <x:v>0</x:v>
      </x:c>
      <x:c r="N183" s="10" t="n">
        <x:v>46</x:v>
      </x:c>
      <x:c r="O183" s="10" t="str"/>
      <x:c r="P183" s="10" t="n">
        <x:v>72</x:v>
      </x:c>
      <x:c r="Q183" s="10" t="n">
        <x:v>0</x:v>
      </x:c>
      <x:c r="R183" s="13" t="n">
        <x:v>0</x:v>
      </x:c>
      <x:c r="S183" s="10" t="n">
        <x:v>4717</x:v>
      </x:c>
      <x:c r="T183" s="10" t="str">
        <x:v>a4 printable,a5 printable,letter printable,planner printable,minimalist planner,snowball dept,expense tracker,finances trackers,house savings,home savings,mortgage savings,house tracker,home tracker</x:v>
      </x:c>
      <x:c r="U183" s="10" t="str">
        <x:v>a4 printable</x:v>
      </x:c>
      <x:c r="V183" s="10" t="str">
        <x:v>a5 printable</x:v>
      </x:c>
      <x:c r="W183" s="10" t="str">
        <x:v>letter printable</x:v>
      </x:c>
      <x:c r="X183" s="10" t="str">
        <x:v>planner printable</x:v>
      </x:c>
      <x:c r="Y183" s="10" t="str">
        <x:v>minimalist planner</x:v>
      </x:c>
      <x:c r="Z183" s="10" t="str">
        <x:v>snowball dept</x:v>
      </x:c>
      <x:c r="AA183" s="10" t="str">
        <x:v>expense tracker</x:v>
      </x:c>
      <x:c r="AB183" s="10" t="str">
        <x:v>finances trackers</x:v>
      </x:c>
      <x:c r="AC183" s="10" t="str">
        <x:v>house savings</x:v>
      </x:c>
      <x:c r="AD183" s="10" t="str">
        <x:v>home savings</x:v>
      </x:c>
      <x:c r="AE183" s="10" t="str">
        <x:v>mortgage savings</x:v>
      </x:c>
      <x:c r="AF183" s="10" t="str">
        <x:v>house tracker</x:v>
      </x:c>
      <x:c r="AG183" s="10" t="str">
        <x:v>home tracker</x:v>
      </x:c>
      <x:c r="AH183" s="10" t="str">
        <x:v>Other mortgage-related</x:v>
      </x:c>
      <x:c r="AI183" s="13" t="n">
        <x:v>13</x:v>
      </x:c>
      <x:c r="AJ183" s="10" t="str">
        <x:f>IF(F183&gt;0,"Active","No est. sales")</x:f>
        <x:v>No est. sales</x:v>
      </x:c>
    </x:row>
    <x:row r="184">
      <x:c r="A184" s="10" t="str">
        <x:v>First Time Home Buyer System  (Excel Instant download)</x:v>
      </x:c>
      <x:c r="B184" s="10" t="str">
        <x:v>https://www.etsy.com/listing/4507727212/first-time-home-buyer-system-excel</x:v>
      </x:c>
      <x:c r="C184" s="10" t="str">
        <x:v>SimpleDesignLLC</x:v>
      </x:c>
      <x:c r="D184" s="10" t="str">
        <x:v>https://www.etsy.com/shop/SimpleDesignLLC</x:v>
      </x:c>
      <x:c r="E184" s="11" t="n">
        <x:v>9.99</x:v>
      </x:c>
      <x:c r="F184" s="10" t="n">
        <x:v>0</x:v>
      </x:c>
      <x:c r="G184" s="12" t="n">
        <x:v>0</x:v>
      </x:c>
      <x:c r="H184" s="13" t="n">
        <x:v>0</x:v>
      </x:c>
      <x:c r="I184" s="10" t="n">
        <x:v>0</x:v>
      </x:c>
      <x:c r="J184" s="10" t="n">
        <x:v>0</x:v>
      </x:c>
      <x:c r="K184" s="10" t="str">
        <x:v>2 Mo.</x:v>
      </x:c>
      <x:c r="L184" s="10" t="n">
        <x:v>0</x:v>
      </x:c>
      <x:c r="M184" s="10" t="n">
        <x:v>0</x:v>
      </x:c>
      <x:c r="N184" s="10" t="n">
        <x:v>1</x:v>
      </x:c>
      <x:c r="O184" s="10" t="str"/>
      <x:c r="P184" s="10" t="n">
        <x:v>17</x:v>
      </x:c>
      <x:c r="Q184" s="10" t="n">
        <x:v>0</x:v>
      </x:c>
      <x:c r="R184" s="13" t="n">
        <x:v>0</x:v>
      </x:c>
      <x:c r="S184" s="10" t="n">
        <x:v>80</x:v>
      </x:c>
      <x:c r="T184" s="10" t="str">
        <x:v>first time homebuyer,home buyer checklist,mortgage comparison,home buying budget,house buying tracker,new home spreadsheet,home buyer planner,mortgage calculator,home savings tracker,credit score tracker,buying a house,home buying guide,real estate planner</x:v>
      </x:c>
      <x:c r="U184" s="10" t="str">
        <x:v>first time homebuyer</x:v>
      </x:c>
      <x:c r="V184" s="10" t="str">
        <x:v>home buyer checklist</x:v>
      </x:c>
      <x:c r="W184" s="10" t="str">
        <x:v>mortgage comparison</x:v>
      </x:c>
      <x:c r="X184" s="10" t="str">
        <x:v>home buying budget</x:v>
      </x:c>
      <x:c r="Y184" s="10" t="str">
        <x:v>house buying tracker</x:v>
      </x:c>
      <x:c r="Z184" s="10" t="str">
        <x:v>new home spreadsheet</x:v>
      </x:c>
      <x:c r="AA184" s="10" t="str">
        <x:v>home buyer planner</x:v>
      </x:c>
      <x:c r="AB184" s="10" t="str">
        <x:v>mortgage calculator</x:v>
      </x:c>
      <x:c r="AC184" s="10" t="str">
        <x:v>home savings tracker</x:v>
      </x:c>
      <x:c r="AD184" s="10" t="str">
        <x:v>credit score tracker</x:v>
      </x:c>
      <x:c r="AE184" s="10" t="str">
        <x:v>buying a house</x:v>
      </x:c>
      <x:c r="AF184" s="10" t="str">
        <x:v>home buying guide</x:v>
      </x:c>
      <x:c r="AG184" s="10" t="str">
        <x:v>real estate planner</x:v>
      </x:c>
      <x:c r="AH184" s="10" t="str">
        <x:v>Home buying planner</x:v>
      </x:c>
      <x:c r="AI184" s="13" t="n">
        <x:v>2</x:v>
      </x:c>
      <x:c r="AJ184" s="10" t="str">
        <x:f>IF(F184&gt;0,"Active","No est. sales")</x:f>
        <x:v>No est. sales</x:v>
      </x:c>
    </x:row>
    <x:row r="185">
      <x:c r="A185" s="10" t="str">
        <x:v>Debt Payoff Tracker, Snowball and Avalanche Calculator, Credit Card Loan Repayment Planner, Offline App</x:v>
      </x:c>
      <x:c r="B185" s="10" t="str">
        <x:v>https://www.etsy.com/listing/4542367012/debt-payoff-tracker-snowball-and</x:v>
      </x:c>
      <x:c r="C185" s="10" t="str">
        <x:v>AtelierOrla</x:v>
      </x:c>
      <x:c r="D185" s="10" t="str">
        <x:v>https://www.etsy.com/shop/AtelierOrla</x:v>
      </x:c>
      <x:c r="E185" s="11" t="n">
        <x:v>5.99</x:v>
      </x:c>
      <x:c r="F185" s="10" t="n">
        <x:v>0</x:v>
      </x:c>
      <x:c r="G185" s="12" t="n">
        <x:v>0</x:v>
      </x:c>
      <x:c r="H185" s="13" t="n">
        <x:v>0</x:v>
      </x:c>
      <x:c r="I185" s="10" t="n">
        <x:v>0</x:v>
      </x:c>
      <x:c r="J185" s="10" t="n">
        <x:v>0</x:v>
      </x:c>
      <x:c r="K185" s="10" t="str">
        <x:v>1 Mo.</x:v>
      </x:c>
      <x:c r="L185" s="10" t="n">
        <x:v>0</x:v>
      </x:c>
      <x:c r="M185" s="10" t="n">
        <x:v>0</x:v>
      </x:c>
      <x:c r="N185" s="10" t="n">
        <x:v>0</x:v>
      </x:c>
      <x:c r="O185" s="10" t="str"/>
      <x:c r="P185" s="10" t="n">
        <x:v>2</x:v>
      </x:c>
      <x:c r="Q185" s="10" t="n">
        <x:v>0</x:v>
      </x:c>
      <x:c r="R185" s="13" t="n">
        <x:v>0</x:v>
      </x:c>
      <x:c r="S185" s="10" t="n">
        <x:v>177</x:v>
      </x:c>
      <x:c r="T185" s="10" t="str">
        <x:v>debt tracker,debt planner,debt payoff chart,debt avalanche,snowball calculator,avalanche calculator,snowball method,credit card payoff,mortgage payoff,biweekly budget,zero based budget,personal finances,annual budget</x:v>
      </x:c>
      <x:c r="U185" s="10" t="str">
        <x:v>debt tracker</x:v>
      </x:c>
      <x:c r="V185" s="10" t="str">
        <x:v>debt planner</x:v>
      </x:c>
      <x:c r="W185" s="10" t="str">
        <x:v>debt payoff chart</x:v>
      </x:c>
      <x:c r="X185" s="10" t="str">
        <x:v>debt avalanche</x:v>
      </x:c>
      <x:c r="Y185" s="10" t="str">
        <x:v>snowball calculator</x:v>
      </x:c>
      <x:c r="Z185" s="10" t="str">
        <x:v>avalanche calculator</x:v>
      </x:c>
      <x:c r="AA185" s="10" t="str">
        <x:v>snowball method</x:v>
      </x:c>
      <x:c r="AB185" s="10" t="str">
        <x:v>credit card payoff</x:v>
      </x:c>
      <x:c r="AC185" s="10" t="str">
        <x:v>mortgage payoff</x:v>
      </x:c>
      <x:c r="AD185" s="10" t="str">
        <x:v>biweekly budget</x:v>
      </x:c>
      <x:c r="AE185" s="10" t="str">
        <x:v>zero based budget</x:v>
      </x:c>
      <x:c r="AF185" s="10" t="str">
        <x:v>personal finances</x:v>
      </x:c>
      <x:c r="AG185" s="10" t="str">
        <x:v>annual budget</x:v>
      </x:c>
      <x:c r="AH185" s="10" t="str">
        <x:v>General debt payoff</x:v>
      </x:c>
      <x:c r="AI185" s="13" t="n">
        <x:v>1</x:v>
      </x:c>
      <x:c r="AJ185" s="10" t="str">
        <x:f>IF(F185&gt;0,"Active","No est. sales")</x:f>
        <x:v>No est. sales</x:v>
      </x:c>
    </x:row>
    <x:row r="186">
      <x:c r="A186" s="10" t="str">
        <x:v>DEBT TRACKER, Debt Snowball, Debt Payoff Tracker Printable, Dave Ramsey, Debt Payments, Finance Planner, Budget Planner, Debt Free Progress,</x:v>
      </x:c>
      <x:c r="B186" s="10" t="str">
        <x:v>https://www.etsy.com/listing/1116546072/debt-tracker-debt-snowball-debt-payoff</x:v>
      </x:c>
      <x:c r="C186" s="10" t="str">
        <x:v>CreativeJamCo</x:v>
      </x:c>
      <x:c r="D186" s="10" t="str">
        <x:v>https://www.etsy.com/shop/CreativeJamCo</x:v>
      </x:c>
      <x:c r="E186" s="11" t="n">
        <x:v>2.38</x:v>
      </x:c>
      <x:c r="F186" s="10" t="n">
        <x:v>0</x:v>
      </x:c>
      <x:c r="G186" s="12" t="n">
        <x:v>0</x:v>
      </x:c>
      <x:c r="H186" s="13" t="n">
        <x:v>0</x:v>
      </x:c>
      <x:c r="I186" s="10" t="n">
        <x:v>0</x:v>
      </x:c>
      <x:c r="J186" s="10" t="n">
        <x:v>0</x:v>
      </x:c>
      <x:c r="K186" s="10" t="str">
        <x:v>56 Mo.</x:v>
      </x:c>
      <x:c r="L186" s="10" t="n">
        <x:v>10</x:v>
      </x:c>
      <x:c r="M186" s="10" t="n">
        <x:v>0</x:v>
      </x:c>
      <x:c r="N186" s="10" t="n">
        <x:v>122</x:v>
      </x:c>
      <x:c r="O186" s="10" t="str">
        <x:v>Paper &amp; Party Supplies</x:v>
      </x:c>
      <x:c r="P186" s="10" t="n">
        <x:v>77</x:v>
      </x:c>
      <x:c r="Q186" s="10" t="n">
        <x:v>0</x:v>
      </x:c>
      <x:c r="R186" s="13" t="n">
        <x:v>0</x:v>
      </x:c>
      <x:c r="S186" s="10" t="n">
        <x:v>391577</x:v>
      </x:c>
      <x:c r="T186" s="10" t="str">
        <x:v>printable,debt tracker,debt snowball,debt payoff tracker,debt payment tracker,dave ramsey,credit card tracker,mortgage tracker,financial tracker,budget planner,finance planner,spending tracker,budget tracker</x:v>
      </x:c>
      <x:c r="U186" s="10" t="str">
        <x:v>printable</x:v>
      </x:c>
      <x:c r="V186" s="10" t="str">
        <x:v>debt tracker</x:v>
      </x:c>
      <x:c r="W186" s="10" t="str">
        <x:v>debt snowball</x:v>
      </x:c>
      <x:c r="X186" s="10" t="str">
        <x:v>debt payoff tracker</x:v>
      </x:c>
      <x:c r="Y186" s="10" t="str">
        <x:v>debt payment tracker</x:v>
      </x:c>
      <x:c r="Z186" s="10" t="str">
        <x:v>dave ramsey</x:v>
      </x:c>
      <x:c r="AA186" s="10" t="str">
        <x:v>credit card tracker</x:v>
      </x:c>
      <x:c r="AB186" s="10" t="str">
        <x:v>mortgage tracker</x:v>
      </x:c>
      <x:c r="AC186" s="10" t="str">
        <x:v>financial tracker</x:v>
      </x:c>
      <x:c r="AD186" s="10" t="str">
        <x:v>budget planner</x:v>
      </x:c>
      <x:c r="AE186" s="10" t="str">
        <x:v>finance planner</x:v>
      </x:c>
      <x:c r="AF186" s="10" t="str">
        <x:v>spending tracker</x:v>
      </x:c>
      <x:c r="AG186" s="10" t="str">
        <x:v>budget tracker</x:v>
      </x:c>
      <x:c r="AH186" s="10" t="str">
        <x:v>General debt payoff</x:v>
      </x:c>
      <x:c r="AI186" s="13" t="n">
        <x:v>56</x:v>
      </x:c>
      <x:c r="AJ186" s="10" t="str">
        <x:f>IF(F186&gt;0,"Active","No est. sales")</x:f>
        <x:v>No est. sales</x:v>
      </x:c>
    </x:row>
    <x:row r="187">
      <x:c r="A187" s="10" t="str">
        <x:v>DEBT TRACKER, Debt Snowball, Debt Payoff Tracker Printable, Dave Ramsey, Debt Payments, Finance Planner, Budget Planner, Debt Free Progress,</x:v>
      </x:c>
      <x:c r="B187" s="10" t="str">
        <x:v>https://www.etsy.com/listing/1333425243/debt-tracker-debt-snowball-debt-payoff</x:v>
      </x:c>
      <x:c r="C187" s="10" t="str">
        <x:v>CreativeJamCo</x:v>
      </x:c>
      <x:c r="D187" s="10" t="str">
        <x:v>https://www.etsy.com/shop/CreativeJamCo</x:v>
      </x:c>
      <x:c r="E187" s="11" t="n">
        <x:v>2.38</x:v>
      </x:c>
      <x:c r="F187" s="10" t="n">
        <x:v>0</x:v>
      </x:c>
      <x:c r="G187" s="12" t="n">
        <x:v>0</x:v>
      </x:c>
      <x:c r="H187" s="13" t="n">
        <x:v>0</x:v>
      </x:c>
      <x:c r="I187" s="10" t="n">
        <x:v>49</x:v>
      </x:c>
      <x:c r="J187" s="10" t="n">
        <x:v>5</x:v>
      </x:c>
      <x:c r="K187" s="10" t="str">
        <x:v>45 Mo.</x:v>
      </x:c>
      <x:c r="L187" s="10" t="n">
        <x:v>14</x:v>
      </x:c>
      <x:c r="M187" s="10" t="n">
        <x:v>0</x:v>
      </x:c>
      <x:c r="N187" s="10" t="n">
        <x:v>519</x:v>
      </x:c>
      <x:c r="O187" s="10" t="str">
        <x:v>Paper &amp; Party Supplies</x:v>
      </x:c>
      <x:c r="P187" s="10" t="n">
        <x:v>77</x:v>
      </x:c>
      <x:c r="Q187" s="10" t="n">
        <x:v>0</x:v>
      </x:c>
      <x:c r="R187" s="13" t="n">
        <x:v>9.44</x:v>
      </x:c>
      <x:c r="S187" s="10" t="n">
        <x:v>391577</x:v>
      </x:c>
      <x:c r="T187" s="10" t="str">
        <x:v>printable,debt tracker,debt snowball,debt payoff tracker,debt payment tracker,dave ramsey,credit card tracker,mortgage tracker,financial tracker,budget planner,finance planner,spending tracker,budget tracker</x:v>
      </x:c>
      <x:c r="U187" s="10" t="str">
        <x:v>printable</x:v>
      </x:c>
      <x:c r="V187" s="10" t="str">
        <x:v>debt tracker</x:v>
      </x:c>
      <x:c r="W187" s="10" t="str">
        <x:v>debt snowball</x:v>
      </x:c>
      <x:c r="X187" s="10" t="str">
        <x:v>debt payoff tracker</x:v>
      </x:c>
      <x:c r="Y187" s="10" t="str">
        <x:v>debt payment tracker</x:v>
      </x:c>
      <x:c r="Z187" s="10" t="str">
        <x:v>dave ramsey</x:v>
      </x:c>
      <x:c r="AA187" s="10" t="str">
        <x:v>credit card tracker</x:v>
      </x:c>
      <x:c r="AB187" s="10" t="str">
        <x:v>mortgage tracker</x:v>
      </x:c>
      <x:c r="AC187" s="10" t="str">
        <x:v>financial tracker</x:v>
      </x:c>
      <x:c r="AD187" s="10" t="str">
        <x:v>budget planner</x:v>
      </x:c>
      <x:c r="AE187" s="10" t="str">
        <x:v>finance planner</x:v>
      </x:c>
      <x:c r="AF187" s="10" t="str">
        <x:v>spending tracker</x:v>
      </x:c>
      <x:c r="AG187" s="10" t="str">
        <x:v>budget tracker</x:v>
      </x:c>
      <x:c r="AH187" s="10" t="str">
        <x:v>General debt payoff</x:v>
      </x:c>
      <x:c r="AI187" s="13" t="n">
        <x:v>45</x:v>
      </x:c>
      <x:c r="AJ187" s="10" t="str">
        <x:f>IF(F187&gt;0,"Active","No est. sales")</x:f>
        <x:v>No est. sales</x:v>
      </x:c>
    </x:row>
    <x:row r="188">
      <x:c r="A188" s="10" t="str">
        <x:v>Mortgage Due Printable Planner Stickers for Happy Planner Erin Condren Bujo Hobo Journal, Text Script Font, Functional, Minimalist, Weekly</x:v>
      </x:c>
      <x:c r="B188" s="10" t="str">
        <x:v>https://www.etsy.com/listing/4321718788/mortgage-due-printable-planner-stickers</x:v>
      </x:c>
      <x:c r="C188" s="10" t="str">
        <x:v>shannonjanine</x:v>
      </x:c>
      <x:c r="D188" s="10" t="str">
        <x:v>https://www.etsy.com/shop/shannonjanine</x:v>
      </x:c>
      <x:c r="E188" s="11" t="n">
        <x:v>2.13</x:v>
      </x:c>
      <x:c r="F188" s="10" t="n">
        <x:v>0</x:v>
      </x:c>
      <x:c r="G188" s="12" t="n">
        <x:v>0</x:v>
      </x:c>
      <x:c r="H188" s="13" t="n">
        <x:v>0</x:v>
      </x:c>
      <x:c r="I188" s="10" t="n">
        <x:v>0</x:v>
      </x:c>
      <x:c r="J188" s="10" t="n">
        <x:v>0</x:v>
      </x:c>
      <x:c r="K188" s="10" t="str">
        <x:v>13 Mo.</x:v>
      </x:c>
      <x:c r="L188" s="10" t="n">
        <x:v>0</x:v>
      </x:c>
      <x:c r="M188" s="10" t="n">
        <x:v>0</x:v>
      </x:c>
      <x:c r="N188" s="10" t="n">
        <x:v>0</x:v>
      </x:c>
      <x:c r="O188" s="10" t="str">
        <x:v>Paper &amp; Party Supplies</x:v>
      </x:c>
      <x:c r="P188" s="10" t="n">
        <x:v>146</x:v>
      </x:c>
      <x:c r="Q188" s="10" t="n">
        <x:v>0</x:v>
      </x:c>
      <x:c r="R188" s="13" t="n">
        <x:v>0</x:v>
      </x:c>
      <x:c r="S188" s="10" t="n">
        <x:v>3475</x:v>
      </x:c>
      <x:c r="T188" s="10" t="str">
        <x:v>printable stickers,planner sticker kit,journaling stickers,happy planner,weekly stickers,functional script,silhouette stickers,hobonichi bujo,digital planning,erin condren font,mortgage stickers,finance budget,bill due</x:v>
      </x:c>
      <x:c r="U188" s="10" t="str">
        <x:v>printable stickers</x:v>
      </x:c>
      <x:c r="V188" s="10" t="str">
        <x:v>planner sticker kit</x:v>
      </x:c>
      <x:c r="W188" s="10" t="str">
        <x:v>journaling stickers</x:v>
      </x:c>
      <x:c r="X188" s="10" t="str">
        <x:v>happy planner</x:v>
      </x:c>
      <x:c r="Y188" s="10" t="str">
        <x:v>weekly stickers</x:v>
      </x:c>
      <x:c r="Z188" s="10" t="str">
        <x:v>functional script</x:v>
      </x:c>
      <x:c r="AA188" s="10" t="str">
        <x:v>silhouette stickers</x:v>
      </x:c>
      <x:c r="AB188" s="10" t="str">
        <x:v>hobonichi bujo</x:v>
      </x:c>
      <x:c r="AC188" s="10" t="str">
        <x:v>digital planning</x:v>
      </x:c>
      <x:c r="AD188" s="10" t="str">
        <x:v>erin condren font</x:v>
      </x:c>
      <x:c r="AE188" s="10" t="str">
        <x:v>mortgage stickers</x:v>
      </x:c>
      <x:c r="AF188" s="10" t="str">
        <x:v>finance budget</x:v>
      </x:c>
      <x:c r="AG188" s="10" t="str">
        <x:v>bill due</x:v>
      </x:c>
      <x:c r="AH188" s="10" t="str">
        <x:v>Other mortgage-related</x:v>
      </x:c>
      <x:c r="AI188" s="13" t="n">
        <x:v>13</x:v>
      </x:c>
      <x:c r="AJ188" s="10" t="str">
        <x:f>IF(F188&gt;0,"Active","No est. sales")</x:f>
        <x:v>No est. sales</x:v>
      </x:c>
    </x:row>
    <x:row r="189">
      <x:c r="A189" s="10" t="str">
        <x:v>Mortgage Affordability Calculator, Editable Google Sheets Template (Digital Download)</x:v>
      </x:c>
      <x:c r="B189" s="10" t="str">
        <x:v>https://www.etsy.com/listing/4340664163/mortgage-affordability-calculator</x:v>
      </x:c>
      <x:c r="C189" s="10" t="str">
        <x:v>ShtsDesign</x:v>
      </x:c>
      <x:c r="D189" s="10" t="str">
        <x:v>https://www.etsy.com/shop/ShtsDesign</x:v>
      </x:c>
      <x:c r="E189" s="11" t="n">
        <x:v>9.98</x:v>
      </x:c>
      <x:c r="F189" s="10" t="n">
        <x:v>0</x:v>
      </x:c>
      <x:c r="G189" s="12" t="n">
        <x:v>0</x:v>
      </x:c>
      <x:c r="H189" s="13" t="n">
        <x:v>0</x:v>
      </x:c>
      <x:c r="I189" s="10" t="n">
        <x:v>0</x:v>
      </x:c>
      <x:c r="J189" s="10" t="n">
        <x:v>0</x:v>
      </x:c>
      <x:c r="K189" s="10" t="str">
        <x:v>12 Mo.</x:v>
      </x:c>
      <x:c r="L189" s="10" t="n">
        <x:v>0</x:v>
      </x:c>
      <x:c r="M189" s="10" t="n">
        <x:v>0</x:v>
      </x:c>
      <x:c r="N189" s="10" t="n">
        <x:v>47</x:v>
      </x:c>
      <x:c r="O189" s="10" t="str">
        <x:v>Paper &amp; Party Supplies</x:v>
      </x:c>
      <x:c r="P189" s="10" t="n">
        <x:v>20</x:v>
      </x:c>
      <x:c r="Q189" s="10" t="n">
        <x:v>0</x:v>
      </x:c>
      <x:c r="R189" s="13" t="n">
        <x:v>0</x:v>
      </x:c>
      <x:c r="S189" s="10" t="n">
        <x:v>265</x:v>
      </x:c>
      <x:c r="T189" s="10" t="str">
        <x:v>mortgage tool,loan planner,home budget,editable sheet,google sheets,buyer tool,digital download,house planner,finance tracker,monthly payment,real estate tool,loan estimate,affordability calc</x:v>
      </x:c>
      <x:c r="U189" s="10" t="str">
        <x:v>mortgage tool</x:v>
      </x:c>
      <x:c r="V189" s="10" t="str">
        <x:v>loan planner</x:v>
      </x:c>
      <x:c r="W189" s="10" t="str">
        <x:v>home budget</x:v>
      </x:c>
      <x:c r="X189" s="10" t="str">
        <x:v>editable sheet</x:v>
      </x:c>
      <x:c r="Y189" s="10" t="str">
        <x:v>google sheets</x:v>
      </x:c>
      <x:c r="Z189" s="10" t="str">
        <x:v>buyer tool</x:v>
      </x:c>
      <x:c r="AA189" s="10" t="str">
        <x:v>digital download</x:v>
      </x:c>
      <x:c r="AB189" s="10" t="str">
        <x:v>house planner</x:v>
      </x:c>
      <x:c r="AC189" s="10" t="str">
        <x:v>finance tracker</x:v>
      </x:c>
      <x:c r="AD189" s="10" t="str">
        <x:v>monthly payment</x:v>
      </x:c>
      <x:c r="AE189" s="10" t="str">
        <x:v>real estate tool</x:v>
      </x:c>
      <x:c r="AF189" s="10" t="str">
        <x:v>loan estimate</x:v>
      </x:c>
      <x:c r="AG189" s="10" t="str">
        <x:v>affordability calc</x:v>
      </x:c>
      <x:c r="AH189" s="10" t="str">
        <x:v>Other mortgage-related</x:v>
      </x:c>
      <x:c r="AI189" s="13" t="n">
        <x:v>12</x:v>
      </x:c>
      <x:c r="AJ189" s="10" t="str">
        <x:f>IF(F189&gt;0,"Active","No est. sales")</x:f>
        <x:v>No est. sales</x:v>
      </x:c>
    </x:row>
    <x:row r="190">
      <x:c r="A190" s="10" t="str">
        <x:v>Real Estate Closing Costs Breakdown Template, Editable Google Sheets, Digital Download</x:v>
      </x:c>
      <x:c r="B190" s="10" t="str">
        <x:v>https://www.etsy.com/listing/4479660311/real-estate-closing-costs-breakdown</x:v>
      </x:c>
      <x:c r="C190" s="10" t="str">
        <x:v>ShtsDesign</x:v>
      </x:c>
      <x:c r="D190" s="10" t="str">
        <x:v>https://www.etsy.com/shop/ShtsDesign</x:v>
      </x:c>
      <x:c r="E190" s="11" t="n">
        <x:v>11.98</x:v>
      </x:c>
      <x:c r="F190" s="10" t="n">
        <x:v>0</x:v>
      </x:c>
      <x:c r="G190" s="12" t="n">
        <x:v>0</x:v>
      </x:c>
      <x:c r="H190" s="13" t="n">
        <x:v>0</x:v>
      </x:c>
      <x:c r="I190" s="10" t="n">
        <x:v>0</x:v>
      </x:c>
      <x:c r="J190" s="10" t="n">
        <x:v>0</x:v>
      </x:c>
      <x:c r="K190" s="10" t="str">
        <x:v>4 Mo.</x:v>
      </x:c>
      <x:c r="L190" s="10" t="n">
        <x:v>0</x:v>
      </x:c>
      <x:c r="M190" s="10" t="n">
        <x:v>0</x:v>
      </x:c>
      <x:c r="N190" s="10" t="n">
        <x:v>3</x:v>
      </x:c>
      <x:c r="O190" s="10" t="str">
        <x:v>Paper &amp; Party Supplies</x:v>
      </x:c>
      <x:c r="P190" s="10" t="n">
        <x:v>20</x:v>
      </x:c>
      <x:c r="Q190" s="10" t="n">
        <x:v>0</x:v>
      </x:c>
      <x:c r="R190" s="13" t="n">
        <x:v>0</x:v>
      </x:c>
      <x:c r="S190" s="10" t="n">
        <x:v>265</x:v>
      </x:c>
      <x:c r="T190" s="10" t="str">
        <x:v>closing costs,real estate,property costs,google sheets,editable sheet,digital download,home buying,cost breakdown,mortgage fees,buyer checklist,expense tracker,real estate tool,budget planner</x:v>
      </x:c>
      <x:c r="U190" s="10" t="str">
        <x:v>closing costs</x:v>
      </x:c>
      <x:c r="V190" s="10" t="str">
        <x:v>real estate</x:v>
      </x:c>
      <x:c r="W190" s="10" t="str">
        <x:v>property costs</x:v>
      </x:c>
      <x:c r="X190" s="10" t="str">
        <x:v>google sheets</x:v>
      </x:c>
      <x:c r="Y190" s="10" t="str">
        <x:v>editable sheet</x:v>
      </x:c>
      <x:c r="Z190" s="10" t="str">
        <x:v>digital download</x:v>
      </x:c>
      <x:c r="AA190" s="10" t="str">
        <x:v>home buying</x:v>
      </x:c>
      <x:c r="AB190" s="10" t="str">
        <x:v>cost breakdown</x:v>
      </x:c>
      <x:c r="AC190" s="10" t="str">
        <x:v>mortgage fees</x:v>
      </x:c>
      <x:c r="AD190" s="10" t="str">
        <x:v>buyer checklist</x:v>
      </x:c>
      <x:c r="AE190" s="10" t="str">
        <x:v>expense tracker</x:v>
      </x:c>
      <x:c r="AF190" s="10" t="str">
        <x:v>real estate tool</x:v>
      </x:c>
      <x:c r="AG190" s="10" t="str">
        <x:v>budget planner</x:v>
      </x:c>
      <x:c r="AH190" s="10" t="str">
        <x:v>Other mortgage-related</x:v>
      </x:c>
      <x:c r="AI190" s="13" t="n">
        <x:v>4</x:v>
      </x:c>
      <x:c r="AJ190" s="10" t="str">
        <x:f>IF(F190&gt;0,"Active","No est. sales")</x:f>
        <x:v>No est. sales</x:v>
      </x:c>
    </x:row>
    <x:row r="191">
      <x:c r="A191" s="10" t="str">
        <x:v>HOUSE, MORTGAGE, Tiny Dot Icon Stickers, .32&amp;quot; Functional Planner Stickers, Labels, Bujo, Stationery, Scrapbooking, Bullet Journal, DICN-130</x:v>
      </x:c>
      <x:c r="B191" s="10" t="str">
        <x:v>https://www.etsy.com/listing/1516714813/house-mortgage-tiny-dot-icon-stickers-32</x:v>
      </x:c>
      <x:c r="C191" s="10" t="str">
        <x:v>TheJournalEffect</x:v>
      </x:c>
      <x:c r="D191" s="10" t="str">
        <x:v>https://www.etsy.com/shop/TheJournalEffect</x:v>
      </x:c>
      <x:c r="E191" s="11" t="n">
        <x:v>5</x:v>
      </x:c>
      <x:c r="F191" s="10" t="n">
        <x:v>0</x:v>
      </x:c>
      <x:c r="G191" s="12" t="n">
        <x:v>0</x:v>
      </x:c>
      <x:c r="H191" s="13" t="n">
        <x:v>0</x:v>
      </x:c>
      <x:c r="I191" s="10" t="n">
        <x:v>5</x:v>
      </x:c>
      <x:c r="J191" s="10" t="n">
        <x:v>1</x:v>
      </x:c>
      <x:c r="K191" s="10" t="str">
        <x:v>36 Mo.</x:v>
      </x:c>
      <x:c r="L191" s="10" t="n">
        <x:v>16</x:v>
      </x:c>
      <x:c r="M191" s="10" t="n">
        <x:v>0</x:v>
      </x:c>
      <x:c r="N191" s="10" t="n">
        <x:v>231</x:v>
      </x:c>
      <x:c r="O191" s="10" t="str">
        <x:v>Paper &amp; Party Supplies</x:v>
      </x:c>
      <x:c r="P191" s="10" t="n">
        <x:v>73</x:v>
      </x:c>
      <x:c r="Q191" s="10" t="n">
        <x:v>0</x:v>
      </x:c>
      <x:c r="R191" s="13" t="n">
        <x:v>2.16</x:v>
      </x:c>
      <x:c r="S191" s="10" t="n">
        <x:v>21643</x:v>
      </x:c>
      <x:c r="T191" s="10" t="str">
        <x:v>planner stickers,dot icons,circles,functional,bujo,bullet journal,planner,label,rainbow,neutral,pastel,bills,budget</x:v>
      </x:c>
      <x:c r="U191" s="10" t="str">
        <x:v>planner stickers</x:v>
      </x:c>
      <x:c r="V191" s="10" t="str">
        <x:v>dot icons</x:v>
      </x:c>
      <x:c r="W191" s="10" t="str">
        <x:v>circles</x:v>
      </x:c>
      <x:c r="X191" s="10" t="str">
        <x:v>functional</x:v>
      </x:c>
      <x:c r="Y191" s="10" t="str">
        <x:v>bujo</x:v>
      </x:c>
      <x:c r="Z191" s="10" t="str">
        <x:v>bullet journal</x:v>
      </x:c>
      <x:c r="AA191" s="10" t="str">
        <x:v>planner</x:v>
      </x:c>
      <x:c r="AB191" s="10" t="str">
        <x:v>label</x:v>
      </x:c>
      <x:c r="AC191" s="10" t="str">
        <x:v>rainbow</x:v>
      </x:c>
      <x:c r="AD191" s="10" t="str">
        <x:v>neutral</x:v>
      </x:c>
      <x:c r="AE191" s="10" t="str">
        <x:v>pastel</x:v>
      </x:c>
      <x:c r="AF191" s="10" t="str">
        <x:v>bills</x:v>
      </x:c>
      <x:c r="AG191" s="10" t="str">
        <x:v>budget</x:v>
      </x:c>
      <x:c r="AH191" s="10" t="str">
        <x:v>Other mortgage-related</x:v>
      </x:c>
      <x:c r="AI191" s="13" t="n">
        <x:v>36</x:v>
      </x:c>
      <x:c r="AJ191" s="10" t="str">
        <x:f>IF(F191&gt;0,"Active","No est. sales")</x:f>
        <x:v>No est. sales</x:v>
      </x:c>
    </x:row>
    <x:row r="192">
      <x:c r="A192" s="10" t="str">
        <x:v>First Time Home Buyer Organizer | Mortgage Document Checklist (Printable PDF)</x:v>
      </x:c>
      <x:c r="B192" s="10" t="str">
        <x:v>https://www.etsy.com/listing/4443241638/home-buyer-document-organizer-first-time</x:v>
      </x:c>
      <x:c r="C192" s="10" t="str">
        <x:v>LivingWithAlly</x:v>
      </x:c>
      <x:c r="D192" s="10" t="str">
        <x:v>https://www.etsy.com/shop/LivingWithAlly</x:v>
      </x:c>
      <x:c r="E192" s="11" t="n">
        <x:v>2.99</x:v>
      </x:c>
      <x:c r="F192" s="10" t="n">
        <x:v>0</x:v>
      </x:c>
      <x:c r="G192" s="12" t="n">
        <x:v>0</x:v>
      </x:c>
      <x:c r="H192" s="13" t="n">
        <x:v>0</x:v>
      </x:c>
      <x:c r="I192" s="10" t="n">
        <x:v>0</x:v>
      </x:c>
      <x:c r="J192" s="10" t="n">
        <x:v>0</x:v>
      </x:c>
      <x:c r="K192" s="10" t="str">
        <x:v>6 Mo.</x:v>
      </x:c>
      <x:c r="L192" s="10" t="n">
        <x:v>0</x:v>
      </x:c>
      <x:c r="M192" s="10" t="n">
        <x:v>0</x:v>
      </x:c>
      <x:c r="N192" s="10" t="n">
        <x:v>7</x:v>
      </x:c>
      <x:c r="O192" s="10" t="str"/>
      <x:c r="P192" s="10" t="n">
        <x:v>7</x:v>
      </x:c>
      <x:c r="Q192" s="10" t="n">
        <x:v>0</x:v>
      </x:c>
      <x:c r="R192" s="13" t="n">
        <x:v>0</x:v>
      </x:c>
      <x:c r="S192" s="10" t="n">
        <x:v>6</x:v>
      </x:c>
      <x:c r="T192" s="10" t="str">
        <x:v>home buyer organizer,first time home buy,mortgage checklist,home buying planner,document organizer,mortgage documents,printable planner,home buyer checklist,instant download,real estate print,budget planner pdf,home purchase plan,etsy digital downloa</x:v>
      </x:c>
      <x:c r="U192" s="10" t="str">
        <x:v>home buyer organizer</x:v>
      </x:c>
      <x:c r="V192" s="10" t="str">
        <x:v>first time home buy</x:v>
      </x:c>
      <x:c r="W192" s="10" t="str">
        <x:v>mortgage checklist</x:v>
      </x:c>
      <x:c r="X192" s="10" t="str">
        <x:v>home buying planner</x:v>
      </x:c>
      <x:c r="Y192" s="10" t="str">
        <x:v>document organizer</x:v>
      </x:c>
      <x:c r="Z192" s="10" t="str">
        <x:v>mortgage documents</x:v>
      </x:c>
      <x:c r="AA192" s="10" t="str">
        <x:v>printable planner</x:v>
      </x:c>
      <x:c r="AB192" s="10" t="str">
        <x:v>home buyer checklist</x:v>
      </x:c>
      <x:c r="AC192" s="10" t="str">
        <x:v>instant download</x:v>
      </x:c>
      <x:c r="AD192" s="10" t="str">
        <x:v>real estate print</x:v>
      </x:c>
      <x:c r="AE192" s="10" t="str">
        <x:v>budget planner pdf</x:v>
      </x:c>
      <x:c r="AF192" s="10" t="str">
        <x:v>home purchase plan</x:v>
      </x:c>
      <x:c r="AG192" s="10" t="str">
        <x:v>etsy digital downloa</x:v>
      </x:c>
      <x:c r="AH192" s="10" t="str">
        <x:v>Home buying planner</x:v>
      </x:c>
      <x:c r="AI192" s="13" t="n">
        <x:v>6</x:v>
      </x:c>
      <x:c r="AJ192" s="10" t="str">
        <x:f>IF(F192&gt;0,"Active","No est. sales")</x:f>
        <x:v>No est. sales</x:v>
      </x:c>
    </x:row>
    <x:row r="193">
      <x:c r="A193" s="10" t="str">
        <x:v>Home Buyer Tracker Excel Template | Home Comparison + Budget + Mortgage Calculator + Offer Tracker + Moving Checklist | First Time Buyer</x:v>
      </x:c>
      <x:c r="B193" s="10" t="str">
        <x:v>https://www.etsy.com/listing/4500524690/home-buyer-tracker-excel-template-home</x:v>
      </x:c>
      <x:c r="C193" s="10" t="str">
        <x:v>MPDaughertys</x:v>
      </x:c>
      <x:c r="D193" s="10" t="str">
        <x:v>https://www.etsy.com/shop/MPDaughertys</x:v>
      </x:c>
      <x:c r="E193" s="11" t="n">
        <x:v>11.99</x:v>
      </x:c>
      <x:c r="F193" s="10" t="n">
        <x:v>0</x:v>
      </x:c>
      <x:c r="G193" s="12" t="n">
        <x:v>0</x:v>
      </x:c>
      <x:c r="H193" s="13" t="n">
        <x:v>0</x:v>
      </x:c>
      <x:c r="I193" s="10" t="n">
        <x:v>0</x:v>
      </x:c>
      <x:c r="J193" s="10" t="n">
        <x:v>0</x:v>
      </x:c>
      <x:c r="K193" s="10" t="str">
        <x:v>2 Mo.</x:v>
      </x:c>
      <x:c r="L193" s="10" t="n">
        <x:v>0</x:v>
      </x:c>
      <x:c r="M193" s="10" t="n">
        <x:v>0</x:v>
      </x:c>
      <x:c r="N193" s="10" t="n">
        <x:v>6</x:v>
      </x:c>
      <x:c r="O193" s="10" t="str"/>
      <x:c r="P193" s="10" t="n">
        <x:v>12</x:v>
      </x:c>
      <x:c r="Q193" s="10" t="n">
        <x:v>0</x:v>
      </x:c>
      <x:c r="R193" s="13" t="n">
        <x:v>0</x:v>
      </x:c>
      <x:c r="S193" s="10" t="n">
        <x:v>0</x:v>
      </x:c>
      <x:c r="T193" s="10" t="str">
        <x:v>homebuying tracker,home tracker,mortgage calculator,home comparison,home planner,homebuyer,homebuyer tools,real estate</x:v>
      </x:c>
      <x:c r="U193" s="10" t="str">
        <x:v>homebuying tracker</x:v>
      </x:c>
      <x:c r="V193" s="10" t="str">
        <x:v>home tracker</x:v>
      </x:c>
      <x:c r="W193" s="10" t="str">
        <x:v>mortgage calculator</x:v>
      </x:c>
      <x:c r="X193" s="10" t="str">
        <x:v>home comparison</x:v>
      </x:c>
      <x:c r="Y193" s="10" t="str">
        <x:v>home planner</x:v>
      </x:c>
      <x:c r="Z193" s="10" t="str">
        <x:v>homebuyer</x:v>
      </x:c>
      <x:c r="AA193" s="10" t="str">
        <x:v>homebuyer tools</x:v>
      </x:c>
      <x:c r="AB193" s="10" t="str">
        <x:v>real estate</x:v>
      </x:c>
      <x:c r="AC193" s="10" t="str">
        <x:v>--</x:v>
      </x:c>
      <x:c r="AD193" s="10" t="str">
        <x:v>--</x:v>
      </x:c>
      <x:c r="AE193" s="10" t="str">
        <x:v>--</x:v>
      </x:c>
      <x:c r="AF193" s="10" t="str">
        <x:v>--</x:v>
      </x:c>
      <x:c r="AG193" s="10" t="str">
        <x:v>--</x:v>
      </x:c>
      <x:c r="AH193" s="10" t="str">
        <x:v>Mortgage payoff / calculator</x:v>
      </x:c>
      <x:c r="AI193" s="13" t="n">
        <x:v>2</x:v>
      </x:c>
      <x:c r="AJ193" s="10" t="str">
        <x:f>IF(F193&gt;0,"Active","No est. sales")</x:f>
        <x:v>No est. sales</x:v>
      </x:c>
    </x:row>
    <x:row r="194">
      <x:c r="A194" s="10" t="str">
        <x:v>FHA House Hack Readiness System | Multi-Unit Buyer Spreadsheet (Excel/Google Sheets)</x:v>
      </x:c>
      <x:c r="B194" s="10" t="str">
        <x:v>https://www.etsy.com/listing/4528087121/fha-house-hack-readiness-system-multi</x:v>
      </x:c>
      <x:c r="C194" s="10" t="str">
        <x:v>FutureLandlordClub</x:v>
      </x:c>
      <x:c r="D194" s="10" t="str">
        <x:v>https://www.etsy.com/shop/FutureLandlordClub</x:v>
      </x:c>
      <x:c r="E194" s="11" t="n">
        <x:v>15</x:v>
      </x:c>
      <x:c r="F194" s="10" t="n">
        <x:v>0</x:v>
      </x:c>
      <x:c r="G194" s="12" t="n">
        <x:v>0</x:v>
      </x:c>
      <x:c r="H194" s="13" t="n">
        <x:v>0</x:v>
      </x:c>
      <x:c r="I194" s="10" t="n">
        <x:v>0</x:v>
      </x:c>
      <x:c r="J194" s="10" t="n">
        <x:v>0</x:v>
      </x:c>
      <x:c r="K194" s="10" t="str">
        <x:v>1 Mo.</x:v>
      </x:c>
      <x:c r="L194" s="10" t="n">
        <x:v>0</x:v>
      </x:c>
      <x:c r="M194" s="10" t="n">
        <x:v>0</x:v>
      </x:c>
      <x:c r="N194" s="10" t="n">
        <x:v>0</x:v>
      </x:c>
      <x:c r="O194" s="10" t="str"/>
      <x:c r="P194" s="10" t="n">
        <x:v>1</x:v>
      </x:c>
      <x:c r="Q194" s="10" t="n">
        <x:v>0</x:v>
      </x:c>
      <x:c r="R194" s="13" t="n">
        <x:v>0</x:v>
      </x:c>
      <x:c r="S194" s="10" t="n">
        <x:v>0</x:v>
      </x:c>
      <x:c r="T194" s="10" t="str">
        <x:v>house hacking,fha loan tool,first buyer,multi unit,readiness quiz,mortgage prep,self suff test,buyer planner,excel sheet,google sheets,realtor gift,real estate,digital file</x:v>
      </x:c>
      <x:c r="U194" s="10" t="str">
        <x:v>house hacking</x:v>
      </x:c>
      <x:c r="V194" s="10" t="str">
        <x:v>fha loan tool</x:v>
      </x:c>
      <x:c r="W194" s="10" t="str">
        <x:v>first buyer</x:v>
      </x:c>
      <x:c r="X194" s="10" t="str">
        <x:v>multi unit</x:v>
      </x:c>
      <x:c r="Y194" s="10" t="str">
        <x:v>readiness quiz</x:v>
      </x:c>
      <x:c r="Z194" s="10" t="str">
        <x:v>mortgage prep</x:v>
      </x:c>
      <x:c r="AA194" s="10" t="str">
        <x:v>self suff test</x:v>
      </x:c>
      <x:c r="AB194" s="10" t="str">
        <x:v>buyer planner</x:v>
      </x:c>
      <x:c r="AC194" s="10" t="str">
        <x:v>excel sheet</x:v>
      </x:c>
      <x:c r="AD194" s="10" t="str">
        <x:v>google sheets</x:v>
      </x:c>
      <x:c r="AE194" s="10" t="str">
        <x:v>realtor gift</x:v>
      </x:c>
      <x:c r="AF194" s="10" t="str">
        <x:v>real estate</x:v>
      </x:c>
      <x:c r="AG194" s="10" t="str">
        <x:v>digital file</x:v>
      </x:c>
      <x:c r="AH194" s="10" t="str">
        <x:v>Other mortgage-related</x:v>
      </x:c>
      <x:c r="AI194" s="13" t="n">
        <x:v>1</x:v>
      </x:c>
      <x:c r="AJ194" s="10" t="str">
        <x:f>IF(F194&gt;0,"Active","No est. sales")</x:f>
        <x:v>No est. sales</x:v>
      </x:c>
    </x:row>
    <x:row r="195">
      <x:c r="A195" s="10" t="str">
        <x:v>Debt Snowball Avalanche Tracker Google Sheets Debt Payoff Calculator (Digital Download)</x:v>
      </x:c>
      <x:c r="B195" s="10" t="str">
        <x:v>https://www.etsy.com/listing/4529254447/debt-snowball-avalanche-tracker-google</x:v>
      </x:c>
      <x:c r="C195" s="10" t="str">
        <x:v>KrishnayaTemplates</x:v>
      </x:c>
      <x:c r="D195" s="10" t="str">
        <x:v>https://www.etsy.com/shop/KrishnayaTemplates</x:v>
      </x:c>
      <x:c r="E195" s="11" t="n">
        <x:v>2.69</x:v>
      </x:c>
      <x:c r="F195" s="10" t="n">
        <x:v>0</x:v>
      </x:c>
      <x:c r="G195" s="12" t="n">
        <x:v>0</x:v>
      </x:c>
      <x:c r="H195" s="13" t="n">
        <x:v>0</x:v>
      </x:c>
      <x:c r="I195" s="10" t="n">
        <x:v>0</x:v>
      </x:c>
      <x:c r="J195" s="10" t="n">
        <x:v>0</x:v>
      </x:c>
      <x:c r="K195" s="10" t="str">
        <x:v>1 Mo.</x:v>
      </x:c>
      <x:c r="L195" s="10" t="n">
        <x:v>0</x:v>
      </x:c>
      <x:c r="M195" s="10" t="n">
        <x:v>0</x:v>
      </x:c>
      <x:c r="N195" s="10" t="n">
        <x:v>18</x:v>
      </x:c>
      <x:c r="O195" s="10" t="str">
        <x:v>Paper &amp; Party Supplies</x:v>
      </x:c>
      <x:c r="P195" s="10" t="n">
        <x:v>8</x:v>
      </x:c>
      <x:c r="Q195" s="10" t="n">
        <x:v>0</x:v>
      </x:c>
      <x:c r="R195" s="13" t="n">
        <x:v>0</x:v>
      </x:c>
      <x:c r="S195" s="10" t="n">
        <x:v>188</x:v>
      </x:c>
      <x:c r="T195" s="10" t="str">
        <x:v>debt spreadsheet,debt google sheets,debt snowball,debt payoff planner,debt payment tracker,debt calculator,debt google sheet,credit card payoff,loan payoff tracker,debt avalanche,mortgage payoff,student loan tracker,debt payoff chart</x:v>
      </x:c>
      <x:c r="U195" s="10" t="str">
        <x:v>debt spreadsheet</x:v>
      </x:c>
      <x:c r="V195" s="10" t="str">
        <x:v>debt google sheets</x:v>
      </x:c>
      <x:c r="W195" s="10" t="str">
        <x:v>debt snowball</x:v>
      </x:c>
      <x:c r="X195" s="10" t="str">
        <x:v>debt payoff planner</x:v>
      </x:c>
      <x:c r="Y195" s="10" t="str">
        <x:v>debt payment tracker</x:v>
      </x:c>
      <x:c r="Z195" s="10" t="str">
        <x:v>debt calculator</x:v>
      </x:c>
      <x:c r="AA195" s="10" t="str">
        <x:v>debt google sheet</x:v>
      </x:c>
      <x:c r="AB195" s="10" t="str">
        <x:v>credit card payoff</x:v>
      </x:c>
      <x:c r="AC195" s="10" t="str">
        <x:v>loan payoff tracker</x:v>
      </x:c>
      <x:c r="AD195" s="10" t="str">
        <x:v>debt avalanche</x:v>
      </x:c>
      <x:c r="AE195" s="10" t="str">
        <x:v>mortgage payoff</x:v>
      </x:c>
      <x:c r="AF195" s="10" t="str">
        <x:v>student loan tracker</x:v>
      </x:c>
      <x:c r="AG195" s="10" t="str">
        <x:v>debt payoff chart</x:v>
      </x:c>
      <x:c r="AH195" s="10" t="str">
        <x:v>General debt payoff</x:v>
      </x:c>
      <x:c r="AI195" s="13" t="n">
        <x:v>1</x:v>
      </x:c>
      <x:c r="AJ195" s="10" t="str">
        <x:f>IF(F195&gt;0,"Active","No est. sales")</x:f>
        <x:v>No est. sales</x:v>
      </x:c>
    </x:row>
    <x:row r="196">
      <x:c r="A196" s="10" t="str">
        <x:v>Printable House Savings Tracker - House Down Payment Sheet - New Home Savings - Mortgage Savings Tracker Template - New House Savings Sheet</x:v>
      </x:c>
      <x:c r="B196" s="10" t="str">
        <x:v>https://www.etsy.com/listing/1141355457/printable-house-savings-tracker-house</x:v>
      </x:c>
      <x:c r="C196" s="10" t="str">
        <x:v>SavvyFrugalMom</x:v>
      </x:c>
      <x:c r="D196" s="10" t="str">
        <x:v>https://www.etsy.com/shop/SavvyFrugalMom</x:v>
      </x:c>
      <x:c r="E196" s="11" t="n">
        <x:v>1.49</x:v>
      </x:c>
      <x:c r="F196" s="10" t="n">
        <x:v>0</x:v>
      </x:c>
      <x:c r="G196" s="12" t="n">
        <x:v>0</x:v>
      </x:c>
      <x:c r="H196" s="13" t="n">
        <x:v>0</x:v>
      </x:c>
      <x:c r="I196" s="10" t="n">
        <x:v>4</x:v>
      </x:c>
      <x:c r="J196" s="10" t="n">
        <x:v>1</x:v>
      </x:c>
      <x:c r="K196" s="10" t="str">
        <x:v>55 Mo.</x:v>
      </x:c>
      <x:c r="L196" s="10" t="n">
        <x:v>21</x:v>
      </x:c>
      <x:c r="M196" s="10" t="n">
        <x:v>0</x:v>
      </x:c>
      <x:c r="N196" s="10" t="n">
        <x:v>448</x:v>
      </x:c>
      <x:c r="O196" s="10" t="str">
        <x:v>Paper &amp; Party Supplies</x:v>
      </x:c>
      <x:c r="P196" s="10" t="n">
        <x:v>66</x:v>
      </x:c>
      <x:c r="Q196" s="10" t="n">
        <x:v>0</x:v>
      </x:c>
      <x:c r="R196" s="13" t="n">
        <x:v>0.89</x:v>
      </x:c>
      <x:c r="S196" s="10" t="n">
        <x:v>1539</x:v>
      </x:c>
      <x:c r="T196" s="10" t="str">
        <x:v>printable saving,house savings,savings tracker,house down payment,down payment sheet,now home savings,mortgage savings,savings template,new house savings,house savings sheet,savings challenge,savings planner,printable tracker</x:v>
      </x:c>
      <x:c r="U196" s="10" t="str">
        <x:v>printable saving</x:v>
      </x:c>
      <x:c r="V196" s="10" t="str">
        <x:v>house savings</x:v>
      </x:c>
      <x:c r="W196" s="10" t="str">
        <x:v>savings tracker</x:v>
      </x:c>
      <x:c r="X196" s="10" t="str">
        <x:v>house down payment</x:v>
      </x:c>
      <x:c r="Y196" s="10" t="str">
        <x:v>down payment sheet</x:v>
      </x:c>
      <x:c r="Z196" s="10" t="str">
        <x:v>now home savings</x:v>
      </x:c>
      <x:c r="AA196" s="10" t="str">
        <x:v>mortgage savings</x:v>
      </x:c>
      <x:c r="AB196" s="10" t="str">
        <x:v>savings template</x:v>
      </x:c>
      <x:c r="AC196" s="10" t="str">
        <x:v>new house savings</x:v>
      </x:c>
      <x:c r="AD196" s="10" t="str">
        <x:v>house savings sheet</x:v>
      </x:c>
      <x:c r="AE196" s="10" t="str">
        <x:v>savings challenge</x:v>
      </x:c>
      <x:c r="AF196" s="10" t="str">
        <x:v>savings planner</x:v>
      </x:c>
      <x:c r="AG196" s="10" t="str">
        <x:v>printable tracker</x:v>
      </x:c>
      <x:c r="AH196" s="10" t="str">
        <x:v>Other mortgage-related</x:v>
      </x:c>
      <x:c r="AI196" s="13" t="n">
        <x:v>55</x:v>
      </x:c>
      <x:c r="AJ196" s="10" t="str">
        <x:f>IF(F196&gt;0,"Active","No est. sales")</x:f>
        <x:v>No est. sales</x:v>
      </x:c>
    </x:row>
    <x:row r="197">
      <x:c r="A197" s="10" t="str">
        <x:v>Home Buying Planner Printable PDF | First Time Home Buyer Planner | House Hunting Checklist | Home Purchase | Mortgage Planner | White</x:v>
      </x:c>
      <x:c r="B197" s="10" t="str">
        <x:v>https://www.etsy.com/listing/4540739022/home-buying-planner-printable-pdf-first</x:v>
      </x:c>
      <x:c r="C197" s="10" t="str">
        <x:v>HERMODERNEMPIRE</x:v>
      </x:c>
      <x:c r="D197" s="10" t="str">
        <x:v>https://www.etsy.com/shop/HERMODERNEMPIRE</x:v>
      </x:c>
      <x:c r="E197" s="11" t="n">
        <x:v>20.27</x:v>
      </x:c>
      <x:c r="F197" s="10" t="n">
        <x:v>0</x:v>
      </x:c>
      <x:c r="G197" s="12" t="n">
        <x:v>0</x:v>
      </x:c>
      <x:c r="H197" s="13" t="n">
        <x:v>0</x:v>
      </x:c>
      <x:c r="I197" s="10" t="n">
        <x:v>0</x:v>
      </x:c>
      <x:c r="J197" s="10" t="n">
        <x:v>0</x:v>
      </x:c>
      <x:c r="K197" s="10" t="str">
        <x:v>1 Mo.</x:v>
      </x:c>
      <x:c r="L197" s="10" t="n">
        <x:v>0</x:v>
      </x:c>
      <x:c r="M197" s="10" t="n">
        <x:v>0</x:v>
      </x:c>
      <x:c r="N197" s="10" t="n">
        <x:v>1</x:v>
      </x:c>
      <x:c r="O197" s="10" t="str">
        <x:v>Books, Movies &amp; Music</x:v>
      </x:c>
      <x:c r="P197" s="10" t="n">
        <x:v>4</x:v>
      </x:c>
      <x:c r="Q197" s="10" t="n">
        <x:v>0</x:v>
      </x:c>
      <x:c r="R197" s="13" t="n">
        <x:v>0</x:v>
      </x:c>
      <x:c r="S197" s="10" t="n">
        <x:v>1</x:v>
      </x:c>
      <x:c r="T197" s="10" t="str">
        <x:v>home buying,first home,house hunting,home planner,realtor planner,mortgage plan,home checklist,home binder,property log,moving planner,home buyer,printable pdf,digital planner</x:v>
      </x:c>
      <x:c r="U197" s="10" t="str">
        <x:v>home buying</x:v>
      </x:c>
      <x:c r="V197" s="10" t="str">
        <x:v>first home</x:v>
      </x:c>
      <x:c r="W197" s="10" t="str">
        <x:v>house hunting</x:v>
      </x:c>
      <x:c r="X197" s="10" t="str">
        <x:v>home planner</x:v>
      </x:c>
      <x:c r="Y197" s="10" t="str">
        <x:v>realtor planner</x:v>
      </x:c>
      <x:c r="Z197" s="10" t="str">
        <x:v>mortgage plan</x:v>
      </x:c>
      <x:c r="AA197" s="10" t="str">
        <x:v>home checklist</x:v>
      </x:c>
      <x:c r="AB197" s="10" t="str">
        <x:v>home binder</x:v>
      </x:c>
      <x:c r="AC197" s="10" t="str">
        <x:v>property log</x:v>
      </x:c>
      <x:c r="AD197" s="10" t="str">
        <x:v>moving planner</x:v>
      </x:c>
      <x:c r="AE197" s="10" t="str">
        <x:v>home buyer</x:v>
      </x:c>
      <x:c r="AF197" s="10" t="str">
        <x:v>printable pdf</x:v>
      </x:c>
      <x:c r="AG197" s="10" t="str">
        <x:v>digital planner</x:v>
      </x:c>
      <x:c r="AH197" s="10" t="str">
        <x:v>Home buying planner</x:v>
      </x:c>
      <x:c r="AI197" s="13" t="n">
        <x:v>1</x:v>
      </x:c>
      <x:c r="AJ197" s="10" t="str">
        <x:f>IF(F197&gt;0,"Active","No est. sales")</x:f>
        <x:v>No est. sales</x:v>
      </x:c>
    </x:row>
    <x:row r="198">
      <x:c r="A198" s="10" t="str">
        <x:v>Mortgage Due Planner Stickers</x:v>
      </x:c>
      <x:c r="B198" s="10" t="str">
        <x:v>https://www.etsy.com/listing/948891536/mortgage-due-planner-stickers</x:v>
      </x:c>
      <x:c r="C198" s="10" t="str">
        <x:v>TheTwinMermaids</x:v>
      </x:c>
      <x:c r="D198" s="10" t="str">
        <x:v>https://www.etsy.com/shop/TheTwinMermaids</x:v>
      </x:c>
      <x:c r="E198" s="11" t="n">
        <x:v>4.95</x:v>
      </x:c>
      <x:c r="F198" s="10" t="n">
        <x:v>0</x:v>
      </x:c>
      <x:c r="G198" s="12" t="n">
        <x:v>0</x:v>
      </x:c>
      <x:c r="H198" s="13" t="n">
        <x:v>0</x:v>
      </x:c>
      <x:c r="I198" s="10" t="n">
        <x:v>25</x:v>
      </x:c>
      <x:c r="J198" s="10" t="n">
        <x:v>6</x:v>
      </x:c>
      <x:c r="K198" s="10" t="str">
        <x:v>65 Mo.</x:v>
      </x:c>
      <x:c r="L198" s="10" t="n">
        <x:v>38</x:v>
      </x:c>
      <x:c r="M198" s="10" t="n">
        <x:v>0</x:v>
      </x:c>
      <x:c r="N198" s="10" t="n">
        <x:v>710</x:v>
      </x:c>
      <x:c r="O198" s="10" t="str">
        <x:v>Paper &amp; Party Supplies</x:v>
      </x:c>
      <x:c r="P198" s="10" t="n">
        <x:v>123</x:v>
      </x:c>
      <x:c r="Q198" s="10" t="n">
        <x:v>0</x:v>
      </x:c>
      <x:c r="R198" s="13" t="n">
        <x:v>3.52</x:v>
      </x:c>
      <x:c r="S198" s="10" t="n">
        <x:v>40098</x:v>
      </x:c>
      <x:c r="T198" s="10" t="str">
        <x:v>planner,stickers,house,houses,spectrum,colorful,mortgage,monthly,payment,ownership,owner,payments,the twin mermaids</x:v>
      </x:c>
      <x:c r="U198" s="10" t="str">
        <x:v>planner</x:v>
      </x:c>
      <x:c r="V198" s="10" t="str">
        <x:v>stickers</x:v>
      </x:c>
      <x:c r="W198" s="10" t="str">
        <x:v>house</x:v>
      </x:c>
      <x:c r="X198" s="10" t="str">
        <x:v>houses</x:v>
      </x:c>
      <x:c r="Y198" s="10" t="str">
        <x:v>spectrum</x:v>
      </x:c>
      <x:c r="Z198" s="10" t="str">
        <x:v>colorful</x:v>
      </x:c>
      <x:c r="AA198" s="10" t="str">
        <x:v>mortgage</x:v>
      </x:c>
      <x:c r="AB198" s="10" t="str">
        <x:v>monthly</x:v>
      </x:c>
      <x:c r="AC198" s="10" t="str">
        <x:v>payment</x:v>
      </x:c>
      <x:c r="AD198" s="10" t="str">
        <x:v>ownership</x:v>
      </x:c>
      <x:c r="AE198" s="10" t="str">
        <x:v>owner</x:v>
      </x:c>
      <x:c r="AF198" s="10" t="str">
        <x:v>payments</x:v>
      </x:c>
      <x:c r="AG198" s="10" t="str">
        <x:v>the twin mermaids</x:v>
      </x:c>
      <x:c r="AH198" s="10" t="str">
        <x:v>Other mortgage-related</x:v>
      </x:c>
      <x:c r="AI198" s="13" t="n">
        <x:v>65</x:v>
      </x:c>
      <x:c r="AJ198" s="10" t="str">
        <x:f>IF(F198&gt;0,"Active","No est. sales")</x:f>
        <x:v>No est. sales</x:v>
      </x:c>
    </x:row>
    <x:row r="199">
      <x:c r="A199" s="10" t="str">
        <x:v>Debt Mountain Visual Tracker, Large Debt Payoff Chart, Student Loan Progress Map, Mortgage Payoff Printable, Sage Green, A4 US Letter Size</x:v>
      </x:c>
      <x:c r="B199" s="10" t="str">
        <x:v>https://www.etsy.com/listing/4434381705/debt-mountain-visual-tracker-large-debt</x:v>
      </x:c>
      <x:c r="C199" s="10" t="str">
        <x:v>TheIntentionalPenny</x:v>
      </x:c>
      <x:c r="D199" s="10" t="str">
        <x:v>https://www.etsy.com/shop/TheIntentionalPenny</x:v>
      </x:c>
      <x:c r="E199" s="11" t="n">
        <x:v>3</x:v>
      </x:c>
      <x:c r="F199" s="10" t="n">
        <x:v>0</x:v>
      </x:c>
      <x:c r="G199" s="12" t="n">
        <x:v>0</x:v>
      </x:c>
      <x:c r="H199" s="13" t="n">
        <x:v>0</x:v>
      </x:c>
      <x:c r="I199" s="10" t="n">
        <x:v>0</x:v>
      </x:c>
      <x:c r="J199" s="10" t="n">
        <x:v>0</x:v>
      </x:c>
      <x:c r="K199" s="10" t="str">
        <x:v>6 Mo.</x:v>
      </x:c>
      <x:c r="L199" s="10" t="n">
        <x:v>0</x:v>
      </x:c>
      <x:c r="M199" s="10" t="n">
        <x:v>0</x:v>
      </x:c>
      <x:c r="N199" s="10" t="n">
        <x:v>9</x:v>
      </x:c>
      <x:c r="O199" s="10" t="str"/>
      <x:c r="P199" s="10" t="n">
        <x:v>6</x:v>
      </x:c>
      <x:c r="Q199" s="10" t="n">
        <x:v>0</x:v>
      </x:c>
      <x:c r="R199" s="13" t="n">
        <x:v>0</x:v>
      </x:c>
      <x:c r="S199" s="10" t="n">
        <x:v>9</x:v>
      </x:c>
      <x:c r="T199" s="10" t="str">
        <x:v>debt mountain,minimalist budget,sage green planner,instant download,debt progress map,visual debt payoff,large debt tracker,mortgage payoff,debt free journey,big debt goal,financial milestone,debt visualizer,money motivation</x:v>
      </x:c>
      <x:c r="U199" s="10" t="str">
        <x:v>debt mountain</x:v>
      </x:c>
      <x:c r="V199" s="10" t="str">
        <x:v>minimalist budget</x:v>
      </x:c>
      <x:c r="W199" s="10" t="str">
        <x:v>sage green planner</x:v>
      </x:c>
      <x:c r="X199" s="10" t="str">
        <x:v>instant download</x:v>
      </x:c>
      <x:c r="Y199" s="10" t="str">
        <x:v>debt progress map</x:v>
      </x:c>
      <x:c r="Z199" s="10" t="str">
        <x:v>visual debt payoff</x:v>
      </x:c>
      <x:c r="AA199" s="10" t="str">
        <x:v>large debt tracker</x:v>
      </x:c>
      <x:c r="AB199" s="10" t="str">
        <x:v>mortgage payoff</x:v>
      </x:c>
      <x:c r="AC199" s="10" t="str">
        <x:v>debt free journey</x:v>
      </x:c>
      <x:c r="AD199" s="10" t="str">
        <x:v>big debt goal</x:v>
      </x:c>
      <x:c r="AE199" s="10" t="str">
        <x:v>financial milestone</x:v>
      </x:c>
      <x:c r="AF199" s="10" t="str">
        <x:v>debt visualizer</x:v>
      </x:c>
      <x:c r="AG199" s="10" t="str">
        <x:v>money motivation</x:v>
      </x:c>
      <x:c r="AH199" s="10" t="str">
        <x:v>General debt payoff</x:v>
      </x:c>
      <x:c r="AI199" s="13" t="n">
        <x:v>6</x:v>
      </x:c>
      <x:c r="AJ199" s="10" t="str">
        <x:f>IF(F199&gt;0,"Active","No est. sales")</x:f>
        <x:v>No est. sales</x:v>
      </x:c>
    </x:row>
    <x:row r="200">
      <x:c r="A200" s="10" t="str">
        <x:v>Debt Repayment Calculator: Snowball, Avalanche, Custom (Google Spreadsheet)</x:v>
      </x:c>
      <x:c r="B200" s="10" t="str">
        <x:v>https://www.etsy.com/listing/1830600335/debt-repayment-calculator-snowball</x:v>
      </x:c>
      <x:c r="C200" s="10" t="str">
        <x:v>ProductivityPadStore</x:v>
      </x:c>
      <x:c r="D200" s="10" t="str">
        <x:v>https://www.etsy.com/shop/ProductivityPadStore</x:v>
      </x:c>
      <x:c r="E200" s="11" t="n">
        <x:v>6.21</x:v>
      </x:c>
      <x:c r="F200" s="10" t="n">
        <x:v>0</x:v>
      </x:c>
      <x:c r="G200" s="12" t="n">
        <x:v>0</x:v>
      </x:c>
      <x:c r="H200" s="13" t="n">
        <x:v>0</x:v>
      </x:c>
      <x:c r="I200" s="10" t="n">
        <x:v>0</x:v>
      </x:c>
      <x:c r="J200" s="10" t="n">
        <x:v>0</x:v>
      </x:c>
      <x:c r="K200" s="10" t="str">
        <x:v>20 Mo.</x:v>
      </x:c>
      <x:c r="L200" s="10" t="n">
        <x:v>24</x:v>
      </x:c>
      <x:c r="M200" s="10" t="n">
        <x:v>0</x:v>
      </x:c>
      <x:c r="N200" s="10" t="n">
        <x:v>462</x:v>
      </x:c>
      <x:c r="O200" s="10" t="str"/>
      <x:c r="P200" s="10" t="n">
        <x:v>39</x:v>
      </x:c>
      <x:c r="Q200" s="10" t="n">
        <x:v>0</x:v>
      </x:c>
      <x:c r="R200" s="13" t="n">
        <x:v>0</x:v>
      </x:c>
      <x:c r="S200" s="10" t="n">
        <x:v>5423</x:v>
      </x:c>
      <x:c r="T200" s="10" t="str">
        <x:v>finance planner,debt budget planner,payoff tracker,loan payoff,debt repayment,credit card payoff,debt calculator,mortgage payoff,debt payment tracker,snowball calculator,dark mode</x:v>
      </x:c>
      <x:c r="U200" s="10" t="str">
        <x:v>finance planner</x:v>
      </x:c>
      <x:c r="V200" s="10" t="str">
        <x:v>debt budget planner</x:v>
      </x:c>
      <x:c r="W200" s="10" t="str">
        <x:v>payoff tracker</x:v>
      </x:c>
      <x:c r="X200" s="10" t="str">
        <x:v>loan payoff</x:v>
      </x:c>
      <x:c r="Y200" s="10" t="str">
        <x:v>debt repayment</x:v>
      </x:c>
      <x:c r="Z200" s="10" t="str">
        <x:v>credit card payoff</x:v>
      </x:c>
      <x:c r="AA200" s="10" t="str">
        <x:v>debt calculator</x:v>
      </x:c>
      <x:c r="AB200" s="10" t="str">
        <x:v>mortgage payoff</x:v>
      </x:c>
      <x:c r="AC200" s="10" t="str">
        <x:v>debt payment tracker</x:v>
      </x:c>
      <x:c r="AD200" s="10" t="str">
        <x:v>snowball calculator</x:v>
      </x:c>
      <x:c r="AE200" s="10" t="str">
        <x:v>dark mode</x:v>
      </x:c>
      <x:c r="AF200" s="10" t="str">
        <x:v>--</x:v>
      </x:c>
      <x:c r="AG200" s="10" t="str">
        <x:v>--</x:v>
      </x:c>
      <x:c r="AH200" s="10" t="str">
        <x:v>Other mortgage-related</x:v>
      </x:c>
      <x:c r="AI200" s="13" t="n">
        <x:v>20</x:v>
      </x:c>
      <x:c r="AJ200" s="10" t="str">
        <x:f>IF(F200&gt;0,"Active","No est. sales")</x:f>
        <x:v>No est. sales</x:v>
      </x:c>
    </x:row>
    <x:row r="201">
      <x:c r="A201" s="10" t="str">
        <x:v>Closing Costs Calculator Excel Template for Homebuyers Estimate Cash to Close Compare Lender Fees Track Loan Payment Smart Amortization Tool</x:v>
      </x:c>
      <x:c r="B201" s="10" t="str">
        <x:v>https://www.etsy.com/listing/1737735539/closing-costs-calculator-excel-template</x:v>
      </x:c>
      <x:c r="C201" s="10" t="str">
        <x:v>ProDeductions</x:v>
      </x:c>
      <x:c r="D201" s="10" t="str">
        <x:v>https://www.etsy.com/shop/ProDeductions</x:v>
      </x:c>
      <x:c r="E201" s="11" t="n">
        <x:v>14.99</x:v>
      </x:c>
      <x:c r="F201" s="10" t="n">
        <x:v>0</x:v>
      </x:c>
      <x:c r="G201" s="12" t="n">
        <x:v>0</x:v>
      </x:c>
      <x:c r="H201" s="13" t="n">
        <x:v>0</x:v>
      </x:c>
      <x:c r="I201" s="10" t="n">
        <x:v>5</x:v>
      </x:c>
      <x:c r="J201" s="10" t="n">
        <x:v>1</x:v>
      </x:c>
      <x:c r="K201" s="10" t="str">
        <x:v>26 Mo.</x:v>
      </x:c>
      <x:c r="L201" s="10" t="n">
        <x:v>4</x:v>
      </x:c>
      <x:c r="M201" s="10" t="n">
        <x:v>0</x:v>
      </x:c>
      <x:c r="N201" s="10" t="n">
        <x:v>228</x:v>
      </x:c>
      <x:c r="O201" s="10" t="str">
        <x:v>Paper &amp; Party Supplies</x:v>
      </x:c>
      <x:c r="P201" s="10" t="n">
        <x:v>27</x:v>
      </x:c>
      <x:c r="Q201" s="10" t="n">
        <x:v>0</x:v>
      </x:c>
      <x:c r="R201" s="13" t="n">
        <x:v>2.19</x:v>
      </x:c>
      <x:c r="S201" s="10" t="n">
        <x:v>255</x:v>
      </x:c>
      <x:c r="T201" s="10" t="str">
        <x:v>closing costs calc,homebuyer template,cash to close tool,loan estimate excel,mortgage fee tracker,mortgage calc sheet,lender fees planner,escrow cost sheet,home loan budgeter,compare loan offers,excel mortgage tool,amortization tracker,mortgage organizer</x:v>
      </x:c>
      <x:c r="U201" s="10" t="str">
        <x:v>closing costs calc</x:v>
      </x:c>
      <x:c r="V201" s="10" t="str">
        <x:v>homebuyer template</x:v>
      </x:c>
      <x:c r="W201" s="10" t="str">
        <x:v>cash to close tool</x:v>
      </x:c>
      <x:c r="X201" s="10" t="str">
        <x:v>loan estimate excel</x:v>
      </x:c>
      <x:c r="Y201" s="10" t="str">
        <x:v>mortgage fee tracker</x:v>
      </x:c>
      <x:c r="Z201" s="10" t="str">
        <x:v>mortgage calc sheet</x:v>
      </x:c>
      <x:c r="AA201" s="10" t="str">
        <x:v>lender fees planner</x:v>
      </x:c>
      <x:c r="AB201" s="10" t="str">
        <x:v>escrow cost sheet</x:v>
      </x:c>
      <x:c r="AC201" s="10" t="str">
        <x:v>home loan budgeter</x:v>
      </x:c>
      <x:c r="AD201" s="10" t="str">
        <x:v>compare loan offers</x:v>
      </x:c>
      <x:c r="AE201" s="10" t="str">
        <x:v>excel mortgage tool</x:v>
      </x:c>
      <x:c r="AF201" s="10" t="str">
        <x:v>amortization tracker</x:v>
      </x:c>
      <x:c r="AG201" s="10" t="str">
        <x:v>mortgage organizer</x:v>
      </x:c>
      <x:c r="AH201" s="10" t="str">
        <x:v>Other mortgage-related</x:v>
      </x:c>
      <x:c r="AI201" s="13" t="n">
        <x:v>26</x:v>
      </x:c>
      <x:c r="AJ201" s="10" t="str">
        <x:f>IF(F201&gt;0,"Active","No est. sales")</x:f>
        <x:v>No est. sales</x:v>
      </x:c>
    </x:row>
    <x:row r="202">
      <x:c r="A202" s="10" t="str">
        <x:v>Mortgage Payment - Script Stickers | Typography stickers | Matte Removable | Functional Planner stickers // #TS-31</x:v>
      </x:c>
      <x:c r="B202" s="10" t="str">
        <x:v>https://www.etsy.com/listing/1007967361/mortgage-payment-script-stickers</x:v>
      </x:c>
      <x:c r="C202" s="10" t="str">
        <x:v>PlannerPenguin</x:v>
      </x:c>
      <x:c r="D202" s="10" t="str">
        <x:v>https://www.etsy.com/shop/PlannerPenguin</x:v>
      </x:c>
      <x:c r="E202" s="11" t="n">
        <x:v>3</x:v>
      </x:c>
      <x:c r="F202" s="10" t="n">
        <x:v>0</x:v>
      </x:c>
      <x:c r="G202" s="12" t="n">
        <x:v>0</x:v>
      </x:c>
      <x:c r="H202" s="13" t="n">
        <x:v>0</x:v>
      </x:c>
      <x:c r="I202" s="10" t="n">
        <x:v>4</x:v>
      </x:c>
      <x:c r="J202" s="10" t="n">
        <x:v>1</x:v>
      </x:c>
      <x:c r="K202" s="10" t="str">
        <x:v>63 Mo.</x:v>
      </x:c>
      <x:c r="L202" s="10" t="n">
        <x:v>34</x:v>
      </x:c>
      <x:c r="M202" s="10" t="n">
        <x:v>0</x:v>
      </x:c>
      <x:c r="N202" s="10" t="n">
        <x:v>437</x:v>
      </x:c>
      <x:c r="O202" s="10" t="str">
        <x:v>Paper &amp; Party Supplies</x:v>
      </x:c>
      <x:c r="P202" s="10" t="n">
        <x:v>135</x:v>
      </x:c>
      <x:c r="Q202" s="10" t="n">
        <x:v>0</x:v>
      </x:c>
      <x:c r="R202" s="13" t="n">
        <x:v>0.92</x:v>
      </x:c>
      <x:c r="S202" s="10" t="n">
        <x:v>23940</x:v>
      </x:c>
      <x:c r="T202" s="10" t="str">
        <x:v>plannerpenguin,personal stickers,planner stickers,stickers,icon stickers,script stickers,script icons,functional stickers,word stickers,text stickers,typography stickers,vertical planner,mortgage payment</x:v>
      </x:c>
      <x:c r="U202" s="10" t="str">
        <x:v>plannerpenguin</x:v>
      </x:c>
      <x:c r="V202" s="10" t="str">
        <x:v>personal stickers</x:v>
      </x:c>
      <x:c r="W202" s="10" t="str">
        <x:v>planner stickers</x:v>
      </x:c>
      <x:c r="X202" s="10" t="str">
        <x:v>stickers</x:v>
      </x:c>
      <x:c r="Y202" s="10" t="str">
        <x:v>icon stickers</x:v>
      </x:c>
      <x:c r="Z202" s="10" t="str">
        <x:v>script stickers</x:v>
      </x:c>
      <x:c r="AA202" s="10" t="str">
        <x:v>script icons</x:v>
      </x:c>
      <x:c r="AB202" s="10" t="str">
        <x:v>functional stickers</x:v>
      </x:c>
      <x:c r="AC202" s="10" t="str">
        <x:v>word stickers</x:v>
      </x:c>
      <x:c r="AD202" s="10" t="str">
        <x:v>text stickers</x:v>
      </x:c>
      <x:c r="AE202" s="10" t="str">
        <x:v>typography stickers</x:v>
      </x:c>
      <x:c r="AF202" s="10" t="str">
        <x:v>vertical planner</x:v>
      </x:c>
      <x:c r="AG202" s="10" t="str">
        <x:v>mortgage payment</x:v>
      </x:c>
      <x:c r="AH202" s="10" t="str">
        <x:v>Other mortgage-related</x:v>
      </x:c>
      <x:c r="AI202" s="13" t="n">
        <x:v>63</x:v>
      </x:c>
      <x:c r="AJ202" s="10" t="str">
        <x:f>IF(F202&gt;0,"Active","No est. sales")</x:f>
        <x:v>No est. sales</x:v>
      </x:c>
    </x:row>
    <x:row r="203">
      <x:c r="A203" s="10" t="str">
        <x:v>Blue House Deposit Tracker Digital Download | Printable Home Savings Planner | Mortgage Down Payment Progress | Financial Budgeting Tool</x:v>
      </x:c>
      <x:c r="B203" s="10" t="str">
        <x:v>https://www.etsy.com/listing/1417637264/blue-house-deposit-tracker-digital</x:v>
      </x:c>
      <x:c r="C203" s="10" t="str">
        <x:v>AMillennialSaves</x:v>
      </x:c>
      <x:c r="D203" s="10" t="str">
        <x:v>https://www.etsy.com/shop/AMillennialSaves</x:v>
      </x:c>
      <x:c r="E203" s="11" t="n">
        <x:v>1.99</x:v>
      </x:c>
      <x:c r="F203" s="10" t="n">
        <x:v>0</x:v>
      </x:c>
      <x:c r="G203" s="12" t="n">
        <x:v>0</x:v>
      </x:c>
      <x:c r="H203" s="13" t="n">
        <x:v>0</x:v>
      </x:c>
      <x:c r="I203" s="10" t="n">
        <x:v>0</x:v>
      </x:c>
      <x:c r="J203" s="10" t="n">
        <x:v>0</x:v>
      </x:c>
      <x:c r="K203" s="10" t="str">
        <x:v>40 Mo.</x:v>
      </x:c>
      <x:c r="L203" s="10" t="n">
        <x:v>1</x:v>
      </x:c>
      <x:c r="M203" s="10" t="n">
        <x:v>0</x:v>
      </x:c>
      <x:c r="N203" s="10" t="n">
        <x:v>27</x:v>
      </x:c>
      <x:c r="O203" s="10" t="str">
        <x:v>Home &amp; Living</x:v>
      </x:c>
      <x:c r="P203" s="10" t="n">
        <x:v>40</x:v>
      </x:c>
      <x:c r="Q203" s="10" t="n">
        <x:v>0</x:v>
      </x:c>
      <x:c r="R203" s="13" t="n">
        <x:v>0</x:v>
      </x:c>
      <x:c r="S203" s="10" t="n">
        <x:v>0</x:v>
      </x:c>
      <x:c r="T203" s="10" t="str">
        <x:v>home savings planner,budgeting tool,digital download,printable planner,savings tracker,house deposit,tracker,savings plan,personal finance,budget planner,money management,savings goals,deposit savings</x:v>
      </x:c>
      <x:c r="U203" s="10" t="str">
        <x:v>home savings planner</x:v>
      </x:c>
      <x:c r="V203" s="10" t="str">
        <x:v>budgeting tool</x:v>
      </x:c>
      <x:c r="W203" s="10" t="str">
        <x:v>digital download</x:v>
      </x:c>
      <x:c r="X203" s="10" t="str">
        <x:v>printable planner</x:v>
      </x:c>
      <x:c r="Y203" s="10" t="str">
        <x:v>savings tracker</x:v>
      </x:c>
      <x:c r="Z203" s="10" t="str">
        <x:v>house deposit</x:v>
      </x:c>
      <x:c r="AA203" s="10" t="str">
        <x:v>tracker</x:v>
      </x:c>
      <x:c r="AB203" s="10" t="str">
        <x:v>savings plan</x:v>
      </x:c>
      <x:c r="AC203" s="10" t="str">
        <x:v>personal finance</x:v>
      </x:c>
      <x:c r="AD203" s="10" t="str">
        <x:v>budget planner</x:v>
      </x:c>
      <x:c r="AE203" s="10" t="str">
        <x:v>money management</x:v>
      </x:c>
      <x:c r="AF203" s="10" t="str">
        <x:v>savings goals</x:v>
      </x:c>
      <x:c r="AG203" s="10" t="str">
        <x:v>deposit savings</x:v>
      </x:c>
      <x:c r="AH203" s="10" t="str">
        <x:v>Other mortgage-related</x:v>
      </x:c>
      <x:c r="AI203" s="13" t="n">
        <x:v>40</x:v>
      </x:c>
      <x:c r="AJ203" s="10" t="str">
        <x:f>IF(F203&gt;0,"Active","No est. sales")</x:f>
        <x:v>No est. sales</x:v>
      </x:c>
    </x:row>
    <x:row r="204">
      <x:c r="A204" s="10" t="str">
        <x:v>Home Buying Binder | 44 Page House Hunting &amp; Purchase Planner (Digital Download)</x:v>
      </x:c>
      <x:c r="B204" s="10" t="str">
        <x:v>https://www.etsy.com/listing/4479408261/home-buying-binder-44-page-house-hunting</x:v>
      </x:c>
      <x:c r="C204" s="10" t="str">
        <x:v>PrintablePagesbyCJY</x:v>
      </x:c>
      <x:c r="D204" s="10" t="str">
        <x:v>https://www.etsy.com/shop/PrintablePagesbyCJY</x:v>
      </x:c>
      <x:c r="E204" s="11" t="n">
        <x:v>13.49</x:v>
      </x:c>
      <x:c r="F204" s="10" t="n">
        <x:v>0</x:v>
      </x:c>
      <x:c r="G204" s="12" t="n">
        <x:v>0</x:v>
      </x:c>
      <x:c r="H204" s="13" t="n">
        <x:v>0</x:v>
      </x:c>
      <x:c r="I204" s="10" t="n">
        <x:v>0</x:v>
      </x:c>
      <x:c r="J204" s="10" t="n">
        <x:v>0</x:v>
      </x:c>
      <x:c r="K204" s="10" t="str">
        <x:v>4 Mo.</x:v>
      </x:c>
      <x:c r="L204" s="10" t="n">
        <x:v>3</x:v>
      </x:c>
      <x:c r="M204" s="10" t="n">
        <x:v>0</x:v>
      </x:c>
      <x:c r="N204" s="10" t="n">
        <x:v>31</x:v>
      </x:c>
      <x:c r="O204" s="10" t="str"/>
      <x:c r="P204" s="10" t="n">
        <x:v>72</x:v>
      </x:c>
      <x:c r="Q204" s="10" t="n">
        <x:v>0</x:v>
      </x:c>
      <x:c r="R204" s="13" t="n">
        <x:v>0</x:v>
      </x:c>
      <x:c r="S204" s="10" t="n">
        <x:v>4036</x:v>
      </x:c>
      <x:c r="T204" s="10" t="str">
        <x:v>home buying,house hunting,home planner,real estate log,buyer checklist,mortgage tracker,home binder,house planner,moving prep,budget tracker,printable pdf,home checklist,buyer planner</x:v>
      </x:c>
      <x:c r="U204" s="10" t="str">
        <x:v>home buying</x:v>
      </x:c>
      <x:c r="V204" s="10" t="str">
        <x:v>house hunting</x:v>
      </x:c>
      <x:c r="W204" s="10" t="str">
        <x:v>home planner</x:v>
      </x:c>
      <x:c r="X204" s="10" t="str">
        <x:v>real estate log</x:v>
      </x:c>
      <x:c r="Y204" s="10" t="str">
        <x:v>buyer checklist</x:v>
      </x:c>
      <x:c r="Z204" s="10" t="str">
        <x:v>mortgage tracker</x:v>
      </x:c>
      <x:c r="AA204" s="10" t="str">
        <x:v>home binder</x:v>
      </x:c>
      <x:c r="AB204" s="10" t="str">
        <x:v>house planner</x:v>
      </x:c>
      <x:c r="AC204" s="10" t="str">
        <x:v>moving prep</x:v>
      </x:c>
      <x:c r="AD204" s="10" t="str">
        <x:v>budget tracker</x:v>
      </x:c>
      <x:c r="AE204" s="10" t="str">
        <x:v>printable pdf</x:v>
      </x:c>
      <x:c r="AF204" s="10" t="str">
        <x:v>home checklist</x:v>
      </x:c>
      <x:c r="AG204" s="10" t="str">
        <x:v>buyer planner</x:v>
      </x:c>
      <x:c r="AH204" s="10" t="str">
        <x:v>Home buying planner</x:v>
      </x:c>
      <x:c r="AI204" s="13" t="n">
        <x:v>4</x:v>
      </x:c>
      <x:c r="AJ204" s="10" t="str">
        <x:f>IF(F204&gt;0,"Active","No est. sales")</x:f>
        <x:v>No est. sales</x:v>
      </x:c>
    </x:row>
    <x:row r="205">
      <x:c r="A205" s="10" t="str">
        <x:v>20k House Deposit Savings Challenge, New Home Tracker, Down Payment Chart, Brick Digital Colouring Page, Home Renovation Fund, Printable PDF</x:v>
      </x:c>
      <x:c r="B205" s="10" t="str">
        <x:v>https://www.etsy.com/listing/1679651293/20k-house-deposit-savings-challenge-new</x:v>
      </x:c>
      <x:c r="C205" s="10" t="str">
        <x:v>BloomingCozyCreation</x:v>
      </x:c>
      <x:c r="D205" s="10" t="str">
        <x:v>https://www.etsy.com/shop/BloomingCozyCreation</x:v>
      </x:c>
      <x:c r="E205" s="11" t="n">
        <x:v>1.73</x:v>
      </x:c>
      <x:c r="F205" s="10" t="n">
        <x:v>0</x:v>
      </x:c>
      <x:c r="G205" s="12" t="n">
        <x:v>0</x:v>
      </x:c>
      <x:c r="H205" s="13" t="n">
        <x:v>0</x:v>
      </x:c>
      <x:c r="I205" s="10" t="n">
        <x:v>0</x:v>
      </x:c>
      <x:c r="J205" s="10" t="n">
        <x:v>0</x:v>
      </x:c>
      <x:c r="K205" s="10" t="str">
        <x:v>29 Mo.</x:v>
      </x:c>
      <x:c r="L205" s="10" t="n">
        <x:v>3</x:v>
      </x:c>
      <x:c r="M205" s="10" t="n">
        <x:v>0</x:v>
      </x:c>
      <x:c r="N205" s="10" t="n">
        <x:v>40</x:v>
      </x:c>
      <x:c r="O205" s="10" t="str"/>
      <x:c r="P205" s="10" t="n">
        <x:v>35</x:v>
      </x:c>
      <x:c r="Q205" s="10" t="n">
        <x:v>0</x:v>
      </x:c>
      <x:c r="R205" s="13" t="n">
        <x:v>0</x:v>
      </x:c>
      <x:c r="S205" s="10" t="n">
        <x:v>2</x:v>
      </x:c>
      <x:c r="T205" s="10" t="str">
        <x:v>fun budget tracking,colourful creations,adult colouring hue,home renovation,house savings plan,colouring page pdf,mortgage deposit,printable planner,pound dollar pot,brick sinking fund,diy vibrant future,digital challenge,20k first time buyer</x:v>
      </x:c>
      <x:c r="U205" s="10" t="str">
        <x:v>fun budget tracking</x:v>
      </x:c>
      <x:c r="V205" s="10" t="str">
        <x:v>colourful creations</x:v>
      </x:c>
      <x:c r="W205" s="10" t="str">
        <x:v>adult colouring hue</x:v>
      </x:c>
      <x:c r="X205" s="10" t="str">
        <x:v>home renovation</x:v>
      </x:c>
      <x:c r="Y205" s="10" t="str">
        <x:v>house savings plan</x:v>
      </x:c>
      <x:c r="Z205" s="10" t="str">
        <x:v>colouring page pdf</x:v>
      </x:c>
      <x:c r="AA205" s="10" t="str">
        <x:v>mortgage deposit</x:v>
      </x:c>
      <x:c r="AB205" s="10" t="str">
        <x:v>printable planner</x:v>
      </x:c>
      <x:c r="AC205" s="10" t="str">
        <x:v>pound dollar pot</x:v>
      </x:c>
      <x:c r="AD205" s="10" t="str">
        <x:v>brick sinking fund</x:v>
      </x:c>
      <x:c r="AE205" s="10" t="str">
        <x:v>diy vibrant future</x:v>
      </x:c>
      <x:c r="AF205" s="10" t="str">
        <x:v>digital challenge</x:v>
      </x:c>
      <x:c r="AG205" s="10" t="str">
        <x:v>20k first time buyer</x:v>
      </x:c>
      <x:c r="AH205" s="10" t="str">
        <x:v>Other mortgage-related</x:v>
      </x:c>
      <x:c r="AI205" s="13" t="n">
        <x:v>29</x:v>
      </x:c>
      <x:c r="AJ205" s="10" t="str">
        <x:f>IF(F205&gt;0,"Active","No est. sales")</x:f>
        <x:v>No est. sales</x:v>
      </x:c>
    </x:row>
    <x:row r="206">
      <x:c r="A206" s="10" t="str">
        <x:v>Let&amp;#39;s Talk About Buying A Home! A no-BS Guide</x:v>
      </x:c>
      <x:c r="B206" s="10" t="str">
        <x:v>https://www.etsy.com/listing/1880554697/lets-talk-about-buying-a-home-a-no-bs</x:v>
      </x:c>
      <x:c r="C206" s="10" t="str">
        <x:v>TheFortuneFund</x:v>
      </x:c>
      <x:c r="D206" s="10" t="str">
        <x:v>https://www.etsy.com/shop/TheFortuneFund</x:v>
      </x:c>
      <x:c r="E206" s="11" t="n">
        <x:v>15</x:v>
      </x:c>
      <x:c r="F206" s="10" t="n">
        <x:v>0</x:v>
      </x:c>
      <x:c r="G206" s="12" t="n">
        <x:v>0</x:v>
      </x:c>
      <x:c r="H206" s="13" t="n">
        <x:v>0</x:v>
      </x:c>
      <x:c r="I206" s="10" t="n">
        <x:v>0</x:v>
      </x:c>
      <x:c r="J206" s="10" t="n">
        <x:v>0</x:v>
      </x:c>
      <x:c r="K206" s="10" t="str">
        <x:v>17 Mo.</x:v>
      </x:c>
      <x:c r="L206" s="10" t="n">
        <x:v>1</x:v>
      </x:c>
      <x:c r="M206" s="10" t="n">
        <x:v>0</x:v>
      </x:c>
      <x:c r="N206" s="10" t="n">
        <x:v>44</x:v>
      </x:c>
      <x:c r="O206" s="10" t="str">
        <x:v>Art &amp; Collectibles</x:v>
      </x:c>
      <x:c r="P206" s="10" t="n">
        <x:v>17</x:v>
      </x:c>
      <x:c r="Q206" s="10" t="n">
        <x:v>0</x:v>
      </x:c>
      <x:c r="R206" s="13" t="n">
        <x:v>0</x:v>
      </x:c>
      <x:c r="S206" s="10" t="n">
        <x:v>0</x:v>
      </x:c>
      <x:c r="T206" s="10" t="str">
        <x:v>homebuying ebook,no bs guide,mortgage tips,real estate tips,first time buyer,digital download,planner,property buying,blueprint,budget,down payment help,finance</x:v>
      </x:c>
      <x:c r="U206" s="10" t="str">
        <x:v>homebuying ebook</x:v>
      </x:c>
      <x:c r="V206" s="10" t="str">
        <x:v>no bs guide</x:v>
      </x:c>
      <x:c r="W206" s="10" t="str">
        <x:v>mortgage tips</x:v>
      </x:c>
      <x:c r="X206" s="10" t="str">
        <x:v>real estate tips</x:v>
      </x:c>
      <x:c r="Y206" s="10" t="str">
        <x:v>first time buyer</x:v>
      </x:c>
      <x:c r="Z206" s="10" t="str">
        <x:v>digital download</x:v>
      </x:c>
      <x:c r="AA206" s="10" t="str">
        <x:v>planner</x:v>
      </x:c>
      <x:c r="AB206" s="10" t="str">
        <x:v>property buying</x:v>
      </x:c>
      <x:c r="AC206" s="10" t="str">
        <x:v>blueprint</x:v>
      </x:c>
      <x:c r="AD206" s="10" t="str">
        <x:v>budget</x:v>
      </x:c>
      <x:c r="AE206" s="10" t="str">
        <x:v>down payment help</x:v>
      </x:c>
      <x:c r="AF206" s="10" t="str">
        <x:v>finance</x:v>
      </x:c>
      <x:c r="AG206" s="10" t="str">
        <x:v>--</x:v>
      </x:c>
      <x:c r="AH206" s="10" t="str">
        <x:v>Other mortgage-related</x:v>
      </x:c>
      <x:c r="AI206" s="13" t="n">
        <x:v>17</x:v>
      </x:c>
      <x:c r="AJ206" s="10" t="str">
        <x:f>IF(F206&gt;0,"Active","No est. sales")</x:f>
        <x:v>No est. sales</x:v>
      </x:c>
    </x:row>
    <x:row r="207">
      <x:c r="A207" s="10" t="str">
        <x:v>Budget Planner Spreadsheet</x:v>
      </x:c>
      <x:c r="B207" s="10" t="str">
        <x:v>https://www.etsy.com/listing/1781987518/budget-planner-spreadsheet</x:v>
      </x:c>
      <x:c r="C207" s="10" t="str">
        <x:v>DolceVitaPrintables</x:v>
      </x:c>
      <x:c r="D207" s="10" t="str">
        <x:v>https://www.etsy.com/shop/DolceVitaPrintables</x:v>
      </x:c>
      <x:c r="E207" s="11" t="n">
        <x:v>3.55</x:v>
      </x:c>
      <x:c r="F207" s="10" t="n">
        <x:v>0</x:v>
      </x:c>
      <x:c r="G207" s="12" t="n">
        <x:v>0</x:v>
      </x:c>
      <x:c r="H207" s="13" t="n">
        <x:v>0</x:v>
      </x:c>
      <x:c r="I207" s="10" t="n">
        <x:v>0</x:v>
      </x:c>
      <x:c r="J207" s="10" t="n">
        <x:v>0</x:v>
      </x:c>
      <x:c r="K207" s="10" t="str">
        <x:v>22 Mo.</x:v>
      </x:c>
      <x:c r="L207" s="10" t="n">
        <x:v>0</x:v>
      </x:c>
      <x:c r="M207" s="10" t="n">
        <x:v>0</x:v>
      </x:c>
      <x:c r="N207" s="10" t="n">
        <x:v>17</x:v>
      </x:c>
      <x:c r="O207" s="10" t="str"/>
      <x:c r="P207" s="10" t="n">
        <x:v>22</x:v>
      </x:c>
      <x:c r="Q207" s="10" t="n">
        <x:v>0</x:v>
      </x:c>
      <x:c r="R207" s="13" t="n">
        <x:v>0</x:v>
      </x:c>
      <x:c r="S207" s="10" t="n">
        <x:v>0</x:v>
      </x:c>
      <x:c r="T207" s="10" t="str">
        <x:v>budget,boho planner,minimalist planner,spreadsheet,mortgage tracker,expense tracker,planner,tracker,excel,budgeting,simple spreadsheet,simple planner,editable budget</x:v>
      </x:c>
      <x:c r="U207" s="10" t="str">
        <x:v>budget</x:v>
      </x:c>
      <x:c r="V207" s="10" t="str">
        <x:v>boho planner</x:v>
      </x:c>
      <x:c r="W207" s="10" t="str">
        <x:v>minimalist planner</x:v>
      </x:c>
      <x:c r="X207" s="10" t="str">
        <x:v>spreadsheet</x:v>
      </x:c>
      <x:c r="Y207" s="10" t="str">
        <x:v>mortgage tracker</x:v>
      </x:c>
      <x:c r="Z207" s="10" t="str">
        <x:v>expense tracker</x:v>
      </x:c>
      <x:c r="AA207" s="10" t="str">
        <x:v>planner</x:v>
      </x:c>
      <x:c r="AB207" s="10" t="str">
        <x:v>tracker</x:v>
      </x:c>
      <x:c r="AC207" s="10" t="str">
        <x:v>excel</x:v>
      </x:c>
      <x:c r="AD207" s="10" t="str">
        <x:v>budgeting</x:v>
      </x:c>
      <x:c r="AE207" s="10" t="str">
        <x:v>simple spreadsheet</x:v>
      </x:c>
      <x:c r="AF207" s="10" t="str">
        <x:v>simple planner</x:v>
      </x:c>
      <x:c r="AG207" s="10" t="str">
        <x:v>editable budget</x:v>
      </x:c>
      <x:c r="AH207" s="10" t="str">
        <x:v>Other mortgage-related</x:v>
      </x:c>
      <x:c r="AI207" s="13" t="n">
        <x:v>22</x:v>
      </x:c>
      <x:c r="AJ207" s="10" t="str">
        <x:f>IF(F207&gt;0,"Active","No est. sales")</x:f>
        <x:v>No est. sales</x:v>
      </x:c>
    </x:row>
    <x:row r="208">
      <x:c r="A208" s="10" t="str">
        <x:v>Loan Payoff Calculator Google Sheets Spreadsheet, Debt Free Repayment Tracker, Extra Payment Planner</x:v>
      </x:c>
      <x:c r="B208" s="10" t="str">
        <x:v>https://www.etsy.com/listing/4481243814/loan-payoff-calculator-google-sheets</x:v>
      </x:c>
      <x:c r="C208" s="10" t="str">
        <x:v>MomMoneyMap</x:v>
      </x:c>
      <x:c r="D208" s="10" t="str">
        <x:v>https://www.etsy.com/shop/MomMoneyMap</x:v>
      </x:c>
      <x:c r="E208" s="11" t="n">
        <x:v>6.99</x:v>
      </x:c>
      <x:c r="F208" s="10" t="n">
        <x:v>0</x:v>
      </x:c>
      <x:c r="G208" s="12" t="n">
        <x:v>0</x:v>
      </x:c>
      <x:c r="H208" s="13" t="n">
        <x:v>0</x:v>
      </x:c>
      <x:c r="I208" s="10" t="n">
        <x:v>0</x:v>
      </x:c>
      <x:c r="J208" s="10" t="n">
        <x:v>0</x:v>
      </x:c>
      <x:c r="K208" s="10" t="str">
        <x:v>3 Mo.</x:v>
      </x:c>
      <x:c r="L208" s="10" t="n">
        <x:v>0</x:v>
      </x:c>
      <x:c r="M208" s="10" t="n">
        <x:v>0</x:v>
      </x:c>
      <x:c r="N208" s="10" t="n">
        <x:v>13</x:v>
      </x:c>
      <x:c r="O208" s="10" t="str">
        <x:v>Paper &amp; Party Supplies</x:v>
      </x:c>
      <x:c r="P208" s="10" t="n">
        <x:v>78</x:v>
      </x:c>
      <x:c r="Q208" s="10" t="n">
        <x:v>0</x:v>
      </x:c>
      <x:c r="R208" s="13" t="n">
        <x:v>0</x:v>
      </x:c>
      <x:c r="S208" s="10" t="n">
        <x:v>18652</x:v>
      </x:c>
      <x:c r="T208" s="10" t="str">
        <x:v>loan amortization,loan calculator,loan payment,loan google sheets,family loan tracker,amortization table,mortgage,amortization,loan pay back,calculator,loan planner,loan planning,loan plan</x:v>
      </x:c>
      <x:c r="U208" s="10" t="str">
        <x:v>loan amortization</x:v>
      </x:c>
      <x:c r="V208" s="10" t="str">
        <x:v>loan calculator</x:v>
      </x:c>
      <x:c r="W208" s="10" t="str">
        <x:v>loan payment</x:v>
      </x:c>
      <x:c r="X208" s="10" t="str">
        <x:v>loan google sheets</x:v>
      </x:c>
      <x:c r="Y208" s="10" t="str">
        <x:v>family loan tracker</x:v>
      </x:c>
      <x:c r="Z208" s="10" t="str">
        <x:v>amortization table</x:v>
      </x:c>
      <x:c r="AA208" s="10" t="str">
        <x:v>mortgage</x:v>
      </x:c>
      <x:c r="AB208" s="10" t="str">
        <x:v>amortization</x:v>
      </x:c>
      <x:c r="AC208" s="10" t="str">
        <x:v>loan pay back</x:v>
      </x:c>
      <x:c r="AD208" s="10" t="str">
        <x:v>calculator</x:v>
      </x:c>
      <x:c r="AE208" s="10" t="str">
        <x:v>loan planner</x:v>
      </x:c>
      <x:c r="AF208" s="10" t="str">
        <x:v>loan planning</x:v>
      </x:c>
      <x:c r="AG208" s="10" t="str">
        <x:v>loan plan</x:v>
      </x:c>
      <x:c r="AH208" s="10" t="str">
        <x:v>General loan calculator</x:v>
      </x:c>
      <x:c r="AI208" s="13" t="n">
        <x:v>3</x:v>
      </x:c>
      <x:c r="AJ208" s="10" t="str">
        <x:f>IF(F208&gt;0,"Active","No est. sales")</x:f>
        <x:v>No est. sales</x:v>
      </x:c>
    </x:row>
    <x:row r="209">
      <x:c r="A209" s="10" t="str">
        <x:v>Mortgage Tracker Google Sheets Spreadsheet, Home Loan Amortization Template, Monthly Payment Log</x:v>
      </x:c>
      <x:c r="B209" s="10" t="str">
        <x:v>https://www.etsy.com/listing/4481244427/mortgage-tracker-google-sheets</x:v>
      </x:c>
      <x:c r="C209" s="10" t="str">
        <x:v>MomMoneyMap</x:v>
      </x:c>
      <x:c r="D209" s="10" t="str">
        <x:v>https://www.etsy.com/shop/MomMoneyMap</x:v>
      </x:c>
      <x:c r="E209" s="11" t="n">
        <x:v>6.99</x:v>
      </x:c>
      <x:c r="F209" s="10" t="n">
        <x:v>0</x:v>
      </x:c>
      <x:c r="G209" s="12" t="n">
        <x:v>0</x:v>
      </x:c>
      <x:c r="H209" s="13" t="n">
        <x:v>0</x:v>
      </x:c>
      <x:c r="I209" s="10" t="n">
        <x:v>0</x:v>
      </x:c>
      <x:c r="J209" s="10" t="n">
        <x:v>0</x:v>
      </x:c>
      <x:c r="K209" s="10" t="str">
        <x:v>3 Mo.</x:v>
      </x:c>
      <x:c r="L209" s="10" t="n">
        <x:v>0</x:v>
      </x:c>
      <x:c r="M209" s="10" t="n">
        <x:v>0</x:v>
      </x:c>
      <x:c r="N209" s="10" t="n">
        <x:v>10</x:v>
      </x:c>
      <x:c r="O209" s="10" t="str">
        <x:v>Paper &amp; Party Supplies</x:v>
      </x:c>
      <x:c r="P209" s="10" t="n">
        <x:v>78</x:v>
      </x:c>
      <x:c r="Q209" s="10" t="n">
        <x:v>0</x:v>
      </x:c>
      <x:c r="R209" s="13" t="n">
        <x:v>0</x:v>
      </x:c>
      <x:c r="S209" s="10" t="n">
        <x:v>18652</x:v>
      </x:c>
      <x:c r="T209" s="10" t="str">
        <x:v>loan amortization,loan calculator,loan payment,loan google sheets,family loan tracker,amortization table,mortgage,amortization,loan pay back,calculator,loan planner,loan planning,mortgage payoff</x:v>
      </x:c>
      <x:c r="U209" s="10" t="str">
        <x:v>loan amortization</x:v>
      </x:c>
      <x:c r="V209" s="10" t="str">
        <x:v>loan calculator</x:v>
      </x:c>
      <x:c r="W209" s="10" t="str">
        <x:v>loan payment</x:v>
      </x:c>
      <x:c r="X209" s="10" t="str">
        <x:v>loan google sheets</x:v>
      </x:c>
      <x:c r="Y209" s="10" t="str">
        <x:v>family loan tracker</x:v>
      </x:c>
      <x:c r="Z209" s="10" t="str">
        <x:v>amortization table</x:v>
      </x:c>
      <x:c r="AA209" s="10" t="str">
        <x:v>mortgage</x:v>
      </x:c>
      <x:c r="AB209" s="10" t="str">
        <x:v>amortization</x:v>
      </x:c>
      <x:c r="AC209" s="10" t="str">
        <x:v>loan pay back</x:v>
      </x:c>
      <x:c r="AD209" s="10" t="str">
        <x:v>calculator</x:v>
      </x:c>
      <x:c r="AE209" s="10" t="str">
        <x:v>loan planner</x:v>
      </x:c>
      <x:c r="AF209" s="10" t="str">
        <x:v>loan planning</x:v>
      </x:c>
      <x:c r="AG209" s="10" t="str">
        <x:v>mortgage payoff</x:v>
      </x:c>
      <x:c r="AH209" s="10" t="str">
        <x:v>Mortgage payoff / calculator</x:v>
      </x:c>
      <x:c r="AI209" s="13" t="n">
        <x:v>3</x:v>
      </x:c>
      <x:c r="AJ209" s="10" t="str">
        <x:f>IF(F209&gt;0,"Active","No est. sales")</x:f>
        <x:v>No est. sales</x:v>
      </x:c>
    </x:row>
    <x:row r="210">
      <x:c r="A210" s="10" t="str">
        <x:v>Mortgage Payoff Schedule Excel Spreadsheet, Home Loan Amortization Planner, Monthly Payment Tracker</x:v>
      </x:c>
      <x:c r="B210" s="10" t="str">
        <x:v>https://www.etsy.com/listing/4483956704/mortgage-payoff-schedule-excel</x:v>
      </x:c>
      <x:c r="C210" s="10" t="str">
        <x:v>MomMoneyMap</x:v>
      </x:c>
      <x:c r="D210" s="10" t="str">
        <x:v>https://www.etsy.com/shop/MomMoneyMap</x:v>
      </x:c>
      <x:c r="E210" s="11" t="n">
        <x:v>6.99</x:v>
      </x:c>
      <x:c r="F210" s="10" t="n">
        <x:v>0</x:v>
      </x:c>
      <x:c r="G210" s="12" t="n">
        <x:v>0</x:v>
      </x:c>
      <x:c r="H210" s="13" t="n">
        <x:v>0</x:v>
      </x:c>
      <x:c r="I210" s="10" t="n">
        <x:v>0</x:v>
      </x:c>
      <x:c r="J210" s="10" t="n">
        <x:v>0</x:v>
      </x:c>
      <x:c r="K210" s="10" t="str">
        <x:v>3 Mo.</x:v>
      </x:c>
      <x:c r="L210" s="10" t="n">
        <x:v>1</x:v>
      </x:c>
      <x:c r="M210" s="10" t="n">
        <x:v>0</x:v>
      </x:c>
      <x:c r="N210" s="10" t="n">
        <x:v>19</x:v>
      </x:c>
      <x:c r="O210" s="10" t="str">
        <x:v>Paper &amp; Party Supplies</x:v>
      </x:c>
      <x:c r="P210" s="10" t="n">
        <x:v>78</x:v>
      </x:c>
      <x:c r="Q210" s="10" t="n">
        <x:v>0</x:v>
      </x:c>
      <x:c r="R210" s="13" t="n">
        <x:v>0</x:v>
      </x:c>
      <x:c r="S210" s="10" t="n">
        <x:v>18652</x:v>
      </x:c>
      <x:c r="T210" s="10" t="str">
        <x:v>amortization chart,mortgage tracker,mortgage template,mortgage calculator,amortization,mortgage payoff,mortgage spreadsheet,mortgage pay off,mortgage savings,spreadsheet mortgage,mortgage,calculator mortgage,mortgage calculators</x:v>
      </x:c>
      <x:c r="U210" s="10" t="str">
        <x:v>amortization chart</x:v>
      </x:c>
      <x:c r="V210" s="10" t="str">
        <x:v>mortgage tracker</x:v>
      </x:c>
      <x:c r="W210" s="10" t="str">
        <x:v>mortgage template</x:v>
      </x:c>
      <x:c r="X210" s="10" t="str">
        <x:v>mortgage calculator</x:v>
      </x:c>
      <x:c r="Y210" s="10" t="str">
        <x:v>amortization</x:v>
      </x:c>
      <x:c r="Z210" s="10" t="str">
        <x:v>mortgage payoff</x:v>
      </x:c>
      <x:c r="AA210" s="10" t="str">
        <x:v>mortgage spreadsheet</x:v>
      </x:c>
      <x:c r="AB210" s="10" t="str">
        <x:v>mortgage pay off</x:v>
      </x:c>
      <x:c r="AC210" s="10" t="str">
        <x:v>mortgage savings</x:v>
      </x:c>
      <x:c r="AD210" s="10" t="str">
        <x:v>spreadsheet mortgage</x:v>
      </x:c>
      <x:c r="AE210" s="10" t="str">
        <x:v>mortgage</x:v>
      </x:c>
      <x:c r="AF210" s="10" t="str">
        <x:v>calculator mortgage</x:v>
      </x:c>
      <x:c r="AG210" s="10" t="str">
        <x:v>mortgage calculators</x:v>
      </x:c>
      <x:c r="AH210" s="10" t="str">
        <x:v>Mortgage payoff / calculator</x:v>
      </x:c>
      <x:c r="AI210" s="13" t="n">
        <x:v>3</x:v>
      </x:c>
      <x:c r="AJ210" s="10" t="str">
        <x:f>IF(F210&gt;0,"Active","No est. sales")</x:f>
        <x:v>No est. sales</x:v>
      </x:c>
    </x:row>
    <x:row r="211">
      <x:c r="A211" s="10" t="str">
        <x:v>Mortgage Payoff Schedule Google Sheets Template, Amortization Calculator, Debt Reduction Tracker</x:v>
      </x:c>
      <x:c r="B211" s="10" t="str">
        <x:v>https://www.etsy.com/listing/4481224467/mortgage-payoff-schedule-google-sheets</x:v>
      </x:c>
      <x:c r="C211" s="10" t="str">
        <x:v>MomMoneyMap</x:v>
      </x:c>
      <x:c r="D211" s="10" t="str">
        <x:v>https://www.etsy.com/shop/MomMoneyMap</x:v>
      </x:c>
      <x:c r="E211" s="11" t="n">
        <x:v>6.99</x:v>
      </x:c>
      <x:c r="F211" s="10" t="n">
        <x:v>0</x:v>
      </x:c>
      <x:c r="G211" s="12" t="n">
        <x:v>0</x:v>
      </x:c>
      <x:c r="H211" s="13" t="n">
        <x:v>0</x:v>
      </x:c>
      <x:c r="I211" s="10" t="n">
        <x:v>0</x:v>
      </x:c>
      <x:c r="J211" s="10" t="n">
        <x:v>0</x:v>
      </x:c>
      <x:c r="K211" s="10" t="str">
        <x:v>3 Mo.</x:v>
      </x:c>
      <x:c r="L211" s="10" t="n">
        <x:v>0</x:v>
      </x:c>
      <x:c r="M211" s="10" t="n">
        <x:v>0</x:v>
      </x:c>
      <x:c r="N211" s="10" t="n">
        <x:v>51</x:v>
      </x:c>
      <x:c r="O211" s="10" t="str">
        <x:v>Paper &amp; Party Supplies</x:v>
      </x:c>
      <x:c r="P211" s="10" t="n">
        <x:v>78</x:v>
      </x:c>
      <x:c r="Q211" s="10" t="n">
        <x:v>0</x:v>
      </x:c>
      <x:c r="R211" s="13" t="n">
        <x:v>0</x:v>
      </x:c>
      <x:c r="S211" s="10" t="n">
        <x:v>18652</x:v>
      </x:c>
      <x:c r="T211" s="10" t="str">
        <x:v>loan amortization,loan calculator,loan payment,loan google sheets,family loan tracker,amortization table,mortgage,amortization,loan pay back,calculator,loan planner,loan planning,home loan</x:v>
      </x:c>
      <x:c r="U211" s="10" t="str">
        <x:v>loan amortization</x:v>
      </x:c>
      <x:c r="V211" s="10" t="str">
        <x:v>loan calculator</x:v>
      </x:c>
      <x:c r="W211" s="10" t="str">
        <x:v>loan payment</x:v>
      </x:c>
      <x:c r="X211" s="10" t="str">
        <x:v>loan google sheets</x:v>
      </x:c>
      <x:c r="Y211" s="10" t="str">
        <x:v>family loan tracker</x:v>
      </x:c>
      <x:c r="Z211" s="10" t="str">
        <x:v>amortization table</x:v>
      </x:c>
      <x:c r="AA211" s="10" t="str">
        <x:v>mortgage</x:v>
      </x:c>
      <x:c r="AB211" s="10" t="str">
        <x:v>amortization</x:v>
      </x:c>
      <x:c r="AC211" s="10" t="str">
        <x:v>loan pay back</x:v>
      </x:c>
      <x:c r="AD211" s="10" t="str">
        <x:v>calculator</x:v>
      </x:c>
      <x:c r="AE211" s="10" t="str">
        <x:v>loan planner</x:v>
      </x:c>
      <x:c r="AF211" s="10" t="str">
        <x:v>loan planning</x:v>
      </x:c>
      <x:c r="AG211" s="10" t="str">
        <x:v>home loan</x:v>
      </x:c>
      <x:c r="AH211" s="10" t="str">
        <x:v>Mortgage payoff / calculator</x:v>
      </x:c>
      <x:c r="AI211" s="13" t="n">
        <x:v>3</x:v>
      </x:c>
      <x:c r="AJ211" s="10" t="str">
        <x:f>IF(F211&gt;0,"Active","No est. sales")</x:f>
        <x:v>No est. sales</x:v>
      </x:c>
    </x:row>
    <x:row r="212">
      <x:c r="A212" s="10" t="str">
        <x:v>Debt Payoff Tracker, Snowball Avalanche Calculator, Credit Card Tracker, Home Loan, Student Loan, Debt-Free Planner (Google Sheets &amp; Excel)</x:v>
      </x:c>
      <x:c r="B212" s="10" t="str">
        <x:v>https://www.etsy.com/listing/4544796784/debt-payoff-tracker-snowball-avalanche</x:v>
      </x:c>
      <x:c r="C212" s="10" t="str">
        <x:v>Easy2PrintStore</x:v>
      </x:c>
      <x:c r="D212" s="10" t="str">
        <x:v>https://www.etsy.com/shop/Easy2PrintStore</x:v>
      </x:c>
      <x:c r="E212" s="11" t="n">
        <x:v>22.84</x:v>
      </x:c>
      <x:c r="F212" s="10" t="n">
        <x:v>0</x:v>
      </x:c>
      <x:c r="G212" s="12" t="n">
        <x:v>0</x:v>
      </x:c>
      <x:c r="H212" s="13" t="n">
        <x:v>0</x:v>
      </x:c>
      <x:c r="I212" s="10" t="n">
        <x:v>0</x:v>
      </x:c>
      <x:c r="J212" s="10" t="n">
        <x:v>0</x:v>
      </x:c>
      <x:c r="K212" s="10" t="str">
        <x:v>1 Mo.</x:v>
      </x:c>
      <x:c r="L212" s="10" t="n">
        <x:v>0</x:v>
      </x:c>
      <x:c r="M212" s="10" t="n">
        <x:v>0</x:v>
      </x:c>
      <x:c r="N212" s="10" t="n">
        <x:v>2</x:v>
      </x:c>
      <x:c r="O212" s="10" t="str">
        <x:v>Books, Movies &amp; Music</x:v>
      </x:c>
      <x:c r="P212" s="10" t="n">
        <x:v>26</x:v>
      </x:c>
      <x:c r="Q212" s="10" t="n">
        <x:v>0</x:v>
      </x:c>
      <x:c r="R212" s="13" t="n">
        <x:v>0</x:v>
      </x:c>
      <x:c r="S212" s="10" t="n">
        <x:v>192</x:v>
      </x:c>
      <x:c r="T212" s="10" t="str">
        <x:v>credit utilization,debt avalanche,mortgage payoff,google sheets budget,credit card payoff,debt payoff chart,debt snowball,student loan debt,debt payment tracker,debt payoff tracker,debt template,financial planner,credit score debt</x:v>
      </x:c>
      <x:c r="U212" s="10" t="str">
        <x:v>credit utilization</x:v>
      </x:c>
      <x:c r="V212" s="10" t="str">
        <x:v>debt avalanche</x:v>
      </x:c>
      <x:c r="W212" s="10" t="str">
        <x:v>mortgage payoff</x:v>
      </x:c>
      <x:c r="X212" s="10" t="str">
        <x:v>google sheets budget</x:v>
      </x:c>
      <x:c r="Y212" s="10" t="str">
        <x:v>credit card payoff</x:v>
      </x:c>
      <x:c r="Z212" s="10" t="str">
        <x:v>debt payoff chart</x:v>
      </x:c>
      <x:c r="AA212" s="10" t="str">
        <x:v>debt snowball</x:v>
      </x:c>
      <x:c r="AB212" s="10" t="str">
        <x:v>student loan debt</x:v>
      </x:c>
      <x:c r="AC212" s="10" t="str">
        <x:v>debt payment tracker</x:v>
      </x:c>
      <x:c r="AD212" s="10" t="str">
        <x:v>debt payoff tracker</x:v>
      </x:c>
      <x:c r="AE212" s="10" t="str">
        <x:v>debt template</x:v>
      </x:c>
      <x:c r="AF212" s="10" t="str">
        <x:v>financial planner</x:v>
      </x:c>
      <x:c r="AG212" s="10" t="str">
        <x:v>credit score debt</x:v>
      </x:c>
      <x:c r="AH212" s="10" t="str">
        <x:v>General debt payoff</x:v>
      </x:c>
      <x:c r="AI212" s="13" t="n">
        <x:v>1</x:v>
      </x:c>
      <x:c r="AJ212" s="10" t="str">
        <x:f>IF(F212&gt;0,"Active","No est. sales")</x:f>
        <x:v>No est. sales</x:v>
      </x:c>
    </x:row>
    <x:row r="213">
      <x:c r="A213" s="10" t="str">
        <x:v>Debt Payoff Tracker Spreadsheet, Avalanche Custom Calculator, Credit Card Tracker, Payment Tracker Debt Payoff Planner Google Sheet</x:v>
      </x:c>
      <x:c r="B213" s="10" t="str">
        <x:v>https://www.etsy.com/listing/4501614465/debt-payoff-tracker-spreadsheet</x:v>
      </x:c>
      <x:c r="C213" s="10" t="str">
        <x:v>TheDottedCo</x:v>
      </x:c>
      <x:c r="D213" s="10" t="str">
        <x:v>https://www.etsy.com/shop/TheDottedCo</x:v>
      </x:c>
      <x:c r="E213" s="11" t="n">
        <x:v>2.49</x:v>
      </x:c>
      <x:c r="F213" s="10" t="n">
        <x:v>0</x:v>
      </x:c>
      <x:c r="G213" s="12" t="n">
        <x:v>0</x:v>
      </x:c>
      <x:c r="H213" s="13" t="n">
        <x:v>0</x:v>
      </x:c>
      <x:c r="I213" s="10" t="n">
        <x:v>0</x:v>
      </x:c>
      <x:c r="J213" s="10" t="n">
        <x:v>0</x:v>
      </x:c>
      <x:c r="K213" s="10" t="str">
        <x:v>2 Mo.</x:v>
      </x:c>
      <x:c r="L213" s="10" t="n">
        <x:v>4</x:v>
      </x:c>
      <x:c r="M213" s="10" t="n">
        <x:v>0</x:v>
      </x:c>
      <x:c r="N213" s="10" t="n">
        <x:v>94</x:v>
      </x:c>
      <x:c r="O213" s="10" t="str">
        <x:v>Paper &amp; Party Supplies</x:v>
      </x:c>
      <x:c r="P213" s="10" t="n">
        <x:v>13</x:v>
      </x:c>
      <x:c r="Q213" s="10" t="n">
        <x:v>0</x:v>
      </x:c>
      <x:c r="R213" s="13" t="n">
        <x:v>0</x:v>
      </x:c>
      <x:c r="S213" s="10" t="n">
        <x:v>998</x:v>
      </x:c>
      <x:c r="T213" s="10" t="str">
        <x:v>credit utilization,debt avalanche,mortgage payoff,google sheets budget,credit card payoff,debt payoff chart,debt snowball,student loan debt,debt payment tracker,debt payoff tracker,debt template,financial planner,credit score debt</x:v>
      </x:c>
      <x:c r="U213" s="10" t="str">
        <x:v>credit utilization</x:v>
      </x:c>
      <x:c r="V213" s="10" t="str">
        <x:v>debt avalanche</x:v>
      </x:c>
      <x:c r="W213" s="10" t="str">
        <x:v>mortgage payoff</x:v>
      </x:c>
      <x:c r="X213" s="10" t="str">
        <x:v>google sheets budget</x:v>
      </x:c>
      <x:c r="Y213" s="10" t="str">
        <x:v>credit card payoff</x:v>
      </x:c>
      <x:c r="Z213" s="10" t="str">
        <x:v>debt payoff chart</x:v>
      </x:c>
      <x:c r="AA213" s="10" t="str">
        <x:v>debt snowball</x:v>
      </x:c>
      <x:c r="AB213" s="10" t="str">
        <x:v>student loan debt</x:v>
      </x:c>
      <x:c r="AC213" s="10" t="str">
        <x:v>debt payment tracker</x:v>
      </x:c>
      <x:c r="AD213" s="10" t="str">
        <x:v>debt payoff tracker</x:v>
      </x:c>
      <x:c r="AE213" s="10" t="str">
        <x:v>debt template</x:v>
      </x:c>
      <x:c r="AF213" s="10" t="str">
        <x:v>financial planner</x:v>
      </x:c>
      <x:c r="AG213" s="10" t="str">
        <x:v>credit score debt</x:v>
      </x:c>
      <x:c r="AH213" s="10" t="str">
        <x:v>General debt payoff</x:v>
      </x:c>
      <x:c r="AI213" s="13" t="n">
        <x:v>2</x:v>
      </x:c>
      <x:c r="AJ213" s="10" t="str">
        <x:f>IF(F213&gt;0,"Active","No est. sales")</x:f>
        <x:v>No est. sales</x:v>
      </x:c>
    </x:row>
    <x:row r="214">
      <x:c r="A214" s="10" t="str">
        <x:v>Mortgage Starter Kit UK | First Time Buyer Guide | Mortgage Checklist PDF</x:v>
      </x:c>
      <x:c r="B214" s="10" t="str">
        <x:v>https://www.etsy.com/listing/4440946619/mortgage-starter-kit-uk-first-time-buyer</x:v>
      </x:c>
      <x:c r="C214" s="10" t="str">
        <x:v>FinanceToolkit</x:v>
      </x:c>
      <x:c r="D214" s="10" t="str">
        <x:v>https://www.etsy.com/shop/FinanceToolkit</x:v>
      </x:c>
      <x:c r="E214" s="11" t="n">
        <x:v>10.73</x:v>
      </x:c>
      <x:c r="F214" s="10" t="n">
        <x:v>0</x:v>
      </x:c>
      <x:c r="G214" s="12" t="n">
        <x:v>0</x:v>
      </x:c>
      <x:c r="H214" s="13" t="n">
        <x:v>0</x:v>
      </x:c>
      <x:c r="I214" s="10" t="n">
        <x:v>0</x:v>
      </x:c>
      <x:c r="J214" s="10" t="n">
        <x:v>0</x:v>
      </x:c>
      <x:c r="K214" s="10" t="str">
        <x:v>6 Mo.</x:v>
      </x:c>
      <x:c r="L214" s="10" t="n">
        <x:v>1</x:v>
      </x:c>
      <x:c r="M214" s="10" t="n">
        <x:v>0</x:v>
      </x:c>
      <x:c r="N214" s="10" t="n">
        <x:v>68</x:v>
      </x:c>
      <x:c r="O214" s="10" t="str"/>
      <x:c r="P214" s="10" t="n">
        <x:v>6</x:v>
      </x:c>
      <x:c r="Q214" s="10" t="n">
        <x:v>0</x:v>
      </x:c>
      <x:c r="R214" s="13" t="n">
        <x:v>0</x:v>
      </x:c>
      <x:c r="S214" s="10" t="n">
        <x:v>0</x:v>
      </x:c>
      <x:c r="T214" s="10" t="str">
        <x:v>mortgage starter kit,home buyer guide,mortgage checklist,home buying planner,uk mortgage guide,finance planner,digital download uk,mortgage prep pdf,home buyer checklist,budget planner uk,financial toolkit,money planner pdf,buying first home</x:v>
      </x:c>
      <x:c r="U214" s="10" t="str">
        <x:v>mortgage starter kit</x:v>
      </x:c>
      <x:c r="V214" s="10" t="str">
        <x:v>home buyer guide</x:v>
      </x:c>
      <x:c r="W214" s="10" t="str">
        <x:v>mortgage checklist</x:v>
      </x:c>
      <x:c r="X214" s="10" t="str">
        <x:v>home buying planner</x:v>
      </x:c>
      <x:c r="Y214" s="10" t="str">
        <x:v>uk mortgage guide</x:v>
      </x:c>
      <x:c r="Z214" s="10" t="str">
        <x:v>finance planner</x:v>
      </x:c>
      <x:c r="AA214" s="10" t="str">
        <x:v>digital download uk</x:v>
      </x:c>
      <x:c r="AB214" s="10" t="str">
        <x:v>mortgage prep pdf</x:v>
      </x:c>
      <x:c r="AC214" s="10" t="str">
        <x:v>home buyer checklist</x:v>
      </x:c>
      <x:c r="AD214" s="10" t="str">
        <x:v>budget planner uk</x:v>
      </x:c>
      <x:c r="AE214" s="10" t="str">
        <x:v>financial toolkit</x:v>
      </x:c>
      <x:c r="AF214" s="10" t="str">
        <x:v>money planner pdf</x:v>
      </x:c>
      <x:c r="AG214" s="10" t="str">
        <x:v>buying first home</x:v>
      </x:c>
      <x:c r="AH214" s="10" t="str">
        <x:v>Home buying planner</x:v>
      </x:c>
      <x:c r="AI214" s="13" t="n">
        <x:v>6</x:v>
      </x:c>
      <x:c r="AJ214" s="10" t="str">
        <x:f>IF(F214&gt;0,"Active","No est. sales")</x:f>
        <x:v>No est. sales</x:v>
      </x:c>
    </x:row>
    <x:row r="215">
      <x:c r="A215" s="10" t="str">
        <x:v>Real Estate Investment Analysis Spreadsheet Fix &amp; Flip Rehab Calculator Property Renovation Budget Mortgage Financing Comparison Tool Excel</x:v>
      </x:c>
      <x:c r="B215" s="10" t="str">
        <x:v>https://www.etsy.com/listing/4439384881/real-estate-investment-analysis</x:v>
      </x:c>
      <x:c r="C215" s="10" t="str">
        <x:v>InstantsDesigns</x:v>
      </x:c>
      <x:c r="D215" s="10" t="str">
        <x:v>https://www.etsy.com/shop/InstantsDesigns</x:v>
      </x:c>
      <x:c r="E215" s="11" t="n">
        <x:v>3.45</x:v>
      </x:c>
      <x:c r="F215" s="10" t="n">
        <x:v>0</x:v>
      </x:c>
      <x:c r="G215" s="12" t="n">
        <x:v>0</x:v>
      </x:c>
      <x:c r="H215" s="13" t="n">
        <x:v>0</x:v>
      </x:c>
      <x:c r="I215" s="10" t="n">
        <x:v>1</x:v>
      </x:c>
      <x:c r="J215" s="10" t="n">
        <x:v>0</x:v>
      </x:c>
      <x:c r="K215" s="10" t="str">
        <x:v>6 Mo.</x:v>
      </x:c>
      <x:c r="L215" s="10" t="n">
        <x:v>1</x:v>
      </x:c>
      <x:c r="M215" s="10" t="n">
        <x:v>0</x:v>
      </x:c>
      <x:c r="N215" s="10" t="n">
        <x:v>22</x:v>
      </x:c>
      <x:c r="O215" s="10" t="str"/>
      <x:c r="P215" s="10" t="n">
        <x:v>25</x:v>
      </x:c>
      <x:c r="Q215" s="10" t="n">
        <x:v>0</x:v>
      </x:c>
      <x:c r="R215" s="13" t="n">
        <x:v>4.55</x:v>
      </x:c>
      <x:c r="S215" s="10" t="n">
        <x:v>167</x:v>
      </x:c>
      <x:c r="T215" s="10" t="str">
        <x:v>investment analysis,real estate tool,fix and flip,rehab tracker,property flip,mortgage analysis,renovation cost,roi analysis,financial model,house flip,google sheets,investment planner,project management</x:v>
      </x:c>
      <x:c r="U215" s="10" t="str">
        <x:v>investment analysis</x:v>
      </x:c>
      <x:c r="V215" s="10" t="str">
        <x:v>real estate tool</x:v>
      </x:c>
      <x:c r="W215" s="10" t="str">
        <x:v>fix and flip</x:v>
      </x:c>
      <x:c r="X215" s="10" t="str">
        <x:v>rehab tracker</x:v>
      </x:c>
      <x:c r="Y215" s="10" t="str">
        <x:v>property flip</x:v>
      </x:c>
      <x:c r="Z215" s="10" t="str">
        <x:v>mortgage analysis</x:v>
      </x:c>
      <x:c r="AA215" s="10" t="str">
        <x:v>renovation cost</x:v>
      </x:c>
      <x:c r="AB215" s="10" t="str">
        <x:v>roi analysis</x:v>
      </x:c>
      <x:c r="AC215" s="10" t="str">
        <x:v>financial model</x:v>
      </x:c>
      <x:c r="AD215" s="10" t="str">
        <x:v>house flip</x:v>
      </x:c>
      <x:c r="AE215" s="10" t="str">
        <x:v>google sheets</x:v>
      </x:c>
      <x:c r="AF215" s="10" t="str">
        <x:v>investment planner</x:v>
      </x:c>
      <x:c r="AG215" s="10" t="str">
        <x:v>project management</x:v>
      </x:c>
      <x:c r="AH215" s="10" t="str">
        <x:v>Property investment</x:v>
      </x:c>
      <x:c r="AI215" s="13" t="n">
        <x:v>6</x:v>
      </x:c>
      <x:c r="AJ215" s="10" t="str">
        <x:f>IF(F215&gt;0,"Active","No est. sales")</x:f>
        <x:v>No est. sales</x:v>
      </x:c>
    </x:row>
    <x:row r="216">
      <x:c r="A216" s="10" t="str">
        <x:v>Debt Snowball Tracker, Google Sheets and Excel Payoff Planner</x:v>
      </x:c>
      <x:c r="B216" s="10" t="str">
        <x:v>https://www.etsy.com/listing/4533658653/debt-snowball-tracker-google-sheets-and</x:v>
      </x:c>
      <x:c r="C216" s="10" t="str">
        <x:v>MorenCollective</x:v>
      </x:c>
      <x:c r="D216" s="10" t="str">
        <x:v>https://www.etsy.com/shop/MorenCollective</x:v>
      </x:c>
      <x:c r="E216" s="11" t="n">
        <x:v>12.99</x:v>
      </x:c>
      <x:c r="F216" s="10" t="n">
        <x:v>0</x:v>
      </x:c>
      <x:c r="G216" s="12" t="n">
        <x:v>0</x:v>
      </x:c>
      <x:c r="H216" s="13" t="n">
        <x:v>0</x:v>
      </x:c>
      <x:c r="I216" s="10" t="n">
        <x:v>0</x:v>
      </x:c>
      <x:c r="J216" s="10" t="n">
        <x:v>0</x:v>
      </x:c>
      <x:c r="K216" s="10" t="str">
        <x:v>1 Mo.</x:v>
      </x:c>
      <x:c r="L216" s="10" t="n">
        <x:v>0</x:v>
      </x:c>
      <x:c r="M216" s="10" t="n">
        <x:v>0</x:v>
      </x:c>
      <x:c r="N216" s="10" t="n">
        <x:v>1</x:v>
      </x:c>
      <x:c r="O216" s="10" t="str"/>
      <x:c r="P216" s="10" t="n">
        <x:v>12</x:v>
      </x:c>
      <x:c r="Q216" s="10" t="n">
        <x:v>0</x:v>
      </x:c>
      <x:c r="R216" s="13" t="n">
        <x:v>0</x:v>
      </x:c>
      <x:c r="S216" s="10" t="n">
        <x:v>1</x:v>
      </x:c>
      <x:c r="T216" s="10" t="str">
        <x:v>credit utilization,debt avalanche,mortgage payoff,credit card payoff,debt payoff chart,debt snowball,student loan debt,debt payment tracker,debt payoff tracker,debt template,financial planner,credit score debt</x:v>
      </x:c>
      <x:c r="U216" s="10" t="str">
        <x:v>credit utilization</x:v>
      </x:c>
      <x:c r="V216" s="10" t="str">
        <x:v>debt avalanche</x:v>
      </x:c>
      <x:c r="W216" s="10" t="str">
        <x:v>mortgage payoff</x:v>
      </x:c>
      <x:c r="X216" s="10" t="str">
        <x:v>credit card payoff</x:v>
      </x:c>
      <x:c r="Y216" s="10" t="str">
        <x:v>debt payoff chart</x:v>
      </x:c>
      <x:c r="Z216" s="10" t="str">
        <x:v>debt snowball</x:v>
      </x:c>
      <x:c r="AA216" s="10" t="str">
        <x:v>student loan debt</x:v>
      </x:c>
      <x:c r="AB216" s="10" t="str">
        <x:v>debt payment tracker</x:v>
      </x:c>
      <x:c r="AC216" s="10" t="str">
        <x:v>debt payoff tracker</x:v>
      </x:c>
      <x:c r="AD216" s="10" t="str">
        <x:v>debt template</x:v>
      </x:c>
      <x:c r="AE216" s="10" t="str">
        <x:v>financial planner</x:v>
      </x:c>
      <x:c r="AF216" s="10" t="str">
        <x:v>credit score debt</x:v>
      </x:c>
      <x:c r="AG216" s="10" t="str">
        <x:v>--</x:v>
      </x:c>
      <x:c r="AH216" s="10" t="str">
        <x:v>General debt payoff</x:v>
      </x:c>
      <x:c r="AI216" s="13" t="n">
        <x:v>1</x:v>
      </x:c>
      <x:c r="AJ216" s="10" t="str">
        <x:f>IF(F216&gt;0,"Active","No est. sales")</x:f>
        <x:v>No est. sales</x:v>
      </x:c>
    </x:row>
    <x:row r="217">
      <x:c r="A217" s="10" t="str">
        <x:v>Renting Vs. Buying Calculator | Real Estate Marketing | Rent Vs Own Cost Comparison | Financial Planner | Google Sheets | Rental Marketing</x:v>
      </x:c>
      <x:c r="B217" s="10" t="str">
        <x:v>https://www.etsy.com/listing/1381094892/renting-vs-buying-calculator-real-estate</x:v>
      </x:c>
      <x:c r="C217" s="10" t="str">
        <x:v>TheAgentSiteShop</x:v>
      </x:c>
      <x:c r="D217" s="10" t="str">
        <x:v>https://www.etsy.com/shop/TheAgentSiteShop</x:v>
      </x:c>
      <x:c r="E217" s="11" t="n">
        <x:v>12</x:v>
      </x:c>
      <x:c r="F217" s="10" t="n">
        <x:v>0</x:v>
      </x:c>
      <x:c r="G217" s="12" t="n">
        <x:v>0</x:v>
      </x:c>
      <x:c r="H217" s="13" t="n">
        <x:v>0</x:v>
      </x:c>
      <x:c r="I217" s="10" t="n">
        <x:v>7</x:v>
      </x:c>
      <x:c r="J217" s="10" t="n">
        <x:v>3</x:v>
      </x:c>
      <x:c r="K217" s="10" t="str">
        <x:v>42 Mo.</x:v>
      </x:c>
      <x:c r="L217" s="10" t="n">
        <x:v>123</x:v>
      </x:c>
      <x:c r="M217" s="10" t="n">
        <x:v>0</x:v>
      </x:c>
      <x:c r="N217" s="10" t="n">
        <x:v>3116</x:v>
      </x:c>
      <x:c r="O217" s="10" t="str">
        <x:v>Paper &amp; Party Supplies</x:v>
      </x:c>
      <x:c r="P217" s="10" t="n">
        <x:v>69</x:v>
      </x:c>
      <x:c r="Q217" s="10" t="n">
        <x:v>30</x:v>
      </x:c>
      <x:c r="R217" s="13" t="n">
        <x:v>0.22</x:v>
      </x:c>
      <x:c r="S217" s="10" t="n">
        <x:v>71341</x:v>
      </x:c>
      <x:c r="T217" s="10" t="str">
        <x:v>cap rate calculator,rental property roi,rental property,real estate property,real estate template,financial planner,rent vs buy,rent vs buy guide,rent cost comparison,rent vs own,first time buyer,mortgage calculator,home purchase</x:v>
      </x:c>
      <x:c r="U217" s="10" t="str">
        <x:v>cap rate calculator</x:v>
      </x:c>
      <x:c r="V217" s="10" t="str">
        <x:v>rental property roi</x:v>
      </x:c>
      <x:c r="W217" s="10" t="str">
        <x:v>rental property</x:v>
      </x:c>
      <x:c r="X217" s="10" t="str">
        <x:v>real estate property</x:v>
      </x:c>
      <x:c r="Y217" s="10" t="str">
        <x:v>real estate template</x:v>
      </x:c>
      <x:c r="Z217" s="10" t="str">
        <x:v>financial planner</x:v>
      </x:c>
      <x:c r="AA217" s="10" t="str">
        <x:v>rent vs buy</x:v>
      </x:c>
      <x:c r="AB217" s="10" t="str">
        <x:v>rent vs buy guide</x:v>
      </x:c>
      <x:c r="AC217" s="10" t="str">
        <x:v>rent cost comparison</x:v>
      </x:c>
      <x:c r="AD217" s="10" t="str">
        <x:v>rent vs own</x:v>
      </x:c>
      <x:c r="AE217" s="10" t="str">
        <x:v>first time buyer</x:v>
      </x:c>
      <x:c r="AF217" s="10" t="str">
        <x:v>mortgage calculator</x:v>
      </x:c>
      <x:c r="AG217" s="10" t="str">
        <x:v>home purchase</x:v>
      </x:c>
      <x:c r="AH217" s="10" t="str">
        <x:v>Property investment</x:v>
      </x:c>
      <x:c r="AI217" s="13" t="n">
        <x:v>42</x:v>
      </x:c>
      <x:c r="AJ217" s="10" t="str">
        <x:f>IF(F217&gt;0,"Active","No est. sales")</x:f>
        <x:v>No est. sales</x:v>
      </x:c>
    </x:row>
    <x:row r="218">
      <x:c r="A218" s="10" t="str">
        <x:v>House Savings Tracker Printable Journal Page Budget Planner Insert First Home Down Payment Saving Challenge Cash Stuffing Binder Template</x:v>
      </x:c>
      <x:c r="B218" s="10" t="str">
        <x:v>https://www.etsy.com/listing/4539152805/house-savings-tracker-printable-journal</x:v>
      </x:c>
      <x:c r="C218" s="10" t="str">
        <x:v>PLANYRA</x:v>
      </x:c>
      <x:c r="D218" s="10" t="str">
        <x:v>https://www.etsy.com/shop/PLANYRA</x:v>
      </x:c>
      <x:c r="E218" s="11" t="n">
        <x:v>2.15</x:v>
      </x:c>
      <x:c r="F218" s="10" t="n">
        <x:v>0</x:v>
      </x:c>
      <x:c r="G218" s="12" t="n">
        <x:v>0</x:v>
      </x:c>
      <x:c r="H218" s="13" t="n">
        <x:v>0</x:v>
      </x:c>
      <x:c r="I218" s="10" t="n">
        <x:v>0</x:v>
      </x:c>
      <x:c r="J218" s="10" t="n">
        <x:v>0</x:v>
      </x:c>
      <x:c r="K218" s="10" t="str">
        <x:v>1 Mo.</x:v>
      </x:c>
      <x:c r="L218" s="10" t="n">
        <x:v>1</x:v>
      </x:c>
      <x:c r="M218" s="10" t="n">
        <x:v>0</x:v>
      </x:c>
      <x:c r="N218" s="10" t="n">
        <x:v>7</x:v>
      </x:c>
      <x:c r="O218" s="10" t="str"/>
      <x:c r="P218" s="10" t="n">
        <x:v>20</x:v>
      </x:c>
      <x:c r="Q218" s="10" t="n">
        <x:v>0</x:v>
      </x:c>
      <x:c r="R218" s="13" t="n">
        <x:v>0</x:v>
      </x:c>
      <x:c r="S218" s="10" t="n">
        <x:v>557</x:v>
      </x:c>
      <x:c r="T218" s="10" t="str">
        <x:v>a5 dotted journal,bullet journaling,premade bujo page,a5 planner template,budget binder insert,cute budgeting tool,finance management,cash stuffing sheet,dream apartment fund,downpayment fund log,first home buyer,money savings goal,mortgage deposit</x:v>
      </x:c>
      <x:c r="U218" s="10" t="str">
        <x:v>a5 dotted journal</x:v>
      </x:c>
      <x:c r="V218" s="10" t="str">
        <x:v>bullet journaling</x:v>
      </x:c>
      <x:c r="W218" s="10" t="str">
        <x:v>premade bujo page</x:v>
      </x:c>
      <x:c r="X218" s="10" t="str">
        <x:v>a5 planner template</x:v>
      </x:c>
      <x:c r="Y218" s="10" t="str">
        <x:v>budget binder insert</x:v>
      </x:c>
      <x:c r="Z218" s="10" t="str">
        <x:v>cute budgeting tool</x:v>
      </x:c>
      <x:c r="AA218" s="10" t="str">
        <x:v>finance management</x:v>
      </x:c>
      <x:c r="AB218" s="10" t="str">
        <x:v>cash stuffing sheet</x:v>
      </x:c>
      <x:c r="AC218" s="10" t="str">
        <x:v>dream apartment fund</x:v>
      </x:c>
      <x:c r="AD218" s="10" t="str">
        <x:v>downpayment fund log</x:v>
      </x:c>
      <x:c r="AE218" s="10" t="str">
        <x:v>first home buyer</x:v>
      </x:c>
      <x:c r="AF218" s="10" t="str">
        <x:v>money savings goal</x:v>
      </x:c>
      <x:c r="AG218" s="10" t="str">
        <x:v>mortgage deposit</x:v>
      </x:c>
      <x:c r="AH218" s="10" t="str">
        <x:v>Other mortgage-related</x:v>
      </x:c>
      <x:c r="AI218" s="13" t="n">
        <x:v>1</x:v>
      </x:c>
      <x:c r="AJ218" s="10" t="str">
        <x:f>IF(F218&gt;0,"Active","No est. sales")</x:f>
        <x:v>No est. sales</x:v>
      </x:c>
    </x:row>
    <x:row r="219">
      <x:c r="A219" s="10" t="str">
        <x:v>Renting vs Owning Calculator, house rent vs buy comparison spreadsheet, real estate financial planning, excel home buying or moving guide</x:v>
      </x:c>
      <x:c r="B219" s="10" t="str">
        <x:v>https://www.etsy.com/listing/1732711708/renting-vs-owning-calculator-house-rent</x:v>
      </x:c>
      <x:c r="C219" s="10" t="str">
        <x:v>BraveBuffaloCrafts</x:v>
      </x:c>
      <x:c r="D219" s="10" t="str">
        <x:v>https://www.etsy.com/shop/BraveBuffaloCrafts</x:v>
      </x:c>
      <x:c r="E219" s="11" t="n">
        <x:v>12.99</x:v>
      </x:c>
      <x:c r="F219" s="10" t="n">
        <x:v>0</x:v>
      </x:c>
      <x:c r="G219" s="12" t="n">
        <x:v>0</x:v>
      </x:c>
      <x:c r="H219" s="13" t="n">
        <x:v>0</x:v>
      </x:c>
      <x:c r="I219" s="10" t="n">
        <x:v>15</x:v>
      </x:c>
      <x:c r="J219" s="10" t="n">
        <x:v>1</x:v>
      </x:c>
      <x:c r="K219" s="10" t="str">
        <x:v>25 Mo.</x:v>
      </x:c>
      <x:c r="L219" s="10" t="n">
        <x:v>22</x:v>
      </x:c>
      <x:c r="M219" s="10" t="n">
        <x:v>0</x:v>
      </x:c>
      <x:c r="N219" s="10" t="n">
        <x:v>683</x:v>
      </x:c>
      <x:c r="O219" s="10" t="str">
        <x:v>Paper &amp; Party Supplies</x:v>
      </x:c>
      <x:c r="P219" s="10" t="n">
        <x:v>27</x:v>
      </x:c>
      <x:c r="Q219" s="10" t="n">
        <x:v>0</x:v>
      </x:c>
      <x:c r="R219" s="13" t="n">
        <x:v>2.2</x:v>
      </x:c>
      <x:c r="S219" s="10" t="n">
        <x:v>9081</x:v>
      </x:c>
      <x:c r="T219" s="10" t="str">
        <x:v>rent vs buy calc,renting vs owning,cost of renting,home moving planner,renting vs buying,real estate planning,home buying excel,should i buy a home,rent cost comparison,rental property,house shopping guide,mortgage calculator,house flipping</x:v>
      </x:c>
      <x:c r="U219" s="10" t="str">
        <x:v>rent vs buy calc</x:v>
      </x:c>
      <x:c r="V219" s="10" t="str">
        <x:v>renting vs owning</x:v>
      </x:c>
      <x:c r="W219" s="10" t="str">
        <x:v>cost of renting</x:v>
      </x:c>
      <x:c r="X219" s="10" t="str">
        <x:v>home moving planner</x:v>
      </x:c>
      <x:c r="Y219" s="10" t="str">
        <x:v>renting vs buying</x:v>
      </x:c>
      <x:c r="Z219" s="10" t="str">
        <x:v>real estate planning</x:v>
      </x:c>
      <x:c r="AA219" s="10" t="str">
        <x:v>home buying excel</x:v>
      </x:c>
      <x:c r="AB219" s="10" t="str">
        <x:v>should i buy a home</x:v>
      </x:c>
      <x:c r="AC219" s="10" t="str">
        <x:v>rent cost comparison</x:v>
      </x:c>
      <x:c r="AD219" s="10" t="str">
        <x:v>rental property</x:v>
      </x:c>
      <x:c r="AE219" s="10" t="str">
        <x:v>house shopping guide</x:v>
      </x:c>
      <x:c r="AF219" s="10" t="str">
        <x:v>mortgage calculator</x:v>
      </x:c>
      <x:c r="AG219" s="10" t="str">
        <x:v>house flipping</x:v>
      </x:c>
      <x:c r="AH219" s="10" t="str">
        <x:v>Property investment</x:v>
      </x:c>
      <x:c r="AI219" s="13" t="n">
        <x:v>25</x:v>
      </x:c>
      <x:c r="AJ219" s="10" t="str">
        <x:f>IF(F219&gt;0,"Active","No est. sales")</x:f>
        <x:v>No est. sales</x:v>
      </x:c>
    </x:row>
    <x:row r="220">
      <x:c r="A220" s="10" t="str">
        <x:v>Mortgage Payment Dashboard Spreadsheet | Loan Tracker | Amortization Schedule | Home Finance Planner | Excel and Google Sheets Compatible</x:v>
      </x:c>
      <x:c r="B220" s="10" t="str">
        <x:v>https://www.etsy.com/listing/4469856391/mortgage-payment-dashboard-spreadsheet</x:v>
      </x:c>
      <x:c r="C220" s="10" t="str">
        <x:v>RAYVIRCANADA</x:v>
      </x:c>
      <x:c r="D220" s="10" t="str">
        <x:v>https://www.etsy.com/shop/RAYVIRCANADA</x:v>
      </x:c>
      <x:c r="E220" s="11" t="n">
        <x:v>9.27</x:v>
      </x:c>
      <x:c r="F220" s="10" t="n">
        <x:v>0</x:v>
      </x:c>
      <x:c r="G220" s="12" t="n">
        <x:v>0</x:v>
      </x:c>
      <x:c r="H220" s="13" t="n">
        <x:v>0</x:v>
      </x:c>
      <x:c r="I220" s="10" t="n">
        <x:v>0</x:v>
      </x:c>
      <x:c r="J220" s="10" t="n">
        <x:v>0</x:v>
      </x:c>
      <x:c r="K220" s="10" t="str">
        <x:v>4 Mo.</x:v>
      </x:c>
      <x:c r="L220" s="10" t="n">
        <x:v>0</x:v>
      </x:c>
      <x:c r="M220" s="10" t="n">
        <x:v>0</x:v>
      </x:c>
      <x:c r="N220" s="10" t="n">
        <x:v>16</x:v>
      </x:c>
      <x:c r="O220" s="10" t="str">
        <x:v>Paper &amp; Party Supplies</x:v>
      </x:c>
      <x:c r="P220" s="10" t="n">
        <x:v>5</x:v>
      </x:c>
      <x:c r="Q220" s="10" t="n">
        <x:v>0</x:v>
      </x:c>
      <x:c r="R220" s="13" t="n">
        <x:v>0</x:v>
      </x:c>
      <x:c r="S220" s="10" t="n">
        <x:v>2</x:v>
      </x:c>
      <x:c r="T220" s="10" t="str">
        <x:v>mortgage calculator,amortization sheet,loan payment tracker,home loan tracker,excel calculator,loan payoff planner,finance tracker,debt payoff tracker,google sheets budget,real estate finance,personalfinance tool,extra lumpsum paymen,house loan payoff</x:v>
      </x:c>
      <x:c r="U220" s="10" t="str">
        <x:v>mortgage calculator</x:v>
      </x:c>
      <x:c r="V220" s="10" t="str">
        <x:v>amortization sheet</x:v>
      </x:c>
      <x:c r="W220" s="10" t="str">
        <x:v>loan payment tracker</x:v>
      </x:c>
      <x:c r="X220" s="10" t="str">
        <x:v>home loan tracker</x:v>
      </x:c>
      <x:c r="Y220" s="10" t="str">
        <x:v>excel calculator</x:v>
      </x:c>
      <x:c r="Z220" s="10" t="str">
        <x:v>loan payoff planner</x:v>
      </x:c>
      <x:c r="AA220" s="10" t="str">
        <x:v>finance tracker</x:v>
      </x:c>
      <x:c r="AB220" s="10" t="str">
        <x:v>debt payoff tracker</x:v>
      </x:c>
      <x:c r="AC220" s="10" t="str">
        <x:v>google sheets budget</x:v>
      </x:c>
      <x:c r="AD220" s="10" t="str">
        <x:v>real estate finance</x:v>
      </x:c>
      <x:c r="AE220" s="10" t="str">
        <x:v>personalfinance tool</x:v>
      </x:c>
      <x:c r="AF220" s="10" t="str">
        <x:v>extra lumpsum paymen</x:v>
      </x:c>
      <x:c r="AG220" s="10" t="str">
        <x:v>house loan payoff</x:v>
      </x:c>
      <x:c r="AH220" s="10" t="str">
        <x:v>Mortgage payoff / calculator</x:v>
      </x:c>
      <x:c r="AI220" s="13" t="n">
        <x:v>4</x:v>
      </x:c>
      <x:c r="AJ220" s="10" t="str">
        <x:f>IF(F220&gt;0,"Active","No est. sales")</x:f>
        <x:v>No est. sales</x:v>
      </x:c>
    </x:row>
    <x:row r="221">
      <x:c r="A221" s="10" t="str">
        <x:v>First-Time Home Buyer Planner | Affordability, Savings, Mortgage Calculator (Digital Download)</x:v>
      </x:c>
      <x:c r="B221" s="10" t="str">
        <x:v>https://www.etsy.com/listing/4530154904/first-time-home-buyer-planner</x:v>
      </x:c>
      <x:c r="C221" s="10" t="str">
        <x:v>MindDigitalDesigns</x:v>
      </x:c>
      <x:c r="D221" s="10" t="str">
        <x:v>https://www.etsy.com/shop/MindDigitalDesigns</x:v>
      </x:c>
      <x:c r="E221" s="11" t="n">
        <x:v>9.95</x:v>
      </x:c>
      <x:c r="F221" s="10" t="n">
        <x:v>0</x:v>
      </x:c>
      <x:c r="G221" s="12" t="n">
        <x:v>0</x:v>
      </x:c>
      <x:c r="H221" s="13" t="n">
        <x:v>0</x:v>
      </x:c>
      <x:c r="I221" s="10" t="n">
        <x:v>0</x:v>
      </x:c>
      <x:c r="J221" s="10" t="n">
        <x:v>0</x:v>
      </x:c>
      <x:c r="K221" s="10" t="str">
        <x:v>1 Mo.</x:v>
      </x:c>
      <x:c r="L221" s="10" t="n">
        <x:v>0</x:v>
      </x:c>
      <x:c r="M221" s="10" t="n">
        <x:v>0</x:v>
      </x:c>
      <x:c r="N221" s="10" t="n">
        <x:v>0</x:v>
      </x:c>
      <x:c r="O221" s="10" t="str"/>
      <x:c r="P221" s="10" t="n">
        <x:v>20</x:v>
      </x:c>
      <x:c r="Q221" s="10" t="n">
        <x:v>0</x:v>
      </x:c>
      <x:c r="R221" s="13" t="n">
        <x:v>0</x:v>
      </x:c>
      <x:c r="S221" s="10" t="n">
        <x:v>492</x:v>
      </x:c>
      <x:c r="T221" s="10" t="str">
        <x:v>home buyer,first time buyer,affordability,mortgage calculator,down payment,savings planner,home buying,house affordability,mortgage planner,home affordability,budget planner,home savings,buyer checklist</x:v>
      </x:c>
      <x:c r="U221" s="10" t="str">
        <x:v>home buyer</x:v>
      </x:c>
      <x:c r="V221" s="10" t="str">
        <x:v>first time buyer</x:v>
      </x:c>
      <x:c r="W221" s="10" t="str">
        <x:v>affordability</x:v>
      </x:c>
      <x:c r="X221" s="10" t="str">
        <x:v>mortgage calculator</x:v>
      </x:c>
      <x:c r="Y221" s="10" t="str">
        <x:v>down payment</x:v>
      </x:c>
      <x:c r="Z221" s="10" t="str">
        <x:v>savings planner</x:v>
      </x:c>
      <x:c r="AA221" s="10" t="str">
        <x:v>home buying</x:v>
      </x:c>
      <x:c r="AB221" s="10" t="str">
        <x:v>house affordability</x:v>
      </x:c>
      <x:c r="AC221" s="10" t="str">
        <x:v>mortgage planner</x:v>
      </x:c>
      <x:c r="AD221" s="10" t="str">
        <x:v>home affordability</x:v>
      </x:c>
      <x:c r="AE221" s="10" t="str">
        <x:v>budget planner</x:v>
      </x:c>
      <x:c r="AF221" s="10" t="str">
        <x:v>home savings</x:v>
      </x:c>
      <x:c r="AG221" s="10" t="str">
        <x:v>buyer checklist</x:v>
      </x:c>
      <x:c r="AH221" s="10" t="str">
        <x:v>Home buying planner</x:v>
      </x:c>
      <x:c r="AI221" s="13" t="n">
        <x:v>1</x:v>
      </x:c>
      <x:c r="AJ221" s="10" t="str">
        <x:f>IF(F221&gt;0,"Active","No est. sales")</x:f>
        <x:v>No est. sales</x:v>
      </x:c>
    </x:row>
    <x:row r="222">
      <x:c r="A222" s="10" t="str">
        <x:v>Mortgage Payoff Calculator Spreadsheet | Early Payoff Dashboard, Extra Payment Planner with Charts</x:v>
      </x:c>
      <x:c r="B222" s="10" t="str">
        <x:v>https://www.etsy.com/listing/4535674712/mortgage-payoff-calculator-spreadsheet</x:v>
      </x:c>
      <x:c r="C222" s="10" t="str">
        <x:v>MindDigitalDesigns</x:v>
      </x:c>
      <x:c r="D222" s="10" t="str">
        <x:v>https://www.etsy.com/shop/MindDigitalDesigns</x:v>
      </x:c>
      <x:c r="E222" s="11" t="n">
        <x:v>7.95</x:v>
      </x:c>
      <x:c r="F222" s="10" t="n">
        <x:v>0</x:v>
      </x:c>
      <x:c r="G222" s="12" t="n">
        <x:v>0</x:v>
      </x:c>
      <x:c r="H222" s="13" t="n">
        <x:v>0</x:v>
      </x:c>
      <x:c r="I222" s="10" t="n">
        <x:v>0</x:v>
      </x:c>
      <x:c r="J222" s="10" t="n">
        <x:v>0</x:v>
      </x:c>
      <x:c r="K222" s="10" t="str">
        <x:v>1 Mo.</x:v>
      </x:c>
      <x:c r="L222" s="10" t="n">
        <x:v>0</x:v>
      </x:c>
      <x:c r="M222" s="10" t="n">
        <x:v>0</x:v>
      </x:c>
      <x:c r="N222" s="10" t="n">
        <x:v>0</x:v>
      </x:c>
      <x:c r="O222" s="10" t="str"/>
      <x:c r="P222" s="10" t="n">
        <x:v>20</x:v>
      </x:c>
      <x:c r="Q222" s="10" t="n">
        <x:v>0</x:v>
      </x:c>
      <x:c r="R222" s="13" t="n">
        <x:v>0</x:v>
      </x:c>
      <x:c r="S222" s="10" t="n">
        <x:v>492</x:v>
      </x:c>
      <x:c r="T222" s="10" t="str">
        <x:v>mortgage calc,extra payment,mortgage tracker,home loan,mortgage planner,loan payoff,debt payoff,payoff planner,mortgage dashboard,amortization,mortgage payoff,early payoff,payoff calculator</x:v>
      </x:c>
      <x:c r="U222" s="10" t="str">
        <x:v>mortgage calc</x:v>
      </x:c>
      <x:c r="V222" s="10" t="str">
        <x:v>extra payment</x:v>
      </x:c>
      <x:c r="W222" s="10" t="str">
        <x:v>mortgage tracker</x:v>
      </x:c>
      <x:c r="X222" s="10" t="str">
        <x:v>home loan</x:v>
      </x:c>
      <x:c r="Y222" s="10" t="str">
        <x:v>mortgage planner</x:v>
      </x:c>
      <x:c r="Z222" s="10" t="str">
        <x:v>loan payoff</x:v>
      </x:c>
      <x:c r="AA222" s="10" t="str">
        <x:v>debt payoff</x:v>
      </x:c>
      <x:c r="AB222" s="10" t="str">
        <x:v>payoff planner</x:v>
      </x:c>
      <x:c r="AC222" s="10" t="str">
        <x:v>mortgage dashboard</x:v>
      </x:c>
      <x:c r="AD222" s="10" t="str">
        <x:v>amortization</x:v>
      </x:c>
      <x:c r="AE222" s="10" t="str">
        <x:v>mortgage payoff</x:v>
      </x:c>
      <x:c r="AF222" s="10" t="str">
        <x:v>early payoff</x:v>
      </x:c>
      <x:c r="AG222" s="10" t="str">
        <x:v>payoff calculator</x:v>
      </x:c>
      <x:c r="AH222" s="10" t="str">
        <x:v>Mortgage payoff / calculator</x:v>
      </x:c>
      <x:c r="AI222" s="13" t="n">
        <x:v>1</x:v>
      </x:c>
      <x:c r="AJ222" s="10" t="str">
        <x:f>IF(F222&gt;0,"Active","No est. sales")</x:f>
        <x:v>No est. sales</x:v>
      </x:c>
    </x:row>
    <x:row r="223">
      <x:c r="A223" s="10" t="str">
        <x:v>Mortgage Planner Stickers | MS-04 | Font MS | bill stickers</x:v>
      </x:c>
      <x:c r="B223" s="10" t="str">
        <x:v>https://www.etsy.com/listing/1808980823/mortgage-planner-stickers-ms-04-font-ms</x:v>
      </x:c>
      <x:c r="C223" s="10" t="str">
        <x:v>wunderdoodleco</x:v>
      </x:c>
      <x:c r="D223" s="10" t="str">
        <x:v>https://www.etsy.com/shop/wunderdoodleco</x:v>
      </x:c>
      <x:c r="E223" s="11" t="n">
        <x:v>1.95</x:v>
      </x:c>
      <x:c r="F223" s="10" t="n">
        <x:v>0</x:v>
      </x:c>
      <x:c r="G223" s="12" t="n">
        <x:v>0</x:v>
      </x:c>
      <x:c r="H223" s="13" t="n">
        <x:v>0</x:v>
      </x:c>
      <x:c r="I223" s="10" t="n">
        <x:v>8</x:v>
      </x:c>
      <x:c r="J223" s="10" t="n">
        <x:v>1</x:v>
      </x:c>
      <x:c r="K223" s="10" t="str">
        <x:v>21 Mo.</x:v>
      </x:c>
      <x:c r="L223" s="10" t="n">
        <x:v>20</x:v>
      </x:c>
      <x:c r="M223" s="10" t="n">
        <x:v>0</x:v>
      </x:c>
      <x:c r="N223" s="10" t="n">
        <x:v>208</x:v>
      </x:c>
      <x:c r="O223" s="10" t="str">
        <x:v>Paper &amp; Party Supplies</x:v>
      </x:c>
      <x:c r="P223" s="10" t="n">
        <x:v>29</x:v>
      </x:c>
      <x:c r="Q223" s="10" t="n">
        <x:v>0</x:v>
      </x:c>
      <x:c r="R223" s="13" t="n">
        <x:v>3.85</x:v>
      </x:c>
      <x:c r="S223" s="10" t="n">
        <x:v>12067</x:v>
      </x:c>
      <x:c r="T223" s="10" t="str">
        <x:v>planner stickers,sticker sheet,script stickers,functional stickers,text stickers,planner labels,bill stickers,bill planner sticker,budget stickers,budget planner,pay bills stickers,mortgage stickers,bill tracker</x:v>
      </x:c>
      <x:c r="U223" s="10" t="str">
        <x:v>planner stickers</x:v>
      </x:c>
      <x:c r="V223" s="10" t="str">
        <x:v>sticker sheet</x:v>
      </x:c>
      <x:c r="W223" s="10" t="str">
        <x:v>script stickers</x:v>
      </x:c>
      <x:c r="X223" s="10" t="str">
        <x:v>functional stickers</x:v>
      </x:c>
      <x:c r="Y223" s="10" t="str">
        <x:v>text stickers</x:v>
      </x:c>
      <x:c r="Z223" s="10" t="str">
        <x:v>planner labels</x:v>
      </x:c>
      <x:c r="AA223" s="10" t="str">
        <x:v>bill stickers</x:v>
      </x:c>
      <x:c r="AB223" s="10" t="str">
        <x:v>bill planner sticker</x:v>
      </x:c>
      <x:c r="AC223" s="10" t="str">
        <x:v>budget stickers</x:v>
      </x:c>
      <x:c r="AD223" s="10" t="str">
        <x:v>budget planner</x:v>
      </x:c>
      <x:c r="AE223" s="10" t="str">
        <x:v>pay bills stickers</x:v>
      </x:c>
      <x:c r="AF223" s="10" t="str">
        <x:v>mortgage stickers</x:v>
      </x:c>
      <x:c r="AG223" s="10" t="str">
        <x:v>bill tracker</x:v>
      </x:c>
      <x:c r="AH223" s="10" t="str">
        <x:v>Other mortgage-related</x:v>
      </x:c>
      <x:c r="AI223" s="13" t="n">
        <x:v>21</x:v>
      </x:c>
      <x:c r="AJ223" s="10" t="str">
        <x:f>IF(F223&gt;0,"Active","No est. sales")</x:f>
        <x:v>No est. sales</x:v>
      </x:c>
    </x:row>
    <x:row r="224">
      <x:c r="A224" s="10" t="str">
        <x:v>30 Cute Rent Duel Reminder Planner Stickers</x:v>
      </x:c>
      <x:c r="B224" s="10" t="str">
        <x:v>https://www.etsy.com/listing/4464377508/30-cute-rent-duel-reminder-planner</x:v>
      </x:c>
      <x:c r="C224" s="10" t="str">
        <x:v>LemonJellyStudio</x:v>
      </x:c>
      <x:c r="D224" s="10" t="str">
        <x:v>https://www.etsy.com/shop/LemonJellyStudio</x:v>
      </x:c>
      <x:c r="E224" s="11" t="n">
        <x:v>3.36</x:v>
      </x:c>
      <x:c r="F224" s="10" t="n">
        <x:v>0</x:v>
      </x:c>
      <x:c r="G224" s="12" t="n">
        <x:v>0</x:v>
      </x:c>
      <x:c r="H224" s="13" t="n">
        <x:v>0</x:v>
      </x:c>
      <x:c r="I224" s="10" t="n">
        <x:v>0</x:v>
      </x:c>
      <x:c r="J224" s="10" t="n">
        <x:v>0</x:v>
      </x:c>
      <x:c r="K224" s="10" t="str">
        <x:v>5 Mo.</x:v>
      </x:c>
      <x:c r="L224" s="10" t="n">
        <x:v>12</x:v>
      </x:c>
      <x:c r="M224" s="10" t="n">
        <x:v>0</x:v>
      </x:c>
      <x:c r="N224" s="10" t="n">
        <x:v>52</x:v>
      </x:c>
      <x:c r="O224" s="10" t="str">
        <x:v>Paper &amp; Party Supplies</x:v>
      </x:c>
      <x:c r="P224" s="10" t="n">
        <x:v>49</x:v>
      </x:c>
      <x:c r="Q224" s="10" t="n">
        <x:v>0</x:v>
      </x:c>
      <x:c r="R224" s="13" t="n">
        <x:v>0</x:v>
      </x:c>
      <x:c r="S224" s="10" t="n">
        <x:v>20081</x:v>
      </x:c>
      <x:c r="T224" s="10" t="str">
        <x:v>stickers,journal,planner,cute,diary,kawaii,bill,reminder,due,paid,utilities,mortgage,rent</x:v>
      </x:c>
      <x:c r="U224" s="10" t="str">
        <x:v>stickers</x:v>
      </x:c>
      <x:c r="V224" s="10" t="str">
        <x:v>journal</x:v>
      </x:c>
      <x:c r="W224" s="10" t="str">
        <x:v>planner</x:v>
      </x:c>
      <x:c r="X224" s="10" t="str">
        <x:v>cute</x:v>
      </x:c>
      <x:c r="Y224" s="10" t="str">
        <x:v>diary</x:v>
      </x:c>
      <x:c r="Z224" s="10" t="str">
        <x:v>kawaii</x:v>
      </x:c>
      <x:c r="AA224" s="10" t="str">
        <x:v>bill</x:v>
      </x:c>
      <x:c r="AB224" s="10" t="str">
        <x:v>reminder</x:v>
      </x:c>
      <x:c r="AC224" s="10" t="str">
        <x:v>due</x:v>
      </x:c>
      <x:c r="AD224" s="10" t="str">
        <x:v>paid</x:v>
      </x:c>
      <x:c r="AE224" s="10" t="str">
        <x:v>utilities</x:v>
      </x:c>
      <x:c r="AF224" s="10" t="str">
        <x:v>mortgage</x:v>
      </x:c>
      <x:c r="AG224" s="10" t="str">
        <x:v>rent</x:v>
      </x:c>
      <x:c r="AH224" s="10" t="str">
        <x:v>Other mortgage-related</x:v>
      </x:c>
      <x:c r="AI224" s="13" t="n">
        <x:v>5</x:v>
      </x:c>
      <x:c r="AJ224" s="10" t="str">
        <x:f>IF(F224&gt;0,"Active","No est. sales")</x:f>
        <x:v>No est. sales</x:v>
      </x:c>
    </x:row>
    <x:row r="225">
      <x:c r="A225" s="10" t="str">
        <x:v>Debt payoff calculator spreadsheet snowball avalanche strategy planner loan reduction system financial independence roadmap credit balance</x:v>
      </x:c>
      <x:c r="B225" s="10" t="str">
        <x:v>https://www.etsy.com/listing/4460187359/debt-tracker-bundle-debt-payoff-planner</x:v>
      </x:c>
      <x:c r="C225" s="10" t="str">
        <x:v>OfficeSuiteDigital</x:v>
      </x:c>
      <x:c r="D225" s="10" t="str">
        <x:v>https://www.etsy.com/shop/OfficeSuiteDigital</x:v>
      </x:c>
      <x:c r="E225" s="11" t="n">
        <x:v>3</x:v>
      </x:c>
      <x:c r="F225" s="10" t="n">
        <x:v>0</x:v>
      </x:c>
      <x:c r="G225" s="12" t="n">
        <x:v>0</x:v>
      </x:c>
      <x:c r="H225" s="13" t="n">
        <x:v>0</x:v>
      </x:c>
      <x:c r="I225" s="10" t="n">
        <x:v>0</x:v>
      </x:c>
      <x:c r="J225" s="10" t="n">
        <x:v>0</x:v>
      </x:c>
      <x:c r="K225" s="10" t="str">
        <x:v>5 Mo.</x:v>
      </x:c>
      <x:c r="L225" s="10" t="n">
        <x:v>0</x:v>
      </x:c>
      <x:c r="M225" s="10" t="n">
        <x:v>0</x:v>
      </x:c>
      <x:c r="N225" s="10" t="n">
        <x:v>16</x:v>
      </x:c>
      <x:c r="O225" s="10" t="str"/>
      <x:c r="P225" s="10" t="n">
        <x:v>6</x:v>
      </x:c>
      <x:c r="Q225" s="10" t="n">
        <x:v>0</x:v>
      </x:c>
      <x:c r="R225" s="13" t="n">
        <x:v>0</x:v>
      </x:c>
      <x:c r="S225" s="10" t="n">
        <x:v>2</x:v>
      </x:c>
      <x:c r="T225" s="10" t="str">
        <x:v>google sheets budget,credit card payoff,debt payoff chart,student loan debt,debt payment tracker,debt payoff tracker,mortgage debt payoff,debt budget template,loan payoff planner,finance debt tracker,payoff log template,loan tracker sheet,debt snowball tool</x:v>
      </x:c>
      <x:c r="U225" s="10" t="str">
        <x:v>google sheets budget</x:v>
      </x:c>
      <x:c r="V225" s="10" t="str">
        <x:v>credit card payoff</x:v>
      </x:c>
      <x:c r="W225" s="10" t="str">
        <x:v>debt payoff chart</x:v>
      </x:c>
      <x:c r="X225" s="10" t="str">
        <x:v>student loan debt</x:v>
      </x:c>
      <x:c r="Y225" s="10" t="str">
        <x:v>debt payment tracker</x:v>
      </x:c>
      <x:c r="Z225" s="10" t="str">
        <x:v>debt payoff tracker</x:v>
      </x:c>
      <x:c r="AA225" s="10" t="str">
        <x:v>mortgage debt payoff</x:v>
      </x:c>
      <x:c r="AB225" s="10" t="str">
        <x:v>debt budget template</x:v>
      </x:c>
      <x:c r="AC225" s="10" t="str">
        <x:v>loan payoff planner</x:v>
      </x:c>
      <x:c r="AD225" s="10" t="str">
        <x:v>finance debt tracker</x:v>
      </x:c>
      <x:c r="AE225" s="10" t="str">
        <x:v>payoff log template</x:v>
      </x:c>
      <x:c r="AF225" s="10" t="str">
        <x:v>loan tracker sheet</x:v>
      </x:c>
      <x:c r="AG225" s="10" t="str">
        <x:v>debt snowball tool</x:v>
      </x:c>
      <x:c r="AH225" s="10" t="str">
        <x:v>General debt payoff</x:v>
      </x:c>
      <x:c r="AI225" s="13" t="n">
        <x:v>5</x:v>
      </x:c>
      <x:c r="AJ225" s="10" t="str">
        <x:f>IF(F225&gt;0,"Active","No est. sales")</x:f>
        <x:v>No est. sales</x:v>
      </x:c>
    </x:row>
    <x:row r="226">
      <x:c r="A226" s="10" t="str">
        <x:v>Payoff Calculator to make decisions about whether to Pay Debt early or Invest in Stocks</x:v>
      </x:c>
      <x:c r="B226" s="10" t="str">
        <x:v>https://www.etsy.com/listing/1139968770/payoff-calculator-to-make-decisions</x:v>
      </x:c>
      <x:c r="C226" s="10" t="str">
        <x:v>PlanwellLabs</x:v>
      </x:c>
      <x:c r="D226" s="10" t="str">
        <x:v>https://www.etsy.com/shop/PlanwellLabs</x:v>
      </x:c>
      <x:c r="E226" s="11" t="n">
        <x:v>4.99</x:v>
      </x:c>
      <x:c r="F226" s="10" t="n">
        <x:v>0</x:v>
      </x:c>
      <x:c r="G226" s="12" t="n">
        <x:v>0</x:v>
      </x:c>
      <x:c r="H226" s="13" t="n">
        <x:v>0</x:v>
      </x:c>
      <x:c r="I226" s="10" t="n">
        <x:v>14</x:v>
      </x:c>
      <x:c r="J226" s="10" t="n">
        <x:v>6</x:v>
      </x:c>
      <x:c r="K226" s="10" t="str">
        <x:v>54 Mo.</x:v>
      </x:c>
      <x:c r="L226" s="10" t="n">
        <x:v>63</x:v>
      </x:c>
      <x:c r="M226" s="10" t="n">
        <x:v>0</x:v>
      </x:c>
      <x:c r="N226" s="10" t="n">
        <x:v>2612</x:v>
      </x:c>
      <x:c r="O226" s="10" t="str">
        <x:v>Paper &amp; Party Supplies</x:v>
      </x:c>
      <x:c r="P226" s="10" t="n">
        <x:v>59</x:v>
      </x:c>
      <x:c r="Q226" s="10" t="n">
        <x:v>25</x:v>
      </x:c>
      <x:c r="R226" s="13" t="n">
        <x:v>0.54</x:v>
      </x:c>
      <x:c r="S226" s="10" t="n">
        <x:v>132</x:v>
      </x:c>
      <x:c r="T226" s="10" t="str">
        <x:v>debt payoff tracker,mortgage payoff,investment tracker,debt repayment excel,loan payoff,credit tracker,student loan payoff,loan payment tracker,excel spreadhseet,finance planner,payoff calculator,debt payoff,401k tracker</x:v>
      </x:c>
      <x:c r="U226" s="10" t="str">
        <x:v>debt payoff tracker</x:v>
      </x:c>
      <x:c r="V226" s="10" t="str">
        <x:v>mortgage payoff</x:v>
      </x:c>
      <x:c r="W226" s="10" t="str">
        <x:v>investment tracker</x:v>
      </x:c>
      <x:c r="X226" s="10" t="str">
        <x:v>debt repayment excel</x:v>
      </x:c>
      <x:c r="Y226" s="10" t="str">
        <x:v>loan payoff</x:v>
      </x:c>
      <x:c r="Z226" s="10" t="str">
        <x:v>credit tracker</x:v>
      </x:c>
      <x:c r="AA226" s="10" t="str">
        <x:v>student loan payoff</x:v>
      </x:c>
      <x:c r="AB226" s="10" t="str">
        <x:v>loan payment tracker</x:v>
      </x:c>
      <x:c r="AC226" s="10" t="str">
        <x:v>excel spreadhseet</x:v>
      </x:c>
      <x:c r="AD226" s="10" t="str">
        <x:v>finance planner</x:v>
      </x:c>
      <x:c r="AE226" s="10" t="str">
        <x:v>payoff calculator</x:v>
      </x:c>
      <x:c r="AF226" s="10" t="str">
        <x:v>debt payoff</x:v>
      </x:c>
      <x:c r="AG226" s="10" t="str">
        <x:v>401k tracker</x:v>
      </x:c>
      <x:c r="AH226" s="10" t="str">
        <x:v>Other mortgage-related</x:v>
      </x:c>
      <x:c r="AI226" s="13" t="n">
        <x:v>54</x:v>
      </x:c>
      <x:c r="AJ226" s="10" t="str">
        <x:f>IF(F226&gt;0,"Active","No est. sales")</x:f>
        <x:v>No est. sales</x:v>
      </x:c>
    </x:row>
    <x:row r="227">
      <x:c r="A227" s="10" t="str">
        <x:v>Texas Home Buyer GPT | First Time Home Buyer Texas | Texas Mortgage Guide | House Hunting AI | Texas Real Estate Planner |Home Buying Check</x:v>
      </x:c>
      <x:c r="B227" s="10" t="str">
        <x:v>https://www.etsy.com/listing/4523556669/texas-home-buyer-gpt-first-time-home</x:v>
      </x:c>
      <x:c r="C227" s="10" t="str">
        <x:v>CashMochi</x:v>
      </x:c>
      <x:c r="D227" s="10" t="str">
        <x:v>https://www.etsy.com/shop/CashMochi</x:v>
      </x:c>
      <x:c r="E227" s="11" t="n">
        <x:v>12.95</x:v>
      </x:c>
      <x:c r="F227" s="10" t="n">
        <x:v>0</x:v>
      </x:c>
      <x:c r="G227" s="12" t="n">
        <x:v>0</x:v>
      </x:c>
      <x:c r="H227" s="13" t="n">
        <x:v>0</x:v>
      </x:c>
      <x:c r="I227" s="10" t="n">
        <x:v>0</x:v>
      </x:c>
      <x:c r="J227" s="10" t="n">
        <x:v>0</x:v>
      </x:c>
      <x:c r="K227" s="10" t="str">
        <x:v>1 Mo.</x:v>
      </x:c>
      <x:c r="L227" s="10" t="n">
        <x:v>0</x:v>
      </x:c>
      <x:c r="M227" s="10" t="n">
        <x:v>0</x:v>
      </x:c>
      <x:c r="N227" s="10" t="n">
        <x:v>3</x:v>
      </x:c>
      <x:c r="O227" s="10" t="str">
        <x:v>Books, Movies &amp; Music</x:v>
      </x:c>
      <x:c r="P227" s="10" t="n">
        <x:v>2</x:v>
      </x:c>
      <x:c r="Q227" s="10" t="n">
        <x:v>0</x:v>
      </x:c>
      <x:c r="R227" s="13" t="n">
        <x:v>0</x:v>
      </x:c>
      <x:c r="S227" s="10" t="n">
        <x:v>112</x:v>
      </x:c>
      <x:c r="T227" s="10" t="str">
        <x:v>texas moving,home purchase ai,texas real estate,buying in texas,texas realtor,home buying gpt,texas checklist,house hunting ai,texas mortgage,home buyer ai,texas home guide,first time texas,texas home buyer</x:v>
      </x:c>
      <x:c r="U227" s="10" t="str">
        <x:v>texas moving</x:v>
      </x:c>
      <x:c r="V227" s="10" t="str">
        <x:v>home purchase ai</x:v>
      </x:c>
      <x:c r="W227" s="10" t="str">
        <x:v>texas real estate</x:v>
      </x:c>
      <x:c r="X227" s="10" t="str">
        <x:v>buying in texas</x:v>
      </x:c>
      <x:c r="Y227" s="10" t="str">
        <x:v>texas realtor</x:v>
      </x:c>
      <x:c r="Z227" s="10" t="str">
        <x:v>home buying gpt</x:v>
      </x:c>
      <x:c r="AA227" s="10" t="str">
        <x:v>texas checklist</x:v>
      </x:c>
      <x:c r="AB227" s="10" t="str">
        <x:v>house hunting ai</x:v>
      </x:c>
      <x:c r="AC227" s="10" t="str">
        <x:v>texas mortgage</x:v>
      </x:c>
      <x:c r="AD227" s="10" t="str">
        <x:v>home buyer ai</x:v>
      </x:c>
      <x:c r="AE227" s="10" t="str">
        <x:v>texas home guide</x:v>
      </x:c>
      <x:c r="AF227" s="10" t="str">
        <x:v>first time texas</x:v>
      </x:c>
      <x:c r="AG227" s="10" t="str">
        <x:v>texas home buyer</x:v>
      </x:c>
      <x:c r="AH227" s="10" t="str">
        <x:v>Home buying planner</x:v>
      </x:c>
      <x:c r="AI227" s="13" t="n">
        <x:v>1</x:v>
      </x:c>
      <x:c r="AJ227" s="10" t="str">
        <x:f>IF(F227&gt;0,"Active","No est. sales")</x:f>
        <x:v>No est. sales</x:v>
      </x:c>
    </x:row>
    <x:row r="228">
      <x:c r="A228" s="10" t="str">
        <x:v>Colorful Mortgage and Rent Due Tracker Stickers - Budget Planner and Journal Icons - Payment Reminders for Financial Organization by Viviane</x:v>
      </x:c>
      <x:c r="B228" s="10" t="str">
        <x:v>https://www.etsy.com/listing/727721049/colorful-mortgage-and-rent-due-tracker</x:v>
      </x:c>
      <x:c r="C228" s="10" t="str">
        <x:v>MyCuteCoco</x:v>
      </x:c>
      <x:c r="D228" s="10" t="str">
        <x:v>https://www.etsy.com/shop/MyCuteCoco</x:v>
      </x:c>
      <x:c r="E228" s="11" t="n">
        <x:v>2.99</x:v>
      </x:c>
      <x:c r="F228" s="10" t="n">
        <x:v>0</x:v>
      </x:c>
      <x:c r="G228" s="12" t="n">
        <x:v>0</x:v>
      </x:c>
      <x:c r="H228" s="13" t="n">
        <x:v>0</x:v>
      </x:c>
      <x:c r="I228" s="10" t="n">
        <x:v>0</x:v>
      </x:c>
      <x:c r="J228" s="10" t="n">
        <x:v>0</x:v>
      </x:c>
      <x:c r="K228" s="10" t="str">
        <x:v>74 Mo.</x:v>
      </x:c>
      <x:c r="L228" s="10" t="n">
        <x:v>12</x:v>
      </x:c>
      <x:c r="M228" s="10" t="n">
        <x:v>0</x:v>
      </x:c>
      <x:c r="N228" s="10" t="n">
        <x:v>50</x:v>
      </x:c>
      <x:c r="O228" s="10" t="str">
        <x:v>Paper &amp; Party Supplies</x:v>
      </x:c>
      <x:c r="P228" s="10" t="n">
        <x:v>78</x:v>
      </x:c>
      <x:c r="Q228" s="10" t="n">
        <x:v>0</x:v>
      </x:c>
      <x:c r="R228" s="13" t="n">
        <x:v>0</x:v>
      </x:c>
      <x:c r="S228" s="10" t="n">
        <x:v>9056</x:v>
      </x:c>
      <x:c r="T228" s="10" t="str">
        <x:v>budget planner,colorful icons,payment reminders,financial stickers,mortgage tracker,rent due stickers,functional stickers,journal icons,financial planner,colorful stickers,payment tracker,budget stickers,financing sticker</x:v>
      </x:c>
      <x:c r="U228" s="10" t="str">
        <x:v>budget planner</x:v>
      </x:c>
      <x:c r="V228" s="10" t="str">
        <x:v>colorful icons</x:v>
      </x:c>
      <x:c r="W228" s="10" t="str">
        <x:v>payment reminders</x:v>
      </x:c>
      <x:c r="X228" s="10" t="str">
        <x:v>financial stickers</x:v>
      </x:c>
      <x:c r="Y228" s="10" t="str">
        <x:v>mortgage tracker</x:v>
      </x:c>
      <x:c r="Z228" s="10" t="str">
        <x:v>rent due stickers</x:v>
      </x:c>
      <x:c r="AA228" s="10" t="str">
        <x:v>functional stickers</x:v>
      </x:c>
      <x:c r="AB228" s="10" t="str">
        <x:v>journal icons</x:v>
      </x:c>
      <x:c r="AC228" s="10" t="str">
        <x:v>financial planner</x:v>
      </x:c>
      <x:c r="AD228" s="10" t="str">
        <x:v>colorful stickers</x:v>
      </x:c>
      <x:c r="AE228" s="10" t="str">
        <x:v>payment tracker</x:v>
      </x:c>
      <x:c r="AF228" s="10" t="str">
        <x:v>budget stickers</x:v>
      </x:c>
      <x:c r="AG228" s="10" t="str">
        <x:v>financing sticker</x:v>
      </x:c>
      <x:c r="AH228" s="10" t="str">
        <x:v>Other mortgage-related</x:v>
      </x:c>
      <x:c r="AI228" s="13" t="n">
        <x:v>74</x:v>
      </x:c>
      <x:c r="AJ228" s="10" t="str">
        <x:f>IF(F228&gt;0,"Active","No est. sales")</x:f>
        <x:v>No est. sales</x:v>
      </x:c>
    </x:row>
    <x:row r="229">
      <x:c r="A229" s="10" t="str">
        <x:v>Home Buying Planner: Budget, Checklist &amp; Mortgage (Digital Download)</x:v>
      </x:c>
      <x:c r="B229" s="10" t="str">
        <x:v>https://www.etsy.com/listing/1859940446/home-buying-planner-budget-checklist</x:v>
      </x:c>
      <x:c r="C229" s="10" t="str">
        <x:v>Findmyinstantaprint</x:v>
      </x:c>
      <x:c r="D229" s="10" t="str">
        <x:v>https://www.etsy.com/shop/Findmyinstantaprint</x:v>
      </x:c>
      <x:c r="E229" s="11" t="n">
        <x:v>1.23</x:v>
      </x:c>
      <x:c r="F229" s="10" t="n">
        <x:v>0</x:v>
      </x:c>
      <x:c r="G229" s="12" t="n">
        <x:v>0</x:v>
      </x:c>
      <x:c r="H229" s="13" t="n">
        <x:v>0</x:v>
      </x:c>
      <x:c r="I229" s="10" t="n">
        <x:v>0</x:v>
      </x:c>
      <x:c r="J229" s="10" t="n">
        <x:v>0</x:v>
      </x:c>
      <x:c r="K229" s="10" t="str">
        <x:v>9 Mo.</x:v>
      </x:c>
      <x:c r="L229" s="10" t="n">
        <x:v>1</x:v>
      </x:c>
      <x:c r="M229" s="10" t="n">
        <x:v>0</x:v>
      </x:c>
      <x:c r="N229" s="10" t="n">
        <x:v>22</x:v>
      </x:c>
      <x:c r="O229" s="10" t="str"/>
      <x:c r="P229" s="10" t="n">
        <x:v>9</x:v>
      </x:c>
      <x:c r="Q229" s="10" t="n">
        <x:v>0</x:v>
      </x:c>
      <x:c r="R229" s="13" t="n">
        <x:v>0</x:v>
      </x:c>
      <x:c r="S229" s="10" t="n">
        <x:v>104</x:v>
      </x:c>
      <x:c r="T229" s="10" t="str">
        <x:v>home buying planner,mortgage tracker,real estate planner,moving organizer,digital home planner,home wishlist track,real estateorganizer,closing processcheck,expense home buyer,first-time guide,home purchase plan,house hunt checklist,budgethome purchase</x:v>
      </x:c>
      <x:c r="U229" s="10" t="str">
        <x:v>home buying planner</x:v>
      </x:c>
      <x:c r="V229" s="10" t="str">
        <x:v>mortgage tracker</x:v>
      </x:c>
      <x:c r="W229" s="10" t="str">
        <x:v>real estate planner</x:v>
      </x:c>
      <x:c r="X229" s="10" t="str">
        <x:v>moving organizer</x:v>
      </x:c>
      <x:c r="Y229" s="10" t="str">
        <x:v>digital home planner</x:v>
      </x:c>
      <x:c r="Z229" s="10" t="str">
        <x:v>home wishlist track</x:v>
      </x:c>
      <x:c r="AA229" s="10" t="str">
        <x:v>real estateorganizer</x:v>
      </x:c>
      <x:c r="AB229" s="10" t="str">
        <x:v>closing processcheck</x:v>
      </x:c>
      <x:c r="AC229" s="10" t="str">
        <x:v>expense home buyer</x:v>
      </x:c>
      <x:c r="AD229" s="10" t="str">
        <x:v>first-time guide</x:v>
      </x:c>
      <x:c r="AE229" s="10" t="str">
        <x:v>home purchase plan</x:v>
      </x:c>
      <x:c r="AF229" s="10" t="str">
        <x:v>house hunt checklist</x:v>
      </x:c>
      <x:c r="AG229" s="10" t="str">
        <x:v>budgethome purchase</x:v>
      </x:c>
      <x:c r="AH229" s="10" t="str">
        <x:v>Home buying planner</x:v>
      </x:c>
      <x:c r="AI229" s="13" t="n">
        <x:v>9</x:v>
      </x:c>
      <x:c r="AJ229" s="10" t="str">
        <x:f>IF(F229&gt;0,"Active","No est. sales")</x:f>
        <x:v>No est. sales</x:v>
      </x:c>
    </x:row>
    <x:row r="230">
      <x:c r="A230" s="10" t="str">
        <x:v>Payment Tracker PDF | Printable Client Payment History Log | Printable payment Sheet | Client Payment Form | Small Business Forms A4, Letter</x:v>
      </x:c>
      <x:c r="B230" s="10" t="str">
        <x:v>https://www.etsy.com/listing/1876404858/payment-tracker-pdf-printable-client</x:v>
      </x:c>
      <x:c r="C230" s="10" t="str">
        <x:v>HelpyCo</x:v>
      </x:c>
      <x:c r="D230" s="10" t="str">
        <x:v>https://www.etsy.com/shop/HelpyCo</x:v>
      </x:c>
      <x:c r="E230" s="11" t="n">
        <x:v>2</x:v>
      </x:c>
      <x:c r="F230" s="10" t="n">
        <x:v>0</x:v>
      </x:c>
      <x:c r="G230" s="12" t="n">
        <x:v>0</x:v>
      </x:c>
      <x:c r="H230" s="13" t="n">
        <x:v>0</x:v>
      </x:c>
      <x:c r="I230" s="10" t="n">
        <x:v>0</x:v>
      </x:c>
      <x:c r="J230" s="10" t="n">
        <x:v>0</x:v>
      </x:c>
      <x:c r="K230" s="10" t="str">
        <x:v>7 Mo.</x:v>
      </x:c>
      <x:c r="L230" s="10" t="n">
        <x:v>1</x:v>
      </x:c>
      <x:c r="M230" s="10" t="n">
        <x:v>0</x:v>
      </x:c>
      <x:c r="N230" s="10" t="n">
        <x:v>11</x:v>
      </x:c>
      <x:c r="O230" s="10" t="str">
        <x:v>Paper &amp; Party Supplies</x:v>
      </x:c>
      <x:c r="P230" s="10" t="n">
        <x:v>8</x:v>
      </x:c>
      <x:c r="Q230" s="10" t="n">
        <x:v>0</x:v>
      </x:c>
      <x:c r="R230" s="13" t="n">
        <x:v>0</x:v>
      </x:c>
      <x:c r="S230" s="10" t="n">
        <x:v>5</x:v>
      </x:c>
      <x:c r="T230" s="10" t="str">
        <x:v>loan payment,debt payoff tracker,debt planner,debt tracker,student loan,monthly budget,debt payment log,payment tracker,debt management,tracker printable,debt poster,planner mortgage,printable visual</x:v>
      </x:c>
      <x:c r="U230" s="10" t="str">
        <x:v>loan payment</x:v>
      </x:c>
      <x:c r="V230" s="10" t="str">
        <x:v>debt payoff tracker</x:v>
      </x:c>
      <x:c r="W230" s="10" t="str">
        <x:v>debt planner</x:v>
      </x:c>
      <x:c r="X230" s="10" t="str">
        <x:v>debt tracker</x:v>
      </x:c>
      <x:c r="Y230" s="10" t="str">
        <x:v>student loan</x:v>
      </x:c>
      <x:c r="Z230" s="10" t="str">
        <x:v>monthly budget</x:v>
      </x:c>
      <x:c r="AA230" s="10" t="str">
        <x:v>debt payment log</x:v>
      </x:c>
      <x:c r="AB230" s="10" t="str">
        <x:v>payment tracker</x:v>
      </x:c>
      <x:c r="AC230" s="10" t="str">
        <x:v>debt management</x:v>
      </x:c>
      <x:c r="AD230" s="10" t="str">
        <x:v>tracker printable</x:v>
      </x:c>
      <x:c r="AE230" s="10" t="str">
        <x:v>debt poster</x:v>
      </x:c>
      <x:c r="AF230" s="10" t="str">
        <x:v>planner mortgage</x:v>
      </x:c>
      <x:c r="AG230" s="10" t="str">
        <x:v>printable visual</x:v>
      </x:c>
      <x:c r="AH230" s="10" t="str">
        <x:v>Other mortgage-related</x:v>
      </x:c>
      <x:c r="AI230" s="13" t="n">
        <x:v>7</x:v>
      </x:c>
      <x:c r="AJ230" s="10" t="str">
        <x:f>IF(F230&gt;0,"Active","No est. sales")</x:f>
        <x:v>No est. sales</x:v>
      </x:c>
    </x:row>
    <x:row r="231">
      <x:c r="A231" s="10" t="str">
        <x:v>Debt Payoff Tracker Debt Snowball Debt Avalanche Calculator Google Sheets Excel Credit Card Loan Tracker Mortgage Payment Credit Card</x:v>
      </x:c>
      <x:c r="B231" s="10" t="str">
        <x:v>https://www.etsy.com/listing/4325659658/debt-payoff-tracker-debt-snowball-debt</x:v>
      </x:c>
      <x:c r="C231" s="10" t="str">
        <x:v>RichwhaleStudio</x:v>
      </x:c>
      <x:c r="D231" s="10" t="str">
        <x:v>https://www.etsy.com/shop/RichwhaleStudio</x:v>
      </x:c>
      <x:c r="E231" s="11" t="n">
        <x:v>3.61</x:v>
      </x:c>
      <x:c r="F231" s="10" t="n">
        <x:v>0</x:v>
      </x:c>
      <x:c r="G231" s="12" t="n">
        <x:v>0</x:v>
      </x:c>
      <x:c r="H231" s="13" t="n">
        <x:v>0</x:v>
      </x:c>
      <x:c r="I231" s="10" t="n">
        <x:v>0</x:v>
      </x:c>
      <x:c r="J231" s="10" t="n">
        <x:v>0</x:v>
      </x:c>
      <x:c r="K231" s="10" t="str">
        <x:v>2 Mo.</x:v>
      </x:c>
      <x:c r="L231" s="10" t="n">
        <x:v>1</x:v>
      </x:c>
      <x:c r="M231" s="10" t="n">
        <x:v>0</x:v>
      </x:c>
      <x:c r="N231" s="10" t="n">
        <x:v>12</x:v>
      </x:c>
      <x:c r="O231" s="10" t="str"/>
      <x:c r="P231" s="10" t="n">
        <x:v>7</x:v>
      </x:c>
      <x:c r="Q231" s="10" t="n">
        <x:v>0</x:v>
      </x:c>
      <x:c r="R231" s="13" t="n">
        <x:v>0</x:v>
      </x:c>
      <x:c r="S231" s="10" t="n">
        <x:v>168</x:v>
      </x:c>
      <x:c r="T231" s="10" t="str">
        <x:v>budget planner,credit card debt,debt avalanche,debt google sheets,debt payoff tracker,debt snowball excel,debt spreadsheet,debt tracker excel,financial planner,mortgage payoff,personal finance,snowball calculator,student loan payoff</x:v>
      </x:c>
      <x:c r="U231" s="10" t="str">
        <x:v>budget planner</x:v>
      </x:c>
      <x:c r="V231" s="10" t="str">
        <x:v>credit card debt</x:v>
      </x:c>
      <x:c r="W231" s="10" t="str">
        <x:v>debt avalanche</x:v>
      </x:c>
      <x:c r="X231" s="10" t="str">
        <x:v>debt google sheets</x:v>
      </x:c>
      <x:c r="Y231" s="10" t="str">
        <x:v>debt payoff tracker</x:v>
      </x:c>
      <x:c r="Z231" s="10" t="str">
        <x:v>debt snowball excel</x:v>
      </x:c>
      <x:c r="AA231" s="10" t="str">
        <x:v>debt spreadsheet</x:v>
      </x:c>
      <x:c r="AB231" s="10" t="str">
        <x:v>debt tracker excel</x:v>
      </x:c>
      <x:c r="AC231" s="10" t="str">
        <x:v>financial planner</x:v>
      </x:c>
      <x:c r="AD231" s="10" t="str">
        <x:v>mortgage payoff</x:v>
      </x:c>
      <x:c r="AE231" s="10" t="str">
        <x:v>personal finance</x:v>
      </x:c>
      <x:c r="AF231" s="10" t="str">
        <x:v>snowball calculator</x:v>
      </x:c>
      <x:c r="AG231" s="10" t="str">
        <x:v>student loan payoff</x:v>
      </x:c>
      <x:c r="AH231" s="10" t="str">
        <x:v>General debt payoff</x:v>
      </x:c>
      <x:c r="AI231" s="13" t="n">
        <x:v>2</x:v>
      </x:c>
      <x:c r="AJ231" s="10" t="str">
        <x:f>IF(F231&gt;0,"Active","No est. sales")</x:f>
        <x:v>No est. sales</x:v>
      </x:c>
    </x:row>
    <x:row r="232">
      <x:c r="A232" s="10" t="str">
        <x:v>Google Sheets Debt Payoff Planner, Debt Snowball Spreadsheet, Credit Card Payoff Tracker, Debt Avalanche Calculator</x:v>
      </x:c>
      <x:c r="B232" s="10" t="str">
        <x:v>https://www.etsy.com/listing/4458833802/google-sheets-debt-payoff-planner-debt</x:v>
      </x:c>
      <x:c r="C232" s="10" t="str">
        <x:v>PastelSheetsStudio</x:v>
      </x:c>
      <x:c r="D232" s="10" t="str">
        <x:v>https://www.etsy.com/shop/PastelSheetsStudio</x:v>
      </x:c>
      <x:c r="E232" s="11" t="n">
        <x:v>7.31</x:v>
      </x:c>
      <x:c r="F232" s="10" t="n">
        <x:v>0</x:v>
      </x:c>
      <x:c r="G232" s="12" t="n">
        <x:v>0</x:v>
      </x:c>
      <x:c r="H232" s="13" t="n">
        <x:v>0</x:v>
      </x:c>
      <x:c r="I232" s="10" t="n">
        <x:v>0</x:v>
      </x:c>
      <x:c r="J232" s="10" t="n">
        <x:v>0</x:v>
      </x:c>
      <x:c r="K232" s="10" t="str">
        <x:v>3 Mo.</x:v>
      </x:c>
      <x:c r="L232" s="10" t="n">
        <x:v>1</x:v>
      </x:c>
      <x:c r="M232" s="10" t="n">
        <x:v>0</x:v>
      </x:c>
      <x:c r="N232" s="10" t="n">
        <x:v>24</x:v>
      </x:c>
      <x:c r="O232" s="10" t="str"/>
      <x:c r="P232" s="10" t="n">
        <x:v>3</x:v>
      </x:c>
      <x:c r="Q232" s="10" t="n">
        <x:v>0</x:v>
      </x:c>
      <x:c r="R232" s="13" t="n">
        <x:v>0</x:v>
      </x:c>
      <x:c r="S232" s="10" t="n">
        <x:v>1</x:v>
      </x:c>
      <x:c r="T232" s="10" t="str">
        <x:v>credit card payoff,debt snowball,credit utilization,debt google sheets,debt spreadsheet,snowball calculator,debt avalanche,mortgage payoff,debt calculator,student loan tracker,loan payoff tracker,debt payment tracker,debt payoff planner</x:v>
      </x:c>
      <x:c r="U232" s="10" t="str">
        <x:v>credit card payoff</x:v>
      </x:c>
      <x:c r="V232" s="10" t="str">
        <x:v>debt snowball</x:v>
      </x:c>
      <x:c r="W232" s="10" t="str">
        <x:v>credit utilization</x:v>
      </x:c>
      <x:c r="X232" s="10" t="str">
        <x:v>debt google sheets</x:v>
      </x:c>
      <x:c r="Y232" s="10" t="str">
        <x:v>debt spreadsheet</x:v>
      </x:c>
      <x:c r="Z232" s="10" t="str">
        <x:v>snowball calculator</x:v>
      </x:c>
      <x:c r="AA232" s="10" t="str">
        <x:v>debt avalanche</x:v>
      </x:c>
      <x:c r="AB232" s="10" t="str">
        <x:v>mortgage payoff</x:v>
      </x:c>
      <x:c r="AC232" s="10" t="str">
        <x:v>debt calculator</x:v>
      </x:c>
      <x:c r="AD232" s="10" t="str">
        <x:v>student loan tracker</x:v>
      </x:c>
      <x:c r="AE232" s="10" t="str">
        <x:v>loan payoff tracker</x:v>
      </x:c>
      <x:c r="AF232" s="10" t="str">
        <x:v>debt payment tracker</x:v>
      </x:c>
      <x:c r="AG232" s="10" t="str">
        <x:v>debt payoff planner</x:v>
      </x:c>
      <x:c r="AH232" s="10" t="str">
        <x:v>General debt payoff</x:v>
      </x:c>
      <x:c r="AI232" s="13" t="n">
        <x:v>3</x:v>
      </x:c>
      <x:c r="AJ232" s="10" t="str">
        <x:f>IF(F232&gt;0,"Active","No est. sales")</x:f>
        <x:v>No est. sales</x:v>
      </x:c>
    </x:row>
    <x:row r="233">
      <x:c r="A233" s="10" t="str">
        <x:v>Snowball Debt Payoff Planner, Payment Tracker and Budget Planner, A Simple Plan for Paying off Credit Card Debt, Loans, and Mortgages</x:v>
      </x:c>
      <x:c r="B233" s="10" t="str">
        <x:v>https://www.etsy.com/listing/1840041118/snowball-debt-payoff-planner-payment</x:v>
      </x:c>
      <x:c r="C233" s="10" t="str">
        <x:v>MotivNationHub</x:v>
      </x:c>
      <x:c r="D233" s="10" t="str">
        <x:v>https://www.etsy.com/shop/MotivNationHub</x:v>
      </x:c>
      <x:c r="E233" s="11" t="n">
        <x:v>38.89</x:v>
      </x:c>
      <x:c r="F233" s="10" t="n">
        <x:v>0</x:v>
      </x:c>
      <x:c r="G233" s="12" t="n">
        <x:v>0</x:v>
      </x:c>
      <x:c r="H233" s="13" t="n">
        <x:v>0</x:v>
      </x:c>
      <x:c r="I233" s="10" t="n">
        <x:v>0</x:v>
      </x:c>
      <x:c r="J233" s="10" t="n">
        <x:v>0</x:v>
      </x:c>
      <x:c r="K233" s="10" t="str">
        <x:v>3 Mo.</x:v>
      </x:c>
      <x:c r="L233" s="10" t="n">
        <x:v>2</x:v>
      </x:c>
      <x:c r="M233" s="10" t="n">
        <x:v>0</x:v>
      </x:c>
      <x:c r="N233" s="10" t="n">
        <x:v>56</x:v>
      </x:c>
      <x:c r="O233" s="10" t="str">
        <x:v>Books, Movies &amp; Music</x:v>
      </x:c>
      <x:c r="P233" s="10" t="n">
        <x:v>20</x:v>
      </x:c>
      <x:c r="Q233" s="10" t="n">
        <x:v>0</x:v>
      </x:c>
      <x:c r="R233" s="13" t="n">
        <x:v>0</x:v>
      </x:c>
      <x:c r="S233" s="10" t="n">
        <x:v>21</x:v>
      </x:c>
      <x:c r="T233" s="10" t="str">
        <x:v>debt snowball,debt payment,tracker debt,payoff tracker,debt payoff,debt tracker planner,notebook debt payoff,debt tracker,debt payoff tracker,debt payoff planner,financial planner,money tracker,credit card payoff</x:v>
      </x:c>
      <x:c r="U233" s="10" t="str">
        <x:v>debt snowball</x:v>
      </x:c>
      <x:c r="V233" s="10" t="str">
        <x:v>debt payment</x:v>
      </x:c>
      <x:c r="W233" s="10" t="str">
        <x:v>tracker debt</x:v>
      </x:c>
      <x:c r="X233" s="10" t="str">
        <x:v>payoff tracker</x:v>
      </x:c>
      <x:c r="Y233" s="10" t="str">
        <x:v>debt payoff</x:v>
      </x:c>
      <x:c r="Z233" s="10" t="str">
        <x:v>debt tracker planner</x:v>
      </x:c>
      <x:c r="AA233" s="10" t="str">
        <x:v>notebook debt payoff</x:v>
      </x:c>
      <x:c r="AB233" s="10" t="str">
        <x:v>debt tracker</x:v>
      </x:c>
      <x:c r="AC233" s="10" t="str">
        <x:v>debt payoff tracker</x:v>
      </x:c>
      <x:c r="AD233" s="10" t="str">
        <x:v>debt payoff planner</x:v>
      </x:c>
      <x:c r="AE233" s="10" t="str">
        <x:v>financial planner</x:v>
      </x:c>
      <x:c r="AF233" s="10" t="str">
        <x:v>money tracker</x:v>
      </x:c>
      <x:c r="AG233" s="10" t="str">
        <x:v>credit card payoff</x:v>
      </x:c>
      <x:c r="AH233" s="10" t="str">
        <x:v>General debt payoff</x:v>
      </x:c>
      <x:c r="AI233" s="13" t="n">
        <x:v>3</x:v>
      </x:c>
      <x:c r="AJ233" s="10" t="str">
        <x:f>IF(F233&gt;0,"Active","No est. sales")</x:f>
        <x:v>No est. sales</x:v>
      </x:c>
    </x:row>
    <x:row r="234">
      <x:c r="A234" s="10" t="str">
        <x:v>Pink Debt Tracker: Printable Payoff Log &amp; Financial Plan (Digital Download)</x:v>
      </x:c>
      <x:c r="B234" s="10" t="str">
        <x:v>https://www.etsy.com/listing/4351170041/pink-debt-tracker-printable-payoff-log</x:v>
      </x:c>
      <x:c r="C234" s="10" t="str">
        <x:v>CozyPlannerscoDesign</x:v>
      </x:c>
      <x:c r="D234" s="10" t="str">
        <x:v>https://www.etsy.com/shop/CozyPlannerscoDesign</x:v>
      </x:c>
      <x:c r="E234" s="11" t="n">
        <x:v>2.99</x:v>
      </x:c>
      <x:c r="F234" s="10" t="n">
        <x:v>0</x:v>
      </x:c>
      <x:c r="G234" s="12" t="n">
        <x:v>0</x:v>
      </x:c>
      <x:c r="H234" s="13" t="n">
        <x:v>0</x:v>
      </x:c>
      <x:c r="I234" s="10" t="n">
        <x:v>0</x:v>
      </x:c>
      <x:c r="J234" s="10" t="n">
        <x:v>0</x:v>
      </x:c>
      <x:c r="K234" s="10" t="str">
        <x:v>2 Mo.</x:v>
      </x:c>
      <x:c r="L234" s="10" t="n">
        <x:v>0</x:v>
      </x:c>
      <x:c r="M234" s="10" t="n">
        <x:v>0</x:v>
      </x:c>
      <x:c r="N234" s="10" t="n">
        <x:v>3</x:v>
      </x:c>
      <x:c r="O234" s="10" t="str"/>
      <x:c r="P234" s="10" t="n">
        <x:v>3</x:v>
      </x:c>
      <x:c r="Q234" s="10" t="n">
        <x:v>0</x:v>
      </x:c>
      <x:c r="R234" s="13" t="n">
        <x:v>0</x:v>
      </x:c>
      <x:c r="S234" s="10" t="n">
        <x:v>57</x:v>
      </x:c>
      <x:c r="T234" s="10" t="str">
        <x:v>debt snowball,debt tracker,payoff tracker,digital debt tracker,financial planner,financial tracker,debt spreadsheet,debt planner,income expense,credit utilization,debt avalanche,mortgage payoff,credit card payoff</x:v>
      </x:c>
      <x:c r="U234" s="10" t="str">
        <x:v>debt snowball</x:v>
      </x:c>
      <x:c r="V234" s="10" t="str">
        <x:v>debt tracker</x:v>
      </x:c>
      <x:c r="W234" s="10" t="str">
        <x:v>payoff tracker</x:v>
      </x:c>
      <x:c r="X234" s="10" t="str">
        <x:v>digital debt tracker</x:v>
      </x:c>
      <x:c r="Y234" s="10" t="str">
        <x:v>financial planner</x:v>
      </x:c>
      <x:c r="Z234" s="10" t="str">
        <x:v>financial tracker</x:v>
      </x:c>
      <x:c r="AA234" s="10" t="str">
        <x:v>debt spreadsheet</x:v>
      </x:c>
      <x:c r="AB234" s="10" t="str">
        <x:v>debt planner</x:v>
      </x:c>
      <x:c r="AC234" s="10" t="str">
        <x:v>income expense</x:v>
      </x:c>
      <x:c r="AD234" s="10" t="str">
        <x:v>credit utilization</x:v>
      </x:c>
      <x:c r="AE234" s="10" t="str">
        <x:v>debt avalanche</x:v>
      </x:c>
      <x:c r="AF234" s="10" t="str">
        <x:v>mortgage payoff</x:v>
      </x:c>
      <x:c r="AG234" s="10" t="str">
        <x:v>credit card payoff</x:v>
      </x:c>
      <x:c r="AH234" s="10" t="str">
        <x:v>General debt payoff</x:v>
      </x:c>
      <x:c r="AI234" s="13" t="n">
        <x:v>2</x:v>
      </x:c>
      <x:c r="AJ234" s="10" t="str">
        <x:f>IF(F234&gt;0,"Active","No est. sales")</x:f>
        <x:v>No est. sales</x:v>
      </x:c>
    </x:row>
    <x:row r="235">
      <x:c r="A235" s="10" t="str">
        <x:v>First-Time Homebuyer Planner | Printable Home Buying Checklist, Budget Worksheets &amp; Dream Home Tracker (Digital Download)</x:v>
      </x:c>
      <x:c r="B235" s="10" t="str">
        <x:v>https://www.etsy.com/listing/4305553163/first-time-homebuyer-planner-printable</x:v>
      </x:c>
      <x:c r="C235" s="10" t="str">
        <x:v>DigitalPlanitHQ</x:v>
      </x:c>
      <x:c r="D235" s="10" t="str">
        <x:v>https://www.etsy.com/shop/DigitalPlanitHQ</x:v>
      </x:c>
      <x:c r="E235" s="11" t="n">
        <x:v>7.28</x:v>
      </x:c>
      <x:c r="F235" s="10" t="n">
        <x:v>0</x:v>
      </x:c>
      <x:c r="G235" s="12" t="n">
        <x:v>0</x:v>
      </x:c>
      <x:c r="H235" s="13" t="n">
        <x:v>0</x:v>
      </x:c>
      <x:c r="I235" s="10" t="n">
        <x:v>0</x:v>
      </x:c>
      <x:c r="J235" s="10" t="n">
        <x:v>0</x:v>
      </x:c>
      <x:c r="K235" s="10" t="str">
        <x:v>8 Mo.</x:v>
      </x:c>
      <x:c r="L235" s="10" t="n">
        <x:v>1</x:v>
      </x:c>
      <x:c r="M235" s="10" t="n">
        <x:v>0</x:v>
      </x:c>
      <x:c r="N235" s="10" t="n">
        <x:v>23</x:v>
      </x:c>
      <x:c r="O235" s="10" t="str"/>
      <x:c r="P235" s="10" t="n">
        <x:v>20</x:v>
      </x:c>
      <x:c r="Q235" s="10" t="n">
        <x:v>0</x:v>
      </x:c>
      <x:c r="R235" s="13" t="n">
        <x:v>0</x:v>
      </x:c>
      <x:c r="S235" s="10" t="n">
        <x:v>0</x:v>
      </x:c>
      <x:c r="T235" s="10" t="str">
        <x:v>home buying planner,first time homebuyer,homeowner checklist,mortgage checklist,printable planner,digital home planner,real estate tools,home purchase track,housebuying workbook,homebuying checklist,realtor client gift,homebuying worksheet</x:v>
      </x:c>
      <x:c r="U235" s="10" t="str">
        <x:v>home buying planner</x:v>
      </x:c>
      <x:c r="V235" s="10" t="str">
        <x:v>first time homebuyer</x:v>
      </x:c>
      <x:c r="W235" s="10" t="str">
        <x:v>homeowner checklist</x:v>
      </x:c>
      <x:c r="X235" s="10" t="str">
        <x:v>mortgage checklist</x:v>
      </x:c>
      <x:c r="Y235" s="10" t="str">
        <x:v>printable planner</x:v>
      </x:c>
      <x:c r="Z235" s="10" t="str">
        <x:v>digital home planner</x:v>
      </x:c>
      <x:c r="AA235" s="10" t="str">
        <x:v>real estate tools</x:v>
      </x:c>
      <x:c r="AB235" s="10" t="str">
        <x:v>home purchase track</x:v>
      </x:c>
      <x:c r="AC235" s="10" t="str">
        <x:v>housebuying workbook</x:v>
      </x:c>
      <x:c r="AD235" s="10" t="str">
        <x:v>homebuying checklist</x:v>
      </x:c>
      <x:c r="AE235" s="10" t="str">
        <x:v>realtor client gift</x:v>
      </x:c>
      <x:c r="AF235" s="10" t="str">
        <x:v>homebuying worksheet</x:v>
      </x:c>
      <x:c r="AG235" s="10" t="str">
        <x:v>--</x:v>
      </x:c>
      <x:c r="AH235" s="10" t="str">
        <x:v>Home buying planner</x:v>
      </x:c>
      <x:c r="AI235" s="13" t="n">
        <x:v>8</x:v>
      </x:c>
      <x:c r="AJ235" s="10" t="str">
        <x:f>IF(F235&gt;0,"Active","No est. sales")</x:f>
        <x:v>No est. sales</x:v>
      </x:c>
    </x:row>
    <x:row r="236">
      <x:c r="A236" s="10" t="str">
        <x:v>MORTGAGE PAYMENT | Utility Bills | tracker stickers | sticker sheet|Hand Drawn Stickers |For Planners, Bullet Journals, Scrapbooks.</x:v>
      </x:c>
      <x:c r="B236" s="10" t="str">
        <x:v>https://www.etsy.com/listing/948376218/mortgage-payment-utility-bills-tracker</x:v>
      </x:c>
      <x:c r="C236" s="10" t="str">
        <x:v>KwurkeeKrafts</x:v>
      </x:c>
      <x:c r="D236" s="10" t="str">
        <x:v>https://www.etsy.com/shop/KwurkeeKrafts</x:v>
      </x:c>
      <x:c r="E236" s="11" t="n">
        <x:v>1.24</x:v>
      </x:c>
      <x:c r="F236" s="10" t="n">
        <x:v>0</x:v>
      </x:c>
      <x:c r="G236" s="12" t="n">
        <x:v>0</x:v>
      </x:c>
      <x:c r="H236" s="13" t="n">
        <x:v>0</x:v>
      </x:c>
      <x:c r="I236" s="10" t="n">
        <x:v>0</x:v>
      </x:c>
      <x:c r="J236" s="10" t="n">
        <x:v>0</x:v>
      </x:c>
      <x:c r="K236" s="10" t="str">
        <x:v>47 Mo.</x:v>
      </x:c>
      <x:c r="L236" s="10" t="n">
        <x:v>10</x:v>
      </x:c>
      <x:c r="M236" s="10" t="n">
        <x:v>0</x:v>
      </x:c>
      <x:c r="N236" s="10" t="n">
        <x:v>73</x:v>
      </x:c>
      <x:c r="O236" s="10" t="str">
        <x:v>Paper &amp; Party Supplies</x:v>
      </x:c>
      <x:c r="P236" s="10" t="n">
        <x:v>62</x:v>
      </x:c>
      <x:c r="Q236" s="10" t="n">
        <x:v>0</x:v>
      </x:c>
      <x:c r="R236" s="13" t="n">
        <x:v>0</x:v>
      </x:c>
      <x:c r="S236" s="10" t="n">
        <x:v>1280</x:v>
      </x:c>
      <x:c r="T236" s="10" t="str">
        <x:v>tracker stickers,planner stickers,passion planner,bullet journal,kiss cut stickers,sticker sheet,hand drawn stickers,bill trackers,payment tracker,rent payment,rent due,mortgage tracker,mortgage payment</x:v>
      </x:c>
      <x:c r="U236" s="10" t="str">
        <x:v>tracker stickers</x:v>
      </x:c>
      <x:c r="V236" s="10" t="str">
        <x:v>planner stickers</x:v>
      </x:c>
      <x:c r="W236" s="10" t="str">
        <x:v>passion planner</x:v>
      </x:c>
      <x:c r="X236" s="10" t="str">
        <x:v>bullet journal</x:v>
      </x:c>
      <x:c r="Y236" s="10" t="str">
        <x:v>kiss cut stickers</x:v>
      </x:c>
      <x:c r="Z236" s="10" t="str">
        <x:v>sticker sheet</x:v>
      </x:c>
      <x:c r="AA236" s="10" t="str">
        <x:v>hand drawn stickers</x:v>
      </x:c>
      <x:c r="AB236" s="10" t="str">
        <x:v>bill trackers</x:v>
      </x:c>
      <x:c r="AC236" s="10" t="str">
        <x:v>payment tracker</x:v>
      </x:c>
      <x:c r="AD236" s="10" t="str">
        <x:v>rent payment</x:v>
      </x:c>
      <x:c r="AE236" s="10" t="str">
        <x:v>rent due</x:v>
      </x:c>
      <x:c r="AF236" s="10" t="str">
        <x:v>mortgage tracker</x:v>
      </x:c>
      <x:c r="AG236" s="10" t="str">
        <x:v>mortgage payment</x:v>
      </x:c>
      <x:c r="AH236" s="10" t="str">
        <x:v>Other mortgage-related</x:v>
      </x:c>
      <x:c r="AI236" s="13" t="n">
        <x:v>47</x:v>
      </x:c>
      <x:c r="AJ236" s="10" t="str">
        <x:f>IF(F236&gt;0,"Active","No est. sales")</x:f>
        <x:v>No est. sales</x:v>
      </x:c>
    </x:row>
    <x:row r="237">
      <x:c r="A237" s="10" t="str">
        <x:v>Debt Tracker Printable, Student Loan Planner, Mortgage Payment Tracker, Debt Tracker, Credit Card Tracker, Letter-sized, Printable Template</x:v>
      </x:c>
      <x:c r="B237" s="10" t="str">
        <x:v>https://www.etsy.com/listing/1740478360/debt-tracker-printable-student-loan</x:v>
      </x:c>
      <x:c r="C237" s="10" t="str">
        <x:v>BlnkSl8Designs</x:v>
      </x:c>
      <x:c r="D237" s="10" t="str">
        <x:v>https://www.etsy.com/shop/BlnkSl8Designs</x:v>
      </x:c>
      <x:c r="E237" s="11" t="n">
        <x:v>10</x:v>
      </x:c>
      <x:c r="F237" s="10" t="n">
        <x:v>0</x:v>
      </x:c>
      <x:c r="G237" s="12" t="n">
        <x:v>0</x:v>
      </x:c>
      <x:c r="H237" s="13" t="n">
        <x:v>0</x:v>
      </x:c>
      <x:c r="I237" s="10" t="n">
        <x:v>0</x:v>
      </x:c>
      <x:c r="J237" s="10" t="n">
        <x:v>0</x:v>
      </x:c>
      <x:c r="K237" s="10" t="str">
        <x:v>5 Mo.</x:v>
      </x:c>
      <x:c r="L237" s="10" t="n">
        <x:v>0</x:v>
      </x:c>
      <x:c r="M237" s="10" t="n">
        <x:v>0</x:v>
      </x:c>
      <x:c r="N237" s="10" t="n">
        <x:v>2</x:v>
      </x:c>
      <x:c r="O237" s="10" t="str"/>
      <x:c r="P237" s="10" t="n">
        <x:v>30</x:v>
      </x:c>
      <x:c r="Q237" s="10" t="n">
        <x:v>0</x:v>
      </x:c>
      <x:c r="R237" s="13" t="n">
        <x:v>0</x:v>
      </x:c>
      <x:c r="S237" s="10" t="n">
        <x:v>0</x:v>
      </x:c>
      <x:c r="T237" s="10" t="str">
        <x:v>debt tracker,finance organizer,debt payoff,debt-free,money manager,budget tool,finance tracker,debt,template,budget,financial,planner,tracker</x:v>
      </x:c>
      <x:c r="U237" s="10" t="str">
        <x:v>debt tracker</x:v>
      </x:c>
      <x:c r="V237" s="10" t="str">
        <x:v>finance organizer</x:v>
      </x:c>
      <x:c r="W237" s="10" t="str">
        <x:v>debt payoff</x:v>
      </x:c>
      <x:c r="X237" s="10" t="str">
        <x:v>debt-free</x:v>
      </x:c>
      <x:c r="Y237" s="10" t="str">
        <x:v>money manager</x:v>
      </x:c>
      <x:c r="Z237" s="10" t="str">
        <x:v>budget tool</x:v>
      </x:c>
      <x:c r="AA237" s="10" t="str">
        <x:v>finance tracker</x:v>
      </x:c>
      <x:c r="AB237" s="10" t="str">
        <x:v>debt</x:v>
      </x:c>
      <x:c r="AC237" s="10" t="str">
        <x:v>template</x:v>
      </x:c>
      <x:c r="AD237" s="10" t="str">
        <x:v>budget</x:v>
      </x:c>
      <x:c r="AE237" s="10" t="str">
        <x:v>financial</x:v>
      </x:c>
      <x:c r="AF237" s="10" t="str">
        <x:v>planner</x:v>
      </x:c>
      <x:c r="AG237" s="10" t="str">
        <x:v>tracker</x:v>
      </x:c>
      <x:c r="AH237" s="10" t="str">
        <x:v>General debt payoff</x:v>
      </x:c>
      <x:c r="AI237" s="13" t="n">
        <x:v>5</x:v>
      </x:c>
      <x:c r="AJ237" s="10" t="str">
        <x:f>IF(F237&gt;0,"Active","No est. sales")</x:f>
        <x:v>No est. sales</x:v>
      </x:c>
    </x:row>
    <x:row r="238">
      <x:c r="A238" s="10" t="str">
        <x:v>First time  Home Buyer’s Guide Realtor Tools</x:v>
      </x:c>
      <x:c r="B238" s="10" t="str">
        <x:v>https://www.etsy.com/listing/4354655542/first-time-home-buyers-guide-realtor</x:v>
      </x:c>
      <x:c r="C238" s="10" t="str">
        <x:v>LuxeSocialKit</x:v>
      </x:c>
      <x:c r="D238" s="10" t="str">
        <x:v>https://www.etsy.com/shop/LuxeSocialKit</x:v>
      </x:c>
      <x:c r="E238" s="11" t="n">
        <x:v>10.54</x:v>
      </x:c>
      <x:c r="F238" s="10" t="n">
        <x:v>0</x:v>
      </x:c>
      <x:c r="G238" s="12" t="n">
        <x:v>0</x:v>
      </x:c>
      <x:c r="H238" s="13" t="n">
        <x:v>0</x:v>
      </x:c>
      <x:c r="I238" s="10" t="n">
        <x:v>0</x:v>
      </x:c>
      <x:c r="J238" s="10" t="n">
        <x:v>0</x:v>
      </x:c>
      <x:c r="K238" s="10" t="str">
        <x:v>1 Mo.</x:v>
      </x:c>
      <x:c r="L238" s="10" t="n">
        <x:v>0</x:v>
      </x:c>
      <x:c r="M238" s="10" t="n">
        <x:v>0</x:v>
      </x:c>
      <x:c r="N238" s="10" t="n">
        <x:v>1</x:v>
      </x:c>
      <x:c r="O238" s="10" t="str">
        <x:v>Paper &amp; Party Supplies</x:v>
      </x:c>
      <x:c r="P238" s="10" t="n">
        <x:v>1</x:v>
      </x:c>
      <x:c r="Q238" s="10" t="n">
        <x:v>0</x:v>
      </x:c>
      <x:c r="R238" s="13" t="n">
        <x:v>0</x:v>
      </x:c>
      <x:c r="S238" s="10" t="n">
        <x:v>0</x:v>
      </x:c>
      <x:c r="T238" s="10" t="str">
        <x:v>home buyer guide,first-time homebuyer,printable checklist,home budget planner,real estate planner,home buying tips,digital download,mortgage planner,house hunting checklist,financial planner,home buying pdf,real estate toolkit,starter home guide</x:v>
      </x:c>
      <x:c r="U238" s="10" t="str">
        <x:v>home buyer guide</x:v>
      </x:c>
      <x:c r="V238" s="10" t="str">
        <x:v>first-time homebuyer</x:v>
      </x:c>
      <x:c r="W238" s="10" t="str">
        <x:v>printable checklist</x:v>
      </x:c>
      <x:c r="X238" s="10" t="str">
        <x:v>home budget planner</x:v>
      </x:c>
      <x:c r="Y238" s="10" t="str">
        <x:v>real estate planner</x:v>
      </x:c>
      <x:c r="Z238" s="10" t="str">
        <x:v>home buying tips</x:v>
      </x:c>
      <x:c r="AA238" s="10" t="str">
        <x:v>digital download</x:v>
      </x:c>
      <x:c r="AB238" s="10" t="str">
        <x:v>mortgage planner</x:v>
      </x:c>
      <x:c r="AC238" s="10" t="str">
        <x:v>house hunting checklist</x:v>
      </x:c>
      <x:c r="AD238" s="10" t="str">
        <x:v>financial planner</x:v>
      </x:c>
      <x:c r="AE238" s="10" t="str">
        <x:v>home buying pdf</x:v>
      </x:c>
      <x:c r="AF238" s="10" t="str">
        <x:v>real estate toolkit</x:v>
      </x:c>
      <x:c r="AG238" s="10" t="str">
        <x:v>starter home guide</x:v>
      </x:c>
      <x:c r="AH238" s="10" t="str">
        <x:v>Home buying planner</x:v>
      </x:c>
      <x:c r="AI238" s="13" t="n">
        <x:v>1</x:v>
      </x:c>
      <x:c r="AJ238" s="10" t="str">
        <x:f>IF(F238&gt;0,"Active","No est. sales")</x:f>
        <x:v>No est. sales</x:v>
      </x:c>
    </x:row>
    <x:row r="239">
      <x:c r="A239" s="10" t="str">
        <x:v>Printable Debt Repayment Tracker, Loan Payoff Tool (PDF)</x:v>
      </x:c>
      <x:c r="B239" s="10" t="str">
        <x:v>https://www.etsy.com/listing/1815032505/printable-debt-repayment-tracker-digital</x:v>
      </x:c>
      <x:c r="C239" s="10" t="str">
        <x:v>SwiftPrintTemps</x:v>
      </x:c>
      <x:c r="D239" s="10" t="str">
        <x:v>https://www.etsy.com/shop/SwiftPrintTemps</x:v>
      </x:c>
      <x:c r="E239" s="11" t="n">
        <x:v>0.73</x:v>
      </x:c>
      <x:c r="F239" s="10" t="n">
        <x:v>0</x:v>
      </x:c>
      <x:c r="G239" s="12" t="n">
        <x:v>0</x:v>
      </x:c>
      <x:c r="H239" s="13" t="n">
        <x:v>0</x:v>
      </x:c>
      <x:c r="I239" s="10" t="n">
        <x:v>0</x:v>
      </x:c>
      <x:c r="J239" s="10" t="n">
        <x:v>0</x:v>
      </x:c>
      <x:c r="K239" s="10" t="str">
        <x:v>16 Mo.</x:v>
      </x:c>
      <x:c r="L239" s="10" t="n">
        <x:v>2</x:v>
      </x:c>
      <x:c r="M239" s="10" t="n">
        <x:v>0</x:v>
      </x:c>
      <x:c r="N239" s="10" t="n">
        <x:v>50</x:v>
      </x:c>
      <x:c r="O239" s="10" t="str">
        <x:v>Paper &amp; Party Supplies</x:v>
      </x:c>
      <x:c r="P239" s="10" t="n">
        <x:v>18</x:v>
      </x:c>
      <x:c r="Q239" s="10" t="n">
        <x:v>0</x:v>
      </x:c>
      <x:c r="R239" s="13" t="n">
        <x:v>0</x:v>
      </x:c>
      <x:c r="S239" s="10" t="n">
        <x:v>1163</x:v>
      </x:c>
      <x:c r="T239" s="10" t="str">
        <x:v>debt avalanche,mortgage payoff,financial planner,debt template,debt snowball,student loan debt,debt payment tracker,credit utilization,credit card payoff,personal finance,debt payoff tracker,pdf budget,debt payoff chart</x:v>
      </x:c>
      <x:c r="U239" s="10" t="str">
        <x:v>debt avalanche</x:v>
      </x:c>
      <x:c r="V239" s="10" t="str">
        <x:v>mortgage payoff</x:v>
      </x:c>
      <x:c r="W239" s="10" t="str">
        <x:v>financial planner</x:v>
      </x:c>
      <x:c r="X239" s="10" t="str">
        <x:v>debt template</x:v>
      </x:c>
      <x:c r="Y239" s="10" t="str">
        <x:v>debt snowball</x:v>
      </x:c>
      <x:c r="Z239" s="10" t="str">
        <x:v>student loan debt</x:v>
      </x:c>
      <x:c r="AA239" s="10" t="str">
        <x:v>debt payment tracker</x:v>
      </x:c>
      <x:c r="AB239" s="10" t="str">
        <x:v>credit utilization</x:v>
      </x:c>
      <x:c r="AC239" s="10" t="str">
        <x:v>credit card payoff</x:v>
      </x:c>
      <x:c r="AD239" s="10" t="str">
        <x:v>personal finance</x:v>
      </x:c>
      <x:c r="AE239" s="10" t="str">
        <x:v>debt payoff tracker</x:v>
      </x:c>
      <x:c r="AF239" s="10" t="str">
        <x:v>pdf budget</x:v>
      </x:c>
      <x:c r="AG239" s="10" t="str">
        <x:v>debt payoff chart</x:v>
      </x:c>
      <x:c r="AH239" s="10" t="str">
        <x:v>General loan calculator</x:v>
      </x:c>
      <x:c r="AI239" s="13" t="n">
        <x:v>16</x:v>
      </x:c>
      <x:c r="AJ239" s="10" t="str">
        <x:f>IF(F239&gt;0,"Active","No est. sales")</x:f>
        <x:v>No est. sales</x:v>
      </x:c>
    </x:row>
    <x:row r="240">
      <x:c r="A240" s="10" t="str">
        <x:v>Home Buying Planner Bundle | Down Payment Planner, House Hunting Checklist &amp; Mortgage Toolkit</x:v>
      </x:c>
      <x:c r="B240" s="10" t="str">
        <x:v>https://www.etsy.com/listing/4517293667/home-buying-planner-bundle-down-payment</x:v>
      </x:c>
      <x:c r="C240" s="10" t="str">
        <x:v>CurlyGlamBudget</x:v>
      </x:c>
      <x:c r="D240" s="10" t="str">
        <x:v>https://www.etsy.com/shop/CurlyGlamBudget</x:v>
      </x:c>
      <x:c r="E240" s="11" t="n">
        <x:v>9.99</x:v>
      </x:c>
      <x:c r="F240" s="10" t="n">
        <x:v>0</x:v>
      </x:c>
      <x:c r="G240" s="12" t="n">
        <x:v>0</x:v>
      </x:c>
      <x:c r="H240" s="13" t="n">
        <x:v>0</x:v>
      </x:c>
      <x:c r="I240" s="10" t="n">
        <x:v>0</x:v>
      </x:c>
      <x:c r="J240" s="10" t="n">
        <x:v>0</x:v>
      </x:c>
      <x:c r="K240" s="10" t="str">
        <x:v>1 Mo.</x:v>
      </x:c>
      <x:c r="L240" s="10" t="n">
        <x:v>2</x:v>
      </x:c>
      <x:c r="M240" s="10" t="n">
        <x:v>0</x:v>
      </x:c>
      <x:c r="N240" s="10" t="n">
        <x:v>34</x:v>
      </x:c>
      <x:c r="O240" s="10" t="str"/>
      <x:c r="P240" s="10" t="n">
        <x:v>1</x:v>
      </x:c>
      <x:c r="Q240" s="10" t="n">
        <x:v>0</x:v>
      </x:c>
      <x:c r="R240" s="13" t="n">
        <x:v>0</x:v>
      </x:c>
      <x:c r="S240" s="10" t="n">
        <x:v>24</x:v>
      </x:c>
      <x:c r="T240" s="10" t="str">
        <x:v>first time homebuyer,home buying planner,house planner,home planner,budget printable,budget planner,house hunting,homeownership,printable pdf,home workbook,home checklist,mortgage planner,dream home planner</x:v>
      </x:c>
      <x:c r="U240" s="10" t="str">
        <x:v>first time homebuyer</x:v>
      </x:c>
      <x:c r="V240" s="10" t="str">
        <x:v>home buying planner</x:v>
      </x:c>
      <x:c r="W240" s="10" t="str">
        <x:v>house planner</x:v>
      </x:c>
      <x:c r="X240" s="10" t="str">
        <x:v>home planner</x:v>
      </x:c>
      <x:c r="Y240" s="10" t="str">
        <x:v>budget printable</x:v>
      </x:c>
      <x:c r="Z240" s="10" t="str">
        <x:v>budget planner</x:v>
      </x:c>
      <x:c r="AA240" s="10" t="str">
        <x:v>house hunting</x:v>
      </x:c>
      <x:c r="AB240" s="10" t="str">
        <x:v>homeownership</x:v>
      </x:c>
      <x:c r="AC240" s="10" t="str">
        <x:v>printable pdf</x:v>
      </x:c>
      <x:c r="AD240" s="10" t="str">
        <x:v>home workbook</x:v>
      </x:c>
      <x:c r="AE240" s="10" t="str">
        <x:v>home checklist</x:v>
      </x:c>
      <x:c r="AF240" s="10" t="str">
        <x:v>mortgage planner</x:v>
      </x:c>
      <x:c r="AG240" s="10" t="str">
        <x:v>dream home planner</x:v>
      </x:c>
      <x:c r="AH240" s="10" t="str">
        <x:v>Home buying planner</x:v>
      </x:c>
      <x:c r="AI240" s="13" t="n">
        <x:v>1</x:v>
      </x:c>
      <x:c r="AJ240" s="10" t="str">
        <x:f>IF(F240&gt;0,"Active","No est. sales")</x:f>
        <x:v>No est. sales</x:v>
      </x:c>
    </x:row>
    <x:row r="241">
      <x:c r="A241" s="10" t="str">
        <x:v>Debt Payoff Planner-Black &amp; White</x:v>
      </x:c>
      <x:c r="B241" s="10" t="str">
        <x:v>https://www.etsy.com/listing/1120382020/debt-payoff-planner-black-white</x:v>
      </x:c>
      <x:c r="C241" s="10" t="str">
        <x:v>MindfulwithMelissa</x:v>
      </x:c>
      <x:c r="D241" s="10" t="str">
        <x:v>https://www.etsy.com/shop/MindfulwithMelissa</x:v>
      </x:c>
      <x:c r="E241" s="11" t="n">
        <x:v>4.98</x:v>
      </x:c>
      <x:c r="F241" s="10" t="n">
        <x:v>0</x:v>
      </x:c>
      <x:c r="G241" s="12" t="n">
        <x:v>0</x:v>
      </x:c>
      <x:c r="H241" s="13" t="n">
        <x:v>0</x:v>
      </x:c>
      <x:c r="I241" s="10" t="n">
        <x:v>0</x:v>
      </x:c>
      <x:c r="J241" s="10" t="n">
        <x:v>0</x:v>
      </x:c>
      <x:c r="K241" s="10" t="str">
        <x:v>47 Mo.</x:v>
      </x:c>
      <x:c r="L241" s="10" t="n">
        <x:v>5</x:v>
      </x:c>
      <x:c r="M241" s="10" t="n">
        <x:v>0</x:v>
      </x:c>
      <x:c r="N241" s="10" t="n">
        <x:v>64</x:v>
      </x:c>
      <x:c r="O241" s="10" t="str">
        <x:v>Paper &amp; Party Supplies</x:v>
      </x:c>
      <x:c r="P241" s="10" t="n">
        <x:v>60</x:v>
      </x:c>
      <x:c r="Q241" s="10" t="n">
        <x:v>0</x:v>
      </x:c>
      <x:c r="R241" s="13" t="n">
        <x:v>0</x:v>
      </x:c>
      <x:c r="S241" s="10" t="n">
        <x:v>68</x:v>
      </x:c>
      <x:c r="T241" s="10" t="str">
        <x:v>mortgage payoff,car payoff,credit card debt,finance tracker,debt snowball,happy planner,budget planner,a5 binder,a4 printable,student loan payoff,zero based budget,2023 budget sheet</x:v>
      </x:c>
      <x:c r="U241" s="10" t="str">
        <x:v>mortgage payoff</x:v>
      </x:c>
      <x:c r="V241" s="10" t="str">
        <x:v>car payoff</x:v>
      </x:c>
      <x:c r="W241" s="10" t="str">
        <x:v>credit card debt</x:v>
      </x:c>
      <x:c r="X241" s="10" t="str">
        <x:v>finance tracker</x:v>
      </x:c>
      <x:c r="Y241" s="10" t="str">
        <x:v>debt snowball</x:v>
      </x:c>
      <x:c r="Z241" s="10" t="str">
        <x:v>happy planner</x:v>
      </x:c>
      <x:c r="AA241" s="10" t="str">
        <x:v>budget planner</x:v>
      </x:c>
      <x:c r="AB241" s="10" t="str">
        <x:v>a5 binder</x:v>
      </x:c>
      <x:c r="AC241" s="10" t="str">
        <x:v>a4 printable</x:v>
      </x:c>
      <x:c r="AD241" s="10" t="str">
        <x:v>student loan payoff</x:v>
      </x:c>
      <x:c r="AE241" s="10" t="str">
        <x:v>zero based budget</x:v>
      </x:c>
      <x:c r="AF241" s="10" t="str">
        <x:v>2023 budget sheet</x:v>
      </x:c>
      <x:c r="AG241" s="10" t="str">
        <x:v>--</x:v>
      </x:c>
      <x:c r="AH241" s="10" t="str">
        <x:v>General debt payoff</x:v>
      </x:c>
      <x:c r="AI241" s="13" t="n">
        <x:v>47</x:v>
      </x:c>
      <x:c r="AJ241" s="10" t="str">
        <x:f>IF(F241&gt;0,"Active","No est. sales")</x:f>
        <x:v>No est. sales</x:v>
      </x:c>
    </x:row>
    <x:row r="242">
      <x:c r="A242" s="10" t="str">
        <x:v>Amortization Calculator: Loan Payment Tracker for Google Sheets &amp; Excel (Digital Download</x:v>
      </x:c>
      <x:c r="B242" s="10" t="str">
        <x:v>https://www.etsy.com/listing/4325601895/amortization-calculator-loan-payment</x:v>
      </x:c>
      <x:c r="C242" s="10" t="str">
        <x:v>INSPIRACORE</x:v>
      </x:c>
      <x:c r="D242" s="10" t="str">
        <x:v>https://www.etsy.com/shop/INSPIRACORE</x:v>
      </x:c>
      <x:c r="E242" s="11" t="n">
        <x:v>11.77</x:v>
      </x:c>
      <x:c r="F242" s="10" t="n">
        <x:v>0</x:v>
      </x:c>
      <x:c r="G242" s="12" t="n">
        <x:v>0</x:v>
      </x:c>
      <x:c r="H242" s="13" t="n">
        <x:v>0</x:v>
      </x:c>
      <x:c r="I242" s="10" t="n">
        <x:v>0</x:v>
      </x:c>
      <x:c r="J242" s="10" t="n">
        <x:v>0</x:v>
      </x:c>
      <x:c r="K242" s="10" t="str">
        <x:v>6 Mo.</x:v>
      </x:c>
      <x:c r="L242" s="10" t="n">
        <x:v>1</x:v>
      </x:c>
      <x:c r="M242" s="10" t="n">
        <x:v>0</x:v>
      </x:c>
      <x:c r="N242" s="10" t="n">
        <x:v>114</x:v>
      </x:c>
      <x:c r="O242" s="10" t="str"/>
      <x:c r="P242" s="10" t="n">
        <x:v>17</x:v>
      </x:c>
      <x:c r="Q242" s="10" t="n">
        <x:v>0</x:v>
      </x:c>
      <x:c r="R242" s="13" t="n">
        <x:v>0</x:v>
      </x:c>
      <x:c r="S242" s="10" t="n">
        <x:v>198</x:v>
      </x:c>
      <x:c r="T242" s="10" t="str">
        <x:v>loan tracker sheet,loan payoff plan,debt payment chart,mortgage planner,excel loan tracker,loan calc template,loan tracker excel,amortization sheet,loan schedule tool,google loan sheet,interest calc tool,monthly payment log,finance budget tool</x:v>
      </x:c>
      <x:c r="U242" s="10" t="str">
        <x:v>loan tracker sheet</x:v>
      </x:c>
      <x:c r="V242" s="10" t="str">
        <x:v>loan payoff plan</x:v>
      </x:c>
      <x:c r="W242" s="10" t="str">
        <x:v>debt payment chart</x:v>
      </x:c>
      <x:c r="X242" s="10" t="str">
        <x:v>mortgage planner</x:v>
      </x:c>
      <x:c r="Y242" s="10" t="str">
        <x:v>excel loan tracker</x:v>
      </x:c>
      <x:c r="Z242" s="10" t="str">
        <x:v>loan calc template</x:v>
      </x:c>
      <x:c r="AA242" s="10" t="str">
        <x:v>loan tracker excel</x:v>
      </x:c>
      <x:c r="AB242" s="10" t="str">
        <x:v>amortization sheet</x:v>
      </x:c>
      <x:c r="AC242" s="10" t="str">
        <x:v>loan schedule tool</x:v>
      </x:c>
      <x:c r="AD242" s="10" t="str">
        <x:v>google loan sheet</x:v>
      </x:c>
      <x:c r="AE242" s="10" t="str">
        <x:v>interest calc tool</x:v>
      </x:c>
      <x:c r="AF242" s="10" t="str">
        <x:v>monthly payment log</x:v>
      </x:c>
      <x:c r="AG242" s="10" t="str">
        <x:v>finance budget tool</x:v>
      </x:c>
      <x:c r="AH242" s="10" t="str">
        <x:v>Other mortgage-related</x:v>
      </x:c>
      <x:c r="AI242" s="13" t="n">
        <x:v>6</x:v>
      </x:c>
      <x:c r="AJ242" s="10" t="str">
        <x:f>IF(F242&gt;0,"Active","No est. sales")</x:f>
        <x:v>No est. sales</x:v>
      </x:c>
    </x:row>
    <x:row r="243">
      <x:c r="A243" s="10" t="str">
        <x:v>First Time Home Buyer Savings Tracker | Down Payment, Credit &amp; Affordability | Excel, Google Sheets</x:v>
      </x:c>
      <x:c r="B243" s="10" t="str">
        <x:v>https://www.etsy.com/listing/4528196715/first-time-home-buyer-savings-tracker</x:v>
      </x:c>
      <x:c r="C243" s="10" t="str">
        <x:v>WAASDigital</x:v>
      </x:c>
      <x:c r="D243" s="10" t="str">
        <x:v>https://www.etsy.com/shop/WAASDigital</x:v>
      </x:c>
      <x:c r="E243" s="11" t="n">
        <x:v>7.96</x:v>
      </x:c>
      <x:c r="F243" s="10" t="n">
        <x:v>0</x:v>
      </x:c>
      <x:c r="G243" s="12" t="n">
        <x:v>0</x:v>
      </x:c>
      <x:c r="H243" s="13" t="n">
        <x:v>0</x:v>
      </x:c>
      <x:c r="I243" s="10" t="n">
        <x:v>0</x:v>
      </x:c>
      <x:c r="J243" s="10" t="n">
        <x:v>0</x:v>
      </x:c>
      <x:c r="K243" s="10" t="str">
        <x:v>1 Mo.</x:v>
      </x:c>
      <x:c r="L243" s="10" t="n">
        <x:v>0</x:v>
      </x:c>
      <x:c r="M243" s="10" t="n">
        <x:v>0</x:v>
      </x:c>
      <x:c r="N243" s="10" t="n">
        <x:v>0</x:v>
      </x:c>
      <x:c r="O243" s="10" t="str"/>
      <x:c r="P243" s="10" t="n">
        <x:v>1</x:v>
      </x:c>
      <x:c r="Q243" s="10" t="n">
        <x:v>0</x:v>
      </x:c>
      <x:c r="R243" s="13" t="n">
        <x:v>0</x:v>
      </x:c>
      <x:c r="S243" s="10" t="n">
        <x:v>0</x:v>
      </x:c>
      <x:c r="T243" s="10" t="str">
        <x:v>home buyer planner,first home tracker,mortgage ready,down payment saver,savings tracker,credit checklist,home buying guide,budget spreadsheet,first time buyer,closing cost list,google sheets,excel template,financial planner</x:v>
      </x:c>
      <x:c r="U243" s="10" t="str">
        <x:v>home buyer planner</x:v>
      </x:c>
      <x:c r="V243" s="10" t="str">
        <x:v>first home tracker</x:v>
      </x:c>
      <x:c r="W243" s="10" t="str">
        <x:v>mortgage ready</x:v>
      </x:c>
      <x:c r="X243" s="10" t="str">
        <x:v>down payment saver</x:v>
      </x:c>
      <x:c r="Y243" s="10" t="str">
        <x:v>savings tracker</x:v>
      </x:c>
      <x:c r="Z243" s="10" t="str">
        <x:v>credit checklist</x:v>
      </x:c>
      <x:c r="AA243" s="10" t="str">
        <x:v>home buying guide</x:v>
      </x:c>
      <x:c r="AB243" s="10" t="str">
        <x:v>budget spreadsheet</x:v>
      </x:c>
      <x:c r="AC243" s="10" t="str">
        <x:v>first time buyer</x:v>
      </x:c>
      <x:c r="AD243" s="10" t="str">
        <x:v>closing cost list</x:v>
      </x:c>
      <x:c r="AE243" s="10" t="str">
        <x:v>google sheets</x:v>
      </x:c>
      <x:c r="AF243" s="10" t="str">
        <x:v>excel template</x:v>
      </x:c>
      <x:c r="AG243" s="10" t="str">
        <x:v>financial planner</x:v>
      </x:c>
      <x:c r="AH243" s="10" t="str">
        <x:v>Home buying planner</x:v>
      </x:c>
      <x:c r="AI243" s="13" t="n">
        <x:v>1</x:v>
      </x:c>
      <x:c r="AJ243" s="10" t="str">
        <x:f>IF(F243&gt;0,"Active","No est. sales")</x:f>
        <x:v>No est. sales</x:v>
      </x:c>
    </x:row>
    <x:row r="244">
      <x:c r="A244" s="10" t="str">
        <x:v>The Financial Freedom Planner: Crush Debt &amp; Build Wealth</x:v>
      </x:c>
      <x:c r="B244" s="10" t="str">
        <x:v>https://www.etsy.com/listing/1870233142/the-financial-freedom-planner-crush-debt</x:v>
      </x:c>
      <x:c r="C244" s="10" t="str">
        <x:v>FoodologyFeeding</x:v>
      </x:c>
      <x:c r="D244" s="10" t="str">
        <x:v>https://www.etsy.com/shop/FoodologyFeeding</x:v>
      </x:c>
      <x:c r="E244" s="11" t="n">
        <x:v>25</x:v>
      </x:c>
      <x:c r="F244" s="10" t="n">
        <x:v>0</x:v>
      </x:c>
      <x:c r="G244" s="12" t="n">
        <x:v>0</x:v>
      </x:c>
      <x:c r="H244" s="13" t="n">
        <x:v>0</x:v>
      </x:c>
      <x:c r="I244" s="10" t="n">
        <x:v>0</x:v>
      </x:c>
      <x:c r="J244" s="10" t="n">
        <x:v>0</x:v>
      </x:c>
      <x:c r="K244" s="10" t="str">
        <x:v>12 Mo.</x:v>
      </x:c>
      <x:c r="L244" s="10" t="n">
        <x:v>0</x:v>
      </x:c>
      <x:c r="M244" s="10" t="n">
        <x:v>0</x:v>
      </x:c>
      <x:c r="N244" s="10" t="n">
        <x:v>34</x:v>
      </x:c>
      <x:c r="O244" s="10" t="str">
        <x:v>Paper &amp; Party Supplies</x:v>
      </x:c>
      <x:c r="P244" s="10" t="n">
        <x:v>13</x:v>
      </x:c>
      <x:c r="Q244" s="10" t="n">
        <x:v>0</x:v>
      </x:c>
      <x:c r="R244" s="13" t="n">
        <x:v>0</x:v>
      </x:c>
      <x:c r="S244" s="10" t="n">
        <x:v>0</x:v>
      </x:c>
      <x:c r="T244" s="10" t="str">
        <x:v>financial planner,debt repayment plan,wealth-building,budget planner,debt payoff tracker,mortgage payoff plan,envelope budgeting,personal finance,finance organizer,subscription tracker,emergency savings,savings tracker</x:v>
      </x:c>
      <x:c r="U244" s="10" t="str">
        <x:v>financial planner</x:v>
      </x:c>
      <x:c r="V244" s="10" t="str">
        <x:v>debt repayment plan</x:v>
      </x:c>
      <x:c r="W244" s="10" t="str">
        <x:v>wealth-building</x:v>
      </x:c>
      <x:c r="X244" s="10" t="str">
        <x:v>budget planner</x:v>
      </x:c>
      <x:c r="Y244" s="10" t="str">
        <x:v>debt payoff tracker</x:v>
      </x:c>
      <x:c r="Z244" s="10" t="str">
        <x:v>mortgage payoff plan</x:v>
      </x:c>
      <x:c r="AA244" s="10" t="str">
        <x:v>envelope budgeting</x:v>
      </x:c>
      <x:c r="AB244" s="10" t="str">
        <x:v>personal finance</x:v>
      </x:c>
      <x:c r="AC244" s="10" t="str">
        <x:v>finance organizer</x:v>
      </x:c>
      <x:c r="AD244" s="10" t="str">
        <x:v>subscription tracker</x:v>
      </x:c>
      <x:c r="AE244" s="10" t="str">
        <x:v>emergency savings</x:v>
      </x:c>
      <x:c r="AF244" s="10" t="str">
        <x:v>savings tracker</x:v>
      </x:c>
      <x:c r="AG244" s="10" t="str">
        <x:v>--</x:v>
      </x:c>
      <x:c r="AH244" s="10" t="str">
        <x:v>Other mortgage-related</x:v>
      </x:c>
      <x:c r="AI244" s="13" t="n">
        <x:v>12</x:v>
      </x:c>
      <x:c r="AJ244" s="10" t="str">
        <x:f>IF(F244&gt;0,"Active","No est. sales")</x:f>
        <x:v>No est. sales</x:v>
      </x:c>
    </x:row>
    <x:row r="245">
      <x:c r="A245" s="10" t="str">
        <x:v>Mortgage Payoff Tracker: Finance Planner (A4/A5/Letter/Half) (Instant Download)</x:v>
      </x:c>
      <x:c r="B245" s="10" t="str">
        <x:v>https://www.etsy.com/listing/4321364154/mortgage-payoff-tracker-finance-planner</x:v>
      </x:c>
      <x:c r="C245" s="10" t="str">
        <x:v>TheBudgetingBoy</x:v>
      </x:c>
      <x:c r="D245" s="10" t="str">
        <x:v>https://www.etsy.com/shop/TheBudgetingBoy</x:v>
      </x:c>
      <x:c r="E245" s="11" t="n">
        <x:v>2.03</x:v>
      </x:c>
      <x:c r="F245" s="10" t="n">
        <x:v>0</x:v>
      </x:c>
      <x:c r="G245" s="12" t="n">
        <x:v>0</x:v>
      </x:c>
      <x:c r="H245" s="13" t="n">
        <x:v>0</x:v>
      </x:c>
      <x:c r="I245" s="10" t="n">
        <x:v>0</x:v>
      </x:c>
      <x:c r="J245" s="10" t="n">
        <x:v>0</x:v>
      </x:c>
      <x:c r="K245" s="10" t="str">
        <x:v>8 Mo.</x:v>
      </x:c>
      <x:c r="L245" s="10" t="n">
        <x:v>2</x:v>
      </x:c>
      <x:c r="M245" s="10" t="n">
        <x:v>0</x:v>
      </x:c>
      <x:c r="N245" s="10" t="n">
        <x:v>58</x:v>
      </x:c>
      <x:c r="O245" s="10" t="str"/>
      <x:c r="P245" s="10" t="n">
        <x:v>29</x:v>
      </x:c>
      <x:c r="Q245" s="10" t="n">
        <x:v>0</x:v>
      </x:c>
      <x:c r="R245" s="13" t="n">
        <x:v>0</x:v>
      </x:c>
      <x:c r="S245" s="10" t="n">
        <x:v>1984</x:v>
      </x:c>
      <x:c r="T245" s="10" t="str">
        <x:v>instant pdf download,printable print,personal finance,a4 a5 letter half hp,page insert template,dave ramsey,simple minimalistic,planner worksheet,financial tracking,budget planner sheet,mortgage loan debt,payment tracker log,snowball payoff plan</x:v>
      </x:c>
      <x:c r="U245" s="10" t="str">
        <x:v>instant pdf download</x:v>
      </x:c>
      <x:c r="V245" s="10" t="str">
        <x:v>printable print</x:v>
      </x:c>
      <x:c r="W245" s="10" t="str">
        <x:v>personal finance</x:v>
      </x:c>
      <x:c r="X245" s="10" t="str">
        <x:v>a4 a5 letter half hp</x:v>
      </x:c>
      <x:c r="Y245" s="10" t="str">
        <x:v>page insert template</x:v>
      </x:c>
      <x:c r="Z245" s="10" t="str">
        <x:v>dave ramsey</x:v>
      </x:c>
      <x:c r="AA245" s="10" t="str">
        <x:v>simple minimalistic</x:v>
      </x:c>
      <x:c r="AB245" s="10" t="str">
        <x:v>planner worksheet</x:v>
      </x:c>
      <x:c r="AC245" s="10" t="str">
        <x:v>financial tracking</x:v>
      </x:c>
      <x:c r="AD245" s="10" t="str">
        <x:v>budget planner sheet</x:v>
      </x:c>
      <x:c r="AE245" s="10" t="str">
        <x:v>mortgage loan debt</x:v>
      </x:c>
      <x:c r="AF245" s="10" t="str">
        <x:v>payment tracker log</x:v>
      </x:c>
      <x:c r="AG245" s="10" t="str">
        <x:v>snowball payoff plan</x:v>
      </x:c>
      <x:c r="AH245" s="10" t="str">
        <x:v>Mortgage payoff / calculator</x:v>
      </x:c>
      <x:c r="AI245" s="13" t="n">
        <x:v>8</x:v>
      </x:c>
      <x:c r="AJ245" s="10" t="str">
        <x:f>IF(F245&gt;0,"Active","No est. sales")</x:f>
        <x:v>No est. sales</x:v>
      </x:c>
    </x:row>
    <x:row r="246">
      <x:c r="A246" s="10" t="str">
        <x:v>New Homeowner Budget Planner Spreadsheet | Home Maintenance Tracker Excel Google Sheets | Closing Costs Moving Checklist Template</x:v>
      </x:c>
      <x:c r="B246" s="10" t="str">
        <x:v>https://www.etsy.com/listing/4541356917/new-homeowner-budget-planner-spreadsheet</x:v>
      </x:c>
      <x:c r="C246" s="10" t="str">
        <x:v>LedgerandLoftDIGITAL</x:v>
      </x:c>
      <x:c r="D246" s="10" t="str">
        <x:v>https://www.etsy.com/shop/LedgerandLoftDIGITAL</x:v>
      </x:c>
      <x:c r="E246" s="11" t="n">
        <x:v>22.83</x:v>
      </x:c>
      <x:c r="F246" s="10" t="n">
        <x:v>0</x:v>
      </x:c>
      <x:c r="G246" s="12" t="n">
        <x:v>0</x:v>
      </x:c>
      <x:c r="H246" s="13" t="n">
        <x:v>0</x:v>
      </x:c>
      <x:c r="I246" s="10" t="n">
        <x:v>0</x:v>
      </x:c>
      <x:c r="J246" s="10" t="n">
        <x:v>0</x:v>
      </x:c>
      <x:c r="K246" s="10" t="str">
        <x:v>1 Mo.</x:v>
      </x:c>
      <x:c r="L246" s="10" t="n">
        <x:v>0</x:v>
      </x:c>
      <x:c r="M246" s="10" t="n">
        <x:v>0</x:v>
      </x:c>
      <x:c r="N246" s="10" t="n">
        <x:v>0</x:v>
      </x:c>
      <x:c r="O246" s="10" t="str"/>
      <x:c r="P246" s="10" t="n">
        <x:v>0</x:v>
      </x:c>
      <x:c r="Q246" s="10" t="n">
        <x:v>0</x:v>
      </x:c>
      <x:c r="R246" s="13" t="n">
        <x:v>0</x:v>
      </x:c>
      <x:c r="S246" s="10" t="n">
        <x:v>0</x:v>
      </x:c>
      <x:c r="T246" s="10" t="str">
        <x:v>new homeowner,home budget planner,home maintenance,closing costs,moving checklist,homeowner spreadsheet,excel template,google sheets,house maintenance,home buying planner,mortgage budget,first time homebuyer,home reserve fund</x:v>
      </x:c>
      <x:c r="U246" s="10" t="str">
        <x:v>new homeowner</x:v>
      </x:c>
      <x:c r="V246" s="10" t="str">
        <x:v>home budget planner</x:v>
      </x:c>
      <x:c r="W246" s="10" t="str">
        <x:v>home maintenance</x:v>
      </x:c>
      <x:c r="X246" s="10" t="str">
        <x:v>closing costs</x:v>
      </x:c>
      <x:c r="Y246" s="10" t="str">
        <x:v>moving checklist</x:v>
      </x:c>
      <x:c r="Z246" s="10" t="str">
        <x:v>homeowner spreadsheet</x:v>
      </x:c>
      <x:c r="AA246" s="10" t="str">
        <x:v>excel template</x:v>
      </x:c>
      <x:c r="AB246" s="10" t="str">
        <x:v>google sheets</x:v>
      </x:c>
      <x:c r="AC246" s="10" t="str">
        <x:v>house maintenance</x:v>
      </x:c>
      <x:c r="AD246" s="10" t="str">
        <x:v>home buying planner</x:v>
      </x:c>
      <x:c r="AE246" s="10" t="str">
        <x:v>mortgage budget</x:v>
      </x:c>
      <x:c r="AF246" s="10" t="str">
        <x:v>first time homebuyer</x:v>
      </x:c>
      <x:c r="AG246" s="10" t="str">
        <x:v>home reserve fund</x:v>
      </x:c>
      <x:c r="AH246" s="10" t="str">
        <x:v>Home buying planner</x:v>
      </x:c>
      <x:c r="AI246" s="13" t="n">
        <x:v>1</x:v>
      </x:c>
      <x:c r="AJ246" s="10" t="str">
        <x:f>IF(F246&gt;0,"Active","No est. sales")</x:f>
        <x:v>No est. sales</x:v>
      </x:c>
    </x:row>
    <x:row r="247">
      <x:c r="A247" s="10" t="str">
        <x:v>DEBT SNOWBALL TRACKER, Debt Payoff, Debt Tracker Printable, Dave Ramsey, Debt Payments, Finance Planner, Budget Planner, Debt Free Progress,</x:v>
      </x:c>
      <x:c r="B247" s="10" t="str">
        <x:v>https://www.etsy.com/listing/1144678076/debt-snowball-tracker-debt-payoff-debt</x:v>
      </x:c>
      <x:c r="C247" s="10" t="str">
        <x:v>CreativeJamCo</x:v>
      </x:c>
      <x:c r="D247" s="10" t="str">
        <x:v>https://www.etsy.com/shop/CreativeJamCo</x:v>
      </x:c>
      <x:c r="E247" s="11" t="n">
        <x:v>2.38</x:v>
      </x:c>
      <x:c r="F247" s="10" t="n">
        <x:v>0</x:v>
      </x:c>
      <x:c r="G247" s="12" t="n">
        <x:v>0</x:v>
      </x:c>
      <x:c r="H247" s="13" t="n">
        <x:v>0</x:v>
      </x:c>
      <x:c r="I247" s="10" t="n">
        <x:v>649</x:v>
      </x:c>
      <x:c r="J247" s="10" t="n">
        <x:v>65</x:v>
      </x:c>
      <x:c r="K247" s="10" t="str">
        <x:v>54 Mo.</x:v>
      </x:c>
      <x:c r="L247" s="10" t="n">
        <x:v>321</x:v>
      </x:c>
      <x:c r="M247" s="10" t="n">
        <x:v>1</x:v>
      </x:c>
      <x:c r="N247" s="10" t="n">
        <x:v>11166</x:v>
      </x:c>
      <x:c r="O247" s="10" t="str">
        <x:v>Paper &amp; Party Supplies</x:v>
      </x:c>
      <x:c r="P247" s="10" t="n">
        <x:v>77</x:v>
      </x:c>
      <x:c r="Q247" s="10" t="n">
        <x:v>57</x:v>
      </x:c>
      <x:c r="R247" s="13" t="n">
        <x:v>5.81</x:v>
      </x:c>
      <x:c r="S247" s="10" t="n">
        <x:v>391577</x:v>
      </x:c>
      <x:c r="T247" s="10" t="str">
        <x:v>printable,debt tracker,debt snowball,debt payoff tracker,debt payment tracker,dave ramsey,credit card tracker,mortgage tracker,financial tracker,budget planner,finance planner,spending tracker,budget tracker</x:v>
      </x:c>
      <x:c r="U247" s="10" t="str">
        <x:v>printable</x:v>
      </x:c>
      <x:c r="V247" s="10" t="str">
        <x:v>debt tracker</x:v>
      </x:c>
      <x:c r="W247" s="10" t="str">
        <x:v>debt snowball</x:v>
      </x:c>
      <x:c r="X247" s="10" t="str">
        <x:v>debt payoff tracker</x:v>
      </x:c>
      <x:c r="Y247" s="10" t="str">
        <x:v>debt payment tracker</x:v>
      </x:c>
      <x:c r="Z247" s="10" t="str">
        <x:v>dave ramsey</x:v>
      </x:c>
      <x:c r="AA247" s="10" t="str">
        <x:v>credit card tracker</x:v>
      </x:c>
      <x:c r="AB247" s="10" t="str">
        <x:v>mortgage tracker</x:v>
      </x:c>
      <x:c r="AC247" s="10" t="str">
        <x:v>financial tracker</x:v>
      </x:c>
      <x:c r="AD247" s="10" t="str">
        <x:v>budget planner</x:v>
      </x:c>
      <x:c r="AE247" s="10" t="str">
        <x:v>finance planner</x:v>
      </x:c>
      <x:c r="AF247" s="10" t="str">
        <x:v>spending tracker</x:v>
      </x:c>
      <x:c r="AG247" s="10" t="str">
        <x:v>budget tracker</x:v>
      </x:c>
      <x:c r="AH247" s="10" t="str">
        <x:v>General debt payoff</x:v>
      </x:c>
      <x:c r="AI247" s="13" t="n">
        <x:v>54</x:v>
      </x:c>
      <x:c r="AJ247" s="10" t="str">
        <x:f>IF(F247&gt;0,"Active","No est. sales")</x:f>
        <x:v>No est. sales</x:v>
      </x:c>
    </x:row>
    <x:row r="248">
      <x:c r="A248" s="10" t="str">
        <x:v>Editable Debt Payment Tracker, Debt Payoff Tracker Printable, Debt Payments, Debt Free Tracker, Credit Card Payoff, Debt Snowball Tracker</x:v>
      </x:c>
      <x:c r="B248" s="10" t="str">
        <x:v>https://www.etsy.com/listing/1502165650/editable-debt-payment-tracker-debt</x:v>
      </x:c>
      <x:c r="C248" s="10" t="str">
        <x:v>TrustPrintPlan</x:v>
      </x:c>
      <x:c r="D248" s="10" t="str">
        <x:v>https://www.etsy.com/shop/TrustPrintPlan</x:v>
      </x:c>
      <x:c r="E248" s="11" t="n">
        <x:v>2.21</x:v>
      </x:c>
      <x:c r="F248" s="10" t="n">
        <x:v>0</x:v>
      </x:c>
      <x:c r="G248" s="12" t="n">
        <x:v>0</x:v>
      </x:c>
      <x:c r="H248" s="13" t="n">
        <x:v>0</x:v>
      </x:c>
      <x:c r="I248" s="10" t="n">
        <x:v>26</x:v>
      </x:c>
      <x:c r="J248" s="10" t="n">
        <x:v>3</x:v>
      </x:c>
      <x:c r="K248" s="10" t="str">
        <x:v>36 Mo.</x:v>
      </x:c>
      <x:c r="L248" s="10" t="n">
        <x:v>35</x:v>
      </x:c>
      <x:c r="M248" s="10" t="n">
        <x:v>0</x:v>
      </x:c>
      <x:c r="N248" s="10" t="n">
        <x:v>375</x:v>
      </x:c>
      <x:c r="O248" s="10" t="str">
        <x:v>Paper &amp; Party Supplies</x:v>
      </x:c>
      <x:c r="P248" s="10" t="n">
        <x:v>49</x:v>
      </x:c>
      <x:c r="Q248" s="10" t="n">
        <x:v>0</x:v>
      </x:c>
      <x:c r="R248" s="13" t="n">
        <x:v>6.93</x:v>
      </x:c>
      <x:c r="S248" s="10" t="n">
        <x:v>76402</x:v>
      </x:c>
      <x:c r="T248" s="10" t="str">
        <x:v>credit card tracker,debt payment planner,mortgage tracker,debt snowball,debt pay off log,debt payment plan,editable debt payoff,financial tracker,debt free planner,repayment planner,debt payment tracker,loan payment tracker,debt free tracker</x:v>
      </x:c>
      <x:c r="U248" s="10" t="str">
        <x:v>credit card tracker</x:v>
      </x:c>
      <x:c r="V248" s="10" t="str">
        <x:v>debt payment planner</x:v>
      </x:c>
      <x:c r="W248" s="10" t="str">
        <x:v>mortgage tracker</x:v>
      </x:c>
      <x:c r="X248" s="10" t="str">
        <x:v>debt snowball</x:v>
      </x:c>
      <x:c r="Y248" s="10" t="str">
        <x:v>debt pay off log</x:v>
      </x:c>
      <x:c r="Z248" s="10" t="str">
        <x:v>debt payment plan</x:v>
      </x:c>
      <x:c r="AA248" s="10" t="str">
        <x:v>editable debt payoff</x:v>
      </x:c>
      <x:c r="AB248" s="10" t="str">
        <x:v>financial tracker</x:v>
      </x:c>
      <x:c r="AC248" s="10" t="str">
        <x:v>debt free planner</x:v>
      </x:c>
      <x:c r="AD248" s="10" t="str">
        <x:v>repayment planner</x:v>
      </x:c>
      <x:c r="AE248" s="10" t="str">
        <x:v>debt payment tracker</x:v>
      </x:c>
      <x:c r="AF248" s="10" t="str">
        <x:v>loan payment tracker</x:v>
      </x:c>
      <x:c r="AG248" s="10" t="str">
        <x:v>debt free tracker</x:v>
      </x:c>
      <x:c r="AH248" s="10" t="str">
        <x:v>General debt payoff</x:v>
      </x:c>
      <x:c r="AI248" s="13" t="n">
        <x:v>36</x:v>
      </x:c>
      <x:c r="AJ248" s="10" t="str">
        <x:f>IF(F248&gt;0,"Active","No est. sales")</x:f>
        <x:v>No est. sales</x:v>
      </x:c>
    </x:row>
    <x:row r="249">
      <x:c r="A249" s="10" t="str">
        <x:v>Debt Payoff Avalanche Spreadsheet Google Sheets Debt Payoff Tracker Debt Avalanche Calculator Student Loan Payoff Mortgage Debt Payoff Excel</x:v>
      </x:c>
      <x:c r="B249" s="10" t="str">
        <x:v>https://www.etsy.com/listing/1706103128/debt-payoff-avalanche-spreadsheet-google</x:v>
      </x:c>
      <x:c r="C249" s="10" t="str">
        <x:v>ExpertEasePro</x:v>
      </x:c>
      <x:c r="D249" s="10" t="str">
        <x:v>https://www.etsy.com/shop/ExpertEasePro</x:v>
      </x:c>
      <x:c r="E249" s="11" t="n">
        <x:v>6.65</x:v>
      </x:c>
      <x:c r="F249" s="10" t="n">
        <x:v>0</x:v>
      </x:c>
      <x:c r="G249" s="12" t="n">
        <x:v>0</x:v>
      </x:c>
      <x:c r="H249" s="13" t="n">
        <x:v>0</x:v>
      </x:c>
      <x:c r="I249" s="10" t="n">
        <x:v>41</x:v>
      </x:c>
      <x:c r="J249" s="10" t="n">
        <x:v>4</x:v>
      </x:c>
      <x:c r="K249" s="10" t="str">
        <x:v>27 Mo.</x:v>
      </x:c>
      <x:c r="L249" s="10" t="n">
        <x:v>21</x:v>
      </x:c>
      <x:c r="M249" s="10" t="n">
        <x:v>0</x:v>
      </x:c>
      <x:c r="N249" s="10" t="n">
        <x:v>858</x:v>
      </x:c>
      <x:c r="O249" s="10" t="str">
        <x:v>Paper &amp; Party Supplies</x:v>
      </x:c>
      <x:c r="P249" s="10" t="n">
        <x:v>35</x:v>
      </x:c>
      <x:c r="Q249" s="10" t="n">
        <x:v>0</x:v>
      </x:c>
      <x:c r="R249" s="13" t="n">
        <x:v>4.78</x:v>
      </x:c>
      <x:c r="S249" s="10" t="n">
        <x:v>5332</x:v>
      </x:c>
      <x:c r="T249" s="10" t="str">
        <x:v>debt payoff,debt tracker,student loan payoff,mortgage payoff,debt repayment,personal finance,debt track template,debt payoff planner,loan payoff template,debt repayment sheet,avalanche debt,debt avalanche,avalnche method</x:v>
      </x:c>
      <x:c r="U249" s="10" t="str">
        <x:v>debt payoff</x:v>
      </x:c>
      <x:c r="V249" s="10" t="str">
        <x:v>debt tracker</x:v>
      </x:c>
      <x:c r="W249" s="10" t="str">
        <x:v>student loan payoff</x:v>
      </x:c>
      <x:c r="X249" s="10" t="str">
        <x:v>mortgage payoff</x:v>
      </x:c>
      <x:c r="Y249" s="10" t="str">
        <x:v>debt repayment</x:v>
      </x:c>
      <x:c r="Z249" s="10" t="str">
        <x:v>personal finance</x:v>
      </x:c>
      <x:c r="AA249" s="10" t="str">
        <x:v>debt track template</x:v>
      </x:c>
      <x:c r="AB249" s="10" t="str">
        <x:v>debt payoff planner</x:v>
      </x:c>
      <x:c r="AC249" s="10" t="str">
        <x:v>loan payoff template</x:v>
      </x:c>
      <x:c r="AD249" s="10" t="str">
        <x:v>debt repayment sheet</x:v>
      </x:c>
      <x:c r="AE249" s="10" t="str">
        <x:v>avalanche debt</x:v>
      </x:c>
      <x:c r="AF249" s="10" t="str">
        <x:v>debt avalanche</x:v>
      </x:c>
      <x:c r="AG249" s="10" t="str">
        <x:v>avalnche method</x:v>
      </x:c>
      <x:c r="AH249" s="10" t="str">
        <x:v>General debt payoff</x:v>
      </x:c>
      <x:c r="AI249" s="13" t="n">
        <x:v>27</x:v>
      </x:c>
      <x:c r="AJ249" s="10" t="str">
        <x:f>IF(F249&gt;0,"Active","No est. sales")</x:f>
        <x:v>No est. sales</x:v>
      </x:c>
    </x:row>
    <x:row r="250">
      <x:c r="A250" s="10" t="str">
        <x:v>Debt Snowball Spreadsheet Debt Snowball Payoff Tracker Google Sheets Debt Snowball Calculator Student Loan Payoff Mortgage Debt Payoff Excel</x:v>
      </x:c>
      <x:c r="B250" s="10" t="str">
        <x:v>https://www.etsy.com/listing/1720284387/debt-snowball-spreadsheet-debt-snowball</x:v>
      </x:c>
      <x:c r="C250" s="10" t="str">
        <x:v>ExpertEasePro</x:v>
      </x:c>
      <x:c r="D250" s="10" t="str">
        <x:v>https://www.etsy.com/shop/ExpertEasePro</x:v>
      </x:c>
      <x:c r="E250" s="11" t="n">
        <x:v>6.65</x:v>
      </x:c>
      <x:c r="F250" s="10" t="n">
        <x:v>0</x:v>
      </x:c>
      <x:c r="G250" s="12" t="n">
        <x:v>0</x:v>
      </x:c>
      <x:c r="H250" s="13" t="n">
        <x:v>0</x:v>
      </x:c>
      <x:c r="I250" s="10" t="n">
        <x:v>51</x:v>
      </x:c>
      <x:c r="J250" s="10" t="n">
        <x:v>5</x:v>
      </x:c>
      <x:c r="K250" s="10" t="str">
        <x:v>27 Mo.</x:v>
      </x:c>
      <x:c r="L250" s="10" t="n">
        <x:v>10</x:v>
      </x:c>
      <x:c r="M250" s="10" t="n">
        <x:v>0</x:v>
      </x:c>
      <x:c r="N250" s="10" t="n">
        <x:v>431</x:v>
      </x:c>
      <x:c r="O250" s="10" t="str">
        <x:v>Paper &amp; Party Supplies</x:v>
      </x:c>
      <x:c r="P250" s="10" t="n">
        <x:v>35</x:v>
      </x:c>
      <x:c r="Q250" s="10" t="n">
        <x:v>0</x:v>
      </x:c>
      <x:c r="R250" s="13" t="n">
        <x:v>11.83</x:v>
      </x:c>
      <x:c r="S250" s="10" t="n">
        <x:v>5332</x:v>
      </x:c>
      <x:c r="T250" s="10" t="str">
        <x:v>debt snowball,debt payoff,debt tracker,student loan payoff,mortgage payoff,snowball method debt,debt repayment,personal finance,debt track template,debt payoff planner,loan payoff template,snowball debt,debt spreadsheet</x:v>
      </x:c>
      <x:c r="U250" s="10" t="str">
        <x:v>debt snowball</x:v>
      </x:c>
      <x:c r="V250" s="10" t="str">
        <x:v>debt payoff</x:v>
      </x:c>
      <x:c r="W250" s="10" t="str">
        <x:v>debt tracker</x:v>
      </x:c>
      <x:c r="X250" s="10" t="str">
        <x:v>student loan payoff</x:v>
      </x:c>
      <x:c r="Y250" s="10" t="str">
        <x:v>mortgage payoff</x:v>
      </x:c>
      <x:c r="Z250" s="10" t="str">
        <x:v>snowball method debt</x:v>
      </x:c>
      <x:c r="AA250" s="10" t="str">
        <x:v>debt repayment</x:v>
      </x:c>
      <x:c r="AB250" s="10" t="str">
        <x:v>personal finance</x:v>
      </x:c>
      <x:c r="AC250" s="10" t="str">
        <x:v>debt track template</x:v>
      </x:c>
      <x:c r="AD250" s="10" t="str">
        <x:v>debt payoff planner</x:v>
      </x:c>
      <x:c r="AE250" s="10" t="str">
        <x:v>loan payoff template</x:v>
      </x:c>
      <x:c r="AF250" s="10" t="str">
        <x:v>snowball debt</x:v>
      </x:c>
      <x:c r="AG250" s="10" t="str">
        <x:v>debt spreadsheet</x:v>
      </x:c>
      <x:c r="AH250" s="10" t="str">
        <x:v>General debt payoff</x:v>
      </x:c>
      <x:c r="AI250" s="13" t="n">
        <x:v>27</x:v>
      </x:c>
      <x:c r="AJ250" s="10" t="str">
        <x:f>IF(F250&gt;0,"Active","No est. sales")</x:f>
        <x:v>No est. sales</x:v>
      </x:c>
    </x:row>
    <x:row r="251">
      <x:c r="A251" s="10" t="str">
        <x:v>Rent Mortgage Planner Stickers | Payment, Bill Reminder, Finance Mini Icon Sticker Sheet</x:v>
      </x:c>
      <x:c r="B251" s="10" t="str">
        <x:v>https://www.etsy.com/listing/1861865899/rent-mortgage-stickers-mini-icons-rent</x:v>
      </x:c>
      <x:c r="C251" s="10" t="str">
        <x:v>BadgerAndInk</x:v>
      </x:c>
      <x:c r="D251" s="10" t="str">
        <x:v>https://www.etsy.com/shop/BadgerAndInk</x:v>
      </x:c>
      <x:c r="E251" s="11" t="n">
        <x:v>1.33</x:v>
      </x:c>
      <x:c r="F251" s="10" t="n">
        <x:v>0</x:v>
      </x:c>
      <x:c r="G251" s="12" t="n">
        <x:v>0</x:v>
      </x:c>
      <x:c r="H251" s="13" t="n">
        <x:v>0</x:v>
      </x:c>
      <x:c r="I251" s="10" t="n">
        <x:v>20</x:v>
      </x:c>
      <x:c r="J251" s="10" t="n">
        <x:v>3</x:v>
      </x:c>
      <x:c r="K251" s="10" t="str">
        <x:v>18 Mo.</x:v>
      </x:c>
      <x:c r="L251" s="10" t="n">
        <x:v>18</x:v>
      </x:c>
      <x:c r="M251" s="10" t="n">
        <x:v>0</x:v>
      </x:c>
      <x:c r="N251" s="10" t="n">
        <x:v>203</x:v>
      </x:c>
      <x:c r="O251" s="10" t="str">
        <x:v>Paper &amp; Party Supplies</x:v>
      </x:c>
      <x:c r="P251" s="10" t="n">
        <x:v>74</x:v>
      </x:c>
      <x:c r="Q251" s="10" t="n">
        <x:v>0</x:v>
      </x:c>
      <x:c r="R251" s="13" t="n">
        <x:v>9.85</x:v>
      </x:c>
      <x:c r="S251" s="10" t="n">
        <x:v>12757</x:v>
      </x:c>
      <x:c r="T251" s="10" t="str">
        <x:v>functional stickers,planner stickers,mini icon stickers,sticker sheet,tiny icon stickers,kiss cut stickers,minimalist stickers,matte stickers,planner accessories,icon sticker pack,rent due sticker,mortgage sticker,finance stickers</x:v>
      </x:c>
      <x:c r="U251" s="10" t="str">
        <x:v>functional stickers</x:v>
      </x:c>
      <x:c r="V251" s="10" t="str">
        <x:v>planner stickers</x:v>
      </x:c>
      <x:c r="W251" s="10" t="str">
        <x:v>mini icon stickers</x:v>
      </x:c>
      <x:c r="X251" s="10" t="str">
        <x:v>sticker sheet</x:v>
      </x:c>
      <x:c r="Y251" s="10" t="str">
        <x:v>tiny icon stickers</x:v>
      </x:c>
      <x:c r="Z251" s="10" t="str">
        <x:v>kiss cut stickers</x:v>
      </x:c>
      <x:c r="AA251" s="10" t="str">
        <x:v>minimalist stickers</x:v>
      </x:c>
      <x:c r="AB251" s="10" t="str">
        <x:v>matte stickers</x:v>
      </x:c>
      <x:c r="AC251" s="10" t="str">
        <x:v>planner accessories</x:v>
      </x:c>
      <x:c r="AD251" s="10" t="str">
        <x:v>icon sticker pack</x:v>
      </x:c>
      <x:c r="AE251" s="10" t="str">
        <x:v>rent due sticker</x:v>
      </x:c>
      <x:c r="AF251" s="10" t="str">
        <x:v>mortgage sticker</x:v>
      </x:c>
      <x:c r="AG251" s="10" t="str">
        <x:v>finance stickers</x:v>
      </x:c>
      <x:c r="AH251" s="10" t="str">
        <x:v>Other mortgage-related</x:v>
      </x:c>
      <x:c r="AI251" s="13" t="n">
        <x:v>18</x:v>
      </x:c>
      <x:c r="AJ251" s="10" t="str">
        <x:f>IF(F251&gt;0,"Active","No est. sales")</x:f>
        <x:v>No est. sales</x:v>
      </x:c>
    </x:row>
    <x:row r="252">
      <x:c r="A252" s="10" t="str">
        <x:v>Debt Payoff Planner (Excel)</x:v>
      </x:c>
      <x:c r="B252" s="10" t="str">
        <x:v>https://www.etsy.com/listing/4354540480/debt-payoff-planner-excel</x:v>
      </x:c>
      <x:c r="C252" s="10" t="str">
        <x:v>43eBusinessSolutions</x:v>
      </x:c>
      <x:c r="D252" s="10" t="str">
        <x:v>https://www.etsy.com/shop/43eBusinessSolutions</x:v>
      </x:c>
      <x:c r="E252" s="11" t="n">
        <x:v>4.99</x:v>
      </x:c>
      <x:c r="F252" s="10" t="n">
        <x:v>0</x:v>
      </x:c>
      <x:c r="G252" s="12" t="n">
        <x:v>0</x:v>
      </x:c>
      <x:c r="H252" s="13" t="n">
        <x:v>0</x:v>
      </x:c>
      <x:c r="I252" s="10" t="n">
        <x:v>0</x:v>
      </x:c>
      <x:c r="J252" s="10" t="n">
        <x:v>0</x:v>
      </x:c>
      <x:c r="K252" s="10" t="str">
        <x:v>11 Mo.</x:v>
      </x:c>
      <x:c r="L252" s="10" t="n">
        <x:v>0</x:v>
      </x:c>
      <x:c r="M252" s="10" t="n">
        <x:v>0</x:v>
      </x:c>
      <x:c r="N252" s="10" t="n">
        <x:v>7</x:v>
      </x:c>
      <x:c r="O252" s="10" t="str"/>
      <x:c r="P252" s="10" t="n">
        <x:v>15</x:v>
      </x:c>
      <x:c r="Q252" s="10" t="n">
        <x:v>0</x:v>
      </x:c>
      <x:c r="R252" s="13" t="n">
        <x:v>0</x:v>
      </x:c>
      <x:c r="S252" s="10" t="n">
        <x:v>1</x:v>
      </x:c>
      <x:c r="T252" s="10" t="str">
        <x:v>debt,credit card,student loan,budget planner excel,mortgage payoff plan,amortization plan,interest savings,early payoff planner,personal finance,financial dashboard,spreadsheet template</x:v>
      </x:c>
      <x:c r="U252" s="10" t="str">
        <x:v>debt</x:v>
      </x:c>
      <x:c r="V252" s="10" t="str">
        <x:v>credit card</x:v>
      </x:c>
      <x:c r="W252" s="10" t="str">
        <x:v>student loan</x:v>
      </x:c>
      <x:c r="X252" s="10" t="str">
        <x:v>budget planner excel</x:v>
      </x:c>
      <x:c r="Y252" s="10" t="str">
        <x:v>mortgage payoff plan</x:v>
      </x:c>
      <x:c r="Z252" s="10" t="str">
        <x:v>amortization plan</x:v>
      </x:c>
      <x:c r="AA252" s="10" t="str">
        <x:v>interest savings</x:v>
      </x:c>
      <x:c r="AB252" s="10" t="str">
        <x:v>early payoff planner</x:v>
      </x:c>
      <x:c r="AC252" s="10" t="str">
        <x:v>personal finance</x:v>
      </x:c>
      <x:c r="AD252" s="10" t="str">
        <x:v>financial dashboard</x:v>
      </x:c>
      <x:c r="AE252" s="10" t="str">
        <x:v>spreadsheet template</x:v>
      </x:c>
      <x:c r="AF252" s="10" t="str">
        <x:v>--</x:v>
      </x:c>
      <x:c r="AG252" s="10" t="str">
        <x:v>--</x:v>
      </x:c>
      <x:c r="AH252" s="10" t="str">
        <x:v>General debt payoff</x:v>
      </x:c>
      <x:c r="AI252" s="13" t="n">
        <x:v>11</x:v>
      </x:c>
      <x:c r="AJ252" s="10" t="str">
        <x:f>IF(F252&gt;0,"Active","No est. sales")</x:f>
        <x:v>No est. sales</x:v>
      </x:c>
    </x:row>
    <x:row r="253">
      <x:c r="A253" s="10" t="str">
        <x:v>Mortgage Loan Stickers | Choose from 6 fonts and multiple colors | Planner Stickers |WM001</x:v>
      </x:c>
      <x:c r="B253" s="10" t="str">
        <x:v>https://www.etsy.com/listing/4348402972/mortgage-loan-stickers-choose-from-6</x:v>
      </x:c>
      <x:c r="C253" s="10" t="str">
        <x:v>BeeSticker</x:v>
      </x:c>
      <x:c r="D253" s="10" t="str">
        <x:v>https://www.etsy.com/shop/BeeSticker</x:v>
      </x:c>
      <x:c r="E253" s="11" t="n">
        <x:v>2.05</x:v>
      </x:c>
      <x:c r="F253" s="10" t="n">
        <x:v>0</x:v>
      </x:c>
      <x:c r="G253" s="12" t="n">
        <x:v>0</x:v>
      </x:c>
      <x:c r="H253" s="13" t="n">
        <x:v>0</x:v>
      </x:c>
      <x:c r="I253" s="10" t="n">
        <x:v>0</x:v>
      </x:c>
      <x:c r="J253" s="10" t="n">
        <x:v>0</x:v>
      </x:c>
      <x:c r="K253" s="10" t="str">
        <x:v>11 Mo.</x:v>
      </x:c>
      <x:c r="L253" s="10" t="n">
        <x:v>0</x:v>
      </x:c>
      <x:c r="M253" s="10" t="n">
        <x:v>0</x:v>
      </x:c>
      <x:c r="N253" s="10" t="n">
        <x:v>19</x:v>
      </x:c>
      <x:c r="O253" s="10" t="str">
        <x:v>Paper &amp; Party Supplies</x:v>
      </x:c>
      <x:c r="P253" s="10" t="n">
        <x:v>36</x:v>
      </x:c>
      <x:c r="Q253" s="10" t="n">
        <x:v>0</x:v>
      </x:c>
      <x:c r="R253" s="13" t="n">
        <x:v>0</x:v>
      </x:c>
      <x:c r="S253" s="10" t="n">
        <x:v>2140</x:v>
      </x:c>
      <x:c r="T253" s="10" t="str">
        <x:v>loanpaymentdecals,homebuyerchecklist,amortizationsheet,refinancereminders,debtsnowballset,closingcosttracker,interestratesheet,househuntingdecals,dticalculatorsticker,equitygrowthsheet,mortgagegiftstickers,mortgagetracker,mortgagemilestone</x:v>
      </x:c>
      <x:c r="U253" s="10" t="str">
        <x:v>loanpaymentdecals</x:v>
      </x:c>
      <x:c r="V253" s="10" t="str">
        <x:v>homebuyerchecklist</x:v>
      </x:c>
      <x:c r="W253" s="10" t="str">
        <x:v>amortizationsheet</x:v>
      </x:c>
      <x:c r="X253" s="10" t="str">
        <x:v>refinancereminders</x:v>
      </x:c>
      <x:c r="Y253" s="10" t="str">
        <x:v>debtsnowballset</x:v>
      </x:c>
      <x:c r="Z253" s="10" t="str">
        <x:v>closingcosttracker</x:v>
      </x:c>
      <x:c r="AA253" s="10" t="str">
        <x:v>interestratesheet</x:v>
      </x:c>
      <x:c r="AB253" s="10" t="str">
        <x:v>househuntingdecals</x:v>
      </x:c>
      <x:c r="AC253" s="10" t="str">
        <x:v>dticalculatorsticker</x:v>
      </x:c>
      <x:c r="AD253" s="10" t="str">
        <x:v>equitygrowthsheet</x:v>
      </x:c>
      <x:c r="AE253" s="10" t="str">
        <x:v>mortgagegiftstickers</x:v>
      </x:c>
      <x:c r="AF253" s="10" t="str">
        <x:v>mortgagetracker</x:v>
      </x:c>
      <x:c r="AG253" s="10" t="str">
        <x:v>mortgagemilestone</x:v>
      </x:c>
      <x:c r="AH253" s="10" t="str">
        <x:v>Other mortgage-related</x:v>
      </x:c>
      <x:c r="AI253" s="13" t="n">
        <x:v>11</x:v>
      </x:c>
      <x:c r="AJ253" s="10" t="str">
        <x:f>IF(F253&gt;0,"Active","No est. sales")</x:f>
        <x:v>No est. sales</x:v>
      </x:c>
    </x:row>
    <x:row r="254">
      <x:c r="A254" s="10" t="str">
        <x:v>Mortgage Due Stickers - Planner Stickers 72</x:v>
      </x:c>
      <x:c r="B254" s="10" t="str">
        <x:v>https://www.etsy.com/listing/1558227686/mortgage-due-stickers-planner-stickers</x:v>
      </x:c>
      <x:c r="C254" s="10" t="str">
        <x:v>GraceHarperStickers</x:v>
      </x:c>
      <x:c r="D254" s="10" t="str">
        <x:v>https://www.etsy.com/shop/GraceHarperStickers</x:v>
      </x:c>
      <x:c r="E254" s="11" t="n">
        <x:v>4.35</x:v>
      </x:c>
      <x:c r="F254" s="10" t="n">
        <x:v>0</x:v>
      </x:c>
      <x:c r="G254" s="12" t="n">
        <x:v>0</x:v>
      </x:c>
      <x:c r="H254" s="13" t="n">
        <x:v>0</x:v>
      </x:c>
      <x:c r="I254" s="10" t="n">
        <x:v>21</x:v>
      </x:c>
      <x:c r="J254" s="10" t="n">
        <x:v>4</x:v>
      </x:c>
      <x:c r="K254" s="10" t="str">
        <x:v>34 Mo.</x:v>
      </x:c>
      <x:c r="L254" s="10" t="n">
        <x:v>32</x:v>
      </x:c>
      <x:c r="M254" s="10" t="n">
        <x:v>0</x:v>
      </x:c>
      <x:c r="N254" s="10" t="n">
        <x:v>237</x:v>
      </x:c>
      <x:c r="O254" s="10" t="str">
        <x:v>Paper &amp; Party Supplies</x:v>
      </x:c>
      <x:c r="P254" s="10" t="n">
        <x:v>47</x:v>
      </x:c>
      <x:c r="Q254" s="10" t="n">
        <x:v>0</x:v>
      </x:c>
      <x:c r="R254" s="13" t="n">
        <x:v>8.86</x:v>
      </x:c>
      <x:c r="S254" s="10" t="n">
        <x:v>14797</x:v>
      </x:c>
      <x:c r="T254" s="10" t="str">
        <x:v>planner stickers,bill due sticker,bill trackers,household stickers,rent due sticker,rent due tracker,pay rent sticker,mortgage stickers,rent stickers,mortgage sticker,mortgage tracker,mortgage due,pay bills stickers</x:v>
      </x:c>
      <x:c r="U254" s="10" t="str">
        <x:v>planner stickers</x:v>
      </x:c>
      <x:c r="V254" s="10" t="str">
        <x:v>bill due sticker</x:v>
      </x:c>
      <x:c r="W254" s="10" t="str">
        <x:v>bill trackers</x:v>
      </x:c>
      <x:c r="X254" s="10" t="str">
        <x:v>household stickers</x:v>
      </x:c>
      <x:c r="Y254" s="10" t="str">
        <x:v>rent due sticker</x:v>
      </x:c>
      <x:c r="Z254" s="10" t="str">
        <x:v>rent due tracker</x:v>
      </x:c>
      <x:c r="AA254" s="10" t="str">
        <x:v>pay rent sticker</x:v>
      </x:c>
      <x:c r="AB254" s="10" t="str">
        <x:v>mortgage stickers</x:v>
      </x:c>
      <x:c r="AC254" s="10" t="str">
        <x:v>rent stickers</x:v>
      </x:c>
      <x:c r="AD254" s="10" t="str">
        <x:v>mortgage sticker</x:v>
      </x:c>
      <x:c r="AE254" s="10" t="str">
        <x:v>mortgage tracker</x:v>
      </x:c>
      <x:c r="AF254" s="10" t="str">
        <x:v>mortgage due</x:v>
      </x:c>
      <x:c r="AG254" s="10" t="str">
        <x:v>pay bills stickers</x:v>
      </x:c>
      <x:c r="AH254" s="10" t="str">
        <x:v>Other mortgage-related</x:v>
      </x:c>
      <x:c r="AI254" s="13" t="n">
        <x:v>34</x:v>
      </x:c>
      <x:c r="AJ254" s="10" t="str">
        <x:f>IF(F254&gt;0,"Active","No est. sales")</x:f>
        <x:v>No est. sales</x:v>
      </x:c>
    </x:row>
    <x:row r="255">
      <x:c r="A255" s="10" t="str">
        <x:v>House/Mortgage Payment Doodle Icon planner Stickers</x:v>
      </x:c>
      <x:c r="B255" s="10" t="str">
        <x:v>https://www.etsy.com/listing/1452895900/housemortgage-payment-doodle-icon</x:v>
      </x:c>
      <x:c r="C255" s="10" t="str">
        <x:v>StickItPrettyShop</x:v>
      </x:c>
      <x:c r="D255" s="10" t="str">
        <x:v>https://www.etsy.com/shop/StickItPrettyShop</x:v>
      </x:c>
      <x:c r="E255" s="11" t="n">
        <x:v>3.79</x:v>
      </x:c>
      <x:c r="F255" s="10" t="n">
        <x:v>0</x:v>
      </x:c>
      <x:c r="G255" s="12" t="n">
        <x:v>0</x:v>
      </x:c>
      <x:c r="H255" s="13" t="n">
        <x:v>0</x:v>
      </x:c>
      <x:c r="I255" s="10" t="n">
        <x:v>0</x:v>
      </x:c>
      <x:c r="J255" s="10" t="n">
        <x:v>0</x:v>
      </x:c>
      <x:c r="K255" s="10" t="str">
        <x:v>39 Mo.</x:v>
      </x:c>
      <x:c r="L255" s="10" t="n">
        <x:v>11</x:v>
      </x:c>
      <x:c r="M255" s="10" t="n">
        <x:v>0</x:v>
      </x:c>
      <x:c r="N255" s="10" t="n">
        <x:v>45</x:v>
      </x:c>
      <x:c r="O255" s="10" t="str">
        <x:v>Paper &amp; Party Supplies</x:v>
      </x:c>
      <x:c r="P255" s="10" t="n">
        <x:v>82</x:v>
      </x:c>
      <x:c r="Q255" s="10" t="n">
        <x:v>0</x:v>
      </x:c>
      <x:c r="R255" s="13" t="n">
        <x:v>0</x:v>
      </x:c>
      <x:c r="S255" s="10" t="n">
        <x:v>10252</x:v>
      </x:c>
      <x:c r="T255" s="10" t="str">
        <x:v>planner stickers,icon stickers,functional stickers,personal planner,doodle icons,budget stickers,budgeting,monthly budget,aaaaa,loan repayment,debt tracker,mortgage payment,house payment</x:v>
      </x:c>
      <x:c r="U255" s="10" t="str">
        <x:v>planner stickers</x:v>
      </x:c>
      <x:c r="V255" s="10" t="str">
        <x:v>icon stickers</x:v>
      </x:c>
      <x:c r="W255" s="10" t="str">
        <x:v>functional stickers</x:v>
      </x:c>
      <x:c r="X255" s="10" t="str">
        <x:v>personal planner</x:v>
      </x:c>
      <x:c r="Y255" s="10" t="str">
        <x:v>doodle icons</x:v>
      </x:c>
      <x:c r="Z255" s="10" t="str">
        <x:v>budget stickers</x:v>
      </x:c>
      <x:c r="AA255" s="10" t="str">
        <x:v>budgeting</x:v>
      </x:c>
      <x:c r="AB255" s="10" t="str">
        <x:v>monthly budget</x:v>
      </x:c>
      <x:c r="AC255" s="10" t="str">
        <x:v>aaaaa</x:v>
      </x:c>
      <x:c r="AD255" s="10" t="str">
        <x:v>loan repayment</x:v>
      </x:c>
      <x:c r="AE255" s="10" t="str">
        <x:v>debt tracker</x:v>
      </x:c>
      <x:c r="AF255" s="10" t="str">
        <x:v>mortgage payment</x:v>
      </x:c>
      <x:c r="AG255" s="10" t="str">
        <x:v>house payment</x:v>
      </x:c>
      <x:c r="AH255" s="10" t="str">
        <x:v>Other mortgage-related</x:v>
      </x:c>
      <x:c r="AI255" s="13" t="n">
        <x:v>39</x:v>
      </x:c>
      <x:c r="AJ255" s="10" t="str">
        <x:f>IF(F255&gt;0,"Active","No est. sales")</x:f>
        <x:v>No est. sales</x:v>
      </x:c>
    </x:row>
    <x:row r="256">
      <x:c r="A256" s="10" t="str">
        <x:v>Home Mortgage Loan Sensitivity Comparison Calculator Spreadsheet: Excel &amp; Google Sheets (Digital Download)</x:v>
      </x:c>
      <x:c r="B256" s="10" t="str">
        <x:v>https://www.etsy.com/listing/4387345885/home-mortgage-loan-sensitivity</x:v>
      </x:c>
      <x:c r="C256" s="10" t="str">
        <x:v>TheDigitalBeanDesign</x:v>
      </x:c>
      <x:c r="D256" s="10" t="str">
        <x:v>https://www.etsy.com/shop/TheDigitalBeanDesign</x:v>
      </x:c>
      <x:c r="E256" s="11" t="n">
        <x:v>5.32</x:v>
      </x:c>
      <x:c r="F256" s="10" t="n">
        <x:v>0</x:v>
      </x:c>
      <x:c r="G256" s="12" t="n">
        <x:v>0</x:v>
      </x:c>
      <x:c r="H256" s="13" t="n">
        <x:v>0</x:v>
      </x:c>
      <x:c r="I256" s="10" t="n">
        <x:v>0</x:v>
      </x:c>
      <x:c r="J256" s="10" t="n">
        <x:v>0</x:v>
      </x:c>
      <x:c r="K256" s="10" t="str">
        <x:v>9 Mo.</x:v>
      </x:c>
      <x:c r="L256" s="10" t="n">
        <x:v>1</x:v>
      </x:c>
      <x:c r="M256" s="10" t="n">
        <x:v>0</x:v>
      </x:c>
      <x:c r="N256" s="10" t="n">
        <x:v>35</x:v>
      </x:c>
      <x:c r="O256" s="10" t="str"/>
      <x:c r="P256" s="10" t="n">
        <x:v>22</x:v>
      </x:c>
      <x:c r="Q256" s="10" t="n">
        <x:v>0</x:v>
      </x:c>
      <x:c r="R256" s="13" t="n">
        <x:v>0</x:v>
      </x:c>
      <x:c r="S256" s="10" t="n">
        <x:v>73</x:v>
      </x:c>
      <x:c r="T256" s="10" t="str">
        <x:v>interest rate review,saving money loans,real estate planner,house borrower money,rate comparison tool,debt snowball payoff,total cost analysis,financial budget,manage sensitivity,mortgage payoff calc,lending schedule,overpayment strategy,loan officer broker</x:v>
      </x:c>
      <x:c r="U256" s="10" t="str">
        <x:v>interest rate review</x:v>
      </x:c>
      <x:c r="V256" s="10" t="str">
        <x:v>saving money loans</x:v>
      </x:c>
      <x:c r="W256" s="10" t="str">
        <x:v>real estate planner</x:v>
      </x:c>
      <x:c r="X256" s="10" t="str">
        <x:v>house borrower money</x:v>
      </x:c>
      <x:c r="Y256" s="10" t="str">
        <x:v>rate comparison tool</x:v>
      </x:c>
      <x:c r="Z256" s="10" t="str">
        <x:v>debt snowball payoff</x:v>
      </x:c>
      <x:c r="AA256" s="10" t="str">
        <x:v>total cost analysis</x:v>
      </x:c>
      <x:c r="AB256" s="10" t="str">
        <x:v>financial budget</x:v>
      </x:c>
      <x:c r="AC256" s="10" t="str">
        <x:v>manage sensitivity</x:v>
      </x:c>
      <x:c r="AD256" s="10" t="str">
        <x:v>mortgage payoff calc</x:v>
      </x:c>
      <x:c r="AE256" s="10" t="str">
        <x:v>lending schedule</x:v>
      </x:c>
      <x:c r="AF256" s="10" t="str">
        <x:v>overpayment strategy</x:v>
      </x:c>
      <x:c r="AG256" s="10" t="str">
        <x:v>loan officer broker</x:v>
      </x:c>
      <x:c r="AH256" s="10" t="str">
        <x:v>Loan officer / B2B</x:v>
      </x:c>
      <x:c r="AI256" s="13" t="n">
        <x:v>9</x:v>
      </x:c>
      <x:c r="AJ256" s="10" t="str">
        <x:f>IF(F256&gt;0,"Active","No est. sales")</x:f>
        <x:v>No est. sales</x:v>
      </x:c>
    </x:row>
    <x:row r="257">
      <x:c r="A257" s="10" t="str">
        <x:v>Printable House Fund Tracker, Personal Finance Goals, Dream Home Savings Fund, Homeowner Mortgage Budget Planner, PDF Download, Cash Manager</x:v>
      </x:c>
      <x:c r="B257" s="10" t="str">
        <x:v>https://www.etsy.com/listing/4299387123/printable-house-fund-tracker-personal</x:v>
      </x:c>
      <x:c r="C257" s="10" t="str">
        <x:v>Myndstuffprintables</x:v>
      </x:c>
      <x:c r="D257" s="10" t="str">
        <x:v>https://www.etsy.com/shop/Myndstuffprintables</x:v>
      </x:c>
      <x:c r="E257" s="11" t="n">
        <x:v>1.71</x:v>
      </x:c>
      <x:c r="F257" s="10" t="n">
        <x:v>0</x:v>
      </x:c>
      <x:c r="G257" s="12" t="n">
        <x:v>0</x:v>
      </x:c>
      <x:c r="H257" s="13" t="n">
        <x:v>0</x:v>
      </x:c>
      <x:c r="I257" s="10" t="n">
        <x:v>0</x:v>
      </x:c>
      <x:c r="J257" s="10" t="n">
        <x:v>0</x:v>
      </x:c>
      <x:c r="K257" s="10" t="str">
        <x:v>14 Mo.</x:v>
      </x:c>
      <x:c r="L257" s="10" t="n">
        <x:v>1</x:v>
      </x:c>
      <x:c r="M257" s="10" t="n">
        <x:v>0</x:v>
      </x:c>
      <x:c r="N257" s="10" t="n">
        <x:v>8</x:v>
      </x:c>
      <x:c r="O257" s="10" t="str"/>
      <x:c r="P257" s="10" t="n">
        <x:v>24</x:v>
      </x:c>
      <x:c r="Q257" s="10" t="n">
        <x:v>0</x:v>
      </x:c>
      <x:c r="R257" s="13" t="n">
        <x:v>0</x:v>
      </x:c>
      <x:c r="S257" s="10" t="n">
        <x:v>20</x:v>
      </x:c>
      <x:c r="T257" s="10" t="str">
        <x:v>printable tracker,finance goals,house deposit,mortgage tracker,budget planner,personal money goal,dream home fund,house move fund,downloadable tracker,money log,savings record,rent saver fund,home renovations</x:v>
      </x:c>
      <x:c r="U257" s="10" t="str">
        <x:v>printable tracker</x:v>
      </x:c>
      <x:c r="V257" s="10" t="str">
        <x:v>finance goals</x:v>
      </x:c>
      <x:c r="W257" s="10" t="str">
        <x:v>house deposit</x:v>
      </x:c>
      <x:c r="X257" s="10" t="str">
        <x:v>mortgage tracker</x:v>
      </x:c>
      <x:c r="Y257" s="10" t="str">
        <x:v>budget planner</x:v>
      </x:c>
      <x:c r="Z257" s="10" t="str">
        <x:v>personal money goal</x:v>
      </x:c>
      <x:c r="AA257" s="10" t="str">
        <x:v>dream home fund</x:v>
      </x:c>
      <x:c r="AB257" s="10" t="str">
        <x:v>house move fund</x:v>
      </x:c>
      <x:c r="AC257" s="10" t="str">
        <x:v>downloadable tracker</x:v>
      </x:c>
      <x:c r="AD257" s="10" t="str">
        <x:v>money log</x:v>
      </x:c>
      <x:c r="AE257" s="10" t="str">
        <x:v>savings record</x:v>
      </x:c>
      <x:c r="AF257" s="10" t="str">
        <x:v>rent saver fund</x:v>
      </x:c>
      <x:c r="AG257" s="10" t="str">
        <x:v>home renovations</x:v>
      </x:c>
      <x:c r="AH257" s="10" t="str">
        <x:v>Other mortgage-related</x:v>
      </x:c>
      <x:c r="AI257" s="13" t="n">
        <x:v>14</x:v>
      </x:c>
      <x:c r="AJ257" s="10" t="str">
        <x:f>IF(F257&gt;0,"Active","No est. sales")</x:f>
        <x:v>No est. sales</x:v>
      </x:c>
    </x:row>
    <x:row r="258">
      <x:c r="A258" s="10" t="str">
        <x:v>Home Buying Planner Ultimate Guide for First-Time and Experienced Buyers | Budget, Mortgage, Property Comparison and More | Instant Download</x:v>
      </x:c>
      <x:c r="B258" s="10" t="str">
        <x:v>https://www.etsy.com/listing/1750566382/home-buying-planner-ultimate-guide-for</x:v>
      </x:c>
      <x:c r="C258" s="10" t="str">
        <x:v>KellysDigitalDeals</x:v>
      </x:c>
      <x:c r="D258" s="10" t="str">
        <x:v>https://www.etsy.com/shop/KellysDigitalDeals</x:v>
      </x:c>
      <x:c r="E258" s="11" t="n">
        <x:v>7.99</x:v>
      </x:c>
      <x:c r="F258" s="10" t="n">
        <x:v>0</x:v>
      </x:c>
      <x:c r="G258" s="12" t="n">
        <x:v>0</x:v>
      </x:c>
      <x:c r="H258" s="13" t="n">
        <x:v>0</x:v>
      </x:c>
      <x:c r="I258" s="10" t="n">
        <x:v>0</x:v>
      </x:c>
      <x:c r="J258" s="10" t="n">
        <x:v>0</x:v>
      </x:c>
      <x:c r="K258" s="10" t="str">
        <x:v>19 Mo.</x:v>
      </x:c>
      <x:c r="L258" s="10" t="n">
        <x:v>2</x:v>
      </x:c>
      <x:c r="M258" s="10" t="n">
        <x:v>0</x:v>
      </x:c>
      <x:c r="N258" s="10" t="n">
        <x:v>33</x:v>
      </x:c>
      <x:c r="O258" s="10" t="str">
        <x:v>Paper &amp; Party Supplies</x:v>
      </x:c>
      <x:c r="P258" s="10" t="n">
        <x:v>19</x:v>
      </x:c>
      <x:c r="Q258" s="10" t="n">
        <x:v>0</x:v>
      </x:c>
      <x:c r="R258" s="13" t="n">
        <x:v>0</x:v>
      </x:c>
      <x:c r="S258" s="10" t="n">
        <x:v>3</x:v>
      </x:c>
      <x:c r="T258" s="10" t="str">
        <x:v>home buying planner,real estate planner,mortgage tracker,budgeting worksheets,property comparison,home inspection,moving checklist,realtor organizer,first-time buyer,home purchase guide,digital planner,printable planner,home buying tools</x:v>
      </x:c>
      <x:c r="U258" s="10" t="str">
        <x:v>home buying planner</x:v>
      </x:c>
      <x:c r="V258" s="10" t="str">
        <x:v>real estate planner</x:v>
      </x:c>
      <x:c r="W258" s="10" t="str">
        <x:v>mortgage tracker</x:v>
      </x:c>
      <x:c r="X258" s="10" t="str">
        <x:v>budgeting worksheets</x:v>
      </x:c>
      <x:c r="Y258" s="10" t="str">
        <x:v>property comparison</x:v>
      </x:c>
      <x:c r="Z258" s="10" t="str">
        <x:v>home inspection</x:v>
      </x:c>
      <x:c r="AA258" s="10" t="str">
        <x:v>moving checklist</x:v>
      </x:c>
      <x:c r="AB258" s="10" t="str">
        <x:v>realtor organizer</x:v>
      </x:c>
      <x:c r="AC258" s="10" t="str">
        <x:v>first-time buyer</x:v>
      </x:c>
      <x:c r="AD258" s="10" t="str">
        <x:v>home purchase guide</x:v>
      </x:c>
      <x:c r="AE258" s="10" t="str">
        <x:v>digital planner</x:v>
      </x:c>
      <x:c r="AF258" s="10" t="str">
        <x:v>printable planner</x:v>
      </x:c>
      <x:c r="AG258" s="10" t="str">
        <x:v>home buying tools</x:v>
      </x:c>
      <x:c r="AH258" s="10" t="str">
        <x:v>Home buying planner</x:v>
      </x:c>
      <x:c r="AI258" s="13" t="n">
        <x:v>19</x:v>
      </x:c>
      <x:c r="AJ258" s="10" t="str">
        <x:f>IF(F258&gt;0,"Active","No est. sales")</x:f>
        <x:v>No est. sales</x:v>
      </x:c>
    </x:row>
    <x:row r="259">
      <x:c r="A259" s="10" t="str">
        <x:v>Home Buying Planner Spreadsheet | Mortgage Affordability Calculator | Rent vs Buy Comparison | House Budget &amp; Deposit Planner</x:v>
      </x:c>
      <x:c r="B259" s="10" t="str">
        <x:v>https://www.etsy.com/listing/4527831395/home-buying-planner-spreadsheet-mortgage</x:v>
      </x:c>
      <x:c r="C259" s="10" t="str">
        <x:v>TrendoraMarketUK</x:v>
      </x:c>
      <x:c r="D259" s="10" t="str">
        <x:v>https://www.etsy.com/shop/TrendoraMarketUK</x:v>
      </x:c>
      <x:c r="E259" s="11" t="n">
        <x:v>21.06</x:v>
      </x:c>
      <x:c r="F259" s="10" t="n">
        <x:v>0</x:v>
      </x:c>
      <x:c r="G259" s="12" t="n">
        <x:v>0</x:v>
      </x:c>
      <x:c r="H259" s="13" t="n">
        <x:v>0</x:v>
      </x:c>
      <x:c r="I259" s="10" t="n">
        <x:v>0</x:v>
      </x:c>
      <x:c r="J259" s="10" t="n">
        <x:v>0</x:v>
      </x:c>
      <x:c r="K259" s="10" t="str">
        <x:v>1 Mo.</x:v>
      </x:c>
      <x:c r="L259" s="10" t="n">
        <x:v>0</x:v>
      </x:c>
      <x:c r="M259" s="10" t="n">
        <x:v>0</x:v>
      </x:c>
      <x:c r="N259" s="10" t="n">
        <x:v>0</x:v>
      </x:c>
      <x:c r="O259" s="10" t="str"/>
      <x:c r="P259" s="10" t="n">
        <x:v>2</x:v>
      </x:c>
      <x:c r="Q259" s="10" t="n">
        <x:v>0</x:v>
      </x:c>
      <x:c r="R259" s="13" t="n">
        <x:v>0</x:v>
      </x:c>
      <x:c r="S259" s="10" t="n">
        <x:v>8</x:v>
      </x:c>
      <x:c r="T259" s="10" t="str">
        <x:v>home buying planner,mortgage calculator,house budget,home affordability,rent vs buy,deposit tracker,mortgage planner,excel finance,property planner,first home,home budget,home spreadsheet,house buying</x:v>
      </x:c>
      <x:c r="U259" s="10" t="str">
        <x:v>home buying planner</x:v>
      </x:c>
      <x:c r="V259" s="10" t="str">
        <x:v>mortgage calculator</x:v>
      </x:c>
      <x:c r="W259" s="10" t="str">
        <x:v>house budget</x:v>
      </x:c>
      <x:c r="X259" s="10" t="str">
        <x:v>home affordability</x:v>
      </x:c>
      <x:c r="Y259" s="10" t="str">
        <x:v>rent vs buy</x:v>
      </x:c>
      <x:c r="Z259" s="10" t="str">
        <x:v>deposit tracker</x:v>
      </x:c>
      <x:c r="AA259" s="10" t="str">
        <x:v>mortgage planner</x:v>
      </x:c>
      <x:c r="AB259" s="10" t="str">
        <x:v>excel finance</x:v>
      </x:c>
      <x:c r="AC259" s="10" t="str">
        <x:v>property planner</x:v>
      </x:c>
      <x:c r="AD259" s="10" t="str">
        <x:v>first home</x:v>
      </x:c>
      <x:c r="AE259" s="10" t="str">
        <x:v>home budget</x:v>
      </x:c>
      <x:c r="AF259" s="10" t="str">
        <x:v>home spreadsheet</x:v>
      </x:c>
      <x:c r="AG259" s="10" t="str">
        <x:v>house buying</x:v>
      </x:c>
      <x:c r="AH259" s="10" t="str">
        <x:v>Home buying planner</x:v>
      </x:c>
      <x:c r="AI259" s="13" t="n">
        <x:v>1</x:v>
      </x:c>
      <x:c r="AJ259" s="10" t="str">
        <x:f>IF(F259&gt;0,"Active","No est. sales")</x:f>
        <x:v>No est. sales</x:v>
      </x:c>
    </x:row>
    <x:row r="260">
      <x:c r="A260" s="10" t="str">
        <x:v>Home Buying Timeline | Step-by-Step Guide from Mortgage Preapproval to Closing Day</x:v>
      </x:c>
      <x:c r="B260" s="10" t="str">
        <x:v>https://www.etsy.com/listing/4508604264/home-buying-timeline-step-by-step-guide</x:v>
      </x:c>
      <x:c r="C260" s="10" t="str">
        <x:v>CurlyGlamBudget</x:v>
      </x:c>
      <x:c r="D260" s="10" t="str">
        <x:v>https://www.etsy.com/shop/CurlyGlamBudget</x:v>
      </x:c>
      <x:c r="E260" s="11" t="n">
        <x:v>1.99</x:v>
      </x:c>
      <x:c r="F260" s="10" t="n">
        <x:v>0</x:v>
      </x:c>
      <x:c r="G260" s="12" t="n">
        <x:v>0</x:v>
      </x:c>
      <x:c r="H260" s="13" t="n">
        <x:v>0</x:v>
      </x:c>
      <x:c r="I260" s="10" t="n">
        <x:v>0</x:v>
      </x:c>
      <x:c r="J260" s="10" t="n">
        <x:v>0</x:v>
      </x:c>
      <x:c r="K260" s="10" t="str">
        <x:v>1 Mo.</x:v>
      </x:c>
      <x:c r="L260" s="10" t="n">
        <x:v>1</x:v>
      </x:c>
      <x:c r="M260" s="10" t="n">
        <x:v>0</x:v>
      </x:c>
      <x:c r="N260" s="10" t="n">
        <x:v>32</x:v>
      </x:c>
      <x:c r="O260" s="10" t="str"/>
      <x:c r="P260" s="10" t="n">
        <x:v>1</x:v>
      </x:c>
      <x:c r="Q260" s="10" t="n">
        <x:v>0</x:v>
      </x:c>
      <x:c r="R260" s="13" t="n">
        <x:v>0</x:v>
      </x:c>
      <x:c r="S260" s="10" t="n">
        <x:v>24</x:v>
      </x:c>
      <x:c r="T260" s="10" t="str">
        <x:v>home buying planner,first time homebuyer,home buying timeline,house hunting,homebuyer checklist,future homeowner,buying a house,mortgage checklist,mortgage planner,home buying guide,pink planner,digital download,printable pdf</x:v>
      </x:c>
      <x:c r="U260" s="10" t="str">
        <x:v>home buying planner</x:v>
      </x:c>
      <x:c r="V260" s="10" t="str">
        <x:v>first time homebuyer</x:v>
      </x:c>
      <x:c r="W260" s="10" t="str">
        <x:v>home buying timeline</x:v>
      </x:c>
      <x:c r="X260" s="10" t="str">
        <x:v>house hunting</x:v>
      </x:c>
      <x:c r="Y260" s="10" t="str">
        <x:v>homebuyer checklist</x:v>
      </x:c>
      <x:c r="Z260" s="10" t="str">
        <x:v>future homeowner</x:v>
      </x:c>
      <x:c r="AA260" s="10" t="str">
        <x:v>buying a house</x:v>
      </x:c>
      <x:c r="AB260" s="10" t="str">
        <x:v>mortgage checklist</x:v>
      </x:c>
      <x:c r="AC260" s="10" t="str">
        <x:v>mortgage planner</x:v>
      </x:c>
      <x:c r="AD260" s="10" t="str">
        <x:v>home buying guide</x:v>
      </x:c>
      <x:c r="AE260" s="10" t="str">
        <x:v>pink planner</x:v>
      </x:c>
      <x:c r="AF260" s="10" t="str">
        <x:v>digital download</x:v>
      </x:c>
      <x:c r="AG260" s="10" t="str">
        <x:v>printable pdf</x:v>
      </x:c>
      <x:c r="AH260" s="10" t="str">
        <x:v>Home buying planner</x:v>
      </x:c>
      <x:c r="AI260" s="13" t="n">
        <x:v>1</x:v>
      </x:c>
      <x:c r="AJ260" s="10" t="str">
        <x:f>IF(F260&gt;0,"Active","No est. sales")</x:f>
        <x:v>No est. sales</x:v>
      </x:c>
    </x:row>
    <x:row r="261">
      <x:c r="A261" s="10" t="str">
        <x:v>Debt Tracker-Empower Your Wallet with our Stylish Debt Tracking Kit Printable PDF, Financial Organizer</x:v>
      </x:c>
      <x:c r="B261" s="10" t="str">
        <x:v>https://www.etsy.com/listing/4352608963/debt-tracker-empower-your-wallet-with</x:v>
      </x:c>
      <x:c r="C261" s="10" t="str">
        <x:v>PrintaByTree</x:v>
      </x:c>
      <x:c r="D261" s="10" t="str">
        <x:v>https://www.etsy.com/shop/PrintaByTree</x:v>
      </x:c>
      <x:c r="E261" s="11" t="n">
        <x:v>0.99</x:v>
      </x:c>
      <x:c r="F261" s="10" t="n">
        <x:v>0</x:v>
      </x:c>
      <x:c r="G261" s="12" t="n">
        <x:v>0</x:v>
      </x:c>
      <x:c r="H261" s="13" t="n">
        <x:v>0</x:v>
      </x:c>
      <x:c r="I261" s="10" t="n">
        <x:v>0</x:v>
      </x:c>
      <x:c r="J261" s="10" t="n">
        <x:v>0</x:v>
      </x:c>
      <x:c r="K261" s="10" t="str">
        <x:v>3 Mo.</x:v>
      </x:c>
      <x:c r="L261" s="10" t="n">
        <x:v>0</x:v>
      </x:c>
      <x:c r="M261" s="10" t="n">
        <x:v>0</x:v>
      </x:c>
      <x:c r="N261" s="10" t="n">
        <x:v>7</x:v>
      </x:c>
      <x:c r="O261" s="10" t="str"/>
      <x:c r="P261" s="10" t="n">
        <x:v>3</x:v>
      </x:c>
      <x:c r="Q261" s="10" t="n">
        <x:v>0</x:v>
      </x:c>
      <x:c r="R261" s="13" t="n">
        <x:v>0</x:v>
      </x:c>
      <x:c r="S261" s="10" t="n">
        <x:v>4</x:v>
      </x:c>
      <x:c r="T261" s="10" t="str">
        <x:v>debt tracker print,debt payoff,printable debt,financial planner,budget planner,repayment schedule,minimalist finance,loan tracker,student loan payoff,mortgage payoff,money debt log,family debt,printable financial</x:v>
      </x:c>
      <x:c r="U261" s="10" t="str">
        <x:v>debt tracker print</x:v>
      </x:c>
      <x:c r="V261" s="10" t="str">
        <x:v>debt payoff</x:v>
      </x:c>
      <x:c r="W261" s="10" t="str">
        <x:v>printable debt</x:v>
      </x:c>
      <x:c r="X261" s="10" t="str">
        <x:v>financial planner</x:v>
      </x:c>
      <x:c r="Y261" s="10" t="str">
        <x:v>budget planner</x:v>
      </x:c>
      <x:c r="Z261" s="10" t="str">
        <x:v>repayment schedule</x:v>
      </x:c>
      <x:c r="AA261" s="10" t="str">
        <x:v>minimalist finance</x:v>
      </x:c>
      <x:c r="AB261" s="10" t="str">
        <x:v>loan tracker</x:v>
      </x:c>
      <x:c r="AC261" s="10" t="str">
        <x:v>student loan payoff</x:v>
      </x:c>
      <x:c r="AD261" s="10" t="str">
        <x:v>mortgage payoff</x:v>
      </x:c>
      <x:c r="AE261" s="10" t="str">
        <x:v>money debt log</x:v>
      </x:c>
      <x:c r="AF261" s="10" t="str">
        <x:v>family debt</x:v>
      </x:c>
      <x:c r="AG261" s="10" t="str">
        <x:v>printable financial</x:v>
      </x:c>
      <x:c r="AH261" s="10" t="str">
        <x:v>General debt payoff</x:v>
      </x:c>
      <x:c r="AI261" s="13" t="n">
        <x:v>3</x:v>
      </x:c>
      <x:c r="AJ261" s="10" t="str">
        <x:f>IF(F261&gt;0,"Active","No est. sales")</x:f>
        <x:v>No est. sales</x:v>
      </x:c>
    </x:row>
    <x:row r="262">
      <x:c r="A262" s="10" t="str">
        <x:v>Debt Payoff Tracker Spreadsheet: Snowball, Avalanche and Custom Method, Budget &amp; Financial Planner,  Goal, Expense Tracker for Google Sheets</x:v>
      </x:c>
      <x:c r="B262" s="10" t="str">
        <x:v>https://www.etsy.com/listing/4359243188/debt-payoff-tracker-spreadsheet-snowball</x:v>
      </x:c>
      <x:c r="C262" s="10" t="str">
        <x:v>Sheetpluspro</x:v>
      </x:c>
      <x:c r="D262" s="10" t="str">
        <x:v>https://www.etsy.com/shop/Sheetpluspro</x:v>
      </x:c>
      <x:c r="E262" s="11" t="n">
        <x:v>6.66</x:v>
      </x:c>
      <x:c r="F262" s="10" t="n">
        <x:v>0</x:v>
      </x:c>
      <x:c r="G262" s="12" t="n">
        <x:v>0</x:v>
      </x:c>
      <x:c r="H262" s="13" t="n">
        <x:v>0</x:v>
      </x:c>
      <x:c r="I262" s="10" t="n">
        <x:v>0</x:v>
      </x:c>
      <x:c r="J262" s="10" t="n">
        <x:v>0</x:v>
      </x:c>
      <x:c r="K262" s="10" t="str">
        <x:v>4 Mo.</x:v>
      </x:c>
      <x:c r="L262" s="10" t="n">
        <x:v>1</x:v>
      </x:c>
      <x:c r="M262" s="10" t="n">
        <x:v>0</x:v>
      </x:c>
      <x:c r="N262" s="10" t="n">
        <x:v>4</x:v>
      </x:c>
      <x:c r="O262" s="10" t="str">
        <x:v>Paper &amp; Party Supplies</x:v>
      </x:c>
      <x:c r="P262" s="10" t="n">
        <x:v>4</x:v>
      </x:c>
      <x:c r="Q262" s="10" t="n">
        <x:v>0</x:v>
      </x:c>
      <x:c r="R262" s="13" t="n">
        <x:v>0</x:v>
      </x:c>
      <x:c r="S262" s="10" t="n">
        <x:v>60</x:v>
      </x:c>
      <x:c r="T262" s="10" t="str">
        <x:v>debt payment tracker,debt snowball,debt avalanche,debt payoff planner,debt calculator,loan payoff tracker,credit card debt,mortgage payoff,student loan debt,financial planner,personal finance,debt google sheets,snowball method</x:v>
      </x:c>
      <x:c r="U262" s="10" t="str">
        <x:v>debt payment tracker</x:v>
      </x:c>
      <x:c r="V262" s="10" t="str">
        <x:v>debt snowball</x:v>
      </x:c>
      <x:c r="W262" s="10" t="str">
        <x:v>debt avalanche</x:v>
      </x:c>
      <x:c r="X262" s="10" t="str">
        <x:v>debt payoff planner</x:v>
      </x:c>
      <x:c r="Y262" s="10" t="str">
        <x:v>debt calculator</x:v>
      </x:c>
      <x:c r="Z262" s="10" t="str">
        <x:v>loan payoff tracker</x:v>
      </x:c>
      <x:c r="AA262" s="10" t="str">
        <x:v>credit card debt</x:v>
      </x:c>
      <x:c r="AB262" s="10" t="str">
        <x:v>mortgage payoff</x:v>
      </x:c>
      <x:c r="AC262" s="10" t="str">
        <x:v>student loan debt</x:v>
      </x:c>
      <x:c r="AD262" s="10" t="str">
        <x:v>financial planner</x:v>
      </x:c>
      <x:c r="AE262" s="10" t="str">
        <x:v>personal finance</x:v>
      </x:c>
      <x:c r="AF262" s="10" t="str">
        <x:v>debt google sheets</x:v>
      </x:c>
      <x:c r="AG262" s="10" t="str">
        <x:v>snowball method</x:v>
      </x:c>
      <x:c r="AH262" s="10" t="str">
        <x:v>General debt payoff</x:v>
      </x:c>
      <x:c r="AI262" s="13" t="n">
        <x:v>4</x:v>
      </x:c>
      <x:c r="AJ262" s="10" t="str">
        <x:f>IF(F262&gt;0,"Active","No est. sales")</x:f>
        <x:v>No est. sales</x:v>
      </x:c>
    </x:row>
    <x:row r="263">
      <x:c r="A263" s="10" t="str">
        <x:v>Real Estate Investor Debt Tracker: Loan &amp; Mortgage Management (Printable PDF)</x:v>
      </x:c>
      <x:c r="B263" s="10" t="str">
        <x:v>https://www.etsy.com/listing/1905789119/real-estate-investor-debt-tracker-loan</x:v>
      </x:c>
      <x:c r="C263" s="10" t="str">
        <x:v>AJEllyByBeth</x:v>
      </x:c>
      <x:c r="D263" s="10" t="str">
        <x:v>https://www.etsy.com/shop/AJEllyByBeth</x:v>
      </x:c>
      <x:c r="E263" s="11" t="n">
        <x:v>10</x:v>
      </x:c>
      <x:c r="F263" s="10" t="n">
        <x:v>0</x:v>
      </x:c>
      <x:c r="G263" s="12" t="n">
        <x:v>0</x:v>
      </x:c>
      <x:c r="H263" s="13" t="n">
        <x:v>0</x:v>
      </x:c>
      <x:c r="I263" s="10" t="n">
        <x:v>0</x:v>
      </x:c>
      <x:c r="J263" s="10" t="n">
        <x:v>0</x:v>
      </x:c>
      <x:c r="K263" s="10" t="str">
        <x:v>6 Mo.</x:v>
      </x:c>
      <x:c r="L263" s="10" t="n">
        <x:v>2</x:v>
      </x:c>
      <x:c r="M263" s="10" t="n">
        <x:v>0</x:v>
      </x:c>
      <x:c r="N263" s="10" t="n">
        <x:v>3</x:v>
      </x:c>
      <x:c r="O263" s="10" t="str"/>
      <x:c r="P263" s="10" t="n">
        <x:v>7</x:v>
      </x:c>
      <x:c r="Q263" s="10" t="n">
        <x:v>0</x:v>
      </x:c>
      <x:c r="R263" s="13" t="n">
        <x:v>0</x:v>
      </x:c>
      <x:c r="S263" s="10" t="n">
        <x:v>3</x:v>
      </x:c>
      <x:c r="T263" s="10" t="str">
        <x:v>debt tracker,property debt log,rental debt log,debt planner,mortgage planner,loan payoff tracker,real estate template,investment organizer,debt organizer,cash flow tracker,realtor tracker,finance planner,property planner</x:v>
      </x:c>
      <x:c r="U263" s="10" t="str">
        <x:v>debt tracker</x:v>
      </x:c>
      <x:c r="V263" s="10" t="str">
        <x:v>property debt log</x:v>
      </x:c>
      <x:c r="W263" s="10" t="str">
        <x:v>rental debt log</x:v>
      </x:c>
      <x:c r="X263" s="10" t="str">
        <x:v>debt planner</x:v>
      </x:c>
      <x:c r="Y263" s="10" t="str">
        <x:v>mortgage planner</x:v>
      </x:c>
      <x:c r="Z263" s="10" t="str">
        <x:v>loan payoff tracker</x:v>
      </x:c>
      <x:c r="AA263" s="10" t="str">
        <x:v>real estate template</x:v>
      </x:c>
      <x:c r="AB263" s="10" t="str">
        <x:v>investment organizer</x:v>
      </x:c>
      <x:c r="AC263" s="10" t="str">
        <x:v>debt organizer</x:v>
      </x:c>
      <x:c r="AD263" s="10" t="str">
        <x:v>cash flow tracker</x:v>
      </x:c>
      <x:c r="AE263" s="10" t="str">
        <x:v>realtor tracker</x:v>
      </x:c>
      <x:c r="AF263" s="10" t="str">
        <x:v>finance planner</x:v>
      </x:c>
      <x:c r="AG263" s="10" t="str">
        <x:v>property planner</x:v>
      </x:c>
      <x:c r="AH263" s="10" t="str">
        <x:v>Property investment</x:v>
      </x:c>
      <x:c r="AI263" s="13" t="n">
        <x:v>6</x:v>
      </x:c>
      <x:c r="AJ263" s="10" t="str">
        <x:f>IF(F263&gt;0,"Active","No est. sales")</x:f>
        <x:v>No est. sales</x:v>
      </x:c>
    </x:row>
    <x:row r="264">
      <x:c r="A264" s="10" t="str">
        <x:v>Mortgage Payment Fund Tracker | Cash Stuffing | A6 Budget Binder | Cash Challenge | Budget Planner | Saving Tracker | Sinking Fund</x:v>
      </x:c>
      <x:c r="B264" s="10" t="str">
        <x:v>https://www.etsy.com/listing/1639255340/mortgage-payment-fund-tracker-cash</x:v>
      </x:c>
      <x:c r="C264" s="10" t="str">
        <x:v>SaveWithSarah</x:v>
      </x:c>
      <x:c r="D264" s="10" t="str">
        <x:v>https://www.etsy.com/shop/SaveWithSarah</x:v>
      </x:c>
      <x:c r="E264" s="11" t="n">
        <x:v>2.88</x:v>
      </x:c>
      <x:c r="F264" s="10" t="n">
        <x:v>0</x:v>
      </x:c>
      <x:c r="G264" s="12" t="n">
        <x:v>0</x:v>
      </x:c>
      <x:c r="H264" s="13" t="n">
        <x:v>0</x:v>
      </x:c>
      <x:c r="I264" s="10" t="n">
        <x:v>1</x:v>
      </x:c>
      <x:c r="J264" s="10" t="n">
        <x:v>0</x:v>
      </x:c>
      <x:c r="K264" s="10" t="str">
        <x:v>13 Mo.</x:v>
      </x:c>
      <x:c r="L264" s="10" t="n">
        <x:v>2</x:v>
      </x:c>
      <x:c r="M264" s="10" t="n">
        <x:v>0</x:v>
      </x:c>
      <x:c r="N264" s="10" t="n">
        <x:v>0</x:v>
      </x:c>
      <x:c r="O264" s="10" t="str">
        <x:v>Paper &amp; Party Supplies</x:v>
      </x:c>
      <x:c r="P264" s="10" t="n">
        <x:v>35</x:v>
      </x:c>
      <x:c r="Q264" s="10" t="n">
        <x:v>0</x:v>
      </x:c>
      <x:c r="R264" s="13" t="n">
        <x:v>0</x:v>
      </x:c>
      <x:c r="S264" s="10" t="n">
        <x:v>964</x:v>
      </x:c>
      <x:c r="T264" s="10" t="str">
        <x:v>budget binder saving,cash money stuffing,pound tracker wallet,stuff save debt,envelopes a6 sinking,fund system goal,laminated folder,savings planner,reusable binder,insert penny coin,budgeting challenge,house funds utility,mortgage payment</x:v>
      </x:c>
      <x:c r="U264" s="10" t="str">
        <x:v>budget binder saving</x:v>
      </x:c>
      <x:c r="V264" s="10" t="str">
        <x:v>cash money stuffing</x:v>
      </x:c>
      <x:c r="W264" s="10" t="str">
        <x:v>pound tracker wallet</x:v>
      </x:c>
      <x:c r="X264" s="10" t="str">
        <x:v>stuff save debt</x:v>
      </x:c>
      <x:c r="Y264" s="10" t="str">
        <x:v>envelopes a6 sinking</x:v>
      </x:c>
      <x:c r="Z264" s="10" t="str">
        <x:v>fund system goal</x:v>
      </x:c>
      <x:c r="AA264" s="10" t="str">
        <x:v>laminated folder</x:v>
      </x:c>
      <x:c r="AB264" s="10" t="str">
        <x:v>savings planner</x:v>
      </x:c>
      <x:c r="AC264" s="10" t="str">
        <x:v>reusable binder</x:v>
      </x:c>
      <x:c r="AD264" s="10" t="str">
        <x:v>insert penny coin</x:v>
      </x:c>
      <x:c r="AE264" s="10" t="str">
        <x:v>budgeting challenge</x:v>
      </x:c>
      <x:c r="AF264" s="10" t="str">
        <x:v>house funds utility</x:v>
      </x:c>
      <x:c r="AG264" s="10" t="str">
        <x:v>mortgage payment</x:v>
      </x:c>
      <x:c r="AH264" s="10" t="str">
        <x:v>Other mortgage-related</x:v>
      </x:c>
      <x:c r="AI264" s="13" t="n">
        <x:v>13</x:v>
      </x:c>
      <x:c r="AJ264" s="10" t="str">
        <x:f>IF(F264&gt;0,"Active","No est. sales")</x:f>
        <x:v>No est. sales</x:v>
      </x:c>
    </x:row>
    <x:row r="265">
      <x:c r="A265" s="10" t="str">
        <x:v>First Home Buyer Planner UK, Deposit Calculator, Mortgage Checklist (Digital Download)</x:v>
      </x:c>
      <x:c r="B265" s="10" t="str">
        <x:v>https://www.etsy.com/listing/4515325739/first-home-buyer-planner-uk-deposit</x:v>
      </x:c>
      <x:c r="C265" s="10" t="str">
        <x:v>PropertyPlanUK</x:v>
      </x:c>
      <x:c r="D265" s="10" t="str">
        <x:v>https://www.etsy.com/shop/PropertyPlanUK</x:v>
      </x:c>
      <x:c r="E265" s="11" t="n">
        <x:v>16.11</x:v>
      </x:c>
      <x:c r="F265" s="10" t="n">
        <x:v>0</x:v>
      </x:c>
      <x:c r="G265" s="12" t="n">
        <x:v>0</x:v>
      </x:c>
      <x:c r="H265" s="13" t="n">
        <x:v>0</x:v>
      </x:c>
      <x:c r="I265" s="10" t="n">
        <x:v>0</x:v>
      </x:c>
      <x:c r="J265" s="10" t="n">
        <x:v>0</x:v>
      </x:c>
      <x:c r="K265" s="10" t="str">
        <x:v>1 Mo.</x:v>
      </x:c>
      <x:c r="L265" s="10" t="n">
        <x:v>0</x:v>
      </x:c>
      <x:c r="M265" s="10" t="n">
        <x:v>0</x:v>
      </x:c>
      <x:c r="N265" s="10" t="n">
        <x:v>15</x:v>
      </x:c>
      <x:c r="O265" s="10" t="str"/>
      <x:c r="P265" s="10" t="n">
        <x:v>0</x:v>
      </x:c>
      <x:c r="Q265" s="10" t="n">
        <x:v>0</x:v>
      </x:c>
      <x:c r="R265" s="13" t="n">
        <x:v>0</x:v>
      </x:c>
      <x:c r="S265" s="10" t="n">
        <x:v>0</x:v>
      </x:c>
      <x:c r="T265" s="10" t="str">
        <x:v>first time buyer,house deposit,mortgage planner,home buying uk,property planner,budget spreadsheet,savings tracker,mortgage checklist,buying house uk,first home planner,deposit calculator,digital planner,uk property</x:v>
      </x:c>
      <x:c r="U265" s="10" t="str">
        <x:v>first time buyer</x:v>
      </x:c>
      <x:c r="V265" s="10" t="str">
        <x:v>house deposit</x:v>
      </x:c>
      <x:c r="W265" s="10" t="str">
        <x:v>mortgage planner</x:v>
      </x:c>
      <x:c r="X265" s="10" t="str">
        <x:v>home buying uk</x:v>
      </x:c>
      <x:c r="Y265" s="10" t="str">
        <x:v>property planner</x:v>
      </x:c>
      <x:c r="Z265" s="10" t="str">
        <x:v>budget spreadsheet</x:v>
      </x:c>
      <x:c r="AA265" s="10" t="str">
        <x:v>savings tracker</x:v>
      </x:c>
      <x:c r="AB265" s="10" t="str">
        <x:v>mortgage checklist</x:v>
      </x:c>
      <x:c r="AC265" s="10" t="str">
        <x:v>buying house uk</x:v>
      </x:c>
      <x:c r="AD265" s="10" t="str">
        <x:v>first home planner</x:v>
      </x:c>
      <x:c r="AE265" s="10" t="str">
        <x:v>deposit calculator</x:v>
      </x:c>
      <x:c r="AF265" s="10" t="str">
        <x:v>digital planner</x:v>
      </x:c>
      <x:c r="AG265" s="10" t="str">
        <x:v>uk property</x:v>
      </x:c>
      <x:c r="AH265" s="10" t="str">
        <x:v>Home buying planner</x:v>
      </x:c>
      <x:c r="AI265" s="13" t="n">
        <x:v>1</x:v>
      </x:c>
      <x:c r="AJ265" s="10" t="str">
        <x:f>IF(F265&gt;0,"Active","No est. sales")</x:f>
        <x:v>No est. sales</x:v>
      </x:c>
    </x:row>
    <x:row r="266">
      <x:c r="A266" s="10" t="str">
        <x:v>Mortgage Planner | First Time Home Buyer Tool, Down Payment Calculator (Offline File)</x:v>
      </x:c>
      <x:c r="B266" s="10" t="str">
        <x:v>https://www.etsy.com/listing/4485246887/mortgage-scenario-planner-first-time</x:v>
      </x:c>
      <x:c r="C266" s="10" t="str">
        <x:v>DigiToolsPro</x:v>
      </x:c>
      <x:c r="D266" s="10" t="str">
        <x:v>https://www.etsy.com/shop/DigiToolsPro</x:v>
      </x:c>
      <x:c r="E266" s="11" t="n">
        <x:v>9.97</x:v>
      </x:c>
      <x:c r="F266" s="10" t="n">
        <x:v>0</x:v>
      </x:c>
      <x:c r="G266" s="12" t="n">
        <x:v>0</x:v>
      </x:c>
      <x:c r="H266" s="13" t="n">
        <x:v>0</x:v>
      </x:c>
      <x:c r="I266" s="10" t="n">
        <x:v>0</x:v>
      </x:c>
      <x:c r="J266" s="10" t="n">
        <x:v>0</x:v>
      </x:c>
      <x:c r="K266" s="10" t="str">
        <x:v>2 Mo.</x:v>
      </x:c>
      <x:c r="L266" s="10" t="n">
        <x:v>0</x:v>
      </x:c>
      <x:c r="M266" s="10" t="n">
        <x:v>0</x:v>
      </x:c>
      <x:c r="N266" s="10" t="n">
        <x:v>8</x:v>
      </x:c>
      <x:c r="O266" s="10" t="str"/>
      <x:c r="P266" s="10" t="n">
        <x:v>2</x:v>
      </x:c>
      <x:c r="Q266" s="10" t="n">
        <x:v>0</x:v>
      </x:c>
      <x:c r="R266" s="13" t="n">
        <x:v>0</x:v>
      </x:c>
      <x:c r="S266" s="10" t="n">
        <x:v>0</x:v>
      </x:c>
      <x:c r="T266" s="10" t="str">
        <x:v>mortgage planner,home loan calculator,first time homebuyer,down payment planner,mortgage calculator,home buying tool,points calculator,closing cost tool,new construction,home loan planner,real estate tool,mortgage worksheet,home buyer planner</x:v>
      </x:c>
      <x:c r="U266" s="10" t="str">
        <x:v>mortgage planner</x:v>
      </x:c>
      <x:c r="V266" s="10" t="str">
        <x:v>home loan calculator</x:v>
      </x:c>
      <x:c r="W266" s="10" t="str">
        <x:v>first time homebuyer</x:v>
      </x:c>
      <x:c r="X266" s="10" t="str">
        <x:v>down payment planner</x:v>
      </x:c>
      <x:c r="Y266" s="10" t="str">
        <x:v>mortgage calculator</x:v>
      </x:c>
      <x:c r="Z266" s="10" t="str">
        <x:v>home buying tool</x:v>
      </x:c>
      <x:c r="AA266" s="10" t="str">
        <x:v>points calculator</x:v>
      </x:c>
      <x:c r="AB266" s="10" t="str">
        <x:v>closing cost tool</x:v>
      </x:c>
      <x:c r="AC266" s="10" t="str">
        <x:v>new construction</x:v>
      </x:c>
      <x:c r="AD266" s="10" t="str">
        <x:v>home loan planner</x:v>
      </x:c>
      <x:c r="AE266" s="10" t="str">
        <x:v>real estate tool</x:v>
      </x:c>
      <x:c r="AF266" s="10" t="str">
        <x:v>mortgage worksheet</x:v>
      </x:c>
      <x:c r="AG266" s="10" t="str">
        <x:v>home buyer planner</x:v>
      </x:c>
      <x:c r="AH266" s="10" t="str">
        <x:v>Home buying planner</x:v>
      </x:c>
      <x:c r="AI266" s="13" t="n">
        <x:v>2</x:v>
      </x:c>
      <x:c r="AJ266" s="10" t="str">
        <x:f>IF(F266&gt;0,"Active","No est. sales")</x:f>
        <x:v>No est. sales</x:v>
      </x:c>
    </x:row>
    <x:row r="267">
      <x:c r="A267" s="10" t="str">
        <x:v>Rent Payment Due Planner Stickers Sheet | Rent Bill Due | Home Monthly Bill Tracker | Finance Reminder | Calendar, Bullet Journal, Notebook</x:v>
      </x:c>
      <x:c r="B267" s="10" t="str">
        <x:v>https://www.etsy.com/listing/844832922/rent-payment-due-planner-stickers-sheet</x:v>
      </x:c>
      <x:c r="C267" s="10" t="str">
        <x:v>NikkiStickyCo</x:v>
      </x:c>
      <x:c r="D267" s="10" t="str">
        <x:v>https://www.etsy.com/shop/NikkiStickyCo</x:v>
      </x:c>
      <x:c r="E267" s="11" t="n">
        <x:v>4.4</x:v>
      </x:c>
      <x:c r="F267" s="10" t="n">
        <x:v>0</x:v>
      </x:c>
      <x:c r="G267" s="12" t="n">
        <x:v>0</x:v>
      </x:c>
      <x:c r="H267" s="13" t="n">
        <x:v>0</x:v>
      </x:c>
      <x:c r="I267" s="10" t="n">
        <x:v>8</x:v>
      </x:c>
      <x:c r="J267" s="10" t="n">
        <x:v>2</x:v>
      </x:c>
      <x:c r="K267" s="10" t="str">
        <x:v>69 Mo.</x:v>
      </x:c>
      <x:c r="L267" s="10" t="n">
        <x:v>27</x:v>
      </x:c>
      <x:c r="M267" s="10" t="n">
        <x:v>0</x:v>
      </x:c>
      <x:c r="N267" s="10" t="n">
        <x:v>278</x:v>
      </x:c>
      <x:c r="O267" s="10" t="str">
        <x:v>Paper &amp; Party Supplies</x:v>
      </x:c>
      <x:c r="P267" s="10" t="n">
        <x:v>85</x:v>
      </x:c>
      <x:c r="Q267" s="10" t="n">
        <x:v>0</x:v>
      </x:c>
      <x:c r="R267" s="13" t="n">
        <x:v>2.88</x:v>
      </x:c>
      <x:c r="S267" s="10" t="n">
        <x:v>824</x:v>
      </x:c>
      <x:c r="T267" s="10" t="str">
        <x:v>planner stickers,stickers,pay bills,living expenses,mortgage stickers,rent stickers,functional stickers,finance stickers,minimal stickers,expense tracker,script stickers,stickers sheet,foil stickers</x:v>
      </x:c>
      <x:c r="U267" s="10" t="str">
        <x:v>planner stickers</x:v>
      </x:c>
      <x:c r="V267" s="10" t="str">
        <x:v>stickers</x:v>
      </x:c>
      <x:c r="W267" s="10" t="str">
        <x:v>pay bills</x:v>
      </x:c>
      <x:c r="X267" s="10" t="str">
        <x:v>living expenses</x:v>
      </x:c>
      <x:c r="Y267" s="10" t="str">
        <x:v>mortgage stickers</x:v>
      </x:c>
      <x:c r="Z267" s="10" t="str">
        <x:v>rent stickers</x:v>
      </x:c>
      <x:c r="AA267" s="10" t="str">
        <x:v>functional stickers</x:v>
      </x:c>
      <x:c r="AB267" s="10" t="str">
        <x:v>finance stickers</x:v>
      </x:c>
      <x:c r="AC267" s="10" t="str">
        <x:v>minimal stickers</x:v>
      </x:c>
      <x:c r="AD267" s="10" t="str">
        <x:v>expense tracker</x:v>
      </x:c>
      <x:c r="AE267" s="10" t="str">
        <x:v>script stickers</x:v>
      </x:c>
      <x:c r="AF267" s="10" t="str">
        <x:v>stickers sheet</x:v>
      </x:c>
      <x:c r="AG267" s="10" t="str">
        <x:v>foil stickers</x:v>
      </x:c>
      <x:c r="AH267" s="10" t="str">
        <x:v>Other mortgage-related</x:v>
      </x:c>
      <x:c r="AI267" s="13" t="n">
        <x:v>69</x:v>
      </x:c>
      <x:c r="AJ267" s="10" t="str">
        <x:f>IF(F267&gt;0,"Active","No est. sales")</x:f>
        <x:v>No est. sales</x:v>
      </x:c>
    </x:row>
    <x:row r="268">
      <x:c r="A268" s="10" t="str">
        <x:v>Canadian Homebuyer Toolkit: Mortgage Calculator &amp; Checklist (Printable PDF)</x:v>
      </x:c>
      <x:c r="B268" s="10" t="str">
        <x:v>https://www.etsy.com/listing/4380224927/canadian-homebuyer-toolkit-mortgage</x:v>
      </x:c>
      <x:c r="C268" s="10" t="str">
        <x:v>PlaneoStudio</x:v>
      </x:c>
      <x:c r="D268" s="10" t="str">
        <x:v>https://www.etsy.com/shop/PlaneoStudio</x:v>
      </x:c>
      <x:c r="E268" s="11" t="n">
        <x:v>5.85</x:v>
      </x:c>
      <x:c r="F268" s="10" t="n">
        <x:v>0</x:v>
      </x:c>
      <x:c r="G268" s="12" t="n">
        <x:v>0</x:v>
      </x:c>
      <x:c r="H268" s="13" t="n">
        <x:v>0</x:v>
      </x:c>
      <x:c r="I268" s="10" t="n">
        <x:v>0</x:v>
      </x:c>
      <x:c r="J268" s="10" t="n">
        <x:v>1</x:v>
      </x:c>
      <x:c r="K268" s="10" t="str">
        <x:v>4 Mo.</x:v>
      </x:c>
      <x:c r="L268" s="10" t="n">
        <x:v>1</x:v>
      </x:c>
      <x:c r="M268" s="10" t="n">
        <x:v>0</x:v>
      </x:c>
      <x:c r="N268" s="10" t="n">
        <x:v>102</x:v>
      </x:c>
      <x:c r="O268" s="10" t="str">
        <x:v>Art &amp; Collectibles</x:v>
      </x:c>
      <x:c r="P268" s="10" t="n">
        <x:v>5</x:v>
      </x:c>
      <x:c r="Q268" s="10" t="n">
        <x:v>0</x:v>
      </x:c>
      <x:c r="R268" s="13" t="n">
        <x:v>0</x:v>
      </x:c>
      <x:c r="S268" s="10" t="n">
        <x:v>1</x:v>
      </x:c>
      <x:c r="T268" s="10" t="str">
        <x:v>digital planner,instant download,home toolkit,excel calculator,first home,mortgage pdf,finance canada,budget spreadsheet,canada mortgage,home checklist,mortgage calculator,canadian mortgage,checklist</x:v>
      </x:c>
      <x:c r="U268" s="10" t="str">
        <x:v>digital planner</x:v>
      </x:c>
      <x:c r="V268" s="10" t="str">
        <x:v>instant download</x:v>
      </x:c>
      <x:c r="W268" s="10" t="str">
        <x:v>home toolkit</x:v>
      </x:c>
      <x:c r="X268" s="10" t="str">
        <x:v>excel calculator</x:v>
      </x:c>
      <x:c r="Y268" s="10" t="str">
        <x:v>first home</x:v>
      </x:c>
      <x:c r="Z268" s="10" t="str">
        <x:v>mortgage pdf</x:v>
      </x:c>
      <x:c r="AA268" s="10" t="str">
        <x:v>finance canada</x:v>
      </x:c>
      <x:c r="AB268" s="10" t="str">
        <x:v>budget spreadsheet</x:v>
      </x:c>
      <x:c r="AC268" s="10" t="str">
        <x:v>canada mortgage</x:v>
      </x:c>
      <x:c r="AD268" s="10" t="str">
        <x:v>home checklist</x:v>
      </x:c>
      <x:c r="AE268" s="10" t="str">
        <x:v>mortgage calculator</x:v>
      </x:c>
      <x:c r="AF268" s="10" t="str">
        <x:v>canadian mortgage</x:v>
      </x:c>
      <x:c r="AG268" s="10" t="str">
        <x:v>checklist</x:v>
      </x:c>
      <x:c r="AH268" s="10" t="str">
        <x:v>Mortgage payoff / calculator</x:v>
      </x:c>
      <x:c r="AI268" s="13" t="n">
        <x:v>4</x:v>
      </x:c>
      <x:c r="AJ268" s="10" t="str">
        <x:f>IF(F268&gt;0,"Active","No est. sales")</x:f>
        <x:v>No est. sales</x:v>
      </x:c>
    </x:row>
    <x:row r="269">
      <x:c r="A269" s="10" t="str">
        <x:v>Mortgage Interest Calculator Spreadsheet | Loan Amortization &amp; Payment Tracker | Home Loan Analysis Excel and Google Sheets</x:v>
      </x:c>
      <x:c r="B269" s="10" t="str">
        <x:v>https://www.etsy.com/listing/4332161270/mortgage-interest-calculator-spreadsheet</x:v>
      </x:c>
      <x:c r="C269" s="10" t="str">
        <x:v>CentsandSensibility1</x:v>
      </x:c>
      <x:c r="D269" s="10" t="str">
        <x:v>https://www.etsy.com/shop/CentsandSensibility1</x:v>
      </x:c>
      <x:c r="E269" s="11" t="n">
        <x:v>4.97</x:v>
      </x:c>
      <x:c r="F269" s="10" t="n">
        <x:v>0</x:v>
      </x:c>
      <x:c r="G269" s="12" t="n">
        <x:v>0</x:v>
      </x:c>
      <x:c r="H269" s="13" t="n">
        <x:v>0</x:v>
      </x:c>
      <x:c r="I269" s="10" t="n">
        <x:v>0</x:v>
      </x:c>
      <x:c r="J269" s="10" t="n">
        <x:v>0</x:v>
      </x:c>
      <x:c r="K269" s="10" t="str">
        <x:v>5 Mo.</x:v>
      </x:c>
      <x:c r="L269" s="10" t="n">
        <x:v>1</x:v>
      </x:c>
      <x:c r="M269" s="10" t="n">
        <x:v>0</x:v>
      </x:c>
      <x:c r="N269" s="10" t="n">
        <x:v>2</x:v>
      </x:c>
      <x:c r="O269" s="10" t="str"/>
      <x:c r="P269" s="10" t="n">
        <x:v>170</x:v>
      </x:c>
      <x:c r="Q269" s="10" t="n">
        <x:v>0</x:v>
      </x:c>
      <x:c r="R269" s="13" t="n">
        <x:v>0</x:v>
      </x:c>
      <x:c r="S269" s="10" t="n">
        <x:v>3</x:v>
      </x:c>
      <x:c r="T269" s="10" t="str">
        <x:v>mortgage calculator,loan calculator,mortgage tracker,loan amortization,payment tracker,debt payoff,mortgage interest,excel template,financial planner,home loan</x:v>
      </x:c>
      <x:c r="U269" s="10" t="str">
        <x:v>mortgage calculator</x:v>
      </x:c>
      <x:c r="V269" s="10" t="str">
        <x:v>loan calculator</x:v>
      </x:c>
      <x:c r="W269" s="10" t="str">
        <x:v>mortgage tracker</x:v>
      </x:c>
      <x:c r="X269" s="10" t="str">
        <x:v>loan amortization</x:v>
      </x:c>
      <x:c r="Y269" s="10" t="str">
        <x:v>payment tracker</x:v>
      </x:c>
      <x:c r="Z269" s="10" t="str">
        <x:v>debt payoff</x:v>
      </x:c>
      <x:c r="AA269" s="10" t="str">
        <x:v>mortgage interest</x:v>
      </x:c>
      <x:c r="AB269" s="10" t="str">
        <x:v>excel template</x:v>
      </x:c>
      <x:c r="AC269" s="10" t="str">
        <x:v>financial planner</x:v>
      </x:c>
      <x:c r="AD269" s="10" t="str">
        <x:v>home loan</x:v>
      </x:c>
      <x:c r="AE269" s="10" t="str">
        <x:v>--</x:v>
      </x:c>
      <x:c r="AF269" s="10" t="str">
        <x:v>--</x:v>
      </x:c>
      <x:c r="AG269" s="10" t="str">
        <x:v>--</x:v>
      </x:c>
      <x:c r="AH269" s="10" t="str">
        <x:v>General loan calculator</x:v>
      </x:c>
      <x:c r="AI269" s="13" t="n">
        <x:v>5</x:v>
      </x:c>
      <x:c r="AJ269" s="10" t="str">
        <x:f>IF(F269&gt;0,"Active","No est. sales")</x:f>
        <x:v>No est. sales</x:v>
      </x:c>
    </x:row>
    <x:row r="270">
      <x:c r="A270" s="10" t="str">
        <x:v>Monthly budget tracker printable, Finance planner, Budget tracker, Spending log, Monthly budget, PDF digital monthly budget tracker</x:v>
      </x:c>
      <x:c r="B270" s="10" t="str">
        <x:v>https://www.etsy.com/listing/1662081531/monthly-budget-tracker-printable-finance</x:v>
      </x:c>
      <x:c r="C270" s="10" t="str">
        <x:v>RaeDigitalCreations</x:v>
      </x:c>
      <x:c r="D270" s="10" t="str">
        <x:v>https://www.etsy.com/shop/RaeDigitalCreations</x:v>
      </x:c>
      <x:c r="E270" s="11" t="n">
        <x:v>3</x:v>
      </x:c>
      <x:c r="F270" s="10" t="n">
        <x:v>0</x:v>
      </x:c>
      <x:c r="G270" s="12" t="n">
        <x:v>0</x:v>
      </x:c>
      <x:c r="H270" s="13" t="n">
        <x:v>0</x:v>
      </x:c>
      <x:c r="I270" s="10" t="n">
        <x:v>0</x:v>
      </x:c>
      <x:c r="J270" s="10" t="n">
        <x:v>0</x:v>
      </x:c>
      <x:c r="K270" s="10" t="str">
        <x:v>30 Mo.</x:v>
      </x:c>
      <x:c r="L270" s="10" t="n">
        <x:v>0</x:v>
      </x:c>
      <x:c r="M270" s="10" t="n">
        <x:v>0</x:v>
      </x:c>
      <x:c r="N270" s="10" t="n">
        <x:v>10</x:v>
      </x:c>
      <x:c r="O270" s="10" t="str"/>
      <x:c r="P270" s="10" t="n">
        <x:v>33</x:v>
      </x:c>
      <x:c r="Q270" s="10" t="n">
        <x:v>0</x:v>
      </x:c>
      <x:c r="R270" s="13" t="n">
        <x:v>0</x:v>
      </x:c>
      <x:c r="S270" s="10" t="n">
        <x:v>343</x:v>
      </x:c>
      <x:c r="T270" s="10" t="str">
        <x:v>paycheck budget,saving tracker,cash tracker,monthly budget,student loan tracker,finance tracker,debt tracker,mortgage tracker,budget planner,money planner,monthly expenses log,expense tracker,purchase log</x:v>
      </x:c>
      <x:c r="U270" s="10" t="str">
        <x:v>paycheck budget</x:v>
      </x:c>
      <x:c r="V270" s="10" t="str">
        <x:v>saving tracker</x:v>
      </x:c>
      <x:c r="W270" s="10" t="str">
        <x:v>cash tracker</x:v>
      </x:c>
      <x:c r="X270" s="10" t="str">
        <x:v>monthly budget</x:v>
      </x:c>
      <x:c r="Y270" s="10" t="str">
        <x:v>student loan tracker</x:v>
      </x:c>
      <x:c r="Z270" s="10" t="str">
        <x:v>finance tracker</x:v>
      </x:c>
      <x:c r="AA270" s="10" t="str">
        <x:v>debt tracker</x:v>
      </x:c>
      <x:c r="AB270" s="10" t="str">
        <x:v>mortgage tracker</x:v>
      </x:c>
      <x:c r="AC270" s="10" t="str">
        <x:v>budget planner</x:v>
      </x:c>
      <x:c r="AD270" s="10" t="str">
        <x:v>money planner</x:v>
      </x:c>
      <x:c r="AE270" s="10" t="str">
        <x:v>monthly expenses log</x:v>
      </x:c>
      <x:c r="AF270" s="10" t="str">
        <x:v>expense tracker</x:v>
      </x:c>
      <x:c r="AG270" s="10" t="str">
        <x:v>purchase log</x:v>
      </x:c>
      <x:c r="AH270" s="10" t="str">
        <x:v>Other mortgage-related</x:v>
      </x:c>
      <x:c r="AI270" s="13" t="n">
        <x:v>30</x:v>
      </x:c>
      <x:c r="AJ270" s="10" t="str">
        <x:f>IF(F270&gt;0,"Active","No est. sales")</x:f>
        <x:v>No est. sales</x:v>
      </x:c>
    </x:row>
    <x:row r="271">
      <x:c r="A271" s="10" t="str">
        <x:v>Personal Budget Template</x:v>
      </x:c>
      <x:c r="B271" s="10" t="str">
        <x:v>https://www.etsy.com/listing/4356997046/personal-budget-template</x:v>
      </x:c>
      <x:c r="C271" s="10" t="str">
        <x:v>UandYourBusiness</x:v>
      </x:c>
      <x:c r="D271" s="10" t="str">
        <x:v>https://www.etsy.com/shop/UandYourBusiness</x:v>
      </x:c>
      <x:c r="E271" s="11" t="n">
        <x:v>1.16</x:v>
      </x:c>
      <x:c r="F271" s="10" t="n">
        <x:v>0</x:v>
      </x:c>
      <x:c r="G271" s="12" t="n">
        <x:v>0</x:v>
      </x:c>
      <x:c r="H271" s="13" t="n">
        <x:v>0</x:v>
      </x:c>
      <x:c r="I271" s="10" t="n">
        <x:v>0</x:v>
      </x:c>
      <x:c r="J271" s="10" t="n">
        <x:v>0</x:v>
      </x:c>
      <x:c r="K271" s="10" t="str">
        <x:v>9 Mo.</x:v>
      </x:c>
      <x:c r="L271" s="10" t="n">
        <x:v>0</x:v>
      </x:c>
      <x:c r="M271" s="10" t="n">
        <x:v>0</x:v>
      </x:c>
      <x:c r="N271" s="10" t="n">
        <x:v>1</x:v>
      </x:c>
      <x:c r="O271" s="10" t="str"/>
      <x:c r="P271" s="10" t="n">
        <x:v>27</x:v>
      </x:c>
      <x:c r="Q271" s="10" t="n">
        <x:v>0</x:v>
      </x:c>
      <x:c r="R271" s="13" t="n">
        <x:v>0</x:v>
      </x:c>
      <x:c r="S271" s="10" t="n">
        <x:v>5</x:v>
      </x:c>
      <x:c r="T271" s="10" t="str">
        <x:v>personal budget,budget planner,monthly budget,finance tracker,expense tracker,income and expense,household budget,savings tracker,credit card tracker,mortgage tracker,digital budget,excel budget,printable budget</x:v>
      </x:c>
      <x:c r="U271" s="10" t="str">
        <x:v>personal budget</x:v>
      </x:c>
      <x:c r="V271" s="10" t="str">
        <x:v>budget planner</x:v>
      </x:c>
      <x:c r="W271" s="10" t="str">
        <x:v>monthly budget</x:v>
      </x:c>
      <x:c r="X271" s="10" t="str">
        <x:v>finance tracker</x:v>
      </x:c>
      <x:c r="Y271" s="10" t="str">
        <x:v>expense tracker</x:v>
      </x:c>
      <x:c r="Z271" s="10" t="str">
        <x:v>income and expense</x:v>
      </x:c>
      <x:c r="AA271" s="10" t="str">
        <x:v>household budget</x:v>
      </x:c>
      <x:c r="AB271" s="10" t="str">
        <x:v>savings tracker</x:v>
      </x:c>
      <x:c r="AC271" s="10" t="str">
        <x:v>credit card tracker</x:v>
      </x:c>
      <x:c r="AD271" s="10" t="str">
        <x:v>mortgage tracker</x:v>
      </x:c>
      <x:c r="AE271" s="10" t="str">
        <x:v>digital budget</x:v>
      </x:c>
      <x:c r="AF271" s="10" t="str">
        <x:v>excel budget</x:v>
      </x:c>
      <x:c r="AG271" s="10" t="str">
        <x:v>printable budget</x:v>
      </x:c>
      <x:c r="AH271" s="10" t="str">
        <x:v>Other mortgage-related</x:v>
      </x:c>
      <x:c r="AI271" s="13" t="n">
        <x:v>9</x:v>
      </x:c>
      <x:c r="AJ271" s="10" t="str">
        <x:f>IF(F271&gt;0,"Active","No est. sales")</x:f>
        <x:v>No est. sales</x:v>
      </x:c>
    </x:row>
    <x:row r="272">
      <x:c r="A272" s="10" t="str">
        <x:v>Home Affordability Tracker Excel | Mortgage Planner &amp; Amortisation Schedule | House Budget Spreadsheet | Financial Planning Tool</x:v>
      </x:c>
      <x:c r="B272" s="10" t="str">
        <x:v>https://www.etsy.com/listing/4341972707/home-affordability-tracker-excel</x:v>
      </x:c>
      <x:c r="C272" s="10" t="str">
        <x:v>TheFocusCafe</x:v>
      </x:c>
      <x:c r="D272" s="10" t="str">
        <x:v>https://www.etsy.com/shop/TheFocusCafe</x:v>
      </x:c>
      <x:c r="E272" s="11" t="n">
        <x:v>4.08</x:v>
      </x:c>
      <x:c r="F272" s="10" t="n">
        <x:v>0</x:v>
      </x:c>
      <x:c r="G272" s="12" t="n">
        <x:v>0</x:v>
      </x:c>
      <x:c r="H272" s="13" t="n">
        <x:v>0</x:v>
      </x:c>
      <x:c r="I272" s="10" t="n">
        <x:v>0</x:v>
      </x:c>
      <x:c r="J272" s="10" t="n">
        <x:v>0</x:v>
      </x:c>
      <x:c r="K272" s="10" t="str">
        <x:v>4 Mo.</x:v>
      </x:c>
      <x:c r="L272" s="10" t="n">
        <x:v>1</x:v>
      </x:c>
      <x:c r="M272" s="10" t="n">
        <x:v>0</x:v>
      </x:c>
      <x:c r="N272" s="10" t="n">
        <x:v>14</x:v>
      </x:c>
      <x:c r="O272" s="10" t="str"/>
      <x:c r="P272" s="10" t="n">
        <x:v>4</x:v>
      </x:c>
      <x:c r="Q272" s="10" t="n">
        <x:v>0</x:v>
      </x:c>
      <x:c r="R272" s="13" t="n">
        <x:v>0</x:v>
      </x:c>
      <x:c r="S272" s="10" t="n">
        <x:v>0</x:v>
      </x:c>
      <x:c r="T272" s="10" t="str">
        <x:v>mortgage tracker,home loan template,extra repayment tool,mortgage payoff tool,mortgage dashboard,house buying tool,house buying guide,home goal tracker,house budget sheet,affordability plan,home budget tool,financial planner,digital budget file</x:v>
      </x:c>
      <x:c r="U272" s="10" t="str">
        <x:v>mortgage tracker</x:v>
      </x:c>
      <x:c r="V272" s="10" t="str">
        <x:v>home loan template</x:v>
      </x:c>
      <x:c r="W272" s="10" t="str">
        <x:v>extra repayment tool</x:v>
      </x:c>
      <x:c r="X272" s="10" t="str">
        <x:v>mortgage payoff tool</x:v>
      </x:c>
      <x:c r="Y272" s="10" t="str">
        <x:v>mortgage dashboard</x:v>
      </x:c>
      <x:c r="Z272" s="10" t="str">
        <x:v>house buying tool</x:v>
      </x:c>
      <x:c r="AA272" s="10" t="str">
        <x:v>house buying guide</x:v>
      </x:c>
      <x:c r="AB272" s="10" t="str">
        <x:v>home goal tracker</x:v>
      </x:c>
      <x:c r="AC272" s="10" t="str">
        <x:v>house budget sheet</x:v>
      </x:c>
      <x:c r="AD272" s="10" t="str">
        <x:v>affordability plan</x:v>
      </x:c>
      <x:c r="AE272" s="10" t="str">
        <x:v>home budget tool</x:v>
      </x:c>
      <x:c r="AF272" s="10" t="str">
        <x:v>financial planner</x:v>
      </x:c>
      <x:c r="AG272" s="10" t="str">
        <x:v>digital budget file</x:v>
      </x:c>
      <x:c r="AH272" s="10" t="str">
        <x:v>Mortgage payoff / calculator</x:v>
      </x:c>
      <x:c r="AI272" s="13" t="n">
        <x:v>4</x:v>
      </x:c>
      <x:c r="AJ272" s="10" t="str">
        <x:f>IF(F272&gt;0,"Active","No est. sales")</x:f>
        <x:v>No est. sales</x:v>
      </x:c>
    </x:row>
    <x:row r="273">
      <x:c r="A273" s="10" t="str">
        <x:v>Mortgage Planner Excel Template with Extra Payment Feature and Auto PDF Report Creator and Multi-Currency Support</x:v>
      </x:c>
      <x:c r="B273" s="10" t="str">
        <x:v>https://www.etsy.com/listing/1554682298/mortgage-planner-excel-template-with</x:v>
      </x:c>
      <x:c r="C273" s="10" t="str">
        <x:v>TemplateGurusCompany</x:v>
      </x:c>
      <x:c r="D273" s="10" t="str">
        <x:v>https://www.etsy.com/shop/TemplateGurusCompany</x:v>
      </x:c>
      <x:c r="E273" s="11" t="n">
        <x:v>6.05</x:v>
      </x:c>
      <x:c r="F273" s="10" t="n">
        <x:v>0</x:v>
      </x:c>
      <x:c r="G273" s="12" t="n">
        <x:v>0</x:v>
      </x:c>
      <x:c r="H273" s="13" t="n">
        <x:v>0</x:v>
      </x:c>
      <x:c r="I273" s="10" t="n">
        <x:v>0</x:v>
      </x:c>
      <x:c r="J273" s="10" t="n">
        <x:v>0</x:v>
      </x:c>
      <x:c r="K273" s="10" t="str">
        <x:v>22 Mo.</x:v>
      </x:c>
      <x:c r="L273" s="10" t="n">
        <x:v>2</x:v>
      </x:c>
      <x:c r="M273" s="10" t="n">
        <x:v>0</x:v>
      </x:c>
      <x:c r="N273" s="10" t="n">
        <x:v>126</x:v>
      </x:c>
      <x:c r="O273" s="10" t="str">
        <x:v>Paper &amp; Party Supplies</x:v>
      </x:c>
      <x:c r="P273" s="10" t="n">
        <x:v>22</x:v>
      </x:c>
      <x:c r="Q273" s="10" t="n">
        <x:v>0</x:v>
      </x:c>
      <x:c r="R273" s="13" t="n">
        <x:v>0</x:v>
      </x:c>
      <x:c r="S273" s="10" t="n">
        <x:v>58</x:v>
      </x:c>
      <x:c r="T273" s="10" t="str">
        <x:v>small business,bookkeeping template,expense tracker,income tracker,inventory tracker,inventory template,business planner,business spreadsheet,accounting ledger,mortgage planner,extra payment mortga,early mortgage pay,free mortgage track</x:v>
      </x:c>
      <x:c r="U273" s="10" t="str">
        <x:v>small business</x:v>
      </x:c>
      <x:c r="V273" s="10" t="str">
        <x:v>bookkeeping template</x:v>
      </x:c>
      <x:c r="W273" s="10" t="str">
        <x:v>expense tracker</x:v>
      </x:c>
      <x:c r="X273" s="10" t="str">
        <x:v>income tracker</x:v>
      </x:c>
      <x:c r="Y273" s="10" t="str">
        <x:v>inventory tracker</x:v>
      </x:c>
      <x:c r="Z273" s="10" t="str">
        <x:v>inventory template</x:v>
      </x:c>
      <x:c r="AA273" s="10" t="str">
        <x:v>business planner</x:v>
      </x:c>
      <x:c r="AB273" s="10" t="str">
        <x:v>business spreadsheet</x:v>
      </x:c>
      <x:c r="AC273" s="10" t="str">
        <x:v>accounting ledger</x:v>
      </x:c>
      <x:c r="AD273" s="10" t="str">
        <x:v>mortgage planner</x:v>
      </x:c>
      <x:c r="AE273" s="10" t="str">
        <x:v>extra payment mortga</x:v>
      </x:c>
      <x:c r="AF273" s="10" t="str">
        <x:v>early mortgage pay</x:v>
      </x:c>
      <x:c r="AG273" s="10" t="str">
        <x:v>free mortgage track</x:v>
      </x:c>
      <x:c r="AH273" s="10" t="str">
        <x:v>Other mortgage-related</x:v>
      </x:c>
      <x:c r="AI273" s="13" t="n">
        <x:v>22</x:v>
      </x:c>
      <x:c r="AJ273" s="10" t="str">
        <x:f>IF(F273&gt;0,"Active","No est. sales")</x:f>
        <x:v>No est. sales</x:v>
      </x:c>
    </x:row>
    <x:row r="274">
      <x:c r="A274" s="10" t="str">
        <x:v>Ultimate Homebuyer Guide |Home Buying Planner + Bonuses | PDF| First Time Home Buyer Checklist &amp; Workbook | Bonuses / Home Buying Guide PDF</x:v>
      </x:c>
      <x:c r="B274" s="10" t="str">
        <x:v>https://www.etsy.com/listing/4430460447/ultimate-homebuyer-guide-home-buying</x:v>
      </x:c>
      <x:c r="C274" s="10" t="str">
        <x:v>BlueprintHomeStudio</x:v>
      </x:c>
      <x:c r="D274" s="10" t="str">
        <x:v>https://www.etsy.com/shop/BlueprintHomeStudio</x:v>
      </x:c>
      <x:c r="E274" s="11" t="n">
        <x:v>14.99</x:v>
      </x:c>
      <x:c r="F274" s="10" t="n">
        <x:v>0</x:v>
      </x:c>
      <x:c r="G274" s="12" t="n">
        <x:v>0</x:v>
      </x:c>
      <x:c r="H274" s="13" t="n">
        <x:v>0</x:v>
      </x:c>
      <x:c r="I274" s="10" t="n">
        <x:v>0</x:v>
      </x:c>
      <x:c r="J274" s="10" t="n">
        <x:v>0</x:v>
      </x:c>
      <x:c r="K274" s="10" t="str">
        <x:v>5 Mo.</x:v>
      </x:c>
      <x:c r="L274" s="10" t="n">
        <x:v>1</x:v>
      </x:c>
      <x:c r="M274" s="10" t="n">
        <x:v>0</x:v>
      </x:c>
      <x:c r="N274" s="10" t="n">
        <x:v>40</x:v>
      </x:c>
      <x:c r="O274" s="10" t="str">
        <x:v>Books, Movies &amp; Music</x:v>
      </x:c>
      <x:c r="P274" s="10" t="n">
        <x:v>5</x:v>
      </x:c>
      <x:c r="Q274" s="10" t="n">
        <x:v>0</x:v>
      </x:c>
      <x:c r="R274" s="13" t="n">
        <x:v>0</x:v>
      </x:c>
      <x:c r="S274" s="10" t="n">
        <x:v>0</x:v>
      </x:c>
      <x:c r="T274" s="10" t="str">
        <x:v>first time homebuyer,homebuyer guide,home buying guide,real estate guide,homebuying checklist,first home checklist,mortgage preparation,buying a house,buy home planner,buyer education,homebuyer bundle,home loan process,mortgage process</x:v>
      </x:c>
      <x:c r="U274" s="10" t="str">
        <x:v>first time homebuyer</x:v>
      </x:c>
      <x:c r="V274" s="10" t="str">
        <x:v>homebuyer guide</x:v>
      </x:c>
      <x:c r="W274" s="10" t="str">
        <x:v>home buying guide</x:v>
      </x:c>
      <x:c r="X274" s="10" t="str">
        <x:v>real estate guide</x:v>
      </x:c>
      <x:c r="Y274" s="10" t="str">
        <x:v>homebuying checklist</x:v>
      </x:c>
      <x:c r="Z274" s="10" t="str">
        <x:v>first home checklist</x:v>
      </x:c>
      <x:c r="AA274" s="10" t="str">
        <x:v>mortgage preparation</x:v>
      </x:c>
      <x:c r="AB274" s="10" t="str">
        <x:v>buying a house</x:v>
      </x:c>
      <x:c r="AC274" s="10" t="str">
        <x:v>buy home planner</x:v>
      </x:c>
      <x:c r="AD274" s="10" t="str">
        <x:v>buyer education</x:v>
      </x:c>
      <x:c r="AE274" s="10" t="str">
        <x:v>homebuyer bundle</x:v>
      </x:c>
      <x:c r="AF274" s="10" t="str">
        <x:v>home loan process</x:v>
      </x:c>
      <x:c r="AG274" s="10" t="str">
        <x:v>mortgage process</x:v>
      </x:c>
      <x:c r="AH274" s="10" t="str">
        <x:v>Home buying planner</x:v>
      </x:c>
      <x:c r="AI274" s="13" t="n">
        <x:v>5</x:v>
      </x:c>
      <x:c r="AJ274" s="10" t="str">
        <x:f>IF(F274&gt;0,"Active","No est. sales")</x:f>
        <x:v>No est. sales</x:v>
      </x:c>
    </x:row>
    <x:row r="275">
      <x:c r="A275" s="10" t="str">
        <x:v>Printable Budget Trackers Routine Tracker Habit Tracker Challenges Planner Inserts A4 Letter PDF Instant Download Goal Setting Motivation</x:v>
      </x:c>
      <x:c r="B275" s="10" t="str">
        <x:v>https://www.etsy.com/listing/1472053744/printable-budget-trackers-routine</x:v>
      </x:c>
      <x:c r="C275" s="10" t="str">
        <x:v>WidgetPaper</x:v>
      </x:c>
      <x:c r="D275" s="10" t="str">
        <x:v>https://www.etsy.com/shop/WidgetPaper</x:v>
      </x:c>
      <x:c r="E275" s="11" t="n">
        <x:v>4.12</x:v>
      </x:c>
      <x:c r="F275" s="10" t="n">
        <x:v>0</x:v>
      </x:c>
      <x:c r="G275" s="12" t="n">
        <x:v>0</x:v>
      </x:c>
      <x:c r="H275" s="13" t="n">
        <x:v>0</x:v>
      </x:c>
      <x:c r="I275" s="10" t="n">
        <x:v>0</x:v>
      </x:c>
      <x:c r="J275" s="10" t="n">
        <x:v>0</x:v>
      </x:c>
      <x:c r="K275" s="10" t="str">
        <x:v>25 Mo.</x:v>
      </x:c>
      <x:c r="L275" s="10" t="n">
        <x:v>0</x:v>
      </x:c>
      <x:c r="M275" s="10" t="n">
        <x:v>0</x:v>
      </x:c>
      <x:c r="N275" s="10" t="n">
        <x:v>21</x:v>
      </x:c>
      <x:c r="O275" s="10" t="str">
        <x:v>Paper &amp; Party Supplies</x:v>
      </x:c>
      <x:c r="P275" s="10" t="n">
        <x:v>32</x:v>
      </x:c>
      <x:c r="Q275" s="10" t="n">
        <x:v>0</x:v>
      </x:c>
      <x:c r="R275" s="13" t="n">
        <x:v>0</x:v>
      </x:c>
      <x:c r="S275" s="10" t="n">
        <x:v>230</x:v>
      </x:c>
      <x:c r="T275" s="10" t="str">
        <x:v>bill tracker,budget printable,budget template pdf,budget tracker,planner printable,planner insert,emergency fund,debt tracker,mortgage car loan,pay off tracker,rainy day fund,vacation gift,savings tracker</x:v>
      </x:c>
      <x:c r="U275" s="10" t="str">
        <x:v>bill tracker</x:v>
      </x:c>
      <x:c r="V275" s="10" t="str">
        <x:v>budget printable</x:v>
      </x:c>
      <x:c r="W275" s="10" t="str">
        <x:v>budget template pdf</x:v>
      </x:c>
      <x:c r="X275" s="10" t="str">
        <x:v>budget tracker</x:v>
      </x:c>
      <x:c r="Y275" s="10" t="str">
        <x:v>planner printable</x:v>
      </x:c>
      <x:c r="Z275" s="10" t="str">
        <x:v>planner insert</x:v>
      </x:c>
      <x:c r="AA275" s="10" t="str">
        <x:v>emergency fund</x:v>
      </x:c>
      <x:c r="AB275" s="10" t="str">
        <x:v>debt tracker</x:v>
      </x:c>
      <x:c r="AC275" s="10" t="str">
        <x:v>mortgage car loan</x:v>
      </x:c>
      <x:c r="AD275" s="10" t="str">
        <x:v>pay off tracker</x:v>
      </x:c>
      <x:c r="AE275" s="10" t="str">
        <x:v>rainy day fund</x:v>
      </x:c>
      <x:c r="AF275" s="10" t="str">
        <x:v>vacation gift</x:v>
      </x:c>
      <x:c r="AG275" s="10" t="str">
        <x:v>savings tracker</x:v>
      </x:c>
      <x:c r="AH275" s="10" t="str">
        <x:v>Other mortgage-related</x:v>
      </x:c>
      <x:c r="AI275" s="13" t="n">
        <x:v>25</x:v>
      </x:c>
      <x:c r="AJ275" s="10" t="str">
        <x:f>IF(F275&gt;0,"Active","No est. sales")</x:f>
        <x:v>No est. sales</x:v>
      </x:c>
    </x:row>
    <x:row r="276">
      <x:c r="A276" s="10" t="str">
        <x:v>Mortgage Payoff Tracker: Principal Reduction Challenge (Digital Download)</x:v>
      </x:c>
      <x:c r="B276" s="10" t="str">
        <x:v>https://www.etsy.com/listing/1638808136/mortgage-payoff-tracker-principal</x:v>
      </x:c>
      <x:c r="C276" s="10" t="str">
        <x:v>FortierFamilyBudgets</x:v>
      </x:c>
      <x:c r="D276" s="10" t="str">
        <x:v>https://www.etsy.com/shop/FortierFamilyBudgets</x:v>
      </x:c>
      <x:c r="E276" s="11" t="n">
        <x:v>1.25</x:v>
      </x:c>
      <x:c r="F276" s="10" t="n">
        <x:v>0</x:v>
      </x:c>
      <x:c r="G276" s="12" t="n">
        <x:v>0</x:v>
      </x:c>
      <x:c r="H276" s="13" t="n">
        <x:v>0</x:v>
      </x:c>
      <x:c r="I276" s="10" t="n">
        <x:v>0</x:v>
      </x:c>
      <x:c r="J276" s="10" t="n">
        <x:v>0</x:v>
      </x:c>
      <x:c r="K276" s="10" t="str">
        <x:v>30 Mo.</x:v>
      </x:c>
      <x:c r="L276" s="10" t="n">
        <x:v>6</x:v>
      </x:c>
      <x:c r="M276" s="10" t="n">
        <x:v>0</x:v>
      </x:c>
      <x:c r="N276" s="10" t="n">
        <x:v>40</x:v>
      </x:c>
      <x:c r="O276" s="10" t="str"/>
      <x:c r="P276" s="10" t="n">
        <x:v>32</x:v>
      </x:c>
      <x:c r="Q276" s="10" t="n">
        <x:v>0</x:v>
      </x:c>
      <x:c r="R276" s="13" t="n">
        <x:v>0</x:v>
      </x:c>
      <x:c r="S276" s="10" t="n">
        <x:v>357</x:v>
      </x:c>
      <x:c r="T276" s="10" t="str">
        <x:v>mortgage payoff,planner debt-free,financial planning,mortgage reduction,mortgage strategy,principal calculator,payment calculator,mortgage principal,financial payment,mortgage tracker,payment tracker,financial tracker,mortgage payment</x:v>
      </x:c>
      <x:c r="U276" s="10" t="str">
        <x:v>mortgage payoff</x:v>
      </x:c>
      <x:c r="V276" s="10" t="str">
        <x:v>planner debt-free</x:v>
      </x:c>
      <x:c r="W276" s="10" t="str">
        <x:v>financial planning</x:v>
      </x:c>
      <x:c r="X276" s="10" t="str">
        <x:v>mortgage reduction</x:v>
      </x:c>
      <x:c r="Y276" s="10" t="str">
        <x:v>mortgage strategy</x:v>
      </x:c>
      <x:c r="Z276" s="10" t="str">
        <x:v>principal calculator</x:v>
      </x:c>
      <x:c r="AA276" s="10" t="str">
        <x:v>payment calculator</x:v>
      </x:c>
      <x:c r="AB276" s="10" t="str">
        <x:v>mortgage principal</x:v>
      </x:c>
      <x:c r="AC276" s="10" t="str">
        <x:v>financial payment</x:v>
      </x:c>
      <x:c r="AD276" s="10" t="str">
        <x:v>mortgage tracker</x:v>
      </x:c>
      <x:c r="AE276" s="10" t="str">
        <x:v>payment tracker</x:v>
      </x:c>
      <x:c r="AF276" s="10" t="str">
        <x:v>financial tracker</x:v>
      </x:c>
      <x:c r="AG276" s="10" t="str">
        <x:v>mortgage payment</x:v>
      </x:c>
      <x:c r="AH276" s="10" t="str">
        <x:v>Mortgage payoff / calculator</x:v>
      </x:c>
      <x:c r="AI276" s="13" t="n">
        <x:v>30</x:v>
      </x:c>
      <x:c r="AJ276" s="10" t="str">
        <x:f>IF(F276&gt;0,"Active","No est. sales")</x:f>
        <x:v>No est. sales</x:v>
      </x:c>
    </x:row>
    <x:row r="277">
      <x:c r="A277" s="10" t="str">
        <x:v>Debt Payoff Tracker Google Sheet Debt Snowball Avalanche Calculator Loan Credit Card Tracker Debt Free Financial Planner Mortgage Payment</x:v>
      </x:c>
      <x:c r="B277" s="10" t="str">
        <x:v>https://www.etsy.com/listing/4481765207/debt-payoff-tracker-google-sheet-debt</x:v>
      </x:c>
      <x:c r="C277" s="10" t="str">
        <x:v>TheSimpleSystemsShop</x:v>
      </x:c>
      <x:c r="D277" s="10" t="str">
        <x:v>https://www.etsy.com/shop/TheSimpleSystemsShop</x:v>
      </x:c>
      <x:c r="E277" s="11" t="n">
        <x:v>7.16</x:v>
      </x:c>
      <x:c r="F277" s="10" t="n">
        <x:v>0</x:v>
      </x:c>
      <x:c r="G277" s="12" t="n">
        <x:v>0</x:v>
      </x:c>
      <x:c r="H277" s="13" t="n">
        <x:v>0</x:v>
      </x:c>
      <x:c r="I277" s="10" t="n">
        <x:v>0</x:v>
      </x:c>
      <x:c r="J277" s="10" t="n">
        <x:v>0</x:v>
      </x:c>
      <x:c r="K277" s="10" t="str">
        <x:v>3 Mo.</x:v>
      </x:c>
      <x:c r="L277" s="10" t="n">
        <x:v>1</x:v>
      </x:c>
      <x:c r="M277" s="10" t="n">
        <x:v>0</x:v>
      </x:c>
      <x:c r="N277" s="10" t="n">
        <x:v>12</x:v>
      </x:c>
      <x:c r="O277" s="10" t="str"/>
      <x:c r="P277" s="10" t="n">
        <x:v>6</x:v>
      </x:c>
      <x:c r="Q277" s="10" t="n">
        <x:v>0</x:v>
      </x:c>
      <x:c r="R277" s="13" t="n">
        <x:v>0</x:v>
      </x:c>
      <x:c r="S277" s="10" t="n">
        <x:v>63</x:v>
      </x:c>
      <x:c r="T277" s="10" t="str">
        <x:v>debt payoff tracker,debt snowball sheet,debt payoff chart,debt payment tracker,credit card payoff,personal finances,financial planner,student loan debt,debt google sheets,mortgage payoff,credit utilization,expense tracker,avalanche template</x:v>
      </x:c>
      <x:c r="U277" s="10" t="str">
        <x:v>debt payoff tracker</x:v>
      </x:c>
      <x:c r="V277" s="10" t="str">
        <x:v>debt snowball sheet</x:v>
      </x:c>
      <x:c r="W277" s="10" t="str">
        <x:v>debt payoff chart</x:v>
      </x:c>
      <x:c r="X277" s="10" t="str">
        <x:v>debt payment tracker</x:v>
      </x:c>
      <x:c r="Y277" s="10" t="str">
        <x:v>credit card payoff</x:v>
      </x:c>
      <x:c r="Z277" s="10" t="str">
        <x:v>personal finances</x:v>
      </x:c>
      <x:c r="AA277" s="10" t="str">
        <x:v>financial planner</x:v>
      </x:c>
      <x:c r="AB277" s="10" t="str">
        <x:v>student loan debt</x:v>
      </x:c>
      <x:c r="AC277" s="10" t="str">
        <x:v>debt google sheets</x:v>
      </x:c>
      <x:c r="AD277" s="10" t="str">
        <x:v>mortgage payoff</x:v>
      </x:c>
      <x:c r="AE277" s="10" t="str">
        <x:v>credit utilization</x:v>
      </x:c>
      <x:c r="AF277" s="10" t="str">
        <x:v>expense tracker</x:v>
      </x:c>
      <x:c r="AG277" s="10" t="str">
        <x:v>avalanche template</x:v>
      </x:c>
      <x:c r="AH277" s="10" t="str">
        <x:v>General debt payoff</x:v>
      </x:c>
      <x:c r="AI277" s="13" t="n">
        <x:v>3</x:v>
      </x:c>
      <x:c r="AJ277" s="10" t="str">
        <x:f>IF(F277&gt;0,"Active","No est. sales")</x:f>
        <x:v>No est. sales</x:v>
      </x:c>
    </x:row>
    <x:row r="278">
      <x:c r="A278" s="10" t="str">
        <x:v>Debt Payoff Tracker Debt Snowball Avalanche Spreadsheet Google Sheets Debt Tracker Financial Planner Debt Planner Loan Tracker Finance</x:v>
      </x:c>
      <x:c r="B278" s="10" t="str">
        <x:v>https://www.etsy.com/listing/4422915399/debt-payoff-tracker-debt-snowball</x:v>
      </x:c>
      <x:c r="C278" s="10" t="str">
        <x:v>MinimalSpreads</x:v>
      </x:c>
      <x:c r="D278" s="10" t="str">
        <x:v>https://www.etsy.com/shop/MinimalSpreads</x:v>
      </x:c>
      <x:c r="E278" s="11" t="n">
        <x:v>6.33</x:v>
      </x:c>
      <x:c r="F278" s="10" t="n">
        <x:v>0</x:v>
      </x:c>
      <x:c r="G278" s="12" t="n">
        <x:v>0</x:v>
      </x:c>
      <x:c r="H278" s="13" t="n">
        <x:v>0</x:v>
      </x:c>
      <x:c r="I278" s="10" t="n">
        <x:v>0</x:v>
      </x:c>
      <x:c r="J278" s="10" t="n">
        <x:v>0</x:v>
      </x:c>
      <x:c r="K278" s="10" t="str">
        <x:v>7 Mo.</x:v>
      </x:c>
      <x:c r="L278" s="10" t="n">
        <x:v>1</x:v>
      </x:c>
      <x:c r="M278" s="10" t="n">
        <x:v>0</x:v>
      </x:c>
      <x:c r="N278" s="10" t="n">
        <x:v>11</x:v>
      </x:c>
      <x:c r="O278" s="10" t="str"/>
      <x:c r="P278" s="10" t="n">
        <x:v>8</x:v>
      </x:c>
      <x:c r="Q278" s="10" t="n">
        <x:v>0</x:v>
      </x:c>
      <x:c r="R278" s="13" t="n">
        <x:v>0</x:v>
      </x:c>
      <x:c r="S278" s="10" t="n">
        <x:v>25</x:v>
      </x:c>
      <x:c r="T278" s="10" t="str">
        <x:v>debt payment tracker,debt snowball,debt avalanche,debt payoff planner,debt calculator,debt forecast,loan payoff tracker,credit card debt,mortgage payoff,student loan debt,financial planner,personal finance,debt google sheets</x:v>
      </x:c>
      <x:c r="U278" s="10" t="str">
        <x:v>debt payment tracker</x:v>
      </x:c>
      <x:c r="V278" s="10" t="str">
        <x:v>debt snowball</x:v>
      </x:c>
      <x:c r="W278" s="10" t="str">
        <x:v>debt avalanche</x:v>
      </x:c>
      <x:c r="X278" s="10" t="str">
        <x:v>debt payoff planner</x:v>
      </x:c>
      <x:c r="Y278" s="10" t="str">
        <x:v>debt calculator</x:v>
      </x:c>
      <x:c r="Z278" s="10" t="str">
        <x:v>debt forecast</x:v>
      </x:c>
      <x:c r="AA278" s="10" t="str">
        <x:v>loan payoff tracker</x:v>
      </x:c>
      <x:c r="AB278" s="10" t="str">
        <x:v>credit card debt</x:v>
      </x:c>
      <x:c r="AC278" s="10" t="str">
        <x:v>mortgage payoff</x:v>
      </x:c>
      <x:c r="AD278" s="10" t="str">
        <x:v>student loan debt</x:v>
      </x:c>
      <x:c r="AE278" s="10" t="str">
        <x:v>financial planner</x:v>
      </x:c>
      <x:c r="AF278" s="10" t="str">
        <x:v>personal finance</x:v>
      </x:c>
      <x:c r="AG278" s="10" t="str">
        <x:v>debt google sheets</x:v>
      </x:c>
      <x:c r="AH278" s="10" t="str">
        <x:v>General debt payoff</x:v>
      </x:c>
      <x:c r="AI278" s="13" t="n">
        <x:v>7</x:v>
      </x:c>
      <x:c r="AJ278" s="10" t="str">
        <x:f>IF(F278&gt;0,"Active","No est. sales")</x:f>
        <x:v>No est. sales</x:v>
      </x:c>
    </x:row>
    <x:row r="279">
      <x:c r="A279" s="10" t="str">
        <x:v>House Planner Stickers // Mortgage Due //  Rent Due Planner Stickers //  Planner Stickers // Kiss Cut Planner Sticker //</x:v>
      </x:c>
      <x:c r="B279" s="10" t="str">
        <x:v>https://www.etsy.com/listing/754749750/house-planner-stickers-mortgage-due-rent</x:v>
      </x:c>
      <x:c r="C279" s="10" t="str">
        <x:v>StickyPaperParade</x:v>
      </x:c>
      <x:c r="D279" s="10" t="str">
        <x:v>https://www.etsy.com/shop/StickyPaperParade</x:v>
      </x:c>
      <x:c r="E279" s="11" t="n">
        <x:v>3.25</x:v>
      </x:c>
      <x:c r="F279" s="10" t="n">
        <x:v>0</x:v>
      </x:c>
      <x:c r="G279" s="12" t="n">
        <x:v>0</x:v>
      </x:c>
      <x:c r="H279" s="13" t="n">
        <x:v>0</x:v>
      </x:c>
      <x:c r="I279" s="10" t="n">
        <x:v>15</x:v>
      </x:c>
      <x:c r="J279" s="10" t="n">
        <x:v>5</x:v>
      </x:c>
      <x:c r="K279" s="10" t="str">
        <x:v>78 Mo.</x:v>
      </x:c>
      <x:c r="L279" s="10" t="n">
        <x:v>21</x:v>
      </x:c>
      <x:c r="M279" s="10" t="n">
        <x:v>0</x:v>
      </x:c>
      <x:c r="N279" s="10" t="n">
        <x:v>192</x:v>
      </x:c>
      <x:c r="O279" s="10" t="str">
        <x:v>Paper &amp; Party Supplies</x:v>
      </x:c>
      <x:c r="P279" s="10" t="n">
        <x:v>79</x:v>
      </x:c>
      <x:c r="Q279" s="10" t="n">
        <x:v>0</x:v>
      </x:c>
      <x:c r="R279" s="13" t="n">
        <x:v>7.81</x:v>
      </x:c>
      <x:c r="S279" s="10" t="n">
        <x:v>1505</x:v>
      </x:c>
      <x:c r="T279" s="10" t="str">
        <x:v>planner stickers,stickers,planning stickers,labels,tags,erin condren,happy planner,kiss cut stickers,verticle sticker,rent stickers,mortgage stickers,home planner sticker,rent planner sticker</x:v>
      </x:c>
      <x:c r="U279" s="10" t="str">
        <x:v>planner stickers</x:v>
      </x:c>
      <x:c r="V279" s="10" t="str">
        <x:v>stickers</x:v>
      </x:c>
      <x:c r="W279" s="10" t="str">
        <x:v>planning stickers</x:v>
      </x:c>
      <x:c r="X279" s="10" t="str">
        <x:v>labels</x:v>
      </x:c>
      <x:c r="Y279" s="10" t="str">
        <x:v>tags</x:v>
      </x:c>
      <x:c r="Z279" s="10" t="str">
        <x:v>erin condren</x:v>
      </x:c>
      <x:c r="AA279" s="10" t="str">
        <x:v>happy planner</x:v>
      </x:c>
      <x:c r="AB279" s="10" t="str">
        <x:v>kiss cut stickers</x:v>
      </x:c>
      <x:c r="AC279" s="10" t="str">
        <x:v>verticle sticker</x:v>
      </x:c>
      <x:c r="AD279" s="10" t="str">
        <x:v>rent stickers</x:v>
      </x:c>
      <x:c r="AE279" s="10" t="str">
        <x:v>mortgage stickers</x:v>
      </x:c>
      <x:c r="AF279" s="10" t="str">
        <x:v>home planner sticker</x:v>
      </x:c>
      <x:c r="AG279" s="10" t="str">
        <x:v>rent planner sticker</x:v>
      </x:c>
      <x:c r="AH279" s="10" t="str">
        <x:v>Other mortgage-related</x:v>
      </x:c>
      <x:c r="AI279" s="13" t="n">
        <x:v>78</x:v>
      </x:c>
      <x:c r="AJ279" s="10" t="str">
        <x:f>IF(F279&gt;0,"Active","No est. sales")</x:f>
        <x:v>No est. sales</x:v>
      </x:c>
    </x:row>
    <x:row r="280">
      <x:c r="A280" s="10" t="str">
        <x:v>Mortgage || Functional Planner Stickers Icons || EC</x:v>
      </x:c>
      <x:c r="B280" s="10" t="str">
        <x:v>https://www.etsy.com/listing/1345689586/mortgage-functional-planner-stickers</x:v>
      </x:c>
      <x:c r="C280" s="10" t="str">
        <x:v>AndreasPlanning</x:v>
      </x:c>
      <x:c r="D280" s="10" t="str">
        <x:v>https://www.etsy.com/shop/AndreasPlanning</x:v>
      </x:c>
      <x:c r="E280" s="11" t="n">
        <x:v>3.5</x:v>
      </x:c>
      <x:c r="F280" s="10" t="n">
        <x:v>0</x:v>
      </x:c>
      <x:c r="G280" s="12" t="n">
        <x:v>0</x:v>
      </x:c>
      <x:c r="H280" s="13" t="n">
        <x:v>0</x:v>
      </x:c>
      <x:c r="I280" s="10" t="n">
        <x:v>11</x:v>
      </x:c>
      <x:c r="J280" s="10" t="n">
        <x:v>2</x:v>
      </x:c>
      <x:c r="K280" s="10" t="str">
        <x:v>43 Mo.</x:v>
      </x:c>
      <x:c r="L280" s="10" t="n">
        <x:v>39</x:v>
      </x:c>
      <x:c r="M280" s="10" t="n">
        <x:v>0</x:v>
      </x:c>
      <x:c r="N280" s="10" t="n">
        <x:v>307</x:v>
      </x:c>
      <x:c r="O280" s="10" t="str">
        <x:v>Paper &amp; Party Supplies</x:v>
      </x:c>
      <x:c r="P280" s="10" t="n">
        <x:v>68</x:v>
      </x:c>
      <x:c r="Q280" s="10" t="n">
        <x:v>0</x:v>
      </x:c>
      <x:c r="R280" s="13" t="n">
        <x:v>3.58</x:v>
      </x:c>
      <x:c r="S280" s="10" t="n">
        <x:v>1754</x:v>
      </x:c>
      <x:c r="T280" s="10" t="str">
        <x:v>erin condren,planner stickers,functional icons,mortgage,bill,house payment</x:v>
      </x:c>
      <x:c r="U280" s="10" t="str">
        <x:v>erin condren</x:v>
      </x:c>
      <x:c r="V280" s="10" t="str">
        <x:v>planner stickers</x:v>
      </x:c>
      <x:c r="W280" s="10" t="str">
        <x:v>functional icons</x:v>
      </x:c>
      <x:c r="X280" s="10" t="str">
        <x:v>mortgage</x:v>
      </x:c>
      <x:c r="Y280" s="10" t="str">
        <x:v>bill</x:v>
      </x:c>
      <x:c r="Z280" s="10" t="str">
        <x:v>house payment</x:v>
      </x:c>
      <x:c r="AA280" s="10" t="str">
        <x:v>--</x:v>
      </x:c>
      <x:c r="AB280" s="10" t="str">
        <x:v>--</x:v>
      </x:c>
      <x:c r="AC280" s="10" t="str">
        <x:v>--</x:v>
      </x:c>
      <x:c r="AD280" s="10" t="str">
        <x:v>--</x:v>
      </x:c>
      <x:c r="AE280" s="10" t="str">
        <x:v>--</x:v>
      </x:c>
      <x:c r="AF280" s="10" t="str">
        <x:v>--</x:v>
      </x:c>
      <x:c r="AG280" s="10" t="str">
        <x:v>--</x:v>
      </x:c>
      <x:c r="AH280" s="10" t="str">
        <x:v>Other mortgage-related</x:v>
      </x:c>
      <x:c r="AI280" s="13" t="n">
        <x:v>43</x:v>
      </x:c>
      <x:c r="AJ280" s="10" t="str">
        <x:f>IF(F280&gt;0,"Active","No est. sales")</x:f>
        <x:v>No est. sales</x:v>
      </x:c>
    </x:row>
    <x:row r="281">
      <x:c r="A281" s="10" t="str">
        <x:v>Mortgage Payoff Printable Tracker Budget Planner Payment Chart Debt  | Letter Pdf A5 A4</x:v>
      </x:c>
      <x:c r="B281" s="10" t="str">
        <x:v>https://www.etsy.com/listing/813107214/mortgage-payoff-printable-tracker-budget</x:v>
      </x:c>
      <x:c r="C281" s="10" t="str">
        <x:v>MTJW</x:v>
      </x:c>
      <x:c r="D281" s="10" t="str">
        <x:v>https://www.etsy.com/shop/MTJW</x:v>
      </x:c>
      <x:c r="E281" s="11" t="n">
        <x:v>3.48</x:v>
      </x:c>
      <x:c r="F281" s="10" t="n">
        <x:v>0</x:v>
      </x:c>
      <x:c r="G281" s="12" t="n">
        <x:v>0</x:v>
      </x:c>
      <x:c r="H281" s="13" t="n">
        <x:v>0</x:v>
      </x:c>
      <x:c r="I281" s="10" t="n">
        <x:v>0</x:v>
      </x:c>
      <x:c r="J281" s="10" t="n">
        <x:v>0</x:v>
      </x:c>
      <x:c r="K281" s="10" t="str">
        <x:v>73 Mo.</x:v>
      </x:c>
      <x:c r="L281" s="10" t="n">
        <x:v>6</x:v>
      </x:c>
      <x:c r="M281" s="10" t="n">
        <x:v>0</x:v>
      </x:c>
      <x:c r="N281" s="10" t="n">
        <x:v>158</x:v>
      </x:c>
      <x:c r="O281" s="10" t="str">
        <x:v>Paper &amp; Party Supplies</x:v>
      </x:c>
      <x:c r="P281" s="10" t="n">
        <x:v>85</x:v>
      </x:c>
      <x:c r="Q281" s="10" t="n">
        <x:v>0</x:v>
      </x:c>
      <x:c r="R281" s="13" t="n">
        <x:v>0</x:v>
      </x:c>
      <x:c r="S281" s="10" t="n">
        <x:v>125</x:v>
      </x:c>
      <x:c r="T281" s="10" t="str">
        <x:v>budget tracker,payment tracker,financial planner,instant download,digital download,printables,payoff tracker,debt payoff,mortgage payments,debt tracker,mortgage payoff,dave ramsey,finance planner</x:v>
      </x:c>
      <x:c r="U281" s="10" t="str">
        <x:v>budget tracker</x:v>
      </x:c>
      <x:c r="V281" s="10" t="str">
        <x:v>payment tracker</x:v>
      </x:c>
      <x:c r="W281" s="10" t="str">
        <x:v>financial planner</x:v>
      </x:c>
      <x:c r="X281" s="10" t="str">
        <x:v>instant download</x:v>
      </x:c>
      <x:c r="Y281" s="10" t="str">
        <x:v>digital download</x:v>
      </x:c>
      <x:c r="Z281" s="10" t="str">
        <x:v>printables</x:v>
      </x:c>
      <x:c r="AA281" s="10" t="str">
        <x:v>payoff tracker</x:v>
      </x:c>
      <x:c r="AB281" s="10" t="str">
        <x:v>debt payoff</x:v>
      </x:c>
      <x:c r="AC281" s="10" t="str">
        <x:v>mortgage payments</x:v>
      </x:c>
      <x:c r="AD281" s="10" t="str">
        <x:v>debt tracker</x:v>
      </x:c>
      <x:c r="AE281" s="10" t="str">
        <x:v>mortgage payoff</x:v>
      </x:c>
      <x:c r="AF281" s="10" t="str">
        <x:v>dave ramsey</x:v>
      </x:c>
      <x:c r="AG281" s="10" t="str">
        <x:v>finance planner</x:v>
      </x:c>
      <x:c r="AH281" s="10" t="str">
        <x:v>Mortgage payoff / calculator</x:v>
      </x:c>
      <x:c r="AI281" s="13" t="n">
        <x:v>73</x:v>
      </x:c>
      <x:c r="AJ281" s="10" t="str">
        <x:f>IF(F281&gt;0,"Active","No est. sales")</x:f>
        <x:v>No est. sales</x:v>
      </x:c>
    </x:row>
    <x:row r="282">
      <x:c r="A282" s="10" t="str">
        <x:v>Debt Payoff Tracker Editable Canva Printable A4 A5 Letter Snowball Planner</x:v>
      </x:c>
      <x:c r="B282" s="10" t="str">
        <x:v>https://www.etsy.com/listing/4473274187/debt-payoff-tracker-editable-canva</x:v>
      </x:c>
      <x:c r="C282" s="10" t="str">
        <x:v>TheDigitive</x:v>
      </x:c>
      <x:c r="D282" s="10" t="str">
        <x:v>https://www.etsy.com/shop/TheDigitive</x:v>
      </x:c>
      <x:c r="E282" s="11" t="n">
        <x:v>2.54</x:v>
      </x:c>
      <x:c r="F282" s="10" t="n">
        <x:v>0</x:v>
      </x:c>
      <x:c r="G282" s="12" t="n">
        <x:v>0</x:v>
      </x:c>
      <x:c r="H282" s="13" t="n">
        <x:v>0</x:v>
      </x:c>
      <x:c r="I282" s="10" t="n">
        <x:v>0</x:v>
      </x:c>
      <x:c r="J282" s="10" t="n">
        <x:v>0</x:v>
      </x:c>
      <x:c r="K282" s="10" t="str">
        <x:v>4 Mo.</x:v>
      </x:c>
      <x:c r="L282" s="10" t="n">
        <x:v>0</x:v>
      </x:c>
      <x:c r="M282" s="10" t="n">
        <x:v>0</x:v>
      </x:c>
      <x:c r="N282" s="10" t="n">
        <x:v>12</x:v>
      </x:c>
      <x:c r="O282" s="10" t="str">
        <x:v>Paper &amp; Party Supplies</x:v>
      </x:c>
      <x:c r="P282" s="10" t="n">
        <x:v>13</x:v>
      </x:c>
      <x:c r="Q282" s="10" t="n">
        <x:v>0</x:v>
      </x:c>
      <x:c r="R282" s="13" t="n">
        <x:v>0</x:v>
      </x:c>
      <x:c r="S282" s="10" t="n">
        <x:v>253</x:v>
      </x:c>
      <x:c r="T282" s="10" t="str">
        <x:v>debt payment tracker,debt snowball,debt avalanche,debt payoff planner,debt calculator,loan payoff tracker,credit card debt,mortgage payoff,student loan debt,financial planner,personal finance,debt canva,snowball method</x:v>
      </x:c>
      <x:c r="U282" s="10" t="str">
        <x:v>debt payment tracker</x:v>
      </x:c>
      <x:c r="V282" s="10" t="str">
        <x:v>debt snowball</x:v>
      </x:c>
      <x:c r="W282" s="10" t="str">
        <x:v>debt avalanche</x:v>
      </x:c>
      <x:c r="X282" s="10" t="str">
        <x:v>debt payoff planner</x:v>
      </x:c>
      <x:c r="Y282" s="10" t="str">
        <x:v>debt calculator</x:v>
      </x:c>
      <x:c r="Z282" s="10" t="str">
        <x:v>loan payoff tracker</x:v>
      </x:c>
      <x:c r="AA282" s="10" t="str">
        <x:v>credit card debt</x:v>
      </x:c>
      <x:c r="AB282" s="10" t="str">
        <x:v>mortgage payoff</x:v>
      </x:c>
      <x:c r="AC282" s="10" t="str">
        <x:v>student loan debt</x:v>
      </x:c>
      <x:c r="AD282" s="10" t="str">
        <x:v>financial planner</x:v>
      </x:c>
      <x:c r="AE282" s="10" t="str">
        <x:v>personal finance</x:v>
      </x:c>
      <x:c r="AF282" s="10" t="str">
        <x:v>debt canva</x:v>
      </x:c>
      <x:c r="AG282" s="10" t="str">
        <x:v>snowball method</x:v>
      </x:c>
      <x:c r="AH282" s="10" t="str">
        <x:v>General debt payoff</x:v>
      </x:c>
      <x:c r="AI282" s="13" t="n">
        <x:v>4</x:v>
      </x:c>
      <x:c r="AJ282" s="10" t="str">
        <x:f>IF(F282&gt;0,"Active","No est. sales")</x:f>
        <x:v>No est. sales</x:v>
      </x:c>
    </x:row>
    <x:row r="283">
      <x:c r="A283" s="10" t="str">
        <x:v>Crochet Planner Stickers for Knitting and Crochet Lovers, Nia - S1325/S1335</x:v>
      </x:c>
      <x:c r="B283" s="10" t="str">
        <x:v>https://www.etsy.com/listing/1435105143/crochet-planner-stickers-for-knitting</x:v>
      </x:c>
      <x:c r="C283" s="10" t="str">
        <x:v>VaaleaTumma</x:v>
      </x:c>
      <x:c r="D283" s="10" t="str">
        <x:v>https://www.etsy.com/shop/VaaleaTumma</x:v>
      </x:c>
      <x:c r="E283" s="11" t="n">
        <x:v>2.9</x:v>
      </x:c>
      <x:c r="F283" s="10" t="n">
        <x:v>0</x:v>
      </x:c>
      <x:c r="G283" s="12" t="n">
        <x:v>0</x:v>
      </x:c>
      <x:c r="H283" s="13" t="n">
        <x:v>0</x:v>
      </x:c>
      <x:c r="I283" s="10" t="n">
        <x:v>20</x:v>
      </x:c>
      <x:c r="J283" s="10" t="n">
        <x:v>3</x:v>
      </x:c>
      <x:c r="K283" s="10" t="str">
        <x:v>40 Mo.</x:v>
      </x:c>
      <x:c r="L283" s="10" t="n">
        <x:v>30</x:v>
      </x:c>
      <x:c r="M283" s="10" t="n">
        <x:v>0</x:v>
      </x:c>
      <x:c r="N283" s="10" t="n">
        <x:v>186</x:v>
      </x:c>
      <x:c r="O283" s="10" t="str">
        <x:v>Paper &amp; Party Supplies</x:v>
      </x:c>
      <x:c r="P283" s="10" t="n">
        <x:v>113</x:v>
      </x:c>
      <x:c r="Q283" s="10" t="n">
        <x:v>0</x:v>
      </x:c>
      <x:c r="R283" s="13" t="n">
        <x:v>10.75</x:v>
      </x:c>
      <x:c r="S283" s="10" t="n">
        <x:v>93859</x:v>
      </x:c>
      <x:c r="T283" s="10" t="str">
        <x:v>mortgage payment,bill planner,finance planner,budget planner,money management,debt tracker,bill tracker,planner stickers,financial planning,monthly expenses,money planner,personal finance,mortgage tracker</x:v>
      </x:c>
      <x:c r="U283" s="10" t="str">
        <x:v>mortgage payment</x:v>
      </x:c>
      <x:c r="V283" s="10" t="str">
        <x:v>bill planner</x:v>
      </x:c>
      <x:c r="W283" s="10" t="str">
        <x:v>finance planner</x:v>
      </x:c>
      <x:c r="X283" s="10" t="str">
        <x:v>budget planner</x:v>
      </x:c>
      <x:c r="Y283" s="10" t="str">
        <x:v>money management</x:v>
      </x:c>
      <x:c r="Z283" s="10" t="str">
        <x:v>debt tracker</x:v>
      </x:c>
      <x:c r="AA283" s="10" t="str">
        <x:v>bill tracker</x:v>
      </x:c>
      <x:c r="AB283" s="10" t="str">
        <x:v>planner stickers</x:v>
      </x:c>
      <x:c r="AC283" s="10" t="str">
        <x:v>financial planning</x:v>
      </x:c>
      <x:c r="AD283" s="10" t="str">
        <x:v>monthly expenses</x:v>
      </x:c>
      <x:c r="AE283" s="10" t="str">
        <x:v>money planner</x:v>
      </x:c>
      <x:c r="AF283" s="10" t="str">
        <x:v>personal finance</x:v>
      </x:c>
      <x:c r="AG283" s="10" t="str">
        <x:v>mortgage tracker</x:v>
      </x:c>
      <x:c r="AH283" s="10" t="str">
        <x:v>Other mortgage-related</x:v>
      </x:c>
      <x:c r="AI283" s="13" t="n">
        <x:v>40</x:v>
      </x:c>
      <x:c r="AJ283" s="10" t="str">
        <x:f>IF(F283&gt;0,"Active","No est. sales")</x:f>
        <x:v>No est. sales</x:v>
      </x:c>
    </x:row>
    <x:row r="284">
      <x:c r="A284" s="10" t="str">
        <x:v>Home Buying Planner Printable | First Time Homeowner Binder | House Hunting, Mortgage, Moving &amp; Home Maintenance</x:v>
      </x:c>
      <x:c r="B284" s="10" t="str">
        <x:v>https://www.etsy.com/listing/4516700966/home-buying-planner-printable-first-time</x:v>
      </x:c>
      <x:c r="C284" s="10" t="str">
        <x:v>MyArtDay</x:v>
      </x:c>
      <x:c r="D284" s="10" t="str">
        <x:v>https://www.etsy.com/shop/MyArtDay</x:v>
      </x:c>
      <x:c r="E284" s="11" t="n">
        <x:v>14.77</x:v>
      </x:c>
      <x:c r="F284" s="10" t="n">
        <x:v>0</x:v>
      </x:c>
      <x:c r="G284" s="12" t="n">
        <x:v>0</x:v>
      </x:c>
      <x:c r="H284" s="13" t="n">
        <x:v>0</x:v>
      </x:c>
      <x:c r="I284" s="10" t="n">
        <x:v>0</x:v>
      </x:c>
      <x:c r="J284" s="10" t="n">
        <x:v>0</x:v>
      </x:c>
      <x:c r="K284" s="10" t="str">
        <x:v>1 Mo.</x:v>
      </x:c>
      <x:c r="L284" s="10" t="n">
        <x:v>0</x:v>
      </x:c>
      <x:c r="M284" s="10" t="n">
        <x:v>0</x:v>
      </x:c>
      <x:c r="N284" s="10" t="n">
        <x:v>1</x:v>
      </x:c>
      <x:c r="O284" s="10" t="str">
        <x:v>Paper &amp; Party Supplies</x:v>
      </x:c>
      <x:c r="P284" s="10" t="n">
        <x:v>7</x:v>
      </x:c>
      <x:c r="Q284" s="10" t="n">
        <x:v>0</x:v>
      </x:c>
      <x:c r="R284" s="13" t="n">
        <x:v>0</x:v>
      </x:c>
      <x:c r="S284" s="10" t="n">
        <x:v>26</x:v>
      </x:c>
      <x:c r="T284" s="10" t="str">
        <x:v>home buying planner,first home binder,new homeowner gift,house hunting,moving checklist,home maintenance,homeowner planner,realtor gift,mortgage tracker,home organizer,moving binder,home inventory,closing checklist</x:v>
      </x:c>
      <x:c r="U284" s="10" t="str">
        <x:v>home buying planner</x:v>
      </x:c>
      <x:c r="V284" s="10" t="str">
        <x:v>first home binder</x:v>
      </x:c>
      <x:c r="W284" s="10" t="str">
        <x:v>new homeowner gift</x:v>
      </x:c>
      <x:c r="X284" s="10" t="str">
        <x:v>house hunting</x:v>
      </x:c>
      <x:c r="Y284" s="10" t="str">
        <x:v>moving checklist</x:v>
      </x:c>
      <x:c r="Z284" s="10" t="str">
        <x:v>home maintenance</x:v>
      </x:c>
      <x:c r="AA284" s="10" t="str">
        <x:v>homeowner planner</x:v>
      </x:c>
      <x:c r="AB284" s="10" t="str">
        <x:v>realtor gift</x:v>
      </x:c>
      <x:c r="AC284" s="10" t="str">
        <x:v>mortgage tracker</x:v>
      </x:c>
      <x:c r="AD284" s="10" t="str">
        <x:v>home organizer</x:v>
      </x:c>
      <x:c r="AE284" s="10" t="str">
        <x:v>moving binder</x:v>
      </x:c>
      <x:c r="AF284" s="10" t="str">
        <x:v>home inventory</x:v>
      </x:c>
      <x:c r="AG284" s="10" t="str">
        <x:v>closing checklist</x:v>
      </x:c>
      <x:c r="AH284" s="10" t="str">
        <x:v>Home buying planner</x:v>
      </x:c>
      <x:c r="AI284" s="13" t="n">
        <x:v>1</x:v>
      </x:c>
      <x:c r="AJ284" s="10" t="str">
        <x:f>IF(F284&gt;0,"Active","No est. sales")</x:f>
        <x:v>No est. sales</x:v>
      </x:c>
    </x:row>
    <x:row r="285">
      <x:c r="A285" s="10" t="str">
        <x:v>Google Sheets New Homeowner Paycheck Budget Spreadsheet Mortgage Bills Income Planner House Expense Tracker Property Cost Finance for Buyers</x:v>
      </x:c>
      <x:c r="B285" s="10" t="str">
        <x:v>https://www.etsy.com/listing/4491537087/google-sheets-new-homeowner-paycheck</x:v>
      </x:c>
      <x:c r="C285" s="10" t="str">
        <x:v>BlushDesignTemplates</x:v>
      </x:c>
      <x:c r="D285" s="10" t="str">
        <x:v>https://www.etsy.com/shop/BlushDesignTemplates</x:v>
      </x:c>
      <x:c r="E285" s="11" t="n">
        <x:v>3.3</x:v>
      </x:c>
      <x:c r="F285" s="10" t="n">
        <x:v>0</x:v>
      </x:c>
      <x:c r="G285" s="12" t="n">
        <x:v>0</x:v>
      </x:c>
      <x:c r="H285" s="13" t="n">
        <x:v>0</x:v>
      </x:c>
      <x:c r="I285" s="10" t="n">
        <x:v>0</x:v>
      </x:c>
      <x:c r="J285" s="10" t="n">
        <x:v>0</x:v>
      </x:c>
      <x:c r="K285" s="10" t="str">
        <x:v>3 Mo.</x:v>
      </x:c>
      <x:c r="L285" s="10" t="n">
        <x:v>5</x:v>
      </x:c>
      <x:c r="M285" s="10" t="n">
        <x:v>0</x:v>
      </x:c>
      <x:c r="N285" s="10" t="n">
        <x:v>291</x:v>
      </x:c>
      <x:c r="O285" s="10" t="str"/>
      <x:c r="P285" s="10" t="n">
        <x:v>26</x:v>
      </x:c>
      <x:c r="Q285" s="10" t="n">
        <x:v>33</x:v>
      </x:c>
      <x:c r="R285" s="13" t="n">
        <x:v>0</x:v>
      </x:c>
      <x:c r="S285" s="10" t="n">
        <x:v>24573</x:v>
      </x:c>
      <x:c r="T285" s="10" t="str">
        <x:v>new homeowner budget,first house planner,loan debt free tool,property bill guide,homebuyer salary map,house expense chart,realty funds tracker,apartment savings,moving cost helper,residence money,buyer spending log,starter home finance,flat pay organizer</x:v>
      </x:c>
      <x:c r="U285" s="10" t="str">
        <x:v>new homeowner budget</x:v>
      </x:c>
      <x:c r="V285" s="10" t="str">
        <x:v>first house planner</x:v>
      </x:c>
      <x:c r="W285" s="10" t="str">
        <x:v>loan debt free tool</x:v>
      </x:c>
      <x:c r="X285" s="10" t="str">
        <x:v>property bill guide</x:v>
      </x:c>
      <x:c r="Y285" s="10" t="str">
        <x:v>homebuyer salary map</x:v>
      </x:c>
      <x:c r="Z285" s="10" t="str">
        <x:v>house expense chart</x:v>
      </x:c>
      <x:c r="AA285" s="10" t="str">
        <x:v>realty funds tracker</x:v>
      </x:c>
      <x:c r="AB285" s="10" t="str">
        <x:v>apartment savings</x:v>
      </x:c>
      <x:c r="AC285" s="10" t="str">
        <x:v>moving cost helper</x:v>
      </x:c>
      <x:c r="AD285" s="10" t="str">
        <x:v>residence money</x:v>
      </x:c>
      <x:c r="AE285" s="10" t="str">
        <x:v>buyer spending log</x:v>
      </x:c>
      <x:c r="AF285" s="10" t="str">
        <x:v>starter home finance</x:v>
      </x:c>
      <x:c r="AG285" s="10" t="str">
        <x:v>flat pay organizer</x:v>
      </x:c>
      <x:c r="AH285" s="10" t="str">
        <x:v>Other mortgage-related</x:v>
      </x:c>
      <x:c r="AI285" s="13" t="n">
        <x:v>3</x:v>
      </x:c>
      <x:c r="AJ285" s="10" t="str">
        <x:f>IF(F285&gt;0,"Active","No est. sales")</x:f>
        <x:v>No est. sales</x:v>
      </x:c>
    </x:row>
    <x:row r="286">
      <x:c r="A286" s="10" t="str">
        <x:v>Debt Payoff Tracker: Google Sheets Spreadsheet (Digital Download)</x:v>
      </x:c>
      <x:c r="B286" s="10" t="str">
        <x:v>https://www.etsy.com/listing/1628250935/debt-payoff-tracker-google-sheets</x:v>
      </x:c>
      <x:c r="C286" s="10" t="str">
        <x:v>digittalart</x:v>
      </x:c>
      <x:c r="D286" s="10" t="str">
        <x:v>https://www.etsy.com/shop/digittalart</x:v>
      </x:c>
      <x:c r="E286" s="11" t="n">
        <x:v>9.9</x:v>
      </x:c>
      <x:c r="F286" s="10" t="n">
        <x:v>0</x:v>
      </x:c>
      <x:c r="G286" s="12" t="n">
        <x:v>0</x:v>
      </x:c>
      <x:c r="H286" s="13" t="n">
        <x:v>0</x:v>
      </x:c>
      <x:c r="I286" s="10" t="n">
        <x:v>35</x:v>
      </x:c>
      <x:c r="J286" s="10" t="n">
        <x:v>3</x:v>
      </x:c>
      <x:c r="K286" s="10" t="str">
        <x:v>31 Mo.</x:v>
      </x:c>
      <x:c r="L286" s="10" t="n">
        <x:v>25</x:v>
      </x:c>
      <x:c r="M286" s="10" t="n">
        <x:v>0</x:v>
      </x:c>
      <x:c r="N286" s="10" t="n">
        <x:v>906</x:v>
      </x:c>
      <x:c r="O286" s="10" t="str">
        <x:v>Paper &amp; Party Supplies</x:v>
      </x:c>
      <x:c r="P286" s="10" t="n">
        <x:v>49</x:v>
      </x:c>
      <x:c r="Q286" s="10" t="n">
        <x:v>0</x:v>
      </x:c>
      <x:c r="R286" s="13" t="n">
        <x:v>3.86</x:v>
      </x:c>
      <x:c r="S286" s="10" t="n">
        <x:v>3682</x:v>
      </x:c>
      <x:c r="T286" s="10" t="str">
        <x:v>debt payment tracker,debt snowball,debt avalanche,debt payoff planner,debt calculator,loan payoff tracker,credit card debt,mortgage payoff,student loan debt,financial planner,personal finance,debt google sheets,debt spreadsheet</x:v>
      </x:c>
      <x:c r="U286" s="10" t="str">
        <x:v>debt payment tracker</x:v>
      </x:c>
      <x:c r="V286" s="10" t="str">
        <x:v>debt snowball</x:v>
      </x:c>
      <x:c r="W286" s="10" t="str">
        <x:v>debt avalanche</x:v>
      </x:c>
      <x:c r="X286" s="10" t="str">
        <x:v>debt payoff planner</x:v>
      </x:c>
      <x:c r="Y286" s="10" t="str">
        <x:v>debt calculator</x:v>
      </x:c>
      <x:c r="Z286" s="10" t="str">
        <x:v>loan payoff tracker</x:v>
      </x:c>
      <x:c r="AA286" s="10" t="str">
        <x:v>credit card debt</x:v>
      </x:c>
      <x:c r="AB286" s="10" t="str">
        <x:v>mortgage payoff</x:v>
      </x:c>
      <x:c r="AC286" s="10" t="str">
        <x:v>student loan debt</x:v>
      </x:c>
      <x:c r="AD286" s="10" t="str">
        <x:v>financial planner</x:v>
      </x:c>
      <x:c r="AE286" s="10" t="str">
        <x:v>personal finance</x:v>
      </x:c>
      <x:c r="AF286" s="10" t="str">
        <x:v>debt google sheets</x:v>
      </x:c>
      <x:c r="AG286" s="10" t="str">
        <x:v>debt spreadsheet</x:v>
      </x:c>
      <x:c r="AH286" s="10" t="str">
        <x:v>General debt payoff</x:v>
      </x:c>
      <x:c r="AI286" s="13" t="n">
        <x:v>31</x:v>
      </x:c>
      <x:c r="AJ286" s="10" t="str">
        <x:f>IF(F286&gt;0,"Active","No est. sales")</x:f>
        <x:v>No est. sales</x:v>
      </x:c>
    </x:row>
    <x:row r="287">
      <x:c r="A287" s="10" t="str">
        <x:v>Horse Saving challenge set, watercolor save 180, 90</x:v>
      </x:c>
      <x:c r="B287" s="10" t="str">
        <x:v>https://www.etsy.com/listing/1672509897/horse-saving-challenge-set-watercolor</x:v>
      </x:c>
      <x:c r="C287" s="10" t="str">
        <x:v>6GirlsBudget</x:v>
      </x:c>
      <x:c r="D287" s="10" t="str">
        <x:v>https://www.etsy.com/shop/6GirlsBudget</x:v>
      </x:c>
      <x:c r="E287" s="11" t="n">
        <x:v>0.99</x:v>
      </x:c>
      <x:c r="F287" s="10" t="n">
        <x:v>0</x:v>
      </x:c>
      <x:c r="G287" s="12" t="n">
        <x:v>0</x:v>
      </x:c>
      <x:c r="H287" s="13" t="n">
        <x:v>0</x:v>
      </x:c>
      <x:c r="I287" s="10" t="n">
        <x:v>5</x:v>
      </x:c>
      <x:c r="J287" s="10" t="n">
        <x:v>2</x:v>
      </x:c>
      <x:c r="K287" s="10" t="str">
        <x:v>29 Mo.</x:v>
      </x:c>
      <x:c r="L287" s="10" t="n">
        <x:v>21</x:v>
      </x:c>
      <x:c r="M287" s="10" t="n">
        <x:v>0</x:v>
      </x:c>
      <x:c r="N287" s="10" t="n">
        <x:v>151</x:v>
      </x:c>
      <x:c r="O287" s="10" t="str"/>
      <x:c r="P287" s="10" t="n">
        <x:v>57</x:v>
      </x:c>
      <x:c r="Q287" s="10" t="n">
        <x:v>0</x:v>
      </x:c>
      <x:c r="R287" s="13" t="n">
        <x:v>3.31</x:v>
      </x:c>
      <x:c r="S287" s="10" t="n">
        <x:v>614</x:v>
      </x:c>
      <x:c r="T287" s="10" t="str">
        <x:v>cash envelop,budget,dave ramsey,busy lizzy budget,cash stuffing,debt payoff,cash tracker,mortgage save,save money,how to save,how to budget,how to pay off,planner stickers</x:v>
      </x:c>
      <x:c r="U287" s="10" t="str">
        <x:v>cash envelop</x:v>
      </x:c>
      <x:c r="V287" s="10" t="str">
        <x:v>budget</x:v>
      </x:c>
      <x:c r="W287" s="10" t="str">
        <x:v>dave ramsey</x:v>
      </x:c>
      <x:c r="X287" s="10" t="str">
        <x:v>busy lizzy budget</x:v>
      </x:c>
      <x:c r="Y287" s="10" t="str">
        <x:v>cash stuffing</x:v>
      </x:c>
      <x:c r="Z287" s="10" t="str">
        <x:v>debt payoff</x:v>
      </x:c>
      <x:c r="AA287" s="10" t="str">
        <x:v>cash tracker</x:v>
      </x:c>
      <x:c r="AB287" s="10" t="str">
        <x:v>mortgage save</x:v>
      </x:c>
      <x:c r="AC287" s="10" t="str">
        <x:v>save money</x:v>
      </x:c>
      <x:c r="AD287" s="10" t="str">
        <x:v>how to save</x:v>
      </x:c>
      <x:c r="AE287" s="10" t="str">
        <x:v>how to budget</x:v>
      </x:c>
      <x:c r="AF287" s="10" t="str">
        <x:v>how to pay off</x:v>
      </x:c>
      <x:c r="AG287" s="10" t="str">
        <x:v>planner stickers</x:v>
      </x:c>
      <x:c r="AH287" s="10" t="str">
        <x:v>Other mortgage-related</x:v>
      </x:c>
      <x:c r="AI287" s="13" t="n">
        <x:v>29</x:v>
      </x:c>
      <x:c r="AJ287" s="10" t="str">
        <x:f>IF(F287&gt;0,"Active","No est. sales")</x:f>
        <x:v>No est. sales</x:v>
      </x:c>
    </x:row>
    <x:row r="288">
      <x:c r="A288" s="10" t="str">
        <x:v>Simple Budget Planner, Debt, Expense &amp; Income Organizer - Digital Planner, Mortgage Calculator, Repayment Calculator</x:v>
      </x:c>
      <x:c r="B288" s="10" t="str">
        <x:v>https://www.etsy.com/listing/1880512165/simple-budget-planner-debt-expense</x:v>
      </x:c>
      <x:c r="C288" s="10" t="str">
        <x:v>GuideFlow</x:v>
      </x:c>
      <x:c r="D288" s="10" t="str">
        <x:v>https://www.etsy.com/shop/GuideFlow</x:v>
      </x:c>
      <x:c r="E288" s="11" t="n">
        <x:v>2.65</x:v>
      </x:c>
      <x:c r="F288" s="10" t="n">
        <x:v>0</x:v>
      </x:c>
      <x:c r="G288" s="12" t="n">
        <x:v>0</x:v>
      </x:c>
      <x:c r="H288" s="13" t="n">
        <x:v>0</x:v>
      </x:c>
      <x:c r="I288" s="10" t="n">
        <x:v>0</x:v>
      </x:c>
      <x:c r="J288" s="10" t="n">
        <x:v>0</x:v>
      </x:c>
      <x:c r="K288" s="10" t="str">
        <x:v>17 Mo.</x:v>
      </x:c>
      <x:c r="L288" s="10" t="n">
        <x:v>1</x:v>
      </x:c>
      <x:c r="M288" s="10" t="n">
        <x:v>0</x:v>
      </x:c>
      <x:c r="N288" s="10" t="n">
        <x:v>64</x:v>
      </x:c>
      <x:c r="O288" s="10" t="str">
        <x:v>Paper &amp; Party Supplies</x:v>
      </x:c>
      <x:c r="P288" s="10" t="n">
        <x:v>17</x:v>
      </x:c>
      <x:c r="Q288" s="10" t="n">
        <x:v>0</x:v>
      </x:c>
      <x:c r="R288" s="13" t="n">
        <x:v>0</x:v>
      </x:c>
      <x:c r="S288" s="10" t="n">
        <x:v>12</x:v>
      </x:c>
      <x:c r="T288" s="10" t="str">
        <x:v>budget template,savings planner,expense log,debt organizer,bill tracker,financial planner,money tracker,monthly budget,budgeting guide,income planner,expense tracker,debt repayment,budget tracker</x:v>
      </x:c>
      <x:c r="U288" s="10" t="str">
        <x:v>budget template</x:v>
      </x:c>
      <x:c r="V288" s="10" t="str">
        <x:v>savings planner</x:v>
      </x:c>
      <x:c r="W288" s="10" t="str">
        <x:v>expense log</x:v>
      </x:c>
      <x:c r="X288" s="10" t="str">
        <x:v>debt organizer</x:v>
      </x:c>
      <x:c r="Y288" s="10" t="str">
        <x:v>bill tracker</x:v>
      </x:c>
      <x:c r="Z288" s="10" t="str">
        <x:v>financial planner</x:v>
      </x:c>
      <x:c r="AA288" s="10" t="str">
        <x:v>money tracker</x:v>
      </x:c>
      <x:c r="AB288" s="10" t="str">
        <x:v>monthly budget</x:v>
      </x:c>
      <x:c r="AC288" s="10" t="str">
        <x:v>budgeting guide</x:v>
      </x:c>
      <x:c r="AD288" s="10" t="str">
        <x:v>income planner</x:v>
      </x:c>
      <x:c r="AE288" s="10" t="str">
        <x:v>expense tracker</x:v>
      </x:c>
      <x:c r="AF288" s="10" t="str">
        <x:v>debt repayment</x:v>
      </x:c>
      <x:c r="AG288" s="10" t="str">
        <x:v>budget tracker</x:v>
      </x:c>
      <x:c r="AH288" s="10" t="str">
        <x:v>Mortgage payoff / calculator</x:v>
      </x:c>
      <x:c r="AI288" s="13" t="n">
        <x:v>17</x:v>
      </x:c>
      <x:c r="AJ288" s="10" t="str">
        <x:f>IF(F288&gt;0,"Active","No est. sales")</x:f>
        <x:v>No est. sales</x:v>
      </x:c>
    </x:row>
    <x:row r="289">
      <x:c r="A289" s="10" t="str">
        <x:v>Mortgage Stickers/Labels for Planners, Calendars &amp; Folders, Choice of Clear Matte or White Matte Sticker Paper</x:v>
      </x:c>
      <x:c r="B289" s="10" t="str">
        <x:v>https://www.etsy.com/listing/714248973/mortgage-stickerslabels-for-planners</x:v>
      </x:c>
      <x:c r="C289" s="10" t="str">
        <x:v>frannielambstickers</x:v>
      </x:c>
      <x:c r="D289" s="10" t="str">
        <x:v>https://www.etsy.com/shop/frannielambstickers</x:v>
      </x:c>
      <x:c r="E289" s="11" t="n">
        <x:v>3.99</x:v>
      </x:c>
      <x:c r="F289" s="10" t="n">
        <x:v>0</x:v>
      </x:c>
      <x:c r="G289" s="12" t="n">
        <x:v>0</x:v>
      </x:c>
      <x:c r="H289" s="13" t="n">
        <x:v>0</x:v>
      </x:c>
      <x:c r="I289" s="10" t="n">
        <x:v>9</x:v>
      </x:c>
      <x:c r="J289" s="10" t="n">
        <x:v>2</x:v>
      </x:c>
      <x:c r="K289" s="10" t="str">
        <x:v>85 Mo.</x:v>
      </x:c>
      <x:c r="L289" s="10" t="n">
        <x:v>33</x:v>
      </x:c>
      <x:c r="M289" s="10" t="n">
        <x:v>0</x:v>
      </x:c>
      <x:c r="N289" s="10" t="n">
        <x:v>131</x:v>
      </x:c>
      <x:c r="O289" s="10" t="str">
        <x:v>Paper &amp; Party Supplies</x:v>
      </x:c>
      <x:c r="P289" s="10" t="n">
        <x:v>112</x:v>
      </x:c>
      <x:c r="Q289" s="10" t="n">
        <x:v>0</x:v>
      </x:c>
      <x:c r="R289" s="13" t="n">
        <x:v>6.87</x:v>
      </x:c>
      <x:c r="S289" s="10" t="n">
        <x:v>166558</x:v>
      </x:c>
      <x:c r="T289" s="10" t="str">
        <x:v>planner stickers,stickers,transparent stickers,calendar stickers,text stickers,word stickers,labels,work stickers,calendar labels,file labels,reminder labels,work reminder,mortgage stickers</x:v>
      </x:c>
      <x:c r="U289" s="10" t="str">
        <x:v>planner stickers</x:v>
      </x:c>
      <x:c r="V289" s="10" t="str">
        <x:v>stickers</x:v>
      </x:c>
      <x:c r="W289" s="10" t="str">
        <x:v>transparent stickers</x:v>
      </x:c>
      <x:c r="X289" s="10" t="str">
        <x:v>calendar stickers</x:v>
      </x:c>
      <x:c r="Y289" s="10" t="str">
        <x:v>text stickers</x:v>
      </x:c>
      <x:c r="Z289" s="10" t="str">
        <x:v>word stickers</x:v>
      </x:c>
      <x:c r="AA289" s="10" t="str">
        <x:v>labels</x:v>
      </x:c>
      <x:c r="AB289" s="10" t="str">
        <x:v>work stickers</x:v>
      </x:c>
      <x:c r="AC289" s="10" t="str">
        <x:v>calendar labels</x:v>
      </x:c>
      <x:c r="AD289" s="10" t="str">
        <x:v>file labels</x:v>
      </x:c>
      <x:c r="AE289" s="10" t="str">
        <x:v>reminder labels</x:v>
      </x:c>
      <x:c r="AF289" s="10" t="str">
        <x:v>work reminder</x:v>
      </x:c>
      <x:c r="AG289" s="10" t="str">
        <x:v>mortgage stickers</x:v>
      </x:c>
      <x:c r="AH289" s="10" t="str">
        <x:v>Other mortgage-related</x:v>
      </x:c>
      <x:c r="AI289" s="13" t="n">
        <x:v>85</x:v>
      </x:c>
      <x:c r="AJ289" s="10" t="str">
        <x:f>IF(F289&gt;0,"Active","No est. sales")</x:f>
        <x:v>No est. sales</x:v>
      </x:c>
    </x:row>
    <x:row r="290">
      <x:c r="A290" s="10" t="str">
        <x:v>Rent Bill Due Planner Stickers | 7x9 Erin Condren | Big Happy Planner</x:v>
      </x:c>
      <x:c r="B290" s="10" t="str">
        <x:v>https://www.etsy.com/listing/4317509687/rent-bill-due-planner-stickers-7x9-erin</x:v>
      </x:c>
      <x:c r="C290" s="10" t="str">
        <x:v>TheCraftedBudget</x:v>
      </x:c>
      <x:c r="D290" s="10" t="str">
        <x:v>https://www.etsy.com/shop/TheCraftedBudget</x:v>
      </x:c>
      <x:c r="E290" s="11" t="n">
        <x:v>3.5</x:v>
      </x:c>
      <x:c r="F290" s="10" t="n">
        <x:v>0</x:v>
      </x:c>
      <x:c r="G290" s="12" t="n">
        <x:v>0</x:v>
      </x:c>
      <x:c r="H290" s="13" t="n">
        <x:v>0</x:v>
      </x:c>
      <x:c r="I290" s="10" t="n">
        <x:v>0</x:v>
      </x:c>
      <x:c r="J290" s="10" t="n">
        <x:v>0</x:v>
      </x:c>
      <x:c r="K290" s="10" t="str">
        <x:v>13 Mo.</x:v>
      </x:c>
      <x:c r="L290" s="10" t="n">
        <x:v>1</x:v>
      </x:c>
      <x:c r="M290" s="10" t="n">
        <x:v>0</x:v>
      </x:c>
      <x:c r="N290" s="10" t="n">
        <x:v>5</x:v>
      </x:c>
      <x:c r="O290" s="10" t="str">
        <x:v>Paper &amp; Party Supplies</x:v>
      </x:c>
      <x:c r="P290" s="10" t="n">
        <x:v>29</x:v>
      </x:c>
      <x:c r="Q290" s="10" t="n">
        <x:v>0</x:v>
      </x:c>
      <x:c r="R290" s="13" t="n">
        <x:v>0</x:v>
      </x:c>
      <x:c r="S290" s="10" t="n">
        <x:v>63</x:v>
      </x:c>
      <x:c r="T290" s="10" t="str">
        <x:v>big happy planner,ering condren,stickers,bill due,planner stickers,personalized text,bill stickers,sticker shop,customizable,custom,rent,house,mortgage</x:v>
      </x:c>
      <x:c r="U290" s="10" t="str">
        <x:v>big happy planner</x:v>
      </x:c>
      <x:c r="V290" s="10" t="str">
        <x:v>ering condren</x:v>
      </x:c>
      <x:c r="W290" s="10" t="str">
        <x:v>stickers</x:v>
      </x:c>
      <x:c r="X290" s="10" t="str">
        <x:v>bill due</x:v>
      </x:c>
      <x:c r="Y290" s="10" t="str">
        <x:v>planner stickers</x:v>
      </x:c>
      <x:c r="Z290" s="10" t="str">
        <x:v>personalized text</x:v>
      </x:c>
      <x:c r="AA290" s="10" t="str">
        <x:v>bill stickers</x:v>
      </x:c>
      <x:c r="AB290" s="10" t="str">
        <x:v>sticker shop</x:v>
      </x:c>
      <x:c r="AC290" s="10" t="str">
        <x:v>customizable</x:v>
      </x:c>
      <x:c r="AD290" s="10" t="str">
        <x:v>custom</x:v>
      </x:c>
      <x:c r="AE290" s="10" t="str">
        <x:v>rent</x:v>
      </x:c>
      <x:c r="AF290" s="10" t="str">
        <x:v>house</x:v>
      </x:c>
      <x:c r="AG290" s="10" t="str">
        <x:v>mortgage</x:v>
      </x:c>
      <x:c r="AH290" s="10" t="str">
        <x:v>Other mortgage-related</x:v>
      </x:c>
      <x:c r="AI290" s="13" t="n">
        <x:v>13</x:v>
      </x:c>
      <x:c r="AJ290" s="10" t="str">
        <x:f>IF(F290&gt;0,"Active","No est. sales")</x:f>
        <x:v>No est. sales</x:v>
      </x:c>
    </x:row>
    <x:row r="291">
      <x:c r="A291" s="10" t="str">
        <x:v>Mortgage Loan Amortization Schedule Template | Google Sheets &amp; Excel | Extra Payment Calculator | Loan Payoff Tracker</x:v>
      </x:c>
      <x:c r="B291" s="10" t="str">
        <x:v>https://www.etsy.com/listing/4497133079/mortgage-loan-amortization-schedule</x:v>
      </x:c>
      <x:c r="C291" s="10" t="str">
        <x:v>ShelzysDesignsStore</x:v>
      </x:c>
      <x:c r="D291" s="10" t="str">
        <x:v>https://www.etsy.com/shop/ShelzysDesignsStore</x:v>
      </x:c>
      <x:c r="E291" s="11" t="n">
        <x:v>7.99</x:v>
      </x:c>
      <x:c r="F291" s="10" t="n">
        <x:v>0</x:v>
      </x:c>
      <x:c r="G291" s="12" t="n">
        <x:v>0</x:v>
      </x:c>
      <x:c r="H291" s="13" t="n">
        <x:v>0</x:v>
      </x:c>
      <x:c r="I291" s="10" t="n">
        <x:v>0</x:v>
      </x:c>
      <x:c r="J291" s="10" t="n">
        <x:v>0</x:v>
      </x:c>
      <x:c r="K291" s="10" t="str">
        <x:v>3 Mo.</x:v>
      </x:c>
      <x:c r="L291" s="10" t="n">
        <x:v>0</x:v>
      </x:c>
      <x:c r="M291" s="10" t="n">
        <x:v>0</x:v>
      </x:c>
      <x:c r="N291" s="10" t="n">
        <x:v>6</x:v>
      </x:c>
      <x:c r="O291" s="10" t="str"/>
      <x:c r="P291" s="10" t="n">
        <x:v>7</x:v>
      </x:c>
      <x:c r="Q291" s="10" t="n">
        <x:v>0</x:v>
      </x:c>
      <x:c r="R291" s="13" t="n">
        <x:v>0</x:v>
      </x:c>
      <x:c r="S291" s="10" t="n">
        <x:v>708</x:v>
      </x:c>
      <x:c r="T291" s="10" t="str">
        <x:v>mortgage calculator,amortization,loan payoff tracker,mortgage spreadsheet,extra payment calc,home loan calculator,mortgage planner,loan amortization,home buyer template,personal finance,budget spreadsheet,google sheets,excel loan template</x:v>
      </x:c>
      <x:c r="U291" s="10" t="str">
        <x:v>mortgage calculator</x:v>
      </x:c>
      <x:c r="V291" s="10" t="str">
        <x:v>amortization</x:v>
      </x:c>
      <x:c r="W291" s="10" t="str">
        <x:v>loan payoff tracker</x:v>
      </x:c>
      <x:c r="X291" s="10" t="str">
        <x:v>mortgage spreadsheet</x:v>
      </x:c>
      <x:c r="Y291" s="10" t="str">
        <x:v>extra payment calc</x:v>
      </x:c>
      <x:c r="Z291" s="10" t="str">
        <x:v>home loan calculator</x:v>
      </x:c>
      <x:c r="AA291" s="10" t="str">
        <x:v>mortgage planner</x:v>
      </x:c>
      <x:c r="AB291" s="10" t="str">
        <x:v>loan amortization</x:v>
      </x:c>
      <x:c r="AC291" s="10" t="str">
        <x:v>home buyer template</x:v>
      </x:c>
      <x:c r="AD291" s="10" t="str">
        <x:v>personal finance</x:v>
      </x:c>
      <x:c r="AE291" s="10" t="str">
        <x:v>budget spreadsheet</x:v>
      </x:c>
      <x:c r="AF291" s="10" t="str">
        <x:v>google sheets</x:v>
      </x:c>
      <x:c r="AG291" s="10" t="str">
        <x:v>excel loan template</x:v>
      </x:c>
      <x:c r="AH291" s="10" t="str">
        <x:v>Mortgage payoff / calculator</x:v>
      </x:c>
      <x:c r="AI291" s="13" t="n">
        <x:v>3</x:v>
      </x:c>
      <x:c r="AJ291" s="10" t="str">
        <x:f>IF(F291&gt;0,"Active","No est. sales")</x:f>
        <x:v>No est. sales</x:v>
      </x:c>
    </x:row>
    <x:row r="292">
      <x:c r="A292" s="10" t="str">
        <x:v>First-Time Home Buyer Planner | Interactive Spreadsheet Tracker (Digital Download)</x:v>
      </x:c>
      <x:c r="B292" s="10" t="str">
        <x:v>https://www.etsy.com/listing/4527542183/first-time-home-buyer-planner</x:v>
      </x:c>
      <x:c r="C292" s="10" t="str">
        <x:v>FutureLandlordClub</x:v>
      </x:c>
      <x:c r="D292" s="10" t="str">
        <x:v>https://www.etsy.com/shop/FutureLandlordClub</x:v>
      </x:c>
      <x:c r="E292" s="11" t="n">
        <x:v>17</x:v>
      </x:c>
      <x:c r="F292" s="10" t="n">
        <x:v>0</x:v>
      </x:c>
      <x:c r="G292" s="12" t="n">
        <x:v>0</x:v>
      </x:c>
      <x:c r="H292" s="13" t="n">
        <x:v>0</x:v>
      </x:c>
      <x:c r="I292" s="10" t="n">
        <x:v>0</x:v>
      </x:c>
      <x:c r="J292" s="10" t="n">
        <x:v>0</x:v>
      </x:c>
      <x:c r="K292" s="10" t="str">
        <x:v>1 Mo.</x:v>
      </x:c>
      <x:c r="L292" s="10" t="n">
        <x:v>0</x:v>
      </x:c>
      <x:c r="M292" s="10" t="n">
        <x:v>0</x:v>
      </x:c>
      <x:c r="N292" s="10" t="n">
        <x:v>0</x:v>
      </x:c>
      <x:c r="O292" s="10" t="str"/>
      <x:c r="P292" s="10" t="n">
        <x:v>1</x:v>
      </x:c>
      <x:c r="Q292" s="10" t="n">
        <x:v>0</x:v>
      </x:c>
      <x:c r="R292" s="13" t="n">
        <x:v>0</x:v>
      </x:c>
      <x:c r="S292" s="10" t="n">
        <x:v>0</x:v>
      </x:c>
      <x:c r="T292" s="10" t="str">
        <x:v>first buyer,home buying,mortgage prep,buyer tracker,excel planner,google sheets,home checklist,buyer planner,spreadsheet,closing prep,realtor gift,real estate,digital file</x:v>
      </x:c>
      <x:c r="U292" s="10" t="str">
        <x:v>first buyer</x:v>
      </x:c>
      <x:c r="V292" s="10" t="str">
        <x:v>home buying</x:v>
      </x:c>
      <x:c r="W292" s="10" t="str">
        <x:v>mortgage prep</x:v>
      </x:c>
      <x:c r="X292" s="10" t="str">
        <x:v>buyer tracker</x:v>
      </x:c>
      <x:c r="Y292" s="10" t="str">
        <x:v>excel planner</x:v>
      </x:c>
      <x:c r="Z292" s="10" t="str">
        <x:v>google sheets</x:v>
      </x:c>
      <x:c r="AA292" s="10" t="str">
        <x:v>home checklist</x:v>
      </x:c>
      <x:c r="AB292" s="10" t="str">
        <x:v>buyer planner</x:v>
      </x:c>
      <x:c r="AC292" s="10" t="str">
        <x:v>spreadsheet</x:v>
      </x:c>
      <x:c r="AD292" s="10" t="str">
        <x:v>closing prep</x:v>
      </x:c>
      <x:c r="AE292" s="10" t="str">
        <x:v>realtor gift</x:v>
      </x:c>
      <x:c r="AF292" s="10" t="str">
        <x:v>real estate</x:v>
      </x:c>
      <x:c r="AG292" s="10" t="str">
        <x:v>digital file</x:v>
      </x:c>
      <x:c r="AH292" s="10" t="str">
        <x:v>Home buying planner</x:v>
      </x:c>
      <x:c r="AI292" s="13" t="n">
        <x:v>1</x:v>
      </x:c>
      <x:c r="AJ292" s="10" t="str">
        <x:f>IF(F292&gt;0,"Active","No est. sales")</x:f>
        <x:v>No est. sales</x:v>
      </x:c>
    </x:row>
    <x:row r="293">
      <x:c r="A293" s="10" t="str">
        <x:v>Mortgage / Rent Square Itty Bitty Tracker, Mini Collection</x:v>
      </x:c>
      <x:c r="B293" s="10" t="str">
        <x:v>https://www.etsy.com/listing/950128563/mortgage-rent-square-itty-bitty-tracker</x:v>
      </x:c>
      <x:c r="C293" s="10" t="str">
        <x:v>PlushPlanning</x:v>
      </x:c>
      <x:c r="D293" s="10" t="str">
        <x:v>https://www.etsy.com/shop/PlushPlanning</x:v>
      </x:c>
      <x:c r="E293" s="11" t="n">
        <x:v>3.99</x:v>
      </x:c>
      <x:c r="F293" s="10" t="n">
        <x:v>0</x:v>
      </x:c>
      <x:c r="G293" s="12" t="n">
        <x:v>0</x:v>
      </x:c>
      <x:c r="H293" s="13" t="n">
        <x:v>0</x:v>
      </x:c>
      <x:c r="I293" s="10" t="n">
        <x:v>57</x:v>
      </x:c>
      <x:c r="J293" s="10" t="n">
        <x:v>12</x:v>
      </x:c>
      <x:c r="K293" s="10" t="str">
        <x:v>66 Mo.</x:v>
      </x:c>
      <x:c r="L293" s="10" t="n">
        <x:v>39</x:v>
      </x:c>
      <x:c r="M293" s="10" t="n">
        <x:v>0</x:v>
      </x:c>
      <x:c r="N293" s="10" t="n">
        <x:v>346</x:v>
      </x:c>
      <x:c r="O293" s="10" t="str">
        <x:v>Paper &amp; Party Supplies</x:v>
      </x:c>
      <x:c r="P293" s="10" t="n">
        <x:v>78</x:v>
      </x:c>
      <x:c r="Q293" s="10" t="n">
        <x:v>0</x:v>
      </x:c>
      <x:c r="R293" s="13" t="n">
        <x:v>16.47</x:v>
      </x:c>
      <x:c r="S293" s="10" t="n">
        <x:v>50202</x:v>
      </x:c>
      <x:c r="T293" s="10" t="str">
        <x:v>itty bitty sticker,itty bitty stickers,planner sticker,planner stickers,mini stickers,plush planning,mini collection,mortgage,mortgage tracker,mortgages,rent,rent tracker,monthly mortgage</x:v>
      </x:c>
      <x:c r="U293" s="10" t="str">
        <x:v>itty bitty sticker</x:v>
      </x:c>
      <x:c r="V293" s="10" t="str">
        <x:v>itty bitty stickers</x:v>
      </x:c>
      <x:c r="W293" s="10" t="str">
        <x:v>planner sticker</x:v>
      </x:c>
      <x:c r="X293" s="10" t="str">
        <x:v>planner stickers</x:v>
      </x:c>
      <x:c r="Y293" s="10" t="str">
        <x:v>mini stickers</x:v>
      </x:c>
      <x:c r="Z293" s="10" t="str">
        <x:v>plush planning</x:v>
      </x:c>
      <x:c r="AA293" s="10" t="str">
        <x:v>mini collection</x:v>
      </x:c>
      <x:c r="AB293" s="10" t="str">
        <x:v>mortgage</x:v>
      </x:c>
      <x:c r="AC293" s="10" t="str">
        <x:v>mortgage tracker</x:v>
      </x:c>
      <x:c r="AD293" s="10" t="str">
        <x:v>mortgages</x:v>
      </x:c>
      <x:c r="AE293" s="10" t="str">
        <x:v>rent</x:v>
      </x:c>
      <x:c r="AF293" s="10" t="str">
        <x:v>rent tracker</x:v>
      </x:c>
      <x:c r="AG293" s="10" t="str">
        <x:v>monthly mortgage</x:v>
      </x:c>
      <x:c r="AH293" s="10" t="str">
        <x:v>Other mortgage-related</x:v>
      </x:c>
      <x:c r="AI293" s="13" t="n">
        <x:v>66</x:v>
      </x:c>
      <x:c r="AJ293" s="10" t="str">
        <x:f>IF(F293&gt;0,"Active","No est. sales")</x:f>
        <x:v>No est. sales</x:v>
      </x:c>
    </x:row>
    <x:row r="294">
      <x:c r="A294" s="10" t="str">
        <x:v>Mortgage Bill Due Planner Stickers | Colorful or Neutral | A5, 7x9, and 8.5x11 Sizes</x:v>
      </x:c>
      <x:c r="B294" s="10" t="str">
        <x:v>https://www.etsy.com/listing/1573394573/mortgage-bill-due-planner-stickers</x:v>
      </x:c>
      <x:c r="C294" s="10" t="str">
        <x:v>KayceeLeighDesign</x:v>
      </x:c>
      <x:c r="D294" s="10" t="str">
        <x:v>https://www.etsy.com/shop/KayceeLeighDesign</x:v>
      </x:c>
      <x:c r="E294" s="11" t="n">
        <x:v>1.75</x:v>
      </x:c>
      <x:c r="F294" s="10" t="n">
        <x:v>0</x:v>
      </x:c>
      <x:c r="G294" s="12" t="n">
        <x:v>0</x:v>
      </x:c>
      <x:c r="H294" s="13" t="n">
        <x:v>0</x:v>
      </x:c>
      <x:c r="I294" s="10" t="n">
        <x:v>93</x:v>
      </x:c>
      <x:c r="J294" s="10" t="n">
        <x:v>20</x:v>
      </x:c>
      <x:c r="K294" s="10" t="str">
        <x:v>34 Mo.</x:v>
      </x:c>
      <x:c r="L294" s="10" t="n">
        <x:v>47</x:v>
      </x:c>
      <x:c r="M294" s="10" t="n">
        <x:v>1</x:v>
      </x:c>
      <x:c r="N294" s="10" t="n">
        <x:v>815</x:v>
      </x:c>
      <x:c r="O294" s="10" t="str">
        <x:v>Paper &amp; Party Supplies</x:v>
      </x:c>
      <x:c r="P294" s="10" t="n">
        <x:v>83</x:v>
      </x:c>
      <x:c r="Q294" s="10" t="n">
        <x:v>0</x:v>
      </x:c>
      <x:c r="R294" s="13" t="n">
        <x:v>11.41</x:v>
      </x:c>
      <x:c r="S294" s="10" t="n">
        <x:v>38446</x:v>
      </x:c>
      <x:c r="T294" s="10" t="str">
        <x:v>planner stickers,erin condren,lifeplanner,life planner,ec lifeplanner,budget stickers,budget label,bill due stickers,kaycee leigh,bill due sticker,monthly planner,happy planner,mortgage bill</x:v>
      </x:c>
      <x:c r="U294" s="10" t="str">
        <x:v>planner stickers</x:v>
      </x:c>
      <x:c r="V294" s="10" t="str">
        <x:v>erin condren</x:v>
      </x:c>
      <x:c r="W294" s="10" t="str">
        <x:v>lifeplanner</x:v>
      </x:c>
      <x:c r="X294" s="10" t="str">
        <x:v>life planner</x:v>
      </x:c>
      <x:c r="Y294" s="10" t="str">
        <x:v>ec lifeplanner</x:v>
      </x:c>
      <x:c r="Z294" s="10" t="str">
        <x:v>budget stickers</x:v>
      </x:c>
      <x:c r="AA294" s="10" t="str">
        <x:v>budget label</x:v>
      </x:c>
      <x:c r="AB294" s="10" t="str">
        <x:v>bill due stickers</x:v>
      </x:c>
      <x:c r="AC294" s="10" t="str">
        <x:v>kaycee leigh</x:v>
      </x:c>
      <x:c r="AD294" s="10" t="str">
        <x:v>bill due sticker</x:v>
      </x:c>
      <x:c r="AE294" s="10" t="str">
        <x:v>monthly planner</x:v>
      </x:c>
      <x:c r="AF294" s="10" t="str">
        <x:v>happy planner</x:v>
      </x:c>
      <x:c r="AG294" s="10" t="str">
        <x:v>mortgage bill</x:v>
      </x:c>
      <x:c r="AH294" s="10" t="str">
        <x:v>Other mortgage-related</x:v>
      </x:c>
      <x:c r="AI294" s="13" t="n">
        <x:v>34</x:v>
      </x:c>
      <x:c r="AJ294" s="10" t="str">
        <x:f>IF(F294&gt;0,"Active","No est. sales")</x:f>
        <x:v>No est. sales</x:v>
      </x:c>
    </x:row>
    <x:row r="295">
      <x:c r="A295" s="10" t="str">
        <x:v>Mortgage Preapproval Checklist Printable | First Time Home Buyer Planner | Mortgage Application Documents Checklist | Pink Home Buying Guide</x:v>
      </x:c>
      <x:c r="B295" s="10" t="str">
        <x:v>https://www.etsy.com/listing/4506848009/mortgage-preapproval-checklist-printable</x:v>
      </x:c>
      <x:c r="C295" s="10" t="str">
        <x:v>CurlyGlamBudget</x:v>
      </x:c>
      <x:c r="D295" s="10" t="str">
        <x:v>https://www.etsy.com/shop/CurlyGlamBudget</x:v>
      </x:c>
      <x:c r="E295" s="11" t="n">
        <x:v>1.99</x:v>
      </x:c>
      <x:c r="F295" s="10" t="n">
        <x:v>0</x:v>
      </x:c>
      <x:c r="G295" s="12" t="n">
        <x:v>0</x:v>
      </x:c>
      <x:c r="H295" s="13" t="n">
        <x:v>0</x:v>
      </x:c>
      <x:c r="I295" s="10" t="n">
        <x:v>0</x:v>
      </x:c>
      <x:c r="J295" s="10" t="n">
        <x:v>0</x:v>
      </x:c>
      <x:c r="K295" s="10" t="str">
        <x:v>1 Mo.</x:v>
      </x:c>
      <x:c r="L295" s="10" t="n">
        <x:v>0</x:v>
      </x:c>
      <x:c r="M295" s="10" t="n">
        <x:v>0</x:v>
      </x:c>
      <x:c r="N295" s="10" t="n">
        <x:v>1</x:v>
      </x:c>
      <x:c r="O295" s="10" t="str"/>
      <x:c r="P295" s="10" t="n">
        <x:v>0</x:v>
      </x:c>
      <x:c r="Q295" s="10" t="n">
        <x:v>0</x:v>
      </x:c>
      <x:c r="R295" s="13" t="n">
        <x:v>0</x:v>
      </x:c>
      <x:c r="S295" s="10" t="n">
        <x:v>0</x:v>
      </x:c>
      <x:c r="T295" s="10" t="str">
        <x:v>mortgage checklist,first time homebuyer,homebuyer printable,home buying guide,preapproval mortgage,printable checklist,lender checklist,homeownership,pink planner,digital download,printable pdf,home buying planner,debt payoff</x:v>
      </x:c>
      <x:c r="U295" s="10" t="str">
        <x:v>mortgage checklist</x:v>
      </x:c>
      <x:c r="V295" s="10" t="str">
        <x:v>first time homebuyer</x:v>
      </x:c>
      <x:c r="W295" s="10" t="str">
        <x:v>homebuyer printable</x:v>
      </x:c>
      <x:c r="X295" s="10" t="str">
        <x:v>home buying guide</x:v>
      </x:c>
      <x:c r="Y295" s="10" t="str">
        <x:v>preapproval mortgage</x:v>
      </x:c>
      <x:c r="Z295" s="10" t="str">
        <x:v>printable checklist</x:v>
      </x:c>
      <x:c r="AA295" s="10" t="str">
        <x:v>lender checklist</x:v>
      </x:c>
      <x:c r="AB295" s="10" t="str">
        <x:v>homeownership</x:v>
      </x:c>
      <x:c r="AC295" s="10" t="str">
        <x:v>pink planner</x:v>
      </x:c>
      <x:c r="AD295" s="10" t="str">
        <x:v>digital download</x:v>
      </x:c>
      <x:c r="AE295" s="10" t="str">
        <x:v>printable pdf</x:v>
      </x:c>
      <x:c r="AF295" s="10" t="str">
        <x:v>home buying planner</x:v>
      </x:c>
      <x:c r="AG295" s="10" t="str">
        <x:v>debt payoff</x:v>
      </x:c>
      <x:c r="AH295" s="10" t="str">
        <x:v>Home buying planner</x:v>
      </x:c>
      <x:c r="AI295" s="13" t="n">
        <x:v>1</x:v>
      </x:c>
      <x:c r="AJ295" s="10" t="str">
        <x:f>IF(F295&gt;0,"Active","No est. sales")</x:f>
        <x:v>No est. sales</x:v>
      </x:c>
    </x:row>
    <x:row r="296">
      <x:c r="A296" s="10" t="str">
        <x:v>First Time Buyer Planner UK | Stamp Duty Calculator 2025 | LISA Tracker | Mortgage Affordability Excel</x:v>
      </x:c>
      <x:c r="B296" s="10" t="str">
        <x:v>https://www.etsy.com/listing/4497804313/first-time-buyer-planner-uk-stamp-duty</x:v>
      </x:c>
      <x:c r="C296" s="10" t="str">
        <x:v>AlignedMoneyCompany</x:v>
      </x:c>
      <x:c r="D296" s="10" t="str">
        <x:v>https://www.etsy.com/shop/AlignedMoneyCompany</x:v>
      </x:c>
      <x:c r="E296" s="11" t="n">
        <x:v>12.03</x:v>
      </x:c>
      <x:c r="F296" s="10" t="n">
        <x:v>0</x:v>
      </x:c>
      <x:c r="G296" s="12" t="n">
        <x:v>0</x:v>
      </x:c>
      <x:c r="H296" s="13" t="n">
        <x:v>0</x:v>
      </x:c>
      <x:c r="I296" s="10" t="n">
        <x:v>0</x:v>
      </x:c>
      <x:c r="J296" s="10" t="n">
        <x:v>0</x:v>
      </x:c>
      <x:c r="K296" s="10" t="str">
        <x:v>1 Mo.</x:v>
      </x:c>
      <x:c r="L296" s="10" t="n">
        <x:v>0</x:v>
      </x:c>
      <x:c r="M296" s="10" t="n">
        <x:v>0</x:v>
      </x:c>
      <x:c r="N296" s="10" t="n">
        <x:v>0</x:v>
      </x:c>
      <x:c r="O296" s="10" t="str"/>
      <x:c r="P296" s="10" t="n">
        <x:v>2</x:v>
      </x:c>
      <x:c r="Q296" s="10" t="n">
        <x:v>0</x:v>
      </x:c>
      <x:c r="R296" s="13" t="n">
        <x:v>0</x:v>
      </x:c>
      <x:c r="S296" s="10" t="n">
        <x:v>0</x:v>
      </x:c>
      <x:c r="T296" s="10" t="str">
        <x:v>first time buyer,stamp duty calculato,lisa tracker excel,help to buy,deposit savings,propery purchase,mortgage calculator,saving sheet,mortgage tracker,firsttimebuyer uk</x:v>
      </x:c>
      <x:c r="U296" s="10" t="str">
        <x:v>first time buyer</x:v>
      </x:c>
      <x:c r="V296" s="10" t="str">
        <x:v>stamp duty calculato</x:v>
      </x:c>
      <x:c r="W296" s="10" t="str">
        <x:v>lisa tracker excel</x:v>
      </x:c>
      <x:c r="X296" s="10" t="str">
        <x:v>help to buy</x:v>
      </x:c>
      <x:c r="Y296" s="10" t="str">
        <x:v>deposit savings</x:v>
      </x:c>
      <x:c r="Z296" s="10" t="str">
        <x:v>propery purchase</x:v>
      </x:c>
      <x:c r="AA296" s="10" t="str">
        <x:v>mortgage calculator</x:v>
      </x:c>
      <x:c r="AB296" s="10" t="str">
        <x:v>saving sheet</x:v>
      </x:c>
      <x:c r="AC296" s="10" t="str">
        <x:v>mortgage tracker</x:v>
      </x:c>
      <x:c r="AD296" s="10" t="str">
        <x:v>firsttimebuyer uk</x:v>
      </x:c>
      <x:c r="AE296" s="10" t="str">
        <x:v>--</x:v>
      </x:c>
      <x:c r="AF296" s="10" t="str">
        <x:v>--</x:v>
      </x:c>
      <x:c r="AG296" s="10" t="str">
        <x:v>--</x:v>
      </x:c>
      <x:c r="AH296" s="10" t="str">
        <x:v>Other mortgage-related</x:v>
      </x:c>
      <x:c r="AI296" s="13" t="n">
        <x:v>1</x:v>
      </x:c>
      <x:c r="AJ296" s="10" t="str">
        <x:f>IF(F296&gt;0,"Active","No est. sales")</x:f>
        <x:v>No est. sales</x:v>
      </x:c>
    </x:row>
    <x:row r="297">
      <x:c r="A297" s="10" t="str">
        <x:v>Down Payment Tracker</x:v>
      </x:c>
      <x:c r="B297" s="10" t="str">
        <x:v>https://www.etsy.com/listing/1021617972/down-payment-tracker</x:v>
      </x:c>
      <x:c r="C297" s="10" t="str">
        <x:v>MyMoneyMission360</x:v>
      </x:c>
      <x:c r="D297" s="10" t="str">
        <x:v>https://www.etsy.com/shop/MyMoneyMission360</x:v>
      </x:c>
      <x:c r="E297" s="11" t="n">
        <x:v>1.78</x:v>
      </x:c>
      <x:c r="F297" s="10" t="n">
        <x:v>0</x:v>
      </x:c>
      <x:c r="G297" s="12" t="n">
        <x:v>0</x:v>
      </x:c>
      <x:c r="H297" s="13" t="n">
        <x:v>0</x:v>
      </x:c>
      <x:c r="I297" s="10" t="n">
        <x:v>0</x:v>
      </x:c>
      <x:c r="J297" s="10" t="n">
        <x:v>0</x:v>
      </x:c>
      <x:c r="K297" s="10" t="str">
        <x:v>61 Mo.</x:v>
      </x:c>
      <x:c r="L297" s="10" t="n">
        <x:v>4</x:v>
      </x:c>
      <x:c r="M297" s="10" t="n">
        <x:v>0</x:v>
      </x:c>
      <x:c r="N297" s="10" t="n">
        <x:v>42</x:v>
      </x:c>
      <x:c r="O297" s="10" t="str">
        <x:v>Paper &amp; Party Supplies</x:v>
      </x:c>
      <x:c r="P297" s="10" t="n">
        <x:v>66</x:v>
      </x:c>
      <x:c r="Q297" s="10" t="n">
        <x:v>0</x:v>
      </x:c>
      <x:c r="R297" s="13" t="n">
        <x:v>0</x:v>
      </x:c>
      <x:c r="S297" s="10" t="n">
        <x:v>3</x:v>
      </x:c>
      <x:c r="T297" s="10" t="str">
        <x:v>minimal,mortgage,millenial,moving,savings,down payment,home owner,dream house,new home,financial planner,early retirement,debt free,real estate</x:v>
      </x:c>
      <x:c r="U297" s="10" t="str">
        <x:v>minimal</x:v>
      </x:c>
      <x:c r="V297" s="10" t="str">
        <x:v>mortgage</x:v>
      </x:c>
      <x:c r="W297" s="10" t="str">
        <x:v>millenial</x:v>
      </x:c>
      <x:c r="X297" s="10" t="str">
        <x:v>moving</x:v>
      </x:c>
      <x:c r="Y297" s="10" t="str">
        <x:v>savings</x:v>
      </x:c>
      <x:c r="Z297" s="10" t="str">
        <x:v>down payment</x:v>
      </x:c>
      <x:c r="AA297" s="10" t="str">
        <x:v>home owner</x:v>
      </x:c>
      <x:c r="AB297" s="10" t="str">
        <x:v>dream house</x:v>
      </x:c>
      <x:c r="AC297" s="10" t="str">
        <x:v>new home</x:v>
      </x:c>
      <x:c r="AD297" s="10" t="str">
        <x:v>financial planner</x:v>
      </x:c>
      <x:c r="AE297" s="10" t="str">
        <x:v>early retirement</x:v>
      </x:c>
      <x:c r="AF297" s="10" t="str">
        <x:v>debt free</x:v>
      </x:c>
      <x:c r="AG297" s="10" t="str">
        <x:v>real estate</x:v>
      </x:c>
      <x:c r="AH297" s="10" t="str">
        <x:v>Other mortgage-related</x:v>
      </x:c>
      <x:c r="AI297" s="13" t="n">
        <x:v>61</x:v>
      </x:c>
      <x:c r="AJ297" s="10" t="str">
        <x:f>IF(F297&gt;0,"Active","No est. sales")</x:f>
        <x:v>No est. sales</x:v>
      </x:c>
    </x:row>
    <x:row r="298">
      <x:c r="A298" s="10" t="str">
        <x:v>Debt Payoff Planner Snowball Tracker Avalanche Method Spreadsheet Template Financial Budget Calculator Loan Payment Mortgage Credit Card</x:v>
      </x:c>
      <x:c r="B298" s="10" t="str">
        <x:v>https://www.etsy.com/listing/4434940009/debt-payoff-planner-snowball-tracker</x:v>
      </x:c>
      <x:c r="C298" s="10" t="str">
        <x:v>BeauPaperieBoutique</x:v>
      </x:c>
      <x:c r="D298" s="10" t="str">
        <x:v>https://www.etsy.com/shop/BeauPaperieBoutique</x:v>
      </x:c>
      <x:c r="E298" s="11" t="n">
        <x:v>2.29</x:v>
      </x:c>
      <x:c r="F298" s="10" t="n">
        <x:v>0</x:v>
      </x:c>
      <x:c r="G298" s="12" t="n">
        <x:v>0</x:v>
      </x:c>
      <x:c r="H298" s="13" t="n">
        <x:v>0</x:v>
      </x:c>
      <x:c r="I298" s="10" t="n">
        <x:v>0</x:v>
      </x:c>
      <x:c r="J298" s="10" t="n">
        <x:v>0</x:v>
      </x:c>
      <x:c r="K298" s="10" t="str">
        <x:v>6 Mo.</x:v>
      </x:c>
      <x:c r="L298" s="10" t="n">
        <x:v>5</x:v>
      </x:c>
      <x:c r="M298" s="10" t="n">
        <x:v>0</x:v>
      </x:c>
      <x:c r="N298" s="10" t="n">
        <x:v>25</x:v>
      </x:c>
      <x:c r="O298" s="10" t="str"/>
      <x:c r="P298" s="10" t="n">
        <x:v>20</x:v>
      </x:c>
      <x:c r="Q298" s="10" t="n">
        <x:v>0</x:v>
      </x:c>
      <x:c r="R298" s="13" t="n">
        <x:v>0</x:v>
      </x:c>
      <x:c r="S298" s="10" t="n">
        <x:v>247</x:v>
      </x:c>
      <x:c r="T298" s="10" t="str">
        <x:v>debt payoff planner,debt tracker,debt snowball,avalanche method,debt payment,pay off debt,loan tracker,payoff calculator,debt spreadsheet,credit card payoff,debt freedom,debt management,numbers spreadheet</x:v>
      </x:c>
      <x:c r="U298" s="10" t="str">
        <x:v>debt payoff planner</x:v>
      </x:c>
      <x:c r="V298" s="10" t="str">
        <x:v>debt tracker</x:v>
      </x:c>
      <x:c r="W298" s="10" t="str">
        <x:v>debt snowball</x:v>
      </x:c>
      <x:c r="X298" s="10" t="str">
        <x:v>avalanche method</x:v>
      </x:c>
      <x:c r="Y298" s="10" t="str">
        <x:v>debt payment</x:v>
      </x:c>
      <x:c r="Z298" s="10" t="str">
        <x:v>pay off debt</x:v>
      </x:c>
      <x:c r="AA298" s="10" t="str">
        <x:v>loan tracker</x:v>
      </x:c>
      <x:c r="AB298" s="10" t="str">
        <x:v>payoff calculator</x:v>
      </x:c>
      <x:c r="AC298" s="10" t="str">
        <x:v>debt spreadsheet</x:v>
      </x:c>
      <x:c r="AD298" s="10" t="str">
        <x:v>credit card payoff</x:v>
      </x:c>
      <x:c r="AE298" s="10" t="str">
        <x:v>debt freedom</x:v>
      </x:c>
      <x:c r="AF298" s="10" t="str">
        <x:v>debt management</x:v>
      </x:c>
      <x:c r="AG298" s="10" t="str">
        <x:v>numbers spreadheet</x:v>
      </x:c>
      <x:c r="AH298" s="10" t="str">
        <x:v>General debt payoff</x:v>
      </x:c>
      <x:c r="AI298" s="13" t="n">
        <x:v>6</x:v>
      </x:c>
      <x:c r="AJ298" s="10" t="str">
        <x:f>IF(F298&gt;0,"Active","No est. sales")</x:f>
        <x:v>No est. sales</x:v>
      </x:c>
    </x:row>
    <x:row r="299">
      <x:c r="A299" s="10" t="str">
        <x:v>Home Buying Planner</x:v>
      </x:c>
      <x:c r="B299" s="10" t="str">
        <x:v>https://www.etsy.com/listing/1867243608/home-buying-planner</x:v>
      </x:c>
      <x:c r="C299" s="10" t="str">
        <x:v>LushAndLabel</x:v>
      </x:c>
      <x:c r="D299" s="10" t="str">
        <x:v>https://www.etsy.com/shop/LushAndLabel</x:v>
      </x:c>
      <x:c r="E299" s="11" t="n">
        <x:v>4.65</x:v>
      </x:c>
      <x:c r="F299" s="10" t="n">
        <x:v>0</x:v>
      </x:c>
      <x:c r="G299" s="12" t="n">
        <x:v>0</x:v>
      </x:c>
      <x:c r="H299" s="13" t="n">
        <x:v>0</x:v>
      </x:c>
      <x:c r="I299" s="10" t="n">
        <x:v>0</x:v>
      </x:c>
      <x:c r="J299" s="10" t="n">
        <x:v>0</x:v>
      </x:c>
      <x:c r="K299" s="10" t="str">
        <x:v>3 Mo.</x:v>
      </x:c>
      <x:c r="L299" s="10" t="n">
        <x:v>1</x:v>
      </x:c>
      <x:c r="M299" s="10" t="n">
        <x:v>0</x:v>
      </x:c>
      <x:c r="N299" s="10" t="n">
        <x:v>37</x:v>
      </x:c>
      <x:c r="O299" s="10" t="str"/>
      <x:c r="P299" s="10" t="n">
        <x:v>3</x:v>
      </x:c>
      <x:c r="Q299" s="10" t="n">
        <x:v>0</x:v>
      </x:c>
      <x:c r="R299" s="13" t="n">
        <x:v>0</x:v>
      </x:c>
      <x:c r="S299" s="10" t="n">
        <x:v>8</x:v>
      </x:c>
      <x:c r="T299" s="10" t="str">
        <x:v>home buying planner,home buying guide,first time homebuyer,property tracker,mortgage planner,budget planner,home search planner,real estate planner,home inspection list,house buying tools,dream home planner,home buying check,digital</x:v>
      </x:c>
      <x:c r="U299" s="10" t="str">
        <x:v>home buying planner</x:v>
      </x:c>
      <x:c r="V299" s="10" t="str">
        <x:v>home buying guide</x:v>
      </x:c>
      <x:c r="W299" s="10" t="str">
        <x:v>first time homebuyer</x:v>
      </x:c>
      <x:c r="X299" s="10" t="str">
        <x:v>property tracker</x:v>
      </x:c>
      <x:c r="Y299" s="10" t="str">
        <x:v>mortgage planner</x:v>
      </x:c>
      <x:c r="Z299" s="10" t="str">
        <x:v>budget planner</x:v>
      </x:c>
      <x:c r="AA299" s="10" t="str">
        <x:v>home search planner</x:v>
      </x:c>
      <x:c r="AB299" s="10" t="str">
        <x:v>real estate planner</x:v>
      </x:c>
      <x:c r="AC299" s="10" t="str">
        <x:v>home inspection list</x:v>
      </x:c>
      <x:c r="AD299" s="10" t="str">
        <x:v>house buying tools</x:v>
      </x:c>
      <x:c r="AE299" s="10" t="str">
        <x:v>dream home planner</x:v>
      </x:c>
      <x:c r="AF299" s="10" t="str">
        <x:v>home buying check</x:v>
      </x:c>
      <x:c r="AG299" s="10" t="str">
        <x:v>digital</x:v>
      </x:c>
      <x:c r="AH299" s="10" t="str">
        <x:v>Home buying planner</x:v>
      </x:c>
      <x:c r="AI299" s="13" t="n">
        <x:v>3</x:v>
      </x:c>
      <x:c r="AJ299" s="10" t="str">
        <x:f>IF(F299&gt;0,"Active","No est. sales")</x:f>
        <x:v>No est. sales</x:v>
      </x:c>
    </x:row>
    <x:row r="300">
      <x:c r="A300" s="10" t="str">
        <x:v>Debt Snowball Spreadsheet: Google Sheets Debt Payoff Tracker</x:v>
      </x:c>
      <x:c r="B300" s="10" t="str">
        <x:v>https://www.etsy.com/listing/4359275887/debt-snowball-spreadsheet-google-sheets</x:v>
      </x:c>
      <x:c r="C300" s="10" t="str">
        <x:v>LunexaDigitalCo</x:v>
      </x:c>
      <x:c r="D300" s="10" t="str">
        <x:v>https://www.etsy.com/shop/LunexaDigitalCo</x:v>
      </x:c>
      <x:c r="E300" s="11" t="n">
        <x:v>3.61</x:v>
      </x:c>
      <x:c r="F300" s="10" t="n">
        <x:v>0</x:v>
      </x:c>
      <x:c r="G300" s="12" t="n">
        <x:v>0</x:v>
      </x:c>
      <x:c r="H300" s="13" t="n">
        <x:v>0</x:v>
      </x:c>
      <x:c r="I300" s="10" t="n">
        <x:v>0</x:v>
      </x:c>
      <x:c r="J300" s="10" t="n">
        <x:v>0</x:v>
      </x:c>
      <x:c r="K300" s="10" t="str">
        <x:v>1 Mo.</x:v>
      </x:c>
      <x:c r="L300" s="10" t="n">
        <x:v>0</x:v>
      </x:c>
      <x:c r="M300" s="10" t="n">
        <x:v>0</x:v>
      </x:c>
      <x:c r="N300" s="10" t="n">
        <x:v>3</x:v>
      </x:c>
      <x:c r="O300" s="10" t="str">
        <x:v>Paper &amp; Party Supplies</x:v>
      </x:c>
      <x:c r="P300" s="10" t="n">
        <x:v>2</x:v>
      </x:c>
      <x:c r="Q300" s="10" t="n">
        <x:v>0</x:v>
      </x:c>
      <x:c r="R300" s="13" t="n">
        <x:v>0</x:v>
      </x:c>
      <x:c r="S300" s="10" t="n">
        <x:v>5</x:v>
      </x:c>
      <x:c r="T300" s="10" t="str">
        <x:v>credit utilization,debt google sheets,debt spreadsheet,dark mode template,debt avalanche,mortgage payoff,debt calculator,credit card payoff,debt snowball,loan payoff tracker,student loan tracker,debt payment tracker,debt payoff planner</x:v>
      </x:c>
      <x:c r="U300" s="10" t="str">
        <x:v>credit utilization</x:v>
      </x:c>
      <x:c r="V300" s="10" t="str">
        <x:v>debt google sheets</x:v>
      </x:c>
      <x:c r="W300" s="10" t="str">
        <x:v>debt spreadsheet</x:v>
      </x:c>
      <x:c r="X300" s="10" t="str">
        <x:v>dark mode template</x:v>
      </x:c>
      <x:c r="Y300" s="10" t="str">
        <x:v>debt avalanche</x:v>
      </x:c>
      <x:c r="Z300" s="10" t="str">
        <x:v>mortgage payoff</x:v>
      </x:c>
      <x:c r="AA300" s="10" t="str">
        <x:v>debt calculator</x:v>
      </x:c>
      <x:c r="AB300" s="10" t="str">
        <x:v>credit card payoff</x:v>
      </x:c>
      <x:c r="AC300" s="10" t="str">
        <x:v>debt snowball</x:v>
      </x:c>
      <x:c r="AD300" s="10" t="str">
        <x:v>loan payoff tracker</x:v>
      </x:c>
      <x:c r="AE300" s="10" t="str">
        <x:v>student loan tracker</x:v>
      </x:c>
      <x:c r="AF300" s="10" t="str">
        <x:v>debt payment tracker</x:v>
      </x:c>
      <x:c r="AG300" s="10" t="str">
        <x:v>debt payoff planner</x:v>
      </x:c>
      <x:c r="AH300" s="10" t="str">
        <x:v>General debt payoff</x:v>
      </x:c>
      <x:c r="AI300" s="13" t="n">
        <x:v>1</x:v>
      </x:c>
      <x:c r="AJ300" s="10" t="str">
        <x:f>IF(F300&gt;0,"Active","No est. sales")</x:f>
        <x:v>No est. sales</x:v>
      </x:c>
    </x:row>
    <x:row r="301">
      <x:c r="A301" s="10" t="str">
        <x:v>HOME Downpayment Savings or Mortgage Payoff Goal Tracker - Printable Digital Download - Customize Money Home Budget Plan Fund Jar Bank</x:v>
      </x:c>
      <x:c r="B301" s="10" t="str">
        <x:v>https://www.etsy.com/listing/632351786/home-downpayment-savings-or-mortgage</x:v>
      </x:c>
      <x:c r="C301" s="10" t="str">
        <x:v>HappyMondayDesigns</x:v>
      </x:c>
      <x:c r="D301" s="10" t="str">
        <x:v>https://www.etsy.com/shop/HappyMondayDesigns</x:v>
      </x:c>
      <x:c r="E301" s="11" t="n">
        <x:v>5.25</x:v>
      </x:c>
      <x:c r="F301" s="10" t="n">
        <x:v>0</x:v>
      </x:c>
      <x:c r="G301" s="12" t="n">
        <x:v>0</x:v>
      </x:c>
      <x:c r="H301" s="13" t="n">
        <x:v>0</x:v>
      </x:c>
      <x:c r="I301" s="10" t="n">
        <x:v>5</x:v>
      </x:c>
      <x:c r="J301" s="10" t="n">
        <x:v>1</x:v>
      </x:c>
      <x:c r="K301" s="10" t="str">
        <x:v>94 Mo.</x:v>
      </x:c>
      <x:c r="L301" s="10" t="n">
        <x:v>55</x:v>
      </x:c>
      <x:c r="M301" s="10" t="n">
        <x:v>0</x:v>
      </x:c>
      <x:c r="N301" s="10" t="n">
        <x:v>988</x:v>
      </x:c>
      <x:c r="O301" s="10" t="str">
        <x:v>Paper &amp; Party Supplies</x:v>
      </x:c>
      <x:c r="P301" s="10" t="n">
        <x:v>94</x:v>
      </x:c>
      <x:c r="Q301" s="10" t="n">
        <x:v>0</x:v>
      </x:c>
      <x:c r="R301" s="13" t="n">
        <x:v>0.51</x:v>
      </x:c>
      <x:c r="S301" s="10" t="n">
        <x:v>616</x:v>
      </x:c>
      <x:c r="T301" s="10" t="str">
        <x:v>savings tracker,print on paper,goal tracker,savings goal,coloring,planner,journal,condo savings,down payment savings,save for house,save for downpayment,mortgage payoff,downpayment savings</x:v>
      </x:c>
      <x:c r="U301" s="10" t="str">
        <x:v>savings tracker</x:v>
      </x:c>
      <x:c r="V301" s="10" t="str">
        <x:v>print on paper</x:v>
      </x:c>
      <x:c r="W301" s="10" t="str">
        <x:v>goal tracker</x:v>
      </x:c>
      <x:c r="X301" s="10" t="str">
        <x:v>savings goal</x:v>
      </x:c>
      <x:c r="Y301" s="10" t="str">
        <x:v>coloring</x:v>
      </x:c>
      <x:c r="Z301" s="10" t="str">
        <x:v>planner</x:v>
      </x:c>
      <x:c r="AA301" s="10" t="str">
        <x:v>journal</x:v>
      </x:c>
      <x:c r="AB301" s="10" t="str">
        <x:v>condo savings</x:v>
      </x:c>
      <x:c r="AC301" s="10" t="str">
        <x:v>down payment savings</x:v>
      </x:c>
      <x:c r="AD301" s="10" t="str">
        <x:v>save for house</x:v>
      </x:c>
      <x:c r="AE301" s="10" t="str">
        <x:v>save for downpayment</x:v>
      </x:c>
      <x:c r="AF301" s="10" t="str">
        <x:v>mortgage payoff</x:v>
      </x:c>
      <x:c r="AG301" s="10" t="str">
        <x:v>downpayment savings</x:v>
      </x:c>
      <x:c r="AH301" s="10" t="str">
        <x:v>Mortgage payoff / calculator</x:v>
      </x:c>
      <x:c r="AI301" s="13" t="n">
        <x:v>94</x:v>
      </x:c>
      <x:c r="AJ301" s="10" t="str">
        <x:f>IF(F301&gt;0,"Active","No est. sales")</x:f>
        <x:v>No est. sales</x:v>
      </x:c>
    </x:row>
    <x:row r="302">
      <x:c r="A302" s="10" t="str">
        <x:v>Debt Snowball Spreadsheet Google Sheet Excel Debt Payoff Tracker Debt Snowball Calculator Student Loan Payoff House Debt Payoff Credit Cards</x:v>
      </x:c>
      <x:c r="B302" s="10" t="str">
        <x:v>https://www.etsy.com/listing/1506601066/debt-snowball-spreadsheet-google-sheet</x:v>
      </x:c>
      <x:c r="C302" s="10" t="str">
        <x:v>PrioriDigitalStudio</x:v>
      </x:c>
      <x:c r="D302" s="10" t="str">
        <x:v>https://www.etsy.com/shop/PrioriDigitalStudio</x:v>
      </x:c>
      <x:c r="E302" s="11" t="n">
        <x:v>6.22</x:v>
      </x:c>
      <x:c r="F302" s="10" t="n">
        <x:v>0</x:v>
      </x:c>
      <x:c r="G302" s="12" t="n">
        <x:v>0</x:v>
      </x:c>
      <x:c r="H302" s="13" t="n">
        <x:v>0</x:v>
      </x:c>
      <x:c r="I302" s="10" t="n">
        <x:v>22</x:v>
      </x:c>
      <x:c r="J302" s="10" t="n">
        <x:v>0</x:v>
      </x:c>
      <x:c r="K302" s="10" t="str">
        <x:v>36 Mo.</x:v>
      </x:c>
      <x:c r="L302" s="10" t="n">
        <x:v>12</x:v>
      </x:c>
      <x:c r="M302" s="10" t="n">
        <x:v>0</x:v>
      </x:c>
      <x:c r="N302" s="10" t="n">
        <x:v>801</x:v>
      </x:c>
      <x:c r="O302" s="10" t="str">
        <x:v>Paper &amp; Party Supplies</x:v>
      </x:c>
      <x:c r="P302" s="10" t="n">
        <x:v>40</x:v>
      </x:c>
      <x:c r="Q302" s="10" t="n">
        <x:v>0</x:v>
      </x:c>
      <x:c r="R302" s="13" t="n">
        <x:v>2.75</x:v>
      </x:c>
      <x:c r="S302" s="10" t="n">
        <x:v>167903</x:v>
      </x:c>
      <x:c r="T302" s="10" t="str">
        <x:v>finance planner,excel spreadsheet,debt google sheets,debt spreadsheet,debt payoff tracker,budget planner,personal finance,loan payoff,mortgage payoff,debt snowball excel,debt tracker excel,budget spreadsheet,monthly budget</x:v>
      </x:c>
      <x:c r="U302" s="10" t="str">
        <x:v>finance planner</x:v>
      </x:c>
      <x:c r="V302" s="10" t="str">
        <x:v>excel spreadsheet</x:v>
      </x:c>
      <x:c r="W302" s="10" t="str">
        <x:v>debt google sheets</x:v>
      </x:c>
      <x:c r="X302" s="10" t="str">
        <x:v>debt spreadsheet</x:v>
      </x:c>
      <x:c r="Y302" s="10" t="str">
        <x:v>debt payoff tracker</x:v>
      </x:c>
      <x:c r="Z302" s="10" t="str">
        <x:v>budget planner</x:v>
      </x:c>
      <x:c r="AA302" s="10" t="str">
        <x:v>personal finance</x:v>
      </x:c>
      <x:c r="AB302" s="10" t="str">
        <x:v>loan payoff</x:v>
      </x:c>
      <x:c r="AC302" s="10" t="str">
        <x:v>mortgage payoff</x:v>
      </x:c>
      <x:c r="AD302" s="10" t="str">
        <x:v>debt snowball excel</x:v>
      </x:c>
      <x:c r="AE302" s="10" t="str">
        <x:v>debt tracker excel</x:v>
      </x:c>
      <x:c r="AF302" s="10" t="str">
        <x:v>budget spreadsheet</x:v>
      </x:c>
      <x:c r="AG302" s="10" t="str">
        <x:v>monthly budget</x:v>
      </x:c>
      <x:c r="AH302" s="10" t="str">
        <x:v>General debt payoff</x:v>
      </x:c>
      <x:c r="AI302" s="13" t="n">
        <x:v>36</x:v>
      </x:c>
      <x:c r="AJ302" s="10" t="str">
        <x:f>IF(F302&gt;0,"Active","No est. sales")</x:f>
        <x:v>No est. sales</x:v>
      </x:c>
    </x:row>
    <x:row r="303">
      <x:c r="A303" s="10" t="str">
        <x:v>House Payment Tracker - Pastel Yellow Planner Stickers</x:v>
      </x:c>
      <x:c r="B303" s="10" t="str">
        <x:v>https://www.etsy.com/listing/984599022/house-payment-tracker-pastel-yellow</x:v>
      </x:c>
      <x:c r="C303" s="10" t="str">
        <x:v>SofiStickers</x:v>
      </x:c>
      <x:c r="D303" s="10" t="str">
        <x:v>https://www.etsy.com/shop/SofiStickers</x:v>
      </x:c>
      <x:c r="E303" s="11" t="n">
        <x:v>2</x:v>
      </x:c>
      <x:c r="F303" s="10" t="n">
        <x:v>0</x:v>
      </x:c>
      <x:c r="G303" s="12" t="n">
        <x:v>0</x:v>
      </x:c>
      <x:c r="H303" s="13" t="n">
        <x:v>0</x:v>
      </x:c>
      <x:c r="I303" s="10" t="n">
        <x:v>13</x:v>
      </x:c>
      <x:c r="J303" s="10" t="n">
        <x:v>4</x:v>
      </x:c>
      <x:c r="K303" s="10" t="str">
        <x:v>63 Mo.</x:v>
      </x:c>
      <x:c r="L303" s="10" t="n">
        <x:v>11</x:v>
      </x:c>
      <x:c r="M303" s="10" t="n">
        <x:v>0</x:v>
      </x:c>
      <x:c r="N303" s="10" t="n">
        <x:v>61</x:v>
      </x:c>
      <x:c r="O303" s="10" t="str">
        <x:v>Paper &amp; Party Supplies</x:v>
      </x:c>
      <x:c r="P303" s="10" t="n">
        <x:v>63</x:v>
      </x:c>
      <x:c r="Q303" s="10" t="n">
        <x:v>0</x:v>
      </x:c>
      <x:c r="R303" s="13" t="n">
        <x:v>21.31</x:v>
      </x:c>
      <x:c r="S303" s="10" t="n">
        <x:v>5120</x:v>
      </x:c>
      <x:c r="T303" s="10" t="str">
        <x:v>bill due stickers,budget stickers,pastel stickers,life planner,planner accessories,bullet journal,bill tracker,budgeting stickers,mortgage,pastel yellow,house bill due,house payment,budget planner</x:v>
      </x:c>
      <x:c r="U303" s="10" t="str">
        <x:v>bill due stickers</x:v>
      </x:c>
      <x:c r="V303" s="10" t="str">
        <x:v>budget stickers</x:v>
      </x:c>
      <x:c r="W303" s="10" t="str">
        <x:v>pastel stickers</x:v>
      </x:c>
      <x:c r="X303" s="10" t="str">
        <x:v>life planner</x:v>
      </x:c>
      <x:c r="Y303" s="10" t="str">
        <x:v>planner accessories</x:v>
      </x:c>
      <x:c r="Z303" s="10" t="str">
        <x:v>bullet journal</x:v>
      </x:c>
      <x:c r="AA303" s="10" t="str">
        <x:v>bill tracker</x:v>
      </x:c>
      <x:c r="AB303" s="10" t="str">
        <x:v>budgeting stickers</x:v>
      </x:c>
      <x:c r="AC303" s="10" t="str">
        <x:v>mortgage</x:v>
      </x:c>
      <x:c r="AD303" s="10" t="str">
        <x:v>pastel yellow</x:v>
      </x:c>
      <x:c r="AE303" s="10" t="str">
        <x:v>house bill due</x:v>
      </x:c>
      <x:c r="AF303" s="10" t="str">
        <x:v>house payment</x:v>
      </x:c>
      <x:c r="AG303" s="10" t="str">
        <x:v>budget planner</x:v>
      </x:c>
      <x:c r="AH303" s="10" t="str">
        <x:v>Other mortgage-related</x:v>
      </x:c>
      <x:c r="AI303" s="13" t="n">
        <x:v>63</x:v>
      </x:c>
      <x:c r="AJ303" s="10" t="str">
        <x:f>IF(F303&gt;0,"Active","No est. sales")</x:f>
        <x:v>No est. sales</x:v>
      </x:c>
    </x:row>
    <x:row r="304">
      <x:c r="A304" s="10" t="str">
        <x:v>House Payment Tracker - Pastel Purple Planner Stickers</x:v>
      </x:c>
      <x:c r="B304" s="10" t="str">
        <x:v>https://www.etsy.com/listing/998558023/house-payment-tracker-pastel-purple</x:v>
      </x:c>
      <x:c r="C304" s="10" t="str">
        <x:v>SofiStickers</x:v>
      </x:c>
      <x:c r="D304" s="10" t="str">
        <x:v>https://www.etsy.com/shop/SofiStickers</x:v>
      </x:c>
      <x:c r="E304" s="11" t="n">
        <x:v>2</x:v>
      </x:c>
      <x:c r="F304" s="10" t="n">
        <x:v>0</x:v>
      </x:c>
      <x:c r="G304" s="12" t="n">
        <x:v>0</x:v>
      </x:c>
      <x:c r="H304" s="13" t="n">
        <x:v>0</x:v>
      </x:c>
      <x:c r="I304" s="10" t="n">
        <x:v>56</x:v>
      </x:c>
      <x:c r="J304" s="10" t="n">
        <x:v>17</x:v>
      </x:c>
      <x:c r="K304" s="10" t="str">
        <x:v>63 Mo.</x:v>
      </x:c>
      <x:c r="L304" s="10" t="n">
        <x:v>36</x:v>
      </x:c>
      <x:c r="M304" s="10" t="n">
        <x:v>0</x:v>
      </x:c>
      <x:c r="N304" s="10" t="n">
        <x:v>353</x:v>
      </x:c>
      <x:c r="O304" s="10" t="str">
        <x:v>Paper &amp; Party Supplies</x:v>
      </x:c>
      <x:c r="P304" s="10" t="n">
        <x:v>63</x:v>
      </x:c>
      <x:c r="Q304" s="10" t="n">
        <x:v>0</x:v>
      </x:c>
      <x:c r="R304" s="13" t="n">
        <x:v>15.86</x:v>
      </x:c>
      <x:c r="S304" s="10" t="n">
        <x:v>5120</x:v>
      </x:c>
      <x:c r="T304" s="10" t="str">
        <x:v>bill due stickers,budget stickers,pastel stickers,life planner,planner accessories,bullet journal,bill tracker,budgeting stickers,house bill due,mortgage,house payment due,pastel purple,payment tracker</x:v>
      </x:c>
      <x:c r="U304" s="10" t="str">
        <x:v>bill due stickers</x:v>
      </x:c>
      <x:c r="V304" s="10" t="str">
        <x:v>budget stickers</x:v>
      </x:c>
      <x:c r="W304" s="10" t="str">
        <x:v>pastel stickers</x:v>
      </x:c>
      <x:c r="X304" s="10" t="str">
        <x:v>life planner</x:v>
      </x:c>
      <x:c r="Y304" s="10" t="str">
        <x:v>planner accessories</x:v>
      </x:c>
      <x:c r="Z304" s="10" t="str">
        <x:v>bullet journal</x:v>
      </x:c>
      <x:c r="AA304" s="10" t="str">
        <x:v>bill tracker</x:v>
      </x:c>
      <x:c r="AB304" s="10" t="str">
        <x:v>budgeting stickers</x:v>
      </x:c>
      <x:c r="AC304" s="10" t="str">
        <x:v>house bill due</x:v>
      </x:c>
      <x:c r="AD304" s="10" t="str">
        <x:v>mortgage</x:v>
      </x:c>
      <x:c r="AE304" s="10" t="str">
        <x:v>house payment due</x:v>
      </x:c>
      <x:c r="AF304" s="10" t="str">
        <x:v>pastel purple</x:v>
      </x:c>
      <x:c r="AG304" s="10" t="str">
        <x:v>payment tracker</x:v>
      </x:c>
      <x:c r="AH304" s="10" t="str">
        <x:v>Other mortgage-related</x:v>
      </x:c>
      <x:c r="AI304" s="13" t="n">
        <x:v>63</x:v>
      </x:c>
      <x:c r="AJ304" s="10" t="str">
        <x:f>IF(F304&gt;0,"Active","No est. sales")</x:f>
        <x:v>No est. sales</x:v>
      </x:c>
    </x:row>
    <x:row r="305">
      <x:c r="A305" s="10" t="str">
        <x:v>Mortgage Corner Sticker - Pastel Pink Planner Stickers</x:v>
      </x:c>
      <x:c r="B305" s="10" t="str">
        <x:v>https://www.etsy.com/listing/1158447074/mortgage-corner-sticker-pastel-pink</x:v>
      </x:c>
      <x:c r="C305" s="10" t="str">
        <x:v>SofiStickers</x:v>
      </x:c>
      <x:c r="D305" s="10" t="str">
        <x:v>https://www.etsy.com/shop/SofiStickers</x:v>
      </x:c>
      <x:c r="E305" s="11" t="n">
        <x:v>2</x:v>
      </x:c>
      <x:c r="F305" s="10" t="n">
        <x:v>0</x:v>
      </x:c>
      <x:c r="G305" s="12" t="n">
        <x:v>0</x:v>
      </x:c>
      <x:c r="H305" s="13" t="n">
        <x:v>0</x:v>
      </x:c>
      <x:c r="I305" s="10" t="n">
        <x:v>0</x:v>
      </x:c>
      <x:c r="J305" s="10" t="n">
        <x:v>0</x:v>
      </x:c>
      <x:c r="K305" s="10" t="str">
        <x:v>53 Mo.</x:v>
      </x:c>
      <x:c r="L305" s="10" t="n">
        <x:v>1</x:v>
      </x:c>
      <x:c r="M305" s="10" t="n">
        <x:v>0</x:v>
      </x:c>
      <x:c r="N305" s="10" t="n">
        <x:v>15</x:v>
      </x:c>
      <x:c r="O305" s="10" t="str">
        <x:v>Paper &amp; Party Supplies</x:v>
      </x:c>
      <x:c r="P305" s="10" t="n">
        <x:v>63</x:v>
      </x:c>
      <x:c r="Q305" s="10" t="n">
        <x:v>0</x:v>
      </x:c>
      <x:c r="R305" s="13" t="n">
        <x:v>0</x:v>
      </x:c>
      <x:c r="S305" s="10" t="n">
        <x:v>5120</x:v>
      </x:c>
      <x:c r="T305" s="10" t="str">
        <x:v>budget stickers,life planner,planner accessories,bullet journal,budgeting stickers,budget planner,weekly planner,functional stickers,monthly planner,corner sticker,mortgage,pastel pink</x:v>
      </x:c>
      <x:c r="U305" s="10" t="str">
        <x:v>budget stickers</x:v>
      </x:c>
      <x:c r="V305" s="10" t="str">
        <x:v>life planner</x:v>
      </x:c>
      <x:c r="W305" s="10" t="str">
        <x:v>planner accessories</x:v>
      </x:c>
      <x:c r="X305" s="10" t="str">
        <x:v>bullet journal</x:v>
      </x:c>
      <x:c r="Y305" s="10" t="str">
        <x:v>budgeting stickers</x:v>
      </x:c>
      <x:c r="Z305" s="10" t="str">
        <x:v>budget planner</x:v>
      </x:c>
      <x:c r="AA305" s="10" t="str">
        <x:v>weekly planner</x:v>
      </x:c>
      <x:c r="AB305" s="10" t="str">
        <x:v>functional stickers</x:v>
      </x:c>
      <x:c r="AC305" s="10" t="str">
        <x:v>monthly planner</x:v>
      </x:c>
      <x:c r="AD305" s="10" t="str">
        <x:v>corner sticker</x:v>
      </x:c>
      <x:c r="AE305" s="10" t="str">
        <x:v>mortgage</x:v>
      </x:c>
      <x:c r="AF305" s="10" t="str">
        <x:v>pastel pink</x:v>
      </x:c>
      <x:c r="AG305" s="10" t="str">
        <x:v>--</x:v>
      </x:c>
      <x:c r="AH305" s="10" t="str">
        <x:v>Other mortgage-related</x:v>
      </x:c>
      <x:c r="AI305" s="13" t="n">
        <x:v>53</x:v>
      </x:c>
      <x:c r="AJ305" s="10" t="str">
        <x:f>IF(F305&gt;0,"Active","No est. sales")</x:f>
        <x:v>No est. sales</x:v>
      </x:c>
    </x:row>
    <x:row r="306">
      <x:c r="A306" s="10" t="str">
        <x:v>Mortgage Corner Sticker - Pastel Purple Planner Stickers</x:v>
      </x:c>
      <x:c r="B306" s="10" t="str">
        <x:v>https://www.etsy.com/listing/1158447254/mortgage-corner-sticker-pastel-purple</x:v>
      </x:c>
      <x:c r="C306" s="10" t="str">
        <x:v>SofiStickers</x:v>
      </x:c>
      <x:c r="D306" s="10" t="str">
        <x:v>https://www.etsy.com/shop/SofiStickers</x:v>
      </x:c>
      <x:c r="E306" s="11" t="n">
        <x:v>2</x:v>
      </x:c>
      <x:c r="F306" s="10" t="n">
        <x:v>0</x:v>
      </x:c>
      <x:c r="G306" s="12" t="n">
        <x:v>0</x:v>
      </x:c>
      <x:c r="H306" s="13" t="n">
        <x:v>0</x:v>
      </x:c>
      <x:c r="I306" s="10" t="n">
        <x:v>0</x:v>
      </x:c>
      <x:c r="J306" s="10" t="n">
        <x:v>0</x:v>
      </x:c>
      <x:c r="K306" s="10" t="str">
        <x:v>53 Mo.</x:v>
      </x:c>
      <x:c r="L306" s="10" t="n">
        <x:v>4</x:v>
      </x:c>
      <x:c r="M306" s="10" t="n">
        <x:v>0</x:v>
      </x:c>
      <x:c r="N306" s="10" t="n">
        <x:v>13</x:v>
      </x:c>
      <x:c r="O306" s="10" t="str">
        <x:v>Paper &amp; Party Supplies</x:v>
      </x:c>
      <x:c r="P306" s="10" t="n">
        <x:v>63</x:v>
      </x:c>
      <x:c r="Q306" s="10" t="n">
        <x:v>0</x:v>
      </x:c>
      <x:c r="R306" s="13" t="n">
        <x:v>0</x:v>
      </x:c>
      <x:c r="S306" s="10" t="n">
        <x:v>5120</x:v>
      </x:c>
      <x:c r="T306" s="10" t="str">
        <x:v>budget stickers,life planner,planner accessories,bullet journal,budgeting stickers,budget planner,weekly planner,functional stickers,monthly planner,corner sticker,mortgage,pastel purple</x:v>
      </x:c>
      <x:c r="U306" s="10" t="str">
        <x:v>budget stickers</x:v>
      </x:c>
      <x:c r="V306" s="10" t="str">
        <x:v>life planner</x:v>
      </x:c>
      <x:c r="W306" s="10" t="str">
        <x:v>planner accessories</x:v>
      </x:c>
      <x:c r="X306" s="10" t="str">
        <x:v>bullet journal</x:v>
      </x:c>
      <x:c r="Y306" s="10" t="str">
        <x:v>budgeting stickers</x:v>
      </x:c>
      <x:c r="Z306" s="10" t="str">
        <x:v>budget planner</x:v>
      </x:c>
      <x:c r="AA306" s="10" t="str">
        <x:v>weekly planner</x:v>
      </x:c>
      <x:c r="AB306" s="10" t="str">
        <x:v>functional stickers</x:v>
      </x:c>
      <x:c r="AC306" s="10" t="str">
        <x:v>monthly planner</x:v>
      </x:c>
      <x:c r="AD306" s="10" t="str">
        <x:v>corner sticker</x:v>
      </x:c>
      <x:c r="AE306" s="10" t="str">
        <x:v>mortgage</x:v>
      </x:c>
      <x:c r="AF306" s="10" t="str">
        <x:v>pastel purple</x:v>
      </x:c>
      <x:c r="AG306" s="10" t="str">
        <x:v>--</x:v>
      </x:c>
      <x:c r="AH306" s="10" t="str">
        <x:v>Other mortgage-related</x:v>
      </x:c>
      <x:c r="AI306" s="13" t="n">
        <x:v>53</x:v>
      </x:c>
      <x:c r="AJ306" s="10" t="str">
        <x:f>IF(F306&gt;0,"Active","No est. sales")</x:f>
        <x:v>No est. sales</x:v>
      </x:c>
    </x:row>
    <x:row r="307">
      <x:c r="A307" s="10" t="str">
        <x:v>House Payment Tracker - Pastel Green Planner Stickers</x:v>
      </x:c>
      <x:c r="B307" s="10" t="str">
        <x:v>https://www.etsy.com/listing/998557501/house-payment-tracker-pastel-green</x:v>
      </x:c>
      <x:c r="C307" s="10" t="str">
        <x:v>SofiStickers</x:v>
      </x:c>
      <x:c r="D307" s="10" t="str">
        <x:v>https://www.etsy.com/shop/SofiStickers</x:v>
      </x:c>
      <x:c r="E307" s="11" t="n">
        <x:v>2</x:v>
      </x:c>
      <x:c r="F307" s="10" t="n">
        <x:v>0</x:v>
      </x:c>
      <x:c r="G307" s="12" t="n">
        <x:v>0</x:v>
      </x:c>
      <x:c r="H307" s="13" t="n">
        <x:v>0</x:v>
      </x:c>
      <x:c r="I307" s="10" t="n">
        <x:v>16</x:v>
      </x:c>
      <x:c r="J307" s="10" t="n">
        <x:v>5</x:v>
      </x:c>
      <x:c r="K307" s="10" t="str">
        <x:v>63 Mo.</x:v>
      </x:c>
      <x:c r="L307" s="10" t="n">
        <x:v>20</x:v>
      </x:c>
      <x:c r="M307" s="10" t="n">
        <x:v>0</x:v>
      </x:c>
      <x:c r="N307" s="10" t="n">
        <x:v>170</x:v>
      </x:c>
      <x:c r="O307" s="10" t="str">
        <x:v>Paper &amp; Party Supplies</x:v>
      </x:c>
      <x:c r="P307" s="10" t="n">
        <x:v>63</x:v>
      </x:c>
      <x:c r="Q307" s="10" t="n">
        <x:v>0</x:v>
      </x:c>
      <x:c r="R307" s="13" t="n">
        <x:v>9.41</x:v>
      </x:c>
      <x:c r="S307" s="10" t="n">
        <x:v>5120</x:v>
      </x:c>
      <x:c r="T307" s="10" t="str">
        <x:v>bill due stickers,budget stickers,pastel stickers,life planner,planner accessories,bullet journal,bill tracker,budgeting stickers,house bill due,mortgage,house payment,pastel green,budget planner</x:v>
      </x:c>
      <x:c r="U307" s="10" t="str">
        <x:v>bill due stickers</x:v>
      </x:c>
      <x:c r="V307" s="10" t="str">
        <x:v>budget stickers</x:v>
      </x:c>
      <x:c r="W307" s="10" t="str">
        <x:v>pastel stickers</x:v>
      </x:c>
      <x:c r="X307" s="10" t="str">
        <x:v>life planner</x:v>
      </x:c>
      <x:c r="Y307" s="10" t="str">
        <x:v>planner accessories</x:v>
      </x:c>
      <x:c r="Z307" s="10" t="str">
        <x:v>bullet journal</x:v>
      </x:c>
      <x:c r="AA307" s="10" t="str">
        <x:v>bill tracker</x:v>
      </x:c>
      <x:c r="AB307" s="10" t="str">
        <x:v>budgeting stickers</x:v>
      </x:c>
      <x:c r="AC307" s="10" t="str">
        <x:v>house bill due</x:v>
      </x:c>
      <x:c r="AD307" s="10" t="str">
        <x:v>mortgage</x:v>
      </x:c>
      <x:c r="AE307" s="10" t="str">
        <x:v>house payment</x:v>
      </x:c>
      <x:c r="AF307" s="10" t="str">
        <x:v>pastel green</x:v>
      </x:c>
      <x:c r="AG307" s="10" t="str">
        <x:v>budget planner</x:v>
      </x:c>
      <x:c r="AH307" s="10" t="str">
        <x:v>Other mortgage-related</x:v>
      </x:c>
      <x:c r="AI307" s="13" t="n">
        <x:v>63</x:v>
      </x:c>
      <x:c r="AJ307" s="10" t="str">
        <x:f>IF(F307&gt;0,"Active","No est. sales")</x:f>
        <x:v>No est. sales</x:v>
      </x:c>
    </x:row>
    <x:row r="308">
      <x:c r="A308" s="10" t="str">
        <x:v>Personalized Loan Officer Mug, Gift for Mortgage Lenders</x:v>
      </x:c>
      <x:c r="B308" s="10" t="str">
        <x:v>https://www.etsy.com/listing/1157691598/personalized-loan-officer-mug-gift-for</x:v>
      </x:c>
      <x:c r="C308" s="10" t="str">
        <x:v>CovetedGift</x:v>
      </x:c>
      <x:c r="D308" s="10" t="str">
        <x:v>https://www.etsy.com/shop/CovetedGift</x:v>
      </x:c>
      <x:c r="E308" s="11" t="n">
        <x:v>17.99</x:v>
      </x:c>
      <x:c r="F308" s="10" t="n">
        <x:v>0</x:v>
      </x:c>
      <x:c r="G308" s="12" t="n">
        <x:v>0</x:v>
      </x:c>
      <x:c r="H308" s="13" t="n">
        <x:v>0</x:v>
      </x:c>
      <x:c r="I308" s="10" t="n">
        <x:v>15</x:v>
      </x:c>
      <x:c r="J308" s="10" t="n">
        <x:v>3</x:v>
      </x:c>
      <x:c r="K308" s="10" t="str">
        <x:v>53 Mo.</x:v>
      </x:c>
      <x:c r="L308" s="10" t="n">
        <x:v>19</x:v>
      </x:c>
      <x:c r="M308" s="10" t="n">
        <x:v>0</x:v>
      </x:c>
      <x:c r="N308" s="10" t="n">
        <x:v>316</x:v>
      </x:c>
      <x:c r="O308" s="10" t="str">
        <x:v>Home &amp; Living</x:v>
      </x:c>
      <x:c r="P308" s="10" t="n">
        <x:v>74</x:v>
      </x:c>
      <x:c r="Q308" s="10" t="n">
        <x:v>0</x:v>
      </x:c>
      <x:c r="R308" s="13" t="n">
        <x:v>4.75</x:v>
      </x:c>
      <x:c r="S308" s="10" t="n">
        <x:v>18972</x:v>
      </x:c>
      <x:c r="T308" s="10" t="str">
        <x:v>loan officer gift,loan officer mug,loan officer cup,gift loan officer,loan originator gift,loan originator mug,mortgage consultant,mortgage originator,mortgage planner mug,loan officer present,lender gift,loan consultant,best loan officer</x:v>
      </x:c>
      <x:c r="U308" s="10" t="str">
        <x:v>loan officer gift</x:v>
      </x:c>
      <x:c r="V308" s="10" t="str">
        <x:v>loan officer mug</x:v>
      </x:c>
      <x:c r="W308" s="10" t="str">
        <x:v>loan officer cup</x:v>
      </x:c>
      <x:c r="X308" s="10" t="str">
        <x:v>gift loan officer</x:v>
      </x:c>
      <x:c r="Y308" s="10" t="str">
        <x:v>loan originator gift</x:v>
      </x:c>
      <x:c r="Z308" s="10" t="str">
        <x:v>loan originator mug</x:v>
      </x:c>
      <x:c r="AA308" s="10" t="str">
        <x:v>mortgage consultant</x:v>
      </x:c>
      <x:c r="AB308" s="10" t="str">
        <x:v>mortgage originator</x:v>
      </x:c>
      <x:c r="AC308" s="10" t="str">
        <x:v>mortgage planner mug</x:v>
      </x:c>
      <x:c r="AD308" s="10" t="str">
        <x:v>loan officer present</x:v>
      </x:c>
      <x:c r="AE308" s="10" t="str">
        <x:v>lender gift</x:v>
      </x:c>
      <x:c r="AF308" s="10" t="str">
        <x:v>loan consultant</x:v>
      </x:c>
      <x:c r="AG308" s="10" t="str">
        <x:v>best loan officer</x:v>
      </x:c>
      <x:c r="AH308" s="10" t="str">
        <x:v>Loan officer / B2B</x:v>
      </x:c>
      <x:c r="AI308" s="13" t="n">
        <x:v>53</x:v>
      </x:c>
      <x:c r="AJ308" s="10" t="str">
        <x:f>IF(F308&gt;0,"Active","No est. sales")</x:f>
        <x:v>No est. sales</x:v>
      </x:c>
    </x:row>
    <x:row r="309">
      <x:c r="A309" s="10" t="str">
        <x:v>Mortgage Payment Tracker Google Sheets | Actual vs Planned Payoff Spreadsheet, Extra Principal &amp; Balance Planner</x:v>
      </x:c>
      <x:c r="B309" s="10" t="str">
        <x:v>https://www.etsy.com/listing/4545825401/mortgage-payment-tracker-google-sheets</x:v>
      </x:c>
      <x:c r="C309" s="10" t="str">
        <x:v>CashflowControl</x:v>
      </x:c>
      <x:c r="D309" s="10" t="str">
        <x:v>https://www.etsy.com/shop/CashflowControl</x:v>
      </x:c>
      <x:c r="E309" s="11" t="n">
        <x:v>5.06</x:v>
      </x:c>
      <x:c r="F309" s="10" t="n">
        <x:v>0</x:v>
      </x:c>
      <x:c r="G309" s="12" t="n">
        <x:v>0</x:v>
      </x:c>
      <x:c r="H309" s="13" t="n">
        <x:v>0</x:v>
      </x:c>
      <x:c r="I309" s="10" t="n">
        <x:v>0</x:v>
      </x:c>
      <x:c r="J309" s="10" t="n">
        <x:v>0</x:v>
      </x:c>
      <x:c r="K309" s="10" t="str">
        <x:v>1 Mo.</x:v>
      </x:c>
      <x:c r="L309" s="10" t="n">
        <x:v>0</x:v>
      </x:c>
      <x:c r="M309" s="10" t="n">
        <x:v>0</x:v>
      </x:c>
      <x:c r="N309" s="10" t="n">
        <x:v>0</x:v>
      </x:c>
      <x:c r="O309" s="10" t="str"/>
      <x:c r="P309" s="10" t="n">
        <x:v>3</x:v>
      </x:c>
      <x:c r="Q309" s="10" t="n">
        <x:v>0</x:v>
      </x:c>
      <x:c r="R309" s="13" t="n">
        <x:v>0</x:v>
      </x:c>
      <x:c r="S309" s="10" t="n">
        <x:v>200</x:v>
      </x:c>
      <x:c r="T309" s="10" t="str">
        <x:v>mortgage tracker,payment tracker,mortgage payoff,mortgage spreadsheet,google sheets,actual vs planned,extra principal,mortgage balance,payoff progress,home loan tracker,monthly payment,mortgage dashboard,debt free planner</x:v>
      </x:c>
      <x:c r="U309" s="10" t="str">
        <x:v>mortgage tracker</x:v>
      </x:c>
      <x:c r="V309" s="10" t="str">
        <x:v>payment tracker</x:v>
      </x:c>
      <x:c r="W309" s="10" t="str">
        <x:v>mortgage payoff</x:v>
      </x:c>
      <x:c r="X309" s="10" t="str">
        <x:v>mortgage spreadsheet</x:v>
      </x:c>
      <x:c r="Y309" s="10" t="str">
        <x:v>google sheets</x:v>
      </x:c>
      <x:c r="Z309" s="10" t="str">
        <x:v>actual vs planned</x:v>
      </x:c>
      <x:c r="AA309" s="10" t="str">
        <x:v>extra principal</x:v>
      </x:c>
      <x:c r="AB309" s="10" t="str">
        <x:v>mortgage balance</x:v>
      </x:c>
      <x:c r="AC309" s="10" t="str">
        <x:v>payoff progress</x:v>
      </x:c>
      <x:c r="AD309" s="10" t="str">
        <x:v>home loan tracker</x:v>
      </x:c>
      <x:c r="AE309" s="10" t="str">
        <x:v>monthly payment</x:v>
      </x:c>
      <x:c r="AF309" s="10" t="str">
        <x:v>mortgage dashboard</x:v>
      </x:c>
      <x:c r="AG309" s="10" t="str">
        <x:v>debt free planner</x:v>
      </x:c>
      <x:c r="AH309" s="10" t="str">
        <x:v>Other mortgage-related</x:v>
      </x:c>
      <x:c r="AI309" s="13" t="n">
        <x:v>1</x:v>
      </x:c>
      <x:c r="AJ309" s="10" t="str">
        <x:f>IF(F309&gt;0,"Active","No est. sales")</x:f>
        <x:v>No est. sales</x:v>
      </x:c>
    </x:row>
    <x:row r="310">
      <x:c r="A310" s="10" t="str">
        <x:v>Credit Card Debt Tracker Printable Set, Debt-Free Trackers, Emergency Fund, Budget Planner,  INSTANT DOWNLOAD, 8 Pages - Olive LD055</x:v>
      </x:c>
      <x:c r="B310" s="10" t="str">
        <x:v>https://www.etsy.com/listing/1508843805/credit-card-debt-tracker-printable-set</x:v>
      </x:c>
      <x:c r="C310" s="10" t="str">
        <x:v>LivingFreeofD</x:v>
      </x:c>
      <x:c r="D310" s="10" t="str">
        <x:v>https://www.etsy.com/shop/LivingFreeofD</x:v>
      </x:c>
      <x:c r="E310" s="11" t="n">
        <x:v>6.21</x:v>
      </x:c>
      <x:c r="F310" s="10" t="n">
        <x:v>0</x:v>
      </x:c>
      <x:c r="G310" s="12" t="n">
        <x:v>0</x:v>
      </x:c>
      <x:c r="H310" s="13" t="n">
        <x:v>0</x:v>
      </x:c>
      <x:c r="I310" s="10" t="n">
        <x:v>0</x:v>
      </x:c>
      <x:c r="J310" s="10" t="n">
        <x:v>0</x:v>
      </x:c>
      <x:c r="K310" s="10" t="str">
        <x:v>37 Mo.</x:v>
      </x:c>
      <x:c r="L310" s="10" t="n">
        <x:v>6</x:v>
      </x:c>
      <x:c r="M310" s="10" t="n">
        <x:v>0</x:v>
      </x:c>
      <x:c r="N310" s="10" t="n">
        <x:v>40</x:v>
      </x:c>
      <x:c r="O310" s="10" t="str"/>
      <x:c r="P310" s="10" t="n">
        <x:v>70</x:v>
      </x:c>
      <x:c r="Q310" s="10" t="n">
        <x:v>0</x:v>
      </x:c>
      <x:c r="R310" s="13" t="n">
        <x:v>0</x:v>
      </x:c>
      <x:c r="S310" s="10" t="n">
        <x:v>2039</x:v>
      </x:c>
      <x:c r="T310" s="10" t="str">
        <x:v>finance planner,dave ramsey,emergency fund,credit card trcker,debt snowball,debt payoff tracker,mortgage tracker,budget tracker,debt-free goals,debt payment tracker,money mindset,printable budget,savings tracker</x:v>
      </x:c>
      <x:c r="U310" s="10" t="str">
        <x:v>finance planner</x:v>
      </x:c>
      <x:c r="V310" s="10" t="str">
        <x:v>dave ramsey</x:v>
      </x:c>
      <x:c r="W310" s="10" t="str">
        <x:v>emergency fund</x:v>
      </x:c>
      <x:c r="X310" s="10" t="str">
        <x:v>credit card trcker</x:v>
      </x:c>
      <x:c r="Y310" s="10" t="str">
        <x:v>debt snowball</x:v>
      </x:c>
      <x:c r="Z310" s="10" t="str">
        <x:v>debt payoff tracker</x:v>
      </x:c>
      <x:c r="AA310" s="10" t="str">
        <x:v>mortgage tracker</x:v>
      </x:c>
      <x:c r="AB310" s="10" t="str">
        <x:v>budget tracker</x:v>
      </x:c>
      <x:c r="AC310" s="10" t="str">
        <x:v>debt-free goals</x:v>
      </x:c>
      <x:c r="AD310" s="10" t="str">
        <x:v>debt payment tracker</x:v>
      </x:c>
      <x:c r="AE310" s="10" t="str">
        <x:v>money mindset</x:v>
      </x:c>
      <x:c r="AF310" s="10" t="str">
        <x:v>printable budget</x:v>
      </x:c>
      <x:c r="AG310" s="10" t="str">
        <x:v>savings tracker</x:v>
      </x:c>
      <x:c r="AH310" s="10" t="str">
        <x:v>General debt payoff</x:v>
      </x:c>
      <x:c r="AI310" s="13" t="n">
        <x:v>37</x:v>
      </x:c>
      <x:c r="AJ310" s="10" t="str">
        <x:f>IF(F310&gt;0,"Active","No est. sales")</x:f>
        <x:v>No est. sales</x:v>
      </x:c>
    </x:row>
    <x:row r="311">
      <x:c r="A311" s="10" t="str">
        <x:v>Debt Avalanche Spreadsheet for Google Sheets, Debt Payment Planner Tracker, Loan Payoff Budget Template, INSTANT DOWNLOAD - Orange LD017</x:v>
      </x:c>
      <x:c r="B311" s="10" t="str">
        <x:v>https://www.etsy.com/listing/1594638639/debt-avalanche-spreadsheet-for-google</x:v>
      </x:c>
      <x:c r="C311" s="10" t="str">
        <x:v>LivingFreeofD</x:v>
      </x:c>
      <x:c r="D311" s="10" t="str">
        <x:v>https://www.etsy.com/shop/LivingFreeofD</x:v>
      </x:c>
      <x:c r="E311" s="11" t="n">
        <x:v>4.82</x:v>
      </x:c>
      <x:c r="F311" s="10" t="n">
        <x:v>0</x:v>
      </x:c>
      <x:c r="G311" s="12" t="n">
        <x:v>0</x:v>
      </x:c>
      <x:c r="H311" s="13" t="n">
        <x:v>0</x:v>
      </x:c>
      <x:c r="I311" s="10" t="n">
        <x:v>0</x:v>
      </x:c>
      <x:c r="J311" s="10" t="n">
        <x:v>0</x:v>
      </x:c>
      <x:c r="K311" s="10" t="str">
        <x:v>33 Mo.</x:v>
      </x:c>
      <x:c r="L311" s="10" t="n">
        <x:v>1</x:v>
      </x:c>
      <x:c r="M311" s="10" t="n">
        <x:v>0</x:v>
      </x:c>
      <x:c r="N311" s="10" t="n">
        <x:v>49</x:v>
      </x:c>
      <x:c r="O311" s="10" t="str"/>
      <x:c r="P311" s="10" t="n">
        <x:v>70</x:v>
      </x:c>
      <x:c r="Q311" s="10" t="n">
        <x:v>0</x:v>
      </x:c>
      <x:c r="R311" s="13" t="n">
        <x:v>0</x:v>
      </x:c>
      <x:c r="S311" s="10" t="n">
        <x:v>2039</x:v>
      </x:c>
      <x:c r="T311" s="10" t="str">
        <x:v>debt payment tracker,debt snowball,debt avalanche,debt payoff planner,debt calculator,loan payoff tracker,credit card debt,mortgage payoff,student loan debt,financial planner,personal finance,debt google sheets,snowball method</x:v>
      </x:c>
      <x:c r="U311" s="10" t="str">
        <x:v>debt payment tracker</x:v>
      </x:c>
      <x:c r="V311" s="10" t="str">
        <x:v>debt snowball</x:v>
      </x:c>
      <x:c r="W311" s="10" t="str">
        <x:v>debt avalanche</x:v>
      </x:c>
      <x:c r="X311" s="10" t="str">
        <x:v>debt payoff planner</x:v>
      </x:c>
      <x:c r="Y311" s="10" t="str">
        <x:v>debt calculator</x:v>
      </x:c>
      <x:c r="Z311" s="10" t="str">
        <x:v>loan payoff tracker</x:v>
      </x:c>
      <x:c r="AA311" s="10" t="str">
        <x:v>credit card debt</x:v>
      </x:c>
      <x:c r="AB311" s="10" t="str">
        <x:v>mortgage payoff</x:v>
      </x:c>
      <x:c r="AC311" s="10" t="str">
        <x:v>student loan debt</x:v>
      </x:c>
      <x:c r="AD311" s="10" t="str">
        <x:v>financial planner</x:v>
      </x:c>
      <x:c r="AE311" s="10" t="str">
        <x:v>personal finance</x:v>
      </x:c>
      <x:c r="AF311" s="10" t="str">
        <x:v>debt google sheets</x:v>
      </x:c>
      <x:c r="AG311" s="10" t="str">
        <x:v>snowball method</x:v>
      </x:c>
      <x:c r="AH311" s="10" t="str">
        <x:v>General debt payoff</x:v>
      </x:c>
      <x:c r="AI311" s="13" t="n">
        <x:v>33</x:v>
      </x:c>
      <x:c r="AJ311" s="10" t="str">
        <x:f>IF(F311&gt;0,"Active","No est. sales")</x:f>
        <x:v>No est. sales</x:v>
      </x:c>
    </x:row>
    <x:row r="312">
      <x:c r="A312" s="10" t="str">
        <x:v>Debt Avalanche Spreadsheet for Google Sheets, Debt Payment Planner Tracker, Loan Payoff Budget Template, INSTANT DOWNLOAD - Purple LD017</x:v>
      </x:c>
      <x:c r="B312" s="10" t="str">
        <x:v>https://www.etsy.com/listing/1580464482/debt-avalanche-spreadsheet-for-google</x:v>
      </x:c>
      <x:c r="C312" s="10" t="str">
        <x:v>LivingFreeofD</x:v>
      </x:c>
      <x:c r="D312" s="10" t="str">
        <x:v>https://www.etsy.com/shop/LivingFreeofD</x:v>
      </x:c>
      <x:c r="E312" s="11" t="n">
        <x:v>4.82</x:v>
      </x:c>
      <x:c r="F312" s="10" t="n">
        <x:v>0</x:v>
      </x:c>
      <x:c r="G312" s="12" t="n">
        <x:v>0</x:v>
      </x:c>
      <x:c r="H312" s="13" t="n">
        <x:v>0</x:v>
      </x:c>
      <x:c r="I312" s="10" t="n">
        <x:v>0</x:v>
      </x:c>
      <x:c r="J312" s="10" t="n">
        <x:v>0</x:v>
      </x:c>
      <x:c r="K312" s="10" t="str">
        <x:v>33 Mo.</x:v>
      </x:c>
      <x:c r="L312" s="10" t="n">
        <x:v>2</x:v>
      </x:c>
      <x:c r="M312" s="10" t="n">
        <x:v>0</x:v>
      </x:c>
      <x:c r="N312" s="10" t="n">
        <x:v>42</x:v>
      </x:c>
      <x:c r="O312" s="10" t="str"/>
      <x:c r="P312" s="10" t="n">
        <x:v>70</x:v>
      </x:c>
      <x:c r="Q312" s="10" t="n">
        <x:v>0</x:v>
      </x:c>
      <x:c r="R312" s="13" t="n">
        <x:v>0</x:v>
      </x:c>
      <x:c r="S312" s="10" t="n">
        <x:v>2039</x:v>
      </x:c>
      <x:c r="T312" s="10" t="str">
        <x:v>debt payment tracker,debt snowball,debt avalanche,debt payoff planner,debt calculator,loan payoff tracker,credit card debt,mortgage payoff,student loan debt,financial planner,personal finance,debt google sheets,snowball method</x:v>
      </x:c>
      <x:c r="U312" s="10" t="str">
        <x:v>debt payment tracker</x:v>
      </x:c>
      <x:c r="V312" s="10" t="str">
        <x:v>debt snowball</x:v>
      </x:c>
      <x:c r="W312" s="10" t="str">
        <x:v>debt avalanche</x:v>
      </x:c>
      <x:c r="X312" s="10" t="str">
        <x:v>debt payoff planner</x:v>
      </x:c>
      <x:c r="Y312" s="10" t="str">
        <x:v>debt calculator</x:v>
      </x:c>
      <x:c r="Z312" s="10" t="str">
        <x:v>loan payoff tracker</x:v>
      </x:c>
      <x:c r="AA312" s="10" t="str">
        <x:v>credit card debt</x:v>
      </x:c>
      <x:c r="AB312" s="10" t="str">
        <x:v>mortgage payoff</x:v>
      </x:c>
      <x:c r="AC312" s="10" t="str">
        <x:v>student loan debt</x:v>
      </x:c>
      <x:c r="AD312" s="10" t="str">
        <x:v>financial planner</x:v>
      </x:c>
      <x:c r="AE312" s="10" t="str">
        <x:v>personal finance</x:v>
      </x:c>
      <x:c r="AF312" s="10" t="str">
        <x:v>debt google sheets</x:v>
      </x:c>
      <x:c r="AG312" s="10" t="str">
        <x:v>snowball method</x:v>
      </x:c>
      <x:c r="AH312" s="10" t="str">
        <x:v>General debt payoff</x:v>
      </x:c>
      <x:c r="AI312" s="13" t="n">
        <x:v>33</x:v>
      </x:c>
      <x:c r="AJ312" s="10" t="str">
        <x:f>IF(F312&gt;0,"Active","No est. sales")</x:f>
        <x:v>No est. sales</x:v>
      </x:c>
    </x:row>
    <x:row r="313">
      <x:c r="A313" s="10" t="str">
        <x:v>Pay Mortgage Script Planner Sticker, Calendar Sticker and Bullet Journal Sticker</x:v>
      </x:c>
      <x:c r="B313" s="10" t="str">
        <x:v>https://www.etsy.com/listing/1862442042/pay-mortgage-script-planner-sticker</x:v>
      </x:c>
      <x:c r="C313" s="10" t="str">
        <x:v>StickersAround</x:v>
      </x:c>
      <x:c r="D313" s="10" t="str">
        <x:v>https://www.etsy.com/shop/StickersAround</x:v>
      </x:c>
      <x:c r="E313" s="11" t="n">
        <x:v>3.08</x:v>
      </x:c>
      <x:c r="F313" s="10" t="n">
        <x:v>0</x:v>
      </x:c>
      <x:c r="G313" s="12" t="n">
        <x:v>0</x:v>
      </x:c>
      <x:c r="H313" s="13" t="n">
        <x:v>0</x:v>
      </x:c>
      <x:c r="I313" s="10" t="n">
        <x:v>0</x:v>
      </x:c>
      <x:c r="J313" s="10" t="n">
        <x:v>0</x:v>
      </x:c>
      <x:c r="K313" s="10" t="str">
        <x:v>17 Mo.</x:v>
      </x:c>
      <x:c r="L313" s="10" t="n">
        <x:v>5</x:v>
      </x:c>
      <x:c r="M313" s="10" t="n">
        <x:v>0</x:v>
      </x:c>
      <x:c r="N313" s="10" t="n">
        <x:v>56</x:v>
      </x:c>
      <x:c r="O313" s="10" t="str">
        <x:v>Paper &amp; Party Supplies</x:v>
      </x:c>
      <x:c r="P313" s="10" t="n">
        <x:v>42</x:v>
      </x:c>
      <x:c r="Q313" s="10" t="n">
        <x:v>0</x:v>
      </x:c>
      <x:c r="R313" s="13" t="n">
        <x:v>0</x:v>
      </x:c>
      <x:c r="S313" s="10" t="n">
        <x:v>4053</x:v>
      </x:c>
      <x:c r="T313" s="10" t="str">
        <x:v>handwriting sticker,planner sticker,lettering sticker,script font sticker,pay mortgage sticker,mortgage payment,mortgage due sticker,financial sticker,house mortgage,mortgage tracker,house payment,mortgage bill due,stickers around</x:v>
      </x:c>
      <x:c r="U313" s="10" t="str">
        <x:v>handwriting sticker</x:v>
      </x:c>
      <x:c r="V313" s="10" t="str">
        <x:v>planner sticker</x:v>
      </x:c>
      <x:c r="W313" s="10" t="str">
        <x:v>lettering sticker</x:v>
      </x:c>
      <x:c r="X313" s="10" t="str">
        <x:v>script font sticker</x:v>
      </x:c>
      <x:c r="Y313" s="10" t="str">
        <x:v>pay mortgage sticker</x:v>
      </x:c>
      <x:c r="Z313" s="10" t="str">
        <x:v>mortgage payment</x:v>
      </x:c>
      <x:c r="AA313" s="10" t="str">
        <x:v>mortgage due sticker</x:v>
      </x:c>
      <x:c r="AB313" s="10" t="str">
        <x:v>financial sticker</x:v>
      </x:c>
      <x:c r="AC313" s="10" t="str">
        <x:v>house mortgage</x:v>
      </x:c>
      <x:c r="AD313" s="10" t="str">
        <x:v>mortgage tracker</x:v>
      </x:c>
      <x:c r="AE313" s="10" t="str">
        <x:v>house payment</x:v>
      </x:c>
      <x:c r="AF313" s="10" t="str">
        <x:v>mortgage bill due</x:v>
      </x:c>
      <x:c r="AG313" s="10" t="str">
        <x:v>stickers around</x:v>
      </x:c>
      <x:c r="AH313" s="10" t="str">
        <x:v>Other mortgage-related</x:v>
      </x:c>
      <x:c r="AI313" s="13" t="n">
        <x:v>17</x:v>
      </x:c>
      <x:c r="AJ313" s="10" t="str">
        <x:f>IF(F313&gt;0,"Active","No est. sales")</x:f>
        <x:v>No est. sales</x:v>
      </x:c>
    </x:row>
    <x:row r="314">
      <x:c r="A314" s="10" t="str">
        <x:v>Down Payment Tracker, Savings Coloring Page (Printable)</x:v>
      </x:c>
      <x:c r="B314" s="10" t="str">
        <x:v>https://www.etsy.com/listing/645693451/down-payment-tracking-printable-savings</x:v>
      </x:c>
      <x:c r="C314" s="10" t="str">
        <x:v>MintedGreen</x:v>
      </x:c>
      <x:c r="D314" s="10" t="str">
        <x:v>https://www.etsy.com/shop/MintedGreen</x:v>
      </x:c>
      <x:c r="E314" s="11" t="n">
        <x:v>2.11</x:v>
      </x:c>
      <x:c r="F314" s="10" t="n">
        <x:v>0</x:v>
      </x:c>
      <x:c r="G314" s="12" t="n">
        <x:v>0</x:v>
      </x:c>
      <x:c r="H314" s="13" t="n">
        <x:v>0</x:v>
      </x:c>
      <x:c r="I314" s="10" t="n">
        <x:v>0</x:v>
      </x:c>
      <x:c r="J314" s="10" t="n">
        <x:v>0</x:v>
      </x:c>
      <x:c r="K314" s="10" t="str">
        <x:v>94 Mo.</x:v>
      </x:c>
      <x:c r="L314" s="10" t="n">
        <x:v>8</x:v>
      </x:c>
      <x:c r="M314" s="10" t="n">
        <x:v>0</x:v>
      </x:c>
      <x:c r="N314" s="10" t="n">
        <x:v>98</x:v>
      </x:c>
      <x:c r="O314" s="10" t="str">
        <x:v>Paper &amp; Party Supplies</x:v>
      </x:c>
      <x:c r="P314" s="10" t="n">
        <x:v>103</x:v>
      </x:c>
      <x:c r="Q314" s="10" t="n">
        <x:v>0</x:v>
      </x:c>
      <x:c r="R314" s="13" t="n">
        <x:v>0</x:v>
      </x:c>
      <x:c r="S314" s="10" t="n">
        <x:v>43</x:v>
      </x:c>
      <x:c r="T314" s="10" t="str">
        <x:v>saving money,printable,instant download,colouring book,mortgage saving,down payment,mortgage,debt snowball,goal tracker,money challenge,colouring tracker,budget planner,new years resolution</x:v>
      </x:c>
      <x:c r="U314" s="10" t="str">
        <x:v>saving money</x:v>
      </x:c>
      <x:c r="V314" s="10" t="str">
        <x:v>printable</x:v>
      </x:c>
      <x:c r="W314" s="10" t="str">
        <x:v>instant download</x:v>
      </x:c>
      <x:c r="X314" s="10" t="str">
        <x:v>colouring book</x:v>
      </x:c>
      <x:c r="Y314" s="10" t="str">
        <x:v>mortgage saving</x:v>
      </x:c>
      <x:c r="Z314" s="10" t="str">
        <x:v>down payment</x:v>
      </x:c>
      <x:c r="AA314" s="10" t="str">
        <x:v>mortgage</x:v>
      </x:c>
      <x:c r="AB314" s="10" t="str">
        <x:v>debt snowball</x:v>
      </x:c>
      <x:c r="AC314" s="10" t="str">
        <x:v>goal tracker</x:v>
      </x:c>
      <x:c r="AD314" s="10" t="str">
        <x:v>money challenge</x:v>
      </x:c>
      <x:c r="AE314" s="10" t="str">
        <x:v>colouring tracker</x:v>
      </x:c>
      <x:c r="AF314" s="10" t="str">
        <x:v>budget planner</x:v>
      </x:c>
      <x:c r="AG314" s="10" t="str">
        <x:v>new years resolution</x:v>
      </x:c>
      <x:c r="AH314" s="10" t="str">
        <x:v>Other mortgage-related</x:v>
      </x:c>
      <x:c r="AI314" s="13" t="n">
        <x:v>94</x:v>
      </x:c>
      <x:c r="AJ314" s="10" t="str">
        <x:f>IF(F314&gt;0,"Active","No est. sales")</x:f>
        <x:v>No est. sales</x:v>
      </x:c>
    </x:row>
    <x:row r="315">
      <x:c r="A315" s="10" t="str">
        <x:v>Payday Planner Stickers: Bill Payment Reminders for Erin Condren</x:v>
      </x:c>
      <x:c r="B315" s="10" t="str">
        <x:v>https://www.etsy.com/listing/387220792/payday-planner-stickers-bill-payment</x:v>
      </x:c>
      <x:c r="C315" s="10" t="str">
        <x:v>MyOwnCraftsStore</x:v>
      </x:c>
      <x:c r="D315" s="10" t="str">
        <x:v>https://www.etsy.com/shop/MyOwnCraftsStore</x:v>
      </x:c>
      <x:c r="E315" s="11" t="n">
        <x:v>0.97</x:v>
      </x:c>
      <x:c r="F315" s="10" t="n">
        <x:v>0</x:v>
      </x:c>
      <x:c r="G315" s="12" t="n">
        <x:v>0</x:v>
      </x:c>
      <x:c r="H315" s="13" t="n">
        <x:v>0</x:v>
      </x:c>
      <x:c r="I315" s="10" t="n">
        <x:v>66</x:v>
      </x:c>
      <x:c r="J315" s="10" t="n">
        <x:v>14</x:v>
      </x:c>
      <x:c r="K315" s="10" t="str">
        <x:v>121 Mo.</x:v>
      </x:c>
      <x:c r="L315" s="10" t="n">
        <x:v>78</x:v>
      </x:c>
      <x:c r="M315" s="10" t="n">
        <x:v>0</x:v>
      </x:c>
      <x:c r="N315" s="10" t="n">
        <x:v>1531</x:v>
      </x:c>
      <x:c r="O315" s="10" t="str">
        <x:v>Paper &amp; Party Supplies</x:v>
      </x:c>
      <x:c r="P315" s="10" t="n">
        <x:v>124</x:v>
      </x:c>
      <x:c r="Q315" s="10" t="n">
        <x:v>0</x:v>
      </x:c>
      <x:c r="R315" s="13" t="n">
        <x:v>4.31</x:v>
      </x:c>
      <x:c r="S315" s="10" t="n">
        <x:v>31622</x:v>
      </x:c>
      <x:c r="T315" s="10" t="str">
        <x:v>sticker,erin condren,limelife,plum paper,life planner,planner accessories,pay day,planner stickers,pay day icons,payday corner,pay bill,mortgage,rent</x:v>
      </x:c>
      <x:c r="U315" s="10" t="str">
        <x:v>sticker</x:v>
      </x:c>
      <x:c r="V315" s="10" t="str">
        <x:v>erin condren</x:v>
      </x:c>
      <x:c r="W315" s="10" t="str">
        <x:v>limelife</x:v>
      </x:c>
      <x:c r="X315" s="10" t="str">
        <x:v>plum paper</x:v>
      </x:c>
      <x:c r="Y315" s="10" t="str">
        <x:v>life planner</x:v>
      </x:c>
      <x:c r="Z315" s="10" t="str">
        <x:v>planner accessories</x:v>
      </x:c>
      <x:c r="AA315" s="10" t="str">
        <x:v>pay day</x:v>
      </x:c>
      <x:c r="AB315" s="10" t="str">
        <x:v>planner stickers</x:v>
      </x:c>
      <x:c r="AC315" s="10" t="str">
        <x:v>pay day icons</x:v>
      </x:c>
      <x:c r="AD315" s="10" t="str">
        <x:v>payday corner</x:v>
      </x:c>
      <x:c r="AE315" s="10" t="str">
        <x:v>pay bill</x:v>
      </x:c>
      <x:c r="AF315" s="10" t="str">
        <x:v>mortgage</x:v>
      </x:c>
      <x:c r="AG315" s="10" t="str">
        <x:v>rent</x:v>
      </x:c>
      <x:c r="AH315" s="10" t="str">
        <x:v>Other mortgage-related</x:v>
      </x:c>
      <x:c r="AI315" s="13" t="n">
        <x:v>121</x:v>
      </x:c>
      <x:c r="AJ315" s="10" t="str">
        <x:f>IF(F315&gt;0,"Active","No est. sales")</x:f>
        <x:v>No est. sales</x:v>
      </x:c>
    </x:row>
    <x:row r="316">
      <x:c r="A316" s="10" t="str">
        <x:v>Pay Day Planner Stickers: Erin Condren, Limelife, Plum Paper</x:v>
      </x:c>
      <x:c r="B316" s="10" t="str">
        <x:v>https://www.etsy.com/listing/469557840/pay-day-planner-stickers-erin-condren</x:v>
      </x:c>
      <x:c r="C316" s="10" t="str">
        <x:v>MyOwnCraftsStore</x:v>
      </x:c>
      <x:c r="D316" s="10" t="str">
        <x:v>https://www.etsy.com/shop/MyOwnCraftsStore</x:v>
      </x:c>
      <x:c r="E316" s="11" t="n">
        <x:v>0.97</x:v>
      </x:c>
      <x:c r="F316" s="10" t="n">
        <x:v>0</x:v>
      </x:c>
      <x:c r="G316" s="12" t="n">
        <x:v>0</x:v>
      </x:c>
      <x:c r="H316" s="13" t="n">
        <x:v>0</x:v>
      </x:c>
      <x:c r="I316" s="10" t="n">
        <x:v>24</x:v>
      </x:c>
      <x:c r="J316" s="10" t="n">
        <x:v>5</x:v>
      </x:c>
      <x:c r="K316" s="10" t="str">
        <x:v>117 Mo.</x:v>
      </x:c>
      <x:c r="L316" s="10" t="n">
        <x:v>43</x:v>
      </x:c>
      <x:c r="M316" s="10" t="n">
        <x:v>0</x:v>
      </x:c>
      <x:c r="N316" s="10" t="n">
        <x:v>599</x:v>
      </x:c>
      <x:c r="O316" s="10" t="str">
        <x:v>Paper &amp; Party Supplies</x:v>
      </x:c>
      <x:c r="P316" s="10" t="n">
        <x:v>124</x:v>
      </x:c>
      <x:c r="Q316" s="10" t="n">
        <x:v>0</x:v>
      </x:c>
      <x:c r="R316" s="13" t="n">
        <x:v>4.01</x:v>
      </x:c>
      <x:c r="S316" s="10" t="n">
        <x:v>31622</x:v>
      </x:c>
      <x:c r="T316" s="10" t="str">
        <x:v>erin condren,limelife,plum paper,life planner,filofax,planner accessories,pay day,pay,planner stickers,payment,mortgage,pay rent,pay bills</x:v>
      </x:c>
      <x:c r="U316" s="10" t="str">
        <x:v>erin condren</x:v>
      </x:c>
      <x:c r="V316" s="10" t="str">
        <x:v>limelife</x:v>
      </x:c>
      <x:c r="W316" s="10" t="str">
        <x:v>plum paper</x:v>
      </x:c>
      <x:c r="X316" s="10" t="str">
        <x:v>life planner</x:v>
      </x:c>
      <x:c r="Y316" s="10" t="str">
        <x:v>filofax</x:v>
      </x:c>
      <x:c r="Z316" s="10" t="str">
        <x:v>planner accessories</x:v>
      </x:c>
      <x:c r="AA316" s="10" t="str">
        <x:v>pay day</x:v>
      </x:c>
      <x:c r="AB316" s="10" t="str">
        <x:v>pay</x:v>
      </x:c>
      <x:c r="AC316" s="10" t="str">
        <x:v>planner stickers</x:v>
      </x:c>
      <x:c r="AD316" s="10" t="str">
        <x:v>payment</x:v>
      </x:c>
      <x:c r="AE316" s="10" t="str">
        <x:v>mortgage</x:v>
      </x:c>
      <x:c r="AF316" s="10" t="str">
        <x:v>pay rent</x:v>
      </x:c>
      <x:c r="AG316" s="10" t="str">
        <x:v>pay bills</x:v>
      </x:c>
      <x:c r="AH316" s="10" t="str">
        <x:v>Other mortgage-related</x:v>
      </x:c>
      <x:c r="AI316" s="13" t="n">
        <x:v>117</x:v>
      </x:c>
      <x:c r="AJ316" s="10" t="str">
        <x:f>IF(F316&gt;0,"Active","No est. sales")</x:f>
        <x:v>No est. sales</x:v>
      </x:c>
    </x:row>
    <x:row r="317">
      <x:c r="A317" s="10" t="str">
        <x:v>Rent/Mortgage Due Planner Stickers: Erin Condren, Plum Paper</x:v>
      </x:c>
      <x:c r="B317" s="10" t="str">
        <x:v>https://www.etsy.com/listing/804791823/rentmortgage-due-planner-stickers-erin</x:v>
      </x:c>
      <x:c r="C317" s="10" t="str">
        <x:v>MyOwnCraftsStore</x:v>
      </x:c>
      <x:c r="D317" s="10" t="str">
        <x:v>https://www.etsy.com/shop/MyOwnCraftsStore</x:v>
      </x:c>
      <x:c r="E317" s="11" t="n">
        <x:v>0.97</x:v>
      </x:c>
      <x:c r="F317" s="10" t="n">
        <x:v>0</x:v>
      </x:c>
      <x:c r="G317" s="12" t="n">
        <x:v>0</x:v>
      </x:c>
      <x:c r="H317" s="13" t="n">
        <x:v>0</x:v>
      </x:c>
      <x:c r="I317" s="10" t="n">
        <x:v>38</x:v>
      </x:c>
      <x:c r="J317" s="10" t="n">
        <x:v>8</x:v>
      </x:c>
      <x:c r="K317" s="10" t="str">
        <x:v>74 Mo.</x:v>
      </x:c>
      <x:c r="L317" s="10" t="n">
        <x:v>36</x:v>
      </x:c>
      <x:c r="M317" s="10" t="n">
        <x:v>0</x:v>
      </x:c>
      <x:c r="N317" s="10" t="n">
        <x:v>395</x:v>
      </x:c>
      <x:c r="O317" s="10" t="str">
        <x:v>Paper &amp; Party Supplies</x:v>
      </x:c>
      <x:c r="P317" s="10" t="n">
        <x:v>124</x:v>
      </x:c>
      <x:c r="Q317" s="10" t="n">
        <x:v>0</x:v>
      </x:c>
      <x:c r="R317" s="13" t="n">
        <x:v>9.62</x:v>
      </x:c>
      <x:c r="S317" s="10" t="n">
        <x:v>31622</x:v>
      </x:c>
      <x:c r="T317" s="10" t="str">
        <x:v>sticker,erin condren,limelife,plum paper,life planner,planner stickers,rent due hand drawn,mortgage due,rent due,rent or mortgage due,rent,mortgage</x:v>
      </x:c>
      <x:c r="U317" s="10" t="str">
        <x:v>sticker</x:v>
      </x:c>
      <x:c r="V317" s="10" t="str">
        <x:v>erin condren</x:v>
      </x:c>
      <x:c r="W317" s="10" t="str">
        <x:v>limelife</x:v>
      </x:c>
      <x:c r="X317" s="10" t="str">
        <x:v>plum paper</x:v>
      </x:c>
      <x:c r="Y317" s="10" t="str">
        <x:v>life planner</x:v>
      </x:c>
      <x:c r="Z317" s="10" t="str">
        <x:v>planner stickers</x:v>
      </x:c>
      <x:c r="AA317" s="10" t="str">
        <x:v>rent due hand drawn</x:v>
      </x:c>
      <x:c r="AB317" s="10" t="str">
        <x:v>mortgage due</x:v>
      </x:c>
      <x:c r="AC317" s="10" t="str">
        <x:v>rent due</x:v>
      </x:c>
      <x:c r="AD317" s="10" t="str">
        <x:v>rent or mortgage due</x:v>
      </x:c>
      <x:c r="AE317" s="10" t="str">
        <x:v>rent</x:v>
      </x:c>
      <x:c r="AF317" s="10" t="str">
        <x:v>mortgage</x:v>
      </x:c>
      <x:c r="AG317" s="10" t="str">
        <x:v>--</x:v>
      </x:c>
      <x:c r="AH317" s="10" t="str">
        <x:v>Other mortgage-related</x:v>
      </x:c>
      <x:c r="AI317" s="13" t="n">
        <x:v>74</x:v>
      </x:c>
      <x:c r="AJ317" s="10" t="str">
        <x:f>IF(F317&gt;0,"Active","No est. sales")</x:f>
        <x:v>No est. sales</x:v>
      </x:c>
    </x:row>
    <x:row r="318">
      <x:c r="A318" s="10" t="str">
        <x:v>Debt Avalanche Tracker, Student Loan , Credit Card Payoff | Google Sheets</x:v>
      </x:c>
      <x:c r="B318" s="10" t="str">
        <x:v>https://www.etsy.com/listing/4530067119/debt-avalanche-tracker-student-loan</x:v>
      </x:c>
      <x:c r="C318" s="10" t="str">
        <x:v>TheWealthyGridShop</x:v>
      </x:c>
      <x:c r="D318" s="10" t="str">
        <x:v>https://www.etsy.com/shop/TheWealthyGridShop</x:v>
      </x:c>
      <x:c r="E318" s="11" t="n">
        <x:v>4.99</x:v>
      </x:c>
      <x:c r="F318" s="10" t="n">
        <x:v>0</x:v>
      </x:c>
      <x:c r="G318" s="12" t="n">
        <x:v>0</x:v>
      </x:c>
      <x:c r="H318" s="13" t="n">
        <x:v>0</x:v>
      </x:c>
      <x:c r="I318" s="10" t="n">
        <x:v>0</x:v>
      </x:c>
      <x:c r="J318" s="10" t="n">
        <x:v>0</x:v>
      </x:c>
      <x:c r="K318" s="10" t="str">
        <x:v>1 Mo.</x:v>
      </x:c>
      <x:c r="L318" s="10" t="n">
        <x:v>0</x:v>
      </x:c>
      <x:c r="M318" s="10" t="n">
        <x:v>0</x:v>
      </x:c>
      <x:c r="N318" s="10" t="n">
        <x:v>4</x:v>
      </x:c>
      <x:c r="O318" s="10" t="str"/>
      <x:c r="P318" s="10" t="n">
        <x:v>2</x:v>
      </x:c>
      <x:c r="Q318" s="10" t="n">
        <x:v>0</x:v>
      </x:c>
      <x:c r="R318" s="13" t="n">
        <x:v>0</x:v>
      </x:c>
      <x:c r="S318" s="10" t="n">
        <x:v>0</x:v>
      </x:c>
      <x:c r="T318" s="10" t="str">
        <x:v>financial planner,debt payoff tracker,debt snowball,debt payoff chart,debt payment tracker,credit card payoff,debt template,debt avalanche,student loan debt,google sheets budget,mortgage payoff,credit utilization,debt payoff</x:v>
      </x:c>
      <x:c r="U318" s="10" t="str">
        <x:v>financial planner</x:v>
      </x:c>
      <x:c r="V318" s="10" t="str">
        <x:v>debt payoff tracker</x:v>
      </x:c>
      <x:c r="W318" s="10" t="str">
        <x:v>debt snowball</x:v>
      </x:c>
      <x:c r="X318" s="10" t="str">
        <x:v>debt payoff chart</x:v>
      </x:c>
      <x:c r="Y318" s="10" t="str">
        <x:v>debt payment tracker</x:v>
      </x:c>
      <x:c r="Z318" s="10" t="str">
        <x:v>credit card payoff</x:v>
      </x:c>
      <x:c r="AA318" s="10" t="str">
        <x:v>debt template</x:v>
      </x:c>
      <x:c r="AB318" s="10" t="str">
        <x:v>debt avalanche</x:v>
      </x:c>
      <x:c r="AC318" s="10" t="str">
        <x:v>student loan debt</x:v>
      </x:c>
      <x:c r="AD318" s="10" t="str">
        <x:v>google sheets budget</x:v>
      </x:c>
      <x:c r="AE318" s="10" t="str">
        <x:v>mortgage payoff</x:v>
      </x:c>
      <x:c r="AF318" s="10" t="str">
        <x:v>credit utilization</x:v>
      </x:c>
      <x:c r="AG318" s="10" t="str">
        <x:v>debt payoff</x:v>
      </x:c>
      <x:c r="AH318" s="10" t="str">
        <x:v>General debt payoff</x:v>
      </x:c>
      <x:c r="AI318" s="13" t="n">
        <x:v>1</x:v>
      </x:c>
      <x:c r="AJ318" s="10" t="str">
        <x:f>IF(F318&gt;0,"Active","No est. sales")</x:f>
        <x:v>No est. sales</x:v>
      </x:c>
    </x:row>
    <x:row r="319">
      <x:c r="A319" s="10" t="str">
        <x:v>Rent/Mortgage Bill Due Labels &amp; Icons House Planner Stickers - bd-house</x:v>
      </x:c>
      <x:c r="B319" s="10" t="str">
        <x:v>https://www.etsy.com/listing/473450311/rentmortgage-bill-due-labels-icons-house</x:v>
      </x:c>
      <x:c r="C319" s="10" t="str">
        <x:v>MintedPaperie</x:v>
      </x:c>
      <x:c r="D319" s="10" t="str">
        <x:v>https://www.etsy.com/shop/MintedPaperie</x:v>
      </x:c>
      <x:c r="E319" s="11" t="n">
        <x:v>2.29</x:v>
      </x:c>
      <x:c r="F319" s="10" t="n">
        <x:v>0</x:v>
      </x:c>
      <x:c r="G319" s="12" t="n">
        <x:v>0</x:v>
      </x:c>
      <x:c r="H319" s="13" t="n">
        <x:v>0</x:v>
      </x:c>
      <x:c r="I319" s="10" t="n">
        <x:v>10</x:v>
      </x:c>
      <x:c r="J319" s="10" t="n">
        <x:v>3</x:v>
      </x:c>
      <x:c r="K319" s="10" t="str">
        <x:v>100 Mo.</x:v>
      </x:c>
      <x:c r="L319" s="10" t="n">
        <x:v>20</x:v>
      </x:c>
      <x:c r="M319" s="10" t="n">
        <x:v>0</x:v>
      </x:c>
      <x:c r="N319" s="10" t="n">
        <x:v>218</x:v>
      </x:c>
      <x:c r="O319" s="10" t="str">
        <x:v>Paper &amp; Party Supplies</x:v>
      </x:c>
      <x:c r="P319" s="10" t="n">
        <x:v>135</x:v>
      </x:c>
      <x:c r="Q319" s="10" t="n">
        <x:v>0</x:v>
      </x:c>
      <x:c r="R319" s="13" t="n">
        <x:v>4.59</x:v>
      </x:c>
      <x:c r="S319" s="10" t="n">
        <x:v>21508</x:v>
      </x:c>
      <x:c r="T319" s="10" t="str">
        <x:v>planner stickers,planners,sticker sheet,house,mortgage,rent</x:v>
      </x:c>
      <x:c r="U319" s="10" t="str">
        <x:v>planner stickers</x:v>
      </x:c>
      <x:c r="V319" s="10" t="str">
        <x:v>planners</x:v>
      </x:c>
      <x:c r="W319" s="10" t="str">
        <x:v>sticker sheet</x:v>
      </x:c>
      <x:c r="X319" s="10" t="str">
        <x:v>house</x:v>
      </x:c>
      <x:c r="Y319" s="10" t="str">
        <x:v>mortgage</x:v>
      </x:c>
      <x:c r="Z319" s="10" t="str">
        <x:v>rent</x:v>
      </x:c>
      <x:c r="AA319" s="10" t="str">
        <x:v>--</x:v>
      </x:c>
      <x:c r="AB319" s="10" t="str">
        <x:v>--</x:v>
      </x:c>
      <x:c r="AC319" s="10" t="str">
        <x:v>--</x:v>
      </x:c>
      <x:c r="AD319" s="10" t="str">
        <x:v>--</x:v>
      </x:c>
      <x:c r="AE319" s="10" t="str">
        <x:v>--</x:v>
      </x:c>
      <x:c r="AF319" s="10" t="str">
        <x:v>--</x:v>
      </x:c>
      <x:c r="AG319" s="10" t="str">
        <x:v>--</x:v>
      </x:c>
      <x:c r="AH319" s="10" t="str">
        <x:v>Other mortgage-related</x:v>
      </x:c>
      <x:c r="AI319" s="13" t="n">
        <x:v>100</x:v>
      </x:c>
      <x:c r="AJ319" s="10" t="str">
        <x:f>IF(F319&gt;0,"Active","No est. sales")</x:f>
        <x:v>No est. sales</x:v>
      </x:c>
    </x:row>
    <x:row r="320">
      <x:c r="A320" s="10" t="str">
        <x:v>Debt Payoff Tracker: Loan Amortization Schedule for Google Sheets (Digital Download .xlsx)</x:v>
      </x:c>
      <x:c r="B320" s="10" t="str">
        <x:v>https://www.etsy.com/listing/4321927658/debt-payoff-tracker-loan-amortization</x:v>
      </x:c>
      <x:c r="C320" s="10" t="str">
        <x:v>rconor3</x:v>
      </x:c>
      <x:c r="D320" s="10" t="str">
        <x:v>https://www.etsy.com/shop/rconor3</x:v>
      </x:c>
      <x:c r="E320" s="11" t="n">
        <x:v>4</x:v>
      </x:c>
      <x:c r="F320" s="10" t="n">
        <x:v>0</x:v>
      </x:c>
      <x:c r="G320" s="12" t="n">
        <x:v>0</x:v>
      </x:c>
      <x:c r="H320" s="13" t="n">
        <x:v>0</x:v>
      </x:c>
      <x:c r="I320" s="10" t="n">
        <x:v>1</x:v>
      </x:c>
      <x:c r="J320" s="10" t="n">
        <x:v>2</x:v>
      </x:c>
      <x:c r="K320" s="10" t="str">
        <x:v>11 Mo.</x:v>
      </x:c>
      <x:c r="L320" s="10" t="n">
        <x:v>4</x:v>
      </x:c>
      <x:c r="M320" s="10" t="n">
        <x:v>0</x:v>
      </x:c>
      <x:c r="N320" s="10" t="n">
        <x:v>191</x:v>
      </x:c>
      <x:c r="O320" s="10" t="str">
        <x:v>Paper &amp; Party Supplies</x:v>
      </x:c>
      <x:c r="P320" s="10" t="n">
        <x:v>38</x:v>
      </x:c>
      <x:c r="Q320" s="10" t="n">
        <x:v>0</x:v>
      </x:c>
      <x:c r="R320" s="13" t="n">
        <x:v>0.52</x:v>
      </x:c>
      <x:c r="S320" s="10" t="n">
        <x:v>13</x:v>
      </x:c>
      <x:c r="T320" s="10" t="str">
        <x:v>debt payoff,payoff tracker,loan planner,excel template,loan payoff schedule,loan organizer,student loan tracker,mortgage tracker,monthly bill tracker,google sheets,loan payoff,templates,excel organizer</x:v>
      </x:c>
      <x:c r="U320" s="10" t="str">
        <x:v>debt payoff</x:v>
      </x:c>
      <x:c r="V320" s="10" t="str">
        <x:v>payoff tracker</x:v>
      </x:c>
      <x:c r="W320" s="10" t="str">
        <x:v>loan planner</x:v>
      </x:c>
      <x:c r="X320" s="10" t="str">
        <x:v>excel template</x:v>
      </x:c>
      <x:c r="Y320" s="10" t="str">
        <x:v>loan payoff schedule</x:v>
      </x:c>
      <x:c r="Z320" s="10" t="str">
        <x:v>loan organizer</x:v>
      </x:c>
      <x:c r="AA320" s="10" t="str">
        <x:v>student loan tracker</x:v>
      </x:c>
      <x:c r="AB320" s="10" t="str">
        <x:v>mortgage tracker</x:v>
      </x:c>
      <x:c r="AC320" s="10" t="str">
        <x:v>monthly bill tracker</x:v>
      </x:c>
      <x:c r="AD320" s="10" t="str">
        <x:v>google sheets</x:v>
      </x:c>
      <x:c r="AE320" s="10" t="str">
        <x:v>loan payoff</x:v>
      </x:c>
      <x:c r="AF320" s="10" t="str">
        <x:v>templates</x:v>
      </x:c>
      <x:c r="AG320" s="10" t="str">
        <x:v>excel organizer</x:v>
      </x:c>
      <x:c r="AH320" s="10" t="str">
        <x:v>General debt payoff</x:v>
      </x:c>
      <x:c r="AI320" s="13" t="n">
        <x:v>11</x:v>
      </x:c>
      <x:c r="AJ320" s="10" t="str">
        <x:f>IF(F320&gt;0,"Active","No est. sales")</x:f>
        <x:v>No est. sales</x:v>
      </x:c>
    </x:row>
    <x:row r="321">
      <x:c r="A321" s="10" t="str">
        <x:v>Debt Payoff Tracker Google Sheets | Snowball and Avalanche Calculator | Credit Card, Loan, Debt-Free Planner, Credit Utilization Rate</x:v>
      </x:c>
      <x:c r="B321" s="10" t="str">
        <x:v>https://www.etsy.com/listing/4368457505/debt-payoff-tracker-google-sheets</x:v>
      </x:c>
      <x:c r="C321" s="10" t="str">
        <x:v>Sheetpluspro</x:v>
      </x:c>
      <x:c r="D321" s="10" t="str">
        <x:v>https://www.etsy.com/shop/Sheetpluspro</x:v>
      </x:c>
      <x:c r="E321" s="11" t="n">
        <x:v>6.66</x:v>
      </x:c>
      <x:c r="F321" s="10" t="n">
        <x:v>0</x:v>
      </x:c>
      <x:c r="G321" s="12" t="n">
        <x:v>0</x:v>
      </x:c>
      <x:c r="H321" s="13" t="n">
        <x:v>0</x:v>
      </x:c>
      <x:c r="I321" s="10" t="n">
        <x:v>10</x:v>
      </x:c>
      <x:c r="J321" s="10" t="n">
        <x:v>2</x:v>
      </x:c>
      <x:c r="K321" s="10" t="str">
        <x:v>3 Mo.</x:v>
      </x:c>
      <x:c r="L321" s="10" t="n">
        <x:v>1</x:v>
      </x:c>
      <x:c r="M321" s="10" t="n">
        <x:v>1</x:v>
      </x:c>
      <x:c r="N321" s="10" t="n">
        <x:v>20</x:v>
      </x:c>
      <x:c r="O321" s="10" t="str">
        <x:v>Paper &amp; Party Supplies</x:v>
      </x:c>
      <x:c r="P321" s="10" t="n">
        <x:v>11</x:v>
      </x:c>
      <x:c r="Q321" s="10" t="n">
        <x:v>0</x:v>
      </x:c>
      <x:c r="R321" s="13" t="n">
        <x:v>50</x:v>
      </x:c>
      <x:c r="S321" s="10" t="n">
        <x:v>62</x:v>
      </x:c>
      <x:c r="T321" s="10" t="str">
        <x:v>financial planner,debt payoff tracker,debt snowball,debt payoff chart,debt payment tracker,credit card payoff,debt template,debt avalanche,personal finance,student loan debt,google sheets budget,mortgage payoff,credit utilization</x:v>
      </x:c>
      <x:c r="U321" s="10" t="str">
        <x:v>financial planner</x:v>
      </x:c>
      <x:c r="V321" s="10" t="str">
        <x:v>debt payoff tracker</x:v>
      </x:c>
      <x:c r="W321" s="10" t="str">
        <x:v>debt snowball</x:v>
      </x:c>
      <x:c r="X321" s="10" t="str">
        <x:v>debt payoff chart</x:v>
      </x:c>
      <x:c r="Y321" s="10" t="str">
        <x:v>debt payment tracker</x:v>
      </x:c>
      <x:c r="Z321" s="10" t="str">
        <x:v>credit card payoff</x:v>
      </x:c>
      <x:c r="AA321" s="10" t="str">
        <x:v>debt template</x:v>
      </x:c>
      <x:c r="AB321" s="10" t="str">
        <x:v>debt avalanche</x:v>
      </x:c>
      <x:c r="AC321" s="10" t="str">
        <x:v>personal finance</x:v>
      </x:c>
      <x:c r="AD321" s="10" t="str">
        <x:v>student loan debt</x:v>
      </x:c>
      <x:c r="AE321" s="10" t="str">
        <x:v>google sheets budget</x:v>
      </x:c>
      <x:c r="AF321" s="10" t="str">
        <x:v>mortgage payoff</x:v>
      </x:c>
      <x:c r="AG321" s="10" t="str">
        <x:v>credit utilization</x:v>
      </x:c>
      <x:c r="AH321" s="10" t="str">
        <x:v>General debt payoff</x:v>
      </x:c>
      <x:c r="AI321" s="13" t="n">
        <x:v>3</x:v>
      </x:c>
      <x:c r="AJ321" s="10" t="str">
        <x:f>IF(F321&gt;0,"Active","No est. sales")</x:f>
        <x:v>No est. sales</x:v>
      </x:c>
    </x:row>
    <x:row r="322">
      <x:c r="A322" s="10" t="str">
        <x:v>House Payment Bill Tracker Hobonichi Cousin Planner Stickers Mortgage Reminder Kawaii Stickers for use in Erin Condren Life Planner TM</x:v>
      </x:c>
      <x:c r="B322" s="10" t="str">
        <x:v>https://www.etsy.com/listing/972630067/house-payment-bill-tracker-hobonichi</x:v>
      </x:c>
      <x:c r="C322" s="10" t="str">
        <x:v>planfantastic</x:v>
      </x:c>
      <x:c r="D322" s="10" t="str">
        <x:v>https://www.etsy.com/shop/planfantastic</x:v>
      </x:c>
      <x:c r="E322" s="11" t="n">
        <x:v>3.75</x:v>
      </x:c>
      <x:c r="F322" s="10" t="n">
        <x:v>0</x:v>
      </x:c>
      <x:c r="G322" s="12" t="n">
        <x:v>0</x:v>
      </x:c>
      <x:c r="H322" s="13" t="n">
        <x:v>0</x:v>
      </x:c>
      <x:c r="I322" s="10" t="n">
        <x:v>32</x:v>
      </x:c>
      <x:c r="J322" s="10" t="n">
        <x:v>5</x:v>
      </x:c>
      <x:c r="K322" s="10" t="str">
        <x:v>59 Mo.</x:v>
      </x:c>
      <x:c r="L322" s="10" t="n">
        <x:v>21</x:v>
      </x:c>
      <x:c r="M322" s="10" t="n">
        <x:v>0</x:v>
      </x:c>
      <x:c r="N322" s="10" t="n">
        <x:v>0</x:v>
      </x:c>
      <x:c r="O322" s="10" t="str">
        <x:v>Paper &amp; Party Supplies</x:v>
      </x:c>
      <x:c r="P322" s="10" t="n">
        <x:v>241</x:v>
      </x:c>
      <x:c r="Q322" s="10" t="n">
        <x:v>0</x:v>
      </x:c>
      <x:c r="R322" s="13" t="n">
        <x:v>0</x:v>
      </x:c>
      <x:c r="S322" s="10" t="n">
        <x:v>58730</x:v>
      </x:c>
      <x:c r="T322" s="10" t="str">
        <x:v>planner stickers,planner,stickers,hobonichi,bullet journal,reminder,cousin,weekly layout,bill due,mortgage,house payment,happy planner,erin condren</x:v>
      </x:c>
      <x:c r="U322" s="10" t="str">
        <x:v>planner stickers</x:v>
      </x:c>
      <x:c r="V322" s="10" t="str">
        <x:v>planner</x:v>
      </x:c>
      <x:c r="W322" s="10" t="str">
        <x:v>stickers</x:v>
      </x:c>
      <x:c r="X322" s="10" t="str">
        <x:v>hobonichi</x:v>
      </x:c>
      <x:c r="Y322" s="10" t="str">
        <x:v>bullet journal</x:v>
      </x:c>
      <x:c r="Z322" s="10" t="str">
        <x:v>reminder</x:v>
      </x:c>
      <x:c r="AA322" s="10" t="str">
        <x:v>cousin</x:v>
      </x:c>
      <x:c r="AB322" s="10" t="str">
        <x:v>weekly layout</x:v>
      </x:c>
      <x:c r="AC322" s="10" t="str">
        <x:v>bill due</x:v>
      </x:c>
      <x:c r="AD322" s="10" t="str">
        <x:v>mortgage</x:v>
      </x:c>
      <x:c r="AE322" s="10" t="str">
        <x:v>house payment</x:v>
      </x:c>
      <x:c r="AF322" s="10" t="str">
        <x:v>happy planner</x:v>
      </x:c>
      <x:c r="AG322" s="10" t="str">
        <x:v>erin condren</x:v>
      </x:c>
      <x:c r="AH322" s="10" t="str">
        <x:v>Other mortgage-related</x:v>
      </x:c>
      <x:c r="AI322" s="13" t="n">
        <x:v>59</x:v>
      </x:c>
      <x:c r="AJ322" s="10" t="str">
        <x:f>IF(F322&gt;0,"Active","No est. sales")</x:f>
        <x:v>No est. sales</x:v>
      </x:c>
    </x:row>
    <x:row r="323">
      <x:c r="A323" s="10" t="str">
        <x:v>Personal Finance Suite | Budget Planner, Mortgage, Retirement, Debt Calculators | 16 in 1 | Offline HTML</x:v>
      </x:c>
      <x:c r="B323" s="10" t="str">
        <x:v>https://www.etsy.com/listing/4477920817/personal-finance-suite-16-calculators-in</x:v>
      </x:c>
      <x:c r="C323" s="10" t="str">
        <x:v>BlockPatternStore</x:v>
      </x:c>
      <x:c r="D323" s="10" t="str">
        <x:v>https://www.etsy.com/shop/BlockPatternStore</x:v>
      </x:c>
      <x:c r="E323" s="11" t="n">
        <x:v>33.97</x:v>
      </x:c>
      <x:c r="F323" s="10" t="n">
        <x:v>0</x:v>
      </x:c>
      <x:c r="G323" s="12" t="n">
        <x:v>0</x:v>
      </x:c>
      <x:c r="H323" s="13" t="n">
        <x:v>0</x:v>
      </x:c>
      <x:c r="I323" s="10" t="n">
        <x:v>0</x:v>
      </x:c>
      <x:c r="J323" s="10" t="n">
        <x:v>0</x:v>
      </x:c>
      <x:c r="K323" s="10" t="str">
        <x:v>4 Mo.</x:v>
      </x:c>
      <x:c r="L323" s="10" t="n">
        <x:v>0</x:v>
      </x:c>
      <x:c r="M323" s="10" t="n">
        <x:v>0</x:v>
      </x:c>
      <x:c r="N323" s="10" t="n">
        <x:v>37</x:v>
      </x:c>
      <x:c r="O323" s="10" t="str"/>
      <x:c r="P323" s="10" t="n">
        <x:v>4</x:v>
      </x:c>
      <x:c r="Q323" s="10" t="n">
        <x:v>0</x:v>
      </x:c>
      <x:c r="R323" s="13" t="n">
        <x:v>0</x:v>
      </x:c>
      <x:c r="S323" s="10" t="n">
        <x:v>0</x:v>
      </x:c>
      <x:c r="T323" s="10" t="str">
        <x:v>budget planner,financial calculator,fire calculator,mortgage calculator,personal finance,digital download,retirement planner,debt payoff,savings tracker,finance template</x:v>
      </x:c>
      <x:c r="U323" s="10" t="str">
        <x:v>budget planner</x:v>
      </x:c>
      <x:c r="V323" s="10" t="str">
        <x:v>financial calculator</x:v>
      </x:c>
      <x:c r="W323" s="10" t="str">
        <x:v>fire calculator</x:v>
      </x:c>
      <x:c r="X323" s="10" t="str">
        <x:v>mortgage calculator</x:v>
      </x:c>
      <x:c r="Y323" s="10" t="str">
        <x:v>personal finance</x:v>
      </x:c>
      <x:c r="Z323" s="10" t="str">
        <x:v>digital download</x:v>
      </x:c>
      <x:c r="AA323" s="10" t="str">
        <x:v>retirement planner</x:v>
      </x:c>
      <x:c r="AB323" s="10" t="str">
        <x:v>debt payoff</x:v>
      </x:c>
      <x:c r="AC323" s="10" t="str">
        <x:v>savings tracker</x:v>
      </x:c>
      <x:c r="AD323" s="10" t="str">
        <x:v>finance template</x:v>
      </x:c>
      <x:c r="AE323" s="10" t="str">
        <x:v>--</x:v>
      </x:c>
      <x:c r="AF323" s="10" t="str">
        <x:v>--</x:v>
      </x:c>
      <x:c r="AG323" s="10" t="str">
        <x:v>--</x:v>
      </x:c>
      <x:c r="AH323" s="10" t="str">
        <x:v>Other mortgage-related</x:v>
      </x:c>
      <x:c r="AI323" s="13" t="n">
        <x:v>4</x:v>
      </x:c>
      <x:c r="AJ323" s="10" t="str">
        <x:f>IF(F323&gt;0,"Active","No est. sales")</x:f>
        <x:v>No est. sales</x:v>
      </x:c>
    </x:row>
    <x:row r="324">
      <x:c r="A324" s="10" t="str">
        <x:v>Debt Payoff Tracker, Snowball and Avalanche Calculator for Google Sheets, Debt Free Planner</x:v>
      </x:c>
      <x:c r="B324" s="10" t="str">
        <x:v>https://www.etsy.com/listing/4397265602/debt-payoff-tracker-snowball-and</x:v>
      </x:c>
      <x:c r="C324" s="10" t="str">
        <x:v>TheBudgetingStudio</x:v>
      </x:c>
      <x:c r="D324" s="10" t="str">
        <x:v>https://www.etsy.com/shop/TheBudgetingStudio</x:v>
      </x:c>
      <x:c r="E324" s="11" t="n">
        <x:v>8.37</x:v>
      </x:c>
      <x:c r="F324" s="10" t="n">
        <x:v>0</x:v>
      </x:c>
      <x:c r="G324" s="12" t="n">
        <x:v>0</x:v>
      </x:c>
      <x:c r="H324" s="13" t="n">
        <x:v>0</x:v>
      </x:c>
      <x:c r="I324" s="10" t="n">
        <x:v>0</x:v>
      </x:c>
      <x:c r="J324" s="10" t="n">
        <x:v>0</x:v>
      </x:c>
      <x:c r="K324" s="10" t="str">
        <x:v>7 Mo.</x:v>
      </x:c>
      <x:c r="L324" s="10" t="n">
        <x:v>2</x:v>
      </x:c>
      <x:c r="M324" s="10" t="n">
        <x:v>0</x:v>
      </x:c>
      <x:c r="N324" s="10" t="n">
        <x:v>17</x:v>
      </x:c>
      <x:c r="O324" s="10" t="str"/>
      <x:c r="P324" s="10" t="n">
        <x:v>8</x:v>
      </x:c>
      <x:c r="Q324" s="10" t="n">
        <x:v>0</x:v>
      </x:c>
      <x:c r="R324" s="13" t="n">
        <x:v>0</x:v>
      </x:c>
      <x:c r="S324" s="10" t="n">
        <x:v>6</x:v>
      </x:c>
      <x:c r="T324" s="10" t="str">
        <x:v>debt avalanche,credit card debt,mortgage payoff,student loan debt,snowball method,debt payoff planner,dave ramsey,debt free journey,personal finance,house payoff tracker,car payoff tracker,debt spreadsheet,google sheets debt</x:v>
      </x:c>
      <x:c r="U324" s="10" t="str">
        <x:v>debt avalanche</x:v>
      </x:c>
      <x:c r="V324" s="10" t="str">
        <x:v>credit card debt</x:v>
      </x:c>
      <x:c r="W324" s="10" t="str">
        <x:v>mortgage payoff</x:v>
      </x:c>
      <x:c r="X324" s="10" t="str">
        <x:v>student loan debt</x:v>
      </x:c>
      <x:c r="Y324" s="10" t="str">
        <x:v>snowball method</x:v>
      </x:c>
      <x:c r="Z324" s="10" t="str">
        <x:v>debt payoff planner</x:v>
      </x:c>
      <x:c r="AA324" s="10" t="str">
        <x:v>dave ramsey</x:v>
      </x:c>
      <x:c r="AB324" s="10" t="str">
        <x:v>debt free journey</x:v>
      </x:c>
      <x:c r="AC324" s="10" t="str">
        <x:v>personal finance</x:v>
      </x:c>
      <x:c r="AD324" s="10" t="str">
        <x:v>house payoff tracker</x:v>
      </x:c>
      <x:c r="AE324" s="10" t="str">
        <x:v>car payoff tracker</x:v>
      </x:c>
      <x:c r="AF324" s="10" t="str">
        <x:v>debt spreadsheet</x:v>
      </x:c>
      <x:c r="AG324" s="10" t="str">
        <x:v>google sheets debt</x:v>
      </x:c>
      <x:c r="AH324" s="10" t="str">
        <x:v>General debt payoff</x:v>
      </x:c>
      <x:c r="AI324" s="13" t="n">
        <x:v>7</x:v>
      </x:c>
      <x:c r="AJ324" s="10" t="str">
        <x:f>IF(F324&gt;0,"Active","No est. sales")</x:f>
        <x:v>No est. sales</x:v>
      </x:c>
    </x:row>
    <x:row r="325">
      <x:c r="A325" s="10" t="str">
        <x:v>Mortgage Management Tool Google Sheets Excel Template | Home Loan Calculator Planner | Digital Download</x:v>
      </x:c>
      <x:c r="B325" s="10" t="str">
        <x:v>https://www.etsy.com/listing/4531837025/mortgage-management-tool-google-sheets</x:v>
      </x:c>
      <x:c r="C325" s="10" t="str">
        <x:v>SheetSmithCoStudio</x:v>
      </x:c>
      <x:c r="D325" s="10" t="str">
        <x:v>https://www.etsy.com/shop/SheetSmithCoStudio</x:v>
      </x:c>
      <x:c r="E325" s="11" t="n">
        <x:v>9.77</x:v>
      </x:c>
      <x:c r="F325" s="10" t="n">
        <x:v>0</x:v>
      </x:c>
      <x:c r="G325" s="12" t="n">
        <x:v>0</x:v>
      </x:c>
      <x:c r="H325" s="13" t="n">
        <x:v>0</x:v>
      </x:c>
      <x:c r="I325" s="10" t="n">
        <x:v>0</x:v>
      </x:c>
      <x:c r="J325" s="10" t="n">
        <x:v>0</x:v>
      </x:c>
      <x:c r="K325" s="10" t="str">
        <x:v>1 Mo.</x:v>
      </x:c>
      <x:c r="L325" s="10" t="n">
        <x:v>0</x:v>
      </x:c>
      <x:c r="M325" s="10" t="n">
        <x:v>0</x:v>
      </x:c>
      <x:c r="N325" s="10" t="n">
        <x:v>2</x:v>
      </x:c>
      <x:c r="O325" s="10" t="str"/>
      <x:c r="P325" s="10" t="n">
        <x:v>0</x:v>
      </x:c>
      <x:c r="Q325" s="10" t="n">
        <x:v>0</x:v>
      </x:c>
      <x:c r="R325" s="13" t="n">
        <x:v>0</x:v>
      </x:c>
      <x:c r="S325" s="10" t="n">
        <x:v>1</x:v>
      </x:c>
      <x:c r="T325" s="10" t="str">
        <x:v>mortgage planner,mortgage tracker,home loan calculator,loan comparison,google sheets,excel template,refinance calculator,first home buyer,property investment,digital download,mortgage calculator,extra repayments,budget planner</x:v>
      </x:c>
      <x:c r="U325" s="10" t="str">
        <x:v>mortgage planner</x:v>
      </x:c>
      <x:c r="V325" s="10" t="str">
        <x:v>mortgage tracker</x:v>
      </x:c>
      <x:c r="W325" s="10" t="str">
        <x:v>home loan calculator</x:v>
      </x:c>
      <x:c r="X325" s="10" t="str">
        <x:v>loan comparison</x:v>
      </x:c>
      <x:c r="Y325" s="10" t="str">
        <x:v>google sheets</x:v>
      </x:c>
      <x:c r="Z325" s="10" t="str">
        <x:v>excel template</x:v>
      </x:c>
      <x:c r="AA325" s="10" t="str">
        <x:v>refinance calculator</x:v>
      </x:c>
      <x:c r="AB325" s="10" t="str">
        <x:v>first home buyer</x:v>
      </x:c>
      <x:c r="AC325" s="10" t="str">
        <x:v>property investment</x:v>
      </x:c>
      <x:c r="AD325" s="10" t="str">
        <x:v>digital download</x:v>
      </x:c>
      <x:c r="AE325" s="10" t="str">
        <x:v>mortgage calculator</x:v>
      </x:c>
      <x:c r="AF325" s="10" t="str">
        <x:v>extra repayments</x:v>
      </x:c>
      <x:c r="AG325" s="10" t="str">
        <x:v>budget planner</x:v>
      </x:c>
      <x:c r="AH325" s="10" t="str">
        <x:v>Property investment</x:v>
      </x:c>
      <x:c r="AI325" s="13" t="n">
        <x:v>1</x:v>
      </x:c>
      <x:c r="AJ325" s="10" t="str">
        <x:f>IF(F325&gt;0,"Active","No est. sales")</x:f>
        <x:v>No est. sales</x:v>
      </x:c>
    </x:row>
    <x:row r="326">
      <x:c r="A326" s="10" t="str">
        <x:v>Rent | Mortgage | Insurance Bill Due | Pay Reminder Planner Stickers | Planner Stickers | Erin Condren, Kikki-K, Happy Planner and More</x:v>
      </x:c>
      <x:c r="B326" s="10" t="str">
        <x:v>https://www.etsy.com/listing/792273395/rent-mortgage-insurance-bill-due-pay</x:v>
      </x:c>
      <x:c r="C326" s="10" t="str">
        <x:v>Stickers4UByKate</x:v>
      </x:c>
      <x:c r="D326" s="10" t="str">
        <x:v>https://www.etsy.com/shop/Stickers4UByKate</x:v>
      </x:c>
      <x:c r="E326" s="11" t="n">
        <x:v>1.75</x:v>
      </x:c>
      <x:c r="F326" s="10" t="n">
        <x:v>0</x:v>
      </x:c>
      <x:c r="G326" s="12" t="n">
        <x:v>0</x:v>
      </x:c>
      <x:c r="H326" s="13" t="n">
        <x:v>0</x:v>
      </x:c>
      <x:c r="I326" s="10" t="n">
        <x:v>25</x:v>
      </x:c>
      <x:c r="J326" s="10" t="n">
        <x:v>3</x:v>
      </x:c>
      <x:c r="K326" s="10" t="str">
        <x:v>75 Mo.</x:v>
      </x:c>
      <x:c r="L326" s="10" t="n">
        <x:v>20</x:v>
      </x:c>
      <x:c r="M326" s="10" t="n">
        <x:v>0</x:v>
      </x:c>
      <x:c r="N326" s="10" t="n">
        <x:v>449</x:v>
      </x:c>
      <x:c r="O326" s="10" t="str">
        <x:v>Paper &amp; Party Supplies</x:v>
      </x:c>
      <x:c r="P326" s="10" t="n">
        <x:v>77</x:v>
      </x:c>
      <x:c r="Q326" s="10" t="n">
        <x:v>0</x:v>
      </x:c>
      <x:c r="R326" s="13" t="n">
        <x:v>5.57</x:v>
      </x:c>
      <x:c r="S326" s="10" t="n">
        <x:v>39601</x:v>
      </x:c>
      <x:c r="T326" s="10" t="str">
        <x:v>planner stickers,stickers,diary,erin condren,happy planner,kikki k,bullet journal,premium matte,unicorn paper,sticker paper,hobonichi,foiled sticker,half boxes sticker</x:v>
      </x:c>
      <x:c r="U326" s="10" t="str">
        <x:v>planner stickers</x:v>
      </x:c>
      <x:c r="V326" s="10" t="str">
        <x:v>stickers</x:v>
      </x:c>
      <x:c r="W326" s="10" t="str">
        <x:v>diary</x:v>
      </x:c>
      <x:c r="X326" s="10" t="str">
        <x:v>erin condren</x:v>
      </x:c>
      <x:c r="Y326" s="10" t="str">
        <x:v>happy planner</x:v>
      </x:c>
      <x:c r="Z326" s="10" t="str">
        <x:v>kikki k</x:v>
      </x:c>
      <x:c r="AA326" s="10" t="str">
        <x:v>bullet journal</x:v>
      </x:c>
      <x:c r="AB326" s="10" t="str">
        <x:v>premium matte</x:v>
      </x:c>
      <x:c r="AC326" s="10" t="str">
        <x:v>unicorn paper</x:v>
      </x:c>
      <x:c r="AD326" s="10" t="str">
        <x:v>sticker paper</x:v>
      </x:c>
      <x:c r="AE326" s="10" t="str">
        <x:v>hobonichi</x:v>
      </x:c>
      <x:c r="AF326" s="10" t="str">
        <x:v>foiled sticker</x:v>
      </x:c>
      <x:c r="AG326" s="10" t="str">
        <x:v>half boxes sticker</x:v>
      </x:c>
      <x:c r="AH326" s="10" t="str">
        <x:v>Other mortgage-related</x:v>
      </x:c>
      <x:c r="AI326" s="13" t="n">
        <x:v>75</x:v>
      </x:c>
      <x:c r="AJ326" s="10" t="str">
        <x:f>IF(F326&gt;0,"Active","No est. sales")</x:f>
        <x:v>No est. sales</x:v>
      </x:c>
    </x:row>
    <x:row r="327">
      <x:c r="A327" s="10" t="str">
        <x:v>Cactus Loan Tracker Dashboard | Google Sheets</x:v>
      </x:c>
      <x:c r="B327" s="10" t="str">
        <x:v>https://www.etsy.com/listing/1480543104/cactus-loan-tracker-dashboard-google</x:v>
      </x:c>
      <x:c r="C327" s="10" t="str">
        <x:v>TheHappyPlanningClub</x:v>
      </x:c>
      <x:c r="D327" s="10" t="str">
        <x:v>https://www.etsy.com/shop/TheHappyPlanningClub</x:v>
      </x:c>
      <x:c r="E327" s="11" t="n">
        <x:v>7</x:v>
      </x:c>
      <x:c r="F327" s="10" t="n">
        <x:v>0</x:v>
      </x:c>
      <x:c r="G327" s="12" t="n">
        <x:v>0</x:v>
      </x:c>
      <x:c r="H327" s="13" t="n">
        <x:v>0</x:v>
      </x:c>
      <x:c r="I327" s="10" t="n">
        <x:v>0</x:v>
      </x:c>
      <x:c r="J327" s="10" t="n">
        <x:v>0</x:v>
      </x:c>
      <x:c r="K327" s="10" t="str">
        <x:v>37 Mo.</x:v>
      </x:c>
      <x:c r="L327" s="10" t="n">
        <x:v>6</x:v>
      </x:c>
      <x:c r="M327" s="10" t="n">
        <x:v>0</x:v>
      </x:c>
      <x:c r="N327" s="10" t="n">
        <x:v>116</x:v>
      </x:c>
      <x:c r="O327" s="10" t="str">
        <x:v>Paper &amp; Party Supplies</x:v>
      </x:c>
      <x:c r="P327" s="10" t="n">
        <x:v>38</x:v>
      </x:c>
      <x:c r="Q327" s="10" t="n">
        <x:v>0</x:v>
      </x:c>
      <x:c r="R327" s="13" t="n">
        <x:v>0</x:v>
      </x:c>
      <x:c r="S327" s="10" t="n">
        <x:v>346</x:v>
      </x:c>
      <x:c r="T327" s="10" t="str">
        <x:v>credit card debt,debt avalanche,debt google sheets,debt payment tracker,debt snowball,loan payoff tracker,mortgage payoff,personal finance,student loan debt,budget template,budget spreadsheet,debt planner,credit card loan</x:v>
      </x:c>
      <x:c r="U327" s="10" t="str">
        <x:v>credit card debt</x:v>
      </x:c>
      <x:c r="V327" s="10" t="str">
        <x:v>debt avalanche</x:v>
      </x:c>
      <x:c r="W327" s="10" t="str">
        <x:v>debt google sheets</x:v>
      </x:c>
      <x:c r="X327" s="10" t="str">
        <x:v>debt payment tracker</x:v>
      </x:c>
      <x:c r="Y327" s="10" t="str">
        <x:v>debt snowball</x:v>
      </x:c>
      <x:c r="Z327" s="10" t="str">
        <x:v>loan payoff tracker</x:v>
      </x:c>
      <x:c r="AA327" s="10" t="str">
        <x:v>mortgage payoff</x:v>
      </x:c>
      <x:c r="AB327" s="10" t="str">
        <x:v>personal finance</x:v>
      </x:c>
      <x:c r="AC327" s="10" t="str">
        <x:v>student loan debt</x:v>
      </x:c>
      <x:c r="AD327" s="10" t="str">
        <x:v>budget template</x:v>
      </x:c>
      <x:c r="AE327" s="10" t="str">
        <x:v>budget spreadsheet</x:v>
      </x:c>
      <x:c r="AF327" s="10" t="str">
        <x:v>debt planner</x:v>
      </x:c>
      <x:c r="AG327" s="10" t="str">
        <x:v>credit card loan</x:v>
      </x:c>
      <x:c r="AH327" s="10" t="str">
        <x:v>Other mortgage-related</x:v>
      </x:c>
      <x:c r="AI327" s="13" t="n">
        <x:v>37</x:v>
      </x:c>
      <x:c r="AJ327" s="10" t="str">
        <x:f>IF(F327&gt;0,"Active","No est. sales")</x:f>
        <x:v>No est. sales</x:v>
      </x:c>
    </x:row>
    <x:row r="328">
      <x:c r="A328" s="10" t="str">
        <x:v>Tax Refund Dashboard | Google Sheets | 3 Vintage Colors</x:v>
      </x:c>
      <x:c r="B328" s="10" t="str">
        <x:v>https://www.etsy.com/listing/1651592195/tax-refund-dashboard-google-sheets-3</x:v>
      </x:c>
      <x:c r="C328" s="10" t="str">
        <x:v>TheHappyPlanningClub</x:v>
      </x:c>
      <x:c r="D328" s="10" t="str">
        <x:v>https://www.etsy.com/shop/TheHappyPlanningClub</x:v>
      </x:c>
      <x:c r="E328" s="11" t="n">
        <x:v>13.99</x:v>
      </x:c>
      <x:c r="F328" s="10" t="n">
        <x:v>0</x:v>
      </x:c>
      <x:c r="G328" s="12" t="n">
        <x:v>0</x:v>
      </x:c>
      <x:c r="H328" s="13" t="n">
        <x:v>0</x:v>
      </x:c>
      <x:c r="I328" s="10" t="n">
        <x:v>0</x:v>
      </x:c>
      <x:c r="J328" s="10" t="n">
        <x:v>0</x:v>
      </x:c>
      <x:c r="K328" s="10" t="str">
        <x:v>30 Mo.</x:v>
      </x:c>
      <x:c r="L328" s="10" t="n">
        <x:v>8</x:v>
      </x:c>
      <x:c r="M328" s="10" t="n">
        <x:v>0</x:v>
      </x:c>
      <x:c r="N328" s="10" t="n">
        <x:v>117</x:v>
      </x:c>
      <x:c r="O328" s="10" t="str">
        <x:v>Paper &amp; Party Supplies</x:v>
      </x:c>
      <x:c r="P328" s="10" t="n">
        <x:v>38</x:v>
      </x:c>
      <x:c r="Q328" s="10" t="n">
        <x:v>0</x:v>
      </x:c>
      <x:c r="R328" s="13" t="n">
        <x:v>0</x:v>
      </x:c>
      <x:c r="S328" s="10" t="n">
        <x:v>346</x:v>
      </x:c>
      <x:c r="T328" s="10" t="str">
        <x:v>student loan debt,snowball method,personal finance,mortgage payoff,loan payoff tracker,financial planner,debt snowball,debt payoff planner,debt payment tracker,debt google sheets,debt calculator,debt avalanche,credit card debt</x:v>
      </x:c>
      <x:c r="U328" s="10" t="str">
        <x:v>student loan debt</x:v>
      </x:c>
      <x:c r="V328" s="10" t="str">
        <x:v>snowball method</x:v>
      </x:c>
      <x:c r="W328" s="10" t="str">
        <x:v>personal finance</x:v>
      </x:c>
      <x:c r="X328" s="10" t="str">
        <x:v>mortgage payoff</x:v>
      </x:c>
      <x:c r="Y328" s="10" t="str">
        <x:v>loan payoff tracker</x:v>
      </x:c>
      <x:c r="Z328" s="10" t="str">
        <x:v>financial planner</x:v>
      </x:c>
      <x:c r="AA328" s="10" t="str">
        <x:v>debt snowball</x:v>
      </x:c>
      <x:c r="AB328" s="10" t="str">
        <x:v>debt payoff planner</x:v>
      </x:c>
      <x:c r="AC328" s="10" t="str">
        <x:v>debt payment tracker</x:v>
      </x:c>
      <x:c r="AD328" s="10" t="str">
        <x:v>debt google sheets</x:v>
      </x:c>
      <x:c r="AE328" s="10" t="str">
        <x:v>debt calculator</x:v>
      </x:c>
      <x:c r="AF328" s="10" t="str">
        <x:v>debt avalanche</x:v>
      </x:c>
      <x:c r="AG328" s="10" t="str">
        <x:v>credit card debt</x:v>
      </x:c>
      <x:c r="AH328" s="10" t="str">
        <x:v>Other mortgage-related</x:v>
      </x:c>
      <x:c r="AI328" s="13" t="n">
        <x:v>30</x:v>
      </x:c>
      <x:c r="AJ328" s="10" t="str">
        <x:f>IF(F328&gt;0,"Active","No est. sales")</x:f>
        <x:v>No est. sales</x:v>
      </x:c>
    </x:row>
    <x:row r="329">
      <x:c r="A329" s="10" t="str">
        <x:v>Real Estate Transaction Board | Custom Acrylic Pipeline Tracker | Listing Agent Planner | Closing Coordinator Tracker #804</x:v>
      </x:c>
      <x:c r="B329" s="10" t="str">
        <x:v>https://www.etsy.com/listing/4540027360/real-estate-transaction-board-custom</x:v>
      </x:c>
      <x:c r="C329" s="10" t="str">
        <x:v>CalenLove</x:v>
      </x:c>
      <x:c r="D329" s="10" t="str">
        <x:v>https://www.etsy.com/shop/CalenLove</x:v>
      </x:c>
      <x:c r="E329" s="11" t="n">
        <x:v>199</x:v>
      </x:c>
      <x:c r="F329" s="10" t="n">
        <x:v>0</x:v>
      </x:c>
      <x:c r="G329" s="12" t="n">
        <x:v>0</x:v>
      </x:c>
      <x:c r="H329" s="13" t="n">
        <x:v>0</x:v>
      </x:c>
      <x:c r="I329" s="10" t="n">
        <x:v>0</x:v>
      </x:c>
      <x:c r="J329" s="10" t="n">
        <x:v>0</x:v>
      </x:c>
      <x:c r="K329" s="10" t="str">
        <x:v>1 Mo.</x:v>
      </x:c>
      <x:c r="L329" s="10" t="n">
        <x:v>0</x:v>
      </x:c>
      <x:c r="M329" s="10" t="n">
        <x:v>0</x:v>
      </x:c>
      <x:c r="N329" s="10" t="n">
        <x:v>1</x:v>
      </x:c>
      <x:c r="O329" s="10" t="str">
        <x:v>Home &amp; Living</x:v>
      </x:c>
      <x:c r="P329" s="10" t="n">
        <x:v>110</x:v>
      </x:c>
      <x:c r="Q329" s="10" t="n">
        <x:v>0</x:v>
      </x:c>
      <x:c r="R329" s="13" t="n">
        <x:v>0</x:v>
      </x:c>
      <x:c r="S329" s="10" t="n">
        <x:v>12439</x:v>
      </x:c>
      <x:c r="T329" s="10" t="str">
        <x:v>dry erase board,real estate board,real estate pipeline,real estate tracker,realtor whiteboard,acrylic goal tracker,transaction board,realtor pipeline,pipeline tracker,escrow tracking,closing coordinator,mortgage  pipeline,listing planner</x:v>
      </x:c>
      <x:c r="U329" s="10" t="str">
        <x:v>dry erase board</x:v>
      </x:c>
      <x:c r="V329" s="10" t="str">
        <x:v>real estate board</x:v>
      </x:c>
      <x:c r="W329" s="10" t="str">
        <x:v>real estate pipeline</x:v>
      </x:c>
      <x:c r="X329" s="10" t="str">
        <x:v>real estate tracker</x:v>
      </x:c>
      <x:c r="Y329" s="10" t="str">
        <x:v>realtor whiteboard</x:v>
      </x:c>
      <x:c r="Z329" s="10" t="str">
        <x:v>acrylic goal tracker</x:v>
      </x:c>
      <x:c r="AA329" s="10" t="str">
        <x:v>transaction board</x:v>
      </x:c>
      <x:c r="AB329" s="10" t="str">
        <x:v>realtor pipeline</x:v>
      </x:c>
      <x:c r="AC329" s="10" t="str">
        <x:v>pipeline tracker</x:v>
      </x:c>
      <x:c r="AD329" s="10" t="str">
        <x:v>escrow tracking</x:v>
      </x:c>
      <x:c r="AE329" s="10" t="str">
        <x:v>closing coordinator</x:v>
      </x:c>
      <x:c r="AF329" s="10" t="str">
        <x:v>mortgage  pipeline</x:v>
      </x:c>
      <x:c r="AG329" s="10" t="str">
        <x:v>listing planner</x:v>
      </x:c>
      <x:c r="AH329" s="10" t="str">
        <x:v>Other mortgage-related</x:v>
      </x:c>
      <x:c r="AI329" s="13" t="n">
        <x:v>1</x:v>
      </x:c>
      <x:c r="AJ329" s="10" t="str">
        <x:f>IF(F329&gt;0,"Active","No est. sales")</x:f>
        <x:v>No est. sales</x:v>
      </x:c>
    </x:row>
    <x:row r="330">
      <x:c r="A330" s="10" t="str">
        <x:v>Homebuying Guide + Tracker | Workbook &amp; Planner | Step-by-Step Home Buying Guide + Printable Worksheets | PDF Download</x:v>
      </x:c>
      <x:c r="B330" s="10" t="str">
        <x:v>https://www.etsy.com/listing/4320305676/homebuying-guide-tracker-workbook</x:v>
      </x:c>
      <x:c r="C330" s="10" t="str">
        <x:v>DrYettyRealEstate</x:v>
      </x:c>
      <x:c r="D330" s="10" t="str">
        <x:v>https://www.etsy.com/shop/DrYettyRealEstate</x:v>
      </x:c>
      <x:c r="E330" s="11" t="n">
        <x:v>10</x:v>
      </x:c>
      <x:c r="F330" s="10" t="n">
        <x:v>0</x:v>
      </x:c>
      <x:c r="G330" s="12" t="n">
        <x:v>0</x:v>
      </x:c>
      <x:c r="H330" s="13" t="n">
        <x:v>0</x:v>
      </x:c>
      <x:c r="I330" s="10" t="n">
        <x:v>0</x:v>
      </x:c>
      <x:c r="J330" s="10" t="n">
        <x:v>0</x:v>
      </x:c>
      <x:c r="K330" s="10" t="str">
        <x:v>13 Mo.</x:v>
      </x:c>
      <x:c r="L330" s="10" t="n">
        <x:v>1</x:v>
      </x:c>
      <x:c r="M330" s="10" t="n">
        <x:v>0</x:v>
      </x:c>
      <x:c r="N330" s="10" t="n">
        <x:v>209</x:v>
      </x:c>
      <x:c r="O330" s="10" t="str">
        <x:v>Books, Movies &amp; Music</x:v>
      </x:c>
      <x:c r="P330" s="10" t="n">
        <x:v>13</x:v>
      </x:c>
      <x:c r="Q330" s="10" t="n">
        <x:v>0</x:v>
      </x:c>
      <x:c r="R330" s="13" t="n">
        <x:v>0</x:v>
      </x:c>
      <x:c r="S330" s="10" t="n">
        <x:v>7</x:v>
      </x:c>
      <x:c r="T330" s="10" t="str">
        <x:v>first time homebuyer,home buying workbook,home buying guide,real estate pdf,house buying planner,real estate download,homebuying checklist,first home buyer,mortgage planner,real estate guide,homeownership guide,printable home buy,home buyer workbook</x:v>
      </x:c>
      <x:c r="U330" s="10" t="str">
        <x:v>first time homebuyer</x:v>
      </x:c>
      <x:c r="V330" s="10" t="str">
        <x:v>home buying workbook</x:v>
      </x:c>
      <x:c r="W330" s="10" t="str">
        <x:v>home buying guide</x:v>
      </x:c>
      <x:c r="X330" s="10" t="str">
        <x:v>real estate pdf</x:v>
      </x:c>
      <x:c r="Y330" s="10" t="str">
        <x:v>house buying planner</x:v>
      </x:c>
      <x:c r="Z330" s="10" t="str">
        <x:v>real estate download</x:v>
      </x:c>
      <x:c r="AA330" s="10" t="str">
        <x:v>homebuying checklist</x:v>
      </x:c>
      <x:c r="AB330" s="10" t="str">
        <x:v>first home buyer</x:v>
      </x:c>
      <x:c r="AC330" s="10" t="str">
        <x:v>mortgage planner</x:v>
      </x:c>
      <x:c r="AD330" s="10" t="str">
        <x:v>real estate guide</x:v>
      </x:c>
      <x:c r="AE330" s="10" t="str">
        <x:v>homeownership guide</x:v>
      </x:c>
      <x:c r="AF330" s="10" t="str">
        <x:v>printable home buy</x:v>
      </x:c>
      <x:c r="AG330" s="10" t="str">
        <x:v>home buyer workbook</x:v>
      </x:c>
      <x:c r="AH330" s="10" t="str">
        <x:v>Home buying planner</x:v>
      </x:c>
      <x:c r="AI330" s="13" t="n">
        <x:v>13</x:v>
      </x:c>
      <x:c r="AJ330" s="10" t="str">
        <x:f>IF(F330&gt;0,"Active","No est. sales")</x:f>
        <x:v>No est. sales</x:v>
      </x:c>
    </x:row>
    <x:row r="331">
      <x:c r="A331" s="10" t="str">
        <x:v>Homebuyer Financial Tracker/Calculator Google Sheets | Budget + Down Payment &amp; Closing Cost calculator</x:v>
      </x:c>
      <x:c r="B331" s="10" t="str">
        <x:v>https://www.etsy.com/listing/4340897420/homebuyer-financial-trackercalculator</x:v>
      </x:c>
      <x:c r="C331" s="10" t="str">
        <x:v>DrYettyRealEstate</x:v>
      </x:c>
      <x:c r="D331" s="10" t="str">
        <x:v>https://www.etsy.com/shop/DrYettyRealEstate</x:v>
      </x:c>
      <x:c r="E331" s="11" t="n">
        <x:v>2.99</x:v>
      </x:c>
      <x:c r="F331" s="10" t="n">
        <x:v>0</x:v>
      </x:c>
      <x:c r="G331" s="12" t="n">
        <x:v>0</x:v>
      </x:c>
      <x:c r="H331" s="13" t="n">
        <x:v>0</x:v>
      </x:c>
      <x:c r="I331" s="10" t="n">
        <x:v>0</x:v>
      </x:c>
      <x:c r="J331" s="10" t="n">
        <x:v>0</x:v>
      </x:c>
      <x:c r="K331" s="10" t="str">
        <x:v>12 Mo.</x:v>
      </x:c>
      <x:c r="L331" s="10" t="n">
        <x:v>2</x:v>
      </x:c>
      <x:c r="M331" s="10" t="n">
        <x:v>0</x:v>
      </x:c>
      <x:c r="N331" s="10" t="n">
        <x:v>109</x:v>
      </x:c>
      <x:c r="O331" s="10" t="str"/>
      <x:c r="P331" s="10" t="n">
        <x:v>13</x:v>
      </x:c>
      <x:c r="Q331" s="10" t="n">
        <x:v>0</x:v>
      </x:c>
      <x:c r="R331" s="13" t="n">
        <x:v>0</x:v>
      </x:c>
      <x:c r="S331" s="10" t="n">
        <x:v>7</x:v>
      </x:c>
      <x:c r="T331" s="10" t="str">
        <x:v>homebuyer tool,budget tracker,house budget,savings tracker,mortgage calc,down payment,closing costs,money tracker,real estate,finance sheet,home budget,buy a house,house planner</x:v>
      </x:c>
      <x:c r="U331" s="10" t="str">
        <x:v>homebuyer tool</x:v>
      </x:c>
      <x:c r="V331" s="10" t="str">
        <x:v>budget tracker</x:v>
      </x:c>
      <x:c r="W331" s="10" t="str">
        <x:v>house budget</x:v>
      </x:c>
      <x:c r="X331" s="10" t="str">
        <x:v>savings tracker</x:v>
      </x:c>
      <x:c r="Y331" s="10" t="str">
        <x:v>mortgage calc</x:v>
      </x:c>
      <x:c r="Z331" s="10" t="str">
        <x:v>down payment</x:v>
      </x:c>
      <x:c r="AA331" s="10" t="str">
        <x:v>closing costs</x:v>
      </x:c>
      <x:c r="AB331" s="10" t="str">
        <x:v>money tracker</x:v>
      </x:c>
      <x:c r="AC331" s="10" t="str">
        <x:v>real estate</x:v>
      </x:c>
      <x:c r="AD331" s="10" t="str">
        <x:v>finance sheet</x:v>
      </x:c>
      <x:c r="AE331" s="10" t="str">
        <x:v>home budget</x:v>
      </x:c>
      <x:c r="AF331" s="10" t="str">
        <x:v>buy a house</x:v>
      </x:c>
      <x:c r="AG331" s="10" t="str">
        <x:v>house planner</x:v>
      </x:c>
      <x:c r="AH331" s="10" t="str">
        <x:v>Other mortgage-related</x:v>
      </x:c>
      <x:c r="AI331" s="13" t="n">
        <x:v>12</x:v>
      </x:c>
      <x:c r="AJ331" s="10" t="str">
        <x:f>IF(F331&gt;0,"Active","No est. sales")</x:f>
        <x:v>No est. sales</x:v>
      </x:c>
    </x:row>
    <x:row r="332">
      <x:c r="A332" s="10" t="str">
        <x:v>Home Buying &amp; Budget Spreadsheet Excel, House Purchase Calculator, Real Estate Budget Planner, Home Affordability Tool, Mortgage Comparison</x:v>
      </x:c>
      <x:c r="B332" s="10" t="str">
        <x:v>https://www.etsy.com/listing/1834516349/home-buying-budget-spreadsheet-excel</x:v>
      </x:c>
      <x:c r="C332" s="10" t="str">
        <x:v>SpreadWiseCo</x:v>
      </x:c>
      <x:c r="D332" s="10" t="str">
        <x:v>https://www.etsy.com/shop/SpreadWiseCo</x:v>
      </x:c>
      <x:c r="E332" s="11" t="n">
        <x:v>26.99</x:v>
      </x:c>
      <x:c r="F332" s="10" t="n">
        <x:v>0</x:v>
      </x:c>
      <x:c r="G332" s="12" t="n">
        <x:v>0</x:v>
      </x:c>
      <x:c r="H332" s="13" t="n">
        <x:v>0</x:v>
      </x:c>
      <x:c r="I332" s="10" t="n">
        <x:v>12</x:v>
      </x:c>
      <x:c r="J332" s="10" t="n">
        <x:v>2</x:v>
      </x:c>
      <x:c r="K332" s="10" t="str">
        <x:v>20 Mo.</x:v>
      </x:c>
      <x:c r="L332" s="10" t="n">
        <x:v>63</x:v>
      </x:c>
      <x:c r="M332" s="10" t="n">
        <x:v>0</x:v>
      </x:c>
      <x:c r="N332" s="10" t="n">
        <x:v>1487</x:v>
      </x:c>
      <x:c r="O332" s="10" t="str"/>
      <x:c r="P332" s="10" t="n">
        <x:v>38</x:v>
      </x:c>
      <x:c r="Q332" s="10" t="n">
        <x:v>30</x:v>
      </x:c>
      <x:c r="R332" s="13" t="n">
        <x:v>0.81</x:v>
      </x:c>
      <x:c r="S332" s="10" t="n">
        <x:v>1083</x:v>
      </x:c>
      <x:c r="T332" s="10" t="str">
        <x:v>home budget,home budget template,home expense tracker,home buying planner,home buying,real estate budget,home affordability,property comparison,mortgage budget,home ownership,house hunting,home purchase,digital download</x:v>
      </x:c>
      <x:c r="U332" s="10" t="str">
        <x:v>home budget</x:v>
      </x:c>
      <x:c r="V332" s="10" t="str">
        <x:v>home budget template</x:v>
      </x:c>
      <x:c r="W332" s="10" t="str">
        <x:v>home expense tracker</x:v>
      </x:c>
      <x:c r="X332" s="10" t="str">
        <x:v>home buying planner</x:v>
      </x:c>
      <x:c r="Y332" s="10" t="str">
        <x:v>home buying</x:v>
      </x:c>
      <x:c r="Z332" s="10" t="str">
        <x:v>real estate budget</x:v>
      </x:c>
      <x:c r="AA332" s="10" t="str">
        <x:v>home affordability</x:v>
      </x:c>
      <x:c r="AB332" s="10" t="str">
        <x:v>property comparison</x:v>
      </x:c>
      <x:c r="AC332" s="10" t="str">
        <x:v>mortgage budget</x:v>
      </x:c>
      <x:c r="AD332" s="10" t="str">
        <x:v>home ownership</x:v>
      </x:c>
      <x:c r="AE332" s="10" t="str">
        <x:v>house hunting</x:v>
      </x:c>
      <x:c r="AF332" s="10" t="str">
        <x:v>home purchase</x:v>
      </x:c>
      <x:c r="AG332" s="10" t="str">
        <x:v>digital download</x:v>
      </x:c>
      <x:c r="AH332" s="10" t="str">
        <x:v>Home buying planner</x:v>
      </x:c>
      <x:c r="AI332" s="13" t="n">
        <x:v>20</x:v>
      </x:c>
      <x:c r="AJ332" s="10" t="str">
        <x:f>IF(F332&gt;0,"Active","No est. sales")</x:f>
        <x:v>No est. sales</x:v>
      </x:c>
    </x:row>
    <x:row r="333">
      <x:c r="A333" s="10" t="str">
        <x:v>Debt Snowball Payoff Tracker Spreadsheet Avalanche Calculator Credit Card Loan Template House Mortgage Debt Free Planner Google Sheets</x:v>
      </x:c>
      <x:c r="B333" s="10" t="str">
        <x:v>https://www.etsy.com/listing/4460792565/debt-snowball-payoff-tracker-spreadsheet</x:v>
      </x:c>
      <x:c r="C333" s="10" t="str">
        <x:v>TangiSigns</x:v>
      </x:c>
      <x:c r="D333" s="10" t="str">
        <x:v>https://www.etsy.com/shop/TangiSigns</x:v>
      </x:c>
      <x:c r="E333" s="11" t="n">
        <x:v>2</x:v>
      </x:c>
      <x:c r="F333" s="10" t="n">
        <x:v>0</x:v>
      </x:c>
      <x:c r="G333" s="12" t="n">
        <x:v>0</x:v>
      </x:c>
      <x:c r="H333" s="13" t="n">
        <x:v>0</x:v>
      </x:c>
      <x:c r="I333" s="10" t="n">
        <x:v>0</x:v>
      </x:c>
      <x:c r="J333" s="10" t="n">
        <x:v>0</x:v>
      </x:c>
      <x:c r="K333" s="10" t="str">
        <x:v>5 Mo.</x:v>
      </x:c>
      <x:c r="L333" s="10" t="n">
        <x:v>1</x:v>
      </x:c>
      <x:c r="M333" s="10" t="n">
        <x:v>0</x:v>
      </x:c>
      <x:c r="N333" s="10" t="n">
        <x:v>14</x:v>
      </x:c>
      <x:c r="O333" s="10" t="str"/>
      <x:c r="P333" s="10" t="n">
        <x:v>12</x:v>
      </x:c>
      <x:c r="Q333" s="10" t="n">
        <x:v>0</x:v>
      </x:c>
      <x:c r="R333" s="13" t="n">
        <x:v>0</x:v>
      </x:c>
      <x:c r="S333" s="10" t="n">
        <x:v>4259</x:v>
      </x:c>
      <x:c r="T333" s="10" t="str">
        <x:v>credit utilization,debt google sheets,debt avalanche,credit card loan,snowball spreadsheet,mortgage payoff,google sheets budget,credit card payoff,debt snowball,debt payment tracker,debt payoff tracker,debt template,financial planner</x:v>
      </x:c>
      <x:c r="U333" s="10" t="str">
        <x:v>credit utilization</x:v>
      </x:c>
      <x:c r="V333" s="10" t="str">
        <x:v>debt google sheets</x:v>
      </x:c>
      <x:c r="W333" s="10" t="str">
        <x:v>debt avalanche</x:v>
      </x:c>
      <x:c r="X333" s="10" t="str">
        <x:v>credit card loan</x:v>
      </x:c>
      <x:c r="Y333" s="10" t="str">
        <x:v>snowball spreadsheet</x:v>
      </x:c>
      <x:c r="Z333" s="10" t="str">
        <x:v>mortgage payoff</x:v>
      </x:c>
      <x:c r="AA333" s="10" t="str">
        <x:v>google sheets budget</x:v>
      </x:c>
      <x:c r="AB333" s="10" t="str">
        <x:v>credit card payoff</x:v>
      </x:c>
      <x:c r="AC333" s="10" t="str">
        <x:v>debt snowball</x:v>
      </x:c>
      <x:c r="AD333" s="10" t="str">
        <x:v>debt payment tracker</x:v>
      </x:c>
      <x:c r="AE333" s="10" t="str">
        <x:v>debt payoff tracker</x:v>
      </x:c>
      <x:c r="AF333" s="10" t="str">
        <x:v>debt template</x:v>
      </x:c>
      <x:c r="AG333" s="10" t="str">
        <x:v>financial planner</x:v>
      </x:c>
      <x:c r="AH333" s="10" t="str">
        <x:v>General debt payoff</x:v>
      </x:c>
      <x:c r="AI333" s="13" t="n">
        <x:v>5</x:v>
      </x:c>
      <x:c r="AJ333" s="10" t="str">
        <x:f>IF(F333&gt;0,"Active","No est. sales")</x:f>
        <x:v>No est. sales</x:v>
      </x:c>
    </x:row>
    <x:row r="334">
      <x:c r="A334" s="10" t="str">
        <x:v>Debt Snowball Spreadsheet | Google Sheets Debt Payoff Tracker | Debt Snowball Calculator | Student Loan Payoff | Credit Cards Payoff</x:v>
      </x:c>
      <x:c r="B334" s="10" t="str">
        <x:v>https://www.etsy.com/listing/4463931337/debt-snowball-spreadsheet-google-sheets</x:v>
      </x:c>
      <x:c r="C334" s="10" t="str">
        <x:v>MyOrganisedLifeLdn</x:v>
      </x:c>
      <x:c r="D334" s="10" t="str">
        <x:v>https://www.etsy.com/shop/MyOrganisedLifeLdn</x:v>
      </x:c>
      <x:c r="E334" s="11" t="n">
        <x:v>4.25</x:v>
      </x:c>
      <x:c r="F334" s="10" t="n">
        <x:v>0</x:v>
      </x:c>
      <x:c r="G334" s="12" t="n">
        <x:v>0</x:v>
      </x:c>
      <x:c r="H334" s="13" t="n">
        <x:v>0</x:v>
      </x:c>
      <x:c r="I334" s="10" t="n">
        <x:v>0</x:v>
      </x:c>
      <x:c r="J334" s="10" t="n">
        <x:v>0</x:v>
      </x:c>
      <x:c r="K334" s="10" t="str">
        <x:v>5 Mo.</x:v>
      </x:c>
      <x:c r="L334" s="10" t="n">
        <x:v>0</x:v>
      </x:c>
      <x:c r="M334" s="10" t="n">
        <x:v>0</x:v>
      </x:c>
      <x:c r="N334" s="10" t="n">
        <x:v>0</x:v>
      </x:c>
      <x:c r="O334" s="10" t="str"/>
      <x:c r="P334" s="10" t="n">
        <x:v>11</x:v>
      </x:c>
      <x:c r="Q334" s="10" t="n">
        <x:v>0</x:v>
      </x:c>
      <x:c r="R334" s="13" t="n">
        <x:v>0</x:v>
      </x:c>
      <x:c r="S334" s="10" t="n">
        <x:v>2</x:v>
      </x:c>
      <x:c r="T334" s="10" t="str">
        <x:v>monthly budget,budget planner,personal finances,financial planner,google sheets debt,debt tracker,debt spreadsheet,debt snowball,mortgage payoff,debt payoff,debt payoff tracker,debt calculator,loan payoff</x:v>
      </x:c>
      <x:c r="U334" s="10" t="str">
        <x:v>monthly budget</x:v>
      </x:c>
      <x:c r="V334" s="10" t="str">
        <x:v>budget planner</x:v>
      </x:c>
      <x:c r="W334" s="10" t="str">
        <x:v>personal finances</x:v>
      </x:c>
      <x:c r="X334" s="10" t="str">
        <x:v>financial planner</x:v>
      </x:c>
      <x:c r="Y334" s="10" t="str">
        <x:v>google sheets debt</x:v>
      </x:c>
      <x:c r="Z334" s="10" t="str">
        <x:v>debt tracker</x:v>
      </x:c>
      <x:c r="AA334" s="10" t="str">
        <x:v>debt spreadsheet</x:v>
      </x:c>
      <x:c r="AB334" s="10" t="str">
        <x:v>debt snowball</x:v>
      </x:c>
      <x:c r="AC334" s="10" t="str">
        <x:v>mortgage payoff</x:v>
      </x:c>
      <x:c r="AD334" s="10" t="str">
        <x:v>debt payoff</x:v>
      </x:c>
      <x:c r="AE334" s="10" t="str">
        <x:v>debt payoff tracker</x:v>
      </x:c>
      <x:c r="AF334" s="10" t="str">
        <x:v>debt calculator</x:v>
      </x:c>
      <x:c r="AG334" s="10" t="str">
        <x:v>loan payoff</x:v>
      </x:c>
      <x:c r="AH334" s="10" t="str">
        <x:v>General debt payoff</x:v>
      </x:c>
      <x:c r="AI334" s="13" t="n">
        <x:v>5</x:v>
      </x:c>
      <x:c r="AJ334" s="10" t="str">
        <x:f>IF(F334&gt;0,"Active","No est. sales")</x:f>
        <x:v>No est. sales</x:v>
      </x:c>
    </x:row>
    <x:row r="335">
      <x:c r="A335" s="10" t="str">
        <x:v>Debt Payment Tracker | Snowball | Avalanche | Custom Method | Student Loan Payoff | Mortgage Payoff | Credit Card Payoff | Google Sheets</x:v>
      </x:c>
      <x:c r="B335" s="10" t="str">
        <x:v>https://www.etsy.com/listing/4463940896/debt-payment-tracker-snowball-avalanche</x:v>
      </x:c>
      <x:c r="C335" s="10" t="str">
        <x:v>MyOrganisedLifeLdn</x:v>
      </x:c>
      <x:c r="D335" s="10" t="str">
        <x:v>https://www.etsy.com/shop/MyOrganisedLifeLdn</x:v>
      </x:c>
      <x:c r="E335" s="11" t="n">
        <x:v>4.25</x:v>
      </x:c>
      <x:c r="F335" s="10" t="n">
        <x:v>0</x:v>
      </x:c>
      <x:c r="G335" s="12" t="n">
        <x:v>0</x:v>
      </x:c>
      <x:c r="H335" s="13" t="n">
        <x:v>0</x:v>
      </x:c>
      <x:c r="I335" s="10" t="n">
        <x:v>0</x:v>
      </x:c>
      <x:c r="J335" s="10" t="n">
        <x:v>0</x:v>
      </x:c>
      <x:c r="K335" s="10" t="str">
        <x:v>5 Mo.</x:v>
      </x:c>
      <x:c r="L335" s="10" t="n">
        <x:v>0</x:v>
      </x:c>
      <x:c r="M335" s="10" t="n">
        <x:v>0</x:v>
      </x:c>
      <x:c r="N335" s="10" t="n">
        <x:v>2</x:v>
      </x:c>
      <x:c r="O335" s="10" t="str"/>
      <x:c r="P335" s="10" t="n">
        <x:v>11</x:v>
      </x:c>
      <x:c r="Q335" s="10" t="n">
        <x:v>0</x:v>
      </x:c>
      <x:c r="R335" s="13" t="n">
        <x:v>0</x:v>
      </x:c>
      <x:c r="S335" s="10" t="n">
        <x:v>2</x:v>
      </x:c>
      <x:c r="T335" s="10" t="str">
        <x:v>monthly budget,budget planner,personal finances,financial planner,google sheets debt,debt tracker,debt spreadsheet,debt snowball,mortgage payoff,debt payoff tracker,debt calculator,loan payoff,debt avalanche</x:v>
      </x:c>
      <x:c r="U335" s="10" t="str">
        <x:v>monthly budget</x:v>
      </x:c>
      <x:c r="V335" s="10" t="str">
        <x:v>budget planner</x:v>
      </x:c>
      <x:c r="W335" s="10" t="str">
        <x:v>personal finances</x:v>
      </x:c>
      <x:c r="X335" s="10" t="str">
        <x:v>financial planner</x:v>
      </x:c>
      <x:c r="Y335" s="10" t="str">
        <x:v>google sheets debt</x:v>
      </x:c>
      <x:c r="Z335" s="10" t="str">
        <x:v>debt tracker</x:v>
      </x:c>
      <x:c r="AA335" s="10" t="str">
        <x:v>debt spreadsheet</x:v>
      </x:c>
      <x:c r="AB335" s="10" t="str">
        <x:v>debt snowball</x:v>
      </x:c>
      <x:c r="AC335" s="10" t="str">
        <x:v>mortgage payoff</x:v>
      </x:c>
      <x:c r="AD335" s="10" t="str">
        <x:v>debt payoff tracker</x:v>
      </x:c>
      <x:c r="AE335" s="10" t="str">
        <x:v>debt calculator</x:v>
      </x:c>
      <x:c r="AF335" s="10" t="str">
        <x:v>loan payoff</x:v>
      </x:c>
      <x:c r="AG335" s="10" t="str">
        <x:v>debt avalanche</x:v>
      </x:c>
      <x:c r="AH335" s="10" t="str">
        <x:v>General debt payoff</x:v>
      </x:c>
      <x:c r="AI335" s="13" t="n">
        <x:v>5</x:v>
      </x:c>
      <x:c r="AJ335" s="10" t="str">
        <x:f>IF(F335&gt;0,"Active","No est. sales")</x:f>
        <x:v>No est. sales</x:v>
      </x:c>
    </x:row>
    <x:row r="336">
      <x:c r="A336" s="10" t="str">
        <x:v>House Savings Tracker: Money Planner, Loan Estimate, Budget Tracker, Mortgage Calculator</x:v>
      </x:c>
      <x:c r="B336" s="10" t="str">
        <x:v>https://www.etsy.com/listing/4449592417/house-savings-tracker-money-planner-loan</x:v>
      </x:c>
      <x:c r="C336" s="10" t="str">
        <x:v>ACsDigitalStudio</x:v>
      </x:c>
      <x:c r="D336" s="10" t="str">
        <x:v>https://www.etsy.com/shop/ACsDigitalStudio</x:v>
      </x:c>
      <x:c r="E336" s="11" t="n">
        <x:v>7</x:v>
      </x:c>
      <x:c r="F336" s="10" t="n">
        <x:v>0</x:v>
      </x:c>
      <x:c r="G336" s="12" t="n">
        <x:v>0</x:v>
      </x:c>
      <x:c r="H336" s="13" t="n">
        <x:v>0</x:v>
      </x:c>
      <x:c r="I336" s="10" t="n">
        <x:v>0</x:v>
      </x:c>
      <x:c r="J336" s="10" t="n">
        <x:v>0</x:v>
      </x:c>
      <x:c r="K336" s="10" t="str">
        <x:v>6 Mo.</x:v>
      </x:c>
      <x:c r="L336" s="10" t="n">
        <x:v>0</x:v>
      </x:c>
      <x:c r="M336" s="10" t="n">
        <x:v>0</x:v>
      </x:c>
      <x:c r="N336" s="10" t="n">
        <x:v>3</x:v>
      </x:c>
      <x:c r="O336" s="10" t="str"/>
      <x:c r="P336" s="10" t="n">
        <x:v>6</x:v>
      </x:c>
      <x:c r="Q336" s="10" t="n">
        <x:v>0</x:v>
      </x:c>
      <x:c r="R336" s="13" t="n">
        <x:v>0</x:v>
      </x:c>
      <x:c r="S336" s="10" t="n">
        <x:v>4</x:v>
      </x:c>
      <x:c r="T336" s="10" t="str">
        <x:v>house savings,money savings,goal tracker,savings challenge,savings planner,cash tracker,savings tracker,emergency fund,excel template,real estate,mortgage calculator,excel,financial model</x:v>
      </x:c>
      <x:c r="U336" s="10" t="str">
        <x:v>house savings</x:v>
      </x:c>
      <x:c r="V336" s="10" t="str">
        <x:v>money savings</x:v>
      </x:c>
      <x:c r="W336" s="10" t="str">
        <x:v>goal tracker</x:v>
      </x:c>
      <x:c r="X336" s="10" t="str">
        <x:v>savings challenge</x:v>
      </x:c>
      <x:c r="Y336" s="10" t="str">
        <x:v>savings planner</x:v>
      </x:c>
      <x:c r="Z336" s="10" t="str">
        <x:v>cash tracker</x:v>
      </x:c>
      <x:c r="AA336" s="10" t="str">
        <x:v>savings tracker</x:v>
      </x:c>
      <x:c r="AB336" s="10" t="str">
        <x:v>emergency fund</x:v>
      </x:c>
      <x:c r="AC336" s="10" t="str">
        <x:v>excel template</x:v>
      </x:c>
      <x:c r="AD336" s="10" t="str">
        <x:v>real estate</x:v>
      </x:c>
      <x:c r="AE336" s="10" t="str">
        <x:v>mortgage calculator</x:v>
      </x:c>
      <x:c r="AF336" s="10" t="str">
        <x:v>excel</x:v>
      </x:c>
      <x:c r="AG336" s="10" t="str">
        <x:v>financial model</x:v>
      </x:c>
      <x:c r="AH336" s="10" t="str">
        <x:v>Mortgage payoff / calculator</x:v>
      </x:c>
      <x:c r="AI336" s="13" t="n">
        <x:v>6</x:v>
      </x:c>
      <x:c r="AJ336" s="10" t="str">
        <x:f>IF(F336&gt;0,"Active","No est. sales")</x:f>
        <x:v>No est. sales</x:v>
      </x:c>
    </x:row>
    <x:row r="337">
      <x:c r="A337" s="10" t="str">
        <x:v>Google Sheets Financial Spreadsheets | Moving, Housing Budget (Digital Download)</x:v>
      </x:c>
      <x:c r="B337" s="10" t="str">
        <x:v>https://www.etsy.com/listing/4540979348/google-sheets-financial-spreadsheets</x:v>
      </x:c>
      <x:c r="C337" s="10" t="str">
        <x:v>AlanmarketStudio</x:v>
      </x:c>
      <x:c r="D337" s="10" t="str">
        <x:v>https://www.etsy.com/shop/AlanmarketStudio</x:v>
      </x:c>
      <x:c r="E337" s="11" t="n">
        <x:v>12</x:v>
      </x:c>
      <x:c r="F337" s="10" t="n">
        <x:v>0</x:v>
      </x:c>
      <x:c r="G337" s="12" t="n">
        <x:v>0</x:v>
      </x:c>
      <x:c r="H337" s="13" t="n">
        <x:v>0</x:v>
      </x:c>
      <x:c r="I337" s="10" t="n">
        <x:v>0</x:v>
      </x:c>
      <x:c r="J337" s="10" t="n">
        <x:v>0</x:v>
      </x:c>
      <x:c r="K337" s="10" t="str">
        <x:v>1 Mo.</x:v>
      </x:c>
      <x:c r="L337" s="10" t="n">
        <x:v>0</x:v>
      </x:c>
      <x:c r="M337" s="10" t="n">
        <x:v>0</x:v>
      </x:c>
      <x:c r="N337" s="10" t="n">
        <x:v>0</x:v>
      </x:c>
      <x:c r="O337" s="10" t="str"/>
      <x:c r="P337" s="10" t="n">
        <x:v>18</x:v>
      </x:c>
      <x:c r="Q337" s="10" t="n">
        <x:v>0</x:v>
      </x:c>
      <x:c r="R337" s="13" t="n">
        <x:v>0</x:v>
      </x:c>
      <x:c r="S337" s="10" t="n">
        <x:v>35</x:v>
      </x:c>
      <x:c r="T337" s="10" t="str">
        <x:v>google sheets,moving planner,moving budget,home budget,mortgage calc,rent vs buy,utility tracker,roommate split,home expenses,real estate,property roi,finance sheet,budget bundle</x:v>
      </x:c>
      <x:c r="U337" s="10" t="str">
        <x:v>google sheets</x:v>
      </x:c>
      <x:c r="V337" s="10" t="str">
        <x:v>moving planner</x:v>
      </x:c>
      <x:c r="W337" s="10" t="str">
        <x:v>moving budget</x:v>
      </x:c>
      <x:c r="X337" s="10" t="str">
        <x:v>home budget</x:v>
      </x:c>
      <x:c r="Y337" s="10" t="str">
        <x:v>mortgage calc</x:v>
      </x:c>
      <x:c r="Z337" s="10" t="str">
        <x:v>rent vs buy</x:v>
      </x:c>
      <x:c r="AA337" s="10" t="str">
        <x:v>utility tracker</x:v>
      </x:c>
      <x:c r="AB337" s="10" t="str">
        <x:v>roommate split</x:v>
      </x:c>
      <x:c r="AC337" s="10" t="str">
        <x:v>home expenses</x:v>
      </x:c>
      <x:c r="AD337" s="10" t="str">
        <x:v>real estate</x:v>
      </x:c>
      <x:c r="AE337" s="10" t="str">
        <x:v>property roi</x:v>
      </x:c>
      <x:c r="AF337" s="10" t="str">
        <x:v>finance sheet</x:v>
      </x:c>
      <x:c r="AG337" s="10" t="str">
        <x:v>budget bundle</x:v>
      </x:c>
      <x:c r="AH337" s="10" t="str">
        <x:v>Other mortgage-related</x:v>
      </x:c>
      <x:c r="AI337" s="13" t="n">
        <x:v>1</x:v>
      </x:c>
      <x:c r="AJ337" s="10" t="str">
        <x:f>IF(F337&gt;0,"Active","No est. sales")</x:f>
        <x:v>No est. sales</x:v>
      </x:c>
    </x:row>
    <x:row r="338">
      <x:c r="A338" s="10" t="str">
        <x:v>Cute Colorful House Task Boxes, Functional Printable Planner Stickers, House Work, Cleaning Day, Fits Erin Condren &amp; Happy Planner, Cut File</x:v>
      </x:c>
      <x:c r="B338" s="10" t="str">
        <x:v>https://www.etsy.com/listing/1042475142/cute-colorful-house-task-boxes</x:v>
      </x:c>
      <x:c r="C338" s="10" t="str">
        <x:v>PaperPotpourriCo</x:v>
      </x:c>
      <x:c r="D338" s="10" t="str">
        <x:v>https://www.etsy.com/shop/PaperPotpourriCo</x:v>
      </x:c>
      <x:c r="E338" s="11" t="n">
        <x:v>3</x:v>
      </x:c>
      <x:c r="F338" s="10" t="n">
        <x:v>0</x:v>
      </x:c>
      <x:c r="G338" s="12" t="n">
        <x:v>0</x:v>
      </x:c>
      <x:c r="H338" s="13" t="n">
        <x:v>0</x:v>
      </x:c>
      <x:c r="I338" s="10" t="n">
        <x:v>0</x:v>
      </x:c>
      <x:c r="J338" s="10" t="n">
        <x:v>0</x:v>
      </x:c>
      <x:c r="K338" s="10" t="str">
        <x:v>60 Mo.</x:v>
      </x:c>
      <x:c r="L338" s="10" t="n">
        <x:v>5</x:v>
      </x:c>
      <x:c r="M338" s="10" t="n">
        <x:v>0</x:v>
      </x:c>
      <x:c r="N338" s="10" t="n">
        <x:v>37</x:v>
      </x:c>
      <x:c r="O338" s="10" t="str">
        <x:v>Paper &amp; Party Supplies</x:v>
      </x:c>
      <x:c r="P338" s="10" t="n">
        <x:v>117</x:v>
      </x:c>
      <x:c r="Q338" s="10" t="n">
        <x:v>0</x:v>
      </x:c>
      <x:c r="R338" s="13" t="n">
        <x:v>0</x:v>
      </x:c>
      <x:c r="S338" s="10" t="n">
        <x:v>1152</x:v>
      </x:c>
      <x:c r="T338" s="10" t="str">
        <x:v>house cleaning,home maintenance,mortgage payment due,pay rent reminder,house stickers,planner stickers,printable cut files,fits erin condren,fits happy planner,calendar stickers,tracker stickers,functional stickers,rainbow houses cute</x:v>
      </x:c>
      <x:c r="U338" s="10" t="str">
        <x:v>house cleaning</x:v>
      </x:c>
      <x:c r="V338" s="10" t="str">
        <x:v>home maintenance</x:v>
      </x:c>
      <x:c r="W338" s="10" t="str">
        <x:v>mortgage payment due</x:v>
      </x:c>
      <x:c r="X338" s="10" t="str">
        <x:v>pay rent reminder</x:v>
      </x:c>
      <x:c r="Y338" s="10" t="str">
        <x:v>house stickers</x:v>
      </x:c>
      <x:c r="Z338" s="10" t="str">
        <x:v>planner stickers</x:v>
      </x:c>
      <x:c r="AA338" s="10" t="str">
        <x:v>printable cut files</x:v>
      </x:c>
      <x:c r="AB338" s="10" t="str">
        <x:v>fits erin condren</x:v>
      </x:c>
      <x:c r="AC338" s="10" t="str">
        <x:v>fits happy planner</x:v>
      </x:c>
      <x:c r="AD338" s="10" t="str">
        <x:v>calendar stickers</x:v>
      </x:c>
      <x:c r="AE338" s="10" t="str">
        <x:v>tracker stickers</x:v>
      </x:c>
      <x:c r="AF338" s="10" t="str">
        <x:v>functional stickers</x:v>
      </x:c>
      <x:c r="AG338" s="10" t="str">
        <x:v>rainbow houses cute</x:v>
      </x:c>
      <x:c r="AH338" s="10" t="str">
        <x:v>Other mortgage-related</x:v>
      </x:c>
      <x:c r="AI338" s="13" t="n">
        <x:v>60</x:v>
      </x:c>
      <x:c r="AJ338" s="10" t="str">
        <x:f>IF(F338&gt;0,"Active","No est. sales")</x:f>
        <x:v>No est. sales</x:v>
      </x:c>
    </x:row>
    <x:row r="339">
      <x:c r="A339" s="10" t="str">
        <x:v>Debt Snowball Printable Personal Wide Binder, Debt Payment Tracker Template, Mortgage Payoff List, Financial Journal, Credit Card Debt Log</x:v>
      </x:c>
      <x:c r="B339" s="10" t="str">
        <x:v>https://www.etsy.com/listing/1359875220/debt-snowball-printable-personal-wide</x:v>
      </x:c>
      <x:c r="C339" s="10" t="str">
        <x:v>Monthlyjoy</x:v>
      </x:c>
      <x:c r="D339" s="10" t="str">
        <x:v>https://www.etsy.com/shop/Monthlyjoy</x:v>
      </x:c>
      <x:c r="E339" s="11" t="n">
        <x:v>3.4</x:v>
      </x:c>
      <x:c r="F339" s="10" t="n">
        <x:v>0</x:v>
      </x:c>
      <x:c r="G339" s="12" t="n">
        <x:v>0</x:v>
      </x:c>
      <x:c r="H339" s="13" t="n">
        <x:v>0</x:v>
      </x:c>
      <x:c r="I339" s="10" t="n">
        <x:v>9</x:v>
      </x:c>
      <x:c r="J339" s="10" t="n">
        <x:v>1</x:v>
      </x:c>
      <x:c r="K339" s="10" t="str">
        <x:v>43 Mo.</x:v>
      </x:c>
      <x:c r="L339" s="10" t="n">
        <x:v>13</x:v>
      </x:c>
      <x:c r="M339" s="10" t="n">
        <x:v>0</x:v>
      </x:c>
      <x:c r="N339" s="10" t="n">
        <x:v>148</x:v>
      </x:c>
      <x:c r="O339" s="10" t="str">
        <x:v>Paper &amp; Party Supplies</x:v>
      </x:c>
      <x:c r="P339" s="10" t="n">
        <x:v>66</x:v>
      </x:c>
      <x:c r="Q339" s="10" t="n">
        <x:v>0</x:v>
      </x:c>
      <x:c r="R339" s="13" t="n">
        <x:v>6.08</x:v>
      </x:c>
      <x:c r="S339" s="10" t="n">
        <x:v>24015</x:v>
      </x:c>
      <x:c r="T339" s="10" t="str">
        <x:v>debt snowball,mortgage tracker,personal wide ring,printable inserts,debt payoff tracker,student loan payoff,financial journal,simple planner pdf,credit card debt log,debt payment log,inserts minimalist,personal wide binder,debt free printable</x:v>
      </x:c>
      <x:c r="U339" s="10" t="str">
        <x:v>debt snowball</x:v>
      </x:c>
      <x:c r="V339" s="10" t="str">
        <x:v>mortgage tracker</x:v>
      </x:c>
      <x:c r="W339" s="10" t="str">
        <x:v>personal wide ring</x:v>
      </x:c>
      <x:c r="X339" s="10" t="str">
        <x:v>printable inserts</x:v>
      </x:c>
      <x:c r="Y339" s="10" t="str">
        <x:v>debt payoff tracker</x:v>
      </x:c>
      <x:c r="Z339" s="10" t="str">
        <x:v>student loan payoff</x:v>
      </x:c>
      <x:c r="AA339" s="10" t="str">
        <x:v>financial journal</x:v>
      </x:c>
      <x:c r="AB339" s="10" t="str">
        <x:v>simple planner pdf</x:v>
      </x:c>
      <x:c r="AC339" s="10" t="str">
        <x:v>credit card debt log</x:v>
      </x:c>
      <x:c r="AD339" s="10" t="str">
        <x:v>debt payment log</x:v>
      </x:c>
      <x:c r="AE339" s="10" t="str">
        <x:v>inserts minimalist</x:v>
      </x:c>
      <x:c r="AF339" s="10" t="str">
        <x:v>personal wide binder</x:v>
      </x:c>
      <x:c r="AG339" s="10" t="str">
        <x:v>debt free printable</x:v>
      </x:c>
      <x:c r="AH339" s="10" t="str">
        <x:v>General debt payoff</x:v>
      </x:c>
      <x:c r="AI339" s="13" t="n">
        <x:v>43</x:v>
      </x:c>
      <x:c r="AJ339" s="10" t="str">
        <x:f>IF(F339&gt;0,"Active","No est. sales")</x:f>
        <x:v>No est. sales</x:v>
      </x:c>
    </x:row>
    <x:row r="340">
      <x:c r="A340" s="10" t="str">
        <x:v>Debt Tracker A4/Letter Printable Fillable Inserts, Student Loan Snowball, Card Debt Payoff Planner, Finance Journal, Digital Download PDF</x:v>
      </x:c>
      <x:c r="B340" s="10" t="str">
        <x:v>https://www.etsy.com/listing/1434021576/debt-tracker-a4letter-printable-fillable</x:v>
      </x:c>
      <x:c r="C340" s="10" t="str">
        <x:v>Monthlyjoy</x:v>
      </x:c>
      <x:c r="D340" s="10" t="str">
        <x:v>https://www.etsy.com/shop/Monthlyjoy</x:v>
      </x:c>
      <x:c r="E340" s="11" t="n">
        <x:v>3.5</x:v>
      </x:c>
      <x:c r="F340" s="10" t="n">
        <x:v>0</x:v>
      </x:c>
      <x:c r="G340" s="12" t="n">
        <x:v>0</x:v>
      </x:c>
      <x:c r="H340" s="13" t="n">
        <x:v>0</x:v>
      </x:c>
      <x:c r="I340" s="10" t="n">
        <x:v>0</x:v>
      </x:c>
      <x:c r="J340" s="10" t="n">
        <x:v>0</x:v>
      </x:c>
      <x:c r="K340" s="10" t="str">
        <x:v>40 Mo.</x:v>
      </x:c>
      <x:c r="L340" s="10" t="n">
        <x:v>29</x:v>
      </x:c>
      <x:c r="M340" s="10" t="n">
        <x:v>0</x:v>
      </x:c>
      <x:c r="N340" s="10" t="n">
        <x:v>271</x:v>
      </x:c>
      <x:c r="O340" s="10" t="str">
        <x:v>Paper &amp; Party Supplies</x:v>
      </x:c>
      <x:c r="P340" s="10" t="n">
        <x:v>66</x:v>
      </x:c>
      <x:c r="Q340" s="10" t="n">
        <x:v>0</x:v>
      </x:c>
      <x:c r="R340" s="13" t="n">
        <x:v>0</x:v>
      </x:c>
      <x:c r="S340" s="10" t="n">
        <x:v>24015</x:v>
      </x:c>
      <x:c r="T340" s="10" t="str">
        <x:v>debt tracker,finance journal,mortgage tracker,credit card debt log,student loan payoff,money management,letter size planner,template printable,fillable pdf,financial planning,a4 binder planner,debt payoff template,finance organizer</x:v>
      </x:c>
      <x:c r="U340" s="10" t="str">
        <x:v>debt tracker</x:v>
      </x:c>
      <x:c r="V340" s="10" t="str">
        <x:v>finance journal</x:v>
      </x:c>
      <x:c r="W340" s="10" t="str">
        <x:v>mortgage tracker</x:v>
      </x:c>
      <x:c r="X340" s="10" t="str">
        <x:v>credit card debt log</x:v>
      </x:c>
      <x:c r="Y340" s="10" t="str">
        <x:v>student loan payoff</x:v>
      </x:c>
      <x:c r="Z340" s="10" t="str">
        <x:v>money management</x:v>
      </x:c>
      <x:c r="AA340" s="10" t="str">
        <x:v>letter size planner</x:v>
      </x:c>
      <x:c r="AB340" s="10" t="str">
        <x:v>template printable</x:v>
      </x:c>
      <x:c r="AC340" s="10" t="str">
        <x:v>fillable pdf</x:v>
      </x:c>
      <x:c r="AD340" s="10" t="str">
        <x:v>financial planning</x:v>
      </x:c>
      <x:c r="AE340" s="10" t="str">
        <x:v>a4 binder planner</x:v>
      </x:c>
      <x:c r="AF340" s="10" t="str">
        <x:v>debt payoff template</x:v>
      </x:c>
      <x:c r="AG340" s="10" t="str">
        <x:v>finance organizer</x:v>
      </x:c>
      <x:c r="AH340" s="10" t="str">
        <x:v>General debt payoff</x:v>
      </x:c>
      <x:c r="AI340" s="13" t="n">
        <x:v>40</x:v>
      </x:c>
      <x:c r="AJ340" s="10" t="str">
        <x:f>IF(F340&gt;0,"Active","No est. sales")</x:f>
        <x:v>No est. sales</x:v>
      </x:c>
    </x:row>
    <x:row r="341">
      <x:c r="A341" s="10" t="str">
        <x:v>Mortgage Affordability Calculator - Excel &amp; Google Sheets - Loan Payment Calculator - Home Loan Planner - Customizable Mortgage Sheet</x:v>
      </x:c>
      <x:c r="B341" s="10" t="str">
        <x:v>https://www.etsy.com/listing/4359327405/mortgage-affordability-calculator-excel</x:v>
      </x:c>
      <x:c r="C341" s="10" t="str">
        <x:v>Xeasysheets</x:v>
      </x:c>
      <x:c r="D341" s="10" t="str">
        <x:v>https://www.etsy.com/shop/Xeasysheets</x:v>
      </x:c>
      <x:c r="E341" s="11" t="n">
        <x:v>11.09</x:v>
      </x:c>
      <x:c r="F341" s="10" t="n">
        <x:v>0</x:v>
      </x:c>
      <x:c r="G341" s="12" t="n">
        <x:v>0</x:v>
      </x:c>
      <x:c r="H341" s="13" t="n">
        <x:v>0</x:v>
      </x:c>
      <x:c r="I341" s="10" t="n">
        <x:v>7</x:v>
      </x:c>
      <x:c r="J341" s="10" t="n">
        <x:v>1</x:v>
      </x:c>
      <x:c r="K341" s="10" t="str">
        <x:v>11 Mo.</x:v>
      </x:c>
      <x:c r="L341" s="10" t="n">
        <x:v>6</x:v>
      </x:c>
      <x:c r="M341" s="10" t="n">
        <x:v>0</x:v>
      </x:c>
      <x:c r="N341" s="10" t="n">
        <x:v>54</x:v>
      </x:c>
      <x:c r="O341" s="10" t="str"/>
      <x:c r="P341" s="10" t="n">
        <x:v>12</x:v>
      </x:c>
      <x:c r="Q341" s="10" t="n">
        <x:v>0</x:v>
      </x:c>
      <x:c r="R341" s="13" t="n">
        <x:v>12.96</x:v>
      </x:c>
      <x:c r="S341" s="10" t="n">
        <x:v>2161</x:v>
      </x:c>
      <x:c r="T341" s="10" t="str">
        <x:v>mortgage calculator,home loan calculator,mortgage sheet,mortgage planner,home affordability,loan affordability,mortgage tool,excel mortgage,home loan planner,mortgage analysis,loan tracker,google sheet,loan payment</x:v>
      </x:c>
      <x:c r="U341" s="10" t="str">
        <x:v>mortgage calculator</x:v>
      </x:c>
      <x:c r="V341" s="10" t="str">
        <x:v>home loan calculator</x:v>
      </x:c>
      <x:c r="W341" s="10" t="str">
        <x:v>mortgage sheet</x:v>
      </x:c>
      <x:c r="X341" s="10" t="str">
        <x:v>mortgage planner</x:v>
      </x:c>
      <x:c r="Y341" s="10" t="str">
        <x:v>home affordability</x:v>
      </x:c>
      <x:c r="Z341" s="10" t="str">
        <x:v>loan affordability</x:v>
      </x:c>
      <x:c r="AA341" s="10" t="str">
        <x:v>mortgage tool</x:v>
      </x:c>
      <x:c r="AB341" s="10" t="str">
        <x:v>excel mortgage</x:v>
      </x:c>
      <x:c r="AC341" s="10" t="str">
        <x:v>home loan planner</x:v>
      </x:c>
      <x:c r="AD341" s="10" t="str">
        <x:v>mortgage analysis</x:v>
      </x:c>
      <x:c r="AE341" s="10" t="str">
        <x:v>loan tracker</x:v>
      </x:c>
      <x:c r="AF341" s="10" t="str">
        <x:v>google sheet</x:v>
      </x:c>
      <x:c r="AG341" s="10" t="str">
        <x:v>loan payment</x:v>
      </x:c>
      <x:c r="AH341" s="10" t="str">
        <x:v>Other mortgage-related</x:v>
      </x:c>
      <x:c r="AI341" s="13" t="n">
        <x:v>11</x:v>
      </x:c>
      <x:c r="AJ341" s="10" t="str">
        <x:f>IF(F341&gt;0,"Active","No est. sales")</x:f>
        <x:v>No est. sales</x:v>
      </x:c>
    </x:row>
    <x:row r="342">
      <x:c r="A342" s="10" t="str">
        <x:v>Balloon Loan Calculator Sheet | Excel and Google Sheets | Loan Payment Schedule &amp; Financial Planning Template | Loan Interest Calculator</x:v>
      </x:c>
      <x:c r="B342" s="10" t="str">
        <x:v>https://www.etsy.com/listing/4359311519/balloon-loan-calculator-sheet-excel-and</x:v>
      </x:c>
      <x:c r="C342" s="10" t="str">
        <x:v>Xeasysheets</x:v>
      </x:c>
      <x:c r="D342" s="10" t="str">
        <x:v>https://www.etsy.com/shop/Xeasysheets</x:v>
      </x:c>
      <x:c r="E342" s="11" t="n">
        <x:v>11.09</x:v>
      </x:c>
      <x:c r="F342" s="10" t="n">
        <x:v>0</x:v>
      </x:c>
      <x:c r="G342" s="12" t="n">
        <x:v>0</x:v>
      </x:c>
      <x:c r="H342" s="13" t="n">
        <x:v>0</x:v>
      </x:c>
      <x:c r="I342" s="10" t="n">
        <x:v>0</x:v>
      </x:c>
      <x:c r="J342" s="10" t="n">
        <x:v>0</x:v>
      </x:c>
      <x:c r="K342" s="10" t="str">
        <x:v>11 Mo.</x:v>
      </x:c>
      <x:c r="L342" s="10" t="n">
        <x:v>1</x:v>
      </x:c>
      <x:c r="M342" s="10" t="n">
        <x:v>0</x:v>
      </x:c>
      <x:c r="N342" s="10" t="n">
        <x:v>105</x:v>
      </x:c>
      <x:c r="O342" s="10" t="str"/>
      <x:c r="P342" s="10" t="n">
        <x:v>12</x:v>
      </x:c>
      <x:c r="Q342" s="10" t="n">
        <x:v>0</x:v>
      </x:c>
      <x:c r="R342" s="13" t="n">
        <x:v>0</x:v>
      </x:c>
      <x:c r="S342" s="10" t="n">
        <x:v>2161</x:v>
      </x:c>
      <x:c r="T342" s="10" t="str">
        <x:v>balloon loan,loan calculator,loan payment,financial planner,mortgage calculator,excel loan template,loan schedule,loan interest,loan management,payment schedule,balloon loan tracker,business loan,balloon payment</x:v>
      </x:c>
      <x:c r="U342" s="10" t="str">
        <x:v>balloon loan</x:v>
      </x:c>
      <x:c r="V342" s="10" t="str">
        <x:v>loan calculator</x:v>
      </x:c>
      <x:c r="W342" s="10" t="str">
        <x:v>loan payment</x:v>
      </x:c>
      <x:c r="X342" s="10" t="str">
        <x:v>financial planner</x:v>
      </x:c>
      <x:c r="Y342" s="10" t="str">
        <x:v>mortgage calculator</x:v>
      </x:c>
      <x:c r="Z342" s="10" t="str">
        <x:v>excel loan template</x:v>
      </x:c>
      <x:c r="AA342" s="10" t="str">
        <x:v>loan schedule</x:v>
      </x:c>
      <x:c r="AB342" s="10" t="str">
        <x:v>loan interest</x:v>
      </x:c>
      <x:c r="AC342" s="10" t="str">
        <x:v>loan management</x:v>
      </x:c>
      <x:c r="AD342" s="10" t="str">
        <x:v>payment schedule</x:v>
      </x:c>
      <x:c r="AE342" s="10" t="str">
        <x:v>balloon loan tracker</x:v>
      </x:c>
      <x:c r="AF342" s="10" t="str">
        <x:v>business loan</x:v>
      </x:c>
      <x:c r="AG342" s="10" t="str">
        <x:v>balloon payment</x:v>
      </x:c>
      <x:c r="AH342" s="10" t="str">
        <x:v>Other mortgage-related</x:v>
      </x:c>
      <x:c r="AI342" s="13" t="n">
        <x:v>11</x:v>
      </x:c>
      <x:c r="AJ342" s="10" t="str">
        <x:f>IF(F342&gt;0,"Active","No est. sales")</x:f>
        <x:v>No est. sales</x:v>
      </x:c>
    </x:row>
    <x:row r="343">
      <x:c r="A343" s="10" t="str">
        <x:v>Mortgage Payment Calculator Template, Home Loan Calculator, Amortization Schedule, Excel &amp; Google Sheets, Monthly Payment Planner</x:v>
      </x:c>
      <x:c r="B343" s="10" t="str">
        <x:v>https://www.etsy.com/listing/4478172169/mortgage-payment-calculator-template</x:v>
      </x:c>
      <x:c r="C343" s="10" t="str">
        <x:v>Xeasysheets</x:v>
      </x:c>
      <x:c r="D343" s="10" t="str">
        <x:v>https://www.etsy.com/shop/Xeasysheets</x:v>
      </x:c>
      <x:c r="E343" s="11" t="n">
        <x:v>11.09</x:v>
      </x:c>
      <x:c r="F343" s="10" t="n">
        <x:v>0</x:v>
      </x:c>
      <x:c r="G343" s="12" t="n">
        <x:v>0</x:v>
      </x:c>
      <x:c r="H343" s="13" t="n">
        <x:v>0</x:v>
      </x:c>
      <x:c r="I343" s="10" t="n">
        <x:v>0</x:v>
      </x:c>
      <x:c r="J343" s="10" t="n">
        <x:v>0</x:v>
      </x:c>
      <x:c r="K343" s="10" t="str">
        <x:v>4 Mo.</x:v>
      </x:c>
      <x:c r="L343" s="10" t="n">
        <x:v>1</x:v>
      </x:c>
      <x:c r="M343" s="10" t="n">
        <x:v>0</x:v>
      </x:c>
      <x:c r="N343" s="10" t="n">
        <x:v>5</x:v>
      </x:c>
      <x:c r="O343" s="10" t="str"/>
      <x:c r="P343" s="10" t="n">
        <x:v>12</x:v>
      </x:c>
      <x:c r="Q343" s="10" t="n">
        <x:v>0</x:v>
      </x:c>
      <x:c r="R343" s="13" t="n">
        <x:v>0</x:v>
      </x:c>
      <x:c r="S343" s="10" t="n">
        <x:v>2161</x:v>
      </x:c>
      <x:c r="T343" s="10" t="str">
        <x:v>mortgage template,loan calculator,home loan sheet,payment planner,amortization,mortgage excel,loan spreadsheet,home budget tool,interest tracker,finance template,mortgage sheet,loan payment tool,excel mortgage</x:v>
      </x:c>
      <x:c r="U343" s="10" t="str">
        <x:v>mortgage template</x:v>
      </x:c>
      <x:c r="V343" s="10" t="str">
        <x:v>loan calculator</x:v>
      </x:c>
      <x:c r="W343" s="10" t="str">
        <x:v>home loan sheet</x:v>
      </x:c>
      <x:c r="X343" s="10" t="str">
        <x:v>payment planner</x:v>
      </x:c>
      <x:c r="Y343" s="10" t="str">
        <x:v>amortization</x:v>
      </x:c>
      <x:c r="Z343" s="10" t="str">
        <x:v>mortgage excel</x:v>
      </x:c>
      <x:c r="AA343" s="10" t="str">
        <x:v>loan spreadsheet</x:v>
      </x:c>
      <x:c r="AB343" s="10" t="str">
        <x:v>home budget tool</x:v>
      </x:c>
      <x:c r="AC343" s="10" t="str">
        <x:v>interest tracker</x:v>
      </x:c>
      <x:c r="AD343" s="10" t="str">
        <x:v>finance template</x:v>
      </x:c>
      <x:c r="AE343" s="10" t="str">
        <x:v>mortgage sheet</x:v>
      </x:c>
      <x:c r="AF343" s="10" t="str">
        <x:v>loan payment tool</x:v>
      </x:c>
      <x:c r="AG343" s="10" t="str">
        <x:v>excel mortgage</x:v>
      </x:c>
      <x:c r="AH343" s="10" t="str">
        <x:v>Mortgage payoff / calculator</x:v>
      </x:c>
      <x:c r="AI343" s="13" t="n">
        <x:v>4</x:v>
      </x:c>
      <x:c r="AJ343" s="10" t="str">
        <x:f>IF(F343&gt;0,"Active","No est. sales")</x:f>
        <x:v>No est. sales</x:v>
      </x:c>
    </x:row>
    <x:row r="344">
      <x:c r="A344" s="10" t="str">
        <x:v>Mortgage Payment Worksheet | Loan Amortization Schedule Template | Home Loan Calculator Spreadsheet | Excel &amp; Google Sheets</x:v>
      </x:c>
      <x:c r="B344" s="10" t="str">
        <x:v>https://www.etsy.com/listing/4480576541/mortgage-payment-worksheet-loan</x:v>
      </x:c>
      <x:c r="C344" s="10" t="str">
        <x:v>Xeasysheets</x:v>
      </x:c>
      <x:c r="D344" s="10" t="str">
        <x:v>https://www.etsy.com/shop/Xeasysheets</x:v>
      </x:c>
      <x:c r="E344" s="11" t="n">
        <x:v>11.09</x:v>
      </x:c>
      <x:c r="F344" s="10" t="n">
        <x:v>0</x:v>
      </x:c>
      <x:c r="G344" s="12" t="n">
        <x:v>0</x:v>
      </x:c>
      <x:c r="H344" s="13" t="n">
        <x:v>0</x:v>
      </x:c>
      <x:c r="I344" s="10" t="n">
        <x:v>0</x:v>
      </x:c>
      <x:c r="J344" s="10" t="n">
        <x:v>0</x:v>
      </x:c>
      <x:c r="K344" s="10" t="str">
        <x:v>4 Mo.</x:v>
      </x:c>
      <x:c r="L344" s="10" t="n">
        <x:v>0</x:v>
      </x:c>
      <x:c r="M344" s="10" t="n">
        <x:v>0</x:v>
      </x:c>
      <x:c r="N344" s="10" t="n">
        <x:v>7</x:v>
      </x:c>
      <x:c r="O344" s="10" t="str"/>
      <x:c r="P344" s="10" t="n">
        <x:v>12</x:v>
      </x:c>
      <x:c r="Q344" s="10" t="n">
        <x:v>0</x:v>
      </x:c>
      <x:c r="R344" s="13" t="n">
        <x:v>0</x:v>
      </x:c>
      <x:c r="S344" s="10" t="n">
        <x:v>2161</x:v>
      </x:c>
      <x:c r="T344" s="10" t="str">
        <x:v>mortgage worksheet,loan calculator,amortization sheet,home loan tracker,mortgage planner,excel mortgage,google sheets,loan schedule,payment tracker,interest tracker,mortgage sheet,finance planner,debt payoff</x:v>
      </x:c>
      <x:c r="U344" s="10" t="str">
        <x:v>mortgage worksheet</x:v>
      </x:c>
      <x:c r="V344" s="10" t="str">
        <x:v>loan calculator</x:v>
      </x:c>
      <x:c r="W344" s="10" t="str">
        <x:v>amortization sheet</x:v>
      </x:c>
      <x:c r="X344" s="10" t="str">
        <x:v>home loan tracker</x:v>
      </x:c>
      <x:c r="Y344" s="10" t="str">
        <x:v>mortgage planner</x:v>
      </x:c>
      <x:c r="Z344" s="10" t="str">
        <x:v>excel mortgage</x:v>
      </x:c>
      <x:c r="AA344" s="10" t="str">
        <x:v>google sheets</x:v>
      </x:c>
      <x:c r="AB344" s="10" t="str">
        <x:v>loan schedule</x:v>
      </x:c>
      <x:c r="AC344" s="10" t="str">
        <x:v>payment tracker</x:v>
      </x:c>
      <x:c r="AD344" s="10" t="str">
        <x:v>interest tracker</x:v>
      </x:c>
      <x:c r="AE344" s="10" t="str">
        <x:v>mortgage sheet</x:v>
      </x:c>
      <x:c r="AF344" s="10" t="str">
        <x:v>finance planner</x:v>
      </x:c>
      <x:c r="AG344" s="10" t="str">
        <x:v>debt payoff</x:v>
      </x:c>
      <x:c r="AH344" s="10" t="str">
        <x:v>Mortgage payoff / calculator</x:v>
      </x:c>
      <x:c r="AI344" s="13" t="n">
        <x:v>4</x:v>
      </x:c>
      <x:c r="AJ344" s="10" t="str">
        <x:f>IF(F344&gt;0,"Active","No est. sales")</x:f>
        <x:v>No est. sales</x:v>
      </x:c>
    </x:row>
    <x:row r="345">
      <x:c r="A345" s="10" t="str">
        <x:v>Finance Interest Rate Impact Calculator – Excel and Google Sheets Template for Loan &amp; Investment Analysis – 50% Off</x:v>
      </x:c>
      <x:c r="B345" s="10" t="str">
        <x:v>https://www.etsy.com/listing/4365184442/finance-interest-rate-impact-calculator</x:v>
      </x:c>
      <x:c r="C345" s="10" t="str">
        <x:v>Xeasysheets</x:v>
      </x:c>
      <x:c r="D345" s="10" t="str">
        <x:v>https://www.etsy.com/shop/Xeasysheets</x:v>
      </x:c>
      <x:c r="E345" s="11" t="n">
        <x:v>11.09</x:v>
      </x:c>
      <x:c r="F345" s="10" t="n">
        <x:v>0</x:v>
      </x:c>
      <x:c r="G345" s="12" t="n">
        <x:v>0</x:v>
      </x:c>
      <x:c r="H345" s="13" t="n">
        <x:v>0</x:v>
      </x:c>
      <x:c r="I345" s="10" t="n">
        <x:v>0</x:v>
      </x:c>
      <x:c r="J345" s="10" t="n">
        <x:v>0</x:v>
      </x:c>
      <x:c r="K345" s="10" t="str">
        <x:v>10 Mo.</x:v>
      </x:c>
      <x:c r="L345" s="10" t="n">
        <x:v>1</x:v>
      </x:c>
      <x:c r="M345" s="10" t="n">
        <x:v>0</x:v>
      </x:c>
      <x:c r="N345" s="10" t="n">
        <x:v>22</x:v>
      </x:c>
      <x:c r="O345" s="10" t="str"/>
      <x:c r="P345" s="10" t="n">
        <x:v>12</x:v>
      </x:c>
      <x:c r="Q345" s="10" t="n">
        <x:v>0</x:v>
      </x:c>
      <x:c r="R345" s="13" t="n">
        <x:v>0</x:v>
      </x:c>
      <x:c r="S345" s="10" t="n">
        <x:v>2161</x:v>
      </x:c>
      <x:c r="T345" s="10" t="str">
        <x:v>loan calculator,finance tool,google sheet finance,excel finance,financial analysis,interest rate impact,loan planner,mortgage calculator,payment tracker,debt calculator,financial planning,investment,interest rate</x:v>
      </x:c>
      <x:c r="U345" s="10" t="str">
        <x:v>loan calculator</x:v>
      </x:c>
      <x:c r="V345" s="10" t="str">
        <x:v>finance tool</x:v>
      </x:c>
      <x:c r="W345" s="10" t="str">
        <x:v>google sheet finance</x:v>
      </x:c>
      <x:c r="X345" s="10" t="str">
        <x:v>excel finance</x:v>
      </x:c>
      <x:c r="Y345" s="10" t="str">
        <x:v>financial analysis</x:v>
      </x:c>
      <x:c r="Z345" s="10" t="str">
        <x:v>interest rate impact</x:v>
      </x:c>
      <x:c r="AA345" s="10" t="str">
        <x:v>loan planner</x:v>
      </x:c>
      <x:c r="AB345" s="10" t="str">
        <x:v>mortgage calculator</x:v>
      </x:c>
      <x:c r="AC345" s="10" t="str">
        <x:v>payment tracker</x:v>
      </x:c>
      <x:c r="AD345" s="10" t="str">
        <x:v>debt calculator</x:v>
      </x:c>
      <x:c r="AE345" s="10" t="str">
        <x:v>financial planning</x:v>
      </x:c>
      <x:c r="AF345" s="10" t="str">
        <x:v>investment</x:v>
      </x:c>
      <x:c r="AG345" s="10" t="str">
        <x:v>interest rate</x:v>
      </x:c>
      <x:c r="AH345" s="10" t="str">
        <x:v>Other mortgage-related</x:v>
      </x:c>
      <x:c r="AI345" s="13" t="n">
        <x:v>10</x:v>
      </x:c>
      <x:c r="AJ345" s="10" t="str">
        <x:f>IF(F345&gt;0,"Active","No est. sales")</x:f>
        <x:v>No est. sales</x:v>
      </x:c>
    </x:row>
    <x:row r="346">
      <x:c r="A346" s="10" t="str">
        <x:v>Debt Payoff Tracker Google Sheets Debt Snowball Avalanche Calculator Spreadsheet Credit Card Loan Mortgage Payoff Debt Free Planner</x:v>
      </x:c>
      <x:c r="B346" s="10" t="str">
        <x:v>https://www.etsy.com/listing/4356963373/debt-payoff-tracker-google-sheets-debt</x:v>
      </x:c>
      <x:c r="C346" s="10" t="str">
        <x:v>ByTwoSistersAndCo</x:v>
      </x:c>
      <x:c r="D346" s="10" t="str">
        <x:v>https://www.etsy.com/shop/ByTwoSistersAndCo</x:v>
      </x:c>
      <x:c r="E346" s="11" t="n">
        <x:v>3.98</x:v>
      </x:c>
      <x:c r="F346" s="10" t="n">
        <x:v>0</x:v>
      </x:c>
      <x:c r="G346" s="12" t="n">
        <x:v>0</x:v>
      </x:c>
      <x:c r="H346" s="13" t="n">
        <x:v>0</x:v>
      </x:c>
      <x:c r="I346" s="10" t="n">
        <x:v>2</x:v>
      </x:c>
      <x:c r="J346" s="10" t="n">
        <x:v>0</x:v>
      </x:c>
      <x:c r="K346" s="10" t="str">
        <x:v>11 Mo.</x:v>
      </x:c>
      <x:c r="L346" s="10" t="n">
        <x:v>0</x:v>
      </x:c>
      <x:c r="M346" s="10" t="n">
        <x:v>0</x:v>
      </x:c>
      <x:c r="N346" s="10" t="n">
        <x:v>82</x:v>
      </x:c>
      <x:c r="O346" s="10" t="str">
        <x:v>Paper &amp; Party Supplies</x:v>
      </x:c>
      <x:c r="P346" s="10" t="n">
        <x:v>12</x:v>
      </x:c>
      <x:c r="Q346" s="10" t="n">
        <x:v>0</x:v>
      </x:c>
      <x:c r="R346" s="13" t="n">
        <x:v>2.44</x:v>
      </x:c>
      <x:c r="S346" s="10" t="n">
        <x:v>62</x:v>
      </x:c>
      <x:c r="T346" s="10" t="str">
        <x:v>debt google sheets,debt spreadsheet,snowball calculator,debt avalanche,mortgage payoff,debt payoff tracker,financial planner,budget planner,credit card debt,snowball method,loan payoff tracker,credit utilization,subscription tracker</x:v>
      </x:c>
      <x:c r="U346" s="10" t="str">
        <x:v>debt google sheets</x:v>
      </x:c>
      <x:c r="V346" s="10" t="str">
        <x:v>debt spreadsheet</x:v>
      </x:c>
      <x:c r="W346" s="10" t="str">
        <x:v>snowball calculator</x:v>
      </x:c>
      <x:c r="X346" s="10" t="str">
        <x:v>debt avalanche</x:v>
      </x:c>
      <x:c r="Y346" s="10" t="str">
        <x:v>mortgage payoff</x:v>
      </x:c>
      <x:c r="Z346" s="10" t="str">
        <x:v>debt payoff tracker</x:v>
      </x:c>
      <x:c r="AA346" s="10" t="str">
        <x:v>financial planner</x:v>
      </x:c>
      <x:c r="AB346" s="10" t="str">
        <x:v>budget planner</x:v>
      </x:c>
      <x:c r="AC346" s="10" t="str">
        <x:v>credit card debt</x:v>
      </x:c>
      <x:c r="AD346" s="10" t="str">
        <x:v>snowball method</x:v>
      </x:c>
      <x:c r="AE346" s="10" t="str">
        <x:v>loan payoff tracker</x:v>
      </x:c>
      <x:c r="AF346" s="10" t="str">
        <x:v>credit utilization</x:v>
      </x:c>
      <x:c r="AG346" s="10" t="str">
        <x:v>subscription tracker</x:v>
      </x:c>
      <x:c r="AH346" s="10" t="str">
        <x:v>General debt payoff</x:v>
      </x:c>
      <x:c r="AI346" s="13" t="n">
        <x:v>11</x:v>
      </x:c>
      <x:c r="AJ346" s="10" t="str">
        <x:f>IF(F346&gt;0,"Active","No est. sales")</x:f>
        <x:v>No est. sales</x:v>
      </x:c>
    </x:row>
    <x:row r="347">
      <x:c r="A347" s="10" t="str">
        <x:v>4 little blue house felties 2&amp;quot;</x:v>
      </x:c>
      <x:c r="B347" s="10" t="str">
        <x:v>https://www.etsy.com/listing/616913451/4-little-blue-house-felties-2</x:v>
      </x:c>
      <x:c r="C347" s="10" t="str">
        <x:v>CoolStitchesnstuff</x:v>
      </x:c>
      <x:c r="D347" s="10" t="str">
        <x:v>https://www.etsy.com/shop/CoolStitchesnstuff</x:v>
      </x:c>
      <x:c r="E347" s="11" t="n">
        <x:v>4.25</x:v>
      </x:c>
      <x:c r="F347" s="10" t="n">
        <x:v>0</x:v>
      </x:c>
      <x:c r="G347" s="12" t="n">
        <x:v>0</x:v>
      </x:c>
      <x:c r="H347" s="13" t="n">
        <x:v>0</x:v>
      </x:c>
      <x:c r="I347" s="10" t="n">
        <x:v>4</x:v>
      </x:c>
      <x:c r="J347" s="10" t="n">
        <x:v>1</x:v>
      </x:c>
      <x:c r="K347" s="10" t="str">
        <x:v>98 Mo.</x:v>
      </x:c>
      <x:c r="L347" s="10" t="n">
        <x:v>8</x:v>
      </x:c>
      <x:c r="M347" s="10" t="n">
        <x:v>0</x:v>
      </x:c>
      <x:c r="N347" s="10" t="n">
        <x:v>37</x:v>
      </x:c>
      <x:c r="O347" s="10" t="str">
        <x:v>Art &amp; Collectibles</x:v>
      </x:c>
      <x:c r="P347" s="10" t="n">
        <x:v>145</x:v>
      </x:c>
      <x:c r="Q347" s="10" t="n">
        <x:v>0</x:v>
      </x:c>
      <x:c r="R347" s="13" t="n">
        <x:v>10.81</x:v>
      </x:c>
      <x:c r="S347" s="10" t="n">
        <x:v>17589</x:v>
      </x:c>
      <x:c r="T347" s="10" t="str">
        <x:v>town,mortgage,planner,plan,cottage,cozy,aqua,felty,hair bow,clippie,card making,embellishments,clip cover</x:v>
      </x:c>
      <x:c r="U347" s="10" t="str">
        <x:v>town</x:v>
      </x:c>
      <x:c r="V347" s="10" t="str">
        <x:v>mortgage</x:v>
      </x:c>
      <x:c r="W347" s="10" t="str">
        <x:v>planner</x:v>
      </x:c>
      <x:c r="X347" s="10" t="str">
        <x:v>plan</x:v>
      </x:c>
      <x:c r="Y347" s="10" t="str">
        <x:v>cottage</x:v>
      </x:c>
      <x:c r="Z347" s="10" t="str">
        <x:v>cozy</x:v>
      </x:c>
      <x:c r="AA347" s="10" t="str">
        <x:v>aqua</x:v>
      </x:c>
      <x:c r="AB347" s="10" t="str">
        <x:v>felty</x:v>
      </x:c>
      <x:c r="AC347" s="10" t="str">
        <x:v>hair bow</x:v>
      </x:c>
      <x:c r="AD347" s="10" t="str">
        <x:v>clippie</x:v>
      </x:c>
      <x:c r="AE347" s="10" t="str">
        <x:v>card making</x:v>
      </x:c>
      <x:c r="AF347" s="10" t="str">
        <x:v>embellishments</x:v>
      </x:c>
      <x:c r="AG347" s="10" t="str">
        <x:v>clip cover</x:v>
      </x:c>
      <x:c r="AH347" s="10" t="str">
        <x:v>Other mortgage-related</x:v>
      </x:c>
      <x:c r="AI347" s="13" t="n">
        <x:v>98</x:v>
      </x:c>
      <x:c r="AJ347" s="10" t="str">
        <x:f>IF(F347&gt;0,"Active","No est. sales")</x:f>
        <x:v>No est. sales</x:v>
      </x:c>
    </x:row>
    <x:row r="348">
      <x:c r="A348" s="10" t="str">
        <x:v>First Home Planner Spreadsheet | Deposit, Buying Costs, Moving Tracker (Excel/Google Sheets)</x:v>
      </x:c>
      <x:c r="B348" s="10" t="str">
        <x:v>https://www.etsy.com/listing/4532287163/first-home-planner-spreadsheet-first</x:v>
      </x:c>
      <x:c r="C348" s="10" t="str">
        <x:v>BerryBunOrganised</x:v>
      </x:c>
      <x:c r="D348" s="10" t="str">
        <x:v>https://www.etsy.com/shop/BerryBunOrganised</x:v>
      </x:c>
      <x:c r="E348" s="11" t="n">
        <x:v>7.98</x:v>
      </x:c>
      <x:c r="F348" s="10" t="n">
        <x:v>0</x:v>
      </x:c>
      <x:c r="G348" s="12" t="n">
        <x:v>0</x:v>
      </x:c>
      <x:c r="H348" s="13" t="n">
        <x:v>0</x:v>
      </x:c>
      <x:c r="I348" s="10" t="n">
        <x:v>0</x:v>
      </x:c>
      <x:c r="J348" s="10" t="n">
        <x:v>0</x:v>
      </x:c>
      <x:c r="K348" s="10" t="str">
        <x:v>1 Mo.</x:v>
      </x:c>
      <x:c r="L348" s="10" t="n">
        <x:v>1</x:v>
      </x:c>
      <x:c r="M348" s="10" t="n">
        <x:v>0</x:v>
      </x:c>
      <x:c r="N348" s="10" t="n">
        <x:v>26</x:v>
      </x:c>
      <x:c r="O348" s="10" t="str"/>
      <x:c r="P348" s="10" t="n">
        <x:v>120</x:v>
      </x:c>
      <x:c r="Q348" s="10" t="n">
        <x:v>0</x:v>
      </x:c>
      <x:c r="R348" s="13" t="n">
        <x:v>0</x:v>
      </x:c>
      <x:c r="S348" s="10" t="n">
        <x:v>21</x:v>
      </x:c>
      <x:c r="T348" s="10" t="str">
        <x:v>first home planner,first time buyer,new home planner,house deposit,moving house,home buying,mortgage planner,house budget,google sheets,budget spreadsheet,new home checklist,moving checklist,home savings</x:v>
      </x:c>
      <x:c r="U348" s="10" t="str">
        <x:v>first home planner</x:v>
      </x:c>
      <x:c r="V348" s="10" t="str">
        <x:v>first time buyer</x:v>
      </x:c>
      <x:c r="W348" s="10" t="str">
        <x:v>new home planner</x:v>
      </x:c>
      <x:c r="X348" s="10" t="str">
        <x:v>house deposit</x:v>
      </x:c>
      <x:c r="Y348" s="10" t="str">
        <x:v>moving house</x:v>
      </x:c>
      <x:c r="Z348" s="10" t="str">
        <x:v>home buying</x:v>
      </x:c>
      <x:c r="AA348" s="10" t="str">
        <x:v>mortgage planner</x:v>
      </x:c>
      <x:c r="AB348" s="10" t="str">
        <x:v>house budget</x:v>
      </x:c>
      <x:c r="AC348" s="10" t="str">
        <x:v>google sheets</x:v>
      </x:c>
      <x:c r="AD348" s="10" t="str">
        <x:v>budget spreadsheet</x:v>
      </x:c>
      <x:c r="AE348" s="10" t="str">
        <x:v>new home checklist</x:v>
      </x:c>
      <x:c r="AF348" s="10" t="str">
        <x:v>moving checklist</x:v>
      </x:c>
      <x:c r="AG348" s="10" t="str">
        <x:v>home savings</x:v>
      </x:c>
      <x:c r="AH348" s="10" t="str">
        <x:v>Other mortgage-related</x:v>
      </x:c>
      <x:c r="AI348" s="13" t="n">
        <x:v>1</x:v>
      </x:c>
      <x:c r="AJ348" s="10" t="str">
        <x:f>IF(F348&gt;0,"Active","No est. sales")</x:f>
        <x:v>No est. sales</x:v>
      </x:c>
    </x:row>
    <x:row r="349">
      <x:c r="A349" s="10" t="str">
        <x:v>Housing Payment Stickers. Different color options. Keep track of Rent or Mortgage stickers Great for budget Planners, journals and calendars</x:v>
      </x:c>
      <x:c r="B349" s="10" t="str">
        <x:v>https://www.etsy.com/listing/830789356/housing-payment-stickers-different-color</x:v>
      </x:c>
      <x:c r="C349" s="10" t="str">
        <x:v>TyrianDesign</x:v>
      </x:c>
      <x:c r="D349" s="10" t="str">
        <x:v>https://www.etsy.com/shop/TyrianDesign</x:v>
      </x:c>
      <x:c r="E349" s="11" t="n">
        <x:v>3.5</x:v>
      </x:c>
      <x:c r="F349" s="10" t="n">
        <x:v>0</x:v>
      </x:c>
      <x:c r="G349" s="12" t="n">
        <x:v>0</x:v>
      </x:c>
      <x:c r="H349" s="13" t="n">
        <x:v>0</x:v>
      </x:c>
      <x:c r="I349" s="10" t="n">
        <x:v>319</x:v>
      </x:c>
      <x:c r="J349" s="10" t="n">
        <x:v>61</x:v>
      </x:c>
      <x:c r="K349" s="10" t="str">
        <x:v>72 Mo.</x:v>
      </x:c>
      <x:c r="L349" s="10" t="n">
        <x:v>318</x:v>
      </x:c>
      <x:c r="M349" s="10" t="n">
        <x:v>1</x:v>
      </x:c>
      <x:c r="N349" s="10" t="n">
        <x:v>3156</x:v>
      </x:c>
      <x:c r="O349" s="10" t="str">
        <x:v>Paper &amp; Party Supplies</x:v>
      </x:c>
      <x:c r="P349" s="10" t="n">
        <x:v>174</x:v>
      </x:c>
      <x:c r="Q349" s="10" t="n">
        <x:v>0</x:v>
      </x:c>
      <x:c r="R349" s="13" t="n">
        <x:v>10.11</x:v>
      </x:c>
      <x:c r="S349" s="10" t="n">
        <x:v>99036</x:v>
      </x:c>
      <x:c r="T349" s="10" t="str">
        <x:v>stickers,planner,functional stickers,tyrian design,journal,bullet journal,budget,mortgage sticker,rent sticker,planner stickers,budget sticker,transparent sticker,hobonichi</x:v>
      </x:c>
      <x:c r="U349" s="10" t="str">
        <x:v>stickers</x:v>
      </x:c>
      <x:c r="V349" s="10" t="str">
        <x:v>planner</x:v>
      </x:c>
      <x:c r="W349" s="10" t="str">
        <x:v>functional stickers</x:v>
      </x:c>
      <x:c r="X349" s="10" t="str">
        <x:v>tyrian design</x:v>
      </x:c>
      <x:c r="Y349" s="10" t="str">
        <x:v>journal</x:v>
      </x:c>
      <x:c r="Z349" s="10" t="str">
        <x:v>bullet journal</x:v>
      </x:c>
      <x:c r="AA349" s="10" t="str">
        <x:v>budget</x:v>
      </x:c>
      <x:c r="AB349" s="10" t="str">
        <x:v>mortgage sticker</x:v>
      </x:c>
      <x:c r="AC349" s="10" t="str">
        <x:v>rent sticker</x:v>
      </x:c>
      <x:c r="AD349" s="10" t="str">
        <x:v>planner stickers</x:v>
      </x:c>
      <x:c r="AE349" s="10" t="str">
        <x:v>budget sticker</x:v>
      </x:c>
      <x:c r="AF349" s="10" t="str">
        <x:v>transparent sticker</x:v>
      </x:c>
      <x:c r="AG349" s="10" t="str">
        <x:v>hobonichi</x:v>
      </x:c>
      <x:c r="AH349" s="10" t="str">
        <x:v>Other mortgage-related</x:v>
      </x:c>
      <x:c r="AI349" s="13" t="n">
        <x:v>72</x:v>
      </x:c>
      <x:c r="AJ349" s="10" t="str">
        <x:f>IF(F349&gt;0,"Active","No est. sales")</x:f>
        <x:v>No est. sales</x:v>
      </x:c>
    </x:row>
    <x:row r="350">
      <x:c r="A350" s="10" t="str">
        <x:v>Home Buying Planner | 45-Page Checklist &amp; Budget (PDF Printable A5/A4/Letter Size)</x:v>
      </x:c>
      <x:c r="B350" s="10" t="str">
        <x:v>https://www.etsy.com/listing/1390522863/home-buying-planner-house-hunting</x:v>
      </x:c>
      <x:c r="C350" s="10" t="str">
        <x:v>LOOKINTOUS</x:v>
      </x:c>
      <x:c r="D350" s="10" t="str">
        <x:v>https://www.etsy.com/shop/LOOKINTOUS</x:v>
      </x:c>
      <x:c r="E350" s="11" t="n">
        <x:v>2.84</x:v>
      </x:c>
      <x:c r="F350" s="10" t="n">
        <x:v>0</x:v>
      </x:c>
      <x:c r="G350" s="12" t="n">
        <x:v>0</x:v>
      </x:c>
      <x:c r="H350" s="13" t="n">
        <x:v>0</x:v>
      </x:c>
      <x:c r="I350" s="10" t="n">
        <x:v>0</x:v>
      </x:c>
      <x:c r="J350" s="10" t="n">
        <x:v>0</x:v>
      </x:c>
      <x:c r="K350" s="10" t="str">
        <x:v>42 Mo.</x:v>
      </x:c>
      <x:c r="L350" s="10" t="n">
        <x:v>7</x:v>
      </x:c>
      <x:c r="M350" s="10" t="n">
        <x:v>0</x:v>
      </x:c>
      <x:c r="N350" s="10" t="n">
        <x:v>94</x:v>
      </x:c>
      <x:c r="O350" s="10" t="str">
        <x:v>Paper &amp; Party Supplies</x:v>
      </x:c>
      <x:c r="P350" s="10" t="n">
        <x:v>42</x:v>
      </x:c>
      <x:c r="Q350" s="10" t="n">
        <x:v>0</x:v>
      </x:c>
      <x:c r="R350" s="13" t="n">
        <x:v>0</x:v>
      </x:c>
      <x:c r="S350" s="10" t="n">
        <x:v>3088</x:v>
      </x:c>
      <x:c r="T350" s="10" t="str">
        <x:v>first home planner,house purchase guide,new home organizer,home buyer workbook,property buying plan,real estate printabl,home buying toolkit,buyer consultation,home buying budget,mortgage calculator,down payment savings,moving planner,realtor client gift</x:v>
      </x:c>
      <x:c r="U350" s="10" t="str">
        <x:v>first home planner</x:v>
      </x:c>
      <x:c r="V350" s="10" t="str">
        <x:v>house purchase guide</x:v>
      </x:c>
      <x:c r="W350" s="10" t="str">
        <x:v>new home organizer</x:v>
      </x:c>
      <x:c r="X350" s="10" t="str">
        <x:v>home buyer workbook</x:v>
      </x:c>
      <x:c r="Y350" s="10" t="str">
        <x:v>property buying plan</x:v>
      </x:c>
      <x:c r="Z350" s="10" t="str">
        <x:v>real estate printabl</x:v>
      </x:c>
      <x:c r="AA350" s="10" t="str">
        <x:v>home buying toolkit</x:v>
      </x:c>
      <x:c r="AB350" s="10" t="str">
        <x:v>buyer consultation</x:v>
      </x:c>
      <x:c r="AC350" s="10" t="str">
        <x:v>home buying budget</x:v>
      </x:c>
      <x:c r="AD350" s="10" t="str">
        <x:v>mortgage calculator</x:v>
      </x:c>
      <x:c r="AE350" s="10" t="str">
        <x:v>down payment savings</x:v>
      </x:c>
      <x:c r="AF350" s="10" t="str">
        <x:v>moving planner</x:v>
      </x:c>
      <x:c r="AG350" s="10" t="str">
        <x:v>realtor client gift</x:v>
      </x:c>
      <x:c r="AH350" s="10" t="str">
        <x:v>Home buying planner</x:v>
      </x:c>
      <x:c r="AI350" s="13" t="n">
        <x:v>42</x:v>
      </x:c>
      <x:c r="AJ350" s="10" t="str">
        <x:f>IF(F350&gt;0,"Active","No est. sales")</x:f>
        <x:v>No est. sales</x:v>
      </x:c>
    </x:row>
    <x:row r="351">
      <x:c r="A351" s="10" t="str">
        <x:v>Debt Payoff Tracker Google Sheets Snowball Method Debt Payment Spreadsheet Financial Planner Credit Card Mortgage Payoff Personal Finance</x:v>
      </x:c>
      <x:c r="B351" s="10" t="str">
        <x:v>https://www.etsy.com/listing/1715429413/debt-payoff-tracker-google-sheets</x:v>
      </x:c>
      <x:c r="C351" s="10" t="str">
        <x:v>PLANSTUDIOREMIER</x:v>
      </x:c>
      <x:c r="D351" s="10" t="str">
        <x:v>https://www.etsy.com/shop/PLANSTUDIOREMIER</x:v>
      </x:c>
      <x:c r="E351" s="11" t="n">
        <x:v>3.51</x:v>
      </x:c>
      <x:c r="F351" s="10" t="n">
        <x:v>0</x:v>
      </x:c>
      <x:c r="G351" s="12" t="n">
        <x:v>0</x:v>
      </x:c>
      <x:c r="H351" s="13" t="n">
        <x:v>0</x:v>
      </x:c>
      <x:c r="I351" s="10" t="n">
        <x:v>6</x:v>
      </x:c>
      <x:c r="J351" s="10" t="n">
        <x:v>1</x:v>
      </x:c>
      <x:c r="K351" s="10" t="str">
        <x:v>27 Mo.</x:v>
      </x:c>
      <x:c r="L351" s="10" t="n">
        <x:v>3</x:v>
      </x:c>
      <x:c r="M351" s="10" t="n">
        <x:v>0</x:v>
      </x:c>
      <x:c r="N351" s="10" t="n">
        <x:v>94</x:v>
      </x:c>
      <x:c r="O351" s="10" t="str"/>
      <x:c r="P351" s="10" t="n">
        <x:v>27</x:v>
      </x:c>
      <x:c r="Q351" s="10" t="n">
        <x:v>0</x:v>
      </x:c>
      <x:c r="R351" s="13" t="n">
        <x:v>6.38</x:v>
      </x:c>
      <x:c r="S351" s="10" t="n">
        <x:v>472</x:v>
      </x:c>
      <x:c r="T351" s="10" t="str">
        <x:v>debt payoff tracker,debt payment planner,financial planner,yearly budget tool,debt tracker google,debt snowball method,credit card payoff,finance spreadsheet,mortgage payoff,debt spreadsheet,avalanche method,google sheet planner,budgeting tool excel</x:v>
      </x:c>
      <x:c r="U351" s="10" t="str">
        <x:v>debt payoff tracker</x:v>
      </x:c>
      <x:c r="V351" s="10" t="str">
        <x:v>debt payment planner</x:v>
      </x:c>
      <x:c r="W351" s="10" t="str">
        <x:v>financial planner</x:v>
      </x:c>
      <x:c r="X351" s="10" t="str">
        <x:v>yearly budget tool</x:v>
      </x:c>
      <x:c r="Y351" s="10" t="str">
        <x:v>debt tracker google</x:v>
      </x:c>
      <x:c r="Z351" s="10" t="str">
        <x:v>debt snowball method</x:v>
      </x:c>
      <x:c r="AA351" s="10" t="str">
        <x:v>credit card payoff</x:v>
      </x:c>
      <x:c r="AB351" s="10" t="str">
        <x:v>finance spreadsheet</x:v>
      </x:c>
      <x:c r="AC351" s="10" t="str">
        <x:v>mortgage payoff</x:v>
      </x:c>
      <x:c r="AD351" s="10" t="str">
        <x:v>debt spreadsheet</x:v>
      </x:c>
      <x:c r="AE351" s="10" t="str">
        <x:v>avalanche method</x:v>
      </x:c>
      <x:c r="AF351" s="10" t="str">
        <x:v>google sheet planner</x:v>
      </x:c>
      <x:c r="AG351" s="10" t="str">
        <x:v>budgeting tool excel</x:v>
      </x:c>
      <x:c r="AH351" s="10" t="str">
        <x:v>General debt payoff</x:v>
      </x:c>
      <x:c r="AI351" s="13" t="n">
        <x:v>27</x:v>
      </x:c>
      <x:c r="AJ351" s="10" t="str">
        <x:f>IF(F351&gt;0,"Active","No est. sales")</x:f>
        <x:v>No est. sales</x:v>
      </x:c>
    </x:row>
    <x:row r="352">
      <x:c r="A352" s="10" t="str">
        <x:v>Debt Snowball Spreadsheet Excel Debt Payoff Spreadsheet Debt Snowball Calculator Excel Google Sheets Mortgage Payoff Student Loan Tracker</x:v>
      </x:c>
      <x:c r="B352" s="10" t="str">
        <x:v>https://www.etsy.com/listing/1573451680/debt-snowball-spreadsheet-excel-debt</x:v>
      </x:c>
      <x:c r="C352" s="10" t="str">
        <x:v>TheSheetStudio</x:v>
      </x:c>
      <x:c r="D352" s="10" t="str">
        <x:v>https://www.etsy.com/shop/TheSheetStudio</x:v>
      </x:c>
      <x:c r="E352" s="11" t="n">
        <x:v>5.23</x:v>
      </x:c>
      <x:c r="F352" s="10" t="n">
        <x:v>0</x:v>
      </x:c>
      <x:c r="G352" s="12" t="n">
        <x:v>0</x:v>
      </x:c>
      <x:c r="H352" s="13" t="n">
        <x:v>0</x:v>
      </x:c>
      <x:c r="I352" s="10" t="n">
        <x:v>1181</x:v>
      </x:c>
      <x:c r="J352" s="10" t="n">
        <x:v>88</x:v>
      </x:c>
      <x:c r="K352" s="10" t="str">
        <x:v>33 Mo.</x:v>
      </x:c>
      <x:c r="L352" s="10" t="n">
        <x:v>199</x:v>
      </x:c>
      <x:c r="M352" s="10" t="n">
        <x:v>3</x:v>
      </x:c>
      <x:c r="N352" s="10" t="n">
        <x:v>12115</x:v>
      </x:c>
      <x:c r="O352" s="10" t="str"/>
      <x:c r="P352" s="10" t="n">
        <x:v>33</x:v>
      </x:c>
      <x:c r="Q352" s="10" t="n">
        <x:v>90</x:v>
      </x:c>
      <x:c r="R352" s="13" t="n">
        <x:v>9.75</x:v>
      </x:c>
      <x:c r="S352" s="10" t="n">
        <x:v>7034</x:v>
      </x:c>
      <x:c r="T352" s="10" t="str">
        <x:v>debt payoff tracker,debt snowball,debt budget,mortgage payoff,debt snowball excel,debt planner,debt tracker,debt tracker excel,debt spreadsheet,loan calculator,dave ramsay,google sheets,debt repayment</x:v>
      </x:c>
      <x:c r="U352" s="10" t="str">
        <x:v>debt payoff tracker</x:v>
      </x:c>
      <x:c r="V352" s="10" t="str">
        <x:v>debt snowball</x:v>
      </x:c>
      <x:c r="W352" s="10" t="str">
        <x:v>debt budget</x:v>
      </x:c>
      <x:c r="X352" s="10" t="str">
        <x:v>mortgage payoff</x:v>
      </x:c>
      <x:c r="Y352" s="10" t="str">
        <x:v>debt snowball excel</x:v>
      </x:c>
      <x:c r="Z352" s="10" t="str">
        <x:v>debt planner</x:v>
      </x:c>
      <x:c r="AA352" s="10" t="str">
        <x:v>debt tracker</x:v>
      </x:c>
      <x:c r="AB352" s="10" t="str">
        <x:v>debt tracker excel</x:v>
      </x:c>
      <x:c r="AC352" s="10" t="str">
        <x:v>debt spreadsheet</x:v>
      </x:c>
      <x:c r="AD352" s="10" t="str">
        <x:v>loan calculator</x:v>
      </x:c>
      <x:c r="AE352" s="10" t="str">
        <x:v>dave ramsay</x:v>
      </x:c>
      <x:c r="AF352" s="10" t="str">
        <x:v>google sheets</x:v>
      </x:c>
      <x:c r="AG352" s="10" t="str">
        <x:v>debt repayment</x:v>
      </x:c>
      <x:c r="AH352" s="10" t="str">
        <x:v>General debt payoff</x:v>
      </x:c>
      <x:c r="AI352" s="13" t="n">
        <x:v>33</x:v>
      </x:c>
      <x:c r="AJ352" s="10" t="str">
        <x:f>IF(F352&gt;0,"Active","No est. sales")</x:f>
        <x:v>No est. sales</x:v>
      </x:c>
    </x:row>
    <x:row r="353">
      <x:c r="A353" s="10" t="str">
        <x:v>Interest Only Loan Calculator | Amortization Schedule Template | Repayment Planner Spreadsheet | Loan Tracker | Excel Google Sheets</x:v>
      </x:c>
      <x:c r="B353" s="10" t="str">
        <x:v>https://www.etsy.com/listing/4483843141/interest-only-loan-calculator</x:v>
      </x:c>
      <x:c r="C353" s="10" t="str">
        <x:v>PrimeSheetMall</x:v>
      </x:c>
      <x:c r="D353" s="10" t="str">
        <x:v>https://www.etsy.com/shop/PrimeSheetMall</x:v>
      </x:c>
      <x:c r="E353" s="11" t="n">
        <x:v>2.67</x:v>
      </x:c>
      <x:c r="F353" s="10" t="n">
        <x:v>0</x:v>
      </x:c>
      <x:c r="G353" s="12" t="n">
        <x:v>0</x:v>
      </x:c>
      <x:c r="H353" s="13" t="n">
        <x:v>0</x:v>
      </x:c>
      <x:c r="I353" s="10" t="n">
        <x:v>0</x:v>
      </x:c>
      <x:c r="J353" s="10" t="n">
        <x:v>0</x:v>
      </x:c>
      <x:c r="K353" s="10" t="str">
        <x:v>3 Mo.</x:v>
      </x:c>
      <x:c r="L353" s="10" t="n">
        <x:v>2</x:v>
      </x:c>
      <x:c r="M353" s="10" t="n">
        <x:v>0</x:v>
      </x:c>
      <x:c r="N353" s="10" t="n">
        <x:v>23</x:v>
      </x:c>
      <x:c r="O353" s="10" t="str"/>
      <x:c r="P353" s="10" t="n">
        <x:v>9</x:v>
      </x:c>
      <x:c r="Q353" s="10" t="n">
        <x:v>0</x:v>
      </x:c>
      <x:c r="R353" s="13" t="n">
        <x:v>0</x:v>
      </x:c>
      <x:c r="S353" s="10" t="n">
        <x:v>1066</x:v>
      </x:c>
      <x:c r="T353" s="10" t="str">
        <x:v>loan calculator,amortization sch,interest only loan,repayment planner,loan tracker sheet,excel loan tracker,mortgage calculator,loan payment log,debt repayment plan,google sheets loan,interest tracker,loan amortization,finance planner</x:v>
      </x:c>
      <x:c r="U353" s="10" t="str">
        <x:v>loan calculator</x:v>
      </x:c>
      <x:c r="V353" s="10" t="str">
        <x:v>amortization sch</x:v>
      </x:c>
      <x:c r="W353" s="10" t="str">
        <x:v>interest only loan</x:v>
      </x:c>
      <x:c r="X353" s="10" t="str">
        <x:v>repayment planner</x:v>
      </x:c>
      <x:c r="Y353" s="10" t="str">
        <x:v>loan tracker sheet</x:v>
      </x:c>
      <x:c r="Z353" s="10" t="str">
        <x:v>excel loan tracker</x:v>
      </x:c>
      <x:c r="AA353" s="10" t="str">
        <x:v>mortgage calculator</x:v>
      </x:c>
      <x:c r="AB353" s="10" t="str">
        <x:v>loan payment log</x:v>
      </x:c>
      <x:c r="AC353" s="10" t="str">
        <x:v>debt repayment plan</x:v>
      </x:c>
      <x:c r="AD353" s="10" t="str">
        <x:v>google sheets loan</x:v>
      </x:c>
      <x:c r="AE353" s="10" t="str">
        <x:v>interest tracker</x:v>
      </x:c>
      <x:c r="AF353" s="10" t="str">
        <x:v>loan amortization</x:v>
      </x:c>
      <x:c r="AG353" s="10" t="str">
        <x:v>finance planner</x:v>
      </x:c>
      <x:c r="AH353" s="10" t="str">
        <x:v>General loan calculator</x:v>
      </x:c>
      <x:c r="AI353" s="13" t="n">
        <x:v>3</x:v>
      </x:c>
      <x:c r="AJ353" s="10" t="str">
        <x:f>IF(F353&gt;0,"Active","No est. sales")</x:f>
        <x:v>No est. sales</x:v>
      </x:c>
    </x:row>
    <x:row r="354">
      <x:c r="A354" s="10" t="str">
        <x:v>Advanced Mortgage Amortization Schedule • Excel Calculator for Canadian Homebuyers • Digital Download</x:v>
      </x:c>
      <x:c r="B354" s="10" t="str">
        <x:v>https://www.etsy.com/listing/1775619852/advanced-mortgage-amortization-schedule</x:v>
      </x:c>
      <x:c r="C354" s="10" t="str">
        <x:v>HomeBuyingAdvising</x:v>
      </x:c>
      <x:c r="D354" s="10" t="str">
        <x:v>https://www.etsy.com/shop/HomeBuyingAdvising</x:v>
      </x:c>
      <x:c r="E354" s="11" t="n">
        <x:v>12.76</x:v>
      </x:c>
      <x:c r="F354" s="10" t="n">
        <x:v>0</x:v>
      </x:c>
      <x:c r="G354" s="12" t="n">
        <x:v>0</x:v>
      </x:c>
      <x:c r="H354" s="13" t="n">
        <x:v>0</x:v>
      </x:c>
      <x:c r="I354" s="10" t="n">
        <x:v>0</x:v>
      </x:c>
      <x:c r="J354" s="10" t="n">
        <x:v>0</x:v>
      </x:c>
      <x:c r="K354" s="10" t="str">
        <x:v>22 Mo.</x:v>
      </x:c>
      <x:c r="L354" s="10" t="n">
        <x:v>3</x:v>
      </x:c>
      <x:c r="M354" s="10" t="n">
        <x:v>0</x:v>
      </x:c>
      <x:c r="N354" s="10" t="n">
        <x:v>231</x:v>
      </x:c>
      <x:c r="O354" s="10" t="str"/>
      <x:c r="P354" s="10" t="n">
        <x:v>22</x:v>
      </x:c>
      <x:c r="Q354" s="10" t="n">
        <x:v>0</x:v>
      </x:c>
      <x:c r="R354" s="13" t="n">
        <x:v>0</x:v>
      </x:c>
      <x:c r="S354" s="10" t="n">
        <x:v>14</x:v>
      </x:c>
      <x:c r="T354" s="10" t="str">
        <x:v>mortgage planner,interest calculator,home buying,home buying process,loan amortization,amortization excel,homebuyer mortgage,budget planner,home buying guide,mortgage calculator,home buying list,expense planner</x:v>
      </x:c>
      <x:c r="U354" s="10" t="str">
        <x:v>mortgage planner</x:v>
      </x:c>
      <x:c r="V354" s="10" t="str">
        <x:v>interest calculator</x:v>
      </x:c>
      <x:c r="W354" s="10" t="str">
        <x:v>home buying</x:v>
      </x:c>
      <x:c r="X354" s="10" t="str">
        <x:v>home buying process</x:v>
      </x:c>
      <x:c r="Y354" s="10" t="str">
        <x:v>loan amortization</x:v>
      </x:c>
      <x:c r="Z354" s="10" t="str">
        <x:v>amortization excel</x:v>
      </x:c>
      <x:c r="AA354" s="10" t="str">
        <x:v>homebuyer mortgage</x:v>
      </x:c>
      <x:c r="AB354" s="10" t="str">
        <x:v>budget planner</x:v>
      </x:c>
      <x:c r="AC354" s="10" t="str">
        <x:v>home buying guide</x:v>
      </x:c>
      <x:c r="AD354" s="10" t="str">
        <x:v>mortgage calculator</x:v>
      </x:c>
      <x:c r="AE354" s="10" t="str">
        <x:v>home buying list</x:v>
      </x:c>
      <x:c r="AF354" s="10" t="str">
        <x:v>expense planner</x:v>
      </x:c>
      <x:c r="AG354" s="10" t="str">
        <x:v>--</x:v>
      </x:c>
      <x:c r="AH354" s="10" t="str">
        <x:v>Home buying planner</x:v>
      </x:c>
      <x:c r="AI354" s="13" t="n">
        <x:v>22</x:v>
      </x:c>
      <x:c r="AJ354" s="10" t="str">
        <x:f>IF(F354&gt;0,"Active","No est. sales")</x:f>
        <x:v>No est. sales</x:v>
      </x:c>
    </x:row>
    <x:row r="355">
      <x:c r="A355" s="10" t="str">
        <x:v>Debt Snowball Calculator Google Sheets Debt Payoff Tracker (Digital Download)</x:v>
      </x:c>
      <x:c r="B355" s="10" t="str">
        <x:v>https://www.etsy.com/listing/1747073406/debt-snowball-calculator-google-sheets</x:v>
      </x:c>
      <x:c r="C355" s="10" t="str">
        <x:v>AlongWithAnnika</x:v>
      </x:c>
      <x:c r="D355" s="10" t="str">
        <x:v>https://www.etsy.com/shop/AlongWithAnnika</x:v>
      </x:c>
      <x:c r="E355" s="11" t="n">
        <x:v>5.12</x:v>
      </x:c>
      <x:c r="F355" s="10" t="n">
        <x:v>0</x:v>
      </x:c>
      <x:c r="G355" s="12" t="n">
        <x:v>0</x:v>
      </x:c>
      <x:c r="H355" s="13" t="n">
        <x:v>0</x:v>
      </x:c>
      <x:c r="I355" s="10" t="n">
        <x:v>0</x:v>
      </x:c>
      <x:c r="J355" s="10" t="n">
        <x:v>0</x:v>
      </x:c>
      <x:c r="K355" s="10" t="str">
        <x:v>24 Mo.</x:v>
      </x:c>
      <x:c r="L355" s="10" t="n">
        <x:v>2</x:v>
      </x:c>
      <x:c r="M355" s="10" t="n">
        <x:v>0</x:v>
      </x:c>
      <x:c r="N355" s="10" t="n">
        <x:v>35</x:v>
      </x:c>
      <x:c r="O355" s="10" t="str">
        <x:v>Paper &amp; Party Supplies</x:v>
      </x:c>
      <x:c r="P355" s="10" t="n">
        <x:v>39</x:v>
      </x:c>
      <x:c r="Q355" s="10" t="n">
        <x:v>0</x:v>
      </x:c>
      <x:c r="R355" s="13" t="n">
        <x:v>0</x:v>
      </x:c>
      <x:c r="S355" s="10" t="n">
        <x:v>38</x:v>
      </x:c>
      <x:c r="T355" s="10" t="str">
        <x:v>debt payment tracker,debt snowball,debt payoff planner,debt calculator,credit card debt,student loan debt,snowball method,mortgage payoff,snowball spreadsheet,loan payoff tracker,debt planner,debt reduction,debt-free life</x:v>
      </x:c>
      <x:c r="U355" s="10" t="str">
        <x:v>debt payment tracker</x:v>
      </x:c>
      <x:c r="V355" s="10" t="str">
        <x:v>debt snowball</x:v>
      </x:c>
      <x:c r="W355" s="10" t="str">
        <x:v>debt payoff planner</x:v>
      </x:c>
      <x:c r="X355" s="10" t="str">
        <x:v>debt calculator</x:v>
      </x:c>
      <x:c r="Y355" s="10" t="str">
        <x:v>credit card debt</x:v>
      </x:c>
      <x:c r="Z355" s="10" t="str">
        <x:v>student loan debt</x:v>
      </x:c>
      <x:c r="AA355" s="10" t="str">
        <x:v>snowball method</x:v>
      </x:c>
      <x:c r="AB355" s="10" t="str">
        <x:v>mortgage payoff</x:v>
      </x:c>
      <x:c r="AC355" s="10" t="str">
        <x:v>snowball spreadsheet</x:v>
      </x:c>
      <x:c r="AD355" s="10" t="str">
        <x:v>loan payoff tracker</x:v>
      </x:c>
      <x:c r="AE355" s="10" t="str">
        <x:v>debt planner</x:v>
      </x:c>
      <x:c r="AF355" s="10" t="str">
        <x:v>debt reduction</x:v>
      </x:c>
      <x:c r="AG355" s="10" t="str">
        <x:v>debt-free life</x:v>
      </x:c>
      <x:c r="AH355" s="10" t="str">
        <x:v>General debt payoff</x:v>
      </x:c>
      <x:c r="AI355" s="13" t="n">
        <x:v>24</x:v>
      </x:c>
      <x:c r="AJ355" s="10" t="str">
        <x:f>IF(F355&gt;0,"Active","No est. sales")</x:f>
        <x:v>No est. sales</x:v>
      </x:c>
    </x:row>
    <x:row r="356">
      <x:c r="A356" s="10" t="str">
        <x:v>Banker Rules Financial Guide, Loan Approval Workbook, Bank Account Management (PDF)</x:v>
      </x:c>
      <x:c r="B356" s="10" t="str">
        <x:v>https://www.etsy.com/listing/4481040277/banker-rules-financial-guide-loan</x:v>
      </x:c>
      <x:c r="C356" s="10" t="str">
        <x:v>ReThinkMoneySense</x:v>
      </x:c>
      <x:c r="D356" s="10" t="str">
        <x:v>https://www.etsy.com/shop/ReThinkMoneySense</x:v>
      </x:c>
      <x:c r="E356" s="11" t="n">
        <x:v>12.95</x:v>
      </x:c>
      <x:c r="F356" s="10" t="n">
        <x:v>0</x:v>
      </x:c>
      <x:c r="G356" s="12" t="n">
        <x:v>0</x:v>
      </x:c>
      <x:c r="H356" s="13" t="n">
        <x:v>0</x:v>
      </x:c>
      <x:c r="I356" s="10" t="n">
        <x:v>0</x:v>
      </x:c>
      <x:c r="J356" s="10" t="n">
        <x:v>0</x:v>
      </x:c>
      <x:c r="K356" s="10" t="str">
        <x:v>3 Mo.</x:v>
      </x:c>
      <x:c r="L356" s="10" t="n">
        <x:v>0</x:v>
      </x:c>
      <x:c r="M356" s="10" t="n">
        <x:v>0</x:v>
      </x:c>
      <x:c r="N356" s="10" t="n">
        <x:v>6</x:v>
      </x:c>
      <x:c r="O356" s="10" t="str"/>
      <x:c r="P356" s="10" t="n">
        <x:v>7</x:v>
      </x:c>
      <x:c r="Q356" s="10" t="n">
        <x:v>0</x:v>
      </x:c>
      <x:c r="R356" s="13" t="n">
        <x:v>0</x:v>
      </x:c>
      <x:c r="S356" s="10" t="n">
        <x:v>4</x:v>
      </x:c>
      <x:c r="T356" s="10" t="str">
        <x:v>financial literacy,adulting 101 guide,loan approval tips,bank account habits,budgeting workbook,mortgage readiness,money management,personaal finance,debt to income,financial planner,banking for teens,digital download,banker rules</x:v>
      </x:c>
      <x:c r="U356" s="10" t="str">
        <x:v>financial literacy</x:v>
      </x:c>
      <x:c r="V356" s="10" t="str">
        <x:v>adulting 101 guide</x:v>
      </x:c>
      <x:c r="W356" s="10" t="str">
        <x:v>loan approval tips</x:v>
      </x:c>
      <x:c r="X356" s="10" t="str">
        <x:v>bank account habits</x:v>
      </x:c>
      <x:c r="Y356" s="10" t="str">
        <x:v>budgeting workbook</x:v>
      </x:c>
      <x:c r="Z356" s="10" t="str">
        <x:v>mortgage readiness</x:v>
      </x:c>
      <x:c r="AA356" s="10" t="str">
        <x:v>money management</x:v>
      </x:c>
      <x:c r="AB356" s="10" t="str">
        <x:v>personaal finance</x:v>
      </x:c>
      <x:c r="AC356" s="10" t="str">
        <x:v>debt to income</x:v>
      </x:c>
      <x:c r="AD356" s="10" t="str">
        <x:v>financial planner</x:v>
      </x:c>
      <x:c r="AE356" s="10" t="str">
        <x:v>banking for teens</x:v>
      </x:c>
      <x:c r="AF356" s="10" t="str">
        <x:v>digital download</x:v>
      </x:c>
      <x:c r="AG356" s="10" t="str">
        <x:v>banker rules</x:v>
      </x:c>
      <x:c r="AH356" s="10" t="str">
        <x:v>Other mortgage-related</x:v>
      </x:c>
      <x:c r="AI356" s="13" t="n">
        <x:v>3</x:v>
      </x:c>
      <x:c r="AJ356" s="10" t="str">
        <x:f>IF(F356&gt;0,"Active","No est. sales")</x:f>
        <x:v>No est. sales</x:v>
      </x:c>
    </x:row>
    <x:row r="357">
      <x:c r="A357" s="10" t="str">
        <x:v>House Icons || Planner Stickers</x:v>
      </x:c>
      <x:c r="B357" s="10" t="str">
        <x:v>https://www.etsy.com/listing/480783448/house-icons-planner-stickers</x:v>
      </x:c>
      <x:c r="C357" s="10" t="str">
        <x:v>989Designs</x:v>
      </x:c>
      <x:c r="D357" s="10" t="str">
        <x:v>https://www.etsy.com/shop/989Designs</x:v>
      </x:c>
      <x:c r="E357" s="11" t="n">
        <x:v>3.75</x:v>
      </x:c>
      <x:c r="F357" s="10" t="n">
        <x:v>0</x:v>
      </x:c>
      <x:c r="G357" s="12" t="n">
        <x:v>0</x:v>
      </x:c>
      <x:c r="H357" s="13" t="n">
        <x:v>0</x:v>
      </x:c>
      <x:c r="I357" s="10" t="n">
        <x:v>23</x:v>
      </x:c>
      <x:c r="J357" s="10" t="n">
        <x:v>6</x:v>
      </x:c>
      <x:c r="K357" s="10" t="str">
        <x:v>116 Mo.</x:v>
      </x:c>
      <x:c r="L357" s="10" t="n">
        <x:v>40</x:v>
      </x:c>
      <x:c r="M357" s="10" t="n">
        <x:v>0</x:v>
      </x:c>
      <x:c r="N357" s="10" t="n">
        <x:v>316</x:v>
      </x:c>
      <x:c r="O357" s="10" t="str">
        <x:v>Paper &amp; Party Supplies</x:v>
      </x:c>
      <x:c r="P357" s="10" t="n">
        <x:v>167</x:v>
      </x:c>
      <x:c r="Q357" s="10" t="n">
        <x:v>0</x:v>
      </x:c>
      <x:c r="R357" s="13" t="n">
        <x:v>7.28</x:v>
      </x:c>
      <x:c r="S357" s="10" t="n">
        <x:v>9089</x:v>
      </x:c>
      <x:c r="T357" s="10" t="str">
        <x:v>erin condren,planner,sticker,house,mortgage</x:v>
      </x:c>
      <x:c r="U357" s="10" t="str">
        <x:v>erin condren</x:v>
      </x:c>
      <x:c r="V357" s="10" t="str">
        <x:v>planner</x:v>
      </x:c>
      <x:c r="W357" s="10" t="str">
        <x:v>sticker</x:v>
      </x:c>
      <x:c r="X357" s="10" t="str">
        <x:v>house</x:v>
      </x:c>
      <x:c r="Y357" s="10" t="str">
        <x:v>mortgage</x:v>
      </x:c>
      <x:c r="Z357" s="10" t="str">
        <x:v>--</x:v>
      </x:c>
      <x:c r="AA357" s="10" t="str">
        <x:v>--</x:v>
      </x:c>
      <x:c r="AB357" s="10" t="str">
        <x:v>--</x:v>
      </x:c>
      <x:c r="AC357" s="10" t="str">
        <x:v>--</x:v>
      </x:c>
      <x:c r="AD357" s="10" t="str">
        <x:v>--</x:v>
      </x:c>
      <x:c r="AE357" s="10" t="str">
        <x:v>--</x:v>
      </x:c>
      <x:c r="AF357" s="10" t="str">
        <x:v>--</x:v>
      </x:c>
      <x:c r="AG357" s="10" t="str">
        <x:v>--</x:v>
      </x:c>
      <x:c r="AH357" s="10" t="str">
        <x:v>Other mortgage-related</x:v>
      </x:c>
      <x:c r="AI357" s="13" t="n">
        <x:v>116</x:v>
      </x:c>
      <x:c r="AJ357" s="10" t="str">
        <x:f>IF(F357&gt;0,"Active","No est. sales")</x:f>
        <x:v>No est. sales</x:v>
      </x:c>
    </x:row>
    <x:row r="358">
      <x:c r="A358" s="10" t="str">
        <x:v>retirement planner template printable retirement guide savings income plan retirement goals financial planning pension mortgage overview PDF</x:v>
      </x:c>
      <x:c r="B358" s="10" t="str">
        <x:v>https://www.etsy.com/listing/1717312059/retirement-planner-template-printable</x:v>
      </x:c>
      <x:c r="C358" s="10" t="str">
        <x:v>MothersReinvented</x:v>
      </x:c>
      <x:c r="D358" s="10" t="str">
        <x:v>https://www.etsy.com/shop/MothersReinvented</x:v>
      </x:c>
      <x:c r="E358" s="11" t="n">
        <x:v>6.63</x:v>
      </x:c>
      <x:c r="F358" s="10" t="n">
        <x:v>0</x:v>
      </x:c>
      <x:c r="G358" s="12" t="n">
        <x:v>0</x:v>
      </x:c>
      <x:c r="H358" s="13" t="n">
        <x:v>0</x:v>
      </x:c>
      <x:c r="I358" s="10" t="n">
        <x:v>12</x:v>
      </x:c>
      <x:c r="J358" s="10" t="n">
        <x:v>1</x:v>
      </x:c>
      <x:c r="K358" s="10" t="str">
        <x:v>27 Mo.</x:v>
      </x:c>
      <x:c r="L358" s="10" t="n">
        <x:v>16</x:v>
      </x:c>
      <x:c r="M358" s="10" t="n">
        <x:v>0</x:v>
      </x:c>
      <x:c r="N358" s="10" t="n">
        <x:v>255</x:v>
      </x:c>
      <x:c r="O358" s="10" t="str">
        <x:v>Paper &amp; Party Supplies</x:v>
      </x:c>
      <x:c r="P358" s="10" t="n">
        <x:v>42</x:v>
      </x:c>
      <x:c r="Q358" s="10" t="n">
        <x:v>0</x:v>
      </x:c>
      <x:c r="R358" s="13" t="n">
        <x:v>4.71</x:v>
      </x:c>
      <x:c r="S358" s="10" t="n">
        <x:v>5476</x:v>
      </x:c>
      <x:c r="T358" s="10" t="str">
        <x:v>retirement planner,financial planner,budgeting template,personal finance,savings tracker,budget spreadsheet,retirement planning,retirement tracker,monthly budget,retirement savings,budget planner,early retirement,expense tracker</x:v>
      </x:c>
      <x:c r="U358" s="10" t="str">
        <x:v>retirement planner</x:v>
      </x:c>
      <x:c r="V358" s="10" t="str">
        <x:v>financial planner</x:v>
      </x:c>
      <x:c r="W358" s="10" t="str">
        <x:v>budgeting template</x:v>
      </x:c>
      <x:c r="X358" s="10" t="str">
        <x:v>personal finance</x:v>
      </x:c>
      <x:c r="Y358" s="10" t="str">
        <x:v>savings tracker</x:v>
      </x:c>
      <x:c r="Z358" s="10" t="str">
        <x:v>budget spreadsheet</x:v>
      </x:c>
      <x:c r="AA358" s="10" t="str">
        <x:v>retirement planning</x:v>
      </x:c>
      <x:c r="AB358" s="10" t="str">
        <x:v>retirement tracker</x:v>
      </x:c>
      <x:c r="AC358" s="10" t="str">
        <x:v>monthly budget</x:v>
      </x:c>
      <x:c r="AD358" s="10" t="str">
        <x:v>retirement savings</x:v>
      </x:c>
      <x:c r="AE358" s="10" t="str">
        <x:v>budget planner</x:v>
      </x:c>
      <x:c r="AF358" s="10" t="str">
        <x:v>early retirement</x:v>
      </x:c>
      <x:c r="AG358" s="10" t="str">
        <x:v>expense tracker</x:v>
      </x:c>
      <x:c r="AH358" s="10" t="str">
        <x:v>Other mortgage-related</x:v>
      </x:c>
      <x:c r="AI358" s="13" t="n">
        <x:v>27</x:v>
      </x:c>
      <x:c r="AJ358" s="10" t="str">
        <x:f>IF(F358&gt;0,"Active","No est. sales")</x:f>
        <x:v>No est. sales</x:v>
      </x:c>
    </x:row>
    <x:row r="359">
      <x:c r="A359" s="10" t="str">
        <x:v>Loan Officer Planner: Goal Setting &amp; Success Tracker (Editable Canva PDF)</x:v>
      </x:c>
      <x:c r="B359" s="10" t="str">
        <x:v>https://www.etsy.com/listing/1764903199/loan-officer-planner-goal-setting</x:v>
      </x:c>
      <x:c r="C359" s="10" t="str">
        <x:v>ElaRamCreations</x:v>
      </x:c>
      <x:c r="D359" s="10" t="str">
        <x:v>https://www.etsy.com/shop/ElaRamCreations</x:v>
      </x:c>
      <x:c r="E359" s="11" t="n">
        <x:v>14.15</x:v>
      </x:c>
      <x:c r="F359" s="10" t="n">
        <x:v>0</x:v>
      </x:c>
      <x:c r="G359" s="12" t="n">
        <x:v>0</x:v>
      </x:c>
      <x:c r="H359" s="13" t="n">
        <x:v>0</x:v>
      </x:c>
      <x:c r="I359" s="10" t="n">
        <x:v>5</x:v>
      </x:c>
      <x:c r="J359" s="10" t="n">
        <x:v>1</x:v>
      </x:c>
      <x:c r="K359" s="10" t="str">
        <x:v>24 Mo.</x:v>
      </x:c>
      <x:c r="L359" s="10" t="n">
        <x:v>53</x:v>
      </x:c>
      <x:c r="M359" s="10" t="n">
        <x:v>0</x:v>
      </x:c>
      <x:c r="N359" s="10" t="n">
        <x:v>2714</x:v>
      </x:c>
      <x:c r="O359" s="10" t="str"/>
      <x:c r="P359" s="10" t="n">
        <x:v>26</x:v>
      </x:c>
      <x:c r="Q359" s="10" t="n">
        <x:v>39</x:v>
      </x:c>
      <x:c r="R359" s="13" t="n">
        <x:v>0.18</x:v>
      </x:c>
      <x:c r="S359" s="10" t="n">
        <x:v>470</x:v>
      </x:c>
      <x:c r="T359" s="10" t="str">
        <x:v>daily planner,real estate template,planner printable,undated planner,client crm tracker,loan officer planner,mortgage planner pdf,loan officer tracker,home loan lender,mortgage organizer,loan officer journal,mortgage templates,mortgage broker post</x:v>
      </x:c>
      <x:c r="U359" s="10" t="str">
        <x:v>daily planner</x:v>
      </x:c>
      <x:c r="V359" s="10" t="str">
        <x:v>real estate template</x:v>
      </x:c>
      <x:c r="W359" s="10" t="str">
        <x:v>planner printable</x:v>
      </x:c>
      <x:c r="X359" s="10" t="str">
        <x:v>undated planner</x:v>
      </x:c>
      <x:c r="Y359" s="10" t="str">
        <x:v>client crm tracker</x:v>
      </x:c>
      <x:c r="Z359" s="10" t="str">
        <x:v>loan officer planner</x:v>
      </x:c>
      <x:c r="AA359" s="10" t="str">
        <x:v>mortgage planner pdf</x:v>
      </x:c>
      <x:c r="AB359" s="10" t="str">
        <x:v>loan officer tracker</x:v>
      </x:c>
      <x:c r="AC359" s="10" t="str">
        <x:v>home loan lender</x:v>
      </x:c>
      <x:c r="AD359" s="10" t="str">
        <x:v>mortgage organizer</x:v>
      </x:c>
      <x:c r="AE359" s="10" t="str">
        <x:v>loan officer journal</x:v>
      </x:c>
      <x:c r="AF359" s="10" t="str">
        <x:v>mortgage templates</x:v>
      </x:c>
      <x:c r="AG359" s="10" t="str">
        <x:v>mortgage broker post</x:v>
      </x:c>
      <x:c r="AH359" s="10" t="str">
        <x:v>Loan officer / B2B</x:v>
      </x:c>
      <x:c r="AI359" s="13" t="n">
        <x:v>24</x:v>
      </x:c>
      <x:c r="AJ359" s="10" t="str">
        <x:f>IF(F359&gt;0,"Active","No est. sales")</x:f>
        <x:v>No est. sales</x:v>
      </x:c>
    </x:row>
    <x:row r="360">
      <x:c r="A360" s="10" t="str">
        <x:v>Budget Planner | Monthly Financial Tracker | Simple Google Sheets Budget Spreadsheet | Easy Budgeting Tool Beginners Biweekly Budgeting</x:v>
      </x:c>
      <x:c r="B360" s="10" t="str">
        <x:v>https://www.etsy.com/listing/1856258848/budget-planner-monthly-financial-tracker</x:v>
      </x:c>
      <x:c r="C360" s="10" t="str">
        <x:v>TheCraftedLabel</x:v>
      </x:c>
      <x:c r="D360" s="10" t="str">
        <x:v>https://www.etsy.com/shop/TheCraftedLabel</x:v>
      </x:c>
      <x:c r="E360" s="11" t="n">
        <x:v>5.33</x:v>
      </x:c>
      <x:c r="F360" s="10" t="n">
        <x:v>0</x:v>
      </x:c>
      <x:c r="G360" s="12" t="n">
        <x:v>0</x:v>
      </x:c>
      <x:c r="H360" s="13" t="n">
        <x:v>0</x:v>
      </x:c>
      <x:c r="I360" s="10" t="n">
        <x:v>0</x:v>
      </x:c>
      <x:c r="J360" s="10" t="n">
        <x:v>0</x:v>
      </x:c>
      <x:c r="K360" s="10" t="str">
        <x:v>17 Mo.</x:v>
      </x:c>
      <x:c r="L360" s="10" t="n">
        <x:v>4</x:v>
      </x:c>
      <x:c r="M360" s="10" t="n">
        <x:v>0</x:v>
      </x:c>
      <x:c r="N360" s="10" t="n">
        <x:v>39</x:v>
      </x:c>
      <x:c r="O360" s="10" t="str">
        <x:v>Paper &amp; Party Supplies</x:v>
      </x:c>
      <x:c r="P360" s="10" t="n">
        <x:v>22</x:v>
      </x:c>
      <x:c r="Q360" s="10" t="n">
        <x:v>0</x:v>
      </x:c>
      <x:c r="R360" s="13" t="n">
        <x:v>0</x:v>
      </x:c>
      <x:c r="S360" s="10" t="n">
        <x:v>12</x:v>
      </x:c>
      <x:c r="T360" s="10" t="str">
        <x:v>personal finance,minimalist folio,bill debt tracker,save fund money,budget spreadsheet,adhd excel planner,monthly weekly budge,expense tracker,mortgage tracker,income expenses,saving investments,paycheck spreadsheet,financial calculator</x:v>
      </x:c>
      <x:c r="U360" s="10" t="str">
        <x:v>personal finance</x:v>
      </x:c>
      <x:c r="V360" s="10" t="str">
        <x:v>minimalist folio</x:v>
      </x:c>
      <x:c r="W360" s="10" t="str">
        <x:v>bill debt tracker</x:v>
      </x:c>
      <x:c r="X360" s="10" t="str">
        <x:v>save fund money</x:v>
      </x:c>
      <x:c r="Y360" s="10" t="str">
        <x:v>budget spreadsheet</x:v>
      </x:c>
      <x:c r="Z360" s="10" t="str">
        <x:v>adhd excel planner</x:v>
      </x:c>
      <x:c r="AA360" s="10" t="str">
        <x:v>monthly weekly budge</x:v>
      </x:c>
      <x:c r="AB360" s="10" t="str">
        <x:v>expense tracker</x:v>
      </x:c>
      <x:c r="AC360" s="10" t="str">
        <x:v>mortgage tracker</x:v>
      </x:c>
      <x:c r="AD360" s="10" t="str">
        <x:v>income expenses</x:v>
      </x:c>
      <x:c r="AE360" s="10" t="str">
        <x:v>saving investments</x:v>
      </x:c>
      <x:c r="AF360" s="10" t="str">
        <x:v>paycheck spreadsheet</x:v>
      </x:c>
      <x:c r="AG360" s="10" t="str">
        <x:v>financial calculator</x:v>
      </x:c>
      <x:c r="AH360" s="10" t="str">
        <x:v>Other mortgage-related</x:v>
      </x:c>
      <x:c r="AI360" s="13" t="n">
        <x:v>17</x:v>
      </x:c>
      <x:c r="AJ360" s="10" t="str">
        <x:f>IF(F360&gt;0,"Active","No est. sales")</x:f>
        <x:v>No est. sales</x:v>
      </x:c>
    </x:row>
    <x:row r="361">
      <x:c r="A361" s="10" t="str">
        <x:v>Loan Officer Planner, Mortgage Broker Workflow, Pipeline Tracker (PDF)</x:v>
      </x:c>
      <x:c r="B361" s="10" t="str">
        <x:v>https://www.etsy.com/listing/4479507816/loan-officer-planner-mortgage-broker</x:v>
      </x:c>
      <x:c r="C361" s="10" t="str">
        <x:v>LeaningPearTree</x:v>
      </x:c>
      <x:c r="D361" s="10" t="str">
        <x:v>https://www.etsy.com/shop/LeaningPearTree</x:v>
      </x:c>
      <x:c r="E361" s="11" t="n">
        <x:v>12</x:v>
      </x:c>
      <x:c r="F361" s="10" t="n">
        <x:v>0</x:v>
      </x:c>
      <x:c r="G361" s="12" t="n">
        <x:v>0</x:v>
      </x:c>
      <x:c r="H361" s="13" t="n">
        <x:v>0</x:v>
      </x:c>
      <x:c r="I361" s="10" t="n">
        <x:v>0</x:v>
      </x:c>
      <x:c r="J361" s="10" t="n">
        <x:v>0</x:v>
      </x:c>
      <x:c r="K361" s="10" t="str">
        <x:v>4 Mo.</x:v>
      </x:c>
      <x:c r="L361" s="10" t="n">
        <x:v>9</x:v>
      </x:c>
      <x:c r="M361" s="10" t="n">
        <x:v>0</x:v>
      </x:c>
      <x:c r="N361" s="10" t="n">
        <x:v>198</x:v>
      </x:c>
      <x:c r="O361" s="10" t="str"/>
      <x:c r="P361" s="10" t="n">
        <x:v>4</x:v>
      </x:c>
      <x:c r="Q361" s="10" t="n">
        <x:v>25</x:v>
      </x:c>
      <x:c r="R361" s="13" t="n">
        <x:v>0</x:v>
      </x:c>
      <x:c r="S361" s="10" t="n">
        <x:v>8</x:v>
      </x:c>
      <x:c r="T361" s="10" t="str">
        <x:v>loan officer,mortgage broker,loan officer planner,lender planner,loan pipeline track,lead tracker planner,private money lender,printable planner,private money broker,mortgage workflow,real estate lender,business planner</x:v>
      </x:c>
      <x:c r="U361" s="10" t="str">
        <x:v>loan officer</x:v>
      </x:c>
      <x:c r="V361" s="10" t="str">
        <x:v>mortgage broker</x:v>
      </x:c>
      <x:c r="W361" s="10" t="str">
        <x:v>loan officer planner</x:v>
      </x:c>
      <x:c r="X361" s="10" t="str">
        <x:v>lender planner</x:v>
      </x:c>
      <x:c r="Y361" s="10" t="str">
        <x:v>loan pipeline track</x:v>
      </x:c>
      <x:c r="Z361" s="10" t="str">
        <x:v>lead tracker planner</x:v>
      </x:c>
      <x:c r="AA361" s="10" t="str">
        <x:v>private money lender</x:v>
      </x:c>
      <x:c r="AB361" s="10" t="str">
        <x:v>printable planner</x:v>
      </x:c>
      <x:c r="AC361" s="10" t="str">
        <x:v>private money broker</x:v>
      </x:c>
      <x:c r="AD361" s="10" t="str">
        <x:v>mortgage workflow</x:v>
      </x:c>
      <x:c r="AE361" s="10" t="str">
        <x:v>real estate lender</x:v>
      </x:c>
      <x:c r="AF361" s="10" t="str">
        <x:v>business planner</x:v>
      </x:c>
      <x:c r="AG361" s="10" t="str">
        <x:v>--</x:v>
      </x:c>
      <x:c r="AH361" s="10" t="str">
        <x:v>Loan officer / B2B</x:v>
      </x:c>
      <x:c r="AI361" s="13" t="n">
        <x:v>4</x:v>
      </x:c>
      <x:c r="AJ361" s="10" t="str">
        <x:f>IF(F361&gt;0,"Active","No est. sales")</x:f>
        <x:v>No est. sales</x:v>
      </x:c>
    </x:row>
    <x:row r="362">
      <x:c r="A362" s="10" t="str">
        <x:v>Real Estate Transaction Timeline Home Buying Checklist Printable Property Guide PDF Digital Download</x:v>
      </x:c>
      <x:c r="B362" s="10" t="str">
        <x:v>https://www.etsy.com/listing/4308252344/real-estate-transaction-timeline-home</x:v>
      </x:c>
      <x:c r="C362" s="10" t="str">
        <x:v>AHPrime</x:v>
      </x:c>
      <x:c r="D362" s="10" t="str">
        <x:v>https://www.etsy.com/shop/AHPrime</x:v>
      </x:c>
      <x:c r="E362" s="11" t="n">
        <x:v>4.99</x:v>
      </x:c>
      <x:c r="F362" s="10" t="n">
        <x:v>0</x:v>
      </x:c>
      <x:c r="G362" s="12" t="n">
        <x:v>0</x:v>
      </x:c>
      <x:c r="H362" s="13" t="n">
        <x:v>0</x:v>
      </x:c>
      <x:c r="I362" s="10" t="n">
        <x:v>0</x:v>
      </x:c>
      <x:c r="J362" s="10" t="n">
        <x:v>0</x:v>
      </x:c>
      <x:c r="K362" s="10" t="str">
        <x:v>14 Mo.</x:v>
      </x:c>
      <x:c r="L362" s="10" t="n">
        <x:v>0</x:v>
      </x:c>
      <x:c r="M362" s="10" t="n">
        <x:v>0</x:v>
      </x:c>
      <x:c r="N362" s="10" t="n">
        <x:v>6</x:v>
      </x:c>
      <x:c r="O362" s="10" t="str"/>
      <x:c r="P362" s="10" t="n">
        <x:v>15</x:v>
      </x:c>
      <x:c r="Q362" s="10" t="n">
        <x:v>0</x:v>
      </x:c>
      <x:c r="R362" s="13" t="n">
        <x:v>0</x:v>
      </x:c>
      <x:c r="S362" s="10" t="n">
        <x:v>121</x:v>
      </x:c>
      <x:c r="T362" s="10" t="str">
        <x:v>contract deadline a,proces buyer sale,application purchase,preparation mortgage,residential schedule,inspection organizer,settlement worksheet,milestone appraisal,calculator agreement,financing calendar,submission approval,contingency tracker,warranty planner</x:v>
      </x:c>
      <x:c r="U362" s="10" t="str">
        <x:v>contract deadline a</x:v>
      </x:c>
      <x:c r="V362" s="10" t="str">
        <x:v>proces buyer sale</x:v>
      </x:c>
      <x:c r="W362" s="10" t="str">
        <x:v>application purchase</x:v>
      </x:c>
      <x:c r="X362" s="10" t="str">
        <x:v>preparation mortgage</x:v>
      </x:c>
      <x:c r="Y362" s="10" t="str">
        <x:v>residential schedule</x:v>
      </x:c>
      <x:c r="Z362" s="10" t="str">
        <x:v>inspection organizer</x:v>
      </x:c>
      <x:c r="AA362" s="10" t="str">
        <x:v>settlement worksheet</x:v>
      </x:c>
      <x:c r="AB362" s="10" t="str">
        <x:v>milestone appraisal</x:v>
      </x:c>
      <x:c r="AC362" s="10" t="str">
        <x:v>calculator agreement</x:v>
      </x:c>
      <x:c r="AD362" s="10" t="str">
        <x:v>financing calendar</x:v>
      </x:c>
      <x:c r="AE362" s="10" t="str">
        <x:v>submission approval</x:v>
      </x:c>
      <x:c r="AF362" s="10" t="str">
        <x:v>contingency tracker</x:v>
      </x:c>
      <x:c r="AG362" s="10" t="str">
        <x:v>warranty planner</x:v>
      </x:c>
      <x:c r="AH362" s="10" t="str">
        <x:v>Home buying planner</x:v>
      </x:c>
      <x:c r="AI362" s="13" t="n">
        <x:v>14</x:v>
      </x:c>
      <x:c r="AJ362" s="10" t="str">
        <x:f>IF(F362&gt;0,"Active","No est. sales")</x:f>
        <x:v>No est. sales</x:v>
      </x:c>
    </x:row>
    <x:row r="363">
      <x:c r="A363" s="10" t="str">
        <x:v>Debt Payoff Tracker Debt Snowball Spreadsheet Debt Avalanche Calculator Google Sheets Debt Free Planner Loan Tracker Credit Card Payoff</x:v>
      </x:c>
      <x:c r="B363" s="10" t="str">
        <x:v>https://www.etsy.com/listing/1769586557/debt-payoff-tracker-debt-snowball</x:v>
      </x:c>
      <x:c r="C363" s="10" t="str">
        <x:v>TheProductivePlans</x:v>
      </x:c>
      <x:c r="D363" s="10" t="str">
        <x:v>https://www.etsy.com/shop/TheProductivePlans</x:v>
      </x:c>
      <x:c r="E363" s="11" t="n">
        <x:v>4.84</x:v>
      </x:c>
      <x:c r="F363" s="10" t="n">
        <x:v>0</x:v>
      </x:c>
      <x:c r="G363" s="12" t="n">
        <x:v>0</x:v>
      </x:c>
      <x:c r="H363" s="13" t="n">
        <x:v>0</x:v>
      </x:c>
      <x:c r="I363" s="10" t="n">
        <x:v>1885</x:v>
      </x:c>
      <x:c r="J363" s="10" t="n">
        <x:v>106</x:v>
      </x:c>
      <x:c r="K363" s="10" t="str">
        <x:v>24 Mo.</x:v>
      </x:c>
      <x:c r="L363" s="10" t="n">
        <x:v>515</x:v>
      </x:c>
      <x:c r="M363" s="10" t="n">
        <x:v>4</x:v>
      </x:c>
      <x:c r="N363" s="10" t="n">
        <x:v>23935</x:v>
      </x:c>
      <x:c r="O363" s="10" t="str">
        <x:v>Paper &amp; Party Supplies</x:v>
      </x:c>
      <x:c r="P363" s="10" t="n">
        <x:v>42</x:v>
      </x:c>
      <x:c r="Q363" s="10" t="n">
        <x:v>100</x:v>
      </x:c>
      <x:c r="R363" s="13" t="n">
        <x:v>7.88</x:v>
      </x:c>
      <x:c r="S363" s="10" t="n">
        <x:v>55894</x:v>
      </x:c>
      <x:c r="T363" s="10" t="str">
        <x:v>debt google sheets,debt payment tracker,debt payoff planner,debt snowball,financial planner,loan payoff tracker,mortgage payoff,personal finance,snowball method,student loan debt,debt calculator,credit card debt,debt avalanche</x:v>
      </x:c>
      <x:c r="U363" s="10" t="str">
        <x:v>debt google sheets</x:v>
      </x:c>
      <x:c r="V363" s="10" t="str">
        <x:v>debt payment tracker</x:v>
      </x:c>
      <x:c r="W363" s="10" t="str">
        <x:v>debt payoff planner</x:v>
      </x:c>
      <x:c r="X363" s="10" t="str">
        <x:v>debt snowball</x:v>
      </x:c>
      <x:c r="Y363" s="10" t="str">
        <x:v>financial planner</x:v>
      </x:c>
      <x:c r="Z363" s="10" t="str">
        <x:v>loan payoff tracker</x:v>
      </x:c>
      <x:c r="AA363" s="10" t="str">
        <x:v>mortgage payoff</x:v>
      </x:c>
      <x:c r="AB363" s="10" t="str">
        <x:v>personal finance</x:v>
      </x:c>
      <x:c r="AC363" s="10" t="str">
        <x:v>snowball method</x:v>
      </x:c>
      <x:c r="AD363" s="10" t="str">
        <x:v>student loan debt</x:v>
      </x:c>
      <x:c r="AE363" s="10" t="str">
        <x:v>debt calculator</x:v>
      </x:c>
      <x:c r="AF363" s="10" t="str">
        <x:v>credit card debt</x:v>
      </x:c>
      <x:c r="AG363" s="10" t="str">
        <x:v>debt avalanche</x:v>
      </x:c>
      <x:c r="AH363" s="10" t="str">
        <x:v>General debt payoff</x:v>
      </x:c>
      <x:c r="AI363" s="13" t="n">
        <x:v>24</x:v>
      </x:c>
      <x:c r="AJ363" s="10" t="str">
        <x:f>IF(F363&gt;0,"Active","No est. sales")</x:f>
        <x:v>No est. sales</x:v>
      </x:c>
    </x:row>
    <x:row r="364">
      <x:c r="A364" s="10" t="str">
        <x:v>Credit Card Payoff Debt Tracker Google Sheets Debt Snowball Spreadsheet Debt Avalanche Calculator Credit Card Tracker Log Credit Score</x:v>
      </x:c>
      <x:c r="B364" s="10" t="str">
        <x:v>https://www.etsy.com/listing/1756981474/credit-card-payoff-debt-tracker-google</x:v>
      </x:c>
      <x:c r="C364" s="10" t="str">
        <x:v>TheProductivePlans</x:v>
      </x:c>
      <x:c r="D364" s="10" t="str">
        <x:v>https://www.etsy.com/shop/TheProductivePlans</x:v>
      </x:c>
      <x:c r="E364" s="11" t="n">
        <x:v>4.84</x:v>
      </x:c>
      <x:c r="F364" s="10" t="n">
        <x:v>0</x:v>
      </x:c>
      <x:c r="G364" s="12" t="n">
        <x:v>0</x:v>
      </x:c>
      <x:c r="H364" s="13" t="n">
        <x:v>0</x:v>
      </x:c>
      <x:c r="I364" s="10" t="n">
        <x:v>1578</x:v>
      </x:c>
      <x:c r="J364" s="10" t="n">
        <x:v>86</x:v>
      </x:c>
      <x:c r="K364" s="10" t="str">
        <x:v>24 Mo.</x:v>
      </x:c>
      <x:c r="L364" s="10" t="n">
        <x:v>378</x:v>
      </x:c>
      <x:c r="M364" s="10" t="n">
        <x:v>4</x:v>
      </x:c>
      <x:c r="N364" s="10" t="n">
        <x:v>18517</x:v>
      </x:c>
      <x:c r="O364" s="10" t="str">
        <x:v>Paper &amp; Party Supplies</x:v>
      </x:c>
      <x:c r="P364" s="10" t="n">
        <x:v>42</x:v>
      </x:c>
      <x:c r="Q364" s="10" t="n">
        <x:v>100</x:v>
      </x:c>
      <x:c r="R364" s="13" t="n">
        <x:v>8.52</x:v>
      </x:c>
      <x:c r="S364" s="10" t="n">
        <x:v>55894</x:v>
      </x:c>
      <x:c r="T364" s="10" t="str">
        <x:v>debt google sheets,debt payment tracker,debt payoff planner,debt snowball,financial planner,loan payoff tracker,mortgage payoff,personal finance,snowball method,student loan debt,debt calculator,credit card debt,debt avalanche</x:v>
      </x:c>
      <x:c r="U364" s="10" t="str">
        <x:v>debt google sheets</x:v>
      </x:c>
      <x:c r="V364" s="10" t="str">
        <x:v>debt payment tracker</x:v>
      </x:c>
      <x:c r="W364" s="10" t="str">
        <x:v>debt payoff planner</x:v>
      </x:c>
      <x:c r="X364" s="10" t="str">
        <x:v>debt snowball</x:v>
      </x:c>
      <x:c r="Y364" s="10" t="str">
        <x:v>financial planner</x:v>
      </x:c>
      <x:c r="Z364" s="10" t="str">
        <x:v>loan payoff tracker</x:v>
      </x:c>
      <x:c r="AA364" s="10" t="str">
        <x:v>mortgage payoff</x:v>
      </x:c>
      <x:c r="AB364" s="10" t="str">
        <x:v>personal finance</x:v>
      </x:c>
      <x:c r="AC364" s="10" t="str">
        <x:v>snowball method</x:v>
      </x:c>
      <x:c r="AD364" s="10" t="str">
        <x:v>student loan debt</x:v>
      </x:c>
      <x:c r="AE364" s="10" t="str">
        <x:v>debt calculator</x:v>
      </x:c>
      <x:c r="AF364" s="10" t="str">
        <x:v>credit card debt</x:v>
      </x:c>
      <x:c r="AG364" s="10" t="str">
        <x:v>debt avalanche</x:v>
      </x:c>
      <x:c r="AH364" s="10" t="str">
        <x:v>General debt payoff</x:v>
      </x:c>
      <x:c r="AI364" s="13" t="n">
        <x:v>24</x:v>
      </x:c>
      <x:c r="AJ364" s="10" t="str">
        <x:f>IF(F364&gt;0,"Active","No est. sales")</x:f>
        <x:v>No est. sales</x:v>
      </x:c>
    </x:row>
    <x:row r="365">
      <x:c r="A365" s="10" t="str">
        <x:v>Debt Payoff Tracker, Debt Snowball Avalanche Calculator, Mortgage Student Loan Credit Card Payoff Tracker, Google Sheets Excel Template</x:v>
      </x:c>
      <x:c r="B365" s="10" t="str">
        <x:v>https://www.etsy.com/listing/4365291435/debt-payoff-tracker-debt-snowball</x:v>
      </x:c>
      <x:c r="C365" s="10" t="str">
        <x:v>IntuitivePlanDesigns</x:v>
      </x:c>
      <x:c r="D365" s="10" t="str">
        <x:v>https://www.etsy.com/shop/IntuitivePlanDesigns</x:v>
      </x:c>
      <x:c r="E365" s="11" t="n">
        <x:v>5.99</x:v>
      </x:c>
      <x:c r="F365" s="10" t="n">
        <x:v>0</x:v>
      </x:c>
      <x:c r="G365" s="12" t="n">
        <x:v>0</x:v>
      </x:c>
      <x:c r="H365" s="13" t="n">
        <x:v>0</x:v>
      </x:c>
      <x:c r="I365" s="10" t="n">
        <x:v>0</x:v>
      </x:c>
      <x:c r="J365" s="10" t="n">
        <x:v>0</x:v>
      </x:c>
      <x:c r="K365" s="10" t="str">
        <x:v>10 Mo.</x:v>
      </x:c>
      <x:c r="L365" s="10" t="n">
        <x:v>4</x:v>
      </x:c>
      <x:c r="M365" s="10" t="n">
        <x:v>0</x:v>
      </x:c>
      <x:c r="N365" s="10" t="n">
        <x:v>105</x:v>
      </x:c>
      <x:c r="O365" s="10" t="str">
        <x:v>Paper &amp; Party Supplies</x:v>
      </x:c>
      <x:c r="P365" s="10" t="n">
        <x:v>19</x:v>
      </x:c>
      <x:c r="Q365" s="10" t="n">
        <x:v>0</x:v>
      </x:c>
      <x:c r="R365" s="13" t="n">
        <x:v>0</x:v>
      </x:c>
      <x:c r="S365" s="10" t="n">
        <x:v>51</x:v>
      </x:c>
      <x:c r="T365" s="10" t="str">
        <x:v>debt spreadsheet,debt google sheets,debt avalanche,debt snowball,credit utilization,mortgage payoff,debt calculator,credit card payoff,loan payoff tracker,student loan tracker,debt payment tracker,debt tracker excel,debt payoff planner</x:v>
      </x:c>
      <x:c r="U365" s="10" t="str">
        <x:v>debt spreadsheet</x:v>
      </x:c>
      <x:c r="V365" s="10" t="str">
        <x:v>debt google sheets</x:v>
      </x:c>
      <x:c r="W365" s="10" t="str">
        <x:v>debt avalanche</x:v>
      </x:c>
      <x:c r="X365" s="10" t="str">
        <x:v>debt snowball</x:v>
      </x:c>
      <x:c r="Y365" s="10" t="str">
        <x:v>credit utilization</x:v>
      </x:c>
      <x:c r="Z365" s="10" t="str">
        <x:v>mortgage payoff</x:v>
      </x:c>
      <x:c r="AA365" s="10" t="str">
        <x:v>debt calculator</x:v>
      </x:c>
      <x:c r="AB365" s="10" t="str">
        <x:v>credit card payoff</x:v>
      </x:c>
      <x:c r="AC365" s="10" t="str">
        <x:v>loan payoff tracker</x:v>
      </x:c>
      <x:c r="AD365" s="10" t="str">
        <x:v>student loan tracker</x:v>
      </x:c>
      <x:c r="AE365" s="10" t="str">
        <x:v>debt payment tracker</x:v>
      </x:c>
      <x:c r="AF365" s="10" t="str">
        <x:v>debt tracker excel</x:v>
      </x:c>
      <x:c r="AG365" s="10" t="str">
        <x:v>debt payoff planner</x:v>
      </x:c>
      <x:c r="AH365" s="10" t="str">
        <x:v>General debt payoff</x:v>
      </x:c>
      <x:c r="AI365" s="13" t="n">
        <x:v>10</x:v>
      </x:c>
      <x:c r="AJ365" s="10" t="str">
        <x:f>IF(F365&gt;0,"Active","No est. sales")</x:f>
        <x:v>No est. sales</x:v>
      </x:c>
    </x:row>
    <x:row r="366">
      <x:c r="A366" s="10" t="str">
        <x:v>Home Affordability &amp; Mortgage Calculator | Google Sheets (Digital)</x:v>
      </x:c>
      <x:c r="B366" s="10" t="str">
        <x:v>https://www.etsy.com/listing/1855522388/home-affordability-mortgage-calculator</x:v>
      </x:c>
      <x:c r="C366" s="10" t="str">
        <x:v>WealthMavenTemplates</x:v>
      </x:c>
      <x:c r="D366" s="10" t="str">
        <x:v>https://www.etsy.com/shop/WealthMavenTemplates</x:v>
      </x:c>
      <x:c r="E366" s="11" t="n">
        <x:v>2</x:v>
      </x:c>
      <x:c r="F366" s="10" t="n">
        <x:v>0</x:v>
      </x:c>
      <x:c r="G366" s="12" t="n">
        <x:v>0</x:v>
      </x:c>
      <x:c r="H366" s="13" t="n">
        <x:v>0</x:v>
      </x:c>
      <x:c r="I366" s="10" t="n">
        <x:v>38</x:v>
      </x:c>
      <x:c r="J366" s="10" t="n">
        <x:v>3</x:v>
      </x:c>
      <x:c r="K366" s="10" t="str">
        <x:v>17 Mo.</x:v>
      </x:c>
      <x:c r="L366" s="10" t="n">
        <x:v>31</x:v>
      </x:c>
      <x:c r="M366" s="10" t="n">
        <x:v>0</x:v>
      </x:c>
      <x:c r="N366" s="10" t="n">
        <x:v>1017</x:v>
      </x:c>
      <x:c r="O366" s="10" t="str"/>
      <x:c r="P366" s="10" t="n">
        <x:v>44</x:v>
      </x:c>
      <x:c r="Q366" s="10" t="n">
        <x:v>25</x:v>
      </x:c>
      <x:c r="R366" s="13" t="n">
        <x:v>3.74</x:v>
      </x:c>
      <x:c r="S366" s="10" t="n">
        <x:v>4910</x:v>
      </x:c>
      <x:c r="T366" s="10" t="str">
        <x:v>home affordability,mortgage calculator,real estate,home buying,google sheets,sheets template,finance planner,digital download,wealth maven,property planning,loan calculator,housing budget,realtor tool</x:v>
      </x:c>
      <x:c r="U366" s="10" t="str">
        <x:v>home affordability</x:v>
      </x:c>
      <x:c r="V366" s="10" t="str">
        <x:v>mortgage calculator</x:v>
      </x:c>
      <x:c r="W366" s="10" t="str">
        <x:v>real estate</x:v>
      </x:c>
      <x:c r="X366" s="10" t="str">
        <x:v>home buying</x:v>
      </x:c>
      <x:c r="Y366" s="10" t="str">
        <x:v>google sheets</x:v>
      </x:c>
      <x:c r="Z366" s="10" t="str">
        <x:v>sheets template</x:v>
      </x:c>
      <x:c r="AA366" s="10" t="str">
        <x:v>finance planner</x:v>
      </x:c>
      <x:c r="AB366" s="10" t="str">
        <x:v>digital download</x:v>
      </x:c>
      <x:c r="AC366" s="10" t="str">
        <x:v>wealth maven</x:v>
      </x:c>
      <x:c r="AD366" s="10" t="str">
        <x:v>property planning</x:v>
      </x:c>
      <x:c r="AE366" s="10" t="str">
        <x:v>loan calculator</x:v>
      </x:c>
      <x:c r="AF366" s="10" t="str">
        <x:v>housing budget</x:v>
      </x:c>
      <x:c r="AG366" s="10" t="str">
        <x:v>realtor tool</x:v>
      </x:c>
      <x:c r="AH366" s="10" t="str">
        <x:v>Mortgage payoff / calculator</x:v>
      </x:c>
      <x:c r="AI366" s="13" t="n">
        <x:v>17</x:v>
      </x:c>
      <x:c r="AJ366" s="10" t="str">
        <x:f>IF(F366&gt;0,"Active","No est. sales")</x:f>
        <x:v>No est. sales</x:v>
      </x:c>
    </x:row>
    <x:row r="367">
      <x:c r="A367" s="10" t="str">
        <x:v>MINI DOODLE ASSORTED Icon Stickers | Minimalist Planner Stickers | Functional Labels | Bullet Journal | Celebration | Finance | Chores</x:v>
      </x:c>
      <x:c r="B367" s="10" t="str">
        <x:v>https://www.etsy.com/listing/4382747418/mini-doodle-assorted-icon-stickers</x:v>
      </x:c>
      <x:c r="C367" s="10" t="str">
        <x:v>StickerPaigePlans</x:v>
      </x:c>
      <x:c r="D367" s="10" t="str">
        <x:v>https://www.etsy.com/shop/StickerPaigePlans</x:v>
      </x:c>
      <x:c r="E367" s="11" t="n">
        <x:v>3.85</x:v>
      </x:c>
      <x:c r="F367" s="10" t="n">
        <x:v>0</x:v>
      </x:c>
      <x:c r="G367" s="12" t="n">
        <x:v>0</x:v>
      </x:c>
      <x:c r="H367" s="13" t="n">
        <x:v>0</x:v>
      </x:c>
      <x:c r="I367" s="10" t="n">
        <x:v>0</x:v>
      </x:c>
      <x:c r="J367" s="10" t="n">
        <x:v>0</x:v>
      </x:c>
      <x:c r="K367" s="10" t="str">
        <x:v>9 Mo.</x:v>
      </x:c>
      <x:c r="L367" s="10" t="n">
        <x:v>3</x:v>
      </x:c>
      <x:c r="M367" s="10" t="n">
        <x:v>0</x:v>
      </x:c>
      <x:c r="N367" s="10" t="n">
        <x:v>74</x:v>
      </x:c>
      <x:c r="O367" s="10" t="str">
        <x:v>Paper &amp; Party Supplies</x:v>
      </x:c>
      <x:c r="P367" s="10" t="n">
        <x:v>60</x:v>
      </x:c>
      <x:c r="Q367" s="10" t="n">
        <x:v>0</x:v>
      </x:c>
      <x:c r="R367" s="13" t="n">
        <x:v>0</x:v>
      </x:c>
      <x:c r="S367" s="10" t="n">
        <x:v>24184</x:v>
      </x:c>
      <x:c r="T367" s="10" t="str">
        <x:v>planner stickers,mini icons,important,labels,planner icon,journal icon,planner essentials,mortgage payment,payday bills,savings tracker,pay later reminder,finance stickers,klarna</x:v>
      </x:c>
      <x:c r="U367" s="10" t="str">
        <x:v>planner stickers</x:v>
      </x:c>
      <x:c r="V367" s="10" t="str">
        <x:v>mini icons</x:v>
      </x:c>
      <x:c r="W367" s="10" t="str">
        <x:v>important</x:v>
      </x:c>
      <x:c r="X367" s="10" t="str">
        <x:v>labels</x:v>
      </x:c>
      <x:c r="Y367" s="10" t="str">
        <x:v>planner icon</x:v>
      </x:c>
      <x:c r="Z367" s="10" t="str">
        <x:v>journal icon</x:v>
      </x:c>
      <x:c r="AA367" s="10" t="str">
        <x:v>planner essentials</x:v>
      </x:c>
      <x:c r="AB367" s="10" t="str">
        <x:v>mortgage payment</x:v>
      </x:c>
      <x:c r="AC367" s="10" t="str">
        <x:v>payday bills</x:v>
      </x:c>
      <x:c r="AD367" s="10" t="str">
        <x:v>savings tracker</x:v>
      </x:c>
      <x:c r="AE367" s="10" t="str">
        <x:v>pay later reminder</x:v>
      </x:c>
      <x:c r="AF367" s="10" t="str">
        <x:v>finance stickers</x:v>
      </x:c>
      <x:c r="AG367" s="10" t="str">
        <x:v>klarna</x:v>
      </x:c>
      <x:c r="AH367" s="10" t="str">
        <x:v>Other mortgage-related</x:v>
      </x:c>
      <x:c r="AI367" s="13" t="n">
        <x:v>9</x:v>
      </x:c>
      <x:c r="AJ367" s="10" t="str">
        <x:f>IF(F367&gt;0,"Active","No est. sales")</x:f>
        <x:v>No est. sales</x:v>
      </x:c>
    </x:row>
    <x:row r="368">
      <x:c r="A368" s="10" t="str">
        <x:v>Kids Saving Coloring Page Savings Tracker Goal Sheet</x:v>
      </x:c>
      <x:c r="B368" s="10" t="str">
        <x:v>https://www.etsy.com/listing/540725044/kids-saving-coloring-page-savings</x:v>
      </x:c>
      <x:c r="C368" s="10" t="str">
        <x:v>PDPrintables</x:v>
      </x:c>
      <x:c r="D368" s="10" t="str">
        <x:v>https://www.etsy.com/shop/PDPrintables</x:v>
      </x:c>
      <x:c r="E368" s="11" t="n">
        <x:v>1.5</x:v>
      </x:c>
      <x:c r="F368" s="10" t="n">
        <x:v>0</x:v>
      </x:c>
      <x:c r="G368" s="12" t="n">
        <x:v>0</x:v>
      </x:c>
      <x:c r="H368" s="13" t="n">
        <x:v>0</x:v>
      </x:c>
      <x:c r="I368" s="10" t="n">
        <x:v>75</x:v>
      </x:c>
      <x:c r="J368" s="10" t="n">
        <x:v>5</x:v>
      </x:c>
      <x:c r="K368" s="10" t="str">
        <x:v>107 Mo.</x:v>
      </x:c>
      <x:c r="L368" s="10" t="n">
        <x:v>81</x:v>
      </x:c>
      <x:c r="M368" s="10" t="n">
        <x:v>0</x:v>
      </x:c>
      <x:c r="N368" s="10" t="n">
        <x:v>2973</x:v>
      </x:c>
      <x:c r="O368" s="10" t="str">
        <x:v>Home &amp; Living</x:v>
      </x:c>
      <x:c r="P368" s="10" t="n">
        <x:v>162</x:v>
      </x:c>
      <x:c r="Q368" s="10" t="n">
        <x:v>0</x:v>
      </x:c>
      <x:c r="R368" s="13" t="n">
        <x:v>2.52</x:v>
      </x:c>
      <x:c r="S368" s="10" t="n">
        <x:v>7914</x:v>
      </x:c>
      <x:c r="T368" s="10" t="str">
        <x:v>mortgage,organization,printable,financial planner,personal finance,savings tracker,savings goal,savings printable,savings organizer,savings insert,savings jar,kids saving,piggy bank</x:v>
      </x:c>
      <x:c r="U368" s="10" t="str">
        <x:v>mortgage</x:v>
      </x:c>
      <x:c r="V368" s="10" t="str">
        <x:v>organization</x:v>
      </x:c>
      <x:c r="W368" s="10" t="str">
        <x:v>printable</x:v>
      </x:c>
      <x:c r="X368" s="10" t="str">
        <x:v>financial planner</x:v>
      </x:c>
      <x:c r="Y368" s="10" t="str">
        <x:v>personal finance</x:v>
      </x:c>
      <x:c r="Z368" s="10" t="str">
        <x:v>savings tracker</x:v>
      </x:c>
      <x:c r="AA368" s="10" t="str">
        <x:v>savings goal</x:v>
      </x:c>
      <x:c r="AB368" s="10" t="str">
        <x:v>savings printable</x:v>
      </x:c>
      <x:c r="AC368" s="10" t="str">
        <x:v>savings organizer</x:v>
      </x:c>
      <x:c r="AD368" s="10" t="str">
        <x:v>savings insert</x:v>
      </x:c>
      <x:c r="AE368" s="10" t="str">
        <x:v>savings jar</x:v>
      </x:c>
      <x:c r="AF368" s="10" t="str">
        <x:v>kids saving</x:v>
      </x:c>
      <x:c r="AG368" s="10" t="str">
        <x:v>piggy bank</x:v>
      </x:c>
      <x:c r="AH368" s="10" t="str">
        <x:v>Other mortgage-related</x:v>
      </x:c>
      <x:c r="AI368" s="13" t="n">
        <x:v>107</x:v>
      </x:c>
      <x:c r="AJ368" s="10" t="str">
        <x:f>IF(F368&gt;0,"Active","No est. sales")</x:f>
        <x:v>No est. sales</x:v>
      </x:c>
    </x:row>
    <x:row r="369">
      <x:c r="A369" s="10" t="str">
        <x:v>Home Buying Planner (44 Pages) – Digital Download</x:v>
      </x:c>
      <x:c r="B369" s="10" t="str">
        <x:v>https://www.etsy.com/listing/4491300917/home-buying-planner-44-pages-digital</x:v>
      </x:c>
      <x:c r="C369" s="10" t="str">
        <x:v>Studio24Digital</x:v>
      </x:c>
      <x:c r="D369" s="10" t="str">
        <x:v>https://www.etsy.com/shop/Studio24Digital</x:v>
      </x:c>
      <x:c r="E369" s="11" t="n">
        <x:v>2.12</x:v>
      </x:c>
      <x:c r="F369" s="10" t="n">
        <x:v>0</x:v>
      </x:c>
      <x:c r="G369" s="12" t="n">
        <x:v>0</x:v>
      </x:c>
      <x:c r="H369" s="13" t="n">
        <x:v>0</x:v>
      </x:c>
      <x:c r="I369" s="10" t="n">
        <x:v>0</x:v>
      </x:c>
      <x:c r="J369" s="10" t="n">
        <x:v>0</x:v>
      </x:c>
      <x:c r="K369" s="10" t="str">
        <x:v>3 Mo.</x:v>
      </x:c>
      <x:c r="L369" s="10" t="n">
        <x:v>1</x:v>
      </x:c>
      <x:c r="M369" s="10" t="n">
        <x:v>0</x:v>
      </x:c>
      <x:c r="N369" s="10" t="n">
        <x:v>6</x:v>
      </x:c>
      <x:c r="O369" s="10" t="str"/>
      <x:c r="P369" s="10" t="n">
        <x:v>5</x:v>
      </x:c>
      <x:c r="Q369" s="10" t="n">
        <x:v>0</x:v>
      </x:c>
      <x:c r="R369" s="13" t="n">
        <x:v>0</x:v>
      </x:c>
      <x:c r="S369" s="10" t="n">
        <x:v>43</x:v>
      </x:c>
      <x:c r="T369" s="10" t="str">
        <x:v>home planner,home buying,house planner,buyer guide,mortgage plan,moving planner,budget planner,home checklist,real estate,planner pdf,printable pdf,house hunting,home guide</x:v>
      </x:c>
      <x:c r="U369" s="10" t="str">
        <x:v>home planner</x:v>
      </x:c>
      <x:c r="V369" s="10" t="str">
        <x:v>home buying</x:v>
      </x:c>
      <x:c r="W369" s="10" t="str">
        <x:v>house planner</x:v>
      </x:c>
      <x:c r="X369" s="10" t="str">
        <x:v>buyer guide</x:v>
      </x:c>
      <x:c r="Y369" s="10" t="str">
        <x:v>mortgage plan</x:v>
      </x:c>
      <x:c r="Z369" s="10" t="str">
        <x:v>moving planner</x:v>
      </x:c>
      <x:c r="AA369" s="10" t="str">
        <x:v>budget planner</x:v>
      </x:c>
      <x:c r="AB369" s="10" t="str">
        <x:v>home checklist</x:v>
      </x:c>
      <x:c r="AC369" s="10" t="str">
        <x:v>real estate</x:v>
      </x:c>
      <x:c r="AD369" s="10" t="str">
        <x:v>planner pdf</x:v>
      </x:c>
      <x:c r="AE369" s="10" t="str">
        <x:v>printable pdf</x:v>
      </x:c>
      <x:c r="AF369" s="10" t="str">
        <x:v>house hunting</x:v>
      </x:c>
      <x:c r="AG369" s="10" t="str">
        <x:v>home guide</x:v>
      </x:c>
      <x:c r="AH369" s="10" t="str">
        <x:v>Home buying planner</x:v>
      </x:c>
      <x:c r="AI369" s="13" t="n">
        <x:v>3</x:v>
      </x:c>
      <x:c r="AJ369" s="10" t="str">
        <x:f>IF(F369&gt;0,"Active","No est. sales")</x:f>
        <x:v>No est. sales</x:v>
      </x:c>
    </x:row>
    <x:row r="370">
      <x:c r="A370" s="10" t="str">
        <x:v>Debt Repayment Calculator Google Spreadsheet, Debt Payment Tracker, Snowball Calculator, Debt Payoff, Financial Planner, Dark Mode</x:v>
      </x:c>
      <x:c r="B370" s="10" t="str">
        <x:v>https://www.etsy.com/listing/1628683906/debt-repayment-calculator-google</x:v>
      </x:c>
      <x:c r="C370" s="10" t="str">
        <x:v>ProductivityPadStore</x:v>
      </x:c>
      <x:c r="D370" s="10" t="str">
        <x:v>https://www.etsy.com/shop/ProductivityPadStore</x:v>
      </x:c>
      <x:c r="E370" s="11" t="n">
        <x:v>10.35</x:v>
      </x:c>
      <x:c r="F370" s="10" t="n">
        <x:v>0</x:v>
      </x:c>
      <x:c r="G370" s="12" t="n">
        <x:v>0</x:v>
      </x:c>
      <x:c r="H370" s="13" t="n">
        <x:v>0</x:v>
      </x:c>
      <x:c r="I370" s="10" t="n">
        <x:v>16</x:v>
      </x:c>
      <x:c r="J370" s="10" t="n">
        <x:v>1</x:v>
      </x:c>
      <x:c r="K370" s="10" t="str">
        <x:v>31 Mo.</x:v>
      </x:c>
      <x:c r="L370" s="10" t="n">
        <x:v>36</x:v>
      </x:c>
      <x:c r="M370" s="10" t="n">
        <x:v>0</x:v>
      </x:c>
      <x:c r="N370" s="10" t="n">
        <x:v>954</x:v>
      </x:c>
      <x:c r="O370" s="10" t="str"/>
      <x:c r="P370" s="10" t="n">
        <x:v>39</x:v>
      </x:c>
      <x:c r="Q370" s="10" t="n">
        <x:v>0</x:v>
      </x:c>
      <x:c r="R370" s="13" t="n">
        <x:v>1.68</x:v>
      </x:c>
      <x:c r="S370" s="10" t="n">
        <x:v>5423</x:v>
      </x:c>
      <x:c r="T370" s="10" t="str">
        <x:v>debt budget planner,payoff tracker,loan payoff,debt repayment,credit card payoff,debt calculator,mortgage payoff,debt payment tracker,subscription tracker,sinking fund,savings tracker,snowball calculator,dark mode</x:v>
      </x:c>
      <x:c r="U370" s="10" t="str">
        <x:v>debt budget planner</x:v>
      </x:c>
      <x:c r="V370" s="10" t="str">
        <x:v>payoff tracker</x:v>
      </x:c>
      <x:c r="W370" s="10" t="str">
        <x:v>loan payoff</x:v>
      </x:c>
      <x:c r="X370" s="10" t="str">
        <x:v>debt repayment</x:v>
      </x:c>
      <x:c r="Y370" s="10" t="str">
        <x:v>credit card payoff</x:v>
      </x:c>
      <x:c r="Z370" s="10" t="str">
        <x:v>debt calculator</x:v>
      </x:c>
      <x:c r="AA370" s="10" t="str">
        <x:v>mortgage payoff</x:v>
      </x:c>
      <x:c r="AB370" s="10" t="str">
        <x:v>debt payment tracker</x:v>
      </x:c>
      <x:c r="AC370" s="10" t="str">
        <x:v>subscription tracker</x:v>
      </x:c>
      <x:c r="AD370" s="10" t="str">
        <x:v>sinking fund</x:v>
      </x:c>
      <x:c r="AE370" s="10" t="str">
        <x:v>savings tracker</x:v>
      </x:c>
      <x:c r="AF370" s="10" t="str">
        <x:v>snowball calculator</x:v>
      </x:c>
      <x:c r="AG370" s="10" t="str">
        <x:v>dark mode</x:v>
      </x:c>
      <x:c r="AH370" s="10" t="str">
        <x:v>General debt payoff</x:v>
      </x:c>
      <x:c r="AI370" s="13" t="n">
        <x:v>31</x:v>
      </x:c>
      <x:c r="AJ370" s="10" t="str">
        <x:f>IF(F370&gt;0,"Active","No est. sales")</x:f>
        <x:v>No est. sales</x:v>
      </x:c>
    </x:row>
    <x:row r="371">
      <x:c r="A371" s="10" t="str">
        <x:v>10 Essential Tips for First-Time Homebuyers Template Canva Real Estate Guide for New Home Buyers Checklist Home Buying Advice Workbook</x:v>
      </x:c>
      <x:c r="B371" s="10" t="str">
        <x:v>https://www.etsy.com/listing/4332773902/10-essential-tips-for-first-time</x:v>
      </x:c>
      <x:c r="C371" s="10" t="str">
        <x:v>DigitalMarschall</x:v>
      </x:c>
      <x:c r="D371" s="10" t="str">
        <x:v>https://www.etsy.com/shop/DigitalMarschall</x:v>
      </x:c>
      <x:c r="E371" s="11" t="n">
        <x:v>9.7</x:v>
      </x:c>
      <x:c r="F371" s="10" t="n">
        <x:v>0</x:v>
      </x:c>
      <x:c r="G371" s="12" t="n">
        <x:v>0</x:v>
      </x:c>
      <x:c r="H371" s="13" t="n">
        <x:v>0</x:v>
      </x:c>
      <x:c r="I371" s="10" t="n">
        <x:v>2</x:v>
      </x:c>
      <x:c r="J371" s="10" t="n">
        <x:v>0</x:v>
      </x:c>
      <x:c r="K371" s="10" t="str">
        <x:v>12 Mo.</x:v>
      </x:c>
      <x:c r="L371" s="10" t="n">
        <x:v>10</x:v>
      </x:c>
      <x:c r="M371" s="10" t="n">
        <x:v>0</x:v>
      </x:c>
      <x:c r="N371" s="10" t="n">
        <x:v>109</x:v>
      </x:c>
      <x:c r="O371" s="10" t="str">
        <x:v>Books, Movies &amp; Music</x:v>
      </x:c>
      <x:c r="P371" s="10" t="n">
        <x:v>38</x:v>
      </x:c>
      <x:c r="Q371" s="10" t="n">
        <x:v>0</x:v>
      </x:c>
      <x:c r="R371" s="13" t="n">
        <x:v>1.83</x:v>
      </x:c>
      <x:c r="S371" s="10" t="n">
        <x:v>4596</x:v>
      </x:c>
      <x:c r="T371" s="10" t="str">
        <x:v>homebuyer tips guide,canva real estate,buyer e-book,first home checklist,canva housing guide,real estate template,home buying workbook,mortgage prep tips,real estate download,housing guide,first home planner,buyer tips canva,realtor client gift</x:v>
      </x:c>
      <x:c r="U371" s="10" t="str">
        <x:v>homebuyer tips guide</x:v>
      </x:c>
      <x:c r="V371" s="10" t="str">
        <x:v>canva real estate</x:v>
      </x:c>
      <x:c r="W371" s="10" t="str">
        <x:v>buyer e-book</x:v>
      </x:c>
      <x:c r="X371" s="10" t="str">
        <x:v>first home checklist</x:v>
      </x:c>
      <x:c r="Y371" s="10" t="str">
        <x:v>canva housing guide</x:v>
      </x:c>
      <x:c r="Z371" s="10" t="str">
        <x:v>real estate template</x:v>
      </x:c>
      <x:c r="AA371" s="10" t="str">
        <x:v>home buying workbook</x:v>
      </x:c>
      <x:c r="AB371" s="10" t="str">
        <x:v>mortgage prep tips</x:v>
      </x:c>
      <x:c r="AC371" s="10" t="str">
        <x:v>real estate download</x:v>
      </x:c>
      <x:c r="AD371" s="10" t="str">
        <x:v>housing guide</x:v>
      </x:c>
      <x:c r="AE371" s="10" t="str">
        <x:v>first home planner</x:v>
      </x:c>
      <x:c r="AF371" s="10" t="str">
        <x:v>buyer tips canva</x:v>
      </x:c>
      <x:c r="AG371" s="10" t="str">
        <x:v>realtor client gift</x:v>
      </x:c>
      <x:c r="AH371" s="10" t="str">
        <x:v>Other mortgage-related</x:v>
      </x:c>
      <x:c r="AI371" s="13" t="n">
        <x:v>12</x:v>
      </x:c>
      <x:c r="AJ371" s="10" t="str">
        <x:f>IF(F371&gt;0,"Active","No est. sales")</x:f>
        <x:v>No est. sales</x:v>
      </x:c>
    </x:row>
    <x:row r="372">
      <x:c r="A372" s="10" t="str">
        <x:v>New Homeowner Budget Spreadsheet – Annual Home &amp; Household Planner (Excel and Google Sheets)</x:v>
      </x:c>
      <x:c r="B372" s="10" t="str">
        <x:v>https://www.etsy.com/listing/4441239439/new-homeowner-budget-spreadsheet-annual</x:v>
      </x:c>
      <x:c r="C372" s="10" t="str">
        <x:v>LayeredLogicLab</x:v>
      </x:c>
      <x:c r="D372" s="10" t="str">
        <x:v>https://www.etsy.com/shop/LayeredLogicLab</x:v>
      </x:c>
      <x:c r="E372" s="11" t="n">
        <x:v>10</x:v>
      </x:c>
      <x:c r="F372" s="10" t="n">
        <x:v>0</x:v>
      </x:c>
      <x:c r="G372" s="12" t="n">
        <x:v>0</x:v>
      </x:c>
      <x:c r="H372" s="13" t="n">
        <x:v>0</x:v>
      </x:c>
      <x:c r="I372" s="10" t="n">
        <x:v>0</x:v>
      </x:c>
      <x:c r="J372" s="10" t="n">
        <x:v>0</x:v>
      </x:c>
      <x:c r="K372" s="10" t="str">
        <x:v>6 Mo.</x:v>
      </x:c>
      <x:c r="L372" s="10" t="n">
        <x:v>0</x:v>
      </x:c>
      <x:c r="M372" s="10" t="n">
        <x:v>0</x:v>
      </x:c>
      <x:c r="N372" s="10" t="n">
        <x:v>3</x:v>
      </x:c>
      <x:c r="O372" s="10" t="str"/>
      <x:c r="P372" s="10" t="n">
        <x:v>7</x:v>
      </x:c>
      <x:c r="Q372" s="10" t="n">
        <x:v>0</x:v>
      </x:c>
      <x:c r="R372" s="13" t="n">
        <x:v>0</x:v>
      </x:c>
      <x:c r="S372" s="10" t="n">
        <x:v>0</x:v>
      </x:c>
      <x:c r="T372" s="10" t="str">
        <x:v>homeowner budget,home budget sheet,annual budget plan,household budget,excel budget,google sheets budget,mortgage planning,home expenses,yearly budget,money planning,digital budget,budget planner,home finances</x:v>
      </x:c>
      <x:c r="U372" s="10" t="str">
        <x:v>homeowner budget</x:v>
      </x:c>
      <x:c r="V372" s="10" t="str">
        <x:v>home budget sheet</x:v>
      </x:c>
      <x:c r="W372" s="10" t="str">
        <x:v>annual budget plan</x:v>
      </x:c>
      <x:c r="X372" s="10" t="str">
        <x:v>household budget</x:v>
      </x:c>
      <x:c r="Y372" s="10" t="str">
        <x:v>excel budget</x:v>
      </x:c>
      <x:c r="Z372" s="10" t="str">
        <x:v>google sheets budget</x:v>
      </x:c>
      <x:c r="AA372" s="10" t="str">
        <x:v>mortgage planning</x:v>
      </x:c>
      <x:c r="AB372" s="10" t="str">
        <x:v>home expenses</x:v>
      </x:c>
      <x:c r="AC372" s="10" t="str">
        <x:v>yearly budget</x:v>
      </x:c>
      <x:c r="AD372" s="10" t="str">
        <x:v>money planning</x:v>
      </x:c>
      <x:c r="AE372" s="10" t="str">
        <x:v>digital budget</x:v>
      </x:c>
      <x:c r="AF372" s="10" t="str">
        <x:v>budget planner</x:v>
      </x:c>
      <x:c r="AG372" s="10" t="str">
        <x:v>home finances</x:v>
      </x:c>
      <x:c r="AH372" s="10" t="str">
        <x:v>Other mortgage-related</x:v>
      </x:c>
      <x:c r="AI372" s="13" t="n">
        <x:v>6</x:v>
      </x:c>
      <x:c r="AJ372" s="10" t="str">
        <x:f>IF(F372&gt;0,"Active","No est. sales")</x:f>
        <x:v>No est. sales</x:v>
      </x:c>
    </x:row>
    <x:row r="373">
      <x:c r="A373" s="10" t="str">
        <x:v>The Mortgage Process Guide for Homebuyers with FAQs &amp; Tips | Realtor, Loan Officer Marketing | Real Estate, Mortgage Flyer  | Canva Template</x:v>
      </x:c>
      <x:c r="B373" s="10" t="str">
        <x:v>https://www.etsy.com/listing/1362463111/the-mortgage-process-guide-for</x:v>
      </x:c>
      <x:c r="C373" s="10" t="str">
        <x:v>CreativeSocial365</x:v>
      </x:c>
      <x:c r="D373" s="10" t="str">
        <x:v>https://www.etsy.com/shop/CreativeSocial365</x:v>
      </x:c>
      <x:c r="E373" s="11" t="n">
        <x:v>4</x:v>
      </x:c>
      <x:c r="F373" s="10" t="n">
        <x:v>0</x:v>
      </x:c>
      <x:c r="G373" s="12" t="n">
        <x:v>0</x:v>
      </x:c>
      <x:c r="H373" s="13" t="n">
        <x:v>0</x:v>
      </x:c>
      <x:c r="I373" s="10" t="n">
        <x:v>27</x:v>
      </x:c>
      <x:c r="J373" s="10" t="n">
        <x:v>3</x:v>
      </x:c>
      <x:c r="K373" s="10" t="str">
        <x:v>43 Mo.</x:v>
      </x:c>
      <x:c r="L373" s="10" t="n">
        <x:v>134</x:v>
      </x:c>
      <x:c r="M373" s="10" t="n">
        <x:v>0</x:v>
      </x:c>
      <x:c r="N373" s="10" t="n">
        <x:v>1820</x:v>
      </x:c>
      <x:c r="O373" s="10" t="str">
        <x:v>Paper &amp; Party Supplies</x:v>
      </x:c>
      <x:c r="P373" s="10" t="n">
        <x:v>44</x:v>
      </x:c>
      <x:c r="Q373" s="10" t="n">
        <x:v>0</x:v>
      </x:c>
      <x:c r="R373" s="13" t="n">
        <x:v>1.48</x:v>
      </x:c>
      <x:c r="S373" s="10" t="n">
        <x:v>1312</x:v>
      </x:c>
      <x:c r="T373" s="10" t="str">
        <x:v>mortgage process,loan application,realtor,mortgage broker,real estate,mortgage,realtor marketing,mortgage marketing,homebuyer planner,mortgage application,loan officer,canva template,homebuyer tips</x:v>
      </x:c>
      <x:c r="U373" s="10" t="str">
        <x:v>mortgage process</x:v>
      </x:c>
      <x:c r="V373" s="10" t="str">
        <x:v>loan application</x:v>
      </x:c>
      <x:c r="W373" s="10" t="str">
        <x:v>realtor</x:v>
      </x:c>
      <x:c r="X373" s="10" t="str">
        <x:v>mortgage broker</x:v>
      </x:c>
      <x:c r="Y373" s="10" t="str">
        <x:v>real estate</x:v>
      </x:c>
      <x:c r="Z373" s="10" t="str">
        <x:v>mortgage</x:v>
      </x:c>
      <x:c r="AA373" s="10" t="str">
        <x:v>realtor marketing</x:v>
      </x:c>
      <x:c r="AB373" s="10" t="str">
        <x:v>mortgage marketing</x:v>
      </x:c>
      <x:c r="AC373" s="10" t="str">
        <x:v>homebuyer planner</x:v>
      </x:c>
      <x:c r="AD373" s="10" t="str">
        <x:v>mortgage application</x:v>
      </x:c>
      <x:c r="AE373" s="10" t="str">
        <x:v>loan officer</x:v>
      </x:c>
      <x:c r="AF373" s="10" t="str">
        <x:v>canva template</x:v>
      </x:c>
      <x:c r="AG373" s="10" t="str">
        <x:v>homebuyer tips</x:v>
      </x:c>
      <x:c r="AH373" s="10" t="str">
        <x:v>Loan officer / B2B</x:v>
      </x:c>
      <x:c r="AI373" s="13" t="n">
        <x:v>43</x:v>
      </x:c>
      <x:c r="AJ373" s="10" t="str">
        <x:f>IF(F373&gt;0,"Active","No est. sales")</x:f>
        <x:v>No est. sales</x:v>
      </x:c>
    </x:row>
    <x:row r="374">
      <x:c r="A374" s="10" t="str">
        <x:v>Real Estate Business Plan Template 2026 | 14-Page Canva Workbook</x:v>
      </x:c>
      <x:c r="B374" s="10" t="str">
        <x:v>https://www.etsy.com/listing/4408816025/real-estate-business-plan-template-2026</x:v>
      </x:c>
      <x:c r="C374" s="10" t="str">
        <x:v>summerjewelldesign</x:v>
      </x:c>
      <x:c r="D374" s="10" t="str">
        <x:v>https://www.etsy.com/shop/summerjewelldesign</x:v>
      </x:c>
      <x:c r="E374" s="11" t="n">
        <x:v>6.99</x:v>
      </x:c>
      <x:c r="F374" s="10" t="n">
        <x:v>0</x:v>
      </x:c>
      <x:c r="G374" s="12" t="n">
        <x:v>0</x:v>
      </x:c>
      <x:c r="H374" s="13" t="n">
        <x:v>0</x:v>
      </x:c>
      <x:c r="I374" s="10" t="n">
        <x:v>0</x:v>
      </x:c>
      <x:c r="J374" s="10" t="n">
        <x:v>0</x:v>
      </x:c>
      <x:c r="K374" s="10" t="str">
        <x:v>8 Mo.</x:v>
      </x:c>
      <x:c r="L374" s="10" t="n">
        <x:v>3</x:v>
      </x:c>
      <x:c r="M374" s="10" t="n">
        <x:v>0</x:v>
      </x:c>
      <x:c r="N374" s="10" t="n">
        <x:v>77</x:v>
      </x:c>
      <x:c r="O374" s="10" t="str">
        <x:v>Paper &amp; Party Supplies</x:v>
      </x:c>
      <x:c r="P374" s="10" t="n">
        <x:v>10</x:v>
      </x:c>
      <x:c r="Q374" s="10" t="n">
        <x:v>0</x:v>
      </x:c>
      <x:c r="R374" s="13" t="n">
        <x:v>0</x:v>
      </x:c>
      <x:c r="S374" s="10" t="n">
        <x:v>39</x:v>
      </x:c>
      <x:c r="T374" s="10" t="str">
        <x:v>real estate business,loan officer planner,business planning,business planner,2026 business,canva template,production tracker,goal planner,2026 planning,real estate planning,mortgage planning,business plan packet,realtor worksheet</x:v>
      </x:c>
      <x:c r="U374" s="10" t="str">
        <x:v>real estate business</x:v>
      </x:c>
      <x:c r="V374" s="10" t="str">
        <x:v>loan officer planner</x:v>
      </x:c>
      <x:c r="W374" s="10" t="str">
        <x:v>business planning</x:v>
      </x:c>
      <x:c r="X374" s="10" t="str">
        <x:v>business planner</x:v>
      </x:c>
      <x:c r="Y374" s="10" t="str">
        <x:v>2026 business</x:v>
      </x:c>
      <x:c r="Z374" s="10" t="str">
        <x:v>canva template</x:v>
      </x:c>
      <x:c r="AA374" s="10" t="str">
        <x:v>production tracker</x:v>
      </x:c>
      <x:c r="AB374" s="10" t="str">
        <x:v>goal planner</x:v>
      </x:c>
      <x:c r="AC374" s="10" t="str">
        <x:v>2026 planning</x:v>
      </x:c>
      <x:c r="AD374" s="10" t="str">
        <x:v>real estate planning</x:v>
      </x:c>
      <x:c r="AE374" s="10" t="str">
        <x:v>mortgage planning</x:v>
      </x:c>
      <x:c r="AF374" s="10" t="str">
        <x:v>business plan packet</x:v>
      </x:c>
      <x:c r="AG374" s="10" t="str">
        <x:v>realtor worksheet</x:v>
      </x:c>
      <x:c r="AH374" s="10" t="str">
        <x:v>Loan officer / B2B</x:v>
      </x:c>
      <x:c r="AI374" s="13" t="n">
        <x:v>8</x:v>
      </x:c>
      <x:c r="AJ374" s="10" t="str">
        <x:f>IF(F374&gt;0,"Active","No est. sales")</x:f>
        <x:v>No est. sales</x:v>
      </x:c>
    </x:row>
    <x:row r="375">
      <x:c r="A375" s="10" t="str">
        <x:v>Debt Payoff Tracker Spreadsheet Google Sheets Debt Snowball Avalanche Calculator Debt Free Planner Student Loan Credit Card Payoff Template</x:v>
      </x:c>
      <x:c r="B375" s="10" t="str">
        <x:v>https://www.etsy.com/listing/1824019436/debt-payoff-tracker-spreadsheet-google</x:v>
      </x:c>
      <x:c r="C375" s="10" t="str">
        <x:v>DansDigitalsCo</x:v>
      </x:c>
      <x:c r="D375" s="10" t="str">
        <x:v>https://www.etsy.com/shop/DansDigitalsCo</x:v>
      </x:c>
      <x:c r="E375" s="11" t="n">
        <x:v>10.67</x:v>
      </x:c>
      <x:c r="F375" s="10" t="n">
        <x:v>0</x:v>
      </x:c>
      <x:c r="G375" s="12" t="n">
        <x:v>0</x:v>
      </x:c>
      <x:c r="H375" s="13" t="n">
        <x:v>0</x:v>
      </x:c>
      <x:c r="I375" s="10" t="n">
        <x:v>0</x:v>
      </x:c>
      <x:c r="J375" s="10" t="n">
        <x:v>0</x:v>
      </x:c>
      <x:c r="K375" s="10" t="str">
        <x:v>19 Mo.</x:v>
      </x:c>
      <x:c r="L375" s="10" t="n">
        <x:v>4</x:v>
      </x:c>
      <x:c r="M375" s="10" t="n">
        <x:v>0</x:v>
      </x:c>
      <x:c r="N375" s="10" t="n">
        <x:v>93</x:v>
      </x:c>
      <x:c r="O375" s="10" t="str"/>
      <x:c r="P375" s="10" t="n">
        <x:v>56</x:v>
      </x:c>
      <x:c r="Q375" s="10" t="n">
        <x:v>0</x:v>
      </x:c>
      <x:c r="R375" s="13" t="n">
        <x:v>0</x:v>
      </x:c>
      <x:c r="S375" s="10" t="n">
        <x:v>12312</x:v>
      </x:c>
      <x:c r="T375" s="10" t="str">
        <x:v>financial planner,debt payoff tracker,debt snowball,debt payoff chart,debt payment tracker,credit card payoff,debt spreadsheet,debt avalanche,personal finance,student loan debt,google sheets budget,mortgage payoff,credit utilization</x:v>
      </x:c>
      <x:c r="U375" s="10" t="str">
        <x:v>financial planner</x:v>
      </x:c>
      <x:c r="V375" s="10" t="str">
        <x:v>debt payoff tracker</x:v>
      </x:c>
      <x:c r="W375" s="10" t="str">
        <x:v>debt snowball</x:v>
      </x:c>
      <x:c r="X375" s="10" t="str">
        <x:v>debt payoff chart</x:v>
      </x:c>
      <x:c r="Y375" s="10" t="str">
        <x:v>debt payment tracker</x:v>
      </x:c>
      <x:c r="Z375" s="10" t="str">
        <x:v>credit card payoff</x:v>
      </x:c>
      <x:c r="AA375" s="10" t="str">
        <x:v>debt spreadsheet</x:v>
      </x:c>
      <x:c r="AB375" s="10" t="str">
        <x:v>debt avalanche</x:v>
      </x:c>
      <x:c r="AC375" s="10" t="str">
        <x:v>personal finance</x:v>
      </x:c>
      <x:c r="AD375" s="10" t="str">
        <x:v>student loan debt</x:v>
      </x:c>
      <x:c r="AE375" s="10" t="str">
        <x:v>google sheets budget</x:v>
      </x:c>
      <x:c r="AF375" s="10" t="str">
        <x:v>mortgage payoff</x:v>
      </x:c>
      <x:c r="AG375" s="10" t="str">
        <x:v>credit utilization</x:v>
      </x:c>
      <x:c r="AH375" s="10" t="str">
        <x:v>General debt payoff</x:v>
      </x:c>
      <x:c r="AI375" s="13" t="n">
        <x:v>19</x:v>
      </x:c>
      <x:c r="AJ375" s="10" t="str">
        <x:f>IF(F375&gt;0,"Active","No est. sales")</x:f>
        <x:v>No est. sales</x:v>
      </x:c>
    </x:row>
    <x:row r="376">
      <x:c r="A376" s="10" t="str">
        <x:v>HOME AFFORDABILITY Calculator | Mortgage Budget Tool | DTI Rent vs Buy | Interactive Web App</x:v>
      </x:c>
      <x:c r="B376" s="10" t="str">
        <x:v>https://www.etsy.com/listing/4472538058/home-affordability-calculator-mortgage</x:v>
      </x:c>
      <x:c r="C376" s="10" t="str">
        <x:v>TheNewsBakery</x:v>
      </x:c>
      <x:c r="D376" s="10" t="str">
        <x:v>https://www.etsy.com/shop/TheNewsBakery</x:v>
      </x:c>
      <x:c r="E376" s="11" t="n">
        <x:v>4.99</x:v>
      </x:c>
      <x:c r="F376" s="10" t="n">
        <x:v>0</x:v>
      </x:c>
      <x:c r="G376" s="12" t="n">
        <x:v>0</x:v>
      </x:c>
      <x:c r="H376" s="13" t="n">
        <x:v>0</x:v>
      </x:c>
      <x:c r="I376" s="10" t="n">
        <x:v>0</x:v>
      </x:c>
      <x:c r="J376" s="10" t="n">
        <x:v>0</x:v>
      </x:c>
      <x:c r="K376" s="10" t="str">
        <x:v>4 Mo.</x:v>
      </x:c>
      <x:c r="L376" s="10" t="n">
        <x:v>1</x:v>
      </x:c>
      <x:c r="M376" s="10" t="n">
        <x:v>0</x:v>
      </x:c>
      <x:c r="N376" s="10" t="n">
        <x:v>6</x:v>
      </x:c>
      <x:c r="O376" s="10" t="str">
        <x:v>Books, Movies &amp; Music</x:v>
      </x:c>
      <x:c r="P376" s="10" t="n">
        <x:v>4</x:v>
      </x:c>
      <x:c r="Q376" s="10" t="n">
        <x:v>0</x:v>
      </x:c>
      <x:c r="R376" s="13" t="n">
        <x:v>0</x:v>
      </x:c>
      <x:c r="S376" s="10" t="n">
        <x:v>3</x:v>
      </x:c>
      <x:c r="T376" s="10" t="str">
        <x:v>home affordability,mortgage calculator,how much house,dti calculator,home buying tool,rent vs buy,first time buyer,house budget,piti calculator,down payment tool,home cost planner,mortgage budget,closing cost calc</x:v>
      </x:c>
      <x:c r="U376" s="10" t="str">
        <x:v>home affordability</x:v>
      </x:c>
      <x:c r="V376" s="10" t="str">
        <x:v>mortgage calculator</x:v>
      </x:c>
      <x:c r="W376" s="10" t="str">
        <x:v>how much house</x:v>
      </x:c>
      <x:c r="X376" s="10" t="str">
        <x:v>dti calculator</x:v>
      </x:c>
      <x:c r="Y376" s="10" t="str">
        <x:v>home buying tool</x:v>
      </x:c>
      <x:c r="Z376" s="10" t="str">
        <x:v>rent vs buy</x:v>
      </x:c>
      <x:c r="AA376" s="10" t="str">
        <x:v>first time buyer</x:v>
      </x:c>
      <x:c r="AB376" s="10" t="str">
        <x:v>house budget</x:v>
      </x:c>
      <x:c r="AC376" s="10" t="str">
        <x:v>piti calculator</x:v>
      </x:c>
      <x:c r="AD376" s="10" t="str">
        <x:v>down payment tool</x:v>
      </x:c>
      <x:c r="AE376" s="10" t="str">
        <x:v>home cost planner</x:v>
      </x:c>
      <x:c r="AF376" s="10" t="str">
        <x:v>mortgage budget</x:v>
      </x:c>
      <x:c r="AG376" s="10" t="str">
        <x:v>closing cost calc</x:v>
      </x:c>
      <x:c r="AH376" s="10" t="str">
        <x:v>Other mortgage-related</x:v>
      </x:c>
      <x:c r="AI376" s="13" t="n">
        <x:v>4</x:v>
      </x:c>
      <x:c r="AJ376" s="10" t="str">
        <x:f>IF(F376&gt;0,"Active","No est. sales")</x:f>
        <x:v>No est. sales</x:v>
      </x:c>
    </x:row>
    <x:row r="377">
      <x:c r="A377" s="10" t="str">
        <x:v>Mortgage Broker Marketing Planner | Lead Generation, Social Media (PDF)</x:v>
      </x:c>
      <x:c r="B377" s="10" t="str">
        <x:v>https://www.etsy.com/listing/1468813776/mortgage-broker-marketing-planner-lead</x:v>
      </x:c>
      <x:c r="C377" s="10" t="str">
        <x:v>CurrentsMarketing</x:v>
      </x:c>
      <x:c r="D377" s="10" t="str">
        <x:v>https://www.etsy.com/shop/CurrentsMarketing</x:v>
      </x:c>
      <x:c r="E377" s="11" t="n">
        <x:v>14.5</x:v>
      </x:c>
      <x:c r="F377" s="10" t="n">
        <x:v>0</x:v>
      </x:c>
      <x:c r="G377" s="12" t="n">
        <x:v>0</x:v>
      </x:c>
      <x:c r="H377" s="13" t="n">
        <x:v>0</x:v>
      </x:c>
      <x:c r="I377" s="10" t="n">
        <x:v>0</x:v>
      </x:c>
      <x:c r="J377" s="10" t="n">
        <x:v>0</x:v>
      </x:c>
      <x:c r="K377" s="10" t="str">
        <x:v>38 Mo.</x:v>
      </x:c>
      <x:c r="L377" s="10" t="n">
        <x:v>30</x:v>
      </x:c>
      <x:c r="M377" s="10" t="n">
        <x:v>0</x:v>
      </x:c>
      <x:c r="N377" s="10" t="n">
        <x:v>1247</x:v>
      </x:c>
      <x:c r="O377" s="10" t="str"/>
      <x:c r="P377" s="10" t="n">
        <x:v>40</x:v>
      </x:c>
      <x:c r="Q377" s="10" t="n">
        <x:v>0</x:v>
      </x:c>
      <x:c r="R377" s="13" t="n">
        <x:v>0</x:v>
      </x:c>
      <x:c r="S377" s="10" t="n">
        <x:v>69</x:v>
      </x:c>
      <x:c r="T377" s="10" t="str">
        <x:v>marketing planner,social media planner,mortgage broker plan,mortgage business,mortgage lender,business marketing,instagram planner,mortgage broker goal,social media book,marketing workbook,real estate,loan officer,mortgage specialist</x:v>
      </x:c>
      <x:c r="U377" s="10" t="str">
        <x:v>marketing planner</x:v>
      </x:c>
      <x:c r="V377" s="10" t="str">
        <x:v>social media planner</x:v>
      </x:c>
      <x:c r="W377" s="10" t="str">
        <x:v>mortgage broker plan</x:v>
      </x:c>
      <x:c r="X377" s="10" t="str">
        <x:v>mortgage business</x:v>
      </x:c>
      <x:c r="Y377" s="10" t="str">
        <x:v>mortgage lender</x:v>
      </x:c>
      <x:c r="Z377" s="10" t="str">
        <x:v>business marketing</x:v>
      </x:c>
      <x:c r="AA377" s="10" t="str">
        <x:v>instagram planner</x:v>
      </x:c>
      <x:c r="AB377" s="10" t="str">
        <x:v>mortgage broker goal</x:v>
      </x:c>
      <x:c r="AC377" s="10" t="str">
        <x:v>social media book</x:v>
      </x:c>
      <x:c r="AD377" s="10" t="str">
        <x:v>marketing workbook</x:v>
      </x:c>
      <x:c r="AE377" s="10" t="str">
        <x:v>real estate</x:v>
      </x:c>
      <x:c r="AF377" s="10" t="str">
        <x:v>loan officer</x:v>
      </x:c>
      <x:c r="AG377" s="10" t="str">
        <x:v>mortgage specialist</x:v>
      </x:c>
      <x:c r="AH377" s="10" t="str">
        <x:v>Loan officer / B2B</x:v>
      </x:c>
      <x:c r="AI377" s="13" t="n">
        <x:v>38</x:v>
      </x:c>
      <x:c r="AJ377" s="10" t="str">
        <x:f>IF(F377&gt;0,"Active","No est. sales")</x:f>
        <x:v>No est. sales</x:v>
      </x:c>
    </x:row>
    <x:row r="378">
      <x:c r="A378" s="10" t="str">
        <x:v>Home Buyer Carrying Cost Worksheet | Real Estate Budget Planner | Mortgage Affordability Calculator | First Time Homebuyer Guide PDF</x:v>
      </x:c>
      <x:c r="B378" s="10" t="str">
        <x:v>https://www.etsy.com/listing/4512325044/home-buyer-carrying-cost-worksheet-real</x:v>
      </x:c>
      <x:c r="C378" s="10" t="str">
        <x:v>MichaelSeongDesigns</x:v>
      </x:c>
      <x:c r="D378" s="10" t="str">
        <x:v>https://www.etsy.com/shop/MichaelSeongDesigns</x:v>
      </x:c>
      <x:c r="E378" s="11" t="n">
        <x:v>3.54</x:v>
      </x:c>
      <x:c r="F378" s="10" t="n">
        <x:v>0</x:v>
      </x:c>
      <x:c r="G378" s="12" t="n">
        <x:v>0</x:v>
      </x:c>
      <x:c r="H378" s="13" t="n">
        <x:v>0</x:v>
      </x:c>
      <x:c r="I378" s="10" t="n">
        <x:v>0</x:v>
      </x:c>
      <x:c r="J378" s="10" t="n">
        <x:v>0</x:v>
      </x:c>
      <x:c r="K378" s="10" t="str">
        <x:v>2 Mo.</x:v>
      </x:c>
      <x:c r="L378" s="10" t="n">
        <x:v>0</x:v>
      </x:c>
      <x:c r="M378" s="10" t="n">
        <x:v>0</x:v>
      </x:c>
      <x:c r="N378" s="10" t="n">
        <x:v>4</x:v>
      </x:c>
      <x:c r="O378" s="10" t="str">
        <x:v>Paper &amp; Party Supplies</x:v>
      </x:c>
      <x:c r="P378" s="10" t="n">
        <x:v>71</x:v>
      </x:c>
      <x:c r="Q378" s="10" t="n">
        <x:v>0</x:v>
      </x:c>
      <x:c r="R378" s="13" t="n">
        <x:v>0</x:v>
      </x:c>
      <x:c r="S378" s="10" t="n">
        <x:v>24</x:v>
      </x:c>
      <x:c r="T378" s="10" t="str">
        <x:v>home buyer planner,real estate planner,mortgage calculator,budget worksheet,carrying cost guide,first time homebuyer,house hunting,real estate agent,finance tracker,property comparison,home buying binder,budgeting printable,affordability</x:v>
      </x:c>
      <x:c r="U378" s="10" t="str">
        <x:v>home buyer planner</x:v>
      </x:c>
      <x:c r="V378" s="10" t="str">
        <x:v>real estate planner</x:v>
      </x:c>
      <x:c r="W378" s="10" t="str">
        <x:v>mortgage calculator</x:v>
      </x:c>
      <x:c r="X378" s="10" t="str">
        <x:v>budget worksheet</x:v>
      </x:c>
      <x:c r="Y378" s="10" t="str">
        <x:v>carrying cost guide</x:v>
      </x:c>
      <x:c r="Z378" s="10" t="str">
        <x:v>first time homebuyer</x:v>
      </x:c>
      <x:c r="AA378" s="10" t="str">
        <x:v>house hunting</x:v>
      </x:c>
      <x:c r="AB378" s="10" t="str">
        <x:v>real estate agent</x:v>
      </x:c>
      <x:c r="AC378" s="10" t="str">
        <x:v>finance tracker</x:v>
      </x:c>
      <x:c r="AD378" s="10" t="str">
        <x:v>property comparison</x:v>
      </x:c>
      <x:c r="AE378" s="10" t="str">
        <x:v>home buying binder</x:v>
      </x:c>
      <x:c r="AF378" s="10" t="str">
        <x:v>budgeting printable</x:v>
      </x:c>
      <x:c r="AG378" s="10" t="str">
        <x:v>affordability</x:v>
      </x:c>
      <x:c r="AH378" s="10" t="str">
        <x:v>Home buying planner</x:v>
      </x:c>
      <x:c r="AI378" s="13" t="n">
        <x:v>2</x:v>
      </x:c>
      <x:c r="AJ378" s="10" t="str">
        <x:f>IF(F378&gt;0,"Active","No est. sales")</x:f>
        <x:v>No est. sales</x:v>
      </x:c>
    </x:row>
    <x:row r="379">
      <x:c r="A379" s="10" t="str">
        <x:v>Mortgage Comparison Worksheet PDF | Lender Quote Comparison Sheet, Home Buyer Mortgage Shopping Log, Rate Tracker Checklist</x:v>
      </x:c>
      <x:c r="B379" s="10" t="str">
        <x:v>https://www.etsy.com/listing/4512951797/mortgage-comparison-worksheet-pdf-lender</x:v>
      </x:c>
      <x:c r="C379" s="10" t="str">
        <x:v>MichaelSeongDesigns</x:v>
      </x:c>
      <x:c r="D379" s="10" t="str">
        <x:v>https://www.etsy.com/shop/MichaelSeongDesigns</x:v>
      </x:c>
      <x:c r="E379" s="11" t="n">
        <x:v>3.54</x:v>
      </x:c>
      <x:c r="F379" s="10" t="n">
        <x:v>0</x:v>
      </x:c>
      <x:c r="G379" s="12" t="n">
        <x:v>0</x:v>
      </x:c>
      <x:c r="H379" s="13" t="n">
        <x:v>0</x:v>
      </x:c>
      <x:c r="I379" s="10" t="n">
        <x:v>0</x:v>
      </x:c>
      <x:c r="J379" s="10" t="n">
        <x:v>0</x:v>
      </x:c>
      <x:c r="K379" s="10" t="str">
        <x:v>2 Mo.</x:v>
      </x:c>
      <x:c r="L379" s="10" t="n">
        <x:v>0</x:v>
      </x:c>
      <x:c r="M379" s="10" t="n">
        <x:v>0</x:v>
      </x:c>
      <x:c r="N379" s="10" t="n">
        <x:v>6</x:v>
      </x:c>
      <x:c r="O379" s="10" t="str">
        <x:v>Paper &amp; Party Supplies</x:v>
      </x:c>
      <x:c r="P379" s="10" t="n">
        <x:v>71</x:v>
      </x:c>
      <x:c r="Q379" s="10" t="n">
        <x:v>0</x:v>
      </x:c>
      <x:c r="R379" s="13" t="n">
        <x:v>0</x:v>
      </x:c>
      <x:c r="S379" s="10" t="n">
        <x:v>24</x:v>
      </x:c>
      <x:c r="T379" s="10" t="str">
        <x:v>mortgage worksheet,lender comparison,mortgage tracker,home buyer log,mortgage shopping,rate comparison,lender quote log,home loan checklist,mortgage comparison,home buying planner,printable mortgage,mortgage pdf,house hunting tool</x:v>
      </x:c>
      <x:c r="U379" s="10" t="str">
        <x:v>mortgage worksheet</x:v>
      </x:c>
      <x:c r="V379" s="10" t="str">
        <x:v>lender comparison</x:v>
      </x:c>
      <x:c r="W379" s="10" t="str">
        <x:v>mortgage tracker</x:v>
      </x:c>
      <x:c r="X379" s="10" t="str">
        <x:v>home buyer log</x:v>
      </x:c>
      <x:c r="Y379" s="10" t="str">
        <x:v>mortgage shopping</x:v>
      </x:c>
      <x:c r="Z379" s="10" t="str">
        <x:v>rate comparison</x:v>
      </x:c>
      <x:c r="AA379" s="10" t="str">
        <x:v>lender quote log</x:v>
      </x:c>
      <x:c r="AB379" s="10" t="str">
        <x:v>home loan checklist</x:v>
      </x:c>
      <x:c r="AC379" s="10" t="str">
        <x:v>mortgage comparison</x:v>
      </x:c>
      <x:c r="AD379" s="10" t="str">
        <x:v>home buying planner</x:v>
      </x:c>
      <x:c r="AE379" s="10" t="str">
        <x:v>printable mortgage</x:v>
      </x:c>
      <x:c r="AF379" s="10" t="str">
        <x:v>mortgage pdf</x:v>
      </x:c>
      <x:c r="AG379" s="10" t="str">
        <x:v>house hunting tool</x:v>
      </x:c>
      <x:c r="AH379" s="10" t="str">
        <x:v>Home buying planner</x:v>
      </x:c>
      <x:c r="AI379" s="13" t="n">
        <x:v>2</x:v>
      </x:c>
      <x:c r="AJ379" s="10" t="str">
        <x:f>IF(F379&gt;0,"Active","No est. sales")</x:f>
        <x:v>No est. sales</x:v>
      </x:c>
    </x:row>
    <x:row r="380">
      <x:c r="A380" s="10" t="str">
        <x:v>Debt Snowball Calculator Spreadsheet Google Sheets Debt Payoff Tracker Spreadsheet Mortgage Finance Debt Planner Spreadsheet Finance Planner</x:v>
      </x:c>
      <x:c r="B380" s="10" t="str">
        <x:v>https://www.etsy.com/listing/4302397679/debt-snowball-calculator-spreadsheet</x:v>
      </x:c>
      <x:c r="C380" s="10" t="str">
        <x:v>OptimumPlanners</x:v>
      </x:c>
      <x:c r="D380" s="10" t="str">
        <x:v>https://www.etsy.com/shop/OptimumPlanners</x:v>
      </x:c>
      <x:c r="E380" s="11" t="n">
        <x:v>8</x:v>
      </x:c>
      <x:c r="F380" s="10" t="n">
        <x:v>0</x:v>
      </x:c>
      <x:c r="G380" s="12" t="n">
        <x:v>0</x:v>
      </x:c>
      <x:c r="H380" s="13" t="n">
        <x:v>0</x:v>
      </x:c>
      <x:c r="I380" s="10" t="n">
        <x:v>0</x:v>
      </x:c>
      <x:c r="J380" s="10" t="n">
        <x:v>0</x:v>
      </x:c>
      <x:c r="K380" s="10" t="str">
        <x:v>14 Mo.</x:v>
      </x:c>
      <x:c r="L380" s="10" t="n">
        <x:v>2</x:v>
      </x:c>
      <x:c r="M380" s="10" t="n">
        <x:v>0</x:v>
      </x:c>
      <x:c r="N380" s="10" t="n">
        <x:v>97</x:v>
      </x:c>
      <x:c r="O380" s="10" t="str"/>
      <x:c r="P380" s="10" t="n">
        <x:v>45</x:v>
      </x:c>
      <x:c r="Q380" s="10" t="n">
        <x:v>0</x:v>
      </x:c>
      <x:c r="R380" s="13" t="n">
        <x:v>0</x:v>
      </x:c>
      <x:c r="S380" s="10" t="n">
        <x:v>57225</x:v>
      </x:c>
      <x:c r="T380" s="10" t="str">
        <x:v>debt payoff tracker,debt google sheets,debt snowball sheet,debt calculator,debt tracker planner,personal finance,debt planner,debt management,debt spreadsheet,mortgage payoff,debt template,googlesheet tracker,debt finance planner</x:v>
      </x:c>
      <x:c r="U380" s="10" t="str">
        <x:v>debt payoff tracker</x:v>
      </x:c>
      <x:c r="V380" s="10" t="str">
        <x:v>debt google sheets</x:v>
      </x:c>
      <x:c r="W380" s="10" t="str">
        <x:v>debt snowball sheet</x:v>
      </x:c>
      <x:c r="X380" s="10" t="str">
        <x:v>debt calculator</x:v>
      </x:c>
      <x:c r="Y380" s="10" t="str">
        <x:v>debt tracker planner</x:v>
      </x:c>
      <x:c r="Z380" s="10" t="str">
        <x:v>personal finance</x:v>
      </x:c>
      <x:c r="AA380" s="10" t="str">
        <x:v>debt planner</x:v>
      </x:c>
      <x:c r="AB380" s="10" t="str">
        <x:v>debt management</x:v>
      </x:c>
      <x:c r="AC380" s="10" t="str">
        <x:v>debt spreadsheet</x:v>
      </x:c>
      <x:c r="AD380" s="10" t="str">
        <x:v>mortgage payoff</x:v>
      </x:c>
      <x:c r="AE380" s="10" t="str">
        <x:v>debt template</x:v>
      </x:c>
      <x:c r="AF380" s="10" t="str">
        <x:v>googlesheet tracker</x:v>
      </x:c>
      <x:c r="AG380" s="10" t="str">
        <x:v>debt finance planner</x:v>
      </x:c>
      <x:c r="AH380" s="10" t="str">
        <x:v>General debt payoff</x:v>
      </x:c>
      <x:c r="AI380" s="13" t="n">
        <x:v>14</x:v>
      </x:c>
      <x:c r="AJ380" s="10" t="str">
        <x:f>IF(F380&gt;0,"Active","No est. sales")</x:f>
        <x:v>No est. sales</x:v>
      </x:c>
    </x:row>
    <x:row r="381">
      <x:c r="A381" s="10" t="str">
        <x:v>Debt Payoff Tracker Snowball Avalanche Custom Method Calculator Debt Payoff Tracker Student Loan, Loan Tracker Excel Google Sheets Template</x:v>
      </x:c>
      <x:c r="B381" s="10" t="str">
        <x:v>https://www.etsy.com/listing/4483107362/debt-payoff-tracker-snowball-avalanche</x:v>
      </x:c>
      <x:c r="C381" s="10" t="str">
        <x:v>RichvaleCreatives</x:v>
      </x:c>
      <x:c r="D381" s="10" t="str">
        <x:v>https://www.etsy.com/shop/RichvaleCreatives</x:v>
      </x:c>
      <x:c r="E381" s="11" t="n">
        <x:v>3.55</x:v>
      </x:c>
      <x:c r="F381" s="10" t="n">
        <x:v>0</x:v>
      </x:c>
      <x:c r="G381" s="12" t="n">
        <x:v>0</x:v>
      </x:c>
      <x:c r="H381" s="13" t="n">
        <x:v>0</x:v>
      </x:c>
      <x:c r="I381" s="10" t="n">
        <x:v>9</x:v>
      </x:c>
      <x:c r="J381" s="10" t="n">
        <x:v>1</x:v>
      </x:c>
      <x:c r="K381" s="10" t="str">
        <x:v>3 Mo.</x:v>
      </x:c>
      <x:c r="L381" s="10" t="n">
        <x:v>3</x:v>
      </x:c>
      <x:c r="M381" s="10" t="n">
        <x:v>0</x:v>
      </x:c>
      <x:c r="N381" s="10" t="n">
        <x:v>189</x:v>
      </x:c>
      <x:c r="O381" s="10" t="str"/>
      <x:c r="P381" s="10" t="n">
        <x:v>7</x:v>
      </x:c>
      <x:c r="Q381" s="10" t="n">
        <x:v>30</x:v>
      </x:c>
      <x:c r="R381" s="13" t="n">
        <x:v>4.76</x:v>
      </x:c>
      <x:c r="S381" s="10" t="n">
        <x:v>1070</x:v>
      </x:c>
      <x:c r="T381" s="10" t="str">
        <x:v>debt payoff tracker,debt tracker,debt payoff,debt snowball,debt avalanche,debt payment tracker,debt spreadsheet,debt planner,credit card payoff,budget spreadsheet,mortgage payoff,student loan debt,snowball method</x:v>
      </x:c>
      <x:c r="U381" s="10" t="str">
        <x:v>debt payoff tracker</x:v>
      </x:c>
      <x:c r="V381" s="10" t="str">
        <x:v>debt tracker</x:v>
      </x:c>
      <x:c r="W381" s="10" t="str">
        <x:v>debt payoff</x:v>
      </x:c>
      <x:c r="X381" s="10" t="str">
        <x:v>debt snowball</x:v>
      </x:c>
      <x:c r="Y381" s="10" t="str">
        <x:v>debt avalanche</x:v>
      </x:c>
      <x:c r="Z381" s="10" t="str">
        <x:v>debt payment tracker</x:v>
      </x:c>
      <x:c r="AA381" s="10" t="str">
        <x:v>debt spreadsheet</x:v>
      </x:c>
      <x:c r="AB381" s="10" t="str">
        <x:v>debt planner</x:v>
      </x:c>
      <x:c r="AC381" s="10" t="str">
        <x:v>credit card payoff</x:v>
      </x:c>
      <x:c r="AD381" s="10" t="str">
        <x:v>budget spreadsheet</x:v>
      </x:c>
      <x:c r="AE381" s="10" t="str">
        <x:v>mortgage payoff</x:v>
      </x:c>
      <x:c r="AF381" s="10" t="str">
        <x:v>student loan debt</x:v>
      </x:c>
      <x:c r="AG381" s="10" t="str">
        <x:v>snowball method</x:v>
      </x:c>
      <x:c r="AH381" s="10" t="str">
        <x:v>General debt payoff</x:v>
      </x:c>
      <x:c r="AI381" s="13" t="n">
        <x:v>3</x:v>
      </x:c>
      <x:c r="AJ381" s="10" t="str">
        <x:f>IF(F381&gt;0,"Active","No est. sales")</x:f>
        <x:v>No est. sales</x:v>
      </x:c>
    </x:row>
    <x:row r="382">
      <x:c r="A382" s="10" t="str">
        <x:v>Rent Reminder Planner Stickers (39), Mortgage Payment Stickers, Cute Planner Stickers</x:v>
      </x:c>
      <x:c r="B382" s="10" t="str">
        <x:v>https://www.etsy.com/listing/1474948429/rent-reminder-planner-stickers-39</x:v>
      </x:c>
      <x:c r="C382" s="10" t="str">
        <x:v>Judeannedesigns</x:v>
      </x:c>
      <x:c r="D382" s="10" t="str">
        <x:v>https://www.etsy.com/shop/Judeannedesigns</x:v>
      </x:c>
      <x:c r="E382" s="11" t="n">
        <x:v>3.5</x:v>
      </x:c>
      <x:c r="F382" s="10" t="n">
        <x:v>0</x:v>
      </x:c>
      <x:c r="G382" s="12" t="n">
        <x:v>0</x:v>
      </x:c>
      <x:c r="H382" s="13" t="n">
        <x:v>0</x:v>
      </x:c>
      <x:c r="I382" s="10" t="n">
        <x:v>50</x:v>
      </x:c>
      <x:c r="J382" s="10" t="n">
        <x:v>8</x:v>
      </x:c>
      <x:c r="K382" s="10" t="str">
        <x:v>38 Mo.</x:v>
      </x:c>
      <x:c r="L382" s="10" t="n">
        <x:v>88</x:v>
      </x:c>
      <x:c r="M382" s="10" t="n">
        <x:v>0</x:v>
      </x:c>
      <x:c r="N382" s="10" t="n">
        <x:v>1010</x:v>
      </x:c>
      <x:c r="O382" s="10" t="str">
        <x:v>Paper &amp; Party Supplies</x:v>
      </x:c>
      <x:c r="P382" s="10" t="n">
        <x:v>47</x:v>
      </x:c>
      <x:c r="Q382" s="10" t="n">
        <x:v>0</x:v>
      </x:c>
      <x:c r="R382" s="13" t="n">
        <x:v>4.95</x:v>
      </x:c>
      <x:c r="S382" s="10" t="n">
        <x:v>42977</x:v>
      </x:c>
      <x:c r="T382" s="10" t="str">
        <x:v>planner stickers,tiny stickers,calendar stickers,bujo stickers,functional planner,half box planner,cute planner sticker,rent reminder,mortgage reminder,bill payment,bill due,happy planner,house stickers</x:v>
      </x:c>
      <x:c r="U382" s="10" t="str">
        <x:v>planner stickers</x:v>
      </x:c>
      <x:c r="V382" s="10" t="str">
        <x:v>tiny stickers</x:v>
      </x:c>
      <x:c r="W382" s="10" t="str">
        <x:v>calendar stickers</x:v>
      </x:c>
      <x:c r="X382" s="10" t="str">
        <x:v>bujo stickers</x:v>
      </x:c>
      <x:c r="Y382" s="10" t="str">
        <x:v>functional planner</x:v>
      </x:c>
      <x:c r="Z382" s="10" t="str">
        <x:v>half box planner</x:v>
      </x:c>
      <x:c r="AA382" s="10" t="str">
        <x:v>cute planner sticker</x:v>
      </x:c>
      <x:c r="AB382" s="10" t="str">
        <x:v>rent reminder</x:v>
      </x:c>
      <x:c r="AC382" s="10" t="str">
        <x:v>mortgage reminder</x:v>
      </x:c>
      <x:c r="AD382" s="10" t="str">
        <x:v>bill payment</x:v>
      </x:c>
      <x:c r="AE382" s="10" t="str">
        <x:v>bill due</x:v>
      </x:c>
      <x:c r="AF382" s="10" t="str">
        <x:v>happy planner</x:v>
      </x:c>
      <x:c r="AG382" s="10" t="str">
        <x:v>house stickers</x:v>
      </x:c>
      <x:c r="AH382" s="10" t="str">
        <x:v>Other mortgage-related</x:v>
      </x:c>
      <x:c r="AI382" s="13" t="n">
        <x:v>38</x:v>
      </x:c>
      <x:c r="AJ382" s="10" t="str">
        <x:f>IF(F382&gt;0,"Active","No est. sales")</x:f>
        <x:v>No est. sales</x:v>
      </x:c>
    </x:row>
    <x:row r="383">
      <x:c r="A383" s="10" t="str">
        <x:v>First Time Home Buyer Guide Bundle | House Hunting Workbook, Podcast (Instant Download)</x:v>
      </x:c>
      <x:c r="B383" s="10" t="str">
        <x:v>https://www.etsy.com/listing/4507135629/first-time-home-buyer-guide-checklist</x:v>
      </x:c>
      <x:c r="C383" s="10" t="str">
        <x:v>CrediVersity</x:v>
      </x:c>
      <x:c r="D383" s="10" t="str">
        <x:v>https://www.etsy.com/shop/CrediVersity</x:v>
      </x:c>
      <x:c r="E383" s="11" t="n">
        <x:v>14.99</x:v>
      </x:c>
      <x:c r="F383" s="10" t="n">
        <x:v>0</x:v>
      </x:c>
      <x:c r="G383" s="12" t="n">
        <x:v>0</x:v>
      </x:c>
      <x:c r="H383" s="13" t="n">
        <x:v>0</x:v>
      </x:c>
      <x:c r="I383" s="10" t="n">
        <x:v>0</x:v>
      </x:c>
      <x:c r="J383" s="10" t="n">
        <x:v>0</x:v>
      </x:c>
      <x:c r="K383" s="10" t="str">
        <x:v>2 Mo.</x:v>
      </x:c>
      <x:c r="L383" s="10" t="n">
        <x:v>0</x:v>
      </x:c>
      <x:c r="M383" s="10" t="n">
        <x:v>0</x:v>
      </x:c>
      <x:c r="N383" s="10" t="n">
        <x:v>0</x:v>
      </x:c>
      <x:c r="O383" s="10" t="str">
        <x:v>Books, Movies &amp; Music</x:v>
      </x:c>
      <x:c r="P383" s="10" t="n">
        <x:v>9</x:v>
      </x:c>
      <x:c r="Q383" s="10" t="n">
        <x:v>0</x:v>
      </x:c>
      <x:c r="R383" s="13" t="n">
        <x:v>0</x:v>
      </x:c>
      <x:c r="S383" s="10" t="n">
        <x:v>4</x:v>
      </x:c>
      <x:c r="T383" s="10" t="str">
        <x:v>first home buyer,home buying guide,house checklist,new homeowner gift,home buying workbook,real estate guide,mortgage guide,house hunting,closing checklist,first time buyer,home buyer planner,moving checklist,housewarming gift</x:v>
      </x:c>
      <x:c r="U383" s="10" t="str">
        <x:v>first home buyer</x:v>
      </x:c>
      <x:c r="V383" s="10" t="str">
        <x:v>home buying guide</x:v>
      </x:c>
      <x:c r="W383" s="10" t="str">
        <x:v>house checklist</x:v>
      </x:c>
      <x:c r="X383" s="10" t="str">
        <x:v>new homeowner gift</x:v>
      </x:c>
      <x:c r="Y383" s="10" t="str">
        <x:v>home buying workbook</x:v>
      </x:c>
      <x:c r="Z383" s="10" t="str">
        <x:v>real estate guide</x:v>
      </x:c>
      <x:c r="AA383" s="10" t="str">
        <x:v>mortgage guide</x:v>
      </x:c>
      <x:c r="AB383" s="10" t="str">
        <x:v>house hunting</x:v>
      </x:c>
      <x:c r="AC383" s="10" t="str">
        <x:v>closing checklist</x:v>
      </x:c>
      <x:c r="AD383" s="10" t="str">
        <x:v>first time buyer</x:v>
      </x:c>
      <x:c r="AE383" s="10" t="str">
        <x:v>home buyer planner</x:v>
      </x:c>
      <x:c r="AF383" s="10" t="str">
        <x:v>moving checklist</x:v>
      </x:c>
      <x:c r="AG383" s="10" t="str">
        <x:v>housewarming gift</x:v>
      </x:c>
      <x:c r="AH383" s="10" t="str">
        <x:v>Home buying planner</x:v>
      </x:c>
      <x:c r="AI383" s="13" t="n">
        <x:v>2</x:v>
      </x:c>
      <x:c r="AJ383" s="10" t="str">
        <x:f>IF(F383&gt;0,"Active","No est. sales")</x:f>
        <x:v>No est. sales</x:v>
      </x:c>
    </x:row>
    <x:row r="384">
      <x:c r="A384" s="10" t="str">
        <x:v>Excel Model: Investment Property Cashflow + Wealth Creation Calculator (Duplex)</x:v>
      </x:c>
      <x:c r="B384" s="10" t="str">
        <x:v>https://www.etsy.com/listing/1020321477/excel-model-investment-property-cashflow</x:v>
      </x:c>
      <x:c r="C384" s="10" t="str">
        <x:v>ExcelShopCreations</x:v>
      </x:c>
      <x:c r="D384" s="10" t="str">
        <x:v>https://www.etsy.com/shop/ExcelShopCreations</x:v>
      </x:c>
      <x:c r="E384" s="11" t="n">
        <x:v>17.99</x:v>
      </x:c>
      <x:c r="F384" s="10" t="n">
        <x:v>0</x:v>
      </x:c>
      <x:c r="G384" s="12" t="n">
        <x:v>0</x:v>
      </x:c>
      <x:c r="H384" s="13" t="n">
        <x:v>0</x:v>
      </x:c>
      <x:c r="I384" s="10" t="n">
        <x:v>0</x:v>
      </x:c>
      <x:c r="J384" s="10" t="n">
        <x:v>0</x:v>
      </x:c>
      <x:c r="K384" s="10" t="str">
        <x:v>62 Mo.</x:v>
      </x:c>
      <x:c r="L384" s="10" t="n">
        <x:v>6</x:v>
      </x:c>
      <x:c r="M384" s="10" t="n">
        <x:v>0</x:v>
      </x:c>
      <x:c r="N384" s="10" t="n">
        <x:v>124</x:v>
      </x:c>
      <x:c r="O384" s="10" t="str">
        <x:v>Paper &amp; Party Supplies</x:v>
      </x:c>
      <x:c r="P384" s="10" t="n">
        <x:v>62</x:v>
      </x:c>
      <x:c r="Q384" s="10" t="n">
        <x:v>0</x:v>
      </x:c>
      <x:c r="R384" s="13" t="n">
        <x:v>0</x:v>
      </x:c>
      <x:c r="S384" s="10" t="n">
        <x:v>6</x:v>
      </x:c>
      <x:c r="T384" s="10" t="str">
        <x:v>real estate,excel template,financial model,investment property,duplex,wealth creation,calculator,financial planner,mortgage calculator,rental calculator</x:v>
      </x:c>
      <x:c r="U384" s="10" t="str">
        <x:v>real estate</x:v>
      </x:c>
      <x:c r="V384" s="10" t="str">
        <x:v>excel template</x:v>
      </x:c>
      <x:c r="W384" s="10" t="str">
        <x:v>financial model</x:v>
      </x:c>
      <x:c r="X384" s="10" t="str">
        <x:v>investment property</x:v>
      </x:c>
      <x:c r="Y384" s="10" t="str">
        <x:v>duplex</x:v>
      </x:c>
      <x:c r="Z384" s="10" t="str">
        <x:v>wealth creation</x:v>
      </x:c>
      <x:c r="AA384" s="10" t="str">
        <x:v>calculator</x:v>
      </x:c>
      <x:c r="AB384" s="10" t="str">
        <x:v>financial planner</x:v>
      </x:c>
      <x:c r="AC384" s="10" t="str">
        <x:v>mortgage calculator</x:v>
      </x:c>
      <x:c r="AD384" s="10" t="str">
        <x:v>rental calculator</x:v>
      </x:c>
      <x:c r="AE384" s="10" t="str">
        <x:v>--</x:v>
      </x:c>
      <x:c r="AF384" s="10" t="str">
        <x:v>--</x:v>
      </x:c>
      <x:c r="AG384" s="10" t="str">
        <x:v>--</x:v>
      </x:c>
      <x:c r="AH384" s="10" t="str">
        <x:v>Other mortgage-related</x:v>
      </x:c>
      <x:c r="AI384" s="13" t="n">
        <x:v>62</x:v>
      </x:c>
      <x:c r="AJ384" s="10" t="str">
        <x:f>IF(F384&gt;0,"Active","No est. sales")</x:f>
        <x:v>No est. sales</x:v>
      </x:c>
    </x:row>
    <x:row r="385">
      <x:c r="A385" s="10" t="str">
        <x:v>Financial Planning Journal</x:v>
      </x:c>
      <x:c r="B385" s="10" t="str">
        <x:v>https://www.etsy.com/listing/4338544629/financial-planning-journal</x:v>
      </x:c>
      <x:c r="C385" s="10" t="str">
        <x:v>BooksbyJenLLC</x:v>
      </x:c>
      <x:c r="D385" s="10" t="str">
        <x:v>https://www.etsy.com/shop/BooksbyJenLLC</x:v>
      </x:c>
      <x:c r="E385" s="11" t="n">
        <x:v>2</x:v>
      </x:c>
      <x:c r="F385" s="10" t="n">
        <x:v>0</x:v>
      </x:c>
      <x:c r="G385" s="12" t="n">
        <x:v>0</x:v>
      </x:c>
      <x:c r="H385" s="13" t="n">
        <x:v>0</x:v>
      </x:c>
      <x:c r="I385" s="10" t="n">
        <x:v>0</x:v>
      </x:c>
      <x:c r="J385" s="10" t="n">
        <x:v>0</x:v>
      </x:c>
      <x:c r="K385" s="10" t="str">
        <x:v>12 Mo.</x:v>
      </x:c>
      <x:c r="L385" s="10" t="n">
        <x:v>0</x:v>
      </x:c>
      <x:c r="M385" s="10" t="n">
        <x:v>0</x:v>
      </x:c>
      <x:c r="N385" s="10" t="n">
        <x:v>12</x:v>
      </x:c>
      <x:c r="O385" s="10" t="str">
        <x:v>Paper &amp; Party Supplies</x:v>
      </x:c>
      <x:c r="P385" s="10" t="n">
        <x:v>42</x:v>
      </x:c>
      <x:c r="Q385" s="10" t="n">
        <x:v>0</x:v>
      </x:c>
      <x:c r="R385" s="13" t="n">
        <x:v>0</x:v>
      </x:c>
      <x:c r="S385" s="10" t="n">
        <x:v>321</x:v>
      </x:c>
      <x:c r="T385" s="10" t="str">
        <x:v>budget,finance,planner,journal,organizer,home binder,family,debt,savings,mortgage,household,money,investment</x:v>
      </x:c>
      <x:c r="U385" s="10" t="str">
        <x:v>budget</x:v>
      </x:c>
      <x:c r="V385" s="10" t="str">
        <x:v>finance</x:v>
      </x:c>
      <x:c r="W385" s="10" t="str">
        <x:v>planner</x:v>
      </x:c>
      <x:c r="X385" s="10" t="str">
        <x:v>journal</x:v>
      </x:c>
      <x:c r="Y385" s="10" t="str">
        <x:v>organizer</x:v>
      </x:c>
      <x:c r="Z385" s="10" t="str">
        <x:v>home binder</x:v>
      </x:c>
      <x:c r="AA385" s="10" t="str">
        <x:v>family</x:v>
      </x:c>
      <x:c r="AB385" s="10" t="str">
        <x:v>debt</x:v>
      </x:c>
      <x:c r="AC385" s="10" t="str">
        <x:v>savings</x:v>
      </x:c>
      <x:c r="AD385" s="10" t="str">
        <x:v>mortgage</x:v>
      </x:c>
      <x:c r="AE385" s="10" t="str">
        <x:v>household</x:v>
      </x:c>
      <x:c r="AF385" s="10" t="str">
        <x:v>money</x:v>
      </x:c>
      <x:c r="AG385" s="10" t="str">
        <x:v>investment</x:v>
      </x:c>
      <x:c r="AH385" s="10" t="str">
        <x:v>Other mortgage-related</x:v>
      </x:c>
      <x:c r="AI385" s="13" t="n">
        <x:v>12</x:v>
      </x:c>
      <x:c r="AJ385" s="10" t="str">
        <x:f>IF(F385&gt;0,"Active","No est. sales")</x:f>
        <x:v>No est. sales</x:v>
      </x:c>
    </x:row>
    <x:row r="386">
      <x:c r="A386" s="10" t="str">
        <x:v>First Time Homebuyer Planner with Spreadsheet Budget Tracker Home Buying Guide</x:v>
      </x:c>
      <x:c r="B386" s="10" t="str">
        <x:v>https://www.etsy.com/listing/4490432494/first-time-homebuyer-planner-with</x:v>
      </x:c>
      <x:c r="C386" s="10" t="str">
        <x:v>ReddDigitalShop</x:v>
      </x:c>
      <x:c r="D386" s="10" t="str">
        <x:v>https://www.etsy.com/shop/ReddDigitalShop</x:v>
      </x:c>
      <x:c r="E386" s="11" t="n">
        <x:v>9.99</x:v>
      </x:c>
      <x:c r="F386" s="10" t="n">
        <x:v>0</x:v>
      </x:c>
      <x:c r="G386" s="12" t="n">
        <x:v>0</x:v>
      </x:c>
      <x:c r="H386" s="13" t="n">
        <x:v>0</x:v>
      </x:c>
      <x:c r="I386" s="10" t="n">
        <x:v>0</x:v>
      </x:c>
      <x:c r="J386" s="10" t="n">
        <x:v>0</x:v>
      </x:c>
      <x:c r="K386" s="10" t="str">
        <x:v>3 Mo.</x:v>
      </x:c>
      <x:c r="L386" s="10" t="n">
        <x:v>0</x:v>
      </x:c>
      <x:c r="M386" s="10" t="n">
        <x:v>0</x:v>
      </x:c>
      <x:c r="N386" s="10" t="n">
        <x:v>10</x:v>
      </x:c>
      <x:c r="O386" s="10" t="str"/>
      <x:c r="P386" s="10" t="n">
        <x:v>8</x:v>
      </x:c>
      <x:c r="Q386" s="10" t="n">
        <x:v>0</x:v>
      </x:c>
      <x:c r="R386" s="13" t="n">
        <x:v>0</x:v>
      </x:c>
      <x:c r="S386" s="10" t="n">
        <x:v>1</x:v>
      </x:c>
      <x:c r="T386" s="10" t="str">
        <x:v>homebuyer planner,first home buyer,home budget,house budget,home tracker,budget tracker,savings planner,home buying,mortgage planner,financial planner,home checklist,money tracker,home organizer</x:v>
      </x:c>
      <x:c r="U386" s="10" t="str">
        <x:v>homebuyer planner</x:v>
      </x:c>
      <x:c r="V386" s="10" t="str">
        <x:v>first home buyer</x:v>
      </x:c>
      <x:c r="W386" s="10" t="str">
        <x:v>home budget</x:v>
      </x:c>
      <x:c r="X386" s="10" t="str">
        <x:v>house budget</x:v>
      </x:c>
      <x:c r="Y386" s="10" t="str">
        <x:v>home tracker</x:v>
      </x:c>
      <x:c r="Z386" s="10" t="str">
        <x:v>budget tracker</x:v>
      </x:c>
      <x:c r="AA386" s="10" t="str">
        <x:v>savings planner</x:v>
      </x:c>
      <x:c r="AB386" s="10" t="str">
        <x:v>home buying</x:v>
      </x:c>
      <x:c r="AC386" s="10" t="str">
        <x:v>mortgage planner</x:v>
      </x:c>
      <x:c r="AD386" s="10" t="str">
        <x:v>financial planner</x:v>
      </x:c>
      <x:c r="AE386" s="10" t="str">
        <x:v>home checklist</x:v>
      </x:c>
      <x:c r="AF386" s="10" t="str">
        <x:v>money tracker</x:v>
      </x:c>
      <x:c r="AG386" s="10" t="str">
        <x:v>home organizer</x:v>
      </x:c>
      <x:c r="AH386" s="10" t="str">
        <x:v>Home buying planner</x:v>
      </x:c>
      <x:c r="AI386" s="13" t="n">
        <x:v>3</x:v>
      </x:c>
      <x:c r="AJ386" s="10" t="str">
        <x:f>IF(F386&gt;0,"Active","No est. sales")</x:f>
        <x:v>No est. sales</x:v>
      </x:c>
    </x:row>
    <x:row r="387">
      <x:c r="A387" s="10" t="str">
        <x:v>Construction Loan Cashflow Tracker AU | Excel Spreadsheet | Bank Offset, Smart Stress-Test, Bills Calendar, Dashboard, PDF Guide</x:v>
      </x:c>
      <x:c r="B387" s="10" t="str">
        <x:v>https://www.etsy.com/listing/4500912068/construction-loan-cashflow-tracker-au</x:v>
      </x:c>
      <x:c r="C387" s="10" t="str">
        <x:v>shellbebuilt</x:v>
      </x:c>
      <x:c r="D387" s="10" t="str">
        <x:v>https://www.etsy.com/shop/shellbebuilt</x:v>
      </x:c>
      <x:c r="E387" s="11" t="n">
        <x:v>31.23</x:v>
      </x:c>
      <x:c r="F387" s="10" t="n">
        <x:v>0</x:v>
      </x:c>
      <x:c r="G387" s="12" t="n">
        <x:v>0</x:v>
      </x:c>
      <x:c r="H387" s="13" t="n">
        <x:v>0</x:v>
      </x:c>
      <x:c r="I387" s="10" t="n">
        <x:v>0</x:v>
      </x:c>
      <x:c r="J387" s="10" t="n">
        <x:v>0</x:v>
      </x:c>
      <x:c r="K387" s="10" t="str">
        <x:v>2 Mo.</x:v>
      </x:c>
      <x:c r="L387" s="10" t="n">
        <x:v>0</x:v>
      </x:c>
      <x:c r="M387" s="10" t="n">
        <x:v>0</x:v>
      </x:c>
      <x:c r="N387" s="10" t="n">
        <x:v>13</x:v>
      </x:c>
      <x:c r="O387" s="10" t="str"/>
      <x:c r="P387" s="10" t="n">
        <x:v>8</x:v>
      </x:c>
      <x:c r="Q387" s="10" t="n">
        <x:v>0</x:v>
      </x:c>
      <x:c r="R387" s="13" t="n">
        <x:v>0</x:v>
      </x:c>
      <x:c r="S387" s="10" t="n">
        <x:v>4</x:v>
      </x:c>
      <x:c r="T387" s="10" t="str">
        <x:v>construction loan,cashflow spreadsheet,mortgage tracker,australian budget,excel template,home build planner,offset calculator,budget spreadsheet,financial planner,home building,loan tracker,building australia,building stress test</x:v>
      </x:c>
      <x:c r="U387" s="10" t="str">
        <x:v>construction loan</x:v>
      </x:c>
      <x:c r="V387" s="10" t="str">
        <x:v>cashflow spreadsheet</x:v>
      </x:c>
      <x:c r="W387" s="10" t="str">
        <x:v>mortgage tracker</x:v>
      </x:c>
      <x:c r="X387" s="10" t="str">
        <x:v>australian budget</x:v>
      </x:c>
      <x:c r="Y387" s="10" t="str">
        <x:v>excel template</x:v>
      </x:c>
      <x:c r="Z387" s="10" t="str">
        <x:v>home build planner</x:v>
      </x:c>
      <x:c r="AA387" s="10" t="str">
        <x:v>offset calculator</x:v>
      </x:c>
      <x:c r="AB387" s="10" t="str">
        <x:v>budget spreadsheet</x:v>
      </x:c>
      <x:c r="AC387" s="10" t="str">
        <x:v>financial planner</x:v>
      </x:c>
      <x:c r="AD387" s="10" t="str">
        <x:v>home building</x:v>
      </x:c>
      <x:c r="AE387" s="10" t="str">
        <x:v>loan tracker</x:v>
      </x:c>
      <x:c r="AF387" s="10" t="str">
        <x:v>building australia</x:v>
      </x:c>
      <x:c r="AG387" s="10" t="str">
        <x:v>building stress test</x:v>
      </x:c>
      <x:c r="AH387" s="10" t="str">
        <x:v>Other mortgage-related</x:v>
      </x:c>
      <x:c r="AI387" s="13" t="n">
        <x:v>2</x:v>
      </x:c>
      <x:c r="AJ387" s="10" t="str">
        <x:f>IF(F387&gt;0,"Active","No est. sales")</x:f>
        <x:v>No est. sales</x:v>
      </x:c>
    </x:row>
    <x:row r="388">
      <x:c r="A388" s="10" t="str">
        <x:v>2559-10~~Internet Boxes Planner Stickers.</x:v>
      </x:c>
      <x:c r="B388" s="10" t="str">
        <x:v>https://www.etsy.com/listing/1601815881/2559-10internet-boxes-planner-stickers</x:v>
      </x:c>
      <x:c r="C388" s="10" t="str">
        <x:v>PlanToPlan</x:v>
      </x:c>
      <x:c r="D388" s="10" t="str">
        <x:v>https://www.etsy.com/shop/PlanToPlan</x:v>
      </x:c>
      <x:c r="E388" s="11" t="n">
        <x:v>3.25</x:v>
      </x:c>
      <x:c r="F388" s="10" t="n">
        <x:v>0</x:v>
      </x:c>
      <x:c r="G388" s="12" t="n">
        <x:v>0</x:v>
      </x:c>
      <x:c r="H388" s="13" t="n">
        <x:v>0</x:v>
      </x:c>
      <x:c r="I388" s="10" t="n">
        <x:v>0</x:v>
      </x:c>
      <x:c r="J388" s="10" t="n">
        <x:v>0</x:v>
      </x:c>
      <x:c r="K388" s="10" t="str">
        <x:v>32 Mo.</x:v>
      </x:c>
      <x:c r="L388" s="10" t="n">
        <x:v>30</x:v>
      </x:c>
      <x:c r="M388" s="10" t="n">
        <x:v>0</x:v>
      </x:c>
      <x:c r="N388" s="10" t="n">
        <x:v>75</x:v>
      </x:c>
      <x:c r="O388" s="10" t="str">
        <x:v>Paper &amp; Party Supplies</x:v>
      </x:c>
      <x:c r="P388" s="10" t="n">
        <x:v>126</x:v>
      </x:c>
      <x:c r="Q388" s="10" t="n">
        <x:v>0</x:v>
      </x:c>
      <x:c r="R388" s="13" t="n">
        <x:v>0</x:v>
      </x:c>
      <x:c r="S388" s="10" t="n">
        <x:v>319985</x:v>
      </x:c>
      <x:c r="T388" s="10" t="str">
        <x:v>planner stickers,plan to plan,icon stickers,plantoplan,reminder stickers,to do stickers,task trackers,bill due stickers,bill stickers,budget stickers,mortgage stickers,electric stickers,internet due sticker</x:v>
      </x:c>
      <x:c r="U388" s="10" t="str">
        <x:v>planner stickers</x:v>
      </x:c>
      <x:c r="V388" s="10" t="str">
        <x:v>plan to plan</x:v>
      </x:c>
      <x:c r="W388" s="10" t="str">
        <x:v>icon stickers</x:v>
      </x:c>
      <x:c r="X388" s="10" t="str">
        <x:v>plantoplan</x:v>
      </x:c>
      <x:c r="Y388" s="10" t="str">
        <x:v>reminder stickers</x:v>
      </x:c>
      <x:c r="Z388" s="10" t="str">
        <x:v>to do stickers</x:v>
      </x:c>
      <x:c r="AA388" s="10" t="str">
        <x:v>task trackers</x:v>
      </x:c>
      <x:c r="AB388" s="10" t="str">
        <x:v>bill due stickers</x:v>
      </x:c>
      <x:c r="AC388" s="10" t="str">
        <x:v>bill stickers</x:v>
      </x:c>
      <x:c r="AD388" s="10" t="str">
        <x:v>budget stickers</x:v>
      </x:c>
      <x:c r="AE388" s="10" t="str">
        <x:v>mortgage stickers</x:v>
      </x:c>
      <x:c r="AF388" s="10" t="str">
        <x:v>electric stickers</x:v>
      </x:c>
      <x:c r="AG388" s="10" t="str">
        <x:v>internet due sticker</x:v>
      </x:c>
      <x:c r="AH388" s="10" t="str">
        <x:v>Other mortgage-related</x:v>
      </x:c>
      <x:c r="AI388" s="13" t="n">
        <x:v>32</x:v>
      </x:c>
      <x:c r="AJ388" s="10" t="str">
        <x:f>IF(F388&gt;0,"Active","No est. sales")</x:f>
        <x:v>No est. sales</x:v>
      </x:c>
    </x:row>
    <x:row r="389">
      <x:c r="A389" s="10" t="str">
        <x:v>2745-24~~Car Insurance Bill Due Planner Stickers.</x:v>
      </x:c>
      <x:c r="B389" s="10" t="str">
        <x:v>https://www.etsy.com/listing/1750787423/2745-24car-insurance-bill-due-planner</x:v>
      </x:c>
      <x:c r="C389" s="10" t="str">
        <x:v>PlanToPlan</x:v>
      </x:c>
      <x:c r="D389" s="10" t="str">
        <x:v>https://www.etsy.com/shop/PlanToPlan</x:v>
      </x:c>
      <x:c r="E389" s="11" t="n">
        <x:v>3.25</x:v>
      </x:c>
      <x:c r="F389" s="10" t="n">
        <x:v>0</x:v>
      </x:c>
      <x:c r="G389" s="12" t="n">
        <x:v>0</x:v>
      </x:c>
      <x:c r="H389" s="13" t="n">
        <x:v>0</x:v>
      </x:c>
      <x:c r="I389" s="10" t="n">
        <x:v>10</x:v>
      </x:c>
      <x:c r="J389" s="10" t="n">
        <x:v>2</x:v>
      </x:c>
      <x:c r="K389" s="10" t="str">
        <x:v>25 Mo.</x:v>
      </x:c>
      <x:c r="L389" s="10" t="n">
        <x:v>32</x:v>
      </x:c>
      <x:c r="M389" s="10" t="n">
        <x:v>0</x:v>
      </x:c>
      <x:c r="N389" s="10" t="n">
        <x:v>145</x:v>
      </x:c>
      <x:c r="O389" s="10" t="str">
        <x:v>Paper &amp; Party Supplies</x:v>
      </x:c>
      <x:c r="P389" s="10" t="n">
        <x:v>126</x:v>
      </x:c>
      <x:c r="Q389" s="10" t="n">
        <x:v>0</x:v>
      </x:c>
      <x:c r="R389" s="13" t="n">
        <x:v>6.9</x:v>
      </x:c>
      <x:c r="S389" s="10" t="n">
        <x:v>319985</x:v>
      </x:c>
      <x:c r="T389" s="10" t="str">
        <x:v>planner stickers,reminder stickers,appointment stickers,tracker stickers,functional stickers,plantoplan,bill due stickers,cellphone stickers,cable bill stickers,electric bill,mortgage stickers,car insurance due,insurance sticker</x:v>
      </x:c>
      <x:c r="U389" s="10" t="str">
        <x:v>planner stickers</x:v>
      </x:c>
      <x:c r="V389" s="10" t="str">
        <x:v>reminder stickers</x:v>
      </x:c>
      <x:c r="W389" s="10" t="str">
        <x:v>appointment stickers</x:v>
      </x:c>
      <x:c r="X389" s="10" t="str">
        <x:v>tracker stickers</x:v>
      </x:c>
      <x:c r="Y389" s="10" t="str">
        <x:v>functional stickers</x:v>
      </x:c>
      <x:c r="Z389" s="10" t="str">
        <x:v>plantoplan</x:v>
      </x:c>
      <x:c r="AA389" s="10" t="str">
        <x:v>bill due stickers</x:v>
      </x:c>
      <x:c r="AB389" s="10" t="str">
        <x:v>cellphone stickers</x:v>
      </x:c>
      <x:c r="AC389" s="10" t="str">
        <x:v>cable bill stickers</x:v>
      </x:c>
      <x:c r="AD389" s="10" t="str">
        <x:v>electric bill</x:v>
      </x:c>
      <x:c r="AE389" s="10" t="str">
        <x:v>mortgage stickers</x:v>
      </x:c>
      <x:c r="AF389" s="10" t="str">
        <x:v>car insurance due</x:v>
      </x:c>
      <x:c r="AG389" s="10" t="str">
        <x:v>insurance sticker</x:v>
      </x:c>
      <x:c r="AH389" s="10" t="str">
        <x:v>Other mortgage-related</x:v>
      </x:c>
      <x:c r="AI389" s="13" t="n">
        <x:v>25</x:v>
      </x:c>
      <x:c r="AJ389" s="10" t="str">
        <x:f>IF(F389&gt;0,"Active","No est. sales")</x:f>
        <x:v>No est. sales</x:v>
      </x:c>
    </x:row>
    <x:row r="390">
      <x:c r="A390" s="10" t="str">
        <x:v>2745-18~~Rent Due Planner Stickers.</x:v>
      </x:c>
      <x:c r="B390" s="10" t="str">
        <x:v>https://www.etsy.com/listing/1736599860/2745-18rent-due-planner-stickers</x:v>
      </x:c>
      <x:c r="C390" s="10" t="str">
        <x:v>PlanToPlan</x:v>
      </x:c>
      <x:c r="D390" s="10" t="str">
        <x:v>https://www.etsy.com/shop/PlanToPlan</x:v>
      </x:c>
      <x:c r="E390" s="11" t="n">
        <x:v>3.25</x:v>
      </x:c>
      <x:c r="F390" s="10" t="n">
        <x:v>0</x:v>
      </x:c>
      <x:c r="G390" s="12" t="n">
        <x:v>0</x:v>
      </x:c>
      <x:c r="H390" s="13" t="n">
        <x:v>0</x:v>
      </x:c>
      <x:c r="I390" s="10" t="n">
        <x:v>5</x:v>
      </x:c>
      <x:c r="J390" s="10" t="n">
        <x:v>1</x:v>
      </x:c>
      <x:c r="K390" s="10" t="str">
        <x:v>25 Mo.</x:v>
      </x:c>
      <x:c r="L390" s="10" t="n">
        <x:v>21</x:v>
      </x:c>
      <x:c r="M390" s="10" t="n">
        <x:v>0</x:v>
      </x:c>
      <x:c r="N390" s="10" t="n">
        <x:v>63</x:v>
      </x:c>
      <x:c r="O390" s="10" t="str">
        <x:v>Paper &amp; Party Supplies</x:v>
      </x:c>
      <x:c r="P390" s="10" t="n">
        <x:v>126</x:v>
      </x:c>
      <x:c r="Q390" s="10" t="n">
        <x:v>0</x:v>
      </x:c>
      <x:c r="R390" s="13" t="n">
        <x:v>7.94</x:v>
      </x:c>
      <x:c r="S390" s="10" t="n">
        <x:v>319985</x:v>
      </x:c>
      <x:c r="T390" s="10" t="str">
        <x:v>planner stickers,reminder stickers,appointment stickers,tracker stickers,functional stickers,plantoplan,bill due stickers,cellphone stickers,cable bill stickers,electric bill,mortgage stickers,rent due stickers,erin condren</x:v>
      </x:c>
      <x:c r="U390" s="10" t="str">
        <x:v>planner stickers</x:v>
      </x:c>
      <x:c r="V390" s="10" t="str">
        <x:v>reminder stickers</x:v>
      </x:c>
      <x:c r="W390" s="10" t="str">
        <x:v>appointment stickers</x:v>
      </x:c>
      <x:c r="X390" s="10" t="str">
        <x:v>tracker stickers</x:v>
      </x:c>
      <x:c r="Y390" s="10" t="str">
        <x:v>functional stickers</x:v>
      </x:c>
      <x:c r="Z390" s="10" t="str">
        <x:v>plantoplan</x:v>
      </x:c>
      <x:c r="AA390" s="10" t="str">
        <x:v>bill due stickers</x:v>
      </x:c>
      <x:c r="AB390" s="10" t="str">
        <x:v>cellphone stickers</x:v>
      </x:c>
      <x:c r="AC390" s="10" t="str">
        <x:v>cable bill stickers</x:v>
      </x:c>
      <x:c r="AD390" s="10" t="str">
        <x:v>electric bill</x:v>
      </x:c>
      <x:c r="AE390" s="10" t="str">
        <x:v>mortgage stickers</x:v>
      </x:c>
      <x:c r="AF390" s="10" t="str">
        <x:v>rent due stickers</x:v>
      </x:c>
      <x:c r="AG390" s="10" t="str">
        <x:v>erin condren</x:v>
      </x:c>
      <x:c r="AH390" s="10" t="str">
        <x:v>Other mortgage-related</x:v>
      </x:c>
      <x:c r="AI390" s="13" t="n">
        <x:v>25</x:v>
      </x:c>
      <x:c r="AJ390" s="10" t="str">
        <x:f>IF(F390&gt;0,"Active","No est. sales")</x:f>
        <x:v>No est. sales</x:v>
      </x:c>
    </x:row>
    <x:row r="391">
      <x:c r="A391" s="10" t="str">
        <x:v>2425-3~~ Rent Payment Due Planner Stickers.</x:v>
      </x:c>
      <x:c r="B391" s="10" t="str">
        <x:v>https://www.etsy.com/listing/1879489239/2425-3-rent-payment-due-planner-stickers</x:v>
      </x:c>
      <x:c r="C391" s="10" t="str">
        <x:v>PlanToPlan</x:v>
      </x:c>
      <x:c r="D391" s="10" t="str">
        <x:v>https://www.etsy.com/shop/PlanToPlan</x:v>
      </x:c>
      <x:c r="E391" s="11" t="n">
        <x:v>3.25</x:v>
      </x:c>
      <x:c r="F391" s="10" t="n">
        <x:v>0</x:v>
      </x:c>
      <x:c r="G391" s="12" t="n">
        <x:v>0</x:v>
      </x:c>
      <x:c r="H391" s="13" t="n">
        <x:v>0</x:v>
      </x:c>
      <x:c r="I391" s="10" t="n">
        <x:v>0</x:v>
      </x:c>
      <x:c r="J391" s="10" t="n">
        <x:v>0</x:v>
      </x:c>
      <x:c r="K391" s="10" t="str">
        <x:v>17 Mo.</x:v>
      </x:c>
      <x:c r="L391" s="10" t="n">
        <x:v>26</x:v>
      </x:c>
      <x:c r="M391" s="10" t="n">
        <x:v>0</x:v>
      </x:c>
      <x:c r="N391" s="10" t="n">
        <x:v>85</x:v>
      </x:c>
      <x:c r="O391" s="10" t="str">
        <x:v>Paper &amp; Party Supplies</x:v>
      </x:c>
      <x:c r="P391" s="10" t="n">
        <x:v>126</x:v>
      </x:c>
      <x:c r="Q391" s="10" t="n">
        <x:v>0</x:v>
      </x:c>
      <x:c r="R391" s="13" t="n">
        <x:v>0</x:v>
      </x:c>
      <x:c r="S391" s="10" t="n">
        <x:v>319985</x:v>
      </x:c>
      <x:c r="T391" s="10" t="str">
        <x:v>planner stickers,calendar stickers,plan to plan,icon stickers,bujo stickers,bullet journal,multi color icons,reminder stickers,house stickers,rent due stickers,mortgage stickers,hoa fee stickers,erin condren</x:v>
      </x:c>
      <x:c r="U391" s="10" t="str">
        <x:v>planner stickers</x:v>
      </x:c>
      <x:c r="V391" s="10" t="str">
        <x:v>calendar stickers</x:v>
      </x:c>
      <x:c r="W391" s="10" t="str">
        <x:v>plan to plan</x:v>
      </x:c>
      <x:c r="X391" s="10" t="str">
        <x:v>icon stickers</x:v>
      </x:c>
      <x:c r="Y391" s="10" t="str">
        <x:v>bujo stickers</x:v>
      </x:c>
      <x:c r="Z391" s="10" t="str">
        <x:v>bullet journal</x:v>
      </x:c>
      <x:c r="AA391" s="10" t="str">
        <x:v>multi color icons</x:v>
      </x:c>
      <x:c r="AB391" s="10" t="str">
        <x:v>reminder stickers</x:v>
      </x:c>
      <x:c r="AC391" s="10" t="str">
        <x:v>house stickers</x:v>
      </x:c>
      <x:c r="AD391" s="10" t="str">
        <x:v>rent due stickers</x:v>
      </x:c>
      <x:c r="AE391" s="10" t="str">
        <x:v>mortgage stickers</x:v>
      </x:c>
      <x:c r="AF391" s="10" t="str">
        <x:v>hoa fee stickers</x:v>
      </x:c>
      <x:c r="AG391" s="10" t="str">
        <x:v>erin condren</x:v>
      </x:c>
      <x:c r="AH391" s="10" t="str">
        <x:v>Other mortgage-related</x:v>
      </x:c>
      <x:c r="AI391" s="13" t="n">
        <x:v>17</x:v>
      </x:c>
      <x:c r="AJ391" s="10" t="str">
        <x:f>IF(F391&gt;0,"Active","No est. sales")</x:f>
        <x:v>No est. sales</x:v>
      </x:c>
    </x:row>
    <x:row r="392">
      <x:c r="A392" s="10" t="str">
        <x:v>2559-8~~Electric Boxes Planner Stickers.</x:v>
      </x:c>
      <x:c r="B392" s="10" t="str">
        <x:v>https://www.etsy.com/listing/1601811665/2559-8electric-boxes-planner-stickers</x:v>
      </x:c>
      <x:c r="C392" s="10" t="str">
        <x:v>PlanToPlan</x:v>
      </x:c>
      <x:c r="D392" s="10" t="str">
        <x:v>https://www.etsy.com/shop/PlanToPlan</x:v>
      </x:c>
      <x:c r="E392" s="11" t="n">
        <x:v>3.25</x:v>
      </x:c>
      <x:c r="F392" s="10" t="n">
        <x:v>0</x:v>
      </x:c>
      <x:c r="G392" s="12" t="n">
        <x:v>0</x:v>
      </x:c>
      <x:c r="H392" s="13" t="n">
        <x:v>0</x:v>
      </x:c>
      <x:c r="I392" s="10" t="n">
        <x:v>15</x:v>
      </x:c>
      <x:c r="J392" s="10" t="n">
        <x:v>3</x:v>
      </x:c>
      <x:c r="K392" s="10" t="str">
        <x:v>32 Mo.</x:v>
      </x:c>
      <x:c r="L392" s="10" t="n">
        <x:v>39</x:v>
      </x:c>
      <x:c r="M392" s="10" t="n">
        <x:v>0</x:v>
      </x:c>
      <x:c r="N392" s="10" t="n">
        <x:v>122</x:v>
      </x:c>
      <x:c r="O392" s="10" t="str">
        <x:v>Paper &amp; Party Supplies</x:v>
      </x:c>
      <x:c r="P392" s="10" t="n">
        <x:v>126</x:v>
      </x:c>
      <x:c r="Q392" s="10" t="n">
        <x:v>0</x:v>
      </x:c>
      <x:c r="R392" s="13" t="n">
        <x:v>12.3</x:v>
      </x:c>
      <x:c r="S392" s="10" t="n">
        <x:v>319985</x:v>
      </x:c>
      <x:c r="T392" s="10" t="str">
        <x:v>planner stickers,plan to plan,icon stickers,plantoplan,reminder stickers,to do stickers,task trackers,bill due stickers,bill stickers,budget stickers,mortgage stickers,electric bill,electric stickers</x:v>
      </x:c>
      <x:c r="U392" s="10" t="str">
        <x:v>planner stickers</x:v>
      </x:c>
      <x:c r="V392" s="10" t="str">
        <x:v>plan to plan</x:v>
      </x:c>
      <x:c r="W392" s="10" t="str">
        <x:v>icon stickers</x:v>
      </x:c>
      <x:c r="X392" s="10" t="str">
        <x:v>plantoplan</x:v>
      </x:c>
      <x:c r="Y392" s="10" t="str">
        <x:v>reminder stickers</x:v>
      </x:c>
      <x:c r="Z392" s="10" t="str">
        <x:v>to do stickers</x:v>
      </x:c>
      <x:c r="AA392" s="10" t="str">
        <x:v>task trackers</x:v>
      </x:c>
      <x:c r="AB392" s="10" t="str">
        <x:v>bill due stickers</x:v>
      </x:c>
      <x:c r="AC392" s="10" t="str">
        <x:v>bill stickers</x:v>
      </x:c>
      <x:c r="AD392" s="10" t="str">
        <x:v>budget stickers</x:v>
      </x:c>
      <x:c r="AE392" s="10" t="str">
        <x:v>mortgage stickers</x:v>
      </x:c>
      <x:c r="AF392" s="10" t="str">
        <x:v>electric bill</x:v>
      </x:c>
      <x:c r="AG392" s="10" t="str">
        <x:v>electric stickers</x:v>
      </x:c>
      <x:c r="AH392" s="10" t="str">
        <x:v>Other mortgage-related</x:v>
      </x:c>
      <x:c r="AI392" s="13" t="n">
        <x:v>32</x:v>
      </x:c>
      <x:c r="AJ392" s="10" t="str">
        <x:f>IF(F392&gt;0,"Active","No est. sales")</x:f>
        <x:v>No est. sales</x:v>
      </x:c>
    </x:row>
    <x:row r="393">
      <x:c r="A393" s="10" t="str">
        <x:v>2745-25~~Pet Insurance Bill Due Planner Stickers.</x:v>
      </x:c>
      <x:c r="B393" s="10" t="str">
        <x:v>https://www.etsy.com/listing/1736595902/2745-25pet-insurance-bill-due-planner</x:v>
      </x:c>
      <x:c r="C393" s="10" t="str">
        <x:v>PlanToPlan</x:v>
      </x:c>
      <x:c r="D393" s="10" t="str">
        <x:v>https://www.etsy.com/shop/PlanToPlan</x:v>
      </x:c>
      <x:c r="E393" s="11" t="n">
        <x:v>3.25</x:v>
      </x:c>
      <x:c r="F393" s="10" t="n">
        <x:v>0</x:v>
      </x:c>
      <x:c r="G393" s="12" t="n">
        <x:v>0</x:v>
      </x:c>
      <x:c r="H393" s="13" t="n">
        <x:v>0</x:v>
      </x:c>
      <x:c r="I393" s="10" t="n">
        <x:v>0</x:v>
      </x:c>
      <x:c r="J393" s="10" t="n">
        <x:v>0</x:v>
      </x:c>
      <x:c r="K393" s="10" t="str">
        <x:v>25 Mo.</x:v>
      </x:c>
      <x:c r="L393" s="10" t="n">
        <x:v>15</x:v>
      </x:c>
      <x:c r="M393" s="10" t="n">
        <x:v>0</x:v>
      </x:c>
      <x:c r="N393" s="10" t="n">
        <x:v>128</x:v>
      </x:c>
      <x:c r="O393" s="10" t="str">
        <x:v>Paper &amp; Party Supplies</x:v>
      </x:c>
      <x:c r="P393" s="10" t="n">
        <x:v>126</x:v>
      </x:c>
      <x:c r="Q393" s="10" t="n">
        <x:v>0</x:v>
      </x:c>
      <x:c r="R393" s="13" t="n">
        <x:v>0</x:v>
      </x:c>
      <x:c r="S393" s="10" t="n">
        <x:v>319985</x:v>
      </x:c>
      <x:c r="T393" s="10" t="str">
        <x:v>planner stickers,reminder stickers,appointment stickers,tracker stickers,functional stickers,plantoplan,bill due stickers,cellphone stickers,cable bill stickers,electric bill,mortgage stickers,pet insurance due,vet bill due</x:v>
      </x:c>
      <x:c r="U393" s="10" t="str">
        <x:v>planner stickers</x:v>
      </x:c>
      <x:c r="V393" s="10" t="str">
        <x:v>reminder stickers</x:v>
      </x:c>
      <x:c r="W393" s="10" t="str">
        <x:v>appointment stickers</x:v>
      </x:c>
      <x:c r="X393" s="10" t="str">
        <x:v>tracker stickers</x:v>
      </x:c>
      <x:c r="Y393" s="10" t="str">
        <x:v>functional stickers</x:v>
      </x:c>
      <x:c r="Z393" s="10" t="str">
        <x:v>plantoplan</x:v>
      </x:c>
      <x:c r="AA393" s="10" t="str">
        <x:v>bill due stickers</x:v>
      </x:c>
      <x:c r="AB393" s="10" t="str">
        <x:v>cellphone stickers</x:v>
      </x:c>
      <x:c r="AC393" s="10" t="str">
        <x:v>cable bill stickers</x:v>
      </x:c>
      <x:c r="AD393" s="10" t="str">
        <x:v>electric bill</x:v>
      </x:c>
      <x:c r="AE393" s="10" t="str">
        <x:v>mortgage stickers</x:v>
      </x:c>
      <x:c r="AF393" s="10" t="str">
        <x:v>pet insurance due</x:v>
      </x:c>
      <x:c r="AG393" s="10" t="str">
        <x:v>vet bill due</x:v>
      </x:c>
      <x:c r="AH393" s="10" t="str">
        <x:v>Other mortgage-related</x:v>
      </x:c>
      <x:c r="AI393" s="13" t="n">
        <x:v>25</x:v>
      </x:c>
      <x:c r="AJ393" s="10" t="str">
        <x:f>IF(F393&gt;0,"Active","No est. sales")</x:f>
        <x:v>No est. sales</x:v>
      </x:c>
    </x:row>
    <x:row r="394">
      <x:c r="A394" s="10" t="str">
        <x:v>2559-6~~Mortgage Boxes Planner Stickers.</x:v>
      </x:c>
      <x:c r="B394" s="10" t="str">
        <x:v>https://www.etsy.com/listing/1587624402/2559-6mortgage-boxes-planner-stickers</x:v>
      </x:c>
      <x:c r="C394" s="10" t="str">
        <x:v>PlanToPlan</x:v>
      </x:c>
      <x:c r="D394" s="10" t="str">
        <x:v>https://www.etsy.com/shop/PlanToPlan</x:v>
      </x:c>
      <x:c r="E394" s="11" t="n">
        <x:v>3.25</x:v>
      </x:c>
      <x:c r="F394" s="10" t="n">
        <x:v>0</x:v>
      </x:c>
      <x:c r="G394" s="12" t="n">
        <x:v>0</x:v>
      </x:c>
      <x:c r="H394" s="13" t="n">
        <x:v>0</x:v>
      </x:c>
      <x:c r="I394" s="10" t="n">
        <x:v>15</x:v>
      </x:c>
      <x:c r="J394" s="10" t="n">
        <x:v>3</x:v>
      </x:c>
      <x:c r="K394" s="10" t="str">
        <x:v>32 Mo.</x:v>
      </x:c>
      <x:c r="L394" s="10" t="n">
        <x:v>18</x:v>
      </x:c>
      <x:c r="M394" s="10" t="n">
        <x:v>0</x:v>
      </x:c>
      <x:c r="N394" s="10" t="n">
        <x:v>144</x:v>
      </x:c>
      <x:c r="O394" s="10" t="str">
        <x:v>Paper &amp; Party Supplies</x:v>
      </x:c>
      <x:c r="P394" s="10" t="n">
        <x:v>126</x:v>
      </x:c>
      <x:c r="Q394" s="10" t="n">
        <x:v>0</x:v>
      </x:c>
      <x:c r="R394" s="13" t="n">
        <x:v>10.42</x:v>
      </x:c>
      <x:c r="S394" s="10" t="n">
        <x:v>319985</x:v>
      </x:c>
      <x:c r="T394" s="10" t="str">
        <x:v>planner stickers,plan to plan,icon stickers,plantoplan,reminder stickers,to do stickers,task trackers,bill due stickers,bill stickers,car payment stickers,budget stickers,mortgage stickers,erin condren</x:v>
      </x:c>
      <x:c r="U394" s="10" t="str">
        <x:v>planner stickers</x:v>
      </x:c>
      <x:c r="V394" s="10" t="str">
        <x:v>plan to plan</x:v>
      </x:c>
      <x:c r="W394" s="10" t="str">
        <x:v>icon stickers</x:v>
      </x:c>
      <x:c r="X394" s="10" t="str">
        <x:v>plantoplan</x:v>
      </x:c>
      <x:c r="Y394" s="10" t="str">
        <x:v>reminder stickers</x:v>
      </x:c>
      <x:c r="Z394" s="10" t="str">
        <x:v>to do stickers</x:v>
      </x:c>
      <x:c r="AA394" s="10" t="str">
        <x:v>task trackers</x:v>
      </x:c>
      <x:c r="AB394" s="10" t="str">
        <x:v>bill due stickers</x:v>
      </x:c>
      <x:c r="AC394" s="10" t="str">
        <x:v>bill stickers</x:v>
      </x:c>
      <x:c r="AD394" s="10" t="str">
        <x:v>car payment stickers</x:v>
      </x:c>
      <x:c r="AE394" s="10" t="str">
        <x:v>budget stickers</x:v>
      </x:c>
      <x:c r="AF394" s="10" t="str">
        <x:v>mortgage stickers</x:v>
      </x:c>
      <x:c r="AG394" s="10" t="str">
        <x:v>erin condren</x:v>
      </x:c>
      <x:c r="AH394" s="10" t="str">
        <x:v>Other mortgage-related</x:v>
      </x:c>
      <x:c r="AI394" s="13" t="n">
        <x:v>32</x:v>
      </x:c>
      <x:c r="AJ394" s="10" t="str">
        <x:f>IF(F394&gt;0,"Active","No est. sales")</x:f>
        <x:v>No est. sales</x:v>
      </x:c>
    </x:row>
    <x:row r="395">
      <x:c r="A395" s="10" t="str">
        <x:v>House Doodles - Planner Stickers, Planner Icons</x:v>
      </x:c>
      <x:c r="B395" s="10" t="str">
        <x:v>https://www.etsy.com/listing/752206481/house-doodles-planner-stickers-planner</x:v>
      </x:c>
      <x:c r="C395" s="10" t="str">
        <x:v>AllycatsShop</x:v>
      </x:c>
      <x:c r="D395" s="10" t="str">
        <x:v>https://www.etsy.com/shop/AllycatsShop</x:v>
      </x:c>
      <x:c r="E395" s="11" t="n">
        <x:v>2.84</x:v>
      </x:c>
      <x:c r="F395" s="10" t="n">
        <x:v>0</x:v>
      </x:c>
      <x:c r="G395" s="12" t="n">
        <x:v>0</x:v>
      </x:c>
      <x:c r="H395" s="13" t="n">
        <x:v>0</x:v>
      </x:c>
      <x:c r="I395" s="10" t="n">
        <x:v>29</x:v>
      </x:c>
      <x:c r="J395" s="10" t="n">
        <x:v>6</x:v>
      </x:c>
      <x:c r="K395" s="10" t="str">
        <x:v>80 Mo.</x:v>
      </x:c>
      <x:c r="L395" s="10" t="n">
        <x:v>43</x:v>
      </x:c>
      <x:c r="M395" s="10" t="n">
        <x:v>0</x:v>
      </x:c>
      <x:c r="N395" s="10" t="n">
        <x:v>449</x:v>
      </x:c>
      <x:c r="O395" s="10" t="str">
        <x:v>Paper &amp; Party Supplies</x:v>
      </x:c>
      <x:c r="P395" s="10" t="n">
        <x:v>160</x:v>
      </x:c>
      <x:c r="Q395" s="10" t="n">
        <x:v>0</x:v>
      </x:c>
      <x:c r="R395" s="13" t="n">
        <x:v>6.46</x:v>
      </x:c>
      <x:c r="S395" s="10" t="n">
        <x:v>37604</x:v>
      </x:c>
      <x:c r="T395" s="10" t="str">
        <x:v>planner stickers,erin condren sticker,erin condren planner,mambi stickers,plum paper stickers,personal stickers,doodle stickers,meal tracker sticker,icon stickers,house icon,house stickers,mortgage sticker,rent sticker</x:v>
      </x:c>
      <x:c r="U395" s="10" t="str">
        <x:v>planner stickers</x:v>
      </x:c>
      <x:c r="V395" s="10" t="str">
        <x:v>erin condren sticker</x:v>
      </x:c>
      <x:c r="W395" s="10" t="str">
        <x:v>erin condren planner</x:v>
      </x:c>
      <x:c r="X395" s="10" t="str">
        <x:v>mambi stickers</x:v>
      </x:c>
      <x:c r="Y395" s="10" t="str">
        <x:v>plum paper stickers</x:v>
      </x:c>
      <x:c r="Z395" s="10" t="str">
        <x:v>personal stickers</x:v>
      </x:c>
      <x:c r="AA395" s="10" t="str">
        <x:v>doodle stickers</x:v>
      </x:c>
      <x:c r="AB395" s="10" t="str">
        <x:v>meal tracker sticker</x:v>
      </x:c>
      <x:c r="AC395" s="10" t="str">
        <x:v>icon stickers</x:v>
      </x:c>
      <x:c r="AD395" s="10" t="str">
        <x:v>house icon</x:v>
      </x:c>
      <x:c r="AE395" s="10" t="str">
        <x:v>house stickers</x:v>
      </x:c>
      <x:c r="AF395" s="10" t="str">
        <x:v>mortgage sticker</x:v>
      </x:c>
      <x:c r="AG395" s="10" t="str">
        <x:v>rent sticker</x:v>
      </x:c>
      <x:c r="AH395" s="10" t="str">
        <x:v>Other mortgage-related</x:v>
      </x:c>
      <x:c r="AI395" s="13" t="n">
        <x:v>80</x:v>
      </x:c>
      <x:c r="AJ395" s="10" t="str">
        <x:f>IF(F395&gt;0,"Active","No est. sales")</x:f>
        <x:v>No est. sales</x:v>
      </x:c>
    </x:row>
    <x:row r="396">
      <x:c r="A396" s="10" t="str">
        <x:v>Corgi House Planner Stickers | Cute, Funny, Happy Mail, Bullet Journal, Cute, Payment, Bills, Mortgage, Kawaii, Rent, Adorable</x:v>
      </x:c>
      <x:c r="B396" s="10" t="str">
        <x:v>https://www.etsy.com/listing/1177206761/corgi-house-planner-stickers-cute-funny</x:v>
      </x:c>
      <x:c r="C396" s="10" t="str">
        <x:v>BeedooAndCo</x:v>
      </x:c>
      <x:c r="D396" s="10" t="str">
        <x:v>https://www.etsy.com/shop/BeedooAndCo</x:v>
      </x:c>
      <x:c r="E396" s="11" t="n">
        <x:v>3.15</x:v>
      </x:c>
      <x:c r="F396" s="10" t="n">
        <x:v>0</x:v>
      </x:c>
      <x:c r="G396" s="12" t="n">
        <x:v>0</x:v>
      </x:c>
      <x:c r="H396" s="13" t="n">
        <x:v>0</x:v>
      </x:c>
      <x:c r="I396" s="10" t="n">
        <x:v>7</x:v>
      </x:c>
      <x:c r="J396" s="10" t="n">
        <x:v>2</x:v>
      </x:c>
      <x:c r="K396" s="10" t="str">
        <x:v>53 Mo.</x:v>
      </x:c>
      <x:c r="L396" s="10" t="n">
        <x:v>17</x:v>
      </x:c>
      <x:c r="M396" s="10" t="n">
        <x:v>0</x:v>
      </x:c>
      <x:c r="N396" s="10" t="n">
        <x:v>121</x:v>
      </x:c>
      <x:c r="O396" s="10" t="str">
        <x:v>Paper &amp; Party Supplies</x:v>
      </x:c>
      <x:c r="P396" s="10" t="n">
        <x:v>138</x:v>
      </x:c>
      <x:c r="Q396" s="10" t="n">
        <x:v>0</x:v>
      </x:c>
      <x:c r="R396" s="13" t="n">
        <x:v>5.79</x:v>
      </x:c>
      <x:c r="S396" s="10" t="n">
        <x:v>19990</x:v>
      </x:c>
      <x:c r="T396" s="10" t="str">
        <x:v>planner,stickers,kawaii,emoji,happy planner,mambi,planner stickers,hand drawn,corgi,house,rent,mortgage,bills</x:v>
      </x:c>
      <x:c r="U396" s="10" t="str">
        <x:v>planner</x:v>
      </x:c>
      <x:c r="V396" s="10" t="str">
        <x:v>stickers</x:v>
      </x:c>
      <x:c r="W396" s="10" t="str">
        <x:v>kawaii</x:v>
      </x:c>
      <x:c r="X396" s="10" t="str">
        <x:v>emoji</x:v>
      </x:c>
      <x:c r="Y396" s="10" t="str">
        <x:v>happy planner</x:v>
      </x:c>
      <x:c r="Z396" s="10" t="str">
        <x:v>mambi</x:v>
      </x:c>
      <x:c r="AA396" s="10" t="str">
        <x:v>planner stickers</x:v>
      </x:c>
      <x:c r="AB396" s="10" t="str">
        <x:v>hand drawn</x:v>
      </x:c>
      <x:c r="AC396" s="10" t="str">
        <x:v>corgi</x:v>
      </x:c>
      <x:c r="AD396" s="10" t="str">
        <x:v>house</x:v>
      </x:c>
      <x:c r="AE396" s="10" t="str">
        <x:v>rent</x:v>
      </x:c>
      <x:c r="AF396" s="10" t="str">
        <x:v>mortgage</x:v>
      </x:c>
      <x:c r="AG396" s="10" t="str">
        <x:v>bills</x:v>
      </x:c>
      <x:c r="AH396" s="10" t="str">
        <x:v>Other mortgage-related</x:v>
      </x:c>
      <x:c r="AI396" s="13" t="n">
        <x:v>53</x:v>
      </x:c>
      <x:c r="AJ396" s="10" t="str">
        <x:f>IF(F396&gt;0,"Active","No est. sales")</x:f>
        <x:v>No est. sales</x:v>
      </x:c>
    </x:row>
    <x:row r="397">
      <x:c r="A397" s="10" t="str">
        <x:v>Home Buyer&amp;#39;s Checklist: Fillable PDF Real Estate Planner (Instant Download)</x:v>
      </x:c>
      <x:c r="B397" s="10" t="str">
        <x:v>https://www.etsy.com/listing/4384403782/home-buyers-checklist-fillable-pdf-real</x:v>
      </x:c>
      <x:c r="C397" s="10" t="str">
        <x:v>76HammerWorkshop</x:v>
      </x:c>
      <x:c r="D397" s="10" t="str">
        <x:v>https://www.etsy.com/shop/76HammerWorkshop</x:v>
      </x:c>
      <x:c r="E397" s="11" t="n">
        <x:v>7.99</x:v>
      </x:c>
      <x:c r="F397" s="10" t="n">
        <x:v>0</x:v>
      </x:c>
      <x:c r="G397" s="12" t="n">
        <x:v>0</x:v>
      </x:c>
      <x:c r="H397" s="13" t="n">
        <x:v>0</x:v>
      </x:c>
      <x:c r="I397" s="10" t="n">
        <x:v>0</x:v>
      </x:c>
      <x:c r="J397" s="10" t="n">
        <x:v>0</x:v>
      </x:c>
      <x:c r="K397" s="10" t="str">
        <x:v>9 Mo.</x:v>
      </x:c>
      <x:c r="L397" s="10" t="n">
        <x:v>0</x:v>
      </x:c>
      <x:c r="M397" s="10" t="n">
        <x:v>0</x:v>
      </x:c>
      <x:c r="N397" s="10" t="n">
        <x:v>4</x:v>
      </x:c>
      <x:c r="O397" s="10" t="str">
        <x:v>Paper &amp; Party Supplies</x:v>
      </x:c>
      <x:c r="P397" s="10" t="n">
        <x:v>10</x:v>
      </x:c>
      <x:c r="Q397" s="10" t="n">
        <x:v>0</x:v>
      </x:c>
      <x:c r="R397" s="13" t="n">
        <x:v>0</x:v>
      </x:c>
      <x:c r="S397" s="10" t="n">
        <x:v>0</x:v>
      </x:c>
      <x:c r="T397" s="10" t="str">
        <x:v>homebuyers checklist,realestate printable,home buying planner,fillable pdf planner,mortgage checklist,house hunting,organize real estate,instant download pdf,home purchase guide,closing checklist,first time homebuyer,real estate agent,gift</x:v>
      </x:c>
      <x:c r="U397" s="10" t="str">
        <x:v>homebuyers checklist</x:v>
      </x:c>
      <x:c r="V397" s="10" t="str">
        <x:v>realestate printable</x:v>
      </x:c>
      <x:c r="W397" s="10" t="str">
        <x:v>home buying planner</x:v>
      </x:c>
      <x:c r="X397" s="10" t="str">
        <x:v>fillable pdf planner</x:v>
      </x:c>
      <x:c r="Y397" s="10" t="str">
        <x:v>mortgage checklist</x:v>
      </x:c>
      <x:c r="Z397" s="10" t="str">
        <x:v>house hunting</x:v>
      </x:c>
      <x:c r="AA397" s="10" t="str">
        <x:v>organize real estate</x:v>
      </x:c>
      <x:c r="AB397" s="10" t="str">
        <x:v>instant download pdf</x:v>
      </x:c>
      <x:c r="AC397" s="10" t="str">
        <x:v>home purchase guide</x:v>
      </x:c>
      <x:c r="AD397" s="10" t="str">
        <x:v>closing checklist</x:v>
      </x:c>
      <x:c r="AE397" s="10" t="str">
        <x:v>first time homebuyer</x:v>
      </x:c>
      <x:c r="AF397" s="10" t="str">
        <x:v>real estate agent</x:v>
      </x:c>
      <x:c r="AG397" s="10" t="str">
        <x:v>gift</x:v>
      </x:c>
      <x:c r="AH397" s="10" t="str">
        <x:v>Home buying planner</x:v>
      </x:c>
      <x:c r="AI397" s="13" t="n">
        <x:v>9</x:v>
      </x:c>
      <x:c r="AJ397" s="10" t="str">
        <x:f>IF(F397&gt;0,"Active","No est. sales")</x:f>
        <x:v>No est. sales</x:v>
      </x:c>
    </x:row>
    <x:row r="398">
      <x:c r="A398" s="10" t="str">
        <x:v>Debt Payoff Tracker: Snowball and Avalanche Spreadsheet (Google Sheets &amp; Excel)</x:v>
      </x:c>
      <x:c r="B398" s="10" t="str">
        <x:v>https://www.etsy.com/listing/4456382281/debt-payoff-tracker-snowball-and</x:v>
      </x:c>
      <x:c r="C398" s="10" t="str">
        <x:v>TheSheetCode</x:v>
      </x:c>
      <x:c r="D398" s="10" t="str">
        <x:v>https://www.etsy.com/shop/TheSheetCode</x:v>
      </x:c>
      <x:c r="E398" s="11" t="n">
        <x:v>8.92</x:v>
      </x:c>
      <x:c r="F398" s="10" t="n">
        <x:v>0</x:v>
      </x:c>
      <x:c r="G398" s="12" t="n">
        <x:v>0</x:v>
      </x:c>
      <x:c r="H398" s="13" t="n">
        <x:v>0</x:v>
      </x:c>
      <x:c r="I398" s="10" t="n">
        <x:v>0</x:v>
      </x:c>
      <x:c r="J398" s="10" t="n">
        <x:v>0</x:v>
      </x:c>
      <x:c r="K398" s="10" t="str">
        <x:v>5 Mo.</x:v>
      </x:c>
      <x:c r="L398" s="10" t="n">
        <x:v>4</x:v>
      </x:c>
      <x:c r="M398" s="10" t="n">
        <x:v>0</x:v>
      </x:c>
      <x:c r="N398" s="10" t="n">
        <x:v>85</x:v>
      </x:c>
      <x:c r="O398" s="10" t="str">
        <x:v>Paper &amp; Party Supplies</x:v>
      </x:c>
      <x:c r="P398" s="10" t="n">
        <x:v>33</x:v>
      </x:c>
      <x:c r="Q398" s="10" t="n">
        <x:v>0</x:v>
      </x:c>
      <x:c r="R398" s="13" t="n">
        <x:v>0</x:v>
      </x:c>
      <x:c r="S398" s="10" t="n">
        <x:v>27939</x:v>
      </x:c>
      <x:c r="T398" s="10" t="str">
        <x:v>debt tracker,debt payoff tracker,financial planner,debt snowball,debt avalanche,student loan tracker,credit card tracker,loan tracker,budget spreadsheet,mortgage payoff,budget google sheets,avalanche calculator,snowball calculator</x:v>
      </x:c>
      <x:c r="U398" s="10" t="str">
        <x:v>debt tracker</x:v>
      </x:c>
      <x:c r="V398" s="10" t="str">
        <x:v>debt payoff tracker</x:v>
      </x:c>
      <x:c r="W398" s="10" t="str">
        <x:v>financial planner</x:v>
      </x:c>
      <x:c r="X398" s="10" t="str">
        <x:v>debt snowball</x:v>
      </x:c>
      <x:c r="Y398" s="10" t="str">
        <x:v>debt avalanche</x:v>
      </x:c>
      <x:c r="Z398" s="10" t="str">
        <x:v>student loan tracker</x:v>
      </x:c>
      <x:c r="AA398" s="10" t="str">
        <x:v>credit card tracker</x:v>
      </x:c>
      <x:c r="AB398" s="10" t="str">
        <x:v>loan tracker</x:v>
      </x:c>
      <x:c r="AC398" s="10" t="str">
        <x:v>budget spreadsheet</x:v>
      </x:c>
      <x:c r="AD398" s="10" t="str">
        <x:v>mortgage payoff</x:v>
      </x:c>
      <x:c r="AE398" s="10" t="str">
        <x:v>budget google sheets</x:v>
      </x:c>
      <x:c r="AF398" s="10" t="str">
        <x:v>avalanche calculator</x:v>
      </x:c>
      <x:c r="AG398" s="10" t="str">
        <x:v>snowball calculator</x:v>
      </x:c>
      <x:c r="AH398" s="10" t="str">
        <x:v>General debt payoff</x:v>
      </x:c>
      <x:c r="AI398" s="13" t="n">
        <x:v>5</x:v>
      </x:c>
      <x:c r="AJ398" s="10" t="str">
        <x:f>IF(F398&gt;0,"Active","No est. sales")</x:f>
        <x:v>No est. sales</x:v>
      </x:c>
    </x:row>
    <x:row r="399">
      <x:c r="A399" s="10" t="str">
        <x:v>Mortgage Due Script Stickers: Functional Planner Icons (Matte or Clear)</x:v>
      </x:c>
      <x:c r="B399" s="10" t="str">
        <x:v>https://www.etsy.com/listing/1171904573/mortgage-due-script-stickers-functional</x:v>
      </x:c>
      <x:c r="C399" s="10" t="str">
        <x:v>MandyLynnPlans</x:v>
      </x:c>
      <x:c r="D399" s="10" t="str">
        <x:v>https://www.etsy.com/shop/MandyLynnPlans</x:v>
      </x:c>
      <x:c r="E399" s="11" t="n">
        <x:v>3.5</x:v>
      </x:c>
      <x:c r="F399" s="10" t="n">
        <x:v>0</x:v>
      </x:c>
      <x:c r="G399" s="12" t="n">
        <x:v>0</x:v>
      </x:c>
      <x:c r="H399" s="13" t="n">
        <x:v>0</x:v>
      </x:c>
      <x:c r="I399" s="10" t="n">
        <x:v>11</x:v>
      </x:c>
      <x:c r="J399" s="10" t="n">
        <x:v>2</x:v>
      </x:c>
      <x:c r="K399" s="10" t="str">
        <x:v>53 Mo.</x:v>
      </x:c>
      <x:c r="L399" s="10" t="n">
        <x:v>12</x:v>
      </x:c>
      <x:c r="M399" s="10" t="n">
        <x:v>0</x:v>
      </x:c>
      <x:c r="N399" s="10" t="n">
        <x:v>206</x:v>
      </x:c>
      <x:c r="O399" s="10" t="str">
        <x:v>Paper &amp; Party Supplies</x:v>
      </x:c>
      <x:c r="P399" s="10" t="n">
        <x:v>90</x:v>
      </x:c>
      <x:c r="Q399" s="10" t="n">
        <x:v>0</x:v>
      </x:c>
      <x:c r="R399" s="13" t="n">
        <x:v>5.34</x:v>
      </x:c>
      <x:c r="S399" s="10" t="n">
        <x:v>244872</x:v>
      </x:c>
      <x:c r="T399" s="10" t="str">
        <x:v>planner sticker,hobonichi cousin,hobonichi sticker,cousin sticker,hobonichi weeks,hobonichi planner,mandylynnplans,mandy lynn plans,sticker package,black and white,functional icon,house due,payment due</x:v>
      </x:c>
      <x:c r="U399" s="10" t="str">
        <x:v>planner sticker</x:v>
      </x:c>
      <x:c r="V399" s="10" t="str">
        <x:v>hobonichi cousin</x:v>
      </x:c>
      <x:c r="W399" s="10" t="str">
        <x:v>hobonichi sticker</x:v>
      </x:c>
      <x:c r="X399" s="10" t="str">
        <x:v>cousin sticker</x:v>
      </x:c>
      <x:c r="Y399" s="10" t="str">
        <x:v>hobonichi weeks</x:v>
      </x:c>
      <x:c r="Z399" s="10" t="str">
        <x:v>hobonichi planner</x:v>
      </x:c>
      <x:c r="AA399" s="10" t="str">
        <x:v>mandylynnplans</x:v>
      </x:c>
      <x:c r="AB399" s="10" t="str">
        <x:v>mandy lynn plans</x:v>
      </x:c>
      <x:c r="AC399" s="10" t="str">
        <x:v>sticker package</x:v>
      </x:c>
      <x:c r="AD399" s="10" t="str">
        <x:v>black and white</x:v>
      </x:c>
      <x:c r="AE399" s="10" t="str">
        <x:v>functional icon</x:v>
      </x:c>
      <x:c r="AF399" s="10" t="str">
        <x:v>house due</x:v>
      </x:c>
      <x:c r="AG399" s="10" t="str">
        <x:v>payment due</x:v>
      </x:c>
      <x:c r="AH399" s="10" t="str">
        <x:v>Other mortgage-related</x:v>
      </x:c>
      <x:c r="AI399" s="13" t="n">
        <x:v>53</x:v>
      </x:c>
      <x:c r="AJ399" s="10" t="str">
        <x:f>IF(F399&gt;0,"Active","No est. sales")</x:f>
        <x:v>No est. sales</x:v>
      </x:c>
    </x:row>
    <x:row r="400">
      <x:c r="A400" s="10" t="str">
        <x:v>Real Estate Investment Planner | Rental Property Analysis &amp; Cash Flow Calculator | Mortgage Amortization Schedule | Property ROI Estimator</x:v>
      </x:c>
      <x:c r="B400" s="10" t="str">
        <x:v>https://www.etsy.com/listing/1822837955/stock-market-tracker-google-sheets-fifo</x:v>
      </x:c>
      <x:c r="C400" s="10" t="str">
        <x:v>InstantsDesigns</x:v>
      </x:c>
      <x:c r="D400" s="10" t="str">
        <x:v>https://www.etsy.com/shop/InstantsDesigns</x:v>
      </x:c>
      <x:c r="E400" s="11" t="n">
        <x:v>9.78</x:v>
      </x:c>
      <x:c r="F400" s="10" t="n">
        <x:v>0</x:v>
      </x:c>
      <x:c r="G400" s="12" t="n">
        <x:v>0</x:v>
      </x:c>
      <x:c r="H400" s="13" t="n">
        <x:v>0</x:v>
      </x:c>
      <x:c r="I400" s="10" t="n">
        <x:v>1</x:v>
      </x:c>
      <x:c r="J400" s="10" t="n">
        <x:v>0</x:v>
      </x:c>
      <x:c r="K400" s="10" t="str">
        <x:v>20 Mo.</x:v>
      </x:c>
      <x:c r="L400" s="10" t="n">
        <x:v>1</x:v>
      </x:c>
      <x:c r="M400" s="10" t="n">
        <x:v>0</x:v>
      </x:c>
      <x:c r="N400" s="10" t="n">
        <x:v>110</x:v>
      </x:c>
      <x:c r="O400" s="10" t="str"/>
      <x:c r="P400" s="10" t="n">
        <x:v>25</x:v>
      </x:c>
      <x:c r="Q400" s="10" t="n">
        <x:v>0</x:v>
      </x:c>
      <x:c r="R400" s="13" t="n">
        <x:v>0.91</x:v>
      </x:c>
      <x:c r="S400" s="10" t="n">
        <x:v>167</x:v>
      </x:c>
      <x:c r="T400" s="10" t="str">
        <x:v>rental analysis,real estate tool,cash flow tracker,mortgage planner,roi calculator,property manager,rental estimator,amortization table,real estate roi,investment property,buy to let tool,passive income log,google sheets</x:v>
      </x:c>
      <x:c r="U400" s="10" t="str">
        <x:v>rental analysis</x:v>
      </x:c>
      <x:c r="V400" s="10" t="str">
        <x:v>real estate tool</x:v>
      </x:c>
      <x:c r="W400" s="10" t="str">
        <x:v>cash flow tracker</x:v>
      </x:c>
      <x:c r="X400" s="10" t="str">
        <x:v>mortgage planner</x:v>
      </x:c>
      <x:c r="Y400" s="10" t="str">
        <x:v>roi calculator</x:v>
      </x:c>
      <x:c r="Z400" s="10" t="str">
        <x:v>property manager</x:v>
      </x:c>
      <x:c r="AA400" s="10" t="str">
        <x:v>rental estimator</x:v>
      </x:c>
      <x:c r="AB400" s="10" t="str">
        <x:v>amortization table</x:v>
      </x:c>
      <x:c r="AC400" s="10" t="str">
        <x:v>real estate roi</x:v>
      </x:c>
      <x:c r="AD400" s="10" t="str">
        <x:v>investment property</x:v>
      </x:c>
      <x:c r="AE400" s="10" t="str">
        <x:v>buy to let tool</x:v>
      </x:c>
      <x:c r="AF400" s="10" t="str">
        <x:v>passive income log</x:v>
      </x:c>
      <x:c r="AG400" s="10" t="str">
        <x:v>google sheets</x:v>
      </x:c>
      <x:c r="AH400" s="10" t="str">
        <x:v>Property investment</x:v>
      </x:c>
      <x:c r="AI400" s="13" t="n">
        <x:v>20</x:v>
      </x:c>
      <x:c r="AJ400" s="10" t="str">
        <x:f>IF(F400&gt;0,"Active","No est. sales")</x:f>
        <x:v>No est. sales</x:v>
      </x:c>
    </x:row>
    <x:row r="401">
      <x:c r="A401" s="10" t="str">
        <x:v>loan amortization spreadsheet car and mortgage payment tracker excel &amp; google sheets debt snowball calculator instant download</x:v>
      </x:c>
      <x:c r="B401" s="10" t="str">
        <x:v>https://www.etsy.com/listing/1615103542/loan-amortization-spreadsheet-car-and</x:v>
      </x:c>
      <x:c r="C401" s="10" t="str">
        <x:v>quickdigitalplanner</x:v>
      </x:c>
      <x:c r="D401" s="10" t="str">
        <x:v>https://www.etsy.com/shop/quickdigitalplanner</x:v>
      </x:c>
      <x:c r="E401" s="11" t="n">
        <x:v>15</x:v>
      </x:c>
      <x:c r="F401" s="10" t="n">
        <x:v>0</x:v>
      </x:c>
      <x:c r="G401" s="12" t="n">
        <x:v>0</x:v>
      </x:c>
      <x:c r="H401" s="13" t="n">
        <x:v>0</x:v>
      </x:c>
      <x:c r="I401" s="10" t="n">
        <x:v>12</x:v>
      </x:c>
      <x:c r="J401" s="10" t="n">
        <x:v>1</x:v>
      </x:c>
      <x:c r="K401" s="10" t="str">
        <x:v>31 Mo.</x:v>
      </x:c>
      <x:c r="L401" s="10" t="n">
        <x:v>3</x:v>
      </x:c>
      <x:c r="M401" s="10" t="n">
        <x:v>0</x:v>
      </x:c>
      <x:c r="N401" s="10" t="n">
        <x:v>1322</x:v>
      </x:c>
      <x:c r="O401" s="10" t="str"/>
      <x:c r="P401" s="10" t="n">
        <x:v>53</x:v>
      </x:c>
      <x:c r="Q401" s="10" t="n">
        <x:v>0</x:v>
      </x:c>
      <x:c r="R401" s="13" t="n">
        <x:v>0.91</x:v>
      </x:c>
      <x:c r="S401" s="10" t="n">
        <x:v>3179</x:v>
      </x:c>
      <x:c r="T401" s="10" t="str">
        <x:v>loan amortization,car loan tracker,mortgage schedule,excel template,google sheets,debt snowball,payment calculator,financial planner,loan payoff,budget spreadsheet,loan tracker,amortization chart,early payoff</x:v>
      </x:c>
      <x:c r="U401" s="10" t="str">
        <x:v>loan amortization</x:v>
      </x:c>
      <x:c r="V401" s="10" t="str">
        <x:v>car loan tracker</x:v>
      </x:c>
      <x:c r="W401" s="10" t="str">
        <x:v>mortgage schedule</x:v>
      </x:c>
      <x:c r="X401" s="10" t="str">
        <x:v>excel template</x:v>
      </x:c>
      <x:c r="Y401" s="10" t="str">
        <x:v>google sheets</x:v>
      </x:c>
      <x:c r="Z401" s="10" t="str">
        <x:v>debt snowball</x:v>
      </x:c>
      <x:c r="AA401" s="10" t="str">
        <x:v>payment calculator</x:v>
      </x:c>
      <x:c r="AB401" s="10" t="str">
        <x:v>financial planner</x:v>
      </x:c>
      <x:c r="AC401" s="10" t="str">
        <x:v>loan payoff</x:v>
      </x:c>
      <x:c r="AD401" s="10" t="str">
        <x:v>budget spreadsheet</x:v>
      </x:c>
      <x:c r="AE401" s="10" t="str">
        <x:v>loan tracker</x:v>
      </x:c>
      <x:c r="AF401" s="10" t="str">
        <x:v>amortization chart</x:v>
      </x:c>
      <x:c r="AG401" s="10" t="str">
        <x:v>early payoff</x:v>
      </x:c>
      <x:c r="AH401" s="10" t="str">
        <x:v>General debt payoff</x:v>
      </x:c>
      <x:c r="AI401" s="13" t="n">
        <x:v>31</x:v>
      </x:c>
      <x:c r="AJ401" s="10" t="str">
        <x:f>IF(F401&gt;0,"Active","No est. sales")</x:f>
        <x:v>No est. sales</x:v>
      </x:c>
    </x:row>
    <x:row r="402">
      <x:c r="A402" s="10" t="str">
        <x:v>House Savings Tracker Printable: Mortgage Goal Planner (PNG Digital Download)</x:v>
      </x:c>
      <x:c r="B402" s="10" t="str">
        <x:v>https://www.etsy.com/listing/989055999/house-savings-tracker-printable-mortgage</x:v>
      </x:c>
      <x:c r="C402" s="10" t="str">
        <x:v>bbhdesignss</x:v>
      </x:c>
      <x:c r="D402" s="10" t="str">
        <x:v>https://www.etsy.com/shop/bbhdesignss</x:v>
      </x:c>
      <x:c r="E402" s="11" t="n">
        <x:v>1.5</x:v>
      </x:c>
      <x:c r="F402" s="10" t="n">
        <x:v>0</x:v>
      </x:c>
      <x:c r="G402" s="12" t="n">
        <x:v>0</x:v>
      </x:c>
      <x:c r="H402" s="13" t="n">
        <x:v>0</x:v>
      </x:c>
      <x:c r="I402" s="10" t="n">
        <x:v>14</x:v>
      </x:c>
      <x:c r="J402" s="10" t="n">
        <x:v>2</x:v>
      </x:c>
      <x:c r="K402" s="10" t="str">
        <x:v>64 Mo.</x:v>
      </x:c>
      <x:c r="L402" s="10" t="n">
        <x:v>45</x:v>
      </x:c>
      <x:c r="M402" s="10" t="n">
        <x:v>0</x:v>
      </x:c>
      <x:c r="N402" s="10" t="n">
        <x:v>703</x:v>
      </x:c>
      <x:c r="O402" s="10" t="str">
        <x:v>Paper &amp; Party Supplies</x:v>
      </x:c>
      <x:c r="P402" s="10" t="n">
        <x:v>186</x:v>
      </x:c>
      <x:c r="Q402" s="10" t="n">
        <x:v>0</x:v>
      </x:c>
      <x:c r="R402" s="13" t="n">
        <x:v>1.99</x:v>
      </x:c>
      <x:c r="S402" s="10" t="n">
        <x:v>4402</x:v>
      </x:c>
      <x:c r="T402" s="10" t="str">
        <x:v>house,saving,planner,budget,goal,challenge,tracker,printable,dave ramsey,home,budgeting,bullet journal,mortgage</x:v>
      </x:c>
      <x:c r="U402" s="10" t="str">
        <x:v>house</x:v>
      </x:c>
      <x:c r="V402" s="10" t="str">
        <x:v>saving</x:v>
      </x:c>
      <x:c r="W402" s="10" t="str">
        <x:v>planner</x:v>
      </x:c>
      <x:c r="X402" s="10" t="str">
        <x:v>budget</x:v>
      </x:c>
      <x:c r="Y402" s="10" t="str">
        <x:v>goal</x:v>
      </x:c>
      <x:c r="Z402" s="10" t="str">
        <x:v>challenge</x:v>
      </x:c>
      <x:c r="AA402" s="10" t="str">
        <x:v>tracker</x:v>
      </x:c>
      <x:c r="AB402" s="10" t="str">
        <x:v>printable</x:v>
      </x:c>
      <x:c r="AC402" s="10" t="str">
        <x:v>dave ramsey</x:v>
      </x:c>
      <x:c r="AD402" s="10" t="str">
        <x:v>home</x:v>
      </x:c>
      <x:c r="AE402" s="10" t="str">
        <x:v>budgeting</x:v>
      </x:c>
      <x:c r="AF402" s="10" t="str">
        <x:v>bullet journal</x:v>
      </x:c>
      <x:c r="AG402" s="10" t="str">
        <x:v>mortgage</x:v>
      </x:c>
      <x:c r="AH402" s="10" t="str">
        <x:v>Other mortgage-related</x:v>
      </x:c>
      <x:c r="AI402" s="13" t="n">
        <x:v>64</x:v>
      </x:c>
      <x:c r="AJ402" s="10" t="str">
        <x:f>IF(F402&gt;0,"Active","No est. sales")</x:f>
        <x:v>No est. sales</x:v>
      </x:c>
    </x:row>
    <x:row r="403">
      <x:c r="A403" s="10" t="str">
        <x:v>First-Time Homebuyer Cash to Close Calculator, Mortgage Closing Cost Spreadsheet, Loan Estimate Comparison, Excel Planner</x:v>
      </x:c>
      <x:c r="B403" s="10" t="str">
        <x:v>https://www.etsy.com/listing/4519004676/first-time-homebuyer-cash-to-close</x:v>
      </x:c>
      <x:c r="C403" s="10" t="str">
        <x:v>TaskTidyStudio</x:v>
      </x:c>
      <x:c r="D403" s="10" t="str">
        <x:v>https://www.etsy.com/shop/TaskTidyStudio</x:v>
      </x:c>
      <x:c r="E403" s="11" t="n">
        <x:v>7.99</x:v>
      </x:c>
      <x:c r="F403" s="10" t="n">
        <x:v>0</x:v>
      </x:c>
      <x:c r="G403" s="12" t="n">
        <x:v>0</x:v>
      </x:c>
      <x:c r="H403" s="13" t="n">
        <x:v>0</x:v>
      </x:c>
      <x:c r="I403" s="10" t="n">
        <x:v>0</x:v>
      </x:c>
      <x:c r="J403" s="10" t="n">
        <x:v>0</x:v>
      </x:c>
      <x:c r="K403" s="10" t="str">
        <x:v>1 Mo.</x:v>
      </x:c>
      <x:c r="L403" s="10" t="n">
        <x:v>0</x:v>
      </x:c>
      <x:c r="M403" s="10" t="n">
        <x:v>0</x:v>
      </x:c>
      <x:c r="N403" s="10" t="n">
        <x:v>7</x:v>
      </x:c>
      <x:c r="O403" s="10" t="str"/>
      <x:c r="P403" s="10" t="n">
        <x:v>6</x:v>
      </x:c>
      <x:c r="Q403" s="10" t="n">
        <x:v>0</x:v>
      </x:c>
      <x:c r="R403" s="13" t="n">
        <x:v>0</x:v>
      </x:c>
      <x:c r="S403" s="10" t="n">
        <x:v>2</x:v>
      </x:c>
      <x:c r="T403" s="10" t="str">
        <x:v>cash to close,closing costs,mortgage sheet,homebuyer planner,loan comparison,first home buyer,buyer checklist,home loan tracker,escrow tracker,house budget,closing checklist,real estate pdf,excel planner</x:v>
      </x:c>
      <x:c r="U403" s="10" t="str">
        <x:v>cash to close</x:v>
      </x:c>
      <x:c r="V403" s="10" t="str">
        <x:v>closing costs</x:v>
      </x:c>
      <x:c r="W403" s="10" t="str">
        <x:v>mortgage sheet</x:v>
      </x:c>
      <x:c r="X403" s="10" t="str">
        <x:v>homebuyer planner</x:v>
      </x:c>
      <x:c r="Y403" s="10" t="str">
        <x:v>loan comparison</x:v>
      </x:c>
      <x:c r="Z403" s="10" t="str">
        <x:v>first home buyer</x:v>
      </x:c>
      <x:c r="AA403" s="10" t="str">
        <x:v>buyer checklist</x:v>
      </x:c>
      <x:c r="AB403" s="10" t="str">
        <x:v>home loan tracker</x:v>
      </x:c>
      <x:c r="AC403" s="10" t="str">
        <x:v>escrow tracker</x:v>
      </x:c>
      <x:c r="AD403" s="10" t="str">
        <x:v>house budget</x:v>
      </x:c>
      <x:c r="AE403" s="10" t="str">
        <x:v>closing checklist</x:v>
      </x:c>
      <x:c r="AF403" s="10" t="str">
        <x:v>real estate pdf</x:v>
      </x:c>
      <x:c r="AG403" s="10" t="str">
        <x:v>excel planner</x:v>
      </x:c>
      <x:c r="AH403" s="10" t="str">
        <x:v>Home buying planner</x:v>
      </x:c>
      <x:c r="AI403" s="13" t="n">
        <x:v>1</x:v>
      </x:c>
      <x:c r="AJ403" s="10" t="str">
        <x:f>IF(F403&gt;0,"Active","No est. sales")</x:f>
        <x:v>No est. sales</x:v>
      </x:c>
    </x:row>
    <x:row r="404">
      <x:c r="A404" s="10" t="str">
        <x:v>Utility Bills Sprout Character Planner Stickers Printable | Digital Download | Cut Lines Included | S07</x:v>
      </x:c>
      <x:c r="B404" s="10" t="str">
        <x:v>https://www.etsy.com/listing/4481092644/utility-bills-sprout-character-planner</x:v>
      </x:c>
      <x:c r="C404" s="10" t="str">
        <x:v>PMDPrintAndPlan</x:v>
      </x:c>
      <x:c r="D404" s="10" t="str">
        <x:v>https://www.etsy.com/shop/PMDPrintAndPlan</x:v>
      </x:c>
      <x:c r="E404" s="11" t="n">
        <x:v>1.75</x:v>
      </x:c>
      <x:c r="F404" s="10" t="n">
        <x:v>0</x:v>
      </x:c>
      <x:c r="G404" s="12" t="n">
        <x:v>0</x:v>
      </x:c>
      <x:c r="H404" s="13" t="n">
        <x:v>0</x:v>
      </x:c>
      <x:c r="I404" s="10" t="n">
        <x:v>0</x:v>
      </x:c>
      <x:c r="J404" s="10" t="n">
        <x:v>0</x:v>
      </x:c>
      <x:c r="K404" s="10" t="str">
        <x:v>3 Mo.</x:v>
      </x:c>
      <x:c r="L404" s="10" t="n">
        <x:v>4</x:v>
      </x:c>
      <x:c r="M404" s="10" t="n">
        <x:v>0</x:v>
      </x:c>
      <x:c r="N404" s="10" t="n">
        <x:v>30</x:v>
      </x:c>
      <x:c r="O404" s="10" t="str">
        <x:v>Paper &amp; Party Supplies</x:v>
      </x:c>
      <x:c r="P404" s="10" t="n">
        <x:v>124</x:v>
      </x:c>
      <x:c r="Q404" s="10" t="n">
        <x:v>0</x:v>
      </x:c>
      <x:c r="R404" s="13" t="n">
        <x:v>0</x:v>
      </x:c>
      <x:c r="S404" s="10" t="n">
        <x:v>22638</x:v>
      </x:c>
      <x:c r="T404" s="10" t="str">
        <x:v>printable stickers,printable planner,planner stickers,cricut printable,bills,electricity,gas,water,bill due,internet,house bill,mortgage,rent</x:v>
      </x:c>
      <x:c r="U404" s="10" t="str">
        <x:v>printable stickers</x:v>
      </x:c>
      <x:c r="V404" s="10" t="str">
        <x:v>printable planner</x:v>
      </x:c>
      <x:c r="W404" s="10" t="str">
        <x:v>planner stickers</x:v>
      </x:c>
      <x:c r="X404" s="10" t="str">
        <x:v>cricut printable</x:v>
      </x:c>
      <x:c r="Y404" s="10" t="str">
        <x:v>bills</x:v>
      </x:c>
      <x:c r="Z404" s="10" t="str">
        <x:v>electricity</x:v>
      </x:c>
      <x:c r="AA404" s="10" t="str">
        <x:v>gas</x:v>
      </x:c>
      <x:c r="AB404" s="10" t="str">
        <x:v>water</x:v>
      </x:c>
      <x:c r="AC404" s="10" t="str">
        <x:v>bill due</x:v>
      </x:c>
      <x:c r="AD404" s="10" t="str">
        <x:v>internet</x:v>
      </x:c>
      <x:c r="AE404" s="10" t="str">
        <x:v>house bill</x:v>
      </x:c>
      <x:c r="AF404" s="10" t="str">
        <x:v>mortgage</x:v>
      </x:c>
      <x:c r="AG404" s="10" t="str">
        <x:v>rent</x:v>
      </x:c>
      <x:c r="AH404" s="10" t="str">
        <x:v>Other mortgage-related</x:v>
      </x:c>
      <x:c r="AI404" s="13" t="n">
        <x:v>3</x:v>
      </x:c>
      <x:c r="AJ404" s="10" t="str">
        <x:f>IF(F404&gt;0,"Active","No est. sales")</x:f>
        <x:v>No est. sales</x:v>
      </x:c>
    </x:row>
    <x:row r="405">
      <x:c r="A405" s="10" t="str">
        <x:v>Monthly Amortization Schedule Template | Loan Payment Calculator | Debt Tracker Spreadsheet | Excel &amp; Google Sheets | Loan Repayment planner</x:v>
      </x:c>
      <x:c r="B405" s="10" t="str">
        <x:v>https://www.etsy.com/listing/4498594829/monthly-amortization-schedule-template</x:v>
      </x:c>
      <x:c r="C405" s="10" t="str">
        <x:v>DaffodillsSheets</x:v>
      </x:c>
      <x:c r="D405" s="10" t="str">
        <x:v>https://www.etsy.com/shop/DaffodillsSheets</x:v>
      </x:c>
      <x:c r="E405" s="11" t="n">
        <x:v>10.87</x:v>
      </x:c>
      <x:c r="F405" s="10" t="n">
        <x:v>0</x:v>
      </x:c>
      <x:c r="G405" s="12" t="n">
        <x:v>0</x:v>
      </x:c>
      <x:c r="H405" s="13" t="n">
        <x:v>0</x:v>
      </x:c>
      <x:c r="I405" s="10" t="n">
        <x:v>0</x:v>
      </x:c>
      <x:c r="J405" s="10" t="n">
        <x:v>0</x:v>
      </x:c>
      <x:c r="K405" s="10" t="str">
        <x:v>2 Mo.</x:v>
      </x:c>
      <x:c r="L405" s="10" t="n">
        <x:v>0</x:v>
      </x:c>
      <x:c r="M405" s="10" t="n">
        <x:v>0</x:v>
      </x:c>
      <x:c r="N405" s="10" t="n">
        <x:v>0</x:v>
      </x:c>
      <x:c r="O405" s="10" t="str"/>
      <x:c r="P405" s="10" t="n">
        <x:v>10</x:v>
      </x:c>
      <x:c r="Q405" s="10" t="n">
        <x:v>0</x:v>
      </x:c>
      <x:c r="R405" s="13" t="n">
        <x:v>0</x:v>
      </x:c>
      <x:c r="S405" s="10" t="n">
        <x:v>567</x:v>
      </x:c>
      <x:c r="T405" s="10" t="str">
        <x:v>loan tracker,payment schedule,debt tracker,loan calculator,finance spreadsheet,budget planner,loan repayment,mortgage tracker,interest calculator,excel template,google sheets,amortization,financial</x:v>
      </x:c>
      <x:c r="U405" s="10" t="str">
        <x:v>loan tracker</x:v>
      </x:c>
      <x:c r="V405" s="10" t="str">
        <x:v>payment schedule</x:v>
      </x:c>
      <x:c r="W405" s="10" t="str">
        <x:v>debt tracker</x:v>
      </x:c>
      <x:c r="X405" s="10" t="str">
        <x:v>loan calculator</x:v>
      </x:c>
      <x:c r="Y405" s="10" t="str">
        <x:v>finance spreadsheet</x:v>
      </x:c>
      <x:c r="Z405" s="10" t="str">
        <x:v>budget planner</x:v>
      </x:c>
      <x:c r="AA405" s="10" t="str">
        <x:v>loan repayment</x:v>
      </x:c>
      <x:c r="AB405" s="10" t="str">
        <x:v>mortgage tracker</x:v>
      </x:c>
      <x:c r="AC405" s="10" t="str">
        <x:v>interest calculator</x:v>
      </x:c>
      <x:c r="AD405" s="10" t="str">
        <x:v>excel template</x:v>
      </x:c>
      <x:c r="AE405" s="10" t="str">
        <x:v>google sheets</x:v>
      </x:c>
      <x:c r="AF405" s="10" t="str">
        <x:v>amortization</x:v>
      </x:c>
      <x:c r="AG405" s="10" t="str">
        <x:v>financial</x:v>
      </x:c>
      <x:c r="AH405" s="10" t="str">
        <x:v>General debt payoff</x:v>
      </x:c>
      <x:c r="AI405" s="13" t="n">
        <x:v>2</x:v>
      </x:c>
      <x:c r="AJ405" s="10" t="str">
        <x:f>IF(F405&gt;0,"Active","No est. sales")</x:f>
        <x:v>No est. sales</x:v>
      </x:c>
    </x:row>
    <x:row r="406">
      <x:c r="A406" s="10" t="str">
        <x:v>Home Buying Checklist, First Time Buyer Planner, Real Estate Guide (PDF Download)</x:v>
      </x:c>
      <x:c r="B406" s="10" t="str">
        <x:v>https://www.etsy.com/listing/4516102781/home-buying-checklist-first-time-buyer</x:v>
      </x:c>
      <x:c r="C406" s="10" t="str">
        <x:v>Meadowby</x:v>
      </x:c>
      <x:c r="D406" s="10" t="str">
        <x:v>https://www.etsy.com/shop/Meadowby</x:v>
      </x:c>
      <x:c r="E406" s="11" t="n">
        <x:v>4.99</x:v>
      </x:c>
      <x:c r="F406" s="10" t="n">
        <x:v>0</x:v>
      </x:c>
      <x:c r="G406" s="12" t="n">
        <x:v>0</x:v>
      </x:c>
      <x:c r="H406" s="13" t="n">
        <x:v>0</x:v>
      </x:c>
      <x:c r="I406" s="10" t="n">
        <x:v>0</x:v>
      </x:c>
      <x:c r="J406" s="10" t="n">
        <x:v>0</x:v>
      </x:c>
      <x:c r="K406" s="10" t="str">
        <x:v>1 Mo.</x:v>
      </x:c>
      <x:c r="L406" s="10" t="n">
        <x:v>0</x:v>
      </x:c>
      <x:c r="M406" s="10" t="n">
        <x:v>0</x:v>
      </x:c>
      <x:c r="N406" s="10" t="n">
        <x:v>6</x:v>
      </x:c>
      <x:c r="O406" s="10" t="str">
        <x:v>Art &amp; Collectibles</x:v>
      </x:c>
      <x:c r="P406" s="10" t="n">
        <x:v>35</x:v>
      </x:c>
      <x:c r="Q406" s="10" t="n">
        <x:v>0</x:v>
      </x:c>
      <x:c r="R406" s="13" t="n">
        <x:v>0</x:v>
      </x:c>
      <x:c r="S406" s="10" t="n">
        <x:v>0</x:v>
      </x:c>
      <x:c r="T406" s="10" t="str">
        <x:v>home buying,homebuyer checklist,first time homebuyer,new home checklist,home buyer planner,real estate pdf,house hunting,buyer checklist,realtor printable,mortgage checklist,escrow checklist,closing checklist,instant download</x:v>
      </x:c>
      <x:c r="U406" s="10" t="str">
        <x:v>home buying</x:v>
      </x:c>
      <x:c r="V406" s="10" t="str">
        <x:v>homebuyer checklist</x:v>
      </x:c>
      <x:c r="W406" s="10" t="str">
        <x:v>first time homebuyer</x:v>
      </x:c>
      <x:c r="X406" s="10" t="str">
        <x:v>new home checklist</x:v>
      </x:c>
      <x:c r="Y406" s="10" t="str">
        <x:v>home buyer planner</x:v>
      </x:c>
      <x:c r="Z406" s="10" t="str">
        <x:v>real estate pdf</x:v>
      </x:c>
      <x:c r="AA406" s="10" t="str">
        <x:v>house hunting</x:v>
      </x:c>
      <x:c r="AB406" s="10" t="str">
        <x:v>buyer checklist</x:v>
      </x:c>
      <x:c r="AC406" s="10" t="str">
        <x:v>realtor printable</x:v>
      </x:c>
      <x:c r="AD406" s="10" t="str">
        <x:v>mortgage checklist</x:v>
      </x:c>
      <x:c r="AE406" s="10" t="str">
        <x:v>escrow checklist</x:v>
      </x:c>
      <x:c r="AF406" s="10" t="str">
        <x:v>closing checklist</x:v>
      </x:c>
      <x:c r="AG406" s="10" t="str">
        <x:v>instant download</x:v>
      </x:c>
      <x:c r="AH406" s="10" t="str">
        <x:v>Home buying planner</x:v>
      </x:c>
      <x:c r="AI406" s="13" t="n">
        <x:v>1</x:v>
      </x:c>
      <x:c r="AJ406" s="10" t="str">
        <x:f>IF(F406&gt;0,"Active","No est. sales")</x:f>
        <x:v>No est. sales</x:v>
      </x:c>
    </x:row>
    <x:row r="407">
      <x:c r="A407" s="10" t="str">
        <x:v>Rent Due Planner Stickers - Font 1 | Matte White or Clear Gloss with Foiling Options</x:v>
      </x:c>
      <x:c r="B407" s="10" t="str">
        <x:v>https://www.etsy.com/listing/618768626/rent-due-planner-stickers-clear-mortgage</x:v>
      </x:c>
      <x:c r="C407" s="10" t="str">
        <x:v>LucidLair</x:v>
      </x:c>
      <x:c r="D407" s="10" t="str">
        <x:v>https://www.etsy.com/shop/LucidLair</x:v>
      </x:c>
      <x:c r="E407" s="11" t="n">
        <x:v>2.69</x:v>
      </x:c>
      <x:c r="F407" s="10" t="n">
        <x:v>0</x:v>
      </x:c>
      <x:c r="G407" s="12" t="n">
        <x:v>0</x:v>
      </x:c>
      <x:c r="H407" s="13" t="n">
        <x:v>0</x:v>
      </x:c>
      <x:c r="I407" s="10" t="n">
        <x:v>28</x:v>
      </x:c>
      <x:c r="J407" s="10" t="n">
        <x:v>5</x:v>
      </x:c>
      <x:c r="K407" s="10" t="str">
        <x:v>96 Mo.</x:v>
      </x:c>
      <x:c r="L407" s="10" t="n">
        <x:v>97</x:v>
      </x:c>
      <x:c r="M407" s="10" t="n">
        <x:v>0</x:v>
      </x:c>
      <x:c r="N407" s="10" t="n">
        <x:v>849</x:v>
      </x:c>
      <x:c r="O407" s="10" t="str">
        <x:v>Paper &amp; Party Supplies</x:v>
      </x:c>
      <x:c r="P407" s="10" t="n">
        <x:v>100</x:v>
      </x:c>
      <x:c r="Q407" s="10" t="n">
        <x:v>0</x:v>
      </x:c>
      <x:c r="R407" s="13" t="n">
        <x:v>3.3</x:v>
      </x:c>
      <x:c r="S407" s="10" t="n">
        <x:v>13927</x:v>
      </x:c>
      <x:c r="T407" s="10" t="str">
        <x:v>finance stickers,clear stickers,money planner,bill stickers,rent stickers,rent due stickers,mortgage stickers,payment stickers,pay bills stickers,word stickers,house stickers,mini icon stickers,clear planner mini</x:v>
      </x:c>
      <x:c r="U407" s="10" t="str">
        <x:v>finance stickers</x:v>
      </x:c>
      <x:c r="V407" s="10" t="str">
        <x:v>clear stickers</x:v>
      </x:c>
      <x:c r="W407" s="10" t="str">
        <x:v>money planner</x:v>
      </x:c>
      <x:c r="X407" s="10" t="str">
        <x:v>bill stickers</x:v>
      </x:c>
      <x:c r="Y407" s="10" t="str">
        <x:v>rent stickers</x:v>
      </x:c>
      <x:c r="Z407" s="10" t="str">
        <x:v>rent due stickers</x:v>
      </x:c>
      <x:c r="AA407" s="10" t="str">
        <x:v>mortgage stickers</x:v>
      </x:c>
      <x:c r="AB407" s="10" t="str">
        <x:v>payment stickers</x:v>
      </x:c>
      <x:c r="AC407" s="10" t="str">
        <x:v>pay bills stickers</x:v>
      </x:c>
      <x:c r="AD407" s="10" t="str">
        <x:v>word stickers</x:v>
      </x:c>
      <x:c r="AE407" s="10" t="str">
        <x:v>house stickers</x:v>
      </x:c>
      <x:c r="AF407" s="10" t="str">
        <x:v>mini icon stickers</x:v>
      </x:c>
      <x:c r="AG407" s="10" t="str">
        <x:v>clear planner mini</x:v>
      </x:c>
      <x:c r="AH407" s="10" t="str">
        <x:v>Other mortgage-related</x:v>
      </x:c>
      <x:c r="AI407" s="13" t="n">
        <x:v>96</x:v>
      </x:c>
      <x:c r="AJ407" s="10" t="str">
        <x:f>IF(F407&gt;0,"Active","No est. sales")</x:f>
        <x:v>No est. sales</x:v>
      </x:c>
    </x:row>
    <x:row r="408">
      <x:c r="A408" s="10" t="str">
        <x:v>Home Purchase Guide PDF | First Time Home Buyer Planner, Budget &amp; Mortgage Prep Workbook, House Buying Checklist</x:v>
      </x:c>
      <x:c r="B408" s="10" t="str">
        <x:v>https://www.etsy.com/listing/4430386026/home-purchase-guide-pdf-first-time-home</x:v>
      </x:c>
      <x:c r="C408" s="10" t="str">
        <x:v>TheRoseMethods</x:v>
      </x:c>
      <x:c r="D408" s="10" t="str">
        <x:v>https://www.etsy.com/shop/TheRoseMethods</x:v>
      </x:c>
      <x:c r="E408" s="11" t="n">
        <x:v>4.5</x:v>
      </x:c>
      <x:c r="F408" s="10" t="n">
        <x:v>0</x:v>
      </x:c>
      <x:c r="G408" s="12" t="n">
        <x:v>0</x:v>
      </x:c>
      <x:c r="H408" s="13" t="n">
        <x:v>0</x:v>
      </x:c>
      <x:c r="I408" s="10" t="n">
        <x:v>0</x:v>
      </x:c>
      <x:c r="J408" s="10" t="n">
        <x:v>0</x:v>
      </x:c>
      <x:c r="K408" s="10" t="str">
        <x:v>7 Mo.</x:v>
      </x:c>
      <x:c r="L408" s="10" t="n">
        <x:v>3</x:v>
      </x:c>
      <x:c r="M408" s="10" t="n">
        <x:v>0</x:v>
      </x:c>
      <x:c r="N408" s="10" t="n">
        <x:v>26</x:v>
      </x:c>
      <x:c r="O408" s="10" t="str">
        <x:v>Paper &amp; Party Supplies</x:v>
      </x:c>
      <x:c r="P408" s="10" t="n">
        <x:v>7</x:v>
      </x:c>
      <x:c r="Q408" s="10" t="n">
        <x:v>0</x:v>
      </x:c>
      <x:c r="R408" s="13" t="n">
        <x:v>0</x:v>
      </x:c>
      <x:c r="S408" s="10" t="n">
        <x:v>6</x:v>
      </x:c>
      <x:c r="T408" s="10" t="str">
        <x:v>home purchase guide,first time buyer,home buyer planner,house buying guide,mortgage prep,home budget,home checklist,real estate prep,buying a house,home planner pdf,printable guide,budget workbook,home expenses</x:v>
      </x:c>
      <x:c r="U408" s="10" t="str">
        <x:v>home purchase guide</x:v>
      </x:c>
      <x:c r="V408" s="10" t="str">
        <x:v>first time buyer</x:v>
      </x:c>
      <x:c r="W408" s="10" t="str">
        <x:v>home buyer planner</x:v>
      </x:c>
      <x:c r="X408" s="10" t="str">
        <x:v>house buying guide</x:v>
      </x:c>
      <x:c r="Y408" s="10" t="str">
        <x:v>mortgage prep</x:v>
      </x:c>
      <x:c r="Z408" s="10" t="str">
        <x:v>home budget</x:v>
      </x:c>
      <x:c r="AA408" s="10" t="str">
        <x:v>home checklist</x:v>
      </x:c>
      <x:c r="AB408" s="10" t="str">
        <x:v>real estate prep</x:v>
      </x:c>
      <x:c r="AC408" s="10" t="str">
        <x:v>buying a house</x:v>
      </x:c>
      <x:c r="AD408" s="10" t="str">
        <x:v>home planner pdf</x:v>
      </x:c>
      <x:c r="AE408" s="10" t="str">
        <x:v>printable guide</x:v>
      </x:c>
      <x:c r="AF408" s="10" t="str">
        <x:v>budget workbook</x:v>
      </x:c>
      <x:c r="AG408" s="10" t="str">
        <x:v>home expenses</x:v>
      </x:c>
      <x:c r="AH408" s="10" t="str">
        <x:v>Home buying planner</x:v>
      </x:c>
      <x:c r="AI408" s="13" t="n">
        <x:v>7</x:v>
      </x:c>
      <x:c r="AJ408" s="10" t="str">
        <x:f>IF(F408&gt;0,"Active","No est. sales")</x:f>
        <x:v>No est. sales</x:v>
      </x:c>
    </x:row>
    <x:row r="409">
      <x:c r="A409" s="10" t="str">
        <x:v>Canadian First Time Homebuyer Spreadsheet | FHSA + HBP Tracker, Down Payment Planner, Closing Costs + Mortgage Tool | Excel</x:v>
      </x:c>
      <x:c r="B409" s="10" t="str">
        <x:v>https://www.etsy.com/listing/4543087197/canadian-first-time-homebuyer</x:v>
      </x:c>
      <x:c r="C409" s="10" t="str">
        <x:v>ProsperSheetsCA</x:v>
      </x:c>
      <x:c r="D409" s="10" t="str">
        <x:v>https://www.etsy.com/shop/ProsperSheetsCA</x:v>
      </x:c>
      <x:c r="E409" s="11" t="n">
        <x:v>17.12</x:v>
      </x:c>
      <x:c r="F409" s="10" t="n">
        <x:v>0</x:v>
      </x:c>
      <x:c r="G409" s="12" t="n">
        <x:v>0</x:v>
      </x:c>
      <x:c r="H409" s="13" t="n">
        <x:v>0</x:v>
      </x:c>
      <x:c r="I409" s="10" t="n">
        <x:v>0</x:v>
      </x:c>
      <x:c r="J409" s="10" t="n">
        <x:v>0</x:v>
      </x:c>
      <x:c r="K409" s="10" t="str">
        <x:v>1 Mo.</x:v>
      </x:c>
      <x:c r="L409" s="10" t="n">
        <x:v>0</x:v>
      </x:c>
      <x:c r="M409" s="10" t="n">
        <x:v>0</x:v>
      </x:c>
      <x:c r="N409" s="10" t="n">
        <x:v>0</x:v>
      </x:c>
      <x:c r="O409" s="10" t="str"/>
      <x:c r="P409" s="10" t="n">
        <x:v>3</x:v>
      </x:c>
      <x:c r="Q409" s="10" t="n">
        <x:v>0</x:v>
      </x:c>
      <x:c r="R409" s="13" t="n">
        <x:v>0</x:v>
      </x:c>
      <x:c r="S409" s="10" t="n">
        <x:v>2</x:v>
      </x:c>
      <x:c r="T409" s="10" t="str">
        <x:v>canadian home buyer,first time homebuyer,fhsa tracker,hbp tracker,down payment,mortgage calculator,home buyer planner,closing costs,rrsp tracker,mortgage stress test,canada home buying,land transfer tax,digital planner</x:v>
      </x:c>
      <x:c r="U409" s="10" t="str">
        <x:v>canadian home buyer</x:v>
      </x:c>
      <x:c r="V409" s="10" t="str">
        <x:v>first time homebuyer</x:v>
      </x:c>
      <x:c r="W409" s="10" t="str">
        <x:v>fhsa tracker</x:v>
      </x:c>
      <x:c r="X409" s="10" t="str">
        <x:v>hbp tracker</x:v>
      </x:c>
      <x:c r="Y409" s="10" t="str">
        <x:v>down payment</x:v>
      </x:c>
      <x:c r="Z409" s="10" t="str">
        <x:v>mortgage calculator</x:v>
      </x:c>
      <x:c r="AA409" s="10" t="str">
        <x:v>home buyer planner</x:v>
      </x:c>
      <x:c r="AB409" s="10" t="str">
        <x:v>closing costs</x:v>
      </x:c>
      <x:c r="AC409" s="10" t="str">
        <x:v>rrsp tracker</x:v>
      </x:c>
      <x:c r="AD409" s="10" t="str">
        <x:v>mortgage stress test</x:v>
      </x:c>
      <x:c r="AE409" s="10" t="str">
        <x:v>canada home buying</x:v>
      </x:c>
      <x:c r="AF409" s="10" t="str">
        <x:v>land transfer tax</x:v>
      </x:c>
      <x:c r="AG409" s="10" t="str">
        <x:v>digital planner</x:v>
      </x:c>
      <x:c r="AH409" s="10" t="str">
        <x:v>Home buying planner</x:v>
      </x:c>
      <x:c r="AI409" s="13" t="n">
        <x:v>1</x:v>
      </x:c>
      <x:c r="AJ409" s="10" t="str">
        <x:f>IF(F409&gt;0,"Active","No est. sales")</x:f>
        <x:v>No est. sales</x:v>
      </x:c>
    </x:row>
    <x:row r="410">
      <x:c r="A410" s="10" t="str">
        <x:v>Debt Snowball Avalanche Calculator Spreadsheet | Google Sheets Debt Payoff Tracker, Payment Dashboard, Loan &amp; Credit Card Planner</x:v>
      </x:c>
      <x:c r="B410" s="10" t="str">
        <x:v>https://www.etsy.com/listing/4544993383/debt-snowball-avalanche-calculator</x:v>
      </x:c>
      <x:c r="C410" s="10" t="str">
        <x:v>SortedlyStudios</x:v>
      </x:c>
      <x:c r="D410" s="10" t="str">
        <x:v>https://www.etsy.com/shop/SortedlyStudios</x:v>
      </x:c>
      <x:c r="E410" s="11" t="n">
        <x:v>9.77</x:v>
      </x:c>
      <x:c r="F410" s="10" t="n">
        <x:v>0</x:v>
      </x:c>
      <x:c r="G410" s="12" t="n">
        <x:v>0</x:v>
      </x:c>
      <x:c r="H410" s="13" t="n">
        <x:v>0</x:v>
      </x:c>
      <x:c r="I410" s="10" t="n">
        <x:v>0</x:v>
      </x:c>
      <x:c r="J410" s="10" t="n">
        <x:v>0</x:v>
      </x:c>
      <x:c r="K410" s="10" t="str">
        <x:v>1 Mo.</x:v>
      </x:c>
      <x:c r="L410" s="10" t="n">
        <x:v>0</x:v>
      </x:c>
      <x:c r="M410" s="10" t="n">
        <x:v>0</x:v>
      </x:c>
      <x:c r="N410" s="10" t="n">
        <x:v>1</x:v>
      </x:c>
      <x:c r="O410" s="10" t="str"/>
      <x:c r="P410" s="10" t="n">
        <x:v>0</x:v>
      </x:c>
      <x:c r="Q410" s="10" t="n">
        <x:v>0</x:v>
      </x:c>
      <x:c r="R410" s="13" t="n">
        <x:v>0</x:v>
      </x:c>
      <x:c r="S410" s="10" t="n">
        <x:v>0</x:v>
      </x:c>
      <x:c r="T410" s="10" t="str">
        <x:v>google sheets budget,debt avalanche,debt snowball,loan payoff tracker,debt payoff planner,debtsnowball tracker,avalanche calculator,debt google sheets,debt spreadsheet,mortgage payoff,google debt payoff,snowball debt,debt calculator</x:v>
      </x:c>
      <x:c r="U410" s="10" t="str">
        <x:v>google sheets budget</x:v>
      </x:c>
      <x:c r="V410" s="10" t="str">
        <x:v>debt avalanche</x:v>
      </x:c>
      <x:c r="W410" s="10" t="str">
        <x:v>debt snowball</x:v>
      </x:c>
      <x:c r="X410" s="10" t="str">
        <x:v>loan payoff tracker</x:v>
      </x:c>
      <x:c r="Y410" s="10" t="str">
        <x:v>debt payoff planner</x:v>
      </x:c>
      <x:c r="Z410" s="10" t="str">
        <x:v>debtsnowball tracker</x:v>
      </x:c>
      <x:c r="AA410" s="10" t="str">
        <x:v>avalanche calculator</x:v>
      </x:c>
      <x:c r="AB410" s="10" t="str">
        <x:v>debt google sheets</x:v>
      </x:c>
      <x:c r="AC410" s="10" t="str">
        <x:v>debt spreadsheet</x:v>
      </x:c>
      <x:c r="AD410" s="10" t="str">
        <x:v>mortgage payoff</x:v>
      </x:c>
      <x:c r="AE410" s="10" t="str">
        <x:v>google debt payoff</x:v>
      </x:c>
      <x:c r="AF410" s="10" t="str">
        <x:v>snowball debt</x:v>
      </x:c>
      <x:c r="AG410" s="10" t="str">
        <x:v>debt calculator</x:v>
      </x:c>
      <x:c r="AH410" s="10" t="str">
        <x:v>General debt payoff</x:v>
      </x:c>
      <x:c r="AI410" s="13" t="n">
        <x:v>1</x:v>
      </x:c>
      <x:c r="AJ410" s="10" t="str">
        <x:f>IF(F410&gt;0,"Active","No est. sales")</x:f>
        <x:v>No est. sales</x:v>
      </x:c>
    </x:row>
    <x:row r="411">
      <x:c r="A411" s="10" t="str">
        <x:v>30 Cute Mortgage Bill /Pay Bill Reminder Planner Stickers</x:v>
      </x:c>
      <x:c r="B411" s="10" t="str">
        <x:v>https://www.etsy.com/listing/1266844553/30-cute-mortgage-bill-pay-bill-reminder</x:v>
      </x:c>
      <x:c r="C411" s="10" t="str">
        <x:v>LemonJellyStudio</x:v>
      </x:c>
      <x:c r="D411" s="10" t="str">
        <x:v>https://www.etsy.com/shop/LemonJellyStudio</x:v>
      </x:c>
      <x:c r="E411" s="11" t="n">
        <x:v>3.36</x:v>
      </x:c>
      <x:c r="F411" s="10" t="n">
        <x:v>0</x:v>
      </x:c>
      <x:c r="G411" s="12" t="n">
        <x:v>0</x:v>
      </x:c>
      <x:c r="H411" s="13" t="n">
        <x:v>0</x:v>
      </x:c>
      <x:c r="I411" s="10" t="n">
        <x:v>5</x:v>
      </x:c>
      <x:c r="J411" s="10" t="n">
        <x:v>1</x:v>
      </x:c>
      <x:c r="K411" s="10" t="str">
        <x:v>48 Mo.</x:v>
      </x:c>
      <x:c r="L411" s="10" t="n">
        <x:v>41</x:v>
      </x:c>
      <x:c r="M411" s="10" t="n">
        <x:v>0</x:v>
      </x:c>
      <x:c r="N411" s="10" t="n">
        <x:v>154</x:v>
      </x:c>
      <x:c r="O411" s="10" t="str">
        <x:v>Paper &amp; Party Supplies</x:v>
      </x:c>
      <x:c r="P411" s="10" t="n">
        <x:v>49</x:v>
      </x:c>
      <x:c r="Q411" s="10" t="n">
        <x:v>0</x:v>
      </x:c>
      <x:c r="R411" s="13" t="n">
        <x:v>3.25</x:v>
      </x:c>
      <x:c r="S411" s="10" t="n">
        <x:v>20081</x:v>
      </x:c>
      <x:c r="T411" s="10" t="str">
        <x:v>stickers,journal,planner,cute,diary,kawaii,bill,reminder,due,paid,utilities,mortgage,rent</x:v>
      </x:c>
      <x:c r="U411" s="10" t="str">
        <x:v>stickers</x:v>
      </x:c>
      <x:c r="V411" s="10" t="str">
        <x:v>journal</x:v>
      </x:c>
      <x:c r="W411" s="10" t="str">
        <x:v>planner</x:v>
      </x:c>
      <x:c r="X411" s="10" t="str">
        <x:v>cute</x:v>
      </x:c>
      <x:c r="Y411" s="10" t="str">
        <x:v>diary</x:v>
      </x:c>
      <x:c r="Z411" s="10" t="str">
        <x:v>kawaii</x:v>
      </x:c>
      <x:c r="AA411" s="10" t="str">
        <x:v>bill</x:v>
      </x:c>
      <x:c r="AB411" s="10" t="str">
        <x:v>reminder</x:v>
      </x:c>
      <x:c r="AC411" s="10" t="str">
        <x:v>due</x:v>
      </x:c>
      <x:c r="AD411" s="10" t="str">
        <x:v>paid</x:v>
      </x:c>
      <x:c r="AE411" s="10" t="str">
        <x:v>utilities</x:v>
      </x:c>
      <x:c r="AF411" s="10" t="str">
        <x:v>mortgage</x:v>
      </x:c>
      <x:c r="AG411" s="10" t="str">
        <x:v>rent</x:v>
      </x:c>
      <x:c r="AH411" s="10" t="str">
        <x:v>Other mortgage-related</x:v>
      </x:c>
      <x:c r="AI411" s="13" t="n">
        <x:v>48</x:v>
      </x:c>
      <x:c r="AJ411" s="10" t="str">
        <x:f>IF(F411&gt;0,"Active","No est. sales")</x:f>
        <x:v>No est. sales</x:v>
      </x:c>
    </x:row>
    <x:row r="412">
      <x:c r="A412" s="10" t="str">
        <x:v>Bank of Mum and Dad Equity Planner | Family Property Calculator | Excel Google Sheets | Deed of Trust | Buyout Plan | Bonus PDF Guide</x:v>
      </x:c>
      <x:c r="B412" s="10" t="str">
        <x:v>https://www.etsy.com/listing/4473297452/bank-of-mum-and-dad-equity-planner</x:v>
      </x:c>
      <x:c r="C412" s="10" t="str">
        <x:v>RootstockPlanning</x:v>
      </x:c>
      <x:c r="D412" s="10" t="str">
        <x:v>https://www.etsy.com/shop/RootstockPlanning</x:v>
      </x:c>
      <x:c r="E412" s="11" t="n">
        <x:v>20.65</x:v>
      </x:c>
      <x:c r="F412" s="10" t="n">
        <x:v>0</x:v>
      </x:c>
      <x:c r="G412" s="12" t="n">
        <x:v>0</x:v>
      </x:c>
      <x:c r="H412" s="13" t="n">
        <x:v>0</x:v>
      </x:c>
      <x:c r="I412" s="10" t="n">
        <x:v>0</x:v>
      </x:c>
      <x:c r="J412" s="10" t="n">
        <x:v>0</x:v>
      </x:c>
      <x:c r="K412" s="10" t="str">
        <x:v>4 Mo.</x:v>
      </x:c>
      <x:c r="L412" s="10" t="n">
        <x:v>0</x:v>
      </x:c>
      <x:c r="M412" s="10" t="n">
        <x:v>0</x:v>
      </x:c>
      <x:c r="N412" s="10" t="n">
        <x:v>6</x:v>
      </x:c>
      <x:c r="O412" s="10" t="str"/>
      <x:c r="P412" s="10" t="n">
        <x:v>8</x:v>
      </x:c>
      <x:c r="Q412" s="10" t="n">
        <x:v>0</x:v>
      </x:c>
      <x:c r="R412" s="13" t="n">
        <x:v>0</x:v>
      </x:c>
      <x:c r="S412" s="10" t="n">
        <x:v>1</x:v>
      </x:c>
      <x:c r="T412" s="10" t="str">
        <x:v>gifted deposit plan,equity planner,family property,property calculator,house deposit help,parent mortgage,buyout calculator,financial planner,first time buyer,equity split,mortgage planner,family house buying,deed of trust bomad</x:v>
      </x:c>
      <x:c r="U412" s="10" t="str">
        <x:v>gifted deposit plan</x:v>
      </x:c>
      <x:c r="V412" s="10" t="str">
        <x:v>equity planner</x:v>
      </x:c>
      <x:c r="W412" s="10" t="str">
        <x:v>family property</x:v>
      </x:c>
      <x:c r="X412" s="10" t="str">
        <x:v>property calculator</x:v>
      </x:c>
      <x:c r="Y412" s="10" t="str">
        <x:v>house deposit help</x:v>
      </x:c>
      <x:c r="Z412" s="10" t="str">
        <x:v>parent mortgage</x:v>
      </x:c>
      <x:c r="AA412" s="10" t="str">
        <x:v>buyout calculator</x:v>
      </x:c>
      <x:c r="AB412" s="10" t="str">
        <x:v>financial planner</x:v>
      </x:c>
      <x:c r="AC412" s="10" t="str">
        <x:v>first time buyer</x:v>
      </x:c>
      <x:c r="AD412" s="10" t="str">
        <x:v>equity split</x:v>
      </x:c>
      <x:c r="AE412" s="10" t="str">
        <x:v>mortgage planner</x:v>
      </x:c>
      <x:c r="AF412" s="10" t="str">
        <x:v>family house buying</x:v>
      </x:c>
      <x:c r="AG412" s="10" t="str">
        <x:v>deed of trust bomad</x:v>
      </x:c>
      <x:c r="AH412" s="10" t="str">
        <x:v>Other mortgage-related</x:v>
      </x:c>
      <x:c r="AI412" s="13" t="n">
        <x:v>4</x:v>
      </x:c>
      <x:c r="AJ412" s="10" t="str">
        <x:f>IF(F412&gt;0,"Active","No est. sales")</x:f>
        <x:v>No est. sales</x:v>
      </x:c>
    </x:row>
    <x:row r="413">
      <x:c r="A413" s="10" t="str">
        <x:v>Monthly budget tracker printable, Finance planner, Budget tracker, Spending log, Monthly budget, PDF digital monthly budget tracker</x:v>
      </x:c>
      <x:c r="B413" s="10" t="str">
        <x:v>https://www.etsy.com/listing/1662107705/monthly-budget-tracker-printable-finance</x:v>
      </x:c>
      <x:c r="C413" s="10" t="str">
        <x:v>RaeDigitalCreations</x:v>
      </x:c>
      <x:c r="D413" s="10" t="str">
        <x:v>https://www.etsy.com/shop/RaeDigitalCreations</x:v>
      </x:c>
      <x:c r="E413" s="11" t="n">
        <x:v>3</x:v>
      </x:c>
      <x:c r="F413" s="10" t="n">
        <x:v>0</x:v>
      </x:c>
      <x:c r="G413" s="12" t="n">
        <x:v>0</x:v>
      </x:c>
      <x:c r="H413" s="13" t="n">
        <x:v>0</x:v>
      </x:c>
      <x:c r="I413" s="10" t="n">
        <x:v>0</x:v>
      </x:c>
      <x:c r="J413" s="10" t="n">
        <x:v>0</x:v>
      </x:c>
      <x:c r="K413" s="10" t="str">
        <x:v>30 Mo.</x:v>
      </x:c>
      <x:c r="L413" s="10" t="n">
        <x:v>0</x:v>
      </x:c>
      <x:c r="M413" s="10" t="n">
        <x:v>0</x:v>
      </x:c>
      <x:c r="N413" s="10" t="n">
        <x:v>9</x:v>
      </x:c>
      <x:c r="O413" s="10" t="str"/>
      <x:c r="P413" s="10" t="n">
        <x:v>33</x:v>
      </x:c>
      <x:c r="Q413" s="10" t="n">
        <x:v>0</x:v>
      </x:c>
      <x:c r="R413" s="13" t="n">
        <x:v>0</x:v>
      </x:c>
      <x:c r="S413" s="10" t="n">
        <x:v>343</x:v>
      </x:c>
      <x:c r="T413" s="10" t="str">
        <x:v>paycheck budget,saving tracker,cash tracker,monthly budget,student loan tracker,finance tracker,debt tracker,mortgage tracker,budget planner,money planner,monthly expenses log,expense tracker,purchase log</x:v>
      </x:c>
      <x:c r="U413" s="10" t="str">
        <x:v>paycheck budget</x:v>
      </x:c>
      <x:c r="V413" s="10" t="str">
        <x:v>saving tracker</x:v>
      </x:c>
      <x:c r="W413" s="10" t="str">
        <x:v>cash tracker</x:v>
      </x:c>
      <x:c r="X413" s="10" t="str">
        <x:v>monthly budget</x:v>
      </x:c>
      <x:c r="Y413" s="10" t="str">
        <x:v>student loan tracker</x:v>
      </x:c>
      <x:c r="Z413" s="10" t="str">
        <x:v>finance tracker</x:v>
      </x:c>
      <x:c r="AA413" s="10" t="str">
        <x:v>debt tracker</x:v>
      </x:c>
      <x:c r="AB413" s="10" t="str">
        <x:v>mortgage tracker</x:v>
      </x:c>
      <x:c r="AC413" s="10" t="str">
        <x:v>budget planner</x:v>
      </x:c>
      <x:c r="AD413" s="10" t="str">
        <x:v>money planner</x:v>
      </x:c>
      <x:c r="AE413" s="10" t="str">
        <x:v>monthly expenses log</x:v>
      </x:c>
      <x:c r="AF413" s="10" t="str">
        <x:v>expense tracker</x:v>
      </x:c>
      <x:c r="AG413" s="10" t="str">
        <x:v>purchase log</x:v>
      </x:c>
      <x:c r="AH413" s="10" t="str">
        <x:v>Other mortgage-related</x:v>
      </x:c>
      <x:c r="AI413" s="13" t="n">
        <x:v>30</x:v>
      </x:c>
      <x:c r="AJ413" s="10" t="str">
        <x:f>IF(F413&gt;0,"Active","No est. sales")</x:f>
        <x:v>No est. sales</x:v>
      </x:c>
    </x:row>
    <x:row r="414">
      <x:c r="A414" s="10" t="str">
        <x:v>Printable Credit Score Tracker, Credit Card Payoff (PDF)</x:v>
      </x:c>
      <x:c r="B414" s="10" t="str">
        <x:v>https://www.etsy.com/listing/1815044327/printable-credit-trackers-credit-score</x:v>
      </x:c>
      <x:c r="C414" s="10" t="str">
        <x:v>SwiftPrintTemps</x:v>
      </x:c>
      <x:c r="D414" s="10" t="str">
        <x:v>https://www.etsy.com/shop/SwiftPrintTemps</x:v>
      </x:c>
      <x:c r="E414" s="11" t="n">
        <x:v>0.73</x:v>
      </x:c>
      <x:c r="F414" s="10" t="n">
        <x:v>0</x:v>
      </x:c>
      <x:c r="G414" s="12" t="n">
        <x:v>0</x:v>
      </x:c>
      <x:c r="H414" s="13" t="n">
        <x:v>0</x:v>
      </x:c>
      <x:c r="I414" s="10" t="n">
        <x:v>0</x:v>
      </x:c>
      <x:c r="J414" s="10" t="n">
        <x:v>0</x:v>
      </x:c>
      <x:c r="K414" s="10" t="str">
        <x:v>16 Mo.</x:v>
      </x:c>
      <x:c r="L414" s="10" t="n">
        <x:v>2</x:v>
      </x:c>
      <x:c r="M414" s="10" t="n">
        <x:v>0</x:v>
      </x:c>
      <x:c r="N414" s="10" t="n">
        <x:v>30</x:v>
      </x:c>
      <x:c r="O414" s="10" t="str">
        <x:v>Paper &amp; Party Supplies</x:v>
      </x:c>
      <x:c r="P414" s="10" t="n">
        <x:v>18</x:v>
      </x:c>
      <x:c r="Q414" s="10" t="n">
        <x:v>0</x:v>
      </x:c>
      <x:c r="R414" s="13" t="n">
        <x:v>0</x:v>
      </x:c>
      <x:c r="S414" s="10" t="n">
        <x:v>1163</x:v>
      </x:c>
      <x:c r="T414" s="10" t="str">
        <x:v>debt payment tracker,financial planner,personal finance,debt payoff planner,debt calculator,mortgage payoff,credit card debt,debt snowball,credit score tracker,debt avalanche,loan payoff tracker,credit card payoff,student loan debt</x:v>
      </x:c>
      <x:c r="U414" s="10" t="str">
        <x:v>debt payment tracker</x:v>
      </x:c>
      <x:c r="V414" s="10" t="str">
        <x:v>financial planner</x:v>
      </x:c>
      <x:c r="W414" s="10" t="str">
        <x:v>personal finance</x:v>
      </x:c>
      <x:c r="X414" s="10" t="str">
        <x:v>debt payoff planner</x:v>
      </x:c>
      <x:c r="Y414" s="10" t="str">
        <x:v>debt calculator</x:v>
      </x:c>
      <x:c r="Z414" s="10" t="str">
        <x:v>mortgage payoff</x:v>
      </x:c>
      <x:c r="AA414" s="10" t="str">
        <x:v>credit card debt</x:v>
      </x:c>
      <x:c r="AB414" s="10" t="str">
        <x:v>debt snowball</x:v>
      </x:c>
      <x:c r="AC414" s="10" t="str">
        <x:v>credit score tracker</x:v>
      </x:c>
      <x:c r="AD414" s="10" t="str">
        <x:v>debt avalanche</x:v>
      </x:c>
      <x:c r="AE414" s="10" t="str">
        <x:v>loan payoff tracker</x:v>
      </x:c>
      <x:c r="AF414" s="10" t="str">
        <x:v>credit card payoff</x:v>
      </x:c>
      <x:c r="AG414" s="10" t="str">
        <x:v>student loan debt</x:v>
      </x:c>
      <x:c r="AH414" s="10" t="str">
        <x:v>General debt payoff</x:v>
      </x:c>
      <x:c r="AI414" s="13" t="n">
        <x:v>16</x:v>
      </x:c>
      <x:c r="AJ414" s="10" t="str">
        <x:f>IF(F414&gt;0,"Active","No est. sales")</x:f>
        <x:v>No est. sales</x:v>
      </x:c>
    </x:row>
    <x:row r="415">
      <x:c r="A415" s="10" t="str">
        <x:v>Debt Tracker, Bill Payment Tracker, Debt Payoff Tracker, Payment Record, Finance Tracker, Debt Snowball, Savings Goal Tracker</x:v>
      </x:c>
      <x:c r="B415" s="10" t="str">
        <x:v>https://www.etsy.com/listing/4303346019/debt-tracker-bill-payment-tracker-debt</x:v>
      </x:c>
      <x:c r="C415" s="10" t="str">
        <x:v>HappyDigiHub</x:v>
      </x:c>
      <x:c r="D415" s="10" t="str">
        <x:v>https://www.etsy.com/shop/HappyDigiHub</x:v>
      </x:c>
      <x:c r="E415" s="11" t="n">
        <x:v>2.5</x:v>
      </x:c>
      <x:c r="F415" s="10" t="n">
        <x:v>0</x:v>
      </x:c>
      <x:c r="G415" s="12" t="n">
        <x:v>0</x:v>
      </x:c>
      <x:c r="H415" s="13" t="n">
        <x:v>0</x:v>
      </x:c>
      <x:c r="I415" s="10" t="n">
        <x:v>0</x:v>
      </x:c>
      <x:c r="J415" s="10" t="n">
        <x:v>0</x:v>
      </x:c>
      <x:c r="K415" s="10" t="str">
        <x:v>5 Mo.</x:v>
      </x:c>
      <x:c r="L415" s="10" t="n">
        <x:v>1</x:v>
      </x:c>
      <x:c r="M415" s="10" t="n">
        <x:v>0</x:v>
      </x:c>
      <x:c r="N415" s="10" t="n">
        <x:v>7</x:v>
      </x:c>
      <x:c r="O415" s="10" t="str"/>
      <x:c r="P415" s="10" t="n">
        <x:v>6</x:v>
      </x:c>
      <x:c r="Q415" s="10" t="n">
        <x:v>0</x:v>
      </x:c>
      <x:c r="R415" s="13" t="n">
        <x:v>0</x:v>
      </x:c>
      <x:c r="S415" s="10" t="n">
        <x:v>7</x:v>
      </x:c>
      <x:c r="T415" s="10" t="str">
        <x:v>debt tracker,bill payment tracker,debt payoff tracker,payment record,finance tracker,financial tracker,expense tracker,mortgage tracker,debt snowball,savings goal tracker,finance planner,digital finance,money organizer</x:v>
      </x:c>
      <x:c r="U415" s="10" t="str">
        <x:v>debt tracker</x:v>
      </x:c>
      <x:c r="V415" s="10" t="str">
        <x:v>bill payment tracker</x:v>
      </x:c>
      <x:c r="W415" s="10" t="str">
        <x:v>debt payoff tracker</x:v>
      </x:c>
      <x:c r="X415" s="10" t="str">
        <x:v>payment record</x:v>
      </x:c>
      <x:c r="Y415" s="10" t="str">
        <x:v>finance tracker</x:v>
      </x:c>
      <x:c r="Z415" s="10" t="str">
        <x:v>financial tracker</x:v>
      </x:c>
      <x:c r="AA415" s="10" t="str">
        <x:v>expense tracker</x:v>
      </x:c>
      <x:c r="AB415" s="10" t="str">
        <x:v>mortgage tracker</x:v>
      </x:c>
      <x:c r="AC415" s="10" t="str">
        <x:v>debt snowball</x:v>
      </x:c>
      <x:c r="AD415" s="10" t="str">
        <x:v>savings goal tracker</x:v>
      </x:c>
      <x:c r="AE415" s="10" t="str">
        <x:v>finance planner</x:v>
      </x:c>
      <x:c r="AF415" s="10" t="str">
        <x:v>digital finance</x:v>
      </x:c>
      <x:c r="AG415" s="10" t="str">
        <x:v>money organizer</x:v>
      </x:c>
      <x:c r="AH415" s="10" t="str">
        <x:v>General debt payoff</x:v>
      </x:c>
      <x:c r="AI415" s="13" t="n">
        <x:v>5</x:v>
      </x:c>
      <x:c r="AJ415" s="10" t="str">
        <x:f>IF(F415&gt;0,"Active","No est. sales")</x:f>
        <x:v>No est. sales</x:v>
      </x:c>
    </x:row>
    <x:row r="416">
      <x:c r="A416" s="10" t="str">
        <x:v>DOWNPAYMENT SAVINGS|Down Payment Savings Trackers|Digital Tracker|Printable Tracker|Financial Tracker|Printable|PDF|Tracker|Goal Tracker</x:v>
      </x:c>
      <x:c r="B416" s="10" t="str">
        <x:v>https://www.etsy.com/listing/4311516714/downpayment-savingsdown-payment-savings</x:v>
      </x:c>
      <x:c r="C416" s="10" t="str">
        <x:v>builtbyhabit</x:v>
      </x:c>
      <x:c r="D416" s="10" t="str">
        <x:v>https://www.etsy.com/shop/builtbyhabit</x:v>
      </x:c>
      <x:c r="E416" s="11" t="n">
        <x:v>3</x:v>
      </x:c>
      <x:c r="F416" s="10" t="n">
        <x:v>0</x:v>
      </x:c>
      <x:c r="G416" s="12" t="n">
        <x:v>0</x:v>
      </x:c>
      <x:c r="H416" s="13" t="n">
        <x:v>0</x:v>
      </x:c>
      <x:c r="I416" s="10" t="n">
        <x:v>0</x:v>
      </x:c>
      <x:c r="J416" s="10" t="n">
        <x:v>0</x:v>
      </x:c>
      <x:c r="K416" s="10" t="str">
        <x:v>14 Mo.</x:v>
      </x:c>
      <x:c r="L416" s="10" t="n">
        <x:v>0</x:v>
      </x:c>
      <x:c r="M416" s="10" t="n">
        <x:v>0</x:v>
      </x:c>
      <x:c r="N416" s="10" t="n">
        <x:v>4</x:v>
      </x:c>
      <x:c r="O416" s="10" t="str"/>
      <x:c r="P416" s="10" t="n">
        <x:v>30</x:v>
      </x:c>
      <x:c r="Q416" s="10" t="n">
        <x:v>0</x:v>
      </x:c>
      <x:c r="R416" s="13" t="n">
        <x:v>0</x:v>
      </x:c>
      <x:c r="S416" s="10" t="n">
        <x:v>1</x:v>
      </x:c>
      <x:c r="T416" s="10" t="str">
        <x:v>goodnotes,financial tracker,digital track,digital planner,notability,goodnotes tracker,savings tracker,tracker insert,financial planning,printable tracker,printable,downpayment tracker,mortgage payment</x:v>
      </x:c>
      <x:c r="U416" s="10" t="str">
        <x:v>goodnotes</x:v>
      </x:c>
      <x:c r="V416" s="10" t="str">
        <x:v>financial tracker</x:v>
      </x:c>
      <x:c r="W416" s="10" t="str">
        <x:v>digital track</x:v>
      </x:c>
      <x:c r="X416" s="10" t="str">
        <x:v>digital planner</x:v>
      </x:c>
      <x:c r="Y416" s="10" t="str">
        <x:v>notability</x:v>
      </x:c>
      <x:c r="Z416" s="10" t="str">
        <x:v>goodnotes tracker</x:v>
      </x:c>
      <x:c r="AA416" s="10" t="str">
        <x:v>savings tracker</x:v>
      </x:c>
      <x:c r="AB416" s="10" t="str">
        <x:v>tracker insert</x:v>
      </x:c>
      <x:c r="AC416" s="10" t="str">
        <x:v>financial planning</x:v>
      </x:c>
      <x:c r="AD416" s="10" t="str">
        <x:v>printable tracker</x:v>
      </x:c>
      <x:c r="AE416" s="10" t="str">
        <x:v>printable</x:v>
      </x:c>
      <x:c r="AF416" s="10" t="str">
        <x:v>downpayment tracker</x:v>
      </x:c>
      <x:c r="AG416" s="10" t="str">
        <x:v>mortgage payment</x:v>
      </x:c>
      <x:c r="AH416" s="10" t="str">
        <x:v>Other mortgage-related</x:v>
      </x:c>
      <x:c r="AI416" s="13" t="n">
        <x:v>14</x:v>
      </x:c>
      <x:c r="AJ416" s="10" t="str">
        <x:f>IF(F416&gt;0,"Active","No est. sales")</x:f>
        <x:v>No est. sales</x:v>
      </x:c>
    </x:row>
    <x:row r="417">
      <x:c r="A417" s="10" t="str">
        <x:v>Google Sheets Debt Payoff Planner, Debt Snowball Spreadsheet, Credit Card Payoff Tracker, Debt Avalanche Calculator</x:v>
      </x:c>
      <x:c r="B417" s="10" t="str">
        <x:v>https://www.etsy.com/listing/4458832049/google-sheets-debt-snowball-spreadsheet</x:v>
      </x:c>
      <x:c r="C417" s="10" t="str">
        <x:v>PastelSheetsStudio</x:v>
      </x:c>
      <x:c r="D417" s="10" t="str">
        <x:v>https://www.etsy.com/shop/PastelSheetsStudio</x:v>
      </x:c>
      <x:c r="E417" s="11" t="n">
        <x:v>7.31</x:v>
      </x:c>
      <x:c r="F417" s="10" t="n">
        <x:v>0</x:v>
      </x:c>
      <x:c r="G417" s="12" t="n">
        <x:v>0</x:v>
      </x:c>
      <x:c r="H417" s="13" t="n">
        <x:v>0</x:v>
      </x:c>
      <x:c r="I417" s="10" t="n">
        <x:v>0</x:v>
      </x:c>
      <x:c r="J417" s="10" t="n">
        <x:v>0</x:v>
      </x:c>
      <x:c r="K417" s="10" t="str">
        <x:v>3 Mo.</x:v>
      </x:c>
      <x:c r="L417" s="10" t="n">
        <x:v>0</x:v>
      </x:c>
      <x:c r="M417" s="10" t="n">
        <x:v>0</x:v>
      </x:c>
      <x:c r="N417" s="10" t="n">
        <x:v>16</x:v>
      </x:c>
      <x:c r="O417" s="10" t="str"/>
      <x:c r="P417" s="10" t="n">
        <x:v>3</x:v>
      </x:c>
      <x:c r="Q417" s="10" t="n">
        <x:v>0</x:v>
      </x:c>
      <x:c r="R417" s="13" t="n">
        <x:v>0</x:v>
      </x:c>
      <x:c r="S417" s="10" t="n">
        <x:v>1</x:v>
      </x:c>
      <x:c r="T417" s="10" t="str">
        <x:v>credit card payoff,debt snowball,credit utilization,debt google sheets,debt spreadsheet,snowball calculator,debt avalanche,mortgage payoff,debt calculator,student loan tracker,loan payoff tracker,debt payment tracker,debt payoff planner</x:v>
      </x:c>
      <x:c r="U417" s="10" t="str">
        <x:v>credit card payoff</x:v>
      </x:c>
      <x:c r="V417" s="10" t="str">
        <x:v>debt snowball</x:v>
      </x:c>
      <x:c r="W417" s="10" t="str">
        <x:v>credit utilization</x:v>
      </x:c>
      <x:c r="X417" s="10" t="str">
        <x:v>debt google sheets</x:v>
      </x:c>
      <x:c r="Y417" s="10" t="str">
        <x:v>debt spreadsheet</x:v>
      </x:c>
      <x:c r="Z417" s="10" t="str">
        <x:v>snowball calculator</x:v>
      </x:c>
      <x:c r="AA417" s="10" t="str">
        <x:v>debt avalanche</x:v>
      </x:c>
      <x:c r="AB417" s="10" t="str">
        <x:v>mortgage payoff</x:v>
      </x:c>
      <x:c r="AC417" s="10" t="str">
        <x:v>debt calculator</x:v>
      </x:c>
      <x:c r="AD417" s="10" t="str">
        <x:v>student loan tracker</x:v>
      </x:c>
      <x:c r="AE417" s="10" t="str">
        <x:v>loan payoff tracker</x:v>
      </x:c>
      <x:c r="AF417" s="10" t="str">
        <x:v>debt payment tracker</x:v>
      </x:c>
      <x:c r="AG417" s="10" t="str">
        <x:v>debt payoff planner</x:v>
      </x:c>
      <x:c r="AH417" s="10" t="str">
        <x:v>General debt payoff</x:v>
      </x:c>
      <x:c r="AI417" s="13" t="n">
        <x:v>3</x:v>
      </x:c>
      <x:c r="AJ417" s="10" t="str">
        <x:f>IF(F417&gt;0,"Active","No est. sales")</x:f>
        <x:v>No est. sales</x:v>
      </x:c>
    </x:row>
    <x:row r="418">
      <x:c r="A418" s="10" t="str">
        <x:v>UK Property Interactive Mortgage Broker Comparison Tool | Instant Interactive Digital Download</x:v>
      </x:c>
      <x:c r="B418" s="10" t="str">
        <x:v>https://www.etsy.com/listing/4303819082/uk-property-interactive-mortgage-broker</x:v>
      </x:c>
      <x:c r="C418" s="10" t="str">
        <x:v>LodgePadVault</x:v>
      </x:c>
      <x:c r="D418" s="10" t="str">
        <x:v>https://www.etsy.com/shop/LodgePadVault</x:v>
      </x:c>
      <x:c r="E418" s="11" t="n">
        <x:v>4.69</x:v>
      </x:c>
      <x:c r="F418" s="10" t="n">
        <x:v>0</x:v>
      </x:c>
      <x:c r="G418" s="12" t="n">
        <x:v>0</x:v>
      </x:c>
      <x:c r="H418" s="13" t="n">
        <x:v>0</x:v>
      </x:c>
      <x:c r="I418" s="10" t="n">
        <x:v>0</x:v>
      </x:c>
      <x:c r="J418" s="10" t="n">
        <x:v>0</x:v>
      </x:c>
      <x:c r="K418" s="10" t="str">
        <x:v>8 Mo.</x:v>
      </x:c>
      <x:c r="L418" s="10" t="n">
        <x:v>0</x:v>
      </x:c>
      <x:c r="M418" s="10" t="n">
        <x:v>0</x:v>
      </x:c>
      <x:c r="N418" s="10" t="n">
        <x:v>6</x:v>
      </x:c>
      <x:c r="O418" s="10" t="str">
        <x:v>Paper &amp; Party Supplies</x:v>
      </x:c>
      <x:c r="P418" s="10" t="n">
        <x:v>25</x:v>
      </x:c>
      <x:c r="Q418" s="10" t="n">
        <x:v>0</x:v>
      </x:c>
      <x:c r="R418" s="13" t="n">
        <x:v>0</x:v>
      </x:c>
      <x:c r="S418" s="10" t="n">
        <x:v>2</x:v>
      </x:c>
      <x:c r="T418" s="10" t="str">
        <x:v>property invest tool,conveyance checklist,property buy guide,property sell guide,uk property toolkit,interactive toolkit,property planner,house purchase help,uk property resource,interactive list,property transaction,digital download,mortgage checklist</x:v>
      </x:c>
      <x:c r="U418" s="10" t="str">
        <x:v>property invest tool</x:v>
      </x:c>
      <x:c r="V418" s="10" t="str">
        <x:v>conveyance checklist</x:v>
      </x:c>
      <x:c r="W418" s="10" t="str">
        <x:v>property buy guide</x:v>
      </x:c>
      <x:c r="X418" s="10" t="str">
        <x:v>property sell guide</x:v>
      </x:c>
      <x:c r="Y418" s="10" t="str">
        <x:v>uk property toolkit</x:v>
      </x:c>
      <x:c r="Z418" s="10" t="str">
        <x:v>interactive toolkit</x:v>
      </x:c>
      <x:c r="AA418" s="10" t="str">
        <x:v>property planner</x:v>
      </x:c>
      <x:c r="AB418" s="10" t="str">
        <x:v>house purchase help</x:v>
      </x:c>
      <x:c r="AC418" s="10" t="str">
        <x:v>uk property resource</x:v>
      </x:c>
      <x:c r="AD418" s="10" t="str">
        <x:v>interactive list</x:v>
      </x:c>
      <x:c r="AE418" s="10" t="str">
        <x:v>property transaction</x:v>
      </x:c>
      <x:c r="AF418" s="10" t="str">
        <x:v>digital download</x:v>
      </x:c>
      <x:c r="AG418" s="10" t="str">
        <x:v>mortgage checklist</x:v>
      </x:c>
      <x:c r="AH418" s="10" t="str">
        <x:v>Loan officer / B2B</x:v>
      </x:c>
      <x:c r="AI418" s="13" t="n">
        <x:v>8</x:v>
      </x:c>
      <x:c r="AJ418" s="10" t="str">
        <x:f>IF(F418&gt;0,"Active","No est. sales")</x:f>
        <x:v>No est. sales</x:v>
      </x:c>
    </x:row>
    <x:row r="419">
      <x:c r="A419" s="10" t="str">
        <x:v>First Home Buyer Planner | Savings Calculator (Digital Download)</x:v>
      </x:c>
      <x:c r="B419" s="10" t="str">
        <x:v>https://www.etsy.com/listing/4530560764/first-home-buyer-planner-savings</x:v>
      </x:c>
      <x:c r="C419" s="10" t="str">
        <x:v>AntypasDigital</x:v>
      </x:c>
      <x:c r="D419" s="10" t="str">
        <x:v>https://www.etsy.com/shop/AntypasDigital</x:v>
      </x:c>
      <x:c r="E419" s="11" t="n">
        <x:v>1</x:v>
      </x:c>
      <x:c r="F419" s="10" t="n">
        <x:v>0</x:v>
      </x:c>
      <x:c r="G419" s="12" t="n">
        <x:v>0</x:v>
      </x:c>
      <x:c r="H419" s="13" t="n">
        <x:v>0</x:v>
      </x:c>
      <x:c r="I419" s="10" t="n">
        <x:v>0</x:v>
      </x:c>
      <x:c r="J419" s="10" t="n">
        <x:v>0</x:v>
      </x:c>
      <x:c r="K419" s="10" t="str">
        <x:v>1 Mo.</x:v>
      </x:c>
      <x:c r="L419" s="10" t="n">
        <x:v>0</x:v>
      </x:c>
      <x:c r="M419" s="10" t="n">
        <x:v>0</x:v>
      </x:c>
      <x:c r="N419" s="10" t="n">
        <x:v>0</x:v>
      </x:c>
      <x:c r="O419" s="10" t="str"/>
      <x:c r="P419" s="10" t="n">
        <x:v>1</x:v>
      </x:c>
      <x:c r="Q419" s="10" t="n">
        <x:v>0</x:v>
      </x:c>
      <x:c r="R419" s="13" t="n">
        <x:v>0</x:v>
      </x:c>
      <x:c r="S419" s="10" t="n">
        <x:v>35</x:v>
      </x:c>
      <x:c r="T419" s="10" t="str">
        <x:v>first home buyer,home buyer planner,down payment,closing costs,home savings,house savings,home buying,first time buyer,mortgage savings,saving for house,home buyer sheet,google sheets,instant download</x:v>
      </x:c>
      <x:c r="U419" s="10" t="str">
        <x:v>first home buyer</x:v>
      </x:c>
      <x:c r="V419" s="10" t="str">
        <x:v>home buyer planner</x:v>
      </x:c>
      <x:c r="W419" s="10" t="str">
        <x:v>down payment</x:v>
      </x:c>
      <x:c r="X419" s="10" t="str">
        <x:v>closing costs</x:v>
      </x:c>
      <x:c r="Y419" s="10" t="str">
        <x:v>home savings</x:v>
      </x:c>
      <x:c r="Z419" s="10" t="str">
        <x:v>house savings</x:v>
      </x:c>
      <x:c r="AA419" s="10" t="str">
        <x:v>home buying</x:v>
      </x:c>
      <x:c r="AB419" s="10" t="str">
        <x:v>first time buyer</x:v>
      </x:c>
      <x:c r="AC419" s="10" t="str">
        <x:v>mortgage savings</x:v>
      </x:c>
      <x:c r="AD419" s="10" t="str">
        <x:v>saving for house</x:v>
      </x:c>
      <x:c r="AE419" s="10" t="str">
        <x:v>home buyer sheet</x:v>
      </x:c>
      <x:c r="AF419" s="10" t="str">
        <x:v>google sheets</x:v>
      </x:c>
      <x:c r="AG419" s="10" t="str">
        <x:v>instant download</x:v>
      </x:c>
      <x:c r="AH419" s="10" t="str">
        <x:v>Home buying planner</x:v>
      </x:c>
      <x:c r="AI419" s="13" t="n">
        <x:v>1</x:v>
      </x:c>
      <x:c r="AJ419" s="10" t="str">
        <x:f>IF(F419&gt;0,"Active","No est. sales")</x:f>
        <x:v>No est. sales</x:v>
      </x:c>
    </x:row>
    <x:row r="420">
      <x:c r="A420" s="10" t="str">
        <x:v>Mortgage Bill Planner Stickers, Rent Planner Stickers, Bill Due Planner Stickers, Payment Reminder Stickers, Stickers for Calendars</x:v>
      </x:c>
      <x:c r="B420" s="10" t="str">
        <x:v>https://www.etsy.com/listing/1262307591/mortgage-bill-planner-stickers-rent</x:v>
      </x:c>
      <x:c r="C420" s="10" t="str">
        <x:v>JPsDesignCo</x:v>
      </x:c>
      <x:c r="D420" s="10" t="str">
        <x:v>https://www.etsy.com/shop/JPsDesignCo</x:v>
      </x:c>
      <x:c r="E420" s="11" t="n">
        <x:v>3.99</x:v>
      </x:c>
      <x:c r="F420" s="10" t="n">
        <x:v>0</x:v>
      </x:c>
      <x:c r="G420" s="12" t="n">
        <x:v>0</x:v>
      </x:c>
      <x:c r="H420" s="13" t="n">
        <x:v>0</x:v>
      </x:c>
      <x:c r="I420" s="10" t="n">
        <x:v>0</x:v>
      </x:c>
      <x:c r="J420" s="10" t="n">
        <x:v>0</x:v>
      </x:c>
      <x:c r="K420" s="10" t="str">
        <x:v>28 Mo.</x:v>
      </x:c>
      <x:c r="L420" s="10" t="n">
        <x:v>2</x:v>
      </x:c>
      <x:c r="M420" s="10" t="n">
        <x:v>0</x:v>
      </x:c>
      <x:c r="N420" s="10" t="n">
        <x:v>17</x:v>
      </x:c>
      <x:c r="O420" s="10" t="str">
        <x:v>Paper &amp; Party Supplies</x:v>
      </x:c>
      <x:c r="P420" s="10" t="n">
        <x:v>35</x:v>
      </x:c>
      <x:c r="Q420" s="10" t="n">
        <x:v>0</x:v>
      </x:c>
      <x:c r="R420" s="13" t="n">
        <x:v>0</x:v>
      </x:c>
      <x:c r="S420" s="10" t="n">
        <x:v>417</x:v>
      </x:c>
      <x:c r="T420" s="10" t="str">
        <x:v>sticker,stickers,planner,planner sticker,calendar,calendar stickers,calendar sticker,bullet journal,journal stickers,organization,labels,mortgage payment,planner stickers</x:v>
      </x:c>
      <x:c r="U420" s="10" t="str">
        <x:v>sticker</x:v>
      </x:c>
      <x:c r="V420" s="10" t="str">
        <x:v>stickers</x:v>
      </x:c>
      <x:c r="W420" s="10" t="str">
        <x:v>planner</x:v>
      </x:c>
      <x:c r="X420" s="10" t="str">
        <x:v>planner sticker</x:v>
      </x:c>
      <x:c r="Y420" s="10" t="str">
        <x:v>calendar</x:v>
      </x:c>
      <x:c r="Z420" s="10" t="str">
        <x:v>calendar stickers</x:v>
      </x:c>
      <x:c r="AA420" s="10" t="str">
        <x:v>calendar sticker</x:v>
      </x:c>
      <x:c r="AB420" s="10" t="str">
        <x:v>bullet journal</x:v>
      </x:c>
      <x:c r="AC420" s="10" t="str">
        <x:v>journal stickers</x:v>
      </x:c>
      <x:c r="AD420" s="10" t="str">
        <x:v>organization</x:v>
      </x:c>
      <x:c r="AE420" s="10" t="str">
        <x:v>labels</x:v>
      </x:c>
      <x:c r="AF420" s="10" t="str">
        <x:v>mortgage payment</x:v>
      </x:c>
      <x:c r="AG420" s="10" t="str">
        <x:v>planner stickers</x:v>
      </x:c>
      <x:c r="AH420" s="10" t="str">
        <x:v>Other mortgage-related</x:v>
      </x:c>
      <x:c r="AI420" s="13" t="n">
        <x:v>28</x:v>
      </x:c>
      <x:c r="AJ420" s="10" t="str">
        <x:f>IF(F420&gt;0,"Active","No est. sales")</x:f>
        <x:v>No est. sales</x:v>
      </x:c>
    </x:row>
    <x:row r="421">
      <x:c r="A421" s="10" t="str">
        <x:v>Digital Debt Payoff Planner: Snowball &amp; Avalanche Excel Template (Download)</x:v>
      </x:c>
      <x:c r="B421" s="10" t="str">
        <x:v>https://www.etsy.com/listing/4371446600/digital-debt-payoff-planner-snowball</x:v>
      </x:c>
      <x:c r="C421" s="10" t="str">
        <x:v>SimpleGrid</x:v>
      </x:c>
      <x:c r="D421" s="10" t="str">
        <x:v>https://www.etsy.com/shop/SimpleGrid</x:v>
      </x:c>
      <x:c r="E421" s="11" t="n">
        <x:v>7.22</x:v>
      </x:c>
      <x:c r="F421" s="10" t="n">
        <x:v>0</x:v>
      </x:c>
      <x:c r="G421" s="12" t="n">
        <x:v>0</x:v>
      </x:c>
      <x:c r="H421" s="13" t="n">
        <x:v>0</x:v>
      </x:c>
      <x:c r="I421" s="10" t="n">
        <x:v>0</x:v>
      </x:c>
      <x:c r="J421" s="10" t="n">
        <x:v>0</x:v>
      </x:c>
      <x:c r="K421" s="10" t="str">
        <x:v>3 Mo.</x:v>
      </x:c>
      <x:c r="L421" s="10" t="n">
        <x:v>0</x:v>
      </x:c>
      <x:c r="M421" s="10" t="n">
        <x:v>0</x:v>
      </x:c>
      <x:c r="N421" s="10" t="n">
        <x:v>26</x:v>
      </x:c>
      <x:c r="O421" s="10" t="str"/>
      <x:c r="P421" s="10" t="n">
        <x:v>8</x:v>
      </x:c>
      <x:c r="Q421" s="10" t="n">
        <x:v>0</x:v>
      </x:c>
      <x:c r="R421" s="13" t="n">
        <x:v>0</x:v>
      </x:c>
      <x:c r="S421" s="10" t="n">
        <x:v>13</x:v>
      </x:c>
      <x:c r="T421" s="10" t="str">
        <x:v>debt payoff planner,debt tracker excel,debt snowball sheet,debt avalanche calc,loan payoff tracker,credit card tracker,debt spreadsheet xls,financial freedom,debt payoff calc,excel template,student loan tracker,mortgage payoff,personal finance</x:v>
      </x:c>
      <x:c r="U421" s="10" t="str">
        <x:v>debt payoff planner</x:v>
      </x:c>
      <x:c r="V421" s="10" t="str">
        <x:v>debt tracker excel</x:v>
      </x:c>
      <x:c r="W421" s="10" t="str">
        <x:v>debt snowball sheet</x:v>
      </x:c>
      <x:c r="X421" s="10" t="str">
        <x:v>debt avalanche calc</x:v>
      </x:c>
      <x:c r="Y421" s="10" t="str">
        <x:v>loan payoff tracker</x:v>
      </x:c>
      <x:c r="Z421" s="10" t="str">
        <x:v>credit card tracker</x:v>
      </x:c>
      <x:c r="AA421" s="10" t="str">
        <x:v>debt spreadsheet xls</x:v>
      </x:c>
      <x:c r="AB421" s="10" t="str">
        <x:v>financial freedom</x:v>
      </x:c>
      <x:c r="AC421" s="10" t="str">
        <x:v>debt payoff calc</x:v>
      </x:c>
      <x:c r="AD421" s="10" t="str">
        <x:v>excel template</x:v>
      </x:c>
      <x:c r="AE421" s="10" t="str">
        <x:v>student loan tracker</x:v>
      </x:c>
      <x:c r="AF421" s="10" t="str">
        <x:v>mortgage payoff</x:v>
      </x:c>
      <x:c r="AG421" s="10" t="str">
        <x:v>personal finance</x:v>
      </x:c>
      <x:c r="AH421" s="10" t="str">
        <x:v>General debt payoff</x:v>
      </x:c>
      <x:c r="AI421" s="13" t="n">
        <x:v>3</x:v>
      </x:c>
      <x:c r="AJ421" s="10" t="str">
        <x:f>IF(F421&gt;0,"Active","No est. sales")</x:f>
        <x:v>No est. sales</x:v>
      </x:c>
    </x:row>
    <x:row r="422">
      <x:c r="A422" s="10" t="str">
        <x:v>Debt Payoff Planner Bundle: Snowball, Avalanche, Mortgage Calculators (Digital Download)</x:v>
      </x:c>
      <x:c r="B422" s="10" t="str">
        <x:v>https://www.etsy.com/listing/4515355269/debt-starter-bundle-debt-payoff-planner</x:v>
      </x:c>
      <x:c r="C422" s="10" t="str">
        <x:v>QuietUtilityCo</x:v>
      </x:c>
      <x:c r="D422" s="10" t="str">
        <x:v>https://www.etsy.com/shop/QuietUtilityCo</x:v>
      </x:c>
      <x:c r="E422" s="11" t="n">
        <x:v>49.99</x:v>
      </x:c>
      <x:c r="F422" s="10" t="n">
        <x:v>0</x:v>
      </x:c>
      <x:c r="G422" s="12" t="n">
        <x:v>0</x:v>
      </x:c>
      <x:c r="H422" s="13" t="n">
        <x:v>0</x:v>
      </x:c>
      <x:c r="I422" s="10" t="n">
        <x:v>0</x:v>
      </x:c>
      <x:c r="J422" s="10" t="n">
        <x:v>0</x:v>
      </x:c>
      <x:c r="K422" s="10" t="str">
        <x:v>1 Mo.</x:v>
      </x:c>
      <x:c r="L422" s="10" t="n">
        <x:v>0</x:v>
      </x:c>
      <x:c r="M422" s="10" t="n">
        <x:v>0</x:v>
      </x:c>
      <x:c r="N422" s="10" t="n">
        <x:v>1</x:v>
      </x:c>
      <x:c r="O422" s="10" t="str"/>
      <x:c r="P422" s="10" t="n">
        <x:v>2</x:v>
      </x:c>
      <x:c r="Q422" s="10" t="n">
        <x:v>0</x:v>
      </x:c>
      <x:c r="R422" s="13" t="n">
        <x:v>0</x:v>
      </x:c>
      <x:c r="S422" s="10" t="n">
        <x:v>0</x:v>
      </x:c>
      <x:c r="T422" s="10" t="str">
        <x:v>finance bundle,money planner,savings tracker,debt tracker,finance tracker,google sheets,financial plan,money manager,debt payoff,debt planner,debt free,debt payoff plan,debt reduction</x:v>
      </x:c>
      <x:c r="U422" s="10" t="str">
        <x:v>finance bundle</x:v>
      </x:c>
      <x:c r="V422" s="10" t="str">
        <x:v>money planner</x:v>
      </x:c>
      <x:c r="W422" s="10" t="str">
        <x:v>savings tracker</x:v>
      </x:c>
      <x:c r="X422" s="10" t="str">
        <x:v>debt tracker</x:v>
      </x:c>
      <x:c r="Y422" s="10" t="str">
        <x:v>finance tracker</x:v>
      </x:c>
      <x:c r="Z422" s="10" t="str">
        <x:v>google sheets</x:v>
      </x:c>
      <x:c r="AA422" s="10" t="str">
        <x:v>financial plan</x:v>
      </x:c>
      <x:c r="AB422" s="10" t="str">
        <x:v>money manager</x:v>
      </x:c>
      <x:c r="AC422" s="10" t="str">
        <x:v>debt payoff</x:v>
      </x:c>
      <x:c r="AD422" s="10" t="str">
        <x:v>debt planner</x:v>
      </x:c>
      <x:c r="AE422" s="10" t="str">
        <x:v>debt free</x:v>
      </x:c>
      <x:c r="AF422" s="10" t="str">
        <x:v>debt payoff plan</x:v>
      </x:c>
      <x:c r="AG422" s="10" t="str">
        <x:v>debt reduction</x:v>
      </x:c>
      <x:c r="AH422" s="10" t="str">
        <x:v>General debt payoff</x:v>
      </x:c>
      <x:c r="AI422" s="13" t="n">
        <x:v>1</x:v>
      </x:c>
      <x:c r="AJ422" s="10" t="str">
        <x:f>IF(F422&gt;0,"Active","No est. sales")</x:f>
        <x:v>No est. sales</x:v>
      </x:c>
    </x:row>
    <x:row r="423">
      <x:c r="A423" s="10" t="str">
        <x:v>Loan Amortization Calculator: Google Sheets &amp; Excel Template (Digital Download)</x:v>
      </x:c>
      <x:c r="B423" s="10" t="str">
        <x:v>https://www.etsy.com/listing/4332369295/loan-amortization-calculator-google</x:v>
      </x:c>
      <x:c r="C423" s="10" t="str">
        <x:v>INSPIRACORE</x:v>
      </x:c>
      <x:c r="D423" s="10" t="str">
        <x:v>https://www.etsy.com/shop/INSPIRACORE</x:v>
      </x:c>
      <x:c r="E423" s="11" t="n">
        <x:v>11.77</x:v>
      </x:c>
      <x:c r="F423" s="10" t="n">
        <x:v>0</x:v>
      </x:c>
      <x:c r="G423" s="12" t="n">
        <x:v>0</x:v>
      </x:c>
      <x:c r="H423" s="13" t="n">
        <x:v>0</x:v>
      </x:c>
      <x:c r="I423" s="10" t="n">
        <x:v>0</x:v>
      </x:c>
      <x:c r="J423" s="10" t="n">
        <x:v>0</x:v>
      </x:c>
      <x:c r="K423" s="10" t="str">
        <x:v>5 Mo.</x:v>
      </x:c>
      <x:c r="L423" s="10" t="n">
        <x:v>1</x:v>
      </x:c>
      <x:c r="M423" s="10" t="n">
        <x:v>0</x:v>
      </x:c>
      <x:c r="N423" s="10" t="n">
        <x:v>48</x:v>
      </x:c>
      <x:c r="O423" s="10" t="str"/>
      <x:c r="P423" s="10" t="n">
        <x:v>17</x:v>
      </x:c>
      <x:c r="Q423" s="10" t="n">
        <x:v>0</x:v>
      </x:c>
      <x:c r="R423" s="13" t="n">
        <x:v>0</x:v>
      </x:c>
      <x:c r="S423" s="10" t="n">
        <x:v>198</x:v>
      </x:c>
      <x:c r="T423" s="10" t="str">
        <x:v>mortgage calculator,debt payoff planner,student loan tracker,google sheets loan,loan repayment tool,loan sheet tracker,loan tracker file,excel loan calc,interest chart,finance sheet,debt tracker,xls amortization,debt plan sheet</x:v>
      </x:c>
      <x:c r="U423" s="10" t="str">
        <x:v>mortgage calculator</x:v>
      </x:c>
      <x:c r="V423" s="10" t="str">
        <x:v>debt payoff planner</x:v>
      </x:c>
      <x:c r="W423" s="10" t="str">
        <x:v>student loan tracker</x:v>
      </x:c>
      <x:c r="X423" s="10" t="str">
        <x:v>google sheets loan</x:v>
      </x:c>
      <x:c r="Y423" s="10" t="str">
        <x:v>loan repayment tool</x:v>
      </x:c>
      <x:c r="Z423" s="10" t="str">
        <x:v>loan sheet tracker</x:v>
      </x:c>
      <x:c r="AA423" s="10" t="str">
        <x:v>loan tracker file</x:v>
      </x:c>
      <x:c r="AB423" s="10" t="str">
        <x:v>excel loan calc</x:v>
      </x:c>
      <x:c r="AC423" s="10" t="str">
        <x:v>interest chart</x:v>
      </x:c>
      <x:c r="AD423" s="10" t="str">
        <x:v>finance sheet</x:v>
      </x:c>
      <x:c r="AE423" s="10" t="str">
        <x:v>debt tracker</x:v>
      </x:c>
      <x:c r="AF423" s="10" t="str">
        <x:v>xls amortization</x:v>
      </x:c>
      <x:c r="AG423" s="10" t="str">
        <x:v>debt plan sheet</x:v>
      </x:c>
      <x:c r="AH423" s="10" t="str">
        <x:v>General loan calculator</x:v>
      </x:c>
      <x:c r="AI423" s="13" t="n">
        <x:v>5</x:v>
      </x:c>
      <x:c r="AJ423" s="10" t="str">
        <x:f>IF(F423&gt;0,"Active","No est. sales")</x:f>
        <x:v>No est. sales</x:v>
      </x:c>
    </x:row>
    <x:row r="424">
      <x:c r="A424" s="10" t="str">
        <x:v>Rent Mortgage Bill Due Planner Stickers, Bill Tracker, Bills, Debt, Quarter Box Planning, Erin Condren Life Planner, EC, Happy, Plum Paper</x:v>
      </x:c>
      <x:c r="B424" s="10" t="str">
        <x:v>https://www.etsy.com/listing/1211556838/rent-mortgage-bill-due-planner-stickers</x:v>
      </x:c>
      <x:c r="C424" s="10" t="str">
        <x:v>PlannerCrazeStudio</x:v>
      </x:c>
      <x:c r="D424" s="10" t="str">
        <x:v>https://www.etsy.com/shop/PlannerCrazeStudio</x:v>
      </x:c>
      <x:c r="E424" s="11" t="n">
        <x:v>5.5</x:v>
      </x:c>
      <x:c r="F424" s="10" t="n">
        <x:v>0</x:v>
      </x:c>
      <x:c r="G424" s="12" t="n">
        <x:v>0</x:v>
      </x:c>
      <x:c r="H424" s="13" t="n">
        <x:v>0</x:v>
      </x:c>
      <x:c r="I424" s="10" t="n">
        <x:v>0</x:v>
      </x:c>
      <x:c r="J424" s="10" t="n">
        <x:v>0</x:v>
      </x:c>
      <x:c r="K424" s="10" t="str">
        <x:v>47 Mo.</x:v>
      </x:c>
      <x:c r="L424" s="10" t="n">
        <x:v>25</x:v>
      </x:c>
      <x:c r="M424" s="10" t="n">
        <x:v>0</x:v>
      </x:c>
      <x:c r="N424" s="10" t="n">
        <x:v>103</x:v>
      </x:c>
      <x:c r="O424" s="10" t="str">
        <x:v>Paper &amp; Party Supplies</x:v>
      </x:c>
      <x:c r="P424" s="10" t="n">
        <x:v>50</x:v>
      </x:c>
      <x:c r="Q424" s="10" t="n">
        <x:v>0</x:v>
      </x:c>
      <x:c r="R424" s="13" t="n">
        <x:v>0</x:v>
      </x:c>
      <x:c r="S424" s="10" t="n">
        <x:v>15856</x:v>
      </x:c>
      <x:c r="T424" s="10" t="str">
        <x:v>planner stickers,happy planner,erin condren,functional stickers,matte stickers,erin condren sticker,budget stickers,bill due stickers,quarter box stickers,bill tracker,debt tracker,planning stickers,ec stickers</x:v>
      </x:c>
      <x:c r="U424" s="10" t="str">
        <x:v>planner stickers</x:v>
      </x:c>
      <x:c r="V424" s="10" t="str">
        <x:v>happy planner</x:v>
      </x:c>
      <x:c r="W424" s="10" t="str">
        <x:v>erin condren</x:v>
      </x:c>
      <x:c r="X424" s="10" t="str">
        <x:v>functional stickers</x:v>
      </x:c>
      <x:c r="Y424" s="10" t="str">
        <x:v>matte stickers</x:v>
      </x:c>
      <x:c r="Z424" s="10" t="str">
        <x:v>erin condren sticker</x:v>
      </x:c>
      <x:c r="AA424" s="10" t="str">
        <x:v>budget stickers</x:v>
      </x:c>
      <x:c r="AB424" s="10" t="str">
        <x:v>bill due stickers</x:v>
      </x:c>
      <x:c r="AC424" s="10" t="str">
        <x:v>quarter box stickers</x:v>
      </x:c>
      <x:c r="AD424" s="10" t="str">
        <x:v>bill tracker</x:v>
      </x:c>
      <x:c r="AE424" s="10" t="str">
        <x:v>debt tracker</x:v>
      </x:c>
      <x:c r="AF424" s="10" t="str">
        <x:v>planning stickers</x:v>
      </x:c>
      <x:c r="AG424" s="10" t="str">
        <x:v>ec stickers</x:v>
      </x:c>
      <x:c r="AH424" s="10" t="str">
        <x:v>Other mortgage-related</x:v>
      </x:c>
      <x:c r="AI424" s="13" t="n">
        <x:v>47</x:v>
      </x:c>
      <x:c r="AJ424" s="10" t="str">
        <x:f>IF(F424&gt;0,"Active","No est. sales")</x:f>
        <x:v>No est. sales</x:v>
      </x:c>
    </x:row>
    <x:row r="425">
      <x:c r="A425" s="10" t="str">
        <x:v>Monthly budget tracker printable, Finance planner, Budget tracker, Spending log, Monthly budget, PDF digital monthly budget tracker</x:v>
      </x:c>
      <x:c r="B425" s="10" t="str">
        <x:v>https://www.etsy.com/listing/1662093687/monthly-budget-tracker-printable-finance</x:v>
      </x:c>
      <x:c r="C425" s="10" t="str">
        <x:v>RaeDigitalCreations</x:v>
      </x:c>
      <x:c r="D425" s="10" t="str">
        <x:v>https://www.etsy.com/shop/RaeDigitalCreations</x:v>
      </x:c>
      <x:c r="E425" s="11" t="n">
        <x:v>3</x:v>
      </x:c>
      <x:c r="F425" s="10" t="n">
        <x:v>0</x:v>
      </x:c>
      <x:c r="G425" s="12" t="n">
        <x:v>0</x:v>
      </x:c>
      <x:c r="H425" s="13" t="n">
        <x:v>0</x:v>
      </x:c>
      <x:c r="I425" s="10" t="n">
        <x:v>0</x:v>
      </x:c>
      <x:c r="J425" s="10" t="n">
        <x:v>0</x:v>
      </x:c>
      <x:c r="K425" s="10" t="str">
        <x:v>30 Mo.</x:v>
      </x:c>
      <x:c r="L425" s="10" t="n">
        <x:v>0</x:v>
      </x:c>
      <x:c r="M425" s="10" t="n">
        <x:v>0</x:v>
      </x:c>
      <x:c r="N425" s="10" t="n">
        <x:v>13</x:v>
      </x:c>
      <x:c r="O425" s="10" t="str"/>
      <x:c r="P425" s="10" t="n">
        <x:v>33</x:v>
      </x:c>
      <x:c r="Q425" s="10" t="n">
        <x:v>0</x:v>
      </x:c>
      <x:c r="R425" s="13" t="n">
        <x:v>0</x:v>
      </x:c>
      <x:c r="S425" s="10" t="n">
        <x:v>343</x:v>
      </x:c>
      <x:c r="T425" s="10" t="str">
        <x:v>paycheck budget,saving tracker,cash tracker,monthly budget,student loan tracker,finance tracker,debt tracker,mortgage tracker,budget planner,money planner,monthly expenses log,expense tracker,purchase log</x:v>
      </x:c>
      <x:c r="U425" s="10" t="str">
        <x:v>paycheck budget</x:v>
      </x:c>
      <x:c r="V425" s="10" t="str">
        <x:v>saving tracker</x:v>
      </x:c>
      <x:c r="W425" s="10" t="str">
        <x:v>cash tracker</x:v>
      </x:c>
      <x:c r="X425" s="10" t="str">
        <x:v>monthly budget</x:v>
      </x:c>
      <x:c r="Y425" s="10" t="str">
        <x:v>student loan tracker</x:v>
      </x:c>
      <x:c r="Z425" s="10" t="str">
        <x:v>finance tracker</x:v>
      </x:c>
      <x:c r="AA425" s="10" t="str">
        <x:v>debt tracker</x:v>
      </x:c>
      <x:c r="AB425" s="10" t="str">
        <x:v>mortgage tracker</x:v>
      </x:c>
      <x:c r="AC425" s="10" t="str">
        <x:v>budget planner</x:v>
      </x:c>
      <x:c r="AD425" s="10" t="str">
        <x:v>money planner</x:v>
      </x:c>
      <x:c r="AE425" s="10" t="str">
        <x:v>monthly expenses log</x:v>
      </x:c>
      <x:c r="AF425" s="10" t="str">
        <x:v>expense tracker</x:v>
      </x:c>
      <x:c r="AG425" s="10" t="str">
        <x:v>purchase log</x:v>
      </x:c>
      <x:c r="AH425" s="10" t="str">
        <x:v>Other mortgage-related</x:v>
      </x:c>
      <x:c r="AI425" s="13" t="n">
        <x:v>30</x:v>
      </x:c>
      <x:c r="AJ425" s="10" t="str">
        <x:f>IF(F425&gt;0,"Active","No est. sales")</x:f>
        <x:v>No est. sales</x:v>
      </x:c>
    </x:row>
    <x:row r="426">
      <x:c r="A426" s="10" t="str">
        <x:v>Mortgage Broker Template, Canva Lead Magnet, Improve Your Credit Score Repair Guide, Personal Finance Loan Office Business, Lead Magnet</x:v>
      </x:c>
      <x:c r="B426" s="10" t="str">
        <x:v>https://www.etsy.com/listing/1664749776/mortgage-broker-template-canva-lead</x:v>
      </x:c>
      <x:c r="C426" s="10" t="str">
        <x:v>ShellyLovesTemplates</x:v>
      </x:c>
      <x:c r="D426" s="10" t="str">
        <x:v>https://www.etsy.com/shop/ShellyLovesTemplates</x:v>
      </x:c>
      <x:c r="E426" s="11" t="n">
        <x:v>9.29</x:v>
      </x:c>
      <x:c r="F426" s="10" t="n">
        <x:v>0</x:v>
      </x:c>
      <x:c r="G426" s="12" t="n">
        <x:v>0</x:v>
      </x:c>
      <x:c r="H426" s="13" t="n">
        <x:v>0</x:v>
      </x:c>
      <x:c r="I426" s="10" t="n">
        <x:v>0</x:v>
      </x:c>
      <x:c r="J426" s="10" t="n">
        <x:v>0</x:v>
      </x:c>
      <x:c r="K426" s="10" t="str">
        <x:v>14 Mo.</x:v>
      </x:c>
      <x:c r="L426" s="10" t="n">
        <x:v>2</x:v>
      </x:c>
      <x:c r="M426" s="10" t="n">
        <x:v>0</x:v>
      </x:c>
      <x:c r="N426" s="10" t="n">
        <x:v>88</x:v>
      </x:c>
      <x:c r="O426" s="10" t="str">
        <x:v>Paper &amp; Party Supplies</x:v>
      </x:c>
      <x:c r="P426" s="10" t="n">
        <x:v>34</x:v>
      </x:c>
      <x:c r="Q426" s="10" t="n">
        <x:v>0</x:v>
      </x:c>
      <x:c r="R426" s="13" t="n">
        <x:v>0</x:v>
      </x:c>
      <x:c r="S426" s="10" t="n">
        <x:v>1048</x:v>
      </x:c>
      <x:c r="T426" s="10" t="str">
        <x:v>mortgage marketing,mortgage templates,mortgage tips,mortgage flyer,instagram template,mortgage guide,broker social media,credit score tracker,raise credit score,credit repair kit,mortgage broker,mortgate lead magnet,credit score planner</x:v>
      </x:c>
      <x:c r="U426" s="10" t="str">
        <x:v>mortgage marketing</x:v>
      </x:c>
      <x:c r="V426" s="10" t="str">
        <x:v>mortgage templates</x:v>
      </x:c>
      <x:c r="W426" s="10" t="str">
        <x:v>mortgage tips</x:v>
      </x:c>
      <x:c r="X426" s="10" t="str">
        <x:v>mortgage flyer</x:v>
      </x:c>
      <x:c r="Y426" s="10" t="str">
        <x:v>instagram template</x:v>
      </x:c>
      <x:c r="Z426" s="10" t="str">
        <x:v>mortgage guide</x:v>
      </x:c>
      <x:c r="AA426" s="10" t="str">
        <x:v>broker social media</x:v>
      </x:c>
      <x:c r="AB426" s="10" t="str">
        <x:v>credit score tracker</x:v>
      </x:c>
      <x:c r="AC426" s="10" t="str">
        <x:v>raise credit score</x:v>
      </x:c>
      <x:c r="AD426" s="10" t="str">
        <x:v>credit repair kit</x:v>
      </x:c>
      <x:c r="AE426" s="10" t="str">
        <x:v>mortgage broker</x:v>
      </x:c>
      <x:c r="AF426" s="10" t="str">
        <x:v>mortgate lead magnet</x:v>
      </x:c>
      <x:c r="AG426" s="10" t="str">
        <x:v>credit score planner</x:v>
      </x:c>
      <x:c r="AH426" s="10" t="str">
        <x:v>Loan officer / B2B</x:v>
      </x:c>
      <x:c r="AI426" s="13" t="n">
        <x:v>14</x:v>
      </x:c>
      <x:c r="AJ426" s="10" t="str">
        <x:f>IF(F426&gt;0,"Active","No est. sales")</x:f>
        <x:v>No est. sales</x:v>
      </x:c>
    </x:row>
    <x:row r="427">
      <x:c r="A427" s="10" t="str">
        <x:v>Debt Calculator, Mortgage Payoff Calculator, Excel Spreadsheet Template, Debt Payoff, Mortgage Repayment, Finance Planner, Personal Finance</x:v>
      </x:c>
      <x:c r="B427" s="10" t="str">
        <x:v>https://www.etsy.com/listing/1193850515/debt-calculator-mortgage-payoff</x:v>
      </x:c>
      <x:c r="C427" s="10" t="str">
        <x:v>PersonalTreasuryCo</x:v>
      </x:c>
      <x:c r="D427" s="10" t="str">
        <x:v>https://www.etsy.com/shop/PersonalTreasuryCo</x:v>
      </x:c>
      <x:c r="E427" s="11" t="n">
        <x:v>7.2</x:v>
      </x:c>
      <x:c r="F427" s="10" t="n">
        <x:v>0</x:v>
      </x:c>
      <x:c r="G427" s="12" t="n">
        <x:v>0</x:v>
      </x:c>
      <x:c r="H427" s="13" t="n">
        <x:v>0</x:v>
      </x:c>
      <x:c r="I427" s="10" t="n">
        <x:v>0</x:v>
      </x:c>
      <x:c r="J427" s="10" t="n">
        <x:v>0</x:v>
      </x:c>
      <x:c r="K427" s="10" t="str">
        <x:v>41 Mo.</x:v>
      </x:c>
      <x:c r="L427" s="10" t="n">
        <x:v>5</x:v>
      </x:c>
      <x:c r="M427" s="10" t="n">
        <x:v>0</x:v>
      </x:c>
      <x:c r="N427" s="10" t="n">
        <x:v>105</x:v>
      </x:c>
      <x:c r="O427" s="10" t="str"/>
      <x:c r="P427" s="10" t="n">
        <x:v>43</x:v>
      </x:c>
      <x:c r="Q427" s="10" t="n">
        <x:v>0</x:v>
      </x:c>
      <x:c r="R427" s="13" t="n">
        <x:v>0</x:v>
      </x:c>
      <x:c r="S427" s="10" t="n">
        <x:v>45</x:v>
      </x:c>
      <x:c r="T427" s="10" t="str">
        <x:v>debt,budget template,budget spreadsheet,spreadsheet template,excel spreadsheet,debt payoff,debt snowball,debt spreadsheet,debt calculator,debt tracker,personal finance,mortgage repayment,finance planner</x:v>
      </x:c>
      <x:c r="U427" s="10" t="str">
        <x:v>debt</x:v>
      </x:c>
      <x:c r="V427" s="10" t="str">
        <x:v>budget template</x:v>
      </x:c>
      <x:c r="W427" s="10" t="str">
        <x:v>budget spreadsheet</x:v>
      </x:c>
      <x:c r="X427" s="10" t="str">
        <x:v>spreadsheet template</x:v>
      </x:c>
      <x:c r="Y427" s="10" t="str">
        <x:v>excel spreadsheet</x:v>
      </x:c>
      <x:c r="Z427" s="10" t="str">
        <x:v>debt payoff</x:v>
      </x:c>
      <x:c r="AA427" s="10" t="str">
        <x:v>debt snowball</x:v>
      </x:c>
      <x:c r="AB427" s="10" t="str">
        <x:v>debt spreadsheet</x:v>
      </x:c>
      <x:c r="AC427" s="10" t="str">
        <x:v>debt calculator</x:v>
      </x:c>
      <x:c r="AD427" s="10" t="str">
        <x:v>debt tracker</x:v>
      </x:c>
      <x:c r="AE427" s="10" t="str">
        <x:v>personal finance</x:v>
      </x:c>
      <x:c r="AF427" s="10" t="str">
        <x:v>mortgage repayment</x:v>
      </x:c>
      <x:c r="AG427" s="10" t="str">
        <x:v>finance planner</x:v>
      </x:c>
      <x:c r="AH427" s="10" t="str">
        <x:v>General debt payoff</x:v>
      </x:c>
      <x:c r="AI427" s="13" t="n">
        <x:v>41</x:v>
      </x:c>
      <x:c r="AJ427" s="10" t="str">
        <x:f>IF(F427&gt;0,"Active","No est. sales")</x:f>
        <x:v>No est. sales</x:v>
      </x:c>
    </x:row>
    <x:row r="428">
      <x:c r="A428" s="10" t="str">
        <x:v>Comprehensive Real Estate &amp; Credit Printable Planner | Improve Credit, Qualify for Mortgage, Move with Confidence | Luxury Gift Bundle</x:v>
      </x:c>
      <x:c r="B428" s="10" t="str">
        <x:v>https://www.etsy.com/listing/1522420668/comprehensive-real-estate-credit</x:v>
      </x:c>
      <x:c r="C428" s="10" t="str">
        <x:v>WondersToPrint</x:v>
      </x:c>
      <x:c r="D428" s="10" t="str">
        <x:v>https://www.etsy.com/shop/WondersToPrint</x:v>
      </x:c>
      <x:c r="E428" s="11" t="n">
        <x:v>4.7</x:v>
      </x:c>
      <x:c r="F428" s="10" t="n">
        <x:v>0</x:v>
      </x:c>
      <x:c r="G428" s="12" t="n">
        <x:v>0</x:v>
      </x:c>
      <x:c r="H428" s="13" t="n">
        <x:v>0</x:v>
      </x:c>
      <x:c r="I428" s="10" t="n">
        <x:v>0</x:v>
      </x:c>
      <x:c r="J428" s="10" t="n">
        <x:v>0</x:v>
      </x:c>
      <x:c r="K428" s="10" t="str">
        <x:v>28 Mo.</x:v>
      </x:c>
      <x:c r="L428" s="10" t="n">
        <x:v>0</x:v>
      </x:c>
      <x:c r="M428" s="10" t="n">
        <x:v>0</x:v>
      </x:c>
      <x:c r="N428" s="10" t="n">
        <x:v>15</x:v>
      </x:c>
      <x:c r="O428" s="10" t="str">
        <x:v>Art &amp; Collectibles</x:v>
      </x:c>
      <x:c r="P428" s="10" t="n">
        <x:v>35</x:v>
      </x:c>
      <x:c r="Q428" s="10" t="n">
        <x:v>0</x:v>
      </x:c>
      <x:c r="R428" s="13" t="n">
        <x:v>0</x:v>
      </x:c>
      <x:c r="S428" s="10" t="n">
        <x:v>869</x:v>
      </x:c>
      <x:c r="T428" s="10" t="str">
        <x:v>credit building,moving checklists,financial planning,credit improvement,home-buying guide,credit management,real estate guid,personal finance,mortgage preparation,real estate tracker,real estate bundle,real estate planner,instant download pdf</x:v>
      </x:c>
      <x:c r="U428" s="10" t="str">
        <x:v>credit building</x:v>
      </x:c>
      <x:c r="V428" s="10" t="str">
        <x:v>moving checklists</x:v>
      </x:c>
      <x:c r="W428" s="10" t="str">
        <x:v>financial planning</x:v>
      </x:c>
      <x:c r="X428" s="10" t="str">
        <x:v>credit improvement</x:v>
      </x:c>
      <x:c r="Y428" s="10" t="str">
        <x:v>home-buying guide</x:v>
      </x:c>
      <x:c r="Z428" s="10" t="str">
        <x:v>credit management</x:v>
      </x:c>
      <x:c r="AA428" s="10" t="str">
        <x:v>real estate guid</x:v>
      </x:c>
      <x:c r="AB428" s="10" t="str">
        <x:v>personal finance</x:v>
      </x:c>
      <x:c r="AC428" s="10" t="str">
        <x:v>mortgage preparation</x:v>
      </x:c>
      <x:c r="AD428" s="10" t="str">
        <x:v>real estate tracker</x:v>
      </x:c>
      <x:c r="AE428" s="10" t="str">
        <x:v>real estate bundle</x:v>
      </x:c>
      <x:c r="AF428" s="10" t="str">
        <x:v>real estate planner</x:v>
      </x:c>
      <x:c r="AG428" s="10" t="str">
        <x:v>instant download pdf</x:v>
      </x:c>
      <x:c r="AH428" s="10" t="str">
        <x:v>Other mortgage-related</x:v>
      </x:c>
      <x:c r="AI428" s="13" t="n">
        <x:v>28</x:v>
      </x:c>
      <x:c r="AJ428" s="10" t="str">
        <x:f>IF(F428&gt;0,"Active","No est. sales")</x:f>
        <x:v>No est. sales</x:v>
      </x:c>
    </x:row>
    <x:row r="429">
      <x:c r="A429" s="10" t="str">
        <x:v>Mortgage Bill Due Planner Stickers, Pay Bill, Reminder Stickers, Functional Stickers, Perfect for any planner.  || BD400-30 ||</x:v>
      </x:c>
      <x:c r="B429" s="10" t="str">
        <x:v>https://www.etsy.com/listing/1464351624/mortgage-bill-due-planner-stickers-pay</x:v>
      </x:c>
      <x:c r="C429" s="10" t="str">
        <x:v>PrettylilPlanners</x:v>
      </x:c>
      <x:c r="D429" s="10" t="str">
        <x:v>https://www.etsy.com/shop/PrettylilPlanners</x:v>
      </x:c>
      <x:c r="E429" s="11" t="n">
        <x:v>3</x:v>
      </x:c>
      <x:c r="F429" s="10" t="n">
        <x:v>0</x:v>
      </x:c>
      <x:c r="G429" s="12" t="n">
        <x:v>0</x:v>
      </x:c>
      <x:c r="H429" s="13" t="n">
        <x:v>0</x:v>
      </x:c>
      <x:c r="I429" s="10" t="n">
        <x:v>0</x:v>
      </x:c>
      <x:c r="J429" s="10" t="n">
        <x:v>0</x:v>
      </x:c>
      <x:c r="K429" s="10" t="str">
        <x:v>20 Mo.</x:v>
      </x:c>
      <x:c r="L429" s="10" t="n">
        <x:v>3</x:v>
      </x:c>
      <x:c r="M429" s="10" t="n">
        <x:v>0</x:v>
      </x:c>
      <x:c r="N429" s="10" t="n">
        <x:v>11</x:v>
      </x:c>
      <x:c r="O429" s="10" t="str">
        <x:v>Paper &amp; Party Supplies</x:v>
      </x:c>
      <x:c r="P429" s="10" t="n">
        <x:v>114</x:v>
      </x:c>
      <x:c r="Q429" s="10" t="n">
        <x:v>0</x:v>
      </x:c>
      <x:c r="R429" s="13" t="n">
        <x:v>0</x:v>
      </x:c>
      <x:c r="S429" s="10" t="n">
        <x:v>4456</x:v>
      </x:c>
      <x:c r="T429" s="10" t="str">
        <x:v>planner stickers,erin condren,planner,life planner,ec planner stickers,life planner sticker,functional stickers,reminder stickers,agenda stickers,pay bill,pay bill stickers,bill due,mortgage bill due</x:v>
      </x:c>
      <x:c r="U429" s="10" t="str">
        <x:v>planner stickers</x:v>
      </x:c>
      <x:c r="V429" s="10" t="str">
        <x:v>erin condren</x:v>
      </x:c>
      <x:c r="W429" s="10" t="str">
        <x:v>planner</x:v>
      </x:c>
      <x:c r="X429" s="10" t="str">
        <x:v>life planner</x:v>
      </x:c>
      <x:c r="Y429" s="10" t="str">
        <x:v>ec planner stickers</x:v>
      </x:c>
      <x:c r="Z429" s="10" t="str">
        <x:v>life planner sticker</x:v>
      </x:c>
      <x:c r="AA429" s="10" t="str">
        <x:v>functional stickers</x:v>
      </x:c>
      <x:c r="AB429" s="10" t="str">
        <x:v>reminder stickers</x:v>
      </x:c>
      <x:c r="AC429" s="10" t="str">
        <x:v>agenda stickers</x:v>
      </x:c>
      <x:c r="AD429" s="10" t="str">
        <x:v>pay bill</x:v>
      </x:c>
      <x:c r="AE429" s="10" t="str">
        <x:v>pay bill stickers</x:v>
      </x:c>
      <x:c r="AF429" s="10" t="str">
        <x:v>bill due</x:v>
      </x:c>
      <x:c r="AG429" s="10" t="str">
        <x:v>mortgage bill due</x:v>
      </x:c>
      <x:c r="AH429" s="10" t="str">
        <x:v>Other mortgage-related</x:v>
      </x:c>
      <x:c r="AI429" s="13" t="n">
        <x:v>20</x:v>
      </x:c>
      <x:c r="AJ429" s="10" t="str">
        <x:f>IF(F429&gt;0,"Active","No est. sales")</x:f>
        <x:v>No est. sales</x:v>
      </x:c>
    </x:row>
    <x:row r="430">
      <x:c r="A430" s="10" t="str">
        <x:v>Debt Payoff Planner for Google Sheets with Avalanche method, Debt Repayment Tracker, Financial Spreadsheet, Debt Free Planner, Loan Tracker</x:v>
      </x:c>
      <x:c r="B430" s="10" t="str">
        <x:v>https://www.etsy.com/listing/4365187805/debt-payoff-planner-for-google-sheets</x:v>
      </x:c>
      <x:c r="C430" s="10" t="str">
        <x:v>MindpadStudio</x:v>
      </x:c>
      <x:c r="D430" s="10" t="str">
        <x:v>https://www.etsy.com/shop/MindpadStudio</x:v>
      </x:c>
      <x:c r="E430" s="11" t="n">
        <x:v>6.98</x:v>
      </x:c>
      <x:c r="F430" s="10" t="n">
        <x:v>0</x:v>
      </x:c>
      <x:c r="G430" s="12" t="n">
        <x:v>0</x:v>
      </x:c>
      <x:c r="H430" s="13" t="n">
        <x:v>0</x:v>
      </x:c>
      <x:c r="I430" s="10" t="n">
        <x:v>0</x:v>
      </x:c>
      <x:c r="J430" s="10" t="n">
        <x:v>0</x:v>
      </x:c>
      <x:c r="K430" s="10" t="str">
        <x:v>1 Mo.</x:v>
      </x:c>
      <x:c r="L430" s="10" t="n">
        <x:v>0</x:v>
      </x:c>
      <x:c r="M430" s="10" t="n">
        <x:v>0</x:v>
      </x:c>
      <x:c r="N430" s="10" t="n">
        <x:v>8</x:v>
      </x:c>
      <x:c r="O430" s="10" t="str"/>
      <x:c r="P430" s="10" t="n">
        <x:v>1</x:v>
      </x:c>
      <x:c r="Q430" s="10" t="n">
        <x:v>0</x:v>
      </x:c>
      <x:c r="R430" s="13" t="n">
        <x:v>0</x:v>
      </x:c>
      <x:c r="S430" s="10" t="n">
        <x:v>0</x:v>
      </x:c>
      <x:c r="T430" s="10" t="str">
        <x:v>debt avalanche,debt google sheets,debt calculator,credit card payoff,mortgage payoff,google sheets budget,debt payment tracker,loan payoff tracker,financial planner,student loan debt,debt free planner,debt template</x:v>
      </x:c>
      <x:c r="U430" s="10" t="str">
        <x:v>debt avalanche</x:v>
      </x:c>
      <x:c r="V430" s="10" t="str">
        <x:v>debt google sheets</x:v>
      </x:c>
      <x:c r="W430" s="10" t="str">
        <x:v>debt calculator</x:v>
      </x:c>
      <x:c r="X430" s="10" t="str">
        <x:v>credit card payoff</x:v>
      </x:c>
      <x:c r="Y430" s="10" t="str">
        <x:v>mortgage payoff</x:v>
      </x:c>
      <x:c r="Z430" s="10" t="str">
        <x:v>google sheets budget</x:v>
      </x:c>
      <x:c r="AA430" s="10" t="str">
        <x:v>debt payment tracker</x:v>
      </x:c>
      <x:c r="AB430" s="10" t="str">
        <x:v>loan payoff tracker</x:v>
      </x:c>
      <x:c r="AC430" s="10" t="str">
        <x:v>financial planner</x:v>
      </x:c>
      <x:c r="AD430" s="10" t="str">
        <x:v>student loan debt</x:v>
      </x:c>
      <x:c r="AE430" s="10" t="str">
        <x:v>debt free planner</x:v>
      </x:c>
      <x:c r="AF430" s="10" t="str">
        <x:v>debt template</x:v>
      </x:c>
      <x:c r="AG430" s="10" t="str">
        <x:v>--</x:v>
      </x:c>
      <x:c r="AH430" s="10" t="str">
        <x:v>General debt payoff</x:v>
      </x:c>
      <x:c r="AI430" s="13" t="n">
        <x:v>1</x:v>
      </x:c>
      <x:c r="AJ430" s="10" t="str">
        <x:f>IF(F430&gt;0,"Active","No est. sales")</x:f>
        <x:v>No est. sales</x:v>
      </x:c>
    </x:row>
    <x:row r="431">
      <x:c r="A431" s="10" t="str">
        <x:v>Mortgage Calculator Spreadsheet, Home Loan Toolkit for Google Sheets</x:v>
      </x:c>
      <x:c r="B431" s="10" t="str">
        <x:v>https://www.etsy.com/listing/4485852452/mortgage-calculator-spreadsheet-home</x:v>
      </x:c>
      <x:c r="C431" s="10" t="str">
        <x:v>HelpfulSheetsHQ</x:v>
      </x:c>
      <x:c r="D431" s="10" t="str">
        <x:v>https://www.etsy.com/shop/HelpfulSheetsHQ</x:v>
      </x:c>
      <x:c r="E431" s="11" t="n">
        <x:v>5.79</x:v>
      </x:c>
      <x:c r="F431" s="10" t="n">
        <x:v>0</x:v>
      </x:c>
      <x:c r="G431" s="12" t="n">
        <x:v>0</x:v>
      </x:c>
      <x:c r="H431" s="13" t="n">
        <x:v>0</x:v>
      </x:c>
      <x:c r="I431" s="10" t="n">
        <x:v>0</x:v>
      </x:c>
      <x:c r="J431" s="10" t="n">
        <x:v>0</x:v>
      </x:c>
      <x:c r="K431" s="10" t="str">
        <x:v>1 Mo.</x:v>
      </x:c>
      <x:c r="L431" s="10" t="n">
        <x:v>0</x:v>
      </x:c>
      <x:c r="M431" s="10" t="n">
        <x:v>0</x:v>
      </x:c>
      <x:c r="N431" s="10" t="n">
        <x:v>18</x:v>
      </x:c>
      <x:c r="O431" s="10" t="str"/>
      <x:c r="P431" s="10" t="n">
        <x:v>2</x:v>
      </x:c>
      <x:c r="Q431" s="10" t="n">
        <x:v>0</x:v>
      </x:c>
      <x:c r="R431" s="13" t="n">
        <x:v>0</x:v>
      </x:c>
      <x:c r="S431" s="10" t="n">
        <x:v>5</x:v>
      </x:c>
      <x:c r="T431" s="10" t="str">
        <x:v>house payment,first time homebuyer,refinance analyzer,rent vs buy compare,extra payment calc,pmi removal tracker,closing cost,real estate planner,affordability calc,property investment,mortgage calculator,home buying,debt to income ratio</x:v>
      </x:c>
      <x:c r="U431" s="10" t="str">
        <x:v>house payment</x:v>
      </x:c>
      <x:c r="V431" s="10" t="str">
        <x:v>first time homebuyer</x:v>
      </x:c>
      <x:c r="W431" s="10" t="str">
        <x:v>refinance analyzer</x:v>
      </x:c>
      <x:c r="X431" s="10" t="str">
        <x:v>rent vs buy compare</x:v>
      </x:c>
      <x:c r="Y431" s="10" t="str">
        <x:v>extra payment calc</x:v>
      </x:c>
      <x:c r="Z431" s="10" t="str">
        <x:v>pmi removal tracker</x:v>
      </x:c>
      <x:c r="AA431" s="10" t="str">
        <x:v>closing cost</x:v>
      </x:c>
      <x:c r="AB431" s="10" t="str">
        <x:v>real estate planner</x:v>
      </x:c>
      <x:c r="AC431" s="10" t="str">
        <x:v>affordability calc</x:v>
      </x:c>
      <x:c r="AD431" s="10" t="str">
        <x:v>property investment</x:v>
      </x:c>
      <x:c r="AE431" s="10" t="str">
        <x:v>mortgage calculator</x:v>
      </x:c>
      <x:c r="AF431" s="10" t="str">
        <x:v>home buying</x:v>
      </x:c>
      <x:c r="AG431" s="10" t="str">
        <x:v>debt to income ratio</x:v>
      </x:c>
      <x:c r="AH431" s="10" t="str">
        <x:v>Property investment</x:v>
      </x:c>
      <x:c r="AI431" s="13" t="n">
        <x:v>1</x:v>
      </x:c>
      <x:c r="AJ431" s="10" t="str">
        <x:f>IF(F431&gt;0,"Active","No est. sales")</x:f>
        <x:v>No est. sales</x:v>
      </x:c>
    </x:row>
    <x:row r="432">
      <x:c r="A432" s="10" t="str">
        <x:v>First Time Buyer Planner UK | Home Buyer Checklist | Mortgage Tracker | Property Purchase Guide | PDF</x:v>
      </x:c>
      <x:c r="B432" s="10" t="str">
        <x:v>https://www.etsy.com/listing/4514131116/first-time-buyer-planner-uk-home-buyer</x:v>
      </x:c>
      <x:c r="C432" s="10" t="str">
        <x:v>GoVitalize</x:v>
      </x:c>
      <x:c r="D432" s="10" t="str">
        <x:v>https://www.etsy.com/shop/GoVitalize</x:v>
      </x:c>
      <x:c r="E432" s="11" t="n">
        <x:v>8.07</x:v>
      </x:c>
      <x:c r="F432" s="10" t="n">
        <x:v>0</x:v>
      </x:c>
      <x:c r="G432" s="12" t="n">
        <x:v>0</x:v>
      </x:c>
      <x:c r="H432" s="13" t="n">
        <x:v>0</x:v>
      </x:c>
      <x:c r="I432" s="10" t="n">
        <x:v>0</x:v>
      </x:c>
      <x:c r="J432" s="10" t="n">
        <x:v>0</x:v>
      </x:c>
      <x:c r="K432" s="10" t="str">
        <x:v>1 Mo.</x:v>
      </x:c>
      <x:c r="L432" s="10" t="n">
        <x:v>0</x:v>
      </x:c>
      <x:c r="M432" s="10" t="n">
        <x:v>0</x:v>
      </x:c>
      <x:c r="N432" s="10" t="n">
        <x:v>2</x:v>
      </x:c>
      <x:c r="O432" s="10" t="str">
        <x:v>Paper &amp; Party Supplies</x:v>
      </x:c>
      <x:c r="P432" s="10" t="n">
        <x:v>2</x:v>
      </x:c>
      <x:c r="Q432" s="10" t="n">
        <x:v>0</x:v>
      </x:c>
      <x:c r="R432" s="13" t="n">
        <x:v>0</x:v>
      </x:c>
      <x:c r="S432" s="10" t="n">
        <x:v>3</x:v>
      </x:c>
      <x:c r="T432" s="10" t="str">
        <x:v>home buyer checklist,first time buyer uk,home buying planner,property checklist,mortgage planner,house purchase guide,conveyancing tracker,home buyer guide uk,moving house pdf,uk property guide,new homeowner pdf,property viewer,instant download</x:v>
      </x:c>
      <x:c r="U432" s="10" t="str">
        <x:v>home buyer checklist</x:v>
      </x:c>
      <x:c r="V432" s="10" t="str">
        <x:v>first time buyer uk</x:v>
      </x:c>
      <x:c r="W432" s="10" t="str">
        <x:v>home buying planner</x:v>
      </x:c>
      <x:c r="X432" s="10" t="str">
        <x:v>property checklist</x:v>
      </x:c>
      <x:c r="Y432" s="10" t="str">
        <x:v>mortgage planner</x:v>
      </x:c>
      <x:c r="Z432" s="10" t="str">
        <x:v>house purchase guide</x:v>
      </x:c>
      <x:c r="AA432" s="10" t="str">
        <x:v>conveyancing tracker</x:v>
      </x:c>
      <x:c r="AB432" s="10" t="str">
        <x:v>home buyer guide uk</x:v>
      </x:c>
      <x:c r="AC432" s="10" t="str">
        <x:v>moving house pdf</x:v>
      </x:c>
      <x:c r="AD432" s="10" t="str">
        <x:v>uk property guide</x:v>
      </x:c>
      <x:c r="AE432" s="10" t="str">
        <x:v>new homeowner pdf</x:v>
      </x:c>
      <x:c r="AF432" s="10" t="str">
        <x:v>property viewer</x:v>
      </x:c>
      <x:c r="AG432" s="10" t="str">
        <x:v>instant download</x:v>
      </x:c>
      <x:c r="AH432" s="10" t="str">
        <x:v>Home buying planner</x:v>
      </x:c>
      <x:c r="AI432" s="13" t="n">
        <x:v>1</x:v>
      </x:c>
      <x:c r="AJ432" s="10" t="str">
        <x:f>IF(F432&gt;0,"Active","No est. sales")</x:f>
        <x:v>No est. sales</x:v>
      </x:c>
    </x:row>
    <x:row r="433">
      <x:c r="A433" s="10" t="str">
        <x:v>Home Loan Approval Guide Australia | Budget Planner, Mortgage Checklist (PDF Download)</x:v>
      </x:c>
      <x:c r="B433" s="10" t="str">
        <x:v>https://www.etsy.com/listing/4491061961/home-loan-approval-guide-australia</x:v>
      </x:c>
      <x:c r="C433" s="10" t="str">
        <x:v>LoanStrategyCo</x:v>
      </x:c>
      <x:c r="D433" s="10" t="str">
        <x:v>https://www.etsy.com/shop/LoanStrategyCo</x:v>
      </x:c>
      <x:c r="E433" s="11" t="n">
        <x:v>3.61</x:v>
      </x:c>
      <x:c r="F433" s="10" t="n">
        <x:v>0</x:v>
      </x:c>
      <x:c r="G433" s="12" t="n">
        <x:v>0</x:v>
      </x:c>
      <x:c r="H433" s="13" t="n">
        <x:v>0</x:v>
      </x:c>
      <x:c r="I433" s="10" t="n">
        <x:v>0</x:v>
      </x:c>
      <x:c r="J433" s="10" t="n">
        <x:v>0</x:v>
      </x:c>
      <x:c r="K433" s="10" t="str">
        <x:v>1 Mo.</x:v>
      </x:c>
      <x:c r="L433" s="10" t="n">
        <x:v>1</x:v>
      </x:c>
      <x:c r="M433" s="10" t="n">
        <x:v>0</x:v>
      </x:c>
      <x:c r="N433" s="10" t="n">
        <x:v>27</x:v>
      </x:c>
      <x:c r="O433" s="10" t="str"/>
      <x:c r="P433" s="10" t="n">
        <x:v>1</x:v>
      </x:c>
      <x:c r="Q433" s="10" t="n">
        <x:v>0</x:v>
      </x:c>
      <x:c r="R433" s="13" t="n">
        <x:v>0</x:v>
      </x:c>
      <x:c r="S433" s="10" t="n">
        <x:v>3</x:v>
      </x:c>
      <x:c r="T433" s="10" t="str">
        <x:v>home loan guide,budget planner,mortgage checklist,first home buyer,finance planner,loan approval tips,home buying guide,savings planner,debt reduction,printable planner,financial checklist,australia home loan,money planner</x:v>
      </x:c>
      <x:c r="U433" s="10" t="str">
        <x:v>home loan guide</x:v>
      </x:c>
      <x:c r="V433" s="10" t="str">
        <x:v>budget planner</x:v>
      </x:c>
      <x:c r="W433" s="10" t="str">
        <x:v>mortgage checklist</x:v>
      </x:c>
      <x:c r="X433" s="10" t="str">
        <x:v>first home buyer</x:v>
      </x:c>
      <x:c r="Y433" s="10" t="str">
        <x:v>finance planner</x:v>
      </x:c>
      <x:c r="Z433" s="10" t="str">
        <x:v>loan approval tips</x:v>
      </x:c>
      <x:c r="AA433" s="10" t="str">
        <x:v>home buying guide</x:v>
      </x:c>
      <x:c r="AB433" s="10" t="str">
        <x:v>savings planner</x:v>
      </x:c>
      <x:c r="AC433" s="10" t="str">
        <x:v>debt reduction</x:v>
      </x:c>
      <x:c r="AD433" s="10" t="str">
        <x:v>printable planner</x:v>
      </x:c>
      <x:c r="AE433" s="10" t="str">
        <x:v>financial checklist</x:v>
      </x:c>
      <x:c r="AF433" s="10" t="str">
        <x:v>australia home loan</x:v>
      </x:c>
      <x:c r="AG433" s="10" t="str">
        <x:v>money planner</x:v>
      </x:c>
      <x:c r="AH433" s="10" t="str">
        <x:v>Home buying planner</x:v>
      </x:c>
      <x:c r="AI433" s="13" t="n">
        <x:v>1</x:v>
      </x:c>
      <x:c r="AJ433" s="10" t="str">
        <x:f>IF(F433&gt;0,"Active","No est. sales")</x:f>
        <x:v>No est. sales</x:v>
      </x:c>
    </x:row>
    <x:row r="434">
      <x:c r="A434" s="10" t="str">
        <x:v>First-Time Home Buyer Organizer, House Hunting Checklist, Mortgage Tracker (Digital Download)</x:v>
      </x:c>
      <x:c r="B434" s="10" t="str">
        <x:v>https://www.etsy.com/listing/4518688083/first-time-home-buyer-organizer-house</x:v>
      </x:c>
      <x:c r="C434" s="10" t="str">
        <x:v>Handy3DShop</x:v>
      </x:c>
      <x:c r="D434" s="10" t="str">
        <x:v>https://www.etsy.com/shop/Handy3DShop</x:v>
      </x:c>
      <x:c r="E434" s="11" t="n">
        <x:v>9.99</x:v>
      </x:c>
      <x:c r="F434" s="10" t="n">
        <x:v>0</x:v>
      </x:c>
      <x:c r="G434" s="12" t="n">
        <x:v>0</x:v>
      </x:c>
      <x:c r="H434" s="13" t="n">
        <x:v>0</x:v>
      </x:c>
      <x:c r="I434" s="10" t="n">
        <x:v>0</x:v>
      </x:c>
      <x:c r="J434" s="10" t="n">
        <x:v>0</x:v>
      </x:c>
      <x:c r="K434" s="10" t="str">
        <x:v>1 Mo.</x:v>
      </x:c>
      <x:c r="L434" s="10" t="n">
        <x:v>1</x:v>
      </x:c>
      <x:c r="M434" s="10" t="n">
        <x:v>0</x:v>
      </x:c>
      <x:c r="N434" s="10" t="n">
        <x:v>3</x:v>
      </x:c>
      <x:c r="O434" s="10" t="str"/>
      <x:c r="P434" s="10" t="n">
        <x:v>20</x:v>
      </x:c>
      <x:c r="Q434" s="10" t="n">
        <x:v>0</x:v>
      </x:c>
      <x:c r="R434" s="13" t="n">
        <x:v>0</x:v>
      </x:c>
      <x:c r="S434" s="10" t="n">
        <x:v>4</x:v>
      </x:c>
      <x:c r="T434" s="10" t="str">
        <x:v>home buyer planner,first time buyer,house hunting,mortgage tracker,home buying planner,closing checklist,property tracker,realtor checklist,home buying guide,google sheets home,house comparison,moving checklist,buyer organizer</x:v>
      </x:c>
      <x:c r="U434" s="10" t="str">
        <x:v>home buyer planner</x:v>
      </x:c>
      <x:c r="V434" s="10" t="str">
        <x:v>first time buyer</x:v>
      </x:c>
      <x:c r="W434" s="10" t="str">
        <x:v>house hunting</x:v>
      </x:c>
      <x:c r="X434" s="10" t="str">
        <x:v>mortgage tracker</x:v>
      </x:c>
      <x:c r="Y434" s="10" t="str">
        <x:v>home buying planner</x:v>
      </x:c>
      <x:c r="Z434" s="10" t="str">
        <x:v>closing checklist</x:v>
      </x:c>
      <x:c r="AA434" s="10" t="str">
        <x:v>property tracker</x:v>
      </x:c>
      <x:c r="AB434" s="10" t="str">
        <x:v>realtor checklist</x:v>
      </x:c>
      <x:c r="AC434" s="10" t="str">
        <x:v>home buying guide</x:v>
      </x:c>
      <x:c r="AD434" s="10" t="str">
        <x:v>google sheets home</x:v>
      </x:c>
      <x:c r="AE434" s="10" t="str">
        <x:v>house comparison</x:v>
      </x:c>
      <x:c r="AF434" s="10" t="str">
        <x:v>moving checklist</x:v>
      </x:c>
      <x:c r="AG434" s="10" t="str">
        <x:v>buyer organizer</x:v>
      </x:c>
      <x:c r="AH434" s="10" t="str">
        <x:v>Home buying planner</x:v>
      </x:c>
      <x:c r="AI434" s="13" t="n">
        <x:v>1</x:v>
      </x:c>
      <x:c r="AJ434" s="10" t="str">
        <x:f>IF(F434&gt;0,"Active","No est. sales")</x:f>
        <x:v>No est. sales</x:v>
      </x:c>
    </x:row>
    <x:row r="435">
      <x:c r="A435" s="10" t="str">
        <x:v>Mortgage Payment Planner Spreadsheet | Amortization Calculator Extra Payment Refinance | Excel Google Sheets | Digital Download</x:v>
      </x:c>
      <x:c r="B435" s="10" t="str">
        <x:v>https://www.etsy.com/listing/4483902639/mortgage-payment-planner-spreadsheet</x:v>
      </x:c>
      <x:c r="C435" s="10" t="str">
        <x:v>SmartSheetsHQStore</x:v>
      </x:c>
      <x:c r="D435" s="10" t="str">
        <x:v>https://www.etsy.com/shop/SmartSheetsHQStore</x:v>
      </x:c>
      <x:c r="E435" s="11" t="n">
        <x:v>12.99</x:v>
      </x:c>
      <x:c r="F435" s="10" t="n">
        <x:v>0</x:v>
      </x:c>
      <x:c r="G435" s="12" t="n">
        <x:v>0</x:v>
      </x:c>
      <x:c r="H435" s="13" t="n">
        <x:v>0</x:v>
      </x:c>
      <x:c r="I435" s="10" t="n">
        <x:v>0</x:v>
      </x:c>
      <x:c r="J435" s="10" t="n">
        <x:v>0</x:v>
      </x:c>
      <x:c r="K435" s="10" t="str">
        <x:v>1 Mo.</x:v>
      </x:c>
      <x:c r="L435" s="10" t="n">
        <x:v>0</x:v>
      </x:c>
      <x:c r="M435" s="10" t="n">
        <x:v>0</x:v>
      </x:c>
      <x:c r="N435" s="10" t="n">
        <x:v>0</x:v>
      </x:c>
      <x:c r="O435" s="10" t="str"/>
      <x:c r="P435" s="10" t="n">
        <x:v>0</x:v>
      </x:c>
      <x:c r="Q435" s="10" t="n">
        <x:v>0</x:v>
      </x:c>
      <x:c r="R435" s="13" t="n">
        <x:v>0</x:v>
      </x:c>
      <x:c r="S435" s="10" t="n">
        <x:v>0</x:v>
      </x:c>
      <x:c r="T435" s="10" t="str">
        <x:v>mortgage calculator,mortgage planner,home loan calculator,mortgage payment,refinance calculator,piti calculator,mortgage spreadsheet,homebuyer planner,excel mortgage,digital download</x:v>
      </x:c>
      <x:c r="U435" s="10" t="str">
        <x:v>mortgage calculator</x:v>
      </x:c>
      <x:c r="V435" s="10" t="str">
        <x:v>mortgage planner</x:v>
      </x:c>
      <x:c r="W435" s="10" t="str">
        <x:v>home loan calculator</x:v>
      </x:c>
      <x:c r="X435" s="10" t="str">
        <x:v>mortgage payment</x:v>
      </x:c>
      <x:c r="Y435" s="10" t="str">
        <x:v>refinance calculator</x:v>
      </x:c>
      <x:c r="Z435" s="10" t="str">
        <x:v>piti calculator</x:v>
      </x:c>
      <x:c r="AA435" s="10" t="str">
        <x:v>mortgage spreadsheet</x:v>
      </x:c>
      <x:c r="AB435" s="10" t="str">
        <x:v>homebuyer planner</x:v>
      </x:c>
      <x:c r="AC435" s="10" t="str">
        <x:v>excel mortgage</x:v>
      </x:c>
      <x:c r="AD435" s="10" t="str">
        <x:v>digital download</x:v>
      </x:c>
      <x:c r="AE435" s="10" t="str">
        <x:v>--</x:v>
      </x:c>
      <x:c r="AF435" s="10" t="str">
        <x:v>--</x:v>
      </x:c>
      <x:c r="AG435" s="10" t="str">
        <x:v>--</x:v>
      </x:c>
      <x:c r="AH435" s="10" t="str">
        <x:v>Home buying planner</x:v>
      </x:c>
      <x:c r="AI435" s="13" t="n">
        <x:v>1</x:v>
      </x:c>
      <x:c r="AJ435" s="10" t="str">
        <x:f>IF(F435&gt;0,"Active","No est. sales")</x:f>
        <x:v>No est. sales</x:v>
      </x:c>
    </x:row>
    <x:row r="436">
      <x:c r="A436" s="10" t="str">
        <x:v>Home Buying Planner, House Buying Guide, First-Time Homebuyer Checklist, Moving Planner, House Hunting Guide for New Homeowners Phase 4</x:v>
      </x:c>
      <x:c r="B436" s="10" t="str">
        <x:v>https://www.etsy.com/listing/1548058947/home-buying-planner-house-buying-guide</x:v>
      </x:c>
      <x:c r="C436" s="10" t="str">
        <x:v>HattyBirdCreates</x:v>
      </x:c>
      <x:c r="D436" s="10" t="str">
        <x:v>https://www.etsy.com/shop/HattyBirdCreates</x:v>
      </x:c>
      <x:c r="E436" s="11" t="n">
        <x:v>19.95</x:v>
      </x:c>
      <x:c r="F436" s="10" t="n">
        <x:v>0</x:v>
      </x:c>
      <x:c r="G436" s="12" t="n">
        <x:v>0</x:v>
      </x:c>
      <x:c r="H436" s="13" t="n">
        <x:v>0</x:v>
      </x:c>
      <x:c r="I436" s="10" t="n">
        <x:v>51</x:v>
      </x:c>
      <x:c r="J436" s="10" t="n">
        <x:v>6</x:v>
      </x:c>
      <x:c r="K436" s="10" t="str">
        <x:v>35 Mo.</x:v>
      </x:c>
      <x:c r="L436" s="10" t="n">
        <x:v>84</x:v>
      </x:c>
      <x:c r="M436" s="10" t="n">
        <x:v>0</x:v>
      </x:c>
      <x:c r="N436" s="10" t="n">
        <x:v>1833</x:v>
      </x:c>
      <x:c r="O436" s="10" t="str"/>
      <x:c r="P436" s="10" t="n">
        <x:v>42</x:v>
      </x:c>
      <x:c r="Q436" s="10" t="n">
        <x:v>25</x:v>
      </x:c>
      <x:c r="R436" s="13" t="n">
        <x:v>2.78</x:v>
      </x:c>
      <x:c r="S436" s="10" t="n">
        <x:v>12697</x:v>
      </x:c>
      <x:c r="T436" s="10" t="str">
        <x:v>home buy planner,move checklist,printable house hunt,real estate digital,management guide,goodnote new buyer,timeline tips,first time template,pdf download,mortgage tracker,budget plan list,address organizer,home buying planner</x:v>
      </x:c>
      <x:c r="U436" s="10" t="str">
        <x:v>home buy planner</x:v>
      </x:c>
      <x:c r="V436" s="10" t="str">
        <x:v>move checklist</x:v>
      </x:c>
      <x:c r="W436" s="10" t="str">
        <x:v>printable house hunt</x:v>
      </x:c>
      <x:c r="X436" s="10" t="str">
        <x:v>real estate digital</x:v>
      </x:c>
      <x:c r="Y436" s="10" t="str">
        <x:v>management guide</x:v>
      </x:c>
      <x:c r="Z436" s="10" t="str">
        <x:v>goodnote new buyer</x:v>
      </x:c>
      <x:c r="AA436" s="10" t="str">
        <x:v>timeline tips</x:v>
      </x:c>
      <x:c r="AB436" s="10" t="str">
        <x:v>first time template</x:v>
      </x:c>
      <x:c r="AC436" s="10" t="str">
        <x:v>pdf download</x:v>
      </x:c>
      <x:c r="AD436" s="10" t="str">
        <x:v>mortgage tracker</x:v>
      </x:c>
      <x:c r="AE436" s="10" t="str">
        <x:v>budget plan list</x:v>
      </x:c>
      <x:c r="AF436" s="10" t="str">
        <x:v>address organizer</x:v>
      </x:c>
      <x:c r="AG436" s="10" t="str">
        <x:v>home buying planner</x:v>
      </x:c>
      <x:c r="AH436" s="10" t="str">
        <x:v>Home buying planner</x:v>
      </x:c>
      <x:c r="AI436" s="13" t="n">
        <x:v>35</x:v>
      </x:c>
      <x:c r="AJ436" s="10" t="str">
        <x:f>IF(F436&gt;0,"Active","No est. sales")</x:f>
        <x:v>No est. sales</x:v>
      </x:c>
    </x:row>
    <x:row r="437">
      <x:c r="A437" s="10" t="str">
        <x:v>Loan Refinance Calculator, Prepayment Comparison Tool (Google Sheets)</x:v>
      </x:c>
      <x:c r="B437" s="10" t="str">
        <x:v>https://www.etsy.com/listing/4438810191/loan-refinance-calculator-prepayment</x:v>
      </x:c>
      <x:c r="C437" s="10" t="str">
        <x:v>CreckyzFinance</x:v>
      </x:c>
      <x:c r="D437" s="10" t="str">
        <x:v>https://www.etsy.com/shop/CreckyzFinance</x:v>
      </x:c>
      <x:c r="E437" s="11" t="n">
        <x:v>3.99</x:v>
      </x:c>
      <x:c r="F437" s="10" t="n">
        <x:v>0</x:v>
      </x:c>
      <x:c r="G437" s="12" t="n">
        <x:v>0</x:v>
      </x:c>
      <x:c r="H437" s="13" t="n">
        <x:v>0</x:v>
      </x:c>
      <x:c r="I437" s="10" t="n">
        <x:v>0</x:v>
      </x:c>
      <x:c r="J437" s="10" t="n">
        <x:v>0</x:v>
      </x:c>
      <x:c r="K437" s="10" t="str">
        <x:v>6 Mo.</x:v>
      </x:c>
      <x:c r="L437" s="10" t="n">
        <x:v>0</x:v>
      </x:c>
      <x:c r="M437" s="10" t="n">
        <x:v>0</x:v>
      </x:c>
      <x:c r="N437" s="10" t="n">
        <x:v>5</x:v>
      </x:c>
      <x:c r="O437" s="10" t="str"/>
      <x:c r="P437" s="10" t="n">
        <x:v>6</x:v>
      </x:c>
      <x:c r="Q437" s="10" t="n">
        <x:v>0</x:v>
      </x:c>
      <x:c r="R437" s="13" t="n">
        <x:v>0</x:v>
      </x:c>
      <x:c r="S437" s="10" t="n">
        <x:v>0</x:v>
      </x:c>
      <x:c r="T437" s="10" t="str">
        <x:v>loan calculator,loan repayment,refinance calculator,loan payoff,mortgage calculator,google sheets,spreadsheet tool,finance spreadsheet,budget planner,interest calculator,debt payoff,financial planning,personal finance</x:v>
      </x:c>
      <x:c r="U437" s="10" t="str">
        <x:v>loan calculator</x:v>
      </x:c>
      <x:c r="V437" s="10" t="str">
        <x:v>loan repayment</x:v>
      </x:c>
      <x:c r="W437" s="10" t="str">
        <x:v>refinance calculator</x:v>
      </x:c>
      <x:c r="X437" s="10" t="str">
        <x:v>loan payoff</x:v>
      </x:c>
      <x:c r="Y437" s="10" t="str">
        <x:v>mortgage calculator</x:v>
      </x:c>
      <x:c r="Z437" s="10" t="str">
        <x:v>google sheets</x:v>
      </x:c>
      <x:c r="AA437" s="10" t="str">
        <x:v>spreadsheet tool</x:v>
      </x:c>
      <x:c r="AB437" s="10" t="str">
        <x:v>finance spreadsheet</x:v>
      </x:c>
      <x:c r="AC437" s="10" t="str">
        <x:v>budget planner</x:v>
      </x:c>
      <x:c r="AD437" s="10" t="str">
        <x:v>interest calculator</x:v>
      </x:c>
      <x:c r="AE437" s="10" t="str">
        <x:v>debt payoff</x:v>
      </x:c>
      <x:c r="AF437" s="10" t="str">
        <x:v>financial planning</x:v>
      </x:c>
      <x:c r="AG437" s="10" t="str">
        <x:v>personal finance</x:v>
      </x:c>
      <x:c r="AH437" s="10" t="str">
        <x:v>Other mortgage-related</x:v>
      </x:c>
      <x:c r="AI437" s="13" t="n">
        <x:v>6</x:v>
      </x:c>
      <x:c r="AJ437" s="10" t="str">
        <x:f>IF(F437&gt;0,"Active","No est. sales")</x:f>
        <x:v>No est. sales</x:v>
      </x:c>
    </x:row>
    <x:row r="438">
      <x:c r="A438" s="10" t="str">
        <x:v>SALE 100 PAID digital sticker bill due clipart pay bills spendings printable sticker money Erin Condren finances Goodnotes Happy Planner</x:v>
      </x:c>
      <x:c r="B438" s="10" t="str">
        <x:v>https://www.etsy.com/listing/1295254395/sale-100-paid-digital-sticker-bill-due</x:v>
      </x:c>
      <x:c r="C438" s="10" t="str">
        <x:v>TheDigiRainbow</x:v>
      </x:c>
      <x:c r="D438" s="10" t="str">
        <x:v>https://www.etsy.com/shop/TheDigiRainbow</x:v>
      </x:c>
      <x:c r="E438" s="11" t="n">
        <x:v>4</x:v>
      </x:c>
      <x:c r="F438" s="10" t="n">
        <x:v>0</x:v>
      </x:c>
      <x:c r="G438" s="12" t="n">
        <x:v>0</x:v>
      </x:c>
      <x:c r="H438" s="13" t="n">
        <x:v>0</x:v>
      </x:c>
      <x:c r="I438" s="10" t="n">
        <x:v>0</x:v>
      </x:c>
      <x:c r="J438" s="10" t="n">
        <x:v>0</x:v>
      </x:c>
      <x:c r="K438" s="10" t="str">
        <x:v>47 Mo.</x:v>
      </x:c>
      <x:c r="L438" s="10" t="n">
        <x:v>44</x:v>
      </x:c>
      <x:c r="M438" s="10" t="n">
        <x:v>0</x:v>
      </x:c>
      <x:c r="N438" s="10" t="n">
        <x:v>256</x:v>
      </x:c>
      <x:c r="O438" s="10" t="str">
        <x:v>Paper &amp; Party Supplies</x:v>
      </x:c>
      <x:c r="P438" s="10" t="n">
        <x:v>147</x:v>
      </x:c>
      <x:c r="Q438" s="10" t="n">
        <x:v>0</x:v>
      </x:c>
      <x:c r="R438" s="13" t="n">
        <x:v>0</x:v>
      </x:c>
      <x:c r="S438" s="10" t="n">
        <x:v>252001</x:v>
      </x:c>
      <x:c r="T438" s="10" t="str">
        <x:v>budget stickers,bill tracker sticker,pay bill stickers,finance stickers,weekly spendings,money stickers,bill planner sticker,paid stickers,bill due stickers,student loans,mortgage sticker,rent stickers,credit card sticker</x:v>
      </x:c>
      <x:c r="U438" s="10" t="str">
        <x:v>budget stickers</x:v>
      </x:c>
      <x:c r="V438" s="10" t="str">
        <x:v>bill tracker sticker</x:v>
      </x:c>
      <x:c r="W438" s="10" t="str">
        <x:v>pay bill stickers</x:v>
      </x:c>
      <x:c r="X438" s="10" t="str">
        <x:v>finance stickers</x:v>
      </x:c>
      <x:c r="Y438" s="10" t="str">
        <x:v>weekly spendings</x:v>
      </x:c>
      <x:c r="Z438" s="10" t="str">
        <x:v>money stickers</x:v>
      </x:c>
      <x:c r="AA438" s="10" t="str">
        <x:v>bill planner sticker</x:v>
      </x:c>
      <x:c r="AB438" s="10" t="str">
        <x:v>paid stickers</x:v>
      </x:c>
      <x:c r="AC438" s="10" t="str">
        <x:v>bill due stickers</x:v>
      </x:c>
      <x:c r="AD438" s="10" t="str">
        <x:v>student loans</x:v>
      </x:c>
      <x:c r="AE438" s="10" t="str">
        <x:v>mortgage sticker</x:v>
      </x:c>
      <x:c r="AF438" s="10" t="str">
        <x:v>rent stickers</x:v>
      </x:c>
      <x:c r="AG438" s="10" t="str">
        <x:v>credit card sticker</x:v>
      </x:c>
      <x:c r="AH438" s="10" t="str">
        <x:v>Other mortgage-related</x:v>
      </x:c>
      <x:c r="AI438" s="13" t="n">
        <x:v>47</x:v>
      </x:c>
      <x:c r="AJ438" s="10" t="str">
        <x:f>IF(F438&gt;0,"Active","No est. sales")</x:f>
        <x:v>No est. sales</x:v>
      </x:c>
    </x:row>
    <x:row r="439">
      <x:c r="A439" s="10" t="str">
        <x:v>First-Time Home Buyer Checklist | Home Buying Guide Workbook (Instant Download)</x:v>
      </x:c>
      <x:c r="B439" s="10" t="str">
        <x:v>https://www.etsy.com/listing/4520491932/first-time-home-buyer-checklist-home</x:v>
      </x:c>
      <x:c r="C439" s="10" t="str">
        <x:v>EliteCreatorHub</x:v>
      </x:c>
      <x:c r="D439" s="10" t="str">
        <x:v>https://www.etsy.com/shop/EliteCreatorHub</x:v>
      </x:c>
      <x:c r="E439" s="11" t="n">
        <x:v>12</x:v>
      </x:c>
      <x:c r="F439" s="10" t="n">
        <x:v>0</x:v>
      </x:c>
      <x:c r="G439" s="12" t="n">
        <x:v>0</x:v>
      </x:c>
      <x:c r="H439" s="13" t="n">
        <x:v>0</x:v>
      </x:c>
      <x:c r="I439" s="10" t="n">
        <x:v>0</x:v>
      </x:c>
      <x:c r="J439" s="10" t="n">
        <x:v>0</x:v>
      </x:c>
      <x:c r="K439" s="10" t="str">
        <x:v>1 Mo.</x:v>
      </x:c>
      <x:c r="L439" s="10" t="n">
        <x:v>0</x:v>
      </x:c>
      <x:c r="M439" s="10" t="n">
        <x:v>0</x:v>
      </x:c>
      <x:c r="N439" s="10" t="n">
        <x:v>8</x:v>
      </x:c>
      <x:c r="O439" s="10" t="str"/>
      <x:c r="P439" s="10" t="n">
        <x:v>6</x:v>
      </x:c>
      <x:c r="Q439" s="10" t="n">
        <x:v>0</x:v>
      </x:c>
      <x:c r="R439" s="13" t="n">
        <x:v>0</x:v>
      </x:c>
      <x:c r="S439" s="10" t="n">
        <x:v>0</x:v>
      </x:c>
      <x:c r="T439" s="10" t="str">
        <x:v>home buyer checklist,first time buyer,home buying guide,new homeowner gift,closing checklist,home buyer workbook,mortgage checklist,home purchase guide,realtor client gift,buying a home pdf,homebuyer planner,house  planner,real estate pdf</x:v>
      </x:c>
      <x:c r="U439" s="10" t="str">
        <x:v>home buyer checklist</x:v>
      </x:c>
      <x:c r="V439" s="10" t="str">
        <x:v>first time buyer</x:v>
      </x:c>
      <x:c r="W439" s="10" t="str">
        <x:v>home buying guide</x:v>
      </x:c>
      <x:c r="X439" s="10" t="str">
        <x:v>new homeowner gift</x:v>
      </x:c>
      <x:c r="Y439" s="10" t="str">
        <x:v>closing checklist</x:v>
      </x:c>
      <x:c r="Z439" s="10" t="str">
        <x:v>home buyer workbook</x:v>
      </x:c>
      <x:c r="AA439" s="10" t="str">
        <x:v>mortgage checklist</x:v>
      </x:c>
      <x:c r="AB439" s="10" t="str">
        <x:v>home purchase guide</x:v>
      </x:c>
      <x:c r="AC439" s="10" t="str">
        <x:v>realtor client gift</x:v>
      </x:c>
      <x:c r="AD439" s="10" t="str">
        <x:v>buying a home pdf</x:v>
      </x:c>
      <x:c r="AE439" s="10" t="str">
        <x:v>homebuyer planner</x:v>
      </x:c>
      <x:c r="AF439" s="10" t="str">
        <x:v>house  planner</x:v>
      </x:c>
      <x:c r="AG439" s="10" t="str">
        <x:v>real estate pdf</x:v>
      </x:c>
      <x:c r="AH439" s="10" t="str">
        <x:v>Home buying planner</x:v>
      </x:c>
      <x:c r="AI439" s="13" t="n">
        <x:v>1</x:v>
      </x:c>
      <x:c r="AJ439" s="10" t="str">
        <x:f>IF(F439&gt;0,"Active","No est. sales")</x:f>
        <x:v>No est. sales</x:v>
      </x:c>
    </x:row>
    <x:row r="440">
      <x:c r="A440" s="10" t="str">
        <x:v>Rent Due , Mortgage , Taxes , Property taxes Due Stickers | Budget | Bills | Tracker | Fits most planners | Erin Condren | Passion Planner</x:v>
      </x:c>
      <x:c r="B440" s="10" t="str">
        <x:v>https://www.etsy.com/listing/821073022/rent-due-mortgage-taxes-property-taxes</x:v>
      </x:c>
      <x:c r="C440" s="10" t="str">
        <x:v>ResseraDesigns</x:v>
      </x:c>
      <x:c r="D440" s="10" t="str">
        <x:v>https://www.etsy.com/shop/ResseraDesigns</x:v>
      </x:c>
      <x:c r="E440" s="11" t="n">
        <x:v>2.75</x:v>
      </x:c>
      <x:c r="F440" s="10" t="n">
        <x:v>0</x:v>
      </x:c>
      <x:c r="G440" s="12" t="n">
        <x:v>0</x:v>
      </x:c>
      <x:c r="H440" s="13" t="n">
        <x:v>0</x:v>
      </x:c>
      <x:c r="I440" s="10" t="n">
        <x:v>14</x:v>
      </x:c>
      <x:c r="J440" s="10" t="n">
        <x:v>3</x:v>
      </x:c>
      <x:c r="K440" s="10" t="str">
        <x:v>72 Mo.</x:v>
      </x:c>
      <x:c r="L440" s="10" t="n">
        <x:v>25</x:v>
      </x:c>
      <x:c r="M440" s="10" t="n">
        <x:v>0</x:v>
      </x:c>
      <x:c r="N440" s="10" t="n">
        <x:v>352</x:v>
      </x:c>
      <x:c r="O440" s="10" t="str">
        <x:v>Paper &amp; Party Supplies</x:v>
      </x:c>
      <x:c r="P440" s="10" t="n">
        <x:v>116</x:v>
      </x:c>
      <x:c r="Q440" s="10" t="n">
        <x:v>0</x:v>
      </x:c>
      <x:c r="R440" s="13" t="n">
        <x:v>3.98</x:v>
      </x:c>
      <x:c r="S440" s="10" t="n">
        <x:v>1395</x:v>
      </x:c>
      <x:c r="T440" s="10" t="str">
        <x:v>stickers,erin condren,happy planner,personal,planner,planning,ressera designs,bill due,budget,no spend,dave ramsey,rent due,payment tracker</x:v>
      </x:c>
      <x:c r="U440" s="10" t="str">
        <x:v>stickers</x:v>
      </x:c>
      <x:c r="V440" s="10" t="str">
        <x:v>erin condren</x:v>
      </x:c>
      <x:c r="W440" s="10" t="str">
        <x:v>happy planner</x:v>
      </x:c>
      <x:c r="X440" s="10" t="str">
        <x:v>personal</x:v>
      </x:c>
      <x:c r="Y440" s="10" t="str">
        <x:v>planner</x:v>
      </x:c>
      <x:c r="Z440" s="10" t="str">
        <x:v>planning</x:v>
      </x:c>
      <x:c r="AA440" s="10" t="str">
        <x:v>ressera designs</x:v>
      </x:c>
      <x:c r="AB440" s="10" t="str">
        <x:v>bill due</x:v>
      </x:c>
      <x:c r="AC440" s="10" t="str">
        <x:v>budget</x:v>
      </x:c>
      <x:c r="AD440" s="10" t="str">
        <x:v>no spend</x:v>
      </x:c>
      <x:c r="AE440" s="10" t="str">
        <x:v>dave ramsey</x:v>
      </x:c>
      <x:c r="AF440" s="10" t="str">
        <x:v>rent due</x:v>
      </x:c>
      <x:c r="AG440" s="10" t="str">
        <x:v>payment tracker</x:v>
      </x:c>
      <x:c r="AH440" s="10" t="str">
        <x:v>Other mortgage-related</x:v>
      </x:c>
      <x:c r="AI440" s="13" t="n">
        <x:v>72</x:v>
      </x:c>
      <x:c r="AJ440" s="10" t="str">
        <x:f>IF(F440&gt;0,"Active","No est. sales")</x:f>
        <x:v>No est. sales</x:v>
      </x:c>
    </x:row>
    <x:row r="441">
      <x:c r="A441" s="10" t="str">
        <x:v>Mortgage Payment Calculator | Real Estate Financial Model | Debt Repayment Planner | Excel &amp; Google Sheets Tool | Real Estate Marketing</x:v>
      </x:c>
      <x:c r="B441" s="10" t="str">
        <x:v>https://www.etsy.com/listing/1803776990/mortgage-payment-calculator-real-estate</x:v>
      </x:c>
      <x:c r="C441" s="10" t="str">
        <x:v>GimiGo</x:v>
      </x:c>
      <x:c r="D441" s="10" t="str">
        <x:v>https://www.etsy.com/shop/GimiGo</x:v>
      </x:c>
      <x:c r="E441" s="11" t="n">
        <x:v>4</x:v>
      </x:c>
      <x:c r="F441" s="10" t="n">
        <x:v>0</x:v>
      </x:c>
      <x:c r="G441" s="12" t="n">
        <x:v>0</x:v>
      </x:c>
      <x:c r="H441" s="13" t="n">
        <x:v>0</x:v>
      </x:c>
      <x:c r="I441" s="10" t="n">
        <x:v>0</x:v>
      </x:c>
      <x:c r="J441" s="10" t="n">
        <x:v>0</x:v>
      </x:c>
      <x:c r="K441" s="10" t="str">
        <x:v>21 Mo.</x:v>
      </x:c>
      <x:c r="L441" s="10" t="n">
        <x:v>1</x:v>
      </x:c>
      <x:c r="M441" s="10" t="n">
        <x:v>0</x:v>
      </x:c>
      <x:c r="N441" s="10" t="n">
        <x:v>40</x:v>
      </x:c>
      <x:c r="O441" s="10" t="str"/>
      <x:c r="P441" s="10" t="n">
        <x:v>24</x:v>
      </x:c>
      <x:c r="Q441" s="10" t="n">
        <x:v>0</x:v>
      </x:c>
      <x:c r="R441" s="13" t="n">
        <x:v>0</x:v>
      </x:c>
      <x:c r="S441" s="10" t="n">
        <x:v>1257</x:v>
      </x:c>
      <x:c r="T441" s="10" t="str">
        <x:v>excel,mortgage,financial model,google sheets,templates,real estate,monthly payment,interest rate,calculator,debt,debt payment,house payment,mortgage calculator</x:v>
      </x:c>
      <x:c r="U441" s="10" t="str">
        <x:v>excel</x:v>
      </x:c>
      <x:c r="V441" s="10" t="str">
        <x:v>mortgage</x:v>
      </x:c>
      <x:c r="W441" s="10" t="str">
        <x:v>financial model</x:v>
      </x:c>
      <x:c r="X441" s="10" t="str">
        <x:v>google sheets</x:v>
      </x:c>
      <x:c r="Y441" s="10" t="str">
        <x:v>templates</x:v>
      </x:c>
      <x:c r="Z441" s="10" t="str">
        <x:v>real estate</x:v>
      </x:c>
      <x:c r="AA441" s="10" t="str">
        <x:v>monthly payment</x:v>
      </x:c>
      <x:c r="AB441" s="10" t="str">
        <x:v>interest rate</x:v>
      </x:c>
      <x:c r="AC441" s="10" t="str">
        <x:v>calculator</x:v>
      </x:c>
      <x:c r="AD441" s="10" t="str">
        <x:v>debt</x:v>
      </x:c>
      <x:c r="AE441" s="10" t="str">
        <x:v>debt payment</x:v>
      </x:c>
      <x:c r="AF441" s="10" t="str">
        <x:v>house payment</x:v>
      </x:c>
      <x:c r="AG441" s="10" t="str">
        <x:v>mortgage calculator</x:v>
      </x:c>
      <x:c r="AH441" s="10" t="str">
        <x:v>Other mortgage-related</x:v>
      </x:c>
      <x:c r="AI441" s="13" t="n">
        <x:v>21</x:v>
      </x:c>
      <x:c r="AJ441" s="10" t="str">
        <x:f>IF(F441&gt;0,"Active","No est. sales")</x:f>
        <x:v>No est. sales</x:v>
      </x:c>
    </x:row>
    <x:row r="442">
      <x:c r="A442" s="10" t="str">
        <x:v>House Icon Planner Stickers | I-155</x:v>
      </x:c>
      <x:c r="B442" s="10" t="str">
        <x:v>https://www.etsy.com/listing/955295611/house-icon-planner-stickers-i-155</x:v>
      </x:c>
      <x:c r="C442" s="10" t="str">
        <x:v>OrangeUmbrellaCo</x:v>
      </x:c>
      <x:c r="D442" s="10" t="str">
        <x:v>https://www.etsy.com/shop/OrangeUmbrellaCo</x:v>
      </x:c>
      <x:c r="E442" s="11" t="n">
        <x:v>2.88</x:v>
      </x:c>
      <x:c r="F442" s="10" t="n">
        <x:v>0</x:v>
      </x:c>
      <x:c r="G442" s="12" t="n">
        <x:v>0</x:v>
      </x:c>
      <x:c r="H442" s="13" t="n">
        <x:v>0</x:v>
      </x:c>
      <x:c r="I442" s="10" t="n">
        <x:v>51</x:v>
      </x:c>
      <x:c r="J442" s="10" t="n">
        <x:v>9</x:v>
      </x:c>
      <x:c r="K442" s="10" t="str">
        <x:v>65 Mo.</x:v>
      </x:c>
      <x:c r="L442" s="10" t="n">
        <x:v>75</x:v>
      </x:c>
      <x:c r="M442" s="10" t="n">
        <x:v>0</x:v>
      </x:c>
      <x:c r="N442" s="10" t="n">
        <x:v>1250</x:v>
      </x:c>
      <x:c r="O442" s="10" t="str">
        <x:v>Paper &amp; Party Supplies</x:v>
      </x:c>
      <x:c r="P442" s="10" t="n">
        <x:v>150</x:v>
      </x:c>
      <x:c r="Q442" s="10" t="n">
        <x:v>0</x:v>
      </x:c>
      <x:c r="R442" s="13" t="n">
        <x:v>4.08</x:v>
      </x:c>
      <x:c r="S442" s="10" t="n">
        <x:v>142031</x:v>
      </x:c>
      <x:c r="T442" s="10" t="str">
        <x:v>planner stickers,planner sticker,planner labels,planner label,stickers for planner,planner supplies,house icon,house payment icon,rent icon stickers,rent reminder icon,house payment icons,mortgage icon label,house stickers</x:v>
      </x:c>
      <x:c r="U442" s="10" t="str">
        <x:v>planner stickers</x:v>
      </x:c>
      <x:c r="V442" s="10" t="str">
        <x:v>planner sticker</x:v>
      </x:c>
      <x:c r="W442" s="10" t="str">
        <x:v>planner labels</x:v>
      </x:c>
      <x:c r="X442" s="10" t="str">
        <x:v>planner label</x:v>
      </x:c>
      <x:c r="Y442" s="10" t="str">
        <x:v>stickers for planner</x:v>
      </x:c>
      <x:c r="Z442" s="10" t="str">
        <x:v>planner supplies</x:v>
      </x:c>
      <x:c r="AA442" s="10" t="str">
        <x:v>house icon</x:v>
      </x:c>
      <x:c r="AB442" s="10" t="str">
        <x:v>house payment icon</x:v>
      </x:c>
      <x:c r="AC442" s="10" t="str">
        <x:v>rent icon stickers</x:v>
      </x:c>
      <x:c r="AD442" s="10" t="str">
        <x:v>rent reminder icon</x:v>
      </x:c>
      <x:c r="AE442" s="10" t="str">
        <x:v>house payment icons</x:v>
      </x:c>
      <x:c r="AF442" s="10" t="str">
        <x:v>mortgage icon label</x:v>
      </x:c>
      <x:c r="AG442" s="10" t="str">
        <x:v>house stickers</x:v>
      </x:c>
      <x:c r="AH442" s="10" t="str">
        <x:v>Other mortgage-related</x:v>
      </x:c>
      <x:c r="AI442" s="13" t="n">
        <x:v>65</x:v>
      </x:c>
      <x:c r="AJ442" s="10" t="str">
        <x:f>IF(F442&gt;0,"Active","No est. sales")</x:f>
        <x:v>No est. sales</x:v>
      </x:c>
    </x:row>
    <x:row r="443">
      <x:c r="A443" s="10" t="str">
        <x:v>Pay Mortgage Icon Script Planner Stickers | FC11 | E-109</x:v>
      </x:c>
      <x:c r="B443" s="10" t="str">
        <x:v>https://www.etsy.com/listing/1047836821/pay-mortgage-icon-script-planner</x:v>
      </x:c>
      <x:c r="C443" s="10" t="str">
        <x:v>OrangeUmbrellaCo</x:v>
      </x:c>
      <x:c r="D443" s="10" t="str">
        <x:v>https://www.etsy.com/shop/OrangeUmbrellaCo</x:v>
      </x:c>
      <x:c r="E443" s="11" t="n">
        <x:v>3.67</x:v>
      </x:c>
      <x:c r="F443" s="10" t="n">
        <x:v>0</x:v>
      </x:c>
      <x:c r="G443" s="12" t="n">
        <x:v>0</x:v>
      </x:c>
      <x:c r="H443" s="13" t="n">
        <x:v>0</x:v>
      </x:c>
      <x:c r="I443" s="10" t="n">
        <x:v>28</x:v>
      </x:c>
      <x:c r="J443" s="10" t="n">
        <x:v>5</x:v>
      </x:c>
      <x:c r="K443" s="10" t="str">
        <x:v>60 Mo.</x:v>
      </x:c>
      <x:c r="L443" s="10" t="n">
        <x:v>15</x:v>
      </x:c>
      <x:c r="M443" s="10" t="n">
        <x:v>0</x:v>
      </x:c>
      <x:c r="N443" s="10" t="n">
        <x:v>498</x:v>
      </x:c>
      <x:c r="O443" s="10" t="str">
        <x:v>Paper &amp; Party Supplies</x:v>
      </x:c>
      <x:c r="P443" s="10" t="n">
        <x:v>150</x:v>
      </x:c>
      <x:c r="Q443" s="10" t="n">
        <x:v>0</x:v>
      </x:c>
      <x:c r="R443" s="13" t="n">
        <x:v>5.62</x:v>
      </x:c>
      <x:c r="S443" s="10" t="n">
        <x:v>142031</x:v>
      </x:c>
      <x:c r="T443" s="10" t="str">
        <x:v>planner stickers,planner sticker,planner labels,planner label,stickers for planner,planner supplies,house payment icon,house payment icons,mortgage icon label,house stickers,house script icon,pay mortgage icon,pay mortgage script</x:v>
      </x:c>
      <x:c r="U443" s="10" t="str">
        <x:v>planner stickers</x:v>
      </x:c>
      <x:c r="V443" s="10" t="str">
        <x:v>planner sticker</x:v>
      </x:c>
      <x:c r="W443" s="10" t="str">
        <x:v>planner labels</x:v>
      </x:c>
      <x:c r="X443" s="10" t="str">
        <x:v>planner label</x:v>
      </x:c>
      <x:c r="Y443" s="10" t="str">
        <x:v>stickers for planner</x:v>
      </x:c>
      <x:c r="Z443" s="10" t="str">
        <x:v>planner supplies</x:v>
      </x:c>
      <x:c r="AA443" s="10" t="str">
        <x:v>house payment icon</x:v>
      </x:c>
      <x:c r="AB443" s="10" t="str">
        <x:v>house payment icons</x:v>
      </x:c>
      <x:c r="AC443" s="10" t="str">
        <x:v>mortgage icon label</x:v>
      </x:c>
      <x:c r="AD443" s="10" t="str">
        <x:v>house stickers</x:v>
      </x:c>
      <x:c r="AE443" s="10" t="str">
        <x:v>house script icon</x:v>
      </x:c>
      <x:c r="AF443" s="10" t="str">
        <x:v>pay mortgage icon</x:v>
      </x:c>
      <x:c r="AG443" s="10" t="str">
        <x:v>pay mortgage script</x:v>
      </x:c>
      <x:c r="AH443" s="10" t="str">
        <x:v>Other mortgage-related</x:v>
      </x:c>
      <x:c r="AI443" s="13" t="n">
        <x:v>60</x:v>
      </x:c>
      <x:c r="AJ443" s="10" t="str">
        <x:f>IF(F443&gt;0,"Active","No est. sales")</x:f>
        <x:v>No est. sales</x:v>
      </x:c>
    </x:row>
    <x:row r="444">
      <x:c r="A444" s="10" t="str">
        <x:v>Mortgage Repayment Tracker Google Sheets Template Extra Repayment Calculator Interest Savings</x:v>
      </x:c>
      <x:c r="B444" s="10" t="str">
        <x:v>https://www.etsy.com/listing/4504814400/mortgage-repayment-tracker-google-sheets</x:v>
      </x:c>
      <x:c r="C444" s="10" t="str">
        <x:v>OrbyteStudio</x:v>
      </x:c>
      <x:c r="D444" s="10" t="str">
        <x:v>https://www.etsy.com/shop/OrbyteStudio</x:v>
      </x:c>
      <x:c r="E444" s="11" t="n">
        <x:v>2.79</x:v>
      </x:c>
      <x:c r="F444" s="10" t="n">
        <x:v>0</x:v>
      </x:c>
      <x:c r="G444" s="12" t="n">
        <x:v>0</x:v>
      </x:c>
      <x:c r="H444" s="13" t="n">
        <x:v>0</x:v>
      </x:c>
      <x:c r="I444" s="10" t="n">
        <x:v>0</x:v>
      </x:c>
      <x:c r="J444" s="10" t="n">
        <x:v>0</x:v>
      </x:c>
      <x:c r="K444" s="10" t="str">
        <x:v>2 Mo.</x:v>
      </x:c>
      <x:c r="L444" s="10" t="n">
        <x:v>0</x:v>
      </x:c>
      <x:c r="M444" s="10" t="n">
        <x:v>0</x:v>
      </x:c>
      <x:c r="N444" s="10" t="n">
        <x:v>11</x:v>
      </x:c>
      <x:c r="O444" s="10" t="str"/>
      <x:c r="P444" s="10" t="n">
        <x:v>9</x:v>
      </x:c>
      <x:c r="Q444" s="10" t="n">
        <x:v>0</x:v>
      </x:c>
      <x:c r="R444" s="13" t="n">
        <x:v>0</x:v>
      </x:c>
      <x:c r="S444" s="10" t="n">
        <x:v>0</x:v>
      </x:c>
      <x:c r="T444" s="10" t="str">
        <x:v>mortgage tracker,home loan tracker,extra repayment,mortgage repayment,interest savings,home loan planner,mortgage payoff,australian mortgage,loan repayment,mortgage calculator,home loan log,repayment tracker,google sheets</x:v>
      </x:c>
      <x:c r="U444" s="10" t="str">
        <x:v>mortgage tracker</x:v>
      </x:c>
      <x:c r="V444" s="10" t="str">
        <x:v>home loan tracker</x:v>
      </x:c>
      <x:c r="W444" s="10" t="str">
        <x:v>extra repayment</x:v>
      </x:c>
      <x:c r="X444" s="10" t="str">
        <x:v>mortgage repayment</x:v>
      </x:c>
      <x:c r="Y444" s="10" t="str">
        <x:v>interest savings</x:v>
      </x:c>
      <x:c r="Z444" s="10" t="str">
        <x:v>home loan planner</x:v>
      </x:c>
      <x:c r="AA444" s="10" t="str">
        <x:v>mortgage payoff</x:v>
      </x:c>
      <x:c r="AB444" s="10" t="str">
        <x:v>australian mortgage</x:v>
      </x:c>
      <x:c r="AC444" s="10" t="str">
        <x:v>loan repayment</x:v>
      </x:c>
      <x:c r="AD444" s="10" t="str">
        <x:v>mortgage calculator</x:v>
      </x:c>
      <x:c r="AE444" s="10" t="str">
        <x:v>home loan log</x:v>
      </x:c>
      <x:c r="AF444" s="10" t="str">
        <x:v>repayment tracker</x:v>
      </x:c>
      <x:c r="AG444" s="10" t="str">
        <x:v>google sheets</x:v>
      </x:c>
      <x:c r="AH444" s="10" t="str">
        <x:v>Other mortgage-related</x:v>
      </x:c>
      <x:c r="AI444" s="13" t="n">
        <x:v>2</x:v>
      </x:c>
      <x:c r="AJ444" s="10" t="str">
        <x:f>IF(F444&gt;0,"Active","No est. sales")</x:f>
        <x:v>No est. sales</x:v>
      </x:c>
    </x:row>
    <x:row r="445">
      <x:c r="A445" s="10" t="str">
        <x:v>Loan Amortization Calculator | Google Sheets Loan Payment Tracker | Car Loan, Mortgage &amp; Debt Payoff Spreadsheet Template</x:v>
      </x:c>
      <x:c r="B445" s="10" t="str">
        <x:v>https://www.etsy.com/listing/4356335109/loan-amortization-calculator-google</x:v>
      </x:c>
      <x:c r="C445" s="10" t="str">
        <x:v>EarthEyeCreative</x:v>
      </x:c>
      <x:c r="D445" s="10" t="str">
        <x:v>https://www.etsy.com/shop/EarthEyeCreative</x:v>
      </x:c>
      <x:c r="E445" s="11" t="n">
        <x:v>5</x:v>
      </x:c>
      <x:c r="F445" s="10" t="n">
        <x:v>0</x:v>
      </x:c>
      <x:c r="G445" s="12" t="n">
        <x:v>0</x:v>
      </x:c>
      <x:c r="H445" s="13" t="n">
        <x:v>0</x:v>
      </x:c>
      <x:c r="I445" s="10" t="n">
        <x:v>0</x:v>
      </x:c>
      <x:c r="J445" s="10" t="n">
        <x:v>0</x:v>
      </x:c>
      <x:c r="K445" s="10" t="str">
        <x:v>11 Mo.</x:v>
      </x:c>
      <x:c r="L445" s="10" t="n">
        <x:v>1</x:v>
      </x:c>
      <x:c r="M445" s="10" t="n">
        <x:v>0</x:v>
      </x:c>
      <x:c r="N445" s="10" t="n">
        <x:v>50</x:v>
      </x:c>
      <x:c r="O445" s="10" t="str"/>
      <x:c r="P445" s="10" t="n">
        <x:v>14</x:v>
      </x:c>
      <x:c r="Q445" s="10" t="n">
        <x:v>0</x:v>
      </x:c>
      <x:c r="R445" s="13" t="n">
        <x:v>0</x:v>
      </x:c>
      <x:c r="S445" s="10" t="n">
        <x:v>3</x:v>
      </x:c>
      <x:c r="T445" s="10" t="str">
        <x:v>loan calculator,google sheets loan,debt payoff tracker,mortgage calculator,car loan template,loan payment tracker,financial planner,loan payoff sheet,budget spreadsheet,student loan tracker,money management,debt snowball sheet,home loan tracker</x:v>
      </x:c>
      <x:c r="U445" s="10" t="str">
        <x:v>loan calculator</x:v>
      </x:c>
      <x:c r="V445" s="10" t="str">
        <x:v>google sheets loan</x:v>
      </x:c>
      <x:c r="W445" s="10" t="str">
        <x:v>debt payoff tracker</x:v>
      </x:c>
      <x:c r="X445" s="10" t="str">
        <x:v>mortgage calculator</x:v>
      </x:c>
      <x:c r="Y445" s="10" t="str">
        <x:v>car loan template</x:v>
      </x:c>
      <x:c r="Z445" s="10" t="str">
        <x:v>loan payment tracker</x:v>
      </x:c>
      <x:c r="AA445" s="10" t="str">
        <x:v>financial planner</x:v>
      </x:c>
      <x:c r="AB445" s="10" t="str">
        <x:v>loan payoff sheet</x:v>
      </x:c>
      <x:c r="AC445" s="10" t="str">
        <x:v>budget spreadsheet</x:v>
      </x:c>
      <x:c r="AD445" s="10" t="str">
        <x:v>student loan tracker</x:v>
      </x:c>
      <x:c r="AE445" s="10" t="str">
        <x:v>money management</x:v>
      </x:c>
      <x:c r="AF445" s="10" t="str">
        <x:v>debt snowball sheet</x:v>
      </x:c>
      <x:c r="AG445" s="10" t="str">
        <x:v>home loan tracker</x:v>
      </x:c>
      <x:c r="AH445" s="10" t="str">
        <x:v>General debt payoff</x:v>
      </x:c>
      <x:c r="AI445" s="13" t="n">
        <x:v>11</x:v>
      </x:c>
      <x:c r="AJ445" s="10" t="str">
        <x:f>IF(F445&gt;0,"Active","No est. sales")</x:f>
        <x:v>No est. sales</x:v>
      </x:c>
    </x:row>
    <x:row r="446">
      <x:c r="A446" s="10" t="str">
        <x:v>First Time Home Buyer Spreadsheet Excel | Mortgage Comparison &amp; Savings Tracker | Home Purchase Planner</x:v>
      </x:c>
      <x:c r="B446" s="10" t="str">
        <x:v>https://www.etsy.com/listing/4462749811/first-time-home-buyer-spreadsheet-excel</x:v>
      </x:c>
      <x:c r="C446" s="10" t="str">
        <x:v>NachoAvgMillennial</x:v>
      </x:c>
      <x:c r="D446" s="10" t="str">
        <x:v>https://www.etsy.com/shop/NachoAvgMillennial</x:v>
      </x:c>
      <x:c r="E446" s="11" t="n">
        <x:v>14.99</x:v>
      </x:c>
      <x:c r="F446" s="10" t="n">
        <x:v>0</x:v>
      </x:c>
      <x:c r="G446" s="12" t="n">
        <x:v>0</x:v>
      </x:c>
      <x:c r="H446" s="13" t="n">
        <x:v>0</x:v>
      </x:c>
      <x:c r="I446" s="10" t="n">
        <x:v>0</x:v>
      </x:c>
      <x:c r="J446" s="10" t="n">
        <x:v>0</x:v>
      </x:c>
      <x:c r="K446" s="10" t="str">
        <x:v>5 Mo.</x:v>
      </x:c>
      <x:c r="L446" s="10" t="n">
        <x:v>0</x:v>
      </x:c>
      <x:c r="M446" s="10" t="n">
        <x:v>0</x:v>
      </x:c>
      <x:c r="N446" s="10" t="n">
        <x:v>8</x:v>
      </x:c>
      <x:c r="O446" s="10" t="str"/>
      <x:c r="P446" s="10" t="n">
        <x:v>77</x:v>
      </x:c>
      <x:c r="Q446" s="10" t="n">
        <x:v>0</x:v>
      </x:c>
      <x:c r="R446" s="13" t="n">
        <x:v>0</x:v>
      </x:c>
      <x:c r="S446" s="10" t="n">
        <x:v>44</x:v>
      </x:c>
      <x:c r="T446" s="10" t="str">
        <x:v>home buyer,first time buyer,mortgage tracker,home buying guide,down payment,home purchase,mortgage compare,house savings,home search log,closing costs,real estate tool,home buyer tool,first home</x:v>
      </x:c>
      <x:c r="U446" s="10" t="str">
        <x:v>home buyer</x:v>
      </x:c>
      <x:c r="V446" s="10" t="str">
        <x:v>first time buyer</x:v>
      </x:c>
      <x:c r="W446" s="10" t="str">
        <x:v>mortgage tracker</x:v>
      </x:c>
      <x:c r="X446" s="10" t="str">
        <x:v>home buying guide</x:v>
      </x:c>
      <x:c r="Y446" s="10" t="str">
        <x:v>down payment</x:v>
      </x:c>
      <x:c r="Z446" s="10" t="str">
        <x:v>home purchase</x:v>
      </x:c>
      <x:c r="AA446" s="10" t="str">
        <x:v>mortgage compare</x:v>
      </x:c>
      <x:c r="AB446" s="10" t="str">
        <x:v>house savings</x:v>
      </x:c>
      <x:c r="AC446" s="10" t="str">
        <x:v>home search log</x:v>
      </x:c>
      <x:c r="AD446" s="10" t="str">
        <x:v>closing costs</x:v>
      </x:c>
      <x:c r="AE446" s="10" t="str">
        <x:v>real estate tool</x:v>
      </x:c>
      <x:c r="AF446" s="10" t="str">
        <x:v>home buyer tool</x:v>
      </x:c>
      <x:c r="AG446" s="10" t="str">
        <x:v>first home</x:v>
      </x:c>
      <x:c r="AH446" s="10" t="str">
        <x:v>Home buying planner</x:v>
      </x:c>
      <x:c r="AI446" s="13" t="n">
        <x:v>5</x:v>
      </x:c>
      <x:c r="AJ446" s="10" t="str">
        <x:f>IF(F446&gt;0,"Active","No est. sales")</x:f>
        <x:v>No est. sales</x:v>
      </x:c>
    </x:row>
    <x:row r="447">
      <x:c r="A447" s="10" t="str">
        <x:v>First Home Buyer Planner Excel Google Sheets Mortgage Deposit Stamp Duty Budget Moving Cost Tracker Spreadsheet Template</x:v>
      </x:c>
      <x:c r="B447" s="10" t="str">
        <x:v>https://www.etsy.com/listing/4519941316/first-home-buyer-planner-excel-google</x:v>
      </x:c>
      <x:c r="C447" s="10" t="str">
        <x:v>BudgetNestDesigns</x:v>
      </x:c>
      <x:c r="D447" s="10" t="str">
        <x:v>https://www.etsy.com/shop/BudgetNestDesigns</x:v>
      </x:c>
      <x:c r="E447" s="11" t="n">
        <x:v>6.65</x:v>
      </x:c>
      <x:c r="F447" s="10" t="n">
        <x:v>0</x:v>
      </x:c>
      <x:c r="G447" s="12" t="n">
        <x:v>0</x:v>
      </x:c>
      <x:c r="H447" s="13" t="n">
        <x:v>0</x:v>
      </x:c>
      <x:c r="I447" s="10" t="n">
        <x:v>0</x:v>
      </x:c>
      <x:c r="J447" s="10" t="n">
        <x:v>0</x:v>
      </x:c>
      <x:c r="K447" s="10" t="str">
        <x:v>1 Mo.</x:v>
      </x:c>
      <x:c r="L447" s="10" t="n">
        <x:v>0</x:v>
      </x:c>
      <x:c r="M447" s="10" t="n">
        <x:v>0</x:v>
      </x:c>
      <x:c r="N447" s="10" t="n">
        <x:v>6</x:v>
      </x:c>
      <x:c r="O447" s="10" t="str"/>
      <x:c r="P447" s="10" t="n">
        <x:v>8</x:v>
      </x:c>
      <x:c r="Q447" s="10" t="n">
        <x:v>0</x:v>
      </x:c>
      <x:c r="R447" s="13" t="n">
        <x:v>0</x:v>
      </x:c>
      <x:c r="S447" s="10" t="n">
        <x:v>8</x:v>
      </x:c>
      <x:c r="T447" s="10" t="str">
        <x:v>home improvement,housewarming gift,personalized,new home,realtor closing gift,project planner,first home buyer,home buyer planner,mortgage deposit,stamp duty budget,moving cost,property planner,mortgage tracker</x:v>
      </x:c>
      <x:c r="U447" s="10" t="str">
        <x:v>home improvement</x:v>
      </x:c>
      <x:c r="V447" s="10" t="str">
        <x:v>housewarming gift</x:v>
      </x:c>
      <x:c r="W447" s="10" t="str">
        <x:v>personalized</x:v>
      </x:c>
      <x:c r="X447" s="10" t="str">
        <x:v>new home</x:v>
      </x:c>
      <x:c r="Y447" s="10" t="str">
        <x:v>realtor closing gift</x:v>
      </x:c>
      <x:c r="Z447" s="10" t="str">
        <x:v>project planner</x:v>
      </x:c>
      <x:c r="AA447" s="10" t="str">
        <x:v>first home buyer</x:v>
      </x:c>
      <x:c r="AB447" s="10" t="str">
        <x:v>home buyer planner</x:v>
      </x:c>
      <x:c r="AC447" s="10" t="str">
        <x:v>mortgage deposit</x:v>
      </x:c>
      <x:c r="AD447" s="10" t="str">
        <x:v>stamp duty budget</x:v>
      </x:c>
      <x:c r="AE447" s="10" t="str">
        <x:v>moving cost</x:v>
      </x:c>
      <x:c r="AF447" s="10" t="str">
        <x:v>property planner</x:v>
      </x:c>
      <x:c r="AG447" s="10" t="str">
        <x:v>mortgage tracker</x:v>
      </x:c>
      <x:c r="AH447" s="10" t="str">
        <x:v>Home buying planner</x:v>
      </x:c>
      <x:c r="AI447" s="13" t="n">
        <x:v>1</x:v>
      </x:c>
      <x:c r="AJ447" s="10" t="str">
        <x:f>IF(F447&gt;0,"Active","No est. sales")</x:f>
        <x:v>No est. sales</x:v>
      </x:c>
    </x:row>
    <x:row r="448">
      <x:c r="A448" s="10" t="str">
        <x:v>Mortgage Cursive Script Planner Stickers, Functional Cursive Script Stickers, Bold Cursive Font, Wide Width Script Stickers, Black Color</x:v>
      </x:c>
      <x:c r="B448" s="10" t="str">
        <x:v>https://www.etsy.com/listing/4383690853/mortgage-cursive-script-planner-stickers</x:v>
      </x:c>
      <x:c r="C448" s="10" t="str">
        <x:v>PlushPlanning</x:v>
      </x:c>
      <x:c r="D448" s="10" t="str">
        <x:v>https://www.etsy.com/shop/PlushPlanning</x:v>
      </x:c>
      <x:c r="E448" s="11" t="n">
        <x:v>3.99</x:v>
      </x:c>
      <x:c r="F448" s="10" t="n">
        <x:v>0</x:v>
      </x:c>
      <x:c r="G448" s="12" t="n">
        <x:v>0</x:v>
      </x:c>
      <x:c r="H448" s="13" t="n">
        <x:v>0</x:v>
      </x:c>
      <x:c r="I448" s="10" t="n">
        <x:v>0</x:v>
      </x:c>
      <x:c r="J448" s="10" t="n">
        <x:v>0</x:v>
      </x:c>
      <x:c r="K448" s="10" t="str">
        <x:v>9 Mo.</x:v>
      </x:c>
      <x:c r="L448" s="10" t="n">
        <x:v>2</x:v>
      </x:c>
      <x:c r="M448" s="10" t="n">
        <x:v>0</x:v>
      </x:c>
      <x:c r="N448" s="10" t="n">
        <x:v>3</x:v>
      </x:c>
      <x:c r="O448" s="10" t="str">
        <x:v>Paper &amp; Party Supplies</x:v>
      </x:c>
      <x:c r="P448" s="10" t="n">
        <x:v>78</x:v>
      </x:c>
      <x:c r="Q448" s="10" t="n">
        <x:v>0</x:v>
      </x:c>
      <x:c r="R448" s="13" t="n">
        <x:v>0</x:v>
      </x:c>
      <x:c r="S448" s="10" t="n">
        <x:v>50202</x:v>
      </x:c>
      <x:c r="T448" s="10" t="str">
        <x:v>cursive sticker,cursive stickers,cursive script,cursive scripts,planner sticker,planner stickers,planners,planning,etsy,plannerkate,plush planning</x:v>
      </x:c>
      <x:c r="U448" s="10" t="str">
        <x:v>cursive sticker</x:v>
      </x:c>
      <x:c r="V448" s="10" t="str">
        <x:v>cursive stickers</x:v>
      </x:c>
      <x:c r="W448" s="10" t="str">
        <x:v>cursive script</x:v>
      </x:c>
      <x:c r="X448" s="10" t="str">
        <x:v>cursive scripts</x:v>
      </x:c>
      <x:c r="Y448" s="10" t="str">
        <x:v>planner sticker</x:v>
      </x:c>
      <x:c r="Z448" s="10" t="str">
        <x:v>planner stickers</x:v>
      </x:c>
      <x:c r="AA448" s="10" t="str">
        <x:v>planners</x:v>
      </x:c>
      <x:c r="AB448" s="10" t="str">
        <x:v>planning</x:v>
      </x:c>
      <x:c r="AC448" s="10" t="str">
        <x:v>etsy</x:v>
      </x:c>
      <x:c r="AD448" s="10" t="str">
        <x:v>plannerkate</x:v>
      </x:c>
      <x:c r="AE448" s="10" t="str">
        <x:v>plush planning</x:v>
      </x:c>
      <x:c r="AF448" s="10" t="str">
        <x:v>--</x:v>
      </x:c>
      <x:c r="AG448" s="10" t="str">
        <x:v>--</x:v>
      </x:c>
      <x:c r="AH448" s="10" t="str">
        <x:v>Other mortgage-related</x:v>
      </x:c>
      <x:c r="AI448" s="13" t="n">
        <x:v>9</x:v>
      </x:c>
      <x:c r="AJ448" s="10" t="str">
        <x:f>IF(F448&gt;0,"Active","No est. sales")</x:f>
        <x:v>No est. sales</x:v>
      </x:c>
    </x:row>
    <x:row r="449">
      <x:c r="A449" s="10" t="str">
        <x:v>Real Estate Spreadsheet for Google Sheets and Excel Property Comparison and Investment Dashboard</x:v>
      </x:c>
      <x:c r="B449" s="10" t="str">
        <x:v>https://www.etsy.com/listing/4483998733/real-estate-spreadsheet-for-google</x:v>
      </x:c>
      <x:c r="C449" s="10" t="str">
        <x:v>TrackerPro</x:v>
      </x:c>
      <x:c r="D449" s="10" t="str">
        <x:v>https://www.etsy.com/shop/TrackerPro</x:v>
      </x:c>
      <x:c r="E449" s="11" t="n">
        <x:v>7.43</x:v>
      </x:c>
      <x:c r="F449" s="10" t="n">
        <x:v>0</x:v>
      </x:c>
      <x:c r="G449" s="12" t="n">
        <x:v>0</x:v>
      </x:c>
      <x:c r="H449" s="13" t="n">
        <x:v>0</x:v>
      </x:c>
      <x:c r="I449" s="10" t="n">
        <x:v>0</x:v>
      </x:c>
      <x:c r="J449" s="10" t="n">
        <x:v>0</x:v>
      </x:c>
      <x:c r="K449" s="10" t="str">
        <x:v>3 Mo.</x:v>
      </x:c>
      <x:c r="L449" s="10" t="n">
        <x:v>1</x:v>
      </x:c>
      <x:c r="M449" s="10" t="n">
        <x:v>0</x:v>
      </x:c>
      <x:c r="N449" s="10" t="n">
        <x:v>9</x:v>
      </x:c>
      <x:c r="O449" s="10" t="str">
        <x:v>Paper &amp; Party Supplies</x:v>
      </x:c>
      <x:c r="P449" s="10" t="n">
        <x:v>43</x:v>
      </x:c>
      <x:c r="Q449" s="10" t="n">
        <x:v>0</x:v>
      </x:c>
      <x:c r="R449" s="13" t="n">
        <x:v>0</x:v>
      </x:c>
      <x:c r="S449" s="10" t="n">
        <x:v>18476</x:v>
      </x:c>
      <x:c r="T449" s="10" t="str">
        <x:v>real estate,property compare,home buying,investment sheet,cost analysis,house planner,mortgage log,price tracker,summer move,property tracker,buying planner,financial sheet,real estate tool</x:v>
      </x:c>
      <x:c r="U449" s="10" t="str">
        <x:v>real estate</x:v>
      </x:c>
      <x:c r="V449" s="10" t="str">
        <x:v>property compare</x:v>
      </x:c>
      <x:c r="W449" s="10" t="str">
        <x:v>home buying</x:v>
      </x:c>
      <x:c r="X449" s="10" t="str">
        <x:v>investment sheet</x:v>
      </x:c>
      <x:c r="Y449" s="10" t="str">
        <x:v>cost analysis</x:v>
      </x:c>
      <x:c r="Z449" s="10" t="str">
        <x:v>house planner</x:v>
      </x:c>
      <x:c r="AA449" s="10" t="str">
        <x:v>mortgage log</x:v>
      </x:c>
      <x:c r="AB449" s="10" t="str">
        <x:v>price tracker</x:v>
      </x:c>
      <x:c r="AC449" s="10" t="str">
        <x:v>summer move</x:v>
      </x:c>
      <x:c r="AD449" s="10" t="str">
        <x:v>property tracker</x:v>
      </x:c>
      <x:c r="AE449" s="10" t="str">
        <x:v>buying planner</x:v>
      </x:c>
      <x:c r="AF449" s="10" t="str">
        <x:v>financial sheet</x:v>
      </x:c>
      <x:c r="AG449" s="10" t="str">
        <x:v>real estate tool</x:v>
      </x:c>
      <x:c r="AH449" s="10" t="str">
        <x:v>Other mortgage-related</x:v>
      </x:c>
      <x:c r="AI449" s="13" t="n">
        <x:v>3</x:v>
      </x:c>
      <x:c r="AJ449" s="10" t="str">
        <x:f>IF(F449&gt;0,"Active","No est. sales")</x:f>
        <x:v>No est. sales</x:v>
      </x:c>
    </x:row>
    <x:row r="450">
      <x:c r="A450" s="10" t="str">
        <x:v>Mortgage Comparison Spreadsheet Google Sheets, Home Loan Comparison Template, Mortgage Planner, Cost Comparison, Mortgage Worksheet Planning</x:v>
      </x:c>
      <x:c r="B450" s="10" t="str">
        <x:v>https://www.etsy.com/listing/4332721210/mortgage-comparison-spreadsheet-google</x:v>
      </x:c>
      <x:c r="C450" s="10" t="str">
        <x:v>TrackerPro</x:v>
      </x:c>
      <x:c r="D450" s="10" t="str">
        <x:v>https://www.etsy.com/shop/TrackerPro</x:v>
      </x:c>
      <x:c r="E450" s="11" t="n">
        <x:v>7.43</x:v>
      </x:c>
      <x:c r="F450" s="10" t="n">
        <x:v>0</x:v>
      </x:c>
      <x:c r="G450" s="12" t="n">
        <x:v>0</x:v>
      </x:c>
      <x:c r="H450" s="13" t="n">
        <x:v>0</x:v>
      </x:c>
      <x:c r="I450" s="10" t="n">
        <x:v>0</x:v>
      </x:c>
      <x:c r="J450" s="10" t="n">
        <x:v>0</x:v>
      </x:c>
      <x:c r="K450" s="10" t="str">
        <x:v>12 Mo.</x:v>
      </x:c>
      <x:c r="L450" s="10" t="n">
        <x:v>6</x:v>
      </x:c>
      <x:c r="M450" s="10" t="n">
        <x:v>0</x:v>
      </x:c>
      <x:c r="N450" s="10" t="n">
        <x:v>241</x:v>
      </x:c>
      <x:c r="O450" s="10" t="str">
        <x:v>Paper &amp; Party Supplies</x:v>
      </x:c>
      <x:c r="P450" s="10" t="n">
        <x:v>43</x:v>
      </x:c>
      <x:c r="Q450" s="10" t="n">
        <x:v>0</x:v>
      </x:c>
      <x:c r="R450" s="13" t="n">
        <x:v>0</x:v>
      </x:c>
      <x:c r="S450" s="10" t="n">
        <x:v>18476</x:v>
      </x:c>
      <x:c r="T450" s="10" t="str">
        <x:v>mortgage spreadsheet,mortgage calculator,home loan tracker,loan comparison sheet,mortgage planner,mortgage payoff sheet,loan calculator excel,mortgage loan tracker,mortgage estimate sheet,home loan spreadsheet,loan product comparison,mortgage payment log,mortgage template excel</x:v>
      </x:c>
      <x:c r="U450" s="10" t="str">
        <x:v>mortgage spreadsheet</x:v>
      </x:c>
      <x:c r="V450" s="10" t="str">
        <x:v>mortgage calculator</x:v>
      </x:c>
      <x:c r="W450" s="10" t="str">
        <x:v>home loan tracker</x:v>
      </x:c>
      <x:c r="X450" s="10" t="str">
        <x:v>loan comparison sheet</x:v>
      </x:c>
      <x:c r="Y450" s="10" t="str">
        <x:v>mortgage planner</x:v>
      </x:c>
      <x:c r="Z450" s="10" t="str">
        <x:v>mortgage payoff sheet</x:v>
      </x:c>
      <x:c r="AA450" s="10" t="str">
        <x:v>loan calculator excel</x:v>
      </x:c>
      <x:c r="AB450" s="10" t="str">
        <x:v>mortgage loan tracker</x:v>
      </x:c>
      <x:c r="AC450" s="10" t="str">
        <x:v>mortgage estimate sheet</x:v>
      </x:c>
      <x:c r="AD450" s="10" t="str">
        <x:v>home loan spreadsheet</x:v>
      </x:c>
      <x:c r="AE450" s="10" t="str">
        <x:v>loan product comparison</x:v>
      </x:c>
      <x:c r="AF450" s="10" t="str">
        <x:v>mortgage payment log</x:v>
      </x:c>
      <x:c r="AG450" s="10" t="str">
        <x:v>mortgage template excel</x:v>
      </x:c>
      <x:c r="AH450" s="10" t="str">
        <x:v>Other mortgage-related</x:v>
      </x:c>
      <x:c r="AI450" s="13" t="n">
        <x:v>12</x:v>
      </x:c>
      <x:c r="AJ450" s="10" t="str">
        <x:f>IF(F450&gt;0,"Active","No est. sales")</x:f>
        <x:v>No est. sales</x:v>
      </x:c>
    </x:row>
    <x:row r="451">
      <x:c r="A451" s="10" t="str">
        <x:v>Mortgage Broker Template Spreadsheet Bundle, Mortgage Lender Loan Checklist Template Google Sheets, Mortgage Pipeline Tracker CRM Planner</x:v>
      </x:c>
      <x:c r="B451" s="10" t="str">
        <x:v>https://www.etsy.com/listing/4332807006/mortgage-broker-template-spreadsheet</x:v>
      </x:c>
      <x:c r="C451" s="10" t="str">
        <x:v>TrackerPro</x:v>
      </x:c>
      <x:c r="D451" s="10" t="str">
        <x:v>https://www.etsy.com/shop/TrackerPro</x:v>
      </x:c>
      <x:c r="E451" s="11" t="n">
        <x:v>7.43</x:v>
      </x:c>
      <x:c r="F451" s="10" t="n">
        <x:v>0</x:v>
      </x:c>
      <x:c r="G451" s="12" t="n">
        <x:v>0</x:v>
      </x:c>
      <x:c r="H451" s="13" t="n">
        <x:v>0</x:v>
      </x:c>
      <x:c r="I451" s="10" t="n">
        <x:v>0</x:v>
      </x:c>
      <x:c r="J451" s="10" t="n">
        <x:v>0</x:v>
      </x:c>
      <x:c r="K451" s="10" t="str">
        <x:v>12 Mo.</x:v>
      </x:c>
      <x:c r="L451" s="10" t="n">
        <x:v>11</x:v>
      </x:c>
      <x:c r="M451" s="10" t="n">
        <x:v>0</x:v>
      </x:c>
      <x:c r="N451" s="10" t="n">
        <x:v>366</x:v>
      </x:c>
      <x:c r="O451" s="10" t="str">
        <x:v>Paper &amp; Party Supplies</x:v>
      </x:c>
      <x:c r="P451" s="10" t="n">
        <x:v>43</x:v>
      </x:c>
      <x:c r="Q451" s="10" t="n">
        <x:v>0</x:v>
      </x:c>
      <x:c r="R451" s="13" t="n">
        <x:v>0</x:v>
      </x:c>
      <x:c r="S451" s="10" t="n">
        <x:v>18476</x:v>
      </x:c>
      <x:c r="T451" s="10" t="str">
        <x:v>mortgage broker template,loan checklist template,mortgage crm planner,mortgage tracker sheet,mortgage pipeline log,lender spreadsheet,loan tracker excel,mortgage planner sheet,broker crm template,loan pipeline tracker,google sheets mortgage,mortgage bundle template,mortgage lender log</x:v>
      </x:c>
      <x:c r="U451" s="10" t="str">
        <x:v>mortgage broker template</x:v>
      </x:c>
      <x:c r="V451" s="10" t="str">
        <x:v>loan checklist template</x:v>
      </x:c>
      <x:c r="W451" s="10" t="str">
        <x:v>mortgage crm planner</x:v>
      </x:c>
      <x:c r="X451" s="10" t="str">
        <x:v>mortgage tracker sheet</x:v>
      </x:c>
      <x:c r="Y451" s="10" t="str">
        <x:v>mortgage pipeline log</x:v>
      </x:c>
      <x:c r="Z451" s="10" t="str">
        <x:v>lender spreadsheet</x:v>
      </x:c>
      <x:c r="AA451" s="10" t="str">
        <x:v>loan tracker excel</x:v>
      </x:c>
      <x:c r="AB451" s="10" t="str">
        <x:v>mortgage planner sheet</x:v>
      </x:c>
      <x:c r="AC451" s="10" t="str">
        <x:v>broker crm template</x:v>
      </x:c>
      <x:c r="AD451" s="10" t="str">
        <x:v>loan pipeline tracker</x:v>
      </x:c>
      <x:c r="AE451" s="10" t="str">
        <x:v>google sheets mortgage</x:v>
      </x:c>
      <x:c r="AF451" s="10" t="str">
        <x:v>mortgage bundle template</x:v>
      </x:c>
      <x:c r="AG451" s="10" t="str">
        <x:v>mortgage lender log</x:v>
      </x:c>
      <x:c r="AH451" s="10" t="str">
        <x:v>Loan officer / B2B</x:v>
      </x:c>
      <x:c r="AI451" s="13" t="n">
        <x:v>12</x:v>
      </x:c>
      <x:c r="AJ451" s="10" t="str">
        <x:f>IF(F451&gt;0,"Active","No est. sales")</x:f>
        <x:v>No est. sales</x:v>
      </x:c>
    </x:row>
    <x:row r="452">
      <x:c r="A452" s="10" t="str">
        <x:v>Reverse Mortgage Comparison Spreadsheet for Google Sheets and Excel Home Equity Loan Impact Calculator</x:v>
      </x:c>
      <x:c r="B452" s="10" t="str">
        <x:v>https://www.etsy.com/listing/4520340995/reverse-mortgage-comparison-spreadsheet</x:v>
      </x:c>
      <x:c r="C452" s="10" t="str">
        <x:v>TrackerPro</x:v>
      </x:c>
      <x:c r="D452" s="10" t="str">
        <x:v>https://www.etsy.com/shop/TrackerPro</x:v>
      </x:c>
      <x:c r="E452" s="11" t="n">
        <x:v>6.19</x:v>
      </x:c>
      <x:c r="F452" s="10" t="n">
        <x:v>0</x:v>
      </x:c>
      <x:c r="G452" s="12" t="n">
        <x:v>0</x:v>
      </x:c>
      <x:c r="H452" s="13" t="n">
        <x:v>0</x:v>
      </x:c>
      <x:c r="I452" s="10" t="n">
        <x:v>0</x:v>
      </x:c>
      <x:c r="J452" s="10" t="n">
        <x:v>0</x:v>
      </x:c>
      <x:c r="K452" s="10" t="str">
        <x:v>1 Mo.</x:v>
      </x:c>
      <x:c r="L452" s="10" t="n">
        <x:v>1</x:v>
      </x:c>
      <x:c r="M452" s="10" t="n">
        <x:v>0</x:v>
      </x:c>
      <x:c r="N452" s="10" t="n">
        <x:v>9</x:v>
      </x:c>
      <x:c r="O452" s="10" t="str">
        <x:v>Paper &amp; Party Supplies</x:v>
      </x:c>
      <x:c r="P452" s="10" t="n">
        <x:v>43</x:v>
      </x:c>
      <x:c r="Q452" s="10" t="n">
        <x:v>0</x:v>
      </x:c>
      <x:c r="R452" s="13" t="n">
        <x:v>0</x:v>
      </x:c>
      <x:c r="S452" s="10" t="n">
        <x:v>18476</x:v>
      </x:c>
      <x:c r="T452" s="10" t="str">
        <x:v>reverse mortgage,home equity,retire housing,mortgage compare,senior finance,housing planner,equity analysis,retire tool,mortgage log,housing costs,finance sheet,senior planning,loan calculator</x:v>
      </x:c>
      <x:c r="U452" s="10" t="str">
        <x:v>reverse mortgage</x:v>
      </x:c>
      <x:c r="V452" s="10" t="str">
        <x:v>home equity</x:v>
      </x:c>
      <x:c r="W452" s="10" t="str">
        <x:v>retire housing</x:v>
      </x:c>
      <x:c r="X452" s="10" t="str">
        <x:v>mortgage compare</x:v>
      </x:c>
      <x:c r="Y452" s="10" t="str">
        <x:v>senior finance</x:v>
      </x:c>
      <x:c r="Z452" s="10" t="str">
        <x:v>housing planner</x:v>
      </x:c>
      <x:c r="AA452" s="10" t="str">
        <x:v>equity analysis</x:v>
      </x:c>
      <x:c r="AB452" s="10" t="str">
        <x:v>retire tool</x:v>
      </x:c>
      <x:c r="AC452" s="10" t="str">
        <x:v>mortgage log</x:v>
      </x:c>
      <x:c r="AD452" s="10" t="str">
        <x:v>housing costs</x:v>
      </x:c>
      <x:c r="AE452" s="10" t="str">
        <x:v>finance sheet</x:v>
      </x:c>
      <x:c r="AF452" s="10" t="str">
        <x:v>senior planning</x:v>
      </x:c>
      <x:c r="AG452" s="10" t="str">
        <x:v>loan calculator</x:v>
      </x:c>
      <x:c r="AH452" s="10" t="str">
        <x:v>Other mortgage-related</x:v>
      </x:c>
      <x:c r="AI452" s="13" t="n">
        <x:v>1</x:v>
      </x:c>
      <x:c r="AJ452" s="10" t="str">
        <x:f>IF(F452&gt;0,"Active","No est. sales")</x:f>
        <x:v>No est. sales</x:v>
      </x:c>
    </x:row>
    <x:row r="453">
      <x:c r="A453" s="10" t="str">
        <x:v>Rent/Mortgage Reminder Stickers: House Icon Planner Stickers</x:v>
      </x:c>
      <x:c r="B453" s="10" t="str">
        <x:v>https://www.etsy.com/listing/1701589932/rentmortgage-reminder-stickers-house</x:v>
      </x:c>
      <x:c r="C453" s="10" t="str">
        <x:v>BeblessedStickers</x:v>
      </x:c>
      <x:c r="D453" s="10" t="str">
        <x:v>https://www.etsy.com/shop/BeblessedStickers</x:v>
      </x:c>
      <x:c r="E453" s="11" t="n">
        <x:v>3.75</x:v>
      </x:c>
      <x:c r="F453" s="10" t="n">
        <x:v>0</x:v>
      </x:c>
      <x:c r="G453" s="12" t="n">
        <x:v>0</x:v>
      </x:c>
      <x:c r="H453" s="13" t="n">
        <x:v>0</x:v>
      </x:c>
      <x:c r="I453" s="10" t="n">
        <x:v>0</x:v>
      </x:c>
      <x:c r="J453" s="10" t="n">
        <x:v>0</x:v>
      </x:c>
      <x:c r="K453" s="10" t="str">
        <x:v>27 Mo.</x:v>
      </x:c>
      <x:c r="L453" s="10" t="n">
        <x:v>4</x:v>
      </x:c>
      <x:c r="M453" s="10" t="n">
        <x:v>0</x:v>
      </x:c>
      <x:c r="N453" s="10" t="n">
        <x:v>100</x:v>
      </x:c>
      <x:c r="O453" s="10" t="str">
        <x:v>Paper &amp; Party Supplies</x:v>
      </x:c>
      <x:c r="P453" s="10" t="n">
        <x:v>57</x:v>
      </x:c>
      <x:c r="Q453" s="10" t="n">
        <x:v>0</x:v>
      </x:c>
      <x:c r="R453" s="13" t="n">
        <x:v>0</x:v>
      </x:c>
      <x:c r="S453" s="10" t="n">
        <x:v>3684</x:v>
      </x:c>
      <x:c r="T453" s="10" t="str">
        <x:v>planner,bujo,bullet,dot grid,happy planner,planning,check it off,rent,mortgage,bill pay,bills,budget,automatic</x:v>
      </x:c>
      <x:c r="U453" s="10" t="str">
        <x:v>planner</x:v>
      </x:c>
      <x:c r="V453" s="10" t="str">
        <x:v>bujo</x:v>
      </x:c>
      <x:c r="W453" s="10" t="str">
        <x:v>bullet</x:v>
      </x:c>
      <x:c r="X453" s="10" t="str">
        <x:v>dot grid</x:v>
      </x:c>
      <x:c r="Y453" s="10" t="str">
        <x:v>happy planner</x:v>
      </x:c>
      <x:c r="Z453" s="10" t="str">
        <x:v>planning</x:v>
      </x:c>
      <x:c r="AA453" s="10" t="str">
        <x:v>check it off</x:v>
      </x:c>
      <x:c r="AB453" s="10" t="str">
        <x:v>rent</x:v>
      </x:c>
      <x:c r="AC453" s="10" t="str">
        <x:v>mortgage</x:v>
      </x:c>
      <x:c r="AD453" s="10" t="str">
        <x:v>bill pay</x:v>
      </x:c>
      <x:c r="AE453" s="10" t="str">
        <x:v>bills</x:v>
      </x:c>
      <x:c r="AF453" s="10" t="str">
        <x:v>budget</x:v>
      </x:c>
      <x:c r="AG453" s="10" t="str">
        <x:v>automatic</x:v>
      </x:c>
      <x:c r="AH453" s="10" t="str">
        <x:v>Other mortgage-related</x:v>
      </x:c>
      <x:c r="AI453" s="13" t="n">
        <x:v>27</x:v>
      </x:c>
      <x:c r="AJ453" s="10" t="str">
        <x:f>IF(F453&gt;0,"Active","No est. sales")</x:f>
        <x:v>No est. sales</x:v>
      </x:c>
    </x:row>
    <x:row r="454">
      <x:c r="A454" s="10" t="str">
        <x:v>Debt Tracker Debt Snowball Spreadsheet Debt Snowball Payoff Tracker Excel Debt Snowball Calculator Student Loan Payoff Mortgage Debt Payoff</x:v>
      </x:c>
      <x:c r="B454" s="10" t="str">
        <x:v>https://www.etsy.com/listing/1720045291/debt-tracker-debt-snowball-spreadsheet</x:v>
      </x:c>
      <x:c r="C454" s="10" t="str">
        <x:v>ExpertEasePro</x:v>
      </x:c>
      <x:c r="D454" s="10" t="str">
        <x:v>https://www.etsy.com/shop/ExpertEasePro</x:v>
      </x:c>
      <x:c r="E454" s="11" t="n">
        <x:v>4.99</x:v>
      </x:c>
      <x:c r="F454" s="10" t="n">
        <x:v>0</x:v>
      </x:c>
      <x:c r="G454" s="12" t="n">
        <x:v>0</x:v>
      </x:c>
      <x:c r="H454" s="13" t="n">
        <x:v>0</x:v>
      </x:c>
      <x:c r="I454" s="10" t="n">
        <x:v>10</x:v>
      </x:c>
      <x:c r="J454" s="10" t="n">
        <x:v>1</x:v>
      </x:c>
      <x:c r="K454" s="10" t="str">
        <x:v>27 Mo.</x:v>
      </x:c>
      <x:c r="L454" s="10" t="n">
        <x:v>6</x:v>
      </x:c>
      <x:c r="M454" s="10" t="n">
        <x:v>0</x:v>
      </x:c>
      <x:c r="N454" s="10" t="n">
        <x:v>367</x:v>
      </x:c>
      <x:c r="O454" s="10" t="str">
        <x:v>Paper &amp; Party Supplies</x:v>
      </x:c>
      <x:c r="P454" s="10" t="n">
        <x:v>35</x:v>
      </x:c>
      <x:c r="Q454" s="10" t="n">
        <x:v>0</x:v>
      </x:c>
      <x:c r="R454" s="13" t="n">
        <x:v>2.72</x:v>
      </x:c>
      <x:c r="S454" s="10" t="n">
        <x:v>5332</x:v>
      </x:c>
      <x:c r="T454" s="10" t="str">
        <x:v>debt snowball,debt payoff,debt tracker,student loan payoff,mortgage payoff,snowball method debt,debt repayment,personal finance,debt track template,debt payoff planner,loan payoff template,snowball debt,debt spreadsheet</x:v>
      </x:c>
      <x:c r="U454" s="10" t="str">
        <x:v>debt snowball</x:v>
      </x:c>
      <x:c r="V454" s="10" t="str">
        <x:v>debt payoff</x:v>
      </x:c>
      <x:c r="W454" s="10" t="str">
        <x:v>debt tracker</x:v>
      </x:c>
      <x:c r="X454" s="10" t="str">
        <x:v>student loan payoff</x:v>
      </x:c>
      <x:c r="Y454" s="10" t="str">
        <x:v>mortgage payoff</x:v>
      </x:c>
      <x:c r="Z454" s="10" t="str">
        <x:v>snowball method debt</x:v>
      </x:c>
      <x:c r="AA454" s="10" t="str">
        <x:v>debt repayment</x:v>
      </x:c>
      <x:c r="AB454" s="10" t="str">
        <x:v>personal finance</x:v>
      </x:c>
      <x:c r="AC454" s="10" t="str">
        <x:v>debt track template</x:v>
      </x:c>
      <x:c r="AD454" s="10" t="str">
        <x:v>debt payoff planner</x:v>
      </x:c>
      <x:c r="AE454" s="10" t="str">
        <x:v>loan payoff template</x:v>
      </x:c>
      <x:c r="AF454" s="10" t="str">
        <x:v>snowball debt</x:v>
      </x:c>
      <x:c r="AG454" s="10" t="str">
        <x:v>debt spreadsheet</x:v>
      </x:c>
      <x:c r="AH454" s="10" t="str">
        <x:v>General debt payoff</x:v>
      </x:c>
      <x:c r="AI454" s="13" t="n">
        <x:v>27</x:v>
      </x:c>
      <x:c r="AJ454" s="10" t="str">
        <x:f>IF(F454&gt;0,"Active","No est. sales")</x:f>
        <x:v>No est. sales</x:v>
      </x:c>
    </x:row>
    <x:row r="455">
      <x:c r="A455" s="10" t="str">
        <x:v>Debt Snowball Payoff Tracker Spreadsheet Avalanche Calculator Credit Card Loan Template House Mortgage Debt Free Planner Google Sheets</x:v>
      </x:c>
      <x:c r="B455" s="10" t="str">
        <x:v>https://www.etsy.com/listing/4458843197/debt-snowball-payoff-tracker-spreadsheet</x:v>
      </x:c>
      <x:c r="C455" s="10" t="str">
        <x:v>WaveCustom</x:v>
      </x:c>
      <x:c r="D455" s="10" t="str">
        <x:v>https://www.etsy.com/shop/WaveCustom</x:v>
      </x:c>
      <x:c r="E455" s="11" t="n">
        <x:v>1.24</x:v>
      </x:c>
      <x:c r="F455" s="10" t="n">
        <x:v>0</x:v>
      </x:c>
      <x:c r="G455" s="12" t="n">
        <x:v>0</x:v>
      </x:c>
      <x:c r="H455" s="13" t="n">
        <x:v>0</x:v>
      </x:c>
      <x:c r="I455" s="10" t="n">
        <x:v>0</x:v>
      </x:c>
      <x:c r="J455" s="10" t="n">
        <x:v>0</x:v>
      </x:c>
      <x:c r="K455" s="10" t="str">
        <x:v>5 Mo.</x:v>
      </x:c>
      <x:c r="L455" s="10" t="n">
        <x:v>1</x:v>
      </x:c>
      <x:c r="M455" s="10" t="n">
        <x:v>0</x:v>
      </x:c>
      <x:c r="N455" s="10" t="n">
        <x:v>34</x:v>
      </x:c>
      <x:c r="O455" s="10" t="str"/>
      <x:c r="P455" s="10" t="n">
        <x:v>41</x:v>
      </x:c>
      <x:c r="Q455" s="10" t="n">
        <x:v>0</x:v>
      </x:c>
      <x:c r="R455" s="13" t="n">
        <x:v>0</x:v>
      </x:c>
      <x:c r="S455" s="10" t="n">
        <x:v>855</x:v>
      </x:c>
      <x:c r="T455" s="10" t="str">
        <x:v>credit utilization,debt avalanche,mortgage payoff,google sheets budget,credit card payoff,debt payment tracker,debt payoff tracker,debt template,financial planner,debt google sheets,credit card loan,snowball spreadsheet,debt snowball</x:v>
      </x:c>
      <x:c r="U455" s="10" t="str">
        <x:v>credit utilization</x:v>
      </x:c>
      <x:c r="V455" s="10" t="str">
        <x:v>debt avalanche</x:v>
      </x:c>
      <x:c r="W455" s="10" t="str">
        <x:v>mortgage payoff</x:v>
      </x:c>
      <x:c r="X455" s="10" t="str">
        <x:v>google sheets budget</x:v>
      </x:c>
      <x:c r="Y455" s="10" t="str">
        <x:v>credit card payoff</x:v>
      </x:c>
      <x:c r="Z455" s="10" t="str">
        <x:v>debt payment tracker</x:v>
      </x:c>
      <x:c r="AA455" s="10" t="str">
        <x:v>debt payoff tracker</x:v>
      </x:c>
      <x:c r="AB455" s="10" t="str">
        <x:v>debt template</x:v>
      </x:c>
      <x:c r="AC455" s="10" t="str">
        <x:v>financial planner</x:v>
      </x:c>
      <x:c r="AD455" s="10" t="str">
        <x:v>debt google sheets</x:v>
      </x:c>
      <x:c r="AE455" s="10" t="str">
        <x:v>credit card loan</x:v>
      </x:c>
      <x:c r="AF455" s="10" t="str">
        <x:v>snowball spreadsheet</x:v>
      </x:c>
      <x:c r="AG455" s="10" t="str">
        <x:v>debt snowball</x:v>
      </x:c>
      <x:c r="AH455" s="10" t="str">
        <x:v>General debt payoff</x:v>
      </x:c>
      <x:c r="AI455" s="13" t="n">
        <x:v>5</x:v>
      </x:c>
      <x:c r="AJ455" s="10" t="str">
        <x:f>IF(F455&gt;0,"Active","No est. sales")</x:f>
        <x:v>No est. sales</x:v>
      </x:c>
    </x:row>
    <x:row r="456">
      <x:c r="A456" s="10" t="str">
        <x:v>Home Mortgage Calculator Excel Spreadsheet | Mortgage Payment Calculator | Loan Amortization Schedule | Instant Download</x:v>
      </x:c>
      <x:c r="B456" s="10" t="str">
        <x:v>https://www.etsy.com/listing/4540306733/home-mortgage-calculator-excel</x:v>
      </x:c>
      <x:c r="C456" s="10" t="str">
        <x:v>BinYousaf</x:v>
      </x:c>
      <x:c r="D456" s="10" t="str">
        <x:v>https://www.etsy.com/shop/BinYousaf</x:v>
      </x:c>
      <x:c r="E456" s="11" t="n">
        <x:v>3.9</x:v>
      </x:c>
      <x:c r="F456" s="10" t="n">
        <x:v>0</x:v>
      </x:c>
      <x:c r="G456" s="12" t="n">
        <x:v>0</x:v>
      </x:c>
      <x:c r="H456" s="13" t="n">
        <x:v>0</x:v>
      </x:c>
      <x:c r="I456" s="10" t="n">
        <x:v>0</x:v>
      </x:c>
      <x:c r="J456" s="10" t="n">
        <x:v>0</x:v>
      </x:c>
      <x:c r="K456" s="10" t="str">
        <x:v>1 Mo.</x:v>
      </x:c>
      <x:c r="L456" s="10" t="n">
        <x:v>0</x:v>
      </x:c>
      <x:c r="M456" s="10" t="n">
        <x:v>0</x:v>
      </x:c>
      <x:c r="N456" s="10" t="n">
        <x:v>1</x:v>
      </x:c>
      <x:c r="O456" s="10" t="str"/>
      <x:c r="P456" s="10" t="n">
        <x:v>7</x:v>
      </x:c>
      <x:c r="Q456" s="10" t="n">
        <x:v>0</x:v>
      </x:c>
      <x:c r="R456" s="13" t="n">
        <x:v>0</x:v>
      </x:c>
      <x:c r="S456" s="10" t="n">
        <x:v>177</x:v>
      </x:c>
      <x:c r="T456" s="10" t="str">
        <x:v>loan calculator,home loan calculator,mortgage spreadsheet,excel budget planner,real estate finance,home buying planner,instant download,home mortgage,mortgage calculator,mortgage payment,amortization,payment tracker,loan payment</x:v>
      </x:c>
      <x:c r="U456" s="10" t="str">
        <x:v>loan calculator</x:v>
      </x:c>
      <x:c r="V456" s="10" t="str">
        <x:v>home loan calculator</x:v>
      </x:c>
      <x:c r="W456" s="10" t="str">
        <x:v>mortgage spreadsheet</x:v>
      </x:c>
      <x:c r="X456" s="10" t="str">
        <x:v>excel budget planner</x:v>
      </x:c>
      <x:c r="Y456" s="10" t="str">
        <x:v>real estate finance</x:v>
      </x:c>
      <x:c r="Z456" s="10" t="str">
        <x:v>home buying planner</x:v>
      </x:c>
      <x:c r="AA456" s="10" t="str">
        <x:v>instant download</x:v>
      </x:c>
      <x:c r="AB456" s="10" t="str">
        <x:v>home mortgage</x:v>
      </x:c>
      <x:c r="AC456" s="10" t="str">
        <x:v>mortgage calculator</x:v>
      </x:c>
      <x:c r="AD456" s="10" t="str">
        <x:v>mortgage payment</x:v>
      </x:c>
      <x:c r="AE456" s="10" t="str">
        <x:v>amortization</x:v>
      </x:c>
      <x:c r="AF456" s="10" t="str">
        <x:v>payment tracker</x:v>
      </x:c>
      <x:c r="AG456" s="10" t="str">
        <x:v>loan payment</x:v>
      </x:c>
      <x:c r="AH456" s="10" t="str">
        <x:v>Home buying planner</x:v>
      </x:c>
      <x:c r="AI456" s="13" t="n">
        <x:v>1</x:v>
      </x:c>
      <x:c r="AJ456" s="10" t="str">
        <x:f>IF(F456&gt;0,"Active","No est. sales")</x:f>
        <x:v>No est. sales</x:v>
      </x:c>
    </x:row>
    <x:row r="457">
      <x:c r="A457" s="10" t="str">
        <x:v>Mortgage Budget Planner, Home Loan Payment Tracker, Monthly Expense Organizer (PDF Download)</x:v>
      </x:c>
      <x:c r="B457" s="10" t="str">
        <x:v>https://www.etsy.com/listing/4388180324/mortgage-budget-planner-home-loan</x:v>
      </x:c>
      <x:c r="C457" s="10" t="str">
        <x:v>BudgetClarity</x:v>
      </x:c>
      <x:c r="D457" s="10" t="str">
        <x:v>https://www.etsy.com/shop/BudgetClarity</x:v>
      </x:c>
      <x:c r="E457" s="11" t="n">
        <x:v>1.99</x:v>
      </x:c>
      <x:c r="F457" s="10" t="n">
        <x:v>0</x:v>
      </x:c>
      <x:c r="G457" s="12" t="n">
        <x:v>0</x:v>
      </x:c>
      <x:c r="H457" s="13" t="n">
        <x:v>0</x:v>
      </x:c>
      <x:c r="I457" s="10" t="n">
        <x:v>0</x:v>
      </x:c>
      <x:c r="J457" s="10" t="n">
        <x:v>0</x:v>
      </x:c>
      <x:c r="K457" s="10" t="str">
        <x:v>7 Mo.</x:v>
      </x:c>
      <x:c r="L457" s="10" t="n">
        <x:v>0</x:v>
      </x:c>
      <x:c r="M457" s="10" t="n">
        <x:v>0</x:v>
      </x:c>
      <x:c r="N457" s="10" t="n">
        <x:v>14</x:v>
      </x:c>
      <x:c r="O457" s="10" t="str"/>
      <x:c r="P457" s="10" t="n">
        <x:v>7</x:v>
      </x:c>
      <x:c r="Q457" s="10" t="n">
        <x:v>0</x:v>
      </x:c>
      <x:c r="R457" s="13" t="n">
        <x:v>0</x:v>
      </x:c>
      <x:c r="S457" s="10" t="n">
        <x:v>3</x:v>
      </x:c>
      <x:c r="T457" s="10" t="str">
        <x:v>mortgage planner,budget planner,home loan tracker,finance planner,debt tracker,savings planner,expense tracker,loan payment log,mortgage tracker,financial planner,money organizer,home budget,debt payoff</x:v>
      </x:c>
      <x:c r="U457" s="10" t="str">
        <x:v>mortgage planner</x:v>
      </x:c>
      <x:c r="V457" s="10" t="str">
        <x:v>budget planner</x:v>
      </x:c>
      <x:c r="W457" s="10" t="str">
        <x:v>home loan tracker</x:v>
      </x:c>
      <x:c r="X457" s="10" t="str">
        <x:v>finance planner</x:v>
      </x:c>
      <x:c r="Y457" s="10" t="str">
        <x:v>debt tracker</x:v>
      </x:c>
      <x:c r="Z457" s="10" t="str">
        <x:v>savings planner</x:v>
      </x:c>
      <x:c r="AA457" s="10" t="str">
        <x:v>expense tracker</x:v>
      </x:c>
      <x:c r="AB457" s="10" t="str">
        <x:v>loan payment log</x:v>
      </x:c>
      <x:c r="AC457" s="10" t="str">
        <x:v>mortgage tracker</x:v>
      </x:c>
      <x:c r="AD457" s="10" t="str">
        <x:v>financial planner</x:v>
      </x:c>
      <x:c r="AE457" s="10" t="str">
        <x:v>money organizer</x:v>
      </x:c>
      <x:c r="AF457" s="10" t="str">
        <x:v>home budget</x:v>
      </x:c>
      <x:c r="AG457" s="10" t="str">
        <x:v>debt payoff</x:v>
      </x:c>
      <x:c r="AH457" s="10" t="str">
        <x:v>Other mortgage-related</x:v>
      </x:c>
      <x:c r="AI457" s="13" t="n">
        <x:v>7</x:v>
      </x:c>
      <x:c r="AJ457" s="10" t="str">
        <x:f>IF(F457&gt;0,"Active","No est. sales")</x:f>
        <x:v>No est. sales</x:v>
      </x:c>
    </x:row>
    <x:row r="458">
      <x:c r="A458" s="10" t="str">
        <x:v>Mortgage Affordability Calculator - First Time Home Buyer Spreadsheet - Mortgage Readiness M.D. - DTI &amp; PMI Tracker - 2026 Conforming Limits</x:v>
      </x:c>
      <x:c r="B458" s="10" t="str">
        <x:v>https://www.etsy.com/listing/4484831331/mortgage-affordability-calculator-first</x:v>
      </x:c>
      <x:c r="C458" s="10" t="str">
        <x:v>TheMortgageMD</x:v>
      </x:c>
      <x:c r="D458" s="10" t="str">
        <x:v>https://www.etsy.com/shop/TheMortgageMD</x:v>
      </x:c>
      <x:c r="E458" s="11" t="n">
        <x:v>47</x:v>
      </x:c>
      <x:c r="F458" s="10" t="n">
        <x:v>0</x:v>
      </x:c>
      <x:c r="G458" s="12" t="n">
        <x:v>0</x:v>
      </x:c>
      <x:c r="H458" s="13" t="n">
        <x:v>0</x:v>
      </x:c>
      <x:c r="I458" s="10" t="n">
        <x:v>0</x:v>
      </x:c>
      <x:c r="J458" s="10" t="n">
        <x:v>0</x:v>
      </x:c>
      <x:c r="K458" s="10" t="str">
        <x:v>1 Mo.</x:v>
      </x:c>
      <x:c r="L458" s="10" t="n">
        <x:v>0</x:v>
      </x:c>
      <x:c r="M458" s="10" t="n">
        <x:v>0</x:v>
      </x:c>
      <x:c r="N458" s="10" t="n">
        <x:v>0</x:v>
      </x:c>
      <x:c r="O458" s="10" t="str"/>
      <x:c r="P458" s="10" t="n">
        <x:v>0</x:v>
      </x:c>
      <x:c r="Q458" s="10" t="n">
        <x:v>0</x:v>
      </x:c>
      <x:c r="R458" s="13" t="n">
        <x:v>0</x:v>
      </x:c>
      <x:c r="S458" s="10" t="n">
        <x:v>0</x:v>
      </x:c>
      <x:c r="T458" s="10" t="str">
        <x:v>mortgage calculator,home buyer tracker,budget spreadsheet,first home budget,mortgage readiness,dti calculator,real estate tool,house hunting sheet,debt to income,financial planner,home buying guide,pmi tracker,mortgage md</x:v>
      </x:c>
      <x:c r="U458" s="10" t="str">
        <x:v>mortgage calculator</x:v>
      </x:c>
      <x:c r="V458" s="10" t="str">
        <x:v>home buyer tracker</x:v>
      </x:c>
      <x:c r="W458" s="10" t="str">
        <x:v>budget spreadsheet</x:v>
      </x:c>
      <x:c r="X458" s="10" t="str">
        <x:v>first home budget</x:v>
      </x:c>
      <x:c r="Y458" s="10" t="str">
        <x:v>mortgage readiness</x:v>
      </x:c>
      <x:c r="Z458" s="10" t="str">
        <x:v>dti calculator</x:v>
      </x:c>
      <x:c r="AA458" s="10" t="str">
        <x:v>real estate tool</x:v>
      </x:c>
      <x:c r="AB458" s="10" t="str">
        <x:v>house hunting sheet</x:v>
      </x:c>
      <x:c r="AC458" s="10" t="str">
        <x:v>debt to income</x:v>
      </x:c>
      <x:c r="AD458" s="10" t="str">
        <x:v>financial planner</x:v>
      </x:c>
      <x:c r="AE458" s="10" t="str">
        <x:v>home buying guide</x:v>
      </x:c>
      <x:c r="AF458" s="10" t="str">
        <x:v>pmi tracker</x:v>
      </x:c>
      <x:c r="AG458" s="10" t="str">
        <x:v>mortgage md</x:v>
      </x:c>
      <x:c r="AH458" s="10" t="str">
        <x:v>Home buying planner</x:v>
      </x:c>
      <x:c r="AI458" s="13" t="n">
        <x:v>1</x:v>
      </x:c>
      <x:c r="AJ458" s="10" t="str">
        <x:f>IF(F458&gt;0,"Active","No est. sales")</x:f>
        <x:v>No est. sales</x:v>
      </x:c>
    </x:row>
    <x:row r="459">
      <x:c r="A459" s="10" t="str">
        <x:v>Amortization Schedule Template, Digital Download, Editable Google Sheets, Easy-to-Use Loan Payment Tracker</x:v>
      </x:c>
      <x:c r="B459" s="10" t="str">
        <x:v>https://www.etsy.com/listing/1853918265/amortization-schedule-template-digital</x:v>
      </x:c>
      <x:c r="C459" s="10" t="str">
        <x:v>SheetsStoreTR</x:v>
      </x:c>
      <x:c r="D459" s="10" t="str">
        <x:v>https://www.etsy.com/shop/SheetsStoreTR</x:v>
      </x:c>
      <x:c r="E459" s="11" t="n">
        <x:v>9.98</x:v>
      </x:c>
      <x:c r="F459" s="10" t="n">
        <x:v>0</x:v>
      </x:c>
      <x:c r="G459" s="12" t="n">
        <x:v>0</x:v>
      </x:c>
      <x:c r="H459" s="13" t="n">
        <x:v>0</x:v>
      </x:c>
      <x:c r="I459" s="10" t="n">
        <x:v>0</x:v>
      </x:c>
      <x:c r="J459" s="10" t="n">
        <x:v>0</x:v>
      </x:c>
      <x:c r="K459" s="10" t="str">
        <x:v>4 Mo.</x:v>
      </x:c>
      <x:c r="L459" s="10" t="n">
        <x:v>0</x:v>
      </x:c>
      <x:c r="M459" s="10" t="n">
        <x:v>0</x:v>
      </x:c>
      <x:c r="N459" s="10" t="n">
        <x:v>20</x:v>
      </x:c>
      <x:c r="O459" s="10" t="str">
        <x:v>Paper &amp; Party Supplies</x:v>
      </x:c>
      <x:c r="P459" s="10" t="n">
        <x:v>6</x:v>
      </x:c>
      <x:c r="Q459" s="10" t="n">
        <x:v>0</x:v>
      </x:c>
      <x:c r="R459" s="13" t="n">
        <x:v>0</x:v>
      </x:c>
      <x:c r="S459" s="10" t="n">
        <x:v>176</x:v>
      </x:c>
      <x:c r="T459" s="10" t="str">
        <x:v>loan schedule tool,google sheets log,loan payment log,digital download,amortization log,finance tracker,custom loan tool,mortgage planner,debt repayment log,interest tracker,business loan log,personal loan log,easy loan tracker</x:v>
      </x:c>
      <x:c r="U459" s="10" t="str">
        <x:v>loan schedule tool</x:v>
      </x:c>
      <x:c r="V459" s="10" t="str">
        <x:v>google sheets log</x:v>
      </x:c>
      <x:c r="W459" s="10" t="str">
        <x:v>loan payment log</x:v>
      </x:c>
      <x:c r="X459" s="10" t="str">
        <x:v>digital download</x:v>
      </x:c>
      <x:c r="Y459" s="10" t="str">
        <x:v>amortization log</x:v>
      </x:c>
      <x:c r="Z459" s="10" t="str">
        <x:v>finance tracker</x:v>
      </x:c>
      <x:c r="AA459" s="10" t="str">
        <x:v>custom loan tool</x:v>
      </x:c>
      <x:c r="AB459" s="10" t="str">
        <x:v>mortgage planner</x:v>
      </x:c>
      <x:c r="AC459" s="10" t="str">
        <x:v>debt repayment log</x:v>
      </x:c>
      <x:c r="AD459" s="10" t="str">
        <x:v>interest tracker</x:v>
      </x:c>
      <x:c r="AE459" s="10" t="str">
        <x:v>business loan log</x:v>
      </x:c>
      <x:c r="AF459" s="10" t="str">
        <x:v>personal loan log</x:v>
      </x:c>
      <x:c r="AG459" s="10" t="str">
        <x:v>easy loan tracker</x:v>
      </x:c>
      <x:c r="AH459" s="10" t="str">
        <x:v>General loan calculator</x:v>
      </x:c>
      <x:c r="AI459" s="13" t="n">
        <x:v>4</x:v>
      </x:c>
      <x:c r="AJ459" s="10" t="str">
        <x:f>IF(F459&gt;0,"Active","No est. sales")</x:f>
        <x:v>No est. sales</x:v>
      </x:c>
    </x:row>
    <x:row r="460">
      <x:c r="A460" s="10" t="str">
        <x:v>Home Affordability Calculator Spreadsheet | Mortgage Comparison, Budget Tracker (Excel)</x:v>
      </x:c>
      <x:c r="B460" s="10" t="str">
        <x:v>https://www.etsy.com/listing/4500062988/home-affordability-calculator</x:v>
      </x:c>
      <x:c r="C460" s="10" t="str">
        <x:v>SpendFlowStudio</x:v>
      </x:c>
      <x:c r="D460" s="10" t="str">
        <x:v>https://www.etsy.com/shop/SpendFlowStudio</x:v>
      </x:c>
      <x:c r="E460" s="11" t="n">
        <x:v>11.99</x:v>
      </x:c>
      <x:c r="F460" s="10" t="n">
        <x:v>0</x:v>
      </x:c>
      <x:c r="G460" s="12" t="n">
        <x:v>0</x:v>
      </x:c>
      <x:c r="H460" s="13" t="n">
        <x:v>0</x:v>
      </x:c>
      <x:c r="I460" s="10" t="n">
        <x:v>0</x:v>
      </x:c>
      <x:c r="J460" s="10" t="n">
        <x:v>0</x:v>
      </x:c>
      <x:c r="K460" s="10" t="str">
        <x:v>1 Mo.</x:v>
      </x:c>
      <x:c r="L460" s="10" t="n">
        <x:v>2</x:v>
      </x:c>
      <x:c r="M460" s="10" t="n">
        <x:v>0</x:v>
      </x:c>
      <x:c r="N460" s="10" t="n">
        <x:v>29</x:v>
      </x:c>
      <x:c r="O460" s="10" t="str"/>
      <x:c r="P460" s="10" t="n">
        <x:v>4</x:v>
      </x:c>
      <x:c r="Q460" s="10" t="n">
        <x:v>0</x:v>
      </x:c>
      <x:c r="R460" s="13" t="n">
        <x:v>0</x:v>
      </x:c>
      <x:c r="S460" s="10" t="n">
        <x:v>7</x:v>
      </x:c>
      <x:c r="T460" s="10" t="str">
        <x:v>home buying,mortgage calculator,home affordability,first time buyer,home purchase,mortgage compare,home spreadsheet,buying a house,home budget xlsx,down payment,real estate excel,closing costs,home planner</x:v>
      </x:c>
      <x:c r="U460" s="10" t="str">
        <x:v>home buying</x:v>
      </x:c>
      <x:c r="V460" s="10" t="str">
        <x:v>mortgage calculator</x:v>
      </x:c>
      <x:c r="W460" s="10" t="str">
        <x:v>home affordability</x:v>
      </x:c>
      <x:c r="X460" s="10" t="str">
        <x:v>first time buyer</x:v>
      </x:c>
      <x:c r="Y460" s="10" t="str">
        <x:v>home purchase</x:v>
      </x:c>
      <x:c r="Z460" s="10" t="str">
        <x:v>mortgage compare</x:v>
      </x:c>
      <x:c r="AA460" s="10" t="str">
        <x:v>home spreadsheet</x:v>
      </x:c>
      <x:c r="AB460" s="10" t="str">
        <x:v>buying a house</x:v>
      </x:c>
      <x:c r="AC460" s="10" t="str">
        <x:v>home budget xlsx</x:v>
      </x:c>
      <x:c r="AD460" s="10" t="str">
        <x:v>down payment</x:v>
      </x:c>
      <x:c r="AE460" s="10" t="str">
        <x:v>real estate excel</x:v>
      </x:c>
      <x:c r="AF460" s="10" t="str">
        <x:v>closing costs</x:v>
      </x:c>
      <x:c r="AG460" s="10" t="str">
        <x:v>home planner</x:v>
      </x:c>
      <x:c r="AH460" s="10" t="str">
        <x:v>Other mortgage-related</x:v>
      </x:c>
      <x:c r="AI460" s="13" t="n">
        <x:v>1</x:v>
      </x:c>
      <x:c r="AJ460" s="10" t="str">
        <x:f>IF(F460&gt;0,"Active","No est. sales")</x:f>
        <x:v>No est. sales</x:v>
      </x:c>
    </x:row>
    <x:row r="461">
      <x:c r="A461" s="10" t="str">
        <x:v>Mortgage icon stickers /Rent stickers -  planner icon stickers, premium matte stickers, bills planner stickers</x:v>
      </x:c>
      <x:c r="B461" s="10" t="str">
        <x:v>https://www.etsy.com/listing/1089901763/mortgage-icon-stickers-rent-stickers</x:v>
      </x:c>
      <x:c r="C461" s="10" t="str">
        <x:v>BlushBowBoutiqueCo</x:v>
      </x:c>
      <x:c r="D461" s="10" t="str">
        <x:v>https://www.etsy.com/shop/BlushBowBoutiqueCo</x:v>
      </x:c>
      <x:c r="E461" s="11" t="n">
        <x:v>3.98</x:v>
      </x:c>
      <x:c r="F461" s="10" t="n">
        <x:v>0</x:v>
      </x:c>
      <x:c r="G461" s="12" t="n">
        <x:v>0</x:v>
      </x:c>
      <x:c r="H461" s="13" t="n">
        <x:v>0</x:v>
      </x:c>
      <x:c r="I461" s="10" t="n">
        <x:v>0</x:v>
      </x:c>
      <x:c r="J461" s="10" t="n">
        <x:v>0</x:v>
      </x:c>
      <x:c r="K461" s="10" t="str">
        <x:v>43 Mo.</x:v>
      </x:c>
      <x:c r="L461" s="10" t="n">
        <x:v>8</x:v>
      </x:c>
      <x:c r="M461" s="10" t="n">
        <x:v>0</x:v>
      </x:c>
      <x:c r="N461" s="10" t="n">
        <x:v>116</x:v>
      </x:c>
      <x:c r="O461" s="10" t="str">
        <x:v>Paper &amp; Party Supplies</x:v>
      </x:c>
      <x:c r="P461" s="10" t="n">
        <x:v>92</x:v>
      </x:c>
      <x:c r="Q461" s="10" t="n">
        <x:v>0</x:v>
      </x:c>
      <x:c r="R461" s="13" t="n">
        <x:v>0</x:v>
      </x:c>
      <x:c r="S461" s="10" t="n">
        <x:v>11147</x:v>
      </x:c>
      <x:c r="T461" s="10" t="str">
        <x:v>decorative stickers,premium matte,icon stickers,planner stickers,planner accessories,bills stickers,home stickers,life stickers,adulting stickers,bills pile stickers,bills payment,mortgage stickers,rent stickers</x:v>
      </x:c>
      <x:c r="U461" s="10" t="str">
        <x:v>decorative stickers</x:v>
      </x:c>
      <x:c r="V461" s="10" t="str">
        <x:v>premium matte</x:v>
      </x:c>
      <x:c r="W461" s="10" t="str">
        <x:v>icon stickers</x:v>
      </x:c>
      <x:c r="X461" s="10" t="str">
        <x:v>planner stickers</x:v>
      </x:c>
      <x:c r="Y461" s="10" t="str">
        <x:v>planner accessories</x:v>
      </x:c>
      <x:c r="Z461" s="10" t="str">
        <x:v>bills stickers</x:v>
      </x:c>
      <x:c r="AA461" s="10" t="str">
        <x:v>home stickers</x:v>
      </x:c>
      <x:c r="AB461" s="10" t="str">
        <x:v>life stickers</x:v>
      </x:c>
      <x:c r="AC461" s="10" t="str">
        <x:v>adulting stickers</x:v>
      </x:c>
      <x:c r="AD461" s="10" t="str">
        <x:v>bills pile stickers</x:v>
      </x:c>
      <x:c r="AE461" s="10" t="str">
        <x:v>bills payment</x:v>
      </x:c>
      <x:c r="AF461" s="10" t="str">
        <x:v>mortgage stickers</x:v>
      </x:c>
      <x:c r="AG461" s="10" t="str">
        <x:v>rent stickers</x:v>
      </x:c>
      <x:c r="AH461" s="10" t="str">
        <x:v>Other mortgage-related</x:v>
      </x:c>
      <x:c r="AI461" s="13" t="n">
        <x:v>43</x:v>
      </x:c>
      <x:c r="AJ461" s="10" t="str">
        <x:f>IF(F461&gt;0,"Active","No est. sales")</x:f>
        <x:v>No est. sales</x:v>
      </x:c>
    </x:row>
    <x:row r="462">
      <x:c r="A462" s="10" t="str">
        <x:v>HOUSE Icon Label Planner / Calendar Stickers [L2-68]</x:v>
      </x:c>
      <x:c r="B462" s="10" t="str">
        <x:v>https://www.etsy.com/listing/1257595718/house-icon-label-planner-calendar</x:v>
      </x:c>
      <x:c r="C462" s="10" t="str">
        <x:v>PaperDayDesign</x:v>
      </x:c>
      <x:c r="D462" s="10" t="str">
        <x:v>https://www.etsy.com/shop/PaperDayDesign</x:v>
      </x:c>
      <x:c r="E462" s="11" t="n">
        <x:v>4</x:v>
      </x:c>
      <x:c r="F462" s="10" t="n">
        <x:v>0</x:v>
      </x:c>
      <x:c r="G462" s="12" t="n">
        <x:v>0</x:v>
      </x:c>
      <x:c r="H462" s="13" t="n">
        <x:v>0</x:v>
      </x:c>
      <x:c r="I462" s="10" t="n">
        <x:v>6</x:v>
      </x:c>
      <x:c r="J462" s="10" t="n">
        <x:v>1</x:v>
      </x:c>
      <x:c r="K462" s="10" t="str">
        <x:v>37 Mo.</x:v>
      </x:c>
      <x:c r="L462" s="10" t="n">
        <x:v>11</x:v>
      </x:c>
      <x:c r="M462" s="10" t="n">
        <x:v>0</x:v>
      </x:c>
      <x:c r="N462" s="10" t="n">
        <x:v>140</x:v>
      </x:c>
      <x:c r="O462" s="10" t="str">
        <x:v>Paper &amp; Party Supplies</x:v>
      </x:c>
      <x:c r="P462" s="10" t="n">
        <x:v>88</x:v>
      </x:c>
      <x:c r="Q462" s="10" t="n">
        <x:v>0</x:v>
      </x:c>
      <x:c r="R462" s="13" t="n">
        <x:v>4.29</x:v>
      </x:c>
      <x:c r="S462" s="10" t="n">
        <x:v>38700</x:v>
      </x:c>
      <x:c r="T462" s="10" t="str">
        <x:v>happy planner,erin condren label,skinny icon label,plum planner,payment reminder,home utilities pay,bill pay tracker,home payment tracker,mortgage payment,house label planner,dad house planner,coparent planner,visitation planner</x:v>
      </x:c>
      <x:c r="U462" s="10" t="str">
        <x:v>happy planner</x:v>
      </x:c>
      <x:c r="V462" s="10" t="str">
        <x:v>erin condren label</x:v>
      </x:c>
      <x:c r="W462" s="10" t="str">
        <x:v>skinny icon label</x:v>
      </x:c>
      <x:c r="X462" s="10" t="str">
        <x:v>plum planner</x:v>
      </x:c>
      <x:c r="Y462" s="10" t="str">
        <x:v>payment reminder</x:v>
      </x:c>
      <x:c r="Z462" s="10" t="str">
        <x:v>home utilities pay</x:v>
      </x:c>
      <x:c r="AA462" s="10" t="str">
        <x:v>bill pay tracker</x:v>
      </x:c>
      <x:c r="AB462" s="10" t="str">
        <x:v>home payment tracker</x:v>
      </x:c>
      <x:c r="AC462" s="10" t="str">
        <x:v>mortgage payment</x:v>
      </x:c>
      <x:c r="AD462" s="10" t="str">
        <x:v>house label planner</x:v>
      </x:c>
      <x:c r="AE462" s="10" t="str">
        <x:v>dad house planner</x:v>
      </x:c>
      <x:c r="AF462" s="10" t="str">
        <x:v>coparent planner</x:v>
      </x:c>
      <x:c r="AG462" s="10" t="str">
        <x:v>visitation planner</x:v>
      </x:c>
      <x:c r="AH462" s="10" t="str">
        <x:v>Other mortgage-related</x:v>
      </x:c>
      <x:c r="AI462" s="13" t="n">
        <x:v>37</x:v>
      </x:c>
      <x:c r="AJ462" s="10" t="str">
        <x:f>IF(F462&gt;0,"Active","No est. sales")</x:f>
        <x:v>No est. sales</x:v>
      </x:c>
    </x:row>
    <x:row r="463">
      <x:c r="A463" s="10" t="str">
        <x:v>First Time Home Buyer Spreadsheet, House Hunting Comparison Tracker, Mortgage Affordability Calculator, New Homeowner Checklist, Excel</x:v>
      </x:c>
      <x:c r="B463" s="10" t="str">
        <x:v>https://www.etsy.com/listing/4527489251/first-time-home-buyer-spreadsheet-house</x:v>
      </x:c>
      <x:c r="C463" s="10" t="str">
        <x:v>NoveeCo</x:v>
      </x:c>
      <x:c r="D463" s="10" t="str">
        <x:v>https://www.etsy.com/shop/NoveeCo</x:v>
      </x:c>
      <x:c r="E463" s="11" t="n">
        <x:v>22.99</x:v>
      </x:c>
      <x:c r="F463" s="10" t="n">
        <x:v>0</x:v>
      </x:c>
      <x:c r="G463" s="12" t="n">
        <x:v>0</x:v>
      </x:c>
      <x:c r="H463" s="13" t="n">
        <x:v>0</x:v>
      </x:c>
      <x:c r="I463" s="10" t="n">
        <x:v>0</x:v>
      </x:c>
      <x:c r="J463" s="10" t="n">
        <x:v>0</x:v>
      </x:c>
      <x:c r="K463" s="10" t="str">
        <x:v>1 Mo.</x:v>
      </x:c>
      <x:c r="L463" s="10" t="n">
        <x:v>0</x:v>
      </x:c>
      <x:c r="M463" s="10" t="n">
        <x:v>0</x:v>
      </x:c>
      <x:c r="N463" s="10" t="n">
        <x:v>0</x:v>
      </x:c>
      <x:c r="O463" s="10" t="str"/>
      <x:c r="P463" s="10" t="n">
        <x:v>0</x:v>
      </x:c>
      <x:c r="Q463" s="10" t="n">
        <x:v>0</x:v>
      </x:c>
      <x:c r="R463" s="13" t="n">
        <x:v>0</x:v>
      </x:c>
      <x:c r="S463" s="10" t="n">
        <x:v>0</x:v>
      </x:c>
      <x:c r="T463" s="10" t="str">
        <x:v>first time buyer,house hunting,home buying,mortgage calculator,home affordability,new homeowner,house comparison,home buyer planner,moving checklist,google sheets,excel template,home buying budget,real estate tracker</x:v>
      </x:c>
      <x:c r="U463" s="10" t="str">
        <x:v>first time buyer</x:v>
      </x:c>
      <x:c r="V463" s="10" t="str">
        <x:v>house hunting</x:v>
      </x:c>
      <x:c r="W463" s="10" t="str">
        <x:v>home buying</x:v>
      </x:c>
      <x:c r="X463" s="10" t="str">
        <x:v>mortgage calculator</x:v>
      </x:c>
      <x:c r="Y463" s="10" t="str">
        <x:v>home affordability</x:v>
      </x:c>
      <x:c r="Z463" s="10" t="str">
        <x:v>new homeowner</x:v>
      </x:c>
      <x:c r="AA463" s="10" t="str">
        <x:v>house comparison</x:v>
      </x:c>
      <x:c r="AB463" s="10" t="str">
        <x:v>home buyer planner</x:v>
      </x:c>
      <x:c r="AC463" s="10" t="str">
        <x:v>moving checklist</x:v>
      </x:c>
      <x:c r="AD463" s="10" t="str">
        <x:v>google sheets</x:v>
      </x:c>
      <x:c r="AE463" s="10" t="str">
        <x:v>excel template</x:v>
      </x:c>
      <x:c r="AF463" s="10" t="str">
        <x:v>home buying budget</x:v>
      </x:c>
      <x:c r="AG463" s="10" t="str">
        <x:v>real estate tracker</x:v>
      </x:c>
      <x:c r="AH463" s="10" t="str">
        <x:v>Home buying planner</x:v>
      </x:c>
      <x:c r="AI463" s="13" t="n">
        <x:v>1</x:v>
      </x:c>
      <x:c r="AJ463" s="10" t="str">
        <x:f>IF(F463&gt;0,"Active","No est. sales")</x:f>
        <x:v>No est. sales</x:v>
      </x:c>
    </x:row>
    <x:row r="464">
      <x:c r="A464" s="10" t="str">
        <x:v>Blank House Icon Stickers for Planners or Calendars</x:v>
      </x:c>
      <x:c r="B464" s="10" t="str">
        <x:v>https://www.etsy.com/listing/798328488/blank-house-icon-stickers-for-planners</x:v>
      </x:c>
      <x:c r="C464" s="10" t="str">
        <x:v>PaperDayDesign</x:v>
      </x:c>
      <x:c r="D464" s="10" t="str">
        <x:v>https://www.etsy.com/shop/PaperDayDesign</x:v>
      </x:c>
      <x:c r="E464" s="11" t="n">
        <x:v>4</x:v>
      </x:c>
      <x:c r="F464" s="10" t="n">
        <x:v>0</x:v>
      </x:c>
      <x:c r="G464" s="12" t="n">
        <x:v>0</x:v>
      </x:c>
      <x:c r="H464" s="13" t="n">
        <x:v>0</x:v>
      </x:c>
      <x:c r="I464" s="10" t="n">
        <x:v>51</x:v>
      </x:c>
      <x:c r="J464" s="10" t="n">
        <x:v>8</x:v>
      </x:c>
      <x:c r="K464" s="10" t="str">
        <x:v>62 Mo.</x:v>
      </x:c>
      <x:c r="L464" s="10" t="n">
        <x:v>58</x:v>
      </x:c>
      <x:c r="M464" s="10" t="n">
        <x:v>0</x:v>
      </x:c>
      <x:c r="N464" s="10" t="n">
        <x:v>740</x:v>
      </x:c>
      <x:c r="O464" s="10" t="str">
        <x:v>Paper &amp; Party Supplies</x:v>
      </x:c>
      <x:c r="P464" s="10" t="n">
        <x:v>88</x:v>
      </x:c>
      <x:c r="Q464" s="10" t="n">
        <x:v>0</x:v>
      </x:c>
      <x:c r="R464" s="13" t="n">
        <x:v>6.89</x:v>
      </x:c>
      <x:c r="S464" s="10" t="n">
        <x:v>38700</x:v>
      </x:c>
      <x:c r="T464" s="10" t="str">
        <x:v>custody calendar,icon planner sticker,erin condren,happy planner,functional planner,moving calendar,rent payment,mortgage icon,home planner,house icon sticker,blank house icon,blank house sticker,mom dad house</x:v>
      </x:c>
      <x:c r="U464" s="10" t="str">
        <x:v>custody calendar</x:v>
      </x:c>
      <x:c r="V464" s="10" t="str">
        <x:v>icon planner sticker</x:v>
      </x:c>
      <x:c r="W464" s="10" t="str">
        <x:v>erin condren</x:v>
      </x:c>
      <x:c r="X464" s="10" t="str">
        <x:v>happy planner</x:v>
      </x:c>
      <x:c r="Y464" s="10" t="str">
        <x:v>functional planner</x:v>
      </x:c>
      <x:c r="Z464" s="10" t="str">
        <x:v>moving calendar</x:v>
      </x:c>
      <x:c r="AA464" s="10" t="str">
        <x:v>rent payment</x:v>
      </x:c>
      <x:c r="AB464" s="10" t="str">
        <x:v>mortgage icon</x:v>
      </x:c>
      <x:c r="AC464" s="10" t="str">
        <x:v>home planner</x:v>
      </x:c>
      <x:c r="AD464" s="10" t="str">
        <x:v>house icon sticker</x:v>
      </x:c>
      <x:c r="AE464" s="10" t="str">
        <x:v>blank house icon</x:v>
      </x:c>
      <x:c r="AF464" s="10" t="str">
        <x:v>blank house sticker</x:v>
      </x:c>
      <x:c r="AG464" s="10" t="str">
        <x:v>mom dad house</x:v>
      </x:c>
      <x:c r="AH464" s="10" t="str">
        <x:v>Other mortgage-related</x:v>
      </x:c>
      <x:c r="AI464" s="13" t="n">
        <x:v>62</x:v>
      </x:c>
      <x:c r="AJ464" s="10" t="str">
        <x:f>IF(F464&gt;0,"Active","No est. sales")</x:f>
        <x:v>No est. sales</x:v>
      </x:c>
    </x:row>
    <x:row r="465">
      <x:c r="A465" s="10" t="str">
        <x:v>Mortgage Repayment Calculator – Overpayment &amp; Interest Tracker</x:v>
      </x:c>
      <x:c r="B465" s="10" t="str">
        <x:v>https://www.etsy.com/listing/4492809266/mortgage-repayment-calculator</x:v>
      </x:c>
      <x:c r="C465" s="10" t="str">
        <x:v>PlanBuildGrow</x:v>
      </x:c>
      <x:c r="D465" s="10" t="str">
        <x:v>https://www.etsy.com/shop/PlanBuildGrow</x:v>
      </x:c>
      <x:c r="E465" s="11" t="n">
        <x:v>4.05</x:v>
      </x:c>
      <x:c r="F465" s="10" t="n">
        <x:v>0</x:v>
      </x:c>
      <x:c r="G465" s="12" t="n">
        <x:v>0</x:v>
      </x:c>
      <x:c r="H465" s="13" t="n">
        <x:v>0</x:v>
      </x:c>
      <x:c r="I465" s="10" t="n">
        <x:v>0</x:v>
      </x:c>
      <x:c r="J465" s="10" t="n">
        <x:v>0</x:v>
      </x:c>
      <x:c r="K465" s="10" t="str">
        <x:v>1 Mo.</x:v>
      </x:c>
      <x:c r="L465" s="10" t="n">
        <x:v>0</x:v>
      </x:c>
      <x:c r="M465" s="10" t="n">
        <x:v>0</x:v>
      </x:c>
      <x:c r="N465" s="10" t="n">
        <x:v>3</x:v>
      </x:c>
      <x:c r="O465" s="10" t="str"/>
      <x:c r="P465" s="10" t="n">
        <x:v>0</x:v>
      </x:c>
      <x:c r="Q465" s="10" t="n">
        <x:v>0</x:v>
      </x:c>
      <x:c r="R465" s="13" t="n">
        <x:v>0</x:v>
      </x:c>
      <x:c r="S465" s="10" t="n">
        <x:v>1</x:v>
      </x:c>
      <x:c r="T465" s="10" t="str">
        <x:v>mortgage calculator,mortgage planner uk,mortgage spreadsheet,loan repayment calc,mortgage overpay,overpayment calc,mortgage tracker,home loan planner,mortgage budget,interest calculator,excel mortgage calc,uk mortgage tool,loan amortisation</x:v>
      </x:c>
      <x:c r="U465" s="10" t="str">
        <x:v>mortgage calculator</x:v>
      </x:c>
      <x:c r="V465" s="10" t="str">
        <x:v>mortgage planner uk</x:v>
      </x:c>
      <x:c r="W465" s="10" t="str">
        <x:v>mortgage spreadsheet</x:v>
      </x:c>
      <x:c r="X465" s="10" t="str">
        <x:v>loan repayment calc</x:v>
      </x:c>
      <x:c r="Y465" s="10" t="str">
        <x:v>mortgage overpay</x:v>
      </x:c>
      <x:c r="Z465" s="10" t="str">
        <x:v>overpayment calc</x:v>
      </x:c>
      <x:c r="AA465" s="10" t="str">
        <x:v>mortgage tracker</x:v>
      </x:c>
      <x:c r="AB465" s="10" t="str">
        <x:v>home loan planner</x:v>
      </x:c>
      <x:c r="AC465" s="10" t="str">
        <x:v>mortgage budget</x:v>
      </x:c>
      <x:c r="AD465" s="10" t="str">
        <x:v>interest calculator</x:v>
      </x:c>
      <x:c r="AE465" s="10" t="str">
        <x:v>excel mortgage calc</x:v>
      </x:c>
      <x:c r="AF465" s="10" t="str">
        <x:v>uk mortgage tool</x:v>
      </x:c>
      <x:c r="AG465" s="10" t="str">
        <x:v>loan amortisation</x:v>
      </x:c>
      <x:c r="AH465" s="10" t="str">
        <x:v>Mortgage payoff / calculator</x:v>
      </x:c>
      <x:c r="AI465" s="13" t="n">
        <x:v>1</x:v>
      </x:c>
      <x:c r="AJ465" s="10" t="str">
        <x:f>IF(F465&gt;0,"Active","No est. sales")</x:f>
        <x:v>No est. sales</x:v>
      </x:c>
    </x:row>
    <x:row r="466">
      <x:c r="A466" s="10" t="str">
        <x:v>Debt Payoff Tracker Google Sheets Debt Snowball Avalanche Calculator Loan Credit Card Debt Payment Tracker Spreadsheet Debt Planner Dark</x:v>
      </x:c>
      <x:c r="B466" s="10" t="str">
        <x:v>https://www.etsy.com/listing/4503350059/debt-payoff-tracker-google-sheets-debt</x:v>
      </x:c>
      <x:c r="C466" s="10" t="str">
        <x:v>MaxPlanDigital</x:v>
      </x:c>
      <x:c r="D466" s="10" t="str">
        <x:v>https://www.etsy.com/shop/MaxPlanDigital</x:v>
      </x:c>
      <x:c r="E466" s="11" t="n">
        <x:v>7.05</x:v>
      </x:c>
      <x:c r="F466" s="10" t="n">
        <x:v>0</x:v>
      </x:c>
      <x:c r="G466" s="12" t="n">
        <x:v>0</x:v>
      </x:c>
      <x:c r="H466" s="13" t="n">
        <x:v>0</x:v>
      </x:c>
      <x:c r="I466" s="10" t="n">
        <x:v>0</x:v>
      </x:c>
      <x:c r="J466" s="10" t="n">
        <x:v>0</x:v>
      </x:c>
      <x:c r="K466" s="10" t="str">
        <x:v>1 Mo.</x:v>
      </x:c>
      <x:c r="L466" s="10" t="n">
        <x:v>1</x:v>
      </x:c>
      <x:c r="M466" s="10" t="n">
        <x:v>0</x:v>
      </x:c>
      <x:c r="N466" s="10" t="n">
        <x:v>3</x:v>
      </x:c>
      <x:c r="O466" s="10" t="str"/>
      <x:c r="P466" s="10" t="n">
        <x:v>2</x:v>
      </x:c>
      <x:c r="Q466" s="10" t="n">
        <x:v>0</x:v>
      </x:c>
      <x:c r="R466" s="13" t="n">
        <x:v>0</x:v>
      </x:c>
      <x:c r="S466" s="10" t="n">
        <x:v>0</x:v>
      </x:c>
      <x:c r="T466" s="10" t="str">
        <x:v>debt spreadsheet,debt repayment,debt finance planner,debt google sheet,debt management,debt budget planner,debt calculator,credit card payoff,mortgage payoff,debt payoff chart,loan payoff tracker,google spreadsheet,monthly debt tracker</x:v>
      </x:c>
      <x:c r="U466" s="10" t="str">
        <x:v>debt spreadsheet</x:v>
      </x:c>
      <x:c r="V466" s="10" t="str">
        <x:v>debt repayment</x:v>
      </x:c>
      <x:c r="W466" s="10" t="str">
        <x:v>debt finance planner</x:v>
      </x:c>
      <x:c r="X466" s="10" t="str">
        <x:v>debt google sheet</x:v>
      </x:c>
      <x:c r="Y466" s="10" t="str">
        <x:v>debt management</x:v>
      </x:c>
      <x:c r="Z466" s="10" t="str">
        <x:v>debt budget planner</x:v>
      </x:c>
      <x:c r="AA466" s="10" t="str">
        <x:v>debt calculator</x:v>
      </x:c>
      <x:c r="AB466" s="10" t="str">
        <x:v>credit card payoff</x:v>
      </x:c>
      <x:c r="AC466" s="10" t="str">
        <x:v>mortgage payoff</x:v>
      </x:c>
      <x:c r="AD466" s="10" t="str">
        <x:v>debt payoff chart</x:v>
      </x:c>
      <x:c r="AE466" s="10" t="str">
        <x:v>loan payoff tracker</x:v>
      </x:c>
      <x:c r="AF466" s="10" t="str">
        <x:v>google spreadsheet</x:v>
      </x:c>
      <x:c r="AG466" s="10" t="str">
        <x:v>monthly debt tracker</x:v>
      </x:c>
      <x:c r="AH466" s="10" t="str">
        <x:v>General debt payoff</x:v>
      </x:c>
      <x:c r="AI466" s="13" t="n">
        <x:v>1</x:v>
      </x:c>
      <x:c r="AJ466" s="10" t="str">
        <x:f>IF(F466&gt;0,"Active","No est. sales")</x:f>
        <x:v>No est. sales</x:v>
      </x:c>
    </x:row>
    <x:row r="467">
      <x:c r="A467" s="10" t="str">
        <x:v>Home Mortgage Calculator | Google Sheets &amp; Excel Template</x:v>
      </x:c>
      <x:c r="B467" s="10" t="str">
        <x:v>https://www.etsy.com/listing/4323790831/home-mortgage-calculator-google-sheets</x:v>
      </x:c>
      <x:c r="C467" s="10" t="str">
        <x:v>INSPIRACORE</x:v>
      </x:c>
      <x:c r="D467" s="10" t="str">
        <x:v>https://www.etsy.com/shop/INSPIRACORE</x:v>
      </x:c>
      <x:c r="E467" s="11" t="n">
        <x:v>11.77</x:v>
      </x:c>
      <x:c r="F467" s="10" t="n">
        <x:v>0</x:v>
      </x:c>
      <x:c r="G467" s="12" t="n">
        <x:v>0</x:v>
      </x:c>
      <x:c r="H467" s="13" t="n">
        <x:v>0</x:v>
      </x:c>
      <x:c r="I467" s="10" t="n">
        <x:v>0</x:v>
      </x:c>
      <x:c r="J467" s="10" t="n">
        <x:v>0</x:v>
      </x:c>
      <x:c r="K467" s="10" t="str">
        <x:v>6 Mo.</x:v>
      </x:c>
      <x:c r="L467" s="10" t="n">
        <x:v>1</x:v>
      </x:c>
      <x:c r="M467" s="10" t="n">
        <x:v>0</x:v>
      </x:c>
      <x:c r="N467" s="10" t="n">
        <x:v>66</x:v>
      </x:c>
      <x:c r="O467" s="10" t="str"/>
      <x:c r="P467" s="10" t="n">
        <x:v>17</x:v>
      </x:c>
      <x:c r="Q467" s="10" t="n">
        <x:v>0</x:v>
      </x:c>
      <x:c r="R467" s="13" t="n">
        <x:v>0</x:v>
      </x:c>
      <x:c r="S467" s="10" t="n">
        <x:v>198</x:v>
      </x:c>
      <x:c r="T467" s="10" t="str">
        <x:v>loan payment planner,home loan calculator,mortgage cost sheet,excel amortization,loan interest table,monthly payment log,mortgage budget tool,google sheets loan,loan payoff chart,real estate tracker,house loan planner,mortgage calc excel,mortgage tracker</x:v>
      </x:c>
      <x:c r="U467" s="10" t="str">
        <x:v>loan payment planner</x:v>
      </x:c>
      <x:c r="V467" s="10" t="str">
        <x:v>home loan calculator</x:v>
      </x:c>
      <x:c r="W467" s="10" t="str">
        <x:v>mortgage cost sheet</x:v>
      </x:c>
      <x:c r="X467" s="10" t="str">
        <x:v>excel amortization</x:v>
      </x:c>
      <x:c r="Y467" s="10" t="str">
        <x:v>loan interest table</x:v>
      </x:c>
      <x:c r="Z467" s="10" t="str">
        <x:v>monthly payment log</x:v>
      </x:c>
      <x:c r="AA467" s="10" t="str">
        <x:v>mortgage budget tool</x:v>
      </x:c>
      <x:c r="AB467" s="10" t="str">
        <x:v>google sheets loan</x:v>
      </x:c>
      <x:c r="AC467" s="10" t="str">
        <x:v>loan payoff chart</x:v>
      </x:c>
      <x:c r="AD467" s="10" t="str">
        <x:v>real estate tracker</x:v>
      </x:c>
      <x:c r="AE467" s="10" t="str">
        <x:v>house loan planner</x:v>
      </x:c>
      <x:c r="AF467" s="10" t="str">
        <x:v>mortgage calc excel</x:v>
      </x:c>
      <x:c r="AG467" s="10" t="str">
        <x:v>mortgage tracker</x:v>
      </x:c>
      <x:c r="AH467" s="10" t="str">
        <x:v>Mortgage payoff / calculator</x:v>
      </x:c>
      <x:c r="AI467" s="13" t="n">
        <x:v>6</x:v>
      </x:c>
      <x:c r="AJ467" s="10" t="str">
        <x:f>IF(F467&gt;0,"Active","No est. sales")</x:f>
        <x:v>No est. sales</x:v>
      </x:c>
    </x:row>
    <x:row r="468">
      <x:c r="A468" s="10" t="str">
        <x:v>Monthly Excel Budget Template | All-In-One Simple, Automated, Editable &amp; Easy to Use | Instant Download | Smart Budget Planner</x:v>
      </x:c>
      <x:c r="B468" s="10" t="str">
        <x:v>https://www.etsy.com/listing/4328390510/monthly-excel-budget-template-all-in-one</x:v>
      </x:c>
      <x:c r="C468" s="10" t="str">
        <x:v>TheSmartBudgetPlan</x:v>
      </x:c>
      <x:c r="D468" s="10" t="str">
        <x:v>https://www.etsy.com/shop/TheSmartBudgetPlan</x:v>
      </x:c>
      <x:c r="E468" s="11" t="n">
        <x:v>14.99</x:v>
      </x:c>
      <x:c r="F468" s="10" t="n">
        <x:v>0</x:v>
      </x:c>
      <x:c r="G468" s="12" t="n">
        <x:v>0</x:v>
      </x:c>
      <x:c r="H468" s="13" t="n">
        <x:v>0</x:v>
      </x:c>
      <x:c r="I468" s="10" t="n">
        <x:v>0</x:v>
      </x:c>
      <x:c r="J468" s="10" t="n">
        <x:v>1</x:v>
      </x:c>
      <x:c r="K468" s="10" t="str">
        <x:v>11 Mo.</x:v>
      </x:c>
      <x:c r="L468" s="10" t="n">
        <x:v>1</x:v>
      </x:c>
      <x:c r="M468" s="10" t="n">
        <x:v>0</x:v>
      </x:c>
      <x:c r="N468" s="10" t="n">
        <x:v>36</x:v>
      </x:c>
      <x:c r="O468" s="10" t="str"/>
      <x:c r="P468" s="10" t="n">
        <x:v>11</x:v>
      </x:c>
      <x:c r="Q468" s="10" t="n">
        <x:v>0</x:v>
      </x:c>
      <x:c r="R468" s="13" t="n">
        <x:v>0</x:v>
      </x:c>
      <x:c r="S468" s="10" t="n">
        <x:v>1</x:v>
      </x:c>
      <x:c r="T468" s="10" t="str">
        <x:v>budget planner,weekly budget,biweekly budget,bimonthly budget,excel template,personal finance,money tracker,financial planner,mortgage calculator,vacation savings,custom budget,smart budget planner,simple budget</x:v>
      </x:c>
      <x:c r="U468" s="10" t="str">
        <x:v>budget planner</x:v>
      </x:c>
      <x:c r="V468" s="10" t="str">
        <x:v>weekly budget</x:v>
      </x:c>
      <x:c r="W468" s="10" t="str">
        <x:v>biweekly budget</x:v>
      </x:c>
      <x:c r="X468" s="10" t="str">
        <x:v>bimonthly budget</x:v>
      </x:c>
      <x:c r="Y468" s="10" t="str">
        <x:v>excel template</x:v>
      </x:c>
      <x:c r="Z468" s="10" t="str">
        <x:v>personal finance</x:v>
      </x:c>
      <x:c r="AA468" s="10" t="str">
        <x:v>money tracker</x:v>
      </x:c>
      <x:c r="AB468" s="10" t="str">
        <x:v>financial planner</x:v>
      </x:c>
      <x:c r="AC468" s="10" t="str">
        <x:v>mortgage calculator</x:v>
      </x:c>
      <x:c r="AD468" s="10" t="str">
        <x:v>vacation savings</x:v>
      </x:c>
      <x:c r="AE468" s="10" t="str">
        <x:v>custom budget</x:v>
      </x:c>
      <x:c r="AF468" s="10" t="str">
        <x:v>smart budget planner</x:v>
      </x:c>
      <x:c r="AG468" s="10" t="str">
        <x:v>simple budget</x:v>
      </x:c>
      <x:c r="AH468" s="10" t="str">
        <x:v>Other mortgage-related</x:v>
      </x:c>
      <x:c r="AI468" s="13" t="n">
        <x:v>11</x:v>
      </x:c>
      <x:c r="AJ468" s="10" t="str">
        <x:f>IF(F468&gt;0,"Active","No est. sales")</x:f>
        <x:v>No est. sales</x:v>
      </x:c>
    </x:row>
    <x:row r="469">
      <x:c r="A469" s="10" t="str">
        <x:v>First-Time Home Buyer Playbook PDF – Mortgage Basics, Down Payment Planning &amp; Home Purchase Checklist Guide</x:v>
      </x:c>
      <x:c r="B469" s="10" t="str">
        <x:v>https://www.etsy.com/listing/4307221604/first-time-home-buyer-playbook-pdf</x:v>
      </x:c>
      <x:c r="C469" s="10" t="str">
        <x:v>SableDigitalStudio</x:v>
      </x:c>
      <x:c r="D469" s="10" t="str">
        <x:v>https://www.etsy.com/shop/SableDigitalStudio</x:v>
      </x:c>
      <x:c r="E469" s="11" t="n">
        <x:v>12.95</x:v>
      </x:c>
      <x:c r="F469" s="10" t="n">
        <x:v>0</x:v>
      </x:c>
      <x:c r="G469" s="12" t="n">
        <x:v>0</x:v>
      </x:c>
      <x:c r="H469" s="13" t="n">
        <x:v>0</x:v>
      </x:c>
      <x:c r="I469" s="10" t="n">
        <x:v>0</x:v>
      </x:c>
      <x:c r="J469" s="10" t="n">
        <x:v>0</x:v>
      </x:c>
      <x:c r="K469" s="10" t="str">
        <x:v>4 Mo.</x:v>
      </x:c>
      <x:c r="L469" s="10" t="n">
        <x:v>0</x:v>
      </x:c>
      <x:c r="M469" s="10" t="n">
        <x:v>0</x:v>
      </x:c>
      <x:c r="N469" s="10" t="n">
        <x:v>7</x:v>
      </x:c>
      <x:c r="O469" s="10" t="str"/>
      <x:c r="P469" s="10" t="n">
        <x:v>4</x:v>
      </x:c>
      <x:c r="Q469" s="10" t="n">
        <x:v>0</x:v>
      </x:c>
      <x:c r="R469" s="13" t="n">
        <x:v>0</x:v>
      </x:c>
      <x:c r="S469" s="10" t="n">
        <x:v>0</x:v>
      </x:c>
      <x:c r="T469" s="10" t="str">
        <x:v>home buyer guide,first home pdf,mortgage basics,closing checklist,down payment help,real estate tips,new home guide,house hunting plan,buy a house,budgeting pdf,financial tools,printable guide,real estate planner</x:v>
      </x:c>
      <x:c r="U469" s="10" t="str">
        <x:v>home buyer guide</x:v>
      </x:c>
      <x:c r="V469" s="10" t="str">
        <x:v>first home pdf</x:v>
      </x:c>
      <x:c r="W469" s="10" t="str">
        <x:v>mortgage basics</x:v>
      </x:c>
      <x:c r="X469" s="10" t="str">
        <x:v>closing checklist</x:v>
      </x:c>
      <x:c r="Y469" s="10" t="str">
        <x:v>down payment help</x:v>
      </x:c>
      <x:c r="Z469" s="10" t="str">
        <x:v>real estate tips</x:v>
      </x:c>
      <x:c r="AA469" s="10" t="str">
        <x:v>new home guide</x:v>
      </x:c>
      <x:c r="AB469" s="10" t="str">
        <x:v>house hunting plan</x:v>
      </x:c>
      <x:c r="AC469" s="10" t="str">
        <x:v>buy a house</x:v>
      </x:c>
      <x:c r="AD469" s="10" t="str">
        <x:v>budgeting pdf</x:v>
      </x:c>
      <x:c r="AE469" s="10" t="str">
        <x:v>financial tools</x:v>
      </x:c>
      <x:c r="AF469" s="10" t="str">
        <x:v>printable guide</x:v>
      </x:c>
      <x:c r="AG469" s="10" t="str">
        <x:v>real estate planner</x:v>
      </x:c>
      <x:c r="AH469" s="10" t="str">
        <x:v>Home buying planner</x:v>
      </x:c>
      <x:c r="AI469" s="13" t="n">
        <x:v>4</x:v>
      </x:c>
      <x:c r="AJ469" s="10" t="str">
        <x:f>IF(F469&gt;0,"Active","No est. sales")</x:f>
        <x:v>No est. sales</x:v>
      </x:c>
    </x:row>
    <x:row r="470">
      <x:c r="A470" s="10" t="str">
        <x:v>House Hunting Journal  Printable Home Buying Planner</x:v>
      </x:c>
      <x:c r="B470" s="10" t="str">
        <x:v>https://www.etsy.com/listing/4372480542/house-hunting-journal-printable-home</x:v>
      </x:c>
      <x:c r="C470" s="10" t="str">
        <x:v>FijaYuiCollective</x:v>
      </x:c>
      <x:c r="D470" s="10" t="str">
        <x:v>https://www.etsy.com/shop/FijaYuiCollective</x:v>
      </x:c>
      <x:c r="E470" s="11" t="n">
        <x:v>2.97</x:v>
      </x:c>
      <x:c r="F470" s="10" t="n">
        <x:v>0</x:v>
      </x:c>
      <x:c r="G470" s="12" t="n">
        <x:v>0</x:v>
      </x:c>
      <x:c r="H470" s="13" t="n">
        <x:v>0</x:v>
      </x:c>
      <x:c r="I470" s="10" t="n">
        <x:v>0</x:v>
      </x:c>
      <x:c r="J470" s="10" t="n">
        <x:v>0</x:v>
      </x:c>
      <x:c r="K470" s="10" t="str">
        <x:v>1 Mo.</x:v>
      </x:c>
      <x:c r="L470" s="10" t="n">
        <x:v>0</x:v>
      </x:c>
      <x:c r="M470" s="10" t="n">
        <x:v>0</x:v>
      </x:c>
      <x:c r="N470" s="10" t="n">
        <x:v>2</x:v>
      </x:c>
      <x:c r="O470" s="10" t="str"/>
      <x:c r="P470" s="10" t="n">
        <x:v>2</x:v>
      </x:c>
      <x:c r="Q470" s="10" t="n">
        <x:v>0</x:v>
      </x:c>
      <x:c r="R470" s="13" t="n">
        <x:v>0</x:v>
      </x:c>
      <x:c r="S470" s="10" t="n">
        <x:v>2</x:v>
      </x:c>
      <x:c r="T470" s="10" t="str">
        <x:v>budget planner,personal finance,dream house,moving checklist,home buying guide,financial plan,house purchase,real estate tips,first-time buyer,mortgage help,property search,financial advice,home hunting</x:v>
      </x:c>
      <x:c r="U470" s="10" t="str">
        <x:v>budget planner</x:v>
      </x:c>
      <x:c r="V470" s="10" t="str">
        <x:v>personal finance</x:v>
      </x:c>
      <x:c r="W470" s="10" t="str">
        <x:v>dream house</x:v>
      </x:c>
      <x:c r="X470" s="10" t="str">
        <x:v>moving checklist</x:v>
      </x:c>
      <x:c r="Y470" s="10" t="str">
        <x:v>home buying guide</x:v>
      </x:c>
      <x:c r="Z470" s="10" t="str">
        <x:v>financial plan</x:v>
      </x:c>
      <x:c r="AA470" s="10" t="str">
        <x:v>house purchase</x:v>
      </x:c>
      <x:c r="AB470" s="10" t="str">
        <x:v>real estate tips</x:v>
      </x:c>
      <x:c r="AC470" s="10" t="str">
        <x:v>first-time buyer</x:v>
      </x:c>
      <x:c r="AD470" s="10" t="str">
        <x:v>mortgage help</x:v>
      </x:c>
      <x:c r="AE470" s="10" t="str">
        <x:v>property search</x:v>
      </x:c>
      <x:c r="AF470" s="10" t="str">
        <x:v>financial advice</x:v>
      </x:c>
      <x:c r="AG470" s="10" t="str">
        <x:v>home hunting</x:v>
      </x:c>
      <x:c r="AH470" s="10" t="str">
        <x:v>Home buying planner</x:v>
      </x:c>
      <x:c r="AI470" s="13" t="n">
        <x:v>1</x:v>
      </x:c>
      <x:c r="AJ470" s="10" t="str">
        <x:f>IF(F470&gt;0,"Active","No est. sales")</x:f>
        <x:v>No est. sales</x:v>
      </x:c>
    </x:row>
    <x:row r="471">
      <x:c r="A471" s="10" t="str">
        <x:v>Loan Analysis Worksheet | Interactive Excel Table | Loan &amp; Credit Calculation | Active Formulas | Interest Rate | Budget Planning | Mortgage</x:v>
      </x:c>
      <x:c r="B471" s="10" t="str">
        <x:v>https://www.etsy.com/listing/559025505/loan-analysis-worksheet-interactive</x:v>
      </x:c>
      <x:c r="C471" s="10" t="str">
        <x:v>novomatic</x:v>
      </x:c>
      <x:c r="D471" s="10" t="str">
        <x:v>https://www.etsy.com/shop/novomatic</x:v>
      </x:c>
      <x:c r="E471" s="11" t="n">
        <x:v>3.99</x:v>
      </x:c>
      <x:c r="F471" s="10" t="n">
        <x:v>0</x:v>
      </x:c>
      <x:c r="G471" s="12" t="n">
        <x:v>0</x:v>
      </x:c>
      <x:c r="H471" s="13" t="n">
        <x:v>0</x:v>
      </x:c>
      <x:c r="I471" s="10" t="n">
        <x:v>0</x:v>
      </x:c>
      <x:c r="J471" s="10" t="n">
        <x:v>0</x:v>
      </x:c>
      <x:c r="K471" s="10" t="str">
        <x:v>88 Mo.</x:v>
      </x:c>
      <x:c r="L471" s="10" t="n">
        <x:v>15</x:v>
      </x:c>
      <x:c r="M471" s="10" t="n">
        <x:v>0</x:v>
      </x:c>
      <x:c r="N471" s="10" t="n">
        <x:v>0</x:v>
      </x:c>
      <x:c r="O471" s="10" t="str">
        <x:v>Craft Supplies &amp; Tools</x:v>
      </x:c>
      <x:c r="P471" s="10" t="n">
        <x:v>84</x:v>
      </x:c>
      <x:c r="Q471" s="10" t="n">
        <x:v>0</x:v>
      </x:c>
      <x:c r="R471" s="13" t="n">
        <x:v>0</x:v>
      </x:c>
      <x:c r="S471" s="10" t="n">
        <x:v>490</x:v>
      </x:c>
      <x:c r="T471" s="10" t="str">
        <x:v>loan,loan analysis,excel,excel table,calculation,calculator,loan calculator,mortgage,planner,financial planner,financial planning,budget,home budget</x:v>
      </x:c>
      <x:c r="U471" s="10" t="str">
        <x:v>loan</x:v>
      </x:c>
      <x:c r="V471" s="10" t="str">
        <x:v>loan analysis</x:v>
      </x:c>
      <x:c r="W471" s="10" t="str">
        <x:v>excel</x:v>
      </x:c>
      <x:c r="X471" s="10" t="str">
        <x:v>excel table</x:v>
      </x:c>
      <x:c r="Y471" s="10" t="str">
        <x:v>calculation</x:v>
      </x:c>
      <x:c r="Z471" s="10" t="str">
        <x:v>calculator</x:v>
      </x:c>
      <x:c r="AA471" s="10" t="str">
        <x:v>loan calculator</x:v>
      </x:c>
      <x:c r="AB471" s="10" t="str">
        <x:v>mortgage</x:v>
      </x:c>
      <x:c r="AC471" s="10" t="str">
        <x:v>planner</x:v>
      </x:c>
      <x:c r="AD471" s="10" t="str">
        <x:v>financial planner</x:v>
      </x:c>
      <x:c r="AE471" s="10" t="str">
        <x:v>financial planning</x:v>
      </x:c>
      <x:c r="AF471" s="10" t="str">
        <x:v>budget</x:v>
      </x:c>
      <x:c r="AG471" s="10" t="str">
        <x:v>home budget</x:v>
      </x:c>
      <x:c r="AH471" s="10" t="str">
        <x:v>Other mortgage-related</x:v>
      </x:c>
      <x:c r="AI471" s="13" t="n">
        <x:v>88</x:v>
      </x:c>
      <x:c r="AJ471" s="10" t="str">
        <x:f>IF(F471&gt;0,"Active","No est. sales")</x:f>
        <x:v>No est. sales</x:v>
      </x:c>
    </x:row>
    <x:row r="472">
      <x:c r="A472" s="10" t="str">
        <x:v>Value Analysis Calculator Sheet – Google Sheets Template for Property Investment, Mortgage &amp; ROI Calculations – Budget Planner and Financial</x:v>
      </x:c>
      <x:c r="B472" s="10" t="str">
        <x:v>https://www.etsy.com/listing/4335867713/value-analysis-calculator-sheet-google</x:v>
      </x:c>
      <x:c r="C472" s="10" t="str">
        <x:v>Xeasysheets</x:v>
      </x:c>
      <x:c r="D472" s="10" t="str">
        <x:v>https://www.etsy.com/shop/Xeasysheets</x:v>
      </x:c>
      <x:c r="E472" s="11" t="n">
        <x:v>11.09</x:v>
      </x:c>
      <x:c r="F472" s="10" t="n">
        <x:v>0</x:v>
      </x:c>
      <x:c r="G472" s="12" t="n">
        <x:v>0</x:v>
      </x:c>
      <x:c r="H472" s="13" t="n">
        <x:v>0</x:v>
      </x:c>
      <x:c r="I472" s="10" t="n">
        <x:v>0</x:v>
      </x:c>
      <x:c r="J472" s="10" t="n">
        <x:v>0</x:v>
      </x:c>
      <x:c r="K472" s="10" t="str">
        <x:v>12 Mo.</x:v>
      </x:c>
      <x:c r="L472" s="10" t="n">
        <x:v>0</x:v>
      </x:c>
      <x:c r="M472" s="10" t="n">
        <x:v>0</x:v>
      </x:c>
      <x:c r="N472" s="10" t="n">
        <x:v>38</x:v>
      </x:c>
      <x:c r="O472" s="10" t="str"/>
      <x:c r="P472" s="10" t="n">
        <x:v>12</x:v>
      </x:c>
      <x:c r="Q472" s="10" t="n">
        <x:v>0</x:v>
      </x:c>
      <x:c r="R472" s="13" t="n">
        <x:v>0</x:v>
      </x:c>
      <x:c r="S472" s="10" t="n">
        <x:v>2161</x:v>
      </x:c>
      <x:c r="T472" s="10" t="str">
        <x:v>value calculator,property analysis,roi calculator,mortgage calculator,investment tracker,real estate tools,property investment,budget tracker,financial calculator,excel template,real estate roi,google sheets,roi financial</x:v>
      </x:c>
      <x:c r="U472" s="10" t="str">
        <x:v>value calculator</x:v>
      </x:c>
      <x:c r="V472" s="10" t="str">
        <x:v>property analysis</x:v>
      </x:c>
      <x:c r="W472" s="10" t="str">
        <x:v>roi calculator</x:v>
      </x:c>
      <x:c r="X472" s="10" t="str">
        <x:v>mortgage calculator</x:v>
      </x:c>
      <x:c r="Y472" s="10" t="str">
        <x:v>investment tracker</x:v>
      </x:c>
      <x:c r="Z472" s="10" t="str">
        <x:v>real estate tools</x:v>
      </x:c>
      <x:c r="AA472" s="10" t="str">
        <x:v>property investment</x:v>
      </x:c>
      <x:c r="AB472" s="10" t="str">
        <x:v>budget tracker</x:v>
      </x:c>
      <x:c r="AC472" s="10" t="str">
        <x:v>financial calculator</x:v>
      </x:c>
      <x:c r="AD472" s="10" t="str">
        <x:v>excel template</x:v>
      </x:c>
      <x:c r="AE472" s="10" t="str">
        <x:v>real estate roi</x:v>
      </x:c>
      <x:c r="AF472" s="10" t="str">
        <x:v>google sheets</x:v>
      </x:c>
      <x:c r="AG472" s="10" t="str">
        <x:v>roi financial</x:v>
      </x:c>
      <x:c r="AH472" s="10" t="str">
        <x:v>Property investment</x:v>
      </x:c>
      <x:c r="AI472" s="13" t="n">
        <x:v>12</x:v>
      </x:c>
      <x:c r="AJ472" s="10" t="str">
        <x:f>IF(F472&gt;0,"Active","No est. sales")</x:f>
        <x:v>No est. sales</x:v>
      </x:c>
    </x:row>
    <x:row r="473">
      <x:c r="A473" s="10" t="str">
        <x:v>Little Rainbow Houses, Printable Functional Stickers, Planners &amp; Calendars, House Cleaning, Rent Due, Real Estate, Colorful Homes, Cut File</x:v>
      </x:c>
      <x:c r="B473" s="10" t="str">
        <x:v>https://www.etsy.com/listing/1043334194/little-rainbow-houses-printable</x:v>
      </x:c>
      <x:c r="C473" s="10" t="str">
        <x:v>PaperPotpourriCo</x:v>
      </x:c>
      <x:c r="D473" s="10" t="str">
        <x:v>https://www.etsy.com/shop/PaperPotpourriCo</x:v>
      </x:c>
      <x:c r="E473" s="11" t="n">
        <x:v>3</x:v>
      </x:c>
      <x:c r="F473" s="10" t="n">
        <x:v>0</x:v>
      </x:c>
      <x:c r="G473" s="12" t="n">
        <x:v>0</x:v>
      </x:c>
      <x:c r="H473" s="13" t="n">
        <x:v>0</x:v>
      </x:c>
      <x:c r="I473" s="10" t="n">
        <x:v>0</x:v>
      </x:c>
      <x:c r="J473" s="10" t="n">
        <x:v>0</x:v>
      </x:c>
      <x:c r="K473" s="10" t="str">
        <x:v>60 Mo.</x:v>
      </x:c>
      <x:c r="L473" s="10" t="n">
        <x:v>5</x:v>
      </x:c>
      <x:c r="M473" s="10" t="n">
        <x:v>0</x:v>
      </x:c>
      <x:c r="N473" s="10" t="n">
        <x:v>36</x:v>
      </x:c>
      <x:c r="O473" s="10" t="str">
        <x:v>Paper &amp; Party Supplies</x:v>
      </x:c>
      <x:c r="P473" s="10" t="n">
        <x:v>117</x:v>
      </x:c>
      <x:c r="Q473" s="10" t="n">
        <x:v>0</x:v>
      </x:c>
      <x:c r="R473" s="13" t="n">
        <x:v>0</x:v>
      </x:c>
      <x:c r="S473" s="10" t="n">
        <x:v>1152</x:v>
      </x:c>
      <x:c r="T473" s="10" t="str">
        <x:v>house cleaning,home maintenance,mortgage payment due,pay rent reminder,planner stickers,printable cut files,fits erin condren,fits happy planner,calendar stickers,tracker stickers,functional stickers,rainbow houses cute,realtor real estate</x:v>
      </x:c>
      <x:c r="U473" s="10" t="str">
        <x:v>house cleaning</x:v>
      </x:c>
      <x:c r="V473" s="10" t="str">
        <x:v>home maintenance</x:v>
      </x:c>
      <x:c r="W473" s="10" t="str">
        <x:v>mortgage payment due</x:v>
      </x:c>
      <x:c r="X473" s="10" t="str">
        <x:v>pay rent reminder</x:v>
      </x:c>
      <x:c r="Y473" s="10" t="str">
        <x:v>planner stickers</x:v>
      </x:c>
      <x:c r="Z473" s="10" t="str">
        <x:v>printable cut files</x:v>
      </x:c>
      <x:c r="AA473" s="10" t="str">
        <x:v>fits erin condren</x:v>
      </x:c>
      <x:c r="AB473" s="10" t="str">
        <x:v>fits happy planner</x:v>
      </x:c>
      <x:c r="AC473" s="10" t="str">
        <x:v>calendar stickers</x:v>
      </x:c>
      <x:c r="AD473" s="10" t="str">
        <x:v>tracker stickers</x:v>
      </x:c>
      <x:c r="AE473" s="10" t="str">
        <x:v>functional stickers</x:v>
      </x:c>
      <x:c r="AF473" s="10" t="str">
        <x:v>rainbow houses cute</x:v>
      </x:c>
      <x:c r="AG473" s="10" t="str">
        <x:v>realtor real estate</x:v>
      </x:c>
      <x:c r="AH473" s="10" t="str">
        <x:v>Other mortgage-related</x:v>
      </x:c>
      <x:c r="AI473" s="13" t="n">
        <x:v>60</x:v>
      </x:c>
      <x:c r="AJ473" s="10" t="str">
        <x:f>IF(F473&gt;0,"Active","No est. sales")</x:f>
        <x:v>No est. sales</x:v>
      </x:c>
    </x:row>
    <x:row r="474">
      <x:c r="A474" s="10" t="str">
        <x:v>Mortgage Due Stickers - Decorative Planner Stickers</x:v>
      </x:c>
      <x:c r="B474" s="10" t="str">
        <x:v>https://www.etsy.com/listing/707289592/mortgage-due-stickers-decorative-planner</x:v>
      </x:c>
      <x:c r="C474" s="10" t="str">
        <x:v>RominaRossa</x:v>
      </x:c>
      <x:c r="D474" s="10" t="str">
        <x:v>https://www.etsy.com/shop/RominaRossa</x:v>
      </x:c>
      <x:c r="E474" s="11" t="n">
        <x:v>2.2</x:v>
      </x:c>
      <x:c r="F474" s="10" t="n">
        <x:v>0</x:v>
      </x:c>
      <x:c r="G474" s="12" t="n">
        <x:v>0</x:v>
      </x:c>
      <x:c r="H474" s="13" t="n">
        <x:v>0</x:v>
      </x:c>
      <x:c r="I474" s="10" t="n">
        <x:v>107</x:v>
      </x:c>
      <x:c r="J474" s="10" t="n">
        <x:v>17</x:v>
      </x:c>
      <x:c r="K474" s="10" t="str">
        <x:v>84 Mo.</x:v>
      </x:c>
      <x:c r="L474" s="10" t="n">
        <x:v>52</x:v>
      </x:c>
      <x:c r="M474" s="10" t="n">
        <x:v>0</x:v>
      </x:c>
      <x:c r="N474" s="10" t="n">
        <x:v>990</x:v>
      </x:c>
      <x:c r="O474" s="10" t="str">
        <x:v>Paper &amp; Party Supplies</x:v>
      </x:c>
      <x:c r="P474" s="10" t="n">
        <x:v>90</x:v>
      </x:c>
      <x:c r="Q474" s="10" t="n">
        <x:v>0</x:v>
      </x:c>
      <x:c r="R474" s="13" t="n">
        <x:v>10.81</x:v>
      </x:c>
      <x:c r="S474" s="10" t="n">
        <x:v>24341</x:v>
      </x:c>
      <x:c r="T474" s="10" t="str">
        <x:v>erin condren,happy planner,planner,budget,stickers,sticker,rominarossa,romina rossa</x:v>
      </x:c>
      <x:c r="U474" s="10" t="str">
        <x:v>erin condren</x:v>
      </x:c>
      <x:c r="V474" s="10" t="str">
        <x:v>happy planner</x:v>
      </x:c>
      <x:c r="W474" s="10" t="str">
        <x:v>planner</x:v>
      </x:c>
      <x:c r="X474" s="10" t="str">
        <x:v>budget</x:v>
      </x:c>
      <x:c r="Y474" s="10" t="str">
        <x:v>stickers</x:v>
      </x:c>
      <x:c r="Z474" s="10" t="str">
        <x:v>sticker</x:v>
      </x:c>
      <x:c r="AA474" s="10" t="str">
        <x:v>rominarossa</x:v>
      </x:c>
      <x:c r="AB474" s="10" t="str">
        <x:v>romina rossa</x:v>
      </x:c>
      <x:c r="AC474" s="10" t="str">
        <x:v>--</x:v>
      </x:c>
      <x:c r="AD474" s="10" t="str">
        <x:v>--</x:v>
      </x:c>
      <x:c r="AE474" s="10" t="str">
        <x:v>--</x:v>
      </x:c>
      <x:c r="AF474" s="10" t="str">
        <x:v>--</x:v>
      </x:c>
      <x:c r="AG474" s="10" t="str">
        <x:v>--</x:v>
      </x:c>
      <x:c r="AH474" s="10" t="str">
        <x:v>Other mortgage-related</x:v>
      </x:c>
      <x:c r="AI474" s="13" t="n">
        <x:v>84</x:v>
      </x:c>
      <x:c r="AJ474" s="10" t="str">
        <x:f>IF(F474&gt;0,"Active","No est. sales")</x:f>
        <x:v>No est. sales</x:v>
      </x:c>
    </x:row>
    <x:row r="475">
      <x:c r="A475" s="10" t="str">
        <x:v>House Hunting Workbook Canva Template, Home Buying Planner &amp; Property Comparison for Buyers</x:v>
      </x:c>
      <x:c r="B475" s="10" t="str">
        <x:v>https://www.etsy.com/listing/4458943374/house-hunting-workbook-canva-template</x:v>
      </x:c>
      <x:c r="C475" s="10" t="str">
        <x:v>RealEstateDemystify</x:v>
      </x:c>
      <x:c r="D475" s="10" t="str">
        <x:v>https://www.etsy.com/shop/RealEstateDemystify</x:v>
      </x:c>
      <x:c r="E475" s="11" t="n">
        <x:v>14.85</x:v>
      </x:c>
      <x:c r="F475" s="10" t="n">
        <x:v>0</x:v>
      </x:c>
      <x:c r="G475" s="12" t="n">
        <x:v>0</x:v>
      </x:c>
      <x:c r="H475" s="13" t="n">
        <x:v>0</x:v>
      </x:c>
      <x:c r="I475" s="10" t="n">
        <x:v>0</x:v>
      </x:c>
      <x:c r="J475" s="10" t="n">
        <x:v>0</x:v>
      </x:c>
      <x:c r="K475" s="10" t="str">
        <x:v>5 Mo.</x:v>
      </x:c>
      <x:c r="L475" s="10" t="n">
        <x:v>0</x:v>
      </x:c>
      <x:c r="M475" s="10" t="n">
        <x:v>0</x:v>
      </x:c>
      <x:c r="N475" s="10" t="n">
        <x:v>12</x:v>
      </x:c>
      <x:c r="O475" s="10" t="str">
        <x:v>Paper &amp; Party Supplies</x:v>
      </x:c>
      <x:c r="P475" s="10" t="n">
        <x:v>46</x:v>
      </x:c>
      <x:c r="Q475" s="10" t="n">
        <x:v>0</x:v>
      </x:c>
      <x:c r="R475" s="13" t="n">
        <x:v>0</x:v>
      </x:c>
      <x:c r="S475" s="10" t="n">
        <x:v>4993</x:v>
      </x:c>
      <x:c r="T475" s="10" t="str">
        <x:v>home buy planner,move checklist,printable house hunt,real estate digital,management guide,timeline tips,mortgage tracker,budget plan list,home buying planner,home buyer workbook,house hunting guide,house hunting uk,first time buyer</x:v>
      </x:c>
      <x:c r="U475" s="10" t="str">
        <x:v>home buy planner</x:v>
      </x:c>
      <x:c r="V475" s="10" t="str">
        <x:v>move checklist</x:v>
      </x:c>
      <x:c r="W475" s="10" t="str">
        <x:v>printable house hunt</x:v>
      </x:c>
      <x:c r="X475" s="10" t="str">
        <x:v>real estate digital</x:v>
      </x:c>
      <x:c r="Y475" s="10" t="str">
        <x:v>management guide</x:v>
      </x:c>
      <x:c r="Z475" s="10" t="str">
        <x:v>timeline tips</x:v>
      </x:c>
      <x:c r="AA475" s="10" t="str">
        <x:v>mortgage tracker</x:v>
      </x:c>
      <x:c r="AB475" s="10" t="str">
        <x:v>budget plan list</x:v>
      </x:c>
      <x:c r="AC475" s="10" t="str">
        <x:v>home buying planner</x:v>
      </x:c>
      <x:c r="AD475" s="10" t="str">
        <x:v>home buyer workbook</x:v>
      </x:c>
      <x:c r="AE475" s="10" t="str">
        <x:v>house hunting guide</x:v>
      </x:c>
      <x:c r="AF475" s="10" t="str">
        <x:v>house hunting uk</x:v>
      </x:c>
      <x:c r="AG475" s="10" t="str">
        <x:v>first time buyer</x:v>
      </x:c>
      <x:c r="AH475" s="10" t="str">
        <x:v>Home buying planner</x:v>
      </x:c>
      <x:c r="AI475" s="13" t="n">
        <x:v>5</x:v>
      </x:c>
      <x:c r="AJ475" s="10" t="str">
        <x:f>IF(F475&gt;0,"Active","No est. sales")</x:f>
        <x:v>No est. sales</x:v>
      </x:c>
    </x:row>
    <x:row r="476">
      <x:c r="A476" s="10" t="str">
        <x:v>Mortgage Planner Stickers, 52 Labels for Planners, Calendars and More, Color and Paper Options Available</x:v>
      </x:c>
      <x:c r="B476" s="10" t="str">
        <x:v>https://www.etsy.com/listing/621773968/mortgage-planner-stickers-52-labels-for</x:v>
      </x:c>
      <x:c r="C476" s="10" t="str">
        <x:v>frannielambstickers</x:v>
      </x:c>
      <x:c r="D476" s="10" t="str">
        <x:v>https://www.etsy.com/shop/frannielambstickers</x:v>
      </x:c>
      <x:c r="E476" s="11" t="n">
        <x:v>3.99</x:v>
      </x:c>
      <x:c r="F476" s="10" t="n">
        <x:v>0</x:v>
      </x:c>
      <x:c r="G476" s="12" t="n">
        <x:v>0</x:v>
      </x:c>
      <x:c r="H476" s="13" t="n">
        <x:v>0</x:v>
      </x:c>
      <x:c r="I476" s="10" t="n">
        <x:v>29</x:v>
      </x:c>
      <x:c r="J476" s="10" t="n">
        <x:v>6</x:v>
      </x:c>
      <x:c r="K476" s="10" t="str">
        <x:v>95 Mo.</x:v>
      </x:c>
      <x:c r="L476" s="10" t="n">
        <x:v>78</x:v>
      </x:c>
      <x:c r="M476" s="10" t="n">
        <x:v>0</x:v>
      </x:c>
      <x:c r="N476" s="10" t="n">
        <x:v>476</x:v>
      </x:c>
      <x:c r="O476" s="10" t="str">
        <x:v>Paper &amp; Party Supplies</x:v>
      </x:c>
      <x:c r="P476" s="10" t="n">
        <x:v>112</x:v>
      </x:c>
      <x:c r="Q476" s="10" t="n">
        <x:v>0</x:v>
      </x:c>
      <x:c r="R476" s="13" t="n">
        <x:v>6.09</x:v>
      </x:c>
      <x:c r="S476" s="10" t="n">
        <x:v>166558</x:v>
      </x:c>
      <x:c r="T476" s="10" t="str">
        <x:v>planner stickers,stickers,cute stickers,clear stickers,transparent stickers,tiny stickers,calendar stickers,text stickers,bullet journal,word stickers,labels,school work stickers,mortgage stickers</x:v>
      </x:c>
      <x:c r="U476" s="10" t="str">
        <x:v>planner stickers</x:v>
      </x:c>
      <x:c r="V476" s="10" t="str">
        <x:v>stickers</x:v>
      </x:c>
      <x:c r="W476" s="10" t="str">
        <x:v>cute stickers</x:v>
      </x:c>
      <x:c r="X476" s="10" t="str">
        <x:v>clear stickers</x:v>
      </x:c>
      <x:c r="Y476" s="10" t="str">
        <x:v>transparent stickers</x:v>
      </x:c>
      <x:c r="Z476" s="10" t="str">
        <x:v>tiny stickers</x:v>
      </x:c>
      <x:c r="AA476" s="10" t="str">
        <x:v>calendar stickers</x:v>
      </x:c>
      <x:c r="AB476" s="10" t="str">
        <x:v>text stickers</x:v>
      </x:c>
      <x:c r="AC476" s="10" t="str">
        <x:v>bullet journal</x:v>
      </x:c>
      <x:c r="AD476" s="10" t="str">
        <x:v>word stickers</x:v>
      </x:c>
      <x:c r="AE476" s="10" t="str">
        <x:v>labels</x:v>
      </x:c>
      <x:c r="AF476" s="10" t="str">
        <x:v>school work stickers</x:v>
      </x:c>
      <x:c r="AG476" s="10" t="str">
        <x:v>mortgage stickers</x:v>
      </x:c>
      <x:c r="AH476" s="10" t="str">
        <x:v>Other mortgage-related</x:v>
      </x:c>
      <x:c r="AI476" s="13" t="n">
        <x:v>95</x:v>
      </x:c>
      <x:c r="AJ476" s="10" t="str">
        <x:f>IF(F476&gt;0,"Active","No est. sales")</x:f>
        <x:v>No est. sales</x:v>
      </x:c>
    </x:row>
    <x:row r="477">
      <x:c r="A477" s="10" t="str">
        <x:v>Mortgage Stickers, 52 Labels for Planners, Calendars and More, Color and Paper Options Available</x:v>
      </x:c>
      <x:c r="B477" s="10" t="str">
        <x:v>https://www.etsy.com/listing/774692782/mortgage-stickers-52-labels-for-planners</x:v>
      </x:c>
      <x:c r="C477" s="10" t="str">
        <x:v>frannielambstickers</x:v>
      </x:c>
      <x:c r="D477" s="10" t="str">
        <x:v>https://www.etsy.com/shop/frannielambstickers</x:v>
      </x:c>
      <x:c r="E477" s="11" t="n">
        <x:v>3.99</x:v>
      </x:c>
      <x:c r="F477" s="10" t="n">
        <x:v>0</x:v>
      </x:c>
      <x:c r="G477" s="12" t="n">
        <x:v>0</x:v>
      </x:c>
      <x:c r="H477" s="13" t="n">
        <x:v>0</x:v>
      </x:c>
      <x:c r="I477" s="10" t="n">
        <x:v>9</x:v>
      </x:c>
      <x:c r="J477" s="10" t="n">
        <x:v>2</x:v>
      </x:c>
      <x:c r="K477" s="10" t="str">
        <x:v>76 Mo.</x:v>
      </x:c>
      <x:c r="L477" s="10" t="n">
        <x:v>38</x:v>
      </x:c>
      <x:c r="M477" s="10" t="n">
        <x:v>0</x:v>
      </x:c>
      <x:c r="N477" s="10" t="n">
        <x:v>335</x:v>
      </x:c>
      <x:c r="O477" s="10" t="str">
        <x:v>Paper &amp; Party Supplies</x:v>
      </x:c>
      <x:c r="P477" s="10" t="n">
        <x:v>112</x:v>
      </x:c>
      <x:c r="Q477" s="10" t="n">
        <x:v>0</x:v>
      </x:c>
      <x:c r="R477" s="13" t="n">
        <x:v>2.69</x:v>
      </x:c>
      <x:c r="S477" s="10" t="n">
        <x:v>166558</x:v>
      </x:c>
      <x:c r="T477" s="10" t="str">
        <x:v>planner stickers,cute stickers,clear stickers,transparent stickers,tiny stickers,calendar stickers,icon stickers,text stickers,work stickers,erin condren sticker,bujo stickers,mortgage stickers,journal stickers</x:v>
      </x:c>
      <x:c r="U477" s="10" t="str">
        <x:v>planner stickers</x:v>
      </x:c>
      <x:c r="V477" s="10" t="str">
        <x:v>cute stickers</x:v>
      </x:c>
      <x:c r="W477" s="10" t="str">
        <x:v>clear stickers</x:v>
      </x:c>
      <x:c r="X477" s="10" t="str">
        <x:v>transparent stickers</x:v>
      </x:c>
      <x:c r="Y477" s="10" t="str">
        <x:v>tiny stickers</x:v>
      </x:c>
      <x:c r="Z477" s="10" t="str">
        <x:v>calendar stickers</x:v>
      </x:c>
      <x:c r="AA477" s="10" t="str">
        <x:v>icon stickers</x:v>
      </x:c>
      <x:c r="AB477" s="10" t="str">
        <x:v>text stickers</x:v>
      </x:c>
      <x:c r="AC477" s="10" t="str">
        <x:v>work stickers</x:v>
      </x:c>
      <x:c r="AD477" s="10" t="str">
        <x:v>erin condren sticker</x:v>
      </x:c>
      <x:c r="AE477" s="10" t="str">
        <x:v>bujo stickers</x:v>
      </x:c>
      <x:c r="AF477" s="10" t="str">
        <x:v>mortgage stickers</x:v>
      </x:c>
      <x:c r="AG477" s="10" t="str">
        <x:v>journal stickers</x:v>
      </x:c>
      <x:c r="AH477" s="10" t="str">
        <x:v>Other mortgage-related</x:v>
      </x:c>
      <x:c r="AI477" s="13" t="n">
        <x:v>76</x:v>
      </x:c>
      <x:c r="AJ477" s="10" t="str">
        <x:f>IF(F477&gt;0,"Active","No est. sales")</x:f>
        <x:v>No est. sales</x:v>
      </x:c>
    </x:row>
    <x:row r="478">
      <x:c r="A478" s="10" t="str">
        <x:v>Mortgage Due Planner Stickers, House Mortgage Stickers, Rent Due Stickers, Erin Condren,  Happy Planner, Bullet Journal, FUN-129</x:v>
      </x:c>
      <x:c r="B478" s="10" t="str">
        <x:v>https://www.etsy.com/listing/572468934/mortgage-due-planner-stickers-house</x:v>
      </x:c>
      <x:c r="C478" s="10" t="str">
        <x:v>PlanandGeaux</x:v>
      </x:c>
      <x:c r="D478" s="10" t="str">
        <x:v>https://www.etsy.com/shop/PlanandGeaux</x:v>
      </x:c>
      <x:c r="E478" s="11" t="n">
        <x:v>5</x:v>
      </x:c>
      <x:c r="F478" s="10" t="n">
        <x:v>0</x:v>
      </x:c>
      <x:c r="G478" s="12" t="n">
        <x:v>0</x:v>
      </x:c>
      <x:c r="H478" s="13" t="n">
        <x:v>0</x:v>
      </x:c>
      <x:c r="I478" s="10" t="n">
        <x:v>127</x:v>
      </x:c>
      <x:c r="J478" s="10" t="n">
        <x:v>22</x:v>
      </x:c>
      <x:c r="K478" s="10" t="str">
        <x:v>102 Mo.</x:v>
      </x:c>
      <x:c r="L478" s="10" t="n">
        <x:v>128</x:v>
      </x:c>
      <x:c r="M478" s="10" t="n">
        <x:v>0</x:v>
      </x:c>
      <x:c r="N478" s="10" t="n">
        <x:v>2043</x:v>
      </x:c>
      <x:c r="O478" s="10" t="str">
        <x:v>Paper &amp; Party Supplies</x:v>
      </x:c>
      <x:c r="P478" s="10" t="n">
        <x:v>130</x:v>
      </x:c>
      <x:c r="Q478" s="10" t="n">
        <x:v>0</x:v>
      </x:c>
      <x:c r="R478" s="13" t="n">
        <x:v>6.22</x:v>
      </x:c>
      <x:c r="S478" s="10" t="n">
        <x:v>70962</x:v>
      </x:c>
      <x:c r="T478" s="10" t="str">
        <x:v>planner stickers,happy planner,erin condren,house rent sticker,rent sticker,rent due sticker,mortgage due,house note sticker,mortgage sticker,household stickers,home management,home planner,home stickers</x:v>
      </x:c>
      <x:c r="U478" s="10" t="str">
        <x:v>planner stickers</x:v>
      </x:c>
      <x:c r="V478" s="10" t="str">
        <x:v>happy planner</x:v>
      </x:c>
      <x:c r="W478" s="10" t="str">
        <x:v>erin condren</x:v>
      </x:c>
      <x:c r="X478" s="10" t="str">
        <x:v>house rent sticker</x:v>
      </x:c>
      <x:c r="Y478" s="10" t="str">
        <x:v>rent sticker</x:v>
      </x:c>
      <x:c r="Z478" s="10" t="str">
        <x:v>rent due sticker</x:v>
      </x:c>
      <x:c r="AA478" s="10" t="str">
        <x:v>mortgage due</x:v>
      </x:c>
      <x:c r="AB478" s="10" t="str">
        <x:v>house note sticker</x:v>
      </x:c>
      <x:c r="AC478" s="10" t="str">
        <x:v>mortgage sticker</x:v>
      </x:c>
      <x:c r="AD478" s="10" t="str">
        <x:v>household stickers</x:v>
      </x:c>
      <x:c r="AE478" s="10" t="str">
        <x:v>home management</x:v>
      </x:c>
      <x:c r="AF478" s="10" t="str">
        <x:v>home planner</x:v>
      </x:c>
      <x:c r="AG478" s="10" t="str">
        <x:v>home stickers</x:v>
      </x:c>
      <x:c r="AH478" s="10" t="str">
        <x:v>Other mortgage-related</x:v>
      </x:c>
      <x:c r="AI478" s="13" t="n">
        <x:v>102</x:v>
      </x:c>
      <x:c r="AJ478" s="10" t="str">
        <x:f>IF(F478&gt;0,"Active","No est. sales")</x:f>
        <x:v>No est. sales</x:v>
      </x:c>
    </x:row>
    <x:row r="479">
      <x:c r="A479" s="10" t="str">
        <x:v>Debt Payoff Tracker | Snowball Avalanche Calculator | Credit Card Tracker, Home Loan, Student Loan, Debt-Free Planner Google Sheets</x:v>
      </x:c>
      <x:c r="B479" s="10" t="str">
        <x:v>https://www.etsy.com/listing/4447187474/debt-payoff-calculator-snowball</x:v>
      </x:c>
      <x:c r="C479" s="10" t="str">
        <x:v>SimplySortedByKenna</x:v>
      </x:c>
      <x:c r="D479" s="10" t="str">
        <x:v>https://www.etsy.com/shop/SimplySortedByKenna</x:v>
      </x:c>
      <x:c r="E479" s="11" t="n">
        <x:v>4.97</x:v>
      </x:c>
      <x:c r="F479" s="10" t="n">
        <x:v>0</x:v>
      </x:c>
      <x:c r="G479" s="12" t="n">
        <x:v>0</x:v>
      </x:c>
      <x:c r="H479" s="13" t="n">
        <x:v>0</x:v>
      </x:c>
      <x:c r="I479" s="10" t="n">
        <x:v>0</x:v>
      </x:c>
      <x:c r="J479" s="10" t="n">
        <x:v>0</x:v>
      </x:c>
      <x:c r="K479" s="10" t="str">
        <x:v>6 Mo.</x:v>
      </x:c>
      <x:c r="L479" s="10" t="n">
        <x:v>0</x:v>
      </x:c>
      <x:c r="M479" s="10" t="n">
        <x:v>0</x:v>
      </x:c>
      <x:c r="N479" s="10" t="n">
        <x:v>21</x:v>
      </x:c>
      <x:c r="O479" s="10" t="str"/>
      <x:c r="P479" s="10" t="n">
        <x:v>7</x:v>
      </x:c>
      <x:c r="Q479" s="10" t="n">
        <x:v>0</x:v>
      </x:c>
      <x:c r="R479" s="13" t="n">
        <x:v>0</x:v>
      </x:c>
      <x:c r="S479" s="10" t="n">
        <x:v>11</x:v>
      </x:c>
      <x:c r="T479" s="10" t="str">
        <x:v>financial planner,debt payoff tracker,debt snowball,debt payoff chart,debt payment tracker,credit card payoff,debt template,debt avalanche,student loan debt,google sheets budget,mortgage payoff,credit utilization,credit score debt</x:v>
      </x:c>
      <x:c r="U479" s="10" t="str">
        <x:v>financial planner</x:v>
      </x:c>
      <x:c r="V479" s="10" t="str">
        <x:v>debt payoff tracker</x:v>
      </x:c>
      <x:c r="W479" s="10" t="str">
        <x:v>debt snowball</x:v>
      </x:c>
      <x:c r="X479" s="10" t="str">
        <x:v>debt payoff chart</x:v>
      </x:c>
      <x:c r="Y479" s="10" t="str">
        <x:v>debt payment tracker</x:v>
      </x:c>
      <x:c r="Z479" s="10" t="str">
        <x:v>credit card payoff</x:v>
      </x:c>
      <x:c r="AA479" s="10" t="str">
        <x:v>debt template</x:v>
      </x:c>
      <x:c r="AB479" s="10" t="str">
        <x:v>debt avalanche</x:v>
      </x:c>
      <x:c r="AC479" s="10" t="str">
        <x:v>student loan debt</x:v>
      </x:c>
      <x:c r="AD479" s="10" t="str">
        <x:v>google sheets budget</x:v>
      </x:c>
      <x:c r="AE479" s="10" t="str">
        <x:v>mortgage payoff</x:v>
      </x:c>
      <x:c r="AF479" s="10" t="str">
        <x:v>credit utilization</x:v>
      </x:c>
      <x:c r="AG479" s="10" t="str">
        <x:v>credit score debt</x:v>
      </x:c>
      <x:c r="AH479" s="10" t="str">
        <x:v>General debt payoff</x:v>
      </x:c>
      <x:c r="AI479" s="13" t="n">
        <x:v>6</x:v>
      </x:c>
      <x:c r="AJ479" s="10" t="str">
        <x:f>IF(F479&gt;0,"Active","No est. sales")</x:f>
        <x:v>No est. sales</x:v>
      </x:c>
    </x:row>
    <x:row r="480">
      <x:c r="A480" s="10" t="str">
        <x:v>House Down Payment Tracker Printable, Home Savings Goal Log, A4 A5 US Letter, Minimalist Finance Tracker, New Home Fund PDF</x:v>
      </x:c>
      <x:c r="B480" s="10" t="str">
        <x:v>https://www.etsy.com/listing/4453559401/house-down-payment-tracker-printable</x:v>
      </x:c>
      <x:c r="C480" s="10" t="str">
        <x:v>JotokiCo</x:v>
      </x:c>
      <x:c r="D480" s="10" t="str">
        <x:v>https://www.etsy.com/shop/JotokiCo</x:v>
      </x:c>
      <x:c r="E480" s="11" t="n">
        <x:v>1.68</x:v>
      </x:c>
      <x:c r="F480" s="10" t="n">
        <x:v>0</x:v>
      </x:c>
      <x:c r="G480" s="12" t="n">
        <x:v>0</x:v>
      </x:c>
      <x:c r="H480" s="13" t="n">
        <x:v>0</x:v>
      </x:c>
      <x:c r="I480" s="10" t="n">
        <x:v>0</x:v>
      </x:c>
      <x:c r="J480" s="10" t="n">
        <x:v>0</x:v>
      </x:c>
      <x:c r="K480" s="10" t="str">
        <x:v>5 Mo.</x:v>
      </x:c>
      <x:c r="L480" s="10" t="n">
        <x:v>2</x:v>
      </x:c>
      <x:c r="M480" s="10" t="n">
        <x:v>0</x:v>
      </x:c>
      <x:c r="N480" s="10" t="n">
        <x:v>11</x:v>
      </x:c>
      <x:c r="O480" s="10" t="str">
        <x:v>Paper &amp; Party Supplies</x:v>
      </x:c>
      <x:c r="P480" s="10" t="n">
        <x:v>9</x:v>
      </x:c>
      <x:c r="Q480" s="10" t="n">
        <x:v>0</x:v>
      </x:c>
      <x:c r="R480" s="13" t="n">
        <x:v>0</x:v>
      </x:c>
      <x:c r="S480" s="10" t="n">
        <x:v>230</x:v>
      </x:c>
      <x:c r="T480" s="10" t="str">
        <x:v>2027 finance tracker,2027 savings tracker,printable savings,down payment tracker,home savings tracker,house saving tracker,home fund tracker,first home savings,mortgage savings log,first house fund log,home savings planner,mortgage fund,first time home</x:v>
      </x:c>
      <x:c r="U480" s="10" t="str">
        <x:v>2027 finance tracker</x:v>
      </x:c>
      <x:c r="V480" s="10" t="str">
        <x:v>2027 savings tracker</x:v>
      </x:c>
      <x:c r="W480" s="10" t="str">
        <x:v>printable savings</x:v>
      </x:c>
      <x:c r="X480" s="10" t="str">
        <x:v>down payment tracker</x:v>
      </x:c>
      <x:c r="Y480" s="10" t="str">
        <x:v>home savings tracker</x:v>
      </x:c>
      <x:c r="Z480" s="10" t="str">
        <x:v>house saving tracker</x:v>
      </x:c>
      <x:c r="AA480" s="10" t="str">
        <x:v>home fund tracker</x:v>
      </x:c>
      <x:c r="AB480" s="10" t="str">
        <x:v>first home savings</x:v>
      </x:c>
      <x:c r="AC480" s="10" t="str">
        <x:v>mortgage savings log</x:v>
      </x:c>
      <x:c r="AD480" s="10" t="str">
        <x:v>first house fund log</x:v>
      </x:c>
      <x:c r="AE480" s="10" t="str">
        <x:v>home savings planner</x:v>
      </x:c>
      <x:c r="AF480" s="10" t="str">
        <x:v>mortgage fund</x:v>
      </x:c>
      <x:c r="AG480" s="10" t="str">
        <x:v>first time home</x:v>
      </x:c>
      <x:c r="AH480" s="10" t="str">
        <x:v>Other mortgage-related</x:v>
      </x:c>
      <x:c r="AI480" s="13" t="n">
        <x:v>5</x:v>
      </x:c>
      <x:c r="AJ480" s="10" t="str">
        <x:f>IF(F480&gt;0,"Active","No est. sales")</x:f>
        <x:v>No est. sales</x:v>
      </x:c>
    </x:row>
    <x:row r="481">
      <x:c r="A481" s="10" t="str">
        <x:v>First-Time Homebuyer Budget Planner Spreadsheet, Mortgage Calculator, Google Sheets Excel Home Buying XLSX</x:v>
      </x:c>
      <x:c r="B481" s="10" t="str">
        <x:v>https://www.etsy.com/listing/4523123809/first-time-homebuyer-budget-planner</x:v>
      </x:c>
      <x:c r="C481" s="10" t="str">
        <x:v>HatchEssentials</x:v>
      </x:c>
      <x:c r="D481" s="10" t="str">
        <x:v>https://www.etsy.com/shop/HatchEssentials</x:v>
      </x:c>
      <x:c r="E481" s="11" t="n">
        <x:v>14.99</x:v>
      </x:c>
      <x:c r="F481" s="10" t="n">
        <x:v>0</x:v>
      </x:c>
      <x:c r="G481" s="12" t="n">
        <x:v>0</x:v>
      </x:c>
      <x:c r="H481" s="13" t="n">
        <x:v>0</x:v>
      </x:c>
      <x:c r="I481" s="10" t="n">
        <x:v>0</x:v>
      </x:c>
      <x:c r="J481" s="10" t="n">
        <x:v>0</x:v>
      </x:c>
      <x:c r="K481" s="10" t="str">
        <x:v>1 Mo.</x:v>
      </x:c>
      <x:c r="L481" s="10" t="n">
        <x:v>0</x:v>
      </x:c>
      <x:c r="M481" s="10" t="n">
        <x:v>0</x:v>
      </x:c>
      <x:c r="N481" s="10" t="n">
        <x:v>24</x:v>
      </x:c>
      <x:c r="O481" s="10" t="str"/>
      <x:c r="P481" s="10" t="n">
        <x:v>41</x:v>
      </x:c>
      <x:c r="Q481" s="10" t="n">
        <x:v>0</x:v>
      </x:c>
      <x:c r="R481" s="13" t="n">
        <x:v>0</x:v>
      </x:c>
      <x:c r="S481" s="10" t="n">
        <x:v>681</x:v>
      </x:c>
      <x:c r="T481" s="10" t="str">
        <x:v>first time buyer,homebuyer budget,home buying,mortgage planner,closing costs,down payment,budget planner,excel spreadsheet,google sheets,buyer checklist,house budget,realtor tool,affordability calc</x:v>
      </x:c>
      <x:c r="U481" s="10" t="str">
        <x:v>first time buyer</x:v>
      </x:c>
      <x:c r="V481" s="10" t="str">
        <x:v>homebuyer budget</x:v>
      </x:c>
      <x:c r="W481" s="10" t="str">
        <x:v>home buying</x:v>
      </x:c>
      <x:c r="X481" s="10" t="str">
        <x:v>mortgage planner</x:v>
      </x:c>
      <x:c r="Y481" s="10" t="str">
        <x:v>closing costs</x:v>
      </x:c>
      <x:c r="Z481" s="10" t="str">
        <x:v>down payment</x:v>
      </x:c>
      <x:c r="AA481" s="10" t="str">
        <x:v>budget planner</x:v>
      </x:c>
      <x:c r="AB481" s="10" t="str">
        <x:v>excel spreadsheet</x:v>
      </x:c>
      <x:c r="AC481" s="10" t="str">
        <x:v>google sheets</x:v>
      </x:c>
      <x:c r="AD481" s="10" t="str">
        <x:v>buyer checklist</x:v>
      </x:c>
      <x:c r="AE481" s="10" t="str">
        <x:v>house budget</x:v>
      </x:c>
      <x:c r="AF481" s="10" t="str">
        <x:v>realtor tool</x:v>
      </x:c>
      <x:c r="AG481" s="10" t="str">
        <x:v>affordability calc</x:v>
      </x:c>
      <x:c r="AH481" s="10" t="str">
        <x:v>Mortgage payoff / calculator</x:v>
      </x:c>
      <x:c r="AI481" s="13" t="n">
        <x:v>1</x:v>
      </x:c>
      <x:c r="AJ481" s="10" t="str">
        <x:f>IF(F481&gt;0,"Active","No est. sales")</x:f>
        <x:v>No est. sales</x:v>
      </x:c>
    </x:row>
    <x:row r="482">
      <x:c r="A482" s="10" t="str">
        <x:v>House Payment Planner Stickers – Rent and Mortgage Budget Stickers for Planners and Journals</x:v>
      </x:c>
      <x:c r="B482" s="10" t="str">
        <x:v>https://www.etsy.com/listing/688388104/house-payment-planner-stickers-rent-and</x:v>
      </x:c>
      <x:c r="C482" s="10" t="str">
        <x:v>SimpleSouthernMommy</x:v>
      </x:c>
      <x:c r="D482" s="10" t="str">
        <x:v>https://www.etsy.com/shop/SimpleSouthernMommy</x:v>
      </x:c>
      <x:c r="E482" s="11" t="n">
        <x:v>4</x:v>
      </x:c>
      <x:c r="F482" s="10" t="n">
        <x:v>0</x:v>
      </x:c>
      <x:c r="G482" s="12" t="n">
        <x:v>0</x:v>
      </x:c>
      <x:c r="H482" s="13" t="n">
        <x:v>0</x:v>
      </x:c>
      <x:c r="I482" s="10" t="n">
        <x:v>65</x:v>
      </x:c>
      <x:c r="J482" s="10" t="n">
        <x:v>14</x:v>
      </x:c>
      <x:c r="K482" s="10" t="str">
        <x:v>87 Mo.</x:v>
      </x:c>
      <x:c r="L482" s="10" t="n">
        <x:v>56</x:v>
      </x:c>
      <x:c r="M482" s="10" t="n">
        <x:v>0</x:v>
      </x:c>
      <x:c r="N482" s="10" t="n">
        <x:v>971</x:v>
      </x:c>
      <x:c r="O482" s="10" t="str">
        <x:v>Paper &amp; Party Supplies</x:v>
      </x:c>
      <x:c r="P482" s="10" t="n">
        <x:v>144</x:v>
      </x:c>
      <x:c r="Q482" s="10" t="n">
        <x:v>0</x:v>
      </x:c>
      <x:c r="R482" s="13" t="n">
        <x:v>6.69</x:v>
      </x:c>
      <x:c r="S482" s="10" t="n">
        <x:v>77501</x:v>
      </x:c>
      <x:c r="T482" s="10" t="str">
        <x:v>stickers,planner,planner stickers,country chic,life planner sticker,sticker,eclp stickers,planner sticker,happy planner,cleaning,organizing,file backup</x:v>
      </x:c>
      <x:c r="U482" s="10" t="str">
        <x:v>stickers</x:v>
      </x:c>
      <x:c r="V482" s="10" t="str">
        <x:v>planner</x:v>
      </x:c>
      <x:c r="W482" s="10" t="str">
        <x:v>planner stickers</x:v>
      </x:c>
      <x:c r="X482" s="10" t="str">
        <x:v>country chic</x:v>
      </x:c>
      <x:c r="Y482" s="10" t="str">
        <x:v>life planner sticker</x:v>
      </x:c>
      <x:c r="Z482" s="10" t="str">
        <x:v>sticker</x:v>
      </x:c>
      <x:c r="AA482" s="10" t="str">
        <x:v>eclp stickers</x:v>
      </x:c>
      <x:c r="AB482" s="10" t="str">
        <x:v>planner sticker</x:v>
      </x:c>
      <x:c r="AC482" s="10" t="str">
        <x:v>happy planner</x:v>
      </x:c>
      <x:c r="AD482" s="10" t="str">
        <x:v>cleaning</x:v>
      </x:c>
      <x:c r="AE482" s="10" t="str">
        <x:v>organizing</x:v>
      </x:c>
      <x:c r="AF482" s="10" t="str">
        <x:v>file backup</x:v>
      </x:c>
      <x:c r="AG482" s="10" t="str">
        <x:v>--</x:v>
      </x:c>
      <x:c r="AH482" s="10" t="str">
        <x:v>Other mortgage-related</x:v>
      </x:c>
      <x:c r="AI482" s="13" t="n">
        <x:v>87</x:v>
      </x:c>
      <x:c r="AJ482" s="10" t="str">
        <x:f>IF(F482&gt;0,"Active","No est. sales")</x:f>
        <x:v>No est. sales</x:v>
      </x:c>
    </x:row>
    <x:row r="483">
      <x:c r="A483" s="10" t="str">
        <x:v>Debt Tracker Printable Pocket Plus Ring Inserts, Student Loan Payoff Planner, Card Debt Journal, Finance Organizer, Money Repayment Template</x:v>
      </x:c>
      <x:c r="B483" s="10" t="str">
        <x:v>https://www.etsy.com/listing/1439787948/debt-tracker-printable-pocket-plus-ring</x:v>
      </x:c>
      <x:c r="C483" s="10" t="str">
        <x:v>Monthlyjoy</x:v>
      </x:c>
      <x:c r="D483" s="10" t="str">
        <x:v>https://www.etsy.com/shop/Monthlyjoy</x:v>
      </x:c>
      <x:c r="E483" s="11" t="n">
        <x:v>3.3</x:v>
      </x:c>
      <x:c r="F483" s="10" t="n">
        <x:v>0</x:v>
      </x:c>
      <x:c r="G483" s="12" t="n">
        <x:v>0</x:v>
      </x:c>
      <x:c r="H483" s="13" t="n">
        <x:v>0</x:v>
      </x:c>
      <x:c r="I483" s="10" t="n">
        <x:v>9</x:v>
      </x:c>
      <x:c r="J483" s="10" t="n">
        <x:v>1</x:v>
      </x:c>
      <x:c r="K483" s="10" t="str">
        <x:v>39 Mo.</x:v>
      </x:c>
      <x:c r="L483" s="10" t="n">
        <x:v>16</x:v>
      </x:c>
      <x:c r="M483" s="10" t="n">
        <x:v>0</x:v>
      </x:c>
      <x:c r="N483" s="10" t="n">
        <x:v>205</x:v>
      </x:c>
      <x:c r="O483" s="10" t="str">
        <x:v>Paper &amp; Party Supplies</x:v>
      </x:c>
      <x:c r="P483" s="10" t="n">
        <x:v>66</x:v>
      </x:c>
      <x:c r="Q483" s="10" t="n">
        <x:v>0</x:v>
      </x:c>
      <x:c r="R483" s="13" t="n">
        <x:v>4.39</x:v>
      </x:c>
      <x:c r="S483" s="10" t="n">
        <x:v>24015</x:v>
      </x:c>
      <x:c r="T483" s="10" t="str">
        <x:v>debt snowball,debt tracker,pocket plus planner,inserts printable,student loan log,debt payoff,repayment tracker,pocket xl inserts,card debt journal,finance organizer,money management,mortgage debt,template printable</x:v>
      </x:c>
      <x:c r="U483" s="10" t="str">
        <x:v>debt snowball</x:v>
      </x:c>
      <x:c r="V483" s="10" t="str">
        <x:v>debt tracker</x:v>
      </x:c>
      <x:c r="W483" s="10" t="str">
        <x:v>pocket plus planner</x:v>
      </x:c>
      <x:c r="X483" s="10" t="str">
        <x:v>inserts printable</x:v>
      </x:c>
      <x:c r="Y483" s="10" t="str">
        <x:v>student loan log</x:v>
      </x:c>
      <x:c r="Z483" s="10" t="str">
        <x:v>debt payoff</x:v>
      </x:c>
      <x:c r="AA483" s="10" t="str">
        <x:v>repayment tracker</x:v>
      </x:c>
      <x:c r="AB483" s="10" t="str">
        <x:v>pocket xl inserts</x:v>
      </x:c>
      <x:c r="AC483" s="10" t="str">
        <x:v>card debt journal</x:v>
      </x:c>
      <x:c r="AD483" s="10" t="str">
        <x:v>finance organizer</x:v>
      </x:c>
      <x:c r="AE483" s="10" t="str">
        <x:v>money management</x:v>
      </x:c>
      <x:c r="AF483" s="10" t="str">
        <x:v>mortgage debt</x:v>
      </x:c>
      <x:c r="AG483" s="10" t="str">
        <x:v>template printable</x:v>
      </x:c>
      <x:c r="AH483" s="10" t="str">
        <x:v>General debt payoff</x:v>
      </x:c>
      <x:c r="AI483" s="13" t="n">
        <x:v>39</x:v>
      </x:c>
      <x:c r="AJ483" s="10" t="str">
        <x:f>IF(F483&gt;0,"Active","No est. sales")</x:f>
        <x:v>No est. sales</x:v>
      </x:c>
    </x:row>
    <x:row r="484">
      <x:c r="A484" s="10" t="str">
        <x:v>Mortgage Doodle, Printable Planner Stickers, Everyday Life Script Stickers, Cut Files</x:v>
      </x:c>
      <x:c r="B484" s="10" t="str">
        <x:v>https://www.etsy.com/listing/4460130929/mortgage-doodle-printable-planner</x:v>
      </x:c>
      <x:c r="C484" s="10" t="str">
        <x:v>StudioSisDesign</x:v>
      </x:c>
      <x:c r="D484" s="10" t="str">
        <x:v>https://www.etsy.com/shop/StudioSisDesign</x:v>
      </x:c>
      <x:c r="E484" s="11" t="n">
        <x:v>2.4</x:v>
      </x:c>
      <x:c r="F484" s="10" t="n">
        <x:v>0</x:v>
      </x:c>
      <x:c r="G484" s="12" t="n">
        <x:v>0</x:v>
      </x:c>
      <x:c r="H484" s="13" t="n">
        <x:v>0</x:v>
      </x:c>
      <x:c r="I484" s="10" t="n">
        <x:v>18</x:v>
      </x:c>
      <x:c r="J484" s="10" t="n">
        <x:v>1</x:v>
      </x:c>
      <x:c r="K484" s="10" t="str">
        <x:v>5 Mo.</x:v>
      </x:c>
      <x:c r="L484" s="10" t="n">
        <x:v>7</x:v>
      </x:c>
      <x:c r="M484" s="10" t="n">
        <x:v>0</x:v>
      </x:c>
      <x:c r="N484" s="10" t="n">
        <x:v>18</x:v>
      </x:c>
      <x:c r="O484" s="10" t="str">
        <x:v>Paper &amp; Party Supplies</x:v>
      </x:c>
      <x:c r="P484" s="10" t="n">
        <x:v>14</x:v>
      </x:c>
      <x:c r="Q484" s="10" t="n">
        <x:v>0</x:v>
      </x:c>
      <x:c r="R484" s="13" t="n">
        <x:v>100</x:v>
      </x:c>
      <x:c r="S484" s="10" t="n">
        <x:v>8088</x:v>
      </x:c>
      <x:c r="T484" s="10" t="str">
        <x:v>functional stickers,icon planner sticker,printable stickers,planner stickers,doodle stickers,doodle script,eclp stickers,erin condren,journal stickers,hobonichi stickers,instant download,cut files,routine stickers</x:v>
      </x:c>
      <x:c r="U484" s="10" t="str">
        <x:v>functional stickers</x:v>
      </x:c>
      <x:c r="V484" s="10" t="str">
        <x:v>icon planner sticker</x:v>
      </x:c>
      <x:c r="W484" s="10" t="str">
        <x:v>printable stickers</x:v>
      </x:c>
      <x:c r="X484" s="10" t="str">
        <x:v>planner stickers</x:v>
      </x:c>
      <x:c r="Y484" s="10" t="str">
        <x:v>doodle stickers</x:v>
      </x:c>
      <x:c r="Z484" s="10" t="str">
        <x:v>doodle script</x:v>
      </x:c>
      <x:c r="AA484" s="10" t="str">
        <x:v>eclp stickers</x:v>
      </x:c>
      <x:c r="AB484" s="10" t="str">
        <x:v>erin condren</x:v>
      </x:c>
      <x:c r="AC484" s="10" t="str">
        <x:v>journal stickers</x:v>
      </x:c>
      <x:c r="AD484" s="10" t="str">
        <x:v>hobonichi stickers</x:v>
      </x:c>
      <x:c r="AE484" s="10" t="str">
        <x:v>instant download</x:v>
      </x:c>
      <x:c r="AF484" s="10" t="str">
        <x:v>cut files</x:v>
      </x:c>
      <x:c r="AG484" s="10" t="str">
        <x:v>routine stickers</x:v>
      </x:c>
      <x:c r="AH484" s="10" t="str">
        <x:v>Other mortgage-related</x:v>
      </x:c>
      <x:c r="AI484" s="13" t="n">
        <x:v>5</x:v>
      </x:c>
      <x:c r="AJ484" s="10" t="str">
        <x:f>IF(F484&gt;0,"Active","No est. sales")</x:f>
        <x:v>No est. sales</x:v>
      </x:c>
    </x:row>
    <x:row r="485">
      <x:c r="A485" s="10" t="str">
        <x:v>Mortgage | Bill Reminder Functional Printable Planner Stickers | Cut Files</x:v>
      </x:c>
      <x:c r="B485" s="10" t="str">
        <x:v>https://www.etsy.com/listing/4402351373/mortgage-printable-planner-stickers</x:v>
      </x:c>
      <x:c r="C485" s="10" t="str">
        <x:v>StudioSisDesign</x:v>
      </x:c>
      <x:c r="D485" s="10" t="str">
        <x:v>https://www.etsy.com/shop/StudioSisDesign</x:v>
      </x:c>
      <x:c r="E485" s="11" t="n">
        <x:v>2.4</x:v>
      </x:c>
      <x:c r="F485" s="10" t="n">
        <x:v>0</x:v>
      </x:c>
      <x:c r="G485" s="12" t="n">
        <x:v>0</x:v>
      </x:c>
      <x:c r="H485" s="13" t="n">
        <x:v>0</x:v>
      </x:c>
      <x:c r="I485" s="10" t="n">
        <x:v>37</x:v>
      </x:c>
      <x:c r="J485" s="10" t="n">
        <x:v>2</x:v>
      </x:c>
      <x:c r="K485" s="10" t="str">
        <x:v>8 Mo.</x:v>
      </x:c>
      <x:c r="L485" s="10" t="n">
        <x:v>6</x:v>
      </x:c>
      <x:c r="M485" s="10" t="n">
        <x:v>0</x:v>
      </x:c>
      <x:c r="N485" s="10" t="n">
        <x:v>36</x:v>
      </x:c>
      <x:c r="O485" s="10" t="str">
        <x:v>Paper &amp; Party Supplies</x:v>
      </x:c>
      <x:c r="P485" s="10" t="n">
        <x:v>14</x:v>
      </x:c>
      <x:c r="Q485" s="10" t="n">
        <x:v>0</x:v>
      </x:c>
      <x:c r="R485" s="13" t="n">
        <x:v>102.78</x:v>
      </x:c>
      <x:c r="S485" s="10" t="n">
        <x:v>8088</x:v>
      </x:c>
      <x:c r="T485" s="10" t="str">
        <x:v>planner stickers,printable stickers,functional sticker,planner functional,finance stickers,bill due stickers,bill reminder,budget stickers,budgeting printable,budgeting stickers,monthly bill tracker,cut files</x:v>
      </x:c>
      <x:c r="U485" s="10" t="str">
        <x:v>planner stickers</x:v>
      </x:c>
      <x:c r="V485" s="10" t="str">
        <x:v>printable stickers</x:v>
      </x:c>
      <x:c r="W485" s="10" t="str">
        <x:v>functional sticker</x:v>
      </x:c>
      <x:c r="X485" s="10" t="str">
        <x:v>planner functional</x:v>
      </x:c>
      <x:c r="Y485" s="10" t="str">
        <x:v>finance stickers</x:v>
      </x:c>
      <x:c r="Z485" s="10" t="str">
        <x:v>bill due stickers</x:v>
      </x:c>
      <x:c r="AA485" s="10" t="str">
        <x:v>bill reminder</x:v>
      </x:c>
      <x:c r="AB485" s="10" t="str">
        <x:v>budget stickers</x:v>
      </x:c>
      <x:c r="AC485" s="10" t="str">
        <x:v>budgeting printable</x:v>
      </x:c>
      <x:c r="AD485" s="10" t="str">
        <x:v>budgeting stickers</x:v>
      </x:c>
      <x:c r="AE485" s="10" t="str">
        <x:v>monthly bill tracker</x:v>
      </x:c>
      <x:c r="AF485" s="10" t="str">
        <x:v>cut files</x:v>
      </x:c>
      <x:c r="AG485" s="10" t="str">
        <x:v>--</x:v>
      </x:c>
      <x:c r="AH485" s="10" t="str">
        <x:v>Other mortgage-related</x:v>
      </x:c>
      <x:c r="AI485" s="13" t="n">
        <x:v>8</x:v>
      </x:c>
      <x:c r="AJ485" s="10" t="str">
        <x:f>IF(F485&gt;0,"Active","No est. sales")</x:f>
        <x:v>No est. sales</x:v>
      </x:c>
    </x:row>
    <x:row r="486">
      <x:c r="A486" s="10" t="str">
        <x:v>Ultimate Finance Planner: Mortgage, Auto Loan, &amp; Debt Payoff Excel Calculator</x:v>
      </x:c>
      <x:c r="B486" s="10" t="str">
        <x:v>https://www.etsy.com/listing/4370711229/ultimate-finance-planner-mortgage-auto</x:v>
      </x:c>
      <x:c r="C486" s="10" t="str">
        <x:v>BisomiCasa</x:v>
      </x:c>
      <x:c r="D486" s="10" t="str">
        <x:v>https://www.etsy.com/shop/BisomiCasa</x:v>
      </x:c>
      <x:c r="E486" s="11" t="n">
        <x:v>4.95</x:v>
      </x:c>
      <x:c r="F486" s="10" t="n">
        <x:v>0</x:v>
      </x:c>
      <x:c r="G486" s="12" t="n">
        <x:v>0</x:v>
      </x:c>
      <x:c r="H486" s="13" t="n">
        <x:v>0</x:v>
      </x:c>
      <x:c r="I486" s="10" t="n">
        <x:v>0</x:v>
      </x:c>
      <x:c r="J486" s="10" t="n">
        <x:v>0</x:v>
      </x:c>
      <x:c r="K486" s="10" t="str">
        <x:v>10 Mo.</x:v>
      </x:c>
      <x:c r="L486" s="10" t="n">
        <x:v>0</x:v>
      </x:c>
      <x:c r="M486" s="10" t="n">
        <x:v>0</x:v>
      </x:c>
      <x:c r="N486" s="10" t="n">
        <x:v>18</x:v>
      </x:c>
      <x:c r="O486" s="10" t="str"/>
      <x:c r="P486" s="10" t="n">
        <x:v>38</x:v>
      </x:c>
      <x:c r="Q486" s="10" t="n">
        <x:v>0</x:v>
      </x:c>
      <x:c r="R486" s="13" t="n">
        <x:v>0</x:v>
      </x:c>
      <x:c r="S486" s="10" t="n">
        <x:v>56</x:v>
      </x:c>
      <x:c r="T486" s="10" t="str">
        <x:v>finance planner,debt tracker,mortgage calculator,excel spreadsheet,auto loan calculator,loan tracker,refinance calculator,debt calculator,financial planner,finance template,money manager,budget worksheet,loan payoff sheet</x:v>
      </x:c>
      <x:c r="U486" s="10" t="str">
        <x:v>finance planner</x:v>
      </x:c>
      <x:c r="V486" s="10" t="str">
        <x:v>debt tracker</x:v>
      </x:c>
      <x:c r="W486" s="10" t="str">
        <x:v>mortgage calculator</x:v>
      </x:c>
      <x:c r="X486" s="10" t="str">
        <x:v>excel spreadsheet</x:v>
      </x:c>
      <x:c r="Y486" s="10" t="str">
        <x:v>auto loan calculator</x:v>
      </x:c>
      <x:c r="Z486" s="10" t="str">
        <x:v>loan tracker</x:v>
      </x:c>
      <x:c r="AA486" s="10" t="str">
        <x:v>refinance calculator</x:v>
      </x:c>
      <x:c r="AB486" s="10" t="str">
        <x:v>debt calculator</x:v>
      </x:c>
      <x:c r="AC486" s="10" t="str">
        <x:v>financial planner</x:v>
      </x:c>
      <x:c r="AD486" s="10" t="str">
        <x:v>finance template</x:v>
      </x:c>
      <x:c r="AE486" s="10" t="str">
        <x:v>money manager</x:v>
      </x:c>
      <x:c r="AF486" s="10" t="str">
        <x:v>budget worksheet</x:v>
      </x:c>
      <x:c r="AG486" s="10" t="str">
        <x:v>loan payoff sheet</x:v>
      </x:c>
      <x:c r="AH486" s="10" t="str">
        <x:v>General debt payoff</x:v>
      </x:c>
      <x:c r="AI486" s="13" t="n">
        <x:v>10</x:v>
      </x:c>
      <x:c r="AJ486" s="10" t="str">
        <x:f>IF(F486&gt;0,"Active","No est. sales")</x:f>
        <x:v>No est. sales</x:v>
      </x:c>
    </x:row>
    <x:row r="487">
      <x:c r="A487" s="10" t="str">
        <x:v>House Savings Challenge: Printable Home Fund Tracker (Digital Download)</x:v>
      </x:c>
      <x:c r="B487" s="10" t="str">
        <x:v>https://www.etsy.com/listing/1825271319/house-savings-challenge-printable-home</x:v>
      </x:c>
      <x:c r="C487" s="10" t="str">
        <x:v>BlueBudget</x:v>
      </x:c>
      <x:c r="D487" s="10" t="str">
        <x:v>https://www.etsy.com/shop/BlueBudget</x:v>
      </x:c>
      <x:c r="E487" s="11" t="n">
        <x:v>1.2</x:v>
      </x:c>
      <x:c r="F487" s="10" t="n">
        <x:v>0</x:v>
      </x:c>
      <x:c r="G487" s="12" t="n">
        <x:v>0</x:v>
      </x:c>
      <x:c r="H487" s="13" t="n">
        <x:v>0</x:v>
      </x:c>
      <x:c r="I487" s="10" t="n">
        <x:v>0</x:v>
      </x:c>
      <x:c r="J487" s="10" t="n">
        <x:v>0</x:v>
      </x:c>
      <x:c r="K487" s="10" t="str">
        <x:v>20 Mo.</x:v>
      </x:c>
      <x:c r="L487" s="10" t="n">
        <x:v>6</x:v>
      </x:c>
      <x:c r="M487" s="10" t="n">
        <x:v>0</x:v>
      </x:c>
      <x:c r="N487" s="10" t="n">
        <x:v>67</x:v>
      </x:c>
      <x:c r="O487" s="10" t="str"/>
      <x:c r="P487" s="10" t="n">
        <x:v>85</x:v>
      </x:c>
      <x:c r="Q487" s="10" t="n">
        <x:v>0</x:v>
      </x:c>
      <x:c r="R487" s="13" t="n">
        <x:v>0</x:v>
      </x:c>
      <x:c r="S487" s="10" t="n">
        <x:v>3098</x:v>
      </x:c>
      <x:c r="T487" s="10" t="str">
        <x:v>house savings,savings challenge,save for house,home fund tracker,printable savings,budget planner,cash stuffing,goal tracker,mortgage savings,home deposit goal,visual tracker,digital download,a4 savings chart</x:v>
      </x:c>
      <x:c r="U487" s="10" t="str">
        <x:v>house savings</x:v>
      </x:c>
      <x:c r="V487" s="10" t="str">
        <x:v>savings challenge</x:v>
      </x:c>
      <x:c r="W487" s="10" t="str">
        <x:v>save for house</x:v>
      </x:c>
      <x:c r="X487" s="10" t="str">
        <x:v>home fund tracker</x:v>
      </x:c>
      <x:c r="Y487" s="10" t="str">
        <x:v>printable savings</x:v>
      </x:c>
      <x:c r="Z487" s="10" t="str">
        <x:v>budget planner</x:v>
      </x:c>
      <x:c r="AA487" s="10" t="str">
        <x:v>cash stuffing</x:v>
      </x:c>
      <x:c r="AB487" s="10" t="str">
        <x:v>goal tracker</x:v>
      </x:c>
      <x:c r="AC487" s="10" t="str">
        <x:v>mortgage savings</x:v>
      </x:c>
      <x:c r="AD487" s="10" t="str">
        <x:v>home deposit goal</x:v>
      </x:c>
      <x:c r="AE487" s="10" t="str">
        <x:v>visual tracker</x:v>
      </x:c>
      <x:c r="AF487" s="10" t="str">
        <x:v>digital download</x:v>
      </x:c>
      <x:c r="AG487" s="10" t="str">
        <x:v>a4 savings chart</x:v>
      </x:c>
      <x:c r="AH487" s="10" t="str">
        <x:v>Other mortgage-related</x:v>
      </x:c>
      <x:c r="AI487" s="13" t="n">
        <x:v>20</x:v>
      </x:c>
      <x:c r="AJ487" s="10" t="str">
        <x:f>IF(F487&gt;0,"Active","No est. sales")</x:f>
        <x:v>No est. sales</x:v>
      </x:c>
    </x:row>
    <x:row r="488">
      <x:c r="A488" s="10" t="str">
        <x:v>Editable Debt Tracker, Debt Tracker , Debt Payment, Debt Snowball Tracker, Debt Payoff Log, Money Planner, Budget Planner PDF</x:v>
      </x:c>
      <x:c r="B488" s="10" t="str">
        <x:v>https://www.etsy.com/listing/1398538744/editable-debt-tracker-debt-tracker-debt</x:v>
      </x:c>
      <x:c r="C488" s="10" t="str">
        <x:v>LoganDigitals</x:v>
      </x:c>
      <x:c r="D488" s="10" t="str">
        <x:v>https://www.etsy.com/shop/LoganDigitals</x:v>
      </x:c>
      <x:c r="E488" s="11" t="n">
        <x:v>0.5</x:v>
      </x:c>
      <x:c r="F488" s="10" t="n">
        <x:v>0</x:v>
      </x:c>
      <x:c r="G488" s="12" t="n">
        <x:v>0</x:v>
      </x:c>
      <x:c r="H488" s="13" t="n">
        <x:v>0</x:v>
      </x:c>
      <x:c r="I488" s="10" t="n">
        <x:v>0</x:v>
      </x:c>
      <x:c r="J488" s="10" t="n">
        <x:v>0</x:v>
      </x:c>
      <x:c r="K488" s="10" t="str">
        <x:v>41 Mo.</x:v>
      </x:c>
      <x:c r="L488" s="10" t="n">
        <x:v>1</x:v>
      </x:c>
      <x:c r="M488" s="10" t="n">
        <x:v>0</x:v>
      </x:c>
      <x:c r="N488" s="10" t="n">
        <x:v>2</x:v>
      </x:c>
      <x:c r="O488" s="10" t="str">
        <x:v>Paper &amp; Party Supplies</x:v>
      </x:c>
      <x:c r="P488" s="10" t="n">
        <x:v>41</x:v>
      </x:c>
      <x:c r="Q488" s="10" t="n">
        <x:v>0</x:v>
      </x:c>
      <x:c r="R488" s="13" t="n">
        <x:v>0</x:v>
      </x:c>
      <x:c r="S488" s="10" t="n">
        <x:v>0</x:v>
      </x:c>
      <x:c r="T488" s="10" t="str">
        <x:v>debt tracker,debt snowball,debt payoff tracker,debt payment tracker,credit card tracker,mortgage tracker,financial tracker,debt payoff,budget tracker,budget planner,debt printable,spending tracker</x:v>
      </x:c>
      <x:c r="U488" s="10" t="str">
        <x:v>debt tracker</x:v>
      </x:c>
      <x:c r="V488" s="10" t="str">
        <x:v>debt snowball</x:v>
      </x:c>
      <x:c r="W488" s="10" t="str">
        <x:v>debt payoff tracker</x:v>
      </x:c>
      <x:c r="X488" s="10" t="str">
        <x:v>debt payment tracker</x:v>
      </x:c>
      <x:c r="Y488" s="10" t="str">
        <x:v>credit card tracker</x:v>
      </x:c>
      <x:c r="Z488" s="10" t="str">
        <x:v>mortgage tracker</x:v>
      </x:c>
      <x:c r="AA488" s="10" t="str">
        <x:v>financial tracker</x:v>
      </x:c>
      <x:c r="AB488" s="10" t="str">
        <x:v>debt payoff</x:v>
      </x:c>
      <x:c r="AC488" s="10" t="str">
        <x:v>budget tracker</x:v>
      </x:c>
      <x:c r="AD488" s="10" t="str">
        <x:v>budget planner</x:v>
      </x:c>
      <x:c r="AE488" s="10" t="str">
        <x:v>debt printable</x:v>
      </x:c>
      <x:c r="AF488" s="10" t="str">
        <x:v>spending tracker</x:v>
      </x:c>
      <x:c r="AG488" s="10" t="str">
        <x:v>--</x:v>
      </x:c>
      <x:c r="AH488" s="10" t="str">
        <x:v>General debt payoff</x:v>
      </x:c>
      <x:c r="AI488" s="13" t="n">
        <x:v>41</x:v>
      </x:c>
      <x:c r="AJ488" s="10" t="str">
        <x:f>IF(F488&gt;0,"Active","No est. sales")</x:f>
        <x:v>No est. sales</x:v>
      </x:c>
    </x:row>
    <x:row r="489">
      <x:c r="A489" s="10" t="str">
        <x:v>Mortgage Broker Notion CRM Template | Loan Tracker | Client Pipeline | Finance Planner | Commission Tracker</x:v>
      </x:c>
      <x:c r="B489" s="10" t="str">
        <x:v>https://www.etsy.com/listing/4481677274/mortgage-broker-notion-crm-template-loan</x:v>
      </x:c>
      <x:c r="C489" s="10" t="str">
        <x:v>WorkYourSheetOut</x:v>
      </x:c>
      <x:c r="D489" s="10" t="str">
        <x:v>https://www.etsy.com/shop/WorkYourSheetOut</x:v>
      </x:c>
      <x:c r="E489" s="11" t="n">
        <x:v>6.27</x:v>
      </x:c>
      <x:c r="F489" s="10" t="n">
        <x:v>0</x:v>
      </x:c>
      <x:c r="G489" s="12" t="n">
        <x:v>0</x:v>
      </x:c>
      <x:c r="H489" s="13" t="n">
        <x:v>0</x:v>
      </x:c>
      <x:c r="I489" s="10" t="n">
        <x:v>0</x:v>
      </x:c>
      <x:c r="J489" s="10" t="n">
        <x:v>0</x:v>
      </x:c>
      <x:c r="K489" s="10" t="str">
        <x:v>3 Mo.</x:v>
      </x:c>
      <x:c r="L489" s="10" t="n">
        <x:v>0</x:v>
      </x:c>
      <x:c r="M489" s="10" t="n">
        <x:v>0</x:v>
      </x:c>
      <x:c r="N489" s="10" t="n">
        <x:v>92</x:v>
      </x:c>
      <x:c r="O489" s="10" t="str"/>
      <x:c r="P489" s="10" t="n">
        <x:v>45</x:v>
      </x:c>
      <x:c r="Q489" s="10" t="n">
        <x:v>0</x:v>
      </x:c>
      <x:c r="R489" s="13" t="n">
        <x:v>0</x:v>
      </x:c>
      <x:c r="S489" s="10" t="n">
        <x:v>14</x:v>
      </x:c>
      <x:c r="T489" s="10" t="str">
        <x:v>mortgage broker,notion template,crm template,loan tracker,client tracker,finance planner,broker crm,small business crm,sales tracker,pipeline tracker,real estate crm,loan officer tool,business dashboard</x:v>
      </x:c>
      <x:c r="U489" s="10" t="str">
        <x:v>mortgage broker</x:v>
      </x:c>
      <x:c r="V489" s="10" t="str">
        <x:v>notion template</x:v>
      </x:c>
      <x:c r="W489" s="10" t="str">
        <x:v>crm template</x:v>
      </x:c>
      <x:c r="X489" s="10" t="str">
        <x:v>loan tracker</x:v>
      </x:c>
      <x:c r="Y489" s="10" t="str">
        <x:v>client tracker</x:v>
      </x:c>
      <x:c r="Z489" s="10" t="str">
        <x:v>finance planner</x:v>
      </x:c>
      <x:c r="AA489" s="10" t="str">
        <x:v>broker crm</x:v>
      </x:c>
      <x:c r="AB489" s="10" t="str">
        <x:v>small business crm</x:v>
      </x:c>
      <x:c r="AC489" s="10" t="str">
        <x:v>sales tracker</x:v>
      </x:c>
      <x:c r="AD489" s="10" t="str">
        <x:v>pipeline tracker</x:v>
      </x:c>
      <x:c r="AE489" s="10" t="str">
        <x:v>real estate crm</x:v>
      </x:c>
      <x:c r="AF489" s="10" t="str">
        <x:v>loan officer tool</x:v>
      </x:c>
      <x:c r="AG489" s="10" t="str">
        <x:v>business dashboard</x:v>
      </x:c>
      <x:c r="AH489" s="10" t="str">
        <x:v>Loan officer / B2B</x:v>
      </x:c>
      <x:c r="AI489" s="13" t="n">
        <x:v>3</x:v>
      </x:c>
      <x:c r="AJ489" s="10" t="str">
        <x:f>IF(F489&gt;0,"Active","No est. sales")</x:f>
        <x:v>No est. sales</x:v>
      </x:c>
    </x:row>
    <x:row r="490">
      <x:c r="A490" s="10" t="str">
        <x:v>First Home Buyer Planner | Checklist, Budget, Mortgage Comparison (Digital Download)</x:v>
      </x:c>
      <x:c r="B490" s="10" t="str">
        <x:v>https://www.etsy.com/listing/4477178280/first-home-buyer-planner-checklist</x:v>
      </x:c>
      <x:c r="C490" s="10" t="str">
        <x:v>TheWorkflowWonders</x:v>
      </x:c>
      <x:c r="D490" s="10" t="str">
        <x:v>https://www.etsy.com/shop/TheWorkflowWonders</x:v>
      </x:c>
      <x:c r="E490" s="11" t="n">
        <x:v>31.52</x:v>
      </x:c>
      <x:c r="F490" s="10" t="n">
        <x:v>0</x:v>
      </x:c>
      <x:c r="G490" s="12" t="n">
        <x:v>0</x:v>
      </x:c>
      <x:c r="H490" s="13" t="n">
        <x:v>0</x:v>
      </x:c>
      <x:c r="I490" s="10" t="n">
        <x:v>0</x:v>
      </x:c>
      <x:c r="J490" s="10" t="n">
        <x:v>0</x:v>
      </x:c>
      <x:c r="K490" s="10" t="str">
        <x:v>1 Mo.</x:v>
      </x:c>
      <x:c r="L490" s="10" t="n">
        <x:v>0</x:v>
      </x:c>
      <x:c r="M490" s="10" t="n">
        <x:v>0</x:v>
      </x:c>
      <x:c r="N490" s="10" t="n">
        <x:v>7</x:v>
      </x:c>
      <x:c r="O490" s="10" t="str"/>
      <x:c r="P490" s="10" t="n">
        <x:v>1</x:v>
      </x:c>
      <x:c r="Q490" s="10" t="n">
        <x:v>0</x:v>
      </x:c>
      <x:c r="R490" s="13" t="n">
        <x:v>0</x:v>
      </x:c>
      <x:c r="S490" s="10" t="n">
        <x:v>1</x:v>
      </x:c>
      <x:c r="T490" s="10" t="str">
        <x:v>firsttime home buyer,home buying planner,mortgage planner,home budget planner,real estate planner,home checklist,closing checklist,fillable pdf planner,digital planner home,new homeowner gift,first home checklist,home buying guide,mortgage checklist</x:v>
      </x:c>
      <x:c r="U490" s="10" t="str">
        <x:v>firsttime home buyer</x:v>
      </x:c>
      <x:c r="V490" s="10" t="str">
        <x:v>home buying planner</x:v>
      </x:c>
      <x:c r="W490" s="10" t="str">
        <x:v>mortgage planner</x:v>
      </x:c>
      <x:c r="X490" s="10" t="str">
        <x:v>home budget planner</x:v>
      </x:c>
      <x:c r="Y490" s="10" t="str">
        <x:v>real estate planner</x:v>
      </x:c>
      <x:c r="Z490" s="10" t="str">
        <x:v>home checklist</x:v>
      </x:c>
      <x:c r="AA490" s="10" t="str">
        <x:v>closing checklist</x:v>
      </x:c>
      <x:c r="AB490" s="10" t="str">
        <x:v>fillable pdf planner</x:v>
      </x:c>
      <x:c r="AC490" s="10" t="str">
        <x:v>digital planner home</x:v>
      </x:c>
      <x:c r="AD490" s="10" t="str">
        <x:v>new homeowner gift</x:v>
      </x:c>
      <x:c r="AE490" s="10" t="str">
        <x:v>first home checklist</x:v>
      </x:c>
      <x:c r="AF490" s="10" t="str">
        <x:v>home buying guide</x:v>
      </x:c>
      <x:c r="AG490" s="10" t="str">
        <x:v>mortgage checklist</x:v>
      </x:c>
      <x:c r="AH490" s="10" t="str">
        <x:v>Home buying planner</x:v>
      </x:c>
      <x:c r="AI490" s="13" t="n">
        <x:v>1</x:v>
      </x:c>
      <x:c r="AJ490" s="10" t="str">
        <x:f>IF(F490&gt;0,"Active","No est. sales")</x:f>
        <x:v>No est. sales</x:v>
      </x:c>
    </x:row>
    <x:row r="491">
      <x:c r="A491" s="10" t="str">
        <x:v>Home Buying Bundle | First Time Home Buyer Kit | Rent vs Buy Calculator | House Comparison Spreadsheet | Mortgage Tool | Excel Google Sheets</x:v>
      </x:c>
      <x:c r="B491" s="10" t="str">
        <x:v>https://www.etsy.com/listing/4480403011/home-buying-bundle-first-time-home-buyer</x:v>
      </x:c>
      <x:c r="C491" s="10" t="str">
        <x:v>SheetWize</x:v>
      </x:c>
      <x:c r="D491" s="10" t="str">
        <x:v>https://www.etsy.com/shop/SheetWize</x:v>
      </x:c>
      <x:c r="E491" s="11" t="n">
        <x:v>19.99</x:v>
      </x:c>
      <x:c r="F491" s="10" t="n">
        <x:v>0</x:v>
      </x:c>
      <x:c r="G491" s="12" t="n">
        <x:v>0</x:v>
      </x:c>
      <x:c r="H491" s="13" t="n">
        <x:v>0</x:v>
      </x:c>
      <x:c r="I491" s="10" t="n">
        <x:v>0</x:v>
      </x:c>
      <x:c r="J491" s="10" t="n">
        <x:v>0</x:v>
      </x:c>
      <x:c r="K491" s="10" t="str">
        <x:v>1 Mo.</x:v>
      </x:c>
      <x:c r="L491" s="10" t="n">
        <x:v>0</x:v>
      </x:c>
      <x:c r="M491" s="10" t="n">
        <x:v>0</x:v>
      </x:c>
      <x:c r="N491" s="10" t="n">
        <x:v>0</x:v>
      </x:c>
      <x:c r="O491" s="10" t="str"/>
      <x:c r="P491" s="10" t="n">
        <x:v>1</x:v>
      </x:c>
      <x:c r="Q491" s="10" t="n">
        <x:v>0</x:v>
      </x:c>
      <x:c r="R491" s="13" t="n">
        <x:v>0</x:v>
      </x:c>
      <x:c r="S491" s="10" t="n">
        <x:v>2</x:v>
      </x:c>
      <x:c r="T491" s="10" t="str">
        <x:v>home buying bundle,home buyer kit,rent vs buy,mortgage calculator,house comparison,bundle deal,home buying planner,financial planning,first home buyer,home inspection,house hunting,excel template,google sheets</x:v>
      </x:c>
      <x:c r="U491" s="10" t="str">
        <x:v>home buying bundle</x:v>
      </x:c>
      <x:c r="V491" s="10" t="str">
        <x:v>home buyer kit</x:v>
      </x:c>
      <x:c r="W491" s="10" t="str">
        <x:v>rent vs buy</x:v>
      </x:c>
      <x:c r="X491" s="10" t="str">
        <x:v>mortgage calculator</x:v>
      </x:c>
      <x:c r="Y491" s="10" t="str">
        <x:v>house comparison</x:v>
      </x:c>
      <x:c r="Z491" s="10" t="str">
        <x:v>bundle deal</x:v>
      </x:c>
      <x:c r="AA491" s="10" t="str">
        <x:v>home buying planner</x:v>
      </x:c>
      <x:c r="AB491" s="10" t="str">
        <x:v>financial planning</x:v>
      </x:c>
      <x:c r="AC491" s="10" t="str">
        <x:v>first home buyer</x:v>
      </x:c>
      <x:c r="AD491" s="10" t="str">
        <x:v>home inspection</x:v>
      </x:c>
      <x:c r="AE491" s="10" t="str">
        <x:v>house hunting</x:v>
      </x:c>
      <x:c r="AF491" s="10" t="str">
        <x:v>excel template</x:v>
      </x:c>
      <x:c r="AG491" s="10" t="str">
        <x:v>google sheets</x:v>
      </x:c>
      <x:c r="AH491" s="10" t="str">
        <x:v>Home buying planner</x:v>
      </x:c>
      <x:c r="AI491" s="13" t="n">
        <x:v>1</x:v>
      </x:c>
      <x:c r="AJ491" s="10" t="str">
        <x:f>IF(F491&gt;0,"Active","No est. sales")</x:f>
        <x:v>No est. sales</x:v>
      </x:c>
    </x:row>
    <x:row r="492">
      <x:c r="A492" s="10" t="str">
        <x:v>First Time Buyer Planner UK, Home Buying Checklist, Deposit Tracker, House Buying Toolkit, Mortgage Planner Printable, Home Buyer PDF</x:v>
      </x:c>
      <x:c r="B492" s="10" t="str">
        <x:v>https://www.etsy.com/listing/4483474718/first-time-buyer-planner-uk-home-buying</x:v>
      </x:c>
      <x:c r="C492" s="10" t="str">
        <x:v>SimpleMoneyBoutique</x:v>
      </x:c>
      <x:c r="D492" s="10" t="str">
        <x:v>https://www.etsy.com/shop/SimpleMoneyBoutique</x:v>
      </x:c>
      <x:c r="E492" s="11" t="n">
        <x:v>10.57</x:v>
      </x:c>
      <x:c r="F492" s="10" t="n">
        <x:v>0</x:v>
      </x:c>
      <x:c r="G492" s="12" t="n">
        <x:v>0</x:v>
      </x:c>
      <x:c r="H492" s="13" t="n">
        <x:v>0</x:v>
      </x:c>
      <x:c r="I492" s="10" t="n">
        <x:v>0</x:v>
      </x:c>
      <x:c r="J492" s="10" t="n">
        <x:v>0</x:v>
      </x:c>
      <x:c r="K492" s="10" t="str">
        <x:v>2 Mo.</x:v>
      </x:c>
      <x:c r="L492" s="10" t="n">
        <x:v>0</x:v>
      </x:c>
      <x:c r="M492" s="10" t="n">
        <x:v>0</x:v>
      </x:c>
      <x:c r="N492" s="10" t="n">
        <x:v>95</x:v>
      </x:c>
      <x:c r="O492" s="10" t="str"/>
      <x:c r="P492" s="10" t="n">
        <x:v>2</x:v>
      </x:c>
      <x:c r="Q492" s="10" t="n">
        <x:v>25</x:v>
      </x:c>
      <x:c r="R492" s="13" t="n">
        <x:v>0</x:v>
      </x:c>
      <x:c r="S492" s="10" t="n">
        <x:v>0</x:v>
      </x:c>
      <x:c r="T492" s="10" t="str">
        <x:v>first time buyer,home buyer planner,deposit tracker,home buying kit,mortgage planner,buyer checklist,home buying pdf,printable planner,first home uk,moving checklist,savings tracker,property planner,house purchase</x:v>
      </x:c>
      <x:c r="U492" s="10" t="str">
        <x:v>first time buyer</x:v>
      </x:c>
      <x:c r="V492" s="10" t="str">
        <x:v>home buyer planner</x:v>
      </x:c>
      <x:c r="W492" s="10" t="str">
        <x:v>deposit tracker</x:v>
      </x:c>
      <x:c r="X492" s="10" t="str">
        <x:v>home buying kit</x:v>
      </x:c>
      <x:c r="Y492" s="10" t="str">
        <x:v>mortgage planner</x:v>
      </x:c>
      <x:c r="Z492" s="10" t="str">
        <x:v>buyer checklist</x:v>
      </x:c>
      <x:c r="AA492" s="10" t="str">
        <x:v>home buying pdf</x:v>
      </x:c>
      <x:c r="AB492" s="10" t="str">
        <x:v>printable planner</x:v>
      </x:c>
      <x:c r="AC492" s="10" t="str">
        <x:v>first home uk</x:v>
      </x:c>
      <x:c r="AD492" s="10" t="str">
        <x:v>moving checklist</x:v>
      </x:c>
      <x:c r="AE492" s="10" t="str">
        <x:v>savings tracker</x:v>
      </x:c>
      <x:c r="AF492" s="10" t="str">
        <x:v>property planner</x:v>
      </x:c>
      <x:c r="AG492" s="10" t="str">
        <x:v>house purchase</x:v>
      </x:c>
      <x:c r="AH492" s="10" t="str">
        <x:v>Home buying planner</x:v>
      </x:c>
      <x:c r="AI492" s="13" t="n">
        <x:v>2</x:v>
      </x:c>
      <x:c r="AJ492" s="10" t="str">
        <x:f>IF(F492&gt;0,"Active","No est. sales")</x:f>
        <x:v>No est. sales</x:v>
      </x:c>
    </x:row>
    <x:row r="493">
      <x:c r="A493" s="10" t="str">
        <x:v>Mortgage / Rent Due</x:v>
      </x:c>
      <x:c r="B493" s="10" t="str">
        <x:v>https://www.etsy.com/listing/457651214/mortgage-rent-due</x:v>
      </x:c>
      <x:c r="C493" s="10" t="str">
        <x:v>StardustStickers</x:v>
      </x:c>
      <x:c r="D493" s="10" t="str">
        <x:v>https://www.etsy.com/shop/StardustStickers</x:v>
      </x:c>
      <x:c r="E493" s="11" t="n">
        <x:v>3.5</x:v>
      </x:c>
      <x:c r="F493" s="10" t="n">
        <x:v>0</x:v>
      </x:c>
      <x:c r="G493" s="12" t="n">
        <x:v>0</x:v>
      </x:c>
      <x:c r="H493" s="13" t="n">
        <x:v>0</x:v>
      </x:c>
      <x:c r="I493" s="10" t="n">
        <x:v>23</x:v>
      </x:c>
      <x:c r="J493" s="10" t="n">
        <x:v>8</x:v>
      </x:c>
      <x:c r="K493" s="10" t="str">
        <x:v>111 Mo.</x:v>
      </x:c>
      <x:c r="L493" s="10" t="n">
        <x:v>15</x:v>
      </x:c>
      <x:c r="M493" s="10" t="n">
        <x:v>0</x:v>
      </x:c>
      <x:c r="N493" s="10" t="n">
        <x:v>157</x:v>
      </x:c>
      <x:c r="O493" s="10" t="str">
        <x:v>Paper &amp; Party Supplies</x:v>
      </x:c>
      <x:c r="P493" s="10" t="n">
        <x:v>120</x:v>
      </x:c>
      <x:c r="Q493" s="10" t="n">
        <x:v>0</x:v>
      </x:c>
      <x:c r="R493" s="13" t="n">
        <x:v>14.65</x:v>
      </x:c>
      <x:c r="S493" s="10" t="n">
        <x:v>7308</x:v>
      </x:c>
      <x:c r="T493" s="10" t="str">
        <x:v>mortgage,house,bill,bills,payment,month,monthly,rainbow,bright,hand drawn,planner,stickers,starduststickers</x:v>
      </x:c>
      <x:c r="U493" s="10" t="str">
        <x:v>mortgage</x:v>
      </x:c>
      <x:c r="V493" s="10" t="str">
        <x:v>house</x:v>
      </x:c>
      <x:c r="W493" s="10" t="str">
        <x:v>bill</x:v>
      </x:c>
      <x:c r="X493" s="10" t="str">
        <x:v>bills</x:v>
      </x:c>
      <x:c r="Y493" s="10" t="str">
        <x:v>payment</x:v>
      </x:c>
      <x:c r="Z493" s="10" t="str">
        <x:v>month</x:v>
      </x:c>
      <x:c r="AA493" s="10" t="str">
        <x:v>monthly</x:v>
      </x:c>
      <x:c r="AB493" s="10" t="str">
        <x:v>rainbow</x:v>
      </x:c>
      <x:c r="AC493" s="10" t="str">
        <x:v>bright</x:v>
      </x:c>
      <x:c r="AD493" s="10" t="str">
        <x:v>hand drawn</x:v>
      </x:c>
      <x:c r="AE493" s="10" t="str">
        <x:v>planner</x:v>
      </x:c>
      <x:c r="AF493" s="10" t="str">
        <x:v>stickers</x:v>
      </x:c>
      <x:c r="AG493" s="10" t="str">
        <x:v>starduststickers</x:v>
      </x:c>
      <x:c r="AH493" s="10" t="str">
        <x:v>Other mortgage-related</x:v>
      </x:c>
      <x:c r="AI493" s="13" t="n">
        <x:v>111</x:v>
      </x:c>
      <x:c r="AJ493" s="10" t="str">
        <x:f>IF(F493&gt;0,"Active","No est. sales")</x:f>
        <x:v>No est. sales</x:v>
      </x:c>
    </x:row>
    <x:row r="494">
      <x:c r="A494" s="10" t="str">
        <x:v>Mortgage Payment Calculator | Amortization Schedule &amp; Extra Payment Impact | Interactive Download</x:v>
      </x:c>
      <x:c r="B494" s="10" t="str">
        <x:v>https://www.etsy.com/listing/4475931752/mortgage-payment-calculator-amortization</x:v>
      </x:c>
      <x:c r="C494" s="10" t="str">
        <x:v>VaultandVesselStudio</x:v>
      </x:c>
      <x:c r="D494" s="10" t="str">
        <x:v>https://www.etsy.com/shop/VaultandVesselStudio</x:v>
      </x:c>
      <x:c r="E494" s="11" t="n">
        <x:v>19.99</x:v>
      </x:c>
      <x:c r="F494" s="10" t="n">
        <x:v>0</x:v>
      </x:c>
      <x:c r="G494" s="12" t="n">
        <x:v>0</x:v>
      </x:c>
      <x:c r="H494" s="13" t="n">
        <x:v>0</x:v>
      </x:c>
      <x:c r="I494" s="10" t="n">
        <x:v>0</x:v>
      </x:c>
      <x:c r="J494" s="10" t="n">
        <x:v>0</x:v>
      </x:c>
      <x:c r="K494" s="10" t="str">
        <x:v>4 Mo.</x:v>
      </x:c>
      <x:c r="L494" s="10" t="n">
        <x:v>0</x:v>
      </x:c>
      <x:c r="M494" s="10" t="n">
        <x:v>0</x:v>
      </x:c>
      <x:c r="N494" s="10" t="n">
        <x:v>26</x:v>
      </x:c>
      <x:c r="O494" s="10" t="str">
        <x:v>Paper &amp; Party Supplies</x:v>
      </x:c>
      <x:c r="P494" s="10" t="n">
        <x:v>4</x:v>
      </x:c>
      <x:c r="Q494" s="10" t="n">
        <x:v>0</x:v>
      </x:c>
      <x:c r="R494" s="13" t="n">
        <x:v>0</x:v>
      </x:c>
      <x:c r="S494" s="10" t="n">
        <x:v>22</x:v>
      </x:c>
      <x:c r="T494" s="10" t="str">
        <x:v>mortgage calculator,mortgage payment,amortization calc,home loan calculator,mortgage,mortgage interest,extra payment,mortgage payoff calc,home loan payment,mortgage breakdown,amortization,mortgage planner,mortgage tool</x:v>
      </x:c>
      <x:c r="U494" s="10" t="str">
        <x:v>mortgage calculator</x:v>
      </x:c>
      <x:c r="V494" s="10" t="str">
        <x:v>mortgage payment</x:v>
      </x:c>
      <x:c r="W494" s="10" t="str">
        <x:v>amortization calc</x:v>
      </x:c>
      <x:c r="X494" s="10" t="str">
        <x:v>home loan calculator</x:v>
      </x:c>
      <x:c r="Y494" s="10" t="str">
        <x:v>mortgage</x:v>
      </x:c>
      <x:c r="Z494" s="10" t="str">
        <x:v>mortgage interest</x:v>
      </x:c>
      <x:c r="AA494" s="10" t="str">
        <x:v>extra payment</x:v>
      </x:c>
      <x:c r="AB494" s="10" t="str">
        <x:v>mortgage payoff calc</x:v>
      </x:c>
      <x:c r="AC494" s="10" t="str">
        <x:v>home loan payment</x:v>
      </x:c>
      <x:c r="AD494" s="10" t="str">
        <x:v>mortgage breakdown</x:v>
      </x:c>
      <x:c r="AE494" s="10" t="str">
        <x:v>amortization</x:v>
      </x:c>
      <x:c r="AF494" s="10" t="str">
        <x:v>mortgage planner</x:v>
      </x:c>
      <x:c r="AG494" s="10" t="str">
        <x:v>mortgage tool</x:v>
      </x:c>
      <x:c r="AH494" s="10" t="str">
        <x:v>Mortgage payoff / calculator</x:v>
      </x:c>
      <x:c r="AI494" s="13" t="n">
        <x:v>4</x:v>
      </x:c>
      <x:c r="AJ494" s="10" t="str">
        <x:f>IF(F494&gt;0,"Active","No est. sales")</x:f>
        <x:v>No est. sales</x:v>
      </x:c>
    </x:row>
    <x:row r="495">
      <x:c r="A495" s="10" t="str">
        <x:v>Home Buying Checklist Printable PDF | First-Time Home Buyer Guide</x:v>
      </x:c>
      <x:c r="B495" s="10" t="str">
        <x:v>https://www.etsy.com/listing/4516017415/home-buying-checklist-printable-pdf</x:v>
      </x:c>
      <x:c r="C495" s="10" t="str">
        <x:v>ButtonAndBloomArt</x:v>
      </x:c>
      <x:c r="D495" s="10" t="str">
        <x:v>https://www.etsy.com/shop/ButtonAndBloomArt</x:v>
      </x:c>
      <x:c r="E495" s="11" t="n">
        <x:v>1.99</x:v>
      </x:c>
      <x:c r="F495" s="10" t="n">
        <x:v>0</x:v>
      </x:c>
      <x:c r="G495" s="12" t="n">
        <x:v>0</x:v>
      </x:c>
      <x:c r="H495" s="13" t="n">
        <x:v>0</x:v>
      </x:c>
      <x:c r="I495" s="10" t="n">
        <x:v>0</x:v>
      </x:c>
      <x:c r="J495" s="10" t="n">
        <x:v>0</x:v>
      </x:c>
      <x:c r="K495" s="10" t="str">
        <x:v>1 Mo.</x:v>
      </x:c>
      <x:c r="L495" s="10" t="n">
        <x:v>0</x:v>
      </x:c>
      <x:c r="M495" s="10" t="n">
        <x:v>0</x:v>
      </x:c>
      <x:c r="N495" s="10" t="n">
        <x:v>9</x:v>
      </x:c>
      <x:c r="O495" s="10" t="str"/>
      <x:c r="P495" s="10" t="n">
        <x:v>6</x:v>
      </x:c>
      <x:c r="Q495" s="10" t="n">
        <x:v>0</x:v>
      </x:c>
      <x:c r="R495" s="13" t="n">
        <x:v>0</x:v>
      </x:c>
      <x:c r="S495" s="10" t="n">
        <x:v>0</x:v>
      </x:c>
      <x:c r="T495" s="10" t="str">
        <x:v>home-buying list,first time homebuyer,house buying guide,real estate planner,home purchase,homeownership,mortgage checklist,house hunting,printable planner,real estate list,home buying guide,house checklist,instant download</x:v>
      </x:c>
      <x:c r="U495" s="10" t="str">
        <x:v>home-buying list</x:v>
      </x:c>
      <x:c r="V495" s="10" t="str">
        <x:v>first time homebuyer</x:v>
      </x:c>
      <x:c r="W495" s="10" t="str">
        <x:v>house buying guide</x:v>
      </x:c>
      <x:c r="X495" s="10" t="str">
        <x:v>real estate planner</x:v>
      </x:c>
      <x:c r="Y495" s="10" t="str">
        <x:v>home purchase</x:v>
      </x:c>
      <x:c r="Z495" s="10" t="str">
        <x:v>homeownership</x:v>
      </x:c>
      <x:c r="AA495" s="10" t="str">
        <x:v>mortgage checklist</x:v>
      </x:c>
      <x:c r="AB495" s="10" t="str">
        <x:v>house hunting</x:v>
      </x:c>
      <x:c r="AC495" s="10" t="str">
        <x:v>printable planner</x:v>
      </x:c>
      <x:c r="AD495" s="10" t="str">
        <x:v>real estate list</x:v>
      </x:c>
      <x:c r="AE495" s="10" t="str">
        <x:v>home buying guide</x:v>
      </x:c>
      <x:c r="AF495" s="10" t="str">
        <x:v>house checklist</x:v>
      </x:c>
      <x:c r="AG495" s="10" t="str">
        <x:v>instant download</x:v>
      </x:c>
      <x:c r="AH495" s="10" t="str">
        <x:v>Home buying planner</x:v>
      </x:c>
      <x:c r="AI495" s="13" t="n">
        <x:v>1</x:v>
      </x:c>
      <x:c r="AJ495" s="10" t="str">
        <x:f>IF(F495&gt;0,"Active","No est. sales")</x:f>
        <x:v>No est. sales</x:v>
      </x:c>
    </x:row>
    <x:row r="496">
      <x:c r="A496" s="10" t="str">
        <x:v>Google Sheets Mortgage Calculator Template | Payoff Tracker | Instant Download</x:v>
      </x:c>
      <x:c r="B496" s="10" t="str">
        <x:v>https://www.etsy.com/listing/4516953101/google-sheets-mortgage-calculator</x:v>
      </x:c>
      <x:c r="C496" s="10" t="str">
        <x:v>NJDigitalhub</x:v>
      </x:c>
      <x:c r="D496" s="10" t="str">
        <x:v>https://www.etsy.com/shop/NJDigitalhub</x:v>
      </x:c>
      <x:c r="E496" s="11" t="n">
        <x:v>3.8</x:v>
      </x:c>
      <x:c r="F496" s="10" t="n">
        <x:v>0</x:v>
      </x:c>
      <x:c r="G496" s="12" t="n">
        <x:v>0</x:v>
      </x:c>
      <x:c r="H496" s="13" t="n">
        <x:v>0</x:v>
      </x:c>
      <x:c r="I496" s="10" t="n">
        <x:v>0</x:v>
      </x:c>
      <x:c r="J496" s="10" t="n">
        <x:v>0</x:v>
      </x:c>
      <x:c r="K496" s="10" t="str">
        <x:v>1 Mo.</x:v>
      </x:c>
      <x:c r="L496" s="10" t="n">
        <x:v>1</x:v>
      </x:c>
      <x:c r="M496" s="10" t="n">
        <x:v>0</x:v>
      </x:c>
      <x:c r="N496" s="10" t="n">
        <x:v>2</x:v>
      </x:c>
      <x:c r="O496" s="10" t="str">
        <x:v>Paper &amp; Party Supplies</x:v>
      </x:c>
      <x:c r="P496" s="10" t="n">
        <x:v>3</x:v>
      </x:c>
      <x:c r="Q496" s="10" t="n">
        <x:v>0</x:v>
      </x:c>
      <x:c r="R496" s="13" t="n">
        <x:v>0</x:v>
      </x:c>
      <x:c r="S496" s="10" t="n">
        <x:v>31</x:v>
      </x:c>
      <x:c r="T496" s="10" t="str">
        <x:v>mortgage tracker,mortgage payoff,mortgage spreadsheet,mortgage calculator,amortization sheet,mortgage planner,loan payoff tracker,extra payment calc,mortgage dashboard,homeowner planner,financial tracker,google sheets tool,mortgage template</x:v>
      </x:c>
      <x:c r="U496" s="10" t="str">
        <x:v>mortgage tracker</x:v>
      </x:c>
      <x:c r="V496" s="10" t="str">
        <x:v>mortgage payoff</x:v>
      </x:c>
      <x:c r="W496" s="10" t="str">
        <x:v>mortgage spreadsheet</x:v>
      </x:c>
      <x:c r="X496" s="10" t="str">
        <x:v>mortgage calculator</x:v>
      </x:c>
      <x:c r="Y496" s="10" t="str">
        <x:v>amortization sheet</x:v>
      </x:c>
      <x:c r="Z496" s="10" t="str">
        <x:v>mortgage planner</x:v>
      </x:c>
      <x:c r="AA496" s="10" t="str">
        <x:v>loan payoff tracker</x:v>
      </x:c>
      <x:c r="AB496" s="10" t="str">
        <x:v>extra payment calc</x:v>
      </x:c>
      <x:c r="AC496" s="10" t="str">
        <x:v>mortgage dashboard</x:v>
      </x:c>
      <x:c r="AD496" s="10" t="str">
        <x:v>homeowner planner</x:v>
      </x:c>
      <x:c r="AE496" s="10" t="str">
        <x:v>financial tracker</x:v>
      </x:c>
      <x:c r="AF496" s="10" t="str">
        <x:v>google sheets tool</x:v>
      </x:c>
      <x:c r="AG496" s="10" t="str">
        <x:v>mortgage template</x:v>
      </x:c>
      <x:c r="AH496" s="10" t="str">
        <x:v>Mortgage payoff / calculator</x:v>
      </x:c>
      <x:c r="AI496" s="13" t="n">
        <x:v>1</x:v>
      </x:c>
      <x:c r="AJ496" s="10" t="str">
        <x:f>IF(F496&gt;0,"Active","No est. sales")</x:f>
        <x:v>No est. sales</x:v>
      </x:c>
    </x:row>
    <x:row r="497">
      <x:c r="A497" s="10" t="str">
        <x:v>Debt Tracker Debt Bundle Planner Digital Debt Tracker for Loan payment Debt Free Tracker Debt Snowball Planner Debt Payoff Finance Planner</x:v>
      </x:c>
      <x:c r="B497" s="10" t="str">
        <x:v>https://www.etsy.com/listing/1733314957/debt-tracker-debt-bundle-planner-digital</x:v>
      </x:c>
      <x:c r="C497" s="10" t="str">
        <x:v>TSWSHOPStore</x:v>
      </x:c>
      <x:c r="D497" s="10" t="str">
        <x:v>https://www.etsy.com/shop/TSWSHOPStore</x:v>
      </x:c>
      <x:c r="E497" s="11" t="n">
        <x:v>8.45</x:v>
      </x:c>
      <x:c r="F497" s="10" t="n">
        <x:v>0</x:v>
      </x:c>
      <x:c r="G497" s="12" t="n">
        <x:v>0</x:v>
      </x:c>
      <x:c r="H497" s="13" t="n">
        <x:v>0</x:v>
      </x:c>
      <x:c r="I497" s="10" t="n">
        <x:v>0</x:v>
      </x:c>
      <x:c r="J497" s="10" t="n">
        <x:v>0</x:v>
      </x:c>
      <x:c r="K497" s="10" t="str">
        <x:v>15 Mo.</x:v>
      </x:c>
      <x:c r="L497" s="10" t="n">
        <x:v>1</x:v>
      </x:c>
      <x:c r="M497" s="10" t="n">
        <x:v>0</x:v>
      </x:c>
      <x:c r="N497" s="10" t="n">
        <x:v>653</x:v>
      </x:c>
      <x:c r="O497" s="10" t="str">
        <x:v>Paper &amp; Party Supplies</x:v>
      </x:c>
      <x:c r="P497" s="10" t="n">
        <x:v>16</x:v>
      </x:c>
      <x:c r="Q497" s="10" t="n">
        <x:v>0</x:v>
      </x:c>
      <x:c r="R497" s="13" t="n">
        <x:v>0</x:v>
      </x:c>
      <x:c r="S497" s="10" t="n">
        <x:v>1</x:v>
      </x:c>
      <x:c r="T497" s="10" t="str">
        <x:v>debt payment tracker,debt snowball,debt avalanche,debt payoff planner,loan payoff tracker,mortgage payoff,financial planner,snowball method,debt tracker,debt payoff tracker,finance planner,spending tracker,debt repayment</x:v>
      </x:c>
      <x:c r="U497" s="10" t="str">
        <x:v>debt payment tracker</x:v>
      </x:c>
      <x:c r="V497" s="10" t="str">
        <x:v>debt snowball</x:v>
      </x:c>
      <x:c r="W497" s="10" t="str">
        <x:v>debt avalanche</x:v>
      </x:c>
      <x:c r="X497" s="10" t="str">
        <x:v>debt payoff planner</x:v>
      </x:c>
      <x:c r="Y497" s="10" t="str">
        <x:v>loan payoff tracker</x:v>
      </x:c>
      <x:c r="Z497" s="10" t="str">
        <x:v>mortgage payoff</x:v>
      </x:c>
      <x:c r="AA497" s="10" t="str">
        <x:v>financial planner</x:v>
      </x:c>
      <x:c r="AB497" s="10" t="str">
        <x:v>snowball method</x:v>
      </x:c>
      <x:c r="AC497" s="10" t="str">
        <x:v>debt tracker</x:v>
      </x:c>
      <x:c r="AD497" s="10" t="str">
        <x:v>debt payoff tracker</x:v>
      </x:c>
      <x:c r="AE497" s="10" t="str">
        <x:v>finance planner</x:v>
      </x:c>
      <x:c r="AF497" s="10" t="str">
        <x:v>spending tracker</x:v>
      </x:c>
      <x:c r="AG497" s="10" t="str">
        <x:v>debt repayment</x:v>
      </x:c>
      <x:c r="AH497" s="10" t="str">
        <x:v>General debt payoff</x:v>
      </x:c>
      <x:c r="AI497" s="13" t="n">
        <x:v>15</x:v>
      </x:c>
      <x:c r="AJ497" s="10" t="str">
        <x:f>IF(F497&gt;0,"Active","No est. sales")</x:f>
        <x:v>No est. sales</x:v>
      </x:c>
    </x:row>
    <x:row r="498">
      <x:c r="A498" s="10" t="str">
        <x:v>HOUSE Round Icon Planner / Calendar Stickers [R2-68]</x:v>
      </x:c>
      <x:c r="B498" s="10" t="str">
        <x:v>https://www.etsy.com/listing/1068335282/house-round-icon-planner-calendar</x:v>
      </x:c>
      <x:c r="C498" s="10" t="str">
        <x:v>PaperDayDesign</x:v>
      </x:c>
      <x:c r="D498" s="10" t="str">
        <x:v>https://www.etsy.com/shop/PaperDayDesign</x:v>
      </x:c>
      <x:c r="E498" s="11" t="n">
        <x:v>4</x:v>
      </x:c>
      <x:c r="F498" s="10" t="n">
        <x:v>0</x:v>
      </x:c>
      <x:c r="G498" s="12" t="n">
        <x:v>0</x:v>
      </x:c>
      <x:c r="H498" s="13" t="n">
        <x:v>0</x:v>
      </x:c>
      <x:c r="I498" s="10" t="n">
        <x:v>110</x:v>
      </x:c>
      <x:c r="J498" s="10" t="n">
        <x:v>17</x:v>
      </x:c>
      <x:c r="K498" s="10" t="str">
        <x:v>47 Mo.</x:v>
      </x:c>
      <x:c r="L498" s="10" t="n">
        <x:v>51</x:v>
      </x:c>
      <x:c r="M498" s="10" t="n">
        <x:v>0</x:v>
      </x:c>
      <x:c r="N498" s="10" t="n">
        <x:v>715</x:v>
      </x:c>
      <x:c r="O498" s="10" t="str">
        <x:v>Paper &amp; Party Supplies</x:v>
      </x:c>
      <x:c r="P498" s="10" t="n">
        <x:v>88</x:v>
      </x:c>
      <x:c r="Q498" s="10" t="n">
        <x:v>0</x:v>
      </x:c>
      <x:c r="R498" s="13" t="n">
        <x:v>15.38</x:v>
      </x:c>
      <x:c r="S498" s="10" t="n">
        <x:v>38700</x:v>
      </x:c>
      <x:c r="T498" s="10" t="str">
        <x:v>calendar sticker,happy planner,plum planner,budget planner,utilities budget,home bills reminder,utility bill tracker,mortgage reminder,pay rent sticker,rent due reminder,home planner,house planner,home payment</x:v>
      </x:c>
      <x:c r="U498" s="10" t="str">
        <x:v>calendar sticker</x:v>
      </x:c>
      <x:c r="V498" s="10" t="str">
        <x:v>happy planner</x:v>
      </x:c>
      <x:c r="W498" s="10" t="str">
        <x:v>plum planner</x:v>
      </x:c>
      <x:c r="X498" s="10" t="str">
        <x:v>budget planner</x:v>
      </x:c>
      <x:c r="Y498" s="10" t="str">
        <x:v>utilities budget</x:v>
      </x:c>
      <x:c r="Z498" s="10" t="str">
        <x:v>home bills reminder</x:v>
      </x:c>
      <x:c r="AA498" s="10" t="str">
        <x:v>utility bill tracker</x:v>
      </x:c>
      <x:c r="AB498" s="10" t="str">
        <x:v>mortgage reminder</x:v>
      </x:c>
      <x:c r="AC498" s="10" t="str">
        <x:v>pay rent sticker</x:v>
      </x:c>
      <x:c r="AD498" s="10" t="str">
        <x:v>rent due reminder</x:v>
      </x:c>
      <x:c r="AE498" s="10" t="str">
        <x:v>home planner</x:v>
      </x:c>
      <x:c r="AF498" s="10" t="str">
        <x:v>house planner</x:v>
      </x:c>
      <x:c r="AG498" s="10" t="str">
        <x:v>home payment</x:v>
      </x:c>
      <x:c r="AH498" s="10" t="str">
        <x:v>Other mortgage-related</x:v>
      </x:c>
      <x:c r="AI498" s="13" t="n">
        <x:v>47</x:v>
      </x:c>
      <x:c r="AJ498" s="10" t="str">
        <x:f>IF(F498&gt;0,"Active","No est. sales")</x:f>
        <x:v>No est. sales</x:v>
      </x:c>
    </x:row>
    <x:row r="499">
      <x:c r="A499" s="10" t="str">
        <x:v>First Home Buyer Starter Kit Australia - Mortgage Calculator &amp; Budget Planner - Property Investment Guide - Checklist</x:v>
      </x:c>
      <x:c r="B499" s="10" t="str">
        <x:v>https://www.etsy.com/listing/4495435333/first-home-buyer-starter-kit-australia</x:v>
      </x:c>
      <x:c r="C499" s="10" t="str">
        <x:v>SextantDigital</x:v>
      </x:c>
      <x:c r="D499" s="10" t="str">
        <x:v>https://www.etsy.com/shop/SextantDigital</x:v>
      </x:c>
      <x:c r="E499" s="11" t="n">
        <x:v>12.41</x:v>
      </x:c>
      <x:c r="F499" s="10" t="n">
        <x:v>0</x:v>
      </x:c>
      <x:c r="G499" s="12" t="n">
        <x:v>0</x:v>
      </x:c>
      <x:c r="H499" s="13" t="n">
        <x:v>0</x:v>
      </x:c>
      <x:c r="I499" s="10" t="n">
        <x:v>0</x:v>
      </x:c>
      <x:c r="J499" s="10" t="n">
        <x:v>0</x:v>
      </x:c>
      <x:c r="K499" s="10" t="str">
        <x:v>2 Mo.</x:v>
      </x:c>
      <x:c r="L499" s="10" t="n">
        <x:v>0</x:v>
      </x:c>
      <x:c r="M499" s="10" t="n">
        <x:v>0</x:v>
      </x:c>
      <x:c r="N499" s="10" t="n">
        <x:v>14</x:v>
      </x:c>
      <x:c r="O499" s="10" t="str">
        <x:v>Books, Movies &amp; Music</x:v>
      </x:c>
      <x:c r="P499" s="10" t="n">
        <x:v>2</x:v>
      </x:c>
      <x:c r="Q499" s="10" t="n">
        <x:v>0</x:v>
      </x:c>
      <x:c r="R499" s="13" t="n">
        <x:v>0</x:v>
      </x:c>
      <x:c r="S499" s="10" t="n">
        <x:v>0</x:v>
      </x:c>
      <x:c r="T499" s="10" t="str">
        <x:v>first home buyer,first home australia,home buyer guide,property calculator,mortgage calculator,buying a house au,property investment,house buying guide,home buyer checklist,real estate tools,australia property,compare calculator,budget planner home</x:v>
      </x:c>
      <x:c r="U499" s="10" t="str">
        <x:v>first home buyer</x:v>
      </x:c>
      <x:c r="V499" s="10" t="str">
        <x:v>first home australia</x:v>
      </x:c>
      <x:c r="W499" s="10" t="str">
        <x:v>home buyer guide</x:v>
      </x:c>
      <x:c r="X499" s="10" t="str">
        <x:v>property calculator</x:v>
      </x:c>
      <x:c r="Y499" s="10" t="str">
        <x:v>mortgage calculator</x:v>
      </x:c>
      <x:c r="Z499" s="10" t="str">
        <x:v>buying a house au</x:v>
      </x:c>
      <x:c r="AA499" s="10" t="str">
        <x:v>property investment</x:v>
      </x:c>
      <x:c r="AB499" s="10" t="str">
        <x:v>house buying guide</x:v>
      </x:c>
      <x:c r="AC499" s="10" t="str">
        <x:v>home buyer checklist</x:v>
      </x:c>
      <x:c r="AD499" s="10" t="str">
        <x:v>real estate tools</x:v>
      </x:c>
      <x:c r="AE499" s="10" t="str">
        <x:v>australia property</x:v>
      </x:c>
      <x:c r="AF499" s="10" t="str">
        <x:v>compare calculator</x:v>
      </x:c>
      <x:c r="AG499" s="10" t="str">
        <x:v>budget planner home</x:v>
      </x:c>
      <x:c r="AH499" s="10" t="str">
        <x:v>Property investment</x:v>
      </x:c>
      <x:c r="AI499" s="13" t="n">
        <x:v>2</x:v>
      </x:c>
      <x:c r="AJ499" s="10" t="str">
        <x:f>IF(F499&gt;0,"Active","No est. sales")</x:f>
        <x:v>No est. sales</x:v>
      </x:c>
    </x:row>
    <x:row r="500">
      <x:c r="A500" s="10" t="str">
        <x:v>Mortgage Calculator Google Sheets Template | Amortization Schedule, Payoff Tracker (Digital Download)</x:v>
      </x:c>
      <x:c r="B500" s="10" t="str">
        <x:v>https://www.etsy.com/listing/4510448747/mortgage-calculator-google-sheets</x:v>
      </x:c>
      <x:c r="C500" s="10" t="str">
        <x:v>thedashboardstudioco</x:v>
      </x:c>
      <x:c r="D500" s="10" t="str">
        <x:v>https://www.etsy.com/shop/thedashboardstudioco</x:v>
      </x:c>
      <x:c r="E500" s="11" t="n">
        <x:v>4.26</x:v>
      </x:c>
      <x:c r="F500" s="10" t="n">
        <x:v>0</x:v>
      </x:c>
      <x:c r="G500" s="12" t="n">
        <x:v>0</x:v>
      </x:c>
      <x:c r="H500" s="13" t="n">
        <x:v>0</x:v>
      </x:c>
      <x:c r="I500" s="10" t="n">
        <x:v>0</x:v>
      </x:c>
      <x:c r="J500" s="10" t="n">
        <x:v>0</x:v>
      </x:c>
      <x:c r="K500" s="10" t="str">
        <x:v>2 Mo.</x:v>
      </x:c>
      <x:c r="L500" s="10" t="n">
        <x:v>5</x:v>
      </x:c>
      <x:c r="M500" s="10" t="n">
        <x:v>0</x:v>
      </x:c>
      <x:c r="N500" s="10" t="n">
        <x:v>332</x:v>
      </x:c>
      <x:c r="O500" s="10" t="str"/>
      <x:c r="P500" s="10" t="n">
        <x:v>6</x:v>
      </x:c>
      <x:c r="Q500" s="10" t="n">
        <x:v>45</x:v>
      </x:c>
      <x:c r="R500" s="13" t="n">
        <x:v>0</x:v>
      </x:c>
      <x:c r="S500" s="10" t="n">
        <x:v>109</x:v>
      </x:c>
      <x:c r="T500" s="10" t="str">
        <x:v>mortgage calculator,mortgage tracker,google sheets,mortgage payoff,amortization,debt free planner,extra payment saving,home loan tracker,mortgage spreadsheet,financial planner,first time buyer,debt free tracker,budget spreadsheet</x:v>
      </x:c>
      <x:c r="U500" s="10" t="str">
        <x:v>mortgage calculator</x:v>
      </x:c>
      <x:c r="V500" s="10" t="str">
        <x:v>mortgage tracker</x:v>
      </x:c>
      <x:c r="W500" s="10" t="str">
        <x:v>google sheets</x:v>
      </x:c>
      <x:c r="X500" s="10" t="str">
        <x:v>mortgage payoff</x:v>
      </x:c>
      <x:c r="Y500" s="10" t="str">
        <x:v>amortization</x:v>
      </x:c>
      <x:c r="Z500" s="10" t="str">
        <x:v>debt free planner</x:v>
      </x:c>
      <x:c r="AA500" s="10" t="str">
        <x:v>extra payment saving</x:v>
      </x:c>
      <x:c r="AB500" s="10" t="str">
        <x:v>home loan tracker</x:v>
      </x:c>
      <x:c r="AC500" s="10" t="str">
        <x:v>mortgage spreadsheet</x:v>
      </x:c>
      <x:c r="AD500" s="10" t="str">
        <x:v>financial planner</x:v>
      </x:c>
      <x:c r="AE500" s="10" t="str">
        <x:v>first time buyer</x:v>
      </x:c>
      <x:c r="AF500" s="10" t="str">
        <x:v>debt free tracker</x:v>
      </x:c>
      <x:c r="AG500" s="10" t="str">
        <x:v>budget spreadsheet</x:v>
      </x:c>
      <x:c r="AH500" s="10" t="str">
        <x:v>Mortgage payoff / calculator</x:v>
      </x:c>
      <x:c r="AI500" s="13" t="n">
        <x:v>2</x:v>
      </x:c>
      <x:c r="AJ500" s="10" t="str">
        <x:f>IF(F500&gt;0,"Active","No est. sales")</x:f>
        <x:v>No est. sales</x:v>
      </x:c>
    </x:row>
    <x:row r="501">
      <x:c r="A501" s="10" t="str">
        <x:v>Rent Due Planner Stickers, Budget Journal Stickers</x:v>
      </x:c>
      <x:c r="B501" s="10" t="str">
        <x:v>https://www.etsy.com/listing/1792934668/rent-due-planner-stickers-budget-journal</x:v>
      </x:c>
      <x:c r="C501" s="10" t="str">
        <x:v>MasielDigitalShop</x:v>
      </x:c>
      <x:c r="D501" s="10" t="str">
        <x:v>https://www.etsy.com/shop/MasielDigitalShop</x:v>
      </x:c>
      <x:c r="E501" s="11" t="n">
        <x:v>3.5</x:v>
      </x:c>
      <x:c r="F501" s="10" t="n">
        <x:v>0</x:v>
      </x:c>
      <x:c r="G501" s="12" t="n">
        <x:v>0</x:v>
      </x:c>
      <x:c r="H501" s="13" t="n">
        <x:v>0</x:v>
      </x:c>
      <x:c r="I501" s="10" t="n">
        <x:v>0</x:v>
      </x:c>
      <x:c r="J501" s="10" t="n">
        <x:v>0</x:v>
      </x:c>
      <x:c r="K501" s="10" t="str">
        <x:v>21 Mo.</x:v>
      </x:c>
      <x:c r="L501" s="10" t="n">
        <x:v>5</x:v>
      </x:c>
      <x:c r="M501" s="10" t="n">
        <x:v>0</x:v>
      </x:c>
      <x:c r="N501" s="10" t="n">
        <x:v>47</x:v>
      </x:c>
      <x:c r="O501" s="10" t="str">
        <x:v>Paper &amp; Party Supplies</x:v>
      </x:c>
      <x:c r="P501" s="10" t="n">
        <x:v>55</x:v>
      </x:c>
      <x:c r="Q501" s="10" t="n">
        <x:v>0</x:v>
      </x:c>
      <x:c r="R501" s="13" t="n">
        <x:v>0</x:v>
      </x:c>
      <x:c r="S501" s="10" t="n">
        <x:v>811</x:v>
      </x:c>
      <x:c r="T501" s="10" t="str">
        <x:v>mortgage due sticker,bills due sticker,rent due sticker,budget stickers,journal sticker,sticker sheet,planner sticker</x:v>
      </x:c>
      <x:c r="U501" s="10" t="str">
        <x:v>mortgage due sticker</x:v>
      </x:c>
      <x:c r="V501" s="10" t="str">
        <x:v>bills due sticker</x:v>
      </x:c>
      <x:c r="W501" s="10" t="str">
        <x:v>rent due sticker</x:v>
      </x:c>
      <x:c r="X501" s="10" t="str">
        <x:v>budget stickers</x:v>
      </x:c>
      <x:c r="Y501" s="10" t="str">
        <x:v>journal sticker</x:v>
      </x:c>
      <x:c r="Z501" s="10" t="str">
        <x:v>sticker sheet</x:v>
      </x:c>
      <x:c r="AA501" s="10" t="str">
        <x:v>planner sticker</x:v>
      </x:c>
      <x:c r="AB501" s="10" t="str">
        <x:v>--</x:v>
      </x:c>
      <x:c r="AC501" s="10" t="str">
        <x:v>--</x:v>
      </x:c>
      <x:c r="AD501" s="10" t="str">
        <x:v>--</x:v>
      </x:c>
      <x:c r="AE501" s="10" t="str">
        <x:v>--</x:v>
      </x:c>
      <x:c r="AF501" s="10" t="str">
        <x:v>--</x:v>
      </x:c>
      <x:c r="AG501" s="10" t="str">
        <x:v>--</x:v>
      </x:c>
      <x:c r="AH501" s="10" t="str">
        <x:v>Other mortgage-related</x:v>
      </x:c>
      <x:c r="AI501" s="13" t="n">
        <x:v>21</x:v>
      </x:c>
      <x:c r="AJ501" s="10" t="str">
        <x:f>IF(F501&gt;0,"Active","No est. sales")</x:f>
        <x:v>No est. sales</x:v>
      </x:c>
    </x:row>
    <x:row r="502">
      <x:c r="A502" s="10" t="str">
        <x:v>House Stickers | Eche Character Planner Stickers | E04</x:v>
      </x:c>
      <x:c r="B502" s="10" t="str">
        <x:v>https://www.etsy.com/listing/1890303773/house-stickers-eche-character-planner</x:v>
      </x:c>
      <x:c r="C502" s="10" t="str">
        <x:v>pmdstickers</x:v>
      </x:c>
      <x:c r="D502" s="10" t="str">
        <x:v>https://www.etsy.com/shop/pmdstickers</x:v>
      </x:c>
      <x:c r="E502" s="11" t="n">
        <x:v>2.45</x:v>
      </x:c>
      <x:c r="F502" s="10" t="n">
        <x:v>0</x:v>
      </x:c>
      <x:c r="G502" s="12" t="n">
        <x:v>0</x:v>
      </x:c>
      <x:c r="H502" s="13" t="n">
        <x:v>0</x:v>
      </x:c>
      <x:c r="I502" s="10" t="n">
        <x:v>0</x:v>
      </x:c>
      <x:c r="J502" s="10" t="n">
        <x:v>0</x:v>
      </x:c>
      <x:c r="K502" s="10" t="str">
        <x:v>16 Mo.</x:v>
      </x:c>
      <x:c r="L502" s="10" t="n">
        <x:v>12</x:v>
      </x:c>
      <x:c r="M502" s="10" t="n">
        <x:v>0</x:v>
      </x:c>
      <x:c r="N502" s="10" t="n">
        <x:v>106</x:v>
      </x:c>
      <x:c r="O502" s="10" t="str">
        <x:v>Paper &amp; Party Supplies</x:v>
      </x:c>
      <x:c r="P502" s="10" t="n">
        <x:v>145</x:v>
      </x:c>
      <x:c r="Q502" s="10" t="n">
        <x:v>0</x:v>
      </x:c>
      <x:c r="R502" s="13" t="n">
        <x:v>0</x:v>
      </x:c>
      <x:c r="S502" s="10" t="n">
        <x:v>224364</x:v>
      </x:c>
      <x:c r="T502" s="10" t="str">
        <x:v>character stickers,drawn stickers,doodle stickers,neutral stickers,erin condren planner,happy planner,personal planner,a5 planner,hobonichi stickers,house stickers,home stickers,rent stickers,mortgage stickers</x:v>
      </x:c>
      <x:c r="U502" s="10" t="str">
        <x:v>character stickers</x:v>
      </x:c>
      <x:c r="V502" s="10" t="str">
        <x:v>drawn stickers</x:v>
      </x:c>
      <x:c r="W502" s="10" t="str">
        <x:v>doodle stickers</x:v>
      </x:c>
      <x:c r="X502" s="10" t="str">
        <x:v>neutral stickers</x:v>
      </x:c>
      <x:c r="Y502" s="10" t="str">
        <x:v>erin condren planner</x:v>
      </x:c>
      <x:c r="Z502" s="10" t="str">
        <x:v>happy planner</x:v>
      </x:c>
      <x:c r="AA502" s="10" t="str">
        <x:v>personal planner</x:v>
      </x:c>
      <x:c r="AB502" s="10" t="str">
        <x:v>a5 planner</x:v>
      </x:c>
      <x:c r="AC502" s="10" t="str">
        <x:v>hobonichi stickers</x:v>
      </x:c>
      <x:c r="AD502" s="10" t="str">
        <x:v>house stickers</x:v>
      </x:c>
      <x:c r="AE502" s="10" t="str">
        <x:v>home stickers</x:v>
      </x:c>
      <x:c r="AF502" s="10" t="str">
        <x:v>rent stickers</x:v>
      </x:c>
      <x:c r="AG502" s="10" t="str">
        <x:v>mortgage stickers</x:v>
      </x:c>
      <x:c r="AH502" s="10" t="str">
        <x:v>Other mortgage-related</x:v>
      </x:c>
      <x:c r="AI502" s="13" t="n">
        <x:v>16</x:v>
      </x:c>
      <x:c r="AJ502" s="10" t="str">
        <x:f>IF(F502&gt;0,"Active","No est. sales")</x:f>
        <x:v>No est. sales</x:v>
      </x:c>
    </x:row>
    <x:row r="503">
      <x:c r="A503" s="10" t="str">
        <x:v>Debt Payoff Tracker Google Sheets, Snowball Avalanche &amp; Custom Method Spreadsheet, Debt Free Planner, Credit Card and Loan Payment Template</x:v>
      </x:c>
      <x:c r="B503" s="10" t="str">
        <x:v>https://www.etsy.com/listing/4516740810/debt-payoff-tracker-google-sheets</x:v>
      </x:c>
      <x:c r="C503" s="10" t="str">
        <x:v>FramewrkStore</x:v>
      </x:c>
      <x:c r="D503" s="10" t="str">
        <x:v>https://www.etsy.com/shop/FramewrkStore</x:v>
      </x:c>
      <x:c r="E503" s="11" t="n">
        <x:v>9.74</x:v>
      </x:c>
      <x:c r="F503" s="10" t="n">
        <x:v>0</x:v>
      </x:c>
      <x:c r="G503" s="12" t="n">
        <x:v>0</x:v>
      </x:c>
      <x:c r="H503" s="13" t="n">
        <x:v>0</x:v>
      </x:c>
      <x:c r="I503" s="10" t="n">
        <x:v>0</x:v>
      </x:c>
      <x:c r="J503" s="10" t="n">
        <x:v>0</x:v>
      </x:c>
      <x:c r="K503" s="10" t="str">
        <x:v>1 Mo.</x:v>
      </x:c>
      <x:c r="L503" s="10" t="n">
        <x:v>1</x:v>
      </x:c>
      <x:c r="M503" s="10" t="n">
        <x:v>0</x:v>
      </x:c>
      <x:c r="N503" s="10" t="n">
        <x:v>17</x:v>
      </x:c>
      <x:c r="O503" s="10" t="str"/>
      <x:c r="P503" s="10" t="n">
        <x:v>4</x:v>
      </x:c>
      <x:c r="Q503" s="10" t="n">
        <x:v>0</x:v>
      </x:c>
      <x:c r="R503" s="13" t="n">
        <x:v>0</x:v>
      </x:c>
      <x:c r="S503" s="10" t="n">
        <x:v>10</x:v>
      </x:c>
      <x:c r="T503" s="10" t="str">
        <x:v>google sheets budget,monthly budgeting,biweekly paycheck,weekly bill tracker,debt expense tracker,savings tracker,financial planner,personal finance,mortgage payoff,student loan,budget template,debt snowball,debt avalanche</x:v>
      </x:c>
      <x:c r="U503" s="10" t="str">
        <x:v>google sheets budget</x:v>
      </x:c>
      <x:c r="V503" s="10" t="str">
        <x:v>monthly budgeting</x:v>
      </x:c>
      <x:c r="W503" s="10" t="str">
        <x:v>biweekly paycheck</x:v>
      </x:c>
      <x:c r="X503" s="10" t="str">
        <x:v>weekly bill tracker</x:v>
      </x:c>
      <x:c r="Y503" s="10" t="str">
        <x:v>debt expense tracker</x:v>
      </x:c>
      <x:c r="Z503" s="10" t="str">
        <x:v>savings tracker</x:v>
      </x:c>
      <x:c r="AA503" s="10" t="str">
        <x:v>financial planner</x:v>
      </x:c>
      <x:c r="AB503" s="10" t="str">
        <x:v>personal finance</x:v>
      </x:c>
      <x:c r="AC503" s="10" t="str">
        <x:v>mortgage payoff</x:v>
      </x:c>
      <x:c r="AD503" s="10" t="str">
        <x:v>student loan</x:v>
      </x:c>
      <x:c r="AE503" s="10" t="str">
        <x:v>budget template</x:v>
      </x:c>
      <x:c r="AF503" s="10" t="str">
        <x:v>debt snowball</x:v>
      </x:c>
      <x:c r="AG503" s="10" t="str">
        <x:v>debt avalanche</x:v>
      </x:c>
      <x:c r="AH503" s="10" t="str">
        <x:v>General debt payoff</x:v>
      </x:c>
      <x:c r="AI503" s="13" t="n">
        <x:v>1</x:v>
      </x:c>
      <x:c r="AJ503" s="10" t="str">
        <x:f>IF(F503&gt;0,"Active","No est. sales")</x:f>
        <x:v>No est. sales</x:v>
      </x:c>
    </x:row>
    <x:row r="504">
      <x:c r="A504" s="10" t="str">
        <x:v>250K House Savings Tracker, House Payoff Tracker Printable, Savings Challenge, Savings Tracker, Saving Goals, House Down Payment Planner PDF</x:v>
      </x:c>
      <x:c r="B504" s="10" t="str">
        <x:v>https://www.etsy.com/listing/1131959881/250k-house-savings-tracker-house-payoff</x:v>
      </x:c>
      <x:c r="C504" s="10" t="str">
        <x:v>ThreeDollsPrintables</x:v>
      </x:c>
      <x:c r="D504" s="10" t="str">
        <x:v>https://www.etsy.com/shop/ThreeDollsPrintables</x:v>
      </x:c>
      <x:c r="E504" s="11" t="n">
        <x:v>2</x:v>
      </x:c>
      <x:c r="F504" s="10" t="n">
        <x:v>0</x:v>
      </x:c>
      <x:c r="G504" s="12" t="n">
        <x:v>0</x:v>
      </x:c>
      <x:c r="H504" s="13" t="n">
        <x:v>0</x:v>
      </x:c>
      <x:c r="I504" s="10" t="n">
        <x:v>1</x:v>
      </x:c>
      <x:c r="J504" s="10" t="n">
        <x:v>0</x:v>
      </x:c>
      <x:c r="K504" s="10" t="str">
        <x:v>55 Mo.</x:v>
      </x:c>
      <x:c r="L504" s="10" t="n">
        <x:v>15</x:v>
      </x:c>
      <x:c r="M504" s="10" t="n">
        <x:v>0</x:v>
      </x:c>
      <x:c r="N504" s="10" t="n">
        <x:v>299</x:v>
      </x:c>
      <x:c r="O504" s="10" t="str">
        <x:v>Paper &amp; Party Supplies</x:v>
      </x:c>
      <x:c r="P504" s="10" t="n">
        <x:v>70</x:v>
      </x:c>
      <x:c r="Q504" s="10" t="n">
        <x:v>0</x:v>
      </x:c>
      <x:c r="R504" s="13" t="n">
        <x:v>0.33</x:v>
      </x:c>
      <x:c r="S504" s="10" t="n">
        <x:v>4169</x:v>
      </x:c>
      <x:c r="T504" s="10" t="str">
        <x:v>savings challenge,saving challenge,house saving tracker,250k saving tracker,house payoff tracker,house down payment,home savings tracker,dave ramsay,mortgage tracker,savings goal,savings planner,printable saving,finance tracker</x:v>
      </x:c>
      <x:c r="U504" s="10" t="str">
        <x:v>savings challenge</x:v>
      </x:c>
      <x:c r="V504" s="10" t="str">
        <x:v>saving challenge</x:v>
      </x:c>
      <x:c r="W504" s="10" t="str">
        <x:v>house saving tracker</x:v>
      </x:c>
      <x:c r="X504" s="10" t="str">
        <x:v>250k saving tracker</x:v>
      </x:c>
      <x:c r="Y504" s="10" t="str">
        <x:v>house payoff tracker</x:v>
      </x:c>
      <x:c r="Z504" s="10" t="str">
        <x:v>house down payment</x:v>
      </x:c>
      <x:c r="AA504" s="10" t="str">
        <x:v>home savings tracker</x:v>
      </x:c>
      <x:c r="AB504" s="10" t="str">
        <x:v>dave ramsay</x:v>
      </x:c>
      <x:c r="AC504" s="10" t="str">
        <x:v>mortgage tracker</x:v>
      </x:c>
      <x:c r="AD504" s="10" t="str">
        <x:v>savings goal</x:v>
      </x:c>
      <x:c r="AE504" s="10" t="str">
        <x:v>savings planner</x:v>
      </x:c>
      <x:c r="AF504" s="10" t="str">
        <x:v>printable saving</x:v>
      </x:c>
      <x:c r="AG504" s="10" t="str">
        <x:v>finance tracker</x:v>
      </x:c>
      <x:c r="AH504" s="10" t="str">
        <x:v>Other mortgage-related</x:v>
      </x:c>
      <x:c r="AI504" s="13" t="n">
        <x:v>55</x:v>
      </x:c>
      <x:c r="AJ504" s="10" t="str">
        <x:f>IF(F504&gt;0,"Active","No est. sales")</x:f>
        <x:v>No est. sales</x:v>
      </x:c>
    </x:row>
    <x:row r="505">
      <x:c r="A505" s="10" t="str">
        <x:v>Pay Rent Printable Script Planner Stickers</x:v>
      </x:c>
      <x:c r="B505" s="10" t="str">
        <x:v>https://www.etsy.com/listing/797032044/pay-rent-printable-script-planner</x:v>
      </x:c>
      <x:c r="C505" s="10" t="str">
        <x:v>DemurePrintables</x:v>
      </x:c>
      <x:c r="D505" s="10" t="str">
        <x:v>https://www.etsy.com/shop/DemurePrintables</x:v>
      </x:c>
      <x:c r="E505" s="11" t="n">
        <x:v>2.5</x:v>
      </x:c>
      <x:c r="F505" s="10" t="n">
        <x:v>0</x:v>
      </x:c>
      <x:c r="G505" s="12" t="n">
        <x:v>0</x:v>
      </x:c>
      <x:c r="H505" s="13" t="n">
        <x:v>0</x:v>
      </x:c>
      <x:c r="I505" s="10" t="n">
        <x:v>22</x:v>
      </x:c>
      <x:c r="J505" s="10" t="n">
        <x:v>4</x:v>
      </x:c>
      <x:c r="K505" s="10" t="str">
        <x:v>74 Mo.</x:v>
      </x:c>
      <x:c r="L505" s="10" t="n">
        <x:v>67</x:v>
      </x:c>
      <x:c r="M505" s="10" t="n">
        <x:v>0</x:v>
      </x:c>
      <x:c r="N505" s="10" t="n">
        <x:v>262</x:v>
      </x:c>
      <x:c r="O505" s="10" t="str">
        <x:v>Paper &amp; Party Supplies</x:v>
      </x:c>
      <x:c r="P505" s="10" t="n">
        <x:v>143</x:v>
      </x:c>
      <x:c r="Q505" s="10" t="n">
        <x:v>0</x:v>
      </x:c>
      <x:c r="R505" s="13" t="n">
        <x:v>8.4</x:v>
      </x:c>
      <x:c r="S505" s="10" t="n">
        <x:v>3052</x:v>
      </x:c>
      <x:c r="T505" s="10" t="str">
        <x:v>script stickers,planner stickers,hobonichi weeks,erin condren,printable,happy planner,bullet journal,cutting file,word stickers,functional stickers,pay rent,reminder stickers,mortgage due</x:v>
      </x:c>
      <x:c r="U505" s="10" t="str">
        <x:v>script stickers</x:v>
      </x:c>
      <x:c r="V505" s="10" t="str">
        <x:v>planner stickers</x:v>
      </x:c>
      <x:c r="W505" s="10" t="str">
        <x:v>hobonichi weeks</x:v>
      </x:c>
      <x:c r="X505" s="10" t="str">
        <x:v>erin condren</x:v>
      </x:c>
      <x:c r="Y505" s="10" t="str">
        <x:v>printable</x:v>
      </x:c>
      <x:c r="Z505" s="10" t="str">
        <x:v>happy planner</x:v>
      </x:c>
      <x:c r="AA505" s="10" t="str">
        <x:v>bullet journal</x:v>
      </x:c>
      <x:c r="AB505" s="10" t="str">
        <x:v>cutting file</x:v>
      </x:c>
      <x:c r="AC505" s="10" t="str">
        <x:v>word stickers</x:v>
      </x:c>
      <x:c r="AD505" s="10" t="str">
        <x:v>functional stickers</x:v>
      </x:c>
      <x:c r="AE505" s="10" t="str">
        <x:v>pay rent</x:v>
      </x:c>
      <x:c r="AF505" s="10" t="str">
        <x:v>reminder stickers</x:v>
      </x:c>
      <x:c r="AG505" s="10" t="str">
        <x:v>mortgage due</x:v>
      </x:c>
      <x:c r="AH505" s="10" t="str">
        <x:v>Other mortgage-related</x:v>
      </x:c>
      <x:c r="AI505" s="13" t="n">
        <x:v>74</x:v>
      </x:c>
      <x:c r="AJ505" s="10" t="str">
        <x:f>IF(F505&gt;0,"Active","No est. sales")</x:f>
        <x:v>No est. sales</x:v>
      </x:c>
    </x:row>
    <x:row r="506">
      <x:c r="A506" s="10" t="str">
        <x:v>Kindle Scribe Biweekly Budget Planner: Paycheck, Bill &amp; Expense Tracker (PDF Template)</x:v>
      </x:c>
      <x:c r="B506" s="10" t="str">
        <x:v>https://www.etsy.com/listing/4335117834/kindle-scribe-biweekly-budget-planner</x:v>
      </x:c>
      <x:c r="C506" s="10" t="str">
        <x:v>DearJournalCo</x:v>
      </x:c>
      <x:c r="D506" s="10" t="str">
        <x:v>https://www.etsy.com/shop/DearJournalCo</x:v>
      </x:c>
      <x:c r="E506" s="11" t="n">
        <x:v>11.16</x:v>
      </x:c>
      <x:c r="F506" s="10" t="n">
        <x:v>0</x:v>
      </x:c>
      <x:c r="G506" s="12" t="n">
        <x:v>0</x:v>
      </x:c>
      <x:c r="H506" s="13" t="n">
        <x:v>0</x:v>
      </x:c>
      <x:c r="I506" s="10" t="n">
        <x:v>0</x:v>
      </x:c>
      <x:c r="J506" s="10" t="n">
        <x:v>0</x:v>
      </x:c>
      <x:c r="K506" s="10" t="str">
        <x:v>12 Mo.</x:v>
      </x:c>
      <x:c r="L506" s="10" t="n">
        <x:v>8</x:v>
      </x:c>
      <x:c r="M506" s="10" t="n">
        <x:v>0</x:v>
      </x:c>
      <x:c r="N506" s="10" t="n">
        <x:v>223</x:v>
      </x:c>
      <x:c r="O506" s="10" t="str"/>
      <x:c r="P506" s="10" t="n">
        <x:v>21</x:v>
      </x:c>
      <x:c r="Q506" s="10" t="n">
        <x:v>0</x:v>
      </x:c>
      <x:c r="R506" s="13" t="n">
        <x:v>0</x:v>
      </x:c>
      <x:c r="S506" s="10" t="n">
        <x:v>5117</x:v>
      </x:c>
      <x:c r="T506" s="10" t="str">
        <x:v>paycheck budgeting,biweekly budget,bill tracker expense,finance planner debt,budget planner daily,habit tracker task,scribe planner pdf,scribe templates,scribe journal daily,debt tracker weekly,payment mortgage,project planner work,financial organizer</x:v>
      </x:c>
      <x:c r="U506" s="10" t="str">
        <x:v>paycheck budgeting</x:v>
      </x:c>
      <x:c r="V506" s="10" t="str">
        <x:v>biweekly budget</x:v>
      </x:c>
      <x:c r="W506" s="10" t="str">
        <x:v>bill tracker expense</x:v>
      </x:c>
      <x:c r="X506" s="10" t="str">
        <x:v>finance planner debt</x:v>
      </x:c>
      <x:c r="Y506" s="10" t="str">
        <x:v>budget planner daily</x:v>
      </x:c>
      <x:c r="Z506" s="10" t="str">
        <x:v>habit tracker task</x:v>
      </x:c>
      <x:c r="AA506" s="10" t="str">
        <x:v>scribe planner pdf</x:v>
      </x:c>
      <x:c r="AB506" s="10" t="str">
        <x:v>scribe templates</x:v>
      </x:c>
      <x:c r="AC506" s="10" t="str">
        <x:v>scribe journal daily</x:v>
      </x:c>
      <x:c r="AD506" s="10" t="str">
        <x:v>debt tracker weekly</x:v>
      </x:c>
      <x:c r="AE506" s="10" t="str">
        <x:v>payment mortgage</x:v>
      </x:c>
      <x:c r="AF506" s="10" t="str">
        <x:v>project planner work</x:v>
      </x:c>
      <x:c r="AG506" s="10" t="str">
        <x:v>financial organizer</x:v>
      </x:c>
      <x:c r="AH506" s="10" t="str">
        <x:v>Other mortgage-related</x:v>
      </x:c>
      <x:c r="AI506" s="13" t="n">
        <x:v>12</x:v>
      </x:c>
      <x:c r="AJ506" s="10" t="str">
        <x:f>IF(F506&gt;0,"Active","No est. sales")</x:f>
        <x:v>No est. sales</x:v>
      </x:c>
    </x:row>
    <x:row r="507">
      <x:c r="A507" s="10" t="str">
        <x:v>Mortgage payoff calculator, loan payoff tracker, debt snowball Excel sheet, financial planner printable, budget tool, Excel template.</x:v>
      </x:c>
      <x:c r="B507" s="10" t="str">
        <x:v>https://www.etsy.com/listing/4375564357/mortgage-payoff-calculator-loan-payoff</x:v>
      </x:c>
      <x:c r="C507" s="10" t="str">
        <x:v>TeneshoCo</x:v>
      </x:c>
      <x:c r="D507" s="10" t="str">
        <x:v>https://www.etsy.com/shop/TeneshoCo</x:v>
      </x:c>
      <x:c r="E507" s="11" t="n">
        <x:v>1.99</x:v>
      </x:c>
      <x:c r="F507" s="10" t="n">
        <x:v>0</x:v>
      </x:c>
      <x:c r="G507" s="12" t="n">
        <x:v>0</x:v>
      </x:c>
      <x:c r="H507" s="13" t="n">
        <x:v>0</x:v>
      </x:c>
      <x:c r="I507" s="10" t="n">
        <x:v>0</x:v>
      </x:c>
      <x:c r="J507" s="10" t="n">
        <x:v>0</x:v>
      </x:c>
      <x:c r="K507" s="10" t="str">
        <x:v>10 Mo.</x:v>
      </x:c>
      <x:c r="L507" s="10" t="n">
        <x:v>0</x:v>
      </x:c>
      <x:c r="M507" s="10" t="n">
        <x:v>0</x:v>
      </x:c>
      <x:c r="N507" s="10" t="n">
        <x:v>10</x:v>
      </x:c>
      <x:c r="O507" s="10" t="str"/>
      <x:c r="P507" s="10" t="n">
        <x:v>11</x:v>
      </x:c>
      <x:c r="Q507" s="10" t="n">
        <x:v>0</x:v>
      </x:c>
      <x:c r="R507" s="13" t="n">
        <x:v>0</x:v>
      </x:c>
      <x:c r="S507" s="10" t="n">
        <x:v>0</x:v>
      </x:c>
      <x:c r="T507" s="10" t="str"/>
      <x:c r="U507" s="10" t="str">
        <x:v>--</x:v>
      </x:c>
      <x:c r="V507" s="10" t="str">
        <x:v>--</x:v>
      </x:c>
      <x:c r="W507" s="10" t="str">
        <x:v>--</x:v>
      </x:c>
      <x:c r="X507" s="10" t="str">
        <x:v>--</x:v>
      </x:c>
      <x:c r="Y507" s="10" t="str">
        <x:v>--</x:v>
      </x:c>
      <x:c r="Z507" s="10" t="str">
        <x:v>--</x:v>
      </x:c>
      <x:c r="AA507" s="10" t="str">
        <x:v>--</x:v>
      </x:c>
      <x:c r="AB507" s="10" t="str">
        <x:v>--</x:v>
      </x:c>
      <x:c r="AC507" s="10" t="str">
        <x:v>--</x:v>
      </x:c>
      <x:c r="AD507" s="10" t="str">
        <x:v>--</x:v>
      </x:c>
      <x:c r="AE507" s="10" t="str">
        <x:v>--</x:v>
      </x:c>
      <x:c r="AF507" s="10" t="str">
        <x:v>--</x:v>
      </x:c>
      <x:c r="AG507" s="10" t="str">
        <x:v>--</x:v>
      </x:c>
      <x:c r="AH507" s="10" t="str">
        <x:v>Mortgage payoff / calculator</x:v>
      </x:c>
      <x:c r="AI507" s="13" t="n">
        <x:v>10</x:v>
      </x:c>
      <x:c r="AJ507" s="10" t="str">
        <x:f>IF(F507&gt;0,"Active","No est. sales")</x:f>
        <x:v>No est. sales</x:v>
      </x:c>
    </x:row>
    <x:row r="508">
      <x:c r="A508" s="10" t="str">
        <x:v>Debt Payoff Tracker, Personal Finance Dashboard, Mortgage Planner, Loan Calculator App, Financial Freedom Tool, Money Management Software</x:v>
      </x:c>
      <x:c r="B508" s="10" t="str">
        <x:v>https://www.etsy.com/listing/4482541581/debt-payoff-tracker-personal-finance</x:v>
      </x:c>
      <x:c r="C508" s="10" t="str">
        <x:v>PersonalDigiStore</x:v>
      </x:c>
      <x:c r="D508" s="10" t="str">
        <x:v>https://www.etsy.com/shop/PersonalDigiStore</x:v>
      </x:c>
      <x:c r="E508" s="11" t="n">
        <x:v>9.9</x:v>
      </x:c>
      <x:c r="F508" s="10" t="n">
        <x:v>0</x:v>
      </x:c>
      <x:c r="G508" s="12" t="n">
        <x:v>0</x:v>
      </x:c>
      <x:c r="H508" s="13" t="n">
        <x:v>0</x:v>
      </x:c>
      <x:c r="I508" s="10" t="n">
        <x:v>3</x:v>
      </x:c>
      <x:c r="J508" s="10" t="n">
        <x:v>1</x:v>
      </x:c>
      <x:c r="K508" s="10" t="str">
        <x:v>3 Mo.</x:v>
      </x:c>
      <x:c r="L508" s="10" t="n">
        <x:v>2</x:v>
      </x:c>
      <x:c r="M508" s="10" t="n">
        <x:v>0</x:v>
      </x:c>
      <x:c r="N508" s="10" t="n">
        <x:v>151</x:v>
      </x:c>
      <x:c r="O508" s="10" t="str"/>
      <x:c r="P508" s="10" t="n">
        <x:v>6</x:v>
      </x:c>
      <x:c r="Q508" s="10" t="n">
        <x:v>25</x:v>
      </x:c>
      <x:c r="R508" s="13" t="n">
        <x:v>1.99</x:v>
      </x:c>
      <x:c r="S508" s="10" t="n">
        <x:v>187</x:v>
      </x:c>
      <x:c r="T508" s="10" t="str">
        <x:v>debt payoff tracker,digital loan tracker,personal finance,mortgage planner,budget calculator,financial freedom,money management,amortization tool,student auto home,credit card interest,income expense,savings investment,snowball avalanche</x:v>
      </x:c>
      <x:c r="U508" s="10" t="str">
        <x:v>debt payoff tracker</x:v>
      </x:c>
      <x:c r="V508" s="10" t="str">
        <x:v>digital loan tracker</x:v>
      </x:c>
      <x:c r="W508" s="10" t="str">
        <x:v>personal finance</x:v>
      </x:c>
      <x:c r="X508" s="10" t="str">
        <x:v>mortgage planner</x:v>
      </x:c>
      <x:c r="Y508" s="10" t="str">
        <x:v>budget calculator</x:v>
      </x:c>
      <x:c r="Z508" s="10" t="str">
        <x:v>financial freedom</x:v>
      </x:c>
      <x:c r="AA508" s="10" t="str">
        <x:v>money management</x:v>
      </x:c>
      <x:c r="AB508" s="10" t="str">
        <x:v>amortization tool</x:v>
      </x:c>
      <x:c r="AC508" s="10" t="str">
        <x:v>student auto home</x:v>
      </x:c>
      <x:c r="AD508" s="10" t="str">
        <x:v>credit card interest</x:v>
      </x:c>
      <x:c r="AE508" s="10" t="str">
        <x:v>income expense</x:v>
      </x:c>
      <x:c r="AF508" s="10" t="str">
        <x:v>savings investment</x:v>
      </x:c>
      <x:c r="AG508" s="10" t="str">
        <x:v>snowball avalanche</x:v>
      </x:c>
      <x:c r="AH508" s="10" t="str">
        <x:v>General debt payoff</x:v>
      </x:c>
      <x:c r="AI508" s="13" t="n">
        <x:v>3</x:v>
      </x:c>
      <x:c r="AJ508" s="10" t="str">
        <x:f>IF(F508&gt;0,"Active","No est. sales")</x:f>
        <x:v>No est. sales</x:v>
      </x:c>
    </x:row>
    <x:row r="509">
      <x:c r="A509" s="10" t="str">
        <x:v>Bill Due Tracker Functional Planner Sticker - Use With Erin Condren - Happy Planner - Pay Bills - Monthly Reminder - Organization stickers</x:v>
      </x:c>
      <x:c r="B509" s="10" t="str">
        <x:v>https://www.etsy.com/listing/1177642012/bill-due-tracker-functional-planner</x:v>
      </x:c>
      <x:c r="C509" s="10" t="str">
        <x:v>LittlePixiePaperie</x:v>
      </x:c>
      <x:c r="D509" s="10" t="str">
        <x:v>https://www.etsy.com/shop/LittlePixiePaperie</x:v>
      </x:c>
      <x:c r="E509" s="11" t="n">
        <x:v>3</x:v>
      </x:c>
      <x:c r="F509" s="10" t="n">
        <x:v>0</x:v>
      </x:c>
      <x:c r="G509" s="12" t="n">
        <x:v>0</x:v>
      </x:c>
      <x:c r="H509" s="13" t="n">
        <x:v>0</x:v>
      </x:c>
      <x:c r="I509" s="10" t="n">
        <x:v>3</x:v>
      </x:c>
      <x:c r="J509" s="10" t="n">
        <x:v>1</x:v>
      </x:c>
      <x:c r="K509" s="10" t="str">
        <x:v>52 Mo.</x:v>
      </x:c>
      <x:c r="L509" s="10" t="n">
        <x:v>5</x:v>
      </x:c>
      <x:c r="M509" s="10" t="n">
        <x:v>0</x:v>
      </x:c>
      <x:c r="N509" s="10" t="n">
        <x:v>107</x:v>
      </x:c>
      <x:c r="O509" s="10" t="str">
        <x:v>Paper &amp; Party Supplies</x:v>
      </x:c>
      <x:c r="P509" s="10" t="n">
        <x:v>152</x:v>
      </x:c>
      <x:c r="Q509" s="10" t="n">
        <x:v>0</x:v>
      </x:c>
      <x:c r="R509" s="13" t="n">
        <x:v>2.8</x:v>
      </x:c>
      <x:c r="S509" s="10" t="n">
        <x:v>45462</x:v>
      </x:c>
      <x:c r="T509" s="10" t="str">
        <x:v>bill due,bill reminder,payment sticker,organization,monthly reminder,debt,planner stickers,colorful,mortgage,credit card,car payment,pay bills,bill tracker</x:v>
      </x:c>
      <x:c r="U509" s="10" t="str">
        <x:v>bill due</x:v>
      </x:c>
      <x:c r="V509" s="10" t="str">
        <x:v>bill reminder</x:v>
      </x:c>
      <x:c r="W509" s="10" t="str">
        <x:v>payment sticker</x:v>
      </x:c>
      <x:c r="X509" s="10" t="str">
        <x:v>organization</x:v>
      </x:c>
      <x:c r="Y509" s="10" t="str">
        <x:v>monthly reminder</x:v>
      </x:c>
      <x:c r="Z509" s="10" t="str">
        <x:v>debt</x:v>
      </x:c>
      <x:c r="AA509" s="10" t="str">
        <x:v>planner stickers</x:v>
      </x:c>
      <x:c r="AB509" s="10" t="str">
        <x:v>colorful</x:v>
      </x:c>
      <x:c r="AC509" s="10" t="str">
        <x:v>mortgage</x:v>
      </x:c>
      <x:c r="AD509" s="10" t="str">
        <x:v>credit card</x:v>
      </x:c>
      <x:c r="AE509" s="10" t="str">
        <x:v>car payment</x:v>
      </x:c>
      <x:c r="AF509" s="10" t="str">
        <x:v>pay bills</x:v>
      </x:c>
      <x:c r="AG509" s="10" t="str">
        <x:v>bill tracker</x:v>
      </x:c>
      <x:c r="AH509" s="10" t="str">
        <x:v>Other mortgage-related</x:v>
      </x:c>
      <x:c r="AI509" s="13" t="n">
        <x:v>52</x:v>
      </x:c>
      <x:c r="AJ509" s="10" t="str">
        <x:f>IF(F509&gt;0,"Active","No est. sales")</x:f>
        <x:v>No est. sales</x:v>
      </x:c>
    </x:row>
    <x:row r="510">
      <x:c r="A510" s="10" t="str">
        <x:v>Savings Jar Printable Tracker, Financial Goal Sheet (Digital Download)</x:v>
      </x:c>
      <x:c r="B510" s="10" t="str">
        <x:v>https://www.etsy.com/listing/838088726/savings-jar-printable-tracker-financial</x:v>
      </x:c>
      <x:c r="C510" s="10" t="str">
        <x:v>templatesbytee</x:v>
      </x:c>
      <x:c r="D510" s="10" t="str">
        <x:v>https://www.etsy.com/shop/templatesbytee</x:v>
      </x:c>
      <x:c r="E510" s="11" t="n">
        <x:v>2.52</x:v>
      </x:c>
      <x:c r="F510" s="10" t="n">
        <x:v>0</x:v>
      </x:c>
      <x:c r="G510" s="12" t="n">
        <x:v>0</x:v>
      </x:c>
      <x:c r="H510" s="13" t="n">
        <x:v>0</x:v>
      </x:c>
      <x:c r="I510" s="10" t="n">
        <x:v>0</x:v>
      </x:c>
      <x:c r="J510" s="10" t="n">
        <x:v>0</x:v>
      </x:c>
      <x:c r="K510" s="10" t="str">
        <x:v>71 Mo.</x:v>
      </x:c>
      <x:c r="L510" s="10" t="n">
        <x:v>23</x:v>
      </x:c>
      <x:c r="M510" s="10" t="n">
        <x:v>0</x:v>
      </x:c>
      <x:c r="N510" s="10" t="n">
        <x:v>600</x:v>
      </x:c>
      <x:c r="O510" s="10" t="str">
        <x:v>Paper &amp; Party Supplies</x:v>
      </x:c>
      <x:c r="P510" s="10" t="n">
        <x:v>73</x:v>
      </x:c>
      <x:c r="Q510" s="10" t="n">
        <x:v>0</x:v>
      </x:c>
      <x:c r="R510" s="13" t="n">
        <x:v>0</x:v>
      </x:c>
      <x:c r="S510" s="10" t="n">
        <x:v>8115</x:v>
      </x:c>
      <x:c r="T510" s="10" t="str">
        <x:v>planner inserts,bullet journal,financial planner,savings chart,savings goal,savings tracker,savings printable,savings jar,money savings jar,vacation savings,mortgage savings,money planner,financial tracker</x:v>
      </x:c>
      <x:c r="U510" s="10" t="str">
        <x:v>planner inserts</x:v>
      </x:c>
      <x:c r="V510" s="10" t="str">
        <x:v>bullet journal</x:v>
      </x:c>
      <x:c r="W510" s="10" t="str">
        <x:v>financial planner</x:v>
      </x:c>
      <x:c r="X510" s="10" t="str">
        <x:v>savings chart</x:v>
      </x:c>
      <x:c r="Y510" s="10" t="str">
        <x:v>savings goal</x:v>
      </x:c>
      <x:c r="Z510" s="10" t="str">
        <x:v>savings tracker</x:v>
      </x:c>
      <x:c r="AA510" s="10" t="str">
        <x:v>savings printable</x:v>
      </x:c>
      <x:c r="AB510" s="10" t="str">
        <x:v>savings jar</x:v>
      </x:c>
      <x:c r="AC510" s="10" t="str">
        <x:v>money savings jar</x:v>
      </x:c>
      <x:c r="AD510" s="10" t="str">
        <x:v>vacation savings</x:v>
      </x:c>
      <x:c r="AE510" s="10" t="str">
        <x:v>mortgage savings</x:v>
      </x:c>
      <x:c r="AF510" s="10" t="str">
        <x:v>money planner</x:v>
      </x:c>
      <x:c r="AG510" s="10" t="str">
        <x:v>financial tracker</x:v>
      </x:c>
      <x:c r="AH510" s="10" t="str">
        <x:v>Other mortgage-related</x:v>
      </x:c>
      <x:c r="AI510" s="13" t="n">
        <x:v>71</x:v>
      </x:c>
      <x:c r="AJ510" s="10" t="str">
        <x:f>IF(F510&gt;0,"Active","No est. sales")</x:f>
        <x:v>No est. sales</x:v>
      </x:c>
    </x:row>
    <x:row r="511">
      <x:c r="A511" s="10" t="str">
        <x:v>Debt Snowball Tracker: Google Sheets Debt Payoff Planner</x:v>
      </x:c>
      <x:c r="B511" s="10" t="str">
        <x:v>https://www.etsy.com/listing/1883311757/debt-snowball-tracker-google-sheets-debt</x:v>
      </x:c>
      <x:c r="C511" s="10" t="str">
        <x:v>theabundantstudio</x:v>
      </x:c>
      <x:c r="D511" s="10" t="str">
        <x:v>https://www.etsy.com/shop/theabundantstudio</x:v>
      </x:c>
      <x:c r="E511" s="11" t="n">
        <x:v>8.55</x:v>
      </x:c>
      <x:c r="F511" s="10" t="n">
        <x:v>0</x:v>
      </x:c>
      <x:c r="G511" s="12" t="n">
        <x:v>0</x:v>
      </x:c>
      <x:c r="H511" s="13" t="n">
        <x:v>0</x:v>
      </x:c>
      <x:c r="I511" s="10" t="n">
        <x:v>0</x:v>
      </x:c>
      <x:c r="J511" s="10" t="n">
        <x:v>0</x:v>
      </x:c>
      <x:c r="K511" s="10" t="str">
        <x:v>16 Mo.</x:v>
      </x:c>
      <x:c r="L511" s="10" t="n">
        <x:v>3</x:v>
      </x:c>
      <x:c r="M511" s="10" t="n">
        <x:v>0</x:v>
      </x:c>
      <x:c r="N511" s="10" t="n">
        <x:v>34</x:v>
      </x:c>
      <x:c r="O511" s="10" t="str"/>
      <x:c r="P511" s="10" t="n">
        <x:v>19</x:v>
      </x:c>
      <x:c r="Q511" s="10" t="n">
        <x:v>0</x:v>
      </x:c>
      <x:c r="R511" s="13" t="n">
        <x:v>0</x:v>
      </x:c>
      <x:c r="S511" s="10" t="n">
        <x:v>238</x:v>
      </x:c>
      <x:c r="T511" s="10" t="str">
        <x:v>financial planner,debt payoff tracker,debt snowball,debt payoff chart,debt payment tracker,credit card payoff,debt template,debt avalanche,personal finance,student loan debt,google sheets budget,mortgage payoff,credit utilization</x:v>
      </x:c>
      <x:c r="U511" s="10" t="str">
        <x:v>financial planner</x:v>
      </x:c>
      <x:c r="V511" s="10" t="str">
        <x:v>debt payoff tracker</x:v>
      </x:c>
      <x:c r="W511" s="10" t="str">
        <x:v>debt snowball</x:v>
      </x:c>
      <x:c r="X511" s="10" t="str">
        <x:v>debt payoff chart</x:v>
      </x:c>
      <x:c r="Y511" s="10" t="str">
        <x:v>debt payment tracker</x:v>
      </x:c>
      <x:c r="Z511" s="10" t="str">
        <x:v>credit card payoff</x:v>
      </x:c>
      <x:c r="AA511" s="10" t="str">
        <x:v>debt template</x:v>
      </x:c>
      <x:c r="AB511" s="10" t="str">
        <x:v>debt avalanche</x:v>
      </x:c>
      <x:c r="AC511" s="10" t="str">
        <x:v>personal finance</x:v>
      </x:c>
      <x:c r="AD511" s="10" t="str">
        <x:v>student loan debt</x:v>
      </x:c>
      <x:c r="AE511" s="10" t="str">
        <x:v>google sheets budget</x:v>
      </x:c>
      <x:c r="AF511" s="10" t="str">
        <x:v>mortgage payoff</x:v>
      </x:c>
      <x:c r="AG511" s="10" t="str">
        <x:v>credit utilization</x:v>
      </x:c>
      <x:c r="AH511" s="10" t="str">
        <x:v>General debt payoff</x:v>
      </x:c>
      <x:c r="AI511" s="13" t="n">
        <x:v>16</x:v>
      </x:c>
      <x:c r="AJ511" s="10" t="str">
        <x:f>IF(F511&gt;0,"Active","No est. sales")</x:f>
        <x:v>No est. sales</x:v>
      </x:c>
    </x:row>
    <x:row r="512">
      <x:c r="A512" s="10" t="str">
        <x:v>First-Time Home Buyer Checklist | Printable PDF | One Page Guide</x:v>
      </x:c>
      <x:c r="B512" s="10" t="str">
        <x:v>https://www.etsy.com/listing/4448148205/first-time-home-buyer-checklist</x:v>
      </x:c>
      <x:c r="C512" s="10" t="str">
        <x:v>MindfulPlansUS</x:v>
      </x:c>
      <x:c r="D512" s="10" t="str">
        <x:v>https://www.etsy.com/shop/MindfulPlansUS</x:v>
      </x:c>
      <x:c r="E512" s="11" t="n">
        <x:v>1.88</x:v>
      </x:c>
      <x:c r="F512" s="10" t="n">
        <x:v>0</x:v>
      </x:c>
      <x:c r="G512" s="12" t="n">
        <x:v>0</x:v>
      </x:c>
      <x:c r="H512" s="13" t="n">
        <x:v>0</x:v>
      </x:c>
      <x:c r="I512" s="10" t="n">
        <x:v>0</x:v>
      </x:c>
      <x:c r="J512" s="10" t="n">
        <x:v>0</x:v>
      </x:c>
      <x:c r="K512" s="10" t="str">
        <x:v>6 Mo.</x:v>
      </x:c>
      <x:c r="L512" s="10" t="n">
        <x:v>2</x:v>
      </x:c>
      <x:c r="M512" s="10" t="n">
        <x:v>0</x:v>
      </x:c>
      <x:c r="N512" s="10" t="n">
        <x:v>45</x:v>
      </x:c>
      <x:c r="O512" s="10" t="str"/>
      <x:c r="P512" s="10" t="n">
        <x:v>6</x:v>
      </x:c>
      <x:c r="Q512" s="10" t="n">
        <x:v>0</x:v>
      </x:c>
      <x:c r="R512" s="13" t="n">
        <x:v>0</x:v>
      </x:c>
      <x:c r="S512" s="10" t="n">
        <x:v>1</x:v>
      </x:c>
      <x:c r="T512" s="10" t="str">
        <x:v>buying a house guide,home buyer list,first time buyer,buying a house,first home guide,home checklist,buyer checklist,home planner,new homeowner,home pdf,home buying help,real estate help,mortgage steps</x:v>
      </x:c>
      <x:c r="U512" s="10" t="str">
        <x:v>buying a house guide</x:v>
      </x:c>
      <x:c r="V512" s="10" t="str">
        <x:v>home buyer list</x:v>
      </x:c>
      <x:c r="W512" s="10" t="str">
        <x:v>first time buyer</x:v>
      </x:c>
      <x:c r="X512" s="10" t="str">
        <x:v>buying a house</x:v>
      </x:c>
      <x:c r="Y512" s="10" t="str">
        <x:v>first home guide</x:v>
      </x:c>
      <x:c r="Z512" s="10" t="str">
        <x:v>home checklist</x:v>
      </x:c>
      <x:c r="AA512" s="10" t="str">
        <x:v>buyer checklist</x:v>
      </x:c>
      <x:c r="AB512" s="10" t="str">
        <x:v>home planner</x:v>
      </x:c>
      <x:c r="AC512" s="10" t="str">
        <x:v>new homeowner</x:v>
      </x:c>
      <x:c r="AD512" s="10" t="str">
        <x:v>home pdf</x:v>
      </x:c>
      <x:c r="AE512" s="10" t="str">
        <x:v>home buying help</x:v>
      </x:c>
      <x:c r="AF512" s="10" t="str">
        <x:v>real estate help</x:v>
      </x:c>
      <x:c r="AG512" s="10" t="str">
        <x:v>mortgage steps</x:v>
      </x:c>
      <x:c r="AH512" s="10" t="str">
        <x:v>Home buying planner</x:v>
      </x:c>
      <x:c r="AI512" s="13" t="n">
        <x:v>6</x:v>
      </x:c>
      <x:c r="AJ512" s="10" t="str">
        <x:f>IF(F512&gt;0,"Active","No est. sales")</x:f>
        <x:v>No est. sales</x:v>
      </x:c>
    </x:row>
    <x:row r="513">
      <x:c r="A513" s="10" t="str">
        <x:v>First Time Home Buyer Workbook | Home Buying Guide | Before You Start House Hunting | Fillable PDF | Digital Download</x:v>
      </x:c>
      <x:c r="B513" s="10" t="str">
        <x:v>https://www.etsy.com/listing/4465729171/first-time-home-buyer-workbook-home</x:v>
      </x:c>
      <x:c r="C513" s="10" t="str">
        <x:v>ModernPrintsbyAlexis</x:v>
      </x:c>
      <x:c r="D513" s="10" t="str">
        <x:v>https://www.etsy.com/shop/ModernPrintsbyAlexis</x:v>
      </x:c>
      <x:c r="E513" s="11" t="n">
        <x:v>14.99</x:v>
      </x:c>
      <x:c r="F513" s="10" t="n">
        <x:v>0</x:v>
      </x:c>
      <x:c r="G513" s="12" t="n">
        <x:v>0</x:v>
      </x:c>
      <x:c r="H513" s="13" t="n">
        <x:v>0</x:v>
      </x:c>
      <x:c r="I513" s="10" t="n">
        <x:v>21</x:v>
      </x:c>
      <x:c r="J513" s="10" t="n">
        <x:v>3</x:v>
      </x:c>
      <x:c r="K513" s="10" t="str">
        <x:v>4 Mo.</x:v>
      </x:c>
      <x:c r="L513" s="10" t="n">
        <x:v>49</x:v>
      </x:c>
      <x:c r="M513" s="10" t="n">
        <x:v>1</x:v>
      </x:c>
      <x:c r="N513" s="10" t="n">
        <x:v>1239</x:v>
      </x:c>
      <x:c r="O513" s="10" t="str"/>
      <x:c r="P513" s="10" t="n">
        <x:v>42</x:v>
      </x:c>
      <x:c r="Q513" s="10" t="n">
        <x:v>78</x:v>
      </x:c>
      <x:c r="R513" s="13" t="n">
        <x:v>1.69</x:v>
      </x:c>
      <x:c r="S513" s="10" t="n">
        <x:v>100</x:v>
      </x:c>
      <x:c r="T513" s="10" t="str">
        <x:v>mortgage checklist,real estate workbook,real estate guide,home buyers guide,first home buyer,home buying workbook,home buying planner,gift for home buyer,homeowner,mortgage budget,home buying list,first home guide,house hunting guide</x:v>
      </x:c>
      <x:c r="U513" s="10" t="str">
        <x:v>mortgage checklist</x:v>
      </x:c>
      <x:c r="V513" s="10" t="str">
        <x:v>real estate workbook</x:v>
      </x:c>
      <x:c r="W513" s="10" t="str">
        <x:v>real estate guide</x:v>
      </x:c>
      <x:c r="X513" s="10" t="str">
        <x:v>home buyers guide</x:v>
      </x:c>
      <x:c r="Y513" s="10" t="str">
        <x:v>first home buyer</x:v>
      </x:c>
      <x:c r="Z513" s="10" t="str">
        <x:v>home buying workbook</x:v>
      </x:c>
      <x:c r="AA513" s="10" t="str">
        <x:v>home buying planner</x:v>
      </x:c>
      <x:c r="AB513" s="10" t="str">
        <x:v>gift for home buyer</x:v>
      </x:c>
      <x:c r="AC513" s="10" t="str">
        <x:v>homeowner</x:v>
      </x:c>
      <x:c r="AD513" s="10" t="str">
        <x:v>mortgage budget</x:v>
      </x:c>
      <x:c r="AE513" s="10" t="str">
        <x:v>home buying list</x:v>
      </x:c>
      <x:c r="AF513" s="10" t="str">
        <x:v>first home guide</x:v>
      </x:c>
      <x:c r="AG513" s="10" t="str">
        <x:v>house hunting guide</x:v>
      </x:c>
      <x:c r="AH513" s="10" t="str">
        <x:v>Home buying planner</x:v>
      </x:c>
      <x:c r="AI513" s="13" t="n">
        <x:v>4</x:v>
      </x:c>
      <x:c r="AJ513" s="10" t="str">
        <x:f>IF(F513&gt;0,"Active","No est. sales")</x:f>
        <x:v>No est. sales</x:v>
      </x:c>
    </x:row>
    <x:row r="514">
      <x:c r="A514" s="10" t="str">
        <x:v>First Time Home Buyer Workbook | Guided Home Buying Planner &amp; Mortgage Organizer | House Hunting Scorecard Closing Checklist | 8.5x11</x:v>
      </x:c>
      <x:c r="B514" s="10" t="str">
        <x:v>https://www.etsy.com/listing/4531684282/first-time-home-buyer-workbook-guided</x:v>
      </x:c>
      <x:c r="C514" s="10" t="str">
        <x:v>TynkrToolsAndCo</x:v>
      </x:c>
      <x:c r="D514" s="10" t="str">
        <x:v>https://www.etsy.com/shop/TynkrToolsAndCo</x:v>
      </x:c>
      <x:c r="E514" s="11" t="n">
        <x:v>7.99</x:v>
      </x:c>
      <x:c r="F514" s="10" t="n">
        <x:v>0</x:v>
      </x:c>
      <x:c r="G514" s="12" t="n">
        <x:v>0</x:v>
      </x:c>
      <x:c r="H514" s="13" t="n">
        <x:v>0</x:v>
      </x:c>
      <x:c r="I514" s="10" t="n">
        <x:v>0</x:v>
      </x:c>
      <x:c r="J514" s="10" t="n">
        <x:v>0</x:v>
      </x:c>
      <x:c r="K514" s="10" t="str">
        <x:v>1 Mo.</x:v>
      </x:c>
      <x:c r="L514" s="10" t="n">
        <x:v>0</x:v>
      </x:c>
      <x:c r="M514" s="10" t="n">
        <x:v>0</x:v>
      </x:c>
      <x:c r="N514" s="10" t="n">
        <x:v>0</x:v>
      </x:c>
      <x:c r="O514" s="10" t="str"/>
      <x:c r="P514" s="10" t="n">
        <x:v>4</x:v>
      </x:c>
      <x:c r="Q514" s="10" t="n">
        <x:v>0</x:v>
      </x:c>
      <x:c r="R514" s="13" t="n">
        <x:v>0</x:v>
      </x:c>
      <x:c r="S514" s="10" t="n">
        <x:v>0</x:v>
      </x:c>
      <x:c r="T514" s="10" t="str">
        <x:v>home buying workbook,first home buyer,house hunting,mortgage planner,new homeowner gift,closing checklist,real estate planner,home buyer gift,home tour scorecard,down payment tracker,house buying guide,mortgage workbook,housewarming gift</x:v>
      </x:c>
      <x:c r="U514" s="10" t="str">
        <x:v>home buying workbook</x:v>
      </x:c>
      <x:c r="V514" s="10" t="str">
        <x:v>first home buyer</x:v>
      </x:c>
      <x:c r="W514" s="10" t="str">
        <x:v>house hunting</x:v>
      </x:c>
      <x:c r="X514" s="10" t="str">
        <x:v>mortgage planner</x:v>
      </x:c>
      <x:c r="Y514" s="10" t="str">
        <x:v>new homeowner gift</x:v>
      </x:c>
      <x:c r="Z514" s="10" t="str">
        <x:v>closing checklist</x:v>
      </x:c>
      <x:c r="AA514" s="10" t="str">
        <x:v>real estate planner</x:v>
      </x:c>
      <x:c r="AB514" s="10" t="str">
        <x:v>home buyer gift</x:v>
      </x:c>
      <x:c r="AC514" s="10" t="str">
        <x:v>home tour scorecard</x:v>
      </x:c>
      <x:c r="AD514" s="10" t="str">
        <x:v>down payment tracker</x:v>
      </x:c>
      <x:c r="AE514" s="10" t="str">
        <x:v>house buying guide</x:v>
      </x:c>
      <x:c r="AF514" s="10" t="str">
        <x:v>mortgage workbook</x:v>
      </x:c>
      <x:c r="AG514" s="10" t="str">
        <x:v>housewarming gift</x:v>
      </x:c>
      <x:c r="AH514" s="10" t="str">
        <x:v>Home buying planner</x:v>
      </x:c>
      <x:c r="AI514" s="13" t="n">
        <x:v>1</x:v>
      </x:c>
      <x:c r="AJ514" s="10" t="str">
        <x:f>IF(F514&gt;0,"Active","No est. sales")</x:f>
        <x:v>No est. sales</x:v>
      </x:c>
    </x:row>
    <x:row r="515">
      <x:c r="A515" s="10" t="str">
        <x:v>Monthly expenses tracker printable, Finance planner, Budget tracker, Spending log, Monthly budget, PDF digital monthly expenses tracker</x:v>
      </x:c>
      <x:c r="B515" s="10" t="str">
        <x:v>https://www.etsy.com/listing/1643123912/monthly-expenses-tracker-printable</x:v>
      </x:c>
      <x:c r="C515" s="10" t="str">
        <x:v>RaeDigitalCreations</x:v>
      </x:c>
      <x:c r="D515" s="10" t="str">
        <x:v>https://www.etsy.com/shop/RaeDigitalCreations</x:v>
      </x:c>
      <x:c r="E515" s="11" t="n">
        <x:v>1.5</x:v>
      </x:c>
      <x:c r="F515" s="10" t="n">
        <x:v>0</x:v>
      </x:c>
      <x:c r="G515" s="12" t="n">
        <x:v>0</x:v>
      </x:c>
      <x:c r="H515" s="13" t="n">
        <x:v>0</x:v>
      </x:c>
      <x:c r="I515" s="10" t="n">
        <x:v>0</x:v>
      </x:c>
      <x:c r="J515" s="10" t="n">
        <x:v>0</x:v>
      </x:c>
      <x:c r="K515" s="10" t="str">
        <x:v>30 Mo.</x:v>
      </x:c>
      <x:c r="L515" s="10" t="n">
        <x:v>1</x:v>
      </x:c>
      <x:c r="M515" s="10" t="n">
        <x:v>0</x:v>
      </x:c>
      <x:c r="N515" s="10" t="n">
        <x:v>13</x:v>
      </x:c>
      <x:c r="O515" s="10" t="str"/>
      <x:c r="P515" s="10" t="n">
        <x:v>33</x:v>
      </x:c>
      <x:c r="Q515" s="10" t="n">
        <x:v>0</x:v>
      </x:c>
      <x:c r="R515" s="13" t="n">
        <x:v>0</x:v>
      </x:c>
      <x:c r="S515" s="10" t="n">
        <x:v>343</x:v>
      </x:c>
      <x:c r="T515" s="10" t="str">
        <x:v>paycheck budget,saving tracker,cash tracker,monthly budget,student loan tracker,finance tracker,debt tracker,mortgage tracker,budget planner,money planner,monthly expenses log,expense tracker,purchase log</x:v>
      </x:c>
      <x:c r="U515" s="10" t="str">
        <x:v>paycheck budget</x:v>
      </x:c>
      <x:c r="V515" s="10" t="str">
        <x:v>saving tracker</x:v>
      </x:c>
      <x:c r="W515" s="10" t="str">
        <x:v>cash tracker</x:v>
      </x:c>
      <x:c r="X515" s="10" t="str">
        <x:v>monthly budget</x:v>
      </x:c>
      <x:c r="Y515" s="10" t="str">
        <x:v>student loan tracker</x:v>
      </x:c>
      <x:c r="Z515" s="10" t="str">
        <x:v>finance tracker</x:v>
      </x:c>
      <x:c r="AA515" s="10" t="str">
        <x:v>debt tracker</x:v>
      </x:c>
      <x:c r="AB515" s="10" t="str">
        <x:v>mortgage tracker</x:v>
      </x:c>
      <x:c r="AC515" s="10" t="str">
        <x:v>budget planner</x:v>
      </x:c>
      <x:c r="AD515" s="10" t="str">
        <x:v>money planner</x:v>
      </x:c>
      <x:c r="AE515" s="10" t="str">
        <x:v>monthly expenses log</x:v>
      </x:c>
      <x:c r="AF515" s="10" t="str">
        <x:v>expense tracker</x:v>
      </x:c>
      <x:c r="AG515" s="10" t="str">
        <x:v>purchase log</x:v>
      </x:c>
      <x:c r="AH515" s="10" t="str">
        <x:v>Other mortgage-related</x:v>
      </x:c>
      <x:c r="AI515" s="13" t="n">
        <x:v>30</x:v>
      </x:c>
      <x:c r="AJ515" s="10" t="str">
        <x:f>IF(F515&gt;0,"Active","No est. sales")</x:f>
        <x:v>No est. sales</x:v>
      </x:c>
    </x:row>
    <x:row r="516">
      <x:c r="A516" s="10" t="str">
        <x:v>Monthly expenses tracker printable, Finance planner, Budget tracker, Spending log, Monthly budget, PDF digital monthly expenses tracker</x:v>
      </x:c>
      <x:c r="B516" s="10" t="str">
        <x:v>https://www.etsy.com/listing/1643116180/monthly-expenses-tracker-printable</x:v>
      </x:c>
      <x:c r="C516" s="10" t="str">
        <x:v>RaeDigitalCreations</x:v>
      </x:c>
      <x:c r="D516" s="10" t="str">
        <x:v>https://www.etsy.com/shop/RaeDigitalCreations</x:v>
      </x:c>
      <x:c r="E516" s="11" t="n">
        <x:v>1.5</x:v>
      </x:c>
      <x:c r="F516" s="10" t="n">
        <x:v>0</x:v>
      </x:c>
      <x:c r="G516" s="12" t="n">
        <x:v>0</x:v>
      </x:c>
      <x:c r="H516" s="13" t="n">
        <x:v>0</x:v>
      </x:c>
      <x:c r="I516" s="10" t="n">
        <x:v>0</x:v>
      </x:c>
      <x:c r="J516" s="10" t="n">
        <x:v>0</x:v>
      </x:c>
      <x:c r="K516" s="10" t="str">
        <x:v>30 Mo.</x:v>
      </x:c>
      <x:c r="L516" s="10" t="n">
        <x:v>0</x:v>
      </x:c>
      <x:c r="M516" s="10" t="n">
        <x:v>0</x:v>
      </x:c>
      <x:c r="N516" s="10" t="n">
        <x:v>6</x:v>
      </x:c>
      <x:c r="O516" s="10" t="str"/>
      <x:c r="P516" s="10" t="n">
        <x:v>33</x:v>
      </x:c>
      <x:c r="Q516" s="10" t="n">
        <x:v>0</x:v>
      </x:c>
      <x:c r="R516" s="13" t="n">
        <x:v>0</x:v>
      </x:c>
      <x:c r="S516" s="10" t="n">
        <x:v>343</x:v>
      </x:c>
      <x:c r="T516" s="10" t="str">
        <x:v>paycheck budget,saving tracker,cash tracker,monthly budget,student loan tracker,finance tracker,debt tracker,mortgage tracker,budget planner,money planner,monthly expenses log,expense tracker,purchase log</x:v>
      </x:c>
      <x:c r="U516" s="10" t="str">
        <x:v>paycheck budget</x:v>
      </x:c>
      <x:c r="V516" s="10" t="str">
        <x:v>saving tracker</x:v>
      </x:c>
      <x:c r="W516" s="10" t="str">
        <x:v>cash tracker</x:v>
      </x:c>
      <x:c r="X516" s="10" t="str">
        <x:v>monthly budget</x:v>
      </x:c>
      <x:c r="Y516" s="10" t="str">
        <x:v>student loan tracker</x:v>
      </x:c>
      <x:c r="Z516" s="10" t="str">
        <x:v>finance tracker</x:v>
      </x:c>
      <x:c r="AA516" s="10" t="str">
        <x:v>debt tracker</x:v>
      </x:c>
      <x:c r="AB516" s="10" t="str">
        <x:v>mortgage tracker</x:v>
      </x:c>
      <x:c r="AC516" s="10" t="str">
        <x:v>budget planner</x:v>
      </x:c>
      <x:c r="AD516" s="10" t="str">
        <x:v>money planner</x:v>
      </x:c>
      <x:c r="AE516" s="10" t="str">
        <x:v>monthly expenses log</x:v>
      </x:c>
      <x:c r="AF516" s="10" t="str">
        <x:v>expense tracker</x:v>
      </x:c>
      <x:c r="AG516" s="10" t="str">
        <x:v>purchase log</x:v>
      </x:c>
      <x:c r="AH516" s="10" t="str">
        <x:v>Other mortgage-related</x:v>
      </x:c>
      <x:c r="AI516" s="13" t="n">
        <x:v>30</x:v>
      </x:c>
      <x:c r="AJ516" s="10" t="str">
        <x:f>IF(F516&gt;0,"Active","No est. sales")</x:f>
        <x:v>No est. sales</x:v>
      </x:c>
    </x:row>
    <x:row r="517">
      <x:c r="A517" s="10" t="str">
        <x:v>Home Buyer&amp;#39;s Hub - Complete Home Buying Notion Template</x:v>
      </x:c>
      <x:c r="B517" s="10" t="str">
        <x:v>https://www.etsy.com/listing/4473499825/home-buyers-hub-complete-home-buying</x:v>
      </x:c>
      <x:c r="C517" s="10" t="str">
        <x:v>Structurally</x:v>
      </x:c>
      <x:c r="D517" s="10" t="str">
        <x:v>https://www.etsy.com/shop/Structurally</x:v>
      </x:c>
      <x:c r="E517" s="11" t="n">
        <x:v>11.62</x:v>
      </x:c>
      <x:c r="F517" s="10" t="n">
        <x:v>0</x:v>
      </x:c>
      <x:c r="G517" s="12" t="n">
        <x:v>0</x:v>
      </x:c>
      <x:c r="H517" s="13" t="n">
        <x:v>0</x:v>
      </x:c>
      <x:c r="I517" s="10" t="n">
        <x:v>0</x:v>
      </x:c>
      <x:c r="J517" s="10" t="n">
        <x:v>0</x:v>
      </x:c>
      <x:c r="K517" s="10" t="str">
        <x:v>2 Mo.</x:v>
      </x:c>
      <x:c r="L517" s="10" t="n">
        <x:v>0</x:v>
      </x:c>
      <x:c r="M517" s="10" t="n">
        <x:v>0</x:v>
      </x:c>
      <x:c r="N517" s="10" t="n">
        <x:v>6</x:v>
      </x:c>
      <x:c r="O517" s="10" t="str"/>
      <x:c r="P517" s="10" t="n">
        <x:v>3</x:v>
      </x:c>
      <x:c r="Q517" s="10" t="n">
        <x:v>0</x:v>
      </x:c>
      <x:c r="R517" s="13" t="n">
        <x:v>0</x:v>
      </x:c>
      <x:c r="S517" s="10" t="n">
        <x:v>3</x:v>
      </x:c>
      <x:c r="T517" s="10" t="str">
        <x:v>notion template,home buyer planner,first time buyer,property tracker,mortgage planner,digital planner,moving checklist,real estate planner,notion planner,house hunting,home buying guide,property search,home purchase</x:v>
      </x:c>
      <x:c r="U517" s="10" t="str">
        <x:v>notion template</x:v>
      </x:c>
      <x:c r="V517" s="10" t="str">
        <x:v>home buyer planner</x:v>
      </x:c>
      <x:c r="W517" s="10" t="str">
        <x:v>first time buyer</x:v>
      </x:c>
      <x:c r="X517" s="10" t="str">
        <x:v>property tracker</x:v>
      </x:c>
      <x:c r="Y517" s="10" t="str">
        <x:v>mortgage planner</x:v>
      </x:c>
      <x:c r="Z517" s="10" t="str">
        <x:v>digital planner</x:v>
      </x:c>
      <x:c r="AA517" s="10" t="str">
        <x:v>moving checklist</x:v>
      </x:c>
      <x:c r="AB517" s="10" t="str">
        <x:v>real estate planner</x:v>
      </x:c>
      <x:c r="AC517" s="10" t="str">
        <x:v>notion planner</x:v>
      </x:c>
      <x:c r="AD517" s="10" t="str">
        <x:v>house hunting</x:v>
      </x:c>
      <x:c r="AE517" s="10" t="str">
        <x:v>home buying guide</x:v>
      </x:c>
      <x:c r="AF517" s="10" t="str">
        <x:v>property search</x:v>
      </x:c>
      <x:c r="AG517" s="10" t="str">
        <x:v>home purchase</x:v>
      </x:c>
      <x:c r="AH517" s="10" t="str">
        <x:v>Home buying planner</x:v>
      </x:c>
      <x:c r="AI517" s="13" t="n">
        <x:v>2</x:v>
      </x:c>
      <x:c r="AJ517" s="10" t="str">
        <x:f>IF(F517&gt;0,"Active","No est. sales")</x:f>
        <x:v>No est. sales</x:v>
      </x:c>
    </x:row>
    <x:row r="518">
      <x:c r="A518" s="10" t="str">
        <x:v>Kawaii Budget Stickers - Pay Bill Stickers - Bill Due Stickers - Pay Loan - Pay Mortgage - Budget Icon Planner Stickers - Monthly Expense</x:v>
      </x:c>
      <x:c r="B518" s="10" t="str">
        <x:v>https://www.etsy.com/listing/919561372/kawaii-budget-stickers-pay-bill-stickers</x:v>
      </x:c>
      <x:c r="C518" s="10" t="str">
        <x:v>OhSoKawaiiDesigns</x:v>
      </x:c>
      <x:c r="D518" s="10" t="str">
        <x:v>https://www.etsy.com/shop/OhSoKawaiiDesigns</x:v>
      </x:c>
      <x:c r="E518" s="11" t="n">
        <x:v>3.9</x:v>
      </x:c>
      <x:c r="F518" s="10" t="n">
        <x:v>0</x:v>
      </x:c>
      <x:c r="G518" s="12" t="n">
        <x:v>0</x:v>
      </x:c>
      <x:c r="H518" s="13" t="n">
        <x:v>0</x:v>
      </x:c>
      <x:c r="I518" s="10" t="n">
        <x:v>90</x:v>
      </x:c>
      <x:c r="J518" s="10" t="n">
        <x:v>26</x:v>
      </x:c>
      <x:c r="K518" s="10" t="str">
        <x:v>65 Mo.</x:v>
      </x:c>
      <x:c r="L518" s="10" t="n">
        <x:v>183</x:v>
      </x:c>
      <x:c r="M518" s="10" t="n">
        <x:v>0</x:v>
      </x:c>
      <x:c r="N518" s="10" t="n">
        <x:v>2055</x:v>
      </x:c>
      <x:c r="O518" s="10" t="str">
        <x:v>Paper &amp; Party Supplies</x:v>
      </x:c>
      <x:c r="P518" s="10" t="n">
        <x:v>70</x:v>
      </x:c>
      <x:c r="Q518" s="10" t="n">
        <x:v>0</x:v>
      </x:c>
      <x:c r="R518" s="13" t="n">
        <x:v>4.38</x:v>
      </x:c>
      <x:c r="S518" s="10" t="n">
        <x:v>8923</x:v>
      </x:c>
      <x:c r="T518" s="10" t="str">
        <x:v>tracker stickers,tracker planner,stickers for planner,financial stickers,planner stickers,stickers,budget planner,budget stickers,monthly bills,expense stickers,mortgage payment,cute planner,cute stickers</x:v>
      </x:c>
      <x:c r="U518" s="10" t="str">
        <x:v>tracker stickers</x:v>
      </x:c>
      <x:c r="V518" s="10" t="str">
        <x:v>tracker planner</x:v>
      </x:c>
      <x:c r="W518" s="10" t="str">
        <x:v>stickers for planner</x:v>
      </x:c>
      <x:c r="X518" s="10" t="str">
        <x:v>financial stickers</x:v>
      </x:c>
      <x:c r="Y518" s="10" t="str">
        <x:v>planner stickers</x:v>
      </x:c>
      <x:c r="Z518" s="10" t="str">
        <x:v>stickers</x:v>
      </x:c>
      <x:c r="AA518" s="10" t="str">
        <x:v>budget planner</x:v>
      </x:c>
      <x:c r="AB518" s="10" t="str">
        <x:v>budget stickers</x:v>
      </x:c>
      <x:c r="AC518" s="10" t="str">
        <x:v>monthly bills</x:v>
      </x:c>
      <x:c r="AD518" s="10" t="str">
        <x:v>expense stickers</x:v>
      </x:c>
      <x:c r="AE518" s="10" t="str">
        <x:v>mortgage payment</x:v>
      </x:c>
      <x:c r="AF518" s="10" t="str">
        <x:v>cute planner</x:v>
      </x:c>
      <x:c r="AG518" s="10" t="str">
        <x:v>cute stickers</x:v>
      </x:c>
      <x:c r="AH518" s="10" t="str">
        <x:v>Other mortgage-related</x:v>
      </x:c>
      <x:c r="AI518" s="13" t="n">
        <x:v>65</x:v>
      </x:c>
      <x:c r="AJ518" s="10" t="str">
        <x:f>IF(F518&gt;0,"Active","No est. sales")</x:f>
        <x:v>No est. sales</x:v>
      </x:c>
    </x:row>
    <x:row r="519">
      <x:c r="A519" s="10" t="str">
        <x:v>DEBT Payoff Tracker, Debt Snowball, Debt Tracker Printable, Debt Payments, Finance Planner, Budget Planner, Debt Free Progress, Repayment</x:v>
      </x:c>
      <x:c r="B519" s="10" t="str">
        <x:v>https://www.etsy.com/listing/1324385421/debt-payoff-tracker-debt-snowball-debt</x:v>
      </x:c>
      <x:c r="C519" s="10" t="str">
        <x:v>MF3Prints</x:v>
      </x:c>
      <x:c r="D519" s="10" t="str">
        <x:v>https://www.etsy.com/shop/MF3Prints</x:v>
      </x:c>
      <x:c r="E519" s="11" t="n">
        <x:v>2.09</x:v>
      </x:c>
      <x:c r="F519" s="10" t="n">
        <x:v>0</x:v>
      </x:c>
      <x:c r="G519" s="12" t="n">
        <x:v>0</x:v>
      </x:c>
      <x:c r="H519" s="13" t="n">
        <x:v>0</x:v>
      </x:c>
      <x:c r="I519" s="10" t="n">
        <x:v>3</x:v>
      </x:c>
      <x:c r="J519" s="10" t="n">
        <x:v>0</x:v>
      </x:c>
      <x:c r="K519" s="10" t="str">
        <x:v>28 Mo.</x:v>
      </x:c>
      <x:c r="L519" s="10" t="n">
        <x:v>5</x:v>
      </x:c>
      <x:c r="M519" s="10" t="n">
        <x:v>0</x:v>
      </x:c>
      <x:c r="N519" s="10" t="n">
        <x:v>0</x:v>
      </x:c>
      <x:c r="O519" s="10" t="str">
        <x:v>Paper &amp; Party Supplies</x:v>
      </x:c>
      <x:c r="P519" s="10" t="n">
        <x:v>47</x:v>
      </x:c>
      <x:c r="Q519" s="10" t="n">
        <x:v>0</x:v>
      </x:c>
      <x:c r="R519" s="13" t="n">
        <x:v>0</x:v>
      </x:c>
      <x:c r="S519" s="10" t="n">
        <x:v>106</x:v>
      </x:c>
      <x:c r="T519" s="10" t="str">
        <x:v>debt snowball,debt payoff tracker,debt payment tracker,credit card tracker,budget planner,budget tracker,printable,debt tracker,mortgage tracker,financial tracker,finance planner,spending tracker,debt printable track</x:v>
      </x:c>
      <x:c r="U519" s="10" t="str">
        <x:v>debt snowball</x:v>
      </x:c>
      <x:c r="V519" s="10" t="str">
        <x:v>debt payoff tracker</x:v>
      </x:c>
      <x:c r="W519" s="10" t="str">
        <x:v>debt payment tracker</x:v>
      </x:c>
      <x:c r="X519" s="10" t="str">
        <x:v>credit card tracker</x:v>
      </x:c>
      <x:c r="Y519" s="10" t="str">
        <x:v>budget planner</x:v>
      </x:c>
      <x:c r="Z519" s="10" t="str">
        <x:v>budget tracker</x:v>
      </x:c>
      <x:c r="AA519" s="10" t="str">
        <x:v>printable</x:v>
      </x:c>
      <x:c r="AB519" s="10" t="str">
        <x:v>debt tracker</x:v>
      </x:c>
      <x:c r="AC519" s="10" t="str">
        <x:v>mortgage tracker</x:v>
      </x:c>
      <x:c r="AD519" s="10" t="str">
        <x:v>financial tracker</x:v>
      </x:c>
      <x:c r="AE519" s="10" t="str">
        <x:v>finance planner</x:v>
      </x:c>
      <x:c r="AF519" s="10" t="str">
        <x:v>spending tracker</x:v>
      </x:c>
      <x:c r="AG519" s="10" t="str">
        <x:v>debt printable track</x:v>
      </x:c>
      <x:c r="AH519" s="10" t="str">
        <x:v>General debt payoff</x:v>
      </x:c>
      <x:c r="AI519" s="13" t="n">
        <x:v>28</x:v>
      </x:c>
      <x:c r="AJ519" s="10" t="str">
        <x:f>IF(F519&gt;0,"Active","No est. sales")</x:f>
        <x:v>No est. sales</x:v>
      </x:c>
    </x:row>
    <x:row r="520">
      <x:c r="A520" s="10" t="str">
        <x:v>Loan Payoff Calculator, Amortization Schedule, Extra Payments (Google Sheets Template Digital Download</x:v>
      </x:c>
      <x:c r="B520" s="10" t="str">
        <x:v>https://www.etsy.com/listing/4443536399/loan-payoff-calculator-amortization</x:v>
      </x:c>
      <x:c r="C520" s="10" t="str">
        <x:v>UniqueLifePlanner</x:v>
      </x:c>
      <x:c r="D520" s="10" t="str">
        <x:v>https://www.etsy.com/shop/UniqueLifePlanner</x:v>
      </x:c>
      <x:c r="E520" s="11" t="n">
        <x:v>2.5</x:v>
      </x:c>
      <x:c r="F520" s="10" t="n">
        <x:v>0</x:v>
      </x:c>
      <x:c r="G520" s="12" t="n">
        <x:v>0</x:v>
      </x:c>
      <x:c r="H520" s="13" t="n">
        <x:v>0</x:v>
      </x:c>
      <x:c r="I520" s="10" t="n">
        <x:v>0</x:v>
      </x:c>
      <x:c r="J520" s="10" t="n">
        <x:v>0</x:v>
      </x:c>
      <x:c r="K520" s="10" t="str">
        <x:v>6 Mo.</x:v>
      </x:c>
      <x:c r="L520" s="10" t="n">
        <x:v>1</x:v>
      </x:c>
      <x:c r="M520" s="10" t="n">
        <x:v>0</x:v>
      </x:c>
      <x:c r="N520" s="10" t="n">
        <x:v>42</x:v>
      </x:c>
      <x:c r="O520" s="10" t="str">
        <x:v>Paper &amp; Party Supplies</x:v>
      </x:c>
      <x:c r="P520" s="10" t="n">
        <x:v>7</x:v>
      </x:c>
      <x:c r="Q520" s="10" t="n">
        <x:v>0</x:v>
      </x:c>
      <x:c r="R520" s="13" t="n">
        <x:v>0</x:v>
      </x:c>
      <x:c r="S520" s="10" t="n">
        <x:v>52</x:v>
      </x:c>
      <x:c r="T520" s="10" t="str">
        <x:v>loan amortization,mortgage payoff,loan calculator,mortgage calculator,loan spreadsheet,google sheets loan,debt payoff planner,extra payment loan,smart repayment,loan payment tracker,home loan calculator,loan template,loan payment</x:v>
      </x:c>
      <x:c r="U520" s="10" t="str">
        <x:v>loan amortization</x:v>
      </x:c>
      <x:c r="V520" s="10" t="str">
        <x:v>mortgage payoff</x:v>
      </x:c>
      <x:c r="W520" s="10" t="str">
        <x:v>loan calculator</x:v>
      </x:c>
      <x:c r="X520" s="10" t="str">
        <x:v>mortgage calculator</x:v>
      </x:c>
      <x:c r="Y520" s="10" t="str">
        <x:v>loan spreadsheet</x:v>
      </x:c>
      <x:c r="Z520" s="10" t="str">
        <x:v>google sheets loan</x:v>
      </x:c>
      <x:c r="AA520" s="10" t="str">
        <x:v>debt payoff planner</x:v>
      </x:c>
      <x:c r="AB520" s="10" t="str">
        <x:v>extra payment loan</x:v>
      </x:c>
      <x:c r="AC520" s="10" t="str">
        <x:v>smart repayment</x:v>
      </x:c>
      <x:c r="AD520" s="10" t="str">
        <x:v>loan payment tracker</x:v>
      </x:c>
      <x:c r="AE520" s="10" t="str">
        <x:v>home loan calculator</x:v>
      </x:c>
      <x:c r="AF520" s="10" t="str">
        <x:v>loan template</x:v>
      </x:c>
      <x:c r="AG520" s="10" t="str">
        <x:v>loan payment</x:v>
      </x:c>
      <x:c r="AH520" s="10" t="str">
        <x:v>General loan calculator</x:v>
      </x:c>
      <x:c r="AI520" s="13" t="n">
        <x:v>6</x:v>
      </x:c>
      <x:c r="AJ520" s="10" t="str">
        <x:f>IF(F520&gt;0,"Active","No est. sales")</x:f>
        <x:v>No est. sales</x:v>
      </x:c>
    </x:row>
    <x:row r="521">
      <x:c r="A521" s="10" t="str">
        <x:v>Debt Payoff Tracker Google Sheets | Debt Snowball &amp; Avalanche Calculator + Budget | Credit Card and Loan Spreadsheet</x:v>
      </x:c>
      <x:c r="B521" s="10" t="str">
        <x:v>https://www.etsy.com/listing/4442137136/resolute-subscription-finance-tracker</x:v>
      </x:c>
      <x:c r="C521" s="10" t="str">
        <x:v>SheetsThatWork</x:v>
      </x:c>
      <x:c r="D521" s="10" t="str">
        <x:v>https://www.etsy.com/shop/SheetsThatWork</x:v>
      </x:c>
      <x:c r="E521" s="11" t="n">
        <x:v>29</x:v>
      </x:c>
      <x:c r="F521" s="10" t="n">
        <x:v>0</x:v>
      </x:c>
      <x:c r="G521" s="12" t="n">
        <x:v>0</x:v>
      </x:c>
      <x:c r="H521" s="13" t="n">
        <x:v>0</x:v>
      </x:c>
      <x:c r="I521" s="10" t="n">
        <x:v>0</x:v>
      </x:c>
      <x:c r="J521" s="10" t="n">
        <x:v>1</x:v>
      </x:c>
      <x:c r="K521" s="10" t="str">
        <x:v>6 Mo.</x:v>
      </x:c>
      <x:c r="L521" s="10" t="n">
        <x:v>0</x:v>
      </x:c>
      <x:c r="M521" s="10" t="n">
        <x:v>0</x:v>
      </x:c>
      <x:c r="N521" s="10" t="n">
        <x:v>17</x:v>
      </x:c>
      <x:c r="O521" s="10" t="str"/>
      <x:c r="P521" s="10" t="n">
        <x:v>6</x:v>
      </x:c>
      <x:c r="Q521" s="10" t="n">
        <x:v>0</x:v>
      </x:c>
      <x:c r="R521" s="13" t="n">
        <x:v>0</x:v>
      </x:c>
      <x:c r="S521" s="10" t="n">
        <x:v>11</x:v>
      </x:c>
      <x:c r="T521" s="10" t="str">
        <x:v>debt payoff tracker,debt snowball,debt payoff planner,debt payment tracker,mortgage payoff,debt repayment,credit card debt,loan payoff tracker,budget planner,expense tracker,bill calendar,monthly budget,paycheck budget</x:v>
      </x:c>
      <x:c r="U521" s="10" t="str">
        <x:v>debt payoff tracker</x:v>
      </x:c>
      <x:c r="V521" s="10" t="str">
        <x:v>debt snowball</x:v>
      </x:c>
      <x:c r="W521" s="10" t="str">
        <x:v>debt payoff planner</x:v>
      </x:c>
      <x:c r="X521" s="10" t="str">
        <x:v>debt payment tracker</x:v>
      </x:c>
      <x:c r="Y521" s="10" t="str">
        <x:v>mortgage payoff</x:v>
      </x:c>
      <x:c r="Z521" s="10" t="str">
        <x:v>debt repayment</x:v>
      </x:c>
      <x:c r="AA521" s="10" t="str">
        <x:v>credit card debt</x:v>
      </x:c>
      <x:c r="AB521" s="10" t="str">
        <x:v>loan payoff tracker</x:v>
      </x:c>
      <x:c r="AC521" s="10" t="str">
        <x:v>budget planner</x:v>
      </x:c>
      <x:c r="AD521" s="10" t="str">
        <x:v>expense tracker</x:v>
      </x:c>
      <x:c r="AE521" s="10" t="str">
        <x:v>bill calendar</x:v>
      </x:c>
      <x:c r="AF521" s="10" t="str">
        <x:v>monthly budget</x:v>
      </x:c>
      <x:c r="AG521" s="10" t="str">
        <x:v>paycheck budget</x:v>
      </x:c>
      <x:c r="AH521" s="10" t="str">
        <x:v>General debt payoff</x:v>
      </x:c>
      <x:c r="AI521" s="13" t="n">
        <x:v>6</x:v>
      </x:c>
      <x:c r="AJ521" s="10" t="str">
        <x:f>IF(F521&gt;0,"Active","No est. sales")</x:f>
        <x:v>No est. sales</x:v>
      </x:c>
    </x:row>
    <x:row r="522">
      <x:c r="A522" s="10" t="str">
        <x:v>Debt Payoff Tracker Google Sheets,  Debt Avalanche Calculator, Debt Snowball, Debt Free Planner Loan Tracker Credit Card Payoff</x:v>
      </x:c>
      <x:c r="B522" s="10" t="str">
        <x:v>https://www.etsy.com/listing/1779460960/debt-payoff-tracker-google-sheets-debt</x:v>
      </x:c>
      <x:c r="C522" s="10" t="str">
        <x:v>SapphireCreationsAU</x:v>
      </x:c>
      <x:c r="D522" s="10" t="str">
        <x:v>https://www.etsy.com/shop/SapphireCreationsAU</x:v>
      </x:c>
      <x:c r="E522" s="11" t="n">
        <x:v>2.8</x:v>
      </x:c>
      <x:c r="F522" s="10" t="n">
        <x:v>0</x:v>
      </x:c>
      <x:c r="G522" s="12" t="n">
        <x:v>0</x:v>
      </x:c>
      <x:c r="H522" s="13" t="n">
        <x:v>0</x:v>
      </x:c>
      <x:c r="I522" s="10" t="n">
        <x:v>60</x:v>
      </x:c>
      <x:c r="J522" s="10" t="n">
        <x:v>4</x:v>
      </x:c>
      <x:c r="K522" s="10" t="str">
        <x:v>22 Mo.</x:v>
      </x:c>
      <x:c r="L522" s="10" t="n">
        <x:v>41</x:v>
      </x:c>
      <x:c r="M522" s="10" t="n">
        <x:v>0</x:v>
      </x:c>
      <x:c r="N522" s="10" t="n">
        <x:v>2264</x:v>
      </x:c>
      <x:c r="O522" s="10" t="str"/>
      <x:c r="P522" s="10" t="n">
        <x:v>34</x:v>
      </x:c>
      <x:c r="Q522" s="10" t="n">
        <x:v>36</x:v>
      </x:c>
      <x:c r="R522" s="13" t="n">
        <x:v>2.65</x:v>
      </x:c>
      <x:c r="S522" s="10" t="n">
        <x:v>14912</x:v>
      </x:c>
      <x:c r="T522" s="10" t="str">
        <x:v>debt payoff chart,credit utilization,snowball method,mortgage payoff,student loan debt,credit card payoff,loan payoff tracker,debt calculator,credit card debt,debt payment tracker,debt payoff planner,debt payoff tracker,debt template</x:v>
      </x:c>
      <x:c r="U522" s="10" t="str">
        <x:v>debt payoff chart</x:v>
      </x:c>
      <x:c r="V522" s="10" t="str">
        <x:v>credit utilization</x:v>
      </x:c>
      <x:c r="W522" s="10" t="str">
        <x:v>snowball method</x:v>
      </x:c>
      <x:c r="X522" s="10" t="str">
        <x:v>mortgage payoff</x:v>
      </x:c>
      <x:c r="Y522" s="10" t="str">
        <x:v>student loan debt</x:v>
      </x:c>
      <x:c r="Z522" s="10" t="str">
        <x:v>credit card payoff</x:v>
      </x:c>
      <x:c r="AA522" s="10" t="str">
        <x:v>loan payoff tracker</x:v>
      </x:c>
      <x:c r="AB522" s="10" t="str">
        <x:v>debt calculator</x:v>
      </x:c>
      <x:c r="AC522" s="10" t="str">
        <x:v>credit card debt</x:v>
      </x:c>
      <x:c r="AD522" s="10" t="str">
        <x:v>debt payment tracker</x:v>
      </x:c>
      <x:c r="AE522" s="10" t="str">
        <x:v>debt payoff planner</x:v>
      </x:c>
      <x:c r="AF522" s="10" t="str">
        <x:v>debt payoff tracker</x:v>
      </x:c>
      <x:c r="AG522" s="10" t="str">
        <x:v>debt template</x:v>
      </x:c>
      <x:c r="AH522" s="10" t="str">
        <x:v>General debt payoff</x:v>
      </x:c>
      <x:c r="AI522" s="13" t="n">
        <x:v>22</x:v>
      </x:c>
      <x:c r="AJ522" s="10" t="str">
        <x:f>IF(F522&gt;0,"Active","No est. sales")</x:f>
        <x:v>No est. sales</x:v>
      </x:c>
    </x:row>
    <x:row r="523">
      <x:c r="A523" s="10" t="str">
        <x:v>Debt Payoff Tracker Google Sheets,  Debt Avalanche Calculator, Debt Snowball, Debt Free Planner Loan Tracker Credit Card Payoff</x:v>
      </x:c>
      <x:c r="B523" s="10" t="str">
        <x:v>https://www.etsy.com/listing/1793663711/debt-payoff-tracker-google-sheets-debt</x:v>
      </x:c>
      <x:c r="C523" s="10" t="str">
        <x:v>SapphireCreationsAU</x:v>
      </x:c>
      <x:c r="D523" s="10" t="str">
        <x:v>https://www.etsy.com/shop/SapphireCreationsAU</x:v>
      </x:c>
      <x:c r="E523" s="11" t="n">
        <x:v>2.8</x:v>
      </x:c>
      <x:c r="F523" s="10" t="n">
        <x:v>0</x:v>
      </x:c>
      <x:c r="G523" s="12" t="n">
        <x:v>0</x:v>
      </x:c>
      <x:c r="H523" s="13" t="n">
        <x:v>0</x:v>
      </x:c>
      <x:c r="I523" s="10" t="n">
        <x:v>15</x:v>
      </x:c>
      <x:c r="J523" s="10" t="n">
        <x:v>1</x:v>
      </x:c>
      <x:c r="K523" s="10" t="str">
        <x:v>22 Mo.</x:v>
      </x:c>
      <x:c r="L523" s="10" t="n">
        <x:v>8</x:v>
      </x:c>
      <x:c r="M523" s="10" t="n">
        <x:v>0</x:v>
      </x:c>
      <x:c r="N523" s="10" t="n">
        <x:v>205</x:v>
      </x:c>
      <x:c r="O523" s="10" t="str"/>
      <x:c r="P523" s="10" t="n">
        <x:v>34</x:v>
      </x:c>
      <x:c r="Q523" s="10" t="n">
        <x:v>0</x:v>
      </x:c>
      <x:c r="R523" s="13" t="n">
        <x:v>7.32</x:v>
      </x:c>
      <x:c r="S523" s="10" t="n">
        <x:v>14912</x:v>
      </x:c>
      <x:c r="T523" s="10" t="str">
        <x:v>debt payoff chart,credit utilization,snowball method,mortgage payoff,student loan debt,credit card payoff,loan payoff tracker,debt calculator,credit card debt,debt payment tracker,debt payoff planner,debt payoff tracker,debt template</x:v>
      </x:c>
      <x:c r="U523" s="10" t="str">
        <x:v>debt payoff chart</x:v>
      </x:c>
      <x:c r="V523" s="10" t="str">
        <x:v>credit utilization</x:v>
      </x:c>
      <x:c r="W523" s="10" t="str">
        <x:v>snowball method</x:v>
      </x:c>
      <x:c r="X523" s="10" t="str">
        <x:v>mortgage payoff</x:v>
      </x:c>
      <x:c r="Y523" s="10" t="str">
        <x:v>student loan debt</x:v>
      </x:c>
      <x:c r="Z523" s="10" t="str">
        <x:v>credit card payoff</x:v>
      </x:c>
      <x:c r="AA523" s="10" t="str">
        <x:v>loan payoff tracker</x:v>
      </x:c>
      <x:c r="AB523" s="10" t="str">
        <x:v>debt calculator</x:v>
      </x:c>
      <x:c r="AC523" s="10" t="str">
        <x:v>credit card debt</x:v>
      </x:c>
      <x:c r="AD523" s="10" t="str">
        <x:v>debt payment tracker</x:v>
      </x:c>
      <x:c r="AE523" s="10" t="str">
        <x:v>debt payoff planner</x:v>
      </x:c>
      <x:c r="AF523" s="10" t="str">
        <x:v>debt payoff tracker</x:v>
      </x:c>
      <x:c r="AG523" s="10" t="str">
        <x:v>debt template</x:v>
      </x:c>
      <x:c r="AH523" s="10" t="str">
        <x:v>General debt payoff</x:v>
      </x:c>
      <x:c r="AI523" s="13" t="n">
        <x:v>22</x:v>
      </x:c>
      <x:c r="AJ523" s="10" t="str">
        <x:f>IF(F523&gt;0,"Active","No est. sales")</x:f>
        <x:v>No est. sales</x:v>
      </x:c>
    </x:row>
    <x:row r="524">
      <x:c r="A524" s="10" t="str">
        <x:v>DEBT TRACKER, Debt Snowball, Debt Payoff Tracker Printable, Dave Ramsey, Debt Payments, Finance Planner, Budget Planner, Debt Free Progress,</x:v>
      </x:c>
      <x:c r="B524" s="10" t="str">
        <x:v>https://www.etsy.com/listing/1356709410/debt-tracker-debt-snowball-debt-payoff</x:v>
      </x:c>
      <x:c r="C524" s="10" t="str">
        <x:v>CreativeJamCo</x:v>
      </x:c>
      <x:c r="D524" s="10" t="str">
        <x:v>https://www.etsy.com/shop/CreativeJamCo</x:v>
      </x:c>
      <x:c r="E524" s="11" t="n">
        <x:v>2.38</x:v>
      </x:c>
      <x:c r="F524" s="10" t="n">
        <x:v>0</x:v>
      </x:c>
      <x:c r="G524" s="12" t="n">
        <x:v>0</x:v>
      </x:c>
      <x:c r="H524" s="13" t="n">
        <x:v>0</x:v>
      </x:c>
      <x:c r="I524" s="10" t="n">
        <x:v>9</x:v>
      </x:c>
      <x:c r="J524" s="10" t="n">
        <x:v>1</x:v>
      </x:c>
      <x:c r="K524" s="10" t="str">
        <x:v>43 Mo.</x:v>
      </x:c>
      <x:c r="L524" s="10" t="n">
        <x:v>10</x:v>
      </x:c>
      <x:c r="M524" s="10" t="n">
        <x:v>0</x:v>
      </x:c>
      <x:c r="N524" s="10" t="n">
        <x:v>182</x:v>
      </x:c>
      <x:c r="O524" s="10" t="str">
        <x:v>Paper &amp; Party Supplies</x:v>
      </x:c>
      <x:c r="P524" s="10" t="n">
        <x:v>77</x:v>
      </x:c>
      <x:c r="Q524" s="10" t="n">
        <x:v>0</x:v>
      </x:c>
      <x:c r="R524" s="13" t="n">
        <x:v>4.95</x:v>
      </x:c>
      <x:c r="S524" s="10" t="n">
        <x:v>391577</x:v>
      </x:c>
      <x:c r="T524" s="10" t="str">
        <x:v>printable,debt tracker,debt snowball,debt payoff tracker,debt payment tracker,dave ramsey,credit card tracker,mortgage tracker,financial tracker,budget planner,finance planner,spending tracker,budget tracker</x:v>
      </x:c>
      <x:c r="U524" s="10" t="str">
        <x:v>printable</x:v>
      </x:c>
      <x:c r="V524" s="10" t="str">
        <x:v>debt tracker</x:v>
      </x:c>
      <x:c r="W524" s="10" t="str">
        <x:v>debt snowball</x:v>
      </x:c>
      <x:c r="X524" s="10" t="str">
        <x:v>debt payoff tracker</x:v>
      </x:c>
      <x:c r="Y524" s="10" t="str">
        <x:v>debt payment tracker</x:v>
      </x:c>
      <x:c r="Z524" s="10" t="str">
        <x:v>dave ramsey</x:v>
      </x:c>
      <x:c r="AA524" s="10" t="str">
        <x:v>credit card tracker</x:v>
      </x:c>
      <x:c r="AB524" s="10" t="str">
        <x:v>mortgage tracker</x:v>
      </x:c>
      <x:c r="AC524" s="10" t="str">
        <x:v>financial tracker</x:v>
      </x:c>
      <x:c r="AD524" s="10" t="str">
        <x:v>budget planner</x:v>
      </x:c>
      <x:c r="AE524" s="10" t="str">
        <x:v>finance planner</x:v>
      </x:c>
      <x:c r="AF524" s="10" t="str">
        <x:v>spending tracker</x:v>
      </x:c>
      <x:c r="AG524" s="10" t="str">
        <x:v>budget tracker</x:v>
      </x:c>
      <x:c r="AH524" s="10" t="str">
        <x:v>General debt payoff</x:v>
      </x:c>
      <x:c r="AI524" s="13" t="n">
        <x:v>43</x:v>
      </x:c>
      <x:c r="AJ524" s="10" t="str">
        <x:f>IF(F524&gt;0,"Active","No est. sales")</x:f>
        <x:v>No est. sales</x:v>
      </x:c>
    </x:row>
    <x:row r="525">
      <x:c r="A525" s="10" t="str">
        <x:v>Gig Worker Debt Payoff Tracker | Snowball &amp; Avalanche Calculator | Variable Income | Google Sheets</x:v>
      </x:c>
      <x:c r="B525" s="10" t="str">
        <x:v>https://www.etsy.com/listing/4513413142/gig-worker-debt-payoff-tracker-snowball</x:v>
      </x:c>
      <x:c r="C525" s="10" t="str">
        <x:v>CarolinaFallsMarket</x:v>
      </x:c>
      <x:c r="D525" s="10" t="str">
        <x:v>https://www.etsy.com/shop/CarolinaFallsMarket</x:v>
      </x:c>
      <x:c r="E525" s="11" t="n">
        <x:v>6.99</x:v>
      </x:c>
      <x:c r="F525" s="10" t="n">
        <x:v>0</x:v>
      </x:c>
      <x:c r="G525" s="12" t="n">
        <x:v>0</x:v>
      </x:c>
      <x:c r="H525" s="13" t="n">
        <x:v>0</x:v>
      </x:c>
      <x:c r="I525" s="10" t="n">
        <x:v>0</x:v>
      </x:c>
      <x:c r="J525" s="10" t="n">
        <x:v>0</x:v>
      </x:c>
      <x:c r="K525" s="10" t="str">
        <x:v>2 Mo.</x:v>
      </x:c>
      <x:c r="L525" s="10" t="n">
        <x:v>0</x:v>
      </x:c>
      <x:c r="M525" s="10" t="n">
        <x:v>0</x:v>
      </x:c>
      <x:c r="N525" s="10" t="n">
        <x:v>4</x:v>
      </x:c>
      <x:c r="O525" s="10" t="str"/>
      <x:c r="P525" s="10" t="n">
        <x:v>11</x:v>
      </x:c>
      <x:c r="Q525" s="10" t="n">
        <x:v>0</x:v>
      </x:c>
      <x:c r="R525" s="13" t="n">
        <x:v>0</x:v>
      </x:c>
      <x:c r="S525" s="10" t="n">
        <x:v>12</x:v>
      </x:c>
      <x:c r="T525" s="10" t="str">
        <x:v>debt payoff tracker,debt snowball,debt avalanche,debt payment tracker,credit card payoff,google sheets budget,debt free planner,student loan debt,snowball calculator,debt template,personal finance,mortgage payoff,gig worker finance</x:v>
      </x:c>
      <x:c r="U525" s="10" t="str">
        <x:v>debt payoff tracker</x:v>
      </x:c>
      <x:c r="V525" s="10" t="str">
        <x:v>debt snowball</x:v>
      </x:c>
      <x:c r="W525" s="10" t="str">
        <x:v>debt avalanche</x:v>
      </x:c>
      <x:c r="X525" s="10" t="str">
        <x:v>debt payment tracker</x:v>
      </x:c>
      <x:c r="Y525" s="10" t="str">
        <x:v>credit card payoff</x:v>
      </x:c>
      <x:c r="Z525" s="10" t="str">
        <x:v>google sheets budget</x:v>
      </x:c>
      <x:c r="AA525" s="10" t="str">
        <x:v>debt free planner</x:v>
      </x:c>
      <x:c r="AB525" s="10" t="str">
        <x:v>student loan debt</x:v>
      </x:c>
      <x:c r="AC525" s="10" t="str">
        <x:v>snowball calculator</x:v>
      </x:c>
      <x:c r="AD525" s="10" t="str">
        <x:v>debt template</x:v>
      </x:c>
      <x:c r="AE525" s="10" t="str">
        <x:v>personal finance</x:v>
      </x:c>
      <x:c r="AF525" s="10" t="str">
        <x:v>mortgage payoff</x:v>
      </x:c>
      <x:c r="AG525" s="10" t="str">
        <x:v>gig worker finance</x:v>
      </x:c>
      <x:c r="AH525" s="10" t="str">
        <x:v>General debt payoff</x:v>
      </x:c>
      <x:c r="AI525" s="13" t="n">
        <x:v>2</x:v>
      </x:c>
      <x:c r="AJ525" s="10" t="str">
        <x:f>IF(F525&gt;0,"Active","No est. sales")</x:f>
        <x:v>No est. sales</x:v>
      </x:c>
    </x:row>
    <x:row r="526">
      <x:c r="A526" s="10" t="str">
        <x:v>Credit Card Debt Payoff Tracker: Printable Budget Planner (Digital Download)</x:v>
      </x:c>
      <x:c r="B526" s="10" t="str">
        <x:v>https://www.etsy.com/listing/4306045187/credit-card-debt-payoff-tracker</x:v>
      </x:c>
      <x:c r="C526" s="10" t="str">
        <x:v>ExcelSheetSavvy</x:v>
      </x:c>
      <x:c r="D526" s="10" t="str">
        <x:v>https://www.etsy.com/shop/ExcelSheetSavvy</x:v>
      </x:c>
      <x:c r="E526" s="11" t="n">
        <x:v>6.6</x:v>
      </x:c>
      <x:c r="F526" s="10" t="n">
        <x:v>0</x:v>
      </x:c>
      <x:c r="G526" s="12" t="n">
        <x:v>0</x:v>
      </x:c>
      <x:c r="H526" s="13" t="n">
        <x:v>0</x:v>
      </x:c>
      <x:c r="I526" s="10" t="n">
        <x:v>12</x:v>
      </x:c>
      <x:c r="J526" s="10" t="n">
        <x:v>1</x:v>
      </x:c>
      <x:c r="K526" s="10" t="str">
        <x:v>14 Mo.</x:v>
      </x:c>
      <x:c r="L526" s="10" t="n">
        <x:v>3</x:v>
      </x:c>
      <x:c r="M526" s="10" t="n">
        <x:v>0</x:v>
      </x:c>
      <x:c r="N526" s="10" t="n">
        <x:v>64</x:v>
      </x:c>
      <x:c r="O526" s="10" t="str">
        <x:v>Paper &amp; Party Supplies</x:v>
      </x:c>
      <x:c r="P526" s="10" t="n">
        <x:v>14</x:v>
      </x:c>
      <x:c r="Q526" s="10" t="n">
        <x:v>0</x:v>
      </x:c>
      <x:c r="R526" s="13" t="n">
        <x:v>18.75</x:v>
      </x:c>
      <x:c r="S526" s="10" t="n">
        <x:v>1978</x:v>
      </x:c>
      <x:c r="T526" s="10" t="str">
        <x:v>house payoff tracker,debt payoff tracker,debt snowball,budget spreadsheet,google sheets,monthly debt tracker,student loan debt,financial planner,cash debt calculator,mortgage tracking,budget template,bill money payment,pay off credit card</x:v>
      </x:c>
      <x:c r="U526" s="10" t="str">
        <x:v>house payoff tracker</x:v>
      </x:c>
      <x:c r="V526" s="10" t="str">
        <x:v>debt payoff tracker</x:v>
      </x:c>
      <x:c r="W526" s="10" t="str">
        <x:v>debt snowball</x:v>
      </x:c>
      <x:c r="X526" s="10" t="str">
        <x:v>budget spreadsheet</x:v>
      </x:c>
      <x:c r="Y526" s="10" t="str">
        <x:v>google sheets</x:v>
      </x:c>
      <x:c r="Z526" s="10" t="str">
        <x:v>monthly debt tracker</x:v>
      </x:c>
      <x:c r="AA526" s="10" t="str">
        <x:v>student loan debt</x:v>
      </x:c>
      <x:c r="AB526" s="10" t="str">
        <x:v>financial planner</x:v>
      </x:c>
      <x:c r="AC526" s="10" t="str">
        <x:v>cash debt calculator</x:v>
      </x:c>
      <x:c r="AD526" s="10" t="str">
        <x:v>mortgage tracking</x:v>
      </x:c>
      <x:c r="AE526" s="10" t="str">
        <x:v>budget template</x:v>
      </x:c>
      <x:c r="AF526" s="10" t="str">
        <x:v>bill money payment</x:v>
      </x:c>
      <x:c r="AG526" s="10" t="str">
        <x:v>pay off credit card</x:v>
      </x:c>
      <x:c r="AH526" s="10" t="str">
        <x:v>General debt payoff</x:v>
      </x:c>
      <x:c r="AI526" s="13" t="n">
        <x:v>14</x:v>
      </x:c>
      <x:c r="AJ526" s="10" t="str">
        <x:f>IF(F526&gt;0,"Active","No est. sales")</x:f>
        <x:v>No est. sales</x:v>
      </x:c>
    </x:row>
    <x:row r="527">
      <x:c r="A527" s="10" t="str">
        <x:v>Home Affordability Calculator Excel &amp; Google Sheets: Plan Mortgage and Budget Smart</x:v>
      </x:c>
      <x:c r="B527" s="10" t="str">
        <x:v>https://www.etsy.com/listing/4362279045/home-affordability-calculator-excel</x:v>
      </x:c>
      <x:c r="C527" s="10" t="str">
        <x:v>ExcelSheetSavvy</x:v>
      </x:c>
      <x:c r="D527" s="10" t="str">
        <x:v>https://www.etsy.com/shop/ExcelSheetSavvy</x:v>
      </x:c>
      <x:c r="E527" s="11" t="n">
        <x:v>6.6</x:v>
      </x:c>
      <x:c r="F527" s="10" t="n">
        <x:v>0</x:v>
      </x:c>
      <x:c r="G527" s="12" t="n">
        <x:v>0</x:v>
      </x:c>
      <x:c r="H527" s="13" t="n">
        <x:v>0</x:v>
      </x:c>
      <x:c r="I527" s="10" t="n">
        <x:v>0</x:v>
      </x:c>
      <x:c r="J527" s="10" t="n">
        <x:v>0</x:v>
      </x:c>
      <x:c r="K527" s="10" t="str">
        <x:v>10 Mo.</x:v>
      </x:c>
      <x:c r="L527" s="10" t="n">
        <x:v>3</x:v>
      </x:c>
      <x:c r="M527" s="10" t="n">
        <x:v>0</x:v>
      </x:c>
      <x:c r="N527" s="10" t="n">
        <x:v>46</x:v>
      </x:c>
      <x:c r="O527" s="10" t="str">
        <x:v>Paper &amp; Party Supplies</x:v>
      </x:c>
      <x:c r="P527" s="10" t="n">
        <x:v>14</x:v>
      </x:c>
      <x:c r="Q527" s="10" t="n">
        <x:v>0</x:v>
      </x:c>
      <x:c r="R527" s="13" t="n">
        <x:v>0</x:v>
      </x:c>
      <x:c r="S527" s="10" t="n">
        <x:v>1978</x:v>
      </x:c>
      <x:c r="T527" s="10" t="str">
        <x:v>home calculator,mortgage excel,sheets budget,house planner,finance tool,excel mortgage,budget sheet,loan tracker,real estate tool,home planner,payment calc,budget tracker,finance excel</x:v>
      </x:c>
      <x:c r="U527" s="10" t="str">
        <x:v>home calculator</x:v>
      </x:c>
      <x:c r="V527" s="10" t="str">
        <x:v>mortgage excel</x:v>
      </x:c>
      <x:c r="W527" s="10" t="str">
        <x:v>sheets budget</x:v>
      </x:c>
      <x:c r="X527" s="10" t="str">
        <x:v>house planner</x:v>
      </x:c>
      <x:c r="Y527" s="10" t="str">
        <x:v>finance tool</x:v>
      </x:c>
      <x:c r="Z527" s="10" t="str">
        <x:v>excel mortgage</x:v>
      </x:c>
      <x:c r="AA527" s="10" t="str">
        <x:v>budget sheet</x:v>
      </x:c>
      <x:c r="AB527" s="10" t="str">
        <x:v>loan tracker</x:v>
      </x:c>
      <x:c r="AC527" s="10" t="str">
        <x:v>real estate tool</x:v>
      </x:c>
      <x:c r="AD527" s="10" t="str">
        <x:v>home planner</x:v>
      </x:c>
      <x:c r="AE527" s="10" t="str">
        <x:v>payment calc</x:v>
      </x:c>
      <x:c r="AF527" s="10" t="str">
        <x:v>budget tracker</x:v>
      </x:c>
      <x:c r="AG527" s="10" t="str">
        <x:v>finance excel</x:v>
      </x:c>
      <x:c r="AH527" s="10" t="str">
        <x:v>Other mortgage-related</x:v>
      </x:c>
      <x:c r="AI527" s="13" t="n">
        <x:v>10</x:v>
      </x:c>
      <x:c r="AJ527" s="10" t="str">
        <x:f>IF(F527&gt;0,"Active","No est. sales")</x:f>
        <x:v>No est. sales</x:v>
      </x:c>
    </x:row>
    <x:row r="528">
      <x:c r="A528" s="10" t="str">
        <x:v>DEBT PAYOFF TRACKER, Debt Snowball, Debt Tracker Printable, Dave Ramsey, Debt Payments, Finance Planner, Budget Planner, Debt Free Progress,</x:v>
      </x:c>
      <x:c r="B528" s="10" t="str">
        <x:v>https://www.etsy.com/listing/1212571207/debt-payoff-tracker-debt-snowball-debt</x:v>
      </x:c>
      <x:c r="C528" s="10" t="str">
        <x:v>CreativeJamCo</x:v>
      </x:c>
      <x:c r="D528" s="10" t="str">
        <x:v>https://www.etsy.com/shop/CreativeJamCo</x:v>
      </x:c>
      <x:c r="E528" s="11" t="n">
        <x:v>2.65</x:v>
      </x:c>
      <x:c r="F528" s="10" t="n">
        <x:v>0</x:v>
      </x:c>
      <x:c r="G528" s="12" t="n">
        <x:v>0</x:v>
      </x:c>
      <x:c r="H528" s="13" t="n">
        <x:v>0</x:v>
      </x:c>
      <x:c r="I528" s="10" t="n">
        <x:v>0</x:v>
      </x:c>
      <x:c r="J528" s="10" t="n">
        <x:v>0</x:v>
      </x:c>
      <x:c r="K528" s="10" t="str">
        <x:v>51 Mo.</x:v>
      </x:c>
      <x:c r="L528" s="10" t="n">
        <x:v>29</x:v>
      </x:c>
      <x:c r="M528" s="10" t="n">
        <x:v>0</x:v>
      </x:c>
      <x:c r="N528" s="10" t="n">
        <x:v>731</x:v>
      </x:c>
      <x:c r="O528" s="10" t="str">
        <x:v>Paper &amp; Party Supplies</x:v>
      </x:c>
      <x:c r="P528" s="10" t="n">
        <x:v>77</x:v>
      </x:c>
      <x:c r="Q528" s="10" t="n">
        <x:v>0</x:v>
      </x:c>
      <x:c r="R528" s="13" t="n">
        <x:v>0</x:v>
      </x:c>
      <x:c r="S528" s="10" t="n">
        <x:v>391577</x:v>
      </x:c>
      <x:c r="T528" s="10" t="str">
        <x:v>printable,debt tracker,debt snowball,debt payoff tracker,debt payment tracker,dave ramsey,credit card tracker,mortgage tracker,financial tracker,budget planner,finance planner,spending tracker,budget tracker</x:v>
      </x:c>
      <x:c r="U528" s="10" t="str">
        <x:v>printable</x:v>
      </x:c>
      <x:c r="V528" s="10" t="str">
        <x:v>debt tracker</x:v>
      </x:c>
      <x:c r="W528" s="10" t="str">
        <x:v>debt snowball</x:v>
      </x:c>
      <x:c r="X528" s="10" t="str">
        <x:v>debt payoff tracker</x:v>
      </x:c>
      <x:c r="Y528" s="10" t="str">
        <x:v>debt payment tracker</x:v>
      </x:c>
      <x:c r="Z528" s="10" t="str">
        <x:v>dave ramsey</x:v>
      </x:c>
      <x:c r="AA528" s="10" t="str">
        <x:v>credit card tracker</x:v>
      </x:c>
      <x:c r="AB528" s="10" t="str">
        <x:v>mortgage tracker</x:v>
      </x:c>
      <x:c r="AC528" s="10" t="str">
        <x:v>financial tracker</x:v>
      </x:c>
      <x:c r="AD528" s="10" t="str">
        <x:v>budget planner</x:v>
      </x:c>
      <x:c r="AE528" s="10" t="str">
        <x:v>finance planner</x:v>
      </x:c>
      <x:c r="AF528" s="10" t="str">
        <x:v>spending tracker</x:v>
      </x:c>
      <x:c r="AG528" s="10" t="str">
        <x:v>budget tracker</x:v>
      </x:c>
      <x:c r="AH528" s="10" t="str">
        <x:v>General debt payoff</x:v>
      </x:c>
      <x:c r="AI528" s="13" t="n">
        <x:v>51</x:v>
      </x:c>
      <x:c r="AJ528" s="10" t="str">
        <x:f>IF(F528&gt;0,"Active","No est. sales")</x:f>
        <x:v>No est. sales</x:v>
      </x:c>
    </x:row>
    <x:row r="529">
      <x:c r="A529" s="10" t="str">
        <x:v>MORTGAGE DUE - Check It Off | Planner Stickers | Minimal Planner Stickers| Functional Planner Stickers | Check List Neutral Color Stickers</x:v>
      </x:c>
      <x:c r="B529" s="10" t="str">
        <x:v>https://www.etsy.com/listing/1305833278/mortgage-due-check-it-off-planner</x:v>
      </x:c>
      <x:c r="C529" s="10" t="str">
        <x:v>DaisyPapers</x:v>
      </x:c>
      <x:c r="D529" s="10" t="str">
        <x:v>https://www.etsy.com/shop/DaisyPapers</x:v>
      </x:c>
      <x:c r="E529" s="11" t="n">
        <x:v>3.8</x:v>
      </x:c>
      <x:c r="F529" s="10" t="n">
        <x:v>0</x:v>
      </x:c>
      <x:c r="G529" s="12" t="n">
        <x:v>0</x:v>
      </x:c>
      <x:c r="H529" s="13" t="n">
        <x:v>0</x:v>
      </x:c>
      <x:c r="I529" s="10" t="n">
        <x:v>15</x:v>
      </x:c>
      <x:c r="J529" s="10" t="n">
        <x:v>2</x:v>
      </x:c>
      <x:c r="K529" s="10" t="str">
        <x:v>45 Mo.</x:v>
      </x:c>
      <x:c r="L529" s="10" t="n">
        <x:v>36</x:v>
      </x:c>
      <x:c r="M529" s="10" t="n">
        <x:v>0</x:v>
      </x:c>
      <x:c r="N529" s="10" t="n">
        <x:v>355</x:v>
      </x:c>
      <x:c r="O529" s="10" t="str">
        <x:v>Paper &amp; Party Supplies</x:v>
      </x:c>
      <x:c r="P529" s="10" t="n">
        <x:v>66</x:v>
      </x:c>
      <x:c r="Q529" s="10" t="n">
        <x:v>0</x:v>
      </x:c>
      <x:c r="R529" s="13" t="n">
        <x:v>4.23</x:v>
      </x:c>
      <x:c r="S529" s="10" t="n">
        <x:v>56001</x:v>
      </x:c>
      <x:c r="T529" s="10" t="str">
        <x:v>planner stickers,planning,stickers,labels,minimal planning,minimal stickers,functional stickers,bullet journal,happy planner,neutral colors,minimal planner,check box labels,eric condren sticker</x:v>
      </x:c>
      <x:c r="U529" s="10" t="str">
        <x:v>planner stickers</x:v>
      </x:c>
      <x:c r="V529" s="10" t="str">
        <x:v>planning</x:v>
      </x:c>
      <x:c r="W529" s="10" t="str">
        <x:v>stickers</x:v>
      </x:c>
      <x:c r="X529" s="10" t="str">
        <x:v>labels</x:v>
      </x:c>
      <x:c r="Y529" s="10" t="str">
        <x:v>minimal planning</x:v>
      </x:c>
      <x:c r="Z529" s="10" t="str">
        <x:v>minimal stickers</x:v>
      </x:c>
      <x:c r="AA529" s="10" t="str">
        <x:v>functional stickers</x:v>
      </x:c>
      <x:c r="AB529" s="10" t="str">
        <x:v>bullet journal</x:v>
      </x:c>
      <x:c r="AC529" s="10" t="str">
        <x:v>happy planner</x:v>
      </x:c>
      <x:c r="AD529" s="10" t="str">
        <x:v>neutral colors</x:v>
      </x:c>
      <x:c r="AE529" s="10" t="str">
        <x:v>minimal planner</x:v>
      </x:c>
      <x:c r="AF529" s="10" t="str">
        <x:v>check box labels</x:v>
      </x:c>
      <x:c r="AG529" s="10" t="str">
        <x:v>eric condren sticker</x:v>
      </x:c>
      <x:c r="AH529" s="10" t="str">
        <x:v>Other mortgage-related</x:v>
      </x:c>
      <x:c r="AI529" s="13" t="n">
        <x:v>45</x:v>
      </x:c>
      <x:c r="AJ529" s="10" t="str">
        <x:f>IF(F529&gt;0,"Active","No est. sales")</x:f>
        <x:v>No est. sales</x:v>
      </x:c>
    </x:row>
    <x:row r="530">
      <x:c r="A530" s="10" t="str">
        <x:v>Homebuyer Financial Planner Excel, House Budget Tracker, Down Payment Savings, Mortgage Calculator, Closing Costs</x:v>
      </x:c>
      <x:c r="B530" s="10" t="str">
        <x:v>https://www.etsy.com/listing/4520997528/homebuyer-financial-planner-excel-house</x:v>
      </x:c>
      <x:c r="C530" s="10" t="str">
        <x:v>ClaritySheetWorks</x:v>
      </x:c>
      <x:c r="D530" s="10" t="str">
        <x:v>https://www.etsy.com/shop/ClaritySheetWorks</x:v>
      </x:c>
      <x:c r="E530" s="11" t="n">
        <x:v>24.99</x:v>
      </x:c>
      <x:c r="F530" s="10" t="n">
        <x:v>0</x:v>
      </x:c>
      <x:c r="G530" s="12" t="n">
        <x:v>0</x:v>
      </x:c>
      <x:c r="H530" s="13" t="n">
        <x:v>0</x:v>
      </x:c>
      <x:c r="I530" s="10" t="n">
        <x:v>0</x:v>
      </x:c>
      <x:c r="J530" s="10" t="n">
        <x:v>0</x:v>
      </x:c>
      <x:c r="K530" s="10" t="str">
        <x:v>1 Mo.</x:v>
      </x:c>
      <x:c r="L530" s="10" t="n">
        <x:v>0</x:v>
      </x:c>
      <x:c r="M530" s="10" t="n">
        <x:v>0</x:v>
      </x:c>
      <x:c r="N530" s="10" t="n">
        <x:v>4</x:v>
      </x:c>
      <x:c r="O530" s="10" t="str"/>
      <x:c r="P530" s="10" t="n">
        <x:v>3</x:v>
      </x:c>
      <x:c r="Q530" s="10" t="n">
        <x:v>0</x:v>
      </x:c>
      <x:c r="R530" s="13" t="n">
        <x:v>0</x:v>
      </x:c>
      <x:c r="S530" s="10" t="n">
        <x:v>6</x:v>
      </x:c>
      <x:c r="T530" s="10" t="str">
        <x:v>homebuyer planner,home buying,house budget,mortgage tracker,down payment,closing costs,first home,home budget,buyer checklist,mortgage excel,savings tracker,personal finance,excel template</x:v>
      </x:c>
      <x:c r="U530" s="10" t="str">
        <x:v>homebuyer planner</x:v>
      </x:c>
      <x:c r="V530" s="10" t="str">
        <x:v>home buying</x:v>
      </x:c>
      <x:c r="W530" s="10" t="str">
        <x:v>house budget</x:v>
      </x:c>
      <x:c r="X530" s="10" t="str">
        <x:v>mortgage tracker</x:v>
      </x:c>
      <x:c r="Y530" s="10" t="str">
        <x:v>down payment</x:v>
      </x:c>
      <x:c r="Z530" s="10" t="str">
        <x:v>closing costs</x:v>
      </x:c>
      <x:c r="AA530" s="10" t="str">
        <x:v>first home</x:v>
      </x:c>
      <x:c r="AB530" s="10" t="str">
        <x:v>home budget</x:v>
      </x:c>
      <x:c r="AC530" s="10" t="str">
        <x:v>buyer checklist</x:v>
      </x:c>
      <x:c r="AD530" s="10" t="str">
        <x:v>mortgage excel</x:v>
      </x:c>
      <x:c r="AE530" s="10" t="str">
        <x:v>savings tracker</x:v>
      </x:c>
      <x:c r="AF530" s="10" t="str">
        <x:v>personal finance</x:v>
      </x:c>
      <x:c r="AG530" s="10" t="str">
        <x:v>excel template</x:v>
      </x:c>
      <x:c r="AH530" s="10" t="str">
        <x:v>Home buying planner</x:v>
      </x:c>
      <x:c r="AI530" s="13" t="n">
        <x:v>1</x:v>
      </x:c>
      <x:c r="AJ530" s="10" t="str">
        <x:f>IF(F530&gt;0,"Active","No est. sales")</x:f>
        <x:v>No est. sales</x:v>
      </x:c>
    </x:row>
    <x:row r="531">
      <x:c r="A531" s="10" t="str">
        <x:v>Funny Debt Free Soy Wax Candle, Paid Off Mortgage Gift, Student Loan Credit Card Payoff Humor, Financial Freedom Gag Gift Homeowner</x:v>
      </x:c>
      <x:c r="B531" s="10" t="str">
        <x:v>https://www.etsy.com/listing/1852271305/funny-credit-card-debt-free-soy-wax</x:v>
      </x:c>
      <x:c r="C531" s="10" t="str">
        <x:v>GlowWorthyMoments</x:v>
      </x:c>
      <x:c r="D531" s="10" t="str">
        <x:v>https://www.etsy.com/shop/GlowWorthyMoments</x:v>
      </x:c>
      <x:c r="E531" s="11" t="n">
        <x:v>22.99</x:v>
      </x:c>
      <x:c r="F531" s="10" t="n">
        <x:v>0</x:v>
      </x:c>
      <x:c r="G531" s="12" t="n">
        <x:v>0</x:v>
      </x:c>
      <x:c r="H531" s="13" t="n">
        <x:v>0</x:v>
      </x:c>
      <x:c r="I531" s="10" t="n">
        <x:v>4</x:v>
      </x:c>
      <x:c r="J531" s="10" t="n">
        <x:v>1</x:v>
      </x:c>
      <x:c r="K531" s="10" t="str">
        <x:v>18 Mo.</x:v>
      </x:c>
      <x:c r="L531" s="10" t="n">
        <x:v>3</x:v>
      </x:c>
      <x:c r="M531" s="10" t="n">
        <x:v>0</x:v>
      </x:c>
      <x:c r="N531" s="10" t="n">
        <x:v>80</x:v>
      </x:c>
      <x:c r="O531" s="10" t="str">
        <x:v>Home &amp; Living</x:v>
      </x:c>
      <x:c r="P531" s="10" t="n">
        <x:v>19</x:v>
      </x:c>
      <x:c r="Q531" s="10" t="n">
        <x:v>0</x:v>
      </x:c>
      <x:c r="R531" s="13" t="n">
        <x:v>5</x:v>
      </x:c>
      <x:c r="S531" s="10" t="n">
        <x:v>252</x:v>
      </x:c>
      <x:c r="T531" s="10" t="str">
        <x:v>adulting gift,mortgage payoff gift,debt payoff,finance gifts,financial planner,credit card payoff,student loan,mortgage loan office,accountant gift,debt free candle,debt free gift,paid off mortgage,student loan gift</x:v>
      </x:c>
      <x:c r="U531" s="10" t="str">
        <x:v>adulting gift</x:v>
      </x:c>
      <x:c r="V531" s="10" t="str">
        <x:v>mortgage payoff gift</x:v>
      </x:c>
      <x:c r="W531" s="10" t="str">
        <x:v>debt payoff</x:v>
      </x:c>
      <x:c r="X531" s="10" t="str">
        <x:v>finance gifts</x:v>
      </x:c>
      <x:c r="Y531" s="10" t="str">
        <x:v>financial planner</x:v>
      </x:c>
      <x:c r="Z531" s="10" t="str">
        <x:v>credit card payoff</x:v>
      </x:c>
      <x:c r="AA531" s="10" t="str">
        <x:v>student loan</x:v>
      </x:c>
      <x:c r="AB531" s="10" t="str">
        <x:v>mortgage loan office</x:v>
      </x:c>
      <x:c r="AC531" s="10" t="str">
        <x:v>accountant gift</x:v>
      </x:c>
      <x:c r="AD531" s="10" t="str">
        <x:v>debt free candle</x:v>
      </x:c>
      <x:c r="AE531" s="10" t="str">
        <x:v>debt free gift</x:v>
      </x:c>
      <x:c r="AF531" s="10" t="str">
        <x:v>paid off mortgage</x:v>
      </x:c>
      <x:c r="AG531" s="10" t="str">
        <x:v>student loan gift</x:v>
      </x:c>
      <x:c r="AH531" s="10" t="str">
        <x:v>General debt payoff</x:v>
      </x:c>
      <x:c r="AI531" s="13" t="n">
        <x:v>18</x:v>
      </x:c>
      <x:c r="AJ531" s="10" t="str">
        <x:f>IF(F531&gt;0,"Active","No est. sales")</x:f>
        <x:v>No est. sales</x:v>
      </x:c>
    </x:row>
    <x:row r="532">
      <x:c r="A532" s="10" t="str">
        <x:v>Mortgage Payoff Excel Template: Extra Payment Calculator (Instant Download)</x:v>
      </x:c>
      <x:c r="B532" s="10" t="str">
        <x:v>https://www.etsy.com/listing/1023300392/mortgage-payoff-excel-template-extra</x:v>
      </x:c>
      <x:c r="C532" s="10" t="str">
        <x:v>RocketSheets</x:v>
      </x:c>
      <x:c r="D532" s="10" t="str">
        <x:v>https://www.etsy.com/shop/RocketSheets</x:v>
      </x:c>
      <x:c r="E532" s="11" t="n">
        <x:v>9.95</x:v>
      </x:c>
      <x:c r="F532" s="10" t="n">
        <x:v>0</x:v>
      </x:c>
      <x:c r="G532" s="12" t="n">
        <x:v>0</x:v>
      </x:c>
      <x:c r="H532" s="13" t="n">
        <x:v>0</x:v>
      </x:c>
      <x:c r="I532" s="10" t="n">
        <x:v>0</x:v>
      </x:c>
      <x:c r="J532" s="10" t="n">
        <x:v>0</x:v>
      </x:c>
      <x:c r="K532" s="10" t="str">
        <x:v>61 Mo.</x:v>
      </x:c>
      <x:c r="L532" s="10" t="n">
        <x:v>24</x:v>
      </x:c>
      <x:c r="M532" s="10" t="n">
        <x:v>0</x:v>
      </x:c>
      <x:c r="N532" s="10" t="n">
        <x:v>640</x:v>
      </x:c>
      <x:c r="O532" s="10" t="str">
        <x:v>Paper &amp; Party Supplies</x:v>
      </x:c>
      <x:c r="P532" s="10" t="n">
        <x:v>70</x:v>
      </x:c>
      <x:c r="Q532" s="10" t="n">
        <x:v>0</x:v>
      </x:c>
      <x:c r="R532" s="13" t="n">
        <x:v>0</x:v>
      </x:c>
      <x:c r="S532" s="10" t="n">
        <x:v>2432</x:v>
      </x:c>
      <x:c r="T532" s="10" t="str">
        <x:v>debt payoff,interest spreadsheet,debt snowball,mortgage calculator,debt management,loan payoff,personal loan,finance tracker,financial advisor,finance planner,mortgage calc,payment calculator,mortgage repayment</x:v>
      </x:c>
      <x:c r="U532" s="10" t="str">
        <x:v>debt payoff</x:v>
      </x:c>
      <x:c r="V532" s="10" t="str">
        <x:v>interest spreadsheet</x:v>
      </x:c>
      <x:c r="W532" s="10" t="str">
        <x:v>debt snowball</x:v>
      </x:c>
      <x:c r="X532" s="10" t="str">
        <x:v>mortgage calculator</x:v>
      </x:c>
      <x:c r="Y532" s="10" t="str">
        <x:v>debt management</x:v>
      </x:c>
      <x:c r="Z532" s="10" t="str">
        <x:v>loan payoff</x:v>
      </x:c>
      <x:c r="AA532" s="10" t="str">
        <x:v>personal loan</x:v>
      </x:c>
      <x:c r="AB532" s="10" t="str">
        <x:v>finance tracker</x:v>
      </x:c>
      <x:c r="AC532" s="10" t="str">
        <x:v>financial advisor</x:v>
      </x:c>
      <x:c r="AD532" s="10" t="str">
        <x:v>finance planner</x:v>
      </x:c>
      <x:c r="AE532" s="10" t="str">
        <x:v>mortgage calc</x:v>
      </x:c>
      <x:c r="AF532" s="10" t="str">
        <x:v>payment calculator</x:v>
      </x:c>
      <x:c r="AG532" s="10" t="str">
        <x:v>mortgage repayment</x:v>
      </x:c>
      <x:c r="AH532" s="10" t="str">
        <x:v>Mortgage payoff / calculator</x:v>
      </x:c>
      <x:c r="AI532" s="13" t="n">
        <x:v>61</x:v>
      </x:c>
      <x:c r="AJ532" s="10" t="str">
        <x:f>IF(F532&gt;0,"Active","No est. sales")</x:f>
        <x:v>No est. sales</x:v>
      </x:c>
    </x:row>
    <x:row r="533">
      <x:c r="A533" s="10" t="str">
        <x:v>Mortgage Payment Planner Sticker Mortgage Payment Icon Sticker Mortgage Payment Sticker</x:v>
      </x:c>
      <x:c r="B533" s="10" t="str">
        <x:v>https://www.etsy.com/listing/1512570842/mortgage-payment-planner-sticker</x:v>
      </x:c>
      <x:c r="C533" s="10" t="str">
        <x:v>StickerPacked</x:v>
      </x:c>
      <x:c r="D533" s="10" t="str">
        <x:v>https://www.etsy.com/shop/StickerPacked</x:v>
      </x:c>
      <x:c r="E533" s="11" t="n">
        <x:v>4</x:v>
      </x:c>
      <x:c r="F533" s="10" t="n">
        <x:v>0</x:v>
      </x:c>
      <x:c r="G533" s="12" t="n">
        <x:v>0</x:v>
      </x:c>
      <x:c r="H533" s="13" t="n">
        <x:v>0</x:v>
      </x:c>
      <x:c r="I533" s="10" t="n">
        <x:v>13</x:v>
      </x:c>
      <x:c r="J533" s="10" t="n">
        <x:v>2</x:v>
      </x:c>
      <x:c r="K533" s="10" t="str">
        <x:v>36 Mo.</x:v>
      </x:c>
      <x:c r="L533" s="10" t="n">
        <x:v>15</x:v>
      </x:c>
      <x:c r="M533" s="10" t="n">
        <x:v>0</x:v>
      </x:c>
      <x:c r="N533" s="10" t="n">
        <x:v>163</x:v>
      </x:c>
      <x:c r="O533" s="10" t="str">
        <x:v>Paper &amp; Party Supplies</x:v>
      </x:c>
      <x:c r="P533" s="10" t="n">
        <x:v>41</x:v>
      </x:c>
      <x:c r="Q533" s="10" t="n">
        <x:v>0</x:v>
      </x:c>
      <x:c r="R533" s="13" t="n">
        <x:v>7.98</x:v>
      </x:c>
      <x:c r="S533" s="10" t="n">
        <x:v>79643</x:v>
      </x:c>
      <x:c r="T533" s="10" t="str">
        <x:v>mortgage payment,planner,planner stickers,bullet journal,happy planner,mini stickers,planning stickers,calendar stickers,icon stickers,erin condren</x:v>
      </x:c>
      <x:c r="U533" s="10" t="str">
        <x:v>mortgage payment</x:v>
      </x:c>
      <x:c r="V533" s="10" t="str">
        <x:v>planner</x:v>
      </x:c>
      <x:c r="W533" s="10" t="str">
        <x:v>planner stickers</x:v>
      </x:c>
      <x:c r="X533" s="10" t="str">
        <x:v>bullet journal</x:v>
      </x:c>
      <x:c r="Y533" s="10" t="str">
        <x:v>happy planner</x:v>
      </x:c>
      <x:c r="Z533" s="10" t="str">
        <x:v>mini stickers</x:v>
      </x:c>
      <x:c r="AA533" s="10" t="str">
        <x:v>planning stickers</x:v>
      </x:c>
      <x:c r="AB533" s="10" t="str">
        <x:v>calendar stickers</x:v>
      </x:c>
      <x:c r="AC533" s="10" t="str">
        <x:v>icon stickers</x:v>
      </x:c>
      <x:c r="AD533" s="10" t="str">
        <x:v>erin condren</x:v>
      </x:c>
      <x:c r="AE533" s="10" t="str">
        <x:v>--</x:v>
      </x:c>
      <x:c r="AF533" s="10" t="str">
        <x:v>--</x:v>
      </x:c>
      <x:c r="AG533" s="10" t="str">
        <x:v>--</x:v>
      </x:c>
      <x:c r="AH533" s="10" t="str">
        <x:v>Other mortgage-related</x:v>
      </x:c>
      <x:c r="AI533" s="13" t="n">
        <x:v>36</x:v>
      </x:c>
      <x:c r="AJ533" s="10" t="str">
        <x:f>IF(F533&gt;0,"Active","No est. sales")</x:f>
        <x:v>No est. sales</x:v>
      </x:c>
    </x:row>
    <x:row r="534">
      <x:c r="A534" s="10" t="str">
        <x:v>Rent Mortgage Planner Stickers | Housing Budget Bill Tracker (Matte/Glossy)</x:v>
      </x:c>
      <x:c r="B534" s="10" t="str">
        <x:v>https://www.etsy.com/listing/271086929/42-rent-mortgage-planner-stickers</x:v>
      </x:c>
      <x:c r="C534" s="10" t="str">
        <x:v>BDdesignCo</x:v>
      </x:c>
      <x:c r="D534" s="10" t="str">
        <x:v>https://www.etsy.com/shop/BDdesignCo</x:v>
      </x:c>
      <x:c r="E534" s="11" t="n">
        <x:v>2.59</x:v>
      </x:c>
      <x:c r="F534" s="10" t="n">
        <x:v>0</x:v>
      </x:c>
      <x:c r="G534" s="12" t="n">
        <x:v>0</x:v>
      </x:c>
      <x:c r="H534" s="13" t="n">
        <x:v>0</x:v>
      </x:c>
      <x:c r="I534" s="10" t="n">
        <x:v>31</x:v>
      </x:c>
      <x:c r="J534" s="10" t="n">
        <x:v>10</x:v>
      </x:c>
      <x:c r="K534" s="10" t="str">
        <x:v>124 Mo.</x:v>
      </x:c>
      <x:c r="L534" s="10" t="n">
        <x:v>35</x:v>
      </x:c>
      <x:c r="M534" s="10" t="n">
        <x:v>0</x:v>
      </x:c>
      <x:c r="N534" s="10" t="n">
        <x:v>451</x:v>
      </x:c>
      <x:c r="O534" s="10" t="str">
        <x:v>Paper &amp; Party Supplies</x:v>
      </x:c>
      <x:c r="P534" s="10" t="n">
        <x:v>126</x:v>
      </x:c>
      <x:c r="Q534" s="10" t="n">
        <x:v>0</x:v>
      </x:c>
      <x:c r="R534" s="13" t="n">
        <x:v>6.87</x:v>
      </x:c>
      <x:c r="S534" s="10" t="n">
        <x:v>1401</x:v>
      </x:c>
      <x:c r="T534" s="10" t="str">
        <x:v>rent sticker,mortgage sticker,bill tracker sticker,budget sticker,finance sticker,payment sticker,planner sticker,erin condren sticker,bullet journal,happy planner,vertical planner,functional sticker,horizontal planner</x:v>
      </x:c>
      <x:c r="U534" s="10" t="str">
        <x:v>rent sticker</x:v>
      </x:c>
      <x:c r="V534" s="10" t="str">
        <x:v>mortgage sticker</x:v>
      </x:c>
      <x:c r="W534" s="10" t="str">
        <x:v>bill tracker sticker</x:v>
      </x:c>
      <x:c r="X534" s="10" t="str">
        <x:v>budget sticker</x:v>
      </x:c>
      <x:c r="Y534" s="10" t="str">
        <x:v>finance sticker</x:v>
      </x:c>
      <x:c r="Z534" s="10" t="str">
        <x:v>payment sticker</x:v>
      </x:c>
      <x:c r="AA534" s="10" t="str">
        <x:v>planner sticker</x:v>
      </x:c>
      <x:c r="AB534" s="10" t="str">
        <x:v>erin condren sticker</x:v>
      </x:c>
      <x:c r="AC534" s="10" t="str">
        <x:v>bullet journal</x:v>
      </x:c>
      <x:c r="AD534" s="10" t="str">
        <x:v>happy planner</x:v>
      </x:c>
      <x:c r="AE534" s="10" t="str">
        <x:v>vertical planner</x:v>
      </x:c>
      <x:c r="AF534" s="10" t="str">
        <x:v>functional sticker</x:v>
      </x:c>
      <x:c r="AG534" s="10" t="str">
        <x:v>horizontal planner</x:v>
      </x:c>
      <x:c r="AH534" s="10" t="str">
        <x:v>Other mortgage-related</x:v>
      </x:c>
      <x:c r="AI534" s="13" t="n">
        <x:v>124</x:v>
      </x:c>
      <x:c r="AJ534" s="10" t="str">
        <x:f>IF(F534&gt;0,"Active","No est. sales")</x:f>
        <x:v>No est. sales</x:v>
      </x:c>
    </x:row>
    <x:row r="535">
      <x:c r="A535" s="10" t="str">
        <x:v>Debt Snowball Spreadsheet Excel Debt Payoff Planner Debt Snowball Calculator Google Sheets Mortgage Payoff Student Loan Payment Tracker</x:v>
      </x:c>
      <x:c r="B535" s="10" t="str">
        <x:v>https://www.etsy.com/listing/1804695571/debt-snowball-spreadsheet-excel-debt</x:v>
      </x:c>
      <x:c r="C535" s="10" t="str">
        <x:v>TheSheetStudio</x:v>
      </x:c>
      <x:c r="D535" s="10" t="str">
        <x:v>https://www.etsy.com/shop/TheSheetStudio</x:v>
      </x:c>
      <x:c r="E535" s="11" t="n">
        <x:v>5.23</x:v>
      </x:c>
      <x:c r="F535" s="10" t="n">
        <x:v>0</x:v>
      </x:c>
      <x:c r="G535" s="12" t="n">
        <x:v>0</x:v>
      </x:c>
      <x:c r="H535" s="13" t="n">
        <x:v>0</x:v>
      </x:c>
      <x:c r="I535" s="10" t="n">
        <x:v>456</x:v>
      </x:c>
      <x:c r="J535" s="10" t="n">
        <x:v>34</x:v>
      </x:c>
      <x:c r="K535" s="10" t="str">
        <x:v>21 Mo.</x:v>
      </x:c>
      <x:c r="L535" s="10" t="n">
        <x:v>89</x:v>
      </x:c>
      <x:c r="M535" s="10" t="n">
        <x:v>2</x:v>
      </x:c>
      <x:c r="N535" s="10" t="n">
        <x:v>7557</x:v>
      </x:c>
      <x:c r="O535" s="10" t="str">
        <x:v>Paper &amp; Party Supplies</x:v>
      </x:c>
      <x:c r="P535" s="10" t="n">
        <x:v>33</x:v>
      </x:c>
      <x:c r="Q535" s="10" t="n">
        <x:v>87</x:v>
      </x:c>
      <x:c r="R535" s="13" t="n">
        <x:v>6.03</x:v>
      </x:c>
      <x:c r="S535" s="10" t="n">
        <x:v>7034</x:v>
      </x:c>
      <x:c r="T535" s="10" t="str">
        <x:v>debt payoff tracker,debt snowball,debt budget,mortgage payoff,debt snowball excel,debt planner,debt tracker excel,debt spreadsheet,loan calculator,dave ramsay,google sheets,debt repayment,debt avalanche</x:v>
      </x:c>
      <x:c r="U535" s="10" t="str">
        <x:v>debt payoff tracker</x:v>
      </x:c>
      <x:c r="V535" s="10" t="str">
        <x:v>debt snowball</x:v>
      </x:c>
      <x:c r="W535" s="10" t="str">
        <x:v>debt budget</x:v>
      </x:c>
      <x:c r="X535" s="10" t="str">
        <x:v>mortgage payoff</x:v>
      </x:c>
      <x:c r="Y535" s="10" t="str">
        <x:v>debt snowball excel</x:v>
      </x:c>
      <x:c r="Z535" s="10" t="str">
        <x:v>debt planner</x:v>
      </x:c>
      <x:c r="AA535" s="10" t="str">
        <x:v>debt tracker excel</x:v>
      </x:c>
      <x:c r="AB535" s="10" t="str">
        <x:v>debt spreadsheet</x:v>
      </x:c>
      <x:c r="AC535" s="10" t="str">
        <x:v>loan calculator</x:v>
      </x:c>
      <x:c r="AD535" s="10" t="str">
        <x:v>dave ramsay</x:v>
      </x:c>
      <x:c r="AE535" s="10" t="str">
        <x:v>google sheets</x:v>
      </x:c>
      <x:c r="AF535" s="10" t="str">
        <x:v>debt repayment</x:v>
      </x:c>
      <x:c r="AG535" s="10" t="str">
        <x:v>debt avalanche</x:v>
      </x:c>
      <x:c r="AH535" s="10" t="str">
        <x:v>General debt payoff</x:v>
      </x:c>
      <x:c r="AI535" s="13" t="n">
        <x:v>21</x:v>
      </x:c>
      <x:c r="AJ535" s="10" t="str">
        <x:f>IF(F535&gt;0,"Active","No est. sales")</x:f>
        <x:v>No est. sales</x:v>
      </x:c>
    </x:row>
    <x:row r="536">
      <x:c r="A536" s="10" t="str">
        <x:v>Debt Snowball Calculator Spreadsheet Template | Excel &amp; Google Sheets (Digital Download)</x:v>
      </x:c>
      <x:c r="B536" s="10" t="str">
        <x:v>https://www.etsy.com/listing/4319910978/debt-snowball-calculator-spreadsheet</x:v>
      </x:c>
      <x:c r="C536" s="10" t="str">
        <x:v>TheSheetStudio</x:v>
      </x:c>
      <x:c r="D536" s="10" t="str">
        <x:v>https://www.etsy.com/shop/TheSheetStudio</x:v>
      </x:c>
      <x:c r="E536" s="11" t="n">
        <x:v>5.23</x:v>
      </x:c>
      <x:c r="F536" s="10" t="n">
        <x:v>0</x:v>
      </x:c>
      <x:c r="G536" s="12" t="n">
        <x:v>0</x:v>
      </x:c>
      <x:c r="H536" s="13" t="n">
        <x:v>0</x:v>
      </x:c>
      <x:c r="I536" s="10" t="n">
        <x:v>0</x:v>
      </x:c>
      <x:c r="J536" s="10" t="n">
        <x:v>0</x:v>
      </x:c>
      <x:c r="K536" s="10" t="str">
        <x:v>13 Mo.</x:v>
      </x:c>
      <x:c r="L536" s="10" t="n">
        <x:v>1</x:v>
      </x:c>
      <x:c r="M536" s="10" t="n">
        <x:v>0</x:v>
      </x:c>
      <x:c r="N536" s="10" t="n">
        <x:v>50</x:v>
      </x:c>
      <x:c r="O536" s="10" t="str">
        <x:v>Paper &amp; Party Supplies</x:v>
      </x:c>
      <x:c r="P536" s="10" t="n">
        <x:v>33</x:v>
      </x:c>
      <x:c r="Q536" s="10" t="n">
        <x:v>0</x:v>
      </x:c>
      <x:c r="R536" s="13" t="n">
        <x:v>0</x:v>
      </x:c>
      <x:c r="S536" s="10" t="n">
        <x:v>7034</x:v>
      </x:c>
      <x:c r="T536" s="10" t="str">
        <x:v>debt payoff tracker,debt snowball,debt budget,mortgage payoff,debt snowball excel,debt planner,debt tracker excel,debt spreadsheet,loan calculator,dave ramsay,google sheets,debt repayment,debt dashboard</x:v>
      </x:c>
      <x:c r="U536" s="10" t="str">
        <x:v>debt payoff tracker</x:v>
      </x:c>
      <x:c r="V536" s="10" t="str">
        <x:v>debt snowball</x:v>
      </x:c>
      <x:c r="W536" s="10" t="str">
        <x:v>debt budget</x:v>
      </x:c>
      <x:c r="X536" s="10" t="str">
        <x:v>mortgage payoff</x:v>
      </x:c>
      <x:c r="Y536" s="10" t="str">
        <x:v>debt snowball excel</x:v>
      </x:c>
      <x:c r="Z536" s="10" t="str">
        <x:v>debt planner</x:v>
      </x:c>
      <x:c r="AA536" s="10" t="str">
        <x:v>debt tracker excel</x:v>
      </x:c>
      <x:c r="AB536" s="10" t="str">
        <x:v>debt spreadsheet</x:v>
      </x:c>
      <x:c r="AC536" s="10" t="str">
        <x:v>loan calculator</x:v>
      </x:c>
      <x:c r="AD536" s="10" t="str">
        <x:v>dave ramsay</x:v>
      </x:c>
      <x:c r="AE536" s="10" t="str">
        <x:v>google sheets</x:v>
      </x:c>
      <x:c r="AF536" s="10" t="str">
        <x:v>debt repayment</x:v>
      </x:c>
      <x:c r="AG536" s="10" t="str">
        <x:v>debt dashboard</x:v>
      </x:c>
      <x:c r="AH536" s="10" t="str">
        <x:v>General debt payoff</x:v>
      </x:c>
      <x:c r="AI536" s="13" t="n">
        <x:v>13</x:v>
      </x:c>
      <x:c r="AJ536" s="10" t="str">
        <x:f>IF(F536&gt;0,"Active","No est. sales")</x:f>
        <x:v>No est. sales</x:v>
      </x:c>
    </x:row>
    <x:row r="537">
      <x:c r="A537" s="10" t="str">
        <x:v>Printable Debt Tracker, Budget Planner, Debt Snowball, Debt Planner, Budget Binder Template, Student Loan Tracker, Planner Printable</x:v>
      </x:c>
      <x:c r="B537" s="10" t="str">
        <x:v>https://www.etsy.com/listing/1376680194/printable-debt-tracker-budget-planner</x:v>
      </x:c>
      <x:c r="C537" s="10" t="str">
        <x:v>CreativeBudgeter</x:v>
      </x:c>
      <x:c r="D537" s="10" t="str">
        <x:v>https://www.etsy.com/shop/CreativeBudgeter</x:v>
      </x:c>
      <x:c r="E537" s="11" t="n">
        <x:v>3.47</x:v>
      </x:c>
      <x:c r="F537" s="10" t="n">
        <x:v>0</x:v>
      </x:c>
      <x:c r="G537" s="12" t="n">
        <x:v>0</x:v>
      </x:c>
      <x:c r="H537" s="13" t="n">
        <x:v>0</x:v>
      </x:c>
      <x:c r="I537" s="10" t="n">
        <x:v>0</x:v>
      </x:c>
      <x:c r="J537" s="10" t="n">
        <x:v>0</x:v>
      </x:c>
      <x:c r="K537" s="10" t="str">
        <x:v>42 Mo.</x:v>
      </x:c>
      <x:c r="L537" s="10" t="n">
        <x:v>0</x:v>
      </x:c>
      <x:c r="M537" s="10" t="n">
        <x:v>0</x:v>
      </x:c>
      <x:c r="N537" s="10" t="n">
        <x:v>14</x:v>
      </x:c>
      <x:c r="O537" s="10" t="str">
        <x:v>Paper &amp; Party Supplies</x:v>
      </x:c>
      <x:c r="P537" s="10" t="n">
        <x:v>42</x:v>
      </x:c>
      <x:c r="Q537" s="10" t="n">
        <x:v>0</x:v>
      </x:c>
      <x:c r="R537" s="13" t="n">
        <x:v>0</x:v>
      </x:c>
      <x:c r="S537" s="10" t="n">
        <x:v>148</x:v>
      </x:c>
      <x:c r="T537" s="10" t="str">
        <x:v>debt tracker,budget planner,student loan tracker,credit card,mortgage payoff,budget binder,dave ramsay budget,debt challenge,monthly budget,zero based budget,debt snowball,easy budget,printable budget</x:v>
      </x:c>
      <x:c r="U537" s="10" t="str">
        <x:v>debt tracker</x:v>
      </x:c>
      <x:c r="V537" s="10" t="str">
        <x:v>budget planner</x:v>
      </x:c>
      <x:c r="W537" s="10" t="str">
        <x:v>student loan tracker</x:v>
      </x:c>
      <x:c r="X537" s="10" t="str">
        <x:v>credit card</x:v>
      </x:c>
      <x:c r="Y537" s="10" t="str">
        <x:v>mortgage payoff</x:v>
      </x:c>
      <x:c r="Z537" s="10" t="str">
        <x:v>budget binder</x:v>
      </x:c>
      <x:c r="AA537" s="10" t="str">
        <x:v>dave ramsay budget</x:v>
      </x:c>
      <x:c r="AB537" s="10" t="str">
        <x:v>debt challenge</x:v>
      </x:c>
      <x:c r="AC537" s="10" t="str">
        <x:v>monthly budget</x:v>
      </x:c>
      <x:c r="AD537" s="10" t="str">
        <x:v>zero based budget</x:v>
      </x:c>
      <x:c r="AE537" s="10" t="str">
        <x:v>debt snowball</x:v>
      </x:c>
      <x:c r="AF537" s="10" t="str">
        <x:v>easy budget</x:v>
      </x:c>
      <x:c r="AG537" s="10" t="str">
        <x:v>printable budget</x:v>
      </x:c>
      <x:c r="AH537" s="10" t="str">
        <x:v>General debt payoff</x:v>
      </x:c>
      <x:c r="AI537" s="13" t="n">
        <x:v>42</x:v>
      </x:c>
      <x:c r="AJ537" s="10" t="str">
        <x:f>IF(F537&gt;0,"Active","No est. sales")</x:f>
        <x:v>No est. sales</x:v>
      </x:c>
    </x:row>
    <x:row r="538">
      <x:c r="A538" s="10" t="str">
        <x:v>First Time Home Buyer Spreadsheet | DTI and Cash Planning Tracker | Property Comparison Excel</x:v>
      </x:c>
      <x:c r="B538" s="10" t="str">
        <x:v>https://www.etsy.com/listing/4533534819/first-time-home-buyer-spreadsheet-dti</x:v>
      </x:c>
      <x:c r="C538" s="10" t="str">
        <x:v>ClarityGauge</x:v>
      </x:c>
      <x:c r="D538" s="10" t="str">
        <x:v>https://www.etsy.com/shop/ClarityGauge</x:v>
      </x:c>
      <x:c r="E538" s="11" t="n">
        <x:v>4.99</x:v>
      </x:c>
      <x:c r="F538" s="10" t="n">
        <x:v>0</x:v>
      </x:c>
      <x:c r="G538" s="12" t="n">
        <x:v>0</x:v>
      </x:c>
      <x:c r="H538" s="13" t="n">
        <x:v>0</x:v>
      </x:c>
      <x:c r="I538" s="10" t="n">
        <x:v>0</x:v>
      </x:c>
      <x:c r="J538" s="10" t="n">
        <x:v>0</x:v>
      </x:c>
      <x:c r="K538" s="10" t="str">
        <x:v>1 Mo.</x:v>
      </x:c>
      <x:c r="L538" s="10" t="n">
        <x:v>0</x:v>
      </x:c>
      <x:c r="M538" s="10" t="n">
        <x:v>0</x:v>
      </x:c>
      <x:c r="N538" s="10" t="n">
        <x:v>0</x:v>
      </x:c>
      <x:c r="O538" s="10" t="str"/>
      <x:c r="P538" s="10" t="n">
        <x:v>2</x:v>
      </x:c>
      <x:c r="Q538" s="10" t="n">
        <x:v>0</x:v>
      </x:c>
      <x:c r="R538" s="13" t="n">
        <x:v>0</x:v>
      </x:c>
      <x:c r="S538" s="10" t="n">
        <x:v>0</x:v>
      </x:c>
      <x:c r="T538" s="10" t="str">
        <x:v>first home buyer,homebuyer planner,house hunt,buyer readiness,real estate,mortgage spreadsheet,rent vs buy,property compare,closing costs,spreadsheet,excel template,mortgage planner,dti tracker</x:v>
      </x:c>
      <x:c r="U538" s="10" t="str">
        <x:v>first home buyer</x:v>
      </x:c>
      <x:c r="V538" s="10" t="str">
        <x:v>homebuyer planner</x:v>
      </x:c>
      <x:c r="W538" s="10" t="str">
        <x:v>house hunt</x:v>
      </x:c>
      <x:c r="X538" s="10" t="str">
        <x:v>buyer readiness</x:v>
      </x:c>
      <x:c r="Y538" s="10" t="str">
        <x:v>real estate</x:v>
      </x:c>
      <x:c r="Z538" s="10" t="str">
        <x:v>mortgage spreadsheet</x:v>
      </x:c>
      <x:c r="AA538" s="10" t="str">
        <x:v>rent vs buy</x:v>
      </x:c>
      <x:c r="AB538" s="10" t="str">
        <x:v>property compare</x:v>
      </x:c>
      <x:c r="AC538" s="10" t="str">
        <x:v>closing costs</x:v>
      </x:c>
      <x:c r="AD538" s="10" t="str">
        <x:v>spreadsheet</x:v>
      </x:c>
      <x:c r="AE538" s="10" t="str">
        <x:v>excel template</x:v>
      </x:c>
      <x:c r="AF538" s="10" t="str">
        <x:v>mortgage planner</x:v>
      </x:c>
      <x:c r="AG538" s="10" t="str">
        <x:v>dti tracker</x:v>
      </x:c>
      <x:c r="AH538" s="10" t="str">
        <x:v>Home buying planner</x:v>
      </x:c>
      <x:c r="AI538" s="13" t="n">
        <x:v>1</x:v>
      </x:c>
      <x:c r="AJ538" s="10" t="str">
        <x:f>IF(F538&gt;0,"Active","No est. sales")</x:f>
        <x:v>No est. sales</x:v>
      </x:c>
    </x:row>
    <x:row r="539">
      <x:c r="A539" s="10" t="str">
        <x:v>Debt Avalanche Spreadsheet for Google Sheets, Debt Payment Planner Tracker, Loan Payoff Budget Template, INSTANT DOWNLOAD - Blue LD017</x:v>
      </x:c>
      <x:c r="B539" s="10" t="str">
        <x:v>https://www.etsy.com/listing/1580465112/debt-avalanche-spreadsheet-for-google</x:v>
      </x:c>
      <x:c r="C539" s="10" t="str">
        <x:v>LivingFreeofD</x:v>
      </x:c>
      <x:c r="D539" s="10" t="str">
        <x:v>https://www.etsy.com/shop/LivingFreeofD</x:v>
      </x:c>
      <x:c r="E539" s="11" t="n">
        <x:v>4.82</x:v>
      </x:c>
      <x:c r="F539" s="10" t="n">
        <x:v>0</x:v>
      </x:c>
      <x:c r="G539" s="12" t="n">
        <x:v>0</x:v>
      </x:c>
      <x:c r="H539" s="13" t="n">
        <x:v>0</x:v>
      </x:c>
      <x:c r="I539" s="10" t="n">
        <x:v>0</x:v>
      </x:c>
      <x:c r="J539" s="10" t="n">
        <x:v>0</x:v>
      </x:c>
      <x:c r="K539" s="10" t="str">
        <x:v>33 Mo.</x:v>
      </x:c>
      <x:c r="L539" s="10" t="n">
        <x:v>3</x:v>
      </x:c>
      <x:c r="M539" s="10" t="n">
        <x:v>0</x:v>
      </x:c>
      <x:c r="N539" s="10" t="n">
        <x:v>43</x:v>
      </x:c>
      <x:c r="O539" s="10" t="str"/>
      <x:c r="P539" s="10" t="n">
        <x:v>70</x:v>
      </x:c>
      <x:c r="Q539" s="10" t="n">
        <x:v>0</x:v>
      </x:c>
      <x:c r="R539" s="13" t="n">
        <x:v>0</x:v>
      </x:c>
      <x:c r="S539" s="10" t="n">
        <x:v>2039</x:v>
      </x:c>
      <x:c r="T539" s="10" t="str">
        <x:v>debt payment tracker,debt snowball,debt avalanche,debt payoff planner,debt calculator,loan payoff tracker,credit card debt,mortgage payoff,student loan debt,financial planner,personal finance,debt google sheets,snowball method</x:v>
      </x:c>
      <x:c r="U539" s="10" t="str">
        <x:v>debt payment tracker</x:v>
      </x:c>
      <x:c r="V539" s="10" t="str">
        <x:v>debt snowball</x:v>
      </x:c>
      <x:c r="W539" s="10" t="str">
        <x:v>debt avalanche</x:v>
      </x:c>
      <x:c r="X539" s="10" t="str">
        <x:v>debt payoff planner</x:v>
      </x:c>
      <x:c r="Y539" s="10" t="str">
        <x:v>debt calculator</x:v>
      </x:c>
      <x:c r="Z539" s="10" t="str">
        <x:v>loan payoff tracker</x:v>
      </x:c>
      <x:c r="AA539" s="10" t="str">
        <x:v>credit card debt</x:v>
      </x:c>
      <x:c r="AB539" s="10" t="str">
        <x:v>mortgage payoff</x:v>
      </x:c>
      <x:c r="AC539" s="10" t="str">
        <x:v>student loan debt</x:v>
      </x:c>
      <x:c r="AD539" s="10" t="str">
        <x:v>financial planner</x:v>
      </x:c>
      <x:c r="AE539" s="10" t="str">
        <x:v>personal finance</x:v>
      </x:c>
      <x:c r="AF539" s="10" t="str">
        <x:v>debt google sheets</x:v>
      </x:c>
      <x:c r="AG539" s="10" t="str">
        <x:v>snowball method</x:v>
      </x:c>
      <x:c r="AH539" s="10" t="str">
        <x:v>General debt payoff</x:v>
      </x:c>
      <x:c r="AI539" s="13" t="n">
        <x:v>33</x:v>
      </x:c>
      <x:c r="AJ539" s="10" t="str">
        <x:f>IF(F539&gt;0,"Active","No est. sales")</x:f>
        <x:v>No est. sales</x:v>
      </x:c>
    </x:row>
    <x:row r="540">
      <x:c r="A540" s="10" t="str">
        <x:v>Credit Card Debt Tracker Printable Set, Debt-Free Trackers, Emergency Fund, Budget Planner,  INSTANT DOWNLOAD, 8 Pages - Blue LD054</x:v>
      </x:c>
      <x:c r="B540" s="10" t="str">
        <x:v>https://www.etsy.com/listing/1508848057/credit-card-debt-tracker-printable-set</x:v>
      </x:c>
      <x:c r="C540" s="10" t="str">
        <x:v>LivingFreeofD</x:v>
      </x:c>
      <x:c r="D540" s="10" t="str">
        <x:v>https://www.etsy.com/shop/LivingFreeofD</x:v>
      </x:c>
      <x:c r="E540" s="11" t="n">
        <x:v>6.21</x:v>
      </x:c>
      <x:c r="F540" s="10" t="n">
        <x:v>0</x:v>
      </x:c>
      <x:c r="G540" s="12" t="n">
        <x:v>0</x:v>
      </x:c>
      <x:c r="H540" s="13" t="n">
        <x:v>0</x:v>
      </x:c>
      <x:c r="I540" s="10" t="n">
        <x:v>0</x:v>
      </x:c>
      <x:c r="J540" s="10" t="n">
        <x:v>0</x:v>
      </x:c>
      <x:c r="K540" s="10" t="str">
        <x:v>37 Mo.</x:v>
      </x:c>
      <x:c r="L540" s="10" t="n">
        <x:v>5</x:v>
      </x:c>
      <x:c r="M540" s="10" t="n">
        <x:v>0</x:v>
      </x:c>
      <x:c r="N540" s="10" t="n">
        <x:v>47</x:v>
      </x:c>
      <x:c r="O540" s="10" t="str"/>
      <x:c r="P540" s="10" t="n">
        <x:v>70</x:v>
      </x:c>
      <x:c r="Q540" s="10" t="n">
        <x:v>0</x:v>
      </x:c>
      <x:c r="R540" s="13" t="n">
        <x:v>0</x:v>
      </x:c>
      <x:c r="S540" s="10" t="n">
        <x:v>2039</x:v>
      </x:c>
      <x:c r="T540" s="10" t="str">
        <x:v>finance planner,dave ramsey,emergency fund,credit card trcker,debt snowball,debt payoff tracker,mortgage tracker,budget tracker,debt-free goals,debt payment tracker,money mindset,printable budget,savings tracker</x:v>
      </x:c>
      <x:c r="U540" s="10" t="str">
        <x:v>finance planner</x:v>
      </x:c>
      <x:c r="V540" s="10" t="str">
        <x:v>dave ramsey</x:v>
      </x:c>
      <x:c r="W540" s="10" t="str">
        <x:v>emergency fund</x:v>
      </x:c>
      <x:c r="X540" s="10" t="str">
        <x:v>credit card trcker</x:v>
      </x:c>
      <x:c r="Y540" s="10" t="str">
        <x:v>debt snowball</x:v>
      </x:c>
      <x:c r="Z540" s="10" t="str">
        <x:v>debt payoff tracker</x:v>
      </x:c>
      <x:c r="AA540" s="10" t="str">
        <x:v>mortgage tracker</x:v>
      </x:c>
      <x:c r="AB540" s="10" t="str">
        <x:v>budget tracker</x:v>
      </x:c>
      <x:c r="AC540" s="10" t="str">
        <x:v>debt-free goals</x:v>
      </x:c>
      <x:c r="AD540" s="10" t="str">
        <x:v>debt payment tracker</x:v>
      </x:c>
      <x:c r="AE540" s="10" t="str">
        <x:v>money mindset</x:v>
      </x:c>
      <x:c r="AF540" s="10" t="str">
        <x:v>printable budget</x:v>
      </x:c>
      <x:c r="AG540" s="10" t="str">
        <x:v>savings tracker</x:v>
      </x:c>
      <x:c r="AH540" s="10" t="str">
        <x:v>General debt payoff</x:v>
      </x:c>
      <x:c r="AI540" s="13" t="n">
        <x:v>37</x:v>
      </x:c>
      <x:c r="AJ540" s="10" t="str">
        <x:f>IF(F540&gt;0,"Active","No est. sales")</x:f>
        <x:v>No est. sales</x:v>
      </x:c>
    </x:row>
    <x:row r="541">
      <x:c r="A541" s="10" t="str">
        <x:v>Credit Card Debt Tracker Printable Set, Debt-Free Trackers, Emergency Fund, Budget Planner PDF,  INSTANT DOWNLOAD, 8 Pages - Beige LD051</x:v>
      </x:c>
      <x:c r="B541" s="10" t="str">
        <x:v>https://www.etsy.com/listing/1494671166/credit-card-debt-tracker-printable-set</x:v>
      </x:c>
      <x:c r="C541" s="10" t="str">
        <x:v>LivingFreeofD</x:v>
      </x:c>
      <x:c r="D541" s="10" t="str">
        <x:v>https://www.etsy.com/shop/LivingFreeofD</x:v>
      </x:c>
      <x:c r="E541" s="11" t="n">
        <x:v>6.21</x:v>
      </x:c>
      <x:c r="F541" s="10" t="n">
        <x:v>0</x:v>
      </x:c>
      <x:c r="G541" s="12" t="n">
        <x:v>0</x:v>
      </x:c>
      <x:c r="H541" s="13" t="n">
        <x:v>0</x:v>
      </x:c>
      <x:c r="I541" s="10" t="n">
        <x:v>0</x:v>
      </x:c>
      <x:c r="J541" s="10" t="n">
        <x:v>0</x:v>
      </x:c>
      <x:c r="K541" s="10" t="str">
        <x:v>37 Mo.</x:v>
      </x:c>
      <x:c r="L541" s="10" t="n">
        <x:v>3</x:v>
      </x:c>
      <x:c r="M541" s="10" t="n">
        <x:v>0</x:v>
      </x:c>
      <x:c r="N541" s="10" t="n">
        <x:v>55</x:v>
      </x:c>
      <x:c r="O541" s="10" t="str"/>
      <x:c r="P541" s="10" t="n">
        <x:v>70</x:v>
      </x:c>
      <x:c r="Q541" s="10" t="n">
        <x:v>0</x:v>
      </x:c>
      <x:c r="R541" s="13" t="n">
        <x:v>0</x:v>
      </x:c>
      <x:c r="S541" s="10" t="n">
        <x:v>2039</x:v>
      </x:c>
      <x:c r="T541" s="10" t="str">
        <x:v>finance planner,dave ramsey,emergency fund,credit card trcker,debt snowball,debt payoff tracker,mortgage tracker,budget tracker,debt-free goals,debt payment tracker,money mindset,printable budget,savings tracker</x:v>
      </x:c>
      <x:c r="U541" s="10" t="str">
        <x:v>finance planner</x:v>
      </x:c>
      <x:c r="V541" s="10" t="str">
        <x:v>dave ramsey</x:v>
      </x:c>
      <x:c r="W541" s="10" t="str">
        <x:v>emergency fund</x:v>
      </x:c>
      <x:c r="X541" s="10" t="str">
        <x:v>credit card trcker</x:v>
      </x:c>
      <x:c r="Y541" s="10" t="str">
        <x:v>debt snowball</x:v>
      </x:c>
      <x:c r="Z541" s="10" t="str">
        <x:v>debt payoff tracker</x:v>
      </x:c>
      <x:c r="AA541" s="10" t="str">
        <x:v>mortgage tracker</x:v>
      </x:c>
      <x:c r="AB541" s="10" t="str">
        <x:v>budget tracker</x:v>
      </x:c>
      <x:c r="AC541" s="10" t="str">
        <x:v>debt-free goals</x:v>
      </x:c>
      <x:c r="AD541" s="10" t="str">
        <x:v>debt payment tracker</x:v>
      </x:c>
      <x:c r="AE541" s="10" t="str">
        <x:v>money mindset</x:v>
      </x:c>
      <x:c r="AF541" s="10" t="str">
        <x:v>printable budget</x:v>
      </x:c>
      <x:c r="AG541" s="10" t="str">
        <x:v>savings tracker</x:v>
      </x:c>
      <x:c r="AH541" s="10" t="str">
        <x:v>General debt payoff</x:v>
      </x:c>
      <x:c r="AI541" s="13" t="n">
        <x:v>37</x:v>
      </x:c>
      <x:c r="AJ541" s="10" t="str">
        <x:f>IF(F541&gt;0,"Active","No est. sales")</x:f>
        <x:v>No est. sales</x:v>
      </x:c>
    </x:row>
    <x:row r="542">
      <x:c r="A542" s="10" t="str">
        <x:v>Debt Avalanche Spreadsheet for Google Sheets, Debt Payment Planner Tracker, Loan Payoff Budget Template, INSTANT DOWNLOAD - Neutral LD018</x:v>
      </x:c>
      <x:c r="B542" s="10" t="str">
        <x:v>https://www.etsy.com/listing/1580462026/debt-avalanche-spreadsheet-for-google</x:v>
      </x:c>
      <x:c r="C542" s="10" t="str">
        <x:v>LivingFreeofD</x:v>
      </x:c>
      <x:c r="D542" s="10" t="str">
        <x:v>https://www.etsy.com/shop/LivingFreeofD</x:v>
      </x:c>
      <x:c r="E542" s="11" t="n">
        <x:v>4.82</x:v>
      </x:c>
      <x:c r="F542" s="10" t="n">
        <x:v>0</x:v>
      </x:c>
      <x:c r="G542" s="12" t="n">
        <x:v>0</x:v>
      </x:c>
      <x:c r="H542" s="13" t="n">
        <x:v>0</x:v>
      </x:c>
      <x:c r="I542" s="10" t="n">
        <x:v>0</x:v>
      </x:c>
      <x:c r="J542" s="10" t="n">
        <x:v>0</x:v>
      </x:c>
      <x:c r="K542" s="10" t="str">
        <x:v>33 Mo.</x:v>
      </x:c>
      <x:c r="L542" s="10" t="n">
        <x:v>1</x:v>
      </x:c>
      <x:c r="M542" s="10" t="n">
        <x:v>0</x:v>
      </x:c>
      <x:c r="N542" s="10" t="n">
        <x:v>66</x:v>
      </x:c>
      <x:c r="O542" s="10" t="str"/>
      <x:c r="P542" s="10" t="n">
        <x:v>70</x:v>
      </x:c>
      <x:c r="Q542" s="10" t="n">
        <x:v>0</x:v>
      </x:c>
      <x:c r="R542" s="13" t="n">
        <x:v>0</x:v>
      </x:c>
      <x:c r="S542" s="10" t="n">
        <x:v>2039</x:v>
      </x:c>
      <x:c r="T542" s="10" t="str">
        <x:v>debt payment tracker,debt snowball,debt avalanche,debt payoff planner,debt calculator,loan payoff tracker,credit card debt,mortgage payoff,student loan debt,financial planner,personal finance,debt google sheets,snowball method</x:v>
      </x:c>
      <x:c r="U542" s="10" t="str">
        <x:v>debt payment tracker</x:v>
      </x:c>
      <x:c r="V542" s="10" t="str">
        <x:v>debt snowball</x:v>
      </x:c>
      <x:c r="W542" s="10" t="str">
        <x:v>debt avalanche</x:v>
      </x:c>
      <x:c r="X542" s="10" t="str">
        <x:v>debt payoff planner</x:v>
      </x:c>
      <x:c r="Y542" s="10" t="str">
        <x:v>debt calculator</x:v>
      </x:c>
      <x:c r="Z542" s="10" t="str">
        <x:v>loan payoff tracker</x:v>
      </x:c>
      <x:c r="AA542" s="10" t="str">
        <x:v>credit card debt</x:v>
      </x:c>
      <x:c r="AB542" s="10" t="str">
        <x:v>mortgage payoff</x:v>
      </x:c>
      <x:c r="AC542" s="10" t="str">
        <x:v>student loan debt</x:v>
      </x:c>
      <x:c r="AD542" s="10" t="str">
        <x:v>financial planner</x:v>
      </x:c>
      <x:c r="AE542" s="10" t="str">
        <x:v>personal finance</x:v>
      </x:c>
      <x:c r="AF542" s="10" t="str">
        <x:v>debt google sheets</x:v>
      </x:c>
      <x:c r="AG542" s="10" t="str">
        <x:v>snowball method</x:v>
      </x:c>
      <x:c r="AH542" s="10" t="str">
        <x:v>General debt payoff</x:v>
      </x:c>
      <x:c r="AI542" s="13" t="n">
        <x:v>33</x:v>
      </x:c>
      <x:c r="AJ542" s="10" t="str">
        <x:f>IF(F542&gt;0,"Active","No est. sales")</x:f>
        <x:v>No est. sales</x:v>
      </x:c>
    </x:row>
    <x:row r="543">
      <x:c r="A543" s="10" t="str">
        <x:v>Home Functional Icons | Planner Stickers, Rent,  OodlemaDoodles</x:v>
      </x:c>
      <x:c r="B543" s="10" t="str">
        <x:v>https://www.etsy.com/listing/885298665/home-functional-icons-planner-stickers</x:v>
      </x:c>
      <x:c r="C543" s="10" t="str">
        <x:v>OodlemaDoodles</x:v>
      </x:c>
      <x:c r="D543" s="10" t="str">
        <x:v>https://www.etsy.com/shop/OodlemaDoodles</x:v>
      </x:c>
      <x:c r="E543" s="11" t="n">
        <x:v>3.85</x:v>
      </x:c>
      <x:c r="F543" s="10" t="n">
        <x:v>0</x:v>
      </x:c>
      <x:c r="G543" s="12" t="n">
        <x:v>0</x:v>
      </x:c>
      <x:c r="H543" s="13" t="n">
        <x:v>0</x:v>
      </x:c>
      <x:c r="I543" s="10" t="n">
        <x:v>10</x:v>
      </x:c>
      <x:c r="J543" s="10" t="n">
        <x:v>3</x:v>
      </x:c>
      <x:c r="K543" s="10" t="str">
        <x:v>69 Mo.</x:v>
      </x:c>
      <x:c r="L543" s="10" t="n">
        <x:v>29</x:v>
      </x:c>
      <x:c r="M543" s="10" t="n">
        <x:v>0</x:v>
      </x:c>
      <x:c r="N543" s="10" t="n">
        <x:v>240</x:v>
      </x:c>
      <x:c r="O543" s="10" t="str">
        <x:v>Paper &amp; Party Supplies</x:v>
      </x:c>
      <x:c r="P543" s="10" t="n">
        <x:v>133</x:v>
      </x:c>
      <x:c r="Q543" s="10" t="n">
        <x:v>0</x:v>
      </x:c>
      <x:c r="R543" s="13" t="n">
        <x:v>4.17</x:v>
      </x:c>
      <x:c r="S543" s="10" t="n">
        <x:v>59257</x:v>
      </x:c>
      <x:c r="T543" s="10" t="str">
        <x:v>planner,planning,happy planner,erin condren,stickers,event,uk,functional,home,mortgage,rent,flat,house</x:v>
      </x:c>
      <x:c r="U543" s="10" t="str">
        <x:v>planner</x:v>
      </x:c>
      <x:c r="V543" s="10" t="str">
        <x:v>planning</x:v>
      </x:c>
      <x:c r="W543" s="10" t="str">
        <x:v>happy planner</x:v>
      </x:c>
      <x:c r="X543" s="10" t="str">
        <x:v>erin condren</x:v>
      </x:c>
      <x:c r="Y543" s="10" t="str">
        <x:v>stickers</x:v>
      </x:c>
      <x:c r="Z543" s="10" t="str">
        <x:v>event</x:v>
      </x:c>
      <x:c r="AA543" s="10" t="str">
        <x:v>uk</x:v>
      </x:c>
      <x:c r="AB543" s="10" t="str">
        <x:v>functional</x:v>
      </x:c>
      <x:c r="AC543" s="10" t="str">
        <x:v>home</x:v>
      </x:c>
      <x:c r="AD543" s="10" t="str">
        <x:v>mortgage</x:v>
      </x:c>
      <x:c r="AE543" s="10" t="str">
        <x:v>rent</x:v>
      </x:c>
      <x:c r="AF543" s="10" t="str">
        <x:v>flat</x:v>
      </x:c>
      <x:c r="AG543" s="10" t="str">
        <x:v>house</x:v>
      </x:c>
      <x:c r="AH543" s="10" t="str">
        <x:v>Other mortgage-related</x:v>
      </x:c>
      <x:c r="AI543" s="13" t="n">
        <x:v>69</x:v>
      </x:c>
      <x:c r="AJ543" s="10" t="str">
        <x:f>IF(F543&gt;0,"Active","No est. sales")</x:f>
        <x:v>No est. sales</x:v>
      </x:c>
    </x:row>
    <x:row r="544">
      <x:c r="A544" s="10" t="str">
        <x:v>House Payment Planner Stickers, Mortgage Payment Reminder, Rent Payment reminder for planner</x:v>
      </x:c>
      <x:c r="B544" s="10" t="str">
        <x:v>https://www.etsy.com/listing/1703275518/house-payment-planner-stickers-mortgage</x:v>
      </x:c>
      <x:c r="C544" s="10" t="str">
        <x:v>Judeannedesigns</x:v>
      </x:c>
      <x:c r="D544" s="10" t="str">
        <x:v>https://www.etsy.com/shop/Judeannedesigns</x:v>
      </x:c>
      <x:c r="E544" s="11" t="n">
        <x:v>3.5</x:v>
      </x:c>
      <x:c r="F544" s="10" t="n">
        <x:v>0</x:v>
      </x:c>
      <x:c r="G544" s="12" t="n">
        <x:v>0</x:v>
      </x:c>
      <x:c r="H544" s="13" t="n">
        <x:v>0</x:v>
      </x:c>
      <x:c r="I544" s="10" t="n">
        <x:v>0</x:v>
      </x:c>
      <x:c r="J544" s="10" t="n">
        <x:v>0</x:v>
      </x:c>
      <x:c r="K544" s="10" t="str">
        <x:v>27 Mo.</x:v>
      </x:c>
      <x:c r="L544" s="10" t="n">
        <x:v>35</x:v>
      </x:c>
      <x:c r="M544" s="10" t="n">
        <x:v>0</x:v>
      </x:c>
      <x:c r="N544" s="10" t="n">
        <x:v>223</x:v>
      </x:c>
      <x:c r="O544" s="10" t="str">
        <x:v>Paper &amp; Party Supplies</x:v>
      </x:c>
      <x:c r="P544" s="10" t="n">
        <x:v>47</x:v>
      </x:c>
      <x:c r="Q544" s="10" t="n">
        <x:v>0</x:v>
      </x:c>
      <x:c r="R544" s="13" t="n">
        <x:v>0</x:v>
      </x:c>
      <x:c r="S544" s="10" t="n">
        <x:v>42977</x:v>
      </x:c>
      <x:c r="T544" s="10" t="str">
        <x:v>minimalist planner,mortgage reminder,bill planner sticker,cute housestickers,mortgage payment,functional stickers,bullet journals,calendar stickers,house payment,rent due sticker,mortgage due,rent due stickers,pay bills planner</x:v>
      </x:c>
      <x:c r="U544" s="10" t="str">
        <x:v>minimalist planner</x:v>
      </x:c>
      <x:c r="V544" s="10" t="str">
        <x:v>mortgage reminder</x:v>
      </x:c>
      <x:c r="W544" s="10" t="str">
        <x:v>bill planner sticker</x:v>
      </x:c>
      <x:c r="X544" s="10" t="str">
        <x:v>cute housestickers</x:v>
      </x:c>
      <x:c r="Y544" s="10" t="str">
        <x:v>mortgage payment</x:v>
      </x:c>
      <x:c r="Z544" s="10" t="str">
        <x:v>functional stickers</x:v>
      </x:c>
      <x:c r="AA544" s="10" t="str">
        <x:v>bullet journals</x:v>
      </x:c>
      <x:c r="AB544" s="10" t="str">
        <x:v>calendar stickers</x:v>
      </x:c>
      <x:c r="AC544" s="10" t="str">
        <x:v>house payment</x:v>
      </x:c>
      <x:c r="AD544" s="10" t="str">
        <x:v>rent due sticker</x:v>
      </x:c>
      <x:c r="AE544" s="10" t="str">
        <x:v>mortgage due</x:v>
      </x:c>
      <x:c r="AF544" s="10" t="str">
        <x:v>rent due stickers</x:v>
      </x:c>
      <x:c r="AG544" s="10" t="str">
        <x:v>pay bills planner</x:v>
      </x:c>
      <x:c r="AH544" s="10" t="str">
        <x:v>Other mortgage-related</x:v>
      </x:c>
      <x:c r="AI544" s="13" t="n">
        <x:v>27</x:v>
      </x:c>
      <x:c r="AJ544" s="10" t="str">
        <x:f>IF(F544&gt;0,"Active","No est. sales")</x:f>
        <x:v>No est. sales</x:v>
      </x:c>
    </x:row>
    <x:row r="545">
      <x:c r="A545" s="10" t="str">
        <x:v>Mortgage Loan Stickers |  Hand drawn Stickers, Planner Stickers, CoffeeBeanPaper, Mortgage Loan,  Budget, financing, finances</x:v>
      </x:c>
      <x:c r="B545" s="10" t="str">
        <x:v>https://www.etsy.com/listing/797964971/mortgage-loan-stickers-hand-drawn</x:v>
      </x:c>
      <x:c r="C545" s="10" t="str">
        <x:v>CoffeeBeanPaper</x:v>
      </x:c>
      <x:c r="D545" s="10" t="str">
        <x:v>https://www.etsy.com/shop/CoffeeBeanPaper</x:v>
      </x:c>
      <x:c r="E545" s="11" t="n">
        <x:v>3.5</x:v>
      </x:c>
      <x:c r="F545" s="10" t="n">
        <x:v>0</x:v>
      </x:c>
      <x:c r="G545" s="12" t="n">
        <x:v>0</x:v>
      </x:c>
      <x:c r="H545" s="13" t="n">
        <x:v>0</x:v>
      </x:c>
      <x:c r="I545" s="10" t="n">
        <x:v>25</x:v>
      </x:c>
      <x:c r="J545" s="10" t="n">
        <x:v>6</x:v>
      </x:c>
      <x:c r="K545" s="10" t="str">
        <x:v>75 Mo.</x:v>
      </x:c>
      <x:c r="L545" s="10" t="n">
        <x:v>33</x:v>
      </x:c>
      <x:c r="M545" s="10" t="n">
        <x:v>0</x:v>
      </x:c>
      <x:c r="N545" s="10" t="n">
        <x:v>209</x:v>
      </x:c>
      <x:c r="O545" s="10" t="str">
        <x:v>Paper &amp; Party Supplies</x:v>
      </x:c>
      <x:c r="P545" s="10" t="n">
        <x:v>127</x:v>
      </x:c>
      <x:c r="Q545" s="10" t="n">
        <x:v>0</x:v>
      </x:c>
      <x:c r="R545" s="13" t="n">
        <x:v>11.96</x:v>
      </x:c>
      <x:c r="S545" s="10" t="n">
        <x:v>4685</x:v>
      </x:c>
      <x:c r="T545" s="10" t="str">
        <x:v>planning,planning stickers,stickers,hand-drawn stickers,planner stickers,erin condren,hobonichi,happy planner,print pression,stalogy,budgeting,mortgage loan,coffeebeanpaper</x:v>
      </x:c>
      <x:c r="U545" s="10" t="str">
        <x:v>planning</x:v>
      </x:c>
      <x:c r="V545" s="10" t="str">
        <x:v>planning stickers</x:v>
      </x:c>
      <x:c r="W545" s="10" t="str">
        <x:v>stickers</x:v>
      </x:c>
      <x:c r="X545" s="10" t="str">
        <x:v>hand-drawn stickers</x:v>
      </x:c>
      <x:c r="Y545" s="10" t="str">
        <x:v>planner stickers</x:v>
      </x:c>
      <x:c r="Z545" s="10" t="str">
        <x:v>erin condren</x:v>
      </x:c>
      <x:c r="AA545" s="10" t="str">
        <x:v>hobonichi</x:v>
      </x:c>
      <x:c r="AB545" s="10" t="str">
        <x:v>happy planner</x:v>
      </x:c>
      <x:c r="AC545" s="10" t="str">
        <x:v>print pression</x:v>
      </x:c>
      <x:c r="AD545" s="10" t="str">
        <x:v>stalogy</x:v>
      </x:c>
      <x:c r="AE545" s="10" t="str">
        <x:v>budgeting</x:v>
      </x:c>
      <x:c r="AF545" s="10" t="str">
        <x:v>mortgage loan</x:v>
      </x:c>
      <x:c r="AG545" s="10" t="str">
        <x:v>coffeebeanpaper</x:v>
      </x:c>
      <x:c r="AH545" s="10" t="str">
        <x:v>Other mortgage-related</x:v>
      </x:c>
      <x:c r="AI545" s="13" t="n">
        <x:v>75</x:v>
      </x:c>
      <x:c r="AJ545" s="10" t="str">
        <x:f>IF(F545&gt;0,"Active","No est. sales")</x:f>
        <x:v>No est. sales</x:v>
      </x:c>
    </x:row>
    <x:row r="546">
      <x:c r="A546" s="10" t="str">
        <x:v>Pay Bills Script Planner Stickers: Erin Condren, Limelife, Plum Paper</x:v>
      </x:c>
      <x:c r="B546" s="10" t="str">
        <x:v>https://www.etsy.com/listing/731342964/pay-bills-script-planner-stickers-erin</x:v>
      </x:c>
      <x:c r="C546" s="10" t="str">
        <x:v>MyOwnCraftsStore</x:v>
      </x:c>
      <x:c r="D546" s="10" t="str">
        <x:v>https://www.etsy.com/shop/MyOwnCraftsStore</x:v>
      </x:c>
      <x:c r="E546" s="11" t="n">
        <x:v>0.97</x:v>
      </x:c>
      <x:c r="F546" s="10" t="n">
        <x:v>0</x:v>
      </x:c>
      <x:c r="G546" s="12" t="n">
        <x:v>0</x:v>
      </x:c>
      <x:c r="H546" s="13" t="n">
        <x:v>0</x:v>
      </x:c>
      <x:c r="I546" s="10" t="n">
        <x:v>19</x:v>
      </x:c>
      <x:c r="J546" s="10" t="n">
        <x:v>4</x:v>
      </x:c>
      <x:c r="K546" s="10" t="str">
        <x:v>81 Mo.</x:v>
      </x:c>
      <x:c r="L546" s="10" t="n">
        <x:v>25</x:v>
      </x:c>
      <x:c r="M546" s="10" t="n">
        <x:v>0</x:v>
      </x:c>
      <x:c r="N546" s="10" t="n">
        <x:v>315</x:v>
      </x:c>
      <x:c r="O546" s="10" t="str">
        <x:v>Paper &amp; Party Supplies</x:v>
      </x:c>
      <x:c r="P546" s="10" t="n">
        <x:v>124</x:v>
      </x:c>
      <x:c r="Q546" s="10" t="n">
        <x:v>0</x:v>
      </x:c>
      <x:c r="R546" s="13" t="n">
        <x:v>6.03</x:v>
      </x:c>
      <x:c r="S546" s="10" t="n">
        <x:v>31622</x:v>
      </x:c>
      <x:c r="T546" s="10" t="str">
        <x:v>planner stickers,stickers,pay bills,reminder,ec,eric condern,pay rent,mortgage,pay due,script word strokes,pay bills word,pay,bills</x:v>
      </x:c>
      <x:c r="U546" s="10" t="str">
        <x:v>planner stickers</x:v>
      </x:c>
      <x:c r="V546" s="10" t="str">
        <x:v>stickers</x:v>
      </x:c>
      <x:c r="W546" s="10" t="str">
        <x:v>pay bills</x:v>
      </x:c>
      <x:c r="X546" s="10" t="str">
        <x:v>reminder</x:v>
      </x:c>
      <x:c r="Y546" s="10" t="str">
        <x:v>ec</x:v>
      </x:c>
      <x:c r="Z546" s="10" t="str">
        <x:v>eric condern</x:v>
      </x:c>
      <x:c r="AA546" s="10" t="str">
        <x:v>pay rent</x:v>
      </x:c>
      <x:c r="AB546" s="10" t="str">
        <x:v>mortgage</x:v>
      </x:c>
      <x:c r="AC546" s="10" t="str">
        <x:v>pay due</x:v>
      </x:c>
      <x:c r="AD546" s="10" t="str">
        <x:v>script word strokes</x:v>
      </x:c>
      <x:c r="AE546" s="10" t="str">
        <x:v>pay bills word</x:v>
      </x:c>
      <x:c r="AF546" s="10" t="str">
        <x:v>pay</x:v>
      </x:c>
      <x:c r="AG546" s="10" t="str">
        <x:v>bills</x:v>
      </x:c>
      <x:c r="AH546" s="10" t="str">
        <x:v>Other mortgage-related</x:v>
      </x:c>
      <x:c r="AI546" s="13" t="n">
        <x:v>81</x:v>
      </x:c>
      <x:c r="AJ546" s="10" t="str">
        <x:f>IF(F546&gt;0,"Active","No est. sales")</x:f>
        <x:v>No est. sales</x:v>
      </x:c>
    </x:row>
    <x:row r="547">
      <x:c r="A547" s="10" t="str">
        <x:v>Kawaii Bill Payment Planner Stickers: Erin Condren, Limelife, Plum Paper</x:v>
      </x:c>
      <x:c r="B547" s="10" t="str">
        <x:v>https://www.etsy.com/listing/789183876/kawaii-bill-payment-planner-stickers</x:v>
      </x:c>
      <x:c r="C547" s="10" t="str">
        <x:v>MyOwnCraftsStore</x:v>
      </x:c>
      <x:c r="D547" s="10" t="str">
        <x:v>https://www.etsy.com/shop/MyOwnCraftsStore</x:v>
      </x:c>
      <x:c r="E547" s="11" t="n">
        <x:v>0.97</x:v>
      </x:c>
      <x:c r="F547" s="10" t="n">
        <x:v>0</x:v>
      </x:c>
      <x:c r="G547" s="12" t="n">
        <x:v>0</x:v>
      </x:c>
      <x:c r="H547" s="13" t="n">
        <x:v>0</x:v>
      </x:c>
      <x:c r="I547" s="10" t="n">
        <x:v>24</x:v>
      </x:c>
      <x:c r="J547" s="10" t="n">
        <x:v>5</x:v>
      </x:c>
      <x:c r="K547" s="10" t="str">
        <x:v>74 Mo.</x:v>
      </x:c>
      <x:c r="L547" s="10" t="n">
        <x:v>31</x:v>
      </x:c>
      <x:c r="M547" s="10" t="n">
        <x:v>0</x:v>
      </x:c>
      <x:c r="N547" s="10" t="n">
        <x:v>512</x:v>
      </x:c>
      <x:c r="O547" s="10" t="str">
        <x:v>Paper &amp; Party Supplies</x:v>
      </x:c>
      <x:c r="P547" s="10" t="n">
        <x:v>124</x:v>
      </x:c>
      <x:c r="Q547" s="10" t="n">
        <x:v>0</x:v>
      </x:c>
      <x:c r="R547" s="13" t="n">
        <x:v>4.69</x:v>
      </x:c>
      <x:c r="S547" s="10" t="n">
        <x:v>31622</x:v>
      </x:c>
      <x:c r="T547" s="10" t="str">
        <x:v>sticker,planner,erin condren,life planner,planner stickers,kawaii monthly bill,monthly bill,bill,payment,pay bill,pay rent,mortgage,utility bills</x:v>
      </x:c>
      <x:c r="U547" s="10" t="str">
        <x:v>sticker</x:v>
      </x:c>
      <x:c r="V547" s="10" t="str">
        <x:v>planner</x:v>
      </x:c>
      <x:c r="W547" s="10" t="str">
        <x:v>erin condren</x:v>
      </x:c>
      <x:c r="X547" s="10" t="str">
        <x:v>life planner</x:v>
      </x:c>
      <x:c r="Y547" s="10" t="str">
        <x:v>planner stickers</x:v>
      </x:c>
      <x:c r="Z547" s="10" t="str">
        <x:v>kawaii monthly bill</x:v>
      </x:c>
      <x:c r="AA547" s="10" t="str">
        <x:v>monthly bill</x:v>
      </x:c>
      <x:c r="AB547" s="10" t="str">
        <x:v>bill</x:v>
      </x:c>
      <x:c r="AC547" s="10" t="str">
        <x:v>payment</x:v>
      </x:c>
      <x:c r="AD547" s="10" t="str">
        <x:v>pay bill</x:v>
      </x:c>
      <x:c r="AE547" s="10" t="str">
        <x:v>pay rent</x:v>
      </x:c>
      <x:c r="AF547" s="10" t="str">
        <x:v>mortgage</x:v>
      </x:c>
      <x:c r="AG547" s="10" t="str">
        <x:v>utility bills</x:v>
      </x:c>
      <x:c r="AH547" s="10" t="str">
        <x:v>Other mortgage-related</x:v>
      </x:c>
      <x:c r="AI547" s="13" t="n">
        <x:v>74</x:v>
      </x:c>
      <x:c r="AJ547" s="10" t="str">
        <x:f>IF(F547&gt;0,"Active","No est. sales")</x:f>
        <x:v>No est. sales</x:v>
      </x:c>
    </x:row>
    <x:row r="548">
      <x:c r="A548" s="10" t="str">
        <x:v>Mortgage Payoff Debt Tracker Progress Sheet | House Down Payment Saving Chart | Debt-Free Goal Tracker | Deposit Progress Colouring Sheet</x:v>
      </x:c>
      <x:c r="B548" s="10" t="str">
        <x:v>https://www.etsy.com/listing/766060370/mortgage-payoff-debt-tracker-progress</x:v>
      </x:c>
      <x:c r="C548" s="10" t="str">
        <x:v>ProPrintablePlanners</x:v>
      </x:c>
      <x:c r="D548" s="10" t="str">
        <x:v>https://www.etsy.com/shop/ProPrintablePlanners</x:v>
      </x:c>
      <x:c r="E548" s="11" t="n">
        <x:v>7.99</x:v>
      </x:c>
      <x:c r="F548" s="10" t="n">
        <x:v>0</x:v>
      </x:c>
      <x:c r="G548" s="12" t="n">
        <x:v>0</x:v>
      </x:c>
      <x:c r="H548" s="13" t="n">
        <x:v>0</x:v>
      </x:c>
      <x:c r="I548" s="10" t="n">
        <x:v>19</x:v>
      </x:c>
      <x:c r="J548" s="10" t="n">
        <x:v>1</x:v>
      </x:c>
      <x:c r="K548" s="10" t="str">
        <x:v>77 Mo.</x:v>
      </x:c>
      <x:c r="L548" s="10" t="n">
        <x:v>42</x:v>
      </x:c>
      <x:c r="M548" s="10" t="n">
        <x:v>0</x:v>
      </x:c>
      <x:c r="N548" s="10" t="n">
        <x:v>2310</x:v>
      </x:c>
      <x:c r="O548" s="10" t="str">
        <x:v>Paper &amp; Party Supplies</x:v>
      </x:c>
      <x:c r="P548" s="10" t="n">
        <x:v>79</x:v>
      </x:c>
      <x:c r="Q548" s="10" t="n">
        <x:v>0</x:v>
      </x:c>
      <x:c r="R548" s="13" t="n">
        <x:v>0.82</x:v>
      </x:c>
      <x:c r="S548" s="10" t="n">
        <x:v>76</x:v>
      </x:c>
      <x:c r="T548" s="10" t="str">
        <x:v>goal tracker,printable tracker,digital planner,blank tracker,30 day challenge,progress chart,progress tracker,mortgage payoff,house deposit,coloring sheet</x:v>
      </x:c>
      <x:c r="U548" s="10" t="str">
        <x:v>goal tracker</x:v>
      </x:c>
      <x:c r="V548" s="10" t="str">
        <x:v>printable tracker</x:v>
      </x:c>
      <x:c r="W548" s="10" t="str">
        <x:v>digital planner</x:v>
      </x:c>
      <x:c r="X548" s="10" t="str">
        <x:v>blank tracker</x:v>
      </x:c>
      <x:c r="Y548" s="10" t="str">
        <x:v>30 day challenge</x:v>
      </x:c>
      <x:c r="Z548" s="10" t="str">
        <x:v>progress chart</x:v>
      </x:c>
      <x:c r="AA548" s="10" t="str">
        <x:v>progress tracker</x:v>
      </x:c>
      <x:c r="AB548" s="10" t="str">
        <x:v>mortgage payoff</x:v>
      </x:c>
      <x:c r="AC548" s="10" t="str">
        <x:v>house deposit</x:v>
      </x:c>
      <x:c r="AD548" s="10" t="str">
        <x:v>coloring sheet</x:v>
      </x:c>
      <x:c r="AE548" s="10" t="str">
        <x:v>--</x:v>
      </x:c>
      <x:c r="AF548" s="10" t="str">
        <x:v>--</x:v>
      </x:c>
      <x:c r="AG548" s="10" t="str">
        <x:v>--</x:v>
      </x:c>
      <x:c r="AH548" s="10" t="str">
        <x:v>Mortgage payoff / calculator</x:v>
      </x:c>
      <x:c r="AI548" s="13" t="n">
        <x:v>77</x:v>
      </x:c>
      <x:c r="AJ548" s="10" t="str">
        <x:f>IF(F548&gt;0,"Active","No est. sales")</x:f>
        <x:v>No est. sales</x:v>
      </x:c>
    </x:row>
    <x:row r="549">
      <x:c r="A549" s="10" t="str">
        <x:v>Debt Payoff Tracker, Snowball Avalanche Calculator, Credit Card Tracker, Home Loan, Student Loan, Debt-Free Planner, Google Sheet</x:v>
      </x:c>
      <x:c r="B549" s="10" t="str">
        <x:v>https://www.etsy.com/listing/1689696872/debt-payoff-tracker-snowball-avalanche</x:v>
      </x:c>
      <x:c r="C549" s="10" t="str">
        <x:v>TemplatesPantry</x:v>
      </x:c>
      <x:c r="D549" s="10" t="str">
        <x:v>https://www.etsy.com/shop/TemplatesPantry</x:v>
      </x:c>
      <x:c r="E549" s="11" t="n">
        <x:v>6.39</x:v>
      </x:c>
      <x:c r="F549" s="10" t="n">
        <x:v>0</x:v>
      </x:c>
      <x:c r="G549" s="12" t="n">
        <x:v>0</x:v>
      </x:c>
      <x:c r="H549" s="13" t="n">
        <x:v>0</x:v>
      </x:c>
      <x:c r="I549" s="10" t="n">
        <x:v>5</x:v>
      </x:c>
      <x:c r="J549" s="10" t="n">
        <x:v>1</x:v>
      </x:c>
      <x:c r="K549" s="10" t="str">
        <x:v>28 Mo.</x:v>
      </x:c>
      <x:c r="L549" s="10" t="n">
        <x:v>3</x:v>
      </x:c>
      <x:c r="M549" s="10" t="n">
        <x:v>0</x:v>
      </x:c>
      <x:c r="N549" s="10" t="n">
        <x:v>84</x:v>
      </x:c>
      <x:c r="O549" s="10" t="str">
        <x:v>Paper &amp; Party Supplies</x:v>
      </x:c>
      <x:c r="P549" s="10" t="n">
        <x:v>30</x:v>
      </x:c>
      <x:c r="Q549" s="10" t="n">
        <x:v>0</x:v>
      </x:c>
      <x:c r="R549" s="13" t="n">
        <x:v>5.95</x:v>
      </x:c>
      <x:c r="S549" s="10" t="n">
        <x:v>30298</x:v>
      </x:c>
      <x:c r="T549" s="10" t="str">
        <x:v>budget planner,credit card debt,debt avalanche,debt google sheets,debt payoff tracker,debt snowball excel,debt spreadsheet,debt tracker excel,financial planner,mortgage payoff,personal finance,snowball calculator,student loan payoff</x:v>
      </x:c>
      <x:c r="U549" s="10" t="str">
        <x:v>budget planner</x:v>
      </x:c>
      <x:c r="V549" s="10" t="str">
        <x:v>credit card debt</x:v>
      </x:c>
      <x:c r="W549" s="10" t="str">
        <x:v>debt avalanche</x:v>
      </x:c>
      <x:c r="X549" s="10" t="str">
        <x:v>debt google sheets</x:v>
      </x:c>
      <x:c r="Y549" s="10" t="str">
        <x:v>debt payoff tracker</x:v>
      </x:c>
      <x:c r="Z549" s="10" t="str">
        <x:v>debt snowball excel</x:v>
      </x:c>
      <x:c r="AA549" s="10" t="str">
        <x:v>debt spreadsheet</x:v>
      </x:c>
      <x:c r="AB549" s="10" t="str">
        <x:v>debt tracker excel</x:v>
      </x:c>
      <x:c r="AC549" s="10" t="str">
        <x:v>financial planner</x:v>
      </x:c>
      <x:c r="AD549" s="10" t="str">
        <x:v>mortgage payoff</x:v>
      </x:c>
      <x:c r="AE549" s="10" t="str">
        <x:v>personal finance</x:v>
      </x:c>
      <x:c r="AF549" s="10" t="str">
        <x:v>snowball calculator</x:v>
      </x:c>
      <x:c r="AG549" s="10" t="str">
        <x:v>student loan payoff</x:v>
      </x:c>
      <x:c r="AH549" s="10" t="str">
        <x:v>General debt payoff</x:v>
      </x:c>
      <x:c r="AI549" s="13" t="n">
        <x:v>28</x:v>
      </x:c>
      <x:c r="AJ549" s="10" t="str">
        <x:f>IF(F549&gt;0,"Active","No est. sales")</x:f>
        <x:v>No est. sales</x:v>
      </x:c>
    </x:row>
    <x:row r="550">
      <x:c r="A550" s="10" t="str">
        <x:v>Mortgage Payoff Tracker, Mortgage Debt Payments Tracker, Color In House Payments Tracker</x:v>
      </x:c>
      <x:c r="B550" s="10" t="str">
        <x:v>https://www.etsy.com/listing/688084747/mortgage-payoff-tracker-mortgage-debt</x:v>
      </x:c>
      <x:c r="C550" s="10" t="str">
        <x:v>AdventurePrintables</x:v>
      </x:c>
      <x:c r="D550" s="10" t="str">
        <x:v>https://www.etsy.com/shop/AdventurePrintables</x:v>
      </x:c>
      <x:c r="E550" s="11" t="n">
        <x:v>2.28</x:v>
      </x:c>
      <x:c r="F550" s="10" t="n">
        <x:v>0</x:v>
      </x:c>
      <x:c r="G550" s="12" t="n">
        <x:v>0</x:v>
      </x:c>
      <x:c r="H550" s="13" t="n">
        <x:v>0</x:v>
      </x:c>
      <x:c r="I550" s="10" t="n">
        <x:v>4</x:v>
      </x:c>
      <x:c r="J550" s="10" t="n">
        <x:v>0</x:v>
      </x:c>
      <x:c r="K550" s="10" t="str">
        <x:v>88 Mo.</x:v>
      </x:c>
      <x:c r="L550" s="10" t="n">
        <x:v>32</x:v>
      </x:c>
      <x:c r="M550" s="10" t="n">
        <x:v>0</x:v>
      </x:c>
      <x:c r="N550" s="10" t="n">
        <x:v>400</x:v>
      </x:c>
      <x:c r="O550" s="10" t="str">
        <x:v>Paper &amp; Party Supplies</x:v>
      </x:c>
      <x:c r="P550" s="10" t="n">
        <x:v>113</x:v>
      </x:c>
      <x:c r="Q550" s="10" t="n">
        <x:v>0</x:v>
      </x:c>
      <x:c r="R550" s="13" t="n">
        <x:v>1</x:v>
      </x:c>
      <x:c r="S550" s="10" t="n">
        <x:v>15029</x:v>
      </x:c>
      <x:c r="T550" s="10" t="str">
        <x:v>debt tracker,dave ramsey,loan payments,financial peace,finance planner,monthly debt payment,personal finance,mortgage payoff plan,mortgage payment,payments tracker,house payments,color in tracker,debt payoff plan</x:v>
      </x:c>
      <x:c r="U550" s="10" t="str">
        <x:v>debt tracker</x:v>
      </x:c>
      <x:c r="V550" s="10" t="str">
        <x:v>dave ramsey</x:v>
      </x:c>
      <x:c r="W550" s="10" t="str">
        <x:v>loan payments</x:v>
      </x:c>
      <x:c r="X550" s="10" t="str">
        <x:v>financial peace</x:v>
      </x:c>
      <x:c r="Y550" s="10" t="str">
        <x:v>finance planner</x:v>
      </x:c>
      <x:c r="Z550" s="10" t="str">
        <x:v>monthly debt payment</x:v>
      </x:c>
      <x:c r="AA550" s="10" t="str">
        <x:v>personal finance</x:v>
      </x:c>
      <x:c r="AB550" s="10" t="str">
        <x:v>mortgage payoff plan</x:v>
      </x:c>
      <x:c r="AC550" s="10" t="str">
        <x:v>mortgage payment</x:v>
      </x:c>
      <x:c r="AD550" s="10" t="str">
        <x:v>payments tracker</x:v>
      </x:c>
      <x:c r="AE550" s="10" t="str">
        <x:v>house payments</x:v>
      </x:c>
      <x:c r="AF550" s="10" t="str">
        <x:v>color in tracker</x:v>
      </x:c>
      <x:c r="AG550" s="10" t="str">
        <x:v>debt payoff plan</x:v>
      </x:c>
      <x:c r="AH550" s="10" t="str">
        <x:v>Mortgage payoff / calculator</x:v>
      </x:c>
      <x:c r="AI550" s="13" t="n">
        <x:v>88</x:v>
      </x:c>
      <x:c r="AJ550" s="10" t="str">
        <x:f>IF(F550&gt;0,"Active","No est. sales")</x:f>
        <x:v>No est. sales</x:v>
      </x:c>
    </x:row>
    <x:row r="551">
      <x:c r="A551" s="10" t="str">
        <x:v>Mortgage Payoff Tracker, Mortgage Debt Payments Tracker, Color In House Payments Tracker, Real Estate Payoff</x:v>
      </x:c>
      <x:c r="B551" s="10" t="str">
        <x:v>https://www.etsy.com/listing/674231868/mortgage-payoff-tracker-mortgage-debt</x:v>
      </x:c>
      <x:c r="C551" s="10" t="str">
        <x:v>AdventurePrintables</x:v>
      </x:c>
      <x:c r="D551" s="10" t="str">
        <x:v>https://www.etsy.com/shop/AdventurePrintables</x:v>
      </x:c>
      <x:c r="E551" s="11" t="n">
        <x:v>2.28</x:v>
      </x:c>
      <x:c r="F551" s="10" t="n">
        <x:v>0</x:v>
      </x:c>
      <x:c r="G551" s="12" t="n">
        <x:v>0</x:v>
      </x:c>
      <x:c r="H551" s="13" t="n">
        <x:v>0</x:v>
      </x:c>
      <x:c r="I551" s="10" t="n">
        <x:v>0</x:v>
      </x:c>
      <x:c r="J551" s="10" t="n">
        <x:v>0</x:v>
      </x:c>
      <x:c r="K551" s="10" t="str">
        <x:v>88 Mo.</x:v>
      </x:c>
      <x:c r="L551" s="10" t="n">
        <x:v>34</x:v>
      </x:c>
      <x:c r="M551" s="10" t="n">
        <x:v>0</x:v>
      </x:c>
      <x:c r="N551" s="10" t="n">
        <x:v>275</x:v>
      </x:c>
      <x:c r="O551" s="10" t="str">
        <x:v>Paper &amp; Party Supplies</x:v>
      </x:c>
      <x:c r="P551" s="10" t="n">
        <x:v>113</x:v>
      </x:c>
      <x:c r="Q551" s="10" t="n">
        <x:v>0</x:v>
      </x:c>
      <x:c r="R551" s="13" t="n">
        <x:v>0</x:v>
      </x:c>
      <x:c r="S551" s="10" t="n">
        <x:v>15029</x:v>
      </x:c>
      <x:c r="T551" s="10" t="str">
        <x:v>debt tracker,dave ramsey,loan payments,financial peace,finance planner,mortgage payoff plan,house payoff tracker,down payment tracker,rental house tracker,real estate payoff,mortgage payments,payments tracker,baby steps tracker</x:v>
      </x:c>
      <x:c r="U551" s="10" t="str">
        <x:v>debt tracker</x:v>
      </x:c>
      <x:c r="V551" s="10" t="str">
        <x:v>dave ramsey</x:v>
      </x:c>
      <x:c r="W551" s="10" t="str">
        <x:v>loan payments</x:v>
      </x:c>
      <x:c r="X551" s="10" t="str">
        <x:v>financial peace</x:v>
      </x:c>
      <x:c r="Y551" s="10" t="str">
        <x:v>finance planner</x:v>
      </x:c>
      <x:c r="Z551" s="10" t="str">
        <x:v>mortgage payoff plan</x:v>
      </x:c>
      <x:c r="AA551" s="10" t="str">
        <x:v>house payoff tracker</x:v>
      </x:c>
      <x:c r="AB551" s="10" t="str">
        <x:v>down payment tracker</x:v>
      </x:c>
      <x:c r="AC551" s="10" t="str">
        <x:v>rental house tracker</x:v>
      </x:c>
      <x:c r="AD551" s="10" t="str">
        <x:v>real estate payoff</x:v>
      </x:c>
      <x:c r="AE551" s="10" t="str">
        <x:v>mortgage payments</x:v>
      </x:c>
      <x:c r="AF551" s="10" t="str">
        <x:v>payments tracker</x:v>
      </x:c>
      <x:c r="AG551" s="10" t="str">
        <x:v>baby steps tracker</x:v>
      </x:c>
      <x:c r="AH551" s="10" t="str">
        <x:v>Mortgage payoff / calculator</x:v>
      </x:c>
      <x:c r="AI551" s="13" t="n">
        <x:v>88</x:v>
      </x:c>
      <x:c r="AJ551" s="10" t="str">
        <x:f>IF(F551&gt;0,"Active","No est. sales")</x:f>
        <x:v>No est. sales</x:v>
      </x:c>
    </x:row>
    <x:row r="552">
      <x:c r="A552" s="10" t="str">
        <x:v>Debt Payoff Tracker, Snowball Method, Google Sheets &amp; Excel (Digital Download)</x:v>
      </x:c>
      <x:c r="B552" s="10" t="str">
        <x:v>https://www.etsy.com/listing/4312046732/debt-payoff-tracker-snowball-method</x:v>
      </x:c>
      <x:c r="C552" s="10" t="str">
        <x:v>MehZarTemplates</x:v>
      </x:c>
      <x:c r="D552" s="10" t="str">
        <x:v>https://www.etsy.com/shop/MehZarTemplates</x:v>
      </x:c>
      <x:c r="E552" s="11" t="n">
        <x:v>5.99</x:v>
      </x:c>
      <x:c r="F552" s="10" t="n">
        <x:v>0</x:v>
      </x:c>
      <x:c r="G552" s="12" t="n">
        <x:v>0</x:v>
      </x:c>
      <x:c r="H552" s="13" t="n">
        <x:v>0</x:v>
      </x:c>
      <x:c r="I552" s="10" t="n">
        <x:v>2</x:v>
      </x:c>
      <x:c r="J552" s="10" t="n">
        <x:v>1</x:v>
      </x:c>
      <x:c r="K552" s="10" t="str">
        <x:v>14 Mo.</x:v>
      </x:c>
      <x:c r="L552" s="10" t="n">
        <x:v>2</x:v>
      </x:c>
      <x:c r="M552" s="10" t="n">
        <x:v>0</x:v>
      </x:c>
      <x:c r="N552" s="10" t="n">
        <x:v>31</x:v>
      </x:c>
      <x:c r="O552" s="10" t="str"/>
      <x:c r="P552" s="10" t="n">
        <x:v>17</x:v>
      </x:c>
      <x:c r="Q552" s="10" t="n">
        <x:v>0</x:v>
      </x:c>
      <x:c r="R552" s="13" t="n">
        <x:v>6.45</x:v>
      </x:c>
      <x:c r="S552" s="10" t="n">
        <x:v>135</x:v>
      </x:c>
      <x:c r="T552" s="10" t="str">
        <x:v>debt payment tracker,debt snowball,debt avalanche,debt payoff planner,debt calculator,loan payoff tracker,credit card debt,mortgage payoff,financial planner,personal finance,debt google sheets,snowball method</x:v>
      </x:c>
      <x:c r="U552" s="10" t="str">
        <x:v>debt payment tracker</x:v>
      </x:c>
      <x:c r="V552" s="10" t="str">
        <x:v>debt snowball</x:v>
      </x:c>
      <x:c r="W552" s="10" t="str">
        <x:v>debt avalanche</x:v>
      </x:c>
      <x:c r="X552" s="10" t="str">
        <x:v>debt payoff planner</x:v>
      </x:c>
      <x:c r="Y552" s="10" t="str">
        <x:v>debt calculator</x:v>
      </x:c>
      <x:c r="Z552" s="10" t="str">
        <x:v>loan payoff tracker</x:v>
      </x:c>
      <x:c r="AA552" s="10" t="str">
        <x:v>credit card debt</x:v>
      </x:c>
      <x:c r="AB552" s="10" t="str">
        <x:v>mortgage payoff</x:v>
      </x:c>
      <x:c r="AC552" s="10" t="str">
        <x:v>financial planner</x:v>
      </x:c>
      <x:c r="AD552" s="10" t="str">
        <x:v>personal finance</x:v>
      </x:c>
      <x:c r="AE552" s="10" t="str">
        <x:v>debt google sheets</x:v>
      </x:c>
      <x:c r="AF552" s="10" t="str">
        <x:v>snowball method</x:v>
      </x:c>
      <x:c r="AG552" s="10" t="str">
        <x:v>--</x:v>
      </x:c>
      <x:c r="AH552" s="10" t="str">
        <x:v>General debt payoff</x:v>
      </x:c>
      <x:c r="AI552" s="13" t="n">
        <x:v>14</x:v>
      </x:c>
      <x:c r="AJ552" s="10" t="str">
        <x:f>IF(F552&gt;0,"Active","No est. sales")</x:f>
        <x:v>No est. sales</x:v>
      </x:c>
    </x:row>
    <x:row r="553">
      <x:c r="A553" s="10" t="str">
        <x:v>MLO SAFE exam success Passport |19-Page Printable NMLS Study Planner,30Day Roadmap, Practice Log + free Interactive Companion atSafeXDigital</x:v>
      </x:c>
      <x:c r="B553" s="10" t="str">
        <x:v>https://www.etsy.com/listing/4528394776/mlo-safe-exam-success-passport-19-page</x:v>
      </x:c>
      <x:c r="C553" s="10" t="str">
        <x:v>Jade13Shop</x:v>
      </x:c>
      <x:c r="D553" s="10" t="str">
        <x:v>https://www.etsy.com/shop/Jade13Shop</x:v>
      </x:c>
      <x:c r="E553" s="11" t="n">
        <x:v>1.13</x:v>
      </x:c>
      <x:c r="F553" s="10" t="n">
        <x:v>0</x:v>
      </x:c>
      <x:c r="G553" s="12" t="n">
        <x:v>0</x:v>
      </x:c>
      <x:c r="H553" s="13" t="n">
        <x:v>0</x:v>
      </x:c>
      <x:c r="I553" s="10" t="n">
        <x:v>0</x:v>
      </x:c>
      <x:c r="J553" s="10" t="n">
        <x:v>0</x:v>
      </x:c>
      <x:c r="K553" s="10" t="str">
        <x:v>1 Mo.</x:v>
      </x:c>
      <x:c r="L553" s="10" t="n">
        <x:v>0</x:v>
      </x:c>
      <x:c r="M553" s="10" t="n">
        <x:v>0</x:v>
      </x:c>
      <x:c r="N553" s="10" t="n">
        <x:v>12</x:v>
      </x:c>
      <x:c r="O553" s="10" t="str"/>
      <x:c r="P553" s="10" t="n">
        <x:v>29</x:v>
      </x:c>
      <x:c r="Q553" s="10" t="n">
        <x:v>0</x:v>
      </x:c>
      <x:c r="R553" s="13" t="n">
        <x:v>0</x:v>
      </x:c>
      <x:c r="S553" s="10" t="n">
        <x:v>218</x:v>
      </x:c>
      <x:c r="T553" s="10" t="str">
        <x:v>safe mlo exam prep,nmls exam study,mortgage loan originator,mlo study guide,safe mlo planner,nmls printable,mlo roadmap,mortgage exam prep,mlo workbook,safe exam checklist,nmls pdf,loan officer prep,mlo success</x:v>
      </x:c>
      <x:c r="U553" s="10" t="str">
        <x:v>safe mlo exam prep</x:v>
      </x:c>
      <x:c r="V553" s="10" t="str">
        <x:v>nmls exam study</x:v>
      </x:c>
      <x:c r="W553" s="10" t="str">
        <x:v>mortgage loan originator</x:v>
      </x:c>
      <x:c r="X553" s="10" t="str">
        <x:v>mlo study guide</x:v>
      </x:c>
      <x:c r="Y553" s="10" t="str">
        <x:v>safe mlo planner</x:v>
      </x:c>
      <x:c r="Z553" s="10" t="str">
        <x:v>nmls printable</x:v>
      </x:c>
      <x:c r="AA553" s="10" t="str">
        <x:v>mlo roadmap</x:v>
      </x:c>
      <x:c r="AB553" s="10" t="str">
        <x:v>mortgage exam prep</x:v>
      </x:c>
      <x:c r="AC553" s="10" t="str">
        <x:v>mlo workbook</x:v>
      </x:c>
      <x:c r="AD553" s="10" t="str">
        <x:v>safe exam checklist</x:v>
      </x:c>
      <x:c r="AE553" s="10" t="str">
        <x:v>nmls pdf</x:v>
      </x:c>
      <x:c r="AF553" s="10" t="str">
        <x:v>loan officer prep</x:v>
      </x:c>
      <x:c r="AG553" s="10" t="str">
        <x:v>mlo success</x:v>
      </x:c>
      <x:c r="AH553" s="10" t="str">
        <x:v>Loan officer / B2B</x:v>
      </x:c>
      <x:c r="AI553" s="13" t="n">
        <x:v>1</x:v>
      </x:c>
      <x:c r="AJ553" s="10" t="str">
        <x:f>IF(F553&gt;0,"Active","No est. sales")</x:f>
        <x:v>No est. sales</x:v>
      </x:c>
    </x:row>
    <x:row r="554">
      <x:c r="A554" s="10" t="str">
        <x:v>Debt Payoff Tracker, Mortgage Calculator, Snowball Avalanche Spreadsheet (Digital Download)</x:v>
      </x:c>
      <x:c r="B554" s="10" t="str">
        <x:v>https://www.etsy.com/listing/4530989108/debt-payoff-tracker-mortgage-calculator</x:v>
      </x:c>
      <x:c r="C554" s="10" t="str">
        <x:v>BlossomHillStudios</x:v>
      </x:c>
      <x:c r="D554" s="10" t="str">
        <x:v>https://www.etsy.com/shop/BlossomHillStudios</x:v>
      </x:c>
      <x:c r="E554" s="11" t="n">
        <x:v>3</x:v>
      </x:c>
      <x:c r="F554" s="10" t="n">
        <x:v>0</x:v>
      </x:c>
      <x:c r="G554" s="12" t="n">
        <x:v>0</x:v>
      </x:c>
      <x:c r="H554" s="13" t="n">
        <x:v>0</x:v>
      </x:c>
      <x:c r="I554" s="10" t="n">
        <x:v>0</x:v>
      </x:c>
      <x:c r="J554" s="10" t="n">
        <x:v>0</x:v>
      </x:c>
      <x:c r="K554" s="10" t="str">
        <x:v>1 Mo.</x:v>
      </x:c>
      <x:c r="L554" s="10" t="n">
        <x:v>0</x:v>
      </x:c>
      <x:c r="M554" s="10" t="n">
        <x:v>0</x:v>
      </x:c>
      <x:c r="N554" s="10" t="n">
        <x:v>14</x:v>
      </x:c>
      <x:c r="O554" s="10" t="str"/>
      <x:c r="P554" s="10" t="n">
        <x:v>52</x:v>
      </x:c>
      <x:c r="Q554" s="10" t="n">
        <x:v>0</x:v>
      </x:c>
      <x:c r="R554" s="13" t="n">
        <x:v>0</x:v>
      </x:c>
      <x:c r="S554" s="10" t="n">
        <x:v>2865</x:v>
      </x:c>
      <x:c r="T554" s="10" t="str">
        <x:v>debt payoff,debt snowball,debt avalanche,mortgage payoff,mortgage calculator,debt tracker,debt free planner,payoff spreadsheet,financial planner,loan payoff tracker,debt payoff planner,mortgage tracker,excel finance</x:v>
      </x:c>
      <x:c r="U554" s="10" t="str">
        <x:v>debt payoff</x:v>
      </x:c>
      <x:c r="V554" s="10" t="str">
        <x:v>debt snowball</x:v>
      </x:c>
      <x:c r="W554" s="10" t="str">
        <x:v>debt avalanche</x:v>
      </x:c>
      <x:c r="X554" s="10" t="str">
        <x:v>mortgage payoff</x:v>
      </x:c>
      <x:c r="Y554" s="10" t="str">
        <x:v>mortgage calculator</x:v>
      </x:c>
      <x:c r="Z554" s="10" t="str">
        <x:v>debt tracker</x:v>
      </x:c>
      <x:c r="AA554" s="10" t="str">
        <x:v>debt free planner</x:v>
      </x:c>
      <x:c r="AB554" s="10" t="str">
        <x:v>payoff spreadsheet</x:v>
      </x:c>
      <x:c r="AC554" s="10" t="str">
        <x:v>financial planner</x:v>
      </x:c>
      <x:c r="AD554" s="10" t="str">
        <x:v>loan payoff tracker</x:v>
      </x:c>
      <x:c r="AE554" s="10" t="str">
        <x:v>debt payoff planner</x:v>
      </x:c>
      <x:c r="AF554" s="10" t="str">
        <x:v>mortgage tracker</x:v>
      </x:c>
      <x:c r="AG554" s="10" t="str">
        <x:v>excel finance</x:v>
      </x:c>
      <x:c r="AH554" s="10" t="str">
        <x:v>General debt payoff</x:v>
      </x:c>
      <x:c r="AI554" s="13" t="n">
        <x:v>1</x:v>
      </x:c>
      <x:c r="AJ554" s="10" t="str">
        <x:f>IF(F554&gt;0,"Active","No est. sales")</x:f>
        <x:v>No est. sales</x:v>
      </x:c>
    </x:row>
    <x:row r="555">
      <x:c r="A555" s="10" t="str">
        <x:v>Ultimate Debt Payoff Tracker, Snowball, Avalanche, 3 Custom Methods, Credit Card, Home Loan, Student Loan, Debt-Free (Google Sheets &amp; Excel)</x:v>
      </x:c>
      <x:c r="B555" s="10" t="str">
        <x:v>https://www.etsy.com/listing/4544797476/ultimate-debt-payoff-tracker-snowball</x:v>
      </x:c>
      <x:c r="C555" s="10" t="str">
        <x:v>Easy2PrintStore</x:v>
      </x:c>
      <x:c r="D555" s="10" t="str">
        <x:v>https://www.etsy.com/shop/Easy2PrintStore</x:v>
      </x:c>
      <x:c r="E555" s="11" t="n">
        <x:v>22.84</x:v>
      </x:c>
      <x:c r="F555" s="10" t="n">
        <x:v>0</x:v>
      </x:c>
      <x:c r="G555" s="12" t="n">
        <x:v>0</x:v>
      </x:c>
      <x:c r="H555" s="13" t="n">
        <x:v>0</x:v>
      </x:c>
      <x:c r="I555" s="10" t="n">
        <x:v>0</x:v>
      </x:c>
      <x:c r="J555" s="10" t="n">
        <x:v>0</x:v>
      </x:c>
      <x:c r="K555" s="10" t="str">
        <x:v>1 Mo.</x:v>
      </x:c>
      <x:c r="L555" s="10" t="n">
        <x:v>0</x:v>
      </x:c>
      <x:c r="M555" s="10" t="n">
        <x:v>0</x:v>
      </x:c>
      <x:c r="N555" s="10" t="n">
        <x:v>2</x:v>
      </x:c>
      <x:c r="O555" s="10" t="str">
        <x:v>Books, Movies &amp; Music</x:v>
      </x:c>
      <x:c r="P555" s="10" t="n">
        <x:v>26</x:v>
      </x:c>
      <x:c r="Q555" s="10" t="n">
        <x:v>0</x:v>
      </x:c>
      <x:c r="R555" s="13" t="n">
        <x:v>0</x:v>
      </x:c>
      <x:c r="S555" s="10" t="n">
        <x:v>192</x:v>
      </x:c>
      <x:c r="T555" s="10" t="str">
        <x:v>credit utilization,debt avalanche,mortgage payoff,google sheets budget,credit card payoff,debt payoff chart,debt snowball,student loan debt,debt payment tracker,debt payoff tracker,debt template,debt free chart,financial planner</x:v>
      </x:c>
      <x:c r="U555" s="10" t="str">
        <x:v>credit utilization</x:v>
      </x:c>
      <x:c r="V555" s="10" t="str">
        <x:v>debt avalanche</x:v>
      </x:c>
      <x:c r="W555" s="10" t="str">
        <x:v>mortgage payoff</x:v>
      </x:c>
      <x:c r="X555" s="10" t="str">
        <x:v>google sheets budget</x:v>
      </x:c>
      <x:c r="Y555" s="10" t="str">
        <x:v>credit card payoff</x:v>
      </x:c>
      <x:c r="Z555" s="10" t="str">
        <x:v>debt payoff chart</x:v>
      </x:c>
      <x:c r="AA555" s="10" t="str">
        <x:v>debt snowball</x:v>
      </x:c>
      <x:c r="AB555" s="10" t="str">
        <x:v>student loan debt</x:v>
      </x:c>
      <x:c r="AC555" s="10" t="str">
        <x:v>debt payment tracker</x:v>
      </x:c>
      <x:c r="AD555" s="10" t="str">
        <x:v>debt payoff tracker</x:v>
      </x:c>
      <x:c r="AE555" s="10" t="str">
        <x:v>debt template</x:v>
      </x:c>
      <x:c r="AF555" s="10" t="str">
        <x:v>debt free chart</x:v>
      </x:c>
      <x:c r="AG555" s="10" t="str">
        <x:v>financial planner</x:v>
      </x:c>
      <x:c r="AH555" s="10" t="str">
        <x:v>General debt payoff</x:v>
      </x:c>
      <x:c r="AI555" s="13" t="n">
        <x:v>1</x:v>
      </x:c>
      <x:c r="AJ555" s="10" t="str">
        <x:f>IF(F555&gt;0,"Active","No est. sales")</x:f>
        <x:v>No est. sales</x:v>
      </x:c>
    </x:row>
    <x:row r="556">
      <x:c r="A556" s="10" t="str">
        <x:v>Google Sheets Debt Calculator, Debt Avalanche Loan Payoff Tracker, Repay Debt Quickly Worksheet, Mortgage Loan Amortization Payment Planner</x:v>
      </x:c>
      <x:c r="B556" s="10" t="str">
        <x:v>https://www.etsy.com/listing/1104497729/google-sheets-debt-calculator-debt</x:v>
      </x:c>
      <x:c r="C556" s="10" t="str">
        <x:v>OrderlyCore</x:v>
      </x:c>
      <x:c r="D556" s="10" t="str">
        <x:v>https://www.etsy.com/shop/OrderlyCore</x:v>
      </x:c>
      <x:c r="E556" s="11" t="n">
        <x:v>6.7</x:v>
      </x:c>
      <x:c r="F556" s="10" t="n">
        <x:v>0</x:v>
      </x:c>
      <x:c r="G556" s="12" t="n">
        <x:v>0</x:v>
      </x:c>
      <x:c r="H556" s="13" t="n">
        <x:v>0</x:v>
      </x:c>
      <x:c r="I556" s="10" t="n">
        <x:v>26</x:v>
      </x:c>
      <x:c r="J556" s="10" t="n">
        <x:v>7</x:v>
      </x:c>
      <x:c r="K556" s="10" t="str">
        <x:v>57 Mo.</x:v>
      </x:c>
      <x:c r="L556" s="10" t="n">
        <x:v>27</x:v>
      </x:c>
      <x:c r="M556" s="10" t="n">
        <x:v>0</x:v>
      </x:c>
      <x:c r="N556" s="10" t="n">
        <x:v>675</x:v>
      </x:c>
      <x:c r="O556" s="10" t="str">
        <x:v>Paper &amp; Party Supplies</x:v>
      </x:c>
      <x:c r="P556" s="10" t="n">
        <x:v>63</x:v>
      </x:c>
      <x:c r="Q556" s="10" t="n">
        <x:v>0</x:v>
      </x:c>
      <x:c r="R556" s="13" t="n">
        <x:v>3.85</x:v>
      </x:c>
      <x:c r="S556" s="10" t="n">
        <x:v>492</x:v>
      </x:c>
      <x:c r="T556" s="10" t="str">
        <x:v>google sheets debt,car debt calculator,debt avalanche loan,loan payoff tracker,repay debt quickly,worksheet dashboard,mortgage loan budget,loan amortization re,amortization payment,payment planner auto,financial freedom fi,credit card pay note,dave ramsey schedule</x:v>
      </x:c>
      <x:c r="U556" s="10" t="str">
        <x:v>google sheets debt</x:v>
      </x:c>
      <x:c r="V556" s="10" t="str">
        <x:v>car debt calculator</x:v>
      </x:c>
      <x:c r="W556" s="10" t="str">
        <x:v>debt avalanche loan</x:v>
      </x:c>
      <x:c r="X556" s="10" t="str">
        <x:v>loan payoff tracker</x:v>
      </x:c>
      <x:c r="Y556" s="10" t="str">
        <x:v>repay debt quickly</x:v>
      </x:c>
      <x:c r="Z556" s="10" t="str">
        <x:v>worksheet dashboard</x:v>
      </x:c>
      <x:c r="AA556" s="10" t="str">
        <x:v>mortgage loan budget</x:v>
      </x:c>
      <x:c r="AB556" s="10" t="str">
        <x:v>loan amortization re</x:v>
      </x:c>
      <x:c r="AC556" s="10" t="str">
        <x:v>amortization payment</x:v>
      </x:c>
      <x:c r="AD556" s="10" t="str">
        <x:v>payment planner auto</x:v>
      </x:c>
      <x:c r="AE556" s="10" t="str">
        <x:v>financial freedom fi</x:v>
      </x:c>
      <x:c r="AF556" s="10" t="str">
        <x:v>credit card pay note</x:v>
      </x:c>
      <x:c r="AG556" s="10" t="str">
        <x:v>dave ramsey schedule</x:v>
      </x:c>
      <x:c r="AH556" s="10" t="str">
        <x:v>General debt payoff</x:v>
      </x:c>
      <x:c r="AI556" s="13" t="n">
        <x:v>57</x:v>
      </x:c>
      <x:c r="AJ556" s="10" t="str">
        <x:f>IF(F556&gt;0,"Active","No est. sales")</x:f>
        <x:v>No est. sales</x:v>
      </x:c>
    </x:row>
    <x:row r="557">
      <x:c r="A557" s="10" t="str">
        <x:v>Toy Brick Doodles - Planner Stickers, Planner Icons</x:v>
      </x:c>
      <x:c r="B557" s="10" t="str">
        <x:v>https://www.etsy.com/listing/1555055481/toy-brick-doodles-planner-stickers</x:v>
      </x:c>
      <x:c r="C557" s="10" t="str">
        <x:v>AllycatsShop</x:v>
      </x:c>
      <x:c r="D557" s="10" t="str">
        <x:v>https://www.etsy.com/shop/AllycatsShop</x:v>
      </x:c>
      <x:c r="E557" s="11" t="n">
        <x:v>2.84</x:v>
      </x:c>
      <x:c r="F557" s="10" t="n">
        <x:v>0</x:v>
      </x:c>
      <x:c r="G557" s="12" t="n">
        <x:v>0</x:v>
      </x:c>
      <x:c r="H557" s="13" t="n">
        <x:v>0</x:v>
      </x:c>
      <x:c r="I557" s="10" t="n">
        <x:v>0</x:v>
      </x:c>
      <x:c r="J557" s="10" t="n">
        <x:v>0</x:v>
      </x:c>
      <x:c r="K557" s="10" t="str">
        <x:v>35 Mo.</x:v>
      </x:c>
      <x:c r="L557" s="10" t="n">
        <x:v>3</x:v>
      </x:c>
      <x:c r="M557" s="10" t="n">
        <x:v>0</x:v>
      </x:c>
      <x:c r="N557" s="10" t="n">
        <x:v>63</x:v>
      </x:c>
      <x:c r="O557" s="10" t="str">
        <x:v>Paper &amp; Party Supplies</x:v>
      </x:c>
      <x:c r="P557" s="10" t="n">
        <x:v>160</x:v>
      </x:c>
      <x:c r="Q557" s="10" t="n">
        <x:v>0</x:v>
      </x:c>
      <x:c r="R557" s="13" t="n">
        <x:v>0</x:v>
      </x:c>
      <x:c r="S557" s="10" t="n">
        <x:v>37604</x:v>
      </x:c>
      <x:c r="T557" s="10" t="str">
        <x:v>planner stickers,erin condren sticker,erin condren planner,mambi stickers,plum paper stickers,personal stickers,doodle stickers,meal tracker sticker,icon stickers,house icon,house stickers,mortgage sticker,rent sticker</x:v>
      </x:c>
      <x:c r="U557" s="10" t="str">
        <x:v>planner stickers</x:v>
      </x:c>
      <x:c r="V557" s="10" t="str">
        <x:v>erin condren sticker</x:v>
      </x:c>
      <x:c r="W557" s="10" t="str">
        <x:v>erin condren planner</x:v>
      </x:c>
      <x:c r="X557" s="10" t="str">
        <x:v>mambi stickers</x:v>
      </x:c>
      <x:c r="Y557" s="10" t="str">
        <x:v>plum paper stickers</x:v>
      </x:c>
      <x:c r="Z557" s="10" t="str">
        <x:v>personal stickers</x:v>
      </x:c>
      <x:c r="AA557" s="10" t="str">
        <x:v>doodle stickers</x:v>
      </x:c>
      <x:c r="AB557" s="10" t="str">
        <x:v>meal tracker sticker</x:v>
      </x:c>
      <x:c r="AC557" s="10" t="str">
        <x:v>icon stickers</x:v>
      </x:c>
      <x:c r="AD557" s="10" t="str">
        <x:v>house icon</x:v>
      </x:c>
      <x:c r="AE557" s="10" t="str">
        <x:v>house stickers</x:v>
      </x:c>
      <x:c r="AF557" s="10" t="str">
        <x:v>mortgage sticker</x:v>
      </x:c>
      <x:c r="AG557" s="10" t="str">
        <x:v>rent sticker</x:v>
      </x:c>
      <x:c r="AH557" s="10" t="str">
        <x:v>Other mortgage-related</x:v>
      </x:c>
      <x:c r="AI557" s="13" t="n">
        <x:v>35</x:v>
      </x:c>
      <x:c r="AJ557" s="10" t="str">
        <x:f>IF(F557&gt;0,"Active","No est. sales")</x:f>
        <x:v>No est. sales</x:v>
      </x:c>
    </x:row>
    <x:row r="558">
      <x:c r="A558" s="10" t="str">
        <x:v>10k House Deposit Savings Challenge, New Home Tracker, Down Payment Chart, Brick Digital Colouring Page, Home Renovation Fund, Printable PDF</x:v>
      </x:c>
      <x:c r="B558" s="10" t="str">
        <x:v>https://www.etsy.com/listing/1749793412/10k-house-deposit-savings-challenge-new</x:v>
      </x:c>
      <x:c r="C558" s="10" t="str">
        <x:v>BloomingCozyCreation</x:v>
      </x:c>
      <x:c r="D558" s="10" t="str">
        <x:v>https://www.etsy.com/shop/BloomingCozyCreation</x:v>
      </x:c>
      <x:c r="E558" s="11" t="n">
        <x:v>1.73</x:v>
      </x:c>
      <x:c r="F558" s="10" t="n">
        <x:v>0</x:v>
      </x:c>
      <x:c r="G558" s="12" t="n">
        <x:v>0</x:v>
      </x:c>
      <x:c r="H558" s="13" t="n">
        <x:v>0</x:v>
      </x:c>
      <x:c r="I558" s="10" t="n">
        <x:v>0</x:v>
      </x:c>
      <x:c r="J558" s="10" t="n">
        <x:v>0</x:v>
      </x:c>
      <x:c r="K558" s="10" t="str">
        <x:v>24 Mo.</x:v>
      </x:c>
      <x:c r="L558" s="10" t="n">
        <x:v>2</x:v>
      </x:c>
      <x:c r="M558" s="10" t="n">
        <x:v>0</x:v>
      </x:c>
      <x:c r="N558" s="10" t="n">
        <x:v>73</x:v>
      </x:c>
      <x:c r="O558" s="10" t="str"/>
      <x:c r="P558" s="10" t="n">
        <x:v>35</x:v>
      </x:c>
      <x:c r="Q558" s="10" t="n">
        <x:v>0</x:v>
      </x:c>
      <x:c r="R558" s="13" t="n">
        <x:v>0</x:v>
      </x:c>
      <x:c r="S558" s="10" t="n">
        <x:v>2</x:v>
      </x:c>
      <x:c r="T558" s="10" t="str">
        <x:v>fun budget tracking,diy vibrant future,colourful creations,adult colouring hue,home renovation,house savings plan,brick sinking fund,colouring page pdf,mortgage deposit,digital challenge,printable planner,10k first time buyer,pound dollar pot</x:v>
      </x:c>
      <x:c r="U558" s="10" t="str">
        <x:v>fun budget tracking</x:v>
      </x:c>
      <x:c r="V558" s="10" t="str">
        <x:v>diy vibrant future</x:v>
      </x:c>
      <x:c r="W558" s="10" t="str">
        <x:v>colourful creations</x:v>
      </x:c>
      <x:c r="X558" s="10" t="str">
        <x:v>adult colouring hue</x:v>
      </x:c>
      <x:c r="Y558" s="10" t="str">
        <x:v>home renovation</x:v>
      </x:c>
      <x:c r="Z558" s="10" t="str">
        <x:v>house savings plan</x:v>
      </x:c>
      <x:c r="AA558" s="10" t="str">
        <x:v>brick sinking fund</x:v>
      </x:c>
      <x:c r="AB558" s="10" t="str">
        <x:v>colouring page pdf</x:v>
      </x:c>
      <x:c r="AC558" s="10" t="str">
        <x:v>mortgage deposit</x:v>
      </x:c>
      <x:c r="AD558" s="10" t="str">
        <x:v>digital challenge</x:v>
      </x:c>
      <x:c r="AE558" s="10" t="str">
        <x:v>printable planner</x:v>
      </x:c>
      <x:c r="AF558" s="10" t="str">
        <x:v>10k first time buyer</x:v>
      </x:c>
      <x:c r="AG558" s="10" t="str">
        <x:v>pound dollar pot</x:v>
      </x:c>
      <x:c r="AH558" s="10" t="str">
        <x:v>Other mortgage-related</x:v>
      </x:c>
      <x:c r="AI558" s="13" t="n">
        <x:v>24</x:v>
      </x:c>
      <x:c r="AJ558" s="10" t="str">
        <x:f>IF(F558&gt;0,"Active","No est. sales")</x:f>
        <x:v>No est. sales</x:v>
      </x:c>
    </x:row>
    <x:row r="559">
      <x:c r="A559" s="10" t="str">
        <x:v>2559-9~~Cellphone Boxes Planner Stickers.</x:v>
      </x:c>
      <x:c r="B559" s="10" t="str">
        <x:v>https://www.etsy.com/listing/1587641832/2559-9cellphone-boxes-planner-stickers</x:v>
      </x:c>
      <x:c r="C559" s="10" t="str">
        <x:v>PlanToPlan</x:v>
      </x:c>
      <x:c r="D559" s="10" t="str">
        <x:v>https://www.etsy.com/shop/PlanToPlan</x:v>
      </x:c>
      <x:c r="E559" s="11" t="n">
        <x:v>3.25</x:v>
      </x:c>
      <x:c r="F559" s="10" t="n">
        <x:v>0</x:v>
      </x:c>
      <x:c r="G559" s="12" t="n">
        <x:v>0</x:v>
      </x:c>
      <x:c r="H559" s="13" t="n">
        <x:v>0</x:v>
      </x:c>
      <x:c r="I559" s="10" t="n">
        <x:v>10</x:v>
      </x:c>
      <x:c r="J559" s="10" t="n">
        <x:v>2</x:v>
      </x:c>
      <x:c r="K559" s="10" t="str">
        <x:v>32 Mo.</x:v>
      </x:c>
      <x:c r="L559" s="10" t="n">
        <x:v>39</x:v>
      </x:c>
      <x:c r="M559" s="10" t="n">
        <x:v>0</x:v>
      </x:c>
      <x:c r="N559" s="10" t="n">
        <x:v>100</x:v>
      </x:c>
      <x:c r="O559" s="10" t="str">
        <x:v>Paper &amp; Party Supplies</x:v>
      </x:c>
      <x:c r="P559" s="10" t="n">
        <x:v>126</x:v>
      </x:c>
      <x:c r="Q559" s="10" t="n">
        <x:v>0</x:v>
      </x:c>
      <x:c r="R559" s="13" t="n">
        <x:v>10</x:v>
      </x:c>
      <x:c r="S559" s="10" t="n">
        <x:v>319985</x:v>
      </x:c>
      <x:c r="T559" s="10" t="str">
        <x:v>planner stickers,plan to plan,icon stickers,plantoplan,reminder stickers,to do stickers,task trackers,bill due stickers,bill stickers,budget stickers,mortgage stickers,electric stickers,cellphone due</x:v>
      </x:c>
      <x:c r="U559" s="10" t="str">
        <x:v>planner stickers</x:v>
      </x:c>
      <x:c r="V559" s="10" t="str">
        <x:v>plan to plan</x:v>
      </x:c>
      <x:c r="W559" s="10" t="str">
        <x:v>icon stickers</x:v>
      </x:c>
      <x:c r="X559" s="10" t="str">
        <x:v>plantoplan</x:v>
      </x:c>
      <x:c r="Y559" s="10" t="str">
        <x:v>reminder stickers</x:v>
      </x:c>
      <x:c r="Z559" s="10" t="str">
        <x:v>to do stickers</x:v>
      </x:c>
      <x:c r="AA559" s="10" t="str">
        <x:v>task trackers</x:v>
      </x:c>
      <x:c r="AB559" s="10" t="str">
        <x:v>bill due stickers</x:v>
      </x:c>
      <x:c r="AC559" s="10" t="str">
        <x:v>bill stickers</x:v>
      </x:c>
      <x:c r="AD559" s="10" t="str">
        <x:v>budget stickers</x:v>
      </x:c>
      <x:c r="AE559" s="10" t="str">
        <x:v>mortgage stickers</x:v>
      </x:c>
      <x:c r="AF559" s="10" t="str">
        <x:v>electric stickers</x:v>
      </x:c>
      <x:c r="AG559" s="10" t="str">
        <x:v>cellphone due</x:v>
      </x:c>
      <x:c r="AH559" s="10" t="str">
        <x:v>Other mortgage-related</x:v>
      </x:c>
      <x:c r="AI559" s="13" t="n">
        <x:v>32</x:v>
      </x:c>
      <x:c r="AJ559" s="10" t="str">
        <x:f>IF(F559&gt;0,"Active","No est. sales")</x:f>
        <x:v>No est. sales</x:v>
      </x:c>
    </x:row>
    <x:row r="560">
      <x:c r="A560" s="10" t="str">
        <x:v>2007-7~~Student Loans Due Dots Planner Stickers.</x:v>
      </x:c>
      <x:c r="B560" s="10" t="str">
        <x:v>https://www.etsy.com/listing/1144516798/2007-7student-loans-due-dots-planner</x:v>
      </x:c>
      <x:c r="C560" s="10" t="str">
        <x:v>PlanToPlan</x:v>
      </x:c>
      <x:c r="D560" s="10" t="str">
        <x:v>https://www.etsy.com/shop/PlanToPlan</x:v>
      </x:c>
      <x:c r="E560" s="11" t="n">
        <x:v>3.25</x:v>
      </x:c>
      <x:c r="F560" s="10" t="n">
        <x:v>0</x:v>
      </x:c>
      <x:c r="G560" s="12" t="n">
        <x:v>0</x:v>
      </x:c>
      <x:c r="H560" s="13" t="n">
        <x:v>0</x:v>
      </x:c>
      <x:c r="I560" s="10" t="n">
        <x:v>37</x:v>
      </x:c>
      <x:c r="J560" s="10" t="n">
        <x:v>7</x:v>
      </x:c>
      <x:c r="K560" s="10" t="str">
        <x:v>54 Mo.</x:v>
      </x:c>
      <x:c r="L560" s="10" t="n">
        <x:v>39</x:v>
      </x:c>
      <x:c r="M560" s="10" t="n">
        <x:v>0</x:v>
      </x:c>
      <x:c r="N560" s="10" t="n">
        <x:v>244</x:v>
      </x:c>
      <x:c r="O560" s="10" t="str">
        <x:v>Paper &amp; Party Supplies</x:v>
      </x:c>
      <x:c r="P560" s="10" t="n">
        <x:v>126</x:v>
      </x:c>
      <x:c r="Q560" s="10" t="n">
        <x:v>0</x:v>
      </x:c>
      <x:c r="R560" s="13" t="n">
        <x:v>15.16</x:v>
      </x:c>
      <x:c r="S560" s="10" t="n">
        <x:v>319985</x:v>
      </x:c>
      <x:c r="T560" s="10" t="str">
        <x:v>planner stickers,reminder stickers,appointment stickers,tracker stickers,functional stickers,plantoplan,bill due stickers,cellphone stickers,cable bill stickers,electric bill,mortgage stickers,college stickers,student loan sticker</x:v>
      </x:c>
      <x:c r="U560" s="10" t="str">
        <x:v>planner stickers</x:v>
      </x:c>
      <x:c r="V560" s="10" t="str">
        <x:v>reminder stickers</x:v>
      </x:c>
      <x:c r="W560" s="10" t="str">
        <x:v>appointment stickers</x:v>
      </x:c>
      <x:c r="X560" s="10" t="str">
        <x:v>tracker stickers</x:v>
      </x:c>
      <x:c r="Y560" s="10" t="str">
        <x:v>functional stickers</x:v>
      </x:c>
      <x:c r="Z560" s="10" t="str">
        <x:v>plantoplan</x:v>
      </x:c>
      <x:c r="AA560" s="10" t="str">
        <x:v>bill due stickers</x:v>
      </x:c>
      <x:c r="AB560" s="10" t="str">
        <x:v>cellphone stickers</x:v>
      </x:c>
      <x:c r="AC560" s="10" t="str">
        <x:v>cable bill stickers</x:v>
      </x:c>
      <x:c r="AD560" s="10" t="str">
        <x:v>electric bill</x:v>
      </x:c>
      <x:c r="AE560" s="10" t="str">
        <x:v>mortgage stickers</x:v>
      </x:c>
      <x:c r="AF560" s="10" t="str">
        <x:v>college stickers</x:v>
      </x:c>
      <x:c r="AG560" s="10" t="str">
        <x:v>student loan sticker</x:v>
      </x:c>
      <x:c r="AH560" s="10" t="str">
        <x:v>Other mortgage-related</x:v>
      </x:c>
      <x:c r="AI560" s="13" t="n">
        <x:v>54</x:v>
      </x:c>
      <x:c r="AJ560" s="10" t="str">
        <x:f>IF(F560&gt;0,"Active","No est. sales")</x:f>
        <x:v>No est. sales</x:v>
      </x:c>
    </x:row>
    <x:row r="561">
      <x:c r="A561" s="10" t="str">
        <x:v>2745-23~~Car Payment Bill Due Planner Stickers.</x:v>
      </x:c>
      <x:c r="B561" s="10" t="str">
        <x:v>https://www.etsy.com/listing/1736597326/2745-23car-payment-bill-due-planner</x:v>
      </x:c>
      <x:c r="C561" s="10" t="str">
        <x:v>PlanToPlan</x:v>
      </x:c>
      <x:c r="D561" s="10" t="str">
        <x:v>https://www.etsy.com/shop/PlanToPlan</x:v>
      </x:c>
      <x:c r="E561" s="11" t="n">
        <x:v>3.25</x:v>
      </x:c>
      <x:c r="F561" s="10" t="n">
        <x:v>0</x:v>
      </x:c>
      <x:c r="G561" s="12" t="n">
        <x:v>0</x:v>
      </x:c>
      <x:c r="H561" s="13" t="n">
        <x:v>0</x:v>
      </x:c>
      <x:c r="I561" s="10" t="n">
        <x:v>5</x:v>
      </x:c>
      <x:c r="J561" s="10" t="n">
        <x:v>1</x:v>
      </x:c>
      <x:c r="K561" s="10" t="str">
        <x:v>25 Mo.</x:v>
      </x:c>
      <x:c r="L561" s="10" t="n">
        <x:v>32</x:v>
      </x:c>
      <x:c r="M561" s="10" t="n">
        <x:v>0</x:v>
      </x:c>
      <x:c r="N561" s="10" t="n">
        <x:v>86</x:v>
      </x:c>
      <x:c r="O561" s="10" t="str">
        <x:v>Paper &amp; Party Supplies</x:v>
      </x:c>
      <x:c r="P561" s="10" t="n">
        <x:v>126</x:v>
      </x:c>
      <x:c r="Q561" s="10" t="n">
        <x:v>0</x:v>
      </x:c>
      <x:c r="R561" s="13" t="n">
        <x:v>5.81</x:v>
      </x:c>
      <x:c r="S561" s="10" t="n">
        <x:v>319985</x:v>
      </x:c>
      <x:c r="T561" s="10" t="str">
        <x:v>planner stickers,reminder stickers,appointment stickers,tracker stickers,functional stickers,plantoplan,bill due stickers,cellphone stickers,cable bill stickers,electric bill,mortgage stickers,car payment due,erin condren</x:v>
      </x:c>
      <x:c r="U561" s="10" t="str">
        <x:v>planner stickers</x:v>
      </x:c>
      <x:c r="V561" s="10" t="str">
        <x:v>reminder stickers</x:v>
      </x:c>
      <x:c r="W561" s="10" t="str">
        <x:v>appointment stickers</x:v>
      </x:c>
      <x:c r="X561" s="10" t="str">
        <x:v>tracker stickers</x:v>
      </x:c>
      <x:c r="Y561" s="10" t="str">
        <x:v>functional stickers</x:v>
      </x:c>
      <x:c r="Z561" s="10" t="str">
        <x:v>plantoplan</x:v>
      </x:c>
      <x:c r="AA561" s="10" t="str">
        <x:v>bill due stickers</x:v>
      </x:c>
      <x:c r="AB561" s="10" t="str">
        <x:v>cellphone stickers</x:v>
      </x:c>
      <x:c r="AC561" s="10" t="str">
        <x:v>cable bill stickers</x:v>
      </x:c>
      <x:c r="AD561" s="10" t="str">
        <x:v>electric bill</x:v>
      </x:c>
      <x:c r="AE561" s="10" t="str">
        <x:v>mortgage stickers</x:v>
      </x:c>
      <x:c r="AF561" s="10" t="str">
        <x:v>car payment due</x:v>
      </x:c>
      <x:c r="AG561" s="10" t="str">
        <x:v>erin condren</x:v>
      </x:c>
      <x:c r="AH561" s="10" t="str">
        <x:v>Other mortgage-related</x:v>
      </x:c>
      <x:c r="AI561" s="13" t="n">
        <x:v>25</x:v>
      </x:c>
      <x:c r="AJ561" s="10" t="str">
        <x:f>IF(F561&gt;0,"Active","No est. sales")</x:f>
        <x:v>No est. sales</x:v>
      </x:c>
    </x:row>
    <x:row r="562">
      <x:c r="A562" s="10" t="str">
        <x:v>2745-27~~Health Insurance Bill Due Planner Stickers.</x:v>
      </x:c>
      <x:c r="B562" s="10" t="str">
        <x:v>https://www.etsy.com/listing/1736594796/2745-27health-insurance-bill-due-planner</x:v>
      </x:c>
      <x:c r="C562" s="10" t="str">
        <x:v>PlanToPlan</x:v>
      </x:c>
      <x:c r="D562" s="10" t="str">
        <x:v>https://www.etsy.com/shop/PlanToPlan</x:v>
      </x:c>
      <x:c r="E562" s="11" t="n">
        <x:v>3.25</x:v>
      </x:c>
      <x:c r="F562" s="10" t="n">
        <x:v>0</x:v>
      </x:c>
      <x:c r="G562" s="12" t="n">
        <x:v>0</x:v>
      </x:c>
      <x:c r="H562" s="13" t="n">
        <x:v>0</x:v>
      </x:c>
      <x:c r="I562" s="10" t="n">
        <x:v>5</x:v>
      </x:c>
      <x:c r="J562" s="10" t="n">
        <x:v>1</x:v>
      </x:c>
      <x:c r="K562" s="10" t="str">
        <x:v>25 Mo.</x:v>
      </x:c>
      <x:c r="L562" s="10" t="n">
        <x:v>11</x:v>
      </x:c>
      <x:c r="M562" s="10" t="n">
        <x:v>0</x:v>
      </x:c>
      <x:c r="N562" s="10" t="n">
        <x:v>574</x:v>
      </x:c>
      <x:c r="O562" s="10" t="str">
        <x:v>Paper &amp; Party Supplies</x:v>
      </x:c>
      <x:c r="P562" s="10" t="n">
        <x:v>126</x:v>
      </x:c>
      <x:c r="Q562" s="10" t="n">
        <x:v>0</x:v>
      </x:c>
      <x:c r="R562" s="13" t="n">
        <x:v>0.87</x:v>
      </x:c>
      <x:c r="S562" s="10" t="n">
        <x:v>319985</x:v>
      </x:c>
      <x:c r="T562" s="10" t="str">
        <x:v>planner stickers,reminder stickers,appointment stickers,tracker stickers,functional stickers,plantoplan,bill due stickers,cellphone stickers,cable bill stickers,electric bill,mortgage stickers,health ins bill due,erin condren</x:v>
      </x:c>
      <x:c r="U562" s="10" t="str">
        <x:v>planner stickers</x:v>
      </x:c>
      <x:c r="V562" s="10" t="str">
        <x:v>reminder stickers</x:v>
      </x:c>
      <x:c r="W562" s="10" t="str">
        <x:v>appointment stickers</x:v>
      </x:c>
      <x:c r="X562" s="10" t="str">
        <x:v>tracker stickers</x:v>
      </x:c>
      <x:c r="Y562" s="10" t="str">
        <x:v>functional stickers</x:v>
      </x:c>
      <x:c r="Z562" s="10" t="str">
        <x:v>plantoplan</x:v>
      </x:c>
      <x:c r="AA562" s="10" t="str">
        <x:v>bill due stickers</x:v>
      </x:c>
      <x:c r="AB562" s="10" t="str">
        <x:v>cellphone stickers</x:v>
      </x:c>
      <x:c r="AC562" s="10" t="str">
        <x:v>cable bill stickers</x:v>
      </x:c>
      <x:c r="AD562" s="10" t="str">
        <x:v>electric bill</x:v>
      </x:c>
      <x:c r="AE562" s="10" t="str">
        <x:v>mortgage stickers</x:v>
      </x:c>
      <x:c r="AF562" s="10" t="str">
        <x:v>health ins bill due</x:v>
      </x:c>
      <x:c r="AG562" s="10" t="str">
        <x:v>erin condren</x:v>
      </x:c>
      <x:c r="AH562" s="10" t="str">
        <x:v>Other mortgage-related</x:v>
      </x:c>
      <x:c r="AI562" s="13" t="n">
        <x:v>25</x:v>
      </x:c>
      <x:c r="AJ562" s="10" t="str">
        <x:f>IF(F562&gt;0,"Active","No est. sales")</x:f>
        <x:v>No est. sales</x:v>
      </x:c>
    </x:row>
    <x:row r="563">
      <x:c r="A563" s="10" t="str">
        <x:v>1345~~ Houses Planner Stickers.</x:v>
      </x:c>
      <x:c r="B563" s="10" t="str">
        <x:v>https://www.etsy.com/listing/813268283/1345-houses-planner-stickers</x:v>
      </x:c>
      <x:c r="C563" s="10" t="str">
        <x:v>PlanToPlan</x:v>
      </x:c>
      <x:c r="D563" s="10" t="str">
        <x:v>https://www.etsy.com/shop/PlanToPlan</x:v>
      </x:c>
      <x:c r="E563" s="11" t="n">
        <x:v>3.25</x:v>
      </x:c>
      <x:c r="F563" s="10" t="n">
        <x:v>0</x:v>
      </x:c>
      <x:c r="G563" s="12" t="n">
        <x:v>0</x:v>
      </x:c>
      <x:c r="H563" s="13" t="n">
        <x:v>0</x:v>
      </x:c>
      <x:c r="I563" s="10" t="n">
        <x:v>153</x:v>
      </x:c>
      <x:c r="J563" s="10" t="n">
        <x:v>29</x:v>
      </x:c>
      <x:c r="K563" s="10" t="str">
        <x:v>74 Mo.</x:v>
      </x:c>
      <x:c r="L563" s="10" t="n">
        <x:v>137</x:v>
      </x:c>
      <x:c r="M563" s="10" t="n">
        <x:v>0</x:v>
      </x:c>
      <x:c r="N563" s="10" t="n">
        <x:v>1677</x:v>
      </x:c>
      <x:c r="O563" s="10" t="str">
        <x:v>Paper &amp; Party Supplies</x:v>
      </x:c>
      <x:c r="P563" s="10" t="n">
        <x:v>126</x:v>
      </x:c>
      <x:c r="Q563" s="10" t="n">
        <x:v>0</x:v>
      </x:c>
      <x:c r="R563" s="13" t="n">
        <x:v>9.12</x:v>
      </x:c>
      <x:c r="S563" s="10" t="n">
        <x:v>319985</x:v>
      </x:c>
      <x:c r="T563" s="10" t="str">
        <x:v>planner stickers,calendar stickers,plan to plan,icon stickers,bujo stickers,bullet journal,multi color icons,reminder stickers,house stickers,rent due stickers,mortgage stickers,erin condren,hobonichi stickers</x:v>
      </x:c>
      <x:c r="U563" s="10" t="str">
        <x:v>planner stickers</x:v>
      </x:c>
      <x:c r="V563" s="10" t="str">
        <x:v>calendar stickers</x:v>
      </x:c>
      <x:c r="W563" s="10" t="str">
        <x:v>plan to plan</x:v>
      </x:c>
      <x:c r="X563" s="10" t="str">
        <x:v>icon stickers</x:v>
      </x:c>
      <x:c r="Y563" s="10" t="str">
        <x:v>bujo stickers</x:v>
      </x:c>
      <x:c r="Z563" s="10" t="str">
        <x:v>bullet journal</x:v>
      </x:c>
      <x:c r="AA563" s="10" t="str">
        <x:v>multi color icons</x:v>
      </x:c>
      <x:c r="AB563" s="10" t="str">
        <x:v>reminder stickers</x:v>
      </x:c>
      <x:c r="AC563" s="10" t="str">
        <x:v>house stickers</x:v>
      </x:c>
      <x:c r="AD563" s="10" t="str">
        <x:v>rent due stickers</x:v>
      </x:c>
      <x:c r="AE563" s="10" t="str">
        <x:v>mortgage stickers</x:v>
      </x:c>
      <x:c r="AF563" s="10" t="str">
        <x:v>erin condren</x:v>
      </x:c>
      <x:c r="AG563" s="10" t="str">
        <x:v>hobonichi stickers</x:v>
      </x:c>
      <x:c r="AH563" s="10" t="str">
        <x:v>Other mortgage-related</x:v>
      </x:c>
      <x:c r="AI563" s="13" t="n">
        <x:v>74</x:v>
      </x:c>
      <x:c r="AJ563" s="10" t="str">
        <x:f>IF(F563&gt;0,"Active","No est. sales")</x:f>
        <x:v>No est. sales</x:v>
      </x:c>
    </x:row>
    <x:row r="564">
      <x:c r="A564" s="10" t="str">
        <x:v>Financial Planning Tool | Net Worth, Budget, Pension Tracker (Digital)</x:v>
      </x:c>
      <x:c r="B564" s="10" t="str">
        <x:v>https://www.etsy.com/listing/4350805398/financial-planning-tool-net-worth-budget</x:v>
      </x:c>
      <x:c r="C564" s="10" t="str">
        <x:v>ALIGNbyRD</x:v>
      </x:c>
      <x:c r="D564" s="10" t="str">
        <x:v>https://www.etsy.com/shop/ALIGNbyRD</x:v>
      </x:c>
      <x:c r="E564" s="11" t="n">
        <x:v>6.63</x:v>
      </x:c>
      <x:c r="F564" s="10" t="n">
        <x:v>0</x:v>
      </x:c>
      <x:c r="G564" s="12" t="n">
        <x:v>0</x:v>
      </x:c>
      <x:c r="H564" s="13" t="n">
        <x:v>0</x:v>
      </x:c>
      <x:c r="I564" s="10" t="n">
        <x:v>0</x:v>
      </x:c>
      <x:c r="J564" s="10" t="n">
        <x:v>0</x:v>
      </x:c>
      <x:c r="K564" s="10" t="str">
        <x:v>11 Mo.</x:v>
      </x:c>
      <x:c r="L564" s="10" t="n">
        <x:v>0</x:v>
      </x:c>
      <x:c r="M564" s="10" t="n">
        <x:v>0</x:v>
      </x:c>
      <x:c r="N564" s="10" t="n">
        <x:v>47</x:v>
      </x:c>
      <x:c r="O564" s="10" t="str"/>
      <x:c r="P564" s="10" t="n">
        <x:v>11</x:v>
      </x:c>
      <x:c r="Q564" s="10" t="n">
        <x:v>0</x:v>
      </x:c>
      <x:c r="R564" s="13" t="n">
        <x:v>0</x:v>
      </x:c>
      <x:c r="S564" s="10" t="n">
        <x:v>0</x:v>
      </x:c>
      <x:c r="T564" s="10" t="str">
        <x:v>finance,financial planning,digital product,google sheets,budget planner,net worth tracker,pensions,mortgages,financial habits,google template,personal finance,budget template,finance tool</x:v>
      </x:c>
      <x:c r="U564" s="10" t="str">
        <x:v>finance</x:v>
      </x:c>
      <x:c r="V564" s="10" t="str">
        <x:v>financial planning</x:v>
      </x:c>
      <x:c r="W564" s="10" t="str">
        <x:v>digital product</x:v>
      </x:c>
      <x:c r="X564" s="10" t="str">
        <x:v>google sheets</x:v>
      </x:c>
      <x:c r="Y564" s="10" t="str">
        <x:v>budget planner</x:v>
      </x:c>
      <x:c r="Z564" s="10" t="str">
        <x:v>net worth tracker</x:v>
      </x:c>
      <x:c r="AA564" s="10" t="str">
        <x:v>pensions</x:v>
      </x:c>
      <x:c r="AB564" s="10" t="str">
        <x:v>mortgages</x:v>
      </x:c>
      <x:c r="AC564" s="10" t="str">
        <x:v>financial habits</x:v>
      </x:c>
      <x:c r="AD564" s="10" t="str">
        <x:v>google template</x:v>
      </x:c>
      <x:c r="AE564" s="10" t="str">
        <x:v>personal finance</x:v>
      </x:c>
      <x:c r="AF564" s="10" t="str">
        <x:v>budget template</x:v>
      </x:c>
      <x:c r="AG564" s="10" t="str">
        <x:v>finance tool</x:v>
      </x:c>
      <x:c r="AH564" s="10" t="str">
        <x:v>Other mortgage-related</x:v>
      </x:c>
      <x:c r="AI564" s="13" t="n">
        <x:v>11</x:v>
      </x:c>
      <x:c r="AJ564" s="10" t="str">
        <x:f>IF(F564&gt;0,"Active","No est. sales")</x:f>
        <x:v>No est. sales</x:v>
      </x:c>
    </x:row>
    <x:row r="565">
      <x:c r="A565" s="10" t="str">
        <x:v>Home Buying Questions Printable | What to Ask at Open House | Property Inspection Planner PDF</x:v>
      </x:c>
      <x:c r="B565" s="10" t="str">
        <x:v>https://www.etsy.com/listing/1476768720/home-buying-questions-checklist-house</x:v>
      </x:c>
      <x:c r="C565" s="10" t="str">
        <x:v>MadeforMoving</x:v>
      </x:c>
      <x:c r="D565" s="10" t="str">
        <x:v>https://www.etsy.com/shop/MadeforMoving</x:v>
      </x:c>
      <x:c r="E565" s="11" t="n">
        <x:v>4.13</x:v>
      </x:c>
      <x:c r="F565" s="10" t="n">
        <x:v>0</x:v>
      </x:c>
      <x:c r="G565" s="12" t="n">
        <x:v>0</x:v>
      </x:c>
      <x:c r="H565" s="13" t="n">
        <x:v>0</x:v>
      </x:c>
      <x:c r="I565" s="10" t="n">
        <x:v>0</x:v>
      </x:c>
      <x:c r="J565" s="10" t="n">
        <x:v>0</x:v>
      </x:c>
      <x:c r="K565" s="10" t="str">
        <x:v>38 Mo.</x:v>
      </x:c>
      <x:c r="L565" s="10" t="n">
        <x:v>10</x:v>
      </x:c>
      <x:c r="M565" s="10" t="n">
        <x:v>0</x:v>
      </x:c>
      <x:c r="N565" s="10" t="n">
        <x:v>81</x:v>
      </x:c>
      <x:c r="O565" s="10" t="str">
        <x:v>Paper &amp; Party Supplies</x:v>
      </x:c>
      <x:c r="P565" s="10" t="n">
        <x:v>65</x:v>
      </x:c>
      <x:c r="Q565" s="10" t="n">
        <x:v>0</x:v>
      </x:c>
      <x:c r="R565" s="13" t="n">
        <x:v>0</x:v>
      </x:c>
      <x:c r="S565" s="10" t="n">
        <x:v>4199</x:v>
      </x:c>
      <x:c r="T565" s="10" t="str">
        <x:v>home buying tips,open house list,property questions,inspection checklist,house hunting,first home buyer,real estate tips,buyer checklist,home offer prep,mortgage prep,property planner,home inspection,buyer questions</x:v>
      </x:c>
      <x:c r="U565" s="10" t="str">
        <x:v>home buying tips</x:v>
      </x:c>
      <x:c r="V565" s="10" t="str">
        <x:v>open house list</x:v>
      </x:c>
      <x:c r="W565" s="10" t="str">
        <x:v>property questions</x:v>
      </x:c>
      <x:c r="X565" s="10" t="str">
        <x:v>inspection checklist</x:v>
      </x:c>
      <x:c r="Y565" s="10" t="str">
        <x:v>house hunting</x:v>
      </x:c>
      <x:c r="Z565" s="10" t="str">
        <x:v>first home buyer</x:v>
      </x:c>
      <x:c r="AA565" s="10" t="str">
        <x:v>real estate tips</x:v>
      </x:c>
      <x:c r="AB565" s="10" t="str">
        <x:v>buyer checklist</x:v>
      </x:c>
      <x:c r="AC565" s="10" t="str">
        <x:v>home offer prep</x:v>
      </x:c>
      <x:c r="AD565" s="10" t="str">
        <x:v>mortgage prep</x:v>
      </x:c>
      <x:c r="AE565" s="10" t="str">
        <x:v>property planner</x:v>
      </x:c>
      <x:c r="AF565" s="10" t="str">
        <x:v>home inspection</x:v>
      </x:c>
      <x:c r="AG565" s="10" t="str">
        <x:v>buyer questions</x:v>
      </x:c>
      <x:c r="AH565" s="10" t="str">
        <x:v>Home buying planner</x:v>
      </x:c>
      <x:c r="AI565" s="13" t="n">
        <x:v>38</x:v>
      </x:c>
      <x:c r="AJ565" s="10" t="str">
        <x:f>IF(F565&gt;0,"Active","No est. sales")</x:f>
        <x:v>No est. sales</x:v>
      </x:c>
    </x:row>
    <x:row r="566">
      <x:c r="A566" s="10" t="str">
        <x:v>Debt Killer Payoff Planner, Google Sheets Debt Tracker Web App, Debt Snowball and Avalanche Calculator, Credit Card Loan Dashboard</x:v>
      </x:c>
      <x:c r="B566" s="10" t="str">
        <x:v>https://www.etsy.com/listing/4502246394/debt-killer-payoff-planner-google-sheets</x:v>
      </x:c>
      <x:c r="C566" s="10" t="str">
        <x:v>SheetsAi</x:v>
      </x:c>
      <x:c r="D566" s="10" t="str">
        <x:v>https://www.etsy.com/shop/SheetsAi</x:v>
      </x:c>
      <x:c r="E566" s="11" t="n">
        <x:v>14.98</x:v>
      </x:c>
      <x:c r="F566" s="10" t="n">
        <x:v>0</x:v>
      </x:c>
      <x:c r="G566" s="12" t="n">
        <x:v>0</x:v>
      </x:c>
      <x:c r="H566" s="13" t="n">
        <x:v>0</x:v>
      </x:c>
      <x:c r="I566" s="10" t="n">
        <x:v>0</x:v>
      </x:c>
      <x:c r="J566" s="10" t="n">
        <x:v>0</x:v>
      </x:c>
      <x:c r="K566" s="10" t="str">
        <x:v>2 Mo.</x:v>
      </x:c>
      <x:c r="L566" s="10" t="n">
        <x:v>0</x:v>
      </x:c>
      <x:c r="M566" s="10" t="n">
        <x:v>0</x:v>
      </x:c>
      <x:c r="N566" s="10" t="n">
        <x:v>9</x:v>
      </x:c>
      <x:c r="O566" s="10" t="str"/>
      <x:c r="P566" s="10" t="n">
        <x:v>19</x:v>
      </x:c>
      <x:c r="Q566" s="10" t="n">
        <x:v>0</x:v>
      </x:c>
      <x:c r="R566" s="13" t="n">
        <x:v>0</x:v>
      </x:c>
      <x:c r="S566" s="10" t="n">
        <x:v>30</x:v>
      </x:c>
      <x:c r="T566" s="10" t="str">
        <x:v>debt payoff planner,debt tracker sheets,snowball calculator,avalanche tracker,loan calculator,google sheets budget,credit card pay off,debt free dashboard,savings planner,financial freedom,mortgage calculator,debt payoff app,money manager</x:v>
      </x:c>
      <x:c r="U566" s="10" t="str">
        <x:v>debt payoff planner</x:v>
      </x:c>
      <x:c r="V566" s="10" t="str">
        <x:v>debt tracker sheets</x:v>
      </x:c>
      <x:c r="W566" s="10" t="str">
        <x:v>snowball calculator</x:v>
      </x:c>
      <x:c r="X566" s="10" t="str">
        <x:v>avalanche tracker</x:v>
      </x:c>
      <x:c r="Y566" s="10" t="str">
        <x:v>loan calculator</x:v>
      </x:c>
      <x:c r="Z566" s="10" t="str">
        <x:v>google sheets budget</x:v>
      </x:c>
      <x:c r="AA566" s="10" t="str">
        <x:v>credit card pay off</x:v>
      </x:c>
      <x:c r="AB566" s="10" t="str">
        <x:v>debt free dashboard</x:v>
      </x:c>
      <x:c r="AC566" s="10" t="str">
        <x:v>savings planner</x:v>
      </x:c>
      <x:c r="AD566" s="10" t="str">
        <x:v>financial freedom</x:v>
      </x:c>
      <x:c r="AE566" s="10" t="str">
        <x:v>mortgage calculator</x:v>
      </x:c>
      <x:c r="AF566" s="10" t="str">
        <x:v>debt payoff app</x:v>
      </x:c>
      <x:c r="AG566" s="10" t="str">
        <x:v>money manager</x:v>
      </x:c>
      <x:c r="AH566" s="10" t="str">
        <x:v>General debt payoff</x:v>
      </x:c>
      <x:c r="AI566" s="13" t="n">
        <x:v>2</x:v>
      </x:c>
      <x:c r="AJ566" s="10" t="str">
        <x:f>IF(F566&gt;0,"Active","No est. sales")</x:f>
        <x:v>No est. sales</x:v>
      </x:c>
    </x:row>
    <x:row r="567">
      <x:c r="A567" s="10" t="str">
        <x:v>ANZ Mortgage Planner</x:v>
      </x:c>
      <x:c r="B567" s="10" t="str">
        <x:v>https://www.etsy.com/listing/1855928890/anz-mortgage-planner</x:v>
      </x:c>
      <x:c r="C567" s="10" t="str">
        <x:v>libbyanguscom</x:v>
      </x:c>
      <x:c r="D567" s="10" t="str">
        <x:v>https://www.etsy.com/shop/libbyanguscom</x:v>
      </x:c>
      <x:c r="E567" s="11" t="n">
        <x:v>4.16</x:v>
      </x:c>
      <x:c r="F567" s="10" t="n">
        <x:v>0</x:v>
      </x:c>
      <x:c r="G567" s="12" t="n">
        <x:v>0</x:v>
      </x:c>
      <x:c r="H567" s="13" t="n">
        <x:v>0</x:v>
      </x:c>
      <x:c r="I567" s="10" t="n">
        <x:v>0</x:v>
      </x:c>
      <x:c r="J567" s="10" t="n">
        <x:v>0</x:v>
      </x:c>
      <x:c r="K567" s="10" t="str">
        <x:v>17 Mo.</x:v>
      </x:c>
      <x:c r="L567" s="10" t="n">
        <x:v>1</x:v>
      </x:c>
      <x:c r="M567" s="10" t="n">
        <x:v>0</x:v>
      </x:c>
      <x:c r="N567" s="10" t="n">
        <x:v>26</x:v>
      </x:c>
      <x:c r="O567" s="10" t="str"/>
      <x:c r="P567" s="10" t="n">
        <x:v>114</x:v>
      </x:c>
      <x:c r="Q567" s="10" t="n">
        <x:v>0</x:v>
      </x:c>
      <x:c r="R567" s="13" t="n">
        <x:v>0</x:v>
      </x:c>
      <x:c r="S567" s="10" t="n">
        <x:v>0</x:v>
      </x:c>
      <x:c r="T567" s="10" t="str">
        <x:v>mortgage,finance,house buying,house purchase,budgeting,australia,new zealand,investment planner</x:v>
      </x:c>
      <x:c r="U567" s="10" t="str">
        <x:v>mortgage</x:v>
      </x:c>
      <x:c r="V567" s="10" t="str">
        <x:v>finance</x:v>
      </x:c>
      <x:c r="W567" s="10" t="str">
        <x:v>house buying</x:v>
      </x:c>
      <x:c r="X567" s="10" t="str">
        <x:v>house purchase</x:v>
      </x:c>
      <x:c r="Y567" s="10" t="str">
        <x:v>budgeting</x:v>
      </x:c>
      <x:c r="Z567" s="10" t="str">
        <x:v>australia</x:v>
      </x:c>
      <x:c r="AA567" s="10" t="str">
        <x:v>new zealand</x:v>
      </x:c>
      <x:c r="AB567" s="10" t="str">
        <x:v>investment planner</x:v>
      </x:c>
      <x:c r="AC567" s="10" t="str">
        <x:v>--</x:v>
      </x:c>
      <x:c r="AD567" s="10" t="str">
        <x:v>--</x:v>
      </x:c>
      <x:c r="AE567" s="10" t="str">
        <x:v>--</x:v>
      </x:c>
      <x:c r="AF567" s="10" t="str">
        <x:v>--</x:v>
      </x:c>
      <x:c r="AG567" s="10" t="str">
        <x:v>--</x:v>
      </x:c>
      <x:c r="AH567" s="10" t="str">
        <x:v>Other mortgage-related</x:v>
      </x:c>
      <x:c r="AI567" s="13" t="n">
        <x:v>17</x:v>
      </x:c>
      <x:c r="AJ567" s="10" t="str">
        <x:f>IF(F567&gt;0,"Active","No est. sales")</x:f>
        <x:v>No est. sales</x:v>
      </x:c>
    </x:row>
    <x:row r="568">
      <x:c r="A568" s="10" t="str">
        <x:v>Home Mortgage Loan Comparison Calculator Tracker Spreadsheet : Excel &amp; Google Sheets (Digital Download)</x:v>
      </x:c>
      <x:c r="B568" s="10" t="str">
        <x:v>https://www.etsy.com/listing/1864992884/home-mortgage-loan-comparison-calculator</x:v>
      </x:c>
      <x:c r="C568" s="10" t="str">
        <x:v>TheDigitalBeanDesign</x:v>
      </x:c>
      <x:c r="D568" s="10" t="str">
        <x:v>https://www.etsy.com/shop/TheDigitalBeanDesign</x:v>
      </x:c>
      <x:c r="E568" s="11" t="n">
        <x:v>6.65</x:v>
      </x:c>
      <x:c r="F568" s="10" t="n">
        <x:v>0</x:v>
      </x:c>
      <x:c r="G568" s="12" t="n">
        <x:v>0</x:v>
      </x:c>
      <x:c r="H568" s="13" t="n">
        <x:v>0</x:v>
      </x:c>
      <x:c r="I568" s="10" t="n">
        <x:v>4</x:v>
      </x:c>
      <x:c r="J568" s="10" t="n">
        <x:v>2</x:v>
      </x:c>
      <x:c r="K568" s="10" t="str">
        <x:v>17 Mo.</x:v>
      </x:c>
      <x:c r="L568" s="10" t="n">
        <x:v>44</x:v>
      </x:c>
      <x:c r="M568" s="10" t="n">
        <x:v>0</x:v>
      </x:c>
      <x:c r="N568" s="10" t="n">
        <x:v>1197</x:v>
      </x:c>
      <x:c r="O568" s="10" t="str"/>
      <x:c r="P568" s="10" t="n">
        <x:v>22</x:v>
      </x:c>
      <x:c r="Q568" s="10" t="n">
        <x:v>30</x:v>
      </x:c>
      <x:c r="R568" s="13" t="n">
        <x:v>0.33</x:v>
      </x:c>
      <x:c r="S568" s="10" t="n">
        <x:v>73</x:v>
      </x:c>
      <x:c r="T568" s="10" t="str">
        <x:v>interest rate review,saving money loans,house borrower money,mortgage payoff calc,overpayment schedule,total cost analysis,rate comparison tool,financial planner,debt snowball payoff,home lending budget,real estate service,loan officer broker,mortgage comparison</x:v>
      </x:c>
      <x:c r="U568" s="10" t="str">
        <x:v>interest rate review</x:v>
      </x:c>
      <x:c r="V568" s="10" t="str">
        <x:v>saving money loans</x:v>
      </x:c>
      <x:c r="W568" s="10" t="str">
        <x:v>house borrower money</x:v>
      </x:c>
      <x:c r="X568" s="10" t="str">
        <x:v>mortgage payoff calc</x:v>
      </x:c>
      <x:c r="Y568" s="10" t="str">
        <x:v>overpayment schedule</x:v>
      </x:c>
      <x:c r="Z568" s="10" t="str">
        <x:v>total cost analysis</x:v>
      </x:c>
      <x:c r="AA568" s="10" t="str">
        <x:v>rate comparison tool</x:v>
      </x:c>
      <x:c r="AB568" s="10" t="str">
        <x:v>financial planner</x:v>
      </x:c>
      <x:c r="AC568" s="10" t="str">
        <x:v>debt snowball payoff</x:v>
      </x:c>
      <x:c r="AD568" s="10" t="str">
        <x:v>home lending budget</x:v>
      </x:c>
      <x:c r="AE568" s="10" t="str">
        <x:v>real estate service</x:v>
      </x:c>
      <x:c r="AF568" s="10" t="str">
        <x:v>loan officer broker</x:v>
      </x:c>
      <x:c r="AG568" s="10" t="str">
        <x:v>mortgage comparison</x:v>
      </x:c>
      <x:c r="AH568" s="10" t="str">
        <x:v>Loan officer / B2B</x:v>
      </x:c>
      <x:c r="AI568" s="13" t="n">
        <x:v>17</x:v>
      </x:c>
      <x:c r="AJ568" s="10" t="str">
        <x:f>IF(F568&gt;0,"Active","No est. sales")</x:f>
        <x:v>No est. sales</x:v>
      </x:c>
    </x:row>
    <x:row r="569">
      <x:c r="A569" s="10" t="str">
        <x:v>First Time Home Buyer Savings Tracker | Down Payment Planner | Printable Mortgage Budget | Home Buying Checklist PDF</x:v>
      </x:c>
      <x:c r="B569" s="10" t="str">
        <x:v>https://www.etsy.com/listing/4432000701/first-time-home-buyer-savings-tracker</x:v>
      </x:c>
      <x:c r="C569" s="10" t="str">
        <x:v>LivingWithAlly</x:v>
      </x:c>
      <x:c r="D569" s="10" t="str">
        <x:v>https://www.etsy.com/shop/LivingWithAlly</x:v>
      </x:c>
      <x:c r="E569" s="11" t="n">
        <x:v>4.99</x:v>
      </x:c>
      <x:c r="F569" s="10" t="n">
        <x:v>0</x:v>
      </x:c>
      <x:c r="G569" s="12" t="n">
        <x:v>0</x:v>
      </x:c>
      <x:c r="H569" s="13" t="n">
        <x:v>0</x:v>
      </x:c>
      <x:c r="I569" s="10" t="n">
        <x:v>0</x:v>
      </x:c>
      <x:c r="J569" s="10" t="n">
        <x:v>0</x:v>
      </x:c>
      <x:c r="K569" s="10" t="str">
        <x:v>7 Mo.</x:v>
      </x:c>
      <x:c r="L569" s="10" t="n">
        <x:v>0</x:v>
      </x:c>
      <x:c r="M569" s="10" t="n">
        <x:v>0</x:v>
      </x:c>
      <x:c r="N569" s="10" t="n">
        <x:v>31</x:v>
      </x:c>
      <x:c r="O569" s="10" t="str"/>
      <x:c r="P569" s="10" t="n">
        <x:v>7</x:v>
      </x:c>
      <x:c r="Q569" s="10" t="n">
        <x:v>0</x:v>
      </x:c>
      <x:c r="R569" s="13" t="n">
        <x:v>0</x:v>
      </x:c>
      <x:c r="S569" s="10" t="n">
        <x:v>6</x:v>
      </x:c>
      <x:c r="T569" s="10" t="str">
        <x:v>first time home,home saving tracker,down payment planner,printable budget,mortgage checklist,house buying planner,home buyer printable,savings challenge,financial planner,budget printable,real estate planner,money tracker,instant download</x:v>
      </x:c>
      <x:c r="U569" s="10" t="str">
        <x:v>first time home</x:v>
      </x:c>
      <x:c r="V569" s="10" t="str">
        <x:v>home saving tracker</x:v>
      </x:c>
      <x:c r="W569" s="10" t="str">
        <x:v>down payment planner</x:v>
      </x:c>
      <x:c r="X569" s="10" t="str">
        <x:v>printable budget</x:v>
      </x:c>
      <x:c r="Y569" s="10" t="str">
        <x:v>mortgage checklist</x:v>
      </x:c>
      <x:c r="Z569" s="10" t="str">
        <x:v>house buying planner</x:v>
      </x:c>
      <x:c r="AA569" s="10" t="str">
        <x:v>home buyer printable</x:v>
      </x:c>
      <x:c r="AB569" s="10" t="str">
        <x:v>savings challenge</x:v>
      </x:c>
      <x:c r="AC569" s="10" t="str">
        <x:v>financial planner</x:v>
      </x:c>
      <x:c r="AD569" s="10" t="str">
        <x:v>budget printable</x:v>
      </x:c>
      <x:c r="AE569" s="10" t="str">
        <x:v>real estate planner</x:v>
      </x:c>
      <x:c r="AF569" s="10" t="str">
        <x:v>money tracker</x:v>
      </x:c>
      <x:c r="AG569" s="10" t="str">
        <x:v>instant download</x:v>
      </x:c>
      <x:c r="AH569" s="10" t="str">
        <x:v>Home buying planner</x:v>
      </x:c>
      <x:c r="AI569" s="13" t="n">
        <x:v>7</x:v>
      </x:c>
      <x:c r="AJ569" s="10" t="str">
        <x:f>IF(F569&gt;0,"Active","No est. sales")</x:f>
        <x:v>No est. sales</x:v>
      </x:c>
    </x:row>
    <x:row r="570">
      <x:c r="A570" s="10" t="str">
        <x:v>House Little Icon Planner Stickers Printable | Digital Download | Cut Lines Included | LI06</x:v>
      </x:c>
      <x:c r="B570" s="10" t="str">
        <x:v>https://www.etsy.com/listing/4477896979/house-little-icon-planner-stickers</x:v>
      </x:c>
      <x:c r="C570" s="10" t="str">
        <x:v>PMDPrintAndPlan</x:v>
      </x:c>
      <x:c r="D570" s="10" t="str">
        <x:v>https://www.etsy.com/shop/PMDPrintAndPlan</x:v>
      </x:c>
      <x:c r="E570" s="11" t="n">
        <x:v>1.75</x:v>
      </x:c>
      <x:c r="F570" s="10" t="n">
        <x:v>0</x:v>
      </x:c>
      <x:c r="G570" s="12" t="n">
        <x:v>0</x:v>
      </x:c>
      <x:c r="H570" s="13" t="n">
        <x:v>0</x:v>
      </x:c>
      <x:c r="I570" s="10" t="n">
        <x:v>0</x:v>
      </x:c>
      <x:c r="J570" s="10" t="n">
        <x:v>0</x:v>
      </x:c>
      <x:c r="K570" s="10" t="str">
        <x:v>4 Mo.</x:v>
      </x:c>
      <x:c r="L570" s="10" t="n">
        <x:v>3</x:v>
      </x:c>
      <x:c r="M570" s="10" t="n">
        <x:v>0</x:v>
      </x:c>
      <x:c r="N570" s="10" t="n">
        <x:v>16</x:v>
      </x:c>
      <x:c r="O570" s="10" t="str">
        <x:v>Paper &amp; Party Supplies</x:v>
      </x:c>
      <x:c r="P570" s="10" t="n">
        <x:v>124</x:v>
      </x:c>
      <x:c r="Q570" s="10" t="n">
        <x:v>0</x:v>
      </x:c>
      <x:c r="R570" s="13" t="n">
        <x:v>0</x:v>
      </x:c>
      <x:c r="S570" s="10" t="n">
        <x:v>22638</x:v>
      </x:c>
      <x:c r="T570" s="10" t="str">
        <x:v>printable stickers,printable planner,planner stickers,cricut printable,house,rent due,bill due,house bill,mortgage due</x:v>
      </x:c>
      <x:c r="U570" s="10" t="str">
        <x:v>printable stickers</x:v>
      </x:c>
      <x:c r="V570" s="10" t="str">
        <x:v>printable planner</x:v>
      </x:c>
      <x:c r="W570" s="10" t="str">
        <x:v>planner stickers</x:v>
      </x:c>
      <x:c r="X570" s="10" t="str">
        <x:v>cricut printable</x:v>
      </x:c>
      <x:c r="Y570" s="10" t="str">
        <x:v>house</x:v>
      </x:c>
      <x:c r="Z570" s="10" t="str">
        <x:v>rent due</x:v>
      </x:c>
      <x:c r="AA570" s="10" t="str">
        <x:v>bill due</x:v>
      </x:c>
      <x:c r="AB570" s="10" t="str">
        <x:v>house bill</x:v>
      </x:c>
      <x:c r="AC570" s="10" t="str">
        <x:v>mortgage due</x:v>
      </x:c>
      <x:c r="AD570" s="10" t="str">
        <x:v>--</x:v>
      </x:c>
      <x:c r="AE570" s="10" t="str">
        <x:v>--</x:v>
      </x:c>
      <x:c r="AF570" s="10" t="str">
        <x:v>--</x:v>
      </x:c>
      <x:c r="AG570" s="10" t="str">
        <x:v>--</x:v>
      </x:c>
      <x:c r="AH570" s="10" t="str">
        <x:v>Other mortgage-related</x:v>
      </x:c>
      <x:c r="AI570" s="13" t="n">
        <x:v>4</x:v>
      </x:c>
      <x:c r="AJ570" s="10" t="str">
        <x:f>IF(F570&gt;0,"Active","No est. sales")</x:f>
        <x:v>No est. sales</x:v>
      </x:c>
    </x:row>
    <x:row r="571">
      <x:c r="A571" s="10" t="str">
        <x:v>Australian Family Finance Planner Spreadsheet | Wealth Management Budget Tool for singles and young couples</x:v>
      </x:c>
      <x:c r="B571" s="10" t="str">
        <x:v>https://www.etsy.com/listing/4523277576/australian-family-finance-planner</x:v>
      </x:c>
      <x:c r="C571" s="10" t="str">
        <x:v>WealthNestAustralia</x:v>
      </x:c>
      <x:c r="D571" s="10" t="str">
        <x:v>https://www.etsy.com/shop/WealthNestAustralia</x:v>
      </x:c>
      <x:c r="E571" s="11" t="n">
        <x:v>6.94</x:v>
      </x:c>
      <x:c r="F571" s="10" t="n">
        <x:v>0</x:v>
      </x:c>
      <x:c r="G571" s="12" t="n">
        <x:v>0</x:v>
      </x:c>
      <x:c r="H571" s="13" t="n">
        <x:v>0</x:v>
      </x:c>
      <x:c r="I571" s="10" t="n">
        <x:v>0</x:v>
      </x:c>
      <x:c r="J571" s="10" t="n">
        <x:v>0</x:v>
      </x:c>
      <x:c r="K571" s="10" t="str">
        <x:v>1 Mo.</x:v>
      </x:c>
      <x:c r="L571" s="10" t="n">
        <x:v>0</x:v>
      </x:c>
      <x:c r="M571" s="10" t="n">
        <x:v>0</x:v>
      </x:c>
      <x:c r="N571" s="10" t="n">
        <x:v>8</x:v>
      </x:c>
      <x:c r="O571" s="10" t="str"/>
      <x:c r="P571" s="10" t="n">
        <x:v>1</x:v>
      </x:c>
      <x:c r="Q571" s="10" t="n">
        <x:v>0</x:v>
      </x:c>
      <x:c r="R571" s="13" t="n">
        <x:v>0</x:v>
      </x:c>
      <x:c r="S571" s="10" t="n">
        <x:v>0</x:v>
      </x:c>
      <x:c r="T571" s="10" t="str">
        <x:v>budget spreadsheet,mortgage tracker,finance planner,google sheet budget,excel sheet budget,budget template,savings tracker,household budget,fire calculator,family goal,property portfolio,investment,super</x:v>
      </x:c>
      <x:c r="U571" s="10" t="str">
        <x:v>budget spreadsheet</x:v>
      </x:c>
      <x:c r="V571" s="10" t="str">
        <x:v>mortgage tracker</x:v>
      </x:c>
      <x:c r="W571" s="10" t="str">
        <x:v>finance planner</x:v>
      </x:c>
      <x:c r="X571" s="10" t="str">
        <x:v>google sheet budget</x:v>
      </x:c>
      <x:c r="Y571" s="10" t="str">
        <x:v>excel sheet budget</x:v>
      </x:c>
      <x:c r="Z571" s="10" t="str">
        <x:v>budget template</x:v>
      </x:c>
      <x:c r="AA571" s="10" t="str">
        <x:v>savings tracker</x:v>
      </x:c>
      <x:c r="AB571" s="10" t="str">
        <x:v>household budget</x:v>
      </x:c>
      <x:c r="AC571" s="10" t="str">
        <x:v>fire calculator</x:v>
      </x:c>
      <x:c r="AD571" s="10" t="str">
        <x:v>family goal</x:v>
      </x:c>
      <x:c r="AE571" s="10" t="str">
        <x:v>property portfolio</x:v>
      </x:c>
      <x:c r="AF571" s="10" t="str">
        <x:v>investment</x:v>
      </x:c>
      <x:c r="AG571" s="10" t="str">
        <x:v>super</x:v>
      </x:c>
      <x:c r="AH571" s="10" t="str">
        <x:v>Other mortgage-related</x:v>
      </x:c>
      <x:c r="AI571" s="13" t="n">
        <x:v>1</x:v>
      </x:c>
      <x:c r="AJ571" s="10" t="str">
        <x:f>IF(F571&gt;0,"Active","No est. sales")</x:f>
        <x:v>No est. sales</x:v>
      </x:c>
    </x:row>
    <x:row r="572">
      <x:c r="A572" s="10" t="str">
        <x:v>Real Estate Investment Portfolio Tracker | Dark Mode</x:v>
      </x:c>
      <x:c r="B572" s="10" t="str">
        <x:v>https://www.etsy.com/listing/4494010812/real-estate-investment-portfolio-tracker</x:v>
      </x:c>
      <x:c r="C572" s="10" t="str">
        <x:v>SpreadsheetsHub</x:v>
      </x:c>
      <x:c r="D572" s="10" t="str">
        <x:v>https://www.etsy.com/shop/SpreadsheetsHub</x:v>
      </x:c>
      <x:c r="E572" s="11" t="n">
        <x:v>41.65</x:v>
      </x:c>
      <x:c r="F572" s="10" t="n">
        <x:v>0</x:v>
      </x:c>
      <x:c r="G572" s="12" t="n">
        <x:v>0</x:v>
      </x:c>
      <x:c r="H572" s="13" t="n">
        <x:v>0</x:v>
      </x:c>
      <x:c r="I572" s="10" t="n">
        <x:v>0</x:v>
      </x:c>
      <x:c r="J572" s="10" t="n">
        <x:v>0</x:v>
      </x:c>
      <x:c r="K572" s="10" t="str">
        <x:v>3 Mo.</x:v>
      </x:c>
      <x:c r="L572" s="10" t="n">
        <x:v>1</x:v>
      </x:c>
      <x:c r="M572" s="10" t="n">
        <x:v>0</x:v>
      </x:c>
      <x:c r="N572" s="10" t="n">
        <x:v>51</x:v>
      </x:c>
      <x:c r="O572" s="10" t="str">
        <x:v>Paper &amp; Party Supplies</x:v>
      </x:c>
      <x:c r="P572" s="10" t="n">
        <x:v>26</x:v>
      </x:c>
      <x:c r="Q572" s="10" t="n">
        <x:v>0</x:v>
      </x:c>
      <x:c r="R572" s="13" t="n">
        <x:v>0</x:v>
      </x:c>
      <x:c r="S572" s="10" t="n">
        <x:v>752</x:v>
      </x:c>
      <x:c r="T572" s="10" t="str">
        <x:v>re tracker,rental log,property dash,landlord tool,brrrr sheet,roi planner,excel tracker,google sheets,lease manager,cap rate tool,real estate,mortgage log,wealth dash</x:v>
      </x:c>
      <x:c r="U572" s="10" t="str">
        <x:v>re tracker</x:v>
      </x:c>
      <x:c r="V572" s="10" t="str">
        <x:v>rental log</x:v>
      </x:c>
      <x:c r="W572" s="10" t="str">
        <x:v>property dash</x:v>
      </x:c>
      <x:c r="X572" s="10" t="str">
        <x:v>landlord tool</x:v>
      </x:c>
      <x:c r="Y572" s="10" t="str">
        <x:v>brrrr sheet</x:v>
      </x:c>
      <x:c r="Z572" s="10" t="str">
        <x:v>roi planner</x:v>
      </x:c>
      <x:c r="AA572" s="10" t="str">
        <x:v>excel tracker</x:v>
      </x:c>
      <x:c r="AB572" s="10" t="str">
        <x:v>google sheets</x:v>
      </x:c>
      <x:c r="AC572" s="10" t="str">
        <x:v>lease manager</x:v>
      </x:c>
      <x:c r="AD572" s="10" t="str">
        <x:v>cap rate tool</x:v>
      </x:c>
      <x:c r="AE572" s="10" t="str">
        <x:v>real estate</x:v>
      </x:c>
      <x:c r="AF572" s="10" t="str">
        <x:v>mortgage log</x:v>
      </x:c>
      <x:c r="AG572" s="10" t="str">
        <x:v>wealth dash</x:v>
      </x:c>
      <x:c r="AH572" s="10" t="str">
        <x:v>Property investment</x:v>
      </x:c>
      <x:c r="AI572" s="13" t="n">
        <x:v>3</x:v>
      </x:c>
      <x:c r="AJ572" s="10" t="str">
        <x:f>IF(F572&gt;0,"Active","No est. sales")</x:f>
        <x:v>No est. sales</x:v>
      </x:c>
    </x:row>
    <x:row r="573">
      <x:c r="A573" s="10" t="str">
        <x:v>Annual 50/30/20 Budget Spreadsheet for Google Sheets</x:v>
      </x:c>
      <x:c r="B573" s="10" t="str">
        <x:v>https://www.etsy.com/listing/4408665559/annual-503020-budget-spreadsheet-for</x:v>
      </x:c>
      <x:c r="C573" s="10" t="str">
        <x:v>HavnCreatives</x:v>
      </x:c>
      <x:c r="D573" s="10" t="str">
        <x:v>https://www.etsy.com/shop/HavnCreatives</x:v>
      </x:c>
      <x:c r="E573" s="11" t="n">
        <x:v>3.76</x:v>
      </x:c>
      <x:c r="F573" s="10" t="n">
        <x:v>0</x:v>
      </x:c>
      <x:c r="G573" s="12" t="n">
        <x:v>0</x:v>
      </x:c>
      <x:c r="H573" s="13" t="n">
        <x:v>0</x:v>
      </x:c>
      <x:c r="I573" s="10" t="n">
        <x:v>0</x:v>
      </x:c>
      <x:c r="J573" s="10" t="n">
        <x:v>0</x:v>
      </x:c>
      <x:c r="K573" s="10" t="str">
        <x:v>8 Mo.</x:v>
      </x:c>
      <x:c r="L573" s="10" t="n">
        <x:v>0</x:v>
      </x:c>
      <x:c r="M573" s="10" t="n">
        <x:v>0</x:v>
      </x:c>
      <x:c r="N573" s="10" t="n">
        <x:v>8</x:v>
      </x:c>
      <x:c r="O573" s="10" t="str"/>
      <x:c r="P573" s="10" t="n">
        <x:v>9</x:v>
      </x:c>
      <x:c r="Q573" s="10" t="n">
        <x:v>0</x:v>
      </x:c>
      <x:c r="R573" s="13" t="n">
        <x:v>0</x:v>
      </x:c>
      <x:c r="S573" s="10" t="n">
        <x:v>4</x:v>
      </x:c>
      <x:c r="T573" s="10" t="str">
        <x:v>mortgage payoff,annual budget excel,the 50 30 20 rule,budgeting notebook,debt payoff planner,saving tracker,cash breakdown,beginner budgte,family finances,net worth tracker,bill calculator,annual expense track,zero based budget</x:v>
      </x:c>
      <x:c r="U573" s="10" t="str">
        <x:v>mortgage payoff</x:v>
      </x:c>
      <x:c r="V573" s="10" t="str">
        <x:v>annual budget excel</x:v>
      </x:c>
      <x:c r="W573" s="10" t="str">
        <x:v>the 50 30 20 rule</x:v>
      </x:c>
      <x:c r="X573" s="10" t="str">
        <x:v>budgeting notebook</x:v>
      </x:c>
      <x:c r="Y573" s="10" t="str">
        <x:v>debt payoff planner</x:v>
      </x:c>
      <x:c r="Z573" s="10" t="str">
        <x:v>saving tracker</x:v>
      </x:c>
      <x:c r="AA573" s="10" t="str">
        <x:v>cash breakdown</x:v>
      </x:c>
      <x:c r="AB573" s="10" t="str">
        <x:v>beginner budgte</x:v>
      </x:c>
      <x:c r="AC573" s="10" t="str">
        <x:v>family finances</x:v>
      </x:c>
      <x:c r="AD573" s="10" t="str">
        <x:v>net worth tracker</x:v>
      </x:c>
      <x:c r="AE573" s="10" t="str">
        <x:v>bill calculator</x:v>
      </x:c>
      <x:c r="AF573" s="10" t="str">
        <x:v>annual expense track</x:v>
      </x:c>
      <x:c r="AG573" s="10" t="str">
        <x:v>zero based budget</x:v>
      </x:c>
      <x:c r="AH573" s="10" t="str">
        <x:v>Other mortgage-related</x:v>
      </x:c>
      <x:c r="AI573" s="13" t="n">
        <x:v>8</x:v>
      </x:c>
      <x:c r="AJ573" s="10" t="str">
        <x:f>IF(F573&gt;0,"Active","No est. sales")</x:f>
        <x:v>No est. sales</x:v>
      </x:c>
    </x:row>
    <x:row r="574">
      <x:c r="A574" s="10" t="str">
        <x:v>Debt Snowball Tracker, Debt Tracker, Debt Payoff Tracker Printable, Debt Payments, Finance &amp; Budget Planner, A4/A5/Letter/Classic/Half size</x:v>
      </x:c>
      <x:c r="B574" s="10" t="str">
        <x:v>https://www.etsy.com/listing/1620077399/debt-snowball-tracker-debt-tracker-debt</x:v>
      </x:c>
      <x:c r="C574" s="10" t="str">
        <x:v>ThePrintablePlans</x:v>
      </x:c>
      <x:c r="D574" s="10" t="str">
        <x:v>https://www.etsy.com/shop/ThePrintablePlans</x:v>
      </x:c>
      <x:c r="E574" s="11" t="n">
        <x:v>1.39</x:v>
      </x:c>
      <x:c r="F574" s="10" t="n">
        <x:v>0</x:v>
      </x:c>
      <x:c r="G574" s="12" t="n">
        <x:v>0</x:v>
      </x:c>
      <x:c r="H574" s="13" t="n">
        <x:v>0</x:v>
      </x:c>
      <x:c r="I574" s="10" t="n">
        <x:v>126</x:v>
      </x:c>
      <x:c r="J574" s="10" t="n">
        <x:v>11</x:v>
      </x:c>
      <x:c r="K574" s="10" t="str">
        <x:v>32 Mo.</x:v>
      </x:c>
      <x:c r="L574" s="10" t="n">
        <x:v>130</x:v>
      </x:c>
      <x:c r="M574" s="10" t="n">
        <x:v>0</x:v>
      </x:c>
      <x:c r="N574" s="10" t="n">
        <x:v>2825</x:v>
      </x:c>
      <x:c r="O574" s="10" t="str">
        <x:v>Paper &amp; Party Supplies</x:v>
      </x:c>
      <x:c r="P574" s="10" t="n">
        <x:v>49</x:v>
      </x:c>
      <x:c r="Q574" s="10" t="n">
        <x:v>33</x:v>
      </x:c>
      <x:c r="R574" s="13" t="n">
        <x:v>4.46</x:v>
      </x:c>
      <x:c r="S574" s="10" t="n">
        <x:v>42619</x:v>
      </x:c>
      <x:c r="T574" s="10" t="str">
        <x:v>debt payment tracker,debt snowball,debt payoff planner,debt calculator,loan payoff tracker,credit card debt,mortgage payoff,student loan debt,financial planner,personal finance,snowball method,printable planner,debt avalanche</x:v>
      </x:c>
      <x:c r="U574" s="10" t="str">
        <x:v>debt payment tracker</x:v>
      </x:c>
      <x:c r="V574" s="10" t="str">
        <x:v>debt snowball</x:v>
      </x:c>
      <x:c r="W574" s="10" t="str">
        <x:v>debt payoff planner</x:v>
      </x:c>
      <x:c r="X574" s="10" t="str">
        <x:v>debt calculator</x:v>
      </x:c>
      <x:c r="Y574" s="10" t="str">
        <x:v>loan payoff tracker</x:v>
      </x:c>
      <x:c r="Z574" s="10" t="str">
        <x:v>credit card debt</x:v>
      </x:c>
      <x:c r="AA574" s="10" t="str">
        <x:v>mortgage payoff</x:v>
      </x:c>
      <x:c r="AB574" s="10" t="str">
        <x:v>student loan debt</x:v>
      </x:c>
      <x:c r="AC574" s="10" t="str">
        <x:v>financial planner</x:v>
      </x:c>
      <x:c r="AD574" s="10" t="str">
        <x:v>personal finance</x:v>
      </x:c>
      <x:c r="AE574" s="10" t="str">
        <x:v>snowball method</x:v>
      </x:c>
      <x:c r="AF574" s="10" t="str">
        <x:v>printable planner</x:v>
      </x:c>
      <x:c r="AG574" s="10" t="str">
        <x:v>debt avalanche</x:v>
      </x:c>
      <x:c r="AH574" s="10" t="str">
        <x:v>General debt payoff</x:v>
      </x:c>
      <x:c r="AI574" s="13" t="n">
        <x:v>32</x:v>
      </x:c>
      <x:c r="AJ574" s="10" t="str">
        <x:f>IF(F574&gt;0,"Active","No est. sales")</x:f>
        <x:v>No est. sales</x:v>
      </x:c>
    </x:row>
    <x:row r="575">
      <x:c r="A575" s="10" t="str">
        <x:v>Loan Calculator with Extra Payments | Amortization Schedule &amp; Debt Payoff Tracker | Interest Reduction Planner | Excel Template</x:v>
      </x:c>
      <x:c r="B575" s="10" t="str">
        <x:v>https://www.etsy.com/listing/4470989817/loan-calculator-with-extra-payments</x:v>
      </x:c>
      <x:c r="C575" s="10" t="str">
        <x:v>PrimeSheetMall</x:v>
      </x:c>
      <x:c r="D575" s="10" t="str">
        <x:v>https://www.etsy.com/shop/PrimeSheetMall</x:v>
      </x:c>
      <x:c r="E575" s="11" t="n">
        <x:v>2.67</x:v>
      </x:c>
      <x:c r="F575" s="10" t="n">
        <x:v>0</x:v>
      </x:c>
      <x:c r="G575" s="12" t="n">
        <x:v>0</x:v>
      </x:c>
      <x:c r="H575" s="13" t="n">
        <x:v>0</x:v>
      </x:c>
      <x:c r="I575" s="10" t="n">
        <x:v>17</x:v>
      </x:c>
      <x:c r="J575" s="10" t="n">
        <x:v>1</x:v>
      </x:c>
      <x:c r="K575" s="10" t="str">
        <x:v>4 Mo.</x:v>
      </x:c>
      <x:c r="L575" s="10" t="n">
        <x:v>2</x:v>
      </x:c>
      <x:c r="M575" s="10" t="n">
        <x:v>0</x:v>
      </x:c>
      <x:c r="N575" s="10" t="n">
        <x:v>20</x:v>
      </x:c>
      <x:c r="O575" s="10" t="str"/>
      <x:c r="P575" s="10" t="n">
        <x:v>9</x:v>
      </x:c>
      <x:c r="Q575" s="10" t="n">
        <x:v>0</x:v>
      </x:c>
      <x:c r="R575" s="13" t="n">
        <x:v>85</x:v>
      </x:c>
      <x:c r="S575" s="10" t="n">
        <x:v>1066</x:v>
      </x:c>
      <x:c r="T575" s="10" t="str">
        <x:v>loan calculator,amortization sheet,debt payoff tracker,loan payment planner,extra payment loan,loan interest track,loan repayment sheet,mortgage payoff,excel loan calculate,loan tool sheet,debt reduction plann,loan amortization,finance spreadsheet</x:v>
      </x:c>
      <x:c r="U575" s="10" t="str">
        <x:v>loan calculator</x:v>
      </x:c>
      <x:c r="V575" s="10" t="str">
        <x:v>amortization sheet</x:v>
      </x:c>
      <x:c r="W575" s="10" t="str">
        <x:v>debt payoff tracker</x:v>
      </x:c>
      <x:c r="X575" s="10" t="str">
        <x:v>loan payment planner</x:v>
      </x:c>
      <x:c r="Y575" s="10" t="str">
        <x:v>extra payment loan</x:v>
      </x:c>
      <x:c r="Z575" s="10" t="str">
        <x:v>loan interest track</x:v>
      </x:c>
      <x:c r="AA575" s="10" t="str">
        <x:v>loan repayment sheet</x:v>
      </x:c>
      <x:c r="AB575" s="10" t="str">
        <x:v>mortgage payoff</x:v>
      </x:c>
      <x:c r="AC575" s="10" t="str">
        <x:v>excel loan calculate</x:v>
      </x:c>
      <x:c r="AD575" s="10" t="str">
        <x:v>loan tool sheet</x:v>
      </x:c>
      <x:c r="AE575" s="10" t="str">
        <x:v>debt reduction plann</x:v>
      </x:c>
      <x:c r="AF575" s="10" t="str">
        <x:v>loan amortization</x:v>
      </x:c>
      <x:c r="AG575" s="10" t="str">
        <x:v>finance spreadsheet</x:v>
      </x:c>
      <x:c r="AH575" s="10" t="str">
        <x:v>General debt payoff</x:v>
      </x:c>
      <x:c r="AI575" s="13" t="n">
        <x:v>4</x:v>
      </x:c>
      <x:c r="AJ575" s="10" t="str">
        <x:f>IF(F575&gt;0,"Active","No est. sales")</x:f>
        <x:v>No est. sales</x:v>
      </x:c>
    </x:row>
    <x:row r="576">
      <x:c r="A576" s="10" t="str">
        <x:v>Balloon Loan Calculator Spreadsheet | Amortization Schedule Template | Monthly Payment Tracker | Loan Planner Excel Google Sheets</x:v>
      </x:c>
      <x:c r="B576" s="10" t="str">
        <x:v>https://www.etsy.com/listing/4483290305/balloon-loan-calculator-spreadsheet</x:v>
      </x:c>
      <x:c r="C576" s="10" t="str">
        <x:v>PrimeSheetMall</x:v>
      </x:c>
      <x:c r="D576" s="10" t="str">
        <x:v>https://www.etsy.com/shop/PrimeSheetMall</x:v>
      </x:c>
      <x:c r="E576" s="11" t="n">
        <x:v>4</x:v>
      </x:c>
      <x:c r="F576" s="10" t="n">
        <x:v>0</x:v>
      </x:c>
      <x:c r="G576" s="12" t="n">
        <x:v>0</x:v>
      </x:c>
      <x:c r="H576" s="13" t="n">
        <x:v>0</x:v>
      </x:c>
      <x:c r="I576" s="10" t="n">
        <x:v>0</x:v>
      </x:c>
      <x:c r="J576" s="10" t="n">
        <x:v>0</x:v>
      </x:c>
      <x:c r="K576" s="10" t="str">
        <x:v>3 Mo.</x:v>
      </x:c>
      <x:c r="L576" s="10" t="n">
        <x:v>0</x:v>
      </x:c>
      <x:c r="M576" s="10" t="n">
        <x:v>0</x:v>
      </x:c>
      <x:c r="N576" s="10" t="n">
        <x:v>13</x:v>
      </x:c>
      <x:c r="O576" s="10" t="str"/>
      <x:c r="P576" s="10" t="n">
        <x:v>9</x:v>
      </x:c>
      <x:c r="Q576" s="10" t="n">
        <x:v>0</x:v>
      </x:c>
      <x:c r="R576" s="13" t="n">
        <x:v>0</x:v>
      </x:c>
      <x:c r="S576" s="10" t="n">
        <x:v>1066</x:v>
      </x:c>
      <x:c r="T576" s="10" t="str">
        <x:v>balloon loan cal,amortization sch,monthly payment,loan calculator,payment planner,repayment sheet,amortization excel,payment tracker log,balloon mortgage,loan schedule sheet,monthly loan tracker,repayment calculator,excel loan planner</x:v>
      </x:c>
      <x:c r="U576" s="10" t="str">
        <x:v>balloon loan cal</x:v>
      </x:c>
      <x:c r="V576" s="10" t="str">
        <x:v>amortization sch</x:v>
      </x:c>
      <x:c r="W576" s="10" t="str">
        <x:v>monthly payment</x:v>
      </x:c>
      <x:c r="X576" s="10" t="str">
        <x:v>loan calculator</x:v>
      </x:c>
      <x:c r="Y576" s="10" t="str">
        <x:v>payment planner</x:v>
      </x:c>
      <x:c r="Z576" s="10" t="str">
        <x:v>repayment sheet</x:v>
      </x:c>
      <x:c r="AA576" s="10" t="str">
        <x:v>amortization excel</x:v>
      </x:c>
      <x:c r="AB576" s="10" t="str">
        <x:v>payment tracker log</x:v>
      </x:c>
      <x:c r="AC576" s="10" t="str">
        <x:v>balloon mortgage</x:v>
      </x:c>
      <x:c r="AD576" s="10" t="str">
        <x:v>loan schedule sheet</x:v>
      </x:c>
      <x:c r="AE576" s="10" t="str">
        <x:v>monthly loan tracker</x:v>
      </x:c>
      <x:c r="AF576" s="10" t="str">
        <x:v>repayment calculator</x:v>
      </x:c>
      <x:c r="AG576" s="10" t="str">
        <x:v>excel loan planner</x:v>
      </x:c>
      <x:c r="AH576" s="10" t="str">
        <x:v>General loan calculator</x:v>
      </x:c>
      <x:c r="AI576" s="13" t="n">
        <x:v>3</x:v>
      </x:c>
      <x:c r="AJ576" s="10" t="str">
        <x:f>IF(F576&gt;0,"Active","No est. sales")</x:f>
        <x:v>No est. sales</x:v>
      </x:c>
    </x:row>
    <x:row r="577">
      <x:c r="A577" s="10" t="str">
        <x:v>Adjustable Rate Mortgage Calculator | ARM Loan Amortization Schedule | Payment Modeler Spreadsheet | Excel Google Sheets Template</x:v>
      </x:c>
      <x:c r="B577" s="10" t="str">
        <x:v>https://www.etsy.com/listing/4483301188/adjustable-rate-mortgage-calculator-arm</x:v>
      </x:c>
      <x:c r="C577" s="10" t="str">
        <x:v>PrimeSheetMall</x:v>
      </x:c>
      <x:c r="D577" s="10" t="str">
        <x:v>https://www.etsy.com/shop/PrimeSheetMall</x:v>
      </x:c>
      <x:c r="E577" s="11" t="n">
        <x:v>4</x:v>
      </x:c>
      <x:c r="F577" s="10" t="n">
        <x:v>0</x:v>
      </x:c>
      <x:c r="G577" s="12" t="n">
        <x:v>0</x:v>
      </x:c>
      <x:c r="H577" s="13" t="n">
        <x:v>0</x:v>
      </x:c>
      <x:c r="I577" s="10" t="n">
        <x:v>0</x:v>
      </x:c>
      <x:c r="J577" s="10" t="n">
        <x:v>0</x:v>
      </x:c>
      <x:c r="K577" s="10" t="str">
        <x:v>3 Mo.</x:v>
      </x:c>
      <x:c r="L577" s="10" t="n">
        <x:v>1</x:v>
      </x:c>
      <x:c r="M577" s="10" t="n">
        <x:v>0</x:v>
      </x:c>
      <x:c r="N577" s="10" t="n">
        <x:v>37</x:v>
      </x:c>
      <x:c r="O577" s="10" t="str"/>
      <x:c r="P577" s="10" t="n">
        <x:v>9</x:v>
      </x:c>
      <x:c r="Q577" s="10" t="n">
        <x:v>0</x:v>
      </x:c>
      <x:c r="R577" s="13" t="n">
        <x:v>0</x:v>
      </x:c>
      <x:c r="S577" s="10" t="n">
        <x:v>1066</x:v>
      </x:c>
      <x:c r="T577" s="10" t="str">
        <x:v>arm loan calculator,adjustable mortgage,amortization sch,payment model excel,mortgage calculator,amortization sheet,rate adjustment tool,loan payment tracker,mortgage planner,arm payment tracker,variable rate excel,loan schedule sheet,excel mortgage tool</x:v>
      </x:c>
      <x:c r="U577" s="10" t="str">
        <x:v>arm loan calculator</x:v>
      </x:c>
      <x:c r="V577" s="10" t="str">
        <x:v>adjustable mortgage</x:v>
      </x:c>
      <x:c r="W577" s="10" t="str">
        <x:v>amortization sch</x:v>
      </x:c>
      <x:c r="X577" s="10" t="str">
        <x:v>payment model excel</x:v>
      </x:c>
      <x:c r="Y577" s="10" t="str">
        <x:v>mortgage calculator</x:v>
      </x:c>
      <x:c r="Z577" s="10" t="str">
        <x:v>amortization sheet</x:v>
      </x:c>
      <x:c r="AA577" s="10" t="str">
        <x:v>rate adjustment tool</x:v>
      </x:c>
      <x:c r="AB577" s="10" t="str">
        <x:v>loan payment tracker</x:v>
      </x:c>
      <x:c r="AC577" s="10" t="str">
        <x:v>mortgage planner</x:v>
      </x:c>
      <x:c r="AD577" s="10" t="str">
        <x:v>arm payment tracker</x:v>
      </x:c>
      <x:c r="AE577" s="10" t="str">
        <x:v>variable rate excel</x:v>
      </x:c>
      <x:c r="AF577" s="10" t="str">
        <x:v>loan schedule sheet</x:v>
      </x:c>
      <x:c r="AG577" s="10" t="str">
        <x:v>excel mortgage tool</x:v>
      </x:c>
      <x:c r="AH577" s="10" t="str">
        <x:v>Mortgage payoff / calculator</x:v>
      </x:c>
      <x:c r="AI577" s="13" t="n">
        <x:v>3</x:v>
      </x:c>
      <x:c r="AJ577" s="10" t="str">
        <x:f>IF(F577&gt;0,"Active","No est. sales")</x:f>
        <x:v>No est. sales</x:v>
      </x:c>
    </x:row>
    <x:row r="578">
      <x:c r="A578" s="10" t="str">
        <x:v>Mortgage Loan Officer Daily Planner</x:v>
      </x:c>
      <x:c r="B578" s="10" t="str">
        <x:v>https://www.etsy.com/listing/1372173740/mortgage-loan-officer-daily-planner</x:v>
      </x:c>
      <x:c r="C578" s="10" t="str">
        <x:v>MrsMortgage</x:v>
      </x:c>
      <x:c r="D578" s="10" t="str">
        <x:v>https://www.etsy.com/shop/MrsMortgage</x:v>
      </x:c>
      <x:c r="E578" s="11" t="n">
        <x:v>5.99</x:v>
      </x:c>
      <x:c r="F578" s="10" t="n">
        <x:v>0</x:v>
      </x:c>
      <x:c r="G578" s="12" t="n">
        <x:v>0</x:v>
      </x:c>
      <x:c r="H578" s="13" t="n">
        <x:v>0</x:v>
      </x:c>
      <x:c r="I578" s="10" t="n">
        <x:v>0</x:v>
      </x:c>
      <x:c r="J578" s="10" t="n">
        <x:v>0</x:v>
      </x:c>
      <x:c r="K578" s="10" t="str">
        <x:v>42 Mo.</x:v>
      </x:c>
      <x:c r="L578" s="10" t="n">
        <x:v>11</x:v>
      </x:c>
      <x:c r="M578" s="10" t="n">
        <x:v>0</x:v>
      </x:c>
      <x:c r="N578" s="10" t="n">
        <x:v>845</x:v>
      </x:c>
      <x:c r="O578" s="10" t="str">
        <x:v>Art &amp; Collectibles</x:v>
      </x:c>
      <x:c r="P578" s="10" t="n">
        <x:v>42</x:v>
      </x:c>
      <x:c r="Q578" s="10" t="n">
        <x:v>0</x:v>
      </x:c>
      <x:c r="R578" s="13" t="n">
        <x:v>0</x:v>
      </x:c>
      <x:c r="S578" s="10" t="n">
        <x:v>5</x:v>
      </x:c>
      <x:c r="T578" s="10" t="str">
        <x:v>planner,digital planner,goodnotes,mortgage,loan officer,real estate,organizer,mortgage banker</x:v>
      </x:c>
      <x:c r="U578" s="10" t="str">
        <x:v>planner</x:v>
      </x:c>
      <x:c r="V578" s="10" t="str">
        <x:v>digital planner</x:v>
      </x:c>
      <x:c r="W578" s="10" t="str">
        <x:v>goodnotes</x:v>
      </x:c>
      <x:c r="X578" s="10" t="str">
        <x:v>mortgage</x:v>
      </x:c>
      <x:c r="Y578" s="10" t="str">
        <x:v>loan officer</x:v>
      </x:c>
      <x:c r="Z578" s="10" t="str">
        <x:v>real estate</x:v>
      </x:c>
      <x:c r="AA578" s="10" t="str">
        <x:v>organizer</x:v>
      </x:c>
      <x:c r="AB578" s="10" t="str">
        <x:v>mortgage banker</x:v>
      </x:c>
      <x:c r="AC578" s="10" t="str">
        <x:v>--</x:v>
      </x:c>
      <x:c r="AD578" s="10" t="str">
        <x:v>--</x:v>
      </x:c>
      <x:c r="AE578" s="10" t="str">
        <x:v>--</x:v>
      </x:c>
      <x:c r="AF578" s="10" t="str">
        <x:v>--</x:v>
      </x:c>
      <x:c r="AG578" s="10" t="str">
        <x:v>--</x:v>
      </x:c>
      <x:c r="AH578" s="10" t="str">
        <x:v>Loan officer / B2B</x:v>
      </x:c>
      <x:c r="AI578" s="13" t="n">
        <x:v>42</x:v>
      </x:c>
      <x:c r="AJ578" s="10" t="str">
        <x:f>IF(F578&gt;0,"Active","No est. sales")</x:f>
        <x:v>No est. sales</x:v>
      </x:c>
    </x:row>
    <x:row r="579">
      <x:c r="A579" s="10" t="str">
        <x:v>Debt Free Ornament - Unique Dave Ramsey Financial Freedom Husband or Wife Christmas Gift</x:v>
      </x:c>
      <x:c r="B579" s="10" t="str">
        <x:v>https://www.etsy.com/listing/1621569202/debt-free-ornament-with-year-financial</x:v>
      </x:c>
      <x:c r="C579" s="10" t="str">
        <x:v>hallesophiagifts</x:v>
      </x:c>
      <x:c r="D579" s="10" t="str">
        <x:v>https://www.etsy.com/shop/hallesophiagifts</x:v>
      </x:c>
      <x:c r="E579" s="11" t="n">
        <x:v>25.99</x:v>
      </x:c>
      <x:c r="F579" s="10" t="n">
        <x:v>0</x:v>
      </x:c>
      <x:c r="G579" s="12" t="n">
        <x:v>0</x:v>
      </x:c>
      <x:c r="H579" s="13" t="n">
        <x:v>0</x:v>
      </x:c>
      <x:c r="I579" s="10" t="n">
        <x:v>15</x:v>
      </x:c>
      <x:c r="J579" s="10" t="n">
        <x:v>3</x:v>
      </x:c>
      <x:c r="K579" s="10" t="str">
        <x:v>31 Mo.</x:v>
      </x:c>
      <x:c r="L579" s="10" t="n">
        <x:v>15</x:v>
      </x:c>
      <x:c r="M579" s="10" t="n">
        <x:v>0</x:v>
      </x:c>
      <x:c r="N579" s="10" t="n">
        <x:v>281</x:v>
      </x:c>
      <x:c r="O579" s="10" t="str">
        <x:v>Home &amp; Living</x:v>
      </x:c>
      <x:c r="P579" s="10" t="n">
        <x:v>100</x:v>
      </x:c>
      <x:c r="Q579" s="10" t="n">
        <x:v>0</x:v>
      </x:c>
      <x:c r="R579" s="13" t="n">
        <x:v>5.34</x:v>
      </x:c>
      <x:c r="S579" s="10" t="n">
        <x:v>10080</x:v>
      </x:c>
      <x:c r="T579" s="10" t="str">
        <x:v>debt freedom,money gifts,debt free chart,debt payoff chart,debt payoff tracker,student debt free,mortgage payoff gift,out of debt,credit card payoff,student loan,dave ramsey budget,dave ramsey planner,budgeting gifts</x:v>
      </x:c>
      <x:c r="U579" s="10" t="str">
        <x:v>debt freedom</x:v>
      </x:c>
      <x:c r="V579" s="10" t="str">
        <x:v>money gifts</x:v>
      </x:c>
      <x:c r="W579" s="10" t="str">
        <x:v>debt free chart</x:v>
      </x:c>
      <x:c r="X579" s="10" t="str">
        <x:v>debt payoff chart</x:v>
      </x:c>
      <x:c r="Y579" s="10" t="str">
        <x:v>debt payoff tracker</x:v>
      </x:c>
      <x:c r="Z579" s="10" t="str">
        <x:v>student debt free</x:v>
      </x:c>
      <x:c r="AA579" s="10" t="str">
        <x:v>mortgage payoff gift</x:v>
      </x:c>
      <x:c r="AB579" s="10" t="str">
        <x:v>out of debt</x:v>
      </x:c>
      <x:c r="AC579" s="10" t="str">
        <x:v>credit card payoff</x:v>
      </x:c>
      <x:c r="AD579" s="10" t="str">
        <x:v>student loan</x:v>
      </x:c>
      <x:c r="AE579" s="10" t="str">
        <x:v>dave ramsey budget</x:v>
      </x:c>
      <x:c r="AF579" s="10" t="str">
        <x:v>dave ramsey planner</x:v>
      </x:c>
      <x:c r="AG579" s="10" t="str">
        <x:v>budgeting gifts</x:v>
      </x:c>
      <x:c r="AH579" s="10" t="str">
        <x:v>Other mortgage-related</x:v>
      </x:c>
      <x:c r="AI579" s="13" t="n">
        <x:v>31</x:v>
      </x:c>
      <x:c r="AJ579" s="10" t="str">
        <x:f>IF(F579&gt;0,"Active","No est. sales")</x:f>
        <x:v>No est. sales</x:v>
      </x:c>
    </x:row>
    <x:row r="580">
      <x:c r="A580" s="10" t="str">
        <x:v>Personalized Loan Officer Mug, Custom Mortgage Lender Gift</x:v>
      </x:c>
      <x:c r="B580" s="10" t="str">
        <x:v>https://www.etsy.com/listing/1046375435/personalized-loan-officer-mug-custom</x:v>
      </x:c>
      <x:c r="C580" s="10" t="str">
        <x:v>CovetedGift</x:v>
      </x:c>
      <x:c r="D580" s="10" t="str">
        <x:v>https://www.etsy.com/shop/CovetedGift</x:v>
      </x:c>
      <x:c r="E580" s="11" t="n">
        <x:v>17.99</x:v>
      </x:c>
      <x:c r="F580" s="10" t="n">
        <x:v>0</x:v>
      </x:c>
      <x:c r="G580" s="12" t="n">
        <x:v>0</x:v>
      </x:c>
      <x:c r="H580" s="13" t="n">
        <x:v>0</x:v>
      </x:c>
      <x:c r="I580" s="10" t="n">
        <x:v>36</x:v>
      </x:c>
      <x:c r="J580" s="10" t="n">
        <x:v>7</x:v>
      </x:c>
      <x:c r="K580" s="10" t="str">
        <x:v>60 Mo.</x:v>
      </x:c>
      <x:c r="L580" s="10" t="n">
        <x:v>40</x:v>
      </x:c>
      <x:c r="M580" s="10" t="n">
        <x:v>0</x:v>
      </x:c>
      <x:c r="N580" s="10" t="n">
        <x:v>621</x:v>
      </x:c>
      <x:c r="O580" s="10" t="str">
        <x:v>Home &amp; Living</x:v>
      </x:c>
      <x:c r="P580" s="10" t="n">
        <x:v>74</x:v>
      </x:c>
      <x:c r="Q580" s="10" t="n">
        <x:v>0</x:v>
      </x:c>
      <x:c r="R580" s="13" t="n">
        <x:v>5.8</x:v>
      </x:c>
      <x:c r="S580" s="10" t="n">
        <x:v>18972</x:v>
      </x:c>
      <x:c r="T580" s="10" t="str">
        <x:v>loan officer mug,loan officer cup,loan officer gifts,loan officer gift,gift loan officer,mortgage planner mug,loan officer present</x:v>
      </x:c>
      <x:c r="U580" s="10" t="str">
        <x:v>loan officer mug</x:v>
      </x:c>
      <x:c r="V580" s="10" t="str">
        <x:v>loan officer cup</x:v>
      </x:c>
      <x:c r="W580" s="10" t="str">
        <x:v>loan officer gifts</x:v>
      </x:c>
      <x:c r="X580" s="10" t="str">
        <x:v>loan officer gift</x:v>
      </x:c>
      <x:c r="Y580" s="10" t="str">
        <x:v>gift loan officer</x:v>
      </x:c>
      <x:c r="Z580" s="10" t="str">
        <x:v>mortgage planner mug</x:v>
      </x:c>
      <x:c r="AA580" s="10" t="str">
        <x:v>loan officer present</x:v>
      </x:c>
      <x:c r="AB580" s="10" t="str">
        <x:v>--</x:v>
      </x:c>
      <x:c r="AC580" s="10" t="str">
        <x:v>--</x:v>
      </x:c>
      <x:c r="AD580" s="10" t="str">
        <x:v>--</x:v>
      </x:c>
      <x:c r="AE580" s="10" t="str">
        <x:v>--</x:v>
      </x:c>
      <x:c r="AF580" s="10" t="str">
        <x:v>--</x:v>
      </x:c>
      <x:c r="AG580" s="10" t="str">
        <x:v>--</x:v>
      </x:c>
      <x:c r="AH580" s="10" t="str">
        <x:v>Loan officer / B2B</x:v>
      </x:c>
      <x:c r="AI580" s="13" t="n">
        <x:v>60</x:v>
      </x:c>
      <x:c r="AJ580" s="10" t="str">
        <x:f>IF(F580&gt;0,"Active","No est. sales")</x:f>
        <x:v>No est. sales</x:v>
      </x:c>
    </x:row>
    <x:row r="581">
      <x:c r="A581" s="10" t="str">
        <x:v>Mortgage Payoff Tracker Printable Payment Home Loan Payoff Chart House Payoff Planner PDF</x:v>
      </x:c>
      <x:c r="B581" s="10" t="str">
        <x:v>https://www.etsy.com/listing/4536804432/mortgage-payoff-tracker-printable</x:v>
      </x:c>
      <x:c r="C581" s="10" t="str">
        <x:v>CashflowControl</x:v>
      </x:c>
      <x:c r="D581" s="10" t="str">
        <x:v>https://www.etsy.com/shop/CashflowControl</x:v>
      </x:c>
      <x:c r="E581" s="11" t="n">
        <x:v>1.34</x:v>
      </x:c>
      <x:c r="F581" s="10" t="n">
        <x:v>0</x:v>
      </x:c>
      <x:c r="G581" s="12" t="n">
        <x:v>0</x:v>
      </x:c>
      <x:c r="H581" s="13" t="n">
        <x:v>0</x:v>
      </x:c>
      <x:c r="I581" s="10" t="n">
        <x:v>0</x:v>
      </x:c>
      <x:c r="J581" s="10" t="n">
        <x:v>0</x:v>
      </x:c>
      <x:c r="K581" s="10" t="str">
        <x:v>1 Mo.</x:v>
      </x:c>
      <x:c r="L581" s="10" t="n">
        <x:v>1</x:v>
      </x:c>
      <x:c r="M581" s="10" t="n">
        <x:v>0</x:v>
      </x:c>
      <x:c r="N581" s="10" t="n">
        <x:v>8</x:v>
      </x:c>
      <x:c r="O581" s="10" t="str"/>
      <x:c r="P581" s="10" t="n">
        <x:v>3</x:v>
      </x:c>
      <x:c r="Q581" s="10" t="n">
        <x:v>0</x:v>
      </x:c>
      <x:c r="R581" s="13" t="n">
        <x:v>0</x:v>
      </x:c>
      <x:c r="S581" s="10" t="n">
        <x:v>200</x:v>
      </x:c>
      <x:c r="T581" s="10" t="str">
        <x:v>mortgage tracker,mortgage payoff,payoff tracker,home loan tracker,house payoff,debt payoff,payment tracker,budget binder,finance planner,debt free journey,printable budget,savings tracker,coloring tracker</x:v>
      </x:c>
      <x:c r="U581" s="10" t="str">
        <x:v>mortgage tracker</x:v>
      </x:c>
      <x:c r="V581" s="10" t="str">
        <x:v>mortgage payoff</x:v>
      </x:c>
      <x:c r="W581" s="10" t="str">
        <x:v>payoff tracker</x:v>
      </x:c>
      <x:c r="X581" s="10" t="str">
        <x:v>home loan tracker</x:v>
      </x:c>
      <x:c r="Y581" s="10" t="str">
        <x:v>house payoff</x:v>
      </x:c>
      <x:c r="Z581" s="10" t="str">
        <x:v>debt payoff</x:v>
      </x:c>
      <x:c r="AA581" s="10" t="str">
        <x:v>payment tracker</x:v>
      </x:c>
      <x:c r="AB581" s="10" t="str">
        <x:v>budget binder</x:v>
      </x:c>
      <x:c r="AC581" s="10" t="str">
        <x:v>finance planner</x:v>
      </x:c>
      <x:c r="AD581" s="10" t="str">
        <x:v>debt free journey</x:v>
      </x:c>
      <x:c r="AE581" s="10" t="str">
        <x:v>printable budget</x:v>
      </x:c>
      <x:c r="AF581" s="10" t="str">
        <x:v>savings tracker</x:v>
      </x:c>
      <x:c r="AG581" s="10" t="str">
        <x:v>coloring tracker</x:v>
      </x:c>
      <x:c r="AH581" s="10" t="str">
        <x:v>Mortgage payoff / calculator</x:v>
      </x:c>
      <x:c r="AI581" s="13" t="n">
        <x:v>1</x:v>
      </x:c>
      <x:c r="AJ581" s="10" t="str">
        <x:f>IF(F581&gt;0,"Active","No est. sales")</x:f>
        <x:v>No est. sales</x:v>
      </x:c>
    </x:row>
    <x:row r="582">
      <x:c r="A582" s="10" t="str">
        <x:v>Pay Mortgage Icon Planner Sticker, Budgeting, Finance Sticker,  Financial Planning, Calendar Stickers, Bullet Journal Stickers</x:v>
      </x:c>
      <x:c r="B582" s="10" t="str">
        <x:v>https://www.etsy.com/listing/1879350028/pay-mortgage-icon-planner-sticker</x:v>
      </x:c>
      <x:c r="C582" s="10" t="str">
        <x:v>StickersAround</x:v>
      </x:c>
      <x:c r="D582" s="10" t="str">
        <x:v>https://www.etsy.com/shop/StickersAround</x:v>
      </x:c>
      <x:c r="E582" s="11" t="n">
        <x:v>3.08</x:v>
      </x:c>
      <x:c r="F582" s="10" t="n">
        <x:v>0</x:v>
      </x:c>
      <x:c r="G582" s="12" t="n">
        <x:v>0</x:v>
      </x:c>
      <x:c r="H582" s="13" t="n">
        <x:v>0</x:v>
      </x:c>
      <x:c r="I582" s="10" t="n">
        <x:v>0</x:v>
      </x:c>
      <x:c r="J582" s="10" t="n">
        <x:v>0</x:v>
      </x:c>
      <x:c r="K582" s="10" t="str">
        <x:v>16 Mo.</x:v>
      </x:c>
      <x:c r="L582" s="10" t="n">
        <x:v>7</x:v>
      </x:c>
      <x:c r="M582" s="10" t="n">
        <x:v>0</x:v>
      </x:c>
      <x:c r="N582" s="10" t="n">
        <x:v>21</x:v>
      </x:c>
      <x:c r="O582" s="10" t="str">
        <x:v>Paper &amp; Party Supplies</x:v>
      </x:c>
      <x:c r="P582" s="10" t="n">
        <x:v>42</x:v>
      </x:c>
      <x:c r="Q582" s="10" t="n">
        <x:v>0</x:v>
      </x:c>
      <x:c r="R582" s="13" t="n">
        <x:v>0</x:v>
      </x:c>
      <x:c r="S582" s="10" t="n">
        <x:v>4053</x:v>
      </x:c>
      <x:c r="T582" s="10" t="str">
        <x:v>planner sticker,budgeting sticker,finance sticker,financial planning,mortgage due,mortgage payment,house payment,bill due reminder,budget sticker,expense tracker,home loan payment,mortgage icon,mini icon sticker</x:v>
      </x:c>
      <x:c r="U582" s="10" t="str">
        <x:v>planner sticker</x:v>
      </x:c>
      <x:c r="V582" s="10" t="str">
        <x:v>budgeting sticker</x:v>
      </x:c>
      <x:c r="W582" s="10" t="str">
        <x:v>finance sticker</x:v>
      </x:c>
      <x:c r="X582" s="10" t="str">
        <x:v>financial planning</x:v>
      </x:c>
      <x:c r="Y582" s="10" t="str">
        <x:v>mortgage due</x:v>
      </x:c>
      <x:c r="Z582" s="10" t="str">
        <x:v>mortgage payment</x:v>
      </x:c>
      <x:c r="AA582" s="10" t="str">
        <x:v>house payment</x:v>
      </x:c>
      <x:c r="AB582" s="10" t="str">
        <x:v>bill due reminder</x:v>
      </x:c>
      <x:c r="AC582" s="10" t="str">
        <x:v>budget sticker</x:v>
      </x:c>
      <x:c r="AD582" s="10" t="str">
        <x:v>expense tracker</x:v>
      </x:c>
      <x:c r="AE582" s="10" t="str">
        <x:v>home loan payment</x:v>
      </x:c>
      <x:c r="AF582" s="10" t="str">
        <x:v>mortgage icon</x:v>
      </x:c>
      <x:c r="AG582" s="10" t="str">
        <x:v>mini icon sticker</x:v>
      </x:c>
      <x:c r="AH582" s="10" t="str">
        <x:v>Other mortgage-related</x:v>
      </x:c>
      <x:c r="AI582" s="13" t="n">
        <x:v>16</x:v>
      </x:c>
      <x:c r="AJ582" s="10" t="str">
        <x:f>IF(F582&gt;0,"Active","No est. sales")</x:f>
        <x:v>No est. sales</x:v>
      </x:c>
    </x:row>
    <x:row r="583">
      <x:c r="A583" s="10" t="str">
        <x:v>Debt Payoff Tracker Spreadsheet | Snowball Avalanche Calculator (Digital Download)</x:v>
      </x:c>
      <x:c r="B583" s="10" t="str">
        <x:v>https://www.etsy.com/listing/4317239548/debt-payoff-tracker-spreadsheet-debt</x:v>
      </x:c>
      <x:c r="C583" s="10" t="str">
        <x:v>ThePNWAnalyst</x:v>
      </x:c>
      <x:c r="D583" s="10" t="str">
        <x:v>https://www.etsy.com/shop/ThePNWAnalyst</x:v>
      </x:c>
      <x:c r="E583" s="11" t="n">
        <x:v>6.99</x:v>
      </x:c>
      <x:c r="F583" s="10" t="n">
        <x:v>0</x:v>
      </x:c>
      <x:c r="G583" s="12" t="n">
        <x:v>0</x:v>
      </x:c>
      <x:c r="H583" s="13" t="n">
        <x:v>0</x:v>
      </x:c>
      <x:c r="I583" s="10" t="n">
        <x:v>0</x:v>
      </x:c>
      <x:c r="J583" s="10" t="n">
        <x:v>0</x:v>
      </x:c>
      <x:c r="K583" s="10" t="str">
        <x:v>13 Mo.</x:v>
      </x:c>
      <x:c r="L583" s="10" t="n">
        <x:v>1</x:v>
      </x:c>
      <x:c r="M583" s="10" t="n">
        <x:v>0</x:v>
      </x:c>
      <x:c r="N583" s="10" t="n">
        <x:v>21</x:v>
      </x:c>
      <x:c r="O583" s="10" t="str"/>
      <x:c r="P583" s="10" t="n">
        <x:v>13</x:v>
      </x:c>
      <x:c r="Q583" s="10" t="n">
        <x:v>0</x:v>
      </x:c>
      <x:c r="R583" s="13" t="n">
        <x:v>0</x:v>
      </x:c>
      <x:c r="S583" s="10" t="n">
        <x:v>1</x:v>
      </x:c>
      <x:c r="T583" s="10" t="str">
        <x:v>credit utilization,debt google sheets,debt spreadsheet,debt avalanche,debt snowball,mortgage payoff,debt calculator,credit card payoff,loan payoff tracker,student loan payoff,debt payment tracker,debt payoff planner,tiktok</x:v>
      </x:c>
      <x:c r="U583" s="10" t="str">
        <x:v>credit utilization</x:v>
      </x:c>
      <x:c r="V583" s="10" t="str">
        <x:v>debt google sheets</x:v>
      </x:c>
      <x:c r="W583" s="10" t="str">
        <x:v>debt spreadsheet</x:v>
      </x:c>
      <x:c r="X583" s="10" t="str">
        <x:v>debt avalanche</x:v>
      </x:c>
      <x:c r="Y583" s="10" t="str">
        <x:v>debt snowball</x:v>
      </x:c>
      <x:c r="Z583" s="10" t="str">
        <x:v>mortgage payoff</x:v>
      </x:c>
      <x:c r="AA583" s="10" t="str">
        <x:v>debt calculator</x:v>
      </x:c>
      <x:c r="AB583" s="10" t="str">
        <x:v>credit card payoff</x:v>
      </x:c>
      <x:c r="AC583" s="10" t="str">
        <x:v>loan payoff tracker</x:v>
      </x:c>
      <x:c r="AD583" s="10" t="str">
        <x:v>student loan payoff</x:v>
      </x:c>
      <x:c r="AE583" s="10" t="str">
        <x:v>debt payment tracker</x:v>
      </x:c>
      <x:c r="AF583" s="10" t="str">
        <x:v>debt payoff planner</x:v>
      </x:c>
      <x:c r="AG583" s="10" t="str">
        <x:v>tiktok</x:v>
      </x:c>
      <x:c r="AH583" s="10" t="str">
        <x:v>General debt payoff</x:v>
      </x:c>
      <x:c r="AI583" s="13" t="n">
        <x:v>13</x:v>
      </x:c>
      <x:c r="AJ583" s="10" t="str">
        <x:f>IF(F583&gt;0,"Active","No est. sales")</x:f>
        <x:v>No est. sales</x:v>
      </x:c>
    </x:row>
    <x:row r="584">
      <x:c r="A584" s="10" t="str">
        <x:v>Home Buyer Spreadsheet: Mortgage Comparison, Closing Costs and Savings Planner for Excel Home Management and Organization</x:v>
      </x:c>
      <x:c r="B584" s="10" t="str">
        <x:v>https://www.etsy.com/listing/4519825961/home-buyer-spreadsheet-mortgage</x:v>
      </x:c>
      <x:c r="C584" s="10" t="str">
        <x:v>LocalPaperStand</x:v>
      </x:c>
      <x:c r="D584" s="10" t="str">
        <x:v>https://www.etsy.com/shop/LocalPaperStand</x:v>
      </x:c>
      <x:c r="E584" s="11" t="n">
        <x:v>5.47</x:v>
      </x:c>
      <x:c r="F584" s="10" t="n">
        <x:v>0</x:v>
      </x:c>
      <x:c r="G584" s="12" t="n">
        <x:v>0</x:v>
      </x:c>
      <x:c r="H584" s="13" t="n">
        <x:v>0</x:v>
      </x:c>
      <x:c r="I584" s="10" t="n">
        <x:v>0</x:v>
      </x:c>
      <x:c r="J584" s="10" t="n">
        <x:v>0</x:v>
      </x:c>
      <x:c r="K584" s="10" t="str">
        <x:v>1 Mo.</x:v>
      </x:c>
      <x:c r="L584" s="10" t="n">
        <x:v>0</x:v>
      </x:c>
      <x:c r="M584" s="10" t="n">
        <x:v>0</x:v>
      </x:c>
      <x:c r="N584" s="10" t="n">
        <x:v>5</x:v>
      </x:c>
      <x:c r="O584" s="10" t="str"/>
      <x:c r="P584" s="10" t="n">
        <x:v>12</x:v>
      </x:c>
      <x:c r="Q584" s="10" t="n">
        <x:v>0</x:v>
      </x:c>
      <x:c r="R584" s="13" t="n">
        <x:v>0</x:v>
      </x:c>
      <x:c r="S584" s="10" t="n">
        <x:v>2</x:v>
      </x:c>
      <x:c r="T584" s="10" t="str">
        <x:v>home buyer planner,mortgage comparison,closing costs,mortgage calculator,home buying sheet,down payment tracker,loan comparison,house comparison,first home planner,home buyer budget,excel mortgage,google sheets home,closing cost tracker</x:v>
      </x:c>
      <x:c r="U584" s="10" t="str">
        <x:v>home buyer planner</x:v>
      </x:c>
      <x:c r="V584" s="10" t="str">
        <x:v>mortgage comparison</x:v>
      </x:c>
      <x:c r="W584" s="10" t="str">
        <x:v>closing costs</x:v>
      </x:c>
      <x:c r="X584" s="10" t="str">
        <x:v>mortgage calculator</x:v>
      </x:c>
      <x:c r="Y584" s="10" t="str">
        <x:v>home buying sheet</x:v>
      </x:c>
      <x:c r="Z584" s="10" t="str">
        <x:v>down payment tracker</x:v>
      </x:c>
      <x:c r="AA584" s="10" t="str">
        <x:v>loan comparison</x:v>
      </x:c>
      <x:c r="AB584" s="10" t="str">
        <x:v>house comparison</x:v>
      </x:c>
      <x:c r="AC584" s="10" t="str">
        <x:v>first home planner</x:v>
      </x:c>
      <x:c r="AD584" s="10" t="str">
        <x:v>home buyer budget</x:v>
      </x:c>
      <x:c r="AE584" s="10" t="str">
        <x:v>excel mortgage</x:v>
      </x:c>
      <x:c r="AF584" s="10" t="str">
        <x:v>google sheets home</x:v>
      </x:c>
      <x:c r="AG584" s="10" t="str">
        <x:v>closing cost tracker</x:v>
      </x:c>
      <x:c r="AH584" s="10" t="str">
        <x:v>Home buying planner</x:v>
      </x:c>
      <x:c r="AI584" s="13" t="n">
        <x:v>1</x:v>
      </x:c>
      <x:c r="AJ584" s="10" t="str">
        <x:f>IF(F584&gt;0,"Active","No est. sales")</x:f>
        <x:v>No est. sales</x:v>
      </x:c>
    </x:row>
    <x:row r="585">
      <x:c r="A585" s="10" t="str">
        <x:v>House planner stickers - Little PinkHouses</x:v>
      </x:c>
      <x:c r="B585" s="10" t="str">
        <x:v>https://www.etsy.com/listing/1497159812/house-planner-stickers-little-pinkhouses</x:v>
      </x:c>
      <x:c r="C585" s="10" t="str">
        <x:v>ThePlannersWorld</x:v>
      </x:c>
      <x:c r="D585" s="10" t="str">
        <x:v>https://www.etsy.com/shop/ThePlannersWorld</x:v>
      </x:c>
      <x:c r="E585" s="11" t="n">
        <x:v>3.9</x:v>
      </x:c>
      <x:c r="F585" s="10" t="n">
        <x:v>0</x:v>
      </x:c>
      <x:c r="G585" s="12" t="n">
        <x:v>0</x:v>
      </x:c>
      <x:c r="H585" s="13" t="n">
        <x:v>0</x:v>
      </x:c>
      <x:c r="I585" s="10" t="n">
        <x:v>3</x:v>
      </x:c>
      <x:c r="J585" s="10" t="n">
        <x:v>1</x:v>
      </x:c>
      <x:c r="K585" s="10" t="str">
        <x:v>37 Mo.</x:v>
      </x:c>
      <x:c r="L585" s="10" t="n">
        <x:v>7</x:v>
      </x:c>
      <x:c r="M585" s="10" t="n">
        <x:v>0</x:v>
      </x:c>
      <x:c r="N585" s="10" t="n">
        <x:v>64</x:v>
      </x:c>
      <x:c r="O585" s="10" t="str">
        <x:v>Paper &amp; Party Supplies</x:v>
      </x:c>
      <x:c r="P585" s="10" t="n">
        <x:v>111</x:v>
      </x:c>
      <x:c r="Q585" s="10" t="n">
        <x:v>0</x:v>
      </x:c>
      <x:c r="R585" s="13" t="n">
        <x:v>4.69</x:v>
      </x:c>
      <x:c r="S585" s="10" t="n">
        <x:v>28385</x:v>
      </x:c>
      <x:c r="T585" s="10" t="str">
        <x:v>bills,cute sickers,due,for,happy,home repair,house stickers,life,mortgage,pay,payment,planner,rent</x:v>
      </x:c>
      <x:c r="U585" s="10" t="str">
        <x:v>bills</x:v>
      </x:c>
      <x:c r="V585" s="10" t="str">
        <x:v>cute sickers</x:v>
      </x:c>
      <x:c r="W585" s="10" t="str">
        <x:v>due</x:v>
      </x:c>
      <x:c r="X585" s="10" t="str">
        <x:v>for</x:v>
      </x:c>
      <x:c r="Y585" s="10" t="str">
        <x:v>happy</x:v>
      </x:c>
      <x:c r="Z585" s="10" t="str">
        <x:v>home repair</x:v>
      </x:c>
      <x:c r="AA585" s="10" t="str">
        <x:v>house stickers</x:v>
      </x:c>
      <x:c r="AB585" s="10" t="str">
        <x:v>life</x:v>
      </x:c>
      <x:c r="AC585" s="10" t="str">
        <x:v>mortgage</x:v>
      </x:c>
      <x:c r="AD585" s="10" t="str">
        <x:v>pay</x:v>
      </x:c>
      <x:c r="AE585" s="10" t="str">
        <x:v>payment</x:v>
      </x:c>
      <x:c r="AF585" s="10" t="str">
        <x:v>planner</x:v>
      </x:c>
      <x:c r="AG585" s="10" t="str">
        <x:v>rent</x:v>
      </x:c>
      <x:c r="AH585" s="10" t="str">
        <x:v>Other mortgage-related</x:v>
      </x:c>
      <x:c r="AI585" s="13" t="n">
        <x:v>37</x:v>
      </x:c>
      <x:c r="AJ585" s="10" t="str">
        <x:f>IF(F585&gt;0,"Active","No est. sales")</x:f>
        <x:v>No est. sales</x:v>
      </x:c>
    </x:row>
    <x:row r="586">
      <x:c r="A586" s="10" t="str">
        <x:v>Fixed vs Variable Mortgage Calculator, Canadian Mortgage Comparison Spreadsheet, Excel Google Sheets Rate Shock Planner</x:v>
      </x:c>
      <x:c r="B586" s="10" t="str">
        <x:v>https://www.etsy.com/listing/4406274223/fixed-vs-variable-mortgage-comparison</x:v>
      </x:c>
      <x:c r="C586" s="10" t="str">
        <x:v>FinanceBuddyStudio</x:v>
      </x:c>
      <x:c r="D586" s="10" t="str">
        <x:v>https://www.etsy.com/shop/FinanceBuddyStudio</x:v>
      </x:c>
      <x:c r="E586" s="11" t="n">
        <x:v>5.67</x:v>
      </x:c>
      <x:c r="F586" s="10" t="n">
        <x:v>0</x:v>
      </x:c>
      <x:c r="G586" s="12" t="n">
        <x:v>0</x:v>
      </x:c>
      <x:c r="H586" s="13" t="n">
        <x:v>0</x:v>
      </x:c>
      <x:c r="I586" s="10" t="n">
        <x:v>0</x:v>
      </x:c>
      <x:c r="J586" s="10" t="n">
        <x:v>0</x:v>
      </x:c>
      <x:c r="K586" s="10" t="str">
        <x:v>8 Mo.</x:v>
      </x:c>
      <x:c r="L586" s="10" t="n">
        <x:v>0</x:v>
      </x:c>
      <x:c r="M586" s="10" t="n">
        <x:v>0</x:v>
      </x:c>
      <x:c r="N586" s="10" t="n">
        <x:v>24</x:v>
      </x:c>
      <x:c r="O586" s="10" t="str"/>
      <x:c r="P586" s="10" t="n">
        <x:v>8</x:v>
      </x:c>
      <x:c r="Q586" s="10" t="n">
        <x:v>0</x:v>
      </x:c>
      <x:c r="R586" s="13" t="n">
        <x:v>0</x:v>
      </x:c>
      <x:c r="S586" s="10" t="n">
        <x:v>5</x:v>
      </x:c>
      <x:c r="T586" s="10" t="str">
        <x:v>mortgage compare,mortgage calc,canada mortgage,fixed mortgage,variable mortgage,mortgage excel,rate shock,home loan calc,finance tool,real estate calc,home budget,buyer tool,mortgage sheet</x:v>
      </x:c>
      <x:c r="U586" s="10" t="str">
        <x:v>mortgage compare</x:v>
      </x:c>
      <x:c r="V586" s="10" t="str">
        <x:v>mortgage calc</x:v>
      </x:c>
      <x:c r="W586" s="10" t="str">
        <x:v>canada mortgage</x:v>
      </x:c>
      <x:c r="X586" s="10" t="str">
        <x:v>fixed mortgage</x:v>
      </x:c>
      <x:c r="Y586" s="10" t="str">
        <x:v>variable mortgage</x:v>
      </x:c>
      <x:c r="Z586" s="10" t="str">
        <x:v>mortgage excel</x:v>
      </x:c>
      <x:c r="AA586" s="10" t="str">
        <x:v>rate shock</x:v>
      </x:c>
      <x:c r="AB586" s="10" t="str">
        <x:v>home loan calc</x:v>
      </x:c>
      <x:c r="AC586" s="10" t="str">
        <x:v>finance tool</x:v>
      </x:c>
      <x:c r="AD586" s="10" t="str">
        <x:v>real estate calc</x:v>
      </x:c>
      <x:c r="AE586" s="10" t="str">
        <x:v>home budget</x:v>
      </x:c>
      <x:c r="AF586" s="10" t="str">
        <x:v>buyer tool</x:v>
      </x:c>
      <x:c r="AG586" s="10" t="str">
        <x:v>mortgage sheet</x:v>
      </x:c>
      <x:c r="AH586" s="10" t="str">
        <x:v>Mortgage payoff / calculator</x:v>
      </x:c>
      <x:c r="AI586" s="13" t="n">
        <x:v>8</x:v>
      </x:c>
      <x:c r="AJ586" s="10" t="str">
        <x:f>IF(F586&gt;0,"Active","No est. sales")</x:f>
        <x:v>No est. sales</x:v>
      </x:c>
    </x:row>
    <x:row r="587">
      <x:c r="A587" s="10" t="str">
        <x:v>First-Time Homebuyer Guide Bundle | Printable Home Buying Workbook, Checklist &amp; Mortgage Prep | Emily Parker Edition</x:v>
      </x:c>
      <x:c r="B587" s="10" t="str">
        <x:v>https://www.etsy.com/listing/4332245959/first-time-homebuyer-guide-bundle</x:v>
      </x:c>
      <x:c r="C587" s="10" t="str">
        <x:v>EmilyParkerGuides</x:v>
      </x:c>
      <x:c r="D587" s="10" t="str">
        <x:v>https://www.etsy.com/shop/EmilyParkerGuides</x:v>
      </x:c>
      <x:c r="E587" s="11" t="n">
        <x:v>4.99</x:v>
      </x:c>
      <x:c r="F587" s="10" t="n">
        <x:v>0</x:v>
      </x:c>
      <x:c r="G587" s="12" t="n">
        <x:v>0</x:v>
      </x:c>
      <x:c r="H587" s="13" t="n">
        <x:v>0</x:v>
      </x:c>
      <x:c r="I587" s="10" t="n">
        <x:v>0</x:v>
      </x:c>
      <x:c r="J587" s="10" t="n">
        <x:v>0</x:v>
      </x:c>
      <x:c r="K587" s="10" t="str">
        <x:v>12 Mo.</x:v>
      </x:c>
      <x:c r="L587" s="10" t="n">
        <x:v>2</x:v>
      </x:c>
      <x:c r="M587" s="10" t="n">
        <x:v>0</x:v>
      </x:c>
      <x:c r="N587" s="10" t="n">
        <x:v>49</x:v>
      </x:c>
      <x:c r="O587" s="10" t="str">
        <x:v>Books, Movies &amp; Music</x:v>
      </x:c>
      <x:c r="P587" s="10" t="n">
        <x:v>19</x:v>
      </x:c>
      <x:c r="Q587" s="10" t="n">
        <x:v>0</x:v>
      </x:c>
      <x:c r="R587" s="13" t="n">
        <x:v>0</x:v>
      </x:c>
      <x:c r="S587" s="10" t="n">
        <x:v>2</x:v>
      </x:c>
      <x:c r="T587" s="10" t="str">
        <x:v>homebuyer guide,first time buyer,home buying workbook,mortgage checklist,moving checklist,digital home guide,printable house guid,real estate bundle,first home tips,inspection checklist,real estate printabl,homebuying planner,homeowner gifts</x:v>
      </x:c>
      <x:c r="U587" s="10" t="str">
        <x:v>homebuyer guide</x:v>
      </x:c>
      <x:c r="V587" s="10" t="str">
        <x:v>first time buyer</x:v>
      </x:c>
      <x:c r="W587" s="10" t="str">
        <x:v>home buying workbook</x:v>
      </x:c>
      <x:c r="X587" s="10" t="str">
        <x:v>mortgage checklist</x:v>
      </x:c>
      <x:c r="Y587" s="10" t="str">
        <x:v>moving checklist</x:v>
      </x:c>
      <x:c r="Z587" s="10" t="str">
        <x:v>digital home guide</x:v>
      </x:c>
      <x:c r="AA587" s="10" t="str">
        <x:v>printable house guid</x:v>
      </x:c>
      <x:c r="AB587" s="10" t="str">
        <x:v>real estate bundle</x:v>
      </x:c>
      <x:c r="AC587" s="10" t="str">
        <x:v>first home tips</x:v>
      </x:c>
      <x:c r="AD587" s="10" t="str">
        <x:v>inspection checklist</x:v>
      </x:c>
      <x:c r="AE587" s="10" t="str">
        <x:v>real estate printabl</x:v>
      </x:c>
      <x:c r="AF587" s="10" t="str">
        <x:v>homebuying planner</x:v>
      </x:c>
      <x:c r="AG587" s="10" t="str">
        <x:v>homeowner gifts</x:v>
      </x:c>
      <x:c r="AH587" s="10" t="str">
        <x:v>Other mortgage-related</x:v>
      </x:c>
      <x:c r="AI587" s="13" t="n">
        <x:v>12</x:v>
      </x:c>
      <x:c r="AJ587" s="10" t="str">
        <x:f>IF(F587&gt;0,"Active","No est. sales")</x:f>
        <x:v>No est. sales</x:v>
      </x:c>
    </x:row>
    <x:row r="588">
      <x:c r="A588" s="10" t="str">
        <x:v>HOUSE PAYMENT Mini Icon Stickers | Minimalist Planner Stickers | Functional Labels | Bullet Journal | Mortgage</x:v>
      </x:c>
      <x:c r="B588" s="10" t="str">
        <x:v>https://www.etsy.com/listing/1049542176/house-payment-mini-icon-stickers</x:v>
      </x:c>
      <x:c r="C588" s="10" t="str">
        <x:v>StickerPaigePlans</x:v>
      </x:c>
      <x:c r="D588" s="10" t="str">
        <x:v>https://www.etsy.com/shop/StickerPaigePlans</x:v>
      </x:c>
      <x:c r="E588" s="11" t="n">
        <x:v>3.85</x:v>
      </x:c>
      <x:c r="F588" s="10" t="n">
        <x:v>0</x:v>
      </x:c>
      <x:c r="G588" s="12" t="n">
        <x:v>0</x:v>
      </x:c>
      <x:c r="H588" s="13" t="n">
        <x:v>0</x:v>
      </x:c>
      <x:c r="I588" s="10" t="n">
        <x:v>67</x:v>
      </x:c>
      <x:c r="J588" s="10" t="n">
        <x:v>8</x:v>
      </x:c>
      <x:c r="K588" s="10" t="str">
        <x:v>59 Mo.</x:v>
      </x:c>
      <x:c r="L588" s="10" t="n">
        <x:v>118</x:v>
      </x:c>
      <x:c r="M588" s="10" t="n">
        <x:v>0</x:v>
      </x:c>
      <x:c r="N588" s="10" t="n">
        <x:v>944</x:v>
      </x:c>
      <x:c r="O588" s="10" t="str">
        <x:v>Paper &amp; Party Supplies</x:v>
      </x:c>
      <x:c r="P588" s="10" t="n">
        <x:v>60</x:v>
      </x:c>
      <x:c r="Q588" s="10" t="n">
        <x:v>0</x:v>
      </x:c>
      <x:c r="R588" s="13" t="n">
        <x:v>7.1</x:v>
      </x:c>
      <x:c r="S588" s="10" t="n">
        <x:v>24184</x:v>
      </x:c>
      <x:c r="T588" s="10" t="str">
        <x:v>planner stickers,bullet journal,minimal stickers,functional stickers,minimal planning,erin condren,home owner icon,mortgage payment,payment tracker,finance icon,mini icon stickers,labels,simple icons</x:v>
      </x:c>
      <x:c r="U588" s="10" t="str">
        <x:v>planner stickers</x:v>
      </x:c>
      <x:c r="V588" s="10" t="str">
        <x:v>bullet journal</x:v>
      </x:c>
      <x:c r="W588" s="10" t="str">
        <x:v>minimal stickers</x:v>
      </x:c>
      <x:c r="X588" s="10" t="str">
        <x:v>functional stickers</x:v>
      </x:c>
      <x:c r="Y588" s="10" t="str">
        <x:v>minimal planning</x:v>
      </x:c>
      <x:c r="Z588" s="10" t="str">
        <x:v>erin condren</x:v>
      </x:c>
      <x:c r="AA588" s="10" t="str">
        <x:v>home owner icon</x:v>
      </x:c>
      <x:c r="AB588" s="10" t="str">
        <x:v>mortgage payment</x:v>
      </x:c>
      <x:c r="AC588" s="10" t="str">
        <x:v>payment tracker</x:v>
      </x:c>
      <x:c r="AD588" s="10" t="str">
        <x:v>finance icon</x:v>
      </x:c>
      <x:c r="AE588" s="10" t="str">
        <x:v>mini icon stickers</x:v>
      </x:c>
      <x:c r="AF588" s="10" t="str">
        <x:v>labels</x:v>
      </x:c>
      <x:c r="AG588" s="10" t="str">
        <x:v>simple icons</x:v>
      </x:c>
      <x:c r="AH588" s="10" t="str">
        <x:v>Other mortgage-related</x:v>
      </x:c>
      <x:c r="AI588" s="13" t="n">
        <x:v>59</x:v>
      </x:c>
      <x:c r="AJ588" s="10" t="str">
        <x:f>IF(F588&gt;0,"Active","No est. sales")</x:f>
        <x:v>No est. sales</x:v>
      </x:c>
    </x:row>
    <x:row r="589">
      <x:c r="A589" s="10" t="str">
        <x:v>Debt Repayment Calculator: Snowball, Avalanche, Sinking Funds (Google Spreadsheet)</x:v>
      </x:c>
      <x:c r="B589" s="10" t="str">
        <x:v>https://www.etsy.com/listing/1637282352/debt-repayment-calculator-snowball</x:v>
      </x:c>
      <x:c r="C589" s="10" t="str">
        <x:v>ProductivityPadStore</x:v>
      </x:c>
      <x:c r="D589" s="10" t="str">
        <x:v>https://www.etsy.com/shop/ProductivityPadStore</x:v>
      </x:c>
      <x:c r="E589" s="11" t="n">
        <x:v>10.35</x:v>
      </x:c>
      <x:c r="F589" s="10" t="n">
        <x:v>0</x:v>
      </x:c>
      <x:c r="G589" s="12" t="n">
        <x:v>0</x:v>
      </x:c>
      <x:c r="H589" s="13" t="n">
        <x:v>0</x:v>
      </x:c>
      <x:c r="I589" s="10" t="n">
        <x:v>0</x:v>
      </x:c>
      <x:c r="J589" s="10" t="n">
        <x:v>0</x:v>
      </x:c>
      <x:c r="K589" s="10" t="str">
        <x:v>30 Mo.</x:v>
      </x:c>
      <x:c r="L589" s="10" t="n">
        <x:v>22</x:v>
      </x:c>
      <x:c r="M589" s="10" t="n">
        <x:v>0</x:v>
      </x:c>
      <x:c r="N589" s="10" t="n">
        <x:v>334</x:v>
      </x:c>
      <x:c r="O589" s="10" t="str"/>
      <x:c r="P589" s="10" t="n">
        <x:v>39</x:v>
      </x:c>
      <x:c r="Q589" s="10" t="n">
        <x:v>0</x:v>
      </x:c>
      <x:c r="R589" s="13" t="n">
        <x:v>0</x:v>
      </x:c>
      <x:c r="S589" s="10" t="n">
        <x:v>5423</x:v>
      </x:c>
      <x:c r="T589" s="10" t="str">
        <x:v>finance planner,debt budget planner,payoff tracker,loan payoff,debt repayment,credit card payoff,debt calculator,mortgage payoff,debt payment tracker,subscription tracker,sinking fund,savings tracker,snowball calculator</x:v>
      </x:c>
      <x:c r="U589" s="10" t="str">
        <x:v>finance planner</x:v>
      </x:c>
      <x:c r="V589" s="10" t="str">
        <x:v>debt budget planner</x:v>
      </x:c>
      <x:c r="W589" s="10" t="str">
        <x:v>payoff tracker</x:v>
      </x:c>
      <x:c r="X589" s="10" t="str">
        <x:v>loan payoff</x:v>
      </x:c>
      <x:c r="Y589" s="10" t="str">
        <x:v>debt repayment</x:v>
      </x:c>
      <x:c r="Z589" s="10" t="str">
        <x:v>credit card payoff</x:v>
      </x:c>
      <x:c r="AA589" s="10" t="str">
        <x:v>debt calculator</x:v>
      </x:c>
      <x:c r="AB589" s="10" t="str">
        <x:v>mortgage payoff</x:v>
      </x:c>
      <x:c r="AC589" s="10" t="str">
        <x:v>debt payment tracker</x:v>
      </x:c>
      <x:c r="AD589" s="10" t="str">
        <x:v>subscription tracker</x:v>
      </x:c>
      <x:c r="AE589" s="10" t="str">
        <x:v>sinking fund</x:v>
      </x:c>
      <x:c r="AF589" s="10" t="str">
        <x:v>savings tracker</x:v>
      </x:c>
      <x:c r="AG589" s="10" t="str">
        <x:v>snowball calculator</x:v>
      </x:c>
      <x:c r="AH589" s="10" t="str">
        <x:v>Other mortgage-related</x:v>
      </x:c>
      <x:c r="AI589" s="13" t="n">
        <x:v>30</x:v>
      </x:c>
      <x:c r="AJ589" s="10" t="str">
        <x:f>IF(F589&gt;0,"Active","No est. sales")</x:f>
        <x:v>No est. sales</x:v>
      </x:c>
    </x:row>
    <x:row r="590">
      <x:c r="A590" s="10" t="str">
        <x:v>Utilities, Rent, Mortgage Due Planner Stickers - Erin Condren, Kikki K, Filofax, Plum Paper</x:v>
      </x:c>
      <x:c r="B590" s="10" t="str">
        <x:v>https://www.etsy.com/listing/240258835/utilities-rent-mortgage-due-planner</x:v>
      </x:c>
      <x:c r="C590" s="10" t="str">
        <x:v>PlannerBliss</x:v>
      </x:c>
      <x:c r="D590" s="10" t="str">
        <x:v>https://www.etsy.com/shop/PlannerBliss</x:v>
      </x:c>
      <x:c r="E590" s="11" t="n">
        <x:v>3</x:v>
      </x:c>
      <x:c r="F590" s="10" t="n">
        <x:v>0</x:v>
      </x:c>
      <x:c r="G590" s="12" t="n">
        <x:v>0</x:v>
      </x:c>
      <x:c r="H590" s="13" t="n">
        <x:v>0</x:v>
      </x:c>
      <x:c r="I590" s="10" t="n">
        <x:v>16</x:v>
      </x:c>
      <x:c r="J590" s="10" t="n">
        <x:v>4</x:v>
      </x:c>
      <x:c r="K590" s="10" t="str">
        <x:v>132 Mo.</x:v>
      </x:c>
      <x:c r="L590" s="10" t="n">
        <x:v>57</x:v>
      </x:c>
      <x:c r="M590" s="10" t="n">
        <x:v>0</x:v>
      </x:c>
      <x:c r="N590" s="10" t="n">
        <x:v>891</x:v>
      </x:c>
      <x:c r="O590" s="10" t="str">
        <x:v>Paper &amp; Party Supplies</x:v>
      </x:c>
      <x:c r="P590" s="10" t="n">
        <x:v>132</x:v>
      </x:c>
      <x:c r="Q590" s="10" t="n">
        <x:v>0</x:v>
      </x:c>
      <x:c r="R590" s="13" t="n">
        <x:v>1.8</x:v>
      </x:c>
      <x:c r="S590" s="10" t="n">
        <x:v>12366</x:v>
      </x:c>
      <x:c r="T590" s="10" t="str">
        <x:v>erin condren,planner stickers,pastel stickers,planner,utilities due,utility stickers,electric stickers,rent stickers,mortgage stickers,water stickers,bill stickers,eclp stickers</x:v>
      </x:c>
      <x:c r="U590" s="10" t="str">
        <x:v>erin condren</x:v>
      </x:c>
      <x:c r="V590" s="10" t="str">
        <x:v>planner stickers</x:v>
      </x:c>
      <x:c r="W590" s="10" t="str">
        <x:v>pastel stickers</x:v>
      </x:c>
      <x:c r="X590" s="10" t="str">
        <x:v>planner</x:v>
      </x:c>
      <x:c r="Y590" s="10" t="str">
        <x:v>utilities due</x:v>
      </x:c>
      <x:c r="Z590" s="10" t="str">
        <x:v>utility stickers</x:v>
      </x:c>
      <x:c r="AA590" s="10" t="str">
        <x:v>electric stickers</x:v>
      </x:c>
      <x:c r="AB590" s="10" t="str">
        <x:v>rent stickers</x:v>
      </x:c>
      <x:c r="AC590" s="10" t="str">
        <x:v>mortgage stickers</x:v>
      </x:c>
      <x:c r="AD590" s="10" t="str">
        <x:v>water stickers</x:v>
      </x:c>
      <x:c r="AE590" s="10" t="str">
        <x:v>bill stickers</x:v>
      </x:c>
      <x:c r="AF590" s="10" t="str">
        <x:v>eclp stickers</x:v>
      </x:c>
      <x:c r="AG590" s="10" t="str">
        <x:v>--</x:v>
      </x:c>
      <x:c r="AH590" s="10" t="str">
        <x:v>Other mortgage-related</x:v>
      </x:c>
      <x:c r="AI590" s="13" t="n">
        <x:v>132</x:v>
      </x:c>
      <x:c r="AJ590" s="10" t="str">
        <x:f>IF(F590&gt;0,"Active","No est. sales")</x:f>
        <x:v>No est. sales</x:v>
      </x:c>
    </x:row>
    <x:row r="591">
      <x:c r="A591" s="10" t="str">
        <x:v>Down Payment Tracker Printable, House Savings Tracker digital, Bullet Journal Savings Tracker, debt tracker, Printable PDF, A4</x:v>
      </x:c>
      <x:c r="B591" s="10" t="str">
        <x:v>https://www.etsy.com/listing/928892989/down-payment-tracker-printable-house</x:v>
      </x:c>
      <x:c r="C591" s="10" t="str">
        <x:v>Leiaplannerstudioco</x:v>
      </x:c>
      <x:c r="D591" s="10" t="str">
        <x:v>https://www.etsy.com/shop/Leiaplannerstudioco</x:v>
      </x:c>
      <x:c r="E591" s="11" t="n">
        <x:v>2.13</x:v>
      </x:c>
      <x:c r="F591" s="10" t="n">
        <x:v>0</x:v>
      </x:c>
      <x:c r="G591" s="12" t="n">
        <x:v>0</x:v>
      </x:c>
      <x:c r="H591" s="13" t="n">
        <x:v>0</x:v>
      </x:c>
      <x:c r="I591" s="10" t="n">
        <x:v>0</x:v>
      </x:c>
      <x:c r="J591" s="10" t="n">
        <x:v>0</x:v>
      </x:c>
      <x:c r="K591" s="10" t="str">
        <x:v>67 Mo.</x:v>
      </x:c>
      <x:c r="L591" s="10" t="n">
        <x:v>6</x:v>
      </x:c>
      <x:c r="M591" s="10" t="n">
        <x:v>0</x:v>
      </x:c>
      <x:c r="N591" s="10" t="n">
        <x:v>188</x:v>
      </x:c>
      <x:c r="O591" s="10" t="str">
        <x:v>Art &amp; Collectibles</x:v>
      </x:c>
      <x:c r="P591" s="10" t="n">
        <x:v>67</x:v>
      </x:c>
      <x:c r="Q591" s="10" t="n">
        <x:v>0</x:v>
      </x:c>
      <x:c r="R591" s="13" t="n">
        <x:v>0</x:v>
      </x:c>
      <x:c r="S591" s="10" t="n">
        <x:v>136</x:v>
      </x:c>
      <x:c r="T591" s="10" t="str">
        <x:v>goal chart,printable planner,digital planner,savings tracker,savings goal,goal tracker,dept payoff,debt printable,mortgage,house savings chart,mortgage payoff,financial progress,debt free printable</x:v>
      </x:c>
      <x:c r="U591" s="10" t="str">
        <x:v>goal chart</x:v>
      </x:c>
      <x:c r="V591" s="10" t="str">
        <x:v>printable planner</x:v>
      </x:c>
      <x:c r="W591" s="10" t="str">
        <x:v>digital planner</x:v>
      </x:c>
      <x:c r="X591" s="10" t="str">
        <x:v>savings tracker</x:v>
      </x:c>
      <x:c r="Y591" s="10" t="str">
        <x:v>savings goal</x:v>
      </x:c>
      <x:c r="Z591" s="10" t="str">
        <x:v>goal tracker</x:v>
      </x:c>
      <x:c r="AA591" s="10" t="str">
        <x:v>dept payoff</x:v>
      </x:c>
      <x:c r="AB591" s="10" t="str">
        <x:v>debt printable</x:v>
      </x:c>
      <x:c r="AC591" s="10" t="str">
        <x:v>mortgage</x:v>
      </x:c>
      <x:c r="AD591" s="10" t="str">
        <x:v>house savings chart</x:v>
      </x:c>
      <x:c r="AE591" s="10" t="str">
        <x:v>mortgage payoff</x:v>
      </x:c>
      <x:c r="AF591" s="10" t="str">
        <x:v>financial progress</x:v>
      </x:c>
      <x:c r="AG591" s="10" t="str">
        <x:v>debt free printable</x:v>
      </x:c>
      <x:c r="AH591" s="10" t="str">
        <x:v>General debt payoff</x:v>
      </x:c>
      <x:c r="AI591" s="13" t="n">
        <x:v>67</x:v>
      </x:c>
      <x:c r="AJ591" s="10" t="str">
        <x:f>IF(F591&gt;0,"Active","No est. sales")</x:f>
        <x:v>No est. sales</x:v>
      </x:c>
    </x:row>
    <x:row r="592">
      <x:c r="A592" s="10" t="str">
        <x:v>42 Home Planner Stickers Home Mortgage Stickers Bill Stickers Rent Payment Stickers Functional Stickers Mortgage Planner Stickers Icon A17</x:v>
      </x:c>
      <x:c r="B592" s="10" t="str">
        <x:v>https://www.etsy.com/listing/262994641/42-home-planner-stickers-home-mortgage</x:v>
      </x:c>
      <x:c r="C592" s="10" t="str">
        <x:v>LoveYourPlanners</x:v>
      </x:c>
      <x:c r="D592" s="10" t="str">
        <x:v>https://www.etsy.com/shop/LoveYourPlanners</x:v>
      </x:c>
      <x:c r="E592" s="11" t="n">
        <x:v>4.5</x:v>
      </x:c>
      <x:c r="F592" s="10" t="n">
        <x:v>0</x:v>
      </x:c>
      <x:c r="G592" s="12" t="n">
        <x:v>0</x:v>
      </x:c>
      <x:c r="H592" s="13" t="n">
        <x:v>0</x:v>
      </x:c>
      <x:c r="I592" s="10" t="n">
        <x:v>40</x:v>
      </x:c>
      <x:c r="J592" s="10" t="n">
        <x:v>10</x:v>
      </x:c>
      <x:c r="K592" s="10" t="str">
        <x:v>126 Mo.</x:v>
      </x:c>
      <x:c r="L592" s="10" t="n">
        <x:v>130</x:v>
      </x:c>
      <x:c r="M592" s="10" t="n">
        <x:v>0</x:v>
      </x:c>
      <x:c r="N592" s="10" t="n">
        <x:v>942</x:v>
      </x:c>
      <x:c r="O592" s="10" t="str">
        <x:v>Paper &amp; Party Supplies</x:v>
      </x:c>
      <x:c r="P592" s="10" t="n">
        <x:v>126</x:v>
      </x:c>
      <x:c r="Q592" s="10" t="n">
        <x:v>0</x:v>
      </x:c>
      <x:c r="R592" s="13" t="n">
        <x:v>4.25</x:v>
      </x:c>
      <x:c r="S592" s="10" t="n">
        <x:v>11476</x:v>
      </x:c>
      <x:c r="T592" s="10" t="str">
        <x:v>planner stickers,functional stickers,house mortgage,house payment,home mortgage,home stickers,bill,bill stickers,budget planner,house planner,house stickers,mortgage planner,icon stickers</x:v>
      </x:c>
      <x:c r="U592" s="10" t="str">
        <x:v>planner stickers</x:v>
      </x:c>
      <x:c r="V592" s="10" t="str">
        <x:v>functional stickers</x:v>
      </x:c>
      <x:c r="W592" s="10" t="str">
        <x:v>house mortgage</x:v>
      </x:c>
      <x:c r="X592" s="10" t="str">
        <x:v>house payment</x:v>
      </x:c>
      <x:c r="Y592" s="10" t="str">
        <x:v>home mortgage</x:v>
      </x:c>
      <x:c r="Z592" s="10" t="str">
        <x:v>home stickers</x:v>
      </x:c>
      <x:c r="AA592" s="10" t="str">
        <x:v>bill</x:v>
      </x:c>
      <x:c r="AB592" s="10" t="str">
        <x:v>bill stickers</x:v>
      </x:c>
      <x:c r="AC592" s="10" t="str">
        <x:v>budget planner</x:v>
      </x:c>
      <x:c r="AD592" s="10" t="str">
        <x:v>house planner</x:v>
      </x:c>
      <x:c r="AE592" s="10" t="str">
        <x:v>house stickers</x:v>
      </x:c>
      <x:c r="AF592" s="10" t="str">
        <x:v>mortgage planner</x:v>
      </x:c>
      <x:c r="AG592" s="10" t="str">
        <x:v>icon stickers</x:v>
      </x:c>
      <x:c r="AH592" s="10" t="str">
        <x:v>Other mortgage-related</x:v>
      </x:c>
      <x:c r="AI592" s="13" t="n">
        <x:v>126</x:v>
      </x:c>
      <x:c r="AJ592" s="10" t="str">
        <x:f>IF(F592&gt;0,"Active","No est. sales")</x:f>
        <x:v>No est. sales</x:v>
      </x:c>
    </x:row>
    <x:row r="593">
      <x:c r="A593" s="10" t="str">
        <x:v>Custom Loan Amortization Schedule and Payment Book Log | Payment Tracker Log | Automated Loan Payment Summary | Sharia Payment Tracker</x:v>
      </x:c>
      <x:c r="B593" s="10" t="str">
        <x:v>https://www.etsy.com/listing/891661995/custom-loan-amortization-schedule-and</x:v>
      </x:c>
      <x:c r="C593" s="10" t="str">
        <x:v>growSHEET</x:v>
      </x:c>
      <x:c r="D593" s="10" t="str">
        <x:v>https://www.etsy.com/shop/growSHEET</x:v>
      </x:c>
      <x:c r="E593" s="11" t="n">
        <x:v>11.9</x:v>
      </x:c>
      <x:c r="F593" s="10" t="n">
        <x:v>0</x:v>
      </x:c>
      <x:c r="G593" s="12" t="n">
        <x:v>0</x:v>
      </x:c>
      <x:c r="H593" s="13" t="n">
        <x:v>0</x:v>
      </x:c>
      <x:c r="I593" s="10" t="n">
        <x:v>0</x:v>
      </x:c>
      <x:c r="J593" s="10" t="n">
        <x:v>0</x:v>
      </x:c>
      <x:c r="K593" s="10" t="str">
        <x:v>69 Mo.</x:v>
      </x:c>
      <x:c r="L593" s="10" t="n">
        <x:v>14</x:v>
      </x:c>
      <x:c r="M593" s="10" t="n">
        <x:v>0</x:v>
      </x:c>
      <x:c r="N593" s="10" t="n">
        <x:v>444</x:v>
      </x:c>
      <x:c r="O593" s="10" t="str">
        <x:v>Paper &amp; Party Supplies</x:v>
      </x:c>
      <x:c r="P593" s="10" t="n">
        <x:v>103</x:v>
      </x:c>
      <x:c r="Q593" s="10" t="n">
        <x:v>0</x:v>
      </x:c>
      <x:c r="R593" s="13" t="n">
        <x:v>0</x:v>
      </x:c>
      <x:c r="S593" s="10" t="n">
        <x:v>10167</x:v>
      </x:c>
      <x:c r="T593" s="10" t="str">
        <x:v>loan payment tracker,payment tracker,sharia business,sharia payment log,custom loan payment,custom amortization,custom mortgage,mortgage planner,amortization table,mortgage table</x:v>
      </x:c>
      <x:c r="U593" s="10" t="str">
        <x:v>loan payment tracker</x:v>
      </x:c>
      <x:c r="V593" s="10" t="str">
        <x:v>payment tracker</x:v>
      </x:c>
      <x:c r="W593" s="10" t="str">
        <x:v>sharia business</x:v>
      </x:c>
      <x:c r="X593" s="10" t="str">
        <x:v>sharia payment log</x:v>
      </x:c>
      <x:c r="Y593" s="10" t="str">
        <x:v>custom loan payment</x:v>
      </x:c>
      <x:c r="Z593" s="10" t="str">
        <x:v>custom amortization</x:v>
      </x:c>
      <x:c r="AA593" s="10" t="str">
        <x:v>custom mortgage</x:v>
      </x:c>
      <x:c r="AB593" s="10" t="str">
        <x:v>mortgage planner</x:v>
      </x:c>
      <x:c r="AC593" s="10" t="str">
        <x:v>amortization table</x:v>
      </x:c>
      <x:c r="AD593" s="10" t="str">
        <x:v>mortgage table</x:v>
      </x:c>
      <x:c r="AE593" s="10" t="str">
        <x:v>--</x:v>
      </x:c>
      <x:c r="AF593" s="10" t="str">
        <x:v>--</x:v>
      </x:c>
      <x:c r="AG593" s="10" t="str">
        <x:v>--</x:v>
      </x:c>
      <x:c r="AH593" s="10" t="str">
        <x:v>General loan calculator</x:v>
      </x:c>
      <x:c r="AI593" s="13" t="n">
        <x:v>69</x:v>
      </x:c>
      <x:c r="AJ593" s="10" t="str">
        <x:f>IF(F593&gt;0,"Active","No est. sales")</x:f>
        <x:v>No est. sales</x:v>
      </x:c>
    </x:row>
    <x:row r="594">
      <x:c r="A594" s="10" t="str">
        <x:v>BILLS PRINTABLE Stickers, printable bills stickers, water bill stickers, electricity stickers, credit card sticker, internet sticker, phone</x:v>
      </x:c>
      <x:c r="B594" s="10" t="str">
        <x:v>https://www.etsy.com/listing/1001180334/bills-printable-stickers-printable-bills</x:v>
      </x:c>
      <x:c r="C594" s="10" t="str">
        <x:v>blingblingplanner</x:v>
      </x:c>
      <x:c r="D594" s="10" t="str">
        <x:v>https://www.etsy.com/shop/blingblingplanner</x:v>
      </x:c>
      <x:c r="E594" s="11" t="n">
        <x:v>4.08</x:v>
      </x:c>
      <x:c r="F594" s="10" t="n">
        <x:v>0</x:v>
      </x:c>
      <x:c r="G594" s="12" t="n">
        <x:v>0</x:v>
      </x:c>
      <x:c r="H594" s="13" t="n">
        <x:v>0</x:v>
      </x:c>
      <x:c r="I594" s="10" t="n">
        <x:v>20</x:v>
      </x:c>
      <x:c r="J594" s="10" t="n">
        <x:v>2</x:v>
      </x:c>
      <x:c r="K594" s="10" t="str">
        <x:v>62 Mo.</x:v>
      </x:c>
      <x:c r="L594" s="10" t="n">
        <x:v>115</x:v>
      </x:c>
      <x:c r="M594" s="10" t="n">
        <x:v>0</x:v>
      </x:c>
      <x:c r="N594" s="10" t="n">
        <x:v>1488</x:v>
      </x:c>
      <x:c r="O594" s="10" t="str">
        <x:v>Paper &amp; Party Supplies</x:v>
      </x:c>
      <x:c r="P594" s="10" t="n">
        <x:v>120</x:v>
      </x:c>
      <x:c r="Q594" s="10" t="n">
        <x:v>0</x:v>
      </x:c>
      <x:c r="R594" s="13" t="n">
        <x:v>1.34</x:v>
      </x:c>
      <x:c r="S594" s="10" t="n">
        <x:v>89847</x:v>
      </x:c>
      <x:c r="T594" s="10" t="str">
        <x:v>printable stickers,erin condren,happy planner,planner stickers,bills stickers,water bill sticker,electricity sticker,phone bill sticker,mortgage sticker,internet sticker,printable bill deco,school fee sticker,credit card stickers</x:v>
      </x:c>
      <x:c r="U594" s="10" t="str">
        <x:v>printable stickers</x:v>
      </x:c>
      <x:c r="V594" s="10" t="str">
        <x:v>erin condren</x:v>
      </x:c>
      <x:c r="W594" s="10" t="str">
        <x:v>happy planner</x:v>
      </x:c>
      <x:c r="X594" s="10" t="str">
        <x:v>planner stickers</x:v>
      </x:c>
      <x:c r="Y594" s="10" t="str">
        <x:v>bills stickers</x:v>
      </x:c>
      <x:c r="Z594" s="10" t="str">
        <x:v>water bill sticker</x:v>
      </x:c>
      <x:c r="AA594" s="10" t="str">
        <x:v>electricity sticker</x:v>
      </x:c>
      <x:c r="AB594" s="10" t="str">
        <x:v>phone bill sticker</x:v>
      </x:c>
      <x:c r="AC594" s="10" t="str">
        <x:v>mortgage sticker</x:v>
      </x:c>
      <x:c r="AD594" s="10" t="str">
        <x:v>internet sticker</x:v>
      </x:c>
      <x:c r="AE594" s="10" t="str">
        <x:v>printable bill deco</x:v>
      </x:c>
      <x:c r="AF594" s="10" t="str">
        <x:v>school fee sticker</x:v>
      </x:c>
      <x:c r="AG594" s="10" t="str">
        <x:v>credit card stickers</x:v>
      </x:c>
      <x:c r="AH594" s="10" t="str">
        <x:v>Other mortgage-related</x:v>
      </x:c>
      <x:c r="AI594" s="13" t="n">
        <x:v>62</x:v>
      </x:c>
      <x:c r="AJ594" s="10" t="str">
        <x:f>IF(F594&gt;0,"Active","No est. sales")</x:f>
        <x:v>No est. sales</x:v>
      </x:c>
    </x:row>
    <x:row r="595">
      <x:c r="A595" s="10" t="str">
        <x:v>Mortgage Planner Stickers, 3 Sizes with Tiny, Small, and Large, Removable</x:v>
      </x:c>
      <x:c r="B595" s="10" t="str">
        <x:v>https://www.etsy.com/listing/1469600488/mortgage-planner-stickers-3-sizes</x:v>
      </x:c>
      <x:c r="C595" s="10" t="str">
        <x:v>KHDStickers</x:v>
      </x:c>
      <x:c r="D595" s="10" t="str">
        <x:v>https://www.etsy.com/shop/KHDStickers</x:v>
      </x:c>
      <x:c r="E595" s="11" t="n">
        <x:v>2.65</x:v>
      </x:c>
      <x:c r="F595" s="10" t="n">
        <x:v>0</x:v>
      </x:c>
      <x:c r="G595" s="12" t="n">
        <x:v>0</x:v>
      </x:c>
      <x:c r="H595" s="13" t="n">
        <x:v>0</x:v>
      </x:c>
      <x:c r="I595" s="10" t="n">
        <x:v>26</x:v>
      </x:c>
      <x:c r="J595" s="10" t="n">
        <x:v>5</x:v>
      </x:c>
      <x:c r="K595" s="10" t="str">
        <x:v>38 Mo.</x:v>
      </x:c>
      <x:c r="L595" s="10" t="n">
        <x:v>35</x:v>
      </x:c>
      <x:c r="M595" s="10" t="n">
        <x:v>0</x:v>
      </x:c>
      <x:c r="N595" s="10" t="n">
        <x:v>748</x:v>
      </x:c>
      <x:c r="O595" s="10" t="str">
        <x:v>Paper &amp; Party Supplies</x:v>
      </x:c>
      <x:c r="P595" s="10" t="n">
        <x:v>135</x:v>
      </x:c>
      <x:c r="Q595" s="10" t="n">
        <x:v>0</x:v>
      </x:c>
      <x:c r="R595" s="13" t="n">
        <x:v>3.48</x:v>
      </x:c>
      <x:c r="S595" s="10" t="n">
        <x:v>105599</x:v>
      </x:c>
      <x:c r="T595" s="10" t="str">
        <x:v>khdstickers,planner stickers,mini stickers,mortgage,mortgage stickers,mortgage planner,icon stickers,budget planner,money stickers,finance planner,journal stickers,diary stickers,vinyl stickers</x:v>
      </x:c>
      <x:c r="U595" s="10" t="str">
        <x:v>khdstickers</x:v>
      </x:c>
      <x:c r="V595" s="10" t="str">
        <x:v>planner stickers</x:v>
      </x:c>
      <x:c r="W595" s="10" t="str">
        <x:v>mini stickers</x:v>
      </x:c>
      <x:c r="X595" s="10" t="str">
        <x:v>mortgage</x:v>
      </x:c>
      <x:c r="Y595" s="10" t="str">
        <x:v>mortgage stickers</x:v>
      </x:c>
      <x:c r="Z595" s="10" t="str">
        <x:v>mortgage planner</x:v>
      </x:c>
      <x:c r="AA595" s="10" t="str">
        <x:v>icon stickers</x:v>
      </x:c>
      <x:c r="AB595" s="10" t="str">
        <x:v>budget planner</x:v>
      </x:c>
      <x:c r="AC595" s="10" t="str">
        <x:v>money stickers</x:v>
      </x:c>
      <x:c r="AD595" s="10" t="str">
        <x:v>finance planner</x:v>
      </x:c>
      <x:c r="AE595" s="10" t="str">
        <x:v>journal stickers</x:v>
      </x:c>
      <x:c r="AF595" s="10" t="str">
        <x:v>diary stickers</x:v>
      </x:c>
      <x:c r="AG595" s="10" t="str">
        <x:v>vinyl stickers</x:v>
      </x:c>
      <x:c r="AH595" s="10" t="str">
        <x:v>Other mortgage-related</x:v>
      </x:c>
      <x:c r="AI595" s="13" t="n">
        <x:v>38</x:v>
      </x:c>
      <x:c r="AJ595" s="10" t="str">
        <x:f>IF(F595&gt;0,"Active","No est. sales")</x:f>
        <x:v>No est. sales</x:v>
      </x:c>
    </x:row>
    <x:row r="596">
      <x:c r="A596" s="10" t="str">
        <x:v>Mortgage Broker Marketing Planner | Client Lead Tracker (PDF &amp; Google Sheet)</x:v>
      </x:c>
      <x:c r="B596" s="10" t="str">
        <x:v>https://www.etsy.com/listing/1688765832/mortgage-broker-marketing-planner-client</x:v>
      </x:c>
      <x:c r="C596" s="10" t="str">
        <x:v>CurrentsMarketing</x:v>
      </x:c>
      <x:c r="D596" s="10" t="str">
        <x:v>https://www.etsy.com/shop/CurrentsMarketing</x:v>
      </x:c>
      <x:c r="E596" s="11" t="n">
        <x:v>20</x:v>
      </x:c>
      <x:c r="F596" s="10" t="n">
        <x:v>0</x:v>
      </x:c>
      <x:c r="G596" s="12" t="n">
        <x:v>0</x:v>
      </x:c>
      <x:c r="H596" s="13" t="n">
        <x:v>0</x:v>
      </x:c>
      <x:c r="I596" s="10" t="n">
        <x:v>1</x:v>
      </x:c>
      <x:c r="J596" s="10" t="n">
        <x:v>1</x:v>
      </x:c>
      <x:c r="K596" s="10" t="str">
        <x:v>28 Mo.</x:v>
      </x:c>
      <x:c r="L596" s="10" t="n">
        <x:v>20</x:v>
      </x:c>
      <x:c r="M596" s="10" t="n">
        <x:v>0</x:v>
      </x:c>
      <x:c r="N596" s="10" t="n">
        <x:v>194</x:v>
      </x:c>
      <x:c r="O596" s="10" t="str">
        <x:v>Books, Movies &amp; Music</x:v>
      </x:c>
      <x:c r="P596" s="10" t="n">
        <x:v>40</x:v>
      </x:c>
      <x:c r="Q596" s="10" t="n">
        <x:v>0</x:v>
      </x:c>
      <x:c r="R596" s="13" t="n">
        <x:v>0.52</x:v>
      </x:c>
      <x:c r="S596" s="10" t="n">
        <x:v>69</x:v>
      </x:c>
      <x:c r="T596" s="10" t="str">
        <x:v>marketing planner,social media planner,mortgage business,mortgage lender,business marketing,marketing workbook,real estate,loan officer,mortgage specialist,client tracker,mortgage lender lead,spreadsheet google,sheet referral</x:v>
      </x:c>
      <x:c r="U596" s="10" t="str">
        <x:v>marketing planner</x:v>
      </x:c>
      <x:c r="V596" s="10" t="str">
        <x:v>social media planner</x:v>
      </x:c>
      <x:c r="W596" s="10" t="str">
        <x:v>mortgage business</x:v>
      </x:c>
      <x:c r="X596" s="10" t="str">
        <x:v>mortgage lender</x:v>
      </x:c>
      <x:c r="Y596" s="10" t="str">
        <x:v>business marketing</x:v>
      </x:c>
      <x:c r="Z596" s="10" t="str">
        <x:v>marketing workbook</x:v>
      </x:c>
      <x:c r="AA596" s="10" t="str">
        <x:v>real estate</x:v>
      </x:c>
      <x:c r="AB596" s="10" t="str">
        <x:v>loan officer</x:v>
      </x:c>
      <x:c r="AC596" s="10" t="str">
        <x:v>mortgage specialist</x:v>
      </x:c>
      <x:c r="AD596" s="10" t="str">
        <x:v>client tracker</x:v>
      </x:c>
      <x:c r="AE596" s="10" t="str">
        <x:v>mortgage lender lead</x:v>
      </x:c>
      <x:c r="AF596" s="10" t="str">
        <x:v>spreadsheet google</x:v>
      </x:c>
      <x:c r="AG596" s="10" t="str">
        <x:v>sheet referral</x:v>
      </x:c>
      <x:c r="AH596" s="10" t="str">
        <x:v>Loan officer / B2B</x:v>
      </x:c>
      <x:c r="AI596" s="13" t="n">
        <x:v>28</x:v>
      </x:c>
      <x:c r="AJ596" s="10" t="str">
        <x:f>IF(F596&gt;0,"Active","No est. sales")</x:f>
        <x:v>No est. sales</x:v>
      </x:c>
    </x:row>
    <x:row r="597">
      <x:c r="A597" s="10" t="str">
        <x:v>Mortgage Broker Hashtag Planner | Social Media Marketing (PDF)</x:v>
      </x:c>
      <x:c r="B597" s="10" t="str">
        <x:v>https://www.etsy.com/listing/1703309707/mortgage-broker-hashtag-planner-social</x:v>
      </x:c>
      <x:c r="C597" s="10" t="str">
        <x:v>CurrentsMarketing</x:v>
      </x:c>
      <x:c r="D597" s="10" t="str">
        <x:v>https://www.etsy.com/shop/CurrentsMarketing</x:v>
      </x:c>
      <x:c r="E597" s="11" t="n">
        <x:v>4</x:v>
      </x:c>
      <x:c r="F597" s="10" t="n">
        <x:v>0</x:v>
      </x:c>
      <x:c r="G597" s="12" t="n">
        <x:v>0</x:v>
      </x:c>
      <x:c r="H597" s="13" t="n">
        <x:v>0</x:v>
      </x:c>
      <x:c r="I597" s="10" t="n">
        <x:v>0</x:v>
      </x:c>
      <x:c r="J597" s="10" t="n">
        <x:v>0</x:v>
      </x:c>
      <x:c r="K597" s="10" t="str">
        <x:v>28 Mo.</x:v>
      </x:c>
      <x:c r="L597" s="10" t="n">
        <x:v>1</x:v>
      </x:c>
      <x:c r="M597" s="10" t="n">
        <x:v>0</x:v>
      </x:c>
      <x:c r="N597" s="10" t="n">
        <x:v>32</x:v>
      </x:c>
      <x:c r="O597" s="10" t="str">
        <x:v>Paper &amp; Party Supplies</x:v>
      </x:c>
      <x:c r="P597" s="10" t="n">
        <x:v>40</x:v>
      </x:c>
      <x:c r="Q597" s="10" t="n">
        <x:v>0</x:v>
      </x:c>
      <x:c r="R597" s="13" t="n">
        <x:v>0</x:v>
      </x:c>
      <x:c r="S597" s="10" t="n">
        <x:v>69</x:v>
      </x:c>
      <x:c r="T597" s="10" t="str">
        <x:v>social media planner,hashtag planner,hashtags,instagram hashtags,listing marketing,goodnotes digital,business growth,mortgage broker,loan officer,lender finance,homes real estate,keywords,professionals</x:v>
      </x:c>
      <x:c r="U597" s="10" t="str">
        <x:v>social media planner</x:v>
      </x:c>
      <x:c r="V597" s="10" t="str">
        <x:v>hashtag planner</x:v>
      </x:c>
      <x:c r="W597" s="10" t="str">
        <x:v>hashtags</x:v>
      </x:c>
      <x:c r="X597" s="10" t="str">
        <x:v>instagram hashtags</x:v>
      </x:c>
      <x:c r="Y597" s="10" t="str">
        <x:v>listing marketing</x:v>
      </x:c>
      <x:c r="Z597" s="10" t="str">
        <x:v>goodnotes digital</x:v>
      </x:c>
      <x:c r="AA597" s="10" t="str">
        <x:v>business growth</x:v>
      </x:c>
      <x:c r="AB597" s="10" t="str">
        <x:v>mortgage broker</x:v>
      </x:c>
      <x:c r="AC597" s="10" t="str">
        <x:v>loan officer</x:v>
      </x:c>
      <x:c r="AD597" s="10" t="str">
        <x:v>lender finance</x:v>
      </x:c>
      <x:c r="AE597" s="10" t="str">
        <x:v>homes real estate</x:v>
      </x:c>
      <x:c r="AF597" s="10" t="str">
        <x:v>keywords</x:v>
      </x:c>
      <x:c r="AG597" s="10" t="str">
        <x:v>professionals</x:v>
      </x:c>
      <x:c r="AH597" s="10" t="str">
        <x:v>Loan officer / B2B</x:v>
      </x:c>
      <x:c r="AI597" s="13" t="n">
        <x:v>28</x:v>
      </x:c>
      <x:c r="AJ597" s="10" t="str">
        <x:f>IF(F597&gt;0,"Active","No est. sales")</x:f>
        <x:v>No est. sales</x:v>
      </x:c>
    </x:row>
    <x:row r="598">
      <x:c r="A598" s="10" t="str">
        <x:v>Home Buying Budget Calculator Excel Google Sheets, First Time Home Buyer Affordability Planner, Mortgage Closing Cost Spreadsheet, PITI</x:v>
      </x:c>
      <x:c r="B598" s="10" t="str">
        <x:v>https://www.etsy.com/listing/4521706880/home-buying-budget-calculator-excel</x:v>
      </x:c>
      <x:c r="C598" s="10" t="str">
        <x:v>SheetLoomStudio</x:v>
      </x:c>
      <x:c r="D598" s="10" t="str">
        <x:v>https://www.etsy.com/shop/SheetLoomStudio</x:v>
      </x:c>
      <x:c r="E598" s="11" t="n">
        <x:v>13.99</x:v>
      </x:c>
      <x:c r="F598" s="10" t="n">
        <x:v>0</x:v>
      </x:c>
      <x:c r="G598" s="12" t="n">
        <x:v>0</x:v>
      </x:c>
      <x:c r="H598" s="13" t="n">
        <x:v>0</x:v>
      </x:c>
      <x:c r="I598" s="10" t="n">
        <x:v>0</x:v>
      </x:c>
      <x:c r="J598" s="10" t="n">
        <x:v>0</x:v>
      </x:c>
      <x:c r="K598" s="10" t="str">
        <x:v>1 Mo.</x:v>
      </x:c>
      <x:c r="L598" s="10" t="n">
        <x:v>0</x:v>
      </x:c>
      <x:c r="M598" s="10" t="n">
        <x:v>0</x:v>
      </x:c>
      <x:c r="N598" s="10" t="n">
        <x:v>10</x:v>
      </x:c>
      <x:c r="O598" s="10" t="str">
        <x:v>Paper &amp; Party Supplies</x:v>
      </x:c>
      <x:c r="P598" s="10" t="n">
        <x:v>6</x:v>
      </x:c>
      <x:c r="Q598" s="10" t="n">
        <x:v>0</x:v>
      </x:c>
      <x:c r="R598" s="13" t="n">
        <x:v>0</x:v>
      </x:c>
      <x:c r="S598" s="10" t="n">
        <x:v>1</x:v>
      </x:c>
      <x:c r="T598" s="10" t="str">
        <x:v>home buying budget,first time buyer,piti calculator,mortgage planner,home buyer checklist,cash to close,house affordability,mortgage spreadsheet,house hunting tool,closing gift realtor,house budget planner,mortgage calculator,down payment</x:v>
      </x:c>
      <x:c r="U598" s="10" t="str">
        <x:v>home buying budget</x:v>
      </x:c>
      <x:c r="V598" s="10" t="str">
        <x:v>first time buyer</x:v>
      </x:c>
      <x:c r="W598" s="10" t="str">
        <x:v>piti calculator</x:v>
      </x:c>
      <x:c r="X598" s="10" t="str">
        <x:v>mortgage planner</x:v>
      </x:c>
      <x:c r="Y598" s="10" t="str">
        <x:v>home buyer checklist</x:v>
      </x:c>
      <x:c r="Z598" s="10" t="str">
        <x:v>cash to close</x:v>
      </x:c>
      <x:c r="AA598" s="10" t="str">
        <x:v>house affordability</x:v>
      </x:c>
      <x:c r="AB598" s="10" t="str">
        <x:v>mortgage spreadsheet</x:v>
      </x:c>
      <x:c r="AC598" s="10" t="str">
        <x:v>house hunting tool</x:v>
      </x:c>
      <x:c r="AD598" s="10" t="str">
        <x:v>closing gift realtor</x:v>
      </x:c>
      <x:c r="AE598" s="10" t="str">
        <x:v>house budget planner</x:v>
      </x:c>
      <x:c r="AF598" s="10" t="str">
        <x:v>mortgage calculator</x:v>
      </x:c>
      <x:c r="AG598" s="10" t="str">
        <x:v>down payment</x:v>
      </x:c>
      <x:c r="AH598" s="10" t="str">
        <x:v>Home buying planner</x:v>
      </x:c>
      <x:c r="AI598" s="13" t="n">
        <x:v>1</x:v>
      </x:c>
      <x:c r="AJ598" s="10" t="str">
        <x:f>IF(F598&gt;0,"Active","No est. sales")</x:f>
        <x:v>No est. sales</x:v>
      </x:c>
    </x:row>
    <x:row r="599">
      <x:c r="A599" s="10" t="str">
        <x:v>First home buyer planner printable pdf, 25 pages, mortgage deposit budget moving checklist A4 US Letter Instant Download</x:v>
      </x:c>
      <x:c r="B599" s="10" t="str">
        <x:v>https://www.etsy.com/listing/4517891701/first-home-buyer-planner-printable-pdf</x:v>
      </x:c>
      <x:c r="C599" s="10" t="str">
        <x:v>NOVEXAGRAPHICS</x:v>
      </x:c>
      <x:c r="D599" s="10" t="str">
        <x:v>https://www.etsy.com/shop/NOVEXAGRAPHICS</x:v>
      </x:c>
      <x:c r="E599" s="11" t="n">
        <x:v>5.32</x:v>
      </x:c>
      <x:c r="F599" s="10" t="n">
        <x:v>0</x:v>
      </x:c>
      <x:c r="G599" s="12" t="n">
        <x:v>0</x:v>
      </x:c>
      <x:c r="H599" s="13" t="n">
        <x:v>0</x:v>
      </x:c>
      <x:c r="I599" s="10" t="n">
        <x:v>0</x:v>
      </x:c>
      <x:c r="J599" s="10" t="n">
        <x:v>0</x:v>
      </x:c>
      <x:c r="K599" s="10" t="str">
        <x:v>1 Mo.</x:v>
      </x:c>
      <x:c r="L599" s="10" t="n">
        <x:v>0</x:v>
      </x:c>
      <x:c r="M599" s="10" t="n">
        <x:v>0</x:v>
      </x:c>
      <x:c r="N599" s="10" t="n">
        <x:v>0</x:v>
      </x:c>
      <x:c r="O599" s="10" t="str">
        <x:v>Paper &amp; Party Supplies</x:v>
      </x:c>
      <x:c r="P599" s="10" t="n">
        <x:v>17</x:v>
      </x:c>
      <x:c r="Q599" s="10" t="n">
        <x:v>0</x:v>
      </x:c>
      <x:c r="R599" s="13" t="n">
        <x:v>0</x:v>
      </x:c>
      <x:c r="S599" s="10" t="n">
        <x:v>4</x:v>
      </x:c>
      <x:c r="T599" s="10" t="str">
        <x:v>first home buyer,home buying planner,mortgage planner pdf,deposit savings pdf,first time buyer,house purchase,moving house planner,stamp duty planner,printable home,budget planner,property buying,home purchase list,instant download</x:v>
      </x:c>
      <x:c r="U599" s="10" t="str">
        <x:v>first home buyer</x:v>
      </x:c>
      <x:c r="V599" s="10" t="str">
        <x:v>home buying planner</x:v>
      </x:c>
      <x:c r="W599" s="10" t="str">
        <x:v>mortgage planner pdf</x:v>
      </x:c>
      <x:c r="X599" s="10" t="str">
        <x:v>deposit savings pdf</x:v>
      </x:c>
      <x:c r="Y599" s="10" t="str">
        <x:v>first time buyer</x:v>
      </x:c>
      <x:c r="Z599" s="10" t="str">
        <x:v>house purchase</x:v>
      </x:c>
      <x:c r="AA599" s="10" t="str">
        <x:v>moving house planner</x:v>
      </x:c>
      <x:c r="AB599" s="10" t="str">
        <x:v>stamp duty planner</x:v>
      </x:c>
      <x:c r="AC599" s="10" t="str">
        <x:v>printable home</x:v>
      </x:c>
      <x:c r="AD599" s="10" t="str">
        <x:v>budget planner</x:v>
      </x:c>
      <x:c r="AE599" s="10" t="str">
        <x:v>property buying</x:v>
      </x:c>
      <x:c r="AF599" s="10" t="str">
        <x:v>home purchase list</x:v>
      </x:c>
      <x:c r="AG599" s="10" t="str">
        <x:v>instant download</x:v>
      </x:c>
      <x:c r="AH599" s="10" t="str">
        <x:v>Home buying planner</x:v>
      </x:c>
      <x:c r="AI599" s="13" t="n">
        <x:v>1</x:v>
      </x:c>
      <x:c r="AJ599" s="10" t="str">
        <x:f>IF(F599&gt;0,"Active","No est. sales")</x:f>
        <x:v>No est. sales</x:v>
      </x:c>
    </x:row>
    <x:row r="600">
      <x:c r="A600" s="10" t="str">
        <x:v>Printable Pay Mortgage Script Planner Stickers, PDF PNG and Cut Files</x:v>
      </x:c>
      <x:c r="B600" s="10" t="str">
        <x:v>https://www.etsy.com/listing/4471047030/printable-pay-mortgage-script-planner</x:v>
      </x:c>
      <x:c r="C600" s="10" t="str">
        <x:v>WillowWayPrintable</x:v>
      </x:c>
      <x:c r="D600" s="10" t="str">
        <x:v>https://www.etsy.com/shop/WillowWayPrintable</x:v>
      </x:c>
      <x:c r="E600" s="11" t="n">
        <x:v>2.25</x:v>
      </x:c>
      <x:c r="F600" s="10" t="n">
        <x:v>0</x:v>
      </x:c>
      <x:c r="G600" s="12" t="n">
        <x:v>0</x:v>
      </x:c>
      <x:c r="H600" s="13" t="n">
        <x:v>0</x:v>
      </x:c>
      <x:c r="I600" s="10" t="n">
        <x:v>0</x:v>
      </x:c>
      <x:c r="J600" s="10" t="n">
        <x:v>0</x:v>
      </x:c>
      <x:c r="K600" s="10" t="str">
        <x:v>4 Mo.</x:v>
      </x:c>
      <x:c r="L600" s="10" t="n">
        <x:v>0</x:v>
      </x:c>
      <x:c r="M600" s="10" t="n">
        <x:v>0</x:v>
      </x:c>
      <x:c r="N600" s="10" t="n">
        <x:v>4</x:v>
      </x:c>
      <x:c r="O600" s="10" t="str">
        <x:v>Paper &amp; Party Supplies</x:v>
      </x:c>
      <x:c r="P600" s="10" t="n">
        <x:v>60</x:v>
      </x:c>
      <x:c r="Q600" s="10" t="n">
        <x:v>0</x:v>
      </x:c>
      <x:c r="R600" s="13" t="n">
        <x:v>0</x:v>
      </x:c>
      <x:c r="S600" s="10" t="n">
        <x:v>9238</x:v>
      </x:c>
      <x:c r="T600" s="10" t="str">
        <x:v>printable stickers,printable planner,digital stickers,digital planner,png files,cutfiles,planner kit,planning stickers,planner stickers,stickers for planner,planner script,printable script,script stickers</x:v>
      </x:c>
      <x:c r="U600" s="10" t="str">
        <x:v>printable stickers</x:v>
      </x:c>
      <x:c r="V600" s="10" t="str">
        <x:v>printable planner</x:v>
      </x:c>
      <x:c r="W600" s="10" t="str">
        <x:v>digital stickers</x:v>
      </x:c>
      <x:c r="X600" s="10" t="str">
        <x:v>digital planner</x:v>
      </x:c>
      <x:c r="Y600" s="10" t="str">
        <x:v>png files</x:v>
      </x:c>
      <x:c r="Z600" s="10" t="str">
        <x:v>cutfiles</x:v>
      </x:c>
      <x:c r="AA600" s="10" t="str">
        <x:v>planner kit</x:v>
      </x:c>
      <x:c r="AB600" s="10" t="str">
        <x:v>planning stickers</x:v>
      </x:c>
      <x:c r="AC600" s="10" t="str">
        <x:v>planner stickers</x:v>
      </x:c>
      <x:c r="AD600" s="10" t="str">
        <x:v>stickers for planner</x:v>
      </x:c>
      <x:c r="AE600" s="10" t="str">
        <x:v>planner script</x:v>
      </x:c>
      <x:c r="AF600" s="10" t="str">
        <x:v>printable script</x:v>
      </x:c>
      <x:c r="AG600" s="10" t="str">
        <x:v>script stickers</x:v>
      </x:c>
      <x:c r="AH600" s="10" t="str">
        <x:v>Other mortgage-related</x:v>
      </x:c>
      <x:c r="AI600" s="13" t="n">
        <x:v>4</x:v>
      </x:c>
      <x:c r="AJ600" s="10" t="str">
        <x:f>IF(F600&gt;0,"Active","No est. sales")</x:f>
        <x:v>No est. sales</x:v>
      </x:c>
    </x:row>
    <x:row r="601">
      <x:c r="A601" s="10" t="str">
        <x:v>Debt Payoff Challenge Bundle | 8 Debt Payoff Tracker Printables | Debt Payoff Motivation</x:v>
      </x:c>
      <x:c r="B601" s="10" t="str">
        <x:v>https://www.etsy.com/listing/1344646695/debt-payoff-challenge-bundle-8-debt</x:v>
      </x:c>
      <x:c r="C601" s="10" t="str">
        <x:v>FreedomInABudget</x:v>
      </x:c>
      <x:c r="D601" s="10" t="str">
        <x:v>https://www.etsy.com/shop/FreedomInABudget</x:v>
      </x:c>
      <x:c r="E601" s="11" t="n">
        <x:v>15</x:v>
      </x:c>
      <x:c r="F601" s="10" t="n">
        <x:v>0</x:v>
      </x:c>
      <x:c r="G601" s="12" t="n">
        <x:v>0</x:v>
      </x:c>
      <x:c r="H601" s="13" t="n">
        <x:v>0</x:v>
      </x:c>
      <x:c r="I601" s="10" t="n">
        <x:v>0</x:v>
      </x:c>
      <x:c r="J601" s="10" t="n">
        <x:v>0</x:v>
      </x:c>
      <x:c r="K601" s="10" t="str">
        <x:v>44 Mo.</x:v>
      </x:c>
      <x:c r="L601" s="10" t="n">
        <x:v>8</x:v>
      </x:c>
      <x:c r="M601" s="10" t="n">
        <x:v>0</x:v>
      </x:c>
      <x:c r="N601" s="10" t="n">
        <x:v>212</x:v>
      </x:c>
      <x:c r="O601" s="10" t="str">
        <x:v>Paper &amp; Party Supplies</x:v>
      </x:c>
      <x:c r="P601" s="10" t="n">
        <x:v>94</x:v>
      </x:c>
      <x:c r="Q601" s="10" t="n">
        <x:v>0</x:v>
      </x:c>
      <x:c r="R601" s="13" t="n">
        <x:v>0</x:v>
      </x:c>
      <x:c r="S601" s="10" t="n">
        <x:v>3465</x:v>
      </x:c>
      <x:c r="T601" s="10" t="str">
        <x:v>debt payoff tracker,debt payoff chart,debt payoff planner,debt free printable,student loan debt,medical debt,personal loan,debt printable,credit card debt,mortgage printable,student loans,1000 debt challenge,car loan</x:v>
      </x:c>
      <x:c r="U601" s="10" t="str">
        <x:v>debt payoff tracker</x:v>
      </x:c>
      <x:c r="V601" s="10" t="str">
        <x:v>debt payoff chart</x:v>
      </x:c>
      <x:c r="W601" s="10" t="str">
        <x:v>debt payoff planner</x:v>
      </x:c>
      <x:c r="X601" s="10" t="str">
        <x:v>debt free printable</x:v>
      </x:c>
      <x:c r="Y601" s="10" t="str">
        <x:v>student loan debt</x:v>
      </x:c>
      <x:c r="Z601" s="10" t="str">
        <x:v>medical debt</x:v>
      </x:c>
      <x:c r="AA601" s="10" t="str">
        <x:v>personal loan</x:v>
      </x:c>
      <x:c r="AB601" s="10" t="str">
        <x:v>debt printable</x:v>
      </x:c>
      <x:c r="AC601" s="10" t="str">
        <x:v>credit card debt</x:v>
      </x:c>
      <x:c r="AD601" s="10" t="str">
        <x:v>mortgage printable</x:v>
      </x:c>
      <x:c r="AE601" s="10" t="str">
        <x:v>student loans</x:v>
      </x:c>
      <x:c r="AF601" s="10" t="str">
        <x:v>1000 debt challenge</x:v>
      </x:c>
      <x:c r="AG601" s="10" t="str">
        <x:v>car loan</x:v>
      </x:c>
      <x:c r="AH601" s="10" t="str">
        <x:v>General debt payoff</x:v>
      </x:c>
      <x:c r="AI601" s="13" t="n">
        <x:v>44</x:v>
      </x:c>
      <x:c r="AJ601" s="10" t="str">
        <x:f>IF(F601&gt;0,"Active","No est. sales")</x:f>
        <x:v>No est. sales</x:v>
      </x:c>
    </x:row>
    <x:row r="602">
      <x:c r="A602" s="10" t="str">
        <x:v>Retirement Planner | Goodnotes, Ipad, Notability, Canva | Daily/Weekly/Monthly Planner | Pension Investment Mortgage OAP Tracker</x:v>
      </x:c>
      <x:c r="B602" s="10" t="str">
        <x:v>https://www.etsy.com/listing/1698859166/retirement-planner-goodnotes-ipad</x:v>
      </x:c>
      <x:c r="C602" s="10" t="str">
        <x:v>ParagonDigitalHub</x:v>
      </x:c>
      <x:c r="D602" s="10" t="str">
        <x:v>https://www.etsy.com/shop/ParagonDigitalHub</x:v>
      </x:c>
      <x:c r="E602" s="11" t="n">
        <x:v>7.31</x:v>
      </x:c>
      <x:c r="F602" s="10" t="n">
        <x:v>0</x:v>
      </x:c>
      <x:c r="G602" s="12" t="n">
        <x:v>0</x:v>
      </x:c>
      <x:c r="H602" s="13" t="n">
        <x:v>0</x:v>
      </x:c>
      <x:c r="I602" s="10" t="n">
        <x:v>0</x:v>
      </x:c>
      <x:c r="J602" s="10" t="n">
        <x:v>0</x:v>
      </x:c>
      <x:c r="K602" s="10" t="str">
        <x:v>27 Mo.</x:v>
      </x:c>
      <x:c r="L602" s="10" t="n">
        <x:v>5</x:v>
      </x:c>
      <x:c r="M602" s="10" t="n">
        <x:v>0</x:v>
      </x:c>
      <x:c r="N602" s="10" t="n">
        <x:v>47</x:v>
      </x:c>
      <x:c r="O602" s="10" t="str">
        <x:v>Paper &amp; Party Supplies</x:v>
      </x:c>
      <x:c r="P602" s="10" t="n">
        <x:v>41</x:v>
      </x:c>
      <x:c r="Q602" s="10" t="n">
        <x:v>0</x:v>
      </x:c>
      <x:c r="R602" s="13" t="n">
        <x:v>0</x:v>
      </x:c>
      <x:c r="S602" s="10" t="n">
        <x:v>2202</x:v>
      </x:c>
      <x:c r="T602" s="10" t="str">
        <x:v>planner,planning tool,digital planner,planner tool,2024 planner,planner template,retirement planner,retiring planner,retirement,pension planner,pensioner planner,mortgage planner,retirement plan</x:v>
      </x:c>
      <x:c r="U602" s="10" t="str">
        <x:v>planner</x:v>
      </x:c>
      <x:c r="V602" s="10" t="str">
        <x:v>planning tool</x:v>
      </x:c>
      <x:c r="W602" s="10" t="str">
        <x:v>digital planner</x:v>
      </x:c>
      <x:c r="X602" s="10" t="str">
        <x:v>planner tool</x:v>
      </x:c>
      <x:c r="Y602" s="10" t="str">
        <x:v>2024 planner</x:v>
      </x:c>
      <x:c r="Z602" s="10" t="str">
        <x:v>planner template</x:v>
      </x:c>
      <x:c r="AA602" s="10" t="str">
        <x:v>retirement planner</x:v>
      </x:c>
      <x:c r="AB602" s="10" t="str">
        <x:v>retiring planner</x:v>
      </x:c>
      <x:c r="AC602" s="10" t="str">
        <x:v>retirement</x:v>
      </x:c>
      <x:c r="AD602" s="10" t="str">
        <x:v>pension planner</x:v>
      </x:c>
      <x:c r="AE602" s="10" t="str">
        <x:v>pensioner planner</x:v>
      </x:c>
      <x:c r="AF602" s="10" t="str">
        <x:v>mortgage planner</x:v>
      </x:c>
      <x:c r="AG602" s="10" t="str">
        <x:v>retirement plan</x:v>
      </x:c>
      <x:c r="AH602" s="10" t="str">
        <x:v>Other mortgage-related</x:v>
      </x:c>
      <x:c r="AI602" s="13" t="n">
        <x:v>27</x:v>
      </x:c>
      <x:c r="AJ602" s="10" t="str">
        <x:f>IF(F602&gt;0,"Active","No est. sales")</x:f>
        <x:v>No est. sales</x:v>
      </x:c>
    </x:row>
    <x:row r="603">
      <x:c r="A603" s="10" t="str">
        <x:v>Mortgage Countdown Printable Coloring Sheet - Small Bricks</x:v>
      </x:c>
      <x:c r="B603" s="10" t="str">
        <x:v>https://www.etsy.com/listing/538487574/mortgage-countdown-printable-coloring</x:v>
      </x:c>
      <x:c r="C603" s="10" t="str">
        <x:v>PerfectlyWhelmedShop</x:v>
      </x:c>
      <x:c r="D603" s="10" t="str">
        <x:v>https://www.etsy.com/shop/PerfectlyWhelmedShop</x:v>
      </x:c>
      <x:c r="E603" s="11" t="n">
        <x:v>3.5</x:v>
      </x:c>
      <x:c r="F603" s="10" t="n">
        <x:v>0</x:v>
      </x:c>
      <x:c r="G603" s="12" t="n">
        <x:v>0</x:v>
      </x:c>
      <x:c r="H603" s="13" t="n">
        <x:v>0</x:v>
      </x:c>
      <x:c r="I603" s="10" t="n">
        <x:v>0</x:v>
      </x:c>
      <x:c r="J603" s="10" t="n">
        <x:v>0</x:v>
      </x:c>
      <x:c r="K603" s="10" t="str">
        <x:v>107 Mo.</x:v>
      </x:c>
      <x:c r="L603" s="10" t="n">
        <x:v>28</x:v>
      </x:c>
      <x:c r="M603" s="10" t="n">
        <x:v>0</x:v>
      </x:c>
      <x:c r="N603" s="10" t="n">
        <x:v>1226</x:v>
      </x:c>
      <x:c r="O603" s="10" t="str"/>
      <x:c r="P603" s="10" t="n">
        <x:v>107</x:v>
      </x:c>
      <x:c r="Q603" s="10" t="n">
        <x:v>0</x:v>
      </x:c>
      <x:c r="R603" s="13" t="n">
        <x:v>0</x:v>
      </x:c>
      <x:c r="S603" s="10" t="n">
        <x:v>322</x:v>
      </x:c>
      <x:c r="T603" s="10" t="str">
        <x:v>printable,loan,mortgage payoff,money planning,budget sheet,geometric pattern,visual goal tracker,30 day challenge,home finances,brick coloring sheet,down payment tracker,digital planner page,cute planner print</x:v>
      </x:c>
      <x:c r="U603" s="10" t="str">
        <x:v>printable</x:v>
      </x:c>
      <x:c r="V603" s="10" t="str">
        <x:v>loan</x:v>
      </x:c>
      <x:c r="W603" s="10" t="str">
        <x:v>mortgage payoff</x:v>
      </x:c>
      <x:c r="X603" s="10" t="str">
        <x:v>money planning</x:v>
      </x:c>
      <x:c r="Y603" s="10" t="str">
        <x:v>budget sheet</x:v>
      </x:c>
      <x:c r="Z603" s="10" t="str">
        <x:v>geometric pattern</x:v>
      </x:c>
      <x:c r="AA603" s="10" t="str">
        <x:v>visual goal tracker</x:v>
      </x:c>
      <x:c r="AB603" s="10" t="str">
        <x:v>30 day challenge</x:v>
      </x:c>
      <x:c r="AC603" s="10" t="str">
        <x:v>home finances</x:v>
      </x:c>
      <x:c r="AD603" s="10" t="str">
        <x:v>brick coloring sheet</x:v>
      </x:c>
      <x:c r="AE603" s="10" t="str">
        <x:v>down payment tracker</x:v>
      </x:c>
      <x:c r="AF603" s="10" t="str">
        <x:v>digital planner page</x:v>
      </x:c>
      <x:c r="AG603" s="10" t="str">
        <x:v>cute planner print</x:v>
      </x:c>
      <x:c r="AH603" s="10" t="str">
        <x:v>Other mortgage-related</x:v>
      </x:c>
      <x:c r="AI603" s="13" t="n">
        <x:v>107</x:v>
      </x:c>
      <x:c r="AJ603" s="10" t="str">
        <x:f>IF(F603&gt;0,"Active","No est. sales")</x:f>
        <x:v>No est. sales</x:v>
      </x:c>
    </x:row>
    <x:row r="604">
      <x:c r="A604" s="10" t="str">
        <x:v>Mortgage Readiness Checklist Printable | Home Loan Prep Planner | Digital Download | First-Time Homebuyer Checklist</x:v>
      </x:c>
      <x:c r="B604" s="10" t="str">
        <x:v>https://www.etsy.com/listing/4321236275/mortgage-readiness-checklist-printable</x:v>
      </x:c>
      <x:c r="C604" s="10" t="str">
        <x:v>MortgageAIHub</x:v>
      </x:c>
      <x:c r="D604" s="10" t="str">
        <x:v>https://www.etsy.com/shop/MortgageAIHub</x:v>
      </x:c>
      <x:c r="E604" s="11" t="n">
        <x:v>7.97</x:v>
      </x:c>
      <x:c r="F604" s="10" t="n">
        <x:v>0</x:v>
      </x:c>
      <x:c r="G604" s="12" t="n">
        <x:v>0</x:v>
      </x:c>
      <x:c r="H604" s="13" t="n">
        <x:v>0</x:v>
      </x:c>
      <x:c r="I604" s="10" t="n">
        <x:v>0</x:v>
      </x:c>
      <x:c r="J604" s="10" t="n">
        <x:v>0</x:v>
      </x:c>
      <x:c r="K604" s="10" t="str">
        <x:v>13 Mo.</x:v>
      </x:c>
      <x:c r="L604" s="10" t="n">
        <x:v>0</x:v>
      </x:c>
      <x:c r="M604" s="10" t="n">
        <x:v>0</x:v>
      </x:c>
      <x:c r="N604" s="10" t="n">
        <x:v>19</x:v>
      </x:c>
      <x:c r="O604" s="10" t="str">
        <x:v>Home &amp; Living</x:v>
      </x:c>
      <x:c r="P604" s="10" t="n">
        <x:v>13</x:v>
      </x:c>
      <x:c r="Q604" s="10" t="n">
        <x:v>0</x:v>
      </x:c>
      <x:c r="R604" s="13" t="n">
        <x:v>0</x:v>
      </x:c>
      <x:c r="S604" s="10" t="n">
        <x:v>1</x:v>
      </x:c>
      <x:c r="T604" s="10" t="str">
        <x:v>mortgage checklist,homebuyer checklist,mortgage planner,printable planner,digital download,home loan prep,mortgage organizer,financial planner,first time homebuyer,budgeting printable,pdf checklist,real estate planner,loan checklist</x:v>
      </x:c>
      <x:c r="U604" s="10" t="str">
        <x:v>mortgage checklist</x:v>
      </x:c>
      <x:c r="V604" s="10" t="str">
        <x:v>homebuyer checklist</x:v>
      </x:c>
      <x:c r="W604" s="10" t="str">
        <x:v>mortgage planner</x:v>
      </x:c>
      <x:c r="X604" s="10" t="str">
        <x:v>printable planner</x:v>
      </x:c>
      <x:c r="Y604" s="10" t="str">
        <x:v>digital download</x:v>
      </x:c>
      <x:c r="Z604" s="10" t="str">
        <x:v>home loan prep</x:v>
      </x:c>
      <x:c r="AA604" s="10" t="str">
        <x:v>mortgage organizer</x:v>
      </x:c>
      <x:c r="AB604" s="10" t="str">
        <x:v>financial planner</x:v>
      </x:c>
      <x:c r="AC604" s="10" t="str">
        <x:v>first time homebuyer</x:v>
      </x:c>
      <x:c r="AD604" s="10" t="str">
        <x:v>budgeting printable</x:v>
      </x:c>
      <x:c r="AE604" s="10" t="str">
        <x:v>pdf checklist</x:v>
      </x:c>
      <x:c r="AF604" s="10" t="str">
        <x:v>real estate planner</x:v>
      </x:c>
      <x:c r="AG604" s="10" t="str">
        <x:v>loan checklist</x:v>
      </x:c>
      <x:c r="AH604" s="10" t="str">
        <x:v>Other mortgage-related</x:v>
      </x:c>
      <x:c r="AI604" s="13" t="n">
        <x:v>13</x:v>
      </x:c>
      <x:c r="AJ604" s="10" t="str">
        <x:f>IF(F604&gt;0,"Active","No est. sales")</x:f>
        <x:v>No est. sales</x:v>
      </x:c>
    </x:row>
    <x:row r="605">
      <x:c r="A605" s="10" t="str">
        <x:v>Home Loan Document Organizer | Printable Mortgage Checklist (Digital Download) | Mortgage Loan Tips and Help</x:v>
      </x:c>
      <x:c r="B605" s="10" t="str">
        <x:v>https://www.etsy.com/listing/4326125331/home-loan-document-organizer-printable</x:v>
      </x:c>
      <x:c r="C605" s="10" t="str">
        <x:v>MortgageAIHub</x:v>
      </x:c>
      <x:c r="D605" s="10" t="str">
        <x:v>https://www.etsy.com/shop/MortgageAIHub</x:v>
      </x:c>
      <x:c r="E605" s="11" t="n">
        <x:v>7.97</x:v>
      </x:c>
      <x:c r="F605" s="10" t="n">
        <x:v>0</x:v>
      </x:c>
      <x:c r="G605" s="12" t="n">
        <x:v>0</x:v>
      </x:c>
      <x:c r="H605" s="13" t="n">
        <x:v>0</x:v>
      </x:c>
      <x:c r="I605" s="10" t="n">
        <x:v>0</x:v>
      </x:c>
      <x:c r="J605" s="10" t="n">
        <x:v>0</x:v>
      </x:c>
      <x:c r="K605" s="10" t="str">
        <x:v>13 Mo.</x:v>
      </x:c>
      <x:c r="L605" s="10" t="n">
        <x:v>5</x:v>
      </x:c>
      <x:c r="M605" s="10" t="n">
        <x:v>0</x:v>
      </x:c>
      <x:c r="N605" s="10" t="n">
        <x:v>27</x:v>
      </x:c>
      <x:c r="O605" s="10" t="str"/>
      <x:c r="P605" s="10" t="n">
        <x:v>13</x:v>
      </x:c>
      <x:c r="Q605" s="10" t="n">
        <x:v>0</x:v>
      </x:c>
      <x:c r="R605" s="13" t="n">
        <x:v>0</x:v>
      </x:c>
      <x:c r="S605" s="10" t="n">
        <x:v>1</x:v>
      </x:c>
      <x:c r="T605" s="10" t="str">
        <x:v>home loan organizer,mortgage paperwork,homebuyer checklist,document organizer,digital planner,mortgage checklist,printable binder,home loan folder,closing documents,financial planner,digital download,paperwork tracker,real estate prints</x:v>
      </x:c>
      <x:c r="U605" s="10" t="str">
        <x:v>home loan organizer</x:v>
      </x:c>
      <x:c r="V605" s="10" t="str">
        <x:v>mortgage paperwork</x:v>
      </x:c>
      <x:c r="W605" s="10" t="str">
        <x:v>homebuyer checklist</x:v>
      </x:c>
      <x:c r="X605" s="10" t="str">
        <x:v>document organizer</x:v>
      </x:c>
      <x:c r="Y605" s="10" t="str">
        <x:v>digital planner</x:v>
      </x:c>
      <x:c r="Z605" s="10" t="str">
        <x:v>mortgage checklist</x:v>
      </x:c>
      <x:c r="AA605" s="10" t="str">
        <x:v>printable binder</x:v>
      </x:c>
      <x:c r="AB605" s="10" t="str">
        <x:v>home loan folder</x:v>
      </x:c>
      <x:c r="AC605" s="10" t="str">
        <x:v>closing documents</x:v>
      </x:c>
      <x:c r="AD605" s="10" t="str">
        <x:v>financial planner</x:v>
      </x:c>
      <x:c r="AE605" s="10" t="str">
        <x:v>digital download</x:v>
      </x:c>
      <x:c r="AF605" s="10" t="str">
        <x:v>paperwork tracker</x:v>
      </x:c>
      <x:c r="AG605" s="10" t="str">
        <x:v>real estate prints</x:v>
      </x:c>
      <x:c r="AH605" s="10" t="str">
        <x:v>Other mortgage-related</x:v>
      </x:c>
      <x:c r="AI605" s="13" t="n">
        <x:v>13</x:v>
      </x:c>
      <x:c r="AJ605" s="10" t="str">
        <x:f>IF(F605&gt;0,"Active","No est. sales")</x:f>
        <x:v>No est. sales</x:v>
      </x:c>
    </x:row>
    <x:row r="606">
      <x:c r="A606" s="10" t="str">
        <x:v>The Debt Payoff Dashboard Debt Snowball Calculator Debt Avalanche Planner Google Sheets Excel Tracker Loan Debt Credit Card Mortgage Payment</x:v>
      </x:c>
      <x:c r="B606" s="10" t="str">
        <x:v>https://www.etsy.com/listing/4520968912/the-debt-payoff-dashboard-debt-snowball</x:v>
      </x:c>
      <x:c r="C606" s="10" t="str">
        <x:v>RoveraStudio</x:v>
      </x:c>
      <x:c r="D606" s="10" t="str">
        <x:v>https://www.etsy.com/shop/RoveraStudio</x:v>
      </x:c>
      <x:c r="E606" s="11" t="n">
        <x:v>12.44</x:v>
      </x:c>
      <x:c r="F606" s="10" t="n">
        <x:v>0</x:v>
      </x:c>
      <x:c r="G606" s="12" t="n">
        <x:v>0</x:v>
      </x:c>
      <x:c r="H606" s="13" t="n">
        <x:v>0</x:v>
      </x:c>
      <x:c r="I606" s="10" t="n">
        <x:v>0</x:v>
      </x:c>
      <x:c r="J606" s="10" t="n">
        <x:v>0</x:v>
      </x:c>
      <x:c r="K606" s="10" t="str">
        <x:v>1 Mo.</x:v>
      </x:c>
      <x:c r="L606" s="10" t="n">
        <x:v>0</x:v>
      </x:c>
      <x:c r="M606" s="10" t="n">
        <x:v>0</x:v>
      </x:c>
      <x:c r="N606" s="10" t="n">
        <x:v>21</x:v>
      </x:c>
      <x:c r="O606" s="10" t="str">
        <x:v>Paper &amp; Party Supplies</x:v>
      </x:c>
      <x:c r="P606" s="10" t="n">
        <x:v>21</x:v>
      </x:c>
      <x:c r="Q606" s="10" t="n">
        <x:v>0</x:v>
      </x:c>
      <x:c r="R606" s="13" t="n">
        <x:v>0</x:v>
      </x:c>
      <x:c r="S606" s="10" t="n">
        <x:v>1459</x:v>
      </x:c>
      <x:c r="T606" s="10" t="str">
        <x:v>google sheets debt,debt tracker excel,snowball calculator,debt snowball excel,debt payoff chart,mortgage payoff,debt google sheets,debt avalanche,excel budget,excel planner,debt dashboard,credit card,loan tracker</x:v>
      </x:c>
      <x:c r="U606" s="10" t="str">
        <x:v>google sheets debt</x:v>
      </x:c>
      <x:c r="V606" s="10" t="str">
        <x:v>debt tracker excel</x:v>
      </x:c>
      <x:c r="W606" s="10" t="str">
        <x:v>snowball calculator</x:v>
      </x:c>
      <x:c r="X606" s="10" t="str">
        <x:v>debt snowball excel</x:v>
      </x:c>
      <x:c r="Y606" s="10" t="str">
        <x:v>debt payoff chart</x:v>
      </x:c>
      <x:c r="Z606" s="10" t="str">
        <x:v>mortgage payoff</x:v>
      </x:c>
      <x:c r="AA606" s="10" t="str">
        <x:v>debt google sheets</x:v>
      </x:c>
      <x:c r="AB606" s="10" t="str">
        <x:v>debt avalanche</x:v>
      </x:c>
      <x:c r="AC606" s="10" t="str">
        <x:v>excel budget</x:v>
      </x:c>
      <x:c r="AD606" s="10" t="str">
        <x:v>excel planner</x:v>
      </x:c>
      <x:c r="AE606" s="10" t="str">
        <x:v>debt dashboard</x:v>
      </x:c>
      <x:c r="AF606" s="10" t="str">
        <x:v>credit card</x:v>
      </x:c>
      <x:c r="AG606" s="10" t="str">
        <x:v>loan tracker</x:v>
      </x:c>
      <x:c r="AH606" s="10" t="str">
        <x:v>General debt payoff</x:v>
      </x:c>
      <x:c r="AI606" s="13" t="n">
        <x:v>1</x:v>
      </x:c>
      <x:c r="AJ606" s="10" t="str">
        <x:f>IF(F606&gt;0,"Active","No est. sales")</x:f>
        <x:v>No est. sales</x:v>
      </x:c>
    </x:row>
    <x:row r="607">
      <x:c r="A607" s="10" t="str">
        <x:v>Home Buying Planner Printable – Budget, House Hunting, and Moving Organizer for New Homeowners</x:v>
      </x:c>
      <x:c r="B607" s="10" t="str">
        <x:v>https://www.etsy.com/listing/4370424032/home-buying-planner-printable-budget</x:v>
      </x:c>
      <x:c r="C607" s="10" t="str">
        <x:v>bossdigitalmoney</x:v>
      </x:c>
      <x:c r="D607" s="10" t="str">
        <x:v>https://www.etsy.com/shop/bossdigitalmoney</x:v>
      </x:c>
      <x:c r="E607" s="11" t="n">
        <x:v>2.43</x:v>
      </x:c>
      <x:c r="F607" s="10" t="n">
        <x:v>0</x:v>
      </x:c>
      <x:c r="G607" s="12" t="n">
        <x:v>0</x:v>
      </x:c>
      <x:c r="H607" s="13" t="n">
        <x:v>0</x:v>
      </x:c>
      <x:c r="I607" s="10" t="n">
        <x:v>0</x:v>
      </x:c>
      <x:c r="J607" s="10" t="n">
        <x:v>0</x:v>
      </x:c>
      <x:c r="K607" s="10" t="str">
        <x:v>10 Mo.</x:v>
      </x:c>
      <x:c r="L607" s="10" t="n">
        <x:v>2</x:v>
      </x:c>
      <x:c r="M607" s="10" t="n">
        <x:v>0</x:v>
      </x:c>
      <x:c r="N607" s="10" t="n">
        <x:v>39</x:v>
      </x:c>
      <x:c r="O607" s="10" t="str"/>
      <x:c r="P607" s="10" t="n">
        <x:v>17</x:v>
      </x:c>
      <x:c r="Q607" s="10" t="n">
        <x:v>0</x:v>
      </x:c>
      <x:c r="R607" s="13" t="n">
        <x:v>0</x:v>
      </x:c>
      <x:c r="S607" s="10" t="n">
        <x:v>1036</x:v>
      </x:c>
      <x:c r="T607" s="10" t="str">
        <x:v>home buying planner,house hunting plan,moving day planner,open house organizer,dream home planner,moving binder,moving printable,property evaluation,home buy checklist,mortgage tracker,real estate planner,house hunting pdf,home buying plan</x:v>
      </x:c>
      <x:c r="U607" s="10" t="str">
        <x:v>home buying planner</x:v>
      </x:c>
      <x:c r="V607" s="10" t="str">
        <x:v>house hunting plan</x:v>
      </x:c>
      <x:c r="W607" s="10" t="str">
        <x:v>moving day planner</x:v>
      </x:c>
      <x:c r="X607" s="10" t="str">
        <x:v>open house organizer</x:v>
      </x:c>
      <x:c r="Y607" s="10" t="str">
        <x:v>dream home planner</x:v>
      </x:c>
      <x:c r="Z607" s="10" t="str">
        <x:v>moving binder</x:v>
      </x:c>
      <x:c r="AA607" s="10" t="str">
        <x:v>moving printable</x:v>
      </x:c>
      <x:c r="AB607" s="10" t="str">
        <x:v>property evaluation</x:v>
      </x:c>
      <x:c r="AC607" s="10" t="str">
        <x:v>home buy checklist</x:v>
      </x:c>
      <x:c r="AD607" s="10" t="str">
        <x:v>mortgage tracker</x:v>
      </x:c>
      <x:c r="AE607" s="10" t="str">
        <x:v>real estate planner</x:v>
      </x:c>
      <x:c r="AF607" s="10" t="str">
        <x:v>house hunting pdf</x:v>
      </x:c>
      <x:c r="AG607" s="10" t="str">
        <x:v>home buying plan</x:v>
      </x:c>
      <x:c r="AH607" s="10" t="str">
        <x:v>Home buying planner</x:v>
      </x:c>
      <x:c r="AI607" s="13" t="n">
        <x:v>10</x:v>
      </x:c>
      <x:c r="AJ607" s="10" t="str">
        <x:f>IF(F607&gt;0,"Active","No est. sales")</x:f>
        <x:v>No est. sales</x:v>
      </x:c>
    </x:row>
    <x:row r="608">
      <x:c r="A608" s="10" t="str">
        <x:v>First Home Buyer Planner PDF | Mortgage Budget, House Inspection Checklist &amp; Property Filing System</x:v>
      </x:c>
      <x:c r="B608" s="10" t="str">
        <x:v>https://www.etsy.com/listing/1314956837/home-buying-planner-checklist-mortgage</x:v>
      </x:c>
      <x:c r="C608" s="10" t="str">
        <x:v>MadeforMoving</x:v>
      </x:c>
      <x:c r="D608" s="10" t="str">
        <x:v>https://www.etsy.com/shop/MadeforMoving</x:v>
      </x:c>
      <x:c r="E608" s="11" t="n">
        <x:v>13.84</x:v>
      </x:c>
      <x:c r="F608" s="10" t="n">
        <x:v>0</x:v>
      </x:c>
      <x:c r="G608" s="12" t="n">
        <x:v>0</x:v>
      </x:c>
      <x:c r="H608" s="13" t="n">
        <x:v>0</x:v>
      </x:c>
      <x:c r="I608" s="10" t="n">
        <x:v>0</x:v>
      </x:c>
      <x:c r="J608" s="10" t="n">
        <x:v>0</x:v>
      </x:c>
      <x:c r="K608" s="10" t="str">
        <x:v>46 Mo.</x:v>
      </x:c>
      <x:c r="L608" s="10" t="n">
        <x:v>14</x:v>
      </x:c>
      <x:c r="M608" s="10" t="n">
        <x:v>0</x:v>
      </x:c>
      <x:c r="N608" s="10" t="n">
        <x:v>123</x:v>
      </x:c>
      <x:c r="O608" s="10" t="str">
        <x:v>Books, Movies &amp; Music</x:v>
      </x:c>
      <x:c r="P608" s="10" t="n">
        <x:v>65</x:v>
      </x:c>
      <x:c r="Q608" s="10" t="n">
        <x:v>0</x:v>
      </x:c>
      <x:c r="R608" s="13" t="n">
        <x:v>0</x:v>
      </x:c>
      <x:c r="S608" s="10" t="n">
        <x:v>4199</x:v>
      </x:c>
      <x:c r="T608" s="10" t="str">
        <x:v>first home buyer,mortgage planner,property purchase,home inspection,real estate tips,buyer checklist,loan worksheet,house comparison,open house notes,home file system,buying a house,property budget,home buyer guide</x:v>
      </x:c>
      <x:c r="U608" s="10" t="str">
        <x:v>first home buyer</x:v>
      </x:c>
      <x:c r="V608" s="10" t="str">
        <x:v>mortgage planner</x:v>
      </x:c>
      <x:c r="W608" s="10" t="str">
        <x:v>property purchase</x:v>
      </x:c>
      <x:c r="X608" s="10" t="str">
        <x:v>home inspection</x:v>
      </x:c>
      <x:c r="Y608" s="10" t="str">
        <x:v>real estate tips</x:v>
      </x:c>
      <x:c r="Z608" s="10" t="str">
        <x:v>buyer checklist</x:v>
      </x:c>
      <x:c r="AA608" s="10" t="str">
        <x:v>loan worksheet</x:v>
      </x:c>
      <x:c r="AB608" s="10" t="str">
        <x:v>house comparison</x:v>
      </x:c>
      <x:c r="AC608" s="10" t="str">
        <x:v>open house notes</x:v>
      </x:c>
      <x:c r="AD608" s="10" t="str">
        <x:v>home file system</x:v>
      </x:c>
      <x:c r="AE608" s="10" t="str">
        <x:v>buying a house</x:v>
      </x:c>
      <x:c r="AF608" s="10" t="str">
        <x:v>property budget</x:v>
      </x:c>
      <x:c r="AG608" s="10" t="str">
        <x:v>home buyer guide</x:v>
      </x:c>
      <x:c r="AH608" s="10" t="str">
        <x:v>Home buying planner</x:v>
      </x:c>
      <x:c r="AI608" s="13" t="n">
        <x:v>46</x:v>
      </x:c>
      <x:c r="AJ608" s="10" t="str">
        <x:f>IF(F608&gt;0,"Active","No est. sales")</x:f>
        <x:v>No est. sales</x:v>
      </x:c>
    </x:row>
    <x:row r="609">
      <x:c r="A609" s="10" t="str">
        <x:v>Editable Home Buying Planner | House Hunting &amp; Real Estate Worksheets</x:v>
      </x:c>
      <x:c r="B609" s="10" t="str">
        <x:v>https://www.etsy.com/listing/4544566536/editable-home-buying-planner-house</x:v>
      </x:c>
      <x:c r="C609" s="10" t="str">
        <x:v>Avenorly</x:v>
      </x:c>
      <x:c r="D609" s="10" t="str">
        <x:v>https://www.etsy.com/shop/Avenorly</x:v>
      </x:c>
      <x:c r="E609" s="11" t="n">
        <x:v>1.26</x:v>
      </x:c>
      <x:c r="F609" s="10" t="n">
        <x:v>0</x:v>
      </x:c>
      <x:c r="G609" s="12" t="n">
        <x:v>0</x:v>
      </x:c>
      <x:c r="H609" s="13" t="n">
        <x:v>0</x:v>
      </x:c>
      <x:c r="I609" s="10" t="n">
        <x:v>0</x:v>
      </x:c>
      <x:c r="J609" s="10" t="n">
        <x:v>0</x:v>
      </x:c>
      <x:c r="K609" s="10" t="str">
        <x:v>1 Mo.</x:v>
      </x:c>
      <x:c r="L609" s="10" t="n">
        <x:v>0</x:v>
      </x:c>
      <x:c r="M609" s="10" t="n">
        <x:v>0</x:v>
      </x:c>
      <x:c r="N609" s="10" t="n">
        <x:v>0</x:v>
      </x:c>
      <x:c r="O609" s="10" t="str">
        <x:v>Art &amp; Collectibles</x:v>
      </x:c>
      <x:c r="P609" s="10" t="n">
        <x:v>6</x:v>
      </x:c>
      <x:c r="Q609" s="10" t="n">
        <x:v>0</x:v>
      </x:c>
      <x:c r="R609" s="13" t="n">
        <x:v>0</x:v>
      </x:c>
      <x:c r="S609" s="10" t="n">
        <x:v>2</x:v>
      </x:c>
      <x:c r="T609" s="10" t="str">
        <x:v>house hunting,mortgage budget,real estate planner,home buying planner,closing checklist,moving planner,buyer workbook,home buyer printable,checklist pdf,budget worksheet,first time buyer,digital download,real estate</x:v>
      </x:c>
      <x:c r="U609" s="10" t="str">
        <x:v>house hunting</x:v>
      </x:c>
      <x:c r="V609" s="10" t="str">
        <x:v>mortgage budget</x:v>
      </x:c>
      <x:c r="W609" s="10" t="str">
        <x:v>real estate planner</x:v>
      </x:c>
      <x:c r="X609" s="10" t="str">
        <x:v>home buying planner</x:v>
      </x:c>
      <x:c r="Y609" s="10" t="str">
        <x:v>closing checklist</x:v>
      </x:c>
      <x:c r="Z609" s="10" t="str">
        <x:v>moving planner</x:v>
      </x:c>
      <x:c r="AA609" s="10" t="str">
        <x:v>buyer workbook</x:v>
      </x:c>
      <x:c r="AB609" s="10" t="str">
        <x:v>home buyer printable</x:v>
      </x:c>
      <x:c r="AC609" s="10" t="str">
        <x:v>checklist pdf</x:v>
      </x:c>
      <x:c r="AD609" s="10" t="str">
        <x:v>budget worksheet</x:v>
      </x:c>
      <x:c r="AE609" s="10" t="str">
        <x:v>first time buyer</x:v>
      </x:c>
      <x:c r="AF609" s="10" t="str">
        <x:v>digital download</x:v>
      </x:c>
      <x:c r="AG609" s="10" t="str">
        <x:v>real estate</x:v>
      </x:c>
      <x:c r="AH609" s="10" t="str">
        <x:v>Home buying planner</x:v>
      </x:c>
      <x:c r="AI609" s="13" t="n">
        <x:v>1</x:v>
      </x:c>
      <x:c r="AJ609" s="10" t="str">
        <x:f>IF(F609&gt;0,"Active","No est. sales")</x:f>
        <x:v>No est. sales</x:v>
      </x:c>
    </x:row>
    <x:row r="610">
      <x:c r="A610" s="10" t="str">
        <x:v>Mortgage Affordability Workbook Bundle | 4 Themes + Excel Calculator | Homebuyer Planner</x:v>
      </x:c>
      <x:c r="B610" s="10" t="str">
        <x:v>https://www.etsy.com/listing/4480391919/mortgage-affordability-workbook-bundle-4</x:v>
      </x:c>
      <x:c r="C610" s="10" t="str">
        <x:v>SolvanaShop</x:v>
      </x:c>
      <x:c r="D610" s="10" t="str">
        <x:v>https://www.etsy.com/shop/SolvanaShop</x:v>
      </x:c>
      <x:c r="E610" s="11" t="n">
        <x:v>45.97</x:v>
      </x:c>
      <x:c r="F610" s="10" t="n">
        <x:v>0</x:v>
      </x:c>
      <x:c r="G610" s="12" t="n">
        <x:v>0</x:v>
      </x:c>
      <x:c r="H610" s="13" t="n">
        <x:v>0</x:v>
      </x:c>
      <x:c r="I610" s="10" t="n">
        <x:v>0</x:v>
      </x:c>
      <x:c r="J610" s="10" t="n">
        <x:v>0</x:v>
      </x:c>
      <x:c r="K610" s="10" t="str">
        <x:v>4 Mo.</x:v>
      </x:c>
      <x:c r="L610" s="10" t="n">
        <x:v>0</x:v>
      </x:c>
      <x:c r="M610" s="10" t="n">
        <x:v>0</x:v>
      </x:c>
      <x:c r="N610" s="10" t="n">
        <x:v>3</x:v>
      </x:c>
      <x:c r="O610" s="10" t="str"/>
      <x:c r="P610" s="10" t="n">
        <x:v>30</x:v>
      </x:c>
      <x:c r="Q610" s="10" t="n">
        <x:v>0</x:v>
      </x:c>
      <x:c r="R610" s="13" t="n">
        <x:v>0</x:v>
      </x:c>
      <x:c r="S610" s="10" t="n">
        <x:v>0</x:v>
      </x:c>
      <x:c r="T610" s="10" t="str">
        <x:v>mortgage calculator bundle,first time homebuyer,affordability planner,home buying workbook,dti calculator,mortgage spreadsheet,homebuyer bundle,budget worksheet,financial planner,printable planner,real estate tool,down payment calculator,excel mortgage</x:v>
      </x:c>
      <x:c r="U610" s="10" t="str">
        <x:v>mortgage calculator bundle</x:v>
      </x:c>
      <x:c r="V610" s="10" t="str">
        <x:v>first time homebuyer</x:v>
      </x:c>
      <x:c r="W610" s="10" t="str">
        <x:v>affordability planner</x:v>
      </x:c>
      <x:c r="X610" s="10" t="str">
        <x:v>home buying workbook</x:v>
      </x:c>
      <x:c r="Y610" s="10" t="str">
        <x:v>dti calculator</x:v>
      </x:c>
      <x:c r="Z610" s="10" t="str">
        <x:v>mortgage spreadsheet</x:v>
      </x:c>
      <x:c r="AA610" s="10" t="str">
        <x:v>homebuyer bundle</x:v>
      </x:c>
      <x:c r="AB610" s="10" t="str">
        <x:v>budget worksheet</x:v>
      </x:c>
      <x:c r="AC610" s="10" t="str">
        <x:v>financial planner</x:v>
      </x:c>
      <x:c r="AD610" s="10" t="str">
        <x:v>printable planner</x:v>
      </x:c>
      <x:c r="AE610" s="10" t="str">
        <x:v>real estate tool</x:v>
      </x:c>
      <x:c r="AF610" s="10" t="str">
        <x:v>down payment calculator</x:v>
      </x:c>
      <x:c r="AG610" s="10" t="str">
        <x:v>excel mortgage</x:v>
      </x:c>
      <x:c r="AH610" s="10" t="str">
        <x:v>Home buying planner</x:v>
      </x:c>
      <x:c r="AI610" s="13" t="n">
        <x:v>4</x:v>
      </x:c>
      <x:c r="AJ610" s="10" t="str">
        <x:f>IF(F610&gt;0,"Active","No est. sales")</x:f>
        <x:v>No est. sales</x:v>
      </x:c>
    </x:row>
    <x:row r="611">
      <x:c r="A611" s="10" t="str">
        <x:v>100k Home Savings Challenge: Interactive Envelope Coloring Tracker for Down Payment</x:v>
      </x:c>
      <x:c r="B611" s="10" t="str">
        <x:v>https://www.etsy.com/listing/4299128449/100k-home-savings-challenge-interactive</x:v>
      </x:c>
      <x:c r="C611" s="10" t="str">
        <x:v>ManageAndBloom</x:v>
      </x:c>
      <x:c r="D611" s="10" t="str">
        <x:v>https://www.etsy.com/shop/ManageAndBloom</x:v>
      </x:c>
      <x:c r="E611" s="11" t="n">
        <x:v>2.41</x:v>
      </x:c>
      <x:c r="F611" s="10" t="n">
        <x:v>0</x:v>
      </x:c>
      <x:c r="G611" s="12" t="n">
        <x:v>0</x:v>
      </x:c>
      <x:c r="H611" s="13" t="n">
        <x:v>0</x:v>
      </x:c>
      <x:c r="I611" s="10" t="n">
        <x:v>0</x:v>
      </x:c>
      <x:c r="J611" s="10" t="n">
        <x:v>0</x:v>
      </x:c>
      <x:c r="K611" s="10" t="str">
        <x:v>14 Mo.</x:v>
      </x:c>
      <x:c r="L611" s="10" t="n">
        <x:v>44</x:v>
      </x:c>
      <x:c r="M611" s="10" t="n">
        <x:v>0</x:v>
      </x:c>
      <x:c r="N611" s="10" t="n">
        <x:v>736</x:v>
      </x:c>
      <x:c r="O611" s="10" t="str"/>
      <x:c r="P611" s="10" t="n">
        <x:v>19</x:v>
      </x:c>
      <x:c r="Q611" s="10" t="n">
        <x:v>25</x:v>
      </x:c>
      <x:c r="R611" s="13" t="n">
        <x:v>0</x:v>
      </x:c>
      <x:c r="S611" s="10" t="n">
        <x:v>958</x:v>
      </x:c>
      <x:c r="T611" s="10" t="str">
        <x:v>independence planner,alternative monetary,motivation printable,discipline financial,management strategy,economic building on,activity stuffing,personal mortgage,finance project save,account weekly track,100000 house color,reduction milestone,debt payoff tracker</x:v>
      </x:c>
      <x:c r="U611" s="10" t="str">
        <x:v>independence planner</x:v>
      </x:c>
      <x:c r="V611" s="10" t="str">
        <x:v>alternative monetary</x:v>
      </x:c>
      <x:c r="W611" s="10" t="str">
        <x:v>motivation printable</x:v>
      </x:c>
      <x:c r="X611" s="10" t="str">
        <x:v>discipline financial</x:v>
      </x:c>
      <x:c r="Y611" s="10" t="str">
        <x:v>management strategy</x:v>
      </x:c>
      <x:c r="Z611" s="10" t="str">
        <x:v>economic building on</x:v>
      </x:c>
      <x:c r="AA611" s="10" t="str">
        <x:v>activity stuffing</x:v>
      </x:c>
      <x:c r="AB611" s="10" t="str">
        <x:v>personal mortgage</x:v>
      </x:c>
      <x:c r="AC611" s="10" t="str">
        <x:v>finance project save</x:v>
      </x:c>
      <x:c r="AD611" s="10" t="str">
        <x:v>account weekly track</x:v>
      </x:c>
      <x:c r="AE611" s="10" t="str">
        <x:v>100000 house color</x:v>
      </x:c>
      <x:c r="AF611" s="10" t="str">
        <x:v>reduction milestone</x:v>
      </x:c>
      <x:c r="AG611" s="10" t="str">
        <x:v>debt payoff tracker</x:v>
      </x:c>
      <x:c r="AH611" s="10" t="str">
        <x:v>Other mortgage-related</x:v>
      </x:c>
      <x:c r="AI611" s="13" t="n">
        <x:v>14</x:v>
      </x:c>
      <x:c r="AJ611" s="10" t="str">
        <x:f>IF(F611&gt;0,"Active","No est. sales")</x:f>
        <x:v>No est. sales</x:v>
      </x:c>
    </x:row>
    <x:row r="612">
      <x:c r="A612" s="10" t="str">
        <x:v>House Planner Stickers, House Box Stickers, Printable House Planner Stickers, Mortgage Payment Due Stickers, Home Stickers, Cut Files, FS128</x:v>
      </x:c>
      <x:c r="B612" s="10" t="str">
        <x:v>https://www.etsy.com/listing/567037511/house-planner-stickers-house-box</x:v>
      </x:c>
      <x:c r="C612" s="10" t="str">
        <x:v>DesignLovelyStudio</x:v>
      </x:c>
      <x:c r="D612" s="10" t="str">
        <x:v>https://www.etsy.com/shop/DesignLovelyStudio</x:v>
      </x:c>
      <x:c r="E612" s="11" t="n">
        <x:v>3.68</x:v>
      </x:c>
      <x:c r="F612" s="10" t="n">
        <x:v>0</x:v>
      </x:c>
      <x:c r="G612" s="12" t="n">
        <x:v>0</x:v>
      </x:c>
      <x:c r="H612" s="13" t="n">
        <x:v>0</x:v>
      </x:c>
      <x:c r="I612" s="10" t="n">
        <x:v>33</x:v>
      </x:c>
      <x:c r="J612" s="10" t="n">
        <x:v>5</x:v>
      </x:c>
      <x:c r="K612" s="10" t="str">
        <x:v>105 Mo.</x:v>
      </x:c>
      <x:c r="L612" s="10" t="n">
        <x:v>73</x:v>
      </x:c>
      <x:c r="M612" s="10" t="n">
        <x:v>0</x:v>
      </x:c>
      <x:c r="N612" s="10" t="n">
        <x:v>418</x:v>
      </x:c>
      <x:c r="O612" s="10" t="str">
        <x:v>Paper &amp; Party Supplies</x:v>
      </x:c>
      <x:c r="P612" s="10" t="n">
        <x:v>125</x:v>
      </x:c>
      <x:c r="Q612" s="10" t="n">
        <x:v>0</x:v>
      </x:c>
      <x:c r="R612" s="13" t="n">
        <x:v>7.89</x:v>
      </x:c>
      <x:c r="S612" s="10" t="n">
        <x:v>163634</x:v>
      </x:c>
      <x:c r="T612" s="10" t="str">
        <x:v>house box stickers,home stickers,cut files,house planner,planner stickers,printable house,printable planner,printable stickers,payment due,payment stickers,mortgage payment,home box stickers,rent due stickers</x:v>
      </x:c>
      <x:c r="U612" s="10" t="str">
        <x:v>house box stickers</x:v>
      </x:c>
      <x:c r="V612" s="10" t="str">
        <x:v>home stickers</x:v>
      </x:c>
      <x:c r="W612" s="10" t="str">
        <x:v>cut files</x:v>
      </x:c>
      <x:c r="X612" s="10" t="str">
        <x:v>house planner</x:v>
      </x:c>
      <x:c r="Y612" s="10" t="str">
        <x:v>planner stickers</x:v>
      </x:c>
      <x:c r="Z612" s="10" t="str">
        <x:v>printable house</x:v>
      </x:c>
      <x:c r="AA612" s="10" t="str">
        <x:v>printable planner</x:v>
      </x:c>
      <x:c r="AB612" s="10" t="str">
        <x:v>printable stickers</x:v>
      </x:c>
      <x:c r="AC612" s="10" t="str">
        <x:v>payment due</x:v>
      </x:c>
      <x:c r="AD612" s="10" t="str">
        <x:v>payment stickers</x:v>
      </x:c>
      <x:c r="AE612" s="10" t="str">
        <x:v>mortgage payment</x:v>
      </x:c>
      <x:c r="AF612" s="10" t="str">
        <x:v>home box stickers</x:v>
      </x:c>
      <x:c r="AG612" s="10" t="str">
        <x:v>rent due stickers</x:v>
      </x:c>
      <x:c r="AH612" s="10" t="str">
        <x:v>Other mortgage-related</x:v>
      </x:c>
      <x:c r="AI612" s="13" t="n">
        <x:v>105</x:v>
      </x:c>
      <x:c r="AJ612" s="10" t="str">
        <x:f>IF(F612&gt;0,"Active","No est. sales")</x:f>
        <x:v>No est. sales</x:v>
      </x:c>
    </x:row>
    <x:row r="613">
      <x:c r="A613" s="10" t="str">
        <x:v>House Flipping Calculator spreadsheet, Fix &amp; Flip real estate investment analysis, Renovation budget ROI, Excel / Google property rehab BRRR</x:v>
      </x:c>
      <x:c r="B613" s="10" t="str">
        <x:v>https://www.etsy.com/listing/1750633661/house-flipping-calculator-spreadsheet</x:v>
      </x:c>
      <x:c r="C613" s="10" t="str">
        <x:v>BraveBuffaloCrafts</x:v>
      </x:c>
      <x:c r="D613" s="10" t="str">
        <x:v>https://www.etsy.com/shop/BraveBuffaloCrafts</x:v>
      </x:c>
      <x:c r="E613" s="11" t="n">
        <x:v>16.99</x:v>
      </x:c>
      <x:c r="F613" s="10" t="n">
        <x:v>0</x:v>
      </x:c>
      <x:c r="G613" s="12" t="n">
        <x:v>0</x:v>
      </x:c>
      <x:c r="H613" s="13" t="n">
        <x:v>0</x:v>
      </x:c>
      <x:c r="I613" s="10" t="n">
        <x:v>109</x:v>
      </x:c>
      <x:c r="J613" s="10" t="n">
        <x:v>7</x:v>
      </x:c>
      <x:c r="K613" s="10" t="str">
        <x:v>25 Mo.</x:v>
      </x:c>
      <x:c r="L613" s="10" t="n">
        <x:v>112</x:v>
      </x:c>
      <x:c r="M613" s="10" t="n">
        <x:v>0</x:v>
      </x:c>
      <x:c r="N613" s="10" t="n">
        <x:v>3339</x:v>
      </x:c>
      <x:c r="O613" s="10" t="str">
        <x:v>Paper &amp; Party Supplies</x:v>
      </x:c>
      <x:c r="P613" s="10" t="n">
        <x:v>27</x:v>
      </x:c>
      <x:c r="Q613" s="10" t="n">
        <x:v>42</x:v>
      </x:c>
      <x:c r="R613" s="13" t="n">
        <x:v>3.26</x:v>
      </x:c>
      <x:c r="S613" s="10" t="n">
        <x:v>9081</x:v>
      </x:c>
      <x:c r="T613" s="10" t="str">
        <x:v>house flipping calc,investment property,fix and flip roi,home remodel planner,house flip analysis,real estate property,house flip budget,brrr rhab analysis,excel property rehab,remodel flipping roi,renovation mortgage,spreadsheet template,google sheet invest</x:v>
      </x:c>
      <x:c r="U613" s="10" t="str">
        <x:v>house flipping calc</x:v>
      </x:c>
      <x:c r="V613" s="10" t="str">
        <x:v>investment property</x:v>
      </x:c>
      <x:c r="W613" s="10" t="str">
        <x:v>fix and flip roi</x:v>
      </x:c>
      <x:c r="X613" s="10" t="str">
        <x:v>home remodel planner</x:v>
      </x:c>
      <x:c r="Y613" s="10" t="str">
        <x:v>house flip analysis</x:v>
      </x:c>
      <x:c r="Z613" s="10" t="str">
        <x:v>real estate property</x:v>
      </x:c>
      <x:c r="AA613" s="10" t="str">
        <x:v>house flip budget</x:v>
      </x:c>
      <x:c r="AB613" s="10" t="str">
        <x:v>brrr rhab analysis</x:v>
      </x:c>
      <x:c r="AC613" s="10" t="str">
        <x:v>excel property rehab</x:v>
      </x:c>
      <x:c r="AD613" s="10" t="str">
        <x:v>remodel flipping roi</x:v>
      </x:c>
      <x:c r="AE613" s="10" t="str">
        <x:v>renovation mortgage</x:v>
      </x:c>
      <x:c r="AF613" s="10" t="str">
        <x:v>spreadsheet template</x:v>
      </x:c>
      <x:c r="AG613" s="10" t="str">
        <x:v>google sheet invest</x:v>
      </x:c>
      <x:c r="AH613" s="10" t="str">
        <x:v>Property investment</x:v>
      </x:c>
      <x:c r="AI613" s="13" t="n">
        <x:v>25</x:v>
      </x:c>
      <x:c r="AJ613" s="10" t="str">
        <x:f>IF(F613&gt;0,"Active","No est. sales")</x:f>
        <x:v>No est. sales</x:v>
      </x:c>
    </x:row>
    <x:row r="614">
      <x:c r="A614" s="10" t="str">
        <x:v>Debt Snowball Payoff Tracker Spreadsheet for Excel &amp; Google Sheets, debt free, credit card student loan mortgage repayment planner template</x:v>
      </x:c>
      <x:c r="B614" s="10" t="str">
        <x:v>https://www.etsy.com/listing/1788053958/debt-snowball-payoff-tracker-spreadsheet</x:v>
      </x:c>
      <x:c r="C614" s="10" t="str">
        <x:v>BraveBuffaloCrafts</x:v>
      </x:c>
      <x:c r="D614" s="10" t="str">
        <x:v>https://www.etsy.com/shop/BraveBuffaloCrafts</x:v>
      </x:c>
      <x:c r="E614" s="11" t="n">
        <x:v>4.29</x:v>
      </x:c>
      <x:c r="F614" s="10" t="n">
        <x:v>0</x:v>
      </x:c>
      <x:c r="G614" s="12" t="n">
        <x:v>0</x:v>
      </x:c>
      <x:c r="H614" s="13" t="n">
        <x:v>0</x:v>
      </x:c>
      <x:c r="I614" s="10" t="n">
        <x:v>62</x:v>
      </x:c>
      <x:c r="J614" s="10" t="n">
        <x:v>4</x:v>
      </x:c>
      <x:c r="K614" s="10" t="str">
        <x:v>22 Mo.</x:v>
      </x:c>
      <x:c r="L614" s="10" t="n">
        <x:v>35</x:v>
      </x:c>
      <x:c r="M614" s="10" t="n">
        <x:v>0</x:v>
      </x:c>
      <x:c r="N614" s="10" t="n">
        <x:v>952</x:v>
      </x:c>
      <x:c r="O614" s="10" t="str">
        <x:v>Paper &amp; Party Supplies</x:v>
      </x:c>
      <x:c r="P614" s="10" t="n">
        <x:v>27</x:v>
      </x:c>
      <x:c r="Q614" s="10" t="n">
        <x:v>0</x:v>
      </x:c>
      <x:c r="R614" s="13" t="n">
        <x:v>6.51</x:v>
      </x:c>
      <x:c r="S614" s="10" t="n">
        <x:v>9081</x:v>
      </x:c>
      <x:c r="T614" s="10" t="str">
        <x:v>excel debt snowball,payoff credit card,loan planner google,sheet debt avalanche,pdf debts calculator,car balance digital,month debt repayment,paycheck spreadsheet,tracker student loan,dashboard pay debt,mortgage finance apr,payment schedule ira,simple easy budget</x:v>
      </x:c>
      <x:c r="U614" s="10" t="str">
        <x:v>excel debt snowball</x:v>
      </x:c>
      <x:c r="V614" s="10" t="str">
        <x:v>payoff credit card</x:v>
      </x:c>
      <x:c r="W614" s="10" t="str">
        <x:v>loan planner google</x:v>
      </x:c>
      <x:c r="X614" s="10" t="str">
        <x:v>sheet debt avalanche</x:v>
      </x:c>
      <x:c r="Y614" s="10" t="str">
        <x:v>pdf debts calculator</x:v>
      </x:c>
      <x:c r="Z614" s="10" t="str">
        <x:v>car balance digital</x:v>
      </x:c>
      <x:c r="AA614" s="10" t="str">
        <x:v>month debt repayment</x:v>
      </x:c>
      <x:c r="AB614" s="10" t="str">
        <x:v>paycheck spreadsheet</x:v>
      </x:c>
      <x:c r="AC614" s="10" t="str">
        <x:v>tracker student loan</x:v>
      </x:c>
      <x:c r="AD614" s="10" t="str">
        <x:v>dashboard pay debt</x:v>
      </x:c>
      <x:c r="AE614" s="10" t="str">
        <x:v>mortgage finance apr</x:v>
      </x:c>
      <x:c r="AF614" s="10" t="str">
        <x:v>payment schedule ira</x:v>
      </x:c>
      <x:c r="AG614" s="10" t="str">
        <x:v>simple easy budget</x:v>
      </x:c>
      <x:c r="AH614" s="10" t="str">
        <x:v>General debt payoff</x:v>
      </x:c>
      <x:c r="AI614" s="13" t="n">
        <x:v>22</x:v>
      </x:c>
      <x:c r="AJ614" s="10" t="str">
        <x:f>IF(F614&gt;0,"Active","No est. sales")</x:f>
        <x:v>No est. sales</x:v>
      </x:c>
    </x:row>
    <x:row r="615">
      <x:c r="A615" s="10" t="str">
        <x:v>Mortgage Payment Tracker, Debt Repayment Plan, Debt Payoff Tracker, Mortgage Payoff Debt Tracker</x:v>
      </x:c>
      <x:c r="B615" s="10" t="str">
        <x:v>https://www.etsy.com/listing/1084899880/mortgage-payment-tracker-debt-repayment</x:v>
      </x:c>
      <x:c r="C615" s="10" t="str">
        <x:v>BudgetingYourLife</x:v>
      </x:c>
      <x:c r="D615" s="10" t="str">
        <x:v>https://www.etsy.com/shop/BudgetingYourLife</x:v>
      </x:c>
      <x:c r="E615" s="11" t="n">
        <x:v>5.15</x:v>
      </x:c>
      <x:c r="F615" s="10" t="n">
        <x:v>0</x:v>
      </x:c>
      <x:c r="G615" s="12" t="n">
        <x:v>0</x:v>
      </x:c>
      <x:c r="H615" s="13" t="n">
        <x:v>0</x:v>
      </x:c>
      <x:c r="I615" s="10" t="n">
        <x:v>0</x:v>
      </x:c>
      <x:c r="J615" s="10" t="n">
        <x:v>0</x:v>
      </x:c>
      <x:c r="K615" s="10" t="str">
        <x:v>57 Mo.</x:v>
      </x:c>
      <x:c r="L615" s="10" t="n">
        <x:v>13</x:v>
      </x:c>
      <x:c r="M615" s="10" t="n">
        <x:v>0</x:v>
      </x:c>
      <x:c r="N615" s="10" t="n">
        <x:v>150</x:v>
      </x:c>
      <x:c r="O615" s="10" t="str">
        <x:v>Paper &amp; Party Supplies</x:v>
      </x:c>
      <x:c r="P615" s="10" t="n">
        <x:v>59</x:v>
      </x:c>
      <x:c r="Q615" s="10" t="n">
        <x:v>0</x:v>
      </x:c>
      <x:c r="R615" s="13" t="n">
        <x:v>0</x:v>
      </x:c>
      <x:c r="S615" s="10" t="n">
        <x:v>227</x:v>
      </x:c>
      <x:c r="T615" s="10" t="str">
        <x:v>mortgage payment,mortgage tracker,payoff printable,debt printable,payoff tracker,debt payment log,debt repayment plan,debt planner,debt,home payment,debt snowball,digital budget,debt free tracker</x:v>
      </x:c>
      <x:c r="U615" s="10" t="str">
        <x:v>mortgage payment</x:v>
      </x:c>
      <x:c r="V615" s="10" t="str">
        <x:v>mortgage tracker</x:v>
      </x:c>
      <x:c r="W615" s="10" t="str">
        <x:v>payoff printable</x:v>
      </x:c>
      <x:c r="X615" s="10" t="str">
        <x:v>debt printable</x:v>
      </x:c>
      <x:c r="Y615" s="10" t="str">
        <x:v>payoff tracker</x:v>
      </x:c>
      <x:c r="Z615" s="10" t="str">
        <x:v>debt payment log</x:v>
      </x:c>
      <x:c r="AA615" s="10" t="str">
        <x:v>debt repayment plan</x:v>
      </x:c>
      <x:c r="AB615" s="10" t="str">
        <x:v>debt planner</x:v>
      </x:c>
      <x:c r="AC615" s="10" t="str">
        <x:v>debt</x:v>
      </x:c>
      <x:c r="AD615" s="10" t="str">
        <x:v>home payment</x:v>
      </x:c>
      <x:c r="AE615" s="10" t="str">
        <x:v>debt snowball</x:v>
      </x:c>
      <x:c r="AF615" s="10" t="str">
        <x:v>digital budget</x:v>
      </x:c>
      <x:c r="AG615" s="10" t="str">
        <x:v>debt free tracker</x:v>
      </x:c>
      <x:c r="AH615" s="10" t="str">
        <x:v>Mortgage payoff / calculator</x:v>
      </x:c>
      <x:c r="AI615" s="13" t="n">
        <x:v>57</x:v>
      </x:c>
      <x:c r="AJ615" s="10" t="str">
        <x:f>IF(F615&gt;0,"Active","No est. sales")</x:f>
        <x:v>No est. sales</x:v>
      </x:c>
    </x:row>
    <x:row r="616">
      <x:c r="A616" s="10" t="str">
        <x:v>Debt Payoff Calculator | Google Sheets Template, Snowball &amp; Avalanche (Digital Download)</x:v>
      </x:c>
      <x:c r="B616" s="10" t="str">
        <x:v>https://www.etsy.com/listing/1230039987/debt-payoff-calculator-debt-snowball</x:v>
      </x:c>
      <x:c r="C616" s="10" t="str">
        <x:v>SilkAndSaffronLiving</x:v>
      </x:c>
      <x:c r="D616" s="10" t="str">
        <x:v>https://www.etsy.com/shop/SilkAndSaffronLiving</x:v>
      </x:c>
      <x:c r="E616" s="11" t="n">
        <x:v>3.61</x:v>
      </x:c>
      <x:c r="F616" s="10" t="n">
        <x:v>0</x:v>
      </x:c>
      <x:c r="G616" s="12" t="n">
        <x:v>0</x:v>
      </x:c>
      <x:c r="H616" s="13" t="n">
        <x:v>0</x:v>
      </x:c>
      <x:c r="I616" s="10" t="n">
        <x:v>52</x:v>
      </x:c>
      <x:c r="J616" s="10" t="n">
        <x:v>0</x:v>
      </x:c>
      <x:c r="K616" s="10" t="str">
        <x:v>50 Mo.</x:v>
      </x:c>
      <x:c r="L616" s="10" t="n">
        <x:v>11</x:v>
      </x:c>
      <x:c r="M616" s="10" t="n">
        <x:v>0</x:v>
      </x:c>
      <x:c r="N616" s="10" t="n">
        <x:v>553</x:v>
      </x:c>
      <x:c r="O616" s="10" t="str">
        <x:v>Paper &amp; Party Supplies</x:v>
      </x:c>
      <x:c r="P616" s="10" t="n">
        <x:v>54</x:v>
      </x:c>
      <x:c r="Q616" s="10" t="n">
        <x:v>0</x:v>
      </x:c>
      <x:c r="R616" s="13" t="n">
        <x:v>9.4</x:v>
      </x:c>
      <x:c r="S616" s="10" t="n">
        <x:v>2428</x:v>
      </x:c>
      <x:c r="T616" s="10" t="str">
        <x:v>credit card payoff,credit score debt,credit utilization,debt avalanche,debt payment tracker,debt payoff chart,debt payoff tracker,debt snowball,debt template,financial planner,google sheets budget,mortgage payoff,student loan debt</x:v>
      </x:c>
      <x:c r="U616" s="10" t="str">
        <x:v>credit card payoff</x:v>
      </x:c>
      <x:c r="V616" s="10" t="str">
        <x:v>credit score debt</x:v>
      </x:c>
      <x:c r="W616" s="10" t="str">
        <x:v>credit utilization</x:v>
      </x:c>
      <x:c r="X616" s="10" t="str">
        <x:v>debt avalanche</x:v>
      </x:c>
      <x:c r="Y616" s="10" t="str">
        <x:v>debt payment tracker</x:v>
      </x:c>
      <x:c r="Z616" s="10" t="str">
        <x:v>debt payoff chart</x:v>
      </x:c>
      <x:c r="AA616" s="10" t="str">
        <x:v>debt payoff tracker</x:v>
      </x:c>
      <x:c r="AB616" s="10" t="str">
        <x:v>debt snowball</x:v>
      </x:c>
      <x:c r="AC616" s="10" t="str">
        <x:v>debt template</x:v>
      </x:c>
      <x:c r="AD616" s="10" t="str">
        <x:v>financial planner</x:v>
      </x:c>
      <x:c r="AE616" s="10" t="str">
        <x:v>google sheets budget</x:v>
      </x:c>
      <x:c r="AF616" s="10" t="str">
        <x:v>mortgage payoff</x:v>
      </x:c>
      <x:c r="AG616" s="10" t="str">
        <x:v>student loan debt</x:v>
      </x:c>
      <x:c r="AH616" s="10" t="str">
        <x:v>General debt payoff</x:v>
      </x:c>
      <x:c r="AI616" s="13" t="n">
        <x:v>50</x:v>
      </x:c>
      <x:c r="AJ616" s="10" t="str">
        <x:f>IF(F616&gt;0,"Active","No est. sales")</x:f>
        <x:v>No est. sales</x:v>
      </x:c>
    </x:row>
    <x:row r="617">
      <x:c r="A617" s="10" t="str">
        <x:v>Loan Amortization Schedule Template | Interest Rate Calculator Spreadsheet | Loan Repayment Tracker | Excel &amp; Google Sheets Finance Template</x:v>
      </x:c>
      <x:c r="B617" s="10" t="str">
        <x:v>https://www.etsy.com/listing/4497272443/loan-amortization-schedule-template</x:v>
      </x:c>
      <x:c r="C617" s="10" t="str">
        <x:v>DaffodillsSheets</x:v>
      </x:c>
      <x:c r="D617" s="10" t="str">
        <x:v>https://www.etsy.com/shop/DaffodillsSheets</x:v>
      </x:c>
      <x:c r="E617" s="11" t="n">
        <x:v>10.87</x:v>
      </x:c>
      <x:c r="F617" s="10" t="n">
        <x:v>0</x:v>
      </x:c>
      <x:c r="G617" s="12" t="n">
        <x:v>0</x:v>
      </x:c>
      <x:c r="H617" s="13" t="n">
        <x:v>0</x:v>
      </x:c>
      <x:c r="I617" s="10" t="n">
        <x:v>0</x:v>
      </x:c>
      <x:c r="J617" s="10" t="n">
        <x:v>0</x:v>
      </x:c>
      <x:c r="K617" s="10" t="str">
        <x:v>3 Mo.</x:v>
      </x:c>
      <x:c r="L617" s="10" t="n">
        <x:v>0</x:v>
      </x:c>
      <x:c r="M617" s="10" t="n">
        <x:v>0</x:v>
      </x:c>
      <x:c r="N617" s="10" t="n">
        <x:v>1</x:v>
      </x:c>
      <x:c r="O617" s="10" t="str"/>
      <x:c r="P617" s="10" t="n">
        <x:v>10</x:v>
      </x:c>
      <x:c r="Q617" s="10" t="n">
        <x:v>0</x:v>
      </x:c>
      <x:c r="R617" s="13" t="n">
        <x:v>0</x:v>
      </x:c>
      <x:c r="S617" s="10" t="n">
        <x:v>567</x:v>
      </x:c>
      <x:c r="T617" s="10" t="str">
        <x:v>loan tracker,loan calculator,interest calculator,mortgage tracker,finance template,excel template,google sheets,debt tracker,payment schedule,loan planner,budget planner,financial tracker,amortization</x:v>
      </x:c>
      <x:c r="U617" s="10" t="str">
        <x:v>loan tracker</x:v>
      </x:c>
      <x:c r="V617" s="10" t="str">
        <x:v>loan calculator</x:v>
      </x:c>
      <x:c r="W617" s="10" t="str">
        <x:v>interest calculator</x:v>
      </x:c>
      <x:c r="X617" s="10" t="str">
        <x:v>mortgage tracker</x:v>
      </x:c>
      <x:c r="Y617" s="10" t="str">
        <x:v>finance template</x:v>
      </x:c>
      <x:c r="Z617" s="10" t="str">
        <x:v>excel template</x:v>
      </x:c>
      <x:c r="AA617" s="10" t="str">
        <x:v>google sheets</x:v>
      </x:c>
      <x:c r="AB617" s="10" t="str">
        <x:v>debt tracker</x:v>
      </x:c>
      <x:c r="AC617" s="10" t="str">
        <x:v>payment schedule</x:v>
      </x:c>
      <x:c r="AD617" s="10" t="str">
        <x:v>loan planner</x:v>
      </x:c>
      <x:c r="AE617" s="10" t="str">
        <x:v>budget planner</x:v>
      </x:c>
      <x:c r="AF617" s="10" t="str">
        <x:v>financial tracker</x:v>
      </x:c>
      <x:c r="AG617" s="10" t="str">
        <x:v>amortization</x:v>
      </x:c>
      <x:c r="AH617" s="10" t="str">
        <x:v>General loan calculator</x:v>
      </x:c>
      <x:c r="AI617" s="13" t="n">
        <x:v>3</x:v>
      </x:c>
      <x:c r="AJ617" s="10" t="str">
        <x:f>IF(F617&gt;0,"Active","No est. sales")</x:f>
        <x:v>No est. sales</x:v>
      </x:c>
    </x:row>
    <x:row r="618">
      <x:c r="A618" s="10" t="str">
        <x:v>House Planner Stickers: Mortgage, Home, Doodle Style (White or Clear Matte)</x:v>
      </x:c>
      <x:c r="B618" s="10" t="str">
        <x:v>https://www.etsy.com/listing/912771086/house-planner-stickers-mortgage-home</x:v>
      </x:c>
      <x:c r="C618" s="10" t="str">
        <x:v>MandyLynnPlans</x:v>
      </x:c>
      <x:c r="D618" s="10" t="str">
        <x:v>https://www.etsy.com/shop/MandyLynnPlans</x:v>
      </x:c>
      <x:c r="E618" s="11" t="n">
        <x:v>3.5</x:v>
      </x:c>
      <x:c r="F618" s="10" t="n">
        <x:v>0</x:v>
      </x:c>
      <x:c r="G618" s="12" t="n">
        <x:v>0</x:v>
      </x:c>
      <x:c r="H618" s="13" t="n">
        <x:v>0</x:v>
      </x:c>
      <x:c r="I618" s="10" t="n">
        <x:v>59</x:v>
      </x:c>
      <x:c r="J618" s="10" t="n">
        <x:v>10</x:v>
      </x:c>
      <x:c r="K618" s="10" t="str">
        <x:v>67 Mo.</x:v>
      </x:c>
      <x:c r="L618" s="10" t="n">
        <x:v>28</x:v>
      </x:c>
      <x:c r="M618" s="10" t="n">
        <x:v>0</x:v>
      </x:c>
      <x:c r="N618" s="10" t="n">
        <x:v>965</x:v>
      </x:c>
      <x:c r="O618" s="10" t="str">
        <x:v>Paper &amp; Party Supplies</x:v>
      </x:c>
      <x:c r="P618" s="10" t="n">
        <x:v>90</x:v>
      </x:c>
      <x:c r="Q618" s="10" t="n">
        <x:v>0</x:v>
      </x:c>
      <x:c r="R618" s="13" t="n">
        <x:v>6.11</x:v>
      </x:c>
      <x:c r="S618" s="10" t="n">
        <x:v>244872</x:v>
      </x:c>
      <x:c r="T618" s="10" t="str">
        <x:v>planner sticker,hobonichi cousin,hobonichi sticker,cousin sticker,hobonichi weeks,hobonichi planner,mandylynnplans,mandy lynn plans,doodle sticker,clear sticker,home,house,mortgage</x:v>
      </x:c>
      <x:c r="U618" s="10" t="str">
        <x:v>planner sticker</x:v>
      </x:c>
      <x:c r="V618" s="10" t="str">
        <x:v>hobonichi cousin</x:v>
      </x:c>
      <x:c r="W618" s="10" t="str">
        <x:v>hobonichi sticker</x:v>
      </x:c>
      <x:c r="X618" s="10" t="str">
        <x:v>cousin sticker</x:v>
      </x:c>
      <x:c r="Y618" s="10" t="str">
        <x:v>hobonichi weeks</x:v>
      </x:c>
      <x:c r="Z618" s="10" t="str">
        <x:v>hobonichi planner</x:v>
      </x:c>
      <x:c r="AA618" s="10" t="str">
        <x:v>mandylynnplans</x:v>
      </x:c>
      <x:c r="AB618" s="10" t="str">
        <x:v>mandy lynn plans</x:v>
      </x:c>
      <x:c r="AC618" s="10" t="str">
        <x:v>doodle sticker</x:v>
      </x:c>
      <x:c r="AD618" s="10" t="str">
        <x:v>clear sticker</x:v>
      </x:c>
      <x:c r="AE618" s="10" t="str">
        <x:v>home</x:v>
      </x:c>
      <x:c r="AF618" s="10" t="str">
        <x:v>house</x:v>
      </x:c>
      <x:c r="AG618" s="10" t="str">
        <x:v>mortgage</x:v>
      </x:c>
      <x:c r="AH618" s="10" t="str">
        <x:v>Other mortgage-related</x:v>
      </x:c>
      <x:c r="AI618" s="13" t="n">
        <x:v>67</x:v>
      </x:c>
      <x:c r="AJ618" s="10" t="str">
        <x:f>IF(F618&gt;0,"Active","No est. sales")</x:f>
        <x:v>No est. sales</x:v>
      </x:c>
    </x:row>
    <x:row r="619">
      <x:c r="A619" s="10" t="str">
        <x:v>First-Time Home Buyer Planner 2026 | USA Interactive Checklist</x:v>
      </x:c>
      <x:c r="B619" s="10" t="str">
        <x:v>https://www.etsy.com/listing/4518572550/first-time-home-buyer-planner-2026-usa</x:v>
      </x:c>
      <x:c r="C619" s="10" t="str">
        <x:v>Groundshift</x:v>
      </x:c>
      <x:c r="D619" s="10" t="str">
        <x:v>https://www.etsy.com/shop/Groundshift</x:v>
      </x:c>
      <x:c r="E619" s="11" t="n">
        <x:v>24.96</x:v>
      </x:c>
      <x:c r="F619" s="10" t="n">
        <x:v>0</x:v>
      </x:c>
      <x:c r="G619" s="12" t="n">
        <x:v>0</x:v>
      </x:c>
      <x:c r="H619" s="13" t="n">
        <x:v>0</x:v>
      </x:c>
      <x:c r="I619" s="10" t="n">
        <x:v>0</x:v>
      </x:c>
      <x:c r="J619" s="10" t="n">
        <x:v>0</x:v>
      </x:c>
      <x:c r="K619" s="10" t="str">
        <x:v>1 Mo.</x:v>
      </x:c>
      <x:c r="L619" s="10" t="n">
        <x:v>7</x:v>
      </x:c>
      <x:c r="M619" s="10" t="n">
        <x:v>0</x:v>
      </x:c>
      <x:c r="N619" s="10" t="n">
        <x:v>244</x:v>
      </x:c>
      <x:c r="O619" s="10" t="str"/>
      <x:c r="P619" s="10" t="n">
        <x:v>5</x:v>
      </x:c>
      <x:c r="Q619" s="10" t="n">
        <x:v>57</x:v>
      </x:c>
      <x:c r="R619" s="13" t="n">
        <x:v>0</x:v>
      </x:c>
      <x:c r="S619" s="10" t="n">
        <x:v>174</x:v>
      </x:c>
      <x:c r="T619" s="10" t="str">
        <x:v>usa home buyer,us home planner,first home usa,american home buy,us buyer checklist,fha loan planner,us mortgage plan,home buyer usa,usa real estate,us first home,american buyer,usa house plan,us home search</x:v>
      </x:c>
      <x:c r="U619" s="10" t="str">
        <x:v>usa home buyer</x:v>
      </x:c>
      <x:c r="V619" s="10" t="str">
        <x:v>us home planner</x:v>
      </x:c>
      <x:c r="W619" s="10" t="str">
        <x:v>first home usa</x:v>
      </x:c>
      <x:c r="X619" s="10" t="str">
        <x:v>american home buy</x:v>
      </x:c>
      <x:c r="Y619" s="10" t="str">
        <x:v>us buyer checklist</x:v>
      </x:c>
      <x:c r="Z619" s="10" t="str">
        <x:v>fha loan planner</x:v>
      </x:c>
      <x:c r="AA619" s="10" t="str">
        <x:v>us mortgage plan</x:v>
      </x:c>
      <x:c r="AB619" s="10" t="str">
        <x:v>home buyer usa</x:v>
      </x:c>
      <x:c r="AC619" s="10" t="str">
        <x:v>usa real estate</x:v>
      </x:c>
      <x:c r="AD619" s="10" t="str">
        <x:v>us first home</x:v>
      </x:c>
      <x:c r="AE619" s="10" t="str">
        <x:v>american buyer</x:v>
      </x:c>
      <x:c r="AF619" s="10" t="str">
        <x:v>usa house plan</x:v>
      </x:c>
      <x:c r="AG619" s="10" t="str">
        <x:v>us home search</x:v>
      </x:c>
      <x:c r="AH619" s="10" t="str">
        <x:v>Home buying planner</x:v>
      </x:c>
      <x:c r="AI619" s="13" t="n">
        <x:v>1</x:v>
      </x:c>
      <x:c r="AJ619" s="10" t="str">
        <x:f>IF(F619&gt;0,"Active","No est. sales")</x:f>
        <x:v>No est. sales</x:v>
      </x:c>
    </x:row>
    <x:row r="620">
      <x:c r="A620" s="10" t="str">
        <x:v>Debt Payoff Tracker Debt Snowball Avalanche Calculator Google Sheets Credit Card Loan Debt Template Financial Template Planner Spreadsheet</x:v>
      </x:c>
      <x:c r="B620" s="10" t="str">
        <x:v>https://www.etsy.com/listing/4393711642/debt-payoff-tracker-debt-snowball</x:v>
      </x:c>
      <x:c r="C620" s="10" t="str">
        <x:v>TheSheetCode</x:v>
      </x:c>
      <x:c r="D620" s="10" t="str">
        <x:v>https://www.etsy.com/shop/TheSheetCode</x:v>
      </x:c>
      <x:c r="E620" s="11" t="n">
        <x:v>8.92</x:v>
      </x:c>
      <x:c r="F620" s="10" t="n">
        <x:v>0</x:v>
      </x:c>
      <x:c r="G620" s="12" t="n">
        <x:v>0</x:v>
      </x:c>
      <x:c r="H620" s="13" t="n">
        <x:v>0</x:v>
      </x:c>
      <x:c r="I620" s="10" t="n">
        <x:v>0</x:v>
      </x:c>
      <x:c r="J620" s="10" t="n">
        <x:v>0</x:v>
      </x:c>
      <x:c r="K620" s="10" t="str">
        <x:v>9 Mo.</x:v>
      </x:c>
      <x:c r="L620" s="10" t="n">
        <x:v>12</x:v>
      </x:c>
      <x:c r="M620" s="10" t="n">
        <x:v>0</x:v>
      </x:c>
      <x:c r="N620" s="10" t="n">
        <x:v>236</x:v>
      </x:c>
      <x:c r="O620" s="10" t="str">
        <x:v>Paper &amp; Party Supplies</x:v>
      </x:c>
      <x:c r="P620" s="10" t="n">
        <x:v>33</x:v>
      </x:c>
      <x:c r="Q620" s="10" t="n">
        <x:v>0</x:v>
      </x:c>
      <x:c r="R620" s="13" t="n">
        <x:v>0</x:v>
      </x:c>
      <x:c r="S620" s="10" t="n">
        <x:v>27939</x:v>
      </x:c>
      <x:c r="T620" s="10" t="str">
        <x:v>debt tracker,debt payoff tracker,financial planner,debt snowball,debt avalanche,student loan tracker,credit card tracker,loan tracker,budget spreadsheet,mortgage payoff,budget google sheets,avalanche calculator,snowball calculator</x:v>
      </x:c>
      <x:c r="U620" s="10" t="str">
        <x:v>debt tracker</x:v>
      </x:c>
      <x:c r="V620" s="10" t="str">
        <x:v>debt payoff tracker</x:v>
      </x:c>
      <x:c r="W620" s="10" t="str">
        <x:v>financial planner</x:v>
      </x:c>
      <x:c r="X620" s="10" t="str">
        <x:v>debt snowball</x:v>
      </x:c>
      <x:c r="Y620" s="10" t="str">
        <x:v>debt avalanche</x:v>
      </x:c>
      <x:c r="Z620" s="10" t="str">
        <x:v>student loan tracker</x:v>
      </x:c>
      <x:c r="AA620" s="10" t="str">
        <x:v>credit card tracker</x:v>
      </x:c>
      <x:c r="AB620" s="10" t="str">
        <x:v>loan tracker</x:v>
      </x:c>
      <x:c r="AC620" s="10" t="str">
        <x:v>budget spreadsheet</x:v>
      </x:c>
      <x:c r="AD620" s="10" t="str">
        <x:v>mortgage payoff</x:v>
      </x:c>
      <x:c r="AE620" s="10" t="str">
        <x:v>budget google sheets</x:v>
      </x:c>
      <x:c r="AF620" s="10" t="str">
        <x:v>avalanche calculator</x:v>
      </x:c>
      <x:c r="AG620" s="10" t="str">
        <x:v>snowball calculator</x:v>
      </x:c>
      <x:c r="AH620" s="10" t="str">
        <x:v>General debt payoff</x:v>
      </x:c>
      <x:c r="AI620" s="13" t="n">
        <x:v>9</x:v>
      </x:c>
      <x:c r="AJ620" s="10" t="str">
        <x:f>IF(F620&gt;0,"Active","No est. sales")</x:f>
        <x:v>No est. sales</x:v>
      </x:c>
    </x:row>
    <x:row r="621">
      <x:c r="A621" s="10" t="str">
        <x:v>Excel Line of Credit Calculator | Payoff Schedule + Interest Tracker</x:v>
      </x:c>
      <x:c r="B621" s="10" t="str">
        <x:v>https://www.etsy.com/listing/1523944533/excel-line-of-credit-calculator-payoff</x:v>
      </x:c>
      <x:c r="C621" s="10" t="str">
        <x:v>XLeratedSpreadsheets</x:v>
      </x:c>
      <x:c r="D621" s="10" t="str">
        <x:v>https://www.etsy.com/shop/XLeratedSpreadsheets</x:v>
      </x:c>
      <x:c r="E621" s="11" t="n">
        <x:v>5.67</x:v>
      </x:c>
      <x:c r="F621" s="10" t="n">
        <x:v>0</x:v>
      </x:c>
      <x:c r="G621" s="12" t="n">
        <x:v>0</x:v>
      </x:c>
      <x:c r="H621" s="13" t="n">
        <x:v>0</x:v>
      </x:c>
      <x:c r="I621" s="10" t="n">
        <x:v>0</x:v>
      </x:c>
      <x:c r="J621" s="10" t="n">
        <x:v>2</x:v>
      </x:c>
      <x:c r="K621" s="10" t="str">
        <x:v>36 Mo.</x:v>
      </x:c>
      <x:c r="L621" s="10" t="n">
        <x:v>2</x:v>
      </x:c>
      <x:c r="M621" s="10" t="n">
        <x:v>0</x:v>
      </x:c>
      <x:c r="N621" s="10" t="n">
        <x:v>134</x:v>
      </x:c>
      <x:c r="O621" s="10" t="str">
        <x:v>Paper &amp; Party Supplies</x:v>
      </x:c>
      <x:c r="P621" s="10" t="n">
        <x:v>36</x:v>
      </x:c>
      <x:c r="Q621" s="10" t="n">
        <x:v>0</x:v>
      </x:c>
      <x:c r="R621" s="13" t="n">
        <x:v>0</x:v>
      </x:c>
      <x:c r="S621" s="10" t="n">
        <x:v>6</x:v>
      </x:c>
      <x:c r="T621" s="10" t="str">
        <x:v>line of credit,excel,spreadsheet,template,planner,finance,schedule,interest,microsoft,calculator,loan,mortgage,money</x:v>
      </x:c>
      <x:c r="U621" s="10" t="str">
        <x:v>line of credit</x:v>
      </x:c>
      <x:c r="V621" s="10" t="str">
        <x:v>excel</x:v>
      </x:c>
      <x:c r="W621" s="10" t="str">
        <x:v>spreadsheet</x:v>
      </x:c>
      <x:c r="X621" s="10" t="str">
        <x:v>template</x:v>
      </x:c>
      <x:c r="Y621" s="10" t="str">
        <x:v>planner</x:v>
      </x:c>
      <x:c r="Z621" s="10" t="str">
        <x:v>finance</x:v>
      </x:c>
      <x:c r="AA621" s="10" t="str">
        <x:v>schedule</x:v>
      </x:c>
      <x:c r="AB621" s="10" t="str">
        <x:v>interest</x:v>
      </x:c>
      <x:c r="AC621" s="10" t="str">
        <x:v>microsoft</x:v>
      </x:c>
      <x:c r="AD621" s="10" t="str">
        <x:v>calculator</x:v>
      </x:c>
      <x:c r="AE621" s="10" t="str">
        <x:v>loan</x:v>
      </x:c>
      <x:c r="AF621" s="10" t="str">
        <x:v>mortgage</x:v>
      </x:c>
      <x:c r="AG621" s="10" t="str">
        <x:v>money</x:v>
      </x:c>
      <x:c r="AH621" s="10" t="str">
        <x:v>Other mortgage-related</x:v>
      </x:c>
      <x:c r="AI621" s="13" t="n">
        <x:v>36</x:v>
      </x:c>
      <x:c r="AJ621" s="10" t="str">
        <x:f>IF(F621&gt;0,"Active","No est. sales")</x:f>
        <x:v>No est. sales</x:v>
      </x:c>
    </x:row>
    <x:row r="622">
      <x:c r="A622" s="10" t="str">
        <x:v>Rent Due Planner Stickers - Font 8 | Matte White or Clear Gloss with Foiling Options</x:v>
      </x:c>
      <x:c r="B622" s="10" t="str">
        <x:v>https://www.etsy.com/listing/4510318956/rent-due-planner-stickers-font-8-matte</x:v>
      </x:c>
      <x:c r="C622" s="10" t="str">
        <x:v>LucidLair</x:v>
      </x:c>
      <x:c r="D622" s="10" t="str">
        <x:v>https://www.etsy.com/shop/LucidLair</x:v>
      </x:c>
      <x:c r="E622" s="11" t="n">
        <x:v>2.69</x:v>
      </x:c>
      <x:c r="F622" s="10" t="n">
        <x:v>0</x:v>
      </x:c>
      <x:c r="G622" s="12" t="n">
        <x:v>0</x:v>
      </x:c>
      <x:c r="H622" s="13" t="n">
        <x:v>0</x:v>
      </x:c>
      <x:c r="I622" s="10" t="n">
        <x:v>0</x:v>
      </x:c>
      <x:c r="J622" s="10" t="n">
        <x:v>0</x:v>
      </x:c>
      <x:c r="K622" s="10" t="str">
        <x:v>2 Mo.</x:v>
      </x:c>
      <x:c r="L622" s="10" t="n">
        <x:v>1</x:v>
      </x:c>
      <x:c r="M622" s="10" t="n">
        <x:v>0</x:v>
      </x:c>
      <x:c r="N622" s="10" t="n">
        <x:v>5</x:v>
      </x:c>
      <x:c r="O622" s="10" t="str">
        <x:v>Paper &amp; Party Supplies</x:v>
      </x:c>
      <x:c r="P622" s="10" t="n">
        <x:v>100</x:v>
      </x:c>
      <x:c r="Q622" s="10" t="n">
        <x:v>0</x:v>
      </x:c>
      <x:c r="R622" s="13" t="n">
        <x:v>0</x:v>
      </x:c>
      <x:c r="S622" s="10" t="n">
        <x:v>13927</x:v>
      </x:c>
      <x:c r="T622" s="10" t="str">
        <x:v>finance stickers,clear stickers,bill stickers,rent stickers,rent due stickers,mortgage stickers,payment stickers,pay bills stickers,word stickers,mini icon stickers,clear planner mini,typewriter stickers,typewriter planner</x:v>
      </x:c>
      <x:c r="U622" s="10" t="str">
        <x:v>finance stickers</x:v>
      </x:c>
      <x:c r="V622" s="10" t="str">
        <x:v>clear stickers</x:v>
      </x:c>
      <x:c r="W622" s="10" t="str">
        <x:v>bill stickers</x:v>
      </x:c>
      <x:c r="X622" s="10" t="str">
        <x:v>rent stickers</x:v>
      </x:c>
      <x:c r="Y622" s="10" t="str">
        <x:v>rent due stickers</x:v>
      </x:c>
      <x:c r="Z622" s="10" t="str">
        <x:v>mortgage stickers</x:v>
      </x:c>
      <x:c r="AA622" s="10" t="str">
        <x:v>payment stickers</x:v>
      </x:c>
      <x:c r="AB622" s="10" t="str">
        <x:v>pay bills stickers</x:v>
      </x:c>
      <x:c r="AC622" s="10" t="str">
        <x:v>word stickers</x:v>
      </x:c>
      <x:c r="AD622" s="10" t="str">
        <x:v>mini icon stickers</x:v>
      </x:c>
      <x:c r="AE622" s="10" t="str">
        <x:v>clear planner mini</x:v>
      </x:c>
      <x:c r="AF622" s="10" t="str">
        <x:v>typewriter stickers</x:v>
      </x:c>
      <x:c r="AG622" s="10" t="str">
        <x:v>typewriter planner</x:v>
      </x:c>
      <x:c r="AH622" s="10" t="str">
        <x:v>Other mortgage-related</x:v>
      </x:c>
      <x:c r="AI622" s="13" t="n">
        <x:v>2</x:v>
      </x:c>
      <x:c r="AJ622" s="10" t="str">
        <x:f>IF(F622&gt;0,"Active","No est. sales")</x:f>
        <x:v>No est. sales</x:v>
      </x:c>
    </x:row>
    <x:row r="623">
      <x:c r="A623" s="10" t="str">
        <x:v>Mortgage Calculator Excel Template | Loan Payment &amp; Payoff Planner</x:v>
      </x:c>
      <x:c r="B623" s="10" t="str">
        <x:v>https://www.etsy.com/listing/512216670/mortgage-calculator-excel-template-loan</x:v>
      </x:c>
      <x:c r="C623" s="10" t="str">
        <x:v>someka</x:v>
      </x:c>
      <x:c r="D623" s="10" t="str">
        <x:v>https://www.etsy.com/shop/someka</x:v>
      </x:c>
      <x:c r="E623" s="11" t="n">
        <x:v>24.95</x:v>
      </x:c>
      <x:c r="F623" s="10" t="n">
        <x:v>0</x:v>
      </x:c>
      <x:c r="G623" s="12" t="n">
        <x:v>0</x:v>
      </x:c>
      <x:c r="H623" s="13" t="n">
        <x:v>0</x:v>
      </x:c>
      <x:c r="I623" s="10" t="n">
        <x:v>0</x:v>
      </x:c>
      <x:c r="J623" s="10" t="n">
        <x:v>0</x:v>
      </x:c>
      <x:c r="K623" s="10" t="str">
        <x:v>111 Mo.</x:v>
      </x:c>
      <x:c r="L623" s="10" t="n">
        <x:v>21</x:v>
      </x:c>
      <x:c r="M623" s="10" t="n">
        <x:v>0</x:v>
      </x:c>
      <x:c r="N623" s="10" t="n">
        <x:v>3475</x:v>
      </x:c>
      <x:c r="O623" s="10" t="str"/>
      <x:c r="P623" s="10" t="n">
        <x:v>123</x:v>
      </x:c>
      <x:c r="Q623" s="10" t="n">
        <x:v>0</x:v>
      </x:c>
      <x:c r="R623" s="13" t="n">
        <x:v>0</x:v>
      </x:c>
      <x:c r="S623" s="10" t="n">
        <x:v>9991</x:v>
      </x:c>
      <x:c r="T623" s="10" t="str">
        <x:v>buying house,mortgage calculator,personal finance,excel template,mortgage calcul,excel mortgage,mortgage payment,adjustable rate,calculator template,mortgage interest,mortgage rates,mortgage approval,house adjustment</x:v>
      </x:c>
      <x:c r="U623" s="10" t="str">
        <x:v>buying house</x:v>
      </x:c>
      <x:c r="V623" s="10" t="str">
        <x:v>mortgage calculator</x:v>
      </x:c>
      <x:c r="W623" s="10" t="str">
        <x:v>personal finance</x:v>
      </x:c>
      <x:c r="X623" s="10" t="str">
        <x:v>excel template</x:v>
      </x:c>
      <x:c r="Y623" s="10" t="str">
        <x:v>mortgage calcul</x:v>
      </x:c>
      <x:c r="Z623" s="10" t="str">
        <x:v>excel mortgage</x:v>
      </x:c>
      <x:c r="AA623" s="10" t="str">
        <x:v>mortgage payment</x:v>
      </x:c>
      <x:c r="AB623" s="10" t="str">
        <x:v>adjustable rate</x:v>
      </x:c>
      <x:c r="AC623" s="10" t="str">
        <x:v>calculator template</x:v>
      </x:c>
      <x:c r="AD623" s="10" t="str">
        <x:v>mortgage interest</x:v>
      </x:c>
      <x:c r="AE623" s="10" t="str">
        <x:v>mortgage rates</x:v>
      </x:c>
      <x:c r="AF623" s="10" t="str">
        <x:v>mortgage approval</x:v>
      </x:c>
      <x:c r="AG623" s="10" t="str">
        <x:v>house adjustment</x:v>
      </x:c>
      <x:c r="AH623" s="10" t="str">
        <x:v>Mortgage payoff / calculator</x:v>
      </x:c>
      <x:c r="AI623" s="13" t="n">
        <x:v>111</x:v>
      </x:c>
      <x:c r="AJ623" s="10" t="str">
        <x:f>IF(F623&gt;0,"Active","No est. sales")</x:f>
        <x:v>No est. sales</x:v>
      </x:c>
    </x:row>
    <x:row r="624">
      <x:c r="A624" s="10" t="str">
        <x:v>Debt Payment Tracker Printable: Debt Snowball, Budget Planner (A4/A5/Letter/Half Instant Download)</x:v>
      </x:c>
      <x:c r="B624" s="10" t="str">
        <x:v>https://www.etsy.com/listing/4321246160/debt-payment-tracker-printable-debt</x:v>
      </x:c>
      <x:c r="C624" s="10" t="str">
        <x:v>TheBudgetingBoy</x:v>
      </x:c>
      <x:c r="D624" s="10" t="str">
        <x:v>https://www.etsy.com/shop/TheBudgetingBoy</x:v>
      </x:c>
      <x:c r="E624" s="11" t="n">
        <x:v>2.03</x:v>
      </x:c>
      <x:c r="F624" s="10" t="n">
        <x:v>0</x:v>
      </x:c>
      <x:c r="G624" s="12" t="n">
        <x:v>0</x:v>
      </x:c>
      <x:c r="H624" s="13" t="n">
        <x:v>0</x:v>
      </x:c>
      <x:c r="I624" s="10" t="n">
        <x:v>0</x:v>
      </x:c>
      <x:c r="J624" s="10" t="n">
        <x:v>0</x:v>
      </x:c>
      <x:c r="K624" s="10" t="str">
        <x:v>8 Mo.</x:v>
      </x:c>
      <x:c r="L624" s="10" t="n">
        <x:v>4</x:v>
      </x:c>
      <x:c r="M624" s="10" t="n">
        <x:v>0</x:v>
      </x:c>
      <x:c r="N624" s="10" t="n">
        <x:v>26</x:v>
      </x:c>
      <x:c r="O624" s="10" t="str"/>
      <x:c r="P624" s="10" t="n">
        <x:v>29</x:v>
      </x:c>
      <x:c r="Q624" s="10" t="n">
        <x:v>0</x:v>
      </x:c>
      <x:c r="R624" s="13" t="n">
        <x:v>0</x:v>
      </x:c>
      <x:c r="S624" s="10" t="n">
        <x:v>1984</x:v>
      </x:c>
      <x:c r="T624" s="10" t="str">
        <x:v>instant pdf download,printable print,personal finance,a4 a5 letter half hp,page insert template,dave ramsey,simple minimalistic,planner worksheet,financial tracking,debt loan payoff,debts snowball,credit mortgage plan,payment tracker</x:v>
      </x:c>
      <x:c r="U624" s="10" t="str">
        <x:v>instant pdf download</x:v>
      </x:c>
      <x:c r="V624" s="10" t="str">
        <x:v>printable print</x:v>
      </x:c>
      <x:c r="W624" s="10" t="str">
        <x:v>personal finance</x:v>
      </x:c>
      <x:c r="X624" s="10" t="str">
        <x:v>a4 a5 letter half hp</x:v>
      </x:c>
      <x:c r="Y624" s="10" t="str">
        <x:v>page insert template</x:v>
      </x:c>
      <x:c r="Z624" s="10" t="str">
        <x:v>dave ramsey</x:v>
      </x:c>
      <x:c r="AA624" s="10" t="str">
        <x:v>simple minimalistic</x:v>
      </x:c>
      <x:c r="AB624" s="10" t="str">
        <x:v>planner worksheet</x:v>
      </x:c>
      <x:c r="AC624" s="10" t="str">
        <x:v>financial tracking</x:v>
      </x:c>
      <x:c r="AD624" s="10" t="str">
        <x:v>debt loan payoff</x:v>
      </x:c>
      <x:c r="AE624" s="10" t="str">
        <x:v>debts snowball</x:v>
      </x:c>
      <x:c r="AF624" s="10" t="str">
        <x:v>credit mortgage plan</x:v>
      </x:c>
      <x:c r="AG624" s="10" t="str">
        <x:v>payment tracker</x:v>
      </x:c>
      <x:c r="AH624" s="10" t="str">
        <x:v>General debt payoff</x:v>
      </x:c>
      <x:c r="AI624" s="13" t="n">
        <x:v>8</x:v>
      </x:c>
      <x:c r="AJ624" s="10" t="str">
        <x:f>IF(F624&gt;0,"Active","No est. sales")</x:f>
        <x:v>No est. sales</x:v>
      </x:c>
    </x:row>
    <x:row r="625">
      <x:c r="A625" s="10" t="str">
        <x:v>CUSTOM House Icon Stickers for Planners or Calendars BLACK TEXT</x:v>
      </x:c>
      <x:c r="B625" s="10" t="str">
        <x:v>https://www.etsy.com/listing/806125864/custom-house-icon-stickers-for-planners</x:v>
      </x:c>
      <x:c r="C625" s="10" t="str">
        <x:v>PaperDayDesign</x:v>
      </x:c>
      <x:c r="D625" s="10" t="str">
        <x:v>https://www.etsy.com/shop/PaperDayDesign</x:v>
      </x:c>
      <x:c r="E625" s="11" t="n">
        <x:v>4</x:v>
      </x:c>
      <x:c r="F625" s="10" t="n">
        <x:v>0</x:v>
      </x:c>
      <x:c r="G625" s="12" t="n">
        <x:v>0</x:v>
      </x:c>
      <x:c r="H625" s="13" t="n">
        <x:v>0</x:v>
      </x:c>
      <x:c r="I625" s="10" t="n">
        <x:v>84</x:v>
      </x:c>
      <x:c r="J625" s="10" t="n">
        <x:v>13</x:v>
      </x:c>
      <x:c r="K625" s="10" t="str">
        <x:v>62 Mo.</x:v>
      </x:c>
      <x:c r="L625" s="10" t="n">
        <x:v>47</x:v>
      </x:c>
      <x:c r="M625" s="10" t="n">
        <x:v>0</x:v>
      </x:c>
      <x:c r="N625" s="10" t="n">
        <x:v>1732</x:v>
      </x:c>
      <x:c r="O625" s="10" t="str">
        <x:v>Paper &amp; Party Supplies</x:v>
      </x:c>
      <x:c r="P625" s="10" t="n">
        <x:v>88</x:v>
      </x:c>
      <x:c r="Q625" s="10" t="n">
        <x:v>0</x:v>
      </x:c>
      <x:c r="R625" s="13" t="n">
        <x:v>4.85</x:v>
      </x:c>
      <x:c r="S625" s="10" t="n">
        <x:v>38700</x:v>
      </x:c>
      <x:c r="T625" s="10" t="str">
        <x:v>custody calendar,icon planner sticker,erin condren,happy planner,functional planner,moving calendar,rent payment,mortgage icon,home planner,house icon sticker,blank house icon,blank house sticker,mom dad house</x:v>
      </x:c>
      <x:c r="U625" s="10" t="str">
        <x:v>custody calendar</x:v>
      </x:c>
      <x:c r="V625" s="10" t="str">
        <x:v>icon planner sticker</x:v>
      </x:c>
      <x:c r="W625" s="10" t="str">
        <x:v>erin condren</x:v>
      </x:c>
      <x:c r="X625" s="10" t="str">
        <x:v>happy planner</x:v>
      </x:c>
      <x:c r="Y625" s="10" t="str">
        <x:v>functional planner</x:v>
      </x:c>
      <x:c r="Z625" s="10" t="str">
        <x:v>moving calendar</x:v>
      </x:c>
      <x:c r="AA625" s="10" t="str">
        <x:v>rent payment</x:v>
      </x:c>
      <x:c r="AB625" s="10" t="str">
        <x:v>mortgage icon</x:v>
      </x:c>
      <x:c r="AC625" s="10" t="str">
        <x:v>home planner</x:v>
      </x:c>
      <x:c r="AD625" s="10" t="str">
        <x:v>house icon sticker</x:v>
      </x:c>
      <x:c r="AE625" s="10" t="str">
        <x:v>blank house icon</x:v>
      </x:c>
      <x:c r="AF625" s="10" t="str">
        <x:v>blank house sticker</x:v>
      </x:c>
      <x:c r="AG625" s="10" t="str">
        <x:v>mom dad house</x:v>
      </x:c>
      <x:c r="AH625" s="10" t="str">
        <x:v>Other mortgage-related</x:v>
      </x:c>
      <x:c r="AI625" s="13" t="n">
        <x:v>62</x:v>
      </x:c>
      <x:c r="AJ625" s="10" t="str">
        <x:f>IF(F625&gt;0,"Active","No est. sales")</x:f>
        <x:v>No est. sales</x:v>
      </x:c>
    </x:row>
    <x:row r="626">
      <x:c r="A626" s="10" t="str">
        <x:v>Budget Bills Icons Planner Stickers, Hand-Drawn Gas, House Rent / Mortgage , Trash, Cable TV Bill, Mini Icons, Printable Sticker - CUT FILES</x:v>
      </x:c>
      <x:c r="B626" s="10" t="str">
        <x:v>https://www.etsy.com/listing/1644984557/budget-bills-icons-planner-stickers-hand</x:v>
      </x:c>
      <x:c r="C626" s="10" t="str">
        <x:v>ilove2print</x:v>
      </x:c>
      <x:c r="D626" s="10" t="str">
        <x:v>https://www.etsy.com/shop/ilove2print</x:v>
      </x:c>
      <x:c r="E626" s="11" t="n">
        <x:v>3.2</x:v>
      </x:c>
      <x:c r="F626" s="10" t="n">
        <x:v>0</x:v>
      </x:c>
      <x:c r="G626" s="12" t="n">
        <x:v>0</x:v>
      </x:c>
      <x:c r="H626" s="13" t="n">
        <x:v>0</x:v>
      </x:c>
      <x:c r="I626" s="10" t="n">
        <x:v>8</x:v>
      </x:c>
      <x:c r="J626" s="10" t="n">
        <x:v>1</x:v>
      </x:c>
      <x:c r="K626" s="10" t="str">
        <x:v>15 Mo.</x:v>
      </x:c>
      <x:c r="L626" s="10" t="n">
        <x:v>18</x:v>
      </x:c>
      <x:c r="M626" s="10" t="n">
        <x:v>0</x:v>
      </x:c>
      <x:c r="N626" s="10" t="n">
        <x:v>129</x:v>
      </x:c>
      <x:c r="O626" s="10" t="str">
        <x:v>Paper &amp; Party Supplies</x:v>
      </x:c>
      <x:c r="P626" s="10" t="n">
        <x:v>128</x:v>
      </x:c>
      <x:c r="Q626" s="10" t="n">
        <x:v>0</x:v>
      </x:c>
      <x:c r="R626" s="13" t="n">
        <x:v>6.2</x:v>
      </x:c>
      <x:c r="S626" s="10" t="n">
        <x:v>160438</x:v>
      </x:c>
      <x:c r="T626" s="10" t="str">
        <x:v>printable stickers,planner stickers,functional stickers,erin condren sticker,planner icons,icons stickers,doodle icons,budget icons,bills icons,house rent,trash bill,cable tv,house mortgage</x:v>
      </x:c>
      <x:c r="U626" s="10" t="str">
        <x:v>printable stickers</x:v>
      </x:c>
      <x:c r="V626" s="10" t="str">
        <x:v>planner stickers</x:v>
      </x:c>
      <x:c r="W626" s="10" t="str">
        <x:v>functional stickers</x:v>
      </x:c>
      <x:c r="X626" s="10" t="str">
        <x:v>erin condren sticker</x:v>
      </x:c>
      <x:c r="Y626" s="10" t="str">
        <x:v>planner icons</x:v>
      </x:c>
      <x:c r="Z626" s="10" t="str">
        <x:v>icons stickers</x:v>
      </x:c>
      <x:c r="AA626" s="10" t="str">
        <x:v>doodle icons</x:v>
      </x:c>
      <x:c r="AB626" s="10" t="str">
        <x:v>budget icons</x:v>
      </x:c>
      <x:c r="AC626" s="10" t="str">
        <x:v>bills icons</x:v>
      </x:c>
      <x:c r="AD626" s="10" t="str">
        <x:v>house rent</x:v>
      </x:c>
      <x:c r="AE626" s="10" t="str">
        <x:v>trash bill</x:v>
      </x:c>
      <x:c r="AF626" s="10" t="str">
        <x:v>cable tv</x:v>
      </x:c>
      <x:c r="AG626" s="10" t="str">
        <x:v>house mortgage</x:v>
      </x:c>
      <x:c r="AH626" s="10" t="str">
        <x:v>Other mortgage-related</x:v>
      </x:c>
      <x:c r="AI626" s="13" t="n">
        <x:v>15</x:v>
      </x:c>
      <x:c r="AJ626" s="10" t="str">
        <x:f>IF(F626&gt;0,"Active","No est. sales")</x:f>
        <x:v>No est. sales</x:v>
      </x:c>
    </x:row>
    <x:row r="627">
      <x:c r="A627" s="10" t="str">
        <x:v>Home Buying Planner – Printable House Hunting Organizer | Budget, Checklist &amp; Mortgage Tracker | Digital PDF</x:v>
      </x:c>
      <x:c r="B627" s="10" t="str">
        <x:v>https://www.etsy.com/listing/4375151212/home-buying-planner-printable-house</x:v>
      </x:c>
      <x:c r="C627" s="10" t="str">
        <x:v>ChicDigitalCraft</x:v>
      </x:c>
      <x:c r="D627" s="10" t="str">
        <x:v>https://www.etsy.com/shop/ChicDigitalCraft</x:v>
      </x:c>
      <x:c r="E627" s="11" t="n">
        <x:v>1.98</x:v>
      </x:c>
      <x:c r="F627" s="10" t="n">
        <x:v>0</x:v>
      </x:c>
      <x:c r="G627" s="12" t="n">
        <x:v>0</x:v>
      </x:c>
      <x:c r="H627" s="13" t="n">
        <x:v>0</x:v>
      </x:c>
      <x:c r="I627" s="10" t="n">
        <x:v>0</x:v>
      </x:c>
      <x:c r="J627" s="10" t="n">
        <x:v>0</x:v>
      </x:c>
      <x:c r="K627" s="10" t="str">
        <x:v>4 Mo.</x:v>
      </x:c>
      <x:c r="L627" s="10" t="n">
        <x:v>0</x:v>
      </x:c>
      <x:c r="M627" s="10" t="n">
        <x:v>0</x:v>
      </x:c>
      <x:c r="N627" s="10" t="n">
        <x:v>7</x:v>
      </x:c>
      <x:c r="O627" s="10" t="str"/>
      <x:c r="P627" s="10" t="n">
        <x:v>5</x:v>
      </x:c>
      <x:c r="Q627" s="10" t="n">
        <x:v>0</x:v>
      </x:c>
      <x:c r="R627" s="13" t="n">
        <x:v>0</x:v>
      </x:c>
      <x:c r="S627" s="10" t="n">
        <x:v>38</x:v>
      </x:c>
      <x:c r="T627" s="10" t="str">
        <x:v>home buying planner,home buying,house hunting,hunting printable,first time buyer,buyer checklist,house printable,digital home planner,real estate planner,canva editable,instant pdf,ultimate planner,notion planner</x:v>
      </x:c>
      <x:c r="U627" s="10" t="str">
        <x:v>home buying planner</x:v>
      </x:c>
      <x:c r="V627" s="10" t="str">
        <x:v>home buying</x:v>
      </x:c>
      <x:c r="W627" s="10" t="str">
        <x:v>house hunting</x:v>
      </x:c>
      <x:c r="X627" s="10" t="str">
        <x:v>hunting printable</x:v>
      </x:c>
      <x:c r="Y627" s="10" t="str">
        <x:v>first time buyer</x:v>
      </x:c>
      <x:c r="Z627" s="10" t="str">
        <x:v>buyer checklist</x:v>
      </x:c>
      <x:c r="AA627" s="10" t="str">
        <x:v>house printable</x:v>
      </x:c>
      <x:c r="AB627" s="10" t="str">
        <x:v>digital home planner</x:v>
      </x:c>
      <x:c r="AC627" s="10" t="str">
        <x:v>real estate planner</x:v>
      </x:c>
      <x:c r="AD627" s="10" t="str">
        <x:v>canva editable</x:v>
      </x:c>
      <x:c r="AE627" s="10" t="str">
        <x:v>instant pdf</x:v>
      </x:c>
      <x:c r="AF627" s="10" t="str">
        <x:v>ultimate planner</x:v>
      </x:c>
      <x:c r="AG627" s="10" t="str">
        <x:v>notion planner</x:v>
      </x:c>
      <x:c r="AH627" s="10" t="str">
        <x:v>Home buying planner</x:v>
      </x:c>
      <x:c r="AI627" s="13" t="n">
        <x:v>4</x:v>
      </x:c>
      <x:c r="AJ627" s="10" t="str">
        <x:f>IF(F627&gt;0,"Active","No est. sales")</x:f>
        <x:v>No est. sales</x:v>
      </x:c>
    </x:row>
    <x:row r="628">
      <x:c r="A628" s="10" t="str">
        <x:v>Mortgage Payoff Calculator Excel Spreadsheet, Early Mortgage Payoff Tracker, Extra Payment &amp; Amortization Schedule, Instant Download</x:v>
      </x:c>
      <x:c r="B628" s="10" t="str">
        <x:v>https://www.etsy.com/listing/4529667648/mortgage-payoff-calculator-excel</x:v>
      </x:c>
      <x:c r="C628" s="10" t="str">
        <x:v>NickInvestsStudio</x:v>
      </x:c>
      <x:c r="D628" s="10" t="str">
        <x:v>https://www.etsy.com/shop/NickInvestsStudio</x:v>
      </x:c>
      <x:c r="E628" s="11" t="n">
        <x:v>1.23</x:v>
      </x:c>
      <x:c r="F628" s="10" t="n">
        <x:v>0</x:v>
      </x:c>
      <x:c r="G628" s="12" t="n">
        <x:v>0</x:v>
      </x:c>
      <x:c r="H628" s="13" t="n">
        <x:v>0</x:v>
      </x:c>
      <x:c r="I628" s="10" t="n">
        <x:v>0</x:v>
      </x:c>
      <x:c r="J628" s="10" t="n">
        <x:v>0</x:v>
      </x:c>
      <x:c r="K628" s="10" t="str">
        <x:v>1 Mo.</x:v>
      </x:c>
      <x:c r="L628" s="10" t="n">
        <x:v>0</x:v>
      </x:c>
      <x:c r="M628" s="10" t="n">
        <x:v>0</x:v>
      </x:c>
      <x:c r="N628" s="10" t="n">
        <x:v>8</x:v>
      </x:c>
      <x:c r="O628" s="10" t="str"/>
      <x:c r="P628" s="10" t="n">
        <x:v>1</x:v>
      </x:c>
      <x:c r="Q628" s="10" t="n">
        <x:v>0</x:v>
      </x:c>
      <x:c r="R628" s="13" t="n">
        <x:v>0</x:v>
      </x:c>
      <x:c r="S628" s="10" t="n">
        <x:v>0</x:v>
      </x:c>
      <x:c r="T628" s="10" t="str">
        <x:v>mortgage tracker,early payoff,home loan calculator,extra payment calc,amortization schedul,pay off mortgage,mortgage planner,loan payoff tracker,interest savings,biweekly mortgage,refinance calculator,excel spreadsheet,debt free home</x:v>
      </x:c>
      <x:c r="U628" s="10" t="str">
        <x:v>mortgage tracker</x:v>
      </x:c>
      <x:c r="V628" s="10" t="str">
        <x:v>early payoff</x:v>
      </x:c>
      <x:c r="W628" s="10" t="str">
        <x:v>home loan calculator</x:v>
      </x:c>
      <x:c r="X628" s="10" t="str">
        <x:v>extra payment calc</x:v>
      </x:c>
      <x:c r="Y628" s="10" t="str">
        <x:v>amortization schedul</x:v>
      </x:c>
      <x:c r="Z628" s="10" t="str">
        <x:v>pay off mortgage</x:v>
      </x:c>
      <x:c r="AA628" s="10" t="str">
        <x:v>mortgage planner</x:v>
      </x:c>
      <x:c r="AB628" s="10" t="str">
        <x:v>loan payoff tracker</x:v>
      </x:c>
      <x:c r="AC628" s="10" t="str">
        <x:v>interest savings</x:v>
      </x:c>
      <x:c r="AD628" s="10" t="str">
        <x:v>biweekly mortgage</x:v>
      </x:c>
      <x:c r="AE628" s="10" t="str">
        <x:v>refinance calculator</x:v>
      </x:c>
      <x:c r="AF628" s="10" t="str">
        <x:v>excel spreadsheet</x:v>
      </x:c>
      <x:c r="AG628" s="10" t="str">
        <x:v>debt free home</x:v>
      </x:c>
      <x:c r="AH628" s="10" t="str">
        <x:v>Mortgage payoff / calculator</x:v>
      </x:c>
      <x:c r="AI628" s="13" t="n">
        <x:v>1</x:v>
      </x:c>
      <x:c r="AJ628" s="10" t="str">
        <x:f>IF(F628&gt;0,"Active","No est. sales")</x:f>
        <x:v>No est. sales</x:v>
      </x:c>
    </x:row>
    <x:row r="629">
      <x:c r="A629" s="10" t="str">
        <x:v>Loan Calculator Digital Google Sheet Snowball Ollawai</x:v>
      </x:c>
      <x:c r="B629" s="10" t="str">
        <x:v>https://www.etsy.com/listing/1480131382/loan-calculator-digital-google-sheet</x:v>
      </x:c>
      <x:c r="C629" s="10" t="str">
        <x:v>ollawai</x:v>
      </x:c>
      <x:c r="D629" s="10" t="str">
        <x:v>https://www.etsy.com/shop/ollawai</x:v>
      </x:c>
      <x:c r="E629" s="11" t="n">
        <x:v>2</x:v>
      </x:c>
      <x:c r="F629" s="10" t="n">
        <x:v>0</x:v>
      </x:c>
      <x:c r="G629" s="12" t="n">
        <x:v>0</x:v>
      </x:c>
      <x:c r="H629" s="13" t="n">
        <x:v>0</x:v>
      </x:c>
      <x:c r="I629" s="10" t="n">
        <x:v>1</x:v>
      </x:c>
      <x:c r="J629" s="10" t="n">
        <x:v>1</x:v>
      </x:c>
      <x:c r="K629" s="10" t="str">
        <x:v>33 Mo.</x:v>
      </x:c>
      <x:c r="L629" s="10" t="n">
        <x:v>2</x:v>
      </x:c>
      <x:c r="M629" s="10" t="n">
        <x:v>0</x:v>
      </x:c>
      <x:c r="N629" s="10" t="n">
        <x:v>60</x:v>
      </x:c>
      <x:c r="O629" s="10" t="str">
        <x:v>Paper &amp; Party Supplies</x:v>
      </x:c>
      <x:c r="P629" s="10" t="n">
        <x:v>51</x:v>
      </x:c>
      <x:c r="Q629" s="10" t="n">
        <x:v>0</x:v>
      </x:c>
      <x:c r="R629" s="13" t="n">
        <x:v>1.67</x:v>
      </x:c>
      <x:c r="S629" s="10" t="n">
        <x:v>103</x:v>
      </x:c>
      <x:c r="T629" s="10" t="str">
        <x:v>loan calculator,loan,mortgage,planner,digital,personalfinance,monthlypaymentcalcu,principalrepayment,debt calculator,debt,debt snowball,snowball,ollawai</x:v>
      </x:c>
      <x:c r="U629" s="10" t="str">
        <x:v>loan calculator</x:v>
      </x:c>
      <x:c r="V629" s="10" t="str">
        <x:v>loan</x:v>
      </x:c>
      <x:c r="W629" s="10" t="str">
        <x:v>mortgage</x:v>
      </x:c>
      <x:c r="X629" s="10" t="str">
        <x:v>planner</x:v>
      </x:c>
      <x:c r="Y629" s="10" t="str">
        <x:v>digital</x:v>
      </x:c>
      <x:c r="Z629" s="10" t="str">
        <x:v>personalfinance</x:v>
      </x:c>
      <x:c r="AA629" s="10" t="str">
        <x:v>monthlypaymentcalcu</x:v>
      </x:c>
      <x:c r="AB629" s="10" t="str">
        <x:v>principalrepayment</x:v>
      </x:c>
      <x:c r="AC629" s="10" t="str">
        <x:v>debt calculator</x:v>
      </x:c>
      <x:c r="AD629" s="10" t="str">
        <x:v>debt</x:v>
      </x:c>
      <x:c r="AE629" s="10" t="str">
        <x:v>debt snowball</x:v>
      </x:c>
      <x:c r="AF629" s="10" t="str">
        <x:v>snowball</x:v>
      </x:c>
      <x:c r="AG629" s="10" t="str">
        <x:v>ollawai</x:v>
      </x:c>
      <x:c r="AH629" s="10" t="str">
        <x:v>Other mortgage-related</x:v>
      </x:c>
      <x:c r="AI629" s="13" t="n">
        <x:v>33</x:v>
      </x:c>
      <x:c r="AJ629" s="10" t="str">
        <x:f>IF(F629&gt;0,"Active","No est. sales")</x:f>
        <x:v>No est. sales</x:v>
      </x:c>
    </x:row>
    <x:row r="630">
      <x:c r="A630" s="10" t="str">
        <x:v>Dave Ramsey Debt Snowball Calculator,debts, Excel Budget Planner spreadsheet, Financial Planner, Debt Payoff Automatic Tracker Template,</x:v>
      </x:c>
      <x:c r="B630" s="10" t="str">
        <x:v>https://www.etsy.com/listing/1567940951/dave-ramsey-debt-snowball</x:v>
      </x:c>
      <x:c r="C630" s="10" t="str">
        <x:v>TrackerPro</x:v>
      </x:c>
      <x:c r="D630" s="10" t="str">
        <x:v>https://www.etsy.com/shop/TrackerPro</x:v>
      </x:c>
      <x:c r="E630" s="11" t="n">
        <x:v>3.73</x:v>
      </x:c>
      <x:c r="F630" s="10" t="n">
        <x:v>0</x:v>
      </x:c>
      <x:c r="G630" s="12" t="n">
        <x:v>0</x:v>
      </x:c>
      <x:c r="H630" s="13" t="n">
        <x:v>0</x:v>
      </x:c>
      <x:c r="I630" s="10" t="n">
        <x:v>0</x:v>
      </x:c>
      <x:c r="J630" s="10" t="n">
        <x:v>0</x:v>
      </x:c>
      <x:c r="K630" s="10" t="str">
        <x:v>21 Mo.</x:v>
      </x:c>
      <x:c r="L630" s="10" t="n">
        <x:v>2</x:v>
      </x:c>
      <x:c r="M630" s="10" t="n">
        <x:v>0</x:v>
      </x:c>
      <x:c r="N630" s="10" t="n">
        <x:v>55</x:v>
      </x:c>
      <x:c r="O630" s="10" t="str">
        <x:v>Paper &amp; Party Supplies</x:v>
      </x:c>
      <x:c r="P630" s="10" t="n">
        <x:v>30</x:v>
      </x:c>
      <x:c r="Q630" s="10" t="n">
        <x:v>0</x:v>
      </x:c>
      <x:c r="R630" s="13" t="n">
        <x:v>0</x:v>
      </x:c>
      <x:c r="S630" s="10" t="n">
        <x:v>10563</x:v>
      </x:c>
      <x:c r="T630" s="10" t="str">
        <x:v>debt google sheets,debt spreadsheet,debt payoff tracker,budget planner,personal finance,mortgage payoff,debt snowball excel,debt tracker excel,snowball calculator,student loan payoff,credit card debt,financial planner,debt avalanche</x:v>
      </x:c>
      <x:c r="U630" s="10" t="str">
        <x:v>debt google sheets</x:v>
      </x:c>
      <x:c r="V630" s="10" t="str">
        <x:v>debt spreadsheet</x:v>
      </x:c>
      <x:c r="W630" s="10" t="str">
        <x:v>debt payoff tracker</x:v>
      </x:c>
      <x:c r="X630" s="10" t="str">
        <x:v>budget planner</x:v>
      </x:c>
      <x:c r="Y630" s="10" t="str">
        <x:v>personal finance</x:v>
      </x:c>
      <x:c r="Z630" s="10" t="str">
        <x:v>mortgage payoff</x:v>
      </x:c>
      <x:c r="AA630" s="10" t="str">
        <x:v>debt snowball excel</x:v>
      </x:c>
      <x:c r="AB630" s="10" t="str">
        <x:v>debt tracker excel</x:v>
      </x:c>
      <x:c r="AC630" s="10" t="str">
        <x:v>snowball calculator</x:v>
      </x:c>
      <x:c r="AD630" s="10" t="str">
        <x:v>student loan payoff</x:v>
      </x:c>
      <x:c r="AE630" s="10" t="str">
        <x:v>credit card debt</x:v>
      </x:c>
      <x:c r="AF630" s="10" t="str">
        <x:v>financial planner</x:v>
      </x:c>
      <x:c r="AG630" s="10" t="str">
        <x:v>debt avalanche</x:v>
      </x:c>
      <x:c r="AH630" s="10" t="str">
        <x:v>General debt payoff</x:v>
      </x:c>
      <x:c r="AI630" s="13" t="n">
        <x:v>21</x:v>
      </x:c>
      <x:c r="AJ630" s="10" t="str">
        <x:f>IF(F630&gt;0,"Active","No est. sales")</x:f>
        <x:v>No est. sales</x:v>
      </x:c>
    </x:row>
    <x:row r="631">
      <x:c r="A631" s="10" t="str">
        <x:v>UK House Deposit Planner | Lifetime ISA Bonus, Stamp Duty Calculator (Digital Download)</x:v>
      </x:c>
      <x:c r="B631" s="10" t="str">
        <x:v>https://www.etsy.com/listing/4496169890/uk-house-deposit-planner-lifetime-isa</x:v>
      </x:c>
      <x:c r="C631" s="10" t="str">
        <x:v>DMFinancial</x:v>
      </x:c>
      <x:c r="D631" s="10" t="str">
        <x:v>https://www.etsy.com/shop/DMFinancial</x:v>
      </x:c>
      <x:c r="E631" s="11" t="n">
        <x:v>6.68</x:v>
      </x:c>
      <x:c r="F631" s="10" t="n">
        <x:v>0</x:v>
      </x:c>
      <x:c r="G631" s="12" t="n">
        <x:v>0</x:v>
      </x:c>
      <x:c r="H631" s="13" t="n">
        <x:v>0</x:v>
      </x:c>
      <x:c r="I631" s="10" t="n">
        <x:v>0</x:v>
      </x:c>
      <x:c r="J631" s="10" t="n">
        <x:v>0</x:v>
      </x:c>
      <x:c r="K631" s="10" t="str">
        <x:v>2 Mo.</x:v>
      </x:c>
      <x:c r="L631" s="10" t="n">
        <x:v>1</x:v>
      </x:c>
      <x:c r="M631" s="10" t="n">
        <x:v>0</x:v>
      </x:c>
      <x:c r="N631" s="10" t="n">
        <x:v>8</x:v>
      </x:c>
      <x:c r="O631" s="10" t="str"/>
      <x:c r="P631" s="10" t="n">
        <x:v>3</x:v>
      </x:c>
      <x:c r="Q631" s="10" t="n">
        <x:v>0</x:v>
      </x:c>
      <x:c r="R631" s="13" t="n">
        <x:v>0</x:v>
      </x:c>
      <x:c r="S631" s="10" t="n">
        <x:v>1</x:v>
      </x:c>
      <x:c r="T631" s="10" t="str">
        <x:v>first time buyer uk,lifetime isa tracker,uk mortgage planner,ftb savings tracker,home deposit savings,uk first home tool,digital planner uk,uk savings tracker,house deposit,stamp duty 2026,lisa calculator,property goal,chartered planner</x:v>
      </x:c>
      <x:c r="U631" s="10" t="str">
        <x:v>first time buyer uk</x:v>
      </x:c>
      <x:c r="V631" s="10" t="str">
        <x:v>lifetime isa tracker</x:v>
      </x:c>
      <x:c r="W631" s="10" t="str">
        <x:v>uk mortgage planner</x:v>
      </x:c>
      <x:c r="X631" s="10" t="str">
        <x:v>ftb savings tracker</x:v>
      </x:c>
      <x:c r="Y631" s="10" t="str">
        <x:v>home deposit savings</x:v>
      </x:c>
      <x:c r="Z631" s="10" t="str">
        <x:v>uk first home tool</x:v>
      </x:c>
      <x:c r="AA631" s="10" t="str">
        <x:v>digital planner uk</x:v>
      </x:c>
      <x:c r="AB631" s="10" t="str">
        <x:v>uk savings tracker</x:v>
      </x:c>
      <x:c r="AC631" s="10" t="str">
        <x:v>house deposit</x:v>
      </x:c>
      <x:c r="AD631" s="10" t="str">
        <x:v>stamp duty 2026</x:v>
      </x:c>
      <x:c r="AE631" s="10" t="str">
        <x:v>lisa calculator</x:v>
      </x:c>
      <x:c r="AF631" s="10" t="str">
        <x:v>property goal</x:v>
      </x:c>
      <x:c r="AG631" s="10" t="str">
        <x:v>chartered planner</x:v>
      </x:c>
      <x:c r="AH631" s="10" t="str">
        <x:v>Other mortgage-related</x:v>
      </x:c>
      <x:c r="AI631" s="13" t="n">
        <x:v>2</x:v>
      </x:c>
      <x:c r="AJ631" s="10" t="str">
        <x:f>IF(F631&gt;0,"Active","No est. sales")</x:f>
        <x:v>No est. sales</x:v>
      </x:c>
    </x:row>
    <x:row r="632">
      <x:c r="A632" s="10" t="str">
        <x:v>Mortgage Payoff Calculator: Google Sheets &amp; Excel Template (Digital Download)</x:v>
      </x:c>
      <x:c r="B632" s="10" t="str">
        <x:v>https://www.etsy.com/listing/4327598353/mortgage-payoff-calculator-google-sheets</x:v>
      </x:c>
      <x:c r="C632" s="10" t="str">
        <x:v>INSPIRACORE</x:v>
      </x:c>
      <x:c r="D632" s="10" t="str">
        <x:v>https://www.etsy.com/shop/INSPIRACORE</x:v>
      </x:c>
      <x:c r="E632" s="11" t="n">
        <x:v>11.77</x:v>
      </x:c>
      <x:c r="F632" s="10" t="n">
        <x:v>0</x:v>
      </x:c>
      <x:c r="G632" s="12" t="n">
        <x:v>0</x:v>
      </x:c>
      <x:c r="H632" s="13" t="n">
        <x:v>0</x:v>
      </x:c>
      <x:c r="I632" s="10" t="n">
        <x:v>0</x:v>
      </x:c>
      <x:c r="J632" s="10" t="n">
        <x:v>0</x:v>
      </x:c>
      <x:c r="K632" s="10" t="str">
        <x:v>6 Mo.</x:v>
      </x:c>
      <x:c r="L632" s="10" t="n">
        <x:v>1</x:v>
      </x:c>
      <x:c r="M632" s="10" t="n">
        <x:v>0</x:v>
      </x:c>
      <x:c r="N632" s="10" t="n">
        <x:v>98</x:v>
      </x:c>
      <x:c r="O632" s="10" t="str"/>
      <x:c r="P632" s="10" t="n">
        <x:v>17</x:v>
      </x:c>
      <x:c r="Q632" s="10" t="n">
        <x:v>0</x:v>
      </x:c>
      <x:c r="R632" s="13" t="n">
        <x:v>0</x:v>
      </x:c>
      <x:c r="S632" s="10" t="n">
        <x:v>198</x:v>
      </x:c>
      <x:c r="T632" s="10" t="str">
        <x:v>mortgage payoff tool,loan payoff tracker,early loan payoff,home loan planner,extra payment sheet,excel mortgage sheet,finance tracker,xls loan payoff,mortgage calc sheet,home budget tool,loan tracker excel,google sheets loan,interest saver tool</x:v>
      </x:c>
      <x:c r="U632" s="10" t="str">
        <x:v>mortgage payoff tool</x:v>
      </x:c>
      <x:c r="V632" s="10" t="str">
        <x:v>loan payoff tracker</x:v>
      </x:c>
      <x:c r="W632" s="10" t="str">
        <x:v>early loan payoff</x:v>
      </x:c>
      <x:c r="X632" s="10" t="str">
        <x:v>home loan planner</x:v>
      </x:c>
      <x:c r="Y632" s="10" t="str">
        <x:v>extra payment sheet</x:v>
      </x:c>
      <x:c r="Z632" s="10" t="str">
        <x:v>excel mortgage sheet</x:v>
      </x:c>
      <x:c r="AA632" s="10" t="str">
        <x:v>finance tracker</x:v>
      </x:c>
      <x:c r="AB632" s="10" t="str">
        <x:v>xls loan payoff</x:v>
      </x:c>
      <x:c r="AC632" s="10" t="str">
        <x:v>mortgage calc sheet</x:v>
      </x:c>
      <x:c r="AD632" s="10" t="str">
        <x:v>home budget tool</x:v>
      </x:c>
      <x:c r="AE632" s="10" t="str">
        <x:v>loan tracker excel</x:v>
      </x:c>
      <x:c r="AF632" s="10" t="str">
        <x:v>google sheets loan</x:v>
      </x:c>
      <x:c r="AG632" s="10" t="str">
        <x:v>interest saver tool</x:v>
      </x:c>
      <x:c r="AH632" s="10" t="str">
        <x:v>Mortgage payoff / calculator</x:v>
      </x:c>
      <x:c r="AI632" s="13" t="n">
        <x:v>6</x:v>
      </x:c>
      <x:c r="AJ632" s="10" t="str">
        <x:f>IF(F632&gt;0,"Active","No est. sales")</x:f>
        <x:v>No est. sales</x:v>
      </x:c>
    </x:row>
    <x:row r="633">
      <x:c r="A633" s="10" t="str">
        <x:v>Comprehensive Home Buying Spreadsheet for Google Sheets | Mortgage Amortization &amp; Rent vs Buy Calculator</x:v>
      </x:c>
      <x:c r="B633" s="10" t="str">
        <x:v>https://www.etsy.com/listing/4485280533/google-sheets-home-buying-spreadsheet-o</x:v>
      </x:c>
      <x:c r="C633" s="10" t="str">
        <x:v>TynkrToolsAndCo</x:v>
      </x:c>
      <x:c r="D633" s="10" t="str">
        <x:v>https://www.etsy.com/shop/TynkrToolsAndCo</x:v>
      </x:c>
      <x:c r="E633" s="11" t="n">
        <x:v>24.99</x:v>
      </x:c>
      <x:c r="F633" s="10" t="n">
        <x:v>0</x:v>
      </x:c>
      <x:c r="G633" s="12" t="n">
        <x:v>0</x:v>
      </x:c>
      <x:c r="H633" s="13" t="n">
        <x:v>0</x:v>
      </x:c>
      <x:c r="I633" s="10" t="n">
        <x:v>0</x:v>
      </x:c>
      <x:c r="J633" s="10" t="n">
        <x:v>0</x:v>
      </x:c>
      <x:c r="K633" s="10" t="str">
        <x:v>3 Mo.</x:v>
      </x:c>
      <x:c r="L633" s="10" t="n">
        <x:v>0</x:v>
      </x:c>
      <x:c r="M633" s="10" t="n">
        <x:v>0</x:v>
      </x:c>
      <x:c r="N633" s="10" t="n">
        <x:v>2</x:v>
      </x:c>
      <x:c r="O633" s="10" t="str"/>
      <x:c r="P633" s="10" t="n">
        <x:v>4</x:v>
      </x:c>
      <x:c r="Q633" s="10" t="n">
        <x:v>0</x:v>
      </x:c>
      <x:c r="R633" s="13" t="n">
        <x:v>0</x:v>
      </x:c>
      <x:c r="S633" s="10" t="n">
        <x:v>0</x:v>
      </x:c>
      <x:c r="T633" s="10" t="str">
        <x:v>home buying bundle,house hunting sheet,first time homebuyer,mortgage calculator,amortization plan,rent vs buy calc,home affordability,google sheets home,excel mortgage sheet,house savings track,property comparison,real estate planner,mortgage spreadsheet</x:v>
      </x:c>
      <x:c r="U633" s="10" t="str">
        <x:v>home buying bundle</x:v>
      </x:c>
      <x:c r="V633" s="10" t="str">
        <x:v>house hunting sheet</x:v>
      </x:c>
      <x:c r="W633" s="10" t="str">
        <x:v>first time homebuyer</x:v>
      </x:c>
      <x:c r="X633" s="10" t="str">
        <x:v>mortgage calculator</x:v>
      </x:c>
      <x:c r="Y633" s="10" t="str">
        <x:v>amortization plan</x:v>
      </x:c>
      <x:c r="Z633" s="10" t="str">
        <x:v>rent vs buy calc</x:v>
      </x:c>
      <x:c r="AA633" s="10" t="str">
        <x:v>home affordability</x:v>
      </x:c>
      <x:c r="AB633" s="10" t="str">
        <x:v>google sheets home</x:v>
      </x:c>
      <x:c r="AC633" s="10" t="str">
        <x:v>excel mortgage sheet</x:v>
      </x:c>
      <x:c r="AD633" s="10" t="str">
        <x:v>house savings track</x:v>
      </x:c>
      <x:c r="AE633" s="10" t="str">
        <x:v>property comparison</x:v>
      </x:c>
      <x:c r="AF633" s="10" t="str">
        <x:v>real estate planner</x:v>
      </x:c>
      <x:c r="AG633" s="10" t="str">
        <x:v>mortgage spreadsheet</x:v>
      </x:c>
      <x:c r="AH633" s="10" t="str">
        <x:v>Home buying planner</x:v>
      </x:c>
      <x:c r="AI633" s="13" t="n">
        <x:v>3</x:v>
      </x:c>
      <x:c r="AJ633" s="10" t="str">
        <x:f>IF(F633&gt;0,"Active","No est. sales")</x:f>
        <x:v>No est. sales</x:v>
      </x:c>
    </x:row>
    <x:row r="634">
      <x:c r="A634" s="10" t="str">
        <x:v>Rent and Mortgage Payment Log | Printable Tenant Homeowner Planner (Digital Download)</x:v>
      </x:c>
      <x:c r="B634" s="10" t="str">
        <x:v>https://www.etsy.com/listing/4510242334/rent-and-mortgage-payment-log-printable</x:v>
      </x:c>
      <x:c r="C634" s="10" t="str">
        <x:v>OrganizationByJason</x:v>
      </x:c>
      <x:c r="D634" s="10" t="str">
        <x:v>https://www.etsy.com/shop/OrganizationByJason</x:v>
      </x:c>
      <x:c r="E634" s="11" t="n">
        <x:v>14.99</x:v>
      </x:c>
      <x:c r="F634" s="10" t="n">
        <x:v>0</x:v>
      </x:c>
      <x:c r="G634" s="12" t="n">
        <x:v>0</x:v>
      </x:c>
      <x:c r="H634" s="13" t="n">
        <x:v>0</x:v>
      </x:c>
      <x:c r="I634" s="10" t="n">
        <x:v>0</x:v>
      </x:c>
      <x:c r="J634" s="10" t="n">
        <x:v>0</x:v>
      </x:c>
      <x:c r="K634" s="10" t="str">
        <x:v>2 Mo.</x:v>
      </x:c>
      <x:c r="L634" s="10" t="n">
        <x:v>0</x:v>
      </x:c>
      <x:c r="M634" s="10" t="n">
        <x:v>0</x:v>
      </x:c>
      <x:c r="N634" s="10" t="n">
        <x:v>7</x:v>
      </x:c>
      <x:c r="O634" s="10" t="str"/>
      <x:c r="P634" s="10" t="n">
        <x:v>10</x:v>
      </x:c>
      <x:c r="Q634" s="10" t="n">
        <x:v>0</x:v>
      </x:c>
      <x:c r="R634" s="13" t="n">
        <x:v>0</x:v>
      </x:c>
      <x:c r="S634" s="10" t="n">
        <x:v>48</x:v>
      </x:c>
      <x:c r="T634" s="10" t="str">
        <x:v>rent payment log,tenant planner,rental tracker,mortgage log,security deposit,lease tracker,rent receipt log,rental payment log,move in checklist,tenant organizer,rent increase log,maintenance log,printable planner</x:v>
      </x:c>
      <x:c r="U634" s="10" t="str">
        <x:v>rent payment log</x:v>
      </x:c>
      <x:c r="V634" s="10" t="str">
        <x:v>tenant planner</x:v>
      </x:c>
      <x:c r="W634" s="10" t="str">
        <x:v>rental tracker</x:v>
      </x:c>
      <x:c r="X634" s="10" t="str">
        <x:v>mortgage log</x:v>
      </x:c>
      <x:c r="Y634" s="10" t="str">
        <x:v>security deposit</x:v>
      </x:c>
      <x:c r="Z634" s="10" t="str">
        <x:v>lease tracker</x:v>
      </x:c>
      <x:c r="AA634" s="10" t="str">
        <x:v>rent receipt log</x:v>
      </x:c>
      <x:c r="AB634" s="10" t="str">
        <x:v>rental payment log</x:v>
      </x:c>
      <x:c r="AC634" s="10" t="str">
        <x:v>move in checklist</x:v>
      </x:c>
      <x:c r="AD634" s="10" t="str">
        <x:v>tenant organizer</x:v>
      </x:c>
      <x:c r="AE634" s="10" t="str">
        <x:v>rent increase log</x:v>
      </x:c>
      <x:c r="AF634" s="10" t="str">
        <x:v>maintenance log</x:v>
      </x:c>
      <x:c r="AG634" s="10" t="str">
        <x:v>printable planner</x:v>
      </x:c>
      <x:c r="AH634" s="10" t="str">
        <x:v>Other mortgage-related</x:v>
      </x:c>
      <x:c r="AI634" s="13" t="n">
        <x:v>2</x:v>
      </x:c>
      <x:c r="AJ634" s="10" t="str">
        <x:f>IF(F634&gt;0,"Active","No est. sales")</x:f>
        <x:v>No est. sales</x:v>
      </x:c>
    </x:row>
    <x:row r="635">
      <x:c r="A635" s="10" t="str">
        <x:v>Amortization Schedule Template | Loan Payment Calculator | Mortgage Tracker Spreadsheet | Loan Repayment Sheet</x:v>
      </x:c>
      <x:c r="B635" s="10" t="str">
        <x:v>https://www.etsy.com/listing/4494601559/amortization-schedule-template-loan</x:v>
      </x:c>
      <x:c r="C635" s="10" t="str">
        <x:v>Xeasysheets</x:v>
      </x:c>
      <x:c r="D635" s="10" t="str">
        <x:v>https://www.etsy.com/shop/Xeasysheets</x:v>
      </x:c>
      <x:c r="E635" s="11" t="n">
        <x:v>11.09</x:v>
      </x:c>
      <x:c r="F635" s="10" t="n">
        <x:v>0</x:v>
      </x:c>
      <x:c r="G635" s="12" t="n">
        <x:v>0</x:v>
      </x:c>
      <x:c r="H635" s="13" t="n">
        <x:v>0</x:v>
      </x:c>
      <x:c r="I635" s="10" t="n">
        <x:v>0</x:v>
      </x:c>
      <x:c r="J635" s="10" t="n">
        <x:v>0</x:v>
      </x:c>
      <x:c r="K635" s="10" t="str">
        <x:v>3 Mo.</x:v>
      </x:c>
      <x:c r="L635" s="10" t="n">
        <x:v>0</x:v>
      </x:c>
      <x:c r="M635" s="10" t="n">
        <x:v>0</x:v>
      </x:c>
      <x:c r="N635" s="10" t="n">
        <x:v>4</x:v>
      </x:c>
      <x:c r="O635" s="10" t="str"/>
      <x:c r="P635" s="10" t="n">
        <x:v>12</x:v>
      </x:c>
      <x:c r="Q635" s="10" t="n">
        <x:v>0</x:v>
      </x:c>
      <x:c r="R635" s="13" t="n">
        <x:v>0</x:v>
      </x:c>
      <x:c r="S635" s="10" t="n">
        <x:v>2161</x:v>
      </x:c>
      <x:c r="T635" s="10" t="str">
        <x:v>amortization,loan tracker,loan planner,mortgage sheet,debt tracker,payment plan,finance sheet,excel finance,loan schedule,interest calc,budget planner,debt payoff,google sheets</x:v>
      </x:c>
      <x:c r="U635" s="10" t="str">
        <x:v>amortization</x:v>
      </x:c>
      <x:c r="V635" s="10" t="str">
        <x:v>loan tracker</x:v>
      </x:c>
      <x:c r="W635" s="10" t="str">
        <x:v>loan planner</x:v>
      </x:c>
      <x:c r="X635" s="10" t="str">
        <x:v>mortgage sheet</x:v>
      </x:c>
      <x:c r="Y635" s="10" t="str">
        <x:v>debt tracker</x:v>
      </x:c>
      <x:c r="Z635" s="10" t="str">
        <x:v>payment plan</x:v>
      </x:c>
      <x:c r="AA635" s="10" t="str">
        <x:v>finance sheet</x:v>
      </x:c>
      <x:c r="AB635" s="10" t="str">
        <x:v>excel finance</x:v>
      </x:c>
      <x:c r="AC635" s="10" t="str">
        <x:v>loan schedule</x:v>
      </x:c>
      <x:c r="AD635" s="10" t="str">
        <x:v>interest calc</x:v>
      </x:c>
      <x:c r="AE635" s="10" t="str">
        <x:v>budget planner</x:v>
      </x:c>
      <x:c r="AF635" s="10" t="str">
        <x:v>debt payoff</x:v>
      </x:c>
      <x:c r="AG635" s="10" t="str">
        <x:v>google sheets</x:v>
      </x:c>
      <x:c r="AH635" s="10" t="str">
        <x:v>Mortgage payoff / calculator</x:v>
      </x:c>
      <x:c r="AI635" s="13" t="n">
        <x:v>3</x:v>
      </x:c>
      <x:c r="AJ635" s="10" t="str">
        <x:f>IF(F635&gt;0,"Active","No est. sales")</x:f>
        <x:v>No est. sales</x:v>
      </x:c>
    </x:row>
    <x:row r="636">
      <x:c r="A636" s="10" t="str">
        <x:v>Mortgage Tracker Template | Loan Amortization Schedule | Home Loan Calculator | Payment Tracker Spreadsheet | Finance Planner</x:v>
      </x:c>
      <x:c r="B636" s="10" t="str">
        <x:v>https://www.etsy.com/listing/4492848779/mortgage-tracker-template-loan</x:v>
      </x:c>
      <x:c r="C636" s="10" t="str">
        <x:v>Xeasysheets</x:v>
      </x:c>
      <x:c r="D636" s="10" t="str">
        <x:v>https://www.etsy.com/shop/Xeasysheets</x:v>
      </x:c>
      <x:c r="E636" s="11" t="n">
        <x:v>11.09</x:v>
      </x:c>
      <x:c r="F636" s="10" t="n">
        <x:v>0</x:v>
      </x:c>
      <x:c r="G636" s="12" t="n">
        <x:v>0</x:v>
      </x:c>
      <x:c r="H636" s="13" t="n">
        <x:v>0</x:v>
      </x:c>
      <x:c r="I636" s="10" t="n">
        <x:v>0</x:v>
      </x:c>
      <x:c r="J636" s="10" t="n">
        <x:v>0</x:v>
      </x:c>
      <x:c r="K636" s="10" t="str">
        <x:v>3 Mo.</x:v>
      </x:c>
      <x:c r="L636" s="10" t="n">
        <x:v>1</x:v>
      </x:c>
      <x:c r="M636" s="10" t="n">
        <x:v>0</x:v>
      </x:c>
      <x:c r="N636" s="10" t="n">
        <x:v>2</x:v>
      </x:c>
      <x:c r="O636" s="10" t="str"/>
      <x:c r="P636" s="10" t="n">
        <x:v>12</x:v>
      </x:c>
      <x:c r="Q636" s="10" t="n">
        <x:v>0</x:v>
      </x:c>
      <x:c r="R636" s="13" t="n">
        <x:v>0</x:v>
      </x:c>
      <x:c r="S636" s="10" t="n">
        <x:v>2161</x:v>
      </x:c>
      <x:c r="T636" s="10" t="str">
        <x:v>mortgage tracker,loan tracker,mortgage sheet,excel mortgage,google sheet,amortization,loan calculator,payment tracker,finance planner,budget sheet,debt tracker,home loan,excel template</x:v>
      </x:c>
      <x:c r="U636" s="10" t="str">
        <x:v>mortgage tracker</x:v>
      </x:c>
      <x:c r="V636" s="10" t="str">
        <x:v>loan tracker</x:v>
      </x:c>
      <x:c r="W636" s="10" t="str">
        <x:v>mortgage sheet</x:v>
      </x:c>
      <x:c r="X636" s="10" t="str">
        <x:v>excel mortgage</x:v>
      </x:c>
      <x:c r="Y636" s="10" t="str">
        <x:v>google sheet</x:v>
      </x:c>
      <x:c r="Z636" s="10" t="str">
        <x:v>amortization</x:v>
      </x:c>
      <x:c r="AA636" s="10" t="str">
        <x:v>loan calculator</x:v>
      </x:c>
      <x:c r="AB636" s="10" t="str">
        <x:v>payment tracker</x:v>
      </x:c>
      <x:c r="AC636" s="10" t="str">
        <x:v>finance planner</x:v>
      </x:c>
      <x:c r="AD636" s="10" t="str">
        <x:v>budget sheet</x:v>
      </x:c>
      <x:c r="AE636" s="10" t="str">
        <x:v>debt tracker</x:v>
      </x:c>
      <x:c r="AF636" s="10" t="str">
        <x:v>home loan</x:v>
      </x:c>
      <x:c r="AG636" s="10" t="str">
        <x:v>excel template</x:v>
      </x:c>
      <x:c r="AH636" s="10" t="str">
        <x:v>Mortgage payoff / calculator</x:v>
      </x:c>
      <x:c r="AI636" s="13" t="n">
        <x:v>3</x:v>
      </x:c>
      <x:c r="AJ636" s="10" t="str">
        <x:f>IF(F636&gt;0,"Active","No est. sales")</x:f>
        <x:v>No est. sales</x:v>
      </x:c>
    </x:row>
    <x:row r="637">
      <x:c r="A637" s="10" t="str">
        <x:v>Early Mortgage Payoff Calculator | Excel &amp; Google Sheets Mortgage Tracker | Extra Payment Calculator | Home Loan Amortization Planner</x:v>
      </x:c>
      <x:c r="B637" s="10" t="str">
        <x:v>https://www.etsy.com/listing/4479562544/early-mortgage-payoff-calculator-excel</x:v>
      </x:c>
      <x:c r="C637" s="10" t="str">
        <x:v>Xeasysheets</x:v>
      </x:c>
      <x:c r="D637" s="10" t="str">
        <x:v>https://www.etsy.com/shop/Xeasysheets</x:v>
      </x:c>
      <x:c r="E637" s="11" t="n">
        <x:v>11.09</x:v>
      </x:c>
      <x:c r="F637" s="10" t="n">
        <x:v>0</x:v>
      </x:c>
      <x:c r="G637" s="12" t="n">
        <x:v>0</x:v>
      </x:c>
      <x:c r="H637" s="13" t="n">
        <x:v>0</x:v>
      </x:c>
      <x:c r="I637" s="10" t="n">
        <x:v>0</x:v>
      </x:c>
      <x:c r="J637" s="10" t="n">
        <x:v>0</x:v>
      </x:c>
      <x:c r="K637" s="10" t="str">
        <x:v>4 Mo.</x:v>
      </x:c>
      <x:c r="L637" s="10" t="n">
        <x:v>0</x:v>
      </x:c>
      <x:c r="M637" s="10" t="n">
        <x:v>0</x:v>
      </x:c>
      <x:c r="N637" s="10" t="n">
        <x:v>20</x:v>
      </x:c>
      <x:c r="O637" s="10" t="str"/>
      <x:c r="P637" s="10" t="n">
        <x:v>12</x:v>
      </x:c>
      <x:c r="Q637" s="10" t="n">
        <x:v>0</x:v>
      </x:c>
      <x:c r="R637" s="13" t="n">
        <x:v>0</x:v>
      </x:c>
      <x:c r="S637" s="10" t="n">
        <x:v>2161</x:v>
      </x:c>
      <x:c r="T637" s="10" t="str">
        <x:v>mortgage payoff,mortgage tracker,loan calculator,payoff calculator,home loan,amortization,interest tracker,extra payments,finance tool,excel mortgage,sheets mortgage,loan planner,mortgage sheet</x:v>
      </x:c>
      <x:c r="U637" s="10" t="str">
        <x:v>mortgage payoff</x:v>
      </x:c>
      <x:c r="V637" s="10" t="str">
        <x:v>mortgage tracker</x:v>
      </x:c>
      <x:c r="W637" s="10" t="str">
        <x:v>loan calculator</x:v>
      </x:c>
      <x:c r="X637" s="10" t="str">
        <x:v>payoff calculator</x:v>
      </x:c>
      <x:c r="Y637" s="10" t="str">
        <x:v>home loan</x:v>
      </x:c>
      <x:c r="Z637" s="10" t="str">
        <x:v>amortization</x:v>
      </x:c>
      <x:c r="AA637" s="10" t="str">
        <x:v>interest tracker</x:v>
      </x:c>
      <x:c r="AB637" s="10" t="str">
        <x:v>extra payments</x:v>
      </x:c>
      <x:c r="AC637" s="10" t="str">
        <x:v>finance tool</x:v>
      </x:c>
      <x:c r="AD637" s="10" t="str">
        <x:v>excel mortgage</x:v>
      </x:c>
      <x:c r="AE637" s="10" t="str">
        <x:v>sheets mortgage</x:v>
      </x:c>
      <x:c r="AF637" s="10" t="str">
        <x:v>loan planner</x:v>
      </x:c>
      <x:c r="AG637" s="10" t="str">
        <x:v>mortgage sheet</x:v>
      </x:c>
      <x:c r="AH637" s="10" t="str">
        <x:v>Mortgage payoff / calculator</x:v>
      </x:c>
      <x:c r="AI637" s="13" t="n">
        <x:v>4</x:v>
      </x:c>
      <x:c r="AJ637" s="10" t="str">
        <x:f>IF(F637&gt;0,"Active","No est. sales")</x:f>
        <x:v>No est. sales</x:v>
      </x:c>
    </x:row>
    <x:row r="638">
      <x:c r="A638" s="10" t="str">
        <x:v>House Savings Tracker Printable: 300 Bricks Challenge (PDF)</x:v>
      </x:c>
      <x:c r="B638" s="10" t="str">
        <x:v>https://www.etsy.com/listing/1886142495/house-savings-tracker-printable-300</x:v>
      </x:c>
      <x:c r="C638" s="10" t="str">
        <x:v>QualityTimeMoments</x:v>
      </x:c>
      <x:c r="D638" s="10" t="str">
        <x:v>https://www.etsy.com/shop/QualityTimeMoments</x:v>
      </x:c>
      <x:c r="E638" s="11" t="n">
        <x:v>1.37</x:v>
      </x:c>
      <x:c r="F638" s="10" t="n">
        <x:v>0</x:v>
      </x:c>
      <x:c r="G638" s="12" t="n">
        <x:v>0</x:v>
      </x:c>
      <x:c r="H638" s="13" t="n">
        <x:v>0</x:v>
      </x:c>
      <x:c r="I638" s="10" t="n">
        <x:v>0</x:v>
      </x:c>
      <x:c r="J638" s="10" t="n">
        <x:v>0</x:v>
      </x:c>
      <x:c r="K638" s="10" t="str">
        <x:v>16 Mo.</x:v>
      </x:c>
      <x:c r="L638" s="10" t="n">
        <x:v>13</x:v>
      </x:c>
      <x:c r="M638" s="10" t="n">
        <x:v>0</x:v>
      </x:c>
      <x:c r="N638" s="10" t="n">
        <x:v>171</x:v>
      </x:c>
      <x:c r="O638" s="10" t="str"/>
      <x:c r="P638" s="10" t="n">
        <x:v>71</x:v>
      </x:c>
      <x:c r="Q638" s="10" t="n">
        <x:v>0</x:v>
      </x:c>
      <x:c r="R638" s="13" t="n">
        <x:v>0</x:v>
      </x:c>
      <x:c r="S638" s="10" t="n">
        <x:v>5722</x:v>
      </x:c>
      <x:c r="T638" s="10" t="str">
        <x:v>bullet journal,planner page,a5 planner inserts,savings challenge,savings tracker,save money printable,house savings,new home savings,save for a house,printable house fund,house down payment,house deposit,mortgage payoff</x:v>
      </x:c>
      <x:c r="U638" s="10" t="str">
        <x:v>bullet journal</x:v>
      </x:c>
      <x:c r="V638" s="10" t="str">
        <x:v>planner page</x:v>
      </x:c>
      <x:c r="W638" s="10" t="str">
        <x:v>a5 planner inserts</x:v>
      </x:c>
      <x:c r="X638" s="10" t="str">
        <x:v>savings challenge</x:v>
      </x:c>
      <x:c r="Y638" s="10" t="str">
        <x:v>savings tracker</x:v>
      </x:c>
      <x:c r="Z638" s="10" t="str">
        <x:v>save money printable</x:v>
      </x:c>
      <x:c r="AA638" s="10" t="str">
        <x:v>house savings</x:v>
      </x:c>
      <x:c r="AB638" s="10" t="str">
        <x:v>new home savings</x:v>
      </x:c>
      <x:c r="AC638" s="10" t="str">
        <x:v>save for a house</x:v>
      </x:c>
      <x:c r="AD638" s="10" t="str">
        <x:v>printable house fund</x:v>
      </x:c>
      <x:c r="AE638" s="10" t="str">
        <x:v>house down payment</x:v>
      </x:c>
      <x:c r="AF638" s="10" t="str">
        <x:v>house deposit</x:v>
      </x:c>
      <x:c r="AG638" s="10" t="str">
        <x:v>mortgage payoff</x:v>
      </x:c>
      <x:c r="AH638" s="10" t="str">
        <x:v>Other mortgage-related</x:v>
      </x:c>
      <x:c r="AI638" s="13" t="n">
        <x:v>16</x:v>
      </x:c>
      <x:c r="AJ638" s="10" t="str">
        <x:f>IF(F638&gt;0,"Active","No est. sales")</x:f>
        <x:v>No est. sales</x:v>
      </x:c>
    </x:row>
    <x:row r="639">
      <x:c r="A639" s="10" t="str">
        <x:v>House Little Icon Stickers | Planner Stickers | LI06</x:v>
      </x:c>
      <x:c r="B639" s="10" t="str">
        <x:v>https://www.etsy.com/listing/4474178615/house-little-icon-stickers-planner</x:v>
      </x:c>
      <x:c r="C639" s="10" t="str">
        <x:v>pmdstickers</x:v>
      </x:c>
      <x:c r="D639" s="10" t="str">
        <x:v>https://www.etsy.com/shop/pmdstickers</x:v>
      </x:c>
      <x:c r="E639" s="11" t="n">
        <x:v>2.45</x:v>
      </x:c>
      <x:c r="F639" s="10" t="n">
        <x:v>0</x:v>
      </x:c>
      <x:c r="G639" s="12" t="n">
        <x:v>0</x:v>
      </x:c>
      <x:c r="H639" s="13" t="n">
        <x:v>0</x:v>
      </x:c>
      <x:c r="I639" s="10" t="n">
        <x:v>0</x:v>
      </x:c>
      <x:c r="J639" s="10" t="n">
        <x:v>0</x:v>
      </x:c>
      <x:c r="K639" s="10" t="str">
        <x:v>4 Mo.</x:v>
      </x:c>
      <x:c r="L639" s="10" t="n">
        <x:v>4</x:v>
      </x:c>
      <x:c r="M639" s="10" t="n">
        <x:v>0</x:v>
      </x:c>
      <x:c r="N639" s="10" t="n">
        <x:v>23</x:v>
      </x:c>
      <x:c r="O639" s="10" t="str">
        <x:v>Paper &amp; Party Supplies</x:v>
      </x:c>
      <x:c r="P639" s="10" t="n">
        <x:v>145</x:v>
      </x:c>
      <x:c r="Q639" s="10" t="n">
        <x:v>0</x:v>
      </x:c>
      <x:c r="R639" s="13" t="n">
        <x:v>0</x:v>
      </x:c>
      <x:c r="S639" s="10" t="n">
        <x:v>224364</x:v>
      </x:c>
      <x:c r="T639" s="10" t="str">
        <x:v>icon stickers,doodle icons,planner icons,minimal icons,cute icons,rainbow icons,house stickers,mortgage stickers,rent stickers,house bill due,home,cleaning</x:v>
      </x:c>
      <x:c r="U639" s="10" t="str">
        <x:v>icon stickers</x:v>
      </x:c>
      <x:c r="V639" s="10" t="str">
        <x:v>doodle icons</x:v>
      </x:c>
      <x:c r="W639" s="10" t="str">
        <x:v>planner icons</x:v>
      </x:c>
      <x:c r="X639" s="10" t="str">
        <x:v>minimal icons</x:v>
      </x:c>
      <x:c r="Y639" s="10" t="str">
        <x:v>cute icons</x:v>
      </x:c>
      <x:c r="Z639" s="10" t="str">
        <x:v>rainbow icons</x:v>
      </x:c>
      <x:c r="AA639" s="10" t="str">
        <x:v>house stickers</x:v>
      </x:c>
      <x:c r="AB639" s="10" t="str">
        <x:v>mortgage stickers</x:v>
      </x:c>
      <x:c r="AC639" s="10" t="str">
        <x:v>rent stickers</x:v>
      </x:c>
      <x:c r="AD639" s="10" t="str">
        <x:v>house bill due</x:v>
      </x:c>
      <x:c r="AE639" s="10" t="str">
        <x:v>home</x:v>
      </x:c>
      <x:c r="AF639" s="10" t="str">
        <x:v>cleaning</x:v>
      </x:c>
      <x:c r="AG639" s="10" t="str">
        <x:v>--</x:v>
      </x:c>
      <x:c r="AH639" s="10" t="str">
        <x:v>Other mortgage-related</x:v>
      </x:c>
      <x:c r="AI639" s="13" t="n">
        <x:v>4</x:v>
      </x:c>
      <x:c r="AJ639" s="10" t="str">
        <x:f>IF(F639&gt;0,"Active","No est. sales")</x:f>
        <x:v>No est. sales</x:v>
      </x:c>
    </x:row>
    <x:row r="640">
      <x:c r="A640" s="10" t="str">
        <x:v>UK Mortgage Overpayment Calculator 2025 2026 Ultimate Remortgage Planner Rate Shock Save or Invest Tool</x:v>
      </x:c>
      <x:c r="B640" s="10" t="str">
        <x:v>https://www.etsy.com/listing/4493123813/uk-mortgage-overpayment-calculator-2025</x:v>
      </x:c>
      <x:c r="C640" s="10" t="str">
        <x:v>EasyLifeDesignStudio</x:v>
      </x:c>
      <x:c r="D640" s="10" t="str">
        <x:v>https://www.etsy.com/shop/EasyLifeDesignStudio</x:v>
      </x:c>
      <x:c r="E640" s="11" t="n">
        <x:v>15.97</x:v>
      </x:c>
      <x:c r="F640" s="10" t="n">
        <x:v>0</x:v>
      </x:c>
      <x:c r="G640" s="12" t="n">
        <x:v>0</x:v>
      </x:c>
      <x:c r="H640" s="13" t="n">
        <x:v>0</x:v>
      </x:c>
      <x:c r="I640" s="10" t="n">
        <x:v>0</x:v>
      </x:c>
      <x:c r="J640" s="10" t="n">
        <x:v>0</x:v>
      </x:c>
      <x:c r="K640" s="10" t="str">
        <x:v>3 Mo.</x:v>
      </x:c>
      <x:c r="L640" s="10" t="n">
        <x:v>0</x:v>
      </x:c>
      <x:c r="M640" s="10" t="n">
        <x:v>0</x:v>
      </x:c>
      <x:c r="N640" s="10" t="n">
        <x:v>13</x:v>
      </x:c>
      <x:c r="O640" s="10" t="str"/>
      <x:c r="P640" s="10" t="n">
        <x:v>6</x:v>
      </x:c>
      <x:c r="Q640" s="10" t="n">
        <x:v>0</x:v>
      </x:c>
      <x:c r="R640" s="13" t="n">
        <x:v>0</x:v>
      </x:c>
      <x:c r="S640" s="10" t="n">
        <x:v>0</x:v>
      </x:c>
      <x:c r="T640" s="10" t="str">
        <x:v>mortgage uk,overpayment calc,uk mortgage excel,mortgage rate rise,remortgage uk,mortgage stress test,overpay or invest uk,amortisation uk,mortgage spreadsheet,uk finance planner,excel calculator uk,mortgage planner uk,digital download uk</x:v>
      </x:c>
      <x:c r="U640" s="10" t="str">
        <x:v>mortgage uk</x:v>
      </x:c>
      <x:c r="V640" s="10" t="str">
        <x:v>overpayment calc</x:v>
      </x:c>
      <x:c r="W640" s="10" t="str">
        <x:v>uk mortgage excel</x:v>
      </x:c>
      <x:c r="X640" s="10" t="str">
        <x:v>mortgage rate rise</x:v>
      </x:c>
      <x:c r="Y640" s="10" t="str">
        <x:v>remortgage uk</x:v>
      </x:c>
      <x:c r="Z640" s="10" t="str">
        <x:v>mortgage stress test</x:v>
      </x:c>
      <x:c r="AA640" s="10" t="str">
        <x:v>overpay or invest uk</x:v>
      </x:c>
      <x:c r="AB640" s="10" t="str">
        <x:v>amortisation uk</x:v>
      </x:c>
      <x:c r="AC640" s="10" t="str">
        <x:v>mortgage spreadsheet</x:v>
      </x:c>
      <x:c r="AD640" s="10" t="str">
        <x:v>uk finance planner</x:v>
      </x:c>
      <x:c r="AE640" s="10" t="str">
        <x:v>excel calculator uk</x:v>
      </x:c>
      <x:c r="AF640" s="10" t="str">
        <x:v>mortgage planner uk</x:v>
      </x:c>
      <x:c r="AG640" s="10" t="str">
        <x:v>digital download uk</x:v>
      </x:c>
      <x:c r="AH640" s="10" t="str">
        <x:v>Other mortgage-related</x:v>
      </x:c>
      <x:c r="AI640" s="13" t="n">
        <x:v>3</x:v>
      </x:c>
      <x:c r="AJ640" s="10" t="str">
        <x:f>IF(F640&gt;0,"Active","No est. sales")</x:f>
        <x:v>No est. sales</x:v>
      </x:c>
    </x:row>
    <x:row r="641">
      <x:c r="A641" s="10" t="str">
        <x:v>Debt Payoff Tracker A6 Planner Printable, Debt Snowball Planner, Student Loan Tracker, Credit Card Mortgage Debt Free Log, Digital Download</x:v>
      </x:c>
      <x:c r="B641" s="10" t="str">
        <x:v>https://www.etsy.com/listing/1314963235/debt-payoff-tracker-a6-planner-printable</x:v>
      </x:c>
      <x:c r="C641" s="10" t="str">
        <x:v>Monthlyjoy</x:v>
      </x:c>
      <x:c r="D641" s="10" t="str">
        <x:v>https://www.etsy.com/shop/Monthlyjoy</x:v>
      </x:c>
      <x:c r="E641" s="11" t="n">
        <x:v>3.4</x:v>
      </x:c>
      <x:c r="F641" s="10" t="n">
        <x:v>0</x:v>
      </x:c>
      <x:c r="G641" s="12" t="n">
        <x:v>0</x:v>
      </x:c>
      <x:c r="H641" s="13" t="n">
        <x:v>0</x:v>
      </x:c>
      <x:c r="I641" s="10" t="n">
        <x:v>0</x:v>
      </x:c>
      <x:c r="J641" s="10" t="n">
        <x:v>0</x:v>
      </x:c>
      <x:c r="K641" s="10" t="str">
        <x:v>46 Mo.</x:v>
      </x:c>
      <x:c r="L641" s="10" t="n">
        <x:v>18</x:v>
      </x:c>
      <x:c r="M641" s="10" t="n">
        <x:v>0</x:v>
      </x:c>
      <x:c r="N641" s="10" t="n">
        <x:v>321</x:v>
      </x:c>
      <x:c r="O641" s="10" t="str">
        <x:v>Paper &amp; Party Supplies</x:v>
      </x:c>
      <x:c r="P641" s="10" t="n">
        <x:v>66</x:v>
      </x:c>
      <x:c r="Q641" s="10" t="n">
        <x:v>0</x:v>
      </x:c>
      <x:c r="R641" s="13" t="n">
        <x:v>0</x:v>
      </x:c>
      <x:c r="S641" s="10" t="n">
        <x:v>24015</x:v>
      </x:c>
      <x:c r="T641" s="10" t="str">
        <x:v>debt snowball,a6 planner inserts,debt tracker pdf,printable debt sheet,mortgage debt log,student loan tracker,horizontal layout,debt planner pages,credit card debt,inserts minimalist,debt payoff tracker,car loan payment,finance planner a6</x:v>
      </x:c>
      <x:c r="U641" s="10" t="str">
        <x:v>debt snowball</x:v>
      </x:c>
      <x:c r="V641" s="10" t="str">
        <x:v>a6 planner inserts</x:v>
      </x:c>
      <x:c r="W641" s="10" t="str">
        <x:v>debt tracker pdf</x:v>
      </x:c>
      <x:c r="X641" s="10" t="str">
        <x:v>printable debt sheet</x:v>
      </x:c>
      <x:c r="Y641" s="10" t="str">
        <x:v>mortgage debt log</x:v>
      </x:c>
      <x:c r="Z641" s="10" t="str">
        <x:v>student loan tracker</x:v>
      </x:c>
      <x:c r="AA641" s="10" t="str">
        <x:v>horizontal layout</x:v>
      </x:c>
      <x:c r="AB641" s="10" t="str">
        <x:v>debt planner pages</x:v>
      </x:c>
      <x:c r="AC641" s="10" t="str">
        <x:v>credit card debt</x:v>
      </x:c>
      <x:c r="AD641" s="10" t="str">
        <x:v>inserts minimalist</x:v>
      </x:c>
      <x:c r="AE641" s="10" t="str">
        <x:v>debt payoff tracker</x:v>
      </x:c>
      <x:c r="AF641" s="10" t="str">
        <x:v>car loan payment</x:v>
      </x:c>
      <x:c r="AG641" s="10" t="str">
        <x:v>finance planner a6</x:v>
      </x:c>
      <x:c r="AH641" s="10" t="str">
        <x:v>General debt payoff</x:v>
      </x:c>
      <x:c r="AI641" s="13" t="n">
        <x:v>46</x:v>
      </x:c>
      <x:c r="AJ641" s="10" t="str">
        <x:f>IF(F641&gt;0,"Active","No est. sales")</x:f>
        <x:v>No est. sales</x:v>
      </x:c>
    </x:row>
    <x:row r="642">
      <x:c r="A642" s="10" t="str">
        <x:v>Debt Tracker Printable Credit Card Mortgage Debt Free Log, Finance Planner, Debt Snowball, Student Loan Payoff, HP Mini size Inserts PDF</x:v>
      </x:c>
      <x:c r="B642" s="10" t="str">
        <x:v>https://www.etsy.com/listing/1303532674/debt-tracker-printable-credit-card</x:v>
      </x:c>
      <x:c r="C642" s="10" t="str">
        <x:v>Monthlyjoy</x:v>
      </x:c>
      <x:c r="D642" s="10" t="str">
        <x:v>https://www.etsy.com/shop/Monthlyjoy</x:v>
      </x:c>
      <x:c r="E642" s="11" t="n">
        <x:v>3.3</x:v>
      </x:c>
      <x:c r="F642" s="10" t="n">
        <x:v>0</x:v>
      </x:c>
      <x:c r="G642" s="12" t="n">
        <x:v>0</x:v>
      </x:c>
      <x:c r="H642" s="13" t="n">
        <x:v>0</x:v>
      </x:c>
      <x:c r="I642" s="10" t="n">
        <x:v>19</x:v>
      </x:c>
      <x:c r="J642" s="10" t="n">
        <x:v>2</x:v>
      </x:c>
      <x:c r="K642" s="10" t="str">
        <x:v>45 Mo.</x:v>
      </x:c>
      <x:c r="L642" s="10" t="n">
        <x:v>14</x:v>
      </x:c>
      <x:c r="M642" s="10" t="n">
        <x:v>0</x:v>
      </x:c>
      <x:c r="N642" s="10" t="n">
        <x:v>194</x:v>
      </x:c>
      <x:c r="O642" s="10" t="str">
        <x:v>Paper &amp; Party Supplies</x:v>
      </x:c>
      <x:c r="P642" s="10" t="n">
        <x:v>66</x:v>
      </x:c>
      <x:c r="Q642" s="10" t="n">
        <x:v>0</x:v>
      </x:c>
      <x:c r="R642" s="13" t="n">
        <x:v>9.79</x:v>
      </x:c>
      <x:c r="S642" s="10" t="n">
        <x:v>24015</x:v>
      </x:c>
      <x:c r="T642" s="10" t="str">
        <x:v>debt snowball,hp mini printable,debt tracker pdf,debt payoff,student loan journal,mortgage debt free,financial tracker,debt log diary,inserts minimalist,horizontal layout,debt planner pages,car loan payment,happy planner mini</x:v>
      </x:c>
      <x:c r="U642" s="10" t="str">
        <x:v>debt snowball</x:v>
      </x:c>
      <x:c r="V642" s="10" t="str">
        <x:v>hp mini printable</x:v>
      </x:c>
      <x:c r="W642" s="10" t="str">
        <x:v>debt tracker pdf</x:v>
      </x:c>
      <x:c r="X642" s="10" t="str">
        <x:v>debt payoff</x:v>
      </x:c>
      <x:c r="Y642" s="10" t="str">
        <x:v>student loan journal</x:v>
      </x:c>
      <x:c r="Z642" s="10" t="str">
        <x:v>mortgage debt free</x:v>
      </x:c>
      <x:c r="AA642" s="10" t="str">
        <x:v>financial tracker</x:v>
      </x:c>
      <x:c r="AB642" s="10" t="str">
        <x:v>debt log diary</x:v>
      </x:c>
      <x:c r="AC642" s="10" t="str">
        <x:v>inserts minimalist</x:v>
      </x:c>
      <x:c r="AD642" s="10" t="str">
        <x:v>horizontal layout</x:v>
      </x:c>
      <x:c r="AE642" s="10" t="str">
        <x:v>debt planner pages</x:v>
      </x:c>
      <x:c r="AF642" s="10" t="str">
        <x:v>car loan payment</x:v>
      </x:c>
      <x:c r="AG642" s="10" t="str">
        <x:v>happy planner mini</x:v>
      </x:c>
      <x:c r="AH642" s="10" t="str">
        <x:v>General debt payoff</x:v>
      </x:c>
      <x:c r="AI642" s="13" t="n">
        <x:v>45</x:v>
      </x:c>
      <x:c r="AJ642" s="10" t="str">
        <x:f>IF(F642&gt;0,"Active","No est. sales")</x:f>
        <x:v>No est. sales</x:v>
      </x:c>
    </x:row>
    <x:row r="643">
      <x:c r="A643" s="10" t="str">
        <x:v>Home Buying Spreadsheet Excel Mortgage Calculator Amortization Down Payment Tracker Closing Costs First Time Home Buyer Planner</x:v>
      </x:c>
      <x:c r="B643" s="10" t="str">
        <x:v>https://www.etsy.com/listing/4485671877/home-buying-spreadsheet-excel-mortgage</x:v>
      </x:c>
      <x:c r="C643" s="10" t="str">
        <x:v>StructuredTools</x:v>
      </x:c>
      <x:c r="D643" s="10" t="str">
        <x:v>https://www.etsy.com/shop/StructuredTools</x:v>
      </x:c>
      <x:c r="E643" s="11" t="n">
        <x:v>29.99</x:v>
      </x:c>
      <x:c r="F643" s="10" t="n">
        <x:v>0</x:v>
      </x:c>
      <x:c r="G643" s="12" t="n">
        <x:v>0</x:v>
      </x:c>
      <x:c r="H643" s="13" t="n">
        <x:v>0</x:v>
      </x:c>
      <x:c r="I643" s="10" t="n">
        <x:v>0</x:v>
      </x:c>
      <x:c r="J643" s="10" t="n">
        <x:v>0</x:v>
      </x:c>
      <x:c r="K643" s="10" t="str">
        <x:v>3 Mo.</x:v>
      </x:c>
      <x:c r="L643" s="10" t="n">
        <x:v>2</x:v>
      </x:c>
      <x:c r="M643" s="10" t="n">
        <x:v>0</x:v>
      </x:c>
      <x:c r="N643" s="10" t="n">
        <x:v>42</x:v>
      </x:c>
      <x:c r="O643" s="10" t="str"/>
      <x:c r="P643" s="10" t="n">
        <x:v>5</x:v>
      </x:c>
      <x:c r="Q643" s="10" t="n">
        <x:v>0</x:v>
      </x:c>
      <x:c r="R643" s="13" t="n">
        <x:v>0</x:v>
      </x:c>
      <x:c r="S643" s="10" t="n">
        <x:v>5</x:v>
      </x:c>
      <x:c r="T643" s="10" t="str">
        <x:v>home buying planner,mortgage calculator,first time buyer,amortization excel,down payment tracker,closing costs,home buyer tracker,mortgage spreadsheet,home purchase sheet,house budget excel,mortgage tracker,home savings tracker,excel template</x:v>
      </x:c>
      <x:c r="U643" s="10" t="str">
        <x:v>home buying planner</x:v>
      </x:c>
      <x:c r="V643" s="10" t="str">
        <x:v>mortgage calculator</x:v>
      </x:c>
      <x:c r="W643" s="10" t="str">
        <x:v>first time buyer</x:v>
      </x:c>
      <x:c r="X643" s="10" t="str">
        <x:v>amortization excel</x:v>
      </x:c>
      <x:c r="Y643" s="10" t="str">
        <x:v>down payment tracker</x:v>
      </x:c>
      <x:c r="Z643" s="10" t="str">
        <x:v>closing costs</x:v>
      </x:c>
      <x:c r="AA643" s="10" t="str">
        <x:v>home buyer tracker</x:v>
      </x:c>
      <x:c r="AB643" s="10" t="str">
        <x:v>mortgage spreadsheet</x:v>
      </x:c>
      <x:c r="AC643" s="10" t="str">
        <x:v>home purchase sheet</x:v>
      </x:c>
      <x:c r="AD643" s="10" t="str">
        <x:v>house budget excel</x:v>
      </x:c>
      <x:c r="AE643" s="10" t="str">
        <x:v>mortgage tracker</x:v>
      </x:c>
      <x:c r="AF643" s="10" t="str">
        <x:v>home savings tracker</x:v>
      </x:c>
      <x:c r="AG643" s="10" t="str">
        <x:v>excel template</x:v>
      </x:c>
      <x:c r="AH643" s="10" t="str">
        <x:v>Home buying planner</x:v>
      </x:c>
      <x:c r="AI643" s="13" t="n">
        <x:v>3</x:v>
      </x:c>
      <x:c r="AJ643" s="10" t="str">
        <x:f>IF(F643&gt;0,"Active","No est. sales")</x:f>
        <x:v>No est. sales</x:v>
      </x:c>
    </x:row>
    <x:row r="644">
      <x:c r="A644" s="10" t="str">
        <x:v>Monthly Budget Spreadsheet with Bill Calendar, Large Print for Google Sheets, Bi Weekly, Weekly Budget Planner (Digital Download)</x:v>
      </x:c>
      <x:c r="B644" s="10" t="str">
        <x:v>https://www.etsy.com/listing/1408372812/monthly-budget-spreadsheet-large-print</x:v>
      </x:c>
      <x:c r="C644" s="10" t="str">
        <x:v>WryanTequilaBookworm</x:v>
      </x:c>
      <x:c r="D644" s="10" t="str">
        <x:v>https://www.etsy.com/shop/WryanTequilaBookworm</x:v>
      </x:c>
      <x:c r="E644" s="11" t="n">
        <x:v>6.06</x:v>
      </x:c>
      <x:c r="F644" s="10" t="n">
        <x:v>0</x:v>
      </x:c>
      <x:c r="G644" s="12" t="n">
        <x:v>0</x:v>
      </x:c>
      <x:c r="H644" s="13" t="n">
        <x:v>0</x:v>
      </x:c>
      <x:c r="I644" s="10" t="n">
        <x:v>0</x:v>
      </x:c>
      <x:c r="J644" s="10" t="n">
        <x:v>0</x:v>
      </x:c>
      <x:c r="K644" s="10" t="str">
        <x:v>41 Mo.</x:v>
      </x:c>
      <x:c r="L644" s="10" t="n">
        <x:v>3</x:v>
      </x:c>
      <x:c r="M644" s="10" t="n">
        <x:v>0</x:v>
      </x:c>
      <x:c r="N644" s="10" t="n">
        <x:v>115</x:v>
      </x:c>
      <x:c r="O644" s="10" t="str">
        <x:v>Paper &amp; Party Supplies</x:v>
      </x:c>
      <x:c r="P644" s="10" t="n">
        <x:v>46</x:v>
      </x:c>
      <x:c r="Q644" s="10" t="n">
        <x:v>0</x:v>
      </x:c>
      <x:c r="R644" s="13" t="n">
        <x:v>0</x:v>
      </x:c>
      <x:c r="S644" s="10" t="n">
        <x:v>69</x:v>
      </x:c>
      <x:c r="T644" s="10" t="str">
        <x:v>budget spreadsheet,monthly budget,google sheets budget,financial planner,credit card tracker,credit card budget,loan tracker,bill calendar,income expense,easy download,mortgage formula,student planner,simple template</x:v>
      </x:c>
      <x:c r="U644" s="10" t="str">
        <x:v>budget spreadsheet</x:v>
      </x:c>
      <x:c r="V644" s="10" t="str">
        <x:v>monthly budget</x:v>
      </x:c>
      <x:c r="W644" s="10" t="str">
        <x:v>google sheets budget</x:v>
      </x:c>
      <x:c r="X644" s="10" t="str">
        <x:v>financial planner</x:v>
      </x:c>
      <x:c r="Y644" s="10" t="str">
        <x:v>credit card tracker</x:v>
      </x:c>
      <x:c r="Z644" s="10" t="str">
        <x:v>credit card budget</x:v>
      </x:c>
      <x:c r="AA644" s="10" t="str">
        <x:v>loan tracker</x:v>
      </x:c>
      <x:c r="AB644" s="10" t="str">
        <x:v>bill calendar</x:v>
      </x:c>
      <x:c r="AC644" s="10" t="str">
        <x:v>income expense</x:v>
      </x:c>
      <x:c r="AD644" s="10" t="str">
        <x:v>easy download</x:v>
      </x:c>
      <x:c r="AE644" s="10" t="str">
        <x:v>mortgage formula</x:v>
      </x:c>
      <x:c r="AF644" s="10" t="str">
        <x:v>student planner</x:v>
      </x:c>
      <x:c r="AG644" s="10" t="str">
        <x:v>simple template</x:v>
      </x:c>
      <x:c r="AH644" s="10" t="str">
        <x:v>Other mortgage-related</x:v>
      </x:c>
      <x:c r="AI644" s="13" t="n">
        <x:v>41</x:v>
      </x:c>
      <x:c r="AJ644" s="10" t="str">
        <x:f>IF(F644&gt;0,"Active","No est. sales")</x:f>
        <x:v>No est. sales</x:v>
      </x:c>
    </x:row>
    <x:row r="645">
      <x:c r="A645" s="10" t="str">
        <x:v>Monthly Budget Spreadsheet Template for Google Sheets, Budget with Bill Calendar, Biweekly, Weekly Planner (Digital Download)</x:v>
      </x:c>
      <x:c r="B645" s="10" t="str">
        <x:v>https://www.etsy.com/listing/1414578199/monthly-budget-spreadsheet-template-for</x:v>
      </x:c>
      <x:c r="C645" s="10" t="str">
        <x:v>WryanTequilaBookworm</x:v>
      </x:c>
      <x:c r="D645" s="10" t="str">
        <x:v>https://www.etsy.com/shop/WryanTequilaBookworm</x:v>
      </x:c>
      <x:c r="E645" s="11" t="n">
        <x:v>6.06</x:v>
      </x:c>
      <x:c r="F645" s="10" t="n">
        <x:v>0</x:v>
      </x:c>
      <x:c r="G645" s="12" t="n">
        <x:v>0</x:v>
      </x:c>
      <x:c r="H645" s="13" t="n">
        <x:v>0</x:v>
      </x:c>
      <x:c r="I645" s="10" t="n">
        <x:v>0</x:v>
      </x:c>
      <x:c r="J645" s="10" t="n">
        <x:v>0</x:v>
      </x:c>
      <x:c r="K645" s="10" t="str">
        <x:v>41 Mo.</x:v>
      </x:c>
      <x:c r="L645" s="10" t="n">
        <x:v>0</x:v>
      </x:c>
      <x:c r="M645" s="10" t="n">
        <x:v>0</x:v>
      </x:c>
      <x:c r="N645" s="10" t="n">
        <x:v>71</x:v>
      </x:c>
      <x:c r="O645" s="10" t="str">
        <x:v>Paper &amp; Party Supplies</x:v>
      </x:c>
      <x:c r="P645" s="10" t="n">
        <x:v>46</x:v>
      </x:c>
      <x:c r="Q645" s="10" t="n">
        <x:v>0</x:v>
      </x:c>
      <x:c r="R645" s="13" t="n">
        <x:v>0</x:v>
      </x:c>
      <x:c r="S645" s="10" t="n">
        <x:v>69</x:v>
      </x:c>
      <x:c r="T645" s="10" t="str">
        <x:v>budget spreadsheet,monthly budget,google sheets budget,financial planner,credit card tracker,credit card budget,loan tracker,bill calendar,income expense,easy download,mortgage formula,student planner,simple template</x:v>
      </x:c>
      <x:c r="U645" s="10" t="str">
        <x:v>budget spreadsheet</x:v>
      </x:c>
      <x:c r="V645" s="10" t="str">
        <x:v>monthly budget</x:v>
      </x:c>
      <x:c r="W645" s="10" t="str">
        <x:v>google sheets budget</x:v>
      </x:c>
      <x:c r="X645" s="10" t="str">
        <x:v>financial planner</x:v>
      </x:c>
      <x:c r="Y645" s="10" t="str">
        <x:v>credit card tracker</x:v>
      </x:c>
      <x:c r="Z645" s="10" t="str">
        <x:v>credit card budget</x:v>
      </x:c>
      <x:c r="AA645" s="10" t="str">
        <x:v>loan tracker</x:v>
      </x:c>
      <x:c r="AB645" s="10" t="str">
        <x:v>bill calendar</x:v>
      </x:c>
      <x:c r="AC645" s="10" t="str">
        <x:v>income expense</x:v>
      </x:c>
      <x:c r="AD645" s="10" t="str">
        <x:v>easy download</x:v>
      </x:c>
      <x:c r="AE645" s="10" t="str">
        <x:v>mortgage formula</x:v>
      </x:c>
      <x:c r="AF645" s="10" t="str">
        <x:v>student planner</x:v>
      </x:c>
      <x:c r="AG645" s="10" t="str">
        <x:v>simple template</x:v>
      </x:c>
      <x:c r="AH645" s="10" t="str">
        <x:v>Other mortgage-related</x:v>
      </x:c>
      <x:c r="AI645" s="13" t="n">
        <x:v>41</x:v>
      </x:c>
      <x:c r="AJ645" s="10" t="str">
        <x:f>IF(F645&gt;0,"Active","No est. sales")</x:f>
        <x:v>No est. sales</x:v>
      </x:c>
    </x:row>
    <x:row r="646">
      <x:c r="A646" s="10" t="str">
        <x:v>Ultimate Debt Dashboard | Google Sheets</x:v>
      </x:c>
      <x:c r="B646" s="10" t="str">
        <x:v>https://www.etsy.com/listing/1519277349/ultimate-debt-dashboard-google-sheets</x:v>
      </x:c>
      <x:c r="C646" s="10" t="str">
        <x:v>TheHappyPlanningClub</x:v>
      </x:c>
      <x:c r="D646" s="10" t="str">
        <x:v>https://www.etsy.com/shop/TheHappyPlanningClub</x:v>
      </x:c>
      <x:c r="E646" s="11" t="n">
        <x:v>7</x:v>
      </x:c>
      <x:c r="F646" s="10" t="n">
        <x:v>0</x:v>
      </x:c>
      <x:c r="G646" s="12" t="n">
        <x:v>0</x:v>
      </x:c>
      <x:c r="H646" s="13" t="n">
        <x:v>0</x:v>
      </x:c>
      <x:c r="I646" s="10" t="n">
        <x:v>7</x:v>
      </x:c>
      <x:c r="J646" s="10" t="n">
        <x:v>2</x:v>
      </x:c>
      <x:c r="K646" s="10" t="str">
        <x:v>36 Mo.</x:v>
      </x:c>
      <x:c r="L646" s="10" t="n">
        <x:v>17</x:v>
      </x:c>
      <x:c r="M646" s="10" t="n">
        <x:v>0</x:v>
      </x:c>
      <x:c r="N646" s="10" t="n">
        <x:v>206</x:v>
      </x:c>
      <x:c r="O646" s="10" t="str">
        <x:v>Paper &amp; Party Supplies</x:v>
      </x:c>
      <x:c r="P646" s="10" t="n">
        <x:v>38</x:v>
      </x:c>
      <x:c r="Q646" s="10" t="n">
        <x:v>0</x:v>
      </x:c>
      <x:c r="R646" s="13" t="n">
        <x:v>3.4</x:v>
      </x:c>
      <x:c r="S646" s="10" t="n">
        <x:v>346</x:v>
      </x:c>
      <x:c r="T646" s="10" t="str">
        <x:v>student loan debt,snowball method,personal finance,mortgage payoff,loan payoff tracker,financial planner,debt snowball,debt payoff planner,debt payment tracker,debt google sheets,debt calculator,credit card debt,google sheets excel</x:v>
      </x:c>
      <x:c r="U646" s="10" t="str">
        <x:v>student loan debt</x:v>
      </x:c>
      <x:c r="V646" s="10" t="str">
        <x:v>snowball method</x:v>
      </x:c>
      <x:c r="W646" s="10" t="str">
        <x:v>personal finance</x:v>
      </x:c>
      <x:c r="X646" s="10" t="str">
        <x:v>mortgage payoff</x:v>
      </x:c>
      <x:c r="Y646" s="10" t="str">
        <x:v>loan payoff tracker</x:v>
      </x:c>
      <x:c r="Z646" s="10" t="str">
        <x:v>financial planner</x:v>
      </x:c>
      <x:c r="AA646" s="10" t="str">
        <x:v>debt snowball</x:v>
      </x:c>
      <x:c r="AB646" s="10" t="str">
        <x:v>debt payoff planner</x:v>
      </x:c>
      <x:c r="AC646" s="10" t="str">
        <x:v>debt payment tracker</x:v>
      </x:c>
      <x:c r="AD646" s="10" t="str">
        <x:v>debt google sheets</x:v>
      </x:c>
      <x:c r="AE646" s="10" t="str">
        <x:v>debt calculator</x:v>
      </x:c>
      <x:c r="AF646" s="10" t="str">
        <x:v>credit card debt</x:v>
      </x:c>
      <x:c r="AG646" s="10" t="str">
        <x:v>google sheets excel</x:v>
      </x:c>
      <x:c r="AH646" s="10" t="str">
        <x:v>Other mortgage-related</x:v>
      </x:c>
      <x:c r="AI646" s="13" t="n">
        <x:v>36</x:v>
      </x:c>
      <x:c r="AJ646" s="10" t="str">
        <x:f>IF(F646&gt;0,"Active","No est. sales")</x:f>
        <x:v>No est. sales</x:v>
      </x:c>
    </x:row>
    <x:row r="647">
      <x:c r="A647" s="10" t="str">
        <x:v>Ultimate Debt Dashboard | Google Sheets</x:v>
      </x:c>
      <x:c r="B647" s="10" t="str">
        <x:v>https://www.etsy.com/listing/1519512465/ultimate-debt-dashboard-google-sheets</x:v>
      </x:c>
      <x:c r="C647" s="10" t="str">
        <x:v>TheHappyPlanningClub</x:v>
      </x:c>
      <x:c r="D647" s="10" t="str">
        <x:v>https://www.etsy.com/shop/TheHappyPlanningClub</x:v>
      </x:c>
      <x:c r="E647" s="11" t="n">
        <x:v>7</x:v>
      </x:c>
      <x:c r="F647" s="10" t="n">
        <x:v>0</x:v>
      </x:c>
      <x:c r="G647" s="12" t="n">
        <x:v>0</x:v>
      </x:c>
      <x:c r="H647" s="13" t="n">
        <x:v>0</x:v>
      </x:c>
      <x:c r="I647" s="10" t="n">
        <x:v>0</x:v>
      </x:c>
      <x:c r="J647" s="10" t="n">
        <x:v>0</x:v>
      </x:c>
      <x:c r="K647" s="10" t="str">
        <x:v>36 Mo.</x:v>
      </x:c>
      <x:c r="L647" s="10" t="n">
        <x:v>14</x:v>
      </x:c>
      <x:c r="M647" s="10" t="n">
        <x:v>0</x:v>
      </x:c>
      <x:c r="N647" s="10" t="n">
        <x:v>307</x:v>
      </x:c>
      <x:c r="O647" s="10" t="str">
        <x:v>Paper &amp; Party Supplies</x:v>
      </x:c>
      <x:c r="P647" s="10" t="n">
        <x:v>38</x:v>
      </x:c>
      <x:c r="Q647" s="10" t="n">
        <x:v>0</x:v>
      </x:c>
      <x:c r="R647" s="13" t="n">
        <x:v>0</x:v>
      </x:c>
      <x:c r="S647" s="10" t="n">
        <x:v>346</x:v>
      </x:c>
      <x:c r="T647" s="10" t="str">
        <x:v>student loan debt,snowball method,personal finance,mortgage payoff,loan payoff tracker,financial planner,debt snowball,debt payoff planner,debt payment tracker,debt google sheets,debt calculator,debt avalanche,google sheets excel</x:v>
      </x:c>
      <x:c r="U647" s="10" t="str">
        <x:v>student loan debt</x:v>
      </x:c>
      <x:c r="V647" s="10" t="str">
        <x:v>snowball method</x:v>
      </x:c>
      <x:c r="W647" s="10" t="str">
        <x:v>personal finance</x:v>
      </x:c>
      <x:c r="X647" s="10" t="str">
        <x:v>mortgage payoff</x:v>
      </x:c>
      <x:c r="Y647" s="10" t="str">
        <x:v>loan payoff tracker</x:v>
      </x:c>
      <x:c r="Z647" s="10" t="str">
        <x:v>financial planner</x:v>
      </x:c>
      <x:c r="AA647" s="10" t="str">
        <x:v>debt snowball</x:v>
      </x:c>
      <x:c r="AB647" s="10" t="str">
        <x:v>debt payoff planner</x:v>
      </x:c>
      <x:c r="AC647" s="10" t="str">
        <x:v>debt payment tracker</x:v>
      </x:c>
      <x:c r="AD647" s="10" t="str">
        <x:v>debt google sheets</x:v>
      </x:c>
      <x:c r="AE647" s="10" t="str">
        <x:v>debt calculator</x:v>
      </x:c>
      <x:c r="AF647" s="10" t="str">
        <x:v>debt avalanche</x:v>
      </x:c>
      <x:c r="AG647" s="10" t="str">
        <x:v>google sheets excel</x:v>
      </x:c>
      <x:c r="AH647" s="10" t="str">
        <x:v>Other mortgage-related</x:v>
      </x:c>
      <x:c r="AI647" s="13" t="n">
        <x:v>36</x:v>
      </x:c>
      <x:c r="AJ647" s="10" t="str">
        <x:f>IF(F647&gt;0,"Active","No est. sales")</x:f>
        <x:v>No est. sales</x:v>
      </x:c>
    </x:row>
    <x:row r="648">
      <x:c r="A648" s="10" t="str">
        <x:v>Personal Budget Tracker — Full Year Finance Planner | Excel &amp; Google Sheets</x:v>
      </x:c>
      <x:c r="B648" s="10" t="str">
        <x:v>https://www.etsy.com/listing/4494529370/personal-budget-tracker-full-year</x:v>
      </x:c>
      <x:c r="C648" s="10" t="str">
        <x:v>LiftYourDreamsToday</x:v>
      </x:c>
      <x:c r="D648" s="10" t="str">
        <x:v>https://www.etsy.com/shop/LiftYourDreamsToday</x:v>
      </x:c>
      <x:c r="E648" s="11" t="n">
        <x:v>10.99</x:v>
      </x:c>
      <x:c r="F648" s="10" t="n">
        <x:v>0</x:v>
      </x:c>
      <x:c r="G648" s="12" t="n">
        <x:v>0</x:v>
      </x:c>
      <x:c r="H648" s="13" t="n">
        <x:v>0</x:v>
      </x:c>
      <x:c r="I648" s="10" t="n">
        <x:v>0</x:v>
      </x:c>
      <x:c r="J648" s="10" t="n">
        <x:v>0</x:v>
      </x:c>
      <x:c r="K648" s="10" t="str">
        <x:v>3 Mo.</x:v>
      </x:c>
      <x:c r="L648" s="10" t="n">
        <x:v>0</x:v>
      </x:c>
      <x:c r="M648" s="10" t="n">
        <x:v>0</x:v>
      </x:c>
      <x:c r="N648" s="10" t="n">
        <x:v>0</x:v>
      </x:c>
      <x:c r="O648" s="10" t="str"/>
      <x:c r="P648" s="10" t="n">
        <x:v>9</x:v>
      </x:c>
      <x:c r="Q648" s="10" t="n">
        <x:v>0</x:v>
      </x:c>
      <x:c r="R648" s="13" t="n">
        <x:v>0</x:v>
      </x:c>
      <x:c r="S648" s="10" t="n">
        <x:v>1</x:v>
      </x:c>
      <x:c r="T648" s="10" t="str">
        <x:v>budget tracker,personal budget,finance tracker,annual budget sheet,expense tracker,financial planner,mortgage tracker</x:v>
      </x:c>
      <x:c r="U648" s="10" t="str">
        <x:v>budget tracker</x:v>
      </x:c>
      <x:c r="V648" s="10" t="str">
        <x:v>personal budget</x:v>
      </x:c>
      <x:c r="W648" s="10" t="str">
        <x:v>finance tracker</x:v>
      </x:c>
      <x:c r="X648" s="10" t="str">
        <x:v>annual budget sheet</x:v>
      </x:c>
      <x:c r="Y648" s="10" t="str">
        <x:v>expense tracker</x:v>
      </x:c>
      <x:c r="Z648" s="10" t="str">
        <x:v>financial planner</x:v>
      </x:c>
      <x:c r="AA648" s="10" t="str">
        <x:v>mortgage tracker</x:v>
      </x:c>
      <x:c r="AB648" s="10" t="str">
        <x:v>--</x:v>
      </x:c>
      <x:c r="AC648" s="10" t="str">
        <x:v>--</x:v>
      </x:c>
      <x:c r="AD648" s="10" t="str">
        <x:v>--</x:v>
      </x:c>
      <x:c r="AE648" s="10" t="str">
        <x:v>--</x:v>
      </x:c>
      <x:c r="AF648" s="10" t="str">
        <x:v>--</x:v>
      </x:c>
      <x:c r="AG648" s="10" t="str">
        <x:v>--</x:v>
      </x:c>
      <x:c r="AH648" s="10" t="str">
        <x:v>Other mortgage-related</x:v>
      </x:c>
      <x:c r="AI648" s="13" t="n">
        <x:v>3</x:v>
      </x:c>
      <x:c r="AJ648" s="10" t="str">
        <x:f>IF(F648&gt;0,"Active","No est. sales")</x:f>
        <x:v>No est. sales</x:v>
      </x:c>
    </x:row>
    <x:row r="649">
      <x:c r="A649" s="10" t="str">
        <x:v>Debt Payoff Tracker Google Sheets Dark Mode Debt Snowball Avalanche Calculator Credit Card Loan Mortgage Payoff Planner</x:v>
      </x:c>
      <x:c r="B649" s="10" t="str">
        <x:v>https://www.etsy.com/listing/4438703489/debt-payoff-tracker-google-sheets-dark</x:v>
      </x:c>
      <x:c r="C649" s="10" t="str">
        <x:v>MahoganySheets</x:v>
      </x:c>
      <x:c r="D649" s="10" t="str">
        <x:v>https://www.etsy.com/shop/MahoganySheets</x:v>
      </x:c>
      <x:c r="E649" s="11" t="n">
        <x:v>2.4</x:v>
      </x:c>
      <x:c r="F649" s="10" t="n">
        <x:v>0</x:v>
      </x:c>
      <x:c r="G649" s="12" t="n">
        <x:v>0</x:v>
      </x:c>
      <x:c r="H649" s="13" t="n">
        <x:v>0</x:v>
      </x:c>
      <x:c r="I649" s="10" t="n">
        <x:v>0</x:v>
      </x:c>
      <x:c r="J649" s="10" t="n">
        <x:v>0</x:v>
      </x:c>
      <x:c r="K649" s="10" t="str">
        <x:v>6 Mo.</x:v>
      </x:c>
      <x:c r="L649" s="10" t="n">
        <x:v>0</x:v>
      </x:c>
      <x:c r="M649" s="10" t="n">
        <x:v>0</x:v>
      </x:c>
      <x:c r="N649" s="10" t="n">
        <x:v>121</x:v>
      </x:c>
      <x:c r="O649" s="10" t="str"/>
      <x:c r="P649" s="10" t="n">
        <x:v>8</x:v>
      </x:c>
      <x:c r="Q649" s="10" t="n">
        <x:v>0</x:v>
      </x:c>
      <x:c r="R649" s="13" t="n">
        <x:v>0</x:v>
      </x:c>
      <x:c r="S649" s="10" t="n">
        <x:v>118</x:v>
      </x:c>
      <x:c r="T649" s="10" t="str">
        <x:v>debt payoff tracker,financial planner,debt calculator,debt snowball,loan payoff tracker,debt payment tracker,debt avalanche,credit card payoff,debt payoff planner,mortgage payoff,student loan payoff,debt tracker,debt spreadsheet</x:v>
      </x:c>
      <x:c r="U649" s="10" t="str">
        <x:v>debt payoff tracker</x:v>
      </x:c>
      <x:c r="V649" s="10" t="str">
        <x:v>financial planner</x:v>
      </x:c>
      <x:c r="W649" s="10" t="str">
        <x:v>debt calculator</x:v>
      </x:c>
      <x:c r="X649" s="10" t="str">
        <x:v>debt snowball</x:v>
      </x:c>
      <x:c r="Y649" s="10" t="str">
        <x:v>loan payoff tracker</x:v>
      </x:c>
      <x:c r="Z649" s="10" t="str">
        <x:v>debt payment tracker</x:v>
      </x:c>
      <x:c r="AA649" s="10" t="str">
        <x:v>debt avalanche</x:v>
      </x:c>
      <x:c r="AB649" s="10" t="str">
        <x:v>credit card payoff</x:v>
      </x:c>
      <x:c r="AC649" s="10" t="str">
        <x:v>debt payoff planner</x:v>
      </x:c>
      <x:c r="AD649" s="10" t="str">
        <x:v>mortgage payoff</x:v>
      </x:c>
      <x:c r="AE649" s="10" t="str">
        <x:v>student loan payoff</x:v>
      </x:c>
      <x:c r="AF649" s="10" t="str">
        <x:v>debt tracker</x:v>
      </x:c>
      <x:c r="AG649" s="10" t="str">
        <x:v>debt spreadsheet</x:v>
      </x:c>
      <x:c r="AH649" s="10" t="str">
        <x:v>General debt payoff</x:v>
      </x:c>
      <x:c r="AI649" s="13" t="n">
        <x:v>6</x:v>
      </x:c>
      <x:c r="AJ649" s="10" t="str">
        <x:f>IF(F649&gt;0,"Active","No est. sales")</x:f>
        <x:v>No est. sales</x:v>
      </x:c>
    </x:row>
    <x:row r="650">
      <x:c r="A650" s="10" t="str">
        <x:v>Google Sheets Home Search Tracker | House Hunting Organizer &amp; Mortgage Calculator</x:v>
      </x:c>
      <x:c r="B650" s="10" t="str">
        <x:v>https://www.etsy.com/listing/4424793731/google-sheets-home-search-tracker-house</x:v>
      </x:c>
      <x:c r="C650" s="10" t="str">
        <x:v>JRexCreative</x:v>
      </x:c>
      <x:c r="D650" s="10" t="str">
        <x:v>https://www.etsy.com/shop/JRexCreative</x:v>
      </x:c>
      <x:c r="E650" s="11" t="n">
        <x:v>4.99</x:v>
      </x:c>
      <x:c r="F650" s="10" t="n">
        <x:v>0</x:v>
      </x:c>
      <x:c r="G650" s="12" t="n">
        <x:v>0</x:v>
      </x:c>
      <x:c r="H650" s="13" t="n">
        <x:v>0</x:v>
      </x:c>
      <x:c r="I650" s="10" t="n">
        <x:v>0</x:v>
      </x:c>
      <x:c r="J650" s="10" t="n">
        <x:v>0</x:v>
      </x:c>
      <x:c r="K650" s="10" t="str">
        <x:v>7 Mo.</x:v>
      </x:c>
      <x:c r="L650" s="10" t="n">
        <x:v>1</x:v>
      </x:c>
      <x:c r="M650" s="10" t="n">
        <x:v>0</x:v>
      </x:c>
      <x:c r="N650" s="10" t="n">
        <x:v>38</x:v>
      </x:c>
      <x:c r="O650" s="10" t="str"/>
      <x:c r="P650" s="10" t="n">
        <x:v>7</x:v>
      </x:c>
      <x:c r="Q650" s="10" t="n">
        <x:v>0</x:v>
      </x:c>
      <x:c r="R650" s="13" t="n">
        <x:v>0</x:v>
      </x:c>
      <x:c r="S650" s="10" t="n">
        <x:v>1</x:v>
      </x:c>
      <x:c r="T650" s="10" t="str">
        <x:v>home search tracker,house hunting,home buying planner,property tracker,mortgage calculator,home comparison,google sheets home,home purchase,house tracker,house comparison</x:v>
      </x:c>
      <x:c r="U650" s="10" t="str">
        <x:v>home search tracker</x:v>
      </x:c>
      <x:c r="V650" s="10" t="str">
        <x:v>house hunting</x:v>
      </x:c>
      <x:c r="W650" s="10" t="str">
        <x:v>home buying planner</x:v>
      </x:c>
      <x:c r="X650" s="10" t="str">
        <x:v>property tracker</x:v>
      </x:c>
      <x:c r="Y650" s="10" t="str">
        <x:v>mortgage calculator</x:v>
      </x:c>
      <x:c r="Z650" s="10" t="str">
        <x:v>home comparison</x:v>
      </x:c>
      <x:c r="AA650" s="10" t="str">
        <x:v>google sheets home</x:v>
      </x:c>
      <x:c r="AB650" s="10" t="str">
        <x:v>home purchase</x:v>
      </x:c>
      <x:c r="AC650" s="10" t="str">
        <x:v>house tracker</x:v>
      </x:c>
      <x:c r="AD650" s="10" t="str">
        <x:v>house comparison</x:v>
      </x:c>
      <x:c r="AE650" s="10" t="str">
        <x:v>--</x:v>
      </x:c>
      <x:c r="AF650" s="10" t="str">
        <x:v>--</x:v>
      </x:c>
      <x:c r="AG650" s="10" t="str">
        <x:v>--</x:v>
      </x:c>
      <x:c r="AH650" s="10" t="str">
        <x:v>Home buying planner</x:v>
      </x:c>
      <x:c r="AI650" s="13" t="n">
        <x:v>7</x:v>
      </x:c>
      <x:c r="AJ650" s="10" t="str">
        <x:f>IF(F650&gt;0,"Active","No est. sales")</x:f>
        <x:v>No est. sales</x:v>
      </x:c>
    </x:row>
    <x:row r="651">
      <x:c r="A651" s="10" t="str">
        <x:v>Debt Payoff Tracker Google Sheets Debt Template, Debt Calculator, Payment Schedule, Loan Payoff, Mortgage Manager, Green Tulip Premium</x:v>
      </x:c>
      <x:c r="B651" s="10" t="str">
        <x:v>https://www.etsy.com/listing/1676115746/debt-payoff-tracker-google-sheets-debt</x:v>
      </x:c>
      <x:c r="C651" s="10" t="str">
        <x:v>FloralgroveDigital</x:v>
      </x:c>
      <x:c r="D651" s="10" t="str">
        <x:v>https://www.etsy.com/shop/FloralgroveDigital</x:v>
      </x:c>
      <x:c r="E651" s="11" t="n">
        <x:v>7.68</x:v>
      </x:c>
      <x:c r="F651" s="10" t="n">
        <x:v>0</x:v>
      </x:c>
      <x:c r="G651" s="12" t="n">
        <x:v>0</x:v>
      </x:c>
      <x:c r="H651" s="13" t="n">
        <x:v>0</x:v>
      </x:c>
      <x:c r="I651" s="10" t="n">
        <x:v>0</x:v>
      </x:c>
      <x:c r="J651" s="10" t="n">
        <x:v>0</x:v>
      </x:c>
      <x:c r="K651" s="10" t="str">
        <x:v>28 Mo.</x:v>
      </x:c>
      <x:c r="L651" s="10" t="n">
        <x:v>3</x:v>
      </x:c>
      <x:c r="M651" s="10" t="n">
        <x:v>0</x:v>
      </x:c>
      <x:c r="N651" s="10" t="n">
        <x:v>83</x:v>
      </x:c>
      <x:c r="O651" s="10" t="str"/>
      <x:c r="P651" s="10" t="n">
        <x:v>29</x:v>
      </x:c>
      <x:c r="Q651" s="10" t="n">
        <x:v>0</x:v>
      </x:c>
      <x:c r="R651" s="13" t="n">
        <x:v>0</x:v>
      </x:c>
      <x:c r="S651" s="10" t="n">
        <x:v>272</x:v>
      </x:c>
      <x:c r="T651" s="10" t="str">
        <x:v>google sheets,spreadsheet template,grow a plant tulip,debt calculator,payment schedule,loan payoff,debt payoff tracker,mortgage manager,debt tracker,debt payment tracker,debt spreadsheet,debt planner,debt free chart</x:v>
      </x:c>
      <x:c r="U651" s="10" t="str">
        <x:v>google sheets</x:v>
      </x:c>
      <x:c r="V651" s="10" t="str">
        <x:v>spreadsheet template</x:v>
      </x:c>
      <x:c r="W651" s="10" t="str">
        <x:v>grow a plant tulip</x:v>
      </x:c>
      <x:c r="X651" s="10" t="str">
        <x:v>debt calculator</x:v>
      </x:c>
      <x:c r="Y651" s="10" t="str">
        <x:v>payment schedule</x:v>
      </x:c>
      <x:c r="Z651" s="10" t="str">
        <x:v>loan payoff</x:v>
      </x:c>
      <x:c r="AA651" s="10" t="str">
        <x:v>debt payoff tracker</x:v>
      </x:c>
      <x:c r="AB651" s="10" t="str">
        <x:v>mortgage manager</x:v>
      </x:c>
      <x:c r="AC651" s="10" t="str">
        <x:v>debt tracker</x:v>
      </x:c>
      <x:c r="AD651" s="10" t="str">
        <x:v>debt payment tracker</x:v>
      </x:c>
      <x:c r="AE651" s="10" t="str">
        <x:v>debt spreadsheet</x:v>
      </x:c>
      <x:c r="AF651" s="10" t="str">
        <x:v>debt planner</x:v>
      </x:c>
      <x:c r="AG651" s="10" t="str">
        <x:v>debt free chart</x:v>
      </x:c>
      <x:c r="AH651" s="10" t="str">
        <x:v>General debt payoff</x:v>
      </x:c>
      <x:c r="AI651" s="13" t="n">
        <x:v>28</x:v>
      </x:c>
      <x:c r="AJ651" s="10" t="str">
        <x:f>IF(F651&gt;0,"Active","No est. sales")</x:f>
        <x:v>No est. sales</x:v>
      </x:c>
    </x:row>
    <x:row r="652">
      <x:c r="A652" s="10" t="str">
        <x:v>Debt Payoff Tracker Google Sheets Snowball Avalanche Custom Method Debt Payment Spreadsheet Financial Planner Credit Card Mortgage Payoff</x:v>
      </x:c>
      <x:c r="B652" s="10" t="str">
        <x:v>https://www.etsy.com/listing/1711192419/debt-payoff-tracker-google-sheets</x:v>
      </x:c>
      <x:c r="C652" s="10" t="str">
        <x:v>PLANSTUDIOREMIER</x:v>
      </x:c>
      <x:c r="D652" s="10" t="str">
        <x:v>https://www.etsy.com/shop/PLANSTUDIOREMIER</x:v>
      </x:c>
      <x:c r="E652" s="11" t="n">
        <x:v>7.78</x:v>
      </x:c>
      <x:c r="F652" s="10" t="n">
        <x:v>0</x:v>
      </x:c>
      <x:c r="G652" s="12" t="n">
        <x:v>0</x:v>
      </x:c>
      <x:c r="H652" s="13" t="n">
        <x:v>0</x:v>
      </x:c>
      <x:c r="I652" s="10" t="n">
        <x:v>0</x:v>
      </x:c>
      <x:c r="J652" s="10" t="n">
        <x:v>0</x:v>
      </x:c>
      <x:c r="K652" s="10" t="str">
        <x:v>27 Mo.</x:v>
      </x:c>
      <x:c r="L652" s="10" t="n">
        <x:v>3</x:v>
      </x:c>
      <x:c r="M652" s="10" t="n">
        <x:v>0</x:v>
      </x:c>
      <x:c r="N652" s="10" t="n">
        <x:v>57</x:v>
      </x:c>
      <x:c r="O652" s="10" t="str"/>
      <x:c r="P652" s="10" t="n">
        <x:v>27</x:v>
      </x:c>
      <x:c r="Q652" s="10" t="n">
        <x:v>0</x:v>
      </x:c>
      <x:c r="R652" s="13" t="n">
        <x:v>0</x:v>
      </x:c>
      <x:c r="S652" s="10" t="n">
        <x:v>472</x:v>
      </x:c>
      <x:c r="T652" s="10" t="str">
        <x:v>debt payoff tracker,debt payment planner,financial planner,yearly budget tool,debt tracker google,debt snowball method,credit card payoff,finance spreadsheet,debt spreadsheet,avalanche method,google sheet planner,mortgage plan sheet,budgeting tool excel</x:v>
      </x:c>
      <x:c r="U652" s="10" t="str">
        <x:v>debt payoff tracker</x:v>
      </x:c>
      <x:c r="V652" s="10" t="str">
        <x:v>debt payment planner</x:v>
      </x:c>
      <x:c r="W652" s="10" t="str">
        <x:v>financial planner</x:v>
      </x:c>
      <x:c r="X652" s="10" t="str">
        <x:v>yearly budget tool</x:v>
      </x:c>
      <x:c r="Y652" s="10" t="str">
        <x:v>debt tracker google</x:v>
      </x:c>
      <x:c r="Z652" s="10" t="str">
        <x:v>debt snowball method</x:v>
      </x:c>
      <x:c r="AA652" s="10" t="str">
        <x:v>credit card payoff</x:v>
      </x:c>
      <x:c r="AB652" s="10" t="str">
        <x:v>finance spreadsheet</x:v>
      </x:c>
      <x:c r="AC652" s="10" t="str">
        <x:v>debt spreadsheet</x:v>
      </x:c>
      <x:c r="AD652" s="10" t="str">
        <x:v>avalanche method</x:v>
      </x:c>
      <x:c r="AE652" s="10" t="str">
        <x:v>google sheet planner</x:v>
      </x:c>
      <x:c r="AF652" s="10" t="str">
        <x:v>mortgage plan sheet</x:v>
      </x:c>
      <x:c r="AG652" s="10" t="str">
        <x:v>budgeting tool excel</x:v>
      </x:c>
      <x:c r="AH652" s="10" t="str">
        <x:v>General debt payoff</x:v>
      </x:c>
      <x:c r="AI652" s="13" t="n">
        <x:v>27</x:v>
      </x:c>
      <x:c r="AJ652" s="10" t="str">
        <x:f>IF(F652&gt;0,"Active","No est. sales")</x:f>
        <x:v>No est. sales</x:v>
      </x:c>
    </x:row>
    <x:row r="653">
      <x:c r="A653" s="10" t="str">
        <x:v>Utility Bill - Reminder Stickers</x:v>
      </x:c>
      <x:c r="B653" s="10" t="str">
        <x:v>https://www.etsy.com/listing/1225848377/utility-bill-reminder-stickers</x:v>
      </x:c>
      <x:c r="C653" s="10" t="str">
        <x:v>AdamTheStickerGuy</x:v>
      </x:c>
      <x:c r="D653" s="10" t="str">
        <x:v>https://www.etsy.com/shop/AdamTheStickerGuy</x:v>
      </x:c>
      <x:c r="E653" s="11" t="n">
        <x:v>2.5</x:v>
      </x:c>
      <x:c r="F653" s="10" t="n">
        <x:v>0</x:v>
      </x:c>
      <x:c r="G653" s="12" t="n">
        <x:v>0</x:v>
      </x:c>
      <x:c r="H653" s="13" t="n">
        <x:v>0</x:v>
      </x:c>
      <x:c r="I653" s="10" t="n">
        <x:v>2</x:v>
      </x:c>
      <x:c r="J653" s="10" t="n">
        <x:v>1</x:v>
      </x:c>
      <x:c r="K653" s="10" t="str">
        <x:v>50 Mo.</x:v>
      </x:c>
      <x:c r="L653" s="10" t="n">
        <x:v>0</x:v>
      </x:c>
      <x:c r="M653" s="10" t="n">
        <x:v>0</x:v>
      </x:c>
      <x:c r="N653" s="10" t="n">
        <x:v>53</x:v>
      </x:c>
      <x:c r="O653" s="10" t="str">
        <x:v>Paper &amp; Party Supplies</x:v>
      </x:c>
      <x:c r="P653" s="10" t="n">
        <x:v>56</x:v>
      </x:c>
      <x:c r="Q653" s="10" t="n">
        <x:v>0</x:v>
      </x:c>
      <x:c r="R653" s="13" t="n">
        <x:v>3.77</x:v>
      </x:c>
      <x:c r="S653" s="10" t="n">
        <x:v>393</x:v>
      </x:c>
      <x:c r="T653" s="10" t="str">
        <x:v>planner stickers,mortgage,utility bills,electricity bill,water bill,credit card,payments</x:v>
      </x:c>
      <x:c r="U653" s="10" t="str">
        <x:v>planner stickers</x:v>
      </x:c>
      <x:c r="V653" s="10" t="str">
        <x:v>mortgage</x:v>
      </x:c>
      <x:c r="W653" s="10" t="str">
        <x:v>utility bills</x:v>
      </x:c>
      <x:c r="X653" s="10" t="str">
        <x:v>electricity bill</x:v>
      </x:c>
      <x:c r="Y653" s="10" t="str">
        <x:v>water bill</x:v>
      </x:c>
      <x:c r="Z653" s="10" t="str">
        <x:v>credit card</x:v>
      </x:c>
      <x:c r="AA653" s="10" t="str">
        <x:v>payments</x:v>
      </x:c>
      <x:c r="AB653" s="10" t="str">
        <x:v>--</x:v>
      </x:c>
      <x:c r="AC653" s="10" t="str">
        <x:v>--</x:v>
      </x:c>
      <x:c r="AD653" s="10" t="str">
        <x:v>--</x:v>
      </x:c>
      <x:c r="AE653" s="10" t="str">
        <x:v>--</x:v>
      </x:c>
      <x:c r="AF653" s="10" t="str">
        <x:v>--</x:v>
      </x:c>
      <x:c r="AG653" s="10" t="str">
        <x:v>--</x:v>
      </x:c>
      <x:c r="AH653" s="10" t="str">
        <x:v>Other mortgage-related</x:v>
      </x:c>
      <x:c r="AI653" s="13" t="n">
        <x:v>50</x:v>
      </x:c>
      <x:c r="AJ653" s="10" t="str">
        <x:f>IF(F653&gt;0,"Active","No est. sales")</x:f>
        <x:v>No est. sales</x:v>
      </x:c>
    </x:row>
    <x:row r="654">
      <x:c r="A654" s="10" t="str">
        <x:v>Debt Tracker, Debt Payment Template, Debt Snowball, Payoff Log Digital Planner for Goodnotes Ipad, Printable PDF</x:v>
      </x:c>
      <x:c r="B654" s="10" t="str">
        <x:v>https://www.etsy.com/listing/1184338464/debt-tracker-debt-payment-template-debt</x:v>
      </x:c>
      <x:c r="C654" s="10" t="str">
        <x:v>LiliesDaily</x:v>
      </x:c>
      <x:c r="D654" s="10" t="str">
        <x:v>https://www.etsy.com/shop/LiliesDaily</x:v>
      </x:c>
      <x:c r="E654" s="11" t="n">
        <x:v>2.7</x:v>
      </x:c>
      <x:c r="F654" s="10" t="n">
        <x:v>0</x:v>
      </x:c>
      <x:c r="G654" s="12" t="n">
        <x:v>0</x:v>
      </x:c>
      <x:c r="H654" s="13" t="n">
        <x:v>0</x:v>
      </x:c>
      <x:c r="I654" s="10" t="n">
        <x:v>290</x:v>
      </x:c>
      <x:c r="J654" s="10" t="n">
        <x:v>24</x:v>
      </x:c>
      <x:c r="K654" s="10" t="str">
        <x:v>52 Mo.</x:v>
      </x:c>
      <x:c r="L654" s="10" t="n">
        <x:v>198</x:v>
      </x:c>
      <x:c r="M654" s="10" t="n">
        <x:v>0</x:v>
      </x:c>
      <x:c r="N654" s="10" t="n">
        <x:v>4425</x:v>
      </x:c>
      <x:c r="O654" s="10" t="str"/>
      <x:c r="P654" s="10" t="n">
        <x:v>71</x:v>
      </x:c>
      <x:c r="Q654" s="10" t="n">
        <x:v>33</x:v>
      </x:c>
      <x:c r="R654" s="13" t="n">
        <x:v>6.55</x:v>
      </x:c>
      <x:c r="S654" s="10" t="n">
        <x:v>48855</x:v>
      </x:c>
      <x:c r="T654" s="10" t="str">
        <x:v>debt payoff tracker,debt snowball,mortgage tracker,money tracker,debt payment log,debt repayment,finance planner,digital planner,goodnotes planner,ipad planner,digital inserts,payment tracker,tracker printable</x:v>
      </x:c>
      <x:c r="U654" s="10" t="str">
        <x:v>debt payoff tracker</x:v>
      </x:c>
      <x:c r="V654" s="10" t="str">
        <x:v>debt snowball</x:v>
      </x:c>
      <x:c r="W654" s="10" t="str">
        <x:v>mortgage tracker</x:v>
      </x:c>
      <x:c r="X654" s="10" t="str">
        <x:v>money tracker</x:v>
      </x:c>
      <x:c r="Y654" s="10" t="str">
        <x:v>debt payment log</x:v>
      </x:c>
      <x:c r="Z654" s="10" t="str">
        <x:v>debt repayment</x:v>
      </x:c>
      <x:c r="AA654" s="10" t="str">
        <x:v>finance planner</x:v>
      </x:c>
      <x:c r="AB654" s="10" t="str">
        <x:v>digital planner</x:v>
      </x:c>
      <x:c r="AC654" s="10" t="str">
        <x:v>goodnotes planner</x:v>
      </x:c>
      <x:c r="AD654" s="10" t="str">
        <x:v>ipad planner</x:v>
      </x:c>
      <x:c r="AE654" s="10" t="str">
        <x:v>digital inserts</x:v>
      </x:c>
      <x:c r="AF654" s="10" t="str">
        <x:v>payment tracker</x:v>
      </x:c>
      <x:c r="AG654" s="10" t="str">
        <x:v>tracker printable</x:v>
      </x:c>
      <x:c r="AH654" s="10" t="str">
        <x:v>General debt payoff</x:v>
      </x:c>
      <x:c r="AI654" s="13" t="n">
        <x:v>52</x:v>
      </x:c>
      <x:c r="AJ654" s="10" t="str">
        <x:f>IF(F654&gt;0,"Active","No est. sales")</x:f>
        <x:v>No est. sales</x:v>
      </x:c>
    </x:row>
    <x:row r="655">
      <x:c r="A655" s="10" t="str">
        <x:v>Mortgage Debt Tracker Printable, House Payoff Chart (PDF)</x:v>
      </x:c>
      <x:c r="B655" s="10" t="str">
        <x:v>https://www.etsy.com/listing/991091046/mortgage-debt-tracker-printable-house</x:v>
      </x:c>
      <x:c r="C655" s="10" t="str">
        <x:v>DuffyDesignCo</x:v>
      </x:c>
      <x:c r="D655" s="10" t="str">
        <x:v>https://www.etsy.com/shop/DuffyDesignCo</x:v>
      </x:c>
      <x:c r="E655" s="11" t="n">
        <x:v>1.75</x:v>
      </x:c>
      <x:c r="F655" s="10" t="n">
        <x:v>0</x:v>
      </x:c>
      <x:c r="G655" s="12" t="n">
        <x:v>0</x:v>
      </x:c>
      <x:c r="H655" s="13" t="n">
        <x:v>0</x:v>
      </x:c>
      <x:c r="I655" s="10" t="n">
        <x:v>0</x:v>
      </x:c>
      <x:c r="J655" s="10" t="n">
        <x:v>0</x:v>
      </x:c>
      <x:c r="K655" s="10" t="str">
        <x:v>63 Mo.</x:v>
      </x:c>
      <x:c r="L655" s="10" t="n">
        <x:v>13</x:v>
      </x:c>
      <x:c r="M655" s="10" t="n">
        <x:v>0</x:v>
      </x:c>
      <x:c r="N655" s="10" t="n">
        <x:v>125</x:v>
      </x:c>
      <x:c r="O655" s="10" t="str">
        <x:v>Paper &amp; Party Supplies</x:v>
      </x:c>
      <x:c r="P655" s="10" t="n">
        <x:v>191</x:v>
      </x:c>
      <x:c r="Q655" s="10" t="n">
        <x:v>0</x:v>
      </x:c>
      <x:c r="R655" s="13" t="n">
        <x:v>0</x:v>
      </x:c>
      <x:c r="S655" s="10" t="n">
        <x:v>9948</x:v>
      </x:c>
      <x:c r="T655" s="10" t="str">
        <x:v>tracker sheet,payoff calculator,debt payoff,debt free car chart,car debt payoff,debt free journey,debt payoff plan,debt planner,debt snowball,debt tracker,printable,mortgage debt,house loan</x:v>
      </x:c>
      <x:c r="U655" s="10" t="str">
        <x:v>tracker sheet</x:v>
      </x:c>
      <x:c r="V655" s="10" t="str">
        <x:v>payoff calculator</x:v>
      </x:c>
      <x:c r="W655" s="10" t="str">
        <x:v>debt payoff</x:v>
      </x:c>
      <x:c r="X655" s="10" t="str">
        <x:v>debt free car chart</x:v>
      </x:c>
      <x:c r="Y655" s="10" t="str">
        <x:v>car debt payoff</x:v>
      </x:c>
      <x:c r="Z655" s="10" t="str">
        <x:v>debt free journey</x:v>
      </x:c>
      <x:c r="AA655" s="10" t="str">
        <x:v>debt payoff plan</x:v>
      </x:c>
      <x:c r="AB655" s="10" t="str">
        <x:v>debt planner</x:v>
      </x:c>
      <x:c r="AC655" s="10" t="str">
        <x:v>debt snowball</x:v>
      </x:c>
      <x:c r="AD655" s="10" t="str">
        <x:v>debt tracker</x:v>
      </x:c>
      <x:c r="AE655" s="10" t="str">
        <x:v>printable</x:v>
      </x:c>
      <x:c r="AF655" s="10" t="str">
        <x:v>mortgage debt</x:v>
      </x:c>
      <x:c r="AG655" s="10" t="str">
        <x:v>house loan</x:v>
      </x:c>
      <x:c r="AH655" s="10" t="str">
        <x:v>Other mortgage-related</x:v>
      </x:c>
      <x:c r="AI655" s="13" t="n">
        <x:v>63</x:v>
      </x:c>
      <x:c r="AJ655" s="10" t="str">
        <x:f>IF(F655&gt;0,"Active","No est. sales")</x:f>
        <x:v>No est. sales</x:v>
      </x:c>
    </x:row>
    <x:row r="656">
      <x:c r="A656" s="10" t="str">
        <x:v>Debt Payoff Tracker Bundle | 13 Printable Trackers | Snowball &amp; Avalanche | PDF (US Letter, A5, A6)</x:v>
      </x:c>
      <x:c r="B656" s="10" t="str">
        <x:v>https://www.etsy.com/listing/4380730515/debt-payoff-tracker-bundle-13-printable</x:v>
      </x:c>
      <x:c r="C656" s="10" t="str">
        <x:v>HerBestieLife</x:v>
      </x:c>
      <x:c r="D656" s="10" t="str">
        <x:v>https://www.etsy.com/shop/HerBestieLife</x:v>
      </x:c>
      <x:c r="E656" s="11" t="n">
        <x:v>3.41</x:v>
      </x:c>
      <x:c r="F656" s="10" t="n">
        <x:v>0</x:v>
      </x:c>
      <x:c r="G656" s="12" t="n">
        <x:v>0</x:v>
      </x:c>
      <x:c r="H656" s="13" t="n">
        <x:v>0</x:v>
      </x:c>
      <x:c r="I656" s="10" t="n">
        <x:v>0</x:v>
      </x:c>
      <x:c r="J656" s="10" t="n">
        <x:v>0</x:v>
      </x:c>
      <x:c r="K656" s="10" t="str">
        <x:v>9 Mo.</x:v>
      </x:c>
      <x:c r="L656" s="10" t="n">
        <x:v>0</x:v>
      </x:c>
      <x:c r="M656" s="10" t="n">
        <x:v>0</x:v>
      </x:c>
      <x:c r="N656" s="10" t="n">
        <x:v>9</x:v>
      </x:c>
      <x:c r="O656" s="10" t="str"/>
      <x:c r="P656" s="10" t="n">
        <x:v>24</x:v>
      </x:c>
      <x:c r="Q656" s="10" t="n">
        <x:v>0</x:v>
      </x:c>
      <x:c r="R656" s="13" t="n">
        <x:v>0</x:v>
      </x:c>
      <x:c r="S656" s="10" t="n">
        <x:v>17</x:v>
      </x:c>
      <x:c r="T656" s="10" t="str">
        <x:v>debt payoff,debt tracker,payoff tracker,debt payoff kit,debt snowball,avalanche method,credit card debt,student loan pay,medical debt plan,mortgage payoff,debt payment log,budget planner,financial tracker</x:v>
      </x:c>
      <x:c r="U656" s="10" t="str">
        <x:v>debt payoff</x:v>
      </x:c>
      <x:c r="V656" s="10" t="str">
        <x:v>debt tracker</x:v>
      </x:c>
      <x:c r="W656" s="10" t="str">
        <x:v>payoff tracker</x:v>
      </x:c>
      <x:c r="X656" s="10" t="str">
        <x:v>debt payoff kit</x:v>
      </x:c>
      <x:c r="Y656" s="10" t="str">
        <x:v>debt snowball</x:v>
      </x:c>
      <x:c r="Z656" s="10" t="str">
        <x:v>avalanche method</x:v>
      </x:c>
      <x:c r="AA656" s="10" t="str">
        <x:v>credit card debt</x:v>
      </x:c>
      <x:c r="AB656" s="10" t="str">
        <x:v>student loan pay</x:v>
      </x:c>
      <x:c r="AC656" s="10" t="str">
        <x:v>medical debt plan</x:v>
      </x:c>
      <x:c r="AD656" s="10" t="str">
        <x:v>mortgage payoff</x:v>
      </x:c>
      <x:c r="AE656" s="10" t="str">
        <x:v>debt payment log</x:v>
      </x:c>
      <x:c r="AF656" s="10" t="str">
        <x:v>budget planner</x:v>
      </x:c>
      <x:c r="AG656" s="10" t="str">
        <x:v>financial tracker</x:v>
      </x:c>
      <x:c r="AH656" s="10" t="str">
        <x:v>General debt payoff</x:v>
      </x:c>
      <x:c r="AI656" s="13" t="n">
        <x:v>9</x:v>
      </x:c>
      <x:c r="AJ656" s="10" t="str">
        <x:f>IF(F656&gt;0,"Active","No est. sales")</x:f>
        <x:v>No est. sales</x:v>
      </x:c>
    </x:row>
    <x:row r="657">
      <x:c r="A657" s="10" t="str">
        <x:v>House Icon Planner Stickers, House Payment Stickers, , 1/2 Inch Home Stickers for Chores, Real Estate, Moving, or Cleaning Trackers</x:v>
      </x:c>
      <x:c r="B657" s="10" t="str">
        <x:v>https://www.etsy.com/listing/4307837485/house-icon-planner-stickers-house</x:v>
      </x:c>
      <x:c r="C657" s="10" t="str">
        <x:v>Judeannedesigns</x:v>
      </x:c>
      <x:c r="D657" s="10" t="str">
        <x:v>https://www.etsy.com/shop/Judeannedesigns</x:v>
      </x:c>
      <x:c r="E657" s="11" t="n">
        <x:v>3.5</x:v>
      </x:c>
      <x:c r="F657" s="10" t="n">
        <x:v>0</x:v>
      </x:c>
      <x:c r="G657" s="12" t="n">
        <x:v>0</x:v>
      </x:c>
      <x:c r="H657" s="13" t="n">
        <x:v>0</x:v>
      </x:c>
      <x:c r="I657" s="10" t="n">
        <x:v>0</x:v>
      </x:c>
      <x:c r="J657" s="10" t="n">
        <x:v>0</x:v>
      </x:c>
      <x:c r="K657" s="10" t="str">
        <x:v>14 Mo.</x:v>
      </x:c>
      <x:c r="L657" s="10" t="n">
        <x:v>34</x:v>
      </x:c>
      <x:c r="M657" s="10" t="n">
        <x:v>0</x:v>
      </x:c>
      <x:c r="N657" s="10" t="n">
        <x:v>258</x:v>
      </x:c>
      <x:c r="O657" s="10" t="str">
        <x:v>Paper &amp; Party Supplies</x:v>
      </x:c>
      <x:c r="P657" s="10" t="n">
        <x:v>47</x:v>
      </x:c>
      <x:c r="Q657" s="10" t="n">
        <x:v>0</x:v>
      </x:c>
      <x:c r="R657" s="13" t="n">
        <x:v>0</x:v>
      </x:c>
      <x:c r="S657" s="10" t="n">
        <x:v>42977</x:v>
      </x:c>
      <x:c r="T657" s="10" t="str">
        <x:v>minimalist planner,mortgage reminder,cute housestickers,mortgage payment,house payment,rent due sticker,mortgage due,rent due stickers,house sticker,home icon sticker,real estate sticker,moving day sticker,house chore sticker</x:v>
      </x:c>
      <x:c r="U657" s="10" t="str">
        <x:v>minimalist planner</x:v>
      </x:c>
      <x:c r="V657" s="10" t="str">
        <x:v>mortgage reminder</x:v>
      </x:c>
      <x:c r="W657" s="10" t="str">
        <x:v>cute housestickers</x:v>
      </x:c>
      <x:c r="X657" s="10" t="str">
        <x:v>mortgage payment</x:v>
      </x:c>
      <x:c r="Y657" s="10" t="str">
        <x:v>house payment</x:v>
      </x:c>
      <x:c r="Z657" s="10" t="str">
        <x:v>rent due sticker</x:v>
      </x:c>
      <x:c r="AA657" s="10" t="str">
        <x:v>mortgage due</x:v>
      </x:c>
      <x:c r="AB657" s="10" t="str">
        <x:v>rent due stickers</x:v>
      </x:c>
      <x:c r="AC657" s="10" t="str">
        <x:v>house sticker</x:v>
      </x:c>
      <x:c r="AD657" s="10" t="str">
        <x:v>home icon sticker</x:v>
      </x:c>
      <x:c r="AE657" s="10" t="str">
        <x:v>real estate sticker</x:v>
      </x:c>
      <x:c r="AF657" s="10" t="str">
        <x:v>moving day sticker</x:v>
      </x:c>
      <x:c r="AG657" s="10" t="str">
        <x:v>house chore sticker</x:v>
      </x:c>
      <x:c r="AH657" s="10" t="str">
        <x:v>Other mortgage-related</x:v>
      </x:c>
      <x:c r="AI657" s="13" t="n">
        <x:v>14</x:v>
      </x:c>
      <x:c r="AJ657" s="10" t="str">
        <x:f>IF(F657&gt;0,"Active","No est. sales")</x:f>
        <x:v>No est. sales</x:v>
      </x:c>
    </x:row>
    <x:row r="658">
      <x:c r="A658" s="10" t="str">
        <x:v>Money planner stickers icon bills payday mortgage student loan reminder Printable Rainbow Planner  made for Erin Condren any planner HIS074</x:v>
      </x:c>
      <x:c r="B658" s="10" t="str">
        <x:v>https://www.etsy.com/listing/257248542/money-planner-stickers-icon-bills-payday</x:v>
      </x:c>
      <x:c r="C658" s="10" t="str">
        <x:v>AllAboutPlannersShop</x:v>
      </x:c>
      <x:c r="D658" s="10" t="str">
        <x:v>https://www.etsy.com/shop/AllAboutPlannersShop</x:v>
      </x:c>
      <x:c r="E658" s="11" t="n">
        <x:v>0.97</x:v>
      </x:c>
      <x:c r="F658" s="10" t="n">
        <x:v>0</x:v>
      </x:c>
      <x:c r="G658" s="12" t="n">
        <x:v>0</x:v>
      </x:c>
      <x:c r="H658" s="13" t="n">
        <x:v>0</x:v>
      </x:c>
      <x:c r="I658" s="10" t="n">
        <x:v>0</x:v>
      </x:c>
      <x:c r="J658" s="10" t="n">
        <x:v>0</x:v>
      </x:c>
      <x:c r="K658" s="10" t="str">
        <x:v>128 Mo.</x:v>
      </x:c>
      <x:c r="L658" s="10" t="n">
        <x:v>34</x:v>
      </x:c>
      <x:c r="M658" s="10" t="n">
        <x:v>0</x:v>
      </x:c>
      <x:c r="N658" s="10" t="n">
        <x:v>384</x:v>
      </x:c>
      <x:c r="O658" s="10" t="str">
        <x:v>Paper &amp; Party Supplies</x:v>
      </x:c>
      <x:c r="P658" s="10" t="n">
        <x:v>162</x:v>
      </x:c>
      <x:c r="Q658" s="10" t="n">
        <x:v>0</x:v>
      </x:c>
      <x:c r="R658" s="13" t="n">
        <x:v>0</x:v>
      </x:c>
      <x:c r="S658" s="10" t="n">
        <x:v>34189</x:v>
      </x:c>
      <x:c r="T658" s="10" t="str">
        <x:v>planner,sticker,calendar,rainbow,printable,erin condren,organize,party,celebrate,birthday,anniversary,wedding,plum paper</x:v>
      </x:c>
      <x:c r="U658" s="10" t="str">
        <x:v>planner</x:v>
      </x:c>
      <x:c r="V658" s="10" t="str">
        <x:v>sticker</x:v>
      </x:c>
      <x:c r="W658" s="10" t="str">
        <x:v>calendar</x:v>
      </x:c>
      <x:c r="X658" s="10" t="str">
        <x:v>rainbow</x:v>
      </x:c>
      <x:c r="Y658" s="10" t="str">
        <x:v>printable</x:v>
      </x:c>
      <x:c r="Z658" s="10" t="str">
        <x:v>erin condren</x:v>
      </x:c>
      <x:c r="AA658" s="10" t="str">
        <x:v>organize</x:v>
      </x:c>
      <x:c r="AB658" s="10" t="str">
        <x:v>party</x:v>
      </x:c>
      <x:c r="AC658" s="10" t="str">
        <x:v>celebrate</x:v>
      </x:c>
      <x:c r="AD658" s="10" t="str">
        <x:v>birthday</x:v>
      </x:c>
      <x:c r="AE658" s="10" t="str">
        <x:v>anniversary</x:v>
      </x:c>
      <x:c r="AF658" s="10" t="str">
        <x:v>wedding</x:v>
      </x:c>
      <x:c r="AG658" s="10" t="str">
        <x:v>plum paper</x:v>
      </x:c>
      <x:c r="AH658" s="10" t="str">
        <x:v>Other mortgage-related</x:v>
      </x:c>
      <x:c r="AI658" s="13" t="n">
        <x:v>128</x:v>
      </x:c>
      <x:c r="AJ658" s="10" t="str">
        <x:f>IF(F658&gt;0,"Active","No est. sales")</x:f>
        <x:v>No est. sales</x:v>
      </x:c>
    </x:row>
    <x:row r="659">
      <x:c r="A659" s="10" t="str">
        <x:v>Debt Payoff Tracker, Snowball Avalanche Excel &amp; Google Sheets</x:v>
      </x:c>
      <x:c r="B659" s="10" t="str">
        <x:v>https://www.etsy.com/listing/4313449686/debt-payoff-tracker-excel-google-sheets</x:v>
      </x:c>
      <x:c r="C659" s="10" t="str">
        <x:v>MehZarTemplates</x:v>
      </x:c>
      <x:c r="D659" s="10" t="str">
        <x:v>https://www.etsy.com/shop/MehZarTemplates</x:v>
      </x:c>
      <x:c r="E659" s="11" t="n">
        <x:v>5.99</x:v>
      </x:c>
      <x:c r="F659" s="10" t="n">
        <x:v>0</x:v>
      </x:c>
      <x:c r="G659" s="12" t="n">
        <x:v>0</x:v>
      </x:c>
      <x:c r="H659" s="13" t="n">
        <x:v>0</x:v>
      </x:c>
      <x:c r="I659" s="10" t="n">
        <x:v>2</x:v>
      </x:c>
      <x:c r="J659" s="10" t="n">
        <x:v>1</x:v>
      </x:c>
      <x:c r="K659" s="10" t="str">
        <x:v>14 Mo.</x:v>
      </x:c>
      <x:c r="L659" s="10" t="n">
        <x:v>0</x:v>
      </x:c>
      <x:c r="M659" s="10" t="n">
        <x:v>0</x:v>
      </x:c>
      <x:c r="N659" s="10" t="n">
        <x:v>43</x:v>
      </x:c>
      <x:c r="O659" s="10" t="str"/>
      <x:c r="P659" s="10" t="n">
        <x:v>17</x:v>
      </x:c>
      <x:c r="Q659" s="10" t="n">
        <x:v>0</x:v>
      </x:c>
      <x:c r="R659" s="13" t="n">
        <x:v>4.65</x:v>
      </x:c>
      <x:c r="S659" s="10" t="n">
        <x:v>135</x:v>
      </x:c>
      <x:c r="T659" s="10" t="str">
        <x:v>financial planner,debt payoff tracker,debt snowball,debt payoff chart,debt payment tracker,credit card payoff,debt template,debt avalanche,personal finance,google sheets budget,mortgage payoff,credit utilization,excel template</x:v>
      </x:c>
      <x:c r="U659" s="10" t="str">
        <x:v>financial planner</x:v>
      </x:c>
      <x:c r="V659" s="10" t="str">
        <x:v>debt payoff tracker</x:v>
      </x:c>
      <x:c r="W659" s="10" t="str">
        <x:v>debt snowball</x:v>
      </x:c>
      <x:c r="X659" s="10" t="str">
        <x:v>debt payoff chart</x:v>
      </x:c>
      <x:c r="Y659" s="10" t="str">
        <x:v>debt payment tracker</x:v>
      </x:c>
      <x:c r="Z659" s="10" t="str">
        <x:v>credit card payoff</x:v>
      </x:c>
      <x:c r="AA659" s="10" t="str">
        <x:v>debt template</x:v>
      </x:c>
      <x:c r="AB659" s="10" t="str">
        <x:v>debt avalanche</x:v>
      </x:c>
      <x:c r="AC659" s="10" t="str">
        <x:v>personal finance</x:v>
      </x:c>
      <x:c r="AD659" s="10" t="str">
        <x:v>google sheets budget</x:v>
      </x:c>
      <x:c r="AE659" s="10" t="str">
        <x:v>mortgage payoff</x:v>
      </x:c>
      <x:c r="AF659" s="10" t="str">
        <x:v>credit utilization</x:v>
      </x:c>
      <x:c r="AG659" s="10" t="str">
        <x:v>excel template</x:v>
      </x:c>
      <x:c r="AH659" s="10" t="str">
        <x:v>General debt payoff</x:v>
      </x:c>
      <x:c r="AI659" s="13" t="n">
        <x:v>14</x:v>
      </x:c>
      <x:c r="AJ659" s="10" t="str">
        <x:f>IF(F659&gt;0,"Active","No est. sales")</x:f>
        <x:v>No est. sales</x:v>
      </x:c>
    </x:row>
    <x:row r="660">
      <x:c r="A660" s="10" t="str">
        <x:v>Home Mortgage Calculator Excel &amp; Google Sheets | Mortgage Payment Estimator | Amortization Schedule | Extra Payment Tracker</x:v>
      </x:c>
      <x:c r="B660" s="10" t="str">
        <x:v>https://www.etsy.com/listing/4452033130/home-mortgage-calculator-excel-google</x:v>
      </x:c>
      <x:c r="C660" s="10" t="str">
        <x:v>MehZarTemplates</x:v>
      </x:c>
      <x:c r="D660" s="10" t="str">
        <x:v>https://www.etsy.com/shop/MehZarTemplates</x:v>
      </x:c>
      <x:c r="E660" s="11" t="n">
        <x:v>5.99</x:v>
      </x:c>
      <x:c r="F660" s="10" t="n">
        <x:v>0</x:v>
      </x:c>
      <x:c r="G660" s="12" t="n">
        <x:v>0</x:v>
      </x:c>
      <x:c r="H660" s="13" t="n">
        <x:v>0</x:v>
      </x:c>
      <x:c r="I660" s="10" t="n">
        <x:v>0</x:v>
      </x:c>
      <x:c r="J660" s="10" t="n">
        <x:v>0</x:v>
      </x:c>
      <x:c r="K660" s="10" t="str">
        <x:v>5 Mo.</x:v>
      </x:c>
      <x:c r="L660" s="10" t="n">
        <x:v>1</x:v>
      </x:c>
      <x:c r="M660" s="10" t="n">
        <x:v>0</x:v>
      </x:c>
      <x:c r="N660" s="10" t="n">
        <x:v>27</x:v>
      </x:c>
      <x:c r="O660" s="10" t="str"/>
      <x:c r="P660" s="10" t="n">
        <x:v>17</x:v>
      </x:c>
      <x:c r="Q660" s="10" t="n">
        <x:v>0</x:v>
      </x:c>
      <x:c r="R660" s="13" t="n">
        <x:v>0</x:v>
      </x:c>
      <x:c r="S660" s="10" t="n">
        <x:v>135</x:v>
      </x:c>
      <x:c r="T660" s="10" t="str">
        <x:v>mortgage calculator,home loan calc,mortgage payment,house loan,extra payment,mortgage tracker,google sheets,excel mortgage,loan affordability,payoff planner,mortgage estimator,instant download,amortizationschedule</x:v>
      </x:c>
      <x:c r="U660" s="10" t="str">
        <x:v>mortgage calculator</x:v>
      </x:c>
      <x:c r="V660" s="10" t="str">
        <x:v>home loan calc</x:v>
      </x:c>
      <x:c r="W660" s="10" t="str">
        <x:v>mortgage payment</x:v>
      </x:c>
      <x:c r="X660" s="10" t="str">
        <x:v>house loan</x:v>
      </x:c>
      <x:c r="Y660" s="10" t="str">
        <x:v>extra payment</x:v>
      </x:c>
      <x:c r="Z660" s="10" t="str">
        <x:v>mortgage tracker</x:v>
      </x:c>
      <x:c r="AA660" s="10" t="str">
        <x:v>google sheets</x:v>
      </x:c>
      <x:c r="AB660" s="10" t="str">
        <x:v>excel mortgage</x:v>
      </x:c>
      <x:c r="AC660" s="10" t="str">
        <x:v>loan affordability</x:v>
      </x:c>
      <x:c r="AD660" s="10" t="str">
        <x:v>payoff planner</x:v>
      </x:c>
      <x:c r="AE660" s="10" t="str">
        <x:v>mortgage estimator</x:v>
      </x:c>
      <x:c r="AF660" s="10" t="str">
        <x:v>instant download</x:v>
      </x:c>
      <x:c r="AG660" s="10" t="str">
        <x:v>amortizationschedule</x:v>
      </x:c>
      <x:c r="AH660" s="10" t="str">
        <x:v>Mortgage payoff / calculator</x:v>
      </x:c>
      <x:c r="AI660" s="13" t="n">
        <x:v>5</x:v>
      </x:c>
      <x:c r="AJ660" s="10" t="str">
        <x:f>IF(F660&gt;0,"Active","No est. sales")</x:f>
        <x:v>No est. sales</x:v>
      </x:c>
    </x:row>
    <x:row r="661">
      <x:c r="A661" s="10" t="str">
        <x:v>Debt Payoff Tracker, Snowball Avalanche Calculator, Credit Card Tracker, Home Loan, Student Loan, Debt-Free Planner (Google Sheets &amp; Excel)</x:v>
      </x:c>
      <x:c r="B661" s="10" t="str">
        <x:v>https://www.etsy.com/listing/4544783859/debt-payoff-tracker-snowball-avalanche</x:v>
      </x:c>
      <x:c r="C661" s="10" t="str">
        <x:v>Easy2PrintStore</x:v>
      </x:c>
      <x:c r="D661" s="10" t="str">
        <x:v>https://www.etsy.com/shop/Easy2PrintStore</x:v>
      </x:c>
      <x:c r="E661" s="11" t="n">
        <x:v>22.84</x:v>
      </x:c>
      <x:c r="F661" s="10" t="n">
        <x:v>0</x:v>
      </x:c>
      <x:c r="G661" s="12" t="n">
        <x:v>0</x:v>
      </x:c>
      <x:c r="H661" s="13" t="n">
        <x:v>0</x:v>
      </x:c>
      <x:c r="I661" s="10" t="n">
        <x:v>0</x:v>
      </x:c>
      <x:c r="J661" s="10" t="n">
        <x:v>0</x:v>
      </x:c>
      <x:c r="K661" s="10" t="str">
        <x:v>1 Mo.</x:v>
      </x:c>
      <x:c r="L661" s="10" t="n">
        <x:v>0</x:v>
      </x:c>
      <x:c r="M661" s="10" t="n">
        <x:v>0</x:v>
      </x:c>
      <x:c r="N661" s="10" t="n">
        <x:v>1</x:v>
      </x:c>
      <x:c r="O661" s="10" t="str">
        <x:v>Books, Movies &amp; Music</x:v>
      </x:c>
      <x:c r="P661" s="10" t="n">
        <x:v>26</x:v>
      </x:c>
      <x:c r="Q661" s="10" t="n">
        <x:v>0</x:v>
      </x:c>
      <x:c r="R661" s="13" t="n">
        <x:v>0</x:v>
      </x:c>
      <x:c r="S661" s="10" t="n">
        <x:v>192</x:v>
      </x:c>
      <x:c r="T661" s="10" t="str">
        <x:v>credit utilization,debt avalanche,mortgage payoff,google sheets budget,credit card payoff,debt payoff chart,debt snowball,student loan debt,debt payment tracker,debt payoff tracker,debt template,financial planner,credit score debt</x:v>
      </x:c>
      <x:c r="U661" s="10" t="str">
        <x:v>credit utilization</x:v>
      </x:c>
      <x:c r="V661" s="10" t="str">
        <x:v>debt avalanche</x:v>
      </x:c>
      <x:c r="W661" s="10" t="str">
        <x:v>mortgage payoff</x:v>
      </x:c>
      <x:c r="X661" s="10" t="str">
        <x:v>google sheets budget</x:v>
      </x:c>
      <x:c r="Y661" s="10" t="str">
        <x:v>credit card payoff</x:v>
      </x:c>
      <x:c r="Z661" s="10" t="str">
        <x:v>debt payoff chart</x:v>
      </x:c>
      <x:c r="AA661" s="10" t="str">
        <x:v>debt snowball</x:v>
      </x:c>
      <x:c r="AB661" s="10" t="str">
        <x:v>student loan debt</x:v>
      </x:c>
      <x:c r="AC661" s="10" t="str">
        <x:v>debt payment tracker</x:v>
      </x:c>
      <x:c r="AD661" s="10" t="str">
        <x:v>debt payoff tracker</x:v>
      </x:c>
      <x:c r="AE661" s="10" t="str">
        <x:v>debt template</x:v>
      </x:c>
      <x:c r="AF661" s="10" t="str">
        <x:v>financial planner</x:v>
      </x:c>
      <x:c r="AG661" s="10" t="str">
        <x:v>credit score debt</x:v>
      </x:c>
      <x:c r="AH661" s="10" t="str">
        <x:v>General debt payoff</x:v>
      </x:c>
      <x:c r="AI661" s="13" t="n">
        <x:v>1</x:v>
      </x:c>
      <x:c r="AJ661" s="10" t="str">
        <x:f>IF(F661&gt;0,"Active","No est. sales")</x:f>
        <x:v>No est. sales</x:v>
      </x:c>
    </x:row>
    <x:row r="662">
      <x:c r="A662" s="10" t="str">
        <x:v>Editable Home Buying Planner A4 US Letter Printable Real Estate Checklist Mortgage Budget Tracker First Time Buyer Guide Canva house planner</x:v>
      </x:c>
      <x:c r="B662" s="10" t="str">
        <x:v>https://www.etsy.com/listing/4305120702/editable-home-buying-planner-a4-us</x:v>
      </x:c>
      <x:c r="C662" s="10" t="str">
        <x:v>EliteTemplateStudio</x:v>
      </x:c>
      <x:c r="D662" s="10" t="str">
        <x:v>https://www.etsy.com/shop/EliteTemplateStudio</x:v>
      </x:c>
      <x:c r="E662" s="11" t="n">
        <x:v>9.57</x:v>
      </x:c>
      <x:c r="F662" s="10" t="n">
        <x:v>0</x:v>
      </x:c>
      <x:c r="G662" s="12" t="n">
        <x:v>0</x:v>
      </x:c>
      <x:c r="H662" s="13" t="n">
        <x:v>0</x:v>
      </x:c>
      <x:c r="I662" s="10" t="n">
        <x:v>0</x:v>
      </x:c>
      <x:c r="J662" s="10" t="n">
        <x:v>0</x:v>
      </x:c>
      <x:c r="K662" s="10" t="str">
        <x:v>14 Mo.</x:v>
      </x:c>
      <x:c r="L662" s="10" t="n">
        <x:v>2</x:v>
      </x:c>
      <x:c r="M662" s="10" t="n">
        <x:v>0</x:v>
      </x:c>
      <x:c r="N662" s="10" t="n">
        <x:v>60</x:v>
      </x:c>
      <x:c r="O662" s="10" t="str">
        <x:v>Paper &amp; Party Supplies</x:v>
      </x:c>
      <x:c r="P662" s="10" t="n">
        <x:v>32</x:v>
      </x:c>
      <x:c r="Q662" s="10" t="n">
        <x:v>0</x:v>
      </x:c>
      <x:c r="R662" s="13" t="n">
        <x:v>0</x:v>
      </x:c>
      <x:c r="S662" s="10" t="n">
        <x:v>4708</x:v>
      </x:c>
      <x:c r="T662" s="10" t="str">
        <x:v>first time home buyer guide,home buying checklist pdf,house hunting organizer,printable real estate kit,mortgage tracker planner,editable home buyer binder,home buying journal canva,real estate planner pdf,new homeowner planner,house shopping worksheet,real estate budget tool,home purchase checklist,property comparison sheet</x:v>
      </x:c>
      <x:c r="U662" s="10" t="str">
        <x:v>first time home buyer guide</x:v>
      </x:c>
      <x:c r="V662" s="10" t="str">
        <x:v>home buying checklist pdf</x:v>
      </x:c>
      <x:c r="W662" s="10" t="str">
        <x:v>house hunting organizer</x:v>
      </x:c>
      <x:c r="X662" s="10" t="str">
        <x:v>printable real estate kit</x:v>
      </x:c>
      <x:c r="Y662" s="10" t="str">
        <x:v>mortgage tracker planner</x:v>
      </x:c>
      <x:c r="Z662" s="10" t="str">
        <x:v>editable home buyer binder</x:v>
      </x:c>
      <x:c r="AA662" s="10" t="str">
        <x:v>home buying journal canva</x:v>
      </x:c>
      <x:c r="AB662" s="10" t="str">
        <x:v>real estate planner pdf</x:v>
      </x:c>
      <x:c r="AC662" s="10" t="str">
        <x:v>new homeowner planner</x:v>
      </x:c>
      <x:c r="AD662" s="10" t="str">
        <x:v>house shopping worksheet</x:v>
      </x:c>
      <x:c r="AE662" s="10" t="str">
        <x:v>real estate budget tool</x:v>
      </x:c>
      <x:c r="AF662" s="10" t="str">
        <x:v>home purchase checklist</x:v>
      </x:c>
      <x:c r="AG662" s="10" t="str">
        <x:v>property comparison sheet</x:v>
      </x:c>
      <x:c r="AH662" s="10" t="str">
        <x:v>Home buying planner</x:v>
      </x:c>
      <x:c r="AI662" s="13" t="n">
        <x:v>14</x:v>
      </x:c>
      <x:c r="AJ662" s="10" t="str">
        <x:f>IF(F662&gt;0,"Active","No est. sales")</x:f>
        <x:v>No est. sales</x:v>
      </x:c>
    </x:row>
    <x:row r="663">
      <x:c r="A663" s="10" t="str">
        <x:v>Debt Payoff Tracker Debt Snowball and Custom Calculator Excel Debt Tracker Spreadsheet Google Sheets Loan Mortgage Debt Tracker Payment</x:v>
      </x:c>
      <x:c r="B663" s="10" t="str">
        <x:v>https://www.etsy.com/listing/4421306242/debt-payoff-tracker-debt-snowball-and</x:v>
      </x:c>
      <x:c r="C663" s="10" t="str">
        <x:v>RichvaleCreatives</x:v>
      </x:c>
      <x:c r="D663" s="10" t="str">
        <x:v>https://www.etsy.com/shop/RichvaleCreatives</x:v>
      </x:c>
      <x:c r="E663" s="11" t="n">
        <x:v>3.55</x:v>
      </x:c>
      <x:c r="F663" s="10" t="n">
        <x:v>0</x:v>
      </x:c>
      <x:c r="G663" s="12" t="n">
        <x:v>0</x:v>
      </x:c>
      <x:c r="H663" s="13" t="n">
        <x:v>0</x:v>
      </x:c>
      <x:c r="I663" s="10" t="n">
        <x:v>0</x:v>
      </x:c>
      <x:c r="J663" s="10" t="n">
        <x:v>0</x:v>
      </x:c>
      <x:c r="K663" s="10" t="str">
        <x:v>7 Mo.</x:v>
      </x:c>
      <x:c r="L663" s="10" t="n">
        <x:v>8</x:v>
      </x:c>
      <x:c r="M663" s="10" t="n">
        <x:v>0</x:v>
      </x:c>
      <x:c r="N663" s="10" t="n">
        <x:v>255</x:v>
      </x:c>
      <x:c r="O663" s="10" t="str"/>
      <x:c r="P663" s="10" t="n">
        <x:v>7</x:v>
      </x:c>
      <x:c r="Q663" s="10" t="n">
        <x:v>0</x:v>
      </x:c>
      <x:c r="R663" s="13" t="n">
        <x:v>0</x:v>
      </x:c>
      <x:c r="S663" s="10" t="n">
        <x:v>1070</x:v>
      </x:c>
      <x:c r="T663" s="10" t="str">
        <x:v>credit score debt,credit utilization,debt payment tracker,debt payoff chart,debt payoff tracker,debt snowball,financial planner,mortgage payoff,student loan debt,credit card payment,debt snowball excel,debt google sheets,snowball debt</x:v>
      </x:c>
      <x:c r="U663" s="10" t="str">
        <x:v>credit score debt</x:v>
      </x:c>
      <x:c r="V663" s="10" t="str">
        <x:v>credit utilization</x:v>
      </x:c>
      <x:c r="W663" s="10" t="str">
        <x:v>debt payment tracker</x:v>
      </x:c>
      <x:c r="X663" s="10" t="str">
        <x:v>debt payoff chart</x:v>
      </x:c>
      <x:c r="Y663" s="10" t="str">
        <x:v>debt payoff tracker</x:v>
      </x:c>
      <x:c r="Z663" s="10" t="str">
        <x:v>debt snowball</x:v>
      </x:c>
      <x:c r="AA663" s="10" t="str">
        <x:v>financial planner</x:v>
      </x:c>
      <x:c r="AB663" s="10" t="str">
        <x:v>mortgage payoff</x:v>
      </x:c>
      <x:c r="AC663" s="10" t="str">
        <x:v>student loan debt</x:v>
      </x:c>
      <x:c r="AD663" s="10" t="str">
        <x:v>credit card payment</x:v>
      </x:c>
      <x:c r="AE663" s="10" t="str">
        <x:v>debt snowball excel</x:v>
      </x:c>
      <x:c r="AF663" s="10" t="str">
        <x:v>debt google sheets</x:v>
      </x:c>
      <x:c r="AG663" s="10" t="str">
        <x:v>snowball debt</x:v>
      </x:c>
      <x:c r="AH663" s="10" t="str">
        <x:v>General debt payoff</x:v>
      </x:c>
      <x:c r="AI663" s="13" t="n">
        <x:v>7</x:v>
      </x:c>
      <x:c r="AJ663" s="10" t="str">
        <x:f>IF(F663&gt;0,"Active","No est. sales")</x:f>
        <x:v>No est. sales</x:v>
      </x:c>
    </x:row>
    <x:row r="664">
      <x:c r="A664" s="10" t="str">
        <x:v>2745-16~~Electric Bill Due Planner Stickers.</x:v>
      </x:c>
      <x:c r="B664" s="10" t="str">
        <x:v>https://www.etsy.com/listing/1750791229/2745-16electric-bill-due-planner</x:v>
      </x:c>
      <x:c r="C664" s="10" t="str">
        <x:v>PlanToPlan</x:v>
      </x:c>
      <x:c r="D664" s="10" t="str">
        <x:v>https://www.etsy.com/shop/PlanToPlan</x:v>
      </x:c>
      <x:c r="E664" s="11" t="n">
        <x:v>3.25</x:v>
      </x:c>
      <x:c r="F664" s="10" t="n">
        <x:v>0</x:v>
      </x:c>
      <x:c r="G664" s="12" t="n">
        <x:v>0</x:v>
      </x:c>
      <x:c r="H664" s="13" t="n">
        <x:v>0</x:v>
      </x:c>
      <x:c r="I664" s="10" t="n">
        <x:v>10</x:v>
      </x:c>
      <x:c r="J664" s="10" t="n">
        <x:v>2</x:v>
      </x:c>
      <x:c r="K664" s="10" t="str">
        <x:v>25 Mo.</x:v>
      </x:c>
      <x:c r="L664" s="10" t="n">
        <x:v>40</x:v>
      </x:c>
      <x:c r="M664" s="10" t="n">
        <x:v>0</x:v>
      </x:c>
      <x:c r="N664" s="10" t="n">
        <x:v>143</x:v>
      </x:c>
      <x:c r="O664" s="10" t="str">
        <x:v>Paper &amp; Party Supplies</x:v>
      </x:c>
      <x:c r="P664" s="10" t="n">
        <x:v>126</x:v>
      </x:c>
      <x:c r="Q664" s="10" t="n">
        <x:v>0</x:v>
      </x:c>
      <x:c r="R664" s="13" t="n">
        <x:v>6.99</x:v>
      </x:c>
      <x:c r="S664" s="10" t="n">
        <x:v>319985</x:v>
      </x:c>
      <x:c r="T664" s="10" t="str">
        <x:v>planner stickers,reminder stickers,appointment stickers,tracker stickers,functional stickers,plantoplan,bill due stickers,cellphone stickers,cable bill stickers,electric bill,mortgage stickers,electric due sticker,erin condren</x:v>
      </x:c>
      <x:c r="U664" s="10" t="str">
        <x:v>planner stickers</x:v>
      </x:c>
      <x:c r="V664" s="10" t="str">
        <x:v>reminder stickers</x:v>
      </x:c>
      <x:c r="W664" s="10" t="str">
        <x:v>appointment stickers</x:v>
      </x:c>
      <x:c r="X664" s="10" t="str">
        <x:v>tracker stickers</x:v>
      </x:c>
      <x:c r="Y664" s="10" t="str">
        <x:v>functional stickers</x:v>
      </x:c>
      <x:c r="Z664" s="10" t="str">
        <x:v>plantoplan</x:v>
      </x:c>
      <x:c r="AA664" s="10" t="str">
        <x:v>bill due stickers</x:v>
      </x:c>
      <x:c r="AB664" s="10" t="str">
        <x:v>cellphone stickers</x:v>
      </x:c>
      <x:c r="AC664" s="10" t="str">
        <x:v>cable bill stickers</x:v>
      </x:c>
      <x:c r="AD664" s="10" t="str">
        <x:v>electric bill</x:v>
      </x:c>
      <x:c r="AE664" s="10" t="str">
        <x:v>mortgage stickers</x:v>
      </x:c>
      <x:c r="AF664" s="10" t="str">
        <x:v>electric due sticker</x:v>
      </x:c>
      <x:c r="AG664" s="10" t="str">
        <x:v>erin condren</x:v>
      </x:c>
      <x:c r="AH664" s="10" t="str">
        <x:v>Other mortgage-related</x:v>
      </x:c>
      <x:c r="AI664" s="13" t="n">
        <x:v>25</x:v>
      </x:c>
      <x:c r="AJ664" s="10" t="str">
        <x:f>IF(F664&gt;0,"Active","No est. sales")</x:f>
        <x:v>No est. sales</x:v>
      </x:c>
    </x:row>
    <x:row r="665">
      <x:c r="A665" s="10" t="str">
        <x:v>1326-2~~Rent Due Boxes Planner Stickers.</x:v>
      </x:c>
      <x:c r="B665" s="10" t="str">
        <x:v>https://www.etsy.com/listing/1504527453/1326-2rent-due-boxes-planner-stickers</x:v>
      </x:c>
      <x:c r="C665" s="10" t="str">
        <x:v>PlanToPlan</x:v>
      </x:c>
      <x:c r="D665" s="10" t="str">
        <x:v>https://www.etsy.com/shop/PlanToPlan</x:v>
      </x:c>
      <x:c r="E665" s="11" t="n">
        <x:v>3.25</x:v>
      </x:c>
      <x:c r="F665" s="10" t="n">
        <x:v>0</x:v>
      </x:c>
      <x:c r="G665" s="12" t="n">
        <x:v>0</x:v>
      </x:c>
      <x:c r="H665" s="13" t="n">
        <x:v>0</x:v>
      </x:c>
      <x:c r="I665" s="10" t="n">
        <x:v>15</x:v>
      </x:c>
      <x:c r="J665" s="10" t="n">
        <x:v>3</x:v>
      </x:c>
      <x:c r="K665" s="10" t="str">
        <x:v>37 Mo.</x:v>
      </x:c>
      <x:c r="L665" s="10" t="n">
        <x:v>38</x:v>
      </x:c>
      <x:c r="M665" s="10" t="n">
        <x:v>0</x:v>
      </x:c>
      <x:c r="N665" s="10" t="n">
        <x:v>275</x:v>
      </x:c>
      <x:c r="O665" s="10" t="str">
        <x:v>Paper &amp; Party Supplies</x:v>
      </x:c>
      <x:c r="P665" s="10" t="n">
        <x:v>126</x:v>
      </x:c>
      <x:c r="Q665" s="10" t="n">
        <x:v>0</x:v>
      </x:c>
      <x:c r="R665" s="13" t="n">
        <x:v>5.45</x:v>
      </x:c>
      <x:c r="S665" s="10" t="n">
        <x:v>319985</x:v>
      </x:c>
      <x:c r="T665" s="10" t="str">
        <x:v>planner stickers,reminder stickers,appointment stickers,tracker stickers,functional stickers,plantoplan,bill due stickers,quarter boxes,to do stickers,mortgage stickers,rent due stickers,erin condren,hobonichi stickers</x:v>
      </x:c>
      <x:c r="U665" s="10" t="str">
        <x:v>planner stickers</x:v>
      </x:c>
      <x:c r="V665" s="10" t="str">
        <x:v>reminder stickers</x:v>
      </x:c>
      <x:c r="W665" s="10" t="str">
        <x:v>appointment stickers</x:v>
      </x:c>
      <x:c r="X665" s="10" t="str">
        <x:v>tracker stickers</x:v>
      </x:c>
      <x:c r="Y665" s="10" t="str">
        <x:v>functional stickers</x:v>
      </x:c>
      <x:c r="Z665" s="10" t="str">
        <x:v>plantoplan</x:v>
      </x:c>
      <x:c r="AA665" s="10" t="str">
        <x:v>bill due stickers</x:v>
      </x:c>
      <x:c r="AB665" s="10" t="str">
        <x:v>quarter boxes</x:v>
      </x:c>
      <x:c r="AC665" s="10" t="str">
        <x:v>to do stickers</x:v>
      </x:c>
      <x:c r="AD665" s="10" t="str">
        <x:v>mortgage stickers</x:v>
      </x:c>
      <x:c r="AE665" s="10" t="str">
        <x:v>rent due stickers</x:v>
      </x:c>
      <x:c r="AF665" s="10" t="str">
        <x:v>erin condren</x:v>
      </x:c>
      <x:c r="AG665" s="10" t="str">
        <x:v>hobonichi stickers</x:v>
      </x:c>
      <x:c r="AH665" s="10" t="str">
        <x:v>Other mortgage-related</x:v>
      </x:c>
      <x:c r="AI665" s="13" t="n">
        <x:v>37</x:v>
      </x:c>
      <x:c r="AJ665" s="10" t="str">
        <x:f>IF(F665&gt;0,"Active","No est. sales")</x:f>
        <x:v>No est. sales</x:v>
      </x:c>
    </x:row>
    <x:row r="666">
      <x:c r="A666" s="10" t="str">
        <x:v>2745-26~~Tax Bill Due Planner Stickers.</x:v>
      </x:c>
      <x:c r="B666" s="10" t="str">
        <x:v>https://www.etsy.com/listing/1750785943/2745-26tax-bill-due-planner-stickers</x:v>
      </x:c>
      <x:c r="C666" s="10" t="str">
        <x:v>PlanToPlan</x:v>
      </x:c>
      <x:c r="D666" s="10" t="str">
        <x:v>https://www.etsy.com/shop/PlanToPlan</x:v>
      </x:c>
      <x:c r="E666" s="11" t="n">
        <x:v>3.25</x:v>
      </x:c>
      <x:c r="F666" s="10" t="n">
        <x:v>0</x:v>
      </x:c>
      <x:c r="G666" s="12" t="n">
        <x:v>0</x:v>
      </x:c>
      <x:c r="H666" s="13" t="n">
        <x:v>0</x:v>
      </x:c>
      <x:c r="I666" s="10" t="n">
        <x:v>15</x:v>
      </x:c>
      <x:c r="J666" s="10" t="n">
        <x:v>3</x:v>
      </x:c>
      <x:c r="K666" s="10" t="str">
        <x:v>25 Mo.</x:v>
      </x:c>
      <x:c r="L666" s="10" t="n">
        <x:v>23</x:v>
      </x:c>
      <x:c r="M666" s="10" t="n">
        <x:v>0</x:v>
      </x:c>
      <x:c r="N666" s="10" t="n">
        <x:v>66</x:v>
      </x:c>
      <x:c r="O666" s="10" t="str">
        <x:v>Paper &amp; Party Supplies</x:v>
      </x:c>
      <x:c r="P666" s="10" t="n">
        <x:v>126</x:v>
      </x:c>
      <x:c r="Q666" s="10" t="n">
        <x:v>0</x:v>
      </x:c>
      <x:c r="R666" s="13" t="n">
        <x:v>22.73</x:v>
      </x:c>
      <x:c r="S666" s="10" t="n">
        <x:v>319985</x:v>
      </x:c>
      <x:c r="T666" s="10" t="str">
        <x:v>planner stickers,reminder stickers,appointment stickers,tracker stickers,functional stickers,plantoplan,bill due stickers,cellphone stickers,cable bill stickers,electric bill,mortgage stickers,tax bill due sticker,taxes due sticker</x:v>
      </x:c>
      <x:c r="U666" s="10" t="str">
        <x:v>planner stickers</x:v>
      </x:c>
      <x:c r="V666" s="10" t="str">
        <x:v>reminder stickers</x:v>
      </x:c>
      <x:c r="W666" s="10" t="str">
        <x:v>appointment stickers</x:v>
      </x:c>
      <x:c r="X666" s="10" t="str">
        <x:v>tracker stickers</x:v>
      </x:c>
      <x:c r="Y666" s="10" t="str">
        <x:v>functional stickers</x:v>
      </x:c>
      <x:c r="Z666" s="10" t="str">
        <x:v>plantoplan</x:v>
      </x:c>
      <x:c r="AA666" s="10" t="str">
        <x:v>bill due stickers</x:v>
      </x:c>
      <x:c r="AB666" s="10" t="str">
        <x:v>cellphone stickers</x:v>
      </x:c>
      <x:c r="AC666" s="10" t="str">
        <x:v>cable bill stickers</x:v>
      </x:c>
      <x:c r="AD666" s="10" t="str">
        <x:v>electric bill</x:v>
      </x:c>
      <x:c r="AE666" s="10" t="str">
        <x:v>mortgage stickers</x:v>
      </x:c>
      <x:c r="AF666" s="10" t="str">
        <x:v>tax bill due sticker</x:v>
      </x:c>
      <x:c r="AG666" s="10" t="str">
        <x:v>taxes due sticker</x:v>
      </x:c>
      <x:c r="AH666" s="10" t="str">
        <x:v>Other mortgage-related</x:v>
      </x:c>
      <x:c r="AI666" s="13" t="n">
        <x:v>25</x:v>
      </x:c>
      <x:c r="AJ666" s="10" t="str">
        <x:f>IF(F666&gt;0,"Active","No est. sales")</x:f>
        <x:v>No est. sales</x:v>
      </x:c>
    </x:row>
    <x:row r="667">
      <x:c r="A667" s="10" t="str">
        <x:v>Debt Snowball Avalanche Tracker: Google Sheets Loan Payoff (Digital Download)</x:v>
      </x:c>
      <x:c r="B667" s="10" t="str">
        <x:v>https://www.etsy.com/listing/1836268838/debt-snowball-avalanche-tracker-google</x:v>
      </x:c>
      <x:c r="C667" s="10" t="str">
        <x:v>YourBetterBudget</x:v>
      </x:c>
      <x:c r="D667" s="10" t="str">
        <x:v>https://www.etsy.com/shop/YourBetterBudget</x:v>
      </x:c>
      <x:c r="E667" s="11" t="n">
        <x:v>7.99</x:v>
      </x:c>
      <x:c r="F667" s="10" t="n">
        <x:v>0</x:v>
      </x:c>
      <x:c r="G667" s="12" t="n">
        <x:v>0</x:v>
      </x:c>
      <x:c r="H667" s="13" t="n">
        <x:v>0</x:v>
      </x:c>
      <x:c r="I667" s="10" t="n">
        <x:v>0</x:v>
      </x:c>
      <x:c r="J667" s="10" t="n">
        <x:v>0</x:v>
      </x:c>
      <x:c r="K667" s="10" t="str">
        <x:v>19 Mo.</x:v>
      </x:c>
      <x:c r="L667" s="10" t="n">
        <x:v>3</x:v>
      </x:c>
      <x:c r="M667" s="10" t="n">
        <x:v>0</x:v>
      </x:c>
      <x:c r="N667" s="10" t="n">
        <x:v>40</x:v>
      </x:c>
      <x:c r="O667" s="10" t="str">
        <x:v>Paper &amp; Party Supplies</x:v>
      </x:c>
      <x:c r="P667" s="10" t="n">
        <x:v>19</x:v>
      </x:c>
      <x:c r="Q667" s="10" t="n">
        <x:v>0</x:v>
      </x:c>
      <x:c r="R667" s="13" t="n">
        <x:v>0</x:v>
      </x:c>
      <x:c r="S667" s="10" t="n">
        <x:v>9</x:v>
      </x:c>
      <x:c r="T667" s="10" t="str">
        <x:v>credit utilization,debt avalanche,google sheets budget,debt snowball,debt payoff chart,credit card payoff,mortgage payoff,debt payment tracker,student loan debt,ultimate budget,financial planner,digital tracker,m oney</x:v>
      </x:c>
      <x:c r="U667" s="10" t="str">
        <x:v>credit utilization</x:v>
      </x:c>
      <x:c r="V667" s="10" t="str">
        <x:v>debt avalanche</x:v>
      </x:c>
      <x:c r="W667" s="10" t="str">
        <x:v>google sheets budget</x:v>
      </x:c>
      <x:c r="X667" s="10" t="str">
        <x:v>debt snowball</x:v>
      </x:c>
      <x:c r="Y667" s="10" t="str">
        <x:v>debt payoff chart</x:v>
      </x:c>
      <x:c r="Z667" s="10" t="str">
        <x:v>credit card payoff</x:v>
      </x:c>
      <x:c r="AA667" s="10" t="str">
        <x:v>mortgage payoff</x:v>
      </x:c>
      <x:c r="AB667" s="10" t="str">
        <x:v>debt payment tracker</x:v>
      </x:c>
      <x:c r="AC667" s="10" t="str">
        <x:v>student loan debt</x:v>
      </x:c>
      <x:c r="AD667" s="10" t="str">
        <x:v>ultimate budget</x:v>
      </x:c>
      <x:c r="AE667" s="10" t="str">
        <x:v>financial planner</x:v>
      </x:c>
      <x:c r="AF667" s="10" t="str">
        <x:v>digital tracker</x:v>
      </x:c>
      <x:c r="AG667" s="10" t="str">
        <x:v>m oney</x:v>
      </x:c>
      <x:c r="AH667" s="10" t="str">
        <x:v>General debt payoff</x:v>
      </x:c>
      <x:c r="AI667" s="13" t="n">
        <x:v>19</x:v>
      </x:c>
      <x:c r="AJ667" s="10" t="str">
        <x:f>IF(F667&gt;0,"Active","No est. sales")</x:f>
        <x:v>No est. sales</x:v>
      </x:c>
    </x:row>
    <x:row r="668">
      <x:c r="A668" s="10" t="str">
        <x:v>Mortgage Calculator Spreadsheet Template</x:v>
      </x:c>
      <x:c r="B668" s="10" t="str">
        <x:v>https://www.etsy.com/listing/1272259059/mortgage-calculator-spreadsheet-template</x:v>
      </x:c>
      <x:c r="C668" s="10" t="str">
        <x:v>Excelspreadsheetshop</x:v>
      </x:c>
      <x:c r="D668" s="10" t="str">
        <x:v>https://www.etsy.com/shop/Excelspreadsheetshop</x:v>
      </x:c>
      <x:c r="E668" s="11" t="n">
        <x:v>10.23</x:v>
      </x:c>
      <x:c r="F668" s="10" t="n">
        <x:v>0</x:v>
      </x:c>
      <x:c r="G668" s="12" t="n">
        <x:v>0</x:v>
      </x:c>
      <x:c r="H668" s="13" t="n">
        <x:v>0</x:v>
      </x:c>
      <x:c r="I668" s="10" t="n">
        <x:v>0</x:v>
      </x:c>
      <x:c r="J668" s="10" t="n">
        <x:v>0</x:v>
      </x:c>
      <x:c r="K668" s="10" t="str">
        <x:v>48 Mo.</x:v>
      </x:c>
      <x:c r="L668" s="10" t="n">
        <x:v>2</x:v>
      </x:c>
      <x:c r="M668" s="10" t="n">
        <x:v>0</x:v>
      </x:c>
      <x:c r="N668" s="10" t="n">
        <x:v>51</x:v>
      </x:c>
      <x:c r="O668" s="10" t="str">
        <x:v>Paper &amp; Party Supplies</x:v>
      </x:c>
      <x:c r="P668" s="10" t="n">
        <x:v>48</x:v>
      </x:c>
      <x:c r="Q668" s="10" t="n">
        <x:v>0</x:v>
      </x:c>
      <x:c r="R668" s="13" t="n">
        <x:v>0</x:v>
      </x:c>
      <x:c r="S668" s="10" t="n">
        <x:v>0</x:v>
      </x:c>
      <x:c r="T668" s="10" t="str">
        <x:v>mortgage calculator,loan calculator,excel spreadsheet,excel template,budget template,amortization table,debt tracker,debt spreadsheet,excel budget,excel tracker,excel dashboard,excel planner</x:v>
      </x:c>
      <x:c r="U668" s="10" t="str">
        <x:v>mortgage calculator</x:v>
      </x:c>
      <x:c r="V668" s="10" t="str">
        <x:v>loan calculator</x:v>
      </x:c>
      <x:c r="W668" s="10" t="str">
        <x:v>excel spreadsheet</x:v>
      </x:c>
      <x:c r="X668" s="10" t="str">
        <x:v>excel template</x:v>
      </x:c>
      <x:c r="Y668" s="10" t="str">
        <x:v>budget template</x:v>
      </x:c>
      <x:c r="Z668" s="10" t="str">
        <x:v>amortization table</x:v>
      </x:c>
      <x:c r="AA668" s="10" t="str">
        <x:v>debt tracker</x:v>
      </x:c>
      <x:c r="AB668" s="10" t="str">
        <x:v>debt spreadsheet</x:v>
      </x:c>
      <x:c r="AC668" s="10" t="str">
        <x:v>excel budget</x:v>
      </x:c>
      <x:c r="AD668" s="10" t="str">
        <x:v>excel tracker</x:v>
      </x:c>
      <x:c r="AE668" s="10" t="str">
        <x:v>excel dashboard</x:v>
      </x:c>
      <x:c r="AF668" s="10" t="str">
        <x:v>excel planner</x:v>
      </x:c>
      <x:c r="AG668" s="10" t="str">
        <x:v>--</x:v>
      </x:c>
      <x:c r="AH668" s="10" t="str">
        <x:v>Mortgage payoff / calculator</x:v>
      </x:c>
      <x:c r="AI668" s="13" t="n">
        <x:v>48</x:v>
      </x:c>
      <x:c r="AJ668" s="10" t="str">
        <x:f>IF(F668&gt;0,"Active","No est. sales")</x:f>
        <x:v>No est. sales</x:v>
      </x:c>
    </x:row>
    <x:row r="669">
      <x:c r="A669" s="10" t="str">
        <x:v>Debt Snowball Spreadsheet Excel Debt Payoff Planner Debt Snowball Calculator Google Sheets Mortgage Payoff Tracker Worksheet Dark Mode</x:v>
      </x:c>
      <x:c r="B669" s="10" t="str">
        <x:v>https://www.etsy.com/listing/1877279208/debt-snowball-spreadsheet-excel-debt</x:v>
      </x:c>
      <x:c r="C669" s="10" t="str">
        <x:v>TheSheetStudio</x:v>
      </x:c>
      <x:c r="D669" s="10" t="str">
        <x:v>https://www.etsy.com/shop/TheSheetStudio</x:v>
      </x:c>
      <x:c r="E669" s="11" t="n">
        <x:v>5.23</x:v>
      </x:c>
      <x:c r="F669" s="10" t="n">
        <x:v>0</x:v>
      </x:c>
      <x:c r="G669" s="12" t="n">
        <x:v>0</x:v>
      </x:c>
      <x:c r="H669" s="13" t="n">
        <x:v>0</x:v>
      </x:c>
      <x:c r="I669" s="10" t="n">
        <x:v>13</x:v>
      </x:c>
      <x:c r="J669" s="10" t="n">
        <x:v>1</x:v>
      </x:c>
      <x:c r="K669" s="10" t="str">
        <x:v>16 Mo.</x:v>
      </x:c>
      <x:c r="L669" s="10" t="n">
        <x:v>5</x:v>
      </x:c>
      <x:c r="M669" s="10" t="n">
        <x:v>0</x:v>
      </x:c>
      <x:c r="N669" s="10" t="n">
        <x:v>335</x:v>
      </x:c>
      <x:c r="O669" s="10" t="str">
        <x:v>Paper &amp; Party Supplies</x:v>
      </x:c>
      <x:c r="P669" s="10" t="n">
        <x:v>33</x:v>
      </x:c>
      <x:c r="Q669" s="10" t="n">
        <x:v>0</x:v>
      </x:c>
      <x:c r="R669" s="13" t="n">
        <x:v>3.88</x:v>
      </x:c>
      <x:c r="S669" s="10" t="n">
        <x:v>7034</x:v>
      </x:c>
      <x:c r="T669" s="10" t="str">
        <x:v>debt payoff tracker,debt snowball,mortgage payoff,debt snowball excel,debt planner,debt tracker excel,debt spreadsheet,google sheets,debt repayment,loan payoff,debt worksheet,debt calculator</x:v>
      </x:c>
      <x:c r="U669" s="10" t="str">
        <x:v>debt payoff tracker</x:v>
      </x:c>
      <x:c r="V669" s="10" t="str">
        <x:v>debt snowball</x:v>
      </x:c>
      <x:c r="W669" s="10" t="str">
        <x:v>mortgage payoff</x:v>
      </x:c>
      <x:c r="X669" s="10" t="str">
        <x:v>debt snowball excel</x:v>
      </x:c>
      <x:c r="Y669" s="10" t="str">
        <x:v>debt planner</x:v>
      </x:c>
      <x:c r="Z669" s="10" t="str">
        <x:v>debt tracker excel</x:v>
      </x:c>
      <x:c r="AA669" s="10" t="str">
        <x:v>debt spreadsheet</x:v>
      </x:c>
      <x:c r="AB669" s="10" t="str">
        <x:v>google sheets</x:v>
      </x:c>
      <x:c r="AC669" s="10" t="str">
        <x:v>debt repayment</x:v>
      </x:c>
      <x:c r="AD669" s="10" t="str">
        <x:v>loan payoff</x:v>
      </x:c>
      <x:c r="AE669" s="10" t="str">
        <x:v>debt worksheet</x:v>
      </x:c>
      <x:c r="AF669" s="10" t="str">
        <x:v>debt calculator</x:v>
      </x:c>
      <x:c r="AG669" s="10" t="str">
        <x:v>--</x:v>
      </x:c>
      <x:c r="AH669" s="10" t="str">
        <x:v>General debt payoff</x:v>
      </x:c>
      <x:c r="AI669" s="13" t="n">
        <x:v>16</x:v>
      </x:c>
      <x:c r="AJ669" s="10" t="str">
        <x:f>IF(F669&gt;0,"Active","No est. sales")</x:f>
        <x:v>No est. sales</x:v>
      </x:c>
    </x:row>
    <x:row r="670">
      <x:c r="A670" s="10" t="str">
        <x:v>Canadian Mortgage Affordability Calculator: Excel Template (Digital Download)</x:v>
      </x:c>
      <x:c r="B670" s="10" t="str">
        <x:v>https://www.etsy.com/listing/1775609186/canadian-mortgage-affordability</x:v>
      </x:c>
      <x:c r="C670" s="10" t="str">
        <x:v>HomeBuyingAdvising</x:v>
      </x:c>
      <x:c r="D670" s="10" t="str">
        <x:v>https://www.etsy.com/shop/HomeBuyingAdvising</x:v>
      </x:c>
      <x:c r="E670" s="11" t="n">
        <x:v>8.5</x:v>
      </x:c>
      <x:c r="F670" s="10" t="n">
        <x:v>0</x:v>
      </x:c>
      <x:c r="G670" s="12" t="n">
        <x:v>0</x:v>
      </x:c>
      <x:c r="H670" s="13" t="n">
        <x:v>0</x:v>
      </x:c>
      <x:c r="I670" s="10" t="n">
        <x:v>0</x:v>
      </x:c>
      <x:c r="J670" s="10" t="n">
        <x:v>0</x:v>
      </x:c>
      <x:c r="K670" s="10" t="str">
        <x:v>22 Mo.</x:v>
      </x:c>
      <x:c r="L670" s="10" t="n">
        <x:v>6</x:v>
      </x:c>
      <x:c r="M670" s="10" t="n">
        <x:v>0</x:v>
      </x:c>
      <x:c r="N670" s="10" t="n">
        <x:v>200</x:v>
      </x:c>
      <x:c r="O670" s="10" t="str"/>
      <x:c r="P670" s="10" t="n">
        <x:v>22</x:v>
      </x:c>
      <x:c r="Q670" s="10" t="n">
        <x:v>0</x:v>
      </x:c>
      <x:c r="R670" s="13" t="n">
        <x:v>0</x:v>
      </x:c>
      <x:c r="S670" s="10" t="n">
        <x:v>14</x:v>
      </x:c>
      <x:c r="T670" s="10" t="str">
        <x:v>mortgage calculator,mortgage canada,mortgage planner,mortgage payment,income calculator,home buying planner,canadian mortgage,down payment,home planner,budget planner,financial goals,first time home,mortgage eligibility</x:v>
      </x:c>
      <x:c r="U670" s="10" t="str">
        <x:v>mortgage calculator</x:v>
      </x:c>
      <x:c r="V670" s="10" t="str">
        <x:v>mortgage canada</x:v>
      </x:c>
      <x:c r="W670" s="10" t="str">
        <x:v>mortgage planner</x:v>
      </x:c>
      <x:c r="X670" s="10" t="str">
        <x:v>mortgage payment</x:v>
      </x:c>
      <x:c r="Y670" s="10" t="str">
        <x:v>income calculator</x:v>
      </x:c>
      <x:c r="Z670" s="10" t="str">
        <x:v>home buying planner</x:v>
      </x:c>
      <x:c r="AA670" s="10" t="str">
        <x:v>canadian mortgage</x:v>
      </x:c>
      <x:c r="AB670" s="10" t="str">
        <x:v>down payment</x:v>
      </x:c>
      <x:c r="AC670" s="10" t="str">
        <x:v>home planner</x:v>
      </x:c>
      <x:c r="AD670" s="10" t="str">
        <x:v>budget planner</x:v>
      </x:c>
      <x:c r="AE670" s="10" t="str">
        <x:v>financial goals</x:v>
      </x:c>
      <x:c r="AF670" s="10" t="str">
        <x:v>first time home</x:v>
      </x:c>
      <x:c r="AG670" s="10" t="str">
        <x:v>mortgage eligibility</x:v>
      </x:c>
      <x:c r="AH670" s="10" t="str">
        <x:v>Home buying planner</x:v>
      </x:c>
      <x:c r="AI670" s="13" t="n">
        <x:v>22</x:v>
      </x:c>
      <x:c r="AJ670" s="10" t="str">
        <x:f>IF(F670&gt;0,"Active","No est. sales")</x:f>
        <x:v>No est. sales</x:v>
      </x:c>
    </x:row>
    <x:row r="671">
      <x:c r="A671" s="10" t="str">
        <x:v>Early Mortgage Payoff Spreadsheet, Extra Payment Mortgage Calculator &amp; Home Loan Amortization Schedule Excel Google Sheets</x:v>
      </x:c>
      <x:c r="B671" s="10" t="str">
        <x:v>https://www.etsy.com/listing/4525079508/early-mortgage-payoff-spreadsheet-extra</x:v>
      </x:c>
      <x:c r="C671" s="10" t="str">
        <x:v>MarenCreatives</x:v>
      </x:c>
      <x:c r="D671" s="10" t="str">
        <x:v>https://www.etsy.com/shop/MarenCreatives</x:v>
      </x:c>
      <x:c r="E671" s="11" t="n">
        <x:v>6.99</x:v>
      </x:c>
      <x:c r="F671" s="10" t="n">
        <x:v>0</x:v>
      </x:c>
      <x:c r="G671" s="12" t="n">
        <x:v>0</x:v>
      </x:c>
      <x:c r="H671" s="13" t="n">
        <x:v>0</x:v>
      </x:c>
      <x:c r="I671" s="10" t="n">
        <x:v>0</x:v>
      </x:c>
      <x:c r="J671" s="10" t="n">
        <x:v>0</x:v>
      </x:c>
      <x:c r="K671" s="10" t="str">
        <x:v>1 Mo.</x:v>
      </x:c>
      <x:c r="L671" s="10" t="n">
        <x:v>0</x:v>
      </x:c>
      <x:c r="M671" s="10" t="n">
        <x:v>0</x:v>
      </x:c>
      <x:c r="N671" s="10" t="n">
        <x:v>2</x:v>
      </x:c>
      <x:c r="O671" s="10" t="str"/>
      <x:c r="P671" s="10" t="n">
        <x:v>9</x:v>
      </x:c>
      <x:c r="Q671" s="10" t="n">
        <x:v>0</x:v>
      </x:c>
      <x:c r="R671" s="13" t="n">
        <x:v>0</x:v>
      </x:c>
      <x:c r="S671" s="10" t="n">
        <x:v>2</x:v>
      </x:c>
      <x:c r="T671" s="10" t="str">
        <x:v>mortgage payoff tool,extra payment calc,home loan tracker,loan amortization,payoff spreadsheet,debt free tracker,excel mortgage calc,sheets mortgage calc,house payoff planner,early loan payoff,interest saver calc,amortization sheet,debt payoff excel</x:v>
      </x:c>
      <x:c r="U671" s="10" t="str">
        <x:v>mortgage payoff tool</x:v>
      </x:c>
      <x:c r="V671" s="10" t="str">
        <x:v>extra payment calc</x:v>
      </x:c>
      <x:c r="W671" s="10" t="str">
        <x:v>home loan tracker</x:v>
      </x:c>
      <x:c r="X671" s="10" t="str">
        <x:v>loan amortization</x:v>
      </x:c>
      <x:c r="Y671" s="10" t="str">
        <x:v>payoff spreadsheet</x:v>
      </x:c>
      <x:c r="Z671" s="10" t="str">
        <x:v>debt free tracker</x:v>
      </x:c>
      <x:c r="AA671" s="10" t="str">
        <x:v>excel mortgage calc</x:v>
      </x:c>
      <x:c r="AB671" s="10" t="str">
        <x:v>sheets mortgage calc</x:v>
      </x:c>
      <x:c r="AC671" s="10" t="str">
        <x:v>house payoff planner</x:v>
      </x:c>
      <x:c r="AD671" s="10" t="str">
        <x:v>early loan payoff</x:v>
      </x:c>
      <x:c r="AE671" s="10" t="str">
        <x:v>interest saver calc</x:v>
      </x:c>
      <x:c r="AF671" s="10" t="str">
        <x:v>amortization sheet</x:v>
      </x:c>
      <x:c r="AG671" s="10" t="str">
        <x:v>debt payoff excel</x:v>
      </x:c>
      <x:c r="AH671" s="10" t="str">
        <x:v>Mortgage payoff / calculator</x:v>
      </x:c>
      <x:c r="AI671" s="13" t="n">
        <x:v>1</x:v>
      </x:c>
      <x:c r="AJ671" s="10" t="str">
        <x:f>IF(F671&gt;0,"Active","No est. sales")</x:f>
        <x:v>No est. sales</x:v>
      </x:c>
    </x:row>
    <x:row r="672">
      <x:c r="A672" s="10" t="str">
        <x:v>Rental Property Calculator Excel Google Sheets Rental Deal Analyzer Spreadsheet &amp; Real Estate Investment Tracker for Landlords</x:v>
      </x:c>
      <x:c r="B672" s="10" t="str">
        <x:v>https://www.etsy.com/listing/4525083574/rental-property-calculator-excel-google</x:v>
      </x:c>
      <x:c r="C672" s="10" t="str">
        <x:v>MarenCreatives</x:v>
      </x:c>
      <x:c r="D672" s="10" t="str">
        <x:v>https://www.etsy.com/shop/MarenCreatives</x:v>
      </x:c>
      <x:c r="E672" s="11" t="n">
        <x:v>24.99</x:v>
      </x:c>
      <x:c r="F672" s="10" t="n">
        <x:v>0</x:v>
      </x:c>
      <x:c r="G672" s="12" t="n">
        <x:v>0</x:v>
      </x:c>
      <x:c r="H672" s="13" t="n">
        <x:v>0</x:v>
      </x:c>
      <x:c r="I672" s="10" t="n">
        <x:v>0</x:v>
      </x:c>
      <x:c r="J672" s="10" t="n">
        <x:v>0</x:v>
      </x:c>
      <x:c r="K672" s="10" t="str">
        <x:v>1 Mo.</x:v>
      </x:c>
      <x:c r="L672" s="10" t="n">
        <x:v>0</x:v>
      </x:c>
      <x:c r="M672" s="10" t="n">
        <x:v>0</x:v>
      </x:c>
      <x:c r="N672" s="10" t="n">
        <x:v>0</x:v>
      </x:c>
      <x:c r="O672" s="10" t="str"/>
      <x:c r="P672" s="10" t="n">
        <x:v>9</x:v>
      </x:c>
      <x:c r="Q672" s="10" t="n">
        <x:v>0</x:v>
      </x:c>
      <x:c r="R672" s="13" t="n">
        <x:v>0</x:v>
      </x:c>
      <x:c r="S672" s="10" t="n">
        <x:v>2</x:v>
      </x:c>
      <x:c r="T672" s="10" t="str">
        <x:v>rental roi tracker,landlord excel tool,property tracker,deal analyzer excel,brrrr calculator,house hacking sheet,airbnb analyzer,portfolio tracker,real estate planner,mortgage payoff map,rental analyzer,google sheets tool,investment tracker</x:v>
      </x:c>
      <x:c r="U672" s="10" t="str">
        <x:v>rental roi tracker</x:v>
      </x:c>
      <x:c r="V672" s="10" t="str">
        <x:v>landlord excel tool</x:v>
      </x:c>
      <x:c r="W672" s="10" t="str">
        <x:v>property tracker</x:v>
      </x:c>
      <x:c r="X672" s="10" t="str">
        <x:v>deal analyzer excel</x:v>
      </x:c>
      <x:c r="Y672" s="10" t="str">
        <x:v>brrrr calculator</x:v>
      </x:c>
      <x:c r="Z672" s="10" t="str">
        <x:v>house hacking sheet</x:v>
      </x:c>
      <x:c r="AA672" s="10" t="str">
        <x:v>airbnb analyzer</x:v>
      </x:c>
      <x:c r="AB672" s="10" t="str">
        <x:v>portfolio tracker</x:v>
      </x:c>
      <x:c r="AC672" s="10" t="str">
        <x:v>real estate planner</x:v>
      </x:c>
      <x:c r="AD672" s="10" t="str">
        <x:v>mortgage payoff map</x:v>
      </x:c>
      <x:c r="AE672" s="10" t="str">
        <x:v>rental analyzer</x:v>
      </x:c>
      <x:c r="AF672" s="10" t="str">
        <x:v>google sheets tool</x:v>
      </x:c>
      <x:c r="AG672" s="10" t="str">
        <x:v>investment tracker</x:v>
      </x:c>
      <x:c r="AH672" s="10" t="str">
        <x:v>Property investment</x:v>
      </x:c>
      <x:c r="AI672" s="13" t="n">
        <x:v>1</x:v>
      </x:c>
      <x:c r="AJ672" s="10" t="str">
        <x:f>IF(F672&gt;0,"Active","No est. sales")</x:f>
        <x:v>No est. sales</x:v>
      </x:c>
    </x:row>
    <x:row r="673">
      <x:c r="A673" s="10" t="str">
        <x:v>Debt Payoff Tracker: Snowball &amp; Avalanche Calculator (Google Sheets)</x:v>
      </x:c>
      <x:c r="B673" s="10" t="str">
        <x:v>https://www.etsy.com/listing/1776954917/debt-payoff-tracker-snowball-avalanche</x:v>
      </x:c>
      <x:c r="C673" s="10" t="str">
        <x:v>JrenDigital</x:v>
      </x:c>
      <x:c r="D673" s="10" t="str">
        <x:v>https://www.etsy.com/shop/JrenDigital</x:v>
      </x:c>
      <x:c r="E673" s="11" t="n">
        <x:v>9.77</x:v>
      </x:c>
      <x:c r="F673" s="10" t="n">
        <x:v>0</x:v>
      </x:c>
      <x:c r="G673" s="12" t="n">
        <x:v>0</x:v>
      </x:c>
      <x:c r="H673" s="13" t="n">
        <x:v>0</x:v>
      </x:c>
      <x:c r="I673" s="10" t="n">
        <x:v>244</x:v>
      </x:c>
      <x:c r="J673" s="10" t="n">
        <x:v>17</x:v>
      </x:c>
      <x:c r="K673" s="10" t="str">
        <x:v>23 Mo.</x:v>
      </x:c>
      <x:c r="L673" s="10" t="n">
        <x:v>78</x:v>
      </x:c>
      <x:c r="M673" s="10" t="n">
        <x:v>1</x:v>
      </x:c>
      <x:c r="N673" s="10" t="n">
        <x:v>3329</x:v>
      </x:c>
      <x:c r="O673" s="10" t="str">
        <x:v>Paper &amp; Party Supplies</x:v>
      </x:c>
      <x:c r="P673" s="10" t="n">
        <x:v>41</x:v>
      </x:c>
      <x:c r="Q673" s="10" t="n">
        <x:v>45</x:v>
      </x:c>
      <x:c r="R673" s="13" t="n">
        <x:v>7.33</x:v>
      </x:c>
      <x:c r="S673" s="10" t="n">
        <x:v>80099</x:v>
      </x:c>
      <x:c r="T673" s="10" t="str">
        <x:v>financial planner,debt payoff tracker,debt snowball,debt payoff chart,debt payment tracker,credit card payoff,debt template,debt avalanche,personal finance,student loan debt,google sheets budget,mortgage payoff,credit utilization</x:v>
      </x:c>
      <x:c r="U673" s="10" t="str">
        <x:v>financial planner</x:v>
      </x:c>
      <x:c r="V673" s="10" t="str">
        <x:v>debt payoff tracker</x:v>
      </x:c>
      <x:c r="W673" s="10" t="str">
        <x:v>debt snowball</x:v>
      </x:c>
      <x:c r="X673" s="10" t="str">
        <x:v>debt payoff chart</x:v>
      </x:c>
      <x:c r="Y673" s="10" t="str">
        <x:v>debt payment tracker</x:v>
      </x:c>
      <x:c r="Z673" s="10" t="str">
        <x:v>credit card payoff</x:v>
      </x:c>
      <x:c r="AA673" s="10" t="str">
        <x:v>debt template</x:v>
      </x:c>
      <x:c r="AB673" s="10" t="str">
        <x:v>debt avalanche</x:v>
      </x:c>
      <x:c r="AC673" s="10" t="str">
        <x:v>personal finance</x:v>
      </x:c>
      <x:c r="AD673" s="10" t="str">
        <x:v>student loan debt</x:v>
      </x:c>
      <x:c r="AE673" s="10" t="str">
        <x:v>google sheets budget</x:v>
      </x:c>
      <x:c r="AF673" s="10" t="str">
        <x:v>mortgage payoff</x:v>
      </x:c>
      <x:c r="AG673" s="10" t="str">
        <x:v>credit utilization</x:v>
      </x:c>
      <x:c r="AH673" s="10" t="str">
        <x:v>General debt payoff</x:v>
      </x:c>
      <x:c r="AI673" s="13" t="n">
        <x:v>23</x:v>
      </x:c>
      <x:c r="AJ673" s="10" t="str">
        <x:f>IF(F673&gt;0,"Active","No est. sales")</x:f>
        <x:v>No est. sales</x:v>
      </x:c>
    </x:row>
    <x:row r="674">
      <x:c r="A674" s="10" t="str">
        <x:v>Loan and Mortgage Payment Calculator Toolkit | Monthly Payment Calculator, Amortization Spreadsheet, Interest Guide | Download</x:v>
      </x:c>
      <x:c r="B674" s="10" t="str">
        <x:v>https://www.etsy.com/listing/4443133322/surrogacy-milestone-bundle-intended</x:v>
      </x:c>
      <x:c r="C674" s="10" t="str">
        <x:v>TalorDigitals</x:v>
      </x:c>
      <x:c r="D674" s="10" t="str">
        <x:v>https://www.etsy.com/shop/TalorDigitals</x:v>
      </x:c>
      <x:c r="E674" s="11" t="n">
        <x:v>3.49</x:v>
      </x:c>
      <x:c r="F674" s="10" t="n">
        <x:v>0</x:v>
      </x:c>
      <x:c r="G674" s="12" t="n">
        <x:v>0</x:v>
      </x:c>
      <x:c r="H674" s="13" t="n">
        <x:v>0</x:v>
      </x:c>
      <x:c r="I674" s="10" t="n">
        <x:v>0</x:v>
      </x:c>
      <x:c r="J674" s="10" t="n">
        <x:v>0</x:v>
      </x:c>
      <x:c r="K674" s="10" t="str">
        <x:v>6 Mo.</x:v>
      </x:c>
      <x:c r="L674" s="10" t="n">
        <x:v>1</x:v>
      </x:c>
      <x:c r="M674" s="10" t="n">
        <x:v>0</x:v>
      </x:c>
      <x:c r="N674" s="10" t="n">
        <x:v>11</x:v>
      </x:c>
      <x:c r="O674" s="10" t="str"/>
      <x:c r="P674" s="10" t="n">
        <x:v>6</x:v>
      </x:c>
      <x:c r="Q674" s="10" t="n">
        <x:v>0</x:v>
      </x:c>
      <x:c r="R674" s="13" t="n">
        <x:v>0</x:v>
      </x:c>
      <x:c r="S674" s="10" t="n">
        <x:v>87</x:v>
      </x:c>
      <x:c r="T674" s="10" t="str">
        <x:v>loan calculator,mortgage calculator,payment calculator,loan spreadsheet,mortgage payment,amortization,interest calculator,auto loan,personal loan,finance calculator,loan planner,mortgage tool,debt calculator</x:v>
      </x:c>
      <x:c r="U674" s="10" t="str">
        <x:v>loan calculator</x:v>
      </x:c>
      <x:c r="V674" s="10" t="str">
        <x:v>mortgage calculator</x:v>
      </x:c>
      <x:c r="W674" s="10" t="str">
        <x:v>payment calculator</x:v>
      </x:c>
      <x:c r="X674" s="10" t="str">
        <x:v>loan spreadsheet</x:v>
      </x:c>
      <x:c r="Y674" s="10" t="str">
        <x:v>mortgage payment</x:v>
      </x:c>
      <x:c r="Z674" s="10" t="str">
        <x:v>amortization</x:v>
      </x:c>
      <x:c r="AA674" s="10" t="str">
        <x:v>interest calculator</x:v>
      </x:c>
      <x:c r="AB674" s="10" t="str">
        <x:v>auto loan</x:v>
      </x:c>
      <x:c r="AC674" s="10" t="str">
        <x:v>personal loan</x:v>
      </x:c>
      <x:c r="AD674" s="10" t="str">
        <x:v>finance calculator</x:v>
      </x:c>
      <x:c r="AE674" s="10" t="str">
        <x:v>loan planner</x:v>
      </x:c>
      <x:c r="AF674" s="10" t="str">
        <x:v>mortgage tool</x:v>
      </x:c>
      <x:c r="AG674" s="10" t="str">
        <x:v>debt calculator</x:v>
      </x:c>
      <x:c r="AH674" s="10" t="str">
        <x:v>Other mortgage-related</x:v>
      </x:c>
      <x:c r="AI674" s="13" t="n">
        <x:v>6</x:v>
      </x:c>
      <x:c r="AJ674" s="10" t="str">
        <x:f>IF(F674&gt;0,"Active","No est. sales")</x:f>
        <x:v>No est. sales</x:v>
      </x:c>
    </x:row>
    <x:row r="675">
      <x:c r="A675" s="10" t="str">
        <x:v>Mortgage Calculator Spreadsheet | Excel Home Loan Calculator | Monthly Payment, Amortization &amp; Loan Comparison Tool</x:v>
      </x:c>
      <x:c r="B675" s="10" t="str">
        <x:v>https://www.etsy.com/listing/4485415549/mortgage-calculator-spreadsheet-excel</x:v>
      </x:c>
      <x:c r="C675" s="10" t="str">
        <x:v>DivineCapitalStudio</x:v>
      </x:c>
      <x:c r="D675" s="10" t="str">
        <x:v>https://www.etsy.com/shop/DivineCapitalStudio</x:v>
      </x:c>
      <x:c r="E675" s="11" t="n">
        <x:v>2.15</x:v>
      </x:c>
      <x:c r="F675" s="10" t="n">
        <x:v>0</x:v>
      </x:c>
      <x:c r="G675" s="12" t="n">
        <x:v>0</x:v>
      </x:c>
      <x:c r="H675" s="13" t="n">
        <x:v>0</x:v>
      </x:c>
      <x:c r="I675" s="10" t="n">
        <x:v>0</x:v>
      </x:c>
      <x:c r="J675" s="10" t="n">
        <x:v>0</x:v>
      </x:c>
      <x:c r="K675" s="10" t="str">
        <x:v>1 Mo.</x:v>
      </x:c>
      <x:c r="L675" s="10" t="n">
        <x:v>0</x:v>
      </x:c>
      <x:c r="M675" s="10" t="n">
        <x:v>0</x:v>
      </x:c>
      <x:c r="N675" s="10" t="n">
        <x:v>2</x:v>
      </x:c>
      <x:c r="O675" s="10" t="str">
        <x:v>Paper &amp; Party Supplies</x:v>
      </x:c>
      <x:c r="P675" s="10" t="n">
        <x:v>0</x:v>
      </x:c>
      <x:c r="Q675" s="10" t="n">
        <x:v>0</x:v>
      </x:c>
      <x:c r="R675" s="13" t="n">
        <x:v>0</x:v>
      </x:c>
      <x:c r="S675" s="10" t="n">
        <x:v>0</x:v>
      </x:c>
      <x:c r="T675" s="10" t="str">
        <x:v>mortgage calculator,home buying tool,excel spreadsheet,first home buyer,monthly payment,lending tool,mortgage planner,budget spreadsheet,mortgage,loan tool,interest rate,mortgage worksheet,bank</x:v>
      </x:c>
      <x:c r="U675" s="10" t="str">
        <x:v>mortgage calculator</x:v>
      </x:c>
      <x:c r="V675" s="10" t="str">
        <x:v>home buying tool</x:v>
      </x:c>
      <x:c r="W675" s="10" t="str">
        <x:v>excel spreadsheet</x:v>
      </x:c>
      <x:c r="X675" s="10" t="str">
        <x:v>first home buyer</x:v>
      </x:c>
      <x:c r="Y675" s="10" t="str">
        <x:v>monthly payment</x:v>
      </x:c>
      <x:c r="Z675" s="10" t="str">
        <x:v>lending tool</x:v>
      </x:c>
      <x:c r="AA675" s="10" t="str">
        <x:v>mortgage planner</x:v>
      </x:c>
      <x:c r="AB675" s="10" t="str">
        <x:v>budget spreadsheet</x:v>
      </x:c>
      <x:c r="AC675" s="10" t="str">
        <x:v>mortgage</x:v>
      </x:c>
      <x:c r="AD675" s="10" t="str">
        <x:v>loan tool</x:v>
      </x:c>
      <x:c r="AE675" s="10" t="str">
        <x:v>interest rate</x:v>
      </x:c>
      <x:c r="AF675" s="10" t="str">
        <x:v>mortgage worksheet</x:v>
      </x:c>
      <x:c r="AG675" s="10" t="str">
        <x:v>bank</x:v>
      </x:c>
      <x:c r="AH675" s="10" t="str">
        <x:v>Mortgage payoff / calculator</x:v>
      </x:c>
      <x:c r="AI675" s="13" t="n">
        <x:v>1</x:v>
      </x:c>
      <x:c r="AJ675" s="10" t="str">
        <x:f>IF(F675&gt;0,"Active","No est. sales")</x:f>
        <x:v>No est. sales</x:v>
      </x:c>
    </x:row>
    <x:row r="676">
      <x:c r="A676" s="10" t="str">
        <x:v>Debt Payoff Tracker for Avalanche &amp; Snowball Methods | Excel and Google Sheets Template for Financial Organization</x:v>
      </x:c>
      <x:c r="B676" s="10" t="str">
        <x:v>https://www.etsy.com/listing/1856710625/debt-payoff-tracker-for-avalanche</x:v>
      </x:c>
      <x:c r="C676" s="10" t="str">
        <x:v>SaverenSheets</x:v>
      </x:c>
      <x:c r="D676" s="10" t="str">
        <x:v>https://www.etsy.com/shop/SaverenSheets</x:v>
      </x:c>
      <x:c r="E676" s="11" t="n">
        <x:v>1.5</x:v>
      </x:c>
      <x:c r="F676" s="10" t="n">
        <x:v>0</x:v>
      </x:c>
      <x:c r="G676" s="12" t="n">
        <x:v>0</x:v>
      </x:c>
      <x:c r="H676" s="13" t="n">
        <x:v>0</x:v>
      </x:c>
      <x:c r="I676" s="10" t="n">
        <x:v>0</x:v>
      </x:c>
      <x:c r="J676" s="10" t="n">
        <x:v>0</x:v>
      </x:c>
      <x:c r="K676" s="10" t="str">
        <x:v>1 Mo.</x:v>
      </x:c>
      <x:c r="L676" s="10" t="n">
        <x:v>0</x:v>
      </x:c>
      <x:c r="M676" s="10" t="n">
        <x:v>0</x:v>
      </x:c>
      <x:c r="N676" s="10" t="n">
        <x:v>27</x:v>
      </x:c>
      <x:c r="O676" s="10" t="str">
        <x:v>Paper &amp; Party Supplies</x:v>
      </x:c>
      <x:c r="P676" s="10" t="n">
        <x:v>0</x:v>
      </x:c>
      <x:c r="Q676" s="10" t="n">
        <x:v>0</x:v>
      </x:c>
      <x:c r="R676" s="13" t="n">
        <x:v>0</x:v>
      </x:c>
      <x:c r="S676" s="10" t="n">
        <x:v>0</x:v>
      </x:c>
      <x:c r="T676" s="10" t="str">
        <x:v>debt payoff tracker,debt payment tracker,debt snowball,debt avalanche,debt payoff planner,debt calculator,loan payoff tracker,credit card debt,mortgage payoff,financial planner,personal finance,debt google sheets,snowball method</x:v>
      </x:c>
      <x:c r="U676" s="10" t="str">
        <x:v>debt payoff tracker</x:v>
      </x:c>
      <x:c r="V676" s="10" t="str">
        <x:v>debt payment tracker</x:v>
      </x:c>
      <x:c r="W676" s="10" t="str">
        <x:v>debt snowball</x:v>
      </x:c>
      <x:c r="X676" s="10" t="str">
        <x:v>debt avalanche</x:v>
      </x:c>
      <x:c r="Y676" s="10" t="str">
        <x:v>debt payoff planner</x:v>
      </x:c>
      <x:c r="Z676" s="10" t="str">
        <x:v>debt calculator</x:v>
      </x:c>
      <x:c r="AA676" s="10" t="str">
        <x:v>loan payoff tracker</x:v>
      </x:c>
      <x:c r="AB676" s="10" t="str">
        <x:v>credit card debt</x:v>
      </x:c>
      <x:c r="AC676" s="10" t="str">
        <x:v>mortgage payoff</x:v>
      </x:c>
      <x:c r="AD676" s="10" t="str">
        <x:v>financial planner</x:v>
      </x:c>
      <x:c r="AE676" s="10" t="str">
        <x:v>personal finance</x:v>
      </x:c>
      <x:c r="AF676" s="10" t="str">
        <x:v>debt google sheets</x:v>
      </x:c>
      <x:c r="AG676" s="10" t="str">
        <x:v>snowball method</x:v>
      </x:c>
      <x:c r="AH676" s="10" t="str">
        <x:v>General debt payoff</x:v>
      </x:c>
      <x:c r="AI676" s="13" t="n">
        <x:v>1</x:v>
      </x:c>
      <x:c r="AJ676" s="10" t="str">
        <x:f>IF(F676&gt;0,"Active","No est. sales")</x:f>
        <x:v>No est. sales</x:v>
      </x:c>
    </x:row>
    <x:row r="677">
      <x:c r="A677" s="10" t="str">
        <x:v>Real Estate Buyer Guide / Home Buying Guide / First-Time Guide / Real Estate Checklist / Printable Home Buyer Planner / Home Purchase Guide</x:v>
      </x:c>
      <x:c r="B677" s="10" t="str">
        <x:v>https://www.etsy.com/listing/1870313513/real-estate-buyer-guide-home-buying</x:v>
      </x:c>
      <x:c r="C677" s="10" t="str">
        <x:v>ZenRenMedia</x:v>
      </x:c>
      <x:c r="D677" s="10" t="str">
        <x:v>https://www.etsy.com/shop/ZenRenMedia</x:v>
      </x:c>
      <x:c r="E677" s="11" t="n">
        <x:v>5.36</x:v>
      </x:c>
      <x:c r="F677" s="10" t="n">
        <x:v>0</x:v>
      </x:c>
      <x:c r="G677" s="12" t="n">
        <x:v>0</x:v>
      </x:c>
      <x:c r="H677" s="13" t="n">
        <x:v>0</x:v>
      </x:c>
      <x:c r="I677" s="10" t="n">
        <x:v>0</x:v>
      </x:c>
      <x:c r="J677" s="10" t="n">
        <x:v>0</x:v>
      </x:c>
      <x:c r="K677" s="10" t="str">
        <x:v>7 Mo.</x:v>
      </x:c>
      <x:c r="L677" s="10" t="n">
        <x:v>0</x:v>
      </x:c>
      <x:c r="M677" s="10" t="n">
        <x:v>0</x:v>
      </x:c>
      <x:c r="N677" s="10" t="n">
        <x:v>261</x:v>
      </x:c>
      <x:c r="O677" s="10" t="str">
        <x:v>Paper &amp; Party Supplies</x:v>
      </x:c>
      <x:c r="P677" s="10" t="n">
        <x:v>39</x:v>
      </x:c>
      <x:c r="Q677" s="10" t="n">
        <x:v>0</x:v>
      </x:c>
      <x:c r="R677" s="13" t="n">
        <x:v>0</x:v>
      </x:c>
      <x:c r="S677" s="10" t="n">
        <x:v>4</x:v>
      </x:c>
      <x:c r="T677" s="10" t="str">
        <x:v>home buying guide,first-time homebuyer,home purchase guide,homebuyer planner,home buying planner,real estate planner,mortgage guide,first home guide,printable home guide,real estate tips,home search planner</x:v>
      </x:c>
      <x:c r="U677" s="10" t="str">
        <x:v>home buying guide</x:v>
      </x:c>
      <x:c r="V677" s="10" t="str">
        <x:v>first-time homebuyer</x:v>
      </x:c>
      <x:c r="W677" s="10" t="str">
        <x:v>home purchase guide</x:v>
      </x:c>
      <x:c r="X677" s="10" t="str">
        <x:v>homebuyer planner</x:v>
      </x:c>
      <x:c r="Y677" s="10" t="str">
        <x:v>home buying planner</x:v>
      </x:c>
      <x:c r="Z677" s="10" t="str">
        <x:v>real estate planner</x:v>
      </x:c>
      <x:c r="AA677" s="10" t="str">
        <x:v>mortgage guide</x:v>
      </x:c>
      <x:c r="AB677" s="10" t="str">
        <x:v>first home guide</x:v>
      </x:c>
      <x:c r="AC677" s="10" t="str">
        <x:v>printable home guide</x:v>
      </x:c>
      <x:c r="AD677" s="10" t="str">
        <x:v>real estate tips</x:v>
      </x:c>
      <x:c r="AE677" s="10" t="str">
        <x:v>home search planner</x:v>
      </x:c>
      <x:c r="AF677" s="10" t="str">
        <x:v>--</x:v>
      </x:c>
      <x:c r="AG677" s="10" t="str">
        <x:v>--</x:v>
      </x:c>
      <x:c r="AH677" s="10" t="str">
        <x:v>Home buying planner</x:v>
      </x:c>
      <x:c r="AI677" s="13" t="n">
        <x:v>7</x:v>
      </x:c>
      <x:c r="AJ677" s="10" t="str">
        <x:f>IF(F677&gt;0,"Active","No est. sales")</x:f>
        <x:v>No est. sales</x:v>
      </x:c>
    </x:row>
    <x:row r="678">
      <x:c r="A678" s="10" t="str">
        <x:v>Bad Bitches are Debt Free, Debt Free Gift, Paid off loans gift, gift for friend, financial freedom, fire movement, financially independent</x:v>
      </x:c>
      <x:c r="B678" s="10" t="str">
        <x:v>https://www.etsy.com/listing/1606484075/bad-bitches-are-debt-free-debt-free-gift</x:v>
      </x:c>
      <x:c r="C678" s="10" t="str">
        <x:v>PoshAdhesiveArt</x:v>
      </x:c>
      <x:c r="D678" s="10" t="str">
        <x:v>https://www.etsy.com/shop/PoshAdhesiveArt</x:v>
      </x:c>
      <x:c r="E678" s="11" t="n">
        <x:v>47.1</x:v>
      </x:c>
      <x:c r="F678" s="10" t="n">
        <x:v>0</x:v>
      </x:c>
      <x:c r="G678" s="12" t="n">
        <x:v>0</x:v>
      </x:c>
      <x:c r="H678" s="13" t="n">
        <x:v>0</x:v>
      </x:c>
      <x:c r="I678" s="10" t="n">
        <x:v>1</x:v>
      </x:c>
      <x:c r="J678" s="10" t="n">
        <x:v>1</x:v>
      </x:c>
      <x:c r="K678" s="10" t="str">
        <x:v>16 Mo.</x:v>
      </x:c>
      <x:c r="L678" s="10" t="n">
        <x:v>7</x:v>
      </x:c>
      <x:c r="M678" s="10" t="n">
        <x:v>0</x:v>
      </x:c>
      <x:c r="N678" s="10" t="n">
        <x:v>48</x:v>
      </x:c>
      <x:c r="O678" s="10" t="str">
        <x:v>Home &amp; Living</x:v>
      </x:c>
      <x:c r="P678" s="10" t="n">
        <x:v>39</x:v>
      </x:c>
      <x:c r="Q678" s="10" t="n">
        <x:v>0</x:v>
      </x:c>
      <x:c r="R678" s="13" t="n">
        <x:v>2.08</x:v>
      </x:c>
      <x:c r="S678" s="10" t="n">
        <x:v>713</x:v>
      </x:c>
      <x:c r="T678" s="10" t="str">
        <x:v>credit card debt,debt avalanche,debt calculator,debt snowball,financial planner,loan payoff tracker,mortgage payoff,personal finance,student loan debt,no debt,fire movement,debt free gift,loan payoff gift</x:v>
      </x:c>
      <x:c r="U678" s="10" t="str">
        <x:v>credit card debt</x:v>
      </x:c>
      <x:c r="V678" s="10" t="str">
        <x:v>debt avalanche</x:v>
      </x:c>
      <x:c r="W678" s="10" t="str">
        <x:v>debt calculator</x:v>
      </x:c>
      <x:c r="X678" s="10" t="str">
        <x:v>debt snowball</x:v>
      </x:c>
      <x:c r="Y678" s="10" t="str">
        <x:v>financial planner</x:v>
      </x:c>
      <x:c r="Z678" s="10" t="str">
        <x:v>loan payoff tracker</x:v>
      </x:c>
      <x:c r="AA678" s="10" t="str">
        <x:v>mortgage payoff</x:v>
      </x:c>
      <x:c r="AB678" s="10" t="str">
        <x:v>personal finance</x:v>
      </x:c>
      <x:c r="AC678" s="10" t="str">
        <x:v>student loan debt</x:v>
      </x:c>
      <x:c r="AD678" s="10" t="str">
        <x:v>no debt</x:v>
      </x:c>
      <x:c r="AE678" s="10" t="str">
        <x:v>fire movement</x:v>
      </x:c>
      <x:c r="AF678" s="10" t="str">
        <x:v>debt free gift</x:v>
      </x:c>
      <x:c r="AG678" s="10" t="str">
        <x:v>loan payoff gift</x:v>
      </x:c>
      <x:c r="AH678" s="10" t="str">
        <x:v>Other mortgage-related</x:v>
      </x:c>
      <x:c r="AI678" s="13" t="n">
        <x:v>16</x:v>
      </x:c>
      <x:c r="AJ678" s="10" t="str">
        <x:f>IF(F678&gt;0,"Active","No est. sales")</x:f>
        <x:v>No est. sales</x:v>
      </x:c>
    </x:row>
    <x:row r="679">
      <x:c r="A679" s="10" t="str">
        <x:v>Mortgage Refinance Decision Worksheet | Break-Even Analysis Calculator PDF</x:v>
      </x:c>
      <x:c r="B679" s="10" t="str">
        <x:v>https://www.etsy.com/listing/4493606298/mortgage-refinance-decision-worksheet</x:v>
      </x:c>
      <x:c r="C679" s="10" t="str">
        <x:v>SmartCookieInspo</x:v>
      </x:c>
      <x:c r="D679" s="10" t="str">
        <x:v>https://www.etsy.com/shop/SmartCookieInspo</x:v>
      </x:c>
      <x:c r="E679" s="11" t="n">
        <x:v>5.99</x:v>
      </x:c>
      <x:c r="F679" s="10" t="n">
        <x:v>0</x:v>
      </x:c>
      <x:c r="G679" s="12" t="n">
        <x:v>0</x:v>
      </x:c>
      <x:c r="H679" s="13" t="n">
        <x:v>0</x:v>
      </x:c>
      <x:c r="I679" s="10" t="n">
        <x:v>0</x:v>
      </x:c>
      <x:c r="J679" s="10" t="n">
        <x:v>0</x:v>
      </x:c>
      <x:c r="K679" s="10" t="str">
        <x:v>1 Mo.</x:v>
      </x:c>
      <x:c r="L679" s="10" t="n">
        <x:v>0</x:v>
      </x:c>
      <x:c r="M679" s="10" t="n">
        <x:v>0</x:v>
      </x:c>
      <x:c r="N679" s="10" t="n">
        <x:v>2</x:v>
      </x:c>
      <x:c r="O679" s="10" t="str"/>
      <x:c r="P679" s="10" t="n">
        <x:v>41</x:v>
      </x:c>
      <x:c r="Q679" s="10" t="n">
        <x:v>0</x:v>
      </x:c>
      <x:c r="R679" s="13" t="n">
        <x:v>0</x:v>
      </x:c>
      <x:c r="S679" s="10" t="n">
        <x:v>1</x:v>
      </x:c>
      <x:c r="T679" s="10" t="str">
        <x:v>refinance worksheet,mortgage refinance,refinance calculator,mortgage worksheet,break even analysis,mortgage planner pdf,financial worksheet,home loan printable,mortgage decision,refi planner,homeowner printable,loan comparison,financial planner pd</x:v>
      </x:c>
      <x:c r="U679" s="10" t="str">
        <x:v>refinance worksheet</x:v>
      </x:c>
      <x:c r="V679" s="10" t="str">
        <x:v>mortgage refinance</x:v>
      </x:c>
      <x:c r="W679" s="10" t="str">
        <x:v>refinance calculator</x:v>
      </x:c>
      <x:c r="X679" s="10" t="str">
        <x:v>mortgage worksheet</x:v>
      </x:c>
      <x:c r="Y679" s="10" t="str">
        <x:v>break even analysis</x:v>
      </x:c>
      <x:c r="Z679" s="10" t="str">
        <x:v>mortgage planner pdf</x:v>
      </x:c>
      <x:c r="AA679" s="10" t="str">
        <x:v>financial worksheet</x:v>
      </x:c>
      <x:c r="AB679" s="10" t="str">
        <x:v>home loan printable</x:v>
      </x:c>
      <x:c r="AC679" s="10" t="str">
        <x:v>mortgage decision</x:v>
      </x:c>
      <x:c r="AD679" s="10" t="str">
        <x:v>refi planner</x:v>
      </x:c>
      <x:c r="AE679" s="10" t="str">
        <x:v>homeowner printable</x:v>
      </x:c>
      <x:c r="AF679" s="10" t="str">
        <x:v>loan comparison</x:v>
      </x:c>
      <x:c r="AG679" s="10" t="str">
        <x:v>financial planner pd</x:v>
      </x:c>
      <x:c r="AH679" s="10" t="str">
        <x:v>Other mortgage-related</x:v>
      </x:c>
      <x:c r="AI679" s="13" t="n">
        <x:v>1</x:v>
      </x:c>
      <x:c r="AJ679" s="10" t="str">
        <x:f>IF(F679&gt;0,"Active","No est. sales")</x:f>
        <x:v>No est. sales</x:v>
      </x:c>
    </x:row>
    <x:row r="680">
      <x:c r="A680" s="10" t="str">
        <x:v>Loan Amortization Schedule Excel | Debt Tracker | Finance Tracker</x:v>
      </x:c>
      <x:c r="B680" s="10" t="str">
        <x:v>https://www.etsy.com/listing/4486575054/loan-amortization-schedule-excel-debt</x:v>
      </x:c>
      <x:c r="C680" s="10" t="str">
        <x:v>Digitelax</x:v>
      </x:c>
      <x:c r="D680" s="10" t="str">
        <x:v>https://www.etsy.com/shop/Digitelax</x:v>
      </x:c>
      <x:c r="E680" s="11" t="n">
        <x:v>4.99</x:v>
      </x:c>
      <x:c r="F680" s="10" t="n">
        <x:v>0</x:v>
      </x:c>
      <x:c r="G680" s="12" t="n">
        <x:v>0</x:v>
      </x:c>
      <x:c r="H680" s="13" t="n">
        <x:v>0</x:v>
      </x:c>
      <x:c r="I680" s="10" t="n">
        <x:v>0</x:v>
      </x:c>
      <x:c r="J680" s="10" t="n">
        <x:v>0</x:v>
      </x:c>
      <x:c r="K680" s="10" t="str">
        <x:v>1 Mo.</x:v>
      </x:c>
      <x:c r="L680" s="10" t="n">
        <x:v>0</x:v>
      </x:c>
      <x:c r="M680" s="10" t="n">
        <x:v>0</x:v>
      </x:c>
      <x:c r="N680" s="10" t="n">
        <x:v>2</x:v>
      </x:c>
      <x:c r="O680" s="10" t="str"/>
      <x:c r="P680" s="10" t="n">
        <x:v>0</x:v>
      </x:c>
      <x:c r="Q680" s="10" t="n">
        <x:v>0</x:v>
      </x:c>
      <x:c r="R680" s="13" t="n">
        <x:v>0</x:v>
      </x:c>
      <x:c r="S680" s="10" t="n">
        <x:v>0</x:v>
      </x:c>
      <x:c r="T680" s="10" t="str">
        <x:v>loan amortization,mortgage calculator,debt payoff,amortization excel,finance spreads,mortgage tracker,interest calculator,loan planner,personal finance,debt tracker,budget tracker,excel finance,finance tracker</x:v>
      </x:c>
      <x:c r="U680" s="10" t="str">
        <x:v>loan amortization</x:v>
      </x:c>
      <x:c r="V680" s="10" t="str">
        <x:v>mortgage calculator</x:v>
      </x:c>
      <x:c r="W680" s="10" t="str">
        <x:v>debt payoff</x:v>
      </x:c>
      <x:c r="X680" s="10" t="str">
        <x:v>amortization excel</x:v>
      </x:c>
      <x:c r="Y680" s="10" t="str">
        <x:v>finance spreads</x:v>
      </x:c>
      <x:c r="Z680" s="10" t="str">
        <x:v>mortgage tracker</x:v>
      </x:c>
      <x:c r="AA680" s="10" t="str">
        <x:v>interest calculator</x:v>
      </x:c>
      <x:c r="AB680" s="10" t="str">
        <x:v>loan planner</x:v>
      </x:c>
      <x:c r="AC680" s="10" t="str">
        <x:v>personal finance</x:v>
      </x:c>
      <x:c r="AD680" s="10" t="str">
        <x:v>debt tracker</x:v>
      </x:c>
      <x:c r="AE680" s="10" t="str">
        <x:v>budget tracker</x:v>
      </x:c>
      <x:c r="AF680" s="10" t="str">
        <x:v>excel finance</x:v>
      </x:c>
      <x:c r="AG680" s="10" t="str">
        <x:v>finance tracker</x:v>
      </x:c>
      <x:c r="AH680" s="10" t="str">
        <x:v>General debt payoff</x:v>
      </x:c>
      <x:c r="AI680" s="13" t="n">
        <x:v>1</x:v>
      </x:c>
      <x:c r="AJ680" s="10" t="str">
        <x:f>IF(F680&gt;0,"Active","No est. sales")</x:f>
        <x:v>No est. sales</x:v>
      </x:c>
    </x:row>
    <x:row r="681">
      <x:c r="A681" s="10" t="str">
        <x:v>Home Affordability Calculator Excel | House Buying Budget Planner | Mortgage &amp; Down Payment Calculator | Real Estate Spreadsheet</x:v>
      </x:c>
      <x:c r="B681" s="10" t="str">
        <x:v>https://www.etsy.com/listing/4485258964/home-affordability-calculator-excel</x:v>
      </x:c>
      <x:c r="C681" s="10" t="str">
        <x:v>PrecisionByVectorFI</x:v>
      </x:c>
      <x:c r="D681" s="10" t="str">
        <x:v>https://www.etsy.com/shop/PrecisionByVectorFI</x:v>
      </x:c>
      <x:c r="E681" s="11" t="n">
        <x:v>15</x:v>
      </x:c>
      <x:c r="F681" s="10" t="n">
        <x:v>0</x:v>
      </x:c>
      <x:c r="G681" s="12" t="n">
        <x:v>0</x:v>
      </x:c>
      <x:c r="H681" s="13" t="n">
        <x:v>0</x:v>
      </x:c>
      <x:c r="I681" s="10" t="n">
        <x:v>0</x:v>
      </x:c>
      <x:c r="J681" s="10" t="n">
        <x:v>0</x:v>
      </x:c>
      <x:c r="K681" s="10" t="str">
        <x:v>2 Mo.</x:v>
      </x:c>
      <x:c r="L681" s="10" t="n">
        <x:v>0</x:v>
      </x:c>
      <x:c r="M681" s="10" t="n">
        <x:v>0</x:v>
      </x:c>
      <x:c r="N681" s="10" t="n">
        <x:v>2</x:v>
      </x:c>
      <x:c r="O681" s="10" t="str">
        <x:v>Paper &amp; Party Supplies</x:v>
      </x:c>
      <x:c r="P681" s="10" t="n">
        <x:v>3</x:v>
      </x:c>
      <x:c r="Q681" s="10" t="n">
        <x:v>0</x:v>
      </x:c>
      <x:c r="R681" s="13" t="n">
        <x:v>0</x:v>
      </x:c>
      <x:c r="S681" s="10" t="n">
        <x:v>1</x:v>
      </x:c>
      <x:c r="T681" s="10" t="str">
        <x:v>home affordability,house affordability,mortgage calculator,home buying,house budget planner,real estate,home purchase,mortgage planner,payment calculator,home buying excel,excel mortgage tool,real estate planning,affordability tool</x:v>
      </x:c>
      <x:c r="U681" s="10" t="str">
        <x:v>home affordability</x:v>
      </x:c>
      <x:c r="V681" s="10" t="str">
        <x:v>house affordability</x:v>
      </x:c>
      <x:c r="W681" s="10" t="str">
        <x:v>mortgage calculator</x:v>
      </x:c>
      <x:c r="X681" s="10" t="str">
        <x:v>home buying</x:v>
      </x:c>
      <x:c r="Y681" s="10" t="str">
        <x:v>house budget planner</x:v>
      </x:c>
      <x:c r="Z681" s="10" t="str">
        <x:v>real estate</x:v>
      </x:c>
      <x:c r="AA681" s="10" t="str">
        <x:v>home purchase</x:v>
      </x:c>
      <x:c r="AB681" s="10" t="str">
        <x:v>mortgage planner</x:v>
      </x:c>
      <x:c r="AC681" s="10" t="str">
        <x:v>payment calculator</x:v>
      </x:c>
      <x:c r="AD681" s="10" t="str">
        <x:v>home buying excel</x:v>
      </x:c>
      <x:c r="AE681" s="10" t="str">
        <x:v>excel mortgage tool</x:v>
      </x:c>
      <x:c r="AF681" s="10" t="str">
        <x:v>real estate planning</x:v>
      </x:c>
      <x:c r="AG681" s="10" t="str">
        <x:v>affordability tool</x:v>
      </x:c>
      <x:c r="AH681" s="10" t="str">
        <x:v>Other mortgage-related</x:v>
      </x:c>
      <x:c r="AI681" s="13" t="n">
        <x:v>2</x:v>
      </x:c>
      <x:c r="AJ681" s="10" t="str">
        <x:f>IF(F681&gt;0,"Active","No est. sales")</x:f>
        <x:v>No est. sales</x:v>
      </x:c>
    </x:row>
    <x:row r="682">
      <x:c r="A682" s="10" t="str">
        <x:v>Debt Payoff Tracker Spreadsheet: Budget Planner, Payment Schedule, Snowball &amp; Avalanche Method, Financial Goal Template for Google Sheets</x:v>
      </x:c>
      <x:c r="B682" s="10" t="str">
        <x:v>https://www.etsy.com/listing/4359245070/debt-payoff-tracker-spreadsheet-budget</x:v>
      </x:c>
      <x:c r="C682" s="10" t="str">
        <x:v>Sheetpluspro</x:v>
      </x:c>
      <x:c r="D682" s="10" t="str">
        <x:v>https://www.etsy.com/shop/Sheetpluspro</x:v>
      </x:c>
      <x:c r="E682" s="11" t="n">
        <x:v>6.66</x:v>
      </x:c>
      <x:c r="F682" s="10" t="n">
        <x:v>0</x:v>
      </x:c>
      <x:c r="G682" s="12" t="n">
        <x:v>0</x:v>
      </x:c>
      <x:c r="H682" s="13" t="n">
        <x:v>0</x:v>
      </x:c>
      <x:c r="I682" s="10" t="n">
        <x:v>0</x:v>
      </x:c>
      <x:c r="J682" s="10" t="n">
        <x:v>0</x:v>
      </x:c>
      <x:c r="K682" s="10" t="str">
        <x:v>4 Mo.</x:v>
      </x:c>
      <x:c r="L682" s="10" t="n">
        <x:v>3</x:v>
      </x:c>
      <x:c r="M682" s="10" t="n">
        <x:v>0</x:v>
      </x:c>
      <x:c r="N682" s="10" t="n">
        <x:v>40</x:v>
      </x:c>
      <x:c r="O682" s="10" t="str">
        <x:v>Paper &amp; Party Supplies</x:v>
      </x:c>
      <x:c r="P682" s="10" t="n">
        <x:v>4</x:v>
      </x:c>
      <x:c r="Q682" s="10" t="n">
        <x:v>0</x:v>
      </x:c>
      <x:c r="R682" s="13" t="n">
        <x:v>0</x:v>
      </x:c>
      <x:c r="S682" s="10" t="n">
        <x:v>60</x:v>
      </x:c>
      <x:c r="T682" s="10" t="str">
        <x:v>financial planner,debt payoff tracker,debt snowball,debt payoff chart,debt payment tracker,credit card payoff,debt template,debt avalanche,personal finance,student loan debt,google sheets budget,mortgage payoff,credit utilization</x:v>
      </x:c>
      <x:c r="U682" s="10" t="str">
        <x:v>financial planner</x:v>
      </x:c>
      <x:c r="V682" s="10" t="str">
        <x:v>debt payoff tracker</x:v>
      </x:c>
      <x:c r="W682" s="10" t="str">
        <x:v>debt snowball</x:v>
      </x:c>
      <x:c r="X682" s="10" t="str">
        <x:v>debt payoff chart</x:v>
      </x:c>
      <x:c r="Y682" s="10" t="str">
        <x:v>debt payment tracker</x:v>
      </x:c>
      <x:c r="Z682" s="10" t="str">
        <x:v>credit card payoff</x:v>
      </x:c>
      <x:c r="AA682" s="10" t="str">
        <x:v>debt template</x:v>
      </x:c>
      <x:c r="AB682" s="10" t="str">
        <x:v>debt avalanche</x:v>
      </x:c>
      <x:c r="AC682" s="10" t="str">
        <x:v>personal finance</x:v>
      </x:c>
      <x:c r="AD682" s="10" t="str">
        <x:v>student loan debt</x:v>
      </x:c>
      <x:c r="AE682" s="10" t="str">
        <x:v>google sheets budget</x:v>
      </x:c>
      <x:c r="AF682" s="10" t="str">
        <x:v>mortgage payoff</x:v>
      </x:c>
      <x:c r="AG682" s="10" t="str">
        <x:v>credit utilization</x:v>
      </x:c>
      <x:c r="AH682" s="10" t="str">
        <x:v>General debt payoff</x:v>
      </x:c>
      <x:c r="AI682" s="13" t="n">
        <x:v>4</x:v>
      </x:c>
      <x:c r="AJ682" s="10" t="str">
        <x:f>IF(F682&gt;0,"Active","No est. sales")</x:f>
        <x:v>No est. sales</x:v>
      </x:c>
    </x:row>
    <x:row r="683">
      <x:c r="A683" s="10" t="str">
        <x:v>Velocity Banking Template Pack HELOC + Debt Payoff Calculator Excel + Google Sheets + 5-Tab Master Plan.</x:v>
      </x:c>
      <x:c r="B683" s="10" t="str">
        <x:v>https://www.etsy.com/listing/4475831021/financial-freedom-bundle-digital</x:v>
      </x:c>
      <x:c r="C683" s="10" t="str">
        <x:v>MRSXRAY09</x:v>
      </x:c>
      <x:c r="D683" s="10" t="str">
        <x:v>https://www.etsy.com/shop/MRSXRAY09</x:v>
      </x:c>
      <x:c r="E683" s="11" t="n">
        <x:v>37</x:v>
      </x:c>
      <x:c r="F683" s="10" t="n">
        <x:v>0</x:v>
      </x:c>
      <x:c r="G683" s="12" t="n">
        <x:v>0</x:v>
      </x:c>
      <x:c r="H683" s="13" t="n">
        <x:v>0</x:v>
      </x:c>
      <x:c r="I683" s="10" t="n">
        <x:v>0</x:v>
      </x:c>
      <x:c r="J683" s="10" t="n">
        <x:v>0</x:v>
      </x:c>
      <x:c r="K683" s="10" t="str">
        <x:v>1 Mo.</x:v>
      </x:c>
      <x:c r="L683" s="10" t="n">
        <x:v>0</x:v>
      </x:c>
      <x:c r="M683" s="10" t="n">
        <x:v>0</x:v>
      </x:c>
      <x:c r="N683" s="10" t="n">
        <x:v>25</x:v>
      </x:c>
      <x:c r="O683" s="10" t="str"/>
      <x:c r="P683" s="10" t="n">
        <x:v>0</x:v>
      </x:c>
      <x:c r="Q683" s="10" t="n">
        <x:v>0</x:v>
      </x:c>
      <x:c r="R683" s="13" t="n">
        <x:v>0</x:v>
      </x:c>
      <x:c r="S683" s="10" t="n">
        <x:v>0</x:v>
      </x:c>
      <x:c r="T683" s="10" t="str">
        <x:v>velocity banking,heloc calculator,payoff spreadsheet,debt tracker excel,heloc spreadsheet,google sheets budget,credit card payoff,financial freedom,personal finance,debt free planner,debt elimination,mortgage payoff,excel budget</x:v>
      </x:c>
      <x:c r="U683" s="10" t="str">
        <x:v>velocity banking</x:v>
      </x:c>
      <x:c r="V683" s="10" t="str">
        <x:v>heloc calculator</x:v>
      </x:c>
      <x:c r="W683" s="10" t="str">
        <x:v>payoff spreadsheet</x:v>
      </x:c>
      <x:c r="X683" s="10" t="str">
        <x:v>debt tracker excel</x:v>
      </x:c>
      <x:c r="Y683" s="10" t="str">
        <x:v>heloc spreadsheet</x:v>
      </x:c>
      <x:c r="Z683" s="10" t="str">
        <x:v>google sheets budget</x:v>
      </x:c>
      <x:c r="AA683" s="10" t="str">
        <x:v>credit card payoff</x:v>
      </x:c>
      <x:c r="AB683" s="10" t="str">
        <x:v>financial freedom</x:v>
      </x:c>
      <x:c r="AC683" s="10" t="str">
        <x:v>personal finance</x:v>
      </x:c>
      <x:c r="AD683" s="10" t="str">
        <x:v>debt free planner</x:v>
      </x:c>
      <x:c r="AE683" s="10" t="str">
        <x:v>debt elimination</x:v>
      </x:c>
      <x:c r="AF683" s="10" t="str">
        <x:v>mortgage payoff</x:v>
      </x:c>
      <x:c r="AG683" s="10" t="str">
        <x:v>excel budget</x:v>
      </x:c>
      <x:c r="AH683" s="10" t="str">
        <x:v>General debt payoff</x:v>
      </x:c>
      <x:c r="AI683" s="13" t="n">
        <x:v>1</x:v>
      </x:c>
      <x:c r="AJ683" s="10" t="str">
        <x:f>IF(F683&gt;0,"Active","No est. sales")</x:f>
        <x:v>No est. sales</x:v>
      </x:c>
    </x:row>
    <x:row r="684">
      <x:c r="A684" s="10" t="str">
        <x:v>Green Smells like debt free, Debt Free Gift, Paid off loans gift, for friend, financial freedom, fire movement, financially independent</x:v>
      </x:c>
      <x:c r="B684" s="10" t="str">
        <x:v>https://www.etsy.com/listing/1716605899/green-smells-like-debt-free-debt-free</x:v>
      </x:c>
      <x:c r="C684" s="10" t="str">
        <x:v>PoshAdhesiveArt</x:v>
      </x:c>
      <x:c r="D684" s="10" t="str">
        <x:v>https://www.etsy.com/shop/PoshAdhesiveArt</x:v>
      </x:c>
      <x:c r="E684" s="11" t="n">
        <x:v>60.25</x:v>
      </x:c>
      <x:c r="F684" s="10" t="n">
        <x:v>0</x:v>
      </x:c>
      <x:c r="G684" s="12" t="n">
        <x:v>0</x:v>
      </x:c>
      <x:c r="H684" s="13" t="n">
        <x:v>0</x:v>
      </x:c>
      <x:c r="I684" s="10" t="n">
        <x:v>0</x:v>
      </x:c>
      <x:c r="J684" s="10" t="n">
        <x:v>0</x:v>
      </x:c>
      <x:c r="K684" s="10" t="str">
        <x:v>11 Mo.</x:v>
      </x:c>
      <x:c r="L684" s="10" t="n">
        <x:v>1</x:v>
      </x:c>
      <x:c r="M684" s="10" t="n">
        <x:v>0</x:v>
      </x:c>
      <x:c r="N684" s="10" t="n">
        <x:v>13</x:v>
      </x:c>
      <x:c r="O684" s="10" t="str">
        <x:v>Home &amp; Living</x:v>
      </x:c>
      <x:c r="P684" s="10" t="n">
        <x:v>23</x:v>
      </x:c>
      <x:c r="Q684" s="10" t="n">
        <x:v>0</x:v>
      </x:c>
      <x:c r="R684" s="13" t="n">
        <x:v>0</x:v>
      </x:c>
      <x:c r="S684" s="10" t="n">
        <x:v>710</x:v>
      </x:c>
      <x:c r="T684" s="10" t="str">
        <x:v>credit card debt,debt avalanche,debt calculator,debt free gift,debt snowball,financial planner,fire movement,loan payoff gift,loan payoff tracker,mortgage payoff,no debt,personal finance,student loan debt</x:v>
      </x:c>
      <x:c r="U684" s="10" t="str">
        <x:v>credit card debt</x:v>
      </x:c>
      <x:c r="V684" s="10" t="str">
        <x:v>debt avalanche</x:v>
      </x:c>
      <x:c r="W684" s="10" t="str">
        <x:v>debt calculator</x:v>
      </x:c>
      <x:c r="X684" s="10" t="str">
        <x:v>debt free gift</x:v>
      </x:c>
      <x:c r="Y684" s="10" t="str">
        <x:v>debt snowball</x:v>
      </x:c>
      <x:c r="Z684" s="10" t="str">
        <x:v>financial planner</x:v>
      </x:c>
      <x:c r="AA684" s="10" t="str">
        <x:v>fire movement</x:v>
      </x:c>
      <x:c r="AB684" s="10" t="str">
        <x:v>loan payoff gift</x:v>
      </x:c>
      <x:c r="AC684" s="10" t="str">
        <x:v>loan payoff tracker</x:v>
      </x:c>
      <x:c r="AD684" s="10" t="str">
        <x:v>mortgage payoff</x:v>
      </x:c>
      <x:c r="AE684" s="10" t="str">
        <x:v>no debt</x:v>
      </x:c>
      <x:c r="AF684" s="10" t="str">
        <x:v>personal finance</x:v>
      </x:c>
      <x:c r="AG684" s="10" t="str">
        <x:v>student loan debt</x:v>
      </x:c>
      <x:c r="AH684" s="10" t="str">
        <x:v>Other mortgage-related</x:v>
      </x:c>
      <x:c r="AI684" s="13" t="n">
        <x:v>11</x:v>
      </x:c>
      <x:c r="AJ684" s="10" t="str">
        <x:f>IF(F684&gt;0,"Active","No est. sales")</x:f>
        <x:v>No est. sales</x:v>
      </x:c>
    </x:row>
    <x:row r="685">
      <x:c r="A685" s="10" t="str">
        <x:v>Debt Payment Tracker Printable, Debt Repayment, Debt Planner Printable, Visual Debt Tracker, Mortgage Payment Tracker Monthly Budget Planner</x:v>
      </x:c>
      <x:c r="B685" s="10" t="str">
        <x:v>https://www.etsy.com/listing/1289661776/debt-payment-tracker-printable-debt</x:v>
      </x:c>
      <x:c r="C685" s="10" t="str">
        <x:v>PlansPossibilities</x:v>
      </x:c>
      <x:c r="D685" s="10" t="str">
        <x:v>https://www.etsy.com/shop/PlansPossibilities</x:v>
      </x:c>
      <x:c r="E685" s="11" t="n">
        <x:v>2.54</x:v>
      </x:c>
      <x:c r="F685" s="10" t="n">
        <x:v>0</x:v>
      </x:c>
      <x:c r="G685" s="12" t="n">
        <x:v>0</x:v>
      </x:c>
      <x:c r="H685" s="13" t="n">
        <x:v>0</x:v>
      </x:c>
      <x:c r="I685" s="10" t="n">
        <x:v>0</x:v>
      </x:c>
      <x:c r="J685" s="10" t="n">
        <x:v>0</x:v>
      </x:c>
      <x:c r="K685" s="10" t="str">
        <x:v>27 Mo.</x:v>
      </x:c>
      <x:c r="L685" s="10" t="n">
        <x:v>2</x:v>
      </x:c>
      <x:c r="M685" s="10" t="n">
        <x:v>0</x:v>
      </x:c>
      <x:c r="N685" s="10" t="n">
        <x:v>14</x:v>
      </x:c>
      <x:c r="O685" s="10" t="str">
        <x:v>Paper &amp; Party Supplies</x:v>
      </x:c>
      <x:c r="P685" s="10" t="n">
        <x:v>81</x:v>
      </x:c>
      <x:c r="Q685" s="10" t="n">
        <x:v>0</x:v>
      </x:c>
      <x:c r="R685" s="13" t="n">
        <x:v>0</x:v>
      </x:c>
      <x:c r="S685" s="10" t="n">
        <x:v>1333</x:v>
      </x:c>
      <x:c r="T685" s="10" t="str">
        <x:v>debt repayment,visual debt tracker,budget planner,mortgage payment,tracker monthly,pdf debt,planner printable,tracker printable,financial tracker,financial planner,money planner,budget tracker,debt payment</x:v>
      </x:c>
      <x:c r="U685" s="10" t="str">
        <x:v>debt repayment</x:v>
      </x:c>
      <x:c r="V685" s="10" t="str">
        <x:v>visual debt tracker</x:v>
      </x:c>
      <x:c r="W685" s="10" t="str">
        <x:v>budget planner</x:v>
      </x:c>
      <x:c r="X685" s="10" t="str">
        <x:v>mortgage payment</x:v>
      </x:c>
      <x:c r="Y685" s="10" t="str">
        <x:v>tracker monthly</x:v>
      </x:c>
      <x:c r="Z685" s="10" t="str">
        <x:v>pdf debt</x:v>
      </x:c>
      <x:c r="AA685" s="10" t="str">
        <x:v>planner printable</x:v>
      </x:c>
      <x:c r="AB685" s="10" t="str">
        <x:v>tracker printable</x:v>
      </x:c>
      <x:c r="AC685" s="10" t="str">
        <x:v>financial tracker</x:v>
      </x:c>
      <x:c r="AD685" s="10" t="str">
        <x:v>financial planner</x:v>
      </x:c>
      <x:c r="AE685" s="10" t="str">
        <x:v>money planner</x:v>
      </x:c>
      <x:c r="AF685" s="10" t="str">
        <x:v>budget tracker</x:v>
      </x:c>
      <x:c r="AG685" s="10" t="str">
        <x:v>debt payment</x:v>
      </x:c>
      <x:c r="AH685" s="10" t="str">
        <x:v>General debt payoff</x:v>
      </x:c>
      <x:c r="AI685" s="13" t="n">
        <x:v>27</x:v>
      </x:c>
      <x:c r="AJ685" s="10" t="str">
        <x:f>IF(F685&gt;0,"Active","No est. sales")</x:f>
        <x:v>No est. sales</x:v>
      </x:c>
    </x:row>
    <x:row r="686">
      <x:c r="A686" s="10" t="str">
        <x:v>Mortgage Payoff Tracker Spreadsheet, Excel + Google Sheets Mortgage Calculator, Amortization Schedule, Extra Payment, Early Payoff</x:v>
      </x:c>
      <x:c r="B686" s="10" t="str">
        <x:v>https://www.etsy.com/listing/4525115064/mortgage-payoff-tracker-spreadsheet</x:v>
      </x:c>
      <x:c r="C686" s="10" t="str">
        <x:v>SettledBooks</x:v>
      </x:c>
      <x:c r="D686" s="10" t="str">
        <x:v>https://www.etsy.com/shop/SettledBooks</x:v>
      </x:c>
      <x:c r="E686" s="11" t="n">
        <x:v>11.99</x:v>
      </x:c>
      <x:c r="F686" s="10" t="n">
        <x:v>0</x:v>
      </x:c>
      <x:c r="G686" s="12" t="n">
        <x:v>0</x:v>
      </x:c>
      <x:c r="H686" s="13" t="n">
        <x:v>0</x:v>
      </x:c>
      <x:c r="I686" s="10" t="n">
        <x:v>0</x:v>
      </x:c>
      <x:c r="J686" s="10" t="n">
        <x:v>0</x:v>
      </x:c>
      <x:c r="K686" s="10" t="str">
        <x:v>1 Mo.</x:v>
      </x:c>
      <x:c r="L686" s="10" t="n">
        <x:v>0</x:v>
      </x:c>
      <x:c r="M686" s="10" t="n">
        <x:v>0</x:v>
      </x:c>
      <x:c r="N686" s="10" t="n">
        <x:v>0</x:v>
      </x:c>
      <x:c r="O686" s="10" t="str"/>
      <x:c r="P686" s="10" t="n">
        <x:v>2</x:v>
      </x:c>
      <x:c r="Q686" s="10" t="n">
        <x:v>0</x:v>
      </x:c>
      <x:c r="R686" s="13" t="n">
        <x:v>0</x:v>
      </x:c>
      <x:c r="S686" s="10" t="n">
        <x:v>1</x:v>
      </x:c>
      <x:c r="T686" s="10" t="str">
        <x:v>mortgage payoff,mortgage tracker,mortgage calculator,loan amortization,early payoff,payoff calculator,mortgage planner,home loan tracker,extra payments,debt payoff plan,biweekly payment,excel mortgage,refinance tracker</x:v>
      </x:c>
      <x:c r="U686" s="10" t="str">
        <x:v>mortgage payoff</x:v>
      </x:c>
      <x:c r="V686" s="10" t="str">
        <x:v>mortgage tracker</x:v>
      </x:c>
      <x:c r="W686" s="10" t="str">
        <x:v>mortgage calculator</x:v>
      </x:c>
      <x:c r="X686" s="10" t="str">
        <x:v>loan amortization</x:v>
      </x:c>
      <x:c r="Y686" s="10" t="str">
        <x:v>early payoff</x:v>
      </x:c>
      <x:c r="Z686" s="10" t="str">
        <x:v>payoff calculator</x:v>
      </x:c>
      <x:c r="AA686" s="10" t="str">
        <x:v>mortgage planner</x:v>
      </x:c>
      <x:c r="AB686" s="10" t="str">
        <x:v>home loan tracker</x:v>
      </x:c>
      <x:c r="AC686" s="10" t="str">
        <x:v>extra payments</x:v>
      </x:c>
      <x:c r="AD686" s="10" t="str">
        <x:v>debt payoff plan</x:v>
      </x:c>
      <x:c r="AE686" s="10" t="str">
        <x:v>biweekly payment</x:v>
      </x:c>
      <x:c r="AF686" s="10" t="str">
        <x:v>excel mortgage</x:v>
      </x:c>
      <x:c r="AG686" s="10" t="str">
        <x:v>refinance tracker</x:v>
      </x:c>
      <x:c r="AH686" s="10" t="str">
        <x:v>Mortgage payoff / calculator</x:v>
      </x:c>
      <x:c r="AI686" s="13" t="n">
        <x:v>1</x:v>
      </x:c>
      <x:c r="AJ686" s="10" t="str">
        <x:f>IF(F686&gt;0,"Active","No est. sales")</x:f>
        <x:v>No est. sales</x:v>
      </x:c>
    </x:row>
    <x:row r="687">
      <x:c r="A687" s="10" t="str">
        <x:v>Home Buyer Mortgage Planner Bundle | Home Buying Spreadsheet (Digital Download)</x:v>
      </x:c>
      <x:c r="B687" s="10" t="str">
        <x:v>https://www.etsy.com/listing/4518063349/home-buyer-mortgage-planner-bundle-home</x:v>
      </x:c>
      <x:c r="C687" s="10" t="str">
        <x:v>CreativeFactoryWorks</x:v>
      </x:c>
      <x:c r="D687" s="10" t="str">
        <x:v>https://www.etsy.com/shop/CreativeFactoryWorks</x:v>
      </x:c>
      <x:c r="E687" s="11" t="n">
        <x:v>5</x:v>
      </x:c>
      <x:c r="F687" s="10" t="n">
        <x:v>0</x:v>
      </x:c>
      <x:c r="G687" s="12" t="n">
        <x:v>0</x:v>
      </x:c>
      <x:c r="H687" s="13" t="n">
        <x:v>0</x:v>
      </x:c>
      <x:c r="I687" s="10" t="n">
        <x:v>0</x:v>
      </x:c>
      <x:c r="J687" s="10" t="n">
        <x:v>0</x:v>
      </x:c>
      <x:c r="K687" s="10" t="str">
        <x:v>1 Mo.</x:v>
      </x:c>
      <x:c r="L687" s="10" t="n">
        <x:v>0</x:v>
      </x:c>
      <x:c r="M687" s="10" t="n">
        <x:v>0</x:v>
      </x:c>
      <x:c r="N687" s="10" t="n">
        <x:v>4</x:v>
      </x:c>
      <x:c r="O687" s="10" t="str">
        <x:v>Paper &amp; Party Supplies</x:v>
      </x:c>
      <x:c r="P687" s="10" t="n">
        <x:v>69</x:v>
      </x:c>
      <x:c r="Q687" s="10" t="n">
        <x:v>0</x:v>
      </x:c>
      <x:c r="R687" s="13" t="n">
        <x:v>0</x:v>
      </x:c>
      <x:c r="S687" s="10" t="n">
        <x:v>9</x:v>
      </x:c>
      <x:c r="T687" s="10" t="str">
        <x:v>mortgage calculator,mortgage payoff plan,amortization sheet,rent vs buy sheet,home buying budget,extra payment,closing cost,first time buyer kit,loan comparison,house budget planner,for home buyers,for first time buyer,for new homeowners</x:v>
      </x:c>
      <x:c r="U687" s="10" t="str">
        <x:v>mortgage calculator</x:v>
      </x:c>
      <x:c r="V687" s="10" t="str">
        <x:v>mortgage payoff plan</x:v>
      </x:c>
      <x:c r="W687" s="10" t="str">
        <x:v>amortization sheet</x:v>
      </x:c>
      <x:c r="X687" s="10" t="str">
        <x:v>rent vs buy sheet</x:v>
      </x:c>
      <x:c r="Y687" s="10" t="str">
        <x:v>home buying budget</x:v>
      </x:c>
      <x:c r="Z687" s="10" t="str">
        <x:v>extra payment</x:v>
      </x:c>
      <x:c r="AA687" s="10" t="str">
        <x:v>closing cost</x:v>
      </x:c>
      <x:c r="AB687" s="10" t="str">
        <x:v>first time buyer kit</x:v>
      </x:c>
      <x:c r="AC687" s="10" t="str">
        <x:v>loan comparison</x:v>
      </x:c>
      <x:c r="AD687" s="10" t="str">
        <x:v>house budget planner</x:v>
      </x:c>
      <x:c r="AE687" s="10" t="str">
        <x:v>for home buyers</x:v>
      </x:c>
      <x:c r="AF687" s="10" t="str">
        <x:v>for first time buyer</x:v>
      </x:c>
      <x:c r="AG687" s="10" t="str">
        <x:v>for new homeowners</x:v>
      </x:c>
      <x:c r="AH687" s="10" t="str">
        <x:v>Other mortgage-related</x:v>
      </x:c>
      <x:c r="AI687" s="13" t="n">
        <x:v>1</x:v>
      </x:c>
      <x:c r="AJ687" s="10" t="str">
        <x:f>IF(F687&gt;0,"Active","No est. sales")</x:f>
        <x:v>No est. sales</x:v>
      </x:c>
    </x:row>
    <x:row r="688">
      <x:c r="A688" s="10" t="str">
        <x:v>Complete Debt Toolkit Debt Tracker Debt Calculator Excel Google Sheets Snowball Avalanche Loan Credit Card Mortgage Planner Payoff Chart</x:v>
      </x:c>
      <x:c r="B688" s="10" t="str">
        <x:v>https://www.etsy.com/listing/4316279814/complete-debt-toolkit-debt-tracker-debt</x:v>
      </x:c>
      <x:c r="C688" s="10" t="str">
        <x:v>GridlineGoods</x:v>
      </x:c>
      <x:c r="D688" s="10" t="str">
        <x:v>https://www.etsy.com/shop/GridlineGoods</x:v>
      </x:c>
      <x:c r="E688" s="11" t="n">
        <x:v>6.99</x:v>
      </x:c>
      <x:c r="F688" s="10" t="n">
        <x:v>0</x:v>
      </x:c>
      <x:c r="G688" s="12" t="n">
        <x:v>0</x:v>
      </x:c>
      <x:c r="H688" s="13" t="n">
        <x:v>0</x:v>
      </x:c>
      <x:c r="I688" s="10" t="n">
        <x:v>0</x:v>
      </x:c>
      <x:c r="J688" s="10" t="n">
        <x:v>1</x:v>
      </x:c>
      <x:c r="K688" s="10" t="str">
        <x:v>8 Mo.</x:v>
      </x:c>
      <x:c r="L688" s="10" t="n">
        <x:v>2</x:v>
      </x:c>
      <x:c r="M688" s="10" t="n">
        <x:v>0</x:v>
      </x:c>
      <x:c r="N688" s="10" t="n">
        <x:v>36</x:v>
      </x:c>
      <x:c r="O688" s="10" t="str"/>
      <x:c r="P688" s="10" t="n">
        <x:v>8</x:v>
      </x:c>
      <x:c r="Q688" s="10" t="n">
        <x:v>0</x:v>
      </x:c>
      <x:c r="R688" s="13" t="n">
        <x:v>0</x:v>
      </x:c>
      <x:c r="S688" s="10" t="n">
        <x:v>5</x:v>
      </x:c>
      <x:c r="T688" s="10" t="str">
        <x:v>debt tracker,debt payoff tool,budget spreadsheet,payoff planner,financial planner,digital download,debt free journey,printable budget,debt spreadsheet,google sheets excel,money tracker,financial goals,budget template</x:v>
      </x:c>
      <x:c r="U688" s="10" t="str">
        <x:v>debt tracker</x:v>
      </x:c>
      <x:c r="V688" s="10" t="str">
        <x:v>debt payoff tool</x:v>
      </x:c>
      <x:c r="W688" s="10" t="str">
        <x:v>budget spreadsheet</x:v>
      </x:c>
      <x:c r="X688" s="10" t="str">
        <x:v>payoff planner</x:v>
      </x:c>
      <x:c r="Y688" s="10" t="str">
        <x:v>financial planner</x:v>
      </x:c>
      <x:c r="Z688" s="10" t="str">
        <x:v>digital download</x:v>
      </x:c>
      <x:c r="AA688" s="10" t="str">
        <x:v>debt free journey</x:v>
      </x:c>
      <x:c r="AB688" s="10" t="str">
        <x:v>printable budget</x:v>
      </x:c>
      <x:c r="AC688" s="10" t="str">
        <x:v>debt spreadsheet</x:v>
      </x:c>
      <x:c r="AD688" s="10" t="str">
        <x:v>google sheets excel</x:v>
      </x:c>
      <x:c r="AE688" s="10" t="str">
        <x:v>money tracker</x:v>
      </x:c>
      <x:c r="AF688" s="10" t="str">
        <x:v>financial goals</x:v>
      </x:c>
      <x:c r="AG688" s="10" t="str">
        <x:v>budget template</x:v>
      </x:c>
      <x:c r="AH688" s="10" t="str">
        <x:v>General debt payoff</x:v>
      </x:c>
      <x:c r="AI688" s="13" t="n">
        <x:v>8</x:v>
      </x:c>
      <x:c r="AJ688" s="10" t="str">
        <x:f>IF(F688&gt;0,"Active","No est. sales")</x:f>
        <x:v>No est. sales</x:v>
      </x:c>
    </x:row>
    <x:row r="689">
      <x:c r="A689" s="10" t="str">
        <x:v>Debt Payoff Tracker Printable | Debt Snowball Worksheet | Budget Planner PDF | Mortgage Readiness Tool</x:v>
      </x:c>
      <x:c r="B689" s="10" t="str">
        <x:v>https://www.etsy.com/listing/4516950838/debt-payoff-tracker-printable-debt</x:v>
      </x:c>
      <x:c r="C689" s="10" t="str">
        <x:v>CurlyGlamBudget</x:v>
      </x:c>
      <x:c r="D689" s="10" t="str">
        <x:v>https://www.etsy.com/shop/CurlyGlamBudget</x:v>
      </x:c>
      <x:c r="E689" s="11" t="n">
        <x:v>3.99</x:v>
      </x:c>
      <x:c r="F689" s="10" t="n">
        <x:v>0</x:v>
      </x:c>
      <x:c r="G689" s="12" t="n">
        <x:v>0</x:v>
      </x:c>
      <x:c r="H689" s="13" t="n">
        <x:v>0</x:v>
      </x:c>
      <x:c r="I689" s="10" t="n">
        <x:v>0</x:v>
      </x:c>
      <x:c r="J689" s="10" t="n">
        <x:v>0</x:v>
      </x:c>
      <x:c r="K689" s="10" t="str">
        <x:v>1 Mo.</x:v>
      </x:c>
      <x:c r="L689" s="10" t="n">
        <x:v>0</x:v>
      </x:c>
      <x:c r="M689" s="10" t="n">
        <x:v>0</x:v>
      </x:c>
      <x:c r="N689" s="10" t="n">
        <x:v>12</x:v>
      </x:c>
      <x:c r="O689" s="10" t="str"/>
      <x:c r="P689" s="10" t="n">
        <x:v>2</x:v>
      </x:c>
      <x:c r="Q689" s="10" t="n">
        <x:v>0</x:v>
      </x:c>
      <x:c r="R689" s="13" t="n">
        <x:v>0</x:v>
      </x:c>
      <x:c r="S689" s="10" t="n">
        <x:v>40</x:v>
      </x:c>
      <x:c r="T689" s="10" t="str">
        <x:v>debt snowball,debt payoff,debt tracker,mortgage planner,homeownership,first time homebuyer,debt planner,printable pdf,budget planner,financial goals,house planner,house gift,debt payoff journey</x:v>
      </x:c>
      <x:c r="U689" s="10" t="str">
        <x:v>debt snowball</x:v>
      </x:c>
      <x:c r="V689" s="10" t="str">
        <x:v>debt payoff</x:v>
      </x:c>
      <x:c r="W689" s="10" t="str">
        <x:v>debt tracker</x:v>
      </x:c>
      <x:c r="X689" s="10" t="str">
        <x:v>mortgage planner</x:v>
      </x:c>
      <x:c r="Y689" s="10" t="str">
        <x:v>homeownership</x:v>
      </x:c>
      <x:c r="Z689" s="10" t="str">
        <x:v>first time homebuyer</x:v>
      </x:c>
      <x:c r="AA689" s="10" t="str">
        <x:v>debt planner</x:v>
      </x:c>
      <x:c r="AB689" s="10" t="str">
        <x:v>printable pdf</x:v>
      </x:c>
      <x:c r="AC689" s="10" t="str">
        <x:v>budget planner</x:v>
      </x:c>
      <x:c r="AD689" s="10" t="str">
        <x:v>financial goals</x:v>
      </x:c>
      <x:c r="AE689" s="10" t="str">
        <x:v>house planner</x:v>
      </x:c>
      <x:c r="AF689" s="10" t="str">
        <x:v>house gift</x:v>
      </x:c>
      <x:c r="AG689" s="10" t="str">
        <x:v>debt payoff journey</x:v>
      </x:c>
      <x:c r="AH689" s="10" t="str">
        <x:v>General debt payoff</x:v>
      </x:c>
      <x:c r="AI689" s="13" t="n">
        <x:v>1</x:v>
      </x:c>
      <x:c r="AJ689" s="10" t="str">
        <x:f>IF(F689&gt;0,"Active","No est. sales")</x:f>
        <x:v>No est. sales</x:v>
      </x:c>
    </x:row>
    <x:row r="690">
      <x:c r="A690" s="10" t="str">
        <x:v>Debt Payoff Tracker Debt Snowball Spreadsheet Google Sheets Credit Card Loan Avalanche Calculator Mortgage Payment Excel Financial Planner</x:v>
      </x:c>
      <x:c r="B690" s="10" t="str">
        <x:v>https://www.etsy.com/listing/4514736623/debt-payoff-tracker-debt-snowball</x:v>
      </x:c>
      <x:c r="C690" s="10" t="str">
        <x:v>PlanStudioCraftStore</x:v>
      </x:c>
      <x:c r="D690" s="10" t="str">
        <x:v>https://www.etsy.com/shop/PlanStudioCraftStore</x:v>
      </x:c>
      <x:c r="E690" s="11" t="n">
        <x:v>3.92</x:v>
      </x:c>
      <x:c r="F690" s="10" t="n">
        <x:v>0</x:v>
      </x:c>
      <x:c r="G690" s="12" t="n">
        <x:v>0</x:v>
      </x:c>
      <x:c r="H690" s="13" t="n">
        <x:v>0</x:v>
      </x:c>
      <x:c r="I690" s="10" t="n">
        <x:v>0</x:v>
      </x:c>
      <x:c r="J690" s="10" t="n">
        <x:v>0</x:v>
      </x:c>
      <x:c r="K690" s="10" t="str">
        <x:v>1 Mo.</x:v>
      </x:c>
      <x:c r="L690" s="10" t="n">
        <x:v>0</x:v>
      </x:c>
      <x:c r="M690" s="10" t="n">
        <x:v>0</x:v>
      </x:c>
      <x:c r="N690" s="10" t="n">
        <x:v>29</x:v>
      </x:c>
      <x:c r="O690" s="10" t="str"/>
      <x:c r="P690" s="10" t="n">
        <x:v>2</x:v>
      </x:c>
      <x:c r="Q690" s="10" t="n">
        <x:v>0</x:v>
      </x:c>
      <x:c r="R690" s="13" t="n">
        <x:v>0</x:v>
      </x:c>
      <x:c r="S690" s="10" t="n">
        <x:v>18</x:v>
      </x:c>
      <x:c r="T690" s="10" t="str">
        <x:v>debt payoff tracker,debt snowball,financial planner,debt tracker,net worth tracker,digital planner,digital download,excel spreadsheet,finance tracker,spending tracker,subscription tracker,budget tracker,budget by paycheck</x:v>
      </x:c>
      <x:c r="U690" s="10" t="str">
        <x:v>debt payoff tracker</x:v>
      </x:c>
      <x:c r="V690" s="10" t="str">
        <x:v>debt snowball</x:v>
      </x:c>
      <x:c r="W690" s="10" t="str">
        <x:v>financial planner</x:v>
      </x:c>
      <x:c r="X690" s="10" t="str">
        <x:v>debt tracker</x:v>
      </x:c>
      <x:c r="Y690" s="10" t="str">
        <x:v>net worth tracker</x:v>
      </x:c>
      <x:c r="Z690" s="10" t="str">
        <x:v>digital planner</x:v>
      </x:c>
      <x:c r="AA690" s="10" t="str">
        <x:v>digital download</x:v>
      </x:c>
      <x:c r="AB690" s="10" t="str">
        <x:v>excel spreadsheet</x:v>
      </x:c>
      <x:c r="AC690" s="10" t="str">
        <x:v>finance tracker</x:v>
      </x:c>
      <x:c r="AD690" s="10" t="str">
        <x:v>spending tracker</x:v>
      </x:c>
      <x:c r="AE690" s="10" t="str">
        <x:v>subscription tracker</x:v>
      </x:c>
      <x:c r="AF690" s="10" t="str">
        <x:v>budget tracker</x:v>
      </x:c>
      <x:c r="AG690" s="10" t="str">
        <x:v>budget by paycheck</x:v>
      </x:c>
      <x:c r="AH690" s="10" t="str">
        <x:v>General debt payoff</x:v>
      </x:c>
      <x:c r="AI690" s="13" t="n">
        <x:v>1</x:v>
      </x:c>
      <x:c r="AJ690" s="10" t="str">
        <x:f>IF(F690&gt;0,"Active","No est. sales")</x:f>
        <x:v>No est. sales</x:v>
      </x:c>
    </x:row>
    <x:row r="691">
      <x:c r="A691" s="10" t="str">
        <x:v>First-Time Home Buyer Toolkit | Printable Planner, Checklists, Budget Worksheets (21 Pages)</x:v>
      </x:c>
      <x:c r="B691" s="10" t="str">
        <x:v>https://www.etsy.com/listing/4512421712/first-time-home-buyer-toolkit-printable</x:v>
      </x:c>
      <x:c r="C691" s="10" t="str">
        <x:v>BrightPathByGreco</x:v>
      </x:c>
      <x:c r="D691" s="10" t="str">
        <x:v>https://www.etsy.com/shop/BrightPathByGreco</x:v>
      </x:c>
      <x:c r="E691" s="11" t="n">
        <x:v>18</x:v>
      </x:c>
      <x:c r="F691" s="10" t="n">
        <x:v>0</x:v>
      </x:c>
      <x:c r="G691" s="12" t="n">
        <x:v>0</x:v>
      </x:c>
      <x:c r="H691" s="13" t="n">
        <x:v>0</x:v>
      </x:c>
      <x:c r="I691" s="10" t="n">
        <x:v>0</x:v>
      </x:c>
      <x:c r="J691" s="10" t="n">
        <x:v>0</x:v>
      </x:c>
      <x:c r="K691" s="10" t="str">
        <x:v>1 Mo.</x:v>
      </x:c>
      <x:c r="L691" s="10" t="n">
        <x:v>0</x:v>
      </x:c>
      <x:c r="M691" s="10" t="n">
        <x:v>0</x:v>
      </x:c>
      <x:c r="N691" s="10" t="n">
        <x:v>52</x:v>
      </x:c>
      <x:c r="O691" s="10" t="str"/>
      <x:c r="P691" s="10" t="n">
        <x:v>1</x:v>
      </x:c>
      <x:c r="Q691" s="10" t="n">
        <x:v>25</x:v>
      </x:c>
      <x:c r="R691" s="13" t="n">
        <x:v>0</x:v>
      </x:c>
      <x:c r="S691" s="10" t="n">
        <x:v>0</x:v>
      </x:c>
      <x:c r="T691" s="10" t="str">
        <x:v>home buying,first time buyer,home buyer guide,house hunting,home buying planner,real estate planner,mortgage checklist,new homeowner gift,home buyer checklist,printable planner,budget worksheet,closing checklist,closing gift</x:v>
      </x:c>
      <x:c r="U691" s="10" t="str">
        <x:v>home buying</x:v>
      </x:c>
      <x:c r="V691" s="10" t="str">
        <x:v>first time buyer</x:v>
      </x:c>
      <x:c r="W691" s="10" t="str">
        <x:v>home buyer guide</x:v>
      </x:c>
      <x:c r="X691" s="10" t="str">
        <x:v>house hunting</x:v>
      </x:c>
      <x:c r="Y691" s="10" t="str">
        <x:v>home buying planner</x:v>
      </x:c>
      <x:c r="Z691" s="10" t="str">
        <x:v>real estate planner</x:v>
      </x:c>
      <x:c r="AA691" s="10" t="str">
        <x:v>mortgage checklist</x:v>
      </x:c>
      <x:c r="AB691" s="10" t="str">
        <x:v>new homeowner gift</x:v>
      </x:c>
      <x:c r="AC691" s="10" t="str">
        <x:v>home buyer checklist</x:v>
      </x:c>
      <x:c r="AD691" s="10" t="str">
        <x:v>printable planner</x:v>
      </x:c>
      <x:c r="AE691" s="10" t="str">
        <x:v>budget worksheet</x:v>
      </x:c>
      <x:c r="AF691" s="10" t="str">
        <x:v>closing checklist</x:v>
      </x:c>
      <x:c r="AG691" s="10" t="str">
        <x:v>closing gift</x:v>
      </x:c>
      <x:c r="AH691" s="10" t="str">
        <x:v>Home buying planner</x:v>
      </x:c>
      <x:c r="AI691" s="13" t="n">
        <x:v>1</x:v>
      </x:c>
      <x:c r="AJ691" s="10" t="str">
        <x:f>IF(F691&gt;0,"Active","No est. sales")</x:f>
        <x:v>No est. sales</x:v>
      </x:c>
    </x:row>
    <x:row r="692">
      <x:c r="A692" s="10" t="str">
        <x:v>Mortgage Bill Due Planner Stickers Sheet | House Payment Tracker | Home Monthly Bill Reminder | Finance Calendar, Bullet Journal, Notebook</x:v>
      </x:c>
      <x:c r="B692" s="10" t="str">
        <x:v>https://www.etsy.com/listing/844848972/mortgage-bill-due-planner-stickers-sheet</x:v>
      </x:c>
      <x:c r="C692" s="10" t="str">
        <x:v>NikkiStickyCo</x:v>
      </x:c>
      <x:c r="D692" s="10" t="str">
        <x:v>https://www.etsy.com/shop/NikkiStickyCo</x:v>
      </x:c>
      <x:c r="E692" s="11" t="n">
        <x:v>4.4</x:v>
      </x:c>
      <x:c r="F692" s="10" t="n">
        <x:v>0</x:v>
      </x:c>
      <x:c r="G692" s="12" t="n">
        <x:v>0</x:v>
      </x:c>
      <x:c r="H692" s="13" t="n">
        <x:v>0</x:v>
      </x:c>
      <x:c r="I692" s="10" t="n">
        <x:v>0</x:v>
      </x:c>
      <x:c r="J692" s="10" t="n">
        <x:v>0</x:v>
      </x:c>
      <x:c r="K692" s="10" t="str">
        <x:v>69 Mo.</x:v>
      </x:c>
      <x:c r="L692" s="10" t="n">
        <x:v>12</x:v>
      </x:c>
      <x:c r="M692" s="10" t="n">
        <x:v>0</x:v>
      </x:c>
      <x:c r="N692" s="10" t="n">
        <x:v>175</x:v>
      </x:c>
      <x:c r="O692" s="10" t="str">
        <x:v>Paper &amp; Party Supplies</x:v>
      </x:c>
      <x:c r="P692" s="10" t="n">
        <x:v>83</x:v>
      </x:c>
      <x:c r="Q692" s="10" t="n">
        <x:v>0</x:v>
      </x:c>
      <x:c r="R692" s="13" t="n">
        <x:v>0</x:v>
      </x:c>
      <x:c r="S692" s="10" t="n">
        <x:v>824</x:v>
      </x:c>
      <x:c r="T692" s="10" t="str">
        <x:v>planner stickers,pay bills,rent due,pay mortgage,matte sticker paper,mortgage sticker,home bill,mortgage due,functional stickers,finance stickers,minimal stickers,expense tracker,foil stickers</x:v>
      </x:c>
      <x:c r="U692" s="10" t="str">
        <x:v>planner stickers</x:v>
      </x:c>
      <x:c r="V692" s="10" t="str">
        <x:v>pay bills</x:v>
      </x:c>
      <x:c r="W692" s="10" t="str">
        <x:v>rent due</x:v>
      </x:c>
      <x:c r="X692" s="10" t="str">
        <x:v>pay mortgage</x:v>
      </x:c>
      <x:c r="Y692" s="10" t="str">
        <x:v>matte sticker paper</x:v>
      </x:c>
      <x:c r="Z692" s="10" t="str">
        <x:v>mortgage sticker</x:v>
      </x:c>
      <x:c r="AA692" s="10" t="str">
        <x:v>home bill</x:v>
      </x:c>
      <x:c r="AB692" s="10" t="str">
        <x:v>mortgage due</x:v>
      </x:c>
      <x:c r="AC692" s="10" t="str">
        <x:v>functional stickers</x:v>
      </x:c>
      <x:c r="AD692" s="10" t="str">
        <x:v>finance stickers</x:v>
      </x:c>
      <x:c r="AE692" s="10" t="str">
        <x:v>minimal stickers</x:v>
      </x:c>
      <x:c r="AF692" s="10" t="str">
        <x:v>expense tracker</x:v>
      </x:c>
      <x:c r="AG692" s="10" t="str">
        <x:v>foil stickers</x:v>
      </x:c>
      <x:c r="AH692" s="10" t="str">
        <x:v>Other mortgage-related</x:v>
      </x:c>
      <x:c r="AI692" s="13" t="n">
        <x:v>69</x:v>
      </x:c>
      <x:c r="AJ692" s="10" t="str">
        <x:f>IF(F692&gt;0,"Active","No est. sales")</x:f>
        <x:v>No est. sales</x:v>
      </x:c>
    </x:row>
    <x:row r="693">
      <x:c r="A693" s="10" t="str">
        <x:v>House Savings Challenge Tracker, House Savings Planner, Home Budget Savings Sheet, Mortgage Savings Chart - NEW</x:v>
      </x:c>
      <x:c r="B693" s="10" t="str">
        <x:v>https://www.etsy.com/listing/1156834608/house-savings-challenge-tracker-house</x:v>
      </x:c>
      <x:c r="C693" s="10" t="str">
        <x:v>AltEireDesigns</x:v>
      </x:c>
      <x:c r="D693" s="10" t="str">
        <x:v>https://www.etsy.com/shop/AltEireDesigns</x:v>
      </x:c>
      <x:c r="E693" s="11" t="n">
        <x:v>2.1</x:v>
      </x:c>
      <x:c r="F693" s="10" t="n">
        <x:v>0</x:v>
      </x:c>
      <x:c r="G693" s="12" t="n">
        <x:v>0</x:v>
      </x:c>
      <x:c r="H693" s="13" t="n">
        <x:v>0</x:v>
      </x:c>
      <x:c r="I693" s="10" t="n">
        <x:v>0</x:v>
      </x:c>
      <x:c r="J693" s="10" t="n">
        <x:v>0</x:v>
      </x:c>
      <x:c r="K693" s="10" t="str">
        <x:v>45 Mo.</x:v>
      </x:c>
      <x:c r="L693" s="10" t="n">
        <x:v>3</x:v>
      </x:c>
      <x:c r="M693" s="10" t="n">
        <x:v>0</x:v>
      </x:c>
      <x:c r="N693" s="10" t="n">
        <x:v>47</x:v>
      </x:c>
      <x:c r="O693" s="10" t="str">
        <x:v>Home &amp; Living</x:v>
      </x:c>
      <x:c r="P693" s="10" t="n">
        <x:v>45</x:v>
      </x:c>
      <x:c r="Q693" s="10" t="n">
        <x:v>0</x:v>
      </x:c>
      <x:c r="R693" s="13" t="n">
        <x:v>0</x:v>
      </x:c>
      <x:c r="S693" s="10" t="n">
        <x:v>5</x:v>
      </x:c>
      <x:c r="T693" s="10" t="str">
        <x:v>planner,mortgage,house,home,chart,tracker,savings,savings plan,save,budget,money,plan,building</x:v>
      </x:c>
      <x:c r="U693" s="10" t="str">
        <x:v>planner</x:v>
      </x:c>
      <x:c r="V693" s="10" t="str">
        <x:v>mortgage</x:v>
      </x:c>
      <x:c r="W693" s="10" t="str">
        <x:v>house</x:v>
      </x:c>
      <x:c r="X693" s="10" t="str">
        <x:v>home</x:v>
      </x:c>
      <x:c r="Y693" s="10" t="str">
        <x:v>chart</x:v>
      </x:c>
      <x:c r="Z693" s="10" t="str">
        <x:v>tracker</x:v>
      </x:c>
      <x:c r="AA693" s="10" t="str">
        <x:v>savings</x:v>
      </x:c>
      <x:c r="AB693" s="10" t="str">
        <x:v>savings plan</x:v>
      </x:c>
      <x:c r="AC693" s="10" t="str">
        <x:v>save</x:v>
      </x:c>
      <x:c r="AD693" s="10" t="str">
        <x:v>budget</x:v>
      </x:c>
      <x:c r="AE693" s="10" t="str">
        <x:v>money</x:v>
      </x:c>
      <x:c r="AF693" s="10" t="str">
        <x:v>plan</x:v>
      </x:c>
      <x:c r="AG693" s="10" t="str">
        <x:v>building</x:v>
      </x:c>
      <x:c r="AH693" s="10" t="str">
        <x:v>Other mortgage-related</x:v>
      </x:c>
      <x:c r="AI693" s="13" t="n">
        <x:v>45</x:v>
      </x:c>
      <x:c r="AJ693" s="10" t="str">
        <x:f>IF(F693&gt;0,"Active","No est. sales")</x:f>
        <x:v>No est. sales</x:v>
      </x:c>
    </x:row>
    <x:row r="694">
      <x:c r="A694" s="10" t="str">
        <x:v>House Affordability Calculator &amp; Deposit Tracker (UK)</x:v>
      </x:c>
      <x:c r="B694" s="10" t="str">
        <x:v>https://www.etsy.com/listing/4497654661/house-affordability-calculator-deposit</x:v>
      </x:c>
      <x:c r="C694" s="10" t="str">
        <x:v>AffordableHousePrice</x:v>
      </x:c>
      <x:c r="D694" s="10" t="str">
        <x:v>https://www.etsy.com/shop/AffordableHousePrice</x:v>
      </x:c>
      <x:c r="E694" s="11" t="n">
        <x:v>6.7</x:v>
      </x:c>
      <x:c r="F694" s="10" t="n">
        <x:v>0</x:v>
      </x:c>
      <x:c r="G694" s="12" t="n">
        <x:v>0</x:v>
      </x:c>
      <x:c r="H694" s="13" t="n">
        <x:v>0</x:v>
      </x:c>
      <x:c r="I694" s="10" t="n">
        <x:v>0</x:v>
      </x:c>
      <x:c r="J694" s="10" t="n">
        <x:v>0</x:v>
      </x:c>
      <x:c r="K694" s="10" t="str">
        <x:v>1 Mo.</x:v>
      </x:c>
      <x:c r="L694" s="10" t="n">
        <x:v>0</x:v>
      </x:c>
      <x:c r="M694" s="10" t="n">
        <x:v>0</x:v>
      </x:c>
      <x:c r="N694" s="10" t="n">
        <x:v>10</x:v>
      </x:c>
      <x:c r="O694" s="10" t="str"/>
      <x:c r="P694" s="10" t="n">
        <x:v>1</x:v>
      </x:c>
      <x:c r="Q694" s="10" t="n">
        <x:v>0</x:v>
      </x:c>
      <x:c r="R694" s="13" t="n">
        <x:v>0</x:v>
      </x:c>
      <x:c r="S694" s="10" t="n">
        <x:v>0</x:v>
      </x:c>
      <x:c r="T694" s="10" t="str">
        <x:v>house deposit,excel tracker,savings tracker,spreadsheet,deposit calculator,mortgage planner,savings goal tracker,affordability sheet,first time buyer,property planner,house savings plan,house price costs,home buying tool</x:v>
      </x:c>
      <x:c r="U694" s="10" t="str">
        <x:v>house deposit</x:v>
      </x:c>
      <x:c r="V694" s="10" t="str">
        <x:v>excel tracker</x:v>
      </x:c>
      <x:c r="W694" s="10" t="str">
        <x:v>savings tracker</x:v>
      </x:c>
      <x:c r="X694" s="10" t="str">
        <x:v>spreadsheet</x:v>
      </x:c>
      <x:c r="Y694" s="10" t="str">
        <x:v>deposit calculator</x:v>
      </x:c>
      <x:c r="Z694" s="10" t="str">
        <x:v>mortgage planner</x:v>
      </x:c>
      <x:c r="AA694" s="10" t="str">
        <x:v>savings goal tracker</x:v>
      </x:c>
      <x:c r="AB694" s="10" t="str">
        <x:v>affordability sheet</x:v>
      </x:c>
      <x:c r="AC694" s="10" t="str">
        <x:v>first time buyer</x:v>
      </x:c>
      <x:c r="AD694" s="10" t="str">
        <x:v>property planner</x:v>
      </x:c>
      <x:c r="AE694" s="10" t="str">
        <x:v>house savings plan</x:v>
      </x:c>
      <x:c r="AF694" s="10" t="str">
        <x:v>house price costs</x:v>
      </x:c>
      <x:c r="AG694" s="10" t="str">
        <x:v>home buying tool</x:v>
      </x:c>
      <x:c r="AH694" s="10" t="str">
        <x:v>Other mortgage-related</x:v>
      </x:c>
      <x:c r="AI694" s="13" t="n">
        <x:v>1</x:v>
      </x:c>
      <x:c r="AJ694" s="10" t="str">
        <x:f>IF(F694&gt;0,"Active","No est. sales")</x:f>
        <x:v>No est. sales</x:v>
      </x:c>
    </x:row>
    <x:row r="695">
      <x:c r="A695" s="10" t="str">
        <x:v>Ultimate Home Buying Planner | Printable Real Estate Organizer | First-Time Buyer Checklist | Mortgage Tracker | House Hunting Binder</x:v>
      </x:c>
      <x:c r="B695" s="10" t="str">
        <x:v>https://www.etsy.com/listing/4325360090/ultimate-home-buying-planner-printable</x:v>
      </x:c>
      <x:c r="C695" s="10" t="str">
        <x:v>RoseCreatesDigitals</x:v>
      </x:c>
      <x:c r="D695" s="10" t="str">
        <x:v>https://www.etsy.com/shop/RoseCreatesDigitals</x:v>
      </x:c>
      <x:c r="E695" s="11" t="n">
        <x:v>10.74</x:v>
      </x:c>
      <x:c r="F695" s="10" t="n">
        <x:v>0</x:v>
      </x:c>
      <x:c r="G695" s="12" t="n">
        <x:v>0</x:v>
      </x:c>
      <x:c r="H695" s="13" t="n">
        <x:v>0</x:v>
      </x:c>
      <x:c r="I695" s="10" t="n">
        <x:v>0</x:v>
      </x:c>
      <x:c r="J695" s="10" t="n">
        <x:v>0</x:v>
      </x:c>
      <x:c r="K695" s="10" t="str">
        <x:v>3 Mo.</x:v>
      </x:c>
      <x:c r="L695" s="10" t="n">
        <x:v>1</x:v>
      </x:c>
      <x:c r="M695" s="10" t="n">
        <x:v>0</x:v>
      </x:c>
      <x:c r="N695" s="10" t="n">
        <x:v>2</x:v>
      </x:c>
      <x:c r="O695" s="10" t="str">
        <x:v>Paper &amp; Party Supplies</x:v>
      </x:c>
      <x:c r="P695" s="10" t="n">
        <x:v>4</x:v>
      </x:c>
      <x:c r="Q695" s="10" t="n">
        <x:v>0</x:v>
      </x:c>
      <x:c r="R695" s="13" t="n">
        <x:v>0</x:v>
      </x:c>
      <x:c r="S695" s="10" t="n">
        <x:v>1</x:v>
      </x:c>
      <x:c r="T695" s="10" t="str">
        <x:v>home buying planner,house planner,first time buyers,ultimate buy planner,house tracker,house hunting plan,digital download,digital home planner,printable planner</x:v>
      </x:c>
      <x:c r="U695" s="10" t="str">
        <x:v>home buying planner</x:v>
      </x:c>
      <x:c r="V695" s="10" t="str">
        <x:v>house planner</x:v>
      </x:c>
      <x:c r="W695" s="10" t="str">
        <x:v>first time buyers</x:v>
      </x:c>
      <x:c r="X695" s="10" t="str">
        <x:v>ultimate buy planner</x:v>
      </x:c>
      <x:c r="Y695" s="10" t="str">
        <x:v>house tracker</x:v>
      </x:c>
      <x:c r="Z695" s="10" t="str">
        <x:v>house hunting plan</x:v>
      </x:c>
      <x:c r="AA695" s="10" t="str">
        <x:v>digital download</x:v>
      </x:c>
      <x:c r="AB695" s="10" t="str">
        <x:v>digital home planner</x:v>
      </x:c>
      <x:c r="AC695" s="10" t="str">
        <x:v>printable planner</x:v>
      </x:c>
      <x:c r="AD695" s="10" t="str">
        <x:v>--</x:v>
      </x:c>
      <x:c r="AE695" s="10" t="str">
        <x:v>--</x:v>
      </x:c>
      <x:c r="AF695" s="10" t="str">
        <x:v>--</x:v>
      </x:c>
      <x:c r="AG695" s="10" t="str">
        <x:v>--</x:v>
      </x:c>
      <x:c r="AH695" s="10" t="str">
        <x:v>Home buying planner</x:v>
      </x:c>
      <x:c r="AI695" s="13" t="n">
        <x:v>3</x:v>
      </x:c>
      <x:c r="AJ695" s="10" t="str">
        <x:f>IF(F695&gt;0,"Active","No est. sales")</x:f>
        <x:v>No est. sales</x:v>
      </x:c>
    </x:row>
    <x:row r="696">
      <x:c r="A696" s="10" t="str">
        <x:v>UK Mortgage Survival Budget Spreadsheet | Emergency Household Budget Planner | Cost of Living Crisis Tool</x:v>
      </x:c>
      <x:c r="B696" s="10" t="str">
        <x:v>https://www.etsy.com/listing/4435964357/uk-mortgage-survival-budget-spreadsheet</x:v>
      </x:c>
      <x:c r="C696" s="10" t="str">
        <x:v>CalmMoneyUK</x:v>
      </x:c>
      <x:c r="D696" s="10" t="str">
        <x:v>https://www.etsy.com/shop/CalmMoneyUK</x:v>
      </x:c>
      <x:c r="E696" s="11" t="n">
        <x:v>13.78</x:v>
      </x:c>
      <x:c r="F696" s="10" t="n">
        <x:v>0</x:v>
      </x:c>
      <x:c r="G696" s="12" t="n">
        <x:v>0</x:v>
      </x:c>
      <x:c r="H696" s="13" t="n">
        <x:v>0</x:v>
      </x:c>
      <x:c r="I696" s="10" t="n">
        <x:v>0</x:v>
      </x:c>
      <x:c r="J696" s="10" t="n">
        <x:v>0</x:v>
      </x:c>
      <x:c r="K696" s="10" t="str">
        <x:v>1 Mo.</x:v>
      </x:c>
      <x:c r="L696" s="10" t="n">
        <x:v>9</x:v>
      </x:c>
      <x:c r="M696" s="10" t="n">
        <x:v>0</x:v>
      </x:c>
      <x:c r="N696" s="10" t="n">
        <x:v>41</x:v>
      </x:c>
      <x:c r="O696" s="10" t="str"/>
      <x:c r="P696" s="10" t="n">
        <x:v>0</x:v>
      </x:c>
      <x:c r="Q696" s="10" t="n">
        <x:v>0</x:v>
      </x:c>
      <x:c r="R696" s="13" t="n">
        <x:v>0</x:v>
      </x:c>
      <x:c r="S696" s="10" t="n">
        <x:v>1</x:v>
      </x:c>
      <x:c r="T696" s="10" t="str"/>
      <x:c r="U696" s="10" t="str">
        <x:v>--</x:v>
      </x:c>
      <x:c r="V696" s="10" t="str">
        <x:v>--</x:v>
      </x:c>
      <x:c r="W696" s="10" t="str">
        <x:v>--</x:v>
      </x:c>
      <x:c r="X696" s="10" t="str">
        <x:v>--</x:v>
      </x:c>
      <x:c r="Y696" s="10" t="str">
        <x:v>--</x:v>
      </x:c>
      <x:c r="Z696" s="10" t="str">
        <x:v>--</x:v>
      </x:c>
      <x:c r="AA696" s="10" t="str">
        <x:v>--</x:v>
      </x:c>
      <x:c r="AB696" s="10" t="str">
        <x:v>--</x:v>
      </x:c>
      <x:c r="AC696" s="10" t="str">
        <x:v>--</x:v>
      </x:c>
      <x:c r="AD696" s="10" t="str">
        <x:v>--</x:v>
      </x:c>
      <x:c r="AE696" s="10" t="str">
        <x:v>--</x:v>
      </x:c>
      <x:c r="AF696" s="10" t="str">
        <x:v>--</x:v>
      </x:c>
      <x:c r="AG696" s="10" t="str">
        <x:v>--</x:v>
      </x:c>
      <x:c r="AH696" s="10" t="str">
        <x:v>Other mortgage-related</x:v>
      </x:c>
      <x:c r="AI696" s="13" t="n">
        <x:v>1</x:v>
      </x:c>
      <x:c r="AJ696" s="10" t="str">
        <x:f>IF(F696&gt;0,"Active","No est. sales")</x:f>
        <x:v>No est. sales</x:v>
      </x:c>
    </x:row>
    <x:row r="697">
      <x:c r="A697" s="10" t="str">
        <x:v>Debt Payoff Planner</x:v>
      </x:c>
      <x:c r="B697" s="10" t="str">
        <x:v>https://www.etsy.com/listing/1134328919/debt-payoff-planner</x:v>
      </x:c>
      <x:c r="C697" s="10" t="str">
        <x:v>MindfulwithMelissa</x:v>
      </x:c>
      <x:c r="D697" s="10" t="str">
        <x:v>https://www.etsy.com/shop/MindfulwithMelissa</x:v>
      </x:c>
      <x:c r="E697" s="11" t="n">
        <x:v>4.98</x:v>
      </x:c>
      <x:c r="F697" s="10" t="n">
        <x:v>0</x:v>
      </x:c>
      <x:c r="G697" s="12" t="n">
        <x:v>0</x:v>
      </x:c>
      <x:c r="H697" s="13" t="n">
        <x:v>0</x:v>
      </x:c>
      <x:c r="I697" s="10" t="n">
        <x:v>0</x:v>
      </x:c>
      <x:c r="J697" s="10" t="n">
        <x:v>0</x:v>
      </x:c>
      <x:c r="K697" s="10" t="str">
        <x:v>47 Mo.</x:v>
      </x:c>
      <x:c r="L697" s="10" t="n">
        <x:v>5</x:v>
      </x:c>
      <x:c r="M697" s="10" t="n">
        <x:v>0</x:v>
      </x:c>
      <x:c r="N697" s="10" t="n">
        <x:v>111</x:v>
      </x:c>
      <x:c r="O697" s="10" t="str">
        <x:v>Paper &amp; Party Supplies</x:v>
      </x:c>
      <x:c r="P697" s="10" t="n">
        <x:v>60</x:v>
      </x:c>
      <x:c r="Q697" s="10" t="n">
        <x:v>0</x:v>
      </x:c>
      <x:c r="R697" s="13" t="n">
        <x:v>0</x:v>
      </x:c>
      <x:c r="S697" s="10" t="n">
        <x:v>68</x:v>
      </x:c>
      <x:c r="T697" s="10" t="str">
        <x:v>debt payoff planner,mortgage payoff,car payoff,credit card,a5,a4,2022 goals,dave ramsey,finance tracker,debt snowball,budget planner,happy planner,classic</x:v>
      </x:c>
      <x:c r="U697" s="10" t="str">
        <x:v>debt payoff planner</x:v>
      </x:c>
      <x:c r="V697" s="10" t="str">
        <x:v>mortgage payoff</x:v>
      </x:c>
      <x:c r="W697" s="10" t="str">
        <x:v>car payoff</x:v>
      </x:c>
      <x:c r="X697" s="10" t="str">
        <x:v>credit card</x:v>
      </x:c>
      <x:c r="Y697" s="10" t="str">
        <x:v>a5</x:v>
      </x:c>
      <x:c r="Z697" s="10" t="str">
        <x:v>a4</x:v>
      </x:c>
      <x:c r="AA697" s="10" t="str">
        <x:v>2022 goals</x:v>
      </x:c>
      <x:c r="AB697" s="10" t="str">
        <x:v>dave ramsey</x:v>
      </x:c>
      <x:c r="AC697" s="10" t="str">
        <x:v>finance tracker</x:v>
      </x:c>
      <x:c r="AD697" s="10" t="str">
        <x:v>debt snowball</x:v>
      </x:c>
      <x:c r="AE697" s="10" t="str">
        <x:v>budget planner</x:v>
      </x:c>
      <x:c r="AF697" s="10" t="str">
        <x:v>happy planner</x:v>
      </x:c>
      <x:c r="AG697" s="10" t="str">
        <x:v>classic</x:v>
      </x:c>
      <x:c r="AH697" s="10" t="str">
        <x:v>General debt payoff</x:v>
      </x:c>
      <x:c r="AI697" s="13" t="n">
        <x:v>47</x:v>
      </x:c>
      <x:c r="AJ697" s="10" t="str">
        <x:f>IF(F697&gt;0,"Active","No est. sales")</x:f>
        <x:v>No est. sales</x:v>
      </x:c>
    </x:row>
    <x:row r="698">
      <x:c r="A698" s="10" t="str">
        <x:v>Loan Amortization Schedule Excel | Mortgage Calculator Spreadsheet with Extra Payments | Amortization Table</x:v>
      </x:c>
      <x:c r="B698" s="10" t="str">
        <x:v>https://www.etsy.com/listing/4451104029/loan-amortization-schedule-excel</x:v>
      </x:c>
      <x:c r="C698" s="10" t="str">
        <x:v>EasyFinanceExcel</x:v>
      </x:c>
      <x:c r="D698" s="10" t="str">
        <x:v>https://www.etsy.com/shop/EasyFinanceExcel</x:v>
      </x:c>
      <x:c r="E698" s="11" t="n">
        <x:v>9</x:v>
      </x:c>
      <x:c r="F698" s="10" t="n">
        <x:v>0</x:v>
      </x:c>
      <x:c r="G698" s="12" t="n">
        <x:v>0</x:v>
      </x:c>
      <x:c r="H698" s="13" t="n">
        <x:v>0</x:v>
      </x:c>
      <x:c r="I698" s="10" t="n">
        <x:v>0</x:v>
      </x:c>
      <x:c r="J698" s="10" t="n">
        <x:v>0</x:v>
      </x:c>
      <x:c r="K698" s="10" t="str">
        <x:v>3 Mo.</x:v>
      </x:c>
      <x:c r="L698" s="10" t="n">
        <x:v>0</x:v>
      </x:c>
      <x:c r="M698" s="10" t="n">
        <x:v>0</x:v>
      </x:c>
      <x:c r="N698" s="10" t="n">
        <x:v>10</x:v>
      </x:c>
      <x:c r="O698" s="10" t="str">
        <x:v>Paper &amp; Party Supplies</x:v>
      </x:c>
      <x:c r="P698" s="10" t="n">
        <x:v>3</x:v>
      </x:c>
      <x:c r="Q698" s="10" t="n">
        <x:v>0</x:v>
      </x:c>
      <x:c r="R698" s="13" t="n">
        <x:v>0</x:v>
      </x:c>
      <x:c r="S698" s="10" t="n">
        <x:v>0</x:v>
      </x:c>
      <x:c r="T698" s="10" t="str">
        <x:v>loan amortization,mortgage calculator,loan calculator,excel loan tracker,loan payoff tracker,debt payoff tracker,loan payoff planner,car loan tracker,personal finance,digital download,extra payment tool,interest calculator,financial planner</x:v>
      </x:c>
      <x:c r="U698" s="10" t="str">
        <x:v>loan amortization</x:v>
      </x:c>
      <x:c r="V698" s="10" t="str">
        <x:v>mortgage calculator</x:v>
      </x:c>
      <x:c r="W698" s="10" t="str">
        <x:v>loan calculator</x:v>
      </x:c>
      <x:c r="X698" s="10" t="str">
        <x:v>excel loan tracker</x:v>
      </x:c>
      <x:c r="Y698" s="10" t="str">
        <x:v>loan payoff tracker</x:v>
      </x:c>
      <x:c r="Z698" s="10" t="str">
        <x:v>debt payoff tracker</x:v>
      </x:c>
      <x:c r="AA698" s="10" t="str">
        <x:v>loan payoff planner</x:v>
      </x:c>
      <x:c r="AB698" s="10" t="str">
        <x:v>car loan tracker</x:v>
      </x:c>
      <x:c r="AC698" s="10" t="str">
        <x:v>personal finance</x:v>
      </x:c>
      <x:c r="AD698" s="10" t="str">
        <x:v>digital download</x:v>
      </x:c>
      <x:c r="AE698" s="10" t="str">
        <x:v>extra payment tool</x:v>
      </x:c>
      <x:c r="AF698" s="10" t="str">
        <x:v>interest calculator</x:v>
      </x:c>
      <x:c r="AG698" s="10" t="str">
        <x:v>financial planner</x:v>
      </x:c>
      <x:c r="AH698" s="10" t="str">
        <x:v>Mortgage payoff / calculator</x:v>
      </x:c>
      <x:c r="AI698" s="13" t="n">
        <x:v>3</x:v>
      </x:c>
      <x:c r="AJ698" s="10" t="str">
        <x:f>IF(F698&gt;0,"Active","No est. sales")</x:f>
        <x:v>No est. sales</x:v>
      </x:c>
    </x:row>
    <x:row r="699">
      <x:c r="A699" s="10" t="str">
        <x:v>Real Estate Transaction Checklist Planner</x:v>
      </x:c>
      <x:c r="B699" s="10" t="str">
        <x:v>https://www.etsy.com/listing/1553979963/real-estate-transaction-checklist</x:v>
      </x:c>
      <x:c r="C699" s="10" t="str">
        <x:v>MayleysMagnolias</x:v>
      </x:c>
      <x:c r="D699" s="10" t="str">
        <x:v>https://www.etsy.com/shop/MayleysMagnolias</x:v>
      </x:c>
      <x:c r="E699" s="11" t="n">
        <x:v>3.49</x:v>
      </x:c>
      <x:c r="F699" s="10" t="n">
        <x:v>0</x:v>
      </x:c>
      <x:c r="G699" s="12" t="n">
        <x:v>0</x:v>
      </x:c>
      <x:c r="H699" s="13" t="n">
        <x:v>0</x:v>
      </x:c>
      <x:c r="I699" s="10" t="n">
        <x:v>0</x:v>
      </x:c>
      <x:c r="J699" s="10" t="n">
        <x:v>0</x:v>
      </x:c>
      <x:c r="K699" s="10" t="str">
        <x:v>25 Mo.</x:v>
      </x:c>
      <x:c r="L699" s="10" t="n">
        <x:v>1</x:v>
      </x:c>
      <x:c r="M699" s="10" t="n">
        <x:v>0</x:v>
      </x:c>
      <x:c r="N699" s="10" t="n">
        <x:v>184</x:v>
      </x:c>
      <x:c r="O699" s="10" t="str"/>
      <x:c r="P699" s="10" t="n">
        <x:v>30</x:v>
      </x:c>
      <x:c r="Q699" s="10" t="n">
        <x:v>0</x:v>
      </x:c>
      <x:c r="R699" s="13" t="n">
        <x:v>0</x:v>
      </x:c>
      <x:c r="S699" s="10" t="n">
        <x:v>7</x:v>
      </x:c>
      <x:c r="T699" s="10" t="str">
        <x:v>planner,organizer,realtor,coordinator,lender,loan officer,mortgage,real estate,transaction,checklist,property,money,digital</x:v>
      </x:c>
      <x:c r="U699" s="10" t="str">
        <x:v>planner</x:v>
      </x:c>
      <x:c r="V699" s="10" t="str">
        <x:v>organizer</x:v>
      </x:c>
      <x:c r="W699" s="10" t="str">
        <x:v>realtor</x:v>
      </x:c>
      <x:c r="X699" s="10" t="str">
        <x:v>coordinator</x:v>
      </x:c>
      <x:c r="Y699" s="10" t="str">
        <x:v>lender</x:v>
      </x:c>
      <x:c r="Z699" s="10" t="str">
        <x:v>loan officer</x:v>
      </x:c>
      <x:c r="AA699" s="10" t="str">
        <x:v>mortgage</x:v>
      </x:c>
      <x:c r="AB699" s="10" t="str">
        <x:v>real estate</x:v>
      </x:c>
      <x:c r="AC699" s="10" t="str">
        <x:v>transaction</x:v>
      </x:c>
      <x:c r="AD699" s="10" t="str">
        <x:v>checklist</x:v>
      </x:c>
      <x:c r="AE699" s="10" t="str">
        <x:v>property</x:v>
      </x:c>
      <x:c r="AF699" s="10" t="str">
        <x:v>money</x:v>
      </x:c>
      <x:c r="AG699" s="10" t="str">
        <x:v>digital</x:v>
      </x:c>
      <x:c r="AH699" s="10" t="str">
        <x:v>Loan officer / B2B</x:v>
      </x:c>
      <x:c r="AI699" s="13" t="n">
        <x:v>25</x:v>
      </x:c>
      <x:c r="AJ699" s="10" t="str">
        <x:f>IF(F699&gt;0,"Active","No est. sales")</x:f>
        <x:v>No est. sales</x:v>
      </x:c>
    </x:row>
    <x:row r="700">
      <x:c r="A700" s="10" t="str">
        <x:v>Debt Spreadsheet Payoff Tracker Google Sheets, Debt Tracker, Debt Payoff Tracker, Credit Card Payoff Mortgage Payment</x:v>
      </x:c>
      <x:c r="B700" s="10" t="str">
        <x:v>https://www.etsy.com/listing/4297954079/debt-spreadsheet-payoff-tracker-google</x:v>
      </x:c>
      <x:c r="C700" s="10" t="str">
        <x:v>LeatherBargainsHub</x:v>
      </x:c>
      <x:c r="D700" s="10" t="str">
        <x:v>https://www.etsy.com/shop/LeatherBargainsHub</x:v>
      </x:c>
      <x:c r="E700" s="11" t="n">
        <x:v>4.08</x:v>
      </x:c>
      <x:c r="F700" s="10" t="n">
        <x:v>0</x:v>
      </x:c>
      <x:c r="G700" s="12" t="n">
        <x:v>0</x:v>
      </x:c>
      <x:c r="H700" s="13" t="n">
        <x:v>0</x:v>
      </x:c>
      <x:c r="I700" s="10" t="n">
        <x:v>0</x:v>
      </x:c>
      <x:c r="J700" s="10" t="n">
        <x:v>0</x:v>
      </x:c>
      <x:c r="K700" s="10" t="str">
        <x:v>3 Mo.</x:v>
      </x:c>
      <x:c r="L700" s="10" t="n">
        <x:v>3</x:v>
      </x:c>
      <x:c r="M700" s="10" t="n">
        <x:v>0</x:v>
      </x:c>
      <x:c r="N700" s="10" t="n">
        <x:v>36</x:v>
      </x:c>
      <x:c r="O700" s="10" t="str">
        <x:v>Art &amp; Collectibles</x:v>
      </x:c>
      <x:c r="P700" s="10" t="n">
        <x:v>8</x:v>
      </x:c>
      <x:c r="Q700" s="10" t="n">
        <x:v>0</x:v>
      </x:c>
      <x:c r="R700" s="13" t="n">
        <x:v>0</x:v>
      </x:c>
      <x:c r="S700" s="10" t="n">
        <x:v>59</x:v>
      </x:c>
      <x:c r="T700" s="10" t="str">
        <x:v>debt spreadsheet,mortgage payoff,debt snowball,snowball debt,google sheets budget,debt google sheets,debt tracker excel,financial planner,debt tracker,debt planner,googlesheet tracker,debt tracker planner,debt template</x:v>
      </x:c>
      <x:c r="U700" s="10" t="str">
        <x:v>debt spreadsheet</x:v>
      </x:c>
      <x:c r="V700" s="10" t="str">
        <x:v>mortgage payoff</x:v>
      </x:c>
      <x:c r="W700" s="10" t="str">
        <x:v>debt snowball</x:v>
      </x:c>
      <x:c r="X700" s="10" t="str">
        <x:v>snowball debt</x:v>
      </x:c>
      <x:c r="Y700" s="10" t="str">
        <x:v>google sheets budget</x:v>
      </x:c>
      <x:c r="Z700" s="10" t="str">
        <x:v>debt google sheets</x:v>
      </x:c>
      <x:c r="AA700" s="10" t="str">
        <x:v>debt tracker excel</x:v>
      </x:c>
      <x:c r="AB700" s="10" t="str">
        <x:v>financial planner</x:v>
      </x:c>
      <x:c r="AC700" s="10" t="str">
        <x:v>debt tracker</x:v>
      </x:c>
      <x:c r="AD700" s="10" t="str">
        <x:v>debt planner</x:v>
      </x:c>
      <x:c r="AE700" s="10" t="str">
        <x:v>googlesheet tracker</x:v>
      </x:c>
      <x:c r="AF700" s="10" t="str">
        <x:v>debt tracker planner</x:v>
      </x:c>
      <x:c r="AG700" s="10" t="str">
        <x:v>debt template</x:v>
      </x:c>
      <x:c r="AH700" s="10" t="str">
        <x:v>General debt payoff</x:v>
      </x:c>
      <x:c r="AI700" s="13" t="n">
        <x:v>3</x:v>
      </x:c>
      <x:c r="AJ700" s="10" t="str">
        <x:f>IF(F700&gt;0,"Active","No est. sales")</x:f>
        <x:v>No est. sales</x:v>
      </x:c>
    </x:row>
    <x:row r="701">
      <x:c r="A701" s="10" t="str">
        <x:v>Debt Payoff Tracker Debt Snowball Avalanche Calculator for Google Sheets | Debt Free Planner Loan Tracker Credit Card Payoff Custom Chart</x:v>
      </x:c>
      <x:c r="B701" s="10" t="str">
        <x:v>https://www.etsy.com/listing/4360016078/debt-payoff-tracker-debt-snowball</x:v>
      </x:c>
      <x:c r="C701" s="10" t="str">
        <x:v>Sheetpoppi</x:v>
      </x:c>
      <x:c r="D701" s="10" t="str">
        <x:v>https://www.etsy.com/shop/Sheetpoppi</x:v>
      </x:c>
      <x:c r="E701" s="11" t="n">
        <x:v>8.98</x:v>
      </x:c>
      <x:c r="F701" s="10" t="n">
        <x:v>0</x:v>
      </x:c>
      <x:c r="G701" s="12" t="n">
        <x:v>0</x:v>
      </x:c>
      <x:c r="H701" s="13" t="n">
        <x:v>0</x:v>
      </x:c>
      <x:c r="I701" s="10" t="n">
        <x:v>0</x:v>
      </x:c>
      <x:c r="J701" s="10" t="n">
        <x:v>0</x:v>
      </x:c>
      <x:c r="K701" s="10" t="str">
        <x:v>4 Mo.</x:v>
      </x:c>
      <x:c r="L701" s="10" t="n">
        <x:v>0</x:v>
      </x:c>
      <x:c r="M701" s="10" t="n">
        <x:v>0</x:v>
      </x:c>
      <x:c r="N701" s="10" t="n">
        <x:v>6</x:v>
      </x:c>
      <x:c r="O701" s="10" t="str">
        <x:v>Paper &amp; Party Supplies</x:v>
      </x:c>
      <x:c r="P701" s="10" t="n">
        <x:v>4</x:v>
      </x:c>
      <x:c r="Q701" s="10" t="n">
        <x:v>0</x:v>
      </x:c>
      <x:c r="R701" s="13" t="n">
        <x:v>0</x:v>
      </x:c>
      <x:c r="S701" s="10" t="n">
        <x:v>51</x:v>
      </x:c>
      <x:c r="T701" s="10" t="str">
        <x:v>debt payment tracker,debt snowball,debt avalanche,debt payoff planner,debt calculator,loan payoff tracker,credit card debt,mortgage payoff,student loan debt,financial planner,personal finance,debt google sheets,snowball method</x:v>
      </x:c>
      <x:c r="U701" s="10" t="str">
        <x:v>debt payment tracker</x:v>
      </x:c>
      <x:c r="V701" s="10" t="str">
        <x:v>debt snowball</x:v>
      </x:c>
      <x:c r="W701" s="10" t="str">
        <x:v>debt avalanche</x:v>
      </x:c>
      <x:c r="X701" s="10" t="str">
        <x:v>debt payoff planner</x:v>
      </x:c>
      <x:c r="Y701" s="10" t="str">
        <x:v>debt calculator</x:v>
      </x:c>
      <x:c r="Z701" s="10" t="str">
        <x:v>loan payoff tracker</x:v>
      </x:c>
      <x:c r="AA701" s="10" t="str">
        <x:v>credit card debt</x:v>
      </x:c>
      <x:c r="AB701" s="10" t="str">
        <x:v>mortgage payoff</x:v>
      </x:c>
      <x:c r="AC701" s="10" t="str">
        <x:v>student loan debt</x:v>
      </x:c>
      <x:c r="AD701" s="10" t="str">
        <x:v>financial planner</x:v>
      </x:c>
      <x:c r="AE701" s="10" t="str">
        <x:v>personal finance</x:v>
      </x:c>
      <x:c r="AF701" s="10" t="str">
        <x:v>debt google sheets</x:v>
      </x:c>
      <x:c r="AG701" s="10" t="str">
        <x:v>snowball method</x:v>
      </x:c>
      <x:c r="AH701" s="10" t="str">
        <x:v>General debt payoff</x:v>
      </x:c>
      <x:c r="AI701" s="13" t="n">
        <x:v>4</x:v>
      </x:c>
      <x:c r="AJ701" s="10" t="str">
        <x:f>IF(F701&gt;0,"Active","No est. sales")</x:f>
        <x:v>No est. sales</x:v>
      </x:c>
    </x:row>
    <x:row r="702">
      <x:c r="A702" s="10" t="str">
        <x:v>Real Estate Investor TShirt, Gift for Real Estate Agent, Gift for Landlord, Property Manager Gift, Real Estate Marketing, Fix and Flip</x:v>
      </x:c>
      <x:c r="B702" s="10" t="str">
        <x:v>https://www.etsy.com/listing/1481171598/real-estate-investor-tshirt-gift-for</x:v>
      </x:c>
      <x:c r="C702" s="10" t="str">
        <x:v>TrueSparkCreations</x:v>
      </x:c>
      <x:c r="D702" s="10" t="str">
        <x:v>https://www.etsy.com/shop/TrueSparkCreations</x:v>
      </x:c>
      <x:c r="E702" s="11" t="n">
        <x:v>23.35</x:v>
      </x:c>
      <x:c r="F702" s="10" t="n">
        <x:v>0</x:v>
      </x:c>
      <x:c r="G702" s="12" t="n">
        <x:v>0</x:v>
      </x:c>
      <x:c r="H702" s="13" t="n">
        <x:v>0</x:v>
      </x:c>
      <x:c r="I702" s="10" t="n">
        <x:v>0</x:v>
      </x:c>
      <x:c r="J702" s="10" t="n">
        <x:v>1</x:v>
      </x:c>
      <x:c r="K702" s="10" t="str">
        <x:v>37 Mo.</x:v>
      </x:c>
      <x:c r="L702" s="10" t="n">
        <x:v>5</x:v>
      </x:c>
      <x:c r="M702" s="10" t="n">
        <x:v>0</x:v>
      </x:c>
      <x:c r="N702" s="10" t="n">
        <x:v>75</x:v>
      </x:c>
      <x:c r="O702" s="10" t="str">
        <x:v>Clothing</x:v>
      </x:c>
      <x:c r="P702" s="10" t="n">
        <x:v>38</x:v>
      </x:c>
      <x:c r="Q702" s="10" t="n">
        <x:v>0</x:v>
      </x:c>
      <x:c r="R702" s="13" t="n">
        <x:v>0</x:v>
      </x:c>
      <x:c r="S702" s="10" t="n">
        <x:v>49</x:v>
      </x:c>
      <x:c r="T702" s="10" t="str">
        <x:v>airbnb,investing t-shirt,airbnb host,subject to,house flip tracker,i buy houses,investors,renovation planner,real estate agent,real estate template,rental property,title company gift,mortgage broker gift</x:v>
      </x:c>
      <x:c r="U702" s="10" t="str">
        <x:v>airbnb</x:v>
      </x:c>
      <x:c r="V702" s="10" t="str">
        <x:v>investing t-shirt</x:v>
      </x:c>
      <x:c r="W702" s="10" t="str">
        <x:v>airbnb host</x:v>
      </x:c>
      <x:c r="X702" s="10" t="str">
        <x:v>subject to</x:v>
      </x:c>
      <x:c r="Y702" s="10" t="str">
        <x:v>house flip tracker</x:v>
      </x:c>
      <x:c r="Z702" s="10" t="str">
        <x:v>i buy houses</x:v>
      </x:c>
      <x:c r="AA702" s="10" t="str">
        <x:v>investors</x:v>
      </x:c>
      <x:c r="AB702" s="10" t="str">
        <x:v>renovation planner</x:v>
      </x:c>
      <x:c r="AC702" s="10" t="str">
        <x:v>real estate agent</x:v>
      </x:c>
      <x:c r="AD702" s="10" t="str">
        <x:v>real estate template</x:v>
      </x:c>
      <x:c r="AE702" s="10" t="str">
        <x:v>rental property</x:v>
      </x:c>
      <x:c r="AF702" s="10" t="str">
        <x:v>title company gift</x:v>
      </x:c>
      <x:c r="AG702" s="10" t="str">
        <x:v>mortgage broker gift</x:v>
      </x:c>
      <x:c r="AH702" s="10" t="str">
        <x:v>Loan officer / B2B</x:v>
      </x:c>
      <x:c r="AI702" s="13" t="n">
        <x:v>37</x:v>
      </x:c>
      <x:c r="AJ702" s="10" t="str">
        <x:f>IF(F702&gt;0,"Active","No est. sales")</x:f>
        <x:v>No est. sales</x:v>
      </x:c>
    </x:row>
    <x:row r="703">
      <x:c r="A703" s="10" t="str">
        <x:v>Loan Amortisation Planner PRO Excel | Payment Calculator | Amortisation Schedule | Interest &amp; Principal Breakdown</x:v>
      </x:c>
      <x:c r="B703" s="10" t="str">
        <x:v>https://www.etsy.com/listing/4447750953/loan-amortisation-planner-pro-excel</x:v>
      </x:c>
      <x:c r="C703" s="10" t="str">
        <x:v>BudgetNestDesigns</x:v>
      </x:c>
      <x:c r="D703" s="10" t="str">
        <x:v>https://www.etsy.com/shop/BudgetNestDesigns</x:v>
      </x:c>
      <x:c r="E703" s="11" t="n">
        <x:v>21.3</x:v>
      </x:c>
      <x:c r="F703" s="10" t="n">
        <x:v>0</x:v>
      </x:c>
      <x:c r="G703" s="12" t="n">
        <x:v>0</x:v>
      </x:c>
      <x:c r="H703" s="13" t="n">
        <x:v>0</x:v>
      </x:c>
      <x:c r="I703" s="10" t="n">
        <x:v>0</x:v>
      </x:c>
      <x:c r="J703" s="10" t="n">
        <x:v>0</x:v>
      </x:c>
      <x:c r="K703" s="10" t="str">
        <x:v>6 Mo.</x:v>
      </x:c>
      <x:c r="L703" s="10" t="n">
        <x:v>0</x:v>
      </x:c>
      <x:c r="M703" s="10" t="n">
        <x:v>0</x:v>
      </x:c>
      <x:c r="N703" s="10" t="n">
        <x:v>0</x:v>
      </x:c>
      <x:c r="O703" s="10" t="str"/>
      <x:c r="P703" s="10" t="n">
        <x:v>8</x:v>
      </x:c>
      <x:c r="Q703" s="10" t="n">
        <x:v>0</x:v>
      </x:c>
      <x:c r="R703" s="13" t="n">
        <x:v>0</x:v>
      </x:c>
      <x:c r="S703" s="10" t="n">
        <x:v>8</x:v>
      </x:c>
      <x:c r="T703" s="10" t="str">
        <x:v>loan amortization,amortization excel,loan calculator,loan payment plan,mortgage calculator,interest calculator,principal interest,loan spreadsheet,excel finance,debt planner,finance tracker,money management,personal finance</x:v>
      </x:c>
      <x:c r="U703" s="10" t="str">
        <x:v>loan amortization</x:v>
      </x:c>
      <x:c r="V703" s="10" t="str">
        <x:v>amortization excel</x:v>
      </x:c>
      <x:c r="W703" s="10" t="str">
        <x:v>loan calculator</x:v>
      </x:c>
      <x:c r="X703" s="10" t="str">
        <x:v>loan payment plan</x:v>
      </x:c>
      <x:c r="Y703" s="10" t="str">
        <x:v>mortgage calculator</x:v>
      </x:c>
      <x:c r="Z703" s="10" t="str">
        <x:v>interest calculator</x:v>
      </x:c>
      <x:c r="AA703" s="10" t="str">
        <x:v>principal interest</x:v>
      </x:c>
      <x:c r="AB703" s="10" t="str">
        <x:v>loan spreadsheet</x:v>
      </x:c>
      <x:c r="AC703" s="10" t="str">
        <x:v>excel finance</x:v>
      </x:c>
      <x:c r="AD703" s="10" t="str">
        <x:v>debt planner</x:v>
      </x:c>
      <x:c r="AE703" s="10" t="str">
        <x:v>finance tracker</x:v>
      </x:c>
      <x:c r="AF703" s="10" t="str">
        <x:v>money management</x:v>
      </x:c>
      <x:c r="AG703" s="10" t="str">
        <x:v>personal finance</x:v>
      </x:c>
      <x:c r="AH703" s="10" t="str">
        <x:v>General loan calculator</x:v>
      </x:c>
      <x:c r="AI703" s="13" t="n">
        <x:v>6</x:v>
      </x:c>
      <x:c r="AJ703" s="10" t="str">
        <x:f>IF(F703&gt;0,"Active","No est. sales")</x:f>
        <x:v>No est. sales</x:v>
      </x:c>
    </x:row>
    <x:row r="704">
      <x:c r="A704" s="10" t="str">
        <x:v>Mortgage Tracker Templates | Home Loan Balance Sheet | Printable PDF | US Letter Size</x:v>
      </x:c>
      <x:c r="B704" s="10" t="str">
        <x:v>https://www.etsy.com/listing/1860696400/mortgage-tracker-templates-home-loan</x:v>
      </x:c>
      <x:c r="C704" s="10" t="str">
        <x:v>Finance4People</x:v>
      </x:c>
      <x:c r="D704" s="10" t="str">
        <x:v>https://www.etsy.com/shop/Finance4People</x:v>
      </x:c>
      <x:c r="E704" s="11" t="n">
        <x:v>2.5</x:v>
      </x:c>
      <x:c r="F704" s="10" t="n">
        <x:v>0</x:v>
      </x:c>
      <x:c r="G704" s="12" t="n">
        <x:v>0</x:v>
      </x:c>
      <x:c r="H704" s="13" t="n">
        <x:v>0</x:v>
      </x:c>
      <x:c r="I704" s="10" t="n">
        <x:v>3</x:v>
      </x:c>
      <x:c r="J704" s="10" t="n">
        <x:v>1</x:v>
      </x:c>
      <x:c r="K704" s="10" t="str">
        <x:v>17 Mo.</x:v>
      </x:c>
      <x:c r="L704" s="10" t="n">
        <x:v>4</x:v>
      </x:c>
      <x:c r="M704" s="10" t="n">
        <x:v>0</x:v>
      </x:c>
      <x:c r="N704" s="10" t="n">
        <x:v>317</x:v>
      </x:c>
      <x:c r="O704" s="10" t="str"/>
      <x:c r="P704" s="10" t="n">
        <x:v>21</x:v>
      </x:c>
      <x:c r="Q704" s="10" t="n">
        <x:v>0</x:v>
      </x:c>
      <x:c r="R704" s="13" t="n">
        <x:v>0.95</x:v>
      </x:c>
      <x:c r="S704" s="10" t="n">
        <x:v>187</x:v>
      </x:c>
      <x:c r="T704" s="10" t="str">
        <x:v>mortgage tracker,home loan chart,debt free planning,extra payment log,finance organizer,printable pdf,loan payoff sheet,digital download,payment schedule,mortgage planner,home finance record,debt payoff guide,finance worksheet</x:v>
      </x:c>
      <x:c r="U704" s="10" t="str">
        <x:v>mortgage tracker</x:v>
      </x:c>
      <x:c r="V704" s="10" t="str">
        <x:v>home loan chart</x:v>
      </x:c>
      <x:c r="W704" s="10" t="str">
        <x:v>debt free planning</x:v>
      </x:c>
      <x:c r="X704" s="10" t="str">
        <x:v>extra payment log</x:v>
      </x:c>
      <x:c r="Y704" s="10" t="str">
        <x:v>finance organizer</x:v>
      </x:c>
      <x:c r="Z704" s="10" t="str">
        <x:v>printable pdf</x:v>
      </x:c>
      <x:c r="AA704" s="10" t="str">
        <x:v>loan payoff sheet</x:v>
      </x:c>
      <x:c r="AB704" s="10" t="str">
        <x:v>digital download</x:v>
      </x:c>
      <x:c r="AC704" s="10" t="str">
        <x:v>payment schedule</x:v>
      </x:c>
      <x:c r="AD704" s="10" t="str">
        <x:v>mortgage planner</x:v>
      </x:c>
      <x:c r="AE704" s="10" t="str">
        <x:v>home finance record</x:v>
      </x:c>
      <x:c r="AF704" s="10" t="str">
        <x:v>debt payoff guide</x:v>
      </x:c>
      <x:c r="AG704" s="10" t="str">
        <x:v>finance worksheet</x:v>
      </x:c>
      <x:c r="AH704" s="10" t="str">
        <x:v>Other mortgage-related</x:v>
      </x:c>
      <x:c r="AI704" s="13" t="n">
        <x:v>17</x:v>
      </x:c>
      <x:c r="AJ704" s="10" t="str">
        <x:f>IF(F704&gt;0,"Active","No est. sales")</x:f>
        <x:v>No est. sales</x:v>
      </x:c>
    </x:row>
    <x:row r="705">
      <x:c r="A705" s="10" t="str">
        <x:v>First Time Home Buyer Spreadsheet | Mortgage Affordability Calculator, Down Payment Tracker &amp; Home Comparison — Sheets</x:v>
      </x:c>
      <x:c r="B705" s="10" t="str">
        <x:v>https://www.etsy.com/listing/4544230766/first-time-home-buyer-spreadsheet-o</x:v>
      </x:c>
      <x:c r="C705" s="10" t="str">
        <x:v>AvariDesignsCo</x:v>
      </x:c>
      <x:c r="D705" s="10" t="str">
        <x:v>https://www.etsy.com/shop/AvariDesignsCo</x:v>
      </x:c>
      <x:c r="E705" s="11" t="n">
        <x:v>63.89</x:v>
      </x:c>
      <x:c r="F705" s="10" t="n">
        <x:v>0</x:v>
      </x:c>
      <x:c r="G705" s="12" t="n">
        <x:v>0</x:v>
      </x:c>
      <x:c r="H705" s="13" t="n">
        <x:v>0</x:v>
      </x:c>
      <x:c r="I705" s="10" t="n">
        <x:v>0</x:v>
      </x:c>
      <x:c r="J705" s="10" t="n">
        <x:v>0</x:v>
      </x:c>
      <x:c r="K705" s="10" t="str">
        <x:v>1 Mo.</x:v>
      </x:c>
      <x:c r="L705" s="10" t="n">
        <x:v>0</x:v>
      </x:c>
      <x:c r="M705" s="10" t="n">
        <x:v>0</x:v>
      </x:c>
      <x:c r="N705" s="10" t="n">
        <x:v>0</x:v>
      </x:c>
      <x:c r="O705" s="10" t="str">
        <x:v>Paper &amp; Party Supplies</x:v>
      </x:c>
      <x:c r="P705" s="10" t="n">
        <x:v>11</x:v>
      </x:c>
      <x:c r="Q705" s="10" t="n">
        <x:v>0</x:v>
      </x:c>
      <x:c r="R705" s="13" t="n">
        <x:v>0</x:v>
      </x:c>
      <x:c r="S705" s="10" t="n">
        <x:v>10</x:v>
      </x:c>
      <x:c r="T705" s="10" t="str">
        <x:v>home buyer,first time buyer,mortgage calculator,house hunting,home buying,down payment,mortgage planner,home buyer checklist,real estate,moving checklist,home affordability,budget spreadsheet,closing costs</x:v>
      </x:c>
      <x:c r="U705" s="10" t="str">
        <x:v>home buyer</x:v>
      </x:c>
      <x:c r="V705" s="10" t="str">
        <x:v>first time buyer</x:v>
      </x:c>
      <x:c r="W705" s="10" t="str">
        <x:v>mortgage calculator</x:v>
      </x:c>
      <x:c r="X705" s="10" t="str">
        <x:v>house hunting</x:v>
      </x:c>
      <x:c r="Y705" s="10" t="str">
        <x:v>home buying</x:v>
      </x:c>
      <x:c r="Z705" s="10" t="str">
        <x:v>down payment</x:v>
      </x:c>
      <x:c r="AA705" s="10" t="str">
        <x:v>mortgage planner</x:v>
      </x:c>
      <x:c r="AB705" s="10" t="str">
        <x:v>home buyer checklist</x:v>
      </x:c>
      <x:c r="AC705" s="10" t="str">
        <x:v>real estate</x:v>
      </x:c>
      <x:c r="AD705" s="10" t="str">
        <x:v>moving checklist</x:v>
      </x:c>
      <x:c r="AE705" s="10" t="str">
        <x:v>home affordability</x:v>
      </x:c>
      <x:c r="AF705" s="10" t="str">
        <x:v>budget spreadsheet</x:v>
      </x:c>
      <x:c r="AG705" s="10" t="str">
        <x:v>closing costs</x:v>
      </x:c>
      <x:c r="AH705" s="10" t="str">
        <x:v>Home buying planner</x:v>
      </x:c>
      <x:c r="AI705" s="13" t="n">
        <x:v>1</x:v>
      </x:c>
      <x:c r="AJ705" s="10" t="str">
        <x:f>IF(F705&gt;0,"Active","No est. sales")</x:f>
        <x:v>No est. sales</x:v>
      </x:c>
    </x:row>
    <x:row r="706">
      <x:c r="A706" s="10" t="str">
        <x:v>Boho Debt Tracker Printable | Chic Budget Planner | Money Management PDF | Snowball &amp; Avalanche Payoff Tracker | Instant Download</x:v>
      </x:c>
      <x:c r="B706" s="10" t="str">
        <x:v>https://www.etsy.com/listing/1485320262/boho-debt-tracker-printable-chic-budget</x:v>
      </x:c>
      <x:c r="C706" s="10" t="str">
        <x:v>DesignifyStudioCo</x:v>
      </x:c>
      <x:c r="D706" s="10" t="str">
        <x:v>https://www.etsy.com/shop/DesignifyStudioCo</x:v>
      </x:c>
      <x:c r="E706" s="11" t="n">
        <x:v>2.5</x:v>
      </x:c>
      <x:c r="F706" s="10" t="n">
        <x:v>0</x:v>
      </x:c>
      <x:c r="G706" s="12" t="n">
        <x:v>0</x:v>
      </x:c>
      <x:c r="H706" s="13" t="n">
        <x:v>0</x:v>
      </x:c>
      <x:c r="I706" s="10" t="n">
        <x:v>28</x:v>
      </x:c>
      <x:c r="J706" s="10" t="n">
        <x:v>8</x:v>
      </x:c>
      <x:c r="K706" s="10" t="str">
        <x:v>37 Mo.</x:v>
      </x:c>
      <x:c r="L706" s="10" t="n">
        <x:v>20</x:v>
      </x:c>
      <x:c r="M706" s="10" t="n">
        <x:v>0</x:v>
      </x:c>
      <x:c r="N706" s="10" t="n">
        <x:v>1049</x:v>
      </x:c>
      <x:c r="O706" s="10" t="str">
        <x:v>Paper &amp; Party Supplies</x:v>
      </x:c>
      <x:c r="P706" s="10" t="n">
        <x:v>42</x:v>
      </x:c>
      <x:c r="Q706" s="10" t="n">
        <x:v>0</x:v>
      </x:c>
      <x:c r="R706" s="13" t="n">
        <x:v>2.67</x:v>
      </x:c>
      <x:c r="S706" s="10" t="n">
        <x:v>44</x:v>
      </x:c>
      <x:c r="T706" s="10" t="str">
        <x:v>debt tracker,money management,spending tracker,debt payoff planner,debt payment tracker,loan payoff tracker,credit card debt,financial planner,personal finance,snowball method,mortgage payoff,snowball calculator,debt free planner</x:v>
      </x:c>
      <x:c r="U706" s="10" t="str">
        <x:v>debt tracker</x:v>
      </x:c>
      <x:c r="V706" s="10" t="str">
        <x:v>money management</x:v>
      </x:c>
      <x:c r="W706" s="10" t="str">
        <x:v>spending tracker</x:v>
      </x:c>
      <x:c r="X706" s="10" t="str">
        <x:v>debt payoff planner</x:v>
      </x:c>
      <x:c r="Y706" s="10" t="str">
        <x:v>debt payment tracker</x:v>
      </x:c>
      <x:c r="Z706" s="10" t="str">
        <x:v>loan payoff tracker</x:v>
      </x:c>
      <x:c r="AA706" s="10" t="str">
        <x:v>credit card debt</x:v>
      </x:c>
      <x:c r="AB706" s="10" t="str">
        <x:v>financial planner</x:v>
      </x:c>
      <x:c r="AC706" s="10" t="str">
        <x:v>personal finance</x:v>
      </x:c>
      <x:c r="AD706" s="10" t="str">
        <x:v>snowball method</x:v>
      </x:c>
      <x:c r="AE706" s="10" t="str">
        <x:v>mortgage payoff</x:v>
      </x:c>
      <x:c r="AF706" s="10" t="str">
        <x:v>snowball calculator</x:v>
      </x:c>
      <x:c r="AG706" s="10" t="str">
        <x:v>debt free planner</x:v>
      </x:c>
      <x:c r="AH706" s="10" t="str">
        <x:v>General debt payoff</x:v>
      </x:c>
      <x:c r="AI706" s="13" t="n">
        <x:v>37</x:v>
      </x:c>
      <x:c r="AJ706" s="10" t="str">
        <x:f>IF(F706&gt;0,"Active","No est. sales")</x:f>
        <x:v>No est. sales</x:v>
      </x:c>
    </x:row>
    <x:row r="707">
      <x:c r="A707" s="10" t="str">
        <x:v>Debt Payoff Tracker for Google Sheets | Debt Snowball Spreadsheet Calculator | Credit Card Loan Repayment Tracker | Monthly Budget Planner</x:v>
      </x:c>
      <x:c r="B707" s="10" t="str">
        <x:v>https://www.etsy.com/listing/4315683741/debt-snowball-spreadsheet-google-sheet</x:v>
      </x:c>
      <x:c r="C707" s="10" t="str">
        <x:v>EZSpreadsheets4Life</x:v>
      </x:c>
      <x:c r="D707" s="10" t="str">
        <x:v>https://www.etsy.com/shop/EZSpreadsheets4Life</x:v>
      </x:c>
      <x:c r="E707" s="11" t="n">
        <x:v>2</x:v>
      </x:c>
      <x:c r="F707" s="10" t="n">
        <x:v>0</x:v>
      </x:c>
      <x:c r="G707" s="12" t="n">
        <x:v>0</x:v>
      </x:c>
      <x:c r="H707" s="13" t="n">
        <x:v>0</x:v>
      </x:c>
      <x:c r="I707" s="10" t="n">
        <x:v>15</x:v>
      </x:c>
      <x:c r="J707" s="10" t="n">
        <x:v>1</x:v>
      </x:c>
      <x:c r="K707" s="10" t="str">
        <x:v>13 Mo.</x:v>
      </x:c>
      <x:c r="L707" s="10" t="n">
        <x:v>10</x:v>
      </x:c>
      <x:c r="M707" s="10" t="n">
        <x:v>0</x:v>
      </x:c>
      <x:c r="N707" s="10" t="n">
        <x:v>213</x:v>
      </x:c>
      <x:c r="O707" s="10" t="str"/>
      <x:c r="P707" s="10" t="n">
        <x:v>33</x:v>
      </x:c>
      <x:c r="Q707" s="10" t="n">
        <x:v>0</x:v>
      </x:c>
      <x:c r="R707" s="13" t="n">
        <x:v>7.04</x:v>
      </x:c>
      <x:c r="S707" s="10" t="n">
        <x:v>4205</x:v>
      </x:c>
      <x:c r="T707" s="10" t="str">
        <x:v>debt payoff tracker,debt snowball sheet,debt calculator,google sheets debt,credit card payoff,loan payoff,debt planner,money management,finance tracker,mortgage payoff,student loan,repayment tracker,debt free tracker</x:v>
      </x:c>
      <x:c r="U707" s="10" t="str">
        <x:v>debt payoff tracker</x:v>
      </x:c>
      <x:c r="V707" s="10" t="str">
        <x:v>debt snowball sheet</x:v>
      </x:c>
      <x:c r="W707" s="10" t="str">
        <x:v>debt calculator</x:v>
      </x:c>
      <x:c r="X707" s="10" t="str">
        <x:v>google sheets debt</x:v>
      </x:c>
      <x:c r="Y707" s="10" t="str">
        <x:v>credit card payoff</x:v>
      </x:c>
      <x:c r="Z707" s="10" t="str">
        <x:v>loan payoff</x:v>
      </x:c>
      <x:c r="AA707" s="10" t="str">
        <x:v>debt planner</x:v>
      </x:c>
      <x:c r="AB707" s="10" t="str">
        <x:v>money management</x:v>
      </x:c>
      <x:c r="AC707" s="10" t="str">
        <x:v>finance tracker</x:v>
      </x:c>
      <x:c r="AD707" s="10" t="str">
        <x:v>mortgage payoff</x:v>
      </x:c>
      <x:c r="AE707" s="10" t="str">
        <x:v>student loan</x:v>
      </x:c>
      <x:c r="AF707" s="10" t="str">
        <x:v>repayment tracker</x:v>
      </x:c>
      <x:c r="AG707" s="10" t="str">
        <x:v>debt free tracker</x:v>
      </x:c>
      <x:c r="AH707" s="10" t="str">
        <x:v>General debt payoff</x:v>
      </x:c>
      <x:c r="AI707" s="13" t="n">
        <x:v>13</x:v>
      </x:c>
      <x:c r="AJ707" s="10" t="str">
        <x:f>IF(F707&gt;0,"Active","No est. sales")</x:f>
        <x:v>No est. sales</x:v>
      </x:c>
    </x:row>
    <x:row r="708">
      <x:c r="A708" s="10" t="str">
        <x:v>The complete loan/mortgage bundle - loan comparison, dashboard, scenario analysis (refinance, repayment, prepayment)</x:v>
      </x:c>
      <x:c r="B708" s="10" t="str">
        <x:v>https://www.etsy.com/listing/4438862611/the-complete-loanmortgage-bundle-loan</x:v>
      </x:c>
      <x:c r="C708" s="10" t="str">
        <x:v>CreckyzFinance</x:v>
      </x:c>
      <x:c r="D708" s="10" t="str">
        <x:v>https://www.etsy.com/shop/CreckyzFinance</x:v>
      </x:c>
      <x:c r="E708" s="11" t="n">
        <x:v>4.72</x:v>
      </x:c>
      <x:c r="F708" s="10" t="n">
        <x:v>0</x:v>
      </x:c>
      <x:c r="G708" s="12" t="n">
        <x:v>0</x:v>
      </x:c>
      <x:c r="H708" s="13" t="n">
        <x:v>0</x:v>
      </x:c>
      <x:c r="I708" s="10" t="n">
        <x:v>0</x:v>
      </x:c>
      <x:c r="J708" s="10" t="n">
        <x:v>0</x:v>
      </x:c>
      <x:c r="K708" s="10" t="str">
        <x:v>6 Mo.</x:v>
      </x:c>
      <x:c r="L708" s="10" t="n">
        <x:v>1</x:v>
      </x:c>
      <x:c r="M708" s="10" t="n">
        <x:v>0</x:v>
      </x:c>
      <x:c r="N708" s="10" t="n">
        <x:v>32</x:v>
      </x:c>
      <x:c r="O708" s="10" t="str"/>
      <x:c r="P708" s="10" t="n">
        <x:v>6</x:v>
      </x:c>
      <x:c r="Q708" s="10" t="n">
        <x:v>0</x:v>
      </x:c>
      <x:c r="R708" s="13" t="n">
        <x:v>0</x:v>
      </x:c>
      <x:c r="S708" s="10" t="n">
        <x:v>0</x:v>
      </x:c>
      <x:c r="T708" s="10" t="str">
        <x:v>loan calculator,loan repayment,refinance calculator,mortgage calculator,loan spreadsheet,debt payoff,personal finance,amortization table,google sheets,budget planner,financial planning,scenario comparison,loan planning tool</x:v>
      </x:c>
      <x:c r="U708" s="10" t="str">
        <x:v>loan calculator</x:v>
      </x:c>
      <x:c r="V708" s="10" t="str">
        <x:v>loan repayment</x:v>
      </x:c>
      <x:c r="W708" s="10" t="str">
        <x:v>refinance calculator</x:v>
      </x:c>
      <x:c r="X708" s="10" t="str">
        <x:v>mortgage calculator</x:v>
      </x:c>
      <x:c r="Y708" s="10" t="str">
        <x:v>loan spreadsheet</x:v>
      </x:c>
      <x:c r="Z708" s="10" t="str">
        <x:v>debt payoff</x:v>
      </x:c>
      <x:c r="AA708" s="10" t="str">
        <x:v>personal finance</x:v>
      </x:c>
      <x:c r="AB708" s="10" t="str">
        <x:v>amortization table</x:v>
      </x:c>
      <x:c r="AC708" s="10" t="str">
        <x:v>google sheets</x:v>
      </x:c>
      <x:c r="AD708" s="10" t="str">
        <x:v>budget planner</x:v>
      </x:c>
      <x:c r="AE708" s="10" t="str">
        <x:v>financial planning</x:v>
      </x:c>
      <x:c r="AF708" s="10" t="str">
        <x:v>scenario comparison</x:v>
      </x:c>
      <x:c r="AG708" s="10" t="str">
        <x:v>loan planning tool</x:v>
      </x:c>
      <x:c r="AH708" s="10" t="str">
        <x:v>Other mortgage-related</x:v>
      </x:c>
      <x:c r="AI708" s="13" t="n">
        <x:v>6</x:v>
      </x:c>
      <x:c r="AJ708" s="10" t="str">
        <x:f>IF(F708&gt;0,"Active","No est. sales")</x:f>
        <x:v>No est. sales</x:v>
      </x:c>
    </x:row>
    <x:row r="709">
      <x:c r="A709" s="10" t="str">
        <x:v>Home Buyers Planner Created by Retired Real Estate Agent &amp; Appraiser | House Hunting Binder | Home Search Organizer PDF</x:v>
      </x:c>
      <x:c r="B709" s="10" t="str">
        <x:v>https://www.etsy.com/listing/4511857416/home-buyers-planner-created-by-retired</x:v>
      </x:c>
      <x:c r="C709" s="10" t="str">
        <x:v>WLWdigital</x:v>
      </x:c>
      <x:c r="D709" s="10" t="str">
        <x:v>https://www.etsy.com/shop/WLWdigital</x:v>
      </x:c>
      <x:c r="E709" s="11" t="n">
        <x:v>7.99</x:v>
      </x:c>
      <x:c r="F709" s="10" t="n">
        <x:v>0</x:v>
      </x:c>
      <x:c r="G709" s="12" t="n">
        <x:v>0</x:v>
      </x:c>
      <x:c r="H709" s="13" t="n">
        <x:v>0</x:v>
      </x:c>
      <x:c r="I709" s="10" t="n">
        <x:v>0</x:v>
      </x:c>
      <x:c r="J709" s="10" t="n">
        <x:v>0</x:v>
      </x:c>
      <x:c r="K709" s="10" t="str">
        <x:v>1 Mo.</x:v>
      </x:c>
      <x:c r="L709" s="10" t="n">
        <x:v>0</x:v>
      </x:c>
      <x:c r="M709" s="10" t="n">
        <x:v>0</x:v>
      </x:c>
      <x:c r="N709" s="10" t="n">
        <x:v>34</x:v>
      </x:c>
      <x:c r="O709" s="10" t="str">
        <x:v>Books, Movies &amp; Music</x:v>
      </x:c>
      <x:c r="P709" s="10" t="n">
        <x:v>2</x:v>
      </x:c>
      <x:c r="Q709" s="10" t="n">
        <x:v>0</x:v>
      </x:c>
      <x:c r="R709" s="13" t="n">
        <x:v>0</x:v>
      </x:c>
      <x:c r="S709" s="10" t="n">
        <x:v>20</x:v>
      </x:c>
      <x:c r="T709" s="10" t="str">
        <x:v>home buyer,buyer checklist,mortgage guide,first home,home buyers planner,house hunting binder,first home buyer,home search planner,home buying guide,real estate planner,moving planner,house comparison,property planner</x:v>
      </x:c>
      <x:c r="U709" s="10" t="str">
        <x:v>home buyer</x:v>
      </x:c>
      <x:c r="V709" s="10" t="str">
        <x:v>buyer checklist</x:v>
      </x:c>
      <x:c r="W709" s="10" t="str">
        <x:v>mortgage guide</x:v>
      </x:c>
      <x:c r="X709" s="10" t="str">
        <x:v>first home</x:v>
      </x:c>
      <x:c r="Y709" s="10" t="str">
        <x:v>home buyers planner</x:v>
      </x:c>
      <x:c r="Z709" s="10" t="str">
        <x:v>house hunting binder</x:v>
      </x:c>
      <x:c r="AA709" s="10" t="str">
        <x:v>first home buyer</x:v>
      </x:c>
      <x:c r="AB709" s="10" t="str">
        <x:v>home search planner</x:v>
      </x:c>
      <x:c r="AC709" s="10" t="str">
        <x:v>home buying guide</x:v>
      </x:c>
      <x:c r="AD709" s="10" t="str">
        <x:v>real estate planner</x:v>
      </x:c>
      <x:c r="AE709" s="10" t="str">
        <x:v>moving planner</x:v>
      </x:c>
      <x:c r="AF709" s="10" t="str">
        <x:v>house comparison</x:v>
      </x:c>
      <x:c r="AG709" s="10" t="str">
        <x:v>property planner</x:v>
      </x:c>
      <x:c r="AH709" s="10" t="str">
        <x:v>Home buying planner</x:v>
      </x:c>
      <x:c r="AI709" s="13" t="n">
        <x:v>1</x:v>
      </x:c>
      <x:c r="AJ709" s="10" t="str">
        <x:f>IF(F709&gt;0,"Active","No est. sales")</x:f>
        <x:v>No est. sales</x:v>
      </x:c>
    </x:row>
    <x:row r="710">
      <x:c r="A710" s="10" t="str">
        <x:v>Smells like debt free, Debt Free Gift, Paid off loans gift, gift for friend, financial freedom, fire movement, financially independent</x:v>
      </x:c>
      <x:c r="B710" s="10" t="str">
        <x:v>https://www.etsy.com/listing/1606484869/smells-like-debt-free-debt-free-gift</x:v>
      </x:c>
      <x:c r="C710" s="10" t="str">
        <x:v>PoshAdhesiveArt</x:v>
      </x:c>
      <x:c r="D710" s="10" t="str">
        <x:v>https://www.etsy.com/shop/PoshAdhesiveArt</x:v>
      </x:c>
      <x:c r="E710" s="11" t="n">
        <x:v>51.32</x:v>
      </x:c>
      <x:c r="F710" s="10" t="n">
        <x:v>0</x:v>
      </x:c>
      <x:c r="G710" s="12" t="n">
        <x:v>0</x:v>
      </x:c>
      <x:c r="H710" s="13" t="n">
        <x:v>0</x:v>
      </x:c>
      <x:c r="I710" s="10" t="n">
        <x:v>9</x:v>
      </x:c>
      <x:c r="J710" s="10" t="n">
        <x:v>2</x:v>
      </x:c>
      <x:c r="K710" s="10" t="str">
        <x:v>16 Mo.</x:v>
      </x:c>
      <x:c r="L710" s="10" t="n">
        <x:v>17</x:v>
      </x:c>
      <x:c r="M710" s="10" t="n">
        <x:v>0</x:v>
      </x:c>
      <x:c r="N710" s="10" t="n">
        <x:v>209</x:v>
      </x:c>
      <x:c r="O710" s="10" t="str">
        <x:v>Home &amp; Living</x:v>
      </x:c>
      <x:c r="P710" s="10" t="n">
        <x:v>39</x:v>
      </x:c>
      <x:c r="Q710" s="10" t="n">
        <x:v>0</x:v>
      </x:c>
      <x:c r="R710" s="13" t="n">
        <x:v>4.31</x:v>
      </x:c>
      <x:c r="S710" s="10" t="n">
        <x:v>713</x:v>
      </x:c>
      <x:c r="T710" s="10" t="str">
        <x:v>loan payoff gift,credit card debt,debt avalanche,debt calculator,debt free gift,debt snowball,financial planner,fire movement,loan payoff tracker,mortgage payoff,no debt,personal finance,student loan debt</x:v>
      </x:c>
      <x:c r="U710" s="10" t="str">
        <x:v>loan payoff gift</x:v>
      </x:c>
      <x:c r="V710" s="10" t="str">
        <x:v>credit card debt</x:v>
      </x:c>
      <x:c r="W710" s="10" t="str">
        <x:v>debt avalanche</x:v>
      </x:c>
      <x:c r="X710" s="10" t="str">
        <x:v>debt calculator</x:v>
      </x:c>
      <x:c r="Y710" s="10" t="str">
        <x:v>debt free gift</x:v>
      </x:c>
      <x:c r="Z710" s="10" t="str">
        <x:v>debt snowball</x:v>
      </x:c>
      <x:c r="AA710" s="10" t="str">
        <x:v>financial planner</x:v>
      </x:c>
      <x:c r="AB710" s="10" t="str">
        <x:v>fire movement</x:v>
      </x:c>
      <x:c r="AC710" s="10" t="str">
        <x:v>loan payoff tracker</x:v>
      </x:c>
      <x:c r="AD710" s="10" t="str">
        <x:v>mortgage payoff</x:v>
      </x:c>
      <x:c r="AE710" s="10" t="str">
        <x:v>no debt</x:v>
      </x:c>
      <x:c r="AF710" s="10" t="str">
        <x:v>personal finance</x:v>
      </x:c>
      <x:c r="AG710" s="10" t="str">
        <x:v>student loan debt</x:v>
      </x:c>
      <x:c r="AH710" s="10" t="str">
        <x:v>Other mortgage-related</x:v>
      </x:c>
      <x:c r="AI710" s="13" t="n">
        <x:v>16</x:v>
      </x:c>
      <x:c r="AJ710" s="10" t="str">
        <x:f>IF(F710&gt;0,"Active","No est. sales")</x:f>
        <x:v>No est. sales</x:v>
      </x:c>
    </x:row>
    <x:row r="711">
      <x:c r="A711" s="10" t="str">
        <x:v>Net Worth AUD Tracker Google Sheets Template | Savings Property Stocks ETF Crypto Asset Portfolio | Automated Real Time Insights</x:v>
      </x:c>
      <x:c r="B711" s="10" t="str">
        <x:v>https://www.etsy.com/listing/1884825928/net-worth-aud-tracker-google-sheets</x:v>
      </x:c>
      <x:c r="C711" s="10" t="str">
        <x:v>SydneyRoadCreative</x:v>
      </x:c>
      <x:c r="D711" s="10" t="str">
        <x:v>https://www.etsy.com/shop/SydneyRoadCreative</x:v>
      </x:c>
      <x:c r="E711" s="11" t="n">
        <x:v>5.18</x:v>
      </x:c>
      <x:c r="F711" s="10" t="n">
        <x:v>0</x:v>
      </x:c>
      <x:c r="G711" s="12" t="n">
        <x:v>0</x:v>
      </x:c>
      <x:c r="H711" s="13" t="n">
        <x:v>0</x:v>
      </x:c>
      <x:c r="I711" s="10" t="n">
        <x:v>0</x:v>
      </x:c>
      <x:c r="J711" s="10" t="n">
        <x:v>0</x:v>
      </x:c>
      <x:c r="K711" s="10" t="str">
        <x:v>1 Mo.</x:v>
      </x:c>
      <x:c r="L711" s="10" t="n">
        <x:v>0</x:v>
      </x:c>
      <x:c r="M711" s="10" t="n">
        <x:v>0</x:v>
      </x:c>
      <x:c r="N711" s="10" t="n">
        <x:v>0</x:v>
      </x:c>
      <x:c r="O711" s="10" t="str"/>
      <x:c r="P711" s="10" t="n">
        <x:v>1</x:v>
      </x:c>
      <x:c r="Q711" s="10" t="n">
        <x:v>0</x:v>
      </x:c>
      <x:c r="R711" s="13" t="n">
        <x:v>0</x:v>
      </x:c>
      <x:c r="S711" s="10" t="n">
        <x:v>1</x:v>
      </x:c>
      <x:c r="T711" s="10" t="str">
        <x:v>net worth tracker,finance spreadsheet,budget planner,stocks etf crypto,property portfolio,personal finance,wealth track tool,digital asset,savings calculator,mortgage sheet,google sheets notion,microsoft excel,private privacy</x:v>
      </x:c>
      <x:c r="U711" s="10" t="str">
        <x:v>net worth tracker</x:v>
      </x:c>
      <x:c r="V711" s="10" t="str">
        <x:v>finance spreadsheet</x:v>
      </x:c>
      <x:c r="W711" s="10" t="str">
        <x:v>budget planner</x:v>
      </x:c>
      <x:c r="X711" s="10" t="str">
        <x:v>stocks etf crypto</x:v>
      </x:c>
      <x:c r="Y711" s="10" t="str">
        <x:v>property portfolio</x:v>
      </x:c>
      <x:c r="Z711" s="10" t="str">
        <x:v>personal finance</x:v>
      </x:c>
      <x:c r="AA711" s="10" t="str">
        <x:v>wealth track tool</x:v>
      </x:c>
      <x:c r="AB711" s="10" t="str">
        <x:v>digital asset</x:v>
      </x:c>
      <x:c r="AC711" s="10" t="str">
        <x:v>savings calculator</x:v>
      </x:c>
      <x:c r="AD711" s="10" t="str">
        <x:v>mortgage sheet</x:v>
      </x:c>
      <x:c r="AE711" s="10" t="str">
        <x:v>google sheets notion</x:v>
      </x:c>
      <x:c r="AF711" s="10" t="str">
        <x:v>microsoft excel</x:v>
      </x:c>
      <x:c r="AG711" s="10" t="str">
        <x:v>private privacy</x:v>
      </x:c>
      <x:c r="AH711" s="10" t="str">
        <x:v>Other mortgage-related</x:v>
      </x:c>
      <x:c r="AI711" s="13" t="n">
        <x:v>1</x:v>
      </x:c>
      <x:c r="AJ711" s="10" t="str">
        <x:f>IF(F711&gt;0,"Active","No est. sales")</x:f>
        <x:v>No est. sales</x:v>
      </x:c>
    </x:row>
    <x:row r="712">
      <x:c r="A712" s="10" t="str">
        <x:v>Fast Track Your Mortgage Guide: Pay Off Home in 5-7 Years (Digital)</x:v>
      </x:c>
      <x:c r="B712" s="10" t="str">
        <x:v>https://www.etsy.com/listing/4307005975/fast-track-your-mortgage-guide-pay-off</x:v>
      </x:c>
      <x:c r="C712" s="10" t="str">
        <x:v>MarkupMagic23</x:v>
      </x:c>
      <x:c r="D712" s="10" t="str">
        <x:v>https://www.etsy.com/shop/MarkupMagic23</x:v>
      </x:c>
      <x:c r="E712" s="11" t="n">
        <x:v>9.99</x:v>
      </x:c>
      <x:c r="F712" s="10" t="n">
        <x:v>0</x:v>
      </x:c>
      <x:c r="G712" s="12" t="n">
        <x:v>0</x:v>
      </x:c>
      <x:c r="H712" s="13" t="n">
        <x:v>0</x:v>
      </x:c>
      <x:c r="I712" s="10" t="n">
        <x:v>0</x:v>
      </x:c>
      <x:c r="J712" s="10" t="n">
        <x:v>0</x:v>
      </x:c>
      <x:c r="K712" s="10" t="str">
        <x:v>12 Mo.</x:v>
      </x:c>
      <x:c r="L712" s="10" t="n">
        <x:v>2</x:v>
      </x:c>
      <x:c r="M712" s="10" t="n">
        <x:v>0</x:v>
      </x:c>
      <x:c r="N712" s="10" t="n">
        <x:v>102</x:v>
      </x:c>
      <x:c r="O712" s="10" t="str">
        <x:v>Art &amp; Collectibles</x:v>
      </x:c>
      <x:c r="P712" s="10" t="n">
        <x:v>35</x:v>
      </x:c>
      <x:c r="Q712" s="10" t="n">
        <x:v>0</x:v>
      </x:c>
      <x:c r="R712" s="13" t="n">
        <x:v>0</x:v>
      </x:c>
      <x:c r="S712" s="10" t="n">
        <x:v>40</x:v>
      </x:c>
      <x:c r="T712" s="10" t="str">
        <x:v>mortgage payoff,debt free printable,home loan tracker,financial planner,money guide,early mortgage pay</x:v>
      </x:c>
      <x:c r="U712" s="10" t="str">
        <x:v>mortgage payoff</x:v>
      </x:c>
      <x:c r="V712" s="10" t="str">
        <x:v>debt free printable</x:v>
      </x:c>
      <x:c r="W712" s="10" t="str">
        <x:v>home loan tracker</x:v>
      </x:c>
      <x:c r="X712" s="10" t="str">
        <x:v>financial planner</x:v>
      </x:c>
      <x:c r="Y712" s="10" t="str">
        <x:v>money guide</x:v>
      </x:c>
      <x:c r="Z712" s="10" t="str">
        <x:v>early mortgage pay</x:v>
      </x:c>
      <x:c r="AA712" s="10" t="str">
        <x:v>--</x:v>
      </x:c>
      <x:c r="AB712" s="10" t="str">
        <x:v>--</x:v>
      </x:c>
      <x:c r="AC712" s="10" t="str">
        <x:v>--</x:v>
      </x:c>
      <x:c r="AD712" s="10" t="str">
        <x:v>--</x:v>
      </x:c>
      <x:c r="AE712" s="10" t="str">
        <x:v>--</x:v>
      </x:c>
      <x:c r="AF712" s="10" t="str">
        <x:v>--</x:v>
      </x:c>
      <x:c r="AG712" s="10" t="str">
        <x:v>--</x:v>
      </x:c>
      <x:c r="AH712" s="10" t="str">
        <x:v>Other mortgage-related</x:v>
      </x:c>
      <x:c r="AI712" s="13" t="n">
        <x:v>12</x:v>
      </x:c>
      <x:c r="AJ712" s="10" t="str">
        <x:f>IF(F712&gt;0,"Active","No est. sales")</x:f>
        <x:v>No est. sales</x:v>
      </x:c>
    </x:row>
    <x:row r="713">
      <x:c r="A713" s="10" t="str">
        <x:v>Mortgage Deposit Savings Tracker | Excel Google Sheets Template (EUR, GBP, USD)</x:v>
      </x:c>
      <x:c r="B713" s="10" t="str">
        <x:v>https://www.etsy.com/listing/4518004200/mortgage-deposit-savings-tracker-house</x:v>
      </x:c>
      <x:c r="C713" s="10" t="str">
        <x:v>PracticalFinanStudio</x:v>
      </x:c>
      <x:c r="D713" s="10" t="str">
        <x:v>https://www.etsy.com/shop/PracticalFinanStudio</x:v>
      </x:c>
      <x:c r="E713" s="11" t="n">
        <x:v>4.82</x:v>
      </x:c>
      <x:c r="F713" s="10" t="n">
        <x:v>0</x:v>
      </x:c>
      <x:c r="G713" s="12" t="n">
        <x:v>0</x:v>
      </x:c>
      <x:c r="H713" s="13" t="n">
        <x:v>0</x:v>
      </x:c>
      <x:c r="I713" s="10" t="n">
        <x:v>0</x:v>
      </x:c>
      <x:c r="J713" s="10" t="n">
        <x:v>0</x:v>
      </x:c>
      <x:c r="K713" s="10" t="str">
        <x:v>1 Mo.</x:v>
      </x:c>
      <x:c r="L713" s="10" t="n">
        <x:v>0</x:v>
      </x:c>
      <x:c r="M713" s="10" t="n">
        <x:v>0</x:v>
      </x:c>
      <x:c r="N713" s="10" t="n">
        <x:v>6</x:v>
      </x:c>
      <x:c r="O713" s="10" t="str"/>
      <x:c r="P713" s="10" t="n">
        <x:v>0</x:v>
      </x:c>
      <x:c r="Q713" s="10" t="n">
        <x:v>0</x:v>
      </x:c>
      <x:c r="R713" s="13" t="n">
        <x:v>0</x:v>
      </x:c>
      <x:c r="S713" s="10" t="n">
        <x:v>0</x:v>
      </x:c>
      <x:c r="T713" s="10" t="str">
        <x:v>mortgage tracker,deposit tracker,savings tracker,house deposit,home savings,budget planner,excel template,google sheets,finance tracker,money planner,first home buyer,savings planner,digital download</x:v>
      </x:c>
      <x:c r="U713" s="10" t="str">
        <x:v>mortgage tracker</x:v>
      </x:c>
      <x:c r="V713" s="10" t="str">
        <x:v>deposit tracker</x:v>
      </x:c>
      <x:c r="W713" s="10" t="str">
        <x:v>savings tracker</x:v>
      </x:c>
      <x:c r="X713" s="10" t="str">
        <x:v>house deposit</x:v>
      </x:c>
      <x:c r="Y713" s="10" t="str">
        <x:v>home savings</x:v>
      </x:c>
      <x:c r="Z713" s="10" t="str">
        <x:v>budget planner</x:v>
      </x:c>
      <x:c r="AA713" s="10" t="str">
        <x:v>excel template</x:v>
      </x:c>
      <x:c r="AB713" s="10" t="str">
        <x:v>google sheets</x:v>
      </x:c>
      <x:c r="AC713" s="10" t="str">
        <x:v>finance tracker</x:v>
      </x:c>
      <x:c r="AD713" s="10" t="str">
        <x:v>money planner</x:v>
      </x:c>
      <x:c r="AE713" s="10" t="str">
        <x:v>first home buyer</x:v>
      </x:c>
      <x:c r="AF713" s="10" t="str">
        <x:v>savings planner</x:v>
      </x:c>
      <x:c r="AG713" s="10" t="str">
        <x:v>digital download</x:v>
      </x:c>
      <x:c r="AH713" s="10" t="str">
        <x:v>Other mortgage-related</x:v>
      </x:c>
      <x:c r="AI713" s="13" t="n">
        <x:v>1</x:v>
      </x:c>
      <x:c r="AJ713" s="10" t="str">
        <x:f>IF(F713&gt;0,"Active","No est. sales")</x:f>
        <x:v>No est. sales</x:v>
      </x:c>
    </x:row>
    <x:row r="714">
      <x:c r="A714" s="10" t="str">
        <x:v>First Time Home Buyer Guide &amp; Excel Workbook | Mortgage Calculator, DTI and Affordability, Savings Tracker, Closing Cost Planner USA</x:v>
      </x:c>
      <x:c r="B714" s="10" t="str">
        <x:v>https://www.etsy.com/listing/4506426099/first-time-home-buyer-guide-excel</x:v>
      </x:c>
      <x:c r="C714" s="10" t="str">
        <x:v>SimplyCents</x:v>
      </x:c>
      <x:c r="D714" s="10" t="str">
        <x:v>https://www.etsy.com/shop/SimplyCents</x:v>
      </x:c>
      <x:c r="E714" s="11" t="n">
        <x:v>25</x:v>
      </x:c>
      <x:c r="F714" s="10" t="n">
        <x:v>0</x:v>
      </x:c>
      <x:c r="G714" s="12" t="n">
        <x:v>0</x:v>
      </x:c>
      <x:c r="H714" s="13" t="n">
        <x:v>0</x:v>
      </x:c>
      <x:c r="I714" s="10" t="n">
        <x:v>0</x:v>
      </x:c>
      <x:c r="J714" s="10" t="n">
        <x:v>0</x:v>
      </x:c>
      <x:c r="K714" s="10" t="str">
        <x:v>1 Mo.</x:v>
      </x:c>
      <x:c r="L714" s="10" t="n">
        <x:v>0</x:v>
      </x:c>
      <x:c r="M714" s="10" t="n">
        <x:v>0</x:v>
      </x:c>
      <x:c r="N714" s="10" t="n">
        <x:v>9</x:v>
      </x:c>
      <x:c r="O714" s="10" t="str"/>
      <x:c r="P714" s="10" t="n">
        <x:v>1</x:v>
      </x:c>
      <x:c r="Q714" s="10" t="n">
        <x:v>0</x:v>
      </x:c>
      <x:c r="R714" s="13" t="n">
        <x:v>0</x:v>
      </x:c>
      <x:c r="S714" s="10" t="n">
        <x:v>0</x:v>
      </x:c>
      <x:c r="T714" s="10" t="str">
        <x:v>first time buyer,home buying guide,mortgage calculator,home buyer checklist,house buying planner,diy home buying,budget spreadsheet,savings tracker,closing cost,dti calculator,home loan guide,real estate planner,google sheets budget</x:v>
      </x:c>
      <x:c r="U714" s="10" t="str">
        <x:v>first time buyer</x:v>
      </x:c>
      <x:c r="V714" s="10" t="str">
        <x:v>home buying guide</x:v>
      </x:c>
      <x:c r="W714" s="10" t="str">
        <x:v>mortgage calculator</x:v>
      </x:c>
      <x:c r="X714" s="10" t="str">
        <x:v>home buyer checklist</x:v>
      </x:c>
      <x:c r="Y714" s="10" t="str">
        <x:v>house buying planner</x:v>
      </x:c>
      <x:c r="Z714" s="10" t="str">
        <x:v>diy home buying</x:v>
      </x:c>
      <x:c r="AA714" s="10" t="str">
        <x:v>budget spreadsheet</x:v>
      </x:c>
      <x:c r="AB714" s="10" t="str">
        <x:v>savings tracker</x:v>
      </x:c>
      <x:c r="AC714" s="10" t="str">
        <x:v>closing cost</x:v>
      </x:c>
      <x:c r="AD714" s="10" t="str">
        <x:v>dti calculator</x:v>
      </x:c>
      <x:c r="AE714" s="10" t="str">
        <x:v>home loan guide</x:v>
      </x:c>
      <x:c r="AF714" s="10" t="str">
        <x:v>real estate planner</x:v>
      </x:c>
      <x:c r="AG714" s="10" t="str">
        <x:v>google sheets budget</x:v>
      </x:c>
      <x:c r="AH714" s="10" t="str">
        <x:v>Home buying planner</x:v>
      </x:c>
      <x:c r="AI714" s="13" t="n">
        <x:v>1</x:v>
      </x:c>
      <x:c r="AJ714" s="10" t="str">
        <x:f>IF(F714&gt;0,"Active","No est. sales")</x:f>
        <x:v>No est. sales</x:v>
      </x:c>
    </x:row>
    <x:row r="715">
      <x:c r="A715" s="10" t="str">
        <x:v>Debt Visualization GoodNotes, Notability Debt Manager, Digital Planner, Payment Tracker, Student Loans, Credit Card, Mortgage, Stickers</x:v>
      </x:c>
      <x:c r="B715" s="10" t="str">
        <x:v>https://www.etsy.com/listing/1299320909/debt-visualization-goodnotes-notability</x:v>
      </x:c>
      <x:c r="C715" s="10" t="str">
        <x:v>PartialPlanner</x:v>
      </x:c>
      <x:c r="D715" s="10" t="str">
        <x:v>https://www.etsy.com/shop/PartialPlanner</x:v>
      </x:c>
      <x:c r="E715" s="11" t="n">
        <x:v>1</x:v>
      </x:c>
      <x:c r="F715" s="10" t="n">
        <x:v>0</x:v>
      </x:c>
      <x:c r="G715" s="12" t="n">
        <x:v>0</x:v>
      </x:c>
      <x:c r="H715" s="13" t="n">
        <x:v>0</x:v>
      </x:c>
      <x:c r="I715" s="10" t="n">
        <x:v>0</x:v>
      </x:c>
      <x:c r="J715" s="10" t="n">
        <x:v>0</x:v>
      </x:c>
      <x:c r="K715" s="10" t="str">
        <x:v>29 Mo.</x:v>
      </x:c>
      <x:c r="L715" s="10" t="n">
        <x:v>2</x:v>
      </x:c>
      <x:c r="M715" s="10" t="n">
        <x:v>0</x:v>
      </x:c>
      <x:c r="N715" s="10" t="n">
        <x:v>28</x:v>
      </x:c>
      <x:c r="O715" s="10" t="str"/>
      <x:c r="P715" s="10" t="n">
        <x:v>29</x:v>
      </x:c>
      <x:c r="Q715" s="10" t="n">
        <x:v>0</x:v>
      </x:c>
      <x:c r="R715" s="13" t="n">
        <x:v>0</x:v>
      </x:c>
      <x:c r="S715" s="10" t="n">
        <x:v>1</x:v>
      </x:c>
      <x:c r="T715" s="10" t="str">
        <x:v>digital planner,goodnotes,notability,debt tracker,debt planner,payment tracker,stickers,debt visualization,notes,student loans,mortgage,credit card,car payment</x:v>
      </x:c>
      <x:c r="U715" s="10" t="str">
        <x:v>digital planner</x:v>
      </x:c>
      <x:c r="V715" s="10" t="str">
        <x:v>goodnotes</x:v>
      </x:c>
      <x:c r="W715" s="10" t="str">
        <x:v>notability</x:v>
      </x:c>
      <x:c r="X715" s="10" t="str">
        <x:v>debt tracker</x:v>
      </x:c>
      <x:c r="Y715" s="10" t="str">
        <x:v>debt planner</x:v>
      </x:c>
      <x:c r="Z715" s="10" t="str">
        <x:v>payment tracker</x:v>
      </x:c>
      <x:c r="AA715" s="10" t="str">
        <x:v>stickers</x:v>
      </x:c>
      <x:c r="AB715" s="10" t="str">
        <x:v>debt visualization</x:v>
      </x:c>
      <x:c r="AC715" s="10" t="str">
        <x:v>notes</x:v>
      </x:c>
      <x:c r="AD715" s="10" t="str">
        <x:v>student loans</x:v>
      </x:c>
      <x:c r="AE715" s="10" t="str">
        <x:v>mortgage</x:v>
      </x:c>
      <x:c r="AF715" s="10" t="str">
        <x:v>credit card</x:v>
      </x:c>
      <x:c r="AG715" s="10" t="str">
        <x:v>car payment</x:v>
      </x:c>
      <x:c r="AH715" s="10" t="str">
        <x:v>Other mortgage-related</x:v>
      </x:c>
      <x:c r="AI715" s="13" t="n">
        <x:v>29</x:v>
      </x:c>
      <x:c r="AJ715" s="10" t="str">
        <x:f>IF(F715&gt;0,"Active","No est. sales")</x:f>
        <x:v>No est. sales</x:v>
      </x:c>
    </x:row>
    <x:row r="716">
      <x:c r="A716" s="10" t="str">
        <x:v>Unlocked Negotiations PDF | Cars, Homes, Mortgages, Salary, Everyday Deals, 90-Day Planner | Digital Download</x:v>
      </x:c>
      <x:c r="B716" s="10" t="str">
        <x:v>https://www.etsy.com/listing/4514197242/unlocked-negotiations-pdf-cars-homes</x:v>
      </x:c>
      <x:c r="C716" s="10" t="str">
        <x:v>TheUnlockedSeries</x:v>
      </x:c>
      <x:c r="D716" s="10" t="str">
        <x:v>https://www.etsy.com/shop/TheUnlockedSeries</x:v>
      </x:c>
      <x:c r="E716" s="11" t="n">
        <x:v>7.99</x:v>
      </x:c>
      <x:c r="F716" s="10" t="n">
        <x:v>0</x:v>
      </x:c>
      <x:c r="G716" s="12" t="n">
        <x:v>0</x:v>
      </x:c>
      <x:c r="H716" s="13" t="n">
        <x:v>0</x:v>
      </x:c>
      <x:c r="I716" s="10" t="n">
        <x:v>0</x:v>
      </x:c>
      <x:c r="J716" s="10" t="n">
        <x:v>0</x:v>
      </x:c>
      <x:c r="K716" s="10" t="str">
        <x:v>1 Mo.</x:v>
      </x:c>
      <x:c r="L716" s="10" t="n">
        <x:v>0</x:v>
      </x:c>
      <x:c r="M716" s="10" t="n">
        <x:v>0</x:v>
      </x:c>
      <x:c r="N716" s="10" t="n">
        <x:v>0</x:v>
      </x:c>
      <x:c r="O716" s="10" t="str">
        <x:v>Books, Movies &amp; Music</x:v>
      </x:c>
      <x:c r="P716" s="10" t="n">
        <x:v>1</x:v>
      </x:c>
      <x:c r="Q716" s="10" t="n">
        <x:v>0</x:v>
      </x:c>
      <x:c r="R716" s="13" t="n">
        <x:v>0</x:v>
      </x:c>
      <x:c r="S716" s="10" t="n">
        <x:v>0</x:v>
      </x:c>
      <x:c r="T716" s="10" t="str">
        <x:v>how to negotiate,car negotiation,salary negotiation,home buying tips,mortgage negotiation,negotiation tactics,negotiation scripts,art of negotiation,money saving guide,ebook download,self improvement,business skills pdf,negotiation guide</x:v>
      </x:c>
      <x:c r="U716" s="10" t="str">
        <x:v>how to negotiate</x:v>
      </x:c>
      <x:c r="V716" s="10" t="str">
        <x:v>car negotiation</x:v>
      </x:c>
      <x:c r="W716" s="10" t="str">
        <x:v>salary negotiation</x:v>
      </x:c>
      <x:c r="X716" s="10" t="str">
        <x:v>home buying tips</x:v>
      </x:c>
      <x:c r="Y716" s="10" t="str">
        <x:v>mortgage negotiation</x:v>
      </x:c>
      <x:c r="Z716" s="10" t="str">
        <x:v>negotiation tactics</x:v>
      </x:c>
      <x:c r="AA716" s="10" t="str">
        <x:v>negotiation scripts</x:v>
      </x:c>
      <x:c r="AB716" s="10" t="str">
        <x:v>art of negotiation</x:v>
      </x:c>
      <x:c r="AC716" s="10" t="str">
        <x:v>money saving guide</x:v>
      </x:c>
      <x:c r="AD716" s="10" t="str">
        <x:v>ebook download</x:v>
      </x:c>
      <x:c r="AE716" s="10" t="str">
        <x:v>self improvement</x:v>
      </x:c>
      <x:c r="AF716" s="10" t="str">
        <x:v>business skills pdf</x:v>
      </x:c>
      <x:c r="AG716" s="10" t="str">
        <x:v>negotiation guide</x:v>
      </x:c>
      <x:c r="AH716" s="10" t="str">
        <x:v>Other mortgage-related</x:v>
      </x:c>
      <x:c r="AI716" s="13" t="n">
        <x:v>1</x:v>
      </x:c>
      <x:c r="AJ716" s="10" t="str">
        <x:f>IF(F716&gt;0,"Active","No est. sales")</x:f>
        <x:v>No est. sales</x:v>
      </x:c>
    </x:row>
    <x:row r="717">
      <x:c r="A717" s="10" t="str">
        <x:v>Mortgage Overpayment Calculator UK | Property Equity Tracker and Savings Spreadsheet | First Home Budget Planner Excel XLSX</x:v>
      </x:c>
      <x:c r="B717" s="10" t="str">
        <x:v>https://www.etsy.com/listing/1843838614/mortgage-overpayment-calculator</x:v>
      </x:c>
      <x:c r="C717" s="10" t="str">
        <x:v>PineappleTapped</x:v>
      </x:c>
      <x:c r="D717" s="10" t="str">
        <x:v>https://www.etsy.com/shop/PineappleTapped</x:v>
      </x:c>
      <x:c r="E717" s="11" t="n">
        <x:v>8.03</x:v>
      </x:c>
      <x:c r="F717" s="10" t="n">
        <x:v>0</x:v>
      </x:c>
      <x:c r="G717" s="12" t="n">
        <x:v>0</x:v>
      </x:c>
      <x:c r="H717" s="13" t="n">
        <x:v>0</x:v>
      </x:c>
      <x:c r="I717" s="10" t="n">
        <x:v>0</x:v>
      </x:c>
      <x:c r="J717" s="10" t="n">
        <x:v>2</x:v>
      </x:c>
      <x:c r="K717" s="10" t="str">
        <x:v>16 Mo.</x:v>
      </x:c>
      <x:c r="L717" s="10" t="n">
        <x:v>6</x:v>
      </x:c>
      <x:c r="M717" s="10" t="n">
        <x:v>0</x:v>
      </x:c>
      <x:c r="N717" s="10" t="n">
        <x:v>151</x:v>
      </x:c>
      <x:c r="O717" s="10" t="str"/>
      <x:c r="P717" s="10" t="n">
        <x:v>17</x:v>
      </x:c>
      <x:c r="Q717" s="10" t="n">
        <x:v>0</x:v>
      </x:c>
      <x:c r="R717" s="13" t="n">
        <x:v>0</x:v>
      </x:c>
      <x:c r="S717" s="10" t="n">
        <x:v>14</x:v>
      </x:c>
      <x:c r="T717" s="10" t="str">
        <x:v>mortgage calculator,mortgage overpayment,mortgage,over payment,mortgage tracker,mortgage spreadsheet,home budget tracker,new home,savings tracker,money tracker,mortgage payments,property equity uk,uk mortgage planner</x:v>
      </x:c>
      <x:c r="U717" s="10" t="str">
        <x:v>mortgage calculator</x:v>
      </x:c>
      <x:c r="V717" s="10" t="str">
        <x:v>mortgage overpayment</x:v>
      </x:c>
      <x:c r="W717" s="10" t="str">
        <x:v>mortgage</x:v>
      </x:c>
      <x:c r="X717" s="10" t="str">
        <x:v>over payment</x:v>
      </x:c>
      <x:c r="Y717" s="10" t="str">
        <x:v>mortgage tracker</x:v>
      </x:c>
      <x:c r="Z717" s="10" t="str">
        <x:v>mortgage spreadsheet</x:v>
      </x:c>
      <x:c r="AA717" s="10" t="str">
        <x:v>home budget tracker</x:v>
      </x:c>
      <x:c r="AB717" s="10" t="str">
        <x:v>new home</x:v>
      </x:c>
      <x:c r="AC717" s="10" t="str">
        <x:v>savings tracker</x:v>
      </x:c>
      <x:c r="AD717" s="10" t="str">
        <x:v>money tracker</x:v>
      </x:c>
      <x:c r="AE717" s="10" t="str">
        <x:v>mortgage payments</x:v>
      </x:c>
      <x:c r="AF717" s="10" t="str">
        <x:v>property equity uk</x:v>
      </x:c>
      <x:c r="AG717" s="10" t="str">
        <x:v>uk mortgage planner</x:v>
      </x:c>
      <x:c r="AH717" s="10" t="str">
        <x:v>Other mortgage-related</x:v>
      </x:c>
      <x:c r="AI717" s="13" t="n">
        <x:v>16</x:v>
      </x:c>
      <x:c r="AJ717" s="10" t="str">
        <x:f>IF(F717&gt;0,"Active","No est. sales")</x:f>
        <x:v>No est. sales</x:v>
      </x:c>
    </x:row>
    <x:row r="718">
      <x:c r="A718" s="10" t="str">
        <x:v>Mortgage Broker DAILY PLANNER | Loan Officer Organizer | New Loan Officer Tools | Mortgage Loan Officer Checklist | Neutral CANVA Template</x:v>
      </x:c>
      <x:c r="B718" s="10" t="str">
        <x:v>https://www.etsy.com/listing/1639132054/mortgage-broker-daily-planner-loan</x:v>
      </x:c>
      <x:c r="C718" s="10" t="str">
        <x:v>LuxeLenderMarketing</x:v>
      </x:c>
      <x:c r="D718" s="10" t="str">
        <x:v>https://www.etsy.com/shop/LuxeLenderMarketing</x:v>
      </x:c>
      <x:c r="E718" s="11" t="n">
        <x:v>2.99</x:v>
      </x:c>
      <x:c r="F718" s="10" t="n">
        <x:v>0</x:v>
      </x:c>
      <x:c r="G718" s="12" t="n">
        <x:v>0</x:v>
      </x:c>
      <x:c r="H718" s="13" t="n">
        <x:v>0</x:v>
      </x:c>
      <x:c r="I718" s="10" t="n">
        <x:v>0</x:v>
      </x:c>
      <x:c r="J718" s="10" t="n">
        <x:v>0</x:v>
      </x:c>
      <x:c r="K718" s="10" t="str">
        <x:v>28 Mo.</x:v>
      </x:c>
      <x:c r="L718" s="10" t="n">
        <x:v>19</x:v>
      </x:c>
      <x:c r="M718" s="10" t="n">
        <x:v>0</x:v>
      </x:c>
      <x:c r="N718" s="10" t="n">
        <x:v>408</x:v>
      </x:c>
      <x:c r="O718" s="10" t="str"/>
      <x:c r="P718" s="10" t="n">
        <x:v>33</x:v>
      </x:c>
      <x:c r="Q718" s="10" t="n">
        <x:v>0</x:v>
      </x:c>
      <x:c r="R718" s="13" t="n">
        <x:v>0</x:v>
      </x:c>
      <x:c r="S718" s="10" t="n">
        <x:v>110</x:v>
      </x:c>
      <x:c r="T718" s="10" t="str">
        <x:v>loan officer,mortgage broker,digital task list,mortgage planner,mortgage checklist,loan officer to do,loan officer planner,real estate planner,mortgage broker task,neutral,marketing,social media,gray</x:v>
      </x:c>
      <x:c r="U718" s="10" t="str">
        <x:v>loan officer</x:v>
      </x:c>
      <x:c r="V718" s="10" t="str">
        <x:v>mortgage broker</x:v>
      </x:c>
      <x:c r="W718" s="10" t="str">
        <x:v>digital task list</x:v>
      </x:c>
      <x:c r="X718" s="10" t="str">
        <x:v>mortgage planner</x:v>
      </x:c>
      <x:c r="Y718" s="10" t="str">
        <x:v>mortgage checklist</x:v>
      </x:c>
      <x:c r="Z718" s="10" t="str">
        <x:v>loan officer to do</x:v>
      </x:c>
      <x:c r="AA718" s="10" t="str">
        <x:v>loan officer planner</x:v>
      </x:c>
      <x:c r="AB718" s="10" t="str">
        <x:v>real estate planner</x:v>
      </x:c>
      <x:c r="AC718" s="10" t="str">
        <x:v>mortgage broker task</x:v>
      </x:c>
      <x:c r="AD718" s="10" t="str">
        <x:v>neutral</x:v>
      </x:c>
      <x:c r="AE718" s="10" t="str">
        <x:v>marketing</x:v>
      </x:c>
      <x:c r="AF718" s="10" t="str">
        <x:v>social media</x:v>
      </x:c>
      <x:c r="AG718" s="10" t="str">
        <x:v>gray</x:v>
      </x:c>
      <x:c r="AH718" s="10" t="str">
        <x:v>Loan officer / B2B</x:v>
      </x:c>
      <x:c r="AI718" s="13" t="n">
        <x:v>28</x:v>
      </x:c>
      <x:c r="AJ718" s="10" t="str">
        <x:f>IF(F718&gt;0,"Active","No est. sales")</x:f>
        <x:v>No est. sales</x:v>
      </x:c>
    </x:row>
    <x:row r="719">
      <x:c r="A719" s="10" t="str">
        <x:v>Printable Mortgage Tracker | Erin Condren 7x9 Note Pages</x:v>
      </x:c>
      <x:c r="B719" s="10" t="str">
        <x:v>https://www.etsy.com/listing/1340517878/printable-mortgage-tracker-erin-condren</x:v>
      </x:c>
      <x:c r="C719" s="10" t="str">
        <x:v>romoplans</x:v>
      </x:c>
      <x:c r="D719" s="10" t="str">
        <x:v>https://www.etsy.com/shop/romoplans</x:v>
      </x:c>
      <x:c r="E719" s="11" t="n">
        <x:v>2</x:v>
      </x:c>
      <x:c r="F719" s="10" t="n">
        <x:v>0</x:v>
      </x:c>
      <x:c r="G719" s="12" t="n">
        <x:v>0</x:v>
      </x:c>
      <x:c r="H719" s="13" t="n">
        <x:v>0</x:v>
      </x:c>
      <x:c r="I719" s="10" t="n">
        <x:v>0</x:v>
      </x:c>
      <x:c r="J719" s="10" t="n">
        <x:v>0</x:v>
      </x:c>
      <x:c r="K719" s="10" t="str">
        <x:v>32 Mo.</x:v>
      </x:c>
      <x:c r="L719" s="10" t="n">
        <x:v>5</x:v>
      </x:c>
      <x:c r="M719" s="10" t="n">
        <x:v>0</x:v>
      </x:c>
      <x:c r="N719" s="10" t="n">
        <x:v>48</x:v>
      </x:c>
      <x:c r="O719" s="10" t="str">
        <x:v>Paper &amp; Party Supplies</x:v>
      </x:c>
      <x:c r="P719" s="10" t="n">
        <x:v>56</x:v>
      </x:c>
      <x:c r="Q719" s="10" t="n">
        <x:v>0</x:v>
      </x:c>
      <x:c r="R719" s="13" t="n">
        <x:v>0</x:v>
      </x:c>
      <x:c r="S719" s="10" t="n">
        <x:v>16666</x:v>
      </x:c>
      <x:c r="T719" s="10" t="str">
        <x:v>printable tracker,printable sticker,debt tracker,printable debt,debt payoff,budget tracker,budget planner,silhouette,cricut,print and cut,debt,payoff,mortgage</x:v>
      </x:c>
      <x:c r="U719" s="10" t="str">
        <x:v>printable tracker</x:v>
      </x:c>
      <x:c r="V719" s="10" t="str">
        <x:v>printable sticker</x:v>
      </x:c>
      <x:c r="W719" s="10" t="str">
        <x:v>debt tracker</x:v>
      </x:c>
      <x:c r="X719" s="10" t="str">
        <x:v>printable debt</x:v>
      </x:c>
      <x:c r="Y719" s="10" t="str">
        <x:v>debt payoff</x:v>
      </x:c>
      <x:c r="Z719" s="10" t="str">
        <x:v>budget tracker</x:v>
      </x:c>
      <x:c r="AA719" s="10" t="str">
        <x:v>budget planner</x:v>
      </x:c>
      <x:c r="AB719" s="10" t="str">
        <x:v>silhouette</x:v>
      </x:c>
      <x:c r="AC719" s="10" t="str">
        <x:v>cricut</x:v>
      </x:c>
      <x:c r="AD719" s="10" t="str">
        <x:v>print and cut</x:v>
      </x:c>
      <x:c r="AE719" s="10" t="str">
        <x:v>debt</x:v>
      </x:c>
      <x:c r="AF719" s="10" t="str">
        <x:v>payoff</x:v>
      </x:c>
      <x:c r="AG719" s="10" t="str">
        <x:v>mortgage</x:v>
      </x:c>
      <x:c r="AH719" s="10" t="str">
        <x:v>Other mortgage-related</x:v>
      </x:c>
      <x:c r="AI719" s="13" t="n">
        <x:v>32</x:v>
      </x:c>
      <x:c r="AJ719" s="10" t="str">
        <x:f>IF(F719&gt;0,"Active","No est. sales")</x:f>
        <x:v>No est. sales</x:v>
      </x:c>
    </x:row>
    <x:row r="720">
      <x:c r="A720" s="10" t="str">
        <x:v>Home Buying Planner: First Time Buyer Guide (Digital Download)</x:v>
      </x:c>
      <x:c r="B720" s="10" t="str">
        <x:v>https://www.etsy.com/listing/4366132803/home-buying-planner-first-time-buyer</x:v>
      </x:c>
      <x:c r="C720" s="10" t="str">
        <x:v>BombosticStudio</x:v>
      </x:c>
      <x:c r="D720" s="10" t="str">
        <x:v>https://www.etsy.com/shop/BombosticStudio</x:v>
      </x:c>
      <x:c r="E720" s="11" t="n">
        <x:v>3</x:v>
      </x:c>
      <x:c r="F720" s="10" t="n">
        <x:v>0</x:v>
      </x:c>
      <x:c r="G720" s="12" t="n">
        <x:v>0</x:v>
      </x:c>
      <x:c r="H720" s="13" t="n">
        <x:v>0</x:v>
      </x:c>
      <x:c r="I720" s="10" t="n">
        <x:v>0</x:v>
      </x:c>
      <x:c r="J720" s="10" t="n">
        <x:v>0</x:v>
      </x:c>
      <x:c r="K720" s="10" t="str">
        <x:v>1 Mo.</x:v>
      </x:c>
      <x:c r="L720" s="10" t="n">
        <x:v>1</x:v>
      </x:c>
      <x:c r="M720" s="10" t="n">
        <x:v>0</x:v>
      </x:c>
      <x:c r="N720" s="10" t="n">
        <x:v>1</x:v>
      </x:c>
      <x:c r="O720" s="10" t="str">
        <x:v>Paper &amp; Party Supplies</x:v>
      </x:c>
      <x:c r="P720" s="10" t="n">
        <x:v>2</x:v>
      </x:c>
      <x:c r="Q720" s="10" t="n">
        <x:v>0</x:v>
      </x:c>
      <x:c r="R720" s="13" t="n">
        <x:v>0</x:v>
      </x:c>
      <x:c r="S720" s="10" t="n">
        <x:v>1</x:v>
      </x:c>
      <x:c r="T720" s="10" t="str">
        <x:v>home planner,buying house pdf,real estate guide,home checklist,house purchase log,mortgage planner,home buying pdf,moving checklist,real estate pdf,property guide,new home plan,house organizer,buyer planner</x:v>
      </x:c>
      <x:c r="U720" s="10" t="str">
        <x:v>home planner</x:v>
      </x:c>
      <x:c r="V720" s="10" t="str">
        <x:v>buying house pdf</x:v>
      </x:c>
      <x:c r="W720" s="10" t="str">
        <x:v>real estate guide</x:v>
      </x:c>
      <x:c r="X720" s="10" t="str">
        <x:v>home checklist</x:v>
      </x:c>
      <x:c r="Y720" s="10" t="str">
        <x:v>house purchase log</x:v>
      </x:c>
      <x:c r="Z720" s="10" t="str">
        <x:v>mortgage planner</x:v>
      </x:c>
      <x:c r="AA720" s="10" t="str">
        <x:v>home buying pdf</x:v>
      </x:c>
      <x:c r="AB720" s="10" t="str">
        <x:v>moving checklist</x:v>
      </x:c>
      <x:c r="AC720" s="10" t="str">
        <x:v>real estate pdf</x:v>
      </x:c>
      <x:c r="AD720" s="10" t="str">
        <x:v>property guide</x:v>
      </x:c>
      <x:c r="AE720" s="10" t="str">
        <x:v>new home plan</x:v>
      </x:c>
      <x:c r="AF720" s="10" t="str">
        <x:v>house organizer</x:v>
      </x:c>
      <x:c r="AG720" s="10" t="str">
        <x:v>buyer planner</x:v>
      </x:c>
      <x:c r="AH720" s="10" t="str">
        <x:v>Home buying planner</x:v>
      </x:c>
      <x:c r="AI720" s="13" t="n">
        <x:v>1</x:v>
      </x:c>
      <x:c r="AJ720" s="10" t="str">
        <x:f>IF(F720&gt;0,"Active","No est. sales")</x:f>
        <x:v>No est. sales</x:v>
      </x:c>
    </x:row>
    <x:row r="721">
      <x:c r="A721" s="10" t="str">
        <x:v>Loan Calculator Template: Excel &amp; Google Sheets Debt Tracker (Digital Download</x:v>
      </x:c>
      <x:c r="B721" s="10" t="str">
        <x:v>https://www.etsy.com/listing/4332885822/loan-calculator-template-excel-google</x:v>
      </x:c>
      <x:c r="C721" s="10" t="str">
        <x:v>INSPIRACORE</x:v>
      </x:c>
      <x:c r="D721" s="10" t="str">
        <x:v>https://www.etsy.com/shop/INSPIRACORE</x:v>
      </x:c>
      <x:c r="E721" s="11" t="n">
        <x:v>11.77</x:v>
      </x:c>
      <x:c r="F721" s="10" t="n">
        <x:v>0</x:v>
      </x:c>
      <x:c r="G721" s="12" t="n">
        <x:v>0</x:v>
      </x:c>
      <x:c r="H721" s="13" t="n">
        <x:v>0</x:v>
      </x:c>
      <x:c r="I721" s="10" t="n">
        <x:v>0</x:v>
      </x:c>
      <x:c r="J721" s="10" t="n">
        <x:v>0</x:v>
      </x:c>
      <x:c r="K721" s="10" t="str">
        <x:v>5 Mo.</x:v>
      </x:c>
      <x:c r="L721" s="10" t="n">
        <x:v>1</x:v>
      </x:c>
      <x:c r="M721" s="10" t="n">
        <x:v>0</x:v>
      </x:c>
      <x:c r="N721" s="10" t="n">
        <x:v>71</x:v>
      </x:c>
      <x:c r="O721" s="10" t="str"/>
      <x:c r="P721" s="10" t="n">
        <x:v>17</x:v>
      </x:c>
      <x:c r="Q721" s="10" t="n">
        <x:v>0</x:v>
      </x:c>
      <x:c r="R721" s="13" t="n">
        <x:v>0</x:v>
      </x:c>
      <x:c r="S721" s="10" t="n">
        <x:v>198</x:v>
      </x:c>
      <x:c r="T721" s="10" t="str">
        <x:v>car loan spreadsheet,budget loan template,excel loan tracker,mortgage planner,sheets loan tool,loan tracker tool,student loan calc,interest chart,finance planner,amortization tool,editable loan sheet,loan payoff sheet,payment calculator</x:v>
      </x:c>
      <x:c r="U721" s="10" t="str">
        <x:v>car loan spreadsheet</x:v>
      </x:c>
      <x:c r="V721" s="10" t="str">
        <x:v>budget loan template</x:v>
      </x:c>
      <x:c r="W721" s="10" t="str">
        <x:v>excel loan tracker</x:v>
      </x:c>
      <x:c r="X721" s="10" t="str">
        <x:v>mortgage planner</x:v>
      </x:c>
      <x:c r="Y721" s="10" t="str">
        <x:v>sheets loan tool</x:v>
      </x:c>
      <x:c r="Z721" s="10" t="str">
        <x:v>loan tracker tool</x:v>
      </x:c>
      <x:c r="AA721" s="10" t="str">
        <x:v>student loan calc</x:v>
      </x:c>
      <x:c r="AB721" s="10" t="str">
        <x:v>interest chart</x:v>
      </x:c>
      <x:c r="AC721" s="10" t="str">
        <x:v>finance planner</x:v>
      </x:c>
      <x:c r="AD721" s="10" t="str">
        <x:v>amortization tool</x:v>
      </x:c>
      <x:c r="AE721" s="10" t="str">
        <x:v>editable loan sheet</x:v>
      </x:c>
      <x:c r="AF721" s="10" t="str">
        <x:v>loan payoff sheet</x:v>
      </x:c>
      <x:c r="AG721" s="10" t="str">
        <x:v>payment calculator</x:v>
      </x:c>
      <x:c r="AH721" s="10" t="str">
        <x:v>General debt payoff</x:v>
      </x:c>
      <x:c r="AI721" s="13" t="n">
        <x:v>5</x:v>
      </x:c>
      <x:c r="AJ721" s="10" t="str">
        <x:f>IF(F721&gt;0,"Active","No est. sales")</x:f>
        <x:v>No est. sales</x:v>
      </x:c>
    </x:row>
    <x:row r="722">
      <x:c r="A722" s="10" t="str">
        <x:v>Debt Snowball Tracker, Google Sheets, Loan Tracker, Debt Payoff, Debt Payment Tracker, Debt Planner, Snowball Calculator, Debt Avalanche</x:v>
      </x:c>
      <x:c r="B722" s="10" t="str">
        <x:v>https://www.etsy.com/listing/1612337641/debt-snowball-tracker-google-sheets-loan</x:v>
      </x:c>
      <x:c r="C722" s="10" t="str">
        <x:v>CeceHaven</x:v>
      </x:c>
      <x:c r="D722" s="10" t="str">
        <x:v>https://www.etsy.com/shop/CeceHaven</x:v>
      </x:c>
      <x:c r="E722" s="11" t="n">
        <x:v>3.57</x:v>
      </x:c>
      <x:c r="F722" s="10" t="n">
        <x:v>0</x:v>
      </x:c>
      <x:c r="G722" s="12" t="n">
        <x:v>0</x:v>
      </x:c>
      <x:c r="H722" s="13" t="n">
        <x:v>0</x:v>
      </x:c>
      <x:c r="I722" s="10" t="n">
        <x:v>0</x:v>
      </x:c>
      <x:c r="J722" s="10" t="n">
        <x:v>0</x:v>
      </x:c>
      <x:c r="K722" s="10" t="str">
        <x:v>16 Mo.</x:v>
      </x:c>
      <x:c r="L722" s="10" t="n">
        <x:v>0</x:v>
      </x:c>
      <x:c r="M722" s="10" t="n">
        <x:v>0</x:v>
      </x:c>
      <x:c r="N722" s="10" t="n">
        <x:v>48</x:v>
      </x:c>
      <x:c r="O722" s="10" t="str"/>
      <x:c r="P722" s="10" t="n">
        <x:v>16</x:v>
      </x:c>
      <x:c r="Q722" s="10" t="n">
        <x:v>0</x:v>
      </x:c>
      <x:c r="R722" s="13" t="n">
        <x:v>0</x:v>
      </x:c>
      <x:c r="S722" s="10" t="n">
        <x:v>3</x:v>
      </x:c>
      <x:c r="T722" s="10" t="str">
        <x:v>debt payoff tracker,debt snowball,debt payment tracker,debt calculator,debt planner,snowball method,credit card tracker,debt repayment,mortgage payoff,debt avalanche,personal finance,loan tracker,google sheets</x:v>
      </x:c>
      <x:c r="U722" s="10" t="str">
        <x:v>debt payoff tracker</x:v>
      </x:c>
      <x:c r="V722" s="10" t="str">
        <x:v>debt snowball</x:v>
      </x:c>
      <x:c r="W722" s="10" t="str">
        <x:v>debt payment tracker</x:v>
      </x:c>
      <x:c r="X722" s="10" t="str">
        <x:v>debt calculator</x:v>
      </x:c>
      <x:c r="Y722" s="10" t="str">
        <x:v>debt planner</x:v>
      </x:c>
      <x:c r="Z722" s="10" t="str">
        <x:v>snowball method</x:v>
      </x:c>
      <x:c r="AA722" s="10" t="str">
        <x:v>credit card tracker</x:v>
      </x:c>
      <x:c r="AB722" s="10" t="str">
        <x:v>debt repayment</x:v>
      </x:c>
      <x:c r="AC722" s="10" t="str">
        <x:v>mortgage payoff</x:v>
      </x:c>
      <x:c r="AD722" s="10" t="str">
        <x:v>debt avalanche</x:v>
      </x:c>
      <x:c r="AE722" s="10" t="str">
        <x:v>personal finance</x:v>
      </x:c>
      <x:c r="AF722" s="10" t="str">
        <x:v>loan tracker</x:v>
      </x:c>
      <x:c r="AG722" s="10" t="str">
        <x:v>google sheets</x:v>
      </x:c>
      <x:c r="AH722" s="10" t="str">
        <x:v>General debt payoff</x:v>
      </x:c>
      <x:c r="AI722" s="13" t="n">
        <x:v>16</x:v>
      </x:c>
      <x:c r="AJ722" s="10" t="str">
        <x:f>IF(F722&gt;0,"Active","No est. sales")</x:f>
        <x:v>No est. sales</x:v>
      </x:c>
    </x:row>
    <x:row r="723">
      <x:c r="A723" s="10" t="str">
        <x:v>Home Mortgage |Payment Planner| Excel &amp; Google Sheets |Digital Download|</x:v>
      </x:c>
      <x:c r="B723" s="10" t="str">
        <x:v>https://www.etsy.com/listing/4386347493/home-mortgage-payment-planner-excel</x:v>
      </x:c>
      <x:c r="C723" s="10" t="str">
        <x:v>Digitrafy</x:v>
      </x:c>
      <x:c r="D723" s="10" t="str">
        <x:v>https://www.etsy.com/shop/Digitrafy</x:v>
      </x:c>
      <x:c r="E723" s="11" t="n">
        <x:v>3</x:v>
      </x:c>
      <x:c r="F723" s="10" t="n">
        <x:v>0</x:v>
      </x:c>
      <x:c r="G723" s="12" t="n">
        <x:v>0</x:v>
      </x:c>
      <x:c r="H723" s="13" t="n">
        <x:v>0</x:v>
      </x:c>
      <x:c r="I723" s="10" t="n">
        <x:v>0</x:v>
      </x:c>
      <x:c r="J723" s="10" t="n">
        <x:v>0</x:v>
      </x:c>
      <x:c r="K723" s="10" t="str">
        <x:v>3 Mo.</x:v>
      </x:c>
      <x:c r="L723" s="10" t="n">
        <x:v>0</x:v>
      </x:c>
      <x:c r="M723" s="10" t="n">
        <x:v>0</x:v>
      </x:c>
      <x:c r="N723" s="10" t="n">
        <x:v>5</x:v>
      </x:c>
      <x:c r="O723" s="10" t="str"/>
      <x:c r="P723" s="10" t="n">
        <x:v>5</x:v>
      </x:c>
      <x:c r="Q723" s="10" t="n">
        <x:v>0</x:v>
      </x:c>
      <x:c r="R723" s="13" t="n">
        <x:v>0</x:v>
      </x:c>
      <x:c r="S723" s="10" t="n">
        <x:v>31</x:v>
      </x:c>
      <x:c r="T723" s="10" t="str">
        <x:v>mortgage planner,loan tracker,debt payoff,home loan,excel sheet,google sheets,finance tracker,loan schedule,payment tracker,budget tool,extra payment,loan calculator,amortization</x:v>
      </x:c>
      <x:c r="U723" s="10" t="str">
        <x:v>mortgage planner</x:v>
      </x:c>
      <x:c r="V723" s="10" t="str">
        <x:v>loan tracker</x:v>
      </x:c>
      <x:c r="W723" s="10" t="str">
        <x:v>debt payoff</x:v>
      </x:c>
      <x:c r="X723" s="10" t="str">
        <x:v>home loan</x:v>
      </x:c>
      <x:c r="Y723" s="10" t="str">
        <x:v>excel sheet</x:v>
      </x:c>
      <x:c r="Z723" s="10" t="str">
        <x:v>google sheets</x:v>
      </x:c>
      <x:c r="AA723" s="10" t="str">
        <x:v>finance tracker</x:v>
      </x:c>
      <x:c r="AB723" s="10" t="str">
        <x:v>loan schedule</x:v>
      </x:c>
      <x:c r="AC723" s="10" t="str">
        <x:v>payment tracker</x:v>
      </x:c>
      <x:c r="AD723" s="10" t="str">
        <x:v>budget tool</x:v>
      </x:c>
      <x:c r="AE723" s="10" t="str">
        <x:v>extra payment</x:v>
      </x:c>
      <x:c r="AF723" s="10" t="str">
        <x:v>loan calculator</x:v>
      </x:c>
      <x:c r="AG723" s="10" t="str">
        <x:v>amortization</x:v>
      </x:c>
      <x:c r="AH723" s="10" t="str">
        <x:v>Other mortgage-related</x:v>
      </x:c>
      <x:c r="AI723" s="13" t="n">
        <x:v>3</x:v>
      </x:c>
      <x:c r="AJ723" s="10" t="str">
        <x:f>IF(F723&gt;0,"Active","No est. sales")</x:f>
        <x:v>No est. sales</x:v>
      </x:c>
    </x:row>
    <x:row r="724">
      <x:c r="A724" s="10" t="str">
        <x:v>Debt &amp; Loan Calculators: Credit Card, Mortgage, Excel Templates (Digital Download)</x:v>
      </x:c>
      <x:c r="B724" s="10" t="str">
        <x:v>https://www.etsy.com/listing/4386904939/debt-loan-calculators-credit-card</x:v>
      </x:c>
      <x:c r="C724" s="10" t="str">
        <x:v>bptttools</x:v>
      </x:c>
      <x:c r="D724" s="10" t="str">
        <x:v>https://www.etsy.com/shop/bptttools</x:v>
      </x:c>
      <x:c r="E724" s="11" t="n">
        <x:v>1.01</x:v>
      </x:c>
      <x:c r="F724" s="10" t="n">
        <x:v>0</x:v>
      </x:c>
      <x:c r="G724" s="12" t="n">
        <x:v>0</x:v>
      </x:c>
      <x:c r="H724" s="13" t="n">
        <x:v>0</x:v>
      </x:c>
      <x:c r="I724" s="10" t="n">
        <x:v>0</x:v>
      </x:c>
      <x:c r="J724" s="10" t="n">
        <x:v>0</x:v>
      </x:c>
      <x:c r="K724" s="10" t="str">
        <x:v>9 Mo.</x:v>
      </x:c>
      <x:c r="L724" s="10" t="n">
        <x:v>1</x:v>
      </x:c>
      <x:c r="M724" s="10" t="n">
        <x:v>0</x:v>
      </x:c>
      <x:c r="N724" s="10" t="n">
        <x:v>18</x:v>
      </x:c>
      <x:c r="O724" s="10" t="str">
        <x:v>Paper &amp; Party Supplies</x:v>
      </x:c>
      <x:c r="P724" s="10" t="n">
        <x:v>23</x:v>
      </x:c>
      <x:c r="Q724" s="10" t="n">
        <x:v>0</x:v>
      </x:c>
      <x:c r="R724" s="13" t="n">
        <x:v>0</x:v>
      </x:c>
      <x:c r="S724" s="10" t="n">
        <x:v>40</x:v>
      </x:c>
      <x:c r="T724" s="10" t="str">
        <x:v>debt calculator,loan calculator,credit card tracker,mortgage calculator,debt reduction,financial planner,money management,excel templates,budget planner,financial freedom,savings tracker,personal finance</x:v>
      </x:c>
      <x:c r="U724" s="10" t="str">
        <x:v>debt calculator</x:v>
      </x:c>
      <x:c r="V724" s="10" t="str">
        <x:v>loan calculator</x:v>
      </x:c>
      <x:c r="W724" s="10" t="str">
        <x:v>credit card tracker</x:v>
      </x:c>
      <x:c r="X724" s="10" t="str">
        <x:v>mortgage calculator</x:v>
      </x:c>
      <x:c r="Y724" s="10" t="str">
        <x:v>debt reduction</x:v>
      </x:c>
      <x:c r="Z724" s="10" t="str">
        <x:v>financial planner</x:v>
      </x:c>
      <x:c r="AA724" s="10" t="str">
        <x:v>money management</x:v>
      </x:c>
      <x:c r="AB724" s="10" t="str">
        <x:v>excel templates</x:v>
      </x:c>
      <x:c r="AC724" s="10" t="str">
        <x:v>budget planner</x:v>
      </x:c>
      <x:c r="AD724" s="10" t="str">
        <x:v>financial freedom</x:v>
      </x:c>
      <x:c r="AE724" s="10" t="str">
        <x:v>savings tracker</x:v>
      </x:c>
      <x:c r="AF724" s="10" t="str">
        <x:v>personal finance</x:v>
      </x:c>
      <x:c r="AG724" s="10" t="str">
        <x:v>--</x:v>
      </x:c>
      <x:c r="AH724" s="10" t="str">
        <x:v>Other mortgage-related</x:v>
      </x:c>
      <x:c r="AI724" s="13" t="n">
        <x:v>9</x:v>
      </x:c>
      <x:c r="AJ724" s="10" t="str">
        <x:f>IF(F724&gt;0,"Active","No est. sales")</x:f>
        <x:v>No est. sales</x:v>
      </x:c>
    </x:row>
    <x:row r="725">
      <x:c r="A725" s="10" t="str">
        <x:v>First Time Home Buyer Planner Spreadsheet | Mortgage Affordability Calculator &amp; Moving Budget</x:v>
      </x:c>
      <x:c r="B725" s="10" t="str">
        <x:v>https://www.etsy.com/listing/4538170719/first-time-home-buyer-planner</x:v>
      </x:c>
      <x:c r="C725" s="10" t="str">
        <x:v>SortedStudioShop</x:v>
      </x:c>
      <x:c r="D725" s="10" t="str">
        <x:v>https://www.etsy.com/shop/SortedStudioShop</x:v>
      </x:c>
      <x:c r="E725" s="11" t="n">
        <x:v>13.9</x:v>
      </x:c>
      <x:c r="F725" s="10" t="n">
        <x:v>0</x:v>
      </x:c>
      <x:c r="G725" s="12" t="n">
        <x:v>0</x:v>
      </x:c>
      <x:c r="H725" s="13" t="n">
        <x:v>0</x:v>
      </x:c>
      <x:c r="I725" s="10" t="n">
        <x:v>0</x:v>
      </x:c>
      <x:c r="J725" s="10" t="n">
        <x:v>0</x:v>
      </x:c>
      <x:c r="K725" s="10" t="str">
        <x:v>1 Mo.</x:v>
      </x:c>
      <x:c r="L725" s="10" t="n">
        <x:v>0</x:v>
      </x:c>
      <x:c r="M725" s="10" t="n">
        <x:v>0</x:v>
      </x:c>
      <x:c r="N725" s="10" t="n">
        <x:v>3</x:v>
      </x:c>
      <x:c r="O725" s="10" t="str"/>
      <x:c r="P725" s="10" t="n">
        <x:v>1</x:v>
      </x:c>
      <x:c r="Q725" s="10" t="n">
        <x:v>0</x:v>
      </x:c>
      <x:c r="R725" s="13" t="n">
        <x:v>0</x:v>
      </x:c>
      <x:c r="S725" s="10" t="n">
        <x:v>0</x:v>
      </x:c>
      <x:c r="T725" s="10" t="str">
        <x:v>home buying planner,mortgage calculator,first time buyer,home budget tracker,down payment savings,closing cost tool,property comparison,moving budget,real estate planner,homebuyer,google sheets budget,bridal shower gift,financial planner</x:v>
      </x:c>
      <x:c r="U725" s="10" t="str">
        <x:v>home buying planner</x:v>
      </x:c>
      <x:c r="V725" s="10" t="str">
        <x:v>mortgage calculator</x:v>
      </x:c>
      <x:c r="W725" s="10" t="str">
        <x:v>first time buyer</x:v>
      </x:c>
      <x:c r="X725" s="10" t="str">
        <x:v>home budget tracker</x:v>
      </x:c>
      <x:c r="Y725" s="10" t="str">
        <x:v>down payment savings</x:v>
      </x:c>
      <x:c r="Z725" s="10" t="str">
        <x:v>closing cost tool</x:v>
      </x:c>
      <x:c r="AA725" s="10" t="str">
        <x:v>property comparison</x:v>
      </x:c>
      <x:c r="AB725" s="10" t="str">
        <x:v>moving budget</x:v>
      </x:c>
      <x:c r="AC725" s="10" t="str">
        <x:v>real estate planner</x:v>
      </x:c>
      <x:c r="AD725" s="10" t="str">
        <x:v>homebuyer</x:v>
      </x:c>
      <x:c r="AE725" s="10" t="str">
        <x:v>google sheets budget</x:v>
      </x:c>
      <x:c r="AF725" s="10" t="str">
        <x:v>bridal shower gift</x:v>
      </x:c>
      <x:c r="AG725" s="10" t="str">
        <x:v>financial planner</x:v>
      </x:c>
      <x:c r="AH725" s="10" t="str">
        <x:v>Home buying planner</x:v>
      </x:c>
      <x:c r="AI725" s="13" t="n">
        <x:v>1</x:v>
      </x:c>
      <x:c r="AJ725" s="10" t="str">
        <x:f>IF(F725&gt;0,"Active","No est. sales")</x:f>
        <x:v>No est. sales</x:v>
      </x:c>
    </x:row>
    <x:row r="726">
      <x:c r="A726" s="10" t="str">
        <x:v>In My Future Homeowner Era Planner, First Time Home Buyer Planner, Credit Tracker, Savings Tracker, Budget Planner, Digital Download PDF</x:v>
      </x:c>
      <x:c r="B726" s="10" t="str">
        <x:v>https://www.etsy.com/listing/4519283922/in-my-future-homeowner-era-planner-first</x:v>
      </x:c>
      <x:c r="C726" s="10" t="str">
        <x:v>JaUniques</x:v>
      </x:c>
      <x:c r="D726" s="10" t="str">
        <x:v>https://www.etsy.com/shop/JaUniques</x:v>
      </x:c>
      <x:c r="E726" s="11" t="n">
        <x:v>8.99</x:v>
      </x:c>
      <x:c r="F726" s="10" t="n">
        <x:v>0</x:v>
      </x:c>
      <x:c r="G726" s="12" t="n">
        <x:v>0</x:v>
      </x:c>
      <x:c r="H726" s="13" t="n">
        <x:v>0</x:v>
      </x:c>
      <x:c r="I726" s="10" t="n">
        <x:v>0</x:v>
      </x:c>
      <x:c r="J726" s="10" t="n">
        <x:v>0</x:v>
      </x:c>
      <x:c r="K726" s="10" t="str">
        <x:v>1 Mo.</x:v>
      </x:c>
      <x:c r="L726" s="10" t="n">
        <x:v>0</x:v>
      </x:c>
      <x:c r="M726" s="10" t="n">
        <x:v>0</x:v>
      </x:c>
      <x:c r="N726" s="10" t="n">
        <x:v>0</x:v>
      </x:c>
      <x:c r="O726" s="10" t="str"/>
      <x:c r="P726" s="10" t="n">
        <x:v>23</x:v>
      </x:c>
      <x:c r="Q726" s="10" t="n">
        <x:v>0</x:v>
      </x:c>
      <x:c r="R726" s="13" t="n">
        <x:v>0</x:v>
      </x:c>
      <x:c r="S726" s="10" t="n">
        <x:v>7</x:v>
      </x:c>
      <x:c r="T726" s="10" t="str">
        <x:v>future homeowner,first time buyer,home buying planner,home buyer planner,credit tracker,savings tracker,budget planner,debt payoff,bill tracker,mortgage planner,printable planner,digital download,finance planner</x:v>
      </x:c>
      <x:c r="U726" s="10" t="str">
        <x:v>future homeowner</x:v>
      </x:c>
      <x:c r="V726" s="10" t="str">
        <x:v>first time buyer</x:v>
      </x:c>
      <x:c r="W726" s="10" t="str">
        <x:v>home buying planner</x:v>
      </x:c>
      <x:c r="X726" s="10" t="str">
        <x:v>home buyer planner</x:v>
      </x:c>
      <x:c r="Y726" s="10" t="str">
        <x:v>credit tracker</x:v>
      </x:c>
      <x:c r="Z726" s="10" t="str">
        <x:v>savings tracker</x:v>
      </x:c>
      <x:c r="AA726" s="10" t="str">
        <x:v>budget planner</x:v>
      </x:c>
      <x:c r="AB726" s="10" t="str">
        <x:v>debt payoff</x:v>
      </x:c>
      <x:c r="AC726" s="10" t="str">
        <x:v>bill tracker</x:v>
      </x:c>
      <x:c r="AD726" s="10" t="str">
        <x:v>mortgage planner</x:v>
      </x:c>
      <x:c r="AE726" s="10" t="str">
        <x:v>printable planner</x:v>
      </x:c>
      <x:c r="AF726" s="10" t="str">
        <x:v>digital download</x:v>
      </x:c>
      <x:c r="AG726" s="10" t="str">
        <x:v>finance planner</x:v>
      </x:c>
      <x:c r="AH726" s="10" t="str">
        <x:v>Home buying planner</x:v>
      </x:c>
      <x:c r="AI726" s="13" t="n">
        <x:v>1</x:v>
      </x:c>
      <x:c r="AJ726" s="10" t="str">
        <x:f>IF(F726&gt;0,"Active","No est. sales")</x:f>
        <x:v>No est. sales</x:v>
      </x:c>
    </x:row>
    <x:row r="727">
      <x:c r="A727" s="10" t="str">
        <x:v>Closing Cost Spreadsheet for Google Sheets and Excel Buyer Seller Expense Tracking and Deal Dashboard</x:v>
      </x:c>
      <x:c r="B727" s="10" t="str">
        <x:v>https://www.etsy.com/listing/4520185313/closing-cost-spreadsheet-for-google</x:v>
      </x:c>
      <x:c r="C727" s="10" t="str">
        <x:v>TrackerPro</x:v>
      </x:c>
      <x:c r="D727" s="10" t="str">
        <x:v>https://www.etsy.com/shop/TrackerPro</x:v>
      </x:c>
      <x:c r="E727" s="11" t="n">
        <x:v>6.19</x:v>
      </x:c>
      <x:c r="F727" s="10" t="n">
        <x:v>0</x:v>
      </x:c>
      <x:c r="G727" s="12" t="n">
        <x:v>0</x:v>
      </x:c>
      <x:c r="H727" s="13" t="n">
        <x:v>0</x:v>
      </x:c>
      <x:c r="I727" s="10" t="n">
        <x:v>0</x:v>
      </x:c>
      <x:c r="J727" s="10" t="n">
        <x:v>0</x:v>
      </x:c>
      <x:c r="K727" s="10" t="str">
        <x:v>1 Mo.</x:v>
      </x:c>
      <x:c r="L727" s="10" t="n">
        <x:v>1</x:v>
      </x:c>
      <x:c r="M727" s="10" t="n">
        <x:v>0</x:v>
      </x:c>
      <x:c r="N727" s="10" t="n">
        <x:v>3</x:v>
      </x:c>
      <x:c r="O727" s="10" t="str">
        <x:v>Paper &amp; Party Supplies</x:v>
      </x:c>
      <x:c r="P727" s="10" t="n">
        <x:v>43</x:v>
      </x:c>
      <x:c r="Q727" s="10" t="n">
        <x:v>0</x:v>
      </x:c>
      <x:c r="R727" s="13" t="n">
        <x:v>0</x:v>
      </x:c>
      <x:c r="S727" s="10" t="n">
        <x:v>18476</x:v>
      </x:c>
      <x:c r="T727" s="10" t="str">
        <x:v>closing costs,real estate tool,property finance,buyer expenses,seller log,deal analysis,mortgage sheet,housing finance,investor planner,transaction log,property dashboard,finance tracker,real estate log</x:v>
      </x:c>
      <x:c r="U727" s="10" t="str">
        <x:v>closing costs</x:v>
      </x:c>
      <x:c r="V727" s="10" t="str">
        <x:v>real estate tool</x:v>
      </x:c>
      <x:c r="W727" s="10" t="str">
        <x:v>property finance</x:v>
      </x:c>
      <x:c r="X727" s="10" t="str">
        <x:v>buyer expenses</x:v>
      </x:c>
      <x:c r="Y727" s="10" t="str">
        <x:v>seller log</x:v>
      </x:c>
      <x:c r="Z727" s="10" t="str">
        <x:v>deal analysis</x:v>
      </x:c>
      <x:c r="AA727" s="10" t="str">
        <x:v>mortgage sheet</x:v>
      </x:c>
      <x:c r="AB727" s="10" t="str">
        <x:v>housing finance</x:v>
      </x:c>
      <x:c r="AC727" s="10" t="str">
        <x:v>investor planner</x:v>
      </x:c>
      <x:c r="AD727" s="10" t="str">
        <x:v>transaction log</x:v>
      </x:c>
      <x:c r="AE727" s="10" t="str">
        <x:v>property dashboard</x:v>
      </x:c>
      <x:c r="AF727" s="10" t="str">
        <x:v>finance tracker</x:v>
      </x:c>
      <x:c r="AG727" s="10" t="str">
        <x:v>real estate log</x:v>
      </x:c>
      <x:c r="AH727" s="10" t="str">
        <x:v>Other mortgage-related</x:v>
      </x:c>
      <x:c r="AI727" s="13" t="n">
        <x:v>1</x:v>
      </x:c>
      <x:c r="AJ727" s="10" t="str">
        <x:f>IF(F727&gt;0,"Active","No est. sales")</x:f>
        <x:v>No est. sales</x:v>
      </x:c>
    </x:row>
    <x:row r="728">
      <x:c r="A728" s="10" t="str">
        <x:v>Debt Payment Tracker Printable, Personal Finance Organizer, Debt Snowball Tracker, Debt Payoff Log, Money Planner, Budget Planner PDF</x:v>
      </x:c>
      <x:c r="B728" s="10" t="str">
        <x:v>https://www.etsy.com/listing/1378684862/debt-payment-tracker-printable-personal</x:v>
      </x:c>
      <x:c r="C728" s="10" t="str">
        <x:v>R7designStore</x:v>
      </x:c>
      <x:c r="D728" s="10" t="str">
        <x:v>https://www.etsy.com/shop/R7designStore</x:v>
      </x:c>
      <x:c r="E728" s="11" t="n">
        <x:v>2.98</x:v>
      </x:c>
      <x:c r="F728" s="10" t="n">
        <x:v>0</x:v>
      </x:c>
      <x:c r="G728" s="12" t="n">
        <x:v>0</x:v>
      </x:c>
      <x:c r="H728" s="13" t="n">
        <x:v>0</x:v>
      </x:c>
      <x:c r="I728" s="10" t="n">
        <x:v>0</x:v>
      </x:c>
      <x:c r="J728" s="10" t="n">
        <x:v>0</x:v>
      </x:c>
      <x:c r="K728" s="10" t="str">
        <x:v>42 Mo.</x:v>
      </x:c>
      <x:c r="L728" s="10" t="n">
        <x:v>7</x:v>
      </x:c>
      <x:c r="M728" s="10" t="n">
        <x:v>0</x:v>
      </x:c>
      <x:c r="N728" s="10" t="n">
        <x:v>176</x:v>
      </x:c>
      <x:c r="O728" s="10" t="str">
        <x:v>Paper &amp; Party Supplies</x:v>
      </x:c>
      <x:c r="P728" s="10" t="n">
        <x:v>60</x:v>
      </x:c>
      <x:c r="Q728" s="10" t="n">
        <x:v>0</x:v>
      </x:c>
      <x:c r="R728" s="13" t="n">
        <x:v>0</x:v>
      </x:c>
      <x:c r="S728" s="10" t="n">
        <x:v>4780</x:v>
      </x:c>
      <x:c r="T728" s="10" t="str">
        <x:v>debt payment tracker,payoff snowball log,money budget planner,monthly annual plan,printable templates,kawaii colorful pdf,expense saving sheet,emergency fund repay,personal finance a4,bill chart organizer,loan mortgage insert,debt records reports,debt free planning</x:v>
      </x:c>
      <x:c r="U728" s="10" t="str">
        <x:v>debt payment tracker</x:v>
      </x:c>
      <x:c r="V728" s="10" t="str">
        <x:v>payoff snowball log</x:v>
      </x:c>
      <x:c r="W728" s="10" t="str">
        <x:v>money budget planner</x:v>
      </x:c>
      <x:c r="X728" s="10" t="str">
        <x:v>monthly annual plan</x:v>
      </x:c>
      <x:c r="Y728" s="10" t="str">
        <x:v>printable templates</x:v>
      </x:c>
      <x:c r="Z728" s="10" t="str">
        <x:v>kawaii colorful pdf</x:v>
      </x:c>
      <x:c r="AA728" s="10" t="str">
        <x:v>expense saving sheet</x:v>
      </x:c>
      <x:c r="AB728" s="10" t="str">
        <x:v>emergency fund repay</x:v>
      </x:c>
      <x:c r="AC728" s="10" t="str">
        <x:v>personal finance a4</x:v>
      </x:c>
      <x:c r="AD728" s="10" t="str">
        <x:v>bill chart organizer</x:v>
      </x:c>
      <x:c r="AE728" s="10" t="str">
        <x:v>loan mortgage insert</x:v>
      </x:c>
      <x:c r="AF728" s="10" t="str">
        <x:v>debt records reports</x:v>
      </x:c>
      <x:c r="AG728" s="10" t="str">
        <x:v>debt free planning</x:v>
      </x:c>
      <x:c r="AH728" s="10" t="str">
        <x:v>General debt payoff</x:v>
      </x:c>
      <x:c r="AI728" s="13" t="n">
        <x:v>42</x:v>
      </x:c>
      <x:c r="AJ728" s="10" t="str">
        <x:f>IF(F728&gt;0,"Active","No est. sales")</x:f>
        <x:v>No est. sales</x:v>
      </x:c>
    </x:row>
    <x:row r="729">
      <x:c r="A729" s="10" t="str">
        <x:v>Mortgage Bill Planner Stickers, Home Tracker Stickers, Itty Bitty Collection</x:v>
      </x:c>
      <x:c r="B729" s="10" t="str">
        <x:v>https://www.etsy.com/listing/1180464601/mortgage-bill-planner-stickers-home</x:v>
      </x:c>
      <x:c r="C729" s="10" t="str">
        <x:v>PlushPlanning</x:v>
      </x:c>
      <x:c r="D729" s="10" t="str">
        <x:v>https://www.etsy.com/shop/PlushPlanning</x:v>
      </x:c>
      <x:c r="E729" s="11" t="n">
        <x:v>5.99</x:v>
      </x:c>
      <x:c r="F729" s="10" t="n">
        <x:v>0</x:v>
      </x:c>
      <x:c r="G729" s="12" t="n">
        <x:v>0</x:v>
      </x:c>
      <x:c r="H729" s="13" t="n">
        <x:v>0</x:v>
      </x:c>
      <x:c r="I729" s="10" t="n">
        <x:v>9</x:v>
      </x:c>
      <x:c r="J729" s="10" t="n">
        <x:v>2</x:v>
      </x:c>
      <x:c r="K729" s="10" t="str">
        <x:v>53 Mo.</x:v>
      </x:c>
      <x:c r="L729" s="10" t="n">
        <x:v>19</x:v>
      </x:c>
      <x:c r="M729" s="10" t="n">
        <x:v>0</x:v>
      </x:c>
      <x:c r="N729" s="10" t="n">
        <x:v>311</x:v>
      </x:c>
      <x:c r="O729" s="10" t="str">
        <x:v>Paper &amp; Party Supplies</x:v>
      </x:c>
      <x:c r="P729" s="10" t="n">
        <x:v>78</x:v>
      </x:c>
      <x:c r="Q729" s="10" t="n">
        <x:v>0</x:v>
      </x:c>
      <x:c r="R729" s="13" t="n">
        <x:v>2.89</x:v>
      </x:c>
      <x:c r="S729" s="10" t="n">
        <x:v>50202</x:v>
      </x:c>
      <x:c r="T729" s="10" t="str">
        <x:v>house,home,home sticker,house stickers,mortgage sticker,mortgage bill,rent bill,mortgage tracker,planner sticker,planner stickers,plush planning,erin condren,happyplanner</x:v>
      </x:c>
      <x:c r="U729" s="10" t="str">
        <x:v>house</x:v>
      </x:c>
      <x:c r="V729" s="10" t="str">
        <x:v>home</x:v>
      </x:c>
      <x:c r="W729" s="10" t="str">
        <x:v>home sticker</x:v>
      </x:c>
      <x:c r="X729" s="10" t="str">
        <x:v>house stickers</x:v>
      </x:c>
      <x:c r="Y729" s="10" t="str">
        <x:v>mortgage sticker</x:v>
      </x:c>
      <x:c r="Z729" s="10" t="str">
        <x:v>mortgage bill</x:v>
      </x:c>
      <x:c r="AA729" s="10" t="str">
        <x:v>rent bill</x:v>
      </x:c>
      <x:c r="AB729" s="10" t="str">
        <x:v>mortgage tracker</x:v>
      </x:c>
      <x:c r="AC729" s="10" t="str">
        <x:v>planner sticker</x:v>
      </x:c>
      <x:c r="AD729" s="10" t="str">
        <x:v>planner stickers</x:v>
      </x:c>
      <x:c r="AE729" s="10" t="str">
        <x:v>plush planning</x:v>
      </x:c>
      <x:c r="AF729" s="10" t="str">
        <x:v>erin condren</x:v>
      </x:c>
      <x:c r="AG729" s="10" t="str">
        <x:v>happyplanner</x:v>
      </x:c>
      <x:c r="AH729" s="10" t="str">
        <x:v>Other mortgage-related</x:v>
      </x:c>
      <x:c r="AI729" s="13" t="n">
        <x:v>53</x:v>
      </x:c>
      <x:c r="AJ729" s="10" t="str">
        <x:f>IF(F729&gt;0,"Active","No est. sales")</x:f>
        <x:v>No est. sales</x:v>
      </x:c>
    </x:row>
    <x:row r="730">
      <x:c r="A730" s="10" t="str">
        <x:v>Loan Amortization Schedule Excel Template | Mortgage Calculator Spreadsheet | Extra Payment Tracker | Debt Payoff Planner</x:v>
      </x:c>
      <x:c r="B730" s="10" t="str">
        <x:v>https://www.etsy.com/listing/4467366695/loan-amortization-schedule-excel</x:v>
      </x:c>
      <x:c r="C730" s="10" t="str">
        <x:v>EZAccounting</x:v>
      </x:c>
      <x:c r="D730" s="10" t="str">
        <x:v>https://www.etsy.com/shop/EZAccounting</x:v>
      </x:c>
      <x:c r="E730" s="11" t="n">
        <x:v>6.99</x:v>
      </x:c>
      <x:c r="F730" s="10" t="n">
        <x:v>0</x:v>
      </x:c>
      <x:c r="G730" s="12" t="n">
        <x:v>0</x:v>
      </x:c>
      <x:c r="H730" s="13" t="n">
        <x:v>0</x:v>
      </x:c>
      <x:c r="I730" s="10" t="n">
        <x:v>0</x:v>
      </x:c>
      <x:c r="J730" s="10" t="n">
        <x:v>0</x:v>
      </x:c>
      <x:c r="K730" s="10" t="str">
        <x:v>4 Mo.</x:v>
      </x:c>
      <x:c r="L730" s="10" t="n">
        <x:v>0</x:v>
      </x:c>
      <x:c r="M730" s="10" t="n">
        <x:v>0</x:v>
      </x:c>
      <x:c r="N730" s="10" t="n">
        <x:v>34</x:v>
      </x:c>
      <x:c r="O730" s="10" t="str"/>
      <x:c r="P730" s="10" t="n">
        <x:v>4</x:v>
      </x:c>
      <x:c r="Q730" s="10" t="n">
        <x:v>0</x:v>
      </x:c>
      <x:c r="R730" s="13" t="n">
        <x:v>0</x:v>
      </x:c>
      <x:c r="S730" s="10" t="n">
        <x:v>1</x:v>
      </x:c>
      <x:c r="T730" s="10" t="str">
        <x:v>mortgage spreadsheet,debt payoff tracker,loan amortization,mortgage payoff tool,mortgage calculator,finance spreadsheet,debt calculator,budget spreadsheet,extra payment</x:v>
      </x:c>
      <x:c r="U730" s="10" t="str">
        <x:v>mortgage spreadsheet</x:v>
      </x:c>
      <x:c r="V730" s="10" t="str">
        <x:v>debt payoff tracker</x:v>
      </x:c>
      <x:c r="W730" s="10" t="str">
        <x:v>loan amortization</x:v>
      </x:c>
      <x:c r="X730" s="10" t="str">
        <x:v>mortgage payoff tool</x:v>
      </x:c>
      <x:c r="Y730" s="10" t="str">
        <x:v>mortgage calculator</x:v>
      </x:c>
      <x:c r="Z730" s="10" t="str">
        <x:v>finance spreadsheet</x:v>
      </x:c>
      <x:c r="AA730" s="10" t="str">
        <x:v>debt calculator</x:v>
      </x:c>
      <x:c r="AB730" s="10" t="str">
        <x:v>budget spreadsheet</x:v>
      </x:c>
      <x:c r="AC730" s="10" t="str">
        <x:v>extra payment</x:v>
      </x:c>
      <x:c r="AD730" s="10" t="str">
        <x:v>--</x:v>
      </x:c>
      <x:c r="AE730" s="10" t="str">
        <x:v>--</x:v>
      </x:c>
      <x:c r="AF730" s="10" t="str">
        <x:v>--</x:v>
      </x:c>
      <x:c r="AG730" s="10" t="str">
        <x:v>--</x:v>
      </x:c>
      <x:c r="AH730" s="10" t="str">
        <x:v>General debt payoff</x:v>
      </x:c>
      <x:c r="AI730" s="13" t="n">
        <x:v>4</x:v>
      </x:c>
      <x:c r="AJ730" s="10" t="str">
        <x:f>IF(F730&gt;0,"Active","No est. sales")</x:f>
        <x:v>No est. sales</x:v>
      </x:c>
    </x:row>
    <x:row r="731">
      <x:c r="A731" s="10" t="str">
        <x:v>Mortgage Due Bold Text Bill Rubber Stamp for Stamping Crafting Planners</x:v>
      </x:c>
      <x:c r="B731" s="10" t="str">
        <x:v>https://www.etsy.com/listing/4380220707/mortgage-due-bold-text-bill-rubber-stamp</x:v>
      </x:c>
      <x:c r="C731" s="10" t="str">
        <x:v>SniggleSlothCrafts</x:v>
      </x:c>
      <x:c r="D731" s="10" t="str">
        <x:v>https://www.etsy.com/shop/SniggleSlothCrafts</x:v>
      </x:c>
      <x:c r="E731" s="11" t="n">
        <x:v>6.49</x:v>
      </x:c>
      <x:c r="F731" s="10" t="n">
        <x:v>0</x:v>
      </x:c>
      <x:c r="G731" s="12" t="n">
        <x:v>0</x:v>
      </x:c>
      <x:c r="H731" s="13" t="n">
        <x:v>0</x:v>
      </x:c>
      <x:c r="I731" s="10" t="n">
        <x:v>0</x:v>
      </x:c>
      <x:c r="J731" s="10" t="n">
        <x:v>0</x:v>
      </x:c>
      <x:c r="K731" s="10" t="str">
        <x:v>9 Mo.</x:v>
      </x:c>
      <x:c r="L731" s="10" t="n">
        <x:v>1</x:v>
      </x:c>
      <x:c r="M731" s="10" t="n">
        <x:v>0</x:v>
      </x:c>
      <x:c r="N731" s="10" t="n">
        <x:v>0</x:v>
      </x:c>
      <x:c r="O731" s="10" t="str">
        <x:v>Craft Supplies &amp; Tools</x:v>
      </x:c>
      <x:c r="P731" s="10" t="n">
        <x:v>22</x:v>
      </x:c>
      <x:c r="Q731" s="10" t="n">
        <x:v>0</x:v>
      </x:c>
      <x:c r="R731" s="13" t="n">
        <x:v>0</x:v>
      </x:c>
      <x:c r="S731" s="10" t="n">
        <x:v>20627</x:v>
      </x:c>
      <x:c r="T731" s="10" t="str">
        <x:v>crafting,decorative,diary,gift tags,letters,making,organization,planner,round stamps,scrapbook,scrapbooking,seal,stamp</x:v>
      </x:c>
      <x:c r="U731" s="10" t="str">
        <x:v>crafting</x:v>
      </x:c>
      <x:c r="V731" s="10" t="str">
        <x:v>decorative</x:v>
      </x:c>
      <x:c r="W731" s="10" t="str">
        <x:v>diary</x:v>
      </x:c>
      <x:c r="X731" s="10" t="str">
        <x:v>gift tags</x:v>
      </x:c>
      <x:c r="Y731" s="10" t="str">
        <x:v>letters</x:v>
      </x:c>
      <x:c r="Z731" s="10" t="str">
        <x:v>making</x:v>
      </x:c>
      <x:c r="AA731" s="10" t="str">
        <x:v>organization</x:v>
      </x:c>
      <x:c r="AB731" s="10" t="str">
        <x:v>planner</x:v>
      </x:c>
      <x:c r="AC731" s="10" t="str">
        <x:v>round stamps</x:v>
      </x:c>
      <x:c r="AD731" s="10" t="str">
        <x:v>scrapbook</x:v>
      </x:c>
      <x:c r="AE731" s="10" t="str">
        <x:v>scrapbooking</x:v>
      </x:c>
      <x:c r="AF731" s="10" t="str">
        <x:v>seal</x:v>
      </x:c>
      <x:c r="AG731" s="10" t="str">
        <x:v>stamp</x:v>
      </x:c>
      <x:c r="AH731" s="10" t="str">
        <x:v>Other mortgage-related</x:v>
      </x:c>
      <x:c r="AI731" s="13" t="n">
        <x:v>9</x:v>
      </x:c>
      <x:c r="AJ731" s="10" t="str">
        <x:f>IF(F731&gt;0,"Active","No est. sales")</x:f>
        <x:v>No est. sales</x:v>
      </x:c>
    </x:row>
    <x:row r="732">
      <x:c r="A732" s="10" t="str">
        <x:v>SALE 100 HOUSE clipart home digital sticker rent due sticker mortgage clipart finance sticker chores clipart cleaning sticker bills sticker</x:v>
      </x:c>
      <x:c r="B732" s="10" t="str">
        <x:v>https://www.etsy.com/listing/995453564/sale-100-house-clipart-home-digital</x:v>
      </x:c>
      <x:c r="C732" s="10" t="str">
        <x:v>TheDigiRainbow</x:v>
      </x:c>
      <x:c r="D732" s="10" t="str">
        <x:v>https://www.etsy.com/shop/TheDigiRainbow</x:v>
      </x:c>
      <x:c r="E732" s="11" t="n">
        <x:v>4</x:v>
      </x:c>
      <x:c r="F732" s="10" t="n">
        <x:v>0</x:v>
      </x:c>
      <x:c r="G732" s="12" t="n">
        <x:v>0</x:v>
      </x:c>
      <x:c r="H732" s="13" t="n">
        <x:v>0</x:v>
      </x:c>
      <x:c r="I732" s="10" t="n">
        <x:v>62</x:v>
      </x:c>
      <x:c r="J732" s="10" t="n">
        <x:v>6</x:v>
      </x:c>
      <x:c r="K732" s="10" t="str">
        <x:v>63 Mo.</x:v>
      </x:c>
      <x:c r="L732" s="10" t="n">
        <x:v>56</x:v>
      </x:c>
      <x:c r="M732" s="10" t="n">
        <x:v>0</x:v>
      </x:c>
      <x:c r="N732" s="10" t="n">
        <x:v>430</x:v>
      </x:c>
      <x:c r="O732" s="10" t="str">
        <x:v>Craft Supplies &amp; Tools</x:v>
      </x:c>
      <x:c r="P732" s="10" t="n">
        <x:v>147</x:v>
      </x:c>
      <x:c r="Q732" s="10" t="n">
        <x:v>0</x:v>
      </x:c>
      <x:c r="R732" s="13" t="n">
        <x:v>14.42</x:v>
      </x:c>
      <x:c r="S732" s="10" t="n">
        <x:v>252001</x:v>
      </x:c>
      <x:c r="T732" s="10" t="str">
        <x:v>digital sticker,house sticker,printable sticker,home sticker,mortgage sticker,bill sticker,cleaning sticker,finance sticker,planner clipart,goodnotes sticker,erin condren sticker,rent sticker,chores printable</x:v>
      </x:c>
      <x:c r="U732" s="10" t="str">
        <x:v>digital sticker</x:v>
      </x:c>
      <x:c r="V732" s="10" t="str">
        <x:v>house sticker</x:v>
      </x:c>
      <x:c r="W732" s="10" t="str">
        <x:v>printable sticker</x:v>
      </x:c>
      <x:c r="X732" s="10" t="str">
        <x:v>home sticker</x:v>
      </x:c>
      <x:c r="Y732" s="10" t="str">
        <x:v>mortgage sticker</x:v>
      </x:c>
      <x:c r="Z732" s="10" t="str">
        <x:v>bill sticker</x:v>
      </x:c>
      <x:c r="AA732" s="10" t="str">
        <x:v>cleaning sticker</x:v>
      </x:c>
      <x:c r="AB732" s="10" t="str">
        <x:v>finance sticker</x:v>
      </x:c>
      <x:c r="AC732" s="10" t="str">
        <x:v>planner clipart</x:v>
      </x:c>
      <x:c r="AD732" s="10" t="str">
        <x:v>goodnotes sticker</x:v>
      </x:c>
      <x:c r="AE732" s="10" t="str">
        <x:v>erin condren sticker</x:v>
      </x:c>
      <x:c r="AF732" s="10" t="str">
        <x:v>rent sticker</x:v>
      </x:c>
      <x:c r="AG732" s="10" t="str">
        <x:v>chores printable</x:v>
      </x:c>
      <x:c r="AH732" s="10" t="str">
        <x:v>Other mortgage-related</x:v>
      </x:c>
      <x:c r="AI732" s="13" t="n">
        <x:v>63</x:v>
      </x:c>
      <x:c r="AJ732" s="10" t="str">
        <x:f>IF(F732&gt;0,"Active","No est. sales")</x:f>
        <x:v>No est. sales</x:v>
      </x:c>
    </x:row>
    <x:row r="733">
      <x:c r="A733" s="10" t="str">
        <x:v>Clean House Pay Mortgage Icons | Hand Doodled House Planner Stickers | I-447</x:v>
      </x:c>
      <x:c r="B733" s="10" t="str">
        <x:v>https://www.etsy.com/listing/1683220685/clean-house-pay-mortgage-icons-hand</x:v>
      </x:c>
      <x:c r="C733" s="10" t="str">
        <x:v>OrangeUmbrellaCo</x:v>
      </x:c>
      <x:c r="D733" s="10" t="str">
        <x:v>https://www.etsy.com/shop/OrangeUmbrellaCo</x:v>
      </x:c>
      <x:c r="E733" s="11" t="n">
        <x:v>3.67</x:v>
      </x:c>
      <x:c r="F733" s="10" t="n">
        <x:v>0</x:v>
      </x:c>
      <x:c r="G733" s="12" t="n">
        <x:v>0</x:v>
      </x:c>
      <x:c r="H733" s="13" t="n">
        <x:v>0</x:v>
      </x:c>
      <x:c r="I733" s="10" t="n">
        <x:v>11</x:v>
      </x:c>
      <x:c r="J733" s="10" t="n">
        <x:v>2</x:v>
      </x:c>
      <x:c r="K733" s="10" t="str">
        <x:v>29 Mo.</x:v>
      </x:c>
      <x:c r="L733" s="10" t="n">
        <x:v>20</x:v>
      </x:c>
      <x:c r="M733" s="10" t="n">
        <x:v>0</x:v>
      </x:c>
      <x:c r="N733" s="10" t="n">
        <x:v>303</x:v>
      </x:c>
      <x:c r="O733" s="10" t="str">
        <x:v>Paper &amp; Party Supplies</x:v>
      </x:c>
      <x:c r="P733" s="10" t="n">
        <x:v>150</x:v>
      </x:c>
      <x:c r="Q733" s="10" t="n">
        <x:v>0</x:v>
      </x:c>
      <x:c r="R733" s="13" t="n">
        <x:v>3.63</x:v>
      </x:c>
      <x:c r="S733" s="10" t="n">
        <x:v>142031</x:v>
      </x:c>
      <x:c r="T733" s="10" t="str">
        <x:v>planner stickers,planner sticker,planner labels,planner label,stickers for planner,planner supplies,house sticker,house icon,home icon,house payment,mortgage payment,clean house,house projects</x:v>
      </x:c>
      <x:c r="U733" s="10" t="str">
        <x:v>planner stickers</x:v>
      </x:c>
      <x:c r="V733" s="10" t="str">
        <x:v>planner sticker</x:v>
      </x:c>
      <x:c r="W733" s="10" t="str">
        <x:v>planner labels</x:v>
      </x:c>
      <x:c r="X733" s="10" t="str">
        <x:v>planner label</x:v>
      </x:c>
      <x:c r="Y733" s="10" t="str">
        <x:v>stickers for planner</x:v>
      </x:c>
      <x:c r="Z733" s="10" t="str">
        <x:v>planner supplies</x:v>
      </x:c>
      <x:c r="AA733" s="10" t="str">
        <x:v>house sticker</x:v>
      </x:c>
      <x:c r="AB733" s="10" t="str">
        <x:v>house icon</x:v>
      </x:c>
      <x:c r="AC733" s="10" t="str">
        <x:v>home icon</x:v>
      </x:c>
      <x:c r="AD733" s="10" t="str">
        <x:v>house payment</x:v>
      </x:c>
      <x:c r="AE733" s="10" t="str">
        <x:v>mortgage payment</x:v>
      </x:c>
      <x:c r="AF733" s="10" t="str">
        <x:v>clean house</x:v>
      </x:c>
      <x:c r="AG733" s="10" t="str">
        <x:v>house projects</x:v>
      </x:c>
      <x:c r="AH733" s="10" t="str">
        <x:v>Other mortgage-related</x:v>
      </x:c>
      <x:c r="AI733" s="13" t="n">
        <x:v>29</x:v>
      </x:c>
      <x:c r="AJ733" s="10" t="str">
        <x:f>IF(F733&gt;0,"Active","No est. sales")</x:f>
        <x:v>No est. sales</x:v>
      </x:c>
    </x:row>
    <x:row r="734">
      <x:c r="A734" s="10" t="str">
        <x:v>Debt Avalanche Spreadsheet Google Sheets Debt Payoff Tracker Debt Avalanche Calculator Student Loan Payoff Mortgage Debt Payoff</x:v>
      </x:c>
      <x:c r="B734" s="10" t="str">
        <x:v>https://www.etsy.com/listing/1687929015/debt-avalanche-spreadsheet-google-sheets</x:v>
      </x:c>
      <x:c r="C734" s="10" t="str">
        <x:v>ExpertEasePro</x:v>
      </x:c>
      <x:c r="D734" s="10" t="str">
        <x:v>https://www.etsy.com/shop/ExpertEasePro</x:v>
      </x:c>
      <x:c r="E734" s="11" t="n">
        <x:v>4.99</x:v>
      </x:c>
      <x:c r="F734" s="10" t="n">
        <x:v>0</x:v>
      </x:c>
      <x:c r="G734" s="12" t="n">
        <x:v>0</x:v>
      </x:c>
      <x:c r="H734" s="13" t="n">
        <x:v>0</x:v>
      </x:c>
      <x:c r="I734" s="10" t="n">
        <x:v>93</x:v>
      </x:c>
      <x:c r="J734" s="10" t="n">
        <x:v>9</x:v>
      </x:c>
      <x:c r="K734" s="10" t="str">
        <x:v>28 Mo.</x:v>
      </x:c>
      <x:c r="L734" s="10" t="n">
        <x:v>25</x:v>
      </x:c>
      <x:c r="M734" s="10" t="n">
        <x:v>0</x:v>
      </x:c>
      <x:c r="N734" s="10" t="n">
        <x:v>1882</x:v>
      </x:c>
      <x:c r="O734" s="10" t="str">
        <x:v>Paper &amp; Party Supplies</x:v>
      </x:c>
      <x:c r="P734" s="10" t="n">
        <x:v>35</x:v>
      </x:c>
      <x:c r="Q734" s="10" t="n">
        <x:v>30</x:v>
      </x:c>
      <x:c r="R734" s="13" t="n">
        <x:v>4.94</x:v>
      </x:c>
      <x:c r="S734" s="10" t="n">
        <x:v>5332</x:v>
      </x:c>
      <x:c r="T734" s="10" t="str">
        <x:v>debt payoff,debt tracker,student loan payoff,mortgage payoff,debt repayment,personal finance,debt track template,debt payoff planner,loan payoff template,debt repayment sheet,avalanche debt,debt avalanche,avalnche method</x:v>
      </x:c>
      <x:c r="U734" s="10" t="str">
        <x:v>debt payoff</x:v>
      </x:c>
      <x:c r="V734" s="10" t="str">
        <x:v>debt tracker</x:v>
      </x:c>
      <x:c r="W734" s="10" t="str">
        <x:v>student loan payoff</x:v>
      </x:c>
      <x:c r="X734" s="10" t="str">
        <x:v>mortgage payoff</x:v>
      </x:c>
      <x:c r="Y734" s="10" t="str">
        <x:v>debt repayment</x:v>
      </x:c>
      <x:c r="Z734" s="10" t="str">
        <x:v>personal finance</x:v>
      </x:c>
      <x:c r="AA734" s="10" t="str">
        <x:v>debt track template</x:v>
      </x:c>
      <x:c r="AB734" s="10" t="str">
        <x:v>debt payoff planner</x:v>
      </x:c>
      <x:c r="AC734" s="10" t="str">
        <x:v>loan payoff template</x:v>
      </x:c>
      <x:c r="AD734" s="10" t="str">
        <x:v>debt repayment sheet</x:v>
      </x:c>
      <x:c r="AE734" s="10" t="str">
        <x:v>avalanche debt</x:v>
      </x:c>
      <x:c r="AF734" s="10" t="str">
        <x:v>debt avalanche</x:v>
      </x:c>
      <x:c r="AG734" s="10" t="str">
        <x:v>avalnche method</x:v>
      </x:c>
      <x:c r="AH734" s="10" t="str">
        <x:v>General debt payoff</x:v>
      </x:c>
      <x:c r="AI734" s="13" t="n">
        <x:v>28</x:v>
      </x:c>
      <x:c r="AJ734" s="10" t="str">
        <x:f>IF(F734&gt;0,"Active","No est. sales")</x:f>
        <x:v>No est. sales</x:v>
      </x:c>
    </x:row>
    <x:row r="735">
      <x:c r="A735" s="10" t="str">
        <x:v>House Icon Planner and Journal Stickers: Rainbow or Neutral, Home Finance</x:v>
      </x:c>
      <x:c r="B735" s="10" t="str">
        <x:v>https://www.etsy.com/listing/587783743/house-icon-planner-and-journal-stickers</x:v>
      </x:c>
      <x:c r="C735" s="10" t="str">
        <x:v>sugarloop</x:v>
      </x:c>
      <x:c r="D735" s="10" t="str">
        <x:v>https://www.etsy.com/shop/sugarloop</x:v>
      </x:c>
      <x:c r="E735" s="11" t="n">
        <x:v>2.75</x:v>
      </x:c>
      <x:c r="F735" s="10" t="n">
        <x:v>0</x:v>
      </x:c>
      <x:c r="G735" s="12" t="n">
        <x:v>0</x:v>
      </x:c>
      <x:c r="H735" s="13" t="n">
        <x:v>0</x:v>
      </x:c>
      <x:c r="I735" s="10" t="n">
        <x:v>69</x:v>
      </x:c>
      <x:c r="J735" s="10" t="n">
        <x:v>14</x:v>
      </x:c>
      <x:c r="K735" s="10" t="str">
        <x:v>102 Mo.</x:v>
      </x:c>
      <x:c r="L735" s="10" t="n">
        <x:v>129</x:v>
      </x:c>
      <x:c r="M735" s="10" t="n">
        <x:v>0</x:v>
      </x:c>
      <x:c r="N735" s="10" t="n">
        <x:v>1209</x:v>
      </x:c>
      <x:c r="O735" s="10" t="str">
        <x:v>Paper &amp; Party Supplies</x:v>
      </x:c>
      <x:c r="P735" s="10" t="n">
        <x:v>250</x:v>
      </x:c>
      <x:c r="Q735" s="10" t="n">
        <x:v>0</x:v>
      </x:c>
      <x:c r="R735" s="13" t="n">
        <x:v>5.71</x:v>
      </x:c>
      <x:c r="S735" s="10" t="n">
        <x:v>71335</x:v>
      </x:c>
      <x:c r="T735" s="10" t="str">
        <x:v>planner stickers,filofax plum kikki k,erin condren eclp ec,midori fauxdori life,bullet journal bujo,hobonichi hobo techo,passion planner,house home,finance budget,rent due,bill due,house icon stickers,mortgage</x:v>
      </x:c>
      <x:c r="U735" s="10" t="str">
        <x:v>planner stickers</x:v>
      </x:c>
      <x:c r="V735" s="10" t="str">
        <x:v>filofax plum kikki k</x:v>
      </x:c>
      <x:c r="W735" s="10" t="str">
        <x:v>erin condren eclp ec</x:v>
      </x:c>
      <x:c r="X735" s="10" t="str">
        <x:v>midori fauxdori life</x:v>
      </x:c>
      <x:c r="Y735" s="10" t="str">
        <x:v>bullet journal bujo</x:v>
      </x:c>
      <x:c r="Z735" s="10" t="str">
        <x:v>hobonichi hobo techo</x:v>
      </x:c>
      <x:c r="AA735" s="10" t="str">
        <x:v>passion planner</x:v>
      </x:c>
      <x:c r="AB735" s="10" t="str">
        <x:v>house home</x:v>
      </x:c>
      <x:c r="AC735" s="10" t="str">
        <x:v>finance budget</x:v>
      </x:c>
      <x:c r="AD735" s="10" t="str">
        <x:v>rent due</x:v>
      </x:c>
      <x:c r="AE735" s="10" t="str">
        <x:v>bill due</x:v>
      </x:c>
      <x:c r="AF735" s="10" t="str">
        <x:v>house icon stickers</x:v>
      </x:c>
      <x:c r="AG735" s="10" t="str">
        <x:v>mortgage</x:v>
      </x:c>
      <x:c r="AH735" s="10" t="str">
        <x:v>Other mortgage-related</x:v>
      </x:c>
      <x:c r="AI735" s="13" t="n">
        <x:v>102</x:v>
      </x:c>
      <x:c r="AJ735" s="10" t="str">
        <x:f>IF(F735&gt;0,"Active","No est. sales")</x:f>
        <x:v>No est. sales</x:v>
      </x:c>
    </x:row>
    <x:row r="736">
      <x:c r="A736" s="10" t="str">
        <x:v>Debt Payoff Tracker Printable: Finance Planner (US Letter, A4, A5)</x:v>
      </x:c>
      <x:c r="B736" s="10" t="str">
        <x:v>https://www.etsy.com/listing/1607519551/debt-payoff-tracker-printable-finance</x:v>
      </x:c>
      <x:c r="C736" s="10" t="str">
        <x:v>CreativeUnlimitedCo</x:v>
      </x:c>
      <x:c r="D736" s="10" t="str">
        <x:v>https://www.etsy.com/shop/CreativeUnlimitedCo</x:v>
      </x:c>
      <x:c r="E736" s="11" t="n">
        <x:v>1.49</x:v>
      </x:c>
      <x:c r="F736" s="10" t="n">
        <x:v>0</x:v>
      </x:c>
      <x:c r="G736" s="12" t="n">
        <x:v>0</x:v>
      </x:c>
      <x:c r="H736" s="13" t="n">
        <x:v>0</x:v>
      </x:c>
      <x:c r="I736" s="10" t="n">
        <x:v>0</x:v>
      </x:c>
      <x:c r="J736" s="10" t="n">
        <x:v>0</x:v>
      </x:c>
      <x:c r="K736" s="10" t="str">
        <x:v>32 Mo.</x:v>
      </x:c>
      <x:c r="L736" s="10" t="n">
        <x:v>1</x:v>
      </x:c>
      <x:c r="M736" s="10" t="n">
        <x:v>0</x:v>
      </x:c>
      <x:c r="N736" s="10" t="n">
        <x:v>20</x:v>
      </x:c>
      <x:c r="O736" s="10" t="str">
        <x:v>Paper &amp; Party Supplies</x:v>
      </x:c>
      <x:c r="P736" s="10" t="n">
        <x:v>39</x:v>
      </x:c>
      <x:c r="Q736" s="10" t="n">
        <x:v>0</x:v>
      </x:c>
      <x:c r="R736" s="13" t="n">
        <x:v>0</x:v>
      </x:c>
      <x:c r="S736" s="10" t="n">
        <x:v>6073</x:v>
      </x:c>
      <x:c r="T736" s="10" t="str">
        <x:v>productivity planner,debt trackers,planner tracker,payoff payment,snowball chart,financial goals,money debts,budgeting budget pay,free dave ramsey,finance minimalist,bank credit card,mortgage progress,spending finances</x:v>
      </x:c>
      <x:c r="U736" s="10" t="str">
        <x:v>productivity planner</x:v>
      </x:c>
      <x:c r="V736" s="10" t="str">
        <x:v>debt trackers</x:v>
      </x:c>
      <x:c r="W736" s="10" t="str">
        <x:v>planner tracker</x:v>
      </x:c>
      <x:c r="X736" s="10" t="str">
        <x:v>payoff payment</x:v>
      </x:c>
      <x:c r="Y736" s="10" t="str">
        <x:v>snowball chart</x:v>
      </x:c>
      <x:c r="Z736" s="10" t="str">
        <x:v>financial goals</x:v>
      </x:c>
      <x:c r="AA736" s="10" t="str">
        <x:v>money debts</x:v>
      </x:c>
      <x:c r="AB736" s="10" t="str">
        <x:v>budgeting budget pay</x:v>
      </x:c>
      <x:c r="AC736" s="10" t="str">
        <x:v>free dave ramsey</x:v>
      </x:c>
      <x:c r="AD736" s="10" t="str">
        <x:v>finance minimalist</x:v>
      </x:c>
      <x:c r="AE736" s="10" t="str">
        <x:v>bank credit card</x:v>
      </x:c>
      <x:c r="AF736" s="10" t="str">
        <x:v>mortgage progress</x:v>
      </x:c>
      <x:c r="AG736" s="10" t="str">
        <x:v>spending finances</x:v>
      </x:c>
      <x:c r="AH736" s="10" t="str">
        <x:v>General debt payoff</x:v>
      </x:c>
      <x:c r="AI736" s="13" t="n">
        <x:v>32</x:v>
      </x:c>
      <x:c r="AJ736" s="10" t="str">
        <x:f>IF(F736&gt;0,"Active","No est. sales")</x:f>
        <x:v>No est. sales</x:v>
      </x:c>
    </x:row>
    <x:row r="737">
      <x:c r="A737" s="10" t="str">
        <x:v>UK Home Buyer Toolkit | First Time Buyer Planner, Mortgage Tracker (PDF Download)</x:v>
      </x:c>
      <x:c r="B737" s="10" t="str">
        <x:v>https://www.etsy.com/listing/4461448387/uk-home-buyer-toolkit-first-time-buyer</x:v>
      </x:c>
      <x:c r="C737" s="10" t="str">
        <x:v>UKHomeBuyerHub</x:v>
      </x:c>
      <x:c r="D737" s="10" t="str">
        <x:v>https://www.etsy.com/shop/UKHomeBuyerHub</x:v>
      </x:c>
      <x:c r="E737" s="11" t="n">
        <x:v>10.57</x:v>
      </x:c>
      <x:c r="F737" s="10" t="n">
        <x:v>0</x:v>
      </x:c>
      <x:c r="G737" s="12" t="n">
        <x:v>0</x:v>
      </x:c>
      <x:c r="H737" s="13" t="n">
        <x:v>0</x:v>
      </x:c>
      <x:c r="I737" s="10" t="n">
        <x:v>0</x:v>
      </x:c>
      <x:c r="J737" s="10" t="n">
        <x:v>0</x:v>
      </x:c>
      <x:c r="K737" s="10" t="str">
        <x:v>4 Mo.</x:v>
      </x:c>
      <x:c r="L737" s="10" t="n">
        <x:v>1</x:v>
      </x:c>
      <x:c r="M737" s="10" t="n">
        <x:v>0</x:v>
      </x:c>
      <x:c r="N737" s="10" t="n">
        <x:v>14</x:v>
      </x:c>
      <x:c r="O737" s="10" t="str">
        <x:v>Art &amp; Collectibles</x:v>
      </x:c>
      <x:c r="P737" s="10" t="n">
        <x:v>4</x:v>
      </x:c>
      <x:c r="Q737" s="10" t="n">
        <x:v>0</x:v>
      </x:c>
      <x:c r="R737" s="13" t="n">
        <x:v>0</x:v>
      </x:c>
      <x:c r="S737" s="10" t="n">
        <x:v>0</x:v>
      </x:c>
      <x:c r="T737" s="10" t="str">
        <x:v>first time buyer uk,stampduty calculator,mortgage tracker,uk home buyer plan,depositsavings,credit score improve,house buying uk,mortgage affordabili,property planner pdf,buyer checklist,home buying guide uk,uk housepurchaseplan</x:v>
      </x:c>
      <x:c r="U737" s="10" t="str">
        <x:v>first time buyer uk</x:v>
      </x:c>
      <x:c r="V737" s="10" t="str">
        <x:v>stampduty calculator</x:v>
      </x:c>
      <x:c r="W737" s="10" t="str">
        <x:v>mortgage tracker</x:v>
      </x:c>
      <x:c r="X737" s="10" t="str">
        <x:v>uk home buyer plan</x:v>
      </x:c>
      <x:c r="Y737" s="10" t="str">
        <x:v>depositsavings</x:v>
      </x:c>
      <x:c r="Z737" s="10" t="str">
        <x:v>credit score improve</x:v>
      </x:c>
      <x:c r="AA737" s="10" t="str">
        <x:v>house buying uk</x:v>
      </x:c>
      <x:c r="AB737" s="10" t="str">
        <x:v>mortgage affordabili</x:v>
      </x:c>
      <x:c r="AC737" s="10" t="str">
        <x:v>property planner pdf</x:v>
      </x:c>
      <x:c r="AD737" s="10" t="str">
        <x:v>buyer checklist</x:v>
      </x:c>
      <x:c r="AE737" s="10" t="str">
        <x:v>home buying guide uk</x:v>
      </x:c>
      <x:c r="AF737" s="10" t="str">
        <x:v>uk housepurchaseplan</x:v>
      </x:c>
      <x:c r="AG737" s="10" t="str">
        <x:v>--</x:v>
      </x:c>
      <x:c r="AH737" s="10" t="str">
        <x:v>Home buying planner</x:v>
      </x:c>
      <x:c r="AI737" s="13" t="n">
        <x:v>4</x:v>
      </x:c>
      <x:c r="AJ737" s="10" t="str">
        <x:f>IF(F737&gt;0,"Active","No est. sales")</x:f>
        <x:v>No est. sales</x:v>
      </x:c>
    </x:row>
    <x:row r="738">
      <x:c r="A738" s="10" t="str">
        <x:v>Home Buying Planner Printable | First Time Buyer Guide, House Hunting Checklist, Mortgage Budget, Closing Tracker &amp; Real Estate Planner PDF</x:v>
      </x:c>
      <x:c r="B738" s="10" t="str">
        <x:v>https://www.etsy.com/listing/4426622553/home-buying-planner-printable-first-time</x:v>
      </x:c>
      <x:c r="C738" s="10" t="str">
        <x:v>digitalrules</x:v>
      </x:c>
      <x:c r="D738" s="10" t="str">
        <x:v>https://www.etsy.com/shop/digitalrules</x:v>
      </x:c>
      <x:c r="E738" s="11" t="n">
        <x:v>2.5</x:v>
      </x:c>
      <x:c r="F738" s="10" t="n">
        <x:v>0</x:v>
      </x:c>
      <x:c r="G738" s="12" t="n">
        <x:v>0</x:v>
      </x:c>
      <x:c r="H738" s="13" t="n">
        <x:v>0</x:v>
      </x:c>
      <x:c r="I738" s="10" t="n">
        <x:v>0</x:v>
      </x:c>
      <x:c r="J738" s="10" t="n">
        <x:v>0</x:v>
      </x:c>
      <x:c r="K738" s="10" t="str">
        <x:v>7 Mo.</x:v>
      </x:c>
      <x:c r="L738" s="10" t="n">
        <x:v>1</x:v>
      </x:c>
      <x:c r="M738" s="10" t="n">
        <x:v>0</x:v>
      </x:c>
      <x:c r="N738" s="10" t="n">
        <x:v>41</x:v>
      </x:c>
      <x:c r="O738" s="10" t="str"/>
      <x:c r="P738" s="10" t="n">
        <x:v>7</x:v>
      </x:c>
      <x:c r="Q738" s="10" t="n">
        <x:v>0</x:v>
      </x:c>
      <x:c r="R738" s="13" t="n">
        <x:v>0</x:v>
      </x:c>
      <x:c r="S738" s="10" t="n">
        <x:v>3</x:v>
      </x:c>
      <x:c r="T738" s="10" t="str">
        <x:v>home buying planner,first time buyer,house hunting,mortgage budget,real estate pdf,buyer checklist,home purchase,closing tracker,property planner,home buyer guide,printable planner,real estate plan,digital planner</x:v>
      </x:c>
      <x:c r="U738" s="10" t="str">
        <x:v>home buying planner</x:v>
      </x:c>
      <x:c r="V738" s="10" t="str">
        <x:v>first time buyer</x:v>
      </x:c>
      <x:c r="W738" s="10" t="str">
        <x:v>house hunting</x:v>
      </x:c>
      <x:c r="X738" s="10" t="str">
        <x:v>mortgage budget</x:v>
      </x:c>
      <x:c r="Y738" s="10" t="str">
        <x:v>real estate pdf</x:v>
      </x:c>
      <x:c r="Z738" s="10" t="str">
        <x:v>buyer checklist</x:v>
      </x:c>
      <x:c r="AA738" s="10" t="str">
        <x:v>home purchase</x:v>
      </x:c>
      <x:c r="AB738" s="10" t="str">
        <x:v>closing tracker</x:v>
      </x:c>
      <x:c r="AC738" s="10" t="str">
        <x:v>property planner</x:v>
      </x:c>
      <x:c r="AD738" s="10" t="str">
        <x:v>home buyer guide</x:v>
      </x:c>
      <x:c r="AE738" s="10" t="str">
        <x:v>printable planner</x:v>
      </x:c>
      <x:c r="AF738" s="10" t="str">
        <x:v>real estate plan</x:v>
      </x:c>
      <x:c r="AG738" s="10" t="str">
        <x:v>digital planner</x:v>
      </x:c>
      <x:c r="AH738" s="10" t="str">
        <x:v>Home buying planner</x:v>
      </x:c>
      <x:c r="AI738" s="13" t="n">
        <x:v>7</x:v>
      </x:c>
      <x:c r="AJ738" s="10" t="str">
        <x:f>IF(F738&gt;0,"Active","No est. sales")</x:f>
        <x:v>No est. sales</x:v>
      </x:c>
    </x:row>
    <x:row r="739">
      <x:c r="A739" s="10" t="str">
        <x:v>Ultimate Debt Payoff Planner — Snowball and Avalanche Calculator, Credit Card, Mortgage, Student Loan Tracker for Google Sheets &amp; Excel</x:v>
      </x:c>
      <x:c r="B739" s="10" t="str">
        <x:v>https://www.etsy.com/listing/4514087730/ultimate-debt-payoff-planner-snowball</x:v>
      </x:c>
      <x:c r="C739" s="10" t="str">
        <x:v>OskarCo</x:v>
      </x:c>
      <x:c r="D739" s="10" t="str">
        <x:v>https://www.etsy.com/shop/OskarCo</x:v>
      </x:c>
      <x:c r="E739" s="11" t="n">
        <x:v>1.56</x:v>
      </x:c>
      <x:c r="F739" s="10" t="n">
        <x:v>0</x:v>
      </x:c>
      <x:c r="G739" s="12" t="n">
        <x:v>0</x:v>
      </x:c>
      <x:c r="H739" s="13" t="n">
        <x:v>0</x:v>
      </x:c>
      <x:c r="I739" s="10" t="n">
        <x:v>0</x:v>
      </x:c>
      <x:c r="J739" s="10" t="n">
        <x:v>0</x:v>
      </x:c>
      <x:c r="K739" s="10" t="str">
        <x:v>1 Mo.</x:v>
      </x:c>
      <x:c r="L739" s="10" t="n">
        <x:v>0</x:v>
      </x:c>
      <x:c r="M739" s="10" t="n">
        <x:v>0</x:v>
      </x:c>
      <x:c r="N739" s="10" t="n">
        <x:v>7</x:v>
      </x:c>
      <x:c r="O739" s="10" t="str"/>
      <x:c r="P739" s="10" t="n">
        <x:v>2</x:v>
      </x:c>
      <x:c r="Q739" s="10" t="n">
        <x:v>0</x:v>
      </x:c>
      <x:c r="R739" s="13" t="n">
        <x:v>0</x:v>
      </x:c>
      <x:c r="S739" s="10" t="n">
        <x:v>26</x:v>
      </x:c>
      <x:c r="T739" s="10" t="str">
        <x:v>debt payoff tracker,debt snowball,debt payment tracker,credit card payoff,mortgage payoff,student loan debt,debt-free planner,debt template,credit score debt,credit utilization,google sheets budget,debt,planner</x:v>
      </x:c>
      <x:c r="U739" s="10" t="str">
        <x:v>debt payoff tracker</x:v>
      </x:c>
      <x:c r="V739" s="10" t="str">
        <x:v>debt snowball</x:v>
      </x:c>
      <x:c r="W739" s="10" t="str">
        <x:v>debt payment tracker</x:v>
      </x:c>
      <x:c r="X739" s="10" t="str">
        <x:v>credit card payoff</x:v>
      </x:c>
      <x:c r="Y739" s="10" t="str">
        <x:v>mortgage payoff</x:v>
      </x:c>
      <x:c r="Z739" s="10" t="str">
        <x:v>student loan debt</x:v>
      </x:c>
      <x:c r="AA739" s="10" t="str">
        <x:v>debt-free planner</x:v>
      </x:c>
      <x:c r="AB739" s="10" t="str">
        <x:v>debt template</x:v>
      </x:c>
      <x:c r="AC739" s="10" t="str">
        <x:v>credit score debt</x:v>
      </x:c>
      <x:c r="AD739" s="10" t="str">
        <x:v>credit utilization</x:v>
      </x:c>
      <x:c r="AE739" s="10" t="str">
        <x:v>google sheets budget</x:v>
      </x:c>
      <x:c r="AF739" s="10" t="str">
        <x:v>debt</x:v>
      </x:c>
      <x:c r="AG739" s="10" t="str">
        <x:v>planner</x:v>
      </x:c>
      <x:c r="AH739" s="10" t="str">
        <x:v>General debt payoff</x:v>
      </x:c>
      <x:c r="AI739" s="13" t="n">
        <x:v>1</x:v>
      </x:c>
      <x:c r="AJ739" s="10" t="str">
        <x:f>IF(F739&gt;0,"Active","No est. sales")</x:f>
        <x:v>No est. sales</x:v>
      </x:c>
    </x:row>
    <x:row r="740">
      <x:c r="A740" s="10" t="str">
        <x:v>FinHome 50/30/20 Budget Web App | Private Personal Finance Tracker | Automated Mortgage Calculator | Excel Spreadsheet Alternative</x:v>
      </x:c>
      <x:c r="B740" s="10" t="str">
        <x:v>https://www.etsy.com/listing/4522318447/finhome-503020-budget-web-app-private</x:v>
      </x:c>
      <x:c r="C740" s="10" t="str">
        <x:v>FinancialZone</x:v>
      </x:c>
      <x:c r="D740" s="10" t="str">
        <x:v>https://www.etsy.com/shop/FinancialZone</x:v>
      </x:c>
      <x:c r="E740" s="11" t="n">
        <x:v>7.99</x:v>
      </x:c>
      <x:c r="F740" s="10" t="n">
        <x:v>0</x:v>
      </x:c>
      <x:c r="G740" s="12" t="n">
        <x:v>0</x:v>
      </x:c>
      <x:c r="H740" s="13" t="n">
        <x:v>0</x:v>
      </x:c>
      <x:c r="I740" s="10" t="n">
        <x:v>0</x:v>
      </x:c>
      <x:c r="J740" s="10" t="n">
        <x:v>0</x:v>
      </x:c>
      <x:c r="K740" s="10" t="str">
        <x:v>1 Mo.</x:v>
      </x:c>
      <x:c r="L740" s="10" t="n">
        <x:v>0</x:v>
      </x:c>
      <x:c r="M740" s="10" t="n">
        <x:v>0</x:v>
      </x:c>
      <x:c r="N740" s="10" t="n">
        <x:v>11</x:v>
      </x:c>
      <x:c r="O740" s="10" t="str"/>
      <x:c r="P740" s="10" t="n">
        <x:v>0</x:v>
      </x:c>
      <x:c r="Q740" s="10" t="n">
        <x:v>0</x:v>
      </x:c>
      <x:c r="R740" s="13" t="n">
        <x:v>0</x:v>
      </x:c>
      <x:c r="S740" s="10" t="n">
        <x:v>1</x:v>
      </x:c>
      <x:c r="T740" s="10" t="str">
        <x:v>budget app,personal finance,private budget,50 30 20 budget,mortgage calculator,finance tracker,home buying tool,no cloud budget,financial planner,money management,excel alternative,biweekly budget,expense tracker</x:v>
      </x:c>
      <x:c r="U740" s="10" t="str">
        <x:v>budget app</x:v>
      </x:c>
      <x:c r="V740" s="10" t="str">
        <x:v>personal finance</x:v>
      </x:c>
      <x:c r="W740" s="10" t="str">
        <x:v>private budget</x:v>
      </x:c>
      <x:c r="X740" s="10" t="str">
        <x:v>50 30 20 budget</x:v>
      </x:c>
      <x:c r="Y740" s="10" t="str">
        <x:v>mortgage calculator</x:v>
      </x:c>
      <x:c r="Z740" s="10" t="str">
        <x:v>finance tracker</x:v>
      </x:c>
      <x:c r="AA740" s="10" t="str">
        <x:v>home buying tool</x:v>
      </x:c>
      <x:c r="AB740" s="10" t="str">
        <x:v>no cloud budget</x:v>
      </x:c>
      <x:c r="AC740" s="10" t="str">
        <x:v>financial planner</x:v>
      </x:c>
      <x:c r="AD740" s="10" t="str">
        <x:v>money management</x:v>
      </x:c>
      <x:c r="AE740" s="10" t="str">
        <x:v>excel alternative</x:v>
      </x:c>
      <x:c r="AF740" s="10" t="str">
        <x:v>biweekly budget</x:v>
      </x:c>
      <x:c r="AG740" s="10" t="str">
        <x:v>expense tracker</x:v>
      </x:c>
      <x:c r="AH740" s="10" t="str">
        <x:v>Mortgage payoff / calculator</x:v>
      </x:c>
      <x:c r="AI740" s="13" t="n">
        <x:v>1</x:v>
      </x:c>
      <x:c r="AJ740" s="10" t="str">
        <x:f>IF(F740&gt;0,"Active","No est. sales")</x:f>
        <x:v>No est. sales</x:v>
      </x:c>
    </x:row>
    <x:row r="741">
      <x:c r="A741" s="10" t="str">
        <x:v>Home Finance Tracker Printable | Complete Homeowner Financial System | Mortgage Repair Equity Budget Planner PDF</x:v>
      </x:c>
      <x:c r="B741" s="10" t="str">
        <x:v>https://www.etsy.com/listing/4475021887/home-finance-tracker-printable-complete</x:v>
      </x:c>
      <x:c r="C741" s="10" t="str">
        <x:v>SmartLifeToolsCo</x:v>
      </x:c>
      <x:c r="D741" s="10" t="str">
        <x:v>https://www.etsy.com/shop/SmartLifeToolsCo</x:v>
      </x:c>
      <x:c r="E741" s="11" t="n">
        <x:v>14.97</x:v>
      </x:c>
      <x:c r="F741" s="10" t="n">
        <x:v>0</x:v>
      </x:c>
      <x:c r="G741" s="12" t="n">
        <x:v>0</x:v>
      </x:c>
      <x:c r="H741" s="13" t="n">
        <x:v>0</x:v>
      </x:c>
      <x:c r="I741" s="10" t="n">
        <x:v>0</x:v>
      </x:c>
      <x:c r="J741" s="10" t="n">
        <x:v>0</x:v>
      </x:c>
      <x:c r="K741" s="10" t="str">
        <x:v>4 Mo.</x:v>
      </x:c>
      <x:c r="L741" s="10" t="n">
        <x:v>0</x:v>
      </x:c>
      <x:c r="M741" s="10" t="n">
        <x:v>0</x:v>
      </x:c>
      <x:c r="N741" s="10" t="n">
        <x:v>6</x:v>
      </x:c>
      <x:c r="O741" s="10" t="str">
        <x:v>Paper &amp; Party Supplies</x:v>
      </x:c>
      <x:c r="P741" s="10" t="n">
        <x:v>4</x:v>
      </x:c>
      <x:c r="Q741" s="10" t="n">
        <x:v>0</x:v>
      </x:c>
      <x:c r="R741" s="13" t="n">
        <x:v>0</x:v>
      </x:c>
      <x:c r="S741" s="10" t="n">
        <x:v>0</x:v>
      </x:c>
      <x:c r="T741" s="10" t="str">
        <x:v>home finance tracker,home budget,expense tracker,mortgage tracker,home expenses,budget planner,repair log,home repair log,utility tracker,home planner,finance planner,cost tracker,homeowner pdf</x:v>
      </x:c>
      <x:c r="U741" s="10" t="str">
        <x:v>home finance tracker</x:v>
      </x:c>
      <x:c r="V741" s="10" t="str">
        <x:v>home budget</x:v>
      </x:c>
      <x:c r="W741" s="10" t="str">
        <x:v>expense tracker</x:v>
      </x:c>
      <x:c r="X741" s="10" t="str">
        <x:v>mortgage tracker</x:v>
      </x:c>
      <x:c r="Y741" s="10" t="str">
        <x:v>home expenses</x:v>
      </x:c>
      <x:c r="Z741" s="10" t="str">
        <x:v>budget planner</x:v>
      </x:c>
      <x:c r="AA741" s="10" t="str">
        <x:v>repair log</x:v>
      </x:c>
      <x:c r="AB741" s="10" t="str">
        <x:v>home repair log</x:v>
      </x:c>
      <x:c r="AC741" s="10" t="str">
        <x:v>utility tracker</x:v>
      </x:c>
      <x:c r="AD741" s="10" t="str">
        <x:v>home planner</x:v>
      </x:c>
      <x:c r="AE741" s="10" t="str">
        <x:v>finance planner</x:v>
      </x:c>
      <x:c r="AF741" s="10" t="str">
        <x:v>cost tracker</x:v>
      </x:c>
      <x:c r="AG741" s="10" t="str">
        <x:v>homeowner pdf</x:v>
      </x:c>
      <x:c r="AH741" s="10" t="str">
        <x:v>Other mortgage-related</x:v>
      </x:c>
      <x:c r="AI741" s="13" t="n">
        <x:v>4</x:v>
      </x:c>
      <x:c r="AJ741" s="10" t="str">
        <x:f>IF(F741&gt;0,"Active","No est. sales")</x:f>
        <x:v>No est. sales</x:v>
      </x:c>
    </x:row>
    <x:row r="742">
      <x:c r="A742" s="10" t="str">
        <x:v>Debt Payoff Tracker Debt Snowball Avalanche Calculator Google Sheets Credit Card Loan Tracker Personal Debt Free Planner Student Loan Payoff</x:v>
      </x:c>
      <x:c r="B742" s="10" t="str">
        <x:v>https://www.etsy.com/listing/1860851137/debt-payoff-tracker-debt-snowball</x:v>
      </x:c>
      <x:c r="C742" s="10" t="str">
        <x:v>DansDigitalsCo</x:v>
      </x:c>
      <x:c r="D742" s="10" t="str">
        <x:v>https://www.etsy.com/shop/DansDigitalsCo</x:v>
      </x:c>
      <x:c r="E742" s="11" t="n">
        <x:v>9.34</x:v>
      </x:c>
      <x:c r="F742" s="10" t="n">
        <x:v>0</x:v>
      </x:c>
      <x:c r="G742" s="12" t="n">
        <x:v>0</x:v>
      </x:c>
      <x:c r="H742" s="13" t="n">
        <x:v>0</x:v>
      </x:c>
      <x:c r="I742" s="10" t="n">
        <x:v>17</x:v>
      </x:c>
      <x:c r="J742" s="10" t="n">
        <x:v>1</x:v>
      </x:c>
      <x:c r="K742" s="10" t="str">
        <x:v>18 Mo.</x:v>
      </x:c>
      <x:c r="L742" s="10" t="n">
        <x:v>5</x:v>
      </x:c>
      <x:c r="M742" s="10" t="n">
        <x:v>0</x:v>
      </x:c>
      <x:c r="N742" s="10" t="n">
        <x:v>238</x:v>
      </x:c>
      <x:c r="O742" s="10" t="str">
        <x:v>Paper &amp; Party Supplies</x:v>
      </x:c>
      <x:c r="P742" s="10" t="n">
        <x:v>56</x:v>
      </x:c>
      <x:c r="Q742" s="10" t="n">
        <x:v>0</x:v>
      </x:c>
      <x:c r="R742" s="13" t="n">
        <x:v>7.14</x:v>
      </x:c>
      <x:c r="S742" s="10" t="n">
        <x:v>12312</x:v>
      </x:c>
      <x:c r="T742" s="10" t="str">
        <x:v>debt google sheets,debt spreadsheet,debt payoff tracker,personal finance,mortgage payoff,debt snowball excel,debt tracker excel,snowball calculator,student loan payoff,credit card debt,financial planner,debt avalanche,budget planner</x:v>
      </x:c>
      <x:c r="U742" s="10" t="str">
        <x:v>debt google sheets</x:v>
      </x:c>
      <x:c r="V742" s="10" t="str">
        <x:v>debt spreadsheet</x:v>
      </x:c>
      <x:c r="W742" s="10" t="str">
        <x:v>debt payoff tracker</x:v>
      </x:c>
      <x:c r="X742" s="10" t="str">
        <x:v>personal finance</x:v>
      </x:c>
      <x:c r="Y742" s="10" t="str">
        <x:v>mortgage payoff</x:v>
      </x:c>
      <x:c r="Z742" s="10" t="str">
        <x:v>debt snowball excel</x:v>
      </x:c>
      <x:c r="AA742" s="10" t="str">
        <x:v>debt tracker excel</x:v>
      </x:c>
      <x:c r="AB742" s="10" t="str">
        <x:v>snowball calculator</x:v>
      </x:c>
      <x:c r="AC742" s="10" t="str">
        <x:v>student loan payoff</x:v>
      </x:c>
      <x:c r="AD742" s="10" t="str">
        <x:v>credit card debt</x:v>
      </x:c>
      <x:c r="AE742" s="10" t="str">
        <x:v>financial planner</x:v>
      </x:c>
      <x:c r="AF742" s="10" t="str">
        <x:v>debt avalanche</x:v>
      </x:c>
      <x:c r="AG742" s="10" t="str">
        <x:v>budget planner</x:v>
      </x:c>
      <x:c r="AH742" s="10" t="str">
        <x:v>General debt payoff</x:v>
      </x:c>
      <x:c r="AI742" s="13" t="n">
        <x:v>18</x:v>
      </x:c>
      <x:c r="AJ742" s="10" t="str">
        <x:f>IF(F742&gt;0,"Active","No est. sales")</x:f>
        <x:v>No est. sales</x:v>
      </x:c>
    </x:row>
    <x:row r="743">
      <x:c r="A743" s="10" t="str">
        <x:v>Loan Comparison Sheet | Interest Rate Spreadsheet Google Sheets Excel Template</x:v>
      </x:c>
      <x:c r="B743" s="10" t="str">
        <x:v>https://www.etsy.com/listing/4515102673/loan-comparison-sheet-interest-rate</x:v>
      </x:c>
      <x:c r="C743" s="10" t="str">
        <x:v>ProductivityForgeHQ</x:v>
      </x:c>
      <x:c r="D743" s="10" t="str">
        <x:v>https://www.etsy.com/shop/ProductivityForgeHQ</x:v>
      </x:c>
      <x:c r="E743" s="11" t="n">
        <x:v>5.68</x:v>
      </x:c>
      <x:c r="F743" s="10" t="n">
        <x:v>0</x:v>
      </x:c>
      <x:c r="G743" s="12" t="n">
        <x:v>0</x:v>
      </x:c>
      <x:c r="H743" s="13" t="n">
        <x:v>0</x:v>
      </x:c>
      <x:c r="I743" s="10" t="n">
        <x:v>0</x:v>
      </x:c>
      <x:c r="J743" s="10" t="n">
        <x:v>0</x:v>
      </x:c>
      <x:c r="K743" s="10" t="str">
        <x:v>1 Mo.</x:v>
      </x:c>
      <x:c r="L743" s="10" t="n">
        <x:v>0</x:v>
      </x:c>
      <x:c r="M743" s="10" t="n">
        <x:v>0</x:v>
      </x:c>
      <x:c r="N743" s="10" t="n">
        <x:v>0</x:v>
      </x:c>
      <x:c r="O743" s="10" t="str">
        <x:v>Paper &amp; Party Supplies</x:v>
      </x:c>
      <x:c r="P743" s="10" t="n">
        <x:v>4</x:v>
      </x:c>
      <x:c r="Q743" s="10" t="n">
        <x:v>0</x:v>
      </x:c>
      <x:c r="R743" s="13" t="n">
        <x:v>0</x:v>
      </x:c>
      <x:c r="S743" s="10" t="n">
        <x:v>176</x:v>
      </x:c>
      <x:c r="T743" s="10" t="str">
        <x:v>loan comparison,loan calculator,interest rate,mortgage comparison,loan payment,debt comparison,auto loan,loan amortization,rate comparison,lending tracker,loan planner,excel spreadsheet,google sheets</x:v>
      </x:c>
      <x:c r="U743" s="10" t="str">
        <x:v>loan comparison</x:v>
      </x:c>
      <x:c r="V743" s="10" t="str">
        <x:v>loan calculator</x:v>
      </x:c>
      <x:c r="W743" s="10" t="str">
        <x:v>interest rate</x:v>
      </x:c>
      <x:c r="X743" s="10" t="str">
        <x:v>mortgage comparison</x:v>
      </x:c>
      <x:c r="Y743" s="10" t="str">
        <x:v>loan payment</x:v>
      </x:c>
      <x:c r="Z743" s="10" t="str">
        <x:v>debt comparison</x:v>
      </x:c>
      <x:c r="AA743" s="10" t="str">
        <x:v>auto loan</x:v>
      </x:c>
      <x:c r="AB743" s="10" t="str">
        <x:v>loan amortization</x:v>
      </x:c>
      <x:c r="AC743" s="10" t="str">
        <x:v>rate comparison</x:v>
      </x:c>
      <x:c r="AD743" s="10" t="str">
        <x:v>lending tracker</x:v>
      </x:c>
      <x:c r="AE743" s="10" t="str">
        <x:v>loan planner</x:v>
      </x:c>
      <x:c r="AF743" s="10" t="str">
        <x:v>excel spreadsheet</x:v>
      </x:c>
      <x:c r="AG743" s="10" t="str">
        <x:v>google sheets</x:v>
      </x:c>
      <x:c r="AH743" s="10" t="str">
        <x:v>Other mortgage-related</x:v>
      </x:c>
      <x:c r="AI743" s="13" t="n">
        <x:v>1</x:v>
      </x:c>
      <x:c r="AJ743" s="10" t="str">
        <x:f>IF(F743&gt;0,"Active","No est. sales")</x:f>
        <x:v>No est. sales</x:v>
      </x:c>
    </x:row>
    <x:row r="744">
      <x:c r="A744" s="10" t="str">
        <x:v>Debt-Free Journey Tracker Bundle | 5 Spreadsheet Templates Google Sheets Excel Digital Download</x:v>
      </x:c>
      <x:c r="B744" s="10" t="str">
        <x:v>https://www.etsy.com/listing/4484739370/debt-free-journey-tracker-bundle-5</x:v>
      </x:c>
      <x:c r="C744" s="10" t="str">
        <x:v>ProductivityForgeHQ</x:v>
      </x:c>
      <x:c r="D744" s="10" t="str">
        <x:v>https://www.etsy.com/shop/ProductivityForgeHQ</x:v>
      </x:c>
      <x:c r="E744" s="11" t="n">
        <x:v>5.68</x:v>
      </x:c>
      <x:c r="F744" s="10" t="n">
        <x:v>0</x:v>
      </x:c>
      <x:c r="G744" s="12" t="n">
        <x:v>0</x:v>
      </x:c>
      <x:c r="H744" s="13" t="n">
        <x:v>0</x:v>
      </x:c>
      <x:c r="I744" s="10" t="n">
        <x:v>0</x:v>
      </x:c>
      <x:c r="J744" s="10" t="n">
        <x:v>0</x:v>
      </x:c>
      <x:c r="K744" s="10" t="str">
        <x:v>3 Mo.</x:v>
      </x:c>
      <x:c r="L744" s="10" t="n">
        <x:v>0</x:v>
      </x:c>
      <x:c r="M744" s="10" t="n">
        <x:v>0</x:v>
      </x:c>
      <x:c r="N744" s="10" t="n">
        <x:v>5</x:v>
      </x:c>
      <x:c r="O744" s="10" t="str">
        <x:v>Paper &amp; Party Supplies</x:v>
      </x:c>
      <x:c r="P744" s="10" t="n">
        <x:v>4</x:v>
      </x:c>
      <x:c r="Q744" s="10" t="n">
        <x:v>0</x:v>
      </x:c>
      <x:c r="R744" s="13" t="n">
        <x:v>0</x:v>
      </x:c>
      <x:c r="S744" s="10" t="n">
        <x:v>176</x:v>
      </x:c>
      <x:c r="T744" s="10" t="str">
        <x:v>debt payoff,credit score,mortgage payment,tracker financial,budget bundle,finance templates,money tracker set,template bundle,spreadsheet bundle,excel templates,google sheets,digital download,planner bundle</x:v>
      </x:c>
      <x:c r="U744" s="10" t="str">
        <x:v>debt payoff</x:v>
      </x:c>
      <x:c r="V744" s="10" t="str">
        <x:v>credit score</x:v>
      </x:c>
      <x:c r="W744" s="10" t="str">
        <x:v>mortgage payment</x:v>
      </x:c>
      <x:c r="X744" s="10" t="str">
        <x:v>tracker financial</x:v>
      </x:c>
      <x:c r="Y744" s="10" t="str">
        <x:v>budget bundle</x:v>
      </x:c>
      <x:c r="Z744" s="10" t="str">
        <x:v>finance templates</x:v>
      </x:c>
      <x:c r="AA744" s="10" t="str">
        <x:v>money tracker set</x:v>
      </x:c>
      <x:c r="AB744" s="10" t="str">
        <x:v>template bundle</x:v>
      </x:c>
      <x:c r="AC744" s="10" t="str">
        <x:v>spreadsheet bundle</x:v>
      </x:c>
      <x:c r="AD744" s="10" t="str">
        <x:v>excel templates</x:v>
      </x:c>
      <x:c r="AE744" s="10" t="str">
        <x:v>google sheets</x:v>
      </x:c>
      <x:c r="AF744" s="10" t="str">
        <x:v>digital download</x:v>
      </x:c>
      <x:c r="AG744" s="10" t="str">
        <x:v>planner bundle</x:v>
      </x:c>
      <x:c r="AH744" s="10" t="str">
        <x:v>Other mortgage-related</x:v>
      </x:c>
      <x:c r="AI744" s="13" t="n">
        <x:v>3</x:v>
      </x:c>
      <x:c r="AJ744" s="10" t="str">
        <x:f>IF(F744&gt;0,"Active","No est. sales")</x:f>
        <x:v>No est. sales</x:v>
      </x:c>
    </x:row>
    <x:row r="745">
      <x:c r="A745" s="10" t="str">
        <x:v>House Hack ROI Tracker Spreadsheet Google Sheets Excel House Hacking Planner</x:v>
      </x:c>
      <x:c r="B745" s="10" t="str">
        <x:v>https://www.etsy.com/listing/4512581348/house-hack-roi-tracker-spreadsheet</x:v>
      </x:c>
      <x:c r="C745" s="10" t="str">
        <x:v>ProductivityForgeHQ</x:v>
      </x:c>
      <x:c r="D745" s="10" t="str">
        <x:v>https://www.etsy.com/shop/ProductivityForgeHQ</x:v>
      </x:c>
      <x:c r="E745" s="11" t="n">
        <x:v>5.68</x:v>
      </x:c>
      <x:c r="F745" s="10" t="n">
        <x:v>0</x:v>
      </x:c>
      <x:c r="G745" s="12" t="n">
        <x:v>0</x:v>
      </x:c>
      <x:c r="H745" s="13" t="n">
        <x:v>0</x:v>
      </x:c>
      <x:c r="I745" s="10" t="n">
        <x:v>0</x:v>
      </x:c>
      <x:c r="J745" s="10" t="n">
        <x:v>0</x:v>
      </x:c>
      <x:c r="K745" s="10" t="str">
        <x:v>2 Mo.</x:v>
      </x:c>
      <x:c r="L745" s="10" t="n">
        <x:v>1</x:v>
      </x:c>
      <x:c r="M745" s="10" t="n">
        <x:v>0</x:v>
      </x:c>
      <x:c r="N745" s="10" t="n">
        <x:v>10</x:v>
      </x:c>
      <x:c r="O745" s="10" t="str">
        <x:v>Paper &amp; Party Supplies</x:v>
      </x:c>
      <x:c r="P745" s="10" t="n">
        <x:v>4</x:v>
      </x:c>
      <x:c r="Q745" s="10" t="n">
        <x:v>0</x:v>
      </x:c>
      <x:c r="R745" s="13" t="n">
        <x:v>0</x:v>
      </x:c>
      <x:c r="S745" s="10" t="n">
        <x:v>176</x:v>
      </x:c>
      <x:c r="T745" s="10" t="str">
        <x:v>house hack tracker,house hacking roi,house hack planner,mortgage offset,house hack excel,rental room tracker,duplex house hack,housing cost tracker,owner occupied roi,house hack log,real estate excel,excel spreadsheet,google sheets</x:v>
      </x:c>
      <x:c r="U745" s="10" t="str">
        <x:v>house hack tracker</x:v>
      </x:c>
      <x:c r="V745" s="10" t="str">
        <x:v>house hacking roi</x:v>
      </x:c>
      <x:c r="W745" s="10" t="str">
        <x:v>house hack planner</x:v>
      </x:c>
      <x:c r="X745" s="10" t="str">
        <x:v>mortgage offset</x:v>
      </x:c>
      <x:c r="Y745" s="10" t="str">
        <x:v>house hack excel</x:v>
      </x:c>
      <x:c r="Z745" s="10" t="str">
        <x:v>rental room tracker</x:v>
      </x:c>
      <x:c r="AA745" s="10" t="str">
        <x:v>duplex house hack</x:v>
      </x:c>
      <x:c r="AB745" s="10" t="str">
        <x:v>housing cost tracker</x:v>
      </x:c>
      <x:c r="AC745" s="10" t="str">
        <x:v>owner occupied roi</x:v>
      </x:c>
      <x:c r="AD745" s="10" t="str">
        <x:v>house hack log</x:v>
      </x:c>
      <x:c r="AE745" s="10" t="str">
        <x:v>real estate excel</x:v>
      </x:c>
      <x:c r="AF745" s="10" t="str">
        <x:v>excel spreadsheet</x:v>
      </x:c>
      <x:c r="AG745" s="10" t="str">
        <x:v>google sheets</x:v>
      </x:c>
      <x:c r="AH745" s="10" t="str">
        <x:v>Other mortgage-related</x:v>
      </x:c>
      <x:c r="AI745" s="13" t="n">
        <x:v>2</x:v>
      </x:c>
      <x:c r="AJ745" s="10" t="str">
        <x:f>IF(F745&gt;0,"Active","No est. sales")</x:f>
        <x:v>No est. sales</x:v>
      </x:c>
    </x:row>
    <x:row r="746">
      <x:c r="A746" s="10" t="str">
        <x:v>Home Information Book of Records helps to organise mortgages, insurance, utilities, projects, maintenance, essential information in a binder</x:v>
      </x:c>
      <x:c r="B746" s="10" t="str">
        <x:v>https://www.etsy.com/listing/1668232122/home-information-book-of-records-helps</x:v>
      </x:c>
      <x:c r="C746" s="10" t="str">
        <x:v>MadeforMoving</x:v>
      </x:c>
      <x:c r="D746" s="10" t="str">
        <x:v>https://www.etsy.com/shop/MadeforMoving</x:v>
      </x:c>
      <x:c r="E746" s="11" t="n">
        <x:v>13.33</x:v>
      </x:c>
      <x:c r="F746" s="10" t="n">
        <x:v>0</x:v>
      </x:c>
      <x:c r="G746" s="12" t="n">
        <x:v>0</x:v>
      </x:c>
      <x:c r="H746" s="13" t="n">
        <x:v>0</x:v>
      </x:c>
      <x:c r="I746" s="10" t="n">
        <x:v>17</x:v>
      </x:c>
      <x:c r="J746" s="10" t="n">
        <x:v>2</x:v>
      </x:c>
      <x:c r="K746" s="10" t="str">
        <x:v>29 Mo.</x:v>
      </x:c>
      <x:c r="L746" s="10" t="n">
        <x:v>54</x:v>
      </x:c>
      <x:c r="M746" s="10" t="n">
        <x:v>0</x:v>
      </x:c>
      <x:c r="N746" s="10" t="n">
        <x:v>907</x:v>
      </x:c>
      <x:c r="O746" s="10" t="str">
        <x:v>Paper &amp; Party Supplies</x:v>
      </x:c>
      <x:c r="P746" s="10" t="n">
        <x:v>65</x:v>
      </x:c>
      <x:c r="Q746" s="10" t="n">
        <x:v>0</x:v>
      </x:c>
      <x:c r="R746" s="13" t="n">
        <x:v>1.87</x:v>
      </x:c>
      <x:c r="S746" s="10" t="n">
        <x:v>4199</x:v>
      </x:c>
      <x:c r="T746" s="10" t="str">
        <x:v>home information,home management,household planner,home binder,home record keeper,printable planner,home organisation,home maintenance,utility tracker,mortgage records,house binder,new homeowner,organized home</x:v>
      </x:c>
      <x:c r="U746" s="10" t="str">
        <x:v>home information</x:v>
      </x:c>
      <x:c r="V746" s="10" t="str">
        <x:v>home management</x:v>
      </x:c>
      <x:c r="W746" s="10" t="str">
        <x:v>household planner</x:v>
      </x:c>
      <x:c r="X746" s="10" t="str">
        <x:v>home binder</x:v>
      </x:c>
      <x:c r="Y746" s="10" t="str">
        <x:v>home record keeper</x:v>
      </x:c>
      <x:c r="Z746" s="10" t="str">
        <x:v>printable planner</x:v>
      </x:c>
      <x:c r="AA746" s="10" t="str">
        <x:v>home organisation</x:v>
      </x:c>
      <x:c r="AB746" s="10" t="str">
        <x:v>home maintenance</x:v>
      </x:c>
      <x:c r="AC746" s="10" t="str">
        <x:v>utility tracker</x:v>
      </x:c>
      <x:c r="AD746" s="10" t="str">
        <x:v>mortgage records</x:v>
      </x:c>
      <x:c r="AE746" s="10" t="str">
        <x:v>house binder</x:v>
      </x:c>
      <x:c r="AF746" s="10" t="str">
        <x:v>new homeowner</x:v>
      </x:c>
      <x:c r="AG746" s="10" t="str">
        <x:v>organized home</x:v>
      </x:c>
      <x:c r="AH746" s="10" t="str">
        <x:v>Other mortgage-related</x:v>
      </x:c>
      <x:c r="AI746" s="13" t="n">
        <x:v>29</x:v>
      </x:c>
      <x:c r="AJ746" s="10" t="str">
        <x:f>IF(F746&gt;0,"Active","No est. sales")</x:f>
        <x:v>No est. sales</x:v>
      </x:c>
    </x:row>
    <x:row r="747">
      <x:c r="A747" s="10" t="str">
        <x:v>Mortgage Planner Stickers | Home Payment Reminders, Calendar Labels</x:v>
      </x:c>
      <x:c r="B747" s="10" t="str">
        <x:v>https://www.etsy.com/listing/1808174970/mortgage-planner-stickers-home-payment</x:v>
      </x:c>
      <x:c r="C747" s="10" t="str">
        <x:v>LittleBarnacles</x:v>
      </x:c>
      <x:c r="D747" s="10" t="str">
        <x:v>https://www.etsy.com/shop/LittleBarnacles</x:v>
      </x:c>
      <x:c r="E747" s="11" t="n">
        <x:v>4.5</x:v>
      </x:c>
      <x:c r="F747" s="10" t="n">
        <x:v>0</x:v>
      </x:c>
      <x:c r="G747" s="12" t="n">
        <x:v>0</x:v>
      </x:c>
      <x:c r="H747" s="13" t="n">
        <x:v>0</x:v>
      </x:c>
      <x:c r="I747" s="10" t="n">
        <x:v>0</x:v>
      </x:c>
      <x:c r="J747" s="10" t="n">
        <x:v>0</x:v>
      </x:c>
      <x:c r="K747" s="10" t="str">
        <x:v>20 Mo.</x:v>
      </x:c>
      <x:c r="L747" s="10" t="n">
        <x:v>3</x:v>
      </x:c>
      <x:c r="M747" s="10" t="n">
        <x:v>0</x:v>
      </x:c>
      <x:c r="N747" s="10" t="n">
        <x:v>47</x:v>
      </x:c>
      <x:c r="O747" s="10" t="str">
        <x:v>Paper &amp; Party Supplies</x:v>
      </x:c>
      <x:c r="P747" s="10" t="n">
        <x:v>54</x:v>
      </x:c>
      <x:c r="Q747" s="10" t="n">
        <x:v>0</x:v>
      </x:c>
      <x:c r="R747" s="13" t="n">
        <x:v>0</x:v>
      </x:c>
      <x:c r="S747" s="10" t="n">
        <x:v>9260</x:v>
      </x:c>
      <x:c r="T747" s="10" t="str">
        <x:v>planner stickers,calendar stickers,reminder stickers,custom stickers,customizable labels,text sticker,personalized sticker,personalized labels,life planner,journal stickers,mortgage due,pay bills sticker,money planner</x:v>
      </x:c>
      <x:c r="U747" s="10" t="str">
        <x:v>planner stickers</x:v>
      </x:c>
      <x:c r="V747" s="10" t="str">
        <x:v>calendar stickers</x:v>
      </x:c>
      <x:c r="W747" s="10" t="str">
        <x:v>reminder stickers</x:v>
      </x:c>
      <x:c r="X747" s="10" t="str">
        <x:v>custom stickers</x:v>
      </x:c>
      <x:c r="Y747" s="10" t="str">
        <x:v>customizable labels</x:v>
      </x:c>
      <x:c r="Z747" s="10" t="str">
        <x:v>text sticker</x:v>
      </x:c>
      <x:c r="AA747" s="10" t="str">
        <x:v>personalized sticker</x:v>
      </x:c>
      <x:c r="AB747" s="10" t="str">
        <x:v>personalized labels</x:v>
      </x:c>
      <x:c r="AC747" s="10" t="str">
        <x:v>life planner</x:v>
      </x:c>
      <x:c r="AD747" s="10" t="str">
        <x:v>journal stickers</x:v>
      </x:c>
      <x:c r="AE747" s="10" t="str">
        <x:v>mortgage due</x:v>
      </x:c>
      <x:c r="AF747" s="10" t="str">
        <x:v>pay bills sticker</x:v>
      </x:c>
      <x:c r="AG747" s="10" t="str">
        <x:v>money planner</x:v>
      </x:c>
      <x:c r="AH747" s="10" t="str">
        <x:v>Other mortgage-related</x:v>
      </x:c>
      <x:c r="AI747" s="13" t="n">
        <x:v>20</x:v>
      </x:c>
      <x:c r="AJ747" s="10" t="str">
        <x:f>IF(F747&gt;0,"Active","No est. sales")</x:f>
        <x:v>No est. sales</x:v>
      </x:c>
    </x:row>
    <x:row r="748">
      <x:c r="A748" s="10" t="str">
        <x:v>Bill Day Reminder Stickers: Colorful Planner Stickers for Erin Condren</x:v>
      </x:c>
      <x:c r="B748" s="10" t="str">
        <x:v>https://www.etsy.com/listing/469558116/bill-day-reminder-stickers-colorful</x:v>
      </x:c>
      <x:c r="C748" s="10" t="str">
        <x:v>MyOwnCraftsStore</x:v>
      </x:c>
      <x:c r="D748" s="10" t="str">
        <x:v>https://www.etsy.com/shop/MyOwnCraftsStore</x:v>
      </x:c>
      <x:c r="E748" s="11" t="n">
        <x:v>0.97</x:v>
      </x:c>
      <x:c r="F748" s="10" t="n">
        <x:v>0</x:v>
      </x:c>
      <x:c r="G748" s="12" t="n">
        <x:v>0</x:v>
      </x:c>
      <x:c r="H748" s="13" t="n">
        <x:v>0</x:v>
      </x:c>
      <x:c r="I748" s="10" t="n">
        <x:v>111</x:v>
      </x:c>
      <x:c r="J748" s="10" t="n">
        <x:v>23</x:v>
      </x:c>
      <x:c r="K748" s="10" t="str">
        <x:v>117 Mo.</x:v>
      </x:c>
      <x:c r="L748" s="10" t="n">
        <x:v>92</x:v>
      </x:c>
      <x:c r="M748" s="10" t="n">
        <x:v>0</x:v>
      </x:c>
      <x:c r="N748" s="10" t="n">
        <x:v>1834</x:v>
      </x:c>
      <x:c r="O748" s="10" t="str">
        <x:v>Paper &amp; Party Supplies</x:v>
      </x:c>
      <x:c r="P748" s="10" t="n">
        <x:v>124</x:v>
      </x:c>
      <x:c r="Q748" s="10" t="n">
        <x:v>0</x:v>
      </x:c>
      <x:c r="R748" s="13" t="n">
        <x:v>6.05</x:v>
      </x:c>
      <x:c r="S748" s="10" t="n">
        <x:v>31622</x:v>
      </x:c>
      <x:c r="T748" s="10" t="str">
        <x:v>erin condren,limelife,plum paper,life planner,planner accessories,bill day,planner stickers,bill day reminder,reminder,pay bill,mortgage,rent,cat lease</x:v>
      </x:c>
      <x:c r="U748" s="10" t="str">
        <x:v>erin condren</x:v>
      </x:c>
      <x:c r="V748" s="10" t="str">
        <x:v>limelife</x:v>
      </x:c>
      <x:c r="W748" s="10" t="str">
        <x:v>plum paper</x:v>
      </x:c>
      <x:c r="X748" s="10" t="str">
        <x:v>life planner</x:v>
      </x:c>
      <x:c r="Y748" s="10" t="str">
        <x:v>planner accessories</x:v>
      </x:c>
      <x:c r="Z748" s="10" t="str">
        <x:v>bill day</x:v>
      </x:c>
      <x:c r="AA748" s="10" t="str">
        <x:v>planner stickers</x:v>
      </x:c>
      <x:c r="AB748" s="10" t="str">
        <x:v>bill day reminder</x:v>
      </x:c>
      <x:c r="AC748" s="10" t="str">
        <x:v>reminder</x:v>
      </x:c>
      <x:c r="AD748" s="10" t="str">
        <x:v>pay bill</x:v>
      </x:c>
      <x:c r="AE748" s="10" t="str">
        <x:v>mortgage</x:v>
      </x:c>
      <x:c r="AF748" s="10" t="str">
        <x:v>rent</x:v>
      </x:c>
      <x:c r="AG748" s="10" t="str">
        <x:v>cat lease</x:v>
      </x:c>
      <x:c r="AH748" s="10" t="str">
        <x:v>Other mortgage-related</x:v>
      </x:c>
      <x:c r="AI748" s="13" t="n">
        <x:v>117</x:v>
      </x:c>
      <x:c r="AJ748" s="10" t="str">
        <x:f>IF(F748&gt;0,"Active","No est. sales")</x:f>
        <x:v>No est. sales</x:v>
      </x:c>
    </x:row>
    <x:row r="749">
      <x:c r="A749" s="10" t="str">
        <x:v>Mortgage Payoff Tracker Printable | Color-In Payoff Charts 50K to 300K | Extra Payment &amp; Milestone Log | Debt Free Home | A4 Letter PDF</x:v>
      </x:c>
      <x:c r="B749" s="10" t="str">
        <x:v>https://www.etsy.com/listing/4539571266/mortgage-payoff-tracker-printable-color</x:v>
      </x:c>
      <x:c r="C749" s="10" t="str">
        <x:v>PennyNestCo</x:v>
      </x:c>
      <x:c r="D749" s="10" t="str">
        <x:v>https://www.etsy.com/shop/PennyNestCo</x:v>
      </x:c>
      <x:c r="E749" s="11" t="n">
        <x:v>3.49</x:v>
      </x:c>
      <x:c r="F749" s="10" t="n">
        <x:v>0</x:v>
      </x:c>
      <x:c r="G749" s="12" t="n">
        <x:v>0</x:v>
      </x:c>
      <x:c r="H749" s="13" t="n">
        <x:v>0</x:v>
      </x:c>
      <x:c r="I749" s="10" t="n">
        <x:v>0</x:v>
      </x:c>
      <x:c r="J749" s="10" t="n">
        <x:v>0</x:v>
      </x:c>
      <x:c r="K749" s="10" t="str">
        <x:v>1 Mo.</x:v>
      </x:c>
      <x:c r="L749" s="10" t="n">
        <x:v>0</x:v>
      </x:c>
      <x:c r="M749" s="10" t="n">
        <x:v>0</x:v>
      </x:c>
      <x:c r="N749" s="10" t="n">
        <x:v>7</x:v>
      </x:c>
      <x:c r="O749" s="10" t="str"/>
      <x:c r="P749" s="10" t="n">
        <x:v>11</x:v>
      </x:c>
      <x:c r="Q749" s="10" t="n">
        <x:v>0</x:v>
      </x:c>
      <x:c r="R749" s="13" t="n">
        <x:v>0</x:v>
      </x:c>
      <x:c r="S749" s="10" t="n">
        <x:v>121</x:v>
      </x:c>
      <x:c r="T749" s="10" t="str">
        <x:v>mortgage payoff,mortgage tracker,house payoff chart,extra payments,debt free chart,mortgage chart,pay off mortgage,mortgage planner,debt payoff tracker,color in tracker,payment log,homeowner gift,house payoff</x:v>
      </x:c>
      <x:c r="U749" s="10" t="str">
        <x:v>mortgage payoff</x:v>
      </x:c>
      <x:c r="V749" s="10" t="str">
        <x:v>mortgage tracker</x:v>
      </x:c>
      <x:c r="W749" s="10" t="str">
        <x:v>house payoff chart</x:v>
      </x:c>
      <x:c r="X749" s="10" t="str">
        <x:v>extra payments</x:v>
      </x:c>
      <x:c r="Y749" s="10" t="str">
        <x:v>debt free chart</x:v>
      </x:c>
      <x:c r="Z749" s="10" t="str">
        <x:v>mortgage chart</x:v>
      </x:c>
      <x:c r="AA749" s="10" t="str">
        <x:v>pay off mortgage</x:v>
      </x:c>
      <x:c r="AB749" s="10" t="str">
        <x:v>mortgage planner</x:v>
      </x:c>
      <x:c r="AC749" s="10" t="str">
        <x:v>debt payoff tracker</x:v>
      </x:c>
      <x:c r="AD749" s="10" t="str">
        <x:v>color in tracker</x:v>
      </x:c>
      <x:c r="AE749" s="10" t="str">
        <x:v>payment log</x:v>
      </x:c>
      <x:c r="AF749" s="10" t="str">
        <x:v>homeowner gift</x:v>
      </x:c>
      <x:c r="AG749" s="10" t="str">
        <x:v>house payoff</x:v>
      </x:c>
      <x:c r="AH749" s="10" t="str">
        <x:v>Mortgage payoff / calculator</x:v>
      </x:c>
      <x:c r="AI749" s="13" t="n">
        <x:v>1</x:v>
      </x:c>
      <x:c r="AJ749" s="10" t="str">
        <x:f>IF(F749&gt;0,"Active","No est. sales")</x:f>
        <x:v>No est. sales</x:v>
      </x:c>
    </x:row>
    <x:row r="750">
      <x:c r="A750" s="10" t="str">
        <x:v>First-Time Home Buyer Planner | Mortgage Prep, Savings Tracker (Printable PDF)</x:v>
      </x:c>
      <x:c r="B750" s="10" t="str">
        <x:v>https://www.etsy.com/listing/4447252395/first-time-home-buyer-starter-pack-home</x:v>
      </x:c>
      <x:c r="C750" s="10" t="str">
        <x:v>LivingWithAlly</x:v>
      </x:c>
      <x:c r="D750" s="10" t="str">
        <x:v>https://www.etsy.com/shop/LivingWithAlly</x:v>
      </x:c>
      <x:c r="E750" s="11" t="n">
        <x:v>9.99</x:v>
      </x:c>
      <x:c r="F750" s="10" t="n">
        <x:v>0</x:v>
      </x:c>
      <x:c r="G750" s="12" t="n">
        <x:v>0</x:v>
      </x:c>
      <x:c r="H750" s="13" t="n">
        <x:v>0</x:v>
      </x:c>
      <x:c r="I750" s="10" t="n">
        <x:v>0</x:v>
      </x:c>
      <x:c r="J750" s="10" t="n">
        <x:v>0</x:v>
      </x:c>
      <x:c r="K750" s="10" t="str">
        <x:v>6 Mo.</x:v>
      </x:c>
      <x:c r="L750" s="10" t="n">
        <x:v>1</x:v>
      </x:c>
      <x:c r="M750" s="10" t="n">
        <x:v>0</x:v>
      </x:c>
      <x:c r="N750" s="10" t="n">
        <x:v>16</x:v>
      </x:c>
      <x:c r="O750" s="10" t="str"/>
      <x:c r="P750" s="10" t="n">
        <x:v>7</x:v>
      </x:c>
      <x:c r="Q750" s="10" t="n">
        <x:v>0</x:v>
      </x:c>
      <x:c r="R750" s="13" t="n">
        <x:v>0</x:v>
      </x:c>
      <x:c r="S750" s="10" t="n">
        <x:v>6</x:v>
      </x:c>
      <x:c r="T750" s="10" t="str">
        <x:v>first time home buy,home buyer planner,home buying bundle,mortgage checklist,printable planner,savings tracker pdf,debt payoff planner,home purchase plan,document organizer,real estate print,instant download,etsy digital downloa</x:v>
      </x:c>
      <x:c r="U750" s="10" t="str">
        <x:v>first time home buy</x:v>
      </x:c>
      <x:c r="V750" s="10" t="str">
        <x:v>home buyer planner</x:v>
      </x:c>
      <x:c r="W750" s="10" t="str">
        <x:v>home buying bundle</x:v>
      </x:c>
      <x:c r="X750" s="10" t="str">
        <x:v>mortgage checklist</x:v>
      </x:c>
      <x:c r="Y750" s="10" t="str">
        <x:v>printable planner</x:v>
      </x:c>
      <x:c r="Z750" s="10" t="str">
        <x:v>savings tracker pdf</x:v>
      </x:c>
      <x:c r="AA750" s="10" t="str">
        <x:v>debt payoff planner</x:v>
      </x:c>
      <x:c r="AB750" s="10" t="str">
        <x:v>home purchase plan</x:v>
      </x:c>
      <x:c r="AC750" s="10" t="str">
        <x:v>document organizer</x:v>
      </x:c>
      <x:c r="AD750" s="10" t="str">
        <x:v>real estate print</x:v>
      </x:c>
      <x:c r="AE750" s="10" t="str">
        <x:v>instant download</x:v>
      </x:c>
      <x:c r="AF750" s="10" t="str">
        <x:v>etsy digital downloa</x:v>
      </x:c>
      <x:c r="AG750" s="10" t="str">
        <x:v>--</x:v>
      </x:c>
      <x:c r="AH750" s="10" t="str">
        <x:v>Home buying planner</x:v>
      </x:c>
      <x:c r="AI750" s="13" t="n">
        <x:v>6</x:v>
      </x:c>
      <x:c r="AJ750" s="10" t="str">
        <x:f>IF(F750&gt;0,"Active","No est. sales")</x:f>
        <x:v>No est. sales</x:v>
      </x:c>
    </x:row>
    <x:row r="751">
      <x:c r="A751" s="10" t="str">
        <x:v>First-Time Home Buyer Financial Readiness Kit | Canadian Home Buying Guide</x:v>
      </x:c>
      <x:c r="B751" s="10" t="str">
        <x:v>https://www.etsy.com/listing/4441957305/first-time-home-buyer-financial</x:v>
      </x:c>
      <x:c r="C751" s="10" t="str">
        <x:v>ClearPathResourcesCo</x:v>
      </x:c>
      <x:c r="D751" s="10" t="str">
        <x:v>https://www.etsy.com/shop/ClearPathResourcesCo</x:v>
      </x:c>
      <x:c r="E751" s="11" t="n">
        <x:v>4.61</x:v>
      </x:c>
      <x:c r="F751" s="10" t="n">
        <x:v>0</x:v>
      </x:c>
      <x:c r="G751" s="12" t="n">
        <x:v>0</x:v>
      </x:c>
      <x:c r="H751" s="13" t="n">
        <x:v>0</x:v>
      </x:c>
      <x:c r="I751" s="10" t="n">
        <x:v>0</x:v>
      </x:c>
      <x:c r="J751" s="10" t="n">
        <x:v>0</x:v>
      </x:c>
      <x:c r="K751" s="10" t="str">
        <x:v>6 Mo.</x:v>
      </x:c>
      <x:c r="L751" s="10" t="n">
        <x:v>0</x:v>
      </x:c>
      <x:c r="M751" s="10" t="n">
        <x:v>0</x:v>
      </x:c>
      <x:c r="N751" s="10" t="n">
        <x:v>20</x:v>
      </x:c>
      <x:c r="O751" s="10" t="str">
        <x:v>Books, Movies &amp; Music</x:v>
      </x:c>
      <x:c r="P751" s="10" t="n">
        <x:v>6</x:v>
      </x:c>
      <x:c r="Q751" s="10" t="n">
        <x:v>0</x:v>
      </x:c>
      <x:c r="R751" s="13" t="n">
        <x:v>0</x:v>
      </x:c>
      <x:c r="S751" s="10" t="n">
        <x:v>1</x:v>
      </x:c>
      <x:c r="T751" s="10" t="str">
        <x:v>canadian home buyer,first time home,home buying guide,mortgage checklist,personal finance pdf,budgeting guide,cpa-approved guide,digital download,printable planner,finance workbook,credit score guide,financial readiness,real estate</x:v>
      </x:c>
      <x:c r="U751" s="10" t="str">
        <x:v>canadian home buyer</x:v>
      </x:c>
      <x:c r="V751" s="10" t="str">
        <x:v>first time home</x:v>
      </x:c>
      <x:c r="W751" s="10" t="str">
        <x:v>home buying guide</x:v>
      </x:c>
      <x:c r="X751" s="10" t="str">
        <x:v>mortgage checklist</x:v>
      </x:c>
      <x:c r="Y751" s="10" t="str">
        <x:v>personal finance pdf</x:v>
      </x:c>
      <x:c r="Z751" s="10" t="str">
        <x:v>budgeting guide</x:v>
      </x:c>
      <x:c r="AA751" s="10" t="str">
        <x:v>cpa-approved guide</x:v>
      </x:c>
      <x:c r="AB751" s="10" t="str">
        <x:v>digital download</x:v>
      </x:c>
      <x:c r="AC751" s="10" t="str">
        <x:v>printable planner</x:v>
      </x:c>
      <x:c r="AD751" s="10" t="str">
        <x:v>finance workbook</x:v>
      </x:c>
      <x:c r="AE751" s="10" t="str">
        <x:v>credit score guide</x:v>
      </x:c>
      <x:c r="AF751" s="10" t="str">
        <x:v>financial readiness</x:v>
      </x:c>
      <x:c r="AG751" s="10" t="str">
        <x:v>real estate</x:v>
      </x:c>
      <x:c r="AH751" s="10" t="str">
        <x:v>Home buying planner</x:v>
      </x:c>
      <x:c r="AI751" s="13" t="n">
        <x:v>6</x:v>
      </x:c>
      <x:c r="AJ751" s="10" t="str">
        <x:f>IF(F751&gt;0,"Active","No est. sales")</x:f>
        <x:v>No est. sales</x:v>
      </x:c>
    </x:row>
    <x:row r="752">
      <x:c r="A752" s="10" t="str">
        <x:v>Bill Due Planner Stickers | Monthly Planner Sticker | Budget Planner | Bill Pay | Credit Card Payments | Car Payment | Student Loan Payment</x:v>
      </x:c>
      <x:c r="B752" s="10" t="str">
        <x:v>https://www.etsy.com/listing/1346087849/bill-due-planner-stickers-monthly</x:v>
      </x:c>
      <x:c r="C752" s="10" t="str">
        <x:v>LibbyandLouStickerCo</x:v>
      </x:c>
      <x:c r="D752" s="10" t="str">
        <x:v>https://www.etsy.com/shop/LibbyandLouStickerCo</x:v>
      </x:c>
      <x:c r="E752" s="11" t="n">
        <x:v>4.2</x:v>
      </x:c>
      <x:c r="F752" s="10" t="n">
        <x:v>0</x:v>
      </x:c>
      <x:c r="G752" s="12" t="n">
        <x:v>0</x:v>
      </x:c>
      <x:c r="H752" s="13" t="n">
        <x:v>0</x:v>
      </x:c>
      <x:c r="I752" s="10" t="n">
        <x:v>0</x:v>
      </x:c>
      <x:c r="J752" s="10" t="n">
        <x:v>0</x:v>
      </x:c>
      <x:c r="K752" s="10" t="str">
        <x:v>44 Mo.</x:v>
      </x:c>
      <x:c r="L752" s="10" t="n">
        <x:v>30</x:v>
      </x:c>
      <x:c r="M752" s="10" t="n">
        <x:v>0</x:v>
      </x:c>
      <x:c r="N752" s="10" t="n">
        <x:v>186</x:v>
      </x:c>
      <x:c r="O752" s="10" t="str">
        <x:v>Paper &amp; Party Supplies</x:v>
      </x:c>
      <x:c r="P752" s="10" t="n">
        <x:v>112</x:v>
      </x:c>
      <x:c r="Q752" s="10" t="n">
        <x:v>0</x:v>
      </x:c>
      <x:c r="R752" s="13" t="n">
        <x:v>0</x:v>
      </x:c>
      <x:c r="S752" s="10" t="n">
        <x:v>41989</x:v>
      </x:c>
      <x:c r="T752" s="10" t="str">
        <x:v>functional planning,planner sticker,functional sticker,monthly bills,credit card payment,bills due,bill due sticker,budget planner,rainbow stickers,monthly sticker,dave ramsey sticker,mortgage due sticker,car payment sticker</x:v>
      </x:c>
      <x:c r="U752" s="10" t="str">
        <x:v>functional planning</x:v>
      </x:c>
      <x:c r="V752" s="10" t="str">
        <x:v>planner sticker</x:v>
      </x:c>
      <x:c r="W752" s="10" t="str">
        <x:v>functional sticker</x:v>
      </x:c>
      <x:c r="X752" s="10" t="str">
        <x:v>monthly bills</x:v>
      </x:c>
      <x:c r="Y752" s="10" t="str">
        <x:v>credit card payment</x:v>
      </x:c>
      <x:c r="Z752" s="10" t="str">
        <x:v>bills due</x:v>
      </x:c>
      <x:c r="AA752" s="10" t="str">
        <x:v>bill due sticker</x:v>
      </x:c>
      <x:c r="AB752" s="10" t="str">
        <x:v>budget planner</x:v>
      </x:c>
      <x:c r="AC752" s="10" t="str">
        <x:v>rainbow stickers</x:v>
      </x:c>
      <x:c r="AD752" s="10" t="str">
        <x:v>monthly sticker</x:v>
      </x:c>
      <x:c r="AE752" s="10" t="str">
        <x:v>dave ramsey sticker</x:v>
      </x:c>
      <x:c r="AF752" s="10" t="str">
        <x:v>mortgage due sticker</x:v>
      </x:c>
      <x:c r="AG752" s="10" t="str">
        <x:v>car payment sticker</x:v>
      </x:c>
      <x:c r="AH752" s="10" t="str">
        <x:v>Other mortgage-related</x:v>
      </x:c>
      <x:c r="AI752" s="13" t="n">
        <x:v>44</x:v>
      </x:c>
      <x:c r="AJ752" s="10" t="str">
        <x:f>IF(F752&gt;0,"Active","No est. sales")</x:f>
        <x:v>No est. sales</x:v>
      </x:c>
    </x:row>
    <x:row r="753">
      <x:c r="A753" s="10" t="str">
        <x:v>First-Time Homebuyer Budget Planner | 1 Page Printable PDF | House Buying Checklist | Real Estate Organizer | Instant Download</x:v>
      </x:c>
      <x:c r="B753" s="10" t="str">
        <x:v>https://www.etsy.com/listing/4311454708/first-time-homebuyer-budget-planner-1</x:v>
      </x:c>
      <x:c r="C753" s="10" t="str">
        <x:v>ECMCo</x:v>
      </x:c>
      <x:c r="D753" s="10" t="str">
        <x:v>https://www.etsy.com/shop/ECMCo</x:v>
      </x:c>
      <x:c r="E753" s="11" t="n">
        <x:v>3</x:v>
      </x:c>
      <x:c r="F753" s="10" t="n">
        <x:v>0</x:v>
      </x:c>
      <x:c r="G753" s="12" t="n">
        <x:v>0</x:v>
      </x:c>
      <x:c r="H753" s="13" t="n">
        <x:v>0</x:v>
      </x:c>
      <x:c r="I753" s="10" t="n">
        <x:v>0</x:v>
      </x:c>
      <x:c r="J753" s="10" t="n">
        <x:v>0</x:v>
      </x:c>
      <x:c r="K753" s="10" t="str">
        <x:v>14 Mo.</x:v>
      </x:c>
      <x:c r="L753" s="10" t="n">
        <x:v>2</x:v>
      </x:c>
      <x:c r="M753" s="10" t="n">
        <x:v>0</x:v>
      </x:c>
      <x:c r="N753" s="10" t="n">
        <x:v>62</x:v>
      </x:c>
      <x:c r="O753" s="10" t="str">
        <x:v>Paper &amp; Party Supplies</x:v>
      </x:c>
      <x:c r="P753" s="10" t="n">
        <x:v>51</x:v>
      </x:c>
      <x:c r="Q753" s="10" t="n">
        <x:v>0</x:v>
      </x:c>
      <x:c r="R753" s="13" t="n">
        <x:v>0</x:v>
      </x:c>
      <x:c r="S753" s="10" t="n">
        <x:v>37</x:v>
      </x:c>
      <x:c r="T753" s="10" t="str">
        <x:v>homebuyer budget,real estate print,mortgage budget,house buying list,real estate organize,mortage planner pdf,home budget tracker,home purchase plan</x:v>
      </x:c>
      <x:c r="U753" s="10" t="str">
        <x:v>homebuyer budget</x:v>
      </x:c>
      <x:c r="V753" s="10" t="str">
        <x:v>real estate print</x:v>
      </x:c>
      <x:c r="W753" s="10" t="str">
        <x:v>mortgage budget</x:v>
      </x:c>
      <x:c r="X753" s="10" t="str">
        <x:v>house buying list</x:v>
      </x:c>
      <x:c r="Y753" s="10" t="str">
        <x:v>real estate organize</x:v>
      </x:c>
      <x:c r="Z753" s="10" t="str">
        <x:v>mortage planner pdf</x:v>
      </x:c>
      <x:c r="AA753" s="10" t="str">
        <x:v>home budget tracker</x:v>
      </x:c>
      <x:c r="AB753" s="10" t="str">
        <x:v>home purchase plan</x:v>
      </x:c>
      <x:c r="AC753" s="10" t="str">
        <x:v>--</x:v>
      </x:c>
      <x:c r="AD753" s="10" t="str">
        <x:v>--</x:v>
      </x:c>
      <x:c r="AE753" s="10" t="str">
        <x:v>--</x:v>
      </x:c>
      <x:c r="AF753" s="10" t="str">
        <x:v>--</x:v>
      </x:c>
      <x:c r="AG753" s="10" t="str">
        <x:v>--</x:v>
      </x:c>
      <x:c r="AH753" s="10" t="str">
        <x:v>Other mortgage-related</x:v>
      </x:c>
      <x:c r="AI753" s="13" t="n">
        <x:v>14</x:v>
      </x:c>
      <x:c r="AJ753" s="10" t="str">
        <x:f>IF(F753&gt;0,"Active","No est. sales")</x:f>
        <x:v>No est. sales</x:v>
      </x:c>
    </x:row>
    <x:row r="754">
      <x:c r="A754" s="10" t="str">
        <x:v>Script Bills Planner Stickers: Pay Bills, Rent, Mortgage (PDF + Cut Files)</x:v>
      </x:c>
      <x:c r="B754" s="10" t="str">
        <x:v>https://www.etsy.com/listing/1109490804/script-bills-planner-stickers-pay-bills</x:v>
      </x:c>
      <x:c r="C754" s="10" t="str">
        <x:v>thedandyplanner</x:v>
      </x:c>
      <x:c r="D754" s="10" t="str">
        <x:v>https://www.etsy.com/shop/thedandyplanner</x:v>
      </x:c>
      <x:c r="E754" s="11" t="n">
        <x:v>2.26</x:v>
      </x:c>
      <x:c r="F754" s="10" t="n">
        <x:v>0</x:v>
      </x:c>
      <x:c r="G754" s="12" t="n">
        <x:v>0</x:v>
      </x:c>
      <x:c r="H754" s="13" t="n">
        <x:v>0</x:v>
      </x:c>
      <x:c r="I754" s="10" t="n">
        <x:v>10</x:v>
      </x:c>
      <x:c r="J754" s="10" t="n">
        <x:v>1</x:v>
      </x:c>
      <x:c r="K754" s="10" t="str">
        <x:v>56 Mo.</x:v>
      </x:c>
      <x:c r="L754" s="10" t="n">
        <x:v>82</x:v>
      </x:c>
      <x:c r="M754" s="10" t="n">
        <x:v>0</x:v>
      </x:c>
      <x:c r="N754" s="10" t="n">
        <x:v>774</x:v>
      </x:c>
      <x:c r="O754" s="10" t="str">
        <x:v>Paper &amp; Party Supplies</x:v>
      </x:c>
      <x:c r="P754" s="10" t="n">
        <x:v>72</x:v>
      </x:c>
      <x:c r="Q754" s="10" t="n">
        <x:v>0</x:v>
      </x:c>
      <x:c r="R754" s="13" t="n">
        <x:v>1.29</x:v>
      </x:c>
      <x:c r="S754" s="10" t="n">
        <x:v>4717</x:v>
      </x:c>
      <x:c r="T754" s="10" t="str">
        <x:v>planner stickers,pdf stickers,instant download,script stickers,diy stickers,planning stickers,printable stickers,planner layout,cut files,handlettering,script sayings,bill stickers,pay bills</x:v>
      </x:c>
      <x:c r="U754" s="10" t="str">
        <x:v>planner stickers</x:v>
      </x:c>
      <x:c r="V754" s="10" t="str">
        <x:v>pdf stickers</x:v>
      </x:c>
      <x:c r="W754" s="10" t="str">
        <x:v>instant download</x:v>
      </x:c>
      <x:c r="X754" s="10" t="str">
        <x:v>script stickers</x:v>
      </x:c>
      <x:c r="Y754" s="10" t="str">
        <x:v>diy stickers</x:v>
      </x:c>
      <x:c r="Z754" s="10" t="str">
        <x:v>planning stickers</x:v>
      </x:c>
      <x:c r="AA754" s="10" t="str">
        <x:v>printable stickers</x:v>
      </x:c>
      <x:c r="AB754" s="10" t="str">
        <x:v>planner layout</x:v>
      </x:c>
      <x:c r="AC754" s="10" t="str">
        <x:v>cut files</x:v>
      </x:c>
      <x:c r="AD754" s="10" t="str">
        <x:v>handlettering</x:v>
      </x:c>
      <x:c r="AE754" s="10" t="str">
        <x:v>script sayings</x:v>
      </x:c>
      <x:c r="AF754" s="10" t="str">
        <x:v>bill stickers</x:v>
      </x:c>
      <x:c r="AG754" s="10" t="str">
        <x:v>pay bills</x:v>
      </x:c>
      <x:c r="AH754" s="10" t="str">
        <x:v>Other mortgage-related</x:v>
      </x:c>
      <x:c r="AI754" s="13" t="n">
        <x:v>56</x:v>
      </x:c>
      <x:c r="AJ754" s="10" t="str">
        <x:f>IF(F754&gt;0,"Active","No est. sales")</x:f>
        <x:v>No est. sales</x:v>
      </x:c>
    </x:row>
    <x:row r="755">
      <x:c r="A755" s="10" t="str">
        <x:v>Perfect Tools For Young Adults To Get Their Lives Together</x:v>
      </x:c>
      <x:c r="B755" s="10" t="str">
        <x:v>https://www.etsy.com/listing/1802424932/perfect-tools-for-young-adults-to-get</x:v>
      </x:c>
      <x:c r="C755" s="10" t="str">
        <x:v>HennenHoldingCompany</x:v>
      </x:c>
      <x:c r="D755" s="10" t="str">
        <x:v>https://www.etsy.com/shop/HennenHoldingCompany</x:v>
      </x:c>
      <x:c r="E755" s="11" t="n">
        <x:v>5</x:v>
      </x:c>
      <x:c r="F755" s="10" t="n">
        <x:v>0</x:v>
      </x:c>
      <x:c r="G755" s="12" t="n">
        <x:v>0</x:v>
      </x:c>
      <x:c r="H755" s="13" t="n">
        <x:v>0</x:v>
      </x:c>
      <x:c r="I755" s="10" t="n">
        <x:v>0</x:v>
      </x:c>
      <x:c r="J755" s="10" t="n">
        <x:v>0</x:v>
      </x:c>
      <x:c r="K755" s="10" t="str">
        <x:v>21 Mo.</x:v>
      </x:c>
      <x:c r="L755" s="10" t="n">
        <x:v>1</x:v>
      </x:c>
      <x:c r="M755" s="10" t="n">
        <x:v>0</x:v>
      </x:c>
      <x:c r="N755" s="10" t="n">
        <x:v>12</x:v>
      </x:c>
      <x:c r="O755" s="10" t="str"/>
      <x:c r="P755" s="10" t="n">
        <x:v>21</x:v>
      </x:c>
      <x:c r="Q755" s="10" t="n">
        <x:v>0</x:v>
      </x:c>
      <x:c r="R755" s="13" t="n">
        <x:v>0</x:v>
      </x:c>
      <x:c r="S755" s="10" t="n">
        <x:v>0</x:v>
      </x:c>
      <x:c r="T755" s="10" t="str">
        <x:v>life planner,mortgage caluclator,property valuation,budget planner,problem solver,young adults,rent calculator,excel,first time home buy,real estate,monthly budget,planner</x:v>
      </x:c>
      <x:c r="U755" s="10" t="str">
        <x:v>life planner</x:v>
      </x:c>
      <x:c r="V755" s="10" t="str">
        <x:v>mortgage caluclator</x:v>
      </x:c>
      <x:c r="W755" s="10" t="str">
        <x:v>property valuation</x:v>
      </x:c>
      <x:c r="X755" s="10" t="str">
        <x:v>budget planner</x:v>
      </x:c>
      <x:c r="Y755" s="10" t="str">
        <x:v>problem solver</x:v>
      </x:c>
      <x:c r="Z755" s="10" t="str">
        <x:v>young adults</x:v>
      </x:c>
      <x:c r="AA755" s="10" t="str">
        <x:v>rent calculator</x:v>
      </x:c>
      <x:c r="AB755" s="10" t="str">
        <x:v>excel</x:v>
      </x:c>
      <x:c r="AC755" s="10" t="str">
        <x:v>first time home buy</x:v>
      </x:c>
      <x:c r="AD755" s="10" t="str">
        <x:v>real estate</x:v>
      </x:c>
      <x:c r="AE755" s="10" t="str">
        <x:v>monthly budget</x:v>
      </x:c>
      <x:c r="AF755" s="10" t="str">
        <x:v>planner</x:v>
      </x:c>
      <x:c r="AG755" s="10" t="str">
        <x:v>--</x:v>
      </x:c>
      <x:c r="AH755" s="10" t="str">
        <x:v>Other mortgage-related</x:v>
      </x:c>
      <x:c r="AI755" s="13" t="n">
        <x:v>21</x:v>
      </x:c>
      <x:c r="AJ755" s="10" t="str">
        <x:f>IF(F755&gt;0,"Active","No est. sales")</x:f>
        <x:v>No est. sales</x:v>
      </x:c>
    </x:row>
    <x:row r="756">
      <x:c r="A756" s="10" t="str">
        <x:v>Debt Tracker Printable, Credit Card Debt Payoff Tracker, Visual Tracker, House Payoff Tracker, Student Loan, Car Debt Payoff, Monthly Budget</x:v>
      </x:c>
      <x:c r="B756" s="10" t="str">
        <x:v>https://www.etsy.com/listing/1315397241/debt-tracker-printable-credit-card-debt</x:v>
      </x:c>
      <x:c r="C756" s="10" t="str">
        <x:v>ScribbledIncCo</x:v>
      </x:c>
      <x:c r="D756" s="10" t="str">
        <x:v>https://www.etsy.com/shop/ScribbledIncCo</x:v>
      </x:c>
      <x:c r="E756" s="11" t="n">
        <x:v>7.13</x:v>
      </x:c>
      <x:c r="F756" s="10" t="n">
        <x:v>0</x:v>
      </x:c>
      <x:c r="G756" s="12" t="n">
        <x:v>0</x:v>
      </x:c>
      <x:c r="H756" s="13" t="n">
        <x:v>0</x:v>
      </x:c>
      <x:c r="I756" s="10" t="n">
        <x:v>0</x:v>
      </x:c>
      <x:c r="J756" s="10" t="n">
        <x:v>0</x:v>
      </x:c>
      <x:c r="K756" s="10" t="str">
        <x:v>46 Mo.</x:v>
      </x:c>
      <x:c r="L756" s="10" t="n">
        <x:v>3</x:v>
      </x:c>
      <x:c r="M756" s="10" t="n">
        <x:v>0</x:v>
      </x:c>
      <x:c r="N756" s="10" t="n">
        <x:v>126</x:v>
      </x:c>
      <x:c r="O756" s="10" t="str">
        <x:v>Paper &amp; Party Supplies</x:v>
      </x:c>
      <x:c r="P756" s="10" t="n">
        <x:v>51</x:v>
      </x:c>
      <x:c r="Q756" s="10" t="n">
        <x:v>0</x:v>
      </x:c>
      <x:c r="R756" s="13" t="n">
        <x:v>0</x:v>
      </x:c>
      <x:c r="S756" s="10" t="n">
        <x:v>24386</x:v>
      </x:c>
      <x:c r="T756" s="10" t="str">
        <x:v>visual tracker,house payoff tracker,student loan planner,car debt payoff,monthly budget,mortgage tracker,credit card debt,sinking fund tracker,printable planner,debt payment chart,debt log printable,credit card payoff,loan payment chart</x:v>
      </x:c>
      <x:c r="U756" s="10" t="str">
        <x:v>visual tracker</x:v>
      </x:c>
      <x:c r="V756" s="10" t="str">
        <x:v>house payoff tracker</x:v>
      </x:c>
      <x:c r="W756" s="10" t="str">
        <x:v>student loan planner</x:v>
      </x:c>
      <x:c r="X756" s="10" t="str">
        <x:v>car debt payoff</x:v>
      </x:c>
      <x:c r="Y756" s="10" t="str">
        <x:v>monthly budget</x:v>
      </x:c>
      <x:c r="Z756" s="10" t="str">
        <x:v>mortgage tracker</x:v>
      </x:c>
      <x:c r="AA756" s="10" t="str">
        <x:v>credit card debt</x:v>
      </x:c>
      <x:c r="AB756" s="10" t="str">
        <x:v>sinking fund tracker</x:v>
      </x:c>
      <x:c r="AC756" s="10" t="str">
        <x:v>printable planner</x:v>
      </x:c>
      <x:c r="AD756" s="10" t="str">
        <x:v>debt payment chart</x:v>
      </x:c>
      <x:c r="AE756" s="10" t="str">
        <x:v>debt log printable</x:v>
      </x:c>
      <x:c r="AF756" s="10" t="str">
        <x:v>credit card payoff</x:v>
      </x:c>
      <x:c r="AG756" s="10" t="str">
        <x:v>loan payment chart</x:v>
      </x:c>
      <x:c r="AH756" s="10" t="str">
        <x:v>General debt payoff</x:v>
      </x:c>
      <x:c r="AI756" s="13" t="n">
        <x:v>46</x:v>
      </x:c>
      <x:c r="AJ756" s="10" t="str">
        <x:f>IF(F756&gt;0,"Active","No est. sales")</x:f>
        <x:v>No est. sales</x:v>
      </x:c>
    </x:row>
    <x:row r="757">
      <x:c r="A757" s="10" t="str">
        <x:v>Mortgage Tracker,Mortgage Log,Mortgage Planner,Mortgage Template,Mortgage Payments,Loan Tracker,Mortgage Sheet,Debt Tracker,Mortgage Ledger</x:v>
      </x:c>
      <x:c r="B757" s="10" t="str">
        <x:v>https://www.etsy.com/listing/1398346198/mortgage-trackermortgage-logmortgage</x:v>
      </x:c>
      <x:c r="C757" s="10" t="str">
        <x:v>DigiplannersDesigns</x:v>
      </x:c>
      <x:c r="D757" s="10" t="str">
        <x:v>https://www.etsy.com/shop/DigiplannersDesigns</x:v>
      </x:c>
      <x:c r="E757" s="11" t="n">
        <x:v>3.32</x:v>
      </x:c>
      <x:c r="F757" s="10" t="n">
        <x:v>0</x:v>
      </x:c>
      <x:c r="G757" s="12" t="n">
        <x:v>0</x:v>
      </x:c>
      <x:c r="H757" s="13" t="n">
        <x:v>0</x:v>
      </x:c>
      <x:c r="I757" s="10" t="n">
        <x:v>21</x:v>
      </x:c>
      <x:c r="J757" s="10" t="n">
        <x:v>2</x:v>
      </x:c>
      <x:c r="K757" s="10" t="str">
        <x:v>41 Mo.</x:v>
      </x:c>
      <x:c r="L757" s="10" t="n">
        <x:v>29</x:v>
      </x:c>
      <x:c r="M757" s="10" t="n">
        <x:v>0</x:v>
      </x:c>
      <x:c r="N757" s="10" t="n">
        <x:v>1672</x:v>
      </x:c>
      <x:c r="O757" s="10" t="str"/>
      <x:c r="P757" s="10" t="n">
        <x:v>58</x:v>
      </x:c>
      <x:c r="Q757" s="10" t="n">
        <x:v>0</x:v>
      </x:c>
      <x:c r="R757" s="13" t="n">
        <x:v>1.26</x:v>
      </x:c>
      <x:c r="S757" s="10" t="n">
        <x:v>24910</x:v>
      </x:c>
      <x:c r="T757" s="10" t="str">
        <x:v>landlord planner,rent payment log,real estate template,real estate planner,rental payments log,mortgage ledger,mortgage payments,mortgage tracker,mortgage payment,home owner,mortgage payoff,mortgage template,mortgage planner</x:v>
      </x:c>
      <x:c r="U757" s="10" t="str">
        <x:v>landlord planner</x:v>
      </x:c>
      <x:c r="V757" s="10" t="str">
        <x:v>rent payment log</x:v>
      </x:c>
      <x:c r="W757" s="10" t="str">
        <x:v>real estate template</x:v>
      </x:c>
      <x:c r="X757" s="10" t="str">
        <x:v>real estate planner</x:v>
      </x:c>
      <x:c r="Y757" s="10" t="str">
        <x:v>rental payments log</x:v>
      </x:c>
      <x:c r="Z757" s="10" t="str">
        <x:v>mortgage ledger</x:v>
      </x:c>
      <x:c r="AA757" s="10" t="str">
        <x:v>mortgage payments</x:v>
      </x:c>
      <x:c r="AB757" s="10" t="str">
        <x:v>mortgage tracker</x:v>
      </x:c>
      <x:c r="AC757" s="10" t="str">
        <x:v>mortgage payment</x:v>
      </x:c>
      <x:c r="AD757" s="10" t="str">
        <x:v>home owner</x:v>
      </x:c>
      <x:c r="AE757" s="10" t="str">
        <x:v>mortgage payoff</x:v>
      </x:c>
      <x:c r="AF757" s="10" t="str">
        <x:v>mortgage template</x:v>
      </x:c>
      <x:c r="AG757" s="10" t="str">
        <x:v>mortgage planner</x:v>
      </x:c>
      <x:c r="AH757" s="10" t="str">
        <x:v>Property investment</x:v>
      </x:c>
      <x:c r="AI757" s="13" t="n">
        <x:v>41</x:v>
      </x:c>
      <x:c r="AJ757" s="10" t="str">
        <x:f>IF(F757&gt;0,"Active","No est. sales")</x:f>
        <x:v>No est. sales</x:v>
      </x:c>
    </x:row>
    <x:row r="758">
      <x:c r="A758" s="10" t="str">
        <x:v>Multiple Loan Early Payoff Calculator | Excel Spreadsheet, Student Loan Payoff, Mortgage Payoff, Debt Payment Tracker</x:v>
      </x:c>
      <x:c r="B758" s="10" t="str">
        <x:v>https://www.etsy.com/listing/1723448540/multiple-loan-early-payoff-calculator</x:v>
      </x:c>
      <x:c r="C758" s="10" t="str">
        <x:v>EverydayAnalyst</x:v>
      </x:c>
      <x:c r="D758" s="10" t="str">
        <x:v>https://www.etsy.com/shop/EverydayAnalyst</x:v>
      </x:c>
      <x:c r="E758" s="11" t="n">
        <x:v>5.99</x:v>
      </x:c>
      <x:c r="F758" s="10" t="n">
        <x:v>0</x:v>
      </x:c>
      <x:c r="G758" s="12" t="n">
        <x:v>0</x:v>
      </x:c>
      <x:c r="H758" s="13" t="n">
        <x:v>0</x:v>
      </x:c>
      <x:c r="I758" s="10" t="n">
        <x:v>1</x:v>
      </x:c>
      <x:c r="J758" s="10" t="n">
        <x:v>3</x:v>
      </x:c>
      <x:c r="K758" s="10" t="str">
        <x:v>26 Mo.</x:v>
      </x:c>
      <x:c r="L758" s="10" t="n">
        <x:v>18</x:v>
      </x:c>
      <x:c r="M758" s="10" t="n">
        <x:v>0</x:v>
      </x:c>
      <x:c r="N758" s="10" t="n">
        <x:v>1058</x:v>
      </x:c>
      <x:c r="O758" s="10" t="str">
        <x:v>Paper &amp; Party Supplies</x:v>
      </x:c>
      <x:c r="P758" s="10" t="n">
        <x:v>26</x:v>
      </x:c>
      <x:c r="Q758" s="10" t="n">
        <x:v>0</x:v>
      </x:c>
      <x:c r="R758" s="13" t="n">
        <x:v>0.09</x:v>
      </x:c>
      <x:c r="S758" s="10" t="n">
        <x:v>35</x:v>
      </x:c>
      <x:c r="T758" s="10" t="str">
        <x:v>template,budget template,financial planner,loan payoff,student loan payoff,debt payoff,loan calculator,debt free,personal finance,loan payment,excel spreadsheet,loan amortization,mortgage calculator</x:v>
      </x:c>
      <x:c r="U758" s="10" t="str">
        <x:v>template</x:v>
      </x:c>
      <x:c r="V758" s="10" t="str">
        <x:v>budget template</x:v>
      </x:c>
      <x:c r="W758" s="10" t="str">
        <x:v>financial planner</x:v>
      </x:c>
      <x:c r="X758" s="10" t="str">
        <x:v>loan payoff</x:v>
      </x:c>
      <x:c r="Y758" s="10" t="str">
        <x:v>student loan payoff</x:v>
      </x:c>
      <x:c r="Z758" s="10" t="str">
        <x:v>debt payoff</x:v>
      </x:c>
      <x:c r="AA758" s="10" t="str">
        <x:v>loan calculator</x:v>
      </x:c>
      <x:c r="AB758" s="10" t="str">
        <x:v>debt free</x:v>
      </x:c>
      <x:c r="AC758" s="10" t="str">
        <x:v>personal finance</x:v>
      </x:c>
      <x:c r="AD758" s="10" t="str">
        <x:v>loan payment</x:v>
      </x:c>
      <x:c r="AE758" s="10" t="str">
        <x:v>excel spreadsheet</x:v>
      </x:c>
      <x:c r="AF758" s="10" t="str">
        <x:v>loan amortization</x:v>
      </x:c>
      <x:c r="AG758" s="10" t="str">
        <x:v>mortgage calculator</x:v>
      </x:c>
      <x:c r="AH758" s="10" t="str">
        <x:v>Mortgage payoff / calculator</x:v>
      </x:c>
      <x:c r="AI758" s="13" t="n">
        <x:v>26</x:v>
      </x:c>
      <x:c r="AJ758" s="10" t="str">
        <x:f>IF(F758&gt;0,"Active","No est. sales")</x:f>
        <x:v>No est. sales</x:v>
      </x:c>
    </x:row>
    <x:row r="759">
      <x:c r="A759" s="10" t="str">
        <x:v>Debt Payoff Tracker: Snowball/Avalanche Excel &amp; Google Sheets Template</x:v>
      </x:c>
      <x:c r="B759" s="10" t="str">
        <x:v>https://www.etsy.com/listing/1906044569/debt-payoff-tracker-snowballavalanche</x:v>
      </x:c>
      <x:c r="C759" s="10" t="str">
        <x:v>HelloDigitalGoods</x:v>
      </x:c>
      <x:c r="D759" s="10" t="str">
        <x:v>https://www.etsy.com/shop/HelloDigitalGoods</x:v>
      </x:c>
      <x:c r="E759" s="11" t="n">
        <x:v>6.99</x:v>
      </x:c>
      <x:c r="F759" s="10" t="n">
        <x:v>0</x:v>
      </x:c>
      <x:c r="G759" s="12" t="n">
        <x:v>0</x:v>
      </x:c>
      <x:c r="H759" s="13" t="n">
        <x:v>0</x:v>
      </x:c>
      <x:c r="I759" s="10" t="n">
        <x:v>1</x:v>
      </x:c>
      <x:c r="J759" s="10" t="n">
        <x:v>1</x:v>
      </x:c>
      <x:c r="K759" s="10" t="str">
        <x:v>15 Mo.</x:v>
      </x:c>
      <x:c r="L759" s="10" t="n">
        <x:v>2</x:v>
      </x:c>
      <x:c r="M759" s="10" t="n">
        <x:v>0</x:v>
      </x:c>
      <x:c r="N759" s="10" t="n">
        <x:v>50</x:v>
      </x:c>
      <x:c r="O759" s="10" t="str">
        <x:v>Paper &amp; Party Supplies</x:v>
      </x:c>
      <x:c r="P759" s="10" t="n">
        <x:v>17</x:v>
      </x:c>
      <x:c r="Q759" s="10" t="n">
        <x:v>0</x:v>
      </x:c>
      <x:c r="R759" s="13" t="n">
        <x:v>2</x:v>
      </x:c>
      <x:c r="S759" s="10" t="n">
        <x:v>141</x:v>
      </x:c>
      <x:c r="T759" s="10" t="str">
        <x:v>debt snowball,debt avalanche,debt payoff planner,debt tracker,loan payoff,credit carddebt,mortgage payoff,student loan debt,financial planner,personal finance,debt calculator,google sheets,excel template</x:v>
      </x:c>
      <x:c r="U759" s="10" t="str">
        <x:v>debt snowball</x:v>
      </x:c>
      <x:c r="V759" s="10" t="str">
        <x:v>debt avalanche</x:v>
      </x:c>
      <x:c r="W759" s="10" t="str">
        <x:v>debt payoff planner</x:v>
      </x:c>
      <x:c r="X759" s="10" t="str">
        <x:v>debt tracker</x:v>
      </x:c>
      <x:c r="Y759" s="10" t="str">
        <x:v>loan payoff</x:v>
      </x:c>
      <x:c r="Z759" s="10" t="str">
        <x:v>credit carddebt</x:v>
      </x:c>
      <x:c r="AA759" s="10" t="str">
        <x:v>mortgage payoff</x:v>
      </x:c>
      <x:c r="AB759" s="10" t="str">
        <x:v>student loan debt</x:v>
      </x:c>
      <x:c r="AC759" s="10" t="str">
        <x:v>financial planner</x:v>
      </x:c>
      <x:c r="AD759" s="10" t="str">
        <x:v>personal finance</x:v>
      </x:c>
      <x:c r="AE759" s="10" t="str">
        <x:v>debt calculator</x:v>
      </x:c>
      <x:c r="AF759" s="10" t="str">
        <x:v>google sheets</x:v>
      </x:c>
      <x:c r="AG759" s="10" t="str">
        <x:v>excel template</x:v>
      </x:c>
      <x:c r="AH759" s="10" t="str">
        <x:v>General debt payoff</x:v>
      </x:c>
      <x:c r="AI759" s="13" t="n">
        <x:v>15</x:v>
      </x:c>
      <x:c r="AJ759" s="10" t="str">
        <x:f>IF(F759&gt;0,"Active","No est. sales")</x:f>
        <x:v>No est. sales</x:v>
      </x:c>
    </x:row>
    <x:row r="760">
      <x:c r="A760" s="10" t="str">
        <x:v>House icon stickers | I025</x:v>
      </x:c>
      <x:c r="B760" s="10" t="str">
        <x:v>https://www.etsy.com/listing/1715438443/house-icon-stickers-i025</x:v>
      </x:c>
      <x:c r="C760" s="10" t="str">
        <x:v>busybstickerco</x:v>
      </x:c>
      <x:c r="D760" s="10" t="str">
        <x:v>https://www.etsy.com/shop/busybstickerco</x:v>
      </x:c>
      <x:c r="E760" s="11" t="n">
        <x:v>1.75</x:v>
      </x:c>
      <x:c r="F760" s="10" t="n">
        <x:v>0</x:v>
      </x:c>
      <x:c r="G760" s="12" t="n">
        <x:v>0</x:v>
      </x:c>
      <x:c r="H760" s="13" t="n">
        <x:v>0</x:v>
      </x:c>
      <x:c r="I760" s="10" t="n">
        <x:v>6</x:v>
      </x:c>
      <x:c r="J760" s="10" t="n">
        <x:v>1</x:v>
      </x:c>
      <x:c r="K760" s="10" t="str">
        <x:v>27 Mo.</x:v>
      </x:c>
      <x:c r="L760" s="10" t="n">
        <x:v>18</x:v>
      </x:c>
      <x:c r="M760" s="10" t="n">
        <x:v>0</x:v>
      </x:c>
      <x:c r="N760" s="10" t="n">
        <x:v>344</x:v>
      </x:c>
      <x:c r="O760" s="10" t="str">
        <x:v>Paper &amp; Party Supplies</x:v>
      </x:c>
      <x:c r="P760" s="10" t="n">
        <x:v>77</x:v>
      </x:c>
      <x:c r="Q760" s="10" t="n">
        <x:v>0</x:v>
      </x:c>
      <x:c r="R760" s="13" t="n">
        <x:v>1.74</x:v>
      </x:c>
      <x:c r="S760" s="10" t="n">
        <x:v>12555</x:v>
      </x:c>
      <x:c r="T760" s="10" t="str">
        <x:v>planner stickers,calendar stickers,mini house stickers,mildliner,mortgage,rent,due,home,housework,chores,payment,house,cabin</x:v>
      </x:c>
      <x:c r="U760" s="10" t="str">
        <x:v>planner stickers</x:v>
      </x:c>
      <x:c r="V760" s="10" t="str">
        <x:v>calendar stickers</x:v>
      </x:c>
      <x:c r="W760" s="10" t="str">
        <x:v>mini house stickers</x:v>
      </x:c>
      <x:c r="X760" s="10" t="str">
        <x:v>mildliner</x:v>
      </x:c>
      <x:c r="Y760" s="10" t="str">
        <x:v>mortgage</x:v>
      </x:c>
      <x:c r="Z760" s="10" t="str">
        <x:v>rent</x:v>
      </x:c>
      <x:c r="AA760" s="10" t="str">
        <x:v>due</x:v>
      </x:c>
      <x:c r="AB760" s="10" t="str">
        <x:v>home</x:v>
      </x:c>
      <x:c r="AC760" s="10" t="str">
        <x:v>housework</x:v>
      </x:c>
      <x:c r="AD760" s="10" t="str">
        <x:v>chores</x:v>
      </x:c>
      <x:c r="AE760" s="10" t="str">
        <x:v>payment</x:v>
      </x:c>
      <x:c r="AF760" s="10" t="str">
        <x:v>house</x:v>
      </x:c>
      <x:c r="AG760" s="10" t="str">
        <x:v>cabin</x:v>
      </x:c>
      <x:c r="AH760" s="10" t="str">
        <x:v>Other mortgage-related</x:v>
      </x:c>
      <x:c r="AI760" s="13" t="n">
        <x:v>27</x:v>
      </x:c>
      <x:c r="AJ760" s="10" t="str">
        <x:f>IF(F760&gt;0,"Active","No est. sales")</x:f>
        <x:v>No est. sales</x:v>
      </x:c>
    </x:row>
    <x:row r="761">
      <x:c r="A761" s="10" t="str">
        <x:v>20+ Key Stickers, 0.75- 2in (1.9-5cm), vinyl decals</x:v>
      </x:c>
      <x:c r="B761" s="10" t="str">
        <x:v>https://www.etsy.com/listing/4512104430/20-key-stickers-075-2in-19-5cm-vinyl</x:v>
      </x:c>
      <x:c r="C761" s="10" t="str">
        <x:v>PolkaDotssandMore</x:v>
      </x:c>
      <x:c r="D761" s="10" t="str">
        <x:v>https://www.etsy.com/shop/PolkaDotssandMore</x:v>
      </x:c>
      <x:c r="E761" s="11" t="n">
        <x:v>4.97</x:v>
      </x:c>
      <x:c r="F761" s="10" t="n">
        <x:v>0</x:v>
      </x:c>
      <x:c r="G761" s="12" t="n">
        <x:v>0</x:v>
      </x:c>
      <x:c r="H761" s="13" t="n">
        <x:v>0</x:v>
      </x:c>
      <x:c r="I761" s="10" t="n">
        <x:v>0</x:v>
      </x:c>
      <x:c r="J761" s="10" t="n">
        <x:v>0</x:v>
      </x:c>
      <x:c r="K761" s="10" t="str">
        <x:v>2 Mo.</x:v>
      </x:c>
      <x:c r="L761" s="10" t="n">
        <x:v>1</x:v>
      </x:c>
      <x:c r="M761" s="10" t="n">
        <x:v>0</x:v>
      </x:c>
      <x:c r="N761" s="10" t="n">
        <x:v>3</x:v>
      </x:c>
      <x:c r="O761" s="10" t="str">
        <x:v>Paper &amp; Party Supplies</x:v>
      </x:c>
      <x:c r="P761" s="10" t="n">
        <x:v>132</x:v>
      </x:c>
      <x:c r="Q761" s="10" t="n">
        <x:v>0</x:v>
      </x:c>
      <x:c r="R761" s="13" t="n">
        <x:v>0</x:v>
      </x:c>
      <x:c r="S761" s="10" t="n">
        <x:v>40327</x:v>
      </x:c>
      <x:c r="T761" s="10" t="str">
        <x:v>gold envelope seal,thank you note card,tiny mini small,key envelope seal,key stickers,housewarming party,realtor stickers,real estate agent,mortgage sticker,first home sticker,house warming gift,planner stickers,skeleton key sticker</x:v>
      </x:c>
      <x:c r="U761" s="10" t="str">
        <x:v>gold envelope seal</x:v>
      </x:c>
      <x:c r="V761" s="10" t="str">
        <x:v>thank you note card</x:v>
      </x:c>
      <x:c r="W761" s="10" t="str">
        <x:v>tiny mini small</x:v>
      </x:c>
      <x:c r="X761" s="10" t="str">
        <x:v>key envelope seal</x:v>
      </x:c>
      <x:c r="Y761" s="10" t="str">
        <x:v>key stickers</x:v>
      </x:c>
      <x:c r="Z761" s="10" t="str">
        <x:v>housewarming party</x:v>
      </x:c>
      <x:c r="AA761" s="10" t="str">
        <x:v>realtor stickers</x:v>
      </x:c>
      <x:c r="AB761" s="10" t="str">
        <x:v>real estate agent</x:v>
      </x:c>
      <x:c r="AC761" s="10" t="str">
        <x:v>mortgage sticker</x:v>
      </x:c>
      <x:c r="AD761" s="10" t="str">
        <x:v>first home sticker</x:v>
      </x:c>
      <x:c r="AE761" s="10" t="str">
        <x:v>house warming gift</x:v>
      </x:c>
      <x:c r="AF761" s="10" t="str">
        <x:v>planner stickers</x:v>
      </x:c>
      <x:c r="AG761" s="10" t="str">
        <x:v>skeleton key sticker</x:v>
      </x:c>
      <x:c r="AH761" s="10" t="str">
        <x:v>Other mortgage-related</x:v>
      </x:c>
      <x:c r="AI761" s="13" t="n">
        <x:v>2</x:v>
      </x:c>
      <x:c r="AJ761" s="10" t="str">
        <x:f>IF(F761&gt;0,"Active","No est. sales")</x:f>
        <x:v>No est. sales</x:v>
      </x:c>
    </x:row>
    <x:row r="762">
      <x:c r="A762" s="10" t="str">
        <x:v>Mortgage Payment Due Fillable Sticker | Budgeting | Planner Sticker Sheet | Georgette | B-0113 | Free shipping</x:v>
      </x:c>
      <x:c r="B762" s="10" t="str">
        <x:v>https://www.etsy.com/listing/1619859628/mortgage-payment-due-fillable-sticker</x:v>
      </x:c>
      <x:c r="C762" s="10" t="str">
        <x:v>307DesignStudio</x:v>
      </x:c>
      <x:c r="D762" s="10" t="str">
        <x:v>https://www.etsy.com/shop/307DesignStudio</x:v>
      </x:c>
      <x:c r="E762" s="11" t="n">
        <x:v>6.85</x:v>
      </x:c>
      <x:c r="F762" s="10" t="n">
        <x:v>0</x:v>
      </x:c>
      <x:c r="G762" s="12" t="n">
        <x:v>0</x:v>
      </x:c>
      <x:c r="H762" s="13" t="n">
        <x:v>0</x:v>
      </x:c>
      <x:c r="I762" s="10" t="n">
        <x:v>14</x:v>
      </x:c>
      <x:c r="J762" s="10" t="n">
        <x:v>5</x:v>
      </x:c>
      <x:c r="K762" s="10" t="str">
        <x:v>31 Mo.</x:v>
      </x:c>
      <x:c r="L762" s="10" t="n">
        <x:v>30</x:v>
      </x:c>
      <x:c r="M762" s="10" t="n">
        <x:v>0</x:v>
      </x:c>
      <x:c r="N762" s="10" t="n">
        <x:v>123</x:v>
      </x:c>
      <x:c r="O762" s="10" t="str">
        <x:v>Paper &amp; Party Supplies</x:v>
      </x:c>
      <x:c r="P762" s="10" t="n">
        <x:v>54</x:v>
      </x:c>
      <x:c r="Q762" s="10" t="n">
        <x:v>0</x:v>
      </x:c>
      <x:c r="R762" s="13" t="n">
        <x:v>11.38</x:v>
      </x:c>
      <x:c r="S762" s="10" t="n">
        <x:v>3597</x:v>
      </x:c>
      <x:c r="T762" s="10" t="str">
        <x:v>sticker sheets,savings challenge,erin condren,happy planner,penny challenge,savings tracker,piggy bank,monthly budget,monthly savings,budget tracker,tiny planner,cute budgeting,bill due sticker</x:v>
      </x:c>
      <x:c r="U762" s="10" t="str">
        <x:v>sticker sheets</x:v>
      </x:c>
      <x:c r="V762" s="10" t="str">
        <x:v>savings challenge</x:v>
      </x:c>
      <x:c r="W762" s="10" t="str">
        <x:v>erin condren</x:v>
      </x:c>
      <x:c r="X762" s="10" t="str">
        <x:v>happy planner</x:v>
      </x:c>
      <x:c r="Y762" s="10" t="str">
        <x:v>penny challenge</x:v>
      </x:c>
      <x:c r="Z762" s="10" t="str">
        <x:v>savings tracker</x:v>
      </x:c>
      <x:c r="AA762" s="10" t="str">
        <x:v>piggy bank</x:v>
      </x:c>
      <x:c r="AB762" s="10" t="str">
        <x:v>monthly budget</x:v>
      </x:c>
      <x:c r="AC762" s="10" t="str">
        <x:v>monthly savings</x:v>
      </x:c>
      <x:c r="AD762" s="10" t="str">
        <x:v>budget tracker</x:v>
      </x:c>
      <x:c r="AE762" s="10" t="str">
        <x:v>tiny planner</x:v>
      </x:c>
      <x:c r="AF762" s="10" t="str">
        <x:v>cute budgeting</x:v>
      </x:c>
      <x:c r="AG762" s="10" t="str">
        <x:v>bill due sticker</x:v>
      </x:c>
      <x:c r="AH762" s="10" t="str">
        <x:v>Other mortgage-related</x:v>
      </x:c>
      <x:c r="AI762" s="13" t="n">
        <x:v>31</x:v>
      </x:c>
      <x:c r="AJ762" s="10" t="str">
        <x:f>IF(F762&gt;0,"Active","No est. sales")</x:f>
        <x:v>No est. sales</x:v>
      </x:c>
    </x:row>
    <x:row r="763">
      <x:c r="A763" s="10" t="str">
        <x:v>UK First-Time Home Buyer Toolkit | Mortgage, Legal Checklists (PDF)</x:v>
      </x:c>
      <x:c r="B763" s="10" t="str">
        <x:v>https://www.etsy.com/listing/4352664855/how-to-first-time-home-buyer-guide-uk</x:v>
      </x:c>
      <x:c r="C763" s="10" t="str">
        <x:v>ShirlzShop</x:v>
      </x:c>
      <x:c r="D763" s="10" t="str">
        <x:v>https://www.etsy.com/shop/ShirlzShop</x:v>
      </x:c>
      <x:c r="E763" s="11" t="n">
        <x:v>13.28</x:v>
      </x:c>
      <x:c r="F763" s="10" t="n">
        <x:v>0</x:v>
      </x:c>
      <x:c r="G763" s="12" t="n">
        <x:v>0</x:v>
      </x:c>
      <x:c r="H763" s="13" t="n">
        <x:v>0</x:v>
      </x:c>
      <x:c r="I763" s="10" t="n">
        <x:v>0</x:v>
      </x:c>
      <x:c r="J763" s="10" t="n">
        <x:v>0</x:v>
      </x:c>
      <x:c r="K763" s="10" t="str">
        <x:v>11 Mo.</x:v>
      </x:c>
      <x:c r="L763" s="10" t="n">
        <x:v>0</x:v>
      </x:c>
      <x:c r="M763" s="10" t="n">
        <x:v>0</x:v>
      </x:c>
      <x:c r="N763" s="10" t="n">
        <x:v>49</x:v>
      </x:c>
      <x:c r="O763" s="10" t="str">
        <x:v>Books, Movies &amp; Music</x:v>
      </x:c>
      <x:c r="P763" s="10" t="n">
        <x:v>132</x:v>
      </x:c>
      <x:c r="Q763" s="10" t="n">
        <x:v>0</x:v>
      </x:c>
      <x:c r="R763" s="13" t="n">
        <x:v>0</x:v>
      </x:c>
      <x:c r="S763" s="10" t="n">
        <x:v>18</x:v>
      </x:c>
      <x:c r="T763" s="10" t="str">
        <x:v>first time buyer,home buyer guide,uk home buying,mortgage guide uk,conveyancing tips,mortgage checklist,moving house planner,digital download uk,first home buyer,house buyer guide,buying a house,how to guide,how to buy a house</x:v>
      </x:c>
      <x:c r="U763" s="10" t="str">
        <x:v>first time buyer</x:v>
      </x:c>
      <x:c r="V763" s="10" t="str">
        <x:v>home buyer guide</x:v>
      </x:c>
      <x:c r="W763" s="10" t="str">
        <x:v>uk home buying</x:v>
      </x:c>
      <x:c r="X763" s="10" t="str">
        <x:v>mortgage guide uk</x:v>
      </x:c>
      <x:c r="Y763" s="10" t="str">
        <x:v>conveyancing tips</x:v>
      </x:c>
      <x:c r="Z763" s="10" t="str">
        <x:v>mortgage checklist</x:v>
      </x:c>
      <x:c r="AA763" s="10" t="str">
        <x:v>moving house planner</x:v>
      </x:c>
      <x:c r="AB763" s="10" t="str">
        <x:v>digital download uk</x:v>
      </x:c>
      <x:c r="AC763" s="10" t="str">
        <x:v>first home buyer</x:v>
      </x:c>
      <x:c r="AD763" s="10" t="str">
        <x:v>house buyer guide</x:v>
      </x:c>
      <x:c r="AE763" s="10" t="str">
        <x:v>buying a house</x:v>
      </x:c>
      <x:c r="AF763" s="10" t="str">
        <x:v>how to guide</x:v>
      </x:c>
      <x:c r="AG763" s="10" t="str">
        <x:v>how to buy a house</x:v>
      </x:c>
      <x:c r="AH763" s="10" t="str">
        <x:v>Home buying planner</x:v>
      </x:c>
      <x:c r="AI763" s="13" t="n">
        <x:v>11</x:v>
      </x:c>
      <x:c r="AJ763" s="10" t="str">
        <x:f>IF(F763&gt;0,"Active","No est. sales")</x:f>
        <x:v>No est. sales</x:v>
      </x:c>
    </x:row>
    <x:row r="764">
      <x:c r="A764" s="10" t="str">
        <x:v>Mortgage Bill Due Planner Stickers | 7x9 Erin Condren | Big Happy Planner</x:v>
      </x:c>
      <x:c r="B764" s="10" t="str">
        <x:v>https://www.etsy.com/listing/4317514142/mortgage-bill-due-planner-stickers-7x9</x:v>
      </x:c>
      <x:c r="C764" s="10" t="str">
        <x:v>TheCraftedBudget</x:v>
      </x:c>
      <x:c r="D764" s="10" t="str">
        <x:v>https://www.etsy.com/shop/TheCraftedBudget</x:v>
      </x:c>
      <x:c r="E764" s="11" t="n">
        <x:v>3.5</x:v>
      </x:c>
      <x:c r="F764" s="10" t="n">
        <x:v>0</x:v>
      </x:c>
      <x:c r="G764" s="12" t="n">
        <x:v>0</x:v>
      </x:c>
      <x:c r="H764" s="13" t="n">
        <x:v>0</x:v>
      </x:c>
      <x:c r="I764" s="10" t="n">
        <x:v>0</x:v>
      </x:c>
      <x:c r="J764" s="10" t="n">
        <x:v>0</x:v>
      </x:c>
      <x:c r="K764" s="10" t="str">
        <x:v>13 Mo.</x:v>
      </x:c>
      <x:c r="L764" s="10" t="n">
        <x:v>1</x:v>
      </x:c>
      <x:c r="M764" s="10" t="n">
        <x:v>0</x:v>
      </x:c>
      <x:c r="N764" s="10" t="n">
        <x:v>5</x:v>
      </x:c>
      <x:c r="O764" s="10" t="str">
        <x:v>Paper &amp; Party Supplies</x:v>
      </x:c>
      <x:c r="P764" s="10" t="n">
        <x:v>29</x:v>
      </x:c>
      <x:c r="Q764" s="10" t="n">
        <x:v>0</x:v>
      </x:c>
      <x:c r="R764" s="13" t="n">
        <x:v>0</x:v>
      </x:c>
      <x:c r="S764" s="10" t="n">
        <x:v>63</x:v>
      </x:c>
      <x:c r="T764" s="10" t="str">
        <x:v>big happy planner,ering condren,stickers,bill due,planner stickers,personalized text,bill stickers,sticker shop,customizable,custom,mortgage,home,house</x:v>
      </x:c>
      <x:c r="U764" s="10" t="str">
        <x:v>big happy planner</x:v>
      </x:c>
      <x:c r="V764" s="10" t="str">
        <x:v>ering condren</x:v>
      </x:c>
      <x:c r="W764" s="10" t="str">
        <x:v>stickers</x:v>
      </x:c>
      <x:c r="X764" s="10" t="str">
        <x:v>bill due</x:v>
      </x:c>
      <x:c r="Y764" s="10" t="str">
        <x:v>planner stickers</x:v>
      </x:c>
      <x:c r="Z764" s="10" t="str">
        <x:v>personalized text</x:v>
      </x:c>
      <x:c r="AA764" s="10" t="str">
        <x:v>bill stickers</x:v>
      </x:c>
      <x:c r="AB764" s="10" t="str">
        <x:v>sticker shop</x:v>
      </x:c>
      <x:c r="AC764" s="10" t="str">
        <x:v>customizable</x:v>
      </x:c>
      <x:c r="AD764" s="10" t="str">
        <x:v>custom</x:v>
      </x:c>
      <x:c r="AE764" s="10" t="str">
        <x:v>mortgage</x:v>
      </x:c>
      <x:c r="AF764" s="10" t="str">
        <x:v>home</x:v>
      </x:c>
      <x:c r="AG764" s="10" t="str">
        <x:v>house</x:v>
      </x:c>
      <x:c r="AH764" s="10" t="str">
        <x:v>Other mortgage-related</x:v>
      </x:c>
      <x:c r="AI764" s="13" t="n">
        <x:v>13</x:v>
      </x:c>
      <x:c r="AJ764" s="10" t="str">
        <x:f>IF(F764&gt;0,"Active","No est. sales")</x:f>
        <x:v>No est. sales</x:v>
      </x:c>
    </x:row>
    <x:row r="765">
      <x:c r="A765" s="10" t="str">
        <x:v>12-Month Personal Finance Tracker - Budget, Debt, Expense &amp; Income Organizer - Digital Planner, Mortgage Calculator, Repayment Calculator</x:v>
      </x:c>
      <x:c r="B765" s="10" t="str">
        <x:v>https://www.etsy.com/listing/1876922633/12-month-personal-finance-tracker-budget</x:v>
      </x:c>
      <x:c r="C765" s="10" t="str">
        <x:v>GuideFlow</x:v>
      </x:c>
      <x:c r="D765" s="10" t="str">
        <x:v>https://www.etsy.com/shop/GuideFlow</x:v>
      </x:c>
      <x:c r="E765" s="11" t="n">
        <x:v>7.98</x:v>
      </x:c>
      <x:c r="F765" s="10" t="n">
        <x:v>0</x:v>
      </x:c>
      <x:c r="G765" s="12" t="n">
        <x:v>0</x:v>
      </x:c>
      <x:c r="H765" s="13" t="n">
        <x:v>0</x:v>
      </x:c>
      <x:c r="I765" s="10" t="n">
        <x:v>0</x:v>
      </x:c>
      <x:c r="J765" s="10" t="n">
        <x:v>0</x:v>
      </x:c>
      <x:c r="K765" s="10" t="str">
        <x:v>17 Mo.</x:v>
      </x:c>
      <x:c r="L765" s="10" t="n">
        <x:v>2</x:v>
      </x:c>
      <x:c r="M765" s="10" t="n">
        <x:v>0</x:v>
      </x:c>
      <x:c r="N765" s="10" t="n">
        <x:v>518</x:v>
      </x:c>
      <x:c r="O765" s="10" t="str">
        <x:v>Paper &amp; Party Supplies</x:v>
      </x:c>
      <x:c r="P765" s="10" t="n">
        <x:v>17</x:v>
      </x:c>
      <x:c r="Q765" s="10" t="n">
        <x:v>0</x:v>
      </x:c>
      <x:c r="R765" s="13" t="n">
        <x:v>0</x:v>
      </x:c>
      <x:c r="S765" s="10" t="n">
        <x:v>12</x:v>
      </x:c>
      <x:c r="T765" s="10" t="str">
        <x:v>budget template,savings planner,expense log,debt organizer,bill tracker,financial planner,money tracker,monthly budget,budgeting guide,income planner,expense tracker,debt repayment,budget tracker</x:v>
      </x:c>
      <x:c r="U765" s="10" t="str">
        <x:v>budget template</x:v>
      </x:c>
      <x:c r="V765" s="10" t="str">
        <x:v>savings planner</x:v>
      </x:c>
      <x:c r="W765" s="10" t="str">
        <x:v>expense log</x:v>
      </x:c>
      <x:c r="X765" s="10" t="str">
        <x:v>debt organizer</x:v>
      </x:c>
      <x:c r="Y765" s="10" t="str">
        <x:v>bill tracker</x:v>
      </x:c>
      <x:c r="Z765" s="10" t="str">
        <x:v>financial planner</x:v>
      </x:c>
      <x:c r="AA765" s="10" t="str">
        <x:v>money tracker</x:v>
      </x:c>
      <x:c r="AB765" s="10" t="str">
        <x:v>monthly budget</x:v>
      </x:c>
      <x:c r="AC765" s="10" t="str">
        <x:v>budgeting guide</x:v>
      </x:c>
      <x:c r="AD765" s="10" t="str">
        <x:v>income planner</x:v>
      </x:c>
      <x:c r="AE765" s="10" t="str">
        <x:v>expense tracker</x:v>
      </x:c>
      <x:c r="AF765" s="10" t="str">
        <x:v>debt repayment</x:v>
      </x:c>
      <x:c r="AG765" s="10" t="str">
        <x:v>budget tracker</x:v>
      </x:c>
      <x:c r="AH765" s="10" t="str">
        <x:v>Mortgage payoff / calculator</x:v>
      </x:c>
      <x:c r="AI765" s="13" t="n">
        <x:v>17</x:v>
      </x:c>
      <x:c r="AJ765" s="10" t="str">
        <x:f>IF(F765&gt;0,"Active","No est. sales")</x:f>
        <x:v>No est. sales</x:v>
      </x:c>
    </x:row>
    <x:row r="766">
      <x:c r="A766" s="10" t="str">
        <x:v>Mortgage Planner Stickers/Vinyl Planner Sticker Sheet/Bills Budget Reminder Calendar Stickers/Productivity Stickers  Planner Bullet Journal</x:v>
      </x:c>
      <x:c r="B766" s="10" t="str">
        <x:v>https://www.etsy.com/listing/1257423051/mortgage-planner-stickersvinyl-planner</x:v>
      </x:c>
      <x:c r="C766" s="10" t="str">
        <x:v>GetSheetDoneStickers</x:v>
      </x:c>
      <x:c r="D766" s="10" t="str">
        <x:v>https://www.etsy.com/shop/GetSheetDoneStickers</x:v>
      </x:c>
      <x:c r="E766" s="11" t="n">
        <x:v>4.89</x:v>
      </x:c>
      <x:c r="F766" s="10" t="n">
        <x:v>0</x:v>
      </x:c>
      <x:c r="G766" s="12" t="n">
        <x:v>0</x:v>
      </x:c>
      <x:c r="H766" s="13" t="n">
        <x:v>0</x:v>
      </x:c>
      <x:c r="I766" s="10" t="n">
        <x:v>0</x:v>
      </x:c>
      <x:c r="J766" s="10" t="n">
        <x:v>0</x:v>
      </x:c>
      <x:c r="K766" s="10" t="str">
        <x:v>49 Mo.</x:v>
      </x:c>
      <x:c r="L766" s="10" t="n">
        <x:v>6</x:v>
      </x:c>
      <x:c r="M766" s="10" t="n">
        <x:v>0</x:v>
      </x:c>
      <x:c r="N766" s="10" t="n">
        <x:v>21</x:v>
      </x:c>
      <x:c r="O766" s="10" t="str">
        <x:v>Paper &amp; Party Supplies</x:v>
      </x:c>
      <x:c r="P766" s="10" t="n">
        <x:v>143</x:v>
      </x:c>
      <x:c r="Q766" s="10" t="n">
        <x:v>0</x:v>
      </x:c>
      <x:c r="R766" s="13" t="n">
        <x:v>0</x:v>
      </x:c>
      <x:c r="S766" s="10" t="n">
        <x:v>5544</x:v>
      </x:c>
      <x:c r="T766" s="10" t="str">
        <x:v>bujo stickers,bullet journal,erin condren,happy planner,life planner,vinyl sticker,functional sticker,personal planner,kawaii sticker,cute sticker,appointment sticker,productivity sticker,essential stickers</x:v>
      </x:c>
      <x:c r="U766" s="10" t="str">
        <x:v>bujo stickers</x:v>
      </x:c>
      <x:c r="V766" s="10" t="str">
        <x:v>bullet journal</x:v>
      </x:c>
      <x:c r="W766" s="10" t="str">
        <x:v>erin condren</x:v>
      </x:c>
      <x:c r="X766" s="10" t="str">
        <x:v>happy planner</x:v>
      </x:c>
      <x:c r="Y766" s="10" t="str">
        <x:v>life planner</x:v>
      </x:c>
      <x:c r="Z766" s="10" t="str">
        <x:v>vinyl sticker</x:v>
      </x:c>
      <x:c r="AA766" s="10" t="str">
        <x:v>functional sticker</x:v>
      </x:c>
      <x:c r="AB766" s="10" t="str">
        <x:v>personal planner</x:v>
      </x:c>
      <x:c r="AC766" s="10" t="str">
        <x:v>kawaii sticker</x:v>
      </x:c>
      <x:c r="AD766" s="10" t="str">
        <x:v>cute sticker</x:v>
      </x:c>
      <x:c r="AE766" s="10" t="str">
        <x:v>appointment sticker</x:v>
      </x:c>
      <x:c r="AF766" s="10" t="str">
        <x:v>productivity sticker</x:v>
      </x:c>
      <x:c r="AG766" s="10" t="str">
        <x:v>essential stickers</x:v>
      </x:c>
      <x:c r="AH766" s="10" t="str">
        <x:v>Other mortgage-related</x:v>
      </x:c>
      <x:c r="AI766" s="13" t="n">
        <x:v>49</x:v>
      </x:c>
      <x:c r="AJ766" s="10" t="str">
        <x:f>IF(F766&gt;0,"Active","No est. sales")</x:f>
        <x:v>No est. sales</x:v>
      </x:c>
    </x:row>
    <x:row r="767">
      <x:c r="A767" s="10" t="str">
        <x:v>4 little mint green house felties 2&amp;quot;</x:v>
      </x:c>
      <x:c r="B767" s="10" t="str">
        <x:v>https://www.etsy.com/listing/616913947/4-little-mint-green-house-felties-2</x:v>
      </x:c>
      <x:c r="C767" s="10" t="str">
        <x:v>CoolStitchesnstuff</x:v>
      </x:c>
      <x:c r="D767" s="10" t="str">
        <x:v>https://www.etsy.com/shop/CoolStitchesnstuff</x:v>
      </x:c>
      <x:c r="E767" s="11" t="n">
        <x:v>4.25</x:v>
      </x:c>
      <x:c r="F767" s="10" t="n">
        <x:v>0</x:v>
      </x:c>
      <x:c r="G767" s="12" t="n">
        <x:v>0</x:v>
      </x:c>
      <x:c r="H767" s="13" t="n">
        <x:v>0</x:v>
      </x:c>
      <x:c r="I767" s="10" t="n">
        <x:v>0</x:v>
      </x:c>
      <x:c r="J767" s="10" t="n">
        <x:v>0</x:v>
      </x:c>
      <x:c r="K767" s="10" t="str">
        <x:v>98 Mo.</x:v>
      </x:c>
      <x:c r="L767" s="10" t="n">
        <x:v>16</x:v>
      </x:c>
      <x:c r="M767" s="10" t="n">
        <x:v>0</x:v>
      </x:c>
      <x:c r="N767" s="10" t="n">
        <x:v>28</x:v>
      </x:c>
      <x:c r="O767" s="10" t="str">
        <x:v>Art &amp; Collectibles</x:v>
      </x:c>
      <x:c r="P767" s="10" t="n">
        <x:v>145</x:v>
      </x:c>
      <x:c r="Q767" s="10" t="n">
        <x:v>0</x:v>
      </x:c>
      <x:c r="R767" s="13" t="n">
        <x:v>0</x:v>
      </x:c>
      <x:c r="S767" s="10" t="n">
        <x:v>17589</x:v>
      </x:c>
      <x:c r="T767" s="10" t="str">
        <x:v>green,town,mortgage,planner,plan,cottage,cozy,felty,hair bow,clippie,card making,embellishments,clip cover</x:v>
      </x:c>
      <x:c r="U767" s="10" t="str">
        <x:v>green</x:v>
      </x:c>
      <x:c r="V767" s="10" t="str">
        <x:v>town</x:v>
      </x:c>
      <x:c r="W767" s="10" t="str">
        <x:v>mortgage</x:v>
      </x:c>
      <x:c r="X767" s="10" t="str">
        <x:v>planner</x:v>
      </x:c>
      <x:c r="Y767" s="10" t="str">
        <x:v>plan</x:v>
      </x:c>
      <x:c r="Z767" s="10" t="str">
        <x:v>cottage</x:v>
      </x:c>
      <x:c r="AA767" s="10" t="str">
        <x:v>cozy</x:v>
      </x:c>
      <x:c r="AB767" s="10" t="str">
        <x:v>felty</x:v>
      </x:c>
      <x:c r="AC767" s="10" t="str">
        <x:v>hair bow</x:v>
      </x:c>
      <x:c r="AD767" s="10" t="str">
        <x:v>clippie</x:v>
      </x:c>
      <x:c r="AE767" s="10" t="str">
        <x:v>card making</x:v>
      </x:c>
      <x:c r="AF767" s="10" t="str">
        <x:v>embellishments</x:v>
      </x:c>
      <x:c r="AG767" s="10" t="str">
        <x:v>clip cover</x:v>
      </x:c>
      <x:c r="AH767" s="10" t="str">
        <x:v>Other mortgage-related</x:v>
      </x:c>
      <x:c r="AI767" s="13" t="n">
        <x:v>98</x:v>
      </x:c>
      <x:c r="AJ767" s="10" t="str">
        <x:f>IF(F767&gt;0,"Active","No est. sales")</x:f>
        <x:v>No est. sales</x:v>
      </x:c>
    </x:row>
    <x:row r="768">
      <x:c r="A768" s="10" t="str">
        <x:v>Loan Payoff Calculator Google Sheets | Early Payoff Planner | Mortgage &amp; Loan Interest Savings Tracker</x:v>
      </x:c>
      <x:c r="B768" s="10" t="str">
        <x:v>https://www.etsy.com/listing/4487525991/loan-payoff-calculator-google-sheets</x:v>
      </x:c>
      <x:c r="C768" s="10" t="str">
        <x:v>MintAuraLab</x:v>
      </x:c>
      <x:c r="D768" s="10" t="str">
        <x:v>https://www.etsy.com/shop/MintAuraLab</x:v>
      </x:c>
      <x:c r="E768" s="11" t="n">
        <x:v>7.24</x:v>
      </x:c>
      <x:c r="F768" s="10" t="n">
        <x:v>0</x:v>
      </x:c>
      <x:c r="G768" s="12" t="n">
        <x:v>0</x:v>
      </x:c>
      <x:c r="H768" s="13" t="n">
        <x:v>0</x:v>
      </x:c>
      <x:c r="I768" s="10" t="n">
        <x:v>0</x:v>
      </x:c>
      <x:c r="J768" s="10" t="n">
        <x:v>0</x:v>
      </x:c>
      <x:c r="K768" s="10" t="str">
        <x:v>3 Mo.</x:v>
      </x:c>
      <x:c r="L768" s="10" t="n">
        <x:v>0</x:v>
      </x:c>
      <x:c r="M768" s="10" t="n">
        <x:v>0</x:v>
      </x:c>
      <x:c r="N768" s="10" t="n">
        <x:v>18</x:v>
      </x:c>
      <x:c r="O768" s="10" t="str"/>
      <x:c r="P768" s="10" t="n">
        <x:v>12</x:v>
      </x:c>
      <x:c r="Q768" s="10" t="n">
        <x:v>0</x:v>
      </x:c>
      <x:c r="R768" s="13" t="n">
        <x:v>0</x:v>
      </x:c>
      <x:c r="S768" s="10" t="n">
        <x:v>22</x:v>
      </x:c>
      <x:c r="T768" s="10" t="str">
        <x:v>loan payoff calc,debt payoff sheet,emi calculator,loan tracker,debt spreadsheet,finance planner,budget sheet,gsheets budget,loan payoff,debt snowball,debt avalanche,money tracker,loan planner</x:v>
      </x:c>
      <x:c r="U768" s="10" t="str">
        <x:v>loan payoff calc</x:v>
      </x:c>
      <x:c r="V768" s="10" t="str">
        <x:v>debt payoff sheet</x:v>
      </x:c>
      <x:c r="W768" s="10" t="str">
        <x:v>emi calculator</x:v>
      </x:c>
      <x:c r="X768" s="10" t="str">
        <x:v>loan tracker</x:v>
      </x:c>
      <x:c r="Y768" s="10" t="str">
        <x:v>debt spreadsheet</x:v>
      </x:c>
      <x:c r="Z768" s="10" t="str">
        <x:v>finance planner</x:v>
      </x:c>
      <x:c r="AA768" s="10" t="str">
        <x:v>budget sheet</x:v>
      </x:c>
      <x:c r="AB768" s="10" t="str">
        <x:v>gsheets budget</x:v>
      </x:c>
      <x:c r="AC768" s="10" t="str">
        <x:v>loan payoff</x:v>
      </x:c>
      <x:c r="AD768" s="10" t="str">
        <x:v>debt snowball</x:v>
      </x:c>
      <x:c r="AE768" s="10" t="str">
        <x:v>debt avalanche</x:v>
      </x:c>
      <x:c r="AF768" s="10" t="str">
        <x:v>money tracker</x:v>
      </x:c>
      <x:c r="AG768" s="10" t="str">
        <x:v>loan planner</x:v>
      </x:c>
      <x:c r="AH768" s="10" t="str">
        <x:v>General loan calculator</x:v>
      </x:c>
      <x:c r="AI768" s="13" t="n">
        <x:v>3</x:v>
      </x:c>
      <x:c r="AJ768" s="10" t="str">
        <x:f>IF(F768&gt;0,"Active","No est. sales")</x:f>
        <x:v>No est. sales</x:v>
      </x:c>
    </x:row>
    <x:row r="769">
      <x:c r="A769" s="10" t="str">
        <x:v>Debt Payoff Tracker Google Sheets, Debt Snowball Method, Loan Payoff Calculator, Debt Payoff Spreadsheet Template</x:v>
      </x:c>
      <x:c r="B769" s="10" t="str">
        <x:v>https://www.etsy.com/listing/1791372439/debt-payoff-tracker-google-sheets-debt</x:v>
      </x:c>
      <x:c r="C769" s="10" t="str">
        <x:v>BizPlace</x:v>
      </x:c>
      <x:c r="D769" s="10" t="str">
        <x:v>https://www.etsy.com/shop/BizPlace</x:v>
      </x:c>
      <x:c r="E769" s="11" t="n">
        <x:v>4.79</x:v>
      </x:c>
      <x:c r="F769" s="10" t="n">
        <x:v>0</x:v>
      </x:c>
      <x:c r="G769" s="12" t="n">
        <x:v>0</x:v>
      </x:c>
      <x:c r="H769" s="13" t="n">
        <x:v>0</x:v>
      </x:c>
      <x:c r="I769" s="10" t="n">
        <x:v>0</x:v>
      </x:c>
      <x:c r="J769" s="10" t="n">
        <x:v>0</x:v>
      </x:c>
      <x:c r="K769" s="10" t="str">
        <x:v>22 Mo.</x:v>
      </x:c>
      <x:c r="L769" s="10" t="n">
        <x:v>5</x:v>
      </x:c>
      <x:c r="M769" s="10" t="n">
        <x:v>0</x:v>
      </x:c>
      <x:c r="N769" s="10" t="n">
        <x:v>308</x:v>
      </x:c>
      <x:c r="O769" s="10" t="str"/>
      <x:c r="P769" s="10" t="n">
        <x:v>34</x:v>
      </x:c>
      <x:c r="Q769" s="10" t="n">
        <x:v>0</x:v>
      </x:c>
      <x:c r="R769" s="13" t="n">
        <x:v>0</x:v>
      </x:c>
      <x:c r="S769" s="10" t="n">
        <x:v>1374</x:v>
      </x:c>
      <x:c r="T769" s="10" t="str">
        <x:v>debt payoff tracker,student loan payoff,credit card debt,debt snowball,loan debt calculator,snowball calculator,house payoff tracker,mortgage payoff,debt google sheets,financial planner,personal finance,car loan payoff,budget expense spend</x:v>
      </x:c>
      <x:c r="U769" s="10" t="str">
        <x:v>debt payoff tracker</x:v>
      </x:c>
      <x:c r="V769" s="10" t="str">
        <x:v>student loan payoff</x:v>
      </x:c>
      <x:c r="W769" s="10" t="str">
        <x:v>credit card debt</x:v>
      </x:c>
      <x:c r="X769" s="10" t="str">
        <x:v>debt snowball</x:v>
      </x:c>
      <x:c r="Y769" s="10" t="str">
        <x:v>loan debt calculator</x:v>
      </x:c>
      <x:c r="Z769" s="10" t="str">
        <x:v>snowball calculator</x:v>
      </x:c>
      <x:c r="AA769" s="10" t="str">
        <x:v>house payoff tracker</x:v>
      </x:c>
      <x:c r="AB769" s="10" t="str">
        <x:v>mortgage payoff</x:v>
      </x:c>
      <x:c r="AC769" s="10" t="str">
        <x:v>debt google sheets</x:v>
      </x:c>
      <x:c r="AD769" s="10" t="str">
        <x:v>financial planner</x:v>
      </x:c>
      <x:c r="AE769" s="10" t="str">
        <x:v>personal finance</x:v>
      </x:c>
      <x:c r="AF769" s="10" t="str">
        <x:v>car loan payoff</x:v>
      </x:c>
      <x:c r="AG769" s="10" t="str">
        <x:v>budget expense spend</x:v>
      </x:c>
      <x:c r="AH769" s="10" t="str">
        <x:v>General debt payoff</x:v>
      </x:c>
      <x:c r="AI769" s="13" t="n">
        <x:v>22</x:v>
      </x:c>
      <x:c r="AJ769" s="10" t="str">
        <x:f>IF(F769&gt;0,"Active","No est. sales")</x:f>
        <x:v>No est. sales</x:v>
      </x:c>
    </x:row>
    <x:row r="770">
      <x:c r="A770" s="10" t="str">
        <x:v>20k Home Down Payment Savings Tracker | House Savings Mortgage Financial Goal Organizer, Instant Download, Coloring Page</x:v>
      </x:c>
      <x:c r="B770" s="10" t="str">
        <x:v>https://www.etsy.com/listing/1039669331/20k-home-down-payment-savings-tracker</x:v>
      </x:c>
      <x:c r="C770" s="10" t="str">
        <x:v>CutiPiPrintables</x:v>
      </x:c>
      <x:c r="D770" s="10" t="str">
        <x:v>https://www.etsy.com/shop/CutiPiPrintables</x:v>
      </x:c>
      <x:c r="E770" s="11" t="n">
        <x:v>2</x:v>
      </x:c>
      <x:c r="F770" s="10" t="n">
        <x:v>0</x:v>
      </x:c>
      <x:c r="G770" s="12" t="n">
        <x:v>0</x:v>
      </x:c>
      <x:c r="H770" s="13" t="n">
        <x:v>0</x:v>
      </x:c>
      <x:c r="I770" s="10" t="n">
        <x:v>21</x:v>
      </x:c>
      <x:c r="J770" s="10" t="n">
        <x:v>5</x:v>
      </x:c>
      <x:c r="K770" s="10" t="str">
        <x:v>61 Mo.</x:v>
      </x:c>
      <x:c r="L770" s="10" t="n">
        <x:v>43</x:v>
      </x:c>
      <x:c r="M770" s="10" t="n">
        <x:v>0</x:v>
      </x:c>
      <x:c r="N770" s="10" t="n">
        <x:v>1759</x:v>
      </x:c>
      <x:c r="O770" s="10" t="str">
        <x:v>Paper &amp; Party Supplies</x:v>
      </x:c>
      <x:c r="P770" s="10" t="n">
        <x:v>63</x:v>
      </x:c>
      <x:c r="Q770" s="10" t="n">
        <x:v>0</x:v>
      </x:c>
      <x:c r="R770" s="13" t="n">
        <x:v>1.19</x:v>
      </x:c>
      <x:c r="S770" s="10" t="n">
        <x:v>525</x:v>
      </x:c>
      <x:c r="T770" s="10" t="str">
        <x:v>financial organizer,mortgage,printable,financial planner,personal finance,savings tracker,savings printable,down payment,budget tracker,dave ramsey,buying a home,my first home,20000</x:v>
      </x:c>
      <x:c r="U770" s="10" t="str">
        <x:v>financial organizer</x:v>
      </x:c>
      <x:c r="V770" s="10" t="str">
        <x:v>mortgage</x:v>
      </x:c>
      <x:c r="W770" s="10" t="str">
        <x:v>printable</x:v>
      </x:c>
      <x:c r="X770" s="10" t="str">
        <x:v>financial planner</x:v>
      </x:c>
      <x:c r="Y770" s="10" t="str">
        <x:v>personal finance</x:v>
      </x:c>
      <x:c r="Z770" s="10" t="str">
        <x:v>savings tracker</x:v>
      </x:c>
      <x:c r="AA770" s="10" t="str">
        <x:v>savings printable</x:v>
      </x:c>
      <x:c r="AB770" s="10" t="str">
        <x:v>down payment</x:v>
      </x:c>
      <x:c r="AC770" s="10" t="str">
        <x:v>budget tracker</x:v>
      </x:c>
      <x:c r="AD770" s="10" t="str">
        <x:v>dave ramsey</x:v>
      </x:c>
      <x:c r="AE770" s="10" t="str">
        <x:v>buying a home</x:v>
      </x:c>
      <x:c r="AF770" s="10" t="str">
        <x:v>my first home</x:v>
      </x:c>
      <x:c r="AG770" s="10" t="str">
        <x:v>20000</x:v>
      </x:c>
      <x:c r="AH770" s="10" t="str">
        <x:v>Other mortgage-related</x:v>
      </x:c>
      <x:c r="AI770" s="13" t="n">
        <x:v>61</x:v>
      </x:c>
      <x:c r="AJ770" s="10" t="str">
        <x:f>IF(F770&gt;0,"Active","No est. sales")</x:f>
        <x:v>No est. sales</x:v>
      </x:c>
    </x:row>
    <x:row r="771">
      <x:c r="A771" s="10" t="str">
        <x:v>Mortgage Payoff Tracker | Amortization Schedule, Extra Payments (Excel/Sheets)</x:v>
      </x:c>
      <x:c r="B771" s="10" t="str">
        <x:v>https://www.etsy.com/listing/4479960617/mortgage-payoff-tracker-amortization</x:v>
      </x:c>
      <x:c r="C771" s="10" t="str">
        <x:v>GridLifeDigital</x:v>
      </x:c>
      <x:c r="D771" s="10" t="str">
        <x:v>https://www.etsy.com/shop/GridLifeDigital</x:v>
      </x:c>
      <x:c r="E771" s="11" t="n">
        <x:v>9.99</x:v>
      </x:c>
      <x:c r="F771" s="10" t="n">
        <x:v>0</x:v>
      </x:c>
      <x:c r="G771" s="12" t="n">
        <x:v>0</x:v>
      </x:c>
      <x:c r="H771" s="13" t="n">
        <x:v>0</x:v>
      </x:c>
      <x:c r="I771" s="10" t="n">
        <x:v>0</x:v>
      </x:c>
      <x:c r="J771" s="10" t="n">
        <x:v>0</x:v>
      </x:c>
      <x:c r="K771" s="10" t="str">
        <x:v>4 Mo.</x:v>
      </x:c>
      <x:c r="L771" s="10" t="n">
        <x:v>0</x:v>
      </x:c>
      <x:c r="M771" s="10" t="n">
        <x:v>0</x:v>
      </x:c>
      <x:c r="N771" s="10" t="n">
        <x:v>3</x:v>
      </x:c>
      <x:c r="O771" s="10" t="str"/>
      <x:c r="P771" s="10" t="n">
        <x:v>85</x:v>
      </x:c>
      <x:c r="Q771" s="10" t="n">
        <x:v>0</x:v>
      </x:c>
      <x:c r="R771" s="13" t="n">
        <x:v>0</x:v>
      </x:c>
      <x:c r="S771" s="10" t="n">
        <x:v>36</x:v>
      </x:c>
      <x:c r="T771" s="10" t="str">
        <x:v>mortgage payoff,extra payment,calculator,house payment,payment tracker,debt free home,home loan tracker,mortgage spreadsheet,amortization,mortgage calculator,refinance calculator,mortgage planner</x:v>
      </x:c>
      <x:c r="U771" s="10" t="str">
        <x:v>mortgage payoff</x:v>
      </x:c>
      <x:c r="V771" s="10" t="str">
        <x:v>extra payment</x:v>
      </x:c>
      <x:c r="W771" s="10" t="str">
        <x:v>calculator</x:v>
      </x:c>
      <x:c r="X771" s="10" t="str">
        <x:v>house payment</x:v>
      </x:c>
      <x:c r="Y771" s="10" t="str">
        <x:v>payment tracker</x:v>
      </x:c>
      <x:c r="Z771" s="10" t="str">
        <x:v>debt free home</x:v>
      </x:c>
      <x:c r="AA771" s="10" t="str">
        <x:v>home loan tracker</x:v>
      </x:c>
      <x:c r="AB771" s="10" t="str">
        <x:v>mortgage spreadsheet</x:v>
      </x:c>
      <x:c r="AC771" s="10" t="str">
        <x:v>amortization</x:v>
      </x:c>
      <x:c r="AD771" s="10" t="str">
        <x:v>mortgage calculator</x:v>
      </x:c>
      <x:c r="AE771" s="10" t="str">
        <x:v>refinance calculator</x:v>
      </x:c>
      <x:c r="AF771" s="10" t="str">
        <x:v>mortgage planner</x:v>
      </x:c>
      <x:c r="AG771" s="10" t="str">
        <x:v>--</x:v>
      </x:c>
      <x:c r="AH771" s="10" t="str">
        <x:v>Mortgage payoff / calculator</x:v>
      </x:c>
      <x:c r="AI771" s="13" t="n">
        <x:v>4</x:v>
      </x:c>
      <x:c r="AJ771" s="10" t="str">
        <x:f>IF(F771&gt;0,"Active","No est. sales")</x:f>
        <x:v>No est. sales</x:v>
      </x:c>
    </x:row>
    <x:row r="772">
      <x:c r="A772" s="10" t="str">
        <x:v>Canada First Time Home Buyer Cost Calculator Excel Spreadsheet Closing Cost Land Transfer Tax Down Payment Mortgage 2026 Ontario BC Alberta</x:v>
      </x:c>
      <x:c r="B772" s="10" t="str">
        <x:v>https://www.etsy.com/listing/4484431980/canada-first-time-home-buyer-cost</x:v>
      </x:c>
      <x:c r="C772" s="10" t="str">
        <x:v>MapleLifeGuides</x:v>
      </x:c>
      <x:c r="D772" s="10" t="str">
        <x:v>https://www.etsy.com/shop/MapleLifeGuides</x:v>
      </x:c>
      <x:c r="E772" s="11" t="n">
        <x:v>9.23</x:v>
      </x:c>
      <x:c r="F772" s="10" t="n">
        <x:v>0</x:v>
      </x:c>
      <x:c r="G772" s="12" t="n">
        <x:v>0</x:v>
      </x:c>
      <x:c r="H772" s="13" t="n">
        <x:v>0</x:v>
      </x:c>
      <x:c r="I772" s="10" t="n">
        <x:v>0</x:v>
      </x:c>
      <x:c r="J772" s="10" t="n">
        <x:v>0</x:v>
      </x:c>
      <x:c r="K772" s="10" t="str">
        <x:v>3 Mo.</x:v>
      </x:c>
      <x:c r="L772" s="10" t="n">
        <x:v>0</x:v>
      </x:c>
      <x:c r="M772" s="10" t="n">
        <x:v>0</x:v>
      </x:c>
      <x:c r="N772" s="10" t="n">
        <x:v>17</x:v>
      </x:c>
      <x:c r="O772" s="10" t="str">
        <x:v>Paper &amp; Party Supplies</x:v>
      </x:c>
      <x:c r="P772" s="10" t="n">
        <x:v>3</x:v>
      </x:c>
      <x:c r="Q772" s="10" t="n">
        <x:v>0</x:v>
      </x:c>
      <x:c r="R772" s="13" t="n">
        <x:v>0</x:v>
      </x:c>
      <x:c r="S772" s="10" t="n">
        <x:v>0</x:v>
      </x:c>
      <x:c r="T772" s="10" t="str">
        <x:v>home buyer canada,closing cost canada,land transfer tax,down payment calc,mortgage calculator,first home buyer,home buying excel,cmhc calculator,ontario home buyer,bc home buying,alberta real estate,house cost planner,canada real estate</x:v>
      </x:c>
      <x:c r="U772" s="10" t="str">
        <x:v>home buyer canada</x:v>
      </x:c>
      <x:c r="V772" s="10" t="str">
        <x:v>closing cost canada</x:v>
      </x:c>
      <x:c r="W772" s="10" t="str">
        <x:v>land transfer tax</x:v>
      </x:c>
      <x:c r="X772" s="10" t="str">
        <x:v>down payment calc</x:v>
      </x:c>
      <x:c r="Y772" s="10" t="str">
        <x:v>mortgage calculator</x:v>
      </x:c>
      <x:c r="Z772" s="10" t="str">
        <x:v>first home buyer</x:v>
      </x:c>
      <x:c r="AA772" s="10" t="str">
        <x:v>home buying excel</x:v>
      </x:c>
      <x:c r="AB772" s="10" t="str">
        <x:v>cmhc calculator</x:v>
      </x:c>
      <x:c r="AC772" s="10" t="str">
        <x:v>ontario home buyer</x:v>
      </x:c>
      <x:c r="AD772" s="10" t="str">
        <x:v>bc home buying</x:v>
      </x:c>
      <x:c r="AE772" s="10" t="str">
        <x:v>alberta real estate</x:v>
      </x:c>
      <x:c r="AF772" s="10" t="str">
        <x:v>house cost planner</x:v>
      </x:c>
      <x:c r="AG772" s="10" t="str">
        <x:v>canada real estate</x:v>
      </x:c>
      <x:c r="AH772" s="10" t="str">
        <x:v>Home buying planner</x:v>
      </x:c>
      <x:c r="AI772" s="13" t="n">
        <x:v>3</x:v>
      </x:c>
      <x:c r="AJ772" s="10" t="str">
        <x:f>IF(F772&gt;0,"Active","No est. sales")</x:f>
        <x:v>No est. sales</x:v>
      </x:c>
    </x:row>
    <x:row r="773">
      <x:c r="A773" s="10" t="str">
        <x:v>House Icon Planner Stickers: Calendar Agenda Tracker</x:v>
      </x:c>
      <x:c r="B773" s="10" t="str">
        <x:v>https://www.etsy.com/listing/1761732060/house-icon-planner-stickers-calendar</x:v>
      </x:c>
      <x:c r="C773" s="10" t="str">
        <x:v>StickerPeep</x:v>
      </x:c>
      <x:c r="D773" s="10" t="str">
        <x:v>https://www.etsy.com/shop/StickerPeep</x:v>
      </x:c>
      <x:c r="E773" s="11" t="n">
        <x:v>3</x:v>
      </x:c>
      <x:c r="F773" s="10" t="n">
        <x:v>0</x:v>
      </x:c>
      <x:c r="G773" s="12" t="n">
        <x:v>0</x:v>
      </x:c>
      <x:c r="H773" s="13" t="n">
        <x:v>0</x:v>
      </x:c>
      <x:c r="I773" s="10" t="n">
        <x:v>0</x:v>
      </x:c>
      <x:c r="J773" s="10" t="n">
        <x:v>0</x:v>
      </x:c>
      <x:c r="K773" s="10" t="str">
        <x:v>23 Mo.</x:v>
      </x:c>
      <x:c r="L773" s="10" t="n">
        <x:v>21</x:v>
      </x:c>
      <x:c r="M773" s="10" t="n">
        <x:v>0</x:v>
      </x:c>
      <x:c r="N773" s="10" t="n">
        <x:v>141</x:v>
      </x:c>
      <x:c r="O773" s="10" t="str">
        <x:v>Paper &amp; Party Supplies</x:v>
      </x:c>
      <x:c r="P773" s="10" t="n">
        <x:v>63</x:v>
      </x:c>
      <x:c r="Q773" s="10" t="n">
        <x:v>0</x:v>
      </x:c>
      <x:c r="R773" s="13" t="n">
        <x:v>0</x:v>
      </x:c>
      <x:c r="S773" s="10" t="n">
        <x:v>23536</x:v>
      </x:c>
      <x:c r="T773" s="10" t="str">
        <x:v>sticker,glossy sticker,planner,plan,planner sticker,agenda,calendar,handmade,house,home,rent,payment,mortgage</x:v>
      </x:c>
      <x:c r="U773" s="10" t="str">
        <x:v>sticker</x:v>
      </x:c>
      <x:c r="V773" s="10" t="str">
        <x:v>glossy sticker</x:v>
      </x:c>
      <x:c r="W773" s="10" t="str">
        <x:v>planner</x:v>
      </x:c>
      <x:c r="X773" s="10" t="str">
        <x:v>plan</x:v>
      </x:c>
      <x:c r="Y773" s="10" t="str">
        <x:v>planner sticker</x:v>
      </x:c>
      <x:c r="Z773" s="10" t="str">
        <x:v>agenda</x:v>
      </x:c>
      <x:c r="AA773" s="10" t="str">
        <x:v>calendar</x:v>
      </x:c>
      <x:c r="AB773" s="10" t="str">
        <x:v>handmade</x:v>
      </x:c>
      <x:c r="AC773" s="10" t="str">
        <x:v>house</x:v>
      </x:c>
      <x:c r="AD773" s="10" t="str">
        <x:v>home</x:v>
      </x:c>
      <x:c r="AE773" s="10" t="str">
        <x:v>rent</x:v>
      </x:c>
      <x:c r="AF773" s="10" t="str">
        <x:v>payment</x:v>
      </x:c>
      <x:c r="AG773" s="10" t="str">
        <x:v>mortgage</x:v>
      </x:c>
      <x:c r="AH773" s="10" t="str">
        <x:v>Other mortgage-related</x:v>
      </x:c>
      <x:c r="AI773" s="13" t="n">
        <x:v>23</x:v>
      </x:c>
      <x:c r="AJ773" s="10" t="str">
        <x:f>IF(F773&gt;0,"Active","No est. sales")</x:f>
        <x:v>No est. sales</x:v>
      </x:c>
    </x:row>
    <x:row r="774">
      <x:c r="A774" s="10" t="str">
        <x:v>FHA Mortgage Calculator | Loan Payment, Amortization Excel Tool (Instant Download)</x:v>
      </x:c>
      <x:c r="B774" s="10" t="str">
        <x:v>https://www.etsy.com/listing/1875929770/fha-mortgage-calculator-loan-payment</x:v>
      </x:c>
      <x:c r="C774" s="10" t="str">
        <x:v>FIRDigiSolutions</x:v>
      </x:c>
      <x:c r="D774" s="10" t="str">
        <x:v>https://www.etsy.com/shop/FIRDigiSolutions</x:v>
      </x:c>
      <x:c r="E774" s="11" t="n">
        <x:v>9.99</x:v>
      </x:c>
      <x:c r="F774" s="10" t="n">
        <x:v>0</x:v>
      </x:c>
      <x:c r="G774" s="12" t="n">
        <x:v>0</x:v>
      </x:c>
      <x:c r="H774" s="13" t="n">
        <x:v>0</x:v>
      </x:c>
      <x:c r="I774" s="10" t="n">
        <x:v>0</x:v>
      </x:c>
      <x:c r="J774" s="10" t="n">
        <x:v>0</x:v>
      </x:c>
      <x:c r="K774" s="10" t="str">
        <x:v>16 Mo.</x:v>
      </x:c>
      <x:c r="L774" s="10" t="n">
        <x:v>5</x:v>
      </x:c>
      <x:c r="M774" s="10" t="n">
        <x:v>0</x:v>
      </x:c>
      <x:c r="N774" s="10" t="n">
        <x:v>99</x:v>
      </x:c>
      <x:c r="O774" s="10" t="str"/>
      <x:c r="P774" s="10" t="n">
        <x:v>16</x:v>
      </x:c>
      <x:c r="Q774" s="10" t="n">
        <x:v>0</x:v>
      </x:c>
      <x:c r="R774" s="13" t="n">
        <x:v>0</x:v>
      </x:c>
      <x:c r="S774" s="10" t="n">
        <x:v>2</x:v>
      </x:c>
      <x:c r="T774" s="10" t="str">
        <x:v>mortgage calculator,loan calculator,fha loan tool,amortization chart,real estate excel,loan officer tool,mortgage broker,fha mortgage calc,financial template,real estate finance,loan payment calc,fha loan estimate,fha loan planner</x:v>
      </x:c>
      <x:c r="U774" s="10" t="str">
        <x:v>mortgage calculator</x:v>
      </x:c>
      <x:c r="V774" s="10" t="str">
        <x:v>loan calculator</x:v>
      </x:c>
      <x:c r="W774" s="10" t="str">
        <x:v>fha loan tool</x:v>
      </x:c>
      <x:c r="X774" s="10" t="str">
        <x:v>amortization chart</x:v>
      </x:c>
      <x:c r="Y774" s="10" t="str">
        <x:v>real estate excel</x:v>
      </x:c>
      <x:c r="Z774" s="10" t="str">
        <x:v>loan officer tool</x:v>
      </x:c>
      <x:c r="AA774" s="10" t="str">
        <x:v>mortgage broker</x:v>
      </x:c>
      <x:c r="AB774" s="10" t="str">
        <x:v>fha mortgage calc</x:v>
      </x:c>
      <x:c r="AC774" s="10" t="str">
        <x:v>financial template</x:v>
      </x:c>
      <x:c r="AD774" s="10" t="str">
        <x:v>real estate finance</x:v>
      </x:c>
      <x:c r="AE774" s="10" t="str">
        <x:v>loan payment calc</x:v>
      </x:c>
      <x:c r="AF774" s="10" t="str">
        <x:v>fha loan estimate</x:v>
      </x:c>
      <x:c r="AG774" s="10" t="str">
        <x:v>fha loan planner</x:v>
      </x:c>
      <x:c r="AH774" s="10" t="str">
        <x:v>Loan officer / B2B</x:v>
      </x:c>
      <x:c r="AI774" s="13" t="n">
        <x:v>16</x:v>
      </x:c>
      <x:c r="AJ774" s="10" t="str">
        <x:f>IF(F774&gt;0,"Active","No est. sales")</x:f>
        <x:v>No est. sales</x:v>
      </x:c>
    </x:row>
    <x:row r="775">
      <x:c r="A775" s="10" t="str">
        <x:v>Ultimate Mortgage Refinance Analysis - Microsoft Excel - Refinance analysis - Debt reduction manager - Loan repayment</x:v>
      </x:c>
      <x:c r="B775" s="10" t="str">
        <x:v>https://www.etsy.com/listing/1812325269/ultimate-mortgage-refinance-analysis</x:v>
      </x:c>
      <x:c r="C775" s="10" t="str">
        <x:v>SheetsElite</x:v>
      </x:c>
      <x:c r="D775" s="10" t="str">
        <x:v>https://www.etsy.com/shop/SheetsElite</x:v>
      </x:c>
      <x:c r="E775" s="11" t="n">
        <x:v>12.99</x:v>
      </x:c>
      <x:c r="F775" s="10" t="n">
        <x:v>0</x:v>
      </x:c>
      <x:c r="G775" s="12" t="n">
        <x:v>0</x:v>
      </x:c>
      <x:c r="H775" s="13" t="n">
        <x:v>0</x:v>
      </x:c>
      <x:c r="I775" s="10" t="n">
        <x:v>0</x:v>
      </x:c>
      <x:c r="J775" s="10" t="n">
        <x:v>0</x:v>
      </x:c>
      <x:c r="K775" s="10" t="str">
        <x:v>21 Mo.</x:v>
      </x:c>
      <x:c r="L775" s="10" t="n">
        <x:v>29</x:v>
      </x:c>
      <x:c r="M775" s="10" t="n">
        <x:v>0</x:v>
      </x:c>
      <x:c r="N775" s="10" t="n">
        <x:v>456</x:v>
      </x:c>
      <x:c r="O775" s="10" t="str"/>
      <x:c r="P775" s="10" t="n">
        <x:v>40</x:v>
      </x:c>
      <x:c r="Q775" s="10" t="n">
        <x:v>0</x:v>
      </x:c>
      <x:c r="R775" s="13" t="n">
        <x:v>0</x:v>
      </x:c>
      <x:c r="S775" s="10" t="n">
        <x:v>1280</x:v>
      </x:c>
      <x:c r="T775" s="10" t="str">
        <x:v>mortgage planner,home loan comparison,refinance,mortgage payoff,mortgage calculator,budget,debt elimination,debt manager,debt tracker,debt snowball,finance planner,finance tracker,spreadsheet</x:v>
      </x:c>
      <x:c r="U775" s="10" t="str">
        <x:v>mortgage planner</x:v>
      </x:c>
      <x:c r="V775" s="10" t="str">
        <x:v>home loan comparison</x:v>
      </x:c>
      <x:c r="W775" s="10" t="str">
        <x:v>refinance</x:v>
      </x:c>
      <x:c r="X775" s="10" t="str">
        <x:v>mortgage payoff</x:v>
      </x:c>
      <x:c r="Y775" s="10" t="str">
        <x:v>mortgage calculator</x:v>
      </x:c>
      <x:c r="Z775" s="10" t="str">
        <x:v>budget</x:v>
      </x:c>
      <x:c r="AA775" s="10" t="str">
        <x:v>debt elimination</x:v>
      </x:c>
      <x:c r="AB775" s="10" t="str">
        <x:v>debt manager</x:v>
      </x:c>
      <x:c r="AC775" s="10" t="str">
        <x:v>debt tracker</x:v>
      </x:c>
      <x:c r="AD775" s="10" t="str">
        <x:v>debt snowball</x:v>
      </x:c>
      <x:c r="AE775" s="10" t="str">
        <x:v>finance planner</x:v>
      </x:c>
      <x:c r="AF775" s="10" t="str">
        <x:v>finance tracker</x:v>
      </x:c>
      <x:c r="AG775" s="10" t="str">
        <x:v>spreadsheet</x:v>
      </x:c>
      <x:c r="AH775" s="10" t="str">
        <x:v>General loan calculator</x:v>
      </x:c>
      <x:c r="AI775" s="13" t="n">
        <x:v>21</x:v>
      </x:c>
      <x:c r="AJ775" s="10" t="str">
        <x:f>IF(F775&gt;0,"Active","No est. sales")</x:f>
        <x:v>No est. sales</x:v>
      </x:c>
    </x:row>
    <x:row r="776">
      <x:c r="A776" s="10" t="str">
        <x:v>Mortgage Refinance Calculator | Amortization Schedule, PMI, HOA (Google Sheets Template)</x:v>
      </x:c>
      <x:c r="B776" s="10" t="str">
        <x:v>https://www.etsy.com/listing/4462026336/mortgage-refinance-calculator</x:v>
      </x:c>
      <x:c r="C776" s="10" t="str">
        <x:v>SmartMoneyGrid</x:v>
      </x:c>
      <x:c r="D776" s="10" t="str">
        <x:v>https://www.etsy.com/shop/SmartMoneyGrid</x:v>
      </x:c>
      <x:c r="E776" s="11" t="n">
        <x:v>12.99</x:v>
      </x:c>
      <x:c r="F776" s="10" t="n">
        <x:v>0</x:v>
      </x:c>
      <x:c r="G776" s="12" t="n">
        <x:v>0</x:v>
      </x:c>
      <x:c r="H776" s="13" t="n">
        <x:v>0</x:v>
      </x:c>
      <x:c r="I776" s="10" t="n">
        <x:v>0</x:v>
      </x:c>
      <x:c r="J776" s="10" t="n">
        <x:v>0</x:v>
      </x:c>
      <x:c r="K776" s="10" t="str">
        <x:v>5 Mo.</x:v>
      </x:c>
      <x:c r="L776" s="10" t="n">
        <x:v>0</x:v>
      </x:c>
      <x:c r="M776" s="10" t="n">
        <x:v>0</x:v>
      </x:c>
      <x:c r="N776" s="10" t="n">
        <x:v>20</x:v>
      </x:c>
      <x:c r="O776" s="10" t="str"/>
      <x:c r="P776" s="10" t="n">
        <x:v>5</x:v>
      </x:c>
      <x:c r="Q776" s="10" t="n">
        <x:v>0</x:v>
      </x:c>
      <x:c r="R776" s="13" t="n">
        <x:v>0</x:v>
      </x:c>
      <x:c r="S776" s="10" t="n">
        <x:v>0</x:v>
      </x:c>
      <x:c r="T776" s="10" t="str">
        <x:v>mortgage calculator,refinance calculator,loan amortization,home loan,mortgage payment,google sheets budget,real estate tool,home finance planner,mortgage template,refinance analysis,loan comparison,pmi calculator,hoa mortgage tool</x:v>
      </x:c>
      <x:c r="U776" s="10" t="str">
        <x:v>mortgage calculator</x:v>
      </x:c>
      <x:c r="V776" s="10" t="str">
        <x:v>refinance calculator</x:v>
      </x:c>
      <x:c r="W776" s="10" t="str">
        <x:v>loan amortization</x:v>
      </x:c>
      <x:c r="X776" s="10" t="str">
        <x:v>home loan</x:v>
      </x:c>
      <x:c r="Y776" s="10" t="str">
        <x:v>mortgage payment</x:v>
      </x:c>
      <x:c r="Z776" s="10" t="str">
        <x:v>google sheets budget</x:v>
      </x:c>
      <x:c r="AA776" s="10" t="str">
        <x:v>real estate tool</x:v>
      </x:c>
      <x:c r="AB776" s="10" t="str">
        <x:v>home finance planner</x:v>
      </x:c>
      <x:c r="AC776" s="10" t="str">
        <x:v>mortgage template</x:v>
      </x:c>
      <x:c r="AD776" s="10" t="str">
        <x:v>refinance analysis</x:v>
      </x:c>
      <x:c r="AE776" s="10" t="str">
        <x:v>loan comparison</x:v>
      </x:c>
      <x:c r="AF776" s="10" t="str">
        <x:v>pmi calculator</x:v>
      </x:c>
      <x:c r="AG776" s="10" t="str">
        <x:v>hoa mortgage tool</x:v>
      </x:c>
      <x:c r="AH776" s="10" t="str">
        <x:v>Mortgage payoff / calculator</x:v>
      </x:c>
      <x:c r="AI776" s="13" t="n">
        <x:v>5</x:v>
      </x:c>
      <x:c r="AJ776" s="10" t="str">
        <x:f>IF(F776&gt;0,"Active","No est. sales")</x:f>
        <x:v>No est. sales</x:v>
      </x:c>
    </x:row>
    <x:row r="777">
      <x:c r="A777" s="10" t="str">
        <x:v>Home Buyer&amp;#39;s Guide eBook: Step-by-Step Property Planner (Digital Download)</x:v>
      </x:c>
      <x:c r="B777" s="10" t="str">
        <x:v>https://www.etsy.com/listing/4379027075/home-buyers-guide-ebook-step-by-step</x:v>
      </x:c>
      <x:c r="C777" s="10" t="str">
        <x:v>RealEstateHubBySage</x:v>
      </x:c>
      <x:c r="D777" s="10" t="str">
        <x:v>https://www.etsy.com/shop/RealEstateHubBySage</x:v>
      </x:c>
      <x:c r="E777" s="11" t="n">
        <x:v>4.99</x:v>
      </x:c>
      <x:c r="F777" s="10" t="n">
        <x:v>0</x:v>
      </x:c>
      <x:c r="G777" s="12" t="n">
        <x:v>0</x:v>
      </x:c>
      <x:c r="H777" s="13" t="n">
        <x:v>0</x:v>
      </x:c>
      <x:c r="I777" s="10" t="n">
        <x:v>0</x:v>
      </x:c>
      <x:c r="J777" s="10" t="n">
        <x:v>1</x:v>
      </x:c>
      <x:c r="K777" s="10" t="str">
        <x:v>9 Mo.</x:v>
      </x:c>
      <x:c r="L777" s="10" t="n">
        <x:v>2</x:v>
      </x:c>
      <x:c r="M777" s="10" t="n">
        <x:v>0</x:v>
      </x:c>
      <x:c r="N777" s="10" t="n">
        <x:v>56</x:v>
      </x:c>
      <x:c r="O777" s="10" t="str">
        <x:v>Books, Movies &amp; Music</x:v>
      </x:c>
      <x:c r="P777" s="10" t="n">
        <x:v>11</x:v>
      </x:c>
      <x:c r="Q777" s="10" t="n">
        <x:v>0</x:v>
      </x:c>
      <x:c r="R777" s="13" t="n">
        <x:v>0</x:v>
      </x:c>
      <x:c r="S777" s="10" t="n">
        <x:v>4</x:v>
      </x:c>
      <x:c r="T777" s="10" t="str">
        <x:v>home buyers guide,real estate,house buying,property tips,mortgage plan,buying checklist,first home,budget planner,home planner,real estate tips,home buying,house guide,buyer ebook</x:v>
      </x:c>
      <x:c r="U777" s="10" t="str">
        <x:v>home buyers guide</x:v>
      </x:c>
      <x:c r="V777" s="10" t="str">
        <x:v>real estate</x:v>
      </x:c>
      <x:c r="W777" s="10" t="str">
        <x:v>house buying</x:v>
      </x:c>
      <x:c r="X777" s="10" t="str">
        <x:v>property tips</x:v>
      </x:c>
      <x:c r="Y777" s="10" t="str">
        <x:v>mortgage plan</x:v>
      </x:c>
      <x:c r="Z777" s="10" t="str">
        <x:v>buying checklist</x:v>
      </x:c>
      <x:c r="AA777" s="10" t="str">
        <x:v>first home</x:v>
      </x:c>
      <x:c r="AB777" s="10" t="str">
        <x:v>budget planner</x:v>
      </x:c>
      <x:c r="AC777" s="10" t="str">
        <x:v>home planner</x:v>
      </x:c>
      <x:c r="AD777" s="10" t="str">
        <x:v>real estate tips</x:v>
      </x:c>
      <x:c r="AE777" s="10" t="str">
        <x:v>home buying</x:v>
      </x:c>
      <x:c r="AF777" s="10" t="str">
        <x:v>house guide</x:v>
      </x:c>
      <x:c r="AG777" s="10" t="str">
        <x:v>buyer ebook</x:v>
      </x:c>
      <x:c r="AH777" s="10" t="str">
        <x:v>Other mortgage-related</x:v>
      </x:c>
      <x:c r="AI777" s="13" t="n">
        <x:v>9</x:v>
      </x:c>
      <x:c r="AJ777" s="10" t="str">
        <x:f>IF(F777&gt;0,"Active","No est. sales")</x:f>
        <x:v>No est. sales</x:v>
      </x:c>
    </x:row>
    <x:row r="778">
      <x:c r="A778" s="10" t="str">
        <x:v>Broke Sibling Soy Wax Candle, Debt Free Economics Brother Housewarming Humor Decor</x:v>
      </x:c>
      <x:c r="B778" s="10" t="str">
        <x:v>https://www.etsy.com/listing/1850940293/funny-broke-sibling-soy-wax-candle-debt</x:v>
      </x:c>
      <x:c r="C778" s="10" t="str">
        <x:v>GlowWorthyMoments</x:v>
      </x:c>
      <x:c r="D778" s="10" t="str">
        <x:v>https://www.etsy.com/shop/GlowWorthyMoments</x:v>
      </x:c>
      <x:c r="E778" s="11" t="n">
        <x:v>22.99</x:v>
      </x:c>
      <x:c r="F778" s="10" t="n">
        <x:v>0</x:v>
      </x:c>
      <x:c r="G778" s="12" t="n">
        <x:v>0</x:v>
      </x:c>
      <x:c r="H778" s="13" t="n">
        <x:v>0</x:v>
      </x:c>
      <x:c r="I778" s="10" t="n">
        <x:v>0</x:v>
      </x:c>
      <x:c r="J778" s="10" t="n">
        <x:v>0</x:v>
      </x:c>
      <x:c r="K778" s="10" t="str">
        <x:v>19 Mo.</x:v>
      </x:c>
      <x:c r="L778" s="10" t="n">
        <x:v>1</x:v>
      </x:c>
      <x:c r="M778" s="10" t="n">
        <x:v>0</x:v>
      </x:c>
      <x:c r="N778" s="10" t="n">
        <x:v>3</x:v>
      </x:c>
      <x:c r="O778" s="10" t="str">
        <x:v>Home &amp; Living</x:v>
      </x:c>
      <x:c r="P778" s="10" t="n">
        <x:v>19</x:v>
      </x:c>
      <x:c r="Q778" s="10" t="n">
        <x:v>0</x:v>
      </x:c>
      <x:c r="R778" s="13" t="n">
        <x:v>0</x:v>
      </x:c>
      <x:c r="S778" s="10" t="n">
        <x:v>252</x:v>
      </x:c>
      <x:c r="T778" s="10" t="str">
        <x:v>adulting gift,debt payoff,finance gifts,credit card payoff,student loan gift,mortgage payoff,paid in full,financial planner,medical billing,accountant gift,bankruptcy gift,finance humor,financial advisor</x:v>
      </x:c>
      <x:c r="U778" s="10" t="str">
        <x:v>adulting gift</x:v>
      </x:c>
      <x:c r="V778" s="10" t="str">
        <x:v>debt payoff</x:v>
      </x:c>
      <x:c r="W778" s="10" t="str">
        <x:v>finance gifts</x:v>
      </x:c>
      <x:c r="X778" s="10" t="str">
        <x:v>credit card payoff</x:v>
      </x:c>
      <x:c r="Y778" s="10" t="str">
        <x:v>student loan gift</x:v>
      </x:c>
      <x:c r="Z778" s="10" t="str">
        <x:v>mortgage payoff</x:v>
      </x:c>
      <x:c r="AA778" s="10" t="str">
        <x:v>paid in full</x:v>
      </x:c>
      <x:c r="AB778" s="10" t="str">
        <x:v>financial planner</x:v>
      </x:c>
      <x:c r="AC778" s="10" t="str">
        <x:v>medical billing</x:v>
      </x:c>
      <x:c r="AD778" s="10" t="str">
        <x:v>accountant gift</x:v>
      </x:c>
      <x:c r="AE778" s="10" t="str">
        <x:v>bankruptcy gift</x:v>
      </x:c>
      <x:c r="AF778" s="10" t="str">
        <x:v>finance humor</x:v>
      </x:c>
      <x:c r="AG778" s="10" t="str">
        <x:v>financial advisor</x:v>
      </x:c>
      <x:c r="AH778" s="10" t="str">
        <x:v>Other mortgage-related</x:v>
      </x:c>
      <x:c r="AI778" s="13" t="n">
        <x:v>19</x:v>
      </x:c>
      <x:c r="AJ778" s="10" t="str">
        <x:f>IF(F778&gt;0,"Active","No est. sales")</x:f>
        <x:v>No est. sales</x:v>
      </x:c>
    </x:row>
    <x:row r="779">
      <x:c r="A779" s="10" t="str">
        <x:v>Printable Debt Payoff Log PDF, Digital Home Mortgage Tracker, Student Loan Payment Template, Debt Free Journey Goals, Credit Card Management</x:v>
      </x:c>
      <x:c r="B779" s="10" t="str">
        <x:v>https://www.etsy.com/listing/1471089069/printable-debt-payoff-log-pdf-digital</x:v>
      </x:c>
      <x:c r="C779" s="10" t="str">
        <x:v>MommaBearing</x:v>
      </x:c>
      <x:c r="D779" s="10" t="str">
        <x:v>https://www.etsy.com/shop/MommaBearing</x:v>
      </x:c>
      <x:c r="E779" s="11" t="n">
        <x:v>3.38</x:v>
      </x:c>
      <x:c r="F779" s="10" t="n">
        <x:v>0</x:v>
      </x:c>
      <x:c r="G779" s="12" t="n">
        <x:v>0</x:v>
      </x:c>
      <x:c r="H779" s="13" t="n">
        <x:v>0</x:v>
      </x:c>
      <x:c r="I779" s="10" t="n">
        <x:v>0</x:v>
      </x:c>
      <x:c r="J779" s="10" t="n">
        <x:v>0</x:v>
      </x:c>
      <x:c r="K779" s="10" t="str">
        <x:v>39 Mo.</x:v>
      </x:c>
      <x:c r="L779" s="10" t="n">
        <x:v>3</x:v>
      </x:c>
      <x:c r="M779" s="10" t="n">
        <x:v>0</x:v>
      </x:c>
      <x:c r="N779" s="10" t="n">
        <x:v>53</x:v>
      </x:c>
      <x:c r="O779" s="10" t="str">
        <x:v>Paper &amp; Party Supplies</x:v>
      </x:c>
      <x:c r="P779" s="10" t="n">
        <x:v>45</x:v>
      </x:c>
      <x:c r="Q779" s="10" t="n">
        <x:v>0</x:v>
      </x:c>
      <x:c r="R779" s="13" t="n">
        <x:v>0</x:v>
      </x:c>
      <x:c r="S779" s="10" t="n">
        <x:v>2016</x:v>
      </x:c>
      <x:c r="T779" s="10" t="str">
        <x:v>monthly debt tracker,debt free journey,undated printable,repayment calculator,easy log chart pdf,credit card planner,refinance car note,progress management,payoff student loans,home mortgage budget,digital goodnotes,financial goals ipad,half letter a5 a4</x:v>
      </x:c>
      <x:c r="U779" s="10" t="str">
        <x:v>monthly debt tracker</x:v>
      </x:c>
      <x:c r="V779" s="10" t="str">
        <x:v>debt free journey</x:v>
      </x:c>
      <x:c r="W779" s="10" t="str">
        <x:v>undated printable</x:v>
      </x:c>
      <x:c r="X779" s="10" t="str">
        <x:v>repayment calculator</x:v>
      </x:c>
      <x:c r="Y779" s="10" t="str">
        <x:v>easy log chart pdf</x:v>
      </x:c>
      <x:c r="Z779" s="10" t="str">
        <x:v>credit card planner</x:v>
      </x:c>
      <x:c r="AA779" s="10" t="str">
        <x:v>refinance car note</x:v>
      </x:c>
      <x:c r="AB779" s="10" t="str">
        <x:v>progress management</x:v>
      </x:c>
      <x:c r="AC779" s="10" t="str">
        <x:v>payoff student loans</x:v>
      </x:c>
      <x:c r="AD779" s="10" t="str">
        <x:v>home mortgage budget</x:v>
      </x:c>
      <x:c r="AE779" s="10" t="str">
        <x:v>digital goodnotes</x:v>
      </x:c>
      <x:c r="AF779" s="10" t="str">
        <x:v>financial goals ipad</x:v>
      </x:c>
      <x:c r="AG779" s="10" t="str">
        <x:v>half letter a5 a4</x:v>
      </x:c>
      <x:c r="AH779" s="10" t="str">
        <x:v>General debt payoff</x:v>
      </x:c>
      <x:c r="AI779" s="13" t="n">
        <x:v>39</x:v>
      </x:c>
      <x:c r="AJ779" s="10" t="str">
        <x:f>IF(F779&gt;0,"Active","No est. sales")</x:f>
        <x:v>No est. sales</x:v>
      </x:c>
    </x:row>
    <x:row r="780">
      <x:c r="A780" s="10" t="str">
        <x:v>Mobile Bill &amp; Rent Planner Stickers | Mortgage Payment Stickers | Budget Planner Icons | Cell Phone Bill Tracker | Monthly Bill Reminder</x:v>
      </x:c>
      <x:c r="B780" s="10" t="str">
        <x:v>https://www.etsy.com/listing/1869695913/mobile-rent-bill-reminder-stickers</x:v>
      </x:c>
      <x:c r="C780" s="10" t="str">
        <x:v>StickyBrains</x:v>
      </x:c>
      <x:c r="D780" s="10" t="str">
        <x:v>https://www.etsy.com/shop/StickyBrains</x:v>
      </x:c>
      <x:c r="E780" s="11" t="n">
        <x:v>4.5</x:v>
      </x:c>
      <x:c r="F780" s="10" t="n">
        <x:v>0</x:v>
      </x:c>
      <x:c r="G780" s="12" t="n">
        <x:v>0</x:v>
      </x:c>
      <x:c r="H780" s="13" t="n">
        <x:v>0</x:v>
      </x:c>
      <x:c r="I780" s="10" t="n">
        <x:v>0</x:v>
      </x:c>
      <x:c r="J780" s="10" t="n">
        <x:v>0</x:v>
      </x:c>
      <x:c r="K780" s="10" t="str">
        <x:v>17 Mo.</x:v>
      </x:c>
      <x:c r="L780" s="10" t="n">
        <x:v>5</x:v>
      </x:c>
      <x:c r="M780" s="10" t="n">
        <x:v>0</x:v>
      </x:c>
      <x:c r="N780" s="10" t="n">
        <x:v>31</x:v>
      </x:c>
      <x:c r="O780" s="10" t="str">
        <x:v>Paper &amp; Party Supplies</x:v>
      </x:c>
      <x:c r="P780" s="10" t="n">
        <x:v>31</x:v>
      </x:c>
      <x:c r="Q780" s="10" t="n">
        <x:v>0</x:v>
      </x:c>
      <x:c r="R780" s="13" t="n">
        <x:v>0</x:v>
      </x:c>
      <x:c r="S780" s="10" t="n">
        <x:v>1152</x:v>
      </x:c>
      <x:c r="T780" s="10" t="str">
        <x:v>rent planner sticker,mortgage sticker,mobile bill sticker,bill tracker sticker,budgeting sticker,finance planner,monthly bills,rent reminder,mortgage payment,planner stickers,household budget,phone bill sticker,budget planner</x:v>
      </x:c>
      <x:c r="U780" s="10" t="str">
        <x:v>rent planner sticker</x:v>
      </x:c>
      <x:c r="V780" s="10" t="str">
        <x:v>mortgage sticker</x:v>
      </x:c>
      <x:c r="W780" s="10" t="str">
        <x:v>mobile bill sticker</x:v>
      </x:c>
      <x:c r="X780" s="10" t="str">
        <x:v>bill tracker sticker</x:v>
      </x:c>
      <x:c r="Y780" s="10" t="str">
        <x:v>budgeting sticker</x:v>
      </x:c>
      <x:c r="Z780" s="10" t="str">
        <x:v>finance planner</x:v>
      </x:c>
      <x:c r="AA780" s="10" t="str">
        <x:v>monthly bills</x:v>
      </x:c>
      <x:c r="AB780" s="10" t="str">
        <x:v>rent reminder</x:v>
      </x:c>
      <x:c r="AC780" s="10" t="str">
        <x:v>mortgage payment</x:v>
      </x:c>
      <x:c r="AD780" s="10" t="str">
        <x:v>planner stickers</x:v>
      </x:c>
      <x:c r="AE780" s="10" t="str">
        <x:v>household budget</x:v>
      </x:c>
      <x:c r="AF780" s="10" t="str">
        <x:v>phone bill sticker</x:v>
      </x:c>
      <x:c r="AG780" s="10" t="str">
        <x:v>budget planner</x:v>
      </x:c>
      <x:c r="AH780" s="10" t="str">
        <x:v>Other mortgage-related</x:v>
      </x:c>
      <x:c r="AI780" s="13" t="n">
        <x:v>17</x:v>
      </x:c>
      <x:c r="AJ780" s="10" t="str">
        <x:f>IF(F780&gt;0,"Active","No est. sales")</x:f>
        <x:v>No est. sales</x:v>
      </x:c>
    </x:row>
    <x:row r="781">
      <x:c r="A781" s="10" t="str">
        <x:v>Debt Tracker Google Sheets Debt Payoff Tracker Snowball Debt Calculator Loan Credit Card Mortgage Payment Budget Planner Debt Free Planner</x:v>
      </x:c>
      <x:c r="B781" s="10" t="str">
        <x:v>https://www.etsy.com/listing/4349296863/debt-tracker-google-sheets-debt-payoff</x:v>
      </x:c>
      <x:c r="C781" s="10" t="str">
        <x:v>PrioriDesignStudio</x:v>
      </x:c>
      <x:c r="D781" s="10" t="str">
        <x:v>https://www.etsy.com/shop/PrioriDesignStudio</x:v>
      </x:c>
      <x:c r="E781" s="11" t="n">
        <x:v>2.84</x:v>
      </x:c>
      <x:c r="F781" s="10" t="n">
        <x:v>0</x:v>
      </x:c>
      <x:c r="G781" s="12" t="n">
        <x:v>0</x:v>
      </x:c>
      <x:c r="H781" s="13" t="n">
        <x:v>0</x:v>
      </x:c>
      <x:c r="I781" s="10" t="n">
        <x:v>0</x:v>
      </x:c>
      <x:c r="J781" s="10" t="n">
        <x:v>0</x:v>
      </x:c>
      <x:c r="K781" s="10" t="str">
        <x:v>11 Mo.</x:v>
      </x:c>
      <x:c r="L781" s="10" t="n">
        <x:v>5</x:v>
      </x:c>
      <x:c r="M781" s="10" t="n">
        <x:v>0</x:v>
      </x:c>
      <x:c r="N781" s="10" t="n">
        <x:v>96</x:v>
      </x:c>
      <x:c r="O781" s="10" t="str"/>
      <x:c r="P781" s="10" t="n">
        <x:v>11</x:v>
      </x:c>
      <x:c r="Q781" s="10" t="n">
        <x:v>0</x:v>
      </x:c>
      <x:c r="R781" s="13" t="n">
        <x:v>0</x:v>
      </x:c>
      <x:c r="S781" s="10" t="n">
        <x:v>3678</x:v>
      </x:c>
      <x:c r="T781" s="10" t="str">
        <x:v>debt tracker,debt payoff plan,debt snowball,debt avalanche,credit card debt,loan tracker,mortgage tracker,budget planner,finance tracker,loan payoff,payoff tracker,debt calculator,easy debt plan</x:v>
      </x:c>
      <x:c r="U781" s="10" t="str">
        <x:v>debt tracker</x:v>
      </x:c>
      <x:c r="V781" s="10" t="str">
        <x:v>debt payoff plan</x:v>
      </x:c>
      <x:c r="W781" s="10" t="str">
        <x:v>debt snowball</x:v>
      </x:c>
      <x:c r="X781" s="10" t="str">
        <x:v>debt avalanche</x:v>
      </x:c>
      <x:c r="Y781" s="10" t="str">
        <x:v>credit card debt</x:v>
      </x:c>
      <x:c r="Z781" s="10" t="str">
        <x:v>loan tracker</x:v>
      </x:c>
      <x:c r="AA781" s="10" t="str">
        <x:v>mortgage tracker</x:v>
      </x:c>
      <x:c r="AB781" s="10" t="str">
        <x:v>budget planner</x:v>
      </x:c>
      <x:c r="AC781" s="10" t="str">
        <x:v>finance tracker</x:v>
      </x:c>
      <x:c r="AD781" s="10" t="str">
        <x:v>loan payoff</x:v>
      </x:c>
      <x:c r="AE781" s="10" t="str">
        <x:v>payoff tracker</x:v>
      </x:c>
      <x:c r="AF781" s="10" t="str">
        <x:v>debt calculator</x:v>
      </x:c>
      <x:c r="AG781" s="10" t="str">
        <x:v>easy debt plan</x:v>
      </x:c>
      <x:c r="AH781" s="10" t="str">
        <x:v>General debt payoff</x:v>
      </x:c>
      <x:c r="AI781" s="13" t="n">
        <x:v>11</x:v>
      </x:c>
      <x:c r="AJ781" s="10" t="str">
        <x:f>IF(F781&gt;0,"Active","No est. sales")</x:f>
        <x:v>No est. sales</x:v>
      </x:c>
    </x:row>
    <x:row r="782">
      <x:c r="A782" s="10" t="str">
        <x:v>Debt Tracker Google Sheets Debt Payoff Tracker Snowball Debt Calculator Loan Credit Card Mortgage Payment Budget Planner Debt Free Planner</x:v>
      </x:c>
      <x:c r="B782" s="10" t="str">
        <x:v>https://www.etsy.com/listing/4349298941/debt-tracker-google-sheets-debt-payoff</x:v>
      </x:c>
      <x:c r="C782" s="10" t="str">
        <x:v>PrioriDesignStudio</x:v>
      </x:c>
      <x:c r="D782" s="10" t="str">
        <x:v>https://www.etsy.com/shop/PrioriDesignStudio</x:v>
      </x:c>
      <x:c r="E782" s="11" t="n">
        <x:v>2.84</x:v>
      </x:c>
      <x:c r="F782" s="10" t="n">
        <x:v>0</x:v>
      </x:c>
      <x:c r="G782" s="12" t="n">
        <x:v>0</x:v>
      </x:c>
      <x:c r="H782" s="13" t="n">
        <x:v>0</x:v>
      </x:c>
      <x:c r="I782" s="10" t="n">
        <x:v>0</x:v>
      </x:c>
      <x:c r="J782" s="10" t="n">
        <x:v>0</x:v>
      </x:c>
      <x:c r="K782" s="10" t="str">
        <x:v>11 Mo.</x:v>
      </x:c>
      <x:c r="L782" s="10" t="n">
        <x:v>7</x:v>
      </x:c>
      <x:c r="M782" s="10" t="n">
        <x:v>0</x:v>
      </x:c>
      <x:c r="N782" s="10" t="n">
        <x:v>231</x:v>
      </x:c>
      <x:c r="O782" s="10" t="str"/>
      <x:c r="P782" s="10" t="n">
        <x:v>11</x:v>
      </x:c>
      <x:c r="Q782" s="10" t="n">
        <x:v>0</x:v>
      </x:c>
      <x:c r="R782" s="13" t="n">
        <x:v>0</x:v>
      </x:c>
      <x:c r="S782" s="10" t="n">
        <x:v>3678</x:v>
      </x:c>
      <x:c r="T782" s="10" t="str">
        <x:v>debt tracker,debt plan,snowball tracker,avalanche tracker,credit card plan,loan tracker,mortgage tracker,budget tracker,finance tracker,loan paydown,payoff plan,debt calculator,debt payoff tool</x:v>
      </x:c>
      <x:c r="U782" s="10" t="str">
        <x:v>debt tracker</x:v>
      </x:c>
      <x:c r="V782" s="10" t="str">
        <x:v>debt plan</x:v>
      </x:c>
      <x:c r="W782" s="10" t="str">
        <x:v>snowball tracker</x:v>
      </x:c>
      <x:c r="X782" s="10" t="str">
        <x:v>avalanche tracker</x:v>
      </x:c>
      <x:c r="Y782" s="10" t="str">
        <x:v>credit card plan</x:v>
      </x:c>
      <x:c r="Z782" s="10" t="str">
        <x:v>loan tracker</x:v>
      </x:c>
      <x:c r="AA782" s="10" t="str">
        <x:v>mortgage tracker</x:v>
      </x:c>
      <x:c r="AB782" s="10" t="str">
        <x:v>budget tracker</x:v>
      </x:c>
      <x:c r="AC782" s="10" t="str">
        <x:v>finance tracker</x:v>
      </x:c>
      <x:c r="AD782" s="10" t="str">
        <x:v>loan paydown</x:v>
      </x:c>
      <x:c r="AE782" s="10" t="str">
        <x:v>payoff plan</x:v>
      </x:c>
      <x:c r="AF782" s="10" t="str">
        <x:v>debt calculator</x:v>
      </x:c>
      <x:c r="AG782" s="10" t="str">
        <x:v>debt payoff tool</x:v>
      </x:c>
      <x:c r="AH782" s="10" t="str">
        <x:v>General debt payoff</x:v>
      </x:c>
      <x:c r="AI782" s="13" t="n">
        <x:v>11</x:v>
      </x:c>
      <x:c r="AJ782" s="10" t="str">
        <x:f>IF(F782&gt;0,"Active","No est. sales")</x:f>
        <x:v>No est. sales</x:v>
      </x:c>
    </x:row>
    <x:row r="783">
      <x:c r="A783" s="10" t="str">
        <x:v>House Mortgage Payoff Tracker Google Sheets Home Loan Amortization Spreadsheet Extra Principal Payment Planner</x:v>
      </x:c>
      <x:c r="B783" s="10" t="str">
        <x:v>https://www.etsy.com/listing/4532254619/house-mortgage-payoff-tracker-google</x:v>
      </x:c>
      <x:c r="C783" s="10" t="str">
        <x:v>CashflowControl</x:v>
      </x:c>
      <x:c r="D783" s="10" t="str">
        <x:v>https://www.etsy.com/shop/CashflowControl</x:v>
      </x:c>
      <x:c r="E783" s="11" t="n">
        <x:v>3.61</x:v>
      </x:c>
      <x:c r="F783" s="10" t="n">
        <x:v>0</x:v>
      </x:c>
      <x:c r="G783" s="12" t="n">
        <x:v>0</x:v>
      </x:c>
      <x:c r="H783" s="13" t="n">
        <x:v>0</x:v>
      </x:c>
      <x:c r="I783" s="10" t="n">
        <x:v>14</x:v>
      </x:c>
      <x:c r="J783" s="10" t="n">
        <x:v>1</x:v>
      </x:c>
      <x:c r="K783" s="10" t="str">
        <x:v>1 Mo.</x:v>
      </x:c>
      <x:c r="L783" s="10" t="n">
        <x:v>2</x:v>
      </x:c>
      <x:c r="M783" s="10" t="n">
        <x:v>1</x:v>
      </x:c>
      <x:c r="N783" s="10" t="n">
        <x:v>170</x:v>
      </x:c>
      <x:c r="O783" s="10" t="str"/>
      <x:c r="P783" s="10" t="n">
        <x:v>3</x:v>
      </x:c>
      <x:c r="Q783" s="10" t="n">
        <x:v>36</x:v>
      </x:c>
      <x:c r="R783" s="13" t="n">
        <x:v>8.24</x:v>
      </x:c>
      <x:c r="S783" s="10" t="n">
        <x:v>200</x:v>
      </x:c>
      <x:c r="T783" s="10" t="str">
        <x:v>mortgage payoff,mortgage tracker,mortgage sheet,home loan tracker,extra payment plan,payoff calculator,house mortgage,mortgage payment,loan payoff plan,principal payment,google sheet tracker,early payoff plan,mortgage dashboard</x:v>
      </x:c>
      <x:c r="U783" s="10" t="str">
        <x:v>mortgage payoff</x:v>
      </x:c>
      <x:c r="V783" s="10" t="str">
        <x:v>mortgage tracker</x:v>
      </x:c>
      <x:c r="W783" s="10" t="str">
        <x:v>mortgage sheet</x:v>
      </x:c>
      <x:c r="X783" s="10" t="str">
        <x:v>home loan tracker</x:v>
      </x:c>
      <x:c r="Y783" s="10" t="str">
        <x:v>extra payment plan</x:v>
      </x:c>
      <x:c r="Z783" s="10" t="str">
        <x:v>payoff calculator</x:v>
      </x:c>
      <x:c r="AA783" s="10" t="str">
        <x:v>house mortgage</x:v>
      </x:c>
      <x:c r="AB783" s="10" t="str">
        <x:v>mortgage payment</x:v>
      </x:c>
      <x:c r="AC783" s="10" t="str">
        <x:v>loan payoff plan</x:v>
      </x:c>
      <x:c r="AD783" s="10" t="str">
        <x:v>principal payment</x:v>
      </x:c>
      <x:c r="AE783" s="10" t="str">
        <x:v>google sheet tracker</x:v>
      </x:c>
      <x:c r="AF783" s="10" t="str">
        <x:v>early payoff plan</x:v>
      </x:c>
      <x:c r="AG783" s="10" t="str">
        <x:v>mortgage dashboard</x:v>
      </x:c>
      <x:c r="AH783" s="10" t="str">
        <x:v>Mortgage payoff / calculator</x:v>
      </x:c>
      <x:c r="AI783" s="13" t="n">
        <x:v>1</x:v>
      </x:c>
      <x:c r="AJ783" s="10" t="str">
        <x:f>IF(F783&gt;0,"Active","No est. sales")</x:f>
        <x:v>No est. sales</x:v>
      </x:c>
    </x:row>
    <x:row r="784">
      <x:c r="A784" s="10" t="str">
        <x:v>First-Time Homebuyer Calculator, Mortgage Budget Planner (Excel Google Sheets)</x:v>
      </x:c>
      <x:c r="B784" s="10" t="str">
        <x:v>https://www.etsy.com/listing/4528705761/first-time-homebuyer-calculator-mortgage</x:v>
      </x:c>
      <x:c r="C784" s="10" t="str">
        <x:v>PlanvyaCo</x:v>
      </x:c>
      <x:c r="D784" s="10" t="str">
        <x:v>https://www.etsy.com/shop/PlanvyaCo</x:v>
      </x:c>
      <x:c r="E784" s="11" t="n">
        <x:v>15.99</x:v>
      </x:c>
      <x:c r="F784" s="10" t="n">
        <x:v>0</x:v>
      </x:c>
      <x:c r="G784" s="12" t="n">
        <x:v>0</x:v>
      </x:c>
      <x:c r="H784" s="13" t="n">
        <x:v>0</x:v>
      </x:c>
      <x:c r="I784" s="10" t="n">
        <x:v>0</x:v>
      </x:c>
      <x:c r="J784" s="10" t="n">
        <x:v>0</x:v>
      </x:c>
      <x:c r="K784" s="10" t="str">
        <x:v>1 Mo.</x:v>
      </x:c>
      <x:c r="L784" s="10" t="n">
        <x:v>0</x:v>
      </x:c>
      <x:c r="M784" s="10" t="n">
        <x:v>0</x:v>
      </x:c>
      <x:c r="N784" s="10" t="n">
        <x:v>1</x:v>
      </x:c>
      <x:c r="O784" s="10" t="str"/>
      <x:c r="P784" s="10" t="n">
        <x:v>1</x:v>
      </x:c>
      <x:c r="Q784" s="10" t="n">
        <x:v>0</x:v>
      </x:c>
      <x:c r="R784" s="13" t="n">
        <x:v>0</x:v>
      </x:c>
      <x:c r="S784" s="10" t="n">
        <x:v>0</x:v>
      </x:c>
      <x:c r="T784" s="10" t="str">
        <x:v>firsttimehomebuyer,homebuyingtips,downpayment,mortgagecalculator,housegoals,financialliteracy,homebuyer,moertgagecalculator,homebuying,homebudget,closingcost,houseaffordability,exceltemplate</x:v>
      </x:c>
      <x:c r="U784" s="10" t="str">
        <x:v>firsttimehomebuyer</x:v>
      </x:c>
      <x:c r="V784" s="10" t="str">
        <x:v>homebuyingtips</x:v>
      </x:c>
      <x:c r="W784" s="10" t="str">
        <x:v>downpayment</x:v>
      </x:c>
      <x:c r="X784" s="10" t="str">
        <x:v>mortgagecalculator</x:v>
      </x:c>
      <x:c r="Y784" s="10" t="str">
        <x:v>housegoals</x:v>
      </x:c>
      <x:c r="Z784" s="10" t="str">
        <x:v>financialliteracy</x:v>
      </x:c>
      <x:c r="AA784" s="10" t="str">
        <x:v>homebuyer</x:v>
      </x:c>
      <x:c r="AB784" s="10" t="str">
        <x:v>moertgagecalculator</x:v>
      </x:c>
      <x:c r="AC784" s="10" t="str">
        <x:v>homebuying</x:v>
      </x:c>
      <x:c r="AD784" s="10" t="str">
        <x:v>homebudget</x:v>
      </x:c>
      <x:c r="AE784" s="10" t="str">
        <x:v>closingcost</x:v>
      </x:c>
      <x:c r="AF784" s="10" t="str">
        <x:v>houseaffordability</x:v>
      </x:c>
      <x:c r="AG784" s="10" t="str">
        <x:v>exceltemplate</x:v>
      </x:c>
      <x:c r="AH784" s="10" t="str">
        <x:v>Other mortgage-related</x:v>
      </x:c>
      <x:c r="AI784" s="13" t="n">
        <x:v>1</x:v>
      </x:c>
      <x:c r="AJ784" s="10" t="str">
        <x:f>IF(F784&gt;0,"Active","No est. sales")</x:f>
        <x:v>No est. sales</x:v>
      </x:c>
    </x:row>
    <x:row r="785">
      <x:c r="A785" s="10" t="str">
        <x:v>Bills Icons, Printable decorative stickers, Save, Mortgage, House rent, Gas, Internet, Payday, Pay Bills, Functional, Planner Printables</x:v>
      </x:c>
      <x:c r="B785" s="10" t="str">
        <x:v>https://www.etsy.com/listing/850567584/bills-icons-printable-decorative</x:v>
      </x:c>
      <x:c r="C785" s="10" t="str">
        <x:v>TralalaStickers</x:v>
      </x:c>
      <x:c r="D785" s="10" t="str">
        <x:v>https://www.etsy.com/shop/TralalaStickers</x:v>
      </x:c>
      <x:c r="E785" s="11" t="n">
        <x:v>2.5</x:v>
      </x:c>
      <x:c r="F785" s="10" t="n">
        <x:v>0</x:v>
      </x:c>
      <x:c r="G785" s="12" t="n">
        <x:v>0</x:v>
      </x:c>
      <x:c r="H785" s="13" t="n">
        <x:v>0</x:v>
      </x:c>
      <x:c r="I785" s="10" t="n">
        <x:v>197</x:v>
      </x:c>
      <x:c r="J785" s="10" t="n">
        <x:v>18</x:v>
      </x:c>
      <x:c r="K785" s="10" t="str">
        <x:v>70 Mo.</x:v>
      </x:c>
      <x:c r="L785" s="10" t="n">
        <x:v>298</x:v>
      </x:c>
      <x:c r="M785" s="10" t="n">
        <x:v>0</x:v>
      </x:c>
      <x:c r="N785" s="10" t="n">
        <x:v>5991</x:v>
      </x:c>
      <x:c r="O785" s="10" t="str">
        <x:v>Paper &amp; Party Supplies</x:v>
      </x:c>
      <x:c r="P785" s="10" t="n">
        <x:v>91</x:v>
      </x:c>
      <x:c r="Q785" s="10" t="n">
        <x:v>33</x:v>
      </x:c>
      <x:c r="R785" s="13" t="n">
        <x:v>3.29</x:v>
      </x:c>
      <x:c r="S785" s="10" t="n">
        <x:v>74580</x:v>
      </x:c>
      <x:c r="T785" s="10" t="str">
        <x:v>printable stickers,everyday reminders,daily organizer,bujo planner girls,cute kawaii stickers,digital sticker pack,planner printables,erin condren kit,functional stickers,bill planner sticker,cricut stickers,icons printable,credit card sticker</x:v>
      </x:c>
      <x:c r="U785" s="10" t="str">
        <x:v>printable stickers</x:v>
      </x:c>
      <x:c r="V785" s="10" t="str">
        <x:v>everyday reminders</x:v>
      </x:c>
      <x:c r="W785" s="10" t="str">
        <x:v>daily organizer</x:v>
      </x:c>
      <x:c r="X785" s="10" t="str">
        <x:v>bujo planner girls</x:v>
      </x:c>
      <x:c r="Y785" s="10" t="str">
        <x:v>cute kawaii stickers</x:v>
      </x:c>
      <x:c r="Z785" s="10" t="str">
        <x:v>digital sticker pack</x:v>
      </x:c>
      <x:c r="AA785" s="10" t="str">
        <x:v>planner printables</x:v>
      </x:c>
      <x:c r="AB785" s="10" t="str">
        <x:v>erin condren kit</x:v>
      </x:c>
      <x:c r="AC785" s="10" t="str">
        <x:v>functional stickers</x:v>
      </x:c>
      <x:c r="AD785" s="10" t="str">
        <x:v>bill planner sticker</x:v>
      </x:c>
      <x:c r="AE785" s="10" t="str">
        <x:v>cricut stickers</x:v>
      </x:c>
      <x:c r="AF785" s="10" t="str">
        <x:v>icons printable</x:v>
      </x:c>
      <x:c r="AG785" s="10" t="str">
        <x:v>credit card sticker</x:v>
      </x:c>
      <x:c r="AH785" s="10" t="str">
        <x:v>Other mortgage-related</x:v>
      </x:c>
      <x:c r="AI785" s="13" t="n">
        <x:v>70</x:v>
      </x:c>
      <x:c r="AJ785" s="10" t="str">
        <x:f>IF(F785&gt;0,"Active","No est. sales")</x:f>
        <x:v>No est. sales</x:v>
      </x:c>
    </x:row>
    <x:row r="786">
      <x:c r="A786" s="10" t="str">
        <x:v>Budget Bundle for Beginners Google Sheets Planner Savings Goals Tracker Debt Payoff Calculator Credit Card Loan Mortgage Payment</x:v>
      </x:c>
      <x:c r="B786" s="10" t="str">
        <x:v>https://www.etsy.com/listing/4464270080/budget-bundle-for-beginners-google</x:v>
      </x:c>
      <x:c r="C786" s="10" t="str">
        <x:v>SmartKitDesigns</x:v>
      </x:c>
      <x:c r="D786" s="10" t="str">
        <x:v>https://www.etsy.com/shop/SmartKitDesigns</x:v>
      </x:c>
      <x:c r="E786" s="11" t="n">
        <x:v>22.99</x:v>
      </x:c>
      <x:c r="F786" s="10" t="n">
        <x:v>0</x:v>
      </x:c>
      <x:c r="G786" s="12" t="n">
        <x:v>0</x:v>
      </x:c>
      <x:c r="H786" s="13" t="n">
        <x:v>0</x:v>
      </x:c>
      <x:c r="I786" s="10" t="n">
        <x:v>0</x:v>
      </x:c>
      <x:c r="J786" s="10" t="n">
        <x:v>0</x:v>
      </x:c>
      <x:c r="K786" s="10" t="str">
        <x:v>5 Mo.</x:v>
      </x:c>
      <x:c r="L786" s="10" t="n">
        <x:v>1</x:v>
      </x:c>
      <x:c r="M786" s="10" t="n">
        <x:v>0</x:v>
      </x:c>
      <x:c r="N786" s="10" t="n">
        <x:v>55</x:v>
      </x:c>
      <x:c r="O786" s="10" t="str"/>
      <x:c r="P786" s="10" t="n">
        <x:v>12</x:v>
      </x:c>
      <x:c r="Q786" s="10" t="n">
        <x:v>0</x:v>
      </x:c>
      <x:c r="R786" s="13" t="n">
        <x:v>0</x:v>
      </x:c>
      <x:c r="S786" s="10" t="n">
        <x:v>1666</x:v>
      </x:c>
      <x:c r="T786" s="10" t="str">
        <x:v>google sheets budget,savings goals,savings planner,savings tracker,debt google sheets,debt calculator,mortgage payoff,debt payoff tracker,credit card debt,student loan payoff,budget template,paycheck budget,beginner budget</x:v>
      </x:c>
      <x:c r="U786" s="10" t="str">
        <x:v>google sheets budget</x:v>
      </x:c>
      <x:c r="V786" s="10" t="str">
        <x:v>savings goals</x:v>
      </x:c>
      <x:c r="W786" s="10" t="str">
        <x:v>savings planner</x:v>
      </x:c>
      <x:c r="X786" s="10" t="str">
        <x:v>savings tracker</x:v>
      </x:c>
      <x:c r="Y786" s="10" t="str">
        <x:v>debt google sheets</x:v>
      </x:c>
      <x:c r="Z786" s="10" t="str">
        <x:v>debt calculator</x:v>
      </x:c>
      <x:c r="AA786" s="10" t="str">
        <x:v>mortgage payoff</x:v>
      </x:c>
      <x:c r="AB786" s="10" t="str">
        <x:v>debt payoff tracker</x:v>
      </x:c>
      <x:c r="AC786" s="10" t="str">
        <x:v>credit card debt</x:v>
      </x:c>
      <x:c r="AD786" s="10" t="str">
        <x:v>student loan payoff</x:v>
      </x:c>
      <x:c r="AE786" s="10" t="str">
        <x:v>budget template</x:v>
      </x:c>
      <x:c r="AF786" s="10" t="str">
        <x:v>paycheck budget</x:v>
      </x:c>
      <x:c r="AG786" s="10" t="str">
        <x:v>beginner budget</x:v>
      </x:c>
      <x:c r="AH786" s="10" t="str">
        <x:v>General debt payoff</x:v>
      </x:c>
      <x:c r="AI786" s="13" t="n">
        <x:v>5</x:v>
      </x:c>
      <x:c r="AJ786" s="10" t="str">
        <x:f>IF(F786&gt;0,"Active","No est. sales")</x:f>
        <x:v>No est. sales</x:v>
      </x:c>
    </x:row>
    <x:row r="787">
      <x:c r="A787" s="10" t="str">
        <x:v>Mortgage Planner Stickers | Clear Rent Due Stickers, House Stickers, Mini Icon Stickers, Finance Stickers, Bill Stickers, Payment Stickers</x:v>
      </x:c>
      <x:c r="B787" s="10" t="str">
        <x:v>https://www.etsy.com/listing/619408154/mortgage-planner-stickers-clear-rent-due</x:v>
      </x:c>
      <x:c r="C787" s="10" t="str">
        <x:v>LucidLair</x:v>
      </x:c>
      <x:c r="D787" s="10" t="str">
        <x:v>https://www.etsy.com/shop/LucidLair</x:v>
      </x:c>
      <x:c r="E787" s="11" t="n">
        <x:v>3.89</x:v>
      </x:c>
      <x:c r="F787" s="10" t="n">
        <x:v>0</x:v>
      </x:c>
      <x:c r="G787" s="12" t="n">
        <x:v>0</x:v>
      </x:c>
      <x:c r="H787" s="13" t="n">
        <x:v>0</x:v>
      </x:c>
      <x:c r="I787" s="10" t="n">
        <x:v>5</x:v>
      </x:c>
      <x:c r="J787" s="10" t="n">
        <x:v>1</x:v>
      </x:c>
      <x:c r="K787" s="10" t="str">
        <x:v>95 Mo.</x:v>
      </x:c>
      <x:c r="L787" s="10" t="n">
        <x:v>20</x:v>
      </x:c>
      <x:c r="M787" s="10" t="n">
        <x:v>0</x:v>
      </x:c>
      <x:c r="N787" s="10" t="n">
        <x:v>180</x:v>
      </x:c>
      <x:c r="O787" s="10" t="str">
        <x:v>Paper &amp; Party Supplies</x:v>
      </x:c>
      <x:c r="P787" s="10" t="n">
        <x:v>100</x:v>
      </x:c>
      <x:c r="Q787" s="10" t="n">
        <x:v>0</x:v>
      </x:c>
      <x:c r="R787" s="13" t="n">
        <x:v>2.78</x:v>
      </x:c>
      <x:c r="S787" s="10" t="n">
        <x:v>13927</x:v>
      </x:c>
      <x:c r="T787" s="10" t="str">
        <x:v>finance stickers,clear stickers,money planner,bill stickers,rent stickers,rent due stickers,mortgage stickers,payment stickers,pay bills stickers,word stickers,house stickers,mini icon stickers,clear planner mini</x:v>
      </x:c>
      <x:c r="U787" s="10" t="str">
        <x:v>finance stickers</x:v>
      </x:c>
      <x:c r="V787" s="10" t="str">
        <x:v>clear stickers</x:v>
      </x:c>
      <x:c r="W787" s="10" t="str">
        <x:v>money planner</x:v>
      </x:c>
      <x:c r="X787" s="10" t="str">
        <x:v>bill stickers</x:v>
      </x:c>
      <x:c r="Y787" s="10" t="str">
        <x:v>rent stickers</x:v>
      </x:c>
      <x:c r="Z787" s="10" t="str">
        <x:v>rent due stickers</x:v>
      </x:c>
      <x:c r="AA787" s="10" t="str">
        <x:v>mortgage stickers</x:v>
      </x:c>
      <x:c r="AB787" s="10" t="str">
        <x:v>payment stickers</x:v>
      </x:c>
      <x:c r="AC787" s="10" t="str">
        <x:v>pay bills stickers</x:v>
      </x:c>
      <x:c r="AD787" s="10" t="str">
        <x:v>word stickers</x:v>
      </x:c>
      <x:c r="AE787" s="10" t="str">
        <x:v>house stickers</x:v>
      </x:c>
      <x:c r="AF787" s="10" t="str">
        <x:v>mini icon stickers</x:v>
      </x:c>
      <x:c r="AG787" s="10" t="str">
        <x:v>clear planner mini</x:v>
      </x:c>
      <x:c r="AH787" s="10" t="str">
        <x:v>Other mortgage-related</x:v>
      </x:c>
      <x:c r="AI787" s="13" t="n">
        <x:v>95</x:v>
      </x:c>
      <x:c r="AJ787" s="10" t="str">
        <x:f>IF(F787&gt;0,"Active","No est. sales")</x:f>
        <x:v>No est. sales</x:v>
      </x:c>
    </x:row>
    <x:row r="788">
      <x:c r="A788" s="10" t="str">
        <x:v>2559-13~~Water Boxes Planner Stickers.</x:v>
      </x:c>
      <x:c r="B788" s="10" t="str">
        <x:v>https://www.etsy.com/listing/1587655646/2559-13water-boxes-planner-stickers</x:v>
      </x:c>
      <x:c r="C788" s="10" t="str">
        <x:v>PlanToPlan</x:v>
      </x:c>
      <x:c r="D788" s="10" t="str">
        <x:v>https://www.etsy.com/shop/PlanToPlan</x:v>
      </x:c>
      <x:c r="E788" s="11" t="n">
        <x:v>3.25</x:v>
      </x:c>
      <x:c r="F788" s="10" t="n">
        <x:v>0</x:v>
      </x:c>
      <x:c r="G788" s="12" t="n">
        <x:v>0</x:v>
      </x:c>
      <x:c r="H788" s="13" t="n">
        <x:v>0</x:v>
      </x:c>
      <x:c r="I788" s="10" t="n">
        <x:v>15</x:v>
      </x:c>
      <x:c r="J788" s="10" t="n">
        <x:v>3</x:v>
      </x:c>
      <x:c r="K788" s="10" t="str">
        <x:v>32 Mo.</x:v>
      </x:c>
      <x:c r="L788" s="10" t="n">
        <x:v>23</x:v>
      </x:c>
      <x:c r="M788" s="10" t="n">
        <x:v>0</x:v>
      </x:c>
      <x:c r="N788" s="10" t="n">
        <x:v>83</x:v>
      </x:c>
      <x:c r="O788" s="10" t="str">
        <x:v>Paper &amp; Party Supplies</x:v>
      </x:c>
      <x:c r="P788" s="10" t="n">
        <x:v>126</x:v>
      </x:c>
      <x:c r="Q788" s="10" t="n">
        <x:v>0</x:v>
      </x:c>
      <x:c r="R788" s="13" t="n">
        <x:v>18.07</x:v>
      </x:c>
      <x:c r="S788" s="10" t="n">
        <x:v>319985</x:v>
      </x:c>
      <x:c r="T788" s="10" t="str">
        <x:v>planner stickers,plan to plan,icon stickers,plantoplan,reminder stickers,to do stickers,task trackers,bill due stickers,bill stickers,budget stickers,mortgage stickers,electric stickers,water due stickers</x:v>
      </x:c>
      <x:c r="U788" s="10" t="str">
        <x:v>planner stickers</x:v>
      </x:c>
      <x:c r="V788" s="10" t="str">
        <x:v>plan to plan</x:v>
      </x:c>
      <x:c r="W788" s="10" t="str">
        <x:v>icon stickers</x:v>
      </x:c>
      <x:c r="X788" s="10" t="str">
        <x:v>plantoplan</x:v>
      </x:c>
      <x:c r="Y788" s="10" t="str">
        <x:v>reminder stickers</x:v>
      </x:c>
      <x:c r="Z788" s="10" t="str">
        <x:v>to do stickers</x:v>
      </x:c>
      <x:c r="AA788" s="10" t="str">
        <x:v>task trackers</x:v>
      </x:c>
      <x:c r="AB788" s="10" t="str">
        <x:v>bill due stickers</x:v>
      </x:c>
      <x:c r="AC788" s="10" t="str">
        <x:v>bill stickers</x:v>
      </x:c>
      <x:c r="AD788" s="10" t="str">
        <x:v>budget stickers</x:v>
      </x:c>
      <x:c r="AE788" s="10" t="str">
        <x:v>mortgage stickers</x:v>
      </x:c>
      <x:c r="AF788" s="10" t="str">
        <x:v>electric stickers</x:v>
      </x:c>
      <x:c r="AG788" s="10" t="str">
        <x:v>water due stickers</x:v>
      </x:c>
      <x:c r="AH788" s="10" t="str">
        <x:v>Other mortgage-related</x:v>
      </x:c>
      <x:c r="AI788" s="13" t="n">
        <x:v>32</x:v>
      </x:c>
      <x:c r="AJ788" s="10" t="str">
        <x:f>IF(F788&gt;0,"Active","No est. sales")</x:f>
        <x:v>No est. sales</x:v>
      </x:c>
    </x:row>
    <x:row r="789">
      <x:c r="A789" s="10" t="str">
        <x:v>First Home AI Cheat Sheet, How to Use ChatGPT and AI for Home Buying Questions, Offers and Closing, 15-Page Guide, Instant PDF</x:v>
      </x:c>
      <x:c r="B789" s="10" t="str">
        <x:v>https://www.etsy.com/listing/4542074065/first-home-ai-cheat-sheet-how-to-use</x:v>
      </x:c>
      <x:c r="C789" s="10" t="str">
        <x:v>ClickReadyCo</x:v>
      </x:c>
      <x:c r="D789" s="10" t="str">
        <x:v>https://www.etsy.com/shop/ClickReadyCo</x:v>
      </x:c>
      <x:c r="E789" s="11" t="n">
        <x:v>4.99</x:v>
      </x:c>
      <x:c r="F789" s="10" t="n">
        <x:v>0</x:v>
      </x:c>
      <x:c r="G789" s="12" t="n">
        <x:v>0</x:v>
      </x:c>
      <x:c r="H789" s="13" t="n">
        <x:v>0</x:v>
      </x:c>
      <x:c r="I789" s="10" t="n">
        <x:v>0</x:v>
      </x:c>
      <x:c r="J789" s="10" t="n">
        <x:v>0</x:v>
      </x:c>
      <x:c r="K789" s="10" t="str">
        <x:v>1 Mo.</x:v>
      </x:c>
      <x:c r="L789" s="10" t="n">
        <x:v>0</x:v>
      </x:c>
      <x:c r="M789" s="10" t="n">
        <x:v>0</x:v>
      </x:c>
      <x:c r="N789" s="10" t="n">
        <x:v>0</x:v>
      </x:c>
      <x:c r="O789" s="10" t="str">
        <x:v>Books, Movies &amp; Music</x:v>
      </x:c>
      <x:c r="P789" s="10" t="n">
        <x:v>11</x:v>
      </x:c>
      <x:c r="Q789" s="10" t="n">
        <x:v>0</x:v>
      </x:c>
      <x:c r="R789" s="13" t="n">
        <x:v>0</x:v>
      </x:c>
      <x:c r="S789" s="10" t="n">
        <x:v>102</x:v>
      </x:c>
      <x:c r="T789" s="10" t="str">
        <x:v>first home buyer,home buying guide,house hunting,new homeowner gift,home buyer checklist,mortgage questions,first time buyer,home inspection help,closing checklist,house offer help,real estate guide,home buyer planner,housewarming gift</x:v>
      </x:c>
      <x:c r="U789" s="10" t="str">
        <x:v>first home buyer</x:v>
      </x:c>
      <x:c r="V789" s="10" t="str">
        <x:v>home buying guide</x:v>
      </x:c>
      <x:c r="W789" s="10" t="str">
        <x:v>house hunting</x:v>
      </x:c>
      <x:c r="X789" s="10" t="str">
        <x:v>new homeowner gift</x:v>
      </x:c>
      <x:c r="Y789" s="10" t="str">
        <x:v>home buyer checklist</x:v>
      </x:c>
      <x:c r="Z789" s="10" t="str">
        <x:v>mortgage questions</x:v>
      </x:c>
      <x:c r="AA789" s="10" t="str">
        <x:v>first time buyer</x:v>
      </x:c>
      <x:c r="AB789" s="10" t="str">
        <x:v>home inspection help</x:v>
      </x:c>
      <x:c r="AC789" s="10" t="str">
        <x:v>closing checklist</x:v>
      </x:c>
      <x:c r="AD789" s="10" t="str">
        <x:v>house offer help</x:v>
      </x:c>
      <x:c r="AE789" s="10" t="str">
        <x:v>real estate guide</x:v>
      </x:c>
      <x:c r="AF789" s="10" t="str">
        <x:v>home buyer planner</x:v>
      </x:c>
      <x:c r="AG789" s="10" t="str">
        <x:v>housewarming gift</x:v>
      </x:c>
      <x:c r="AH789" s="10" t="str">
        <x:v>Home buying planner</x:v>
      </x:c>
      <x:c r="AI789" s="13" t="n">
        <x:v>1</x:v>
      </x:c>
      <x:c r="AJ789" s="10" t="str">
        <x:f>IF(F789&gt;0,"Active","No est. sales")</x:f>
        <x:v>No est. sales</x:v>
      </x:c>
    </x:row>
    <x:row r="790">
      <x:c r="A790" s="10" t="str">
        <x:v>First Home Buyer Spreadsheet | Down Payment and Closing Cost Savings Planner | Mortgage Affordability Calculator for Excel and Google Sheets</x:v>
      </x:c>
      <x:c r="B790" s="10" t="str">
        <x:v>https://www.etsy.com/listing/4540136729/first-home-buyer-spreadsheet-down</x:v>
      </x:c>
      <x:c r="C790" s="10" t="str">
        <x:v>NicheToolkits</x:v>
      </x:c>
      <x:c r="D790" s="10" t="str">
        <x:v>https://www.etsy.com/shop/NicheToolkits</x:v>
      </x:c>
      <x:c r="E790" s="11" t="n">
        <x:v>16.97</x:v>
      </x:c>
      <x:c r="F790" s="10" t="n">
        <x:v>0</x:v>
      </x:c>
      <x:c r="G790" s="12" t="n">
        <x:v>0</x:v>
      </x:c>
      <x:c r="H790" s="13" t="n">
        <x:v>0</x:v>
      </x:c>
      <x:c r="I790" s="10" t="n">
        <x:v>0</x:v>
      </x:c>
      <x:c r="J790" s="10" t="n">
        <x:v>0</x:v>
      </x:c>
      <x:c r="K790" s="10" t="str">
        <x:v>1 Mo.</x:v>
      </x:c>
      <x:c r="L790" s="10" t="n">
        <x:v>0</x:v>
      </x:c>
      <x:c r="M790" s="10" t="n">
        <x:v>0</x:v>
      </x:c>
      <x:c r="N790" s="10" t="n">
        <x:v>5</x:v>
      </x:c>
      <x:c r="O790" s="10" t="str"/>
      <x:c r="P790" s="10" t="n">
        <x:v>4</x:v>
      </x:c>
      <x:c r="Q790" s="10" t="n">
        <x:v>0</x:v>
      </x:c>
      <x:c r="R790" s="13" t="n">
        <x:v>0</x:v>
      </x:c>
      <x:c r="S790" s="10" t="n">
        <x:v>52</x:v>
      </x:c>
      <x:c r="T790" s="10" t="str">
        <x:v>first home buyer,down payment tracker,home buying planner,house savings plan,home savings tracker,mortgage calculator,home affordability,first time buyer,down payment planner,saving for a house,home buying budget,closing costs,home buyer checklist</x:v>
      </x:c>
      <x:c r="U790" s="10" t="str">
        <x:v>first home buyer</x:v>
      </x:c>
      <x:c r="V790" s="10" t="str">
        <x:v>down payment tracker</x:v>
      </x:c>
      <x:c r="W790" s="10" t="str">
        <x:v>home buying planner</x:v>
      </x:c>
      <x:c r="X790" s="10" t="str">
        <x:v>house savings plan</x:v>
      </x:c>
      <x:c r="Y790" s="10" t="str">
        <x:v>home savings tracker</x:v>
      </x:c>
      <x:c r="Z790" s="10" t="str">
        <x:v>mortgage calculator</x:v>
      </x:c>
      <x:c r="AA790" s="10" t="str">
        <x:v>home affordability</x:v>
      </x:c>
      <x:c r="AB790" s="10" t="str">
        <x:v>first time buyer</x:v>
      </x:c>
      <x:c r="AC790" s="10" t="str">
        <x:v>down payment planner</x:v>
      </x:c>
      <x:c r="AD790" s="10" t="str">
        <x:v>saving for a house</x:v>
      </x:c>
      <x:c r="AE790" s="10" t="str">
        <x:v>home buying budget</x:v>
      </x:c>
      <x:c r="AF790" s="10" t="str">
        <x:v>closing costs</x:v>
      </x:c>
      <x:c r="AG790" s="10" t="str">
        <x:v>home buyer checklist</x:v>
      </x:c>
      <x:c r="AH790" s="10" t="str">
        <x:v>Home buying planner</x:v>
      </x:c>
      <x:c r="AI790" s="13" t="n">
        <x:v>1</x:v>
      </x:c>
      <x:c r="AJ790" s="10" t="str">
        <x:f>IF(F790&gt;0,"Active","No est. sales")</x:f>
        <x:v>No est. sales</x:v>
      </x:c>
    </x:row>
    <x:row r="791">
      <x:c r="A791" s="10" t="str">
        <x:v>Mortgage Preparation Tracker (UK) | Credit File Organisation Workbook | CCJ &amp; Default Planning Spreadsheet</x:v>
      </x:c>
      <x:c r="B791" s="10" t="str">
        <x:v>https://www.etsy.com/listing/4431933760/mortgage-preparation-tracker-uk-credit</x:v>
      </x:c>
      <x:c r="C791" s="10" t="str">
        <x:v>ClearFileStudio</x:v>
      </x:c>
      <x:c r="D791" s="10" t="str">
        <x:v>https://www.etsy.com/shop/ClearFileStudio</x:v>
      </x:c>
      <x:c r="E791" s="11" t="n">
        <x:v>16.63</x:v>
      </x:c>
      <x:c r="F791" s="10" t="n">
        <x:v>0</x:v>
      </x:c>
      <x:c r="G791" s="12" t="n">
        <x:v>0</x:v>
      </x:c>
      <x:c r="H791" s="13" t="n">
        <x:v>0</x:v>
      </x:c>
      <x:c r="I791" s="10" t="n">
        <x:v>0</x:v>
      </x:c>
      <x:c r="J791" s="10" t="n">
        <x:v>0</x:v>
      </x:c>
      <x:c r="K791" s="10" t="str">
        <x:v>7 Mo.</x:v>
      </x:c>
      <x:c r="L791" s="10" t="n">
        <x:v>1</x:v>
      </x:c>
      <x:c r="M791" s="10" t="n">
        <x:v>0</x:v>
      </x:c>
      <x:c r="N791" s="10" t="n">
        <x:v>13</x:v>
      </x:c>
      <x:c r="O791" s="10" t="str"/>
      <x:c r="P791" s="10" t="n">
        <x:v>7</x:v>
      </x:c>
      <x:c r="Q791" s="10" t="n">
        <x:v>0</x:v>
      </x:c>
      <x:c r="R791" s="13" t="n">
        <x:v>0</x:v>
      </x:c>
      <x:c r="S791" s="10" t="n">
        <x:v>0</x:v>
      </x:c>
      <x:c r="T791" s="10" t="str">
        <x:v>mortgage preparation,mortgage tracker uk,credit file planner,ccj mortgage plan,default mortgage,financial planner uk,mortgage spreadsheet,credit organisation</x:v>
      </x:c>
      <x:c r="U791" s="10" t="str">
        <x:v>mortgage preparation</x:v>
      </x:c>
      <x:c r="V791" s="10" t="str">
        <x:v>mortgage tracker uk</x:v>
      </x:c>
      <x:c r="W791" s="10" t="str">
        <x:v>credit file planner</x:v>
      </x:c>
      <x:c r="X791" s="10" t="str">
        <x:v>ccj mortgage plan</x:v>
      </x:c>
      <x:c r="Y791" s="10" t="str">
        <x:v>default mortgage</x:v>
      </x:c>
      <x:c r="Z791" s="10" t="str">
        <x:v>financial planner uk</x:v>
      </x:c>
      <x:c r="AA791" s="10" t="str">
        <x:v>mortgage spreadsheet</x:v>
      </x:c>
      <x:c r="AB791" s="10" t="str">
        <x:v>credit organisation</x:v>
      </x:c>
      <x:c r="AC791" s="10" t="str">
        <x:v>--</x:v>
      </x:c>
      <x:c r="AD791" s="10" t="str">
        <x:v>--</x:v>
      </x:c>
      <x:c r="AE791" s="10" t="str">
        <x:v>--</x:v>
      </x:c>
      <x:c r="AF791" s="10" t="str">
        <x:v>--</x:v>
      </x:c>
      <x:c r="AG791" s="10" t="str">
        <x:v>--</x:v>
      </x:c>
      <x:c r="AH791" s="10" t="str">
        <x:v>Other mortgage-related</x:v>
      </x:c>
      <x:c r="AI791" s="13" t="n">
        <x:v>7</x:v>
      </x:c>
      <x:c r="AJ791" s="10" t="str">
        <x:f>IF(F791&gt;0,"Active","No est. sales")</x:f>
        <x:v>No est. sales</x:v>
      </x:c>
    </x:row>
    <x:row r="792">
      <x:c r="A792" s="10" t="str">
        <x:v>Mortgage Payoff Tracker Printable, Visual payment tracker, Home payoff printable with balloons 2024 Money Goals Planning page</x:v>
      </x:c>
      <x:c r="B792" s="10" t="str">
        <x:v>https://www.etsy.com/listing/1104926709/mortgage-payoff-tracker-printable-visual</x:v>
      </x:c>
      <x:c r="C792" s="10" t="str">
        <x:v>PreciousLittleArrows</x:v>
      </x:c>
      <x:c r="D792" s="10" t="str">
        <x:v>https://www.etsy.com/shop/PreciousLittleArrows</x:v>
      </x:c>
      <x:c r="E792" s="11" t="n">
        <x:v>2.4</x:v>
      </x:c>
      <x:c r="F792" s="10" t="n">
        <x:v>0</x:v>
      </x:c>
      <x:c r="G792" s="12" t="n">
        <x:v>0</x:v>
      </x:c>
      <x:c r="H792" s="13" t="n">
        <x:v>0</x:v>
      </x:c>
      <x:c r="I792" s="10" t="n">
        <x:v>26</x:v>
      </x:c>
      <x:c r="J792" s="10" t="n">
        <x:v>5</x:v>
      </x:c>
      <x:c r="K792" s="10" t="str">
        <x:v>57 Mo.</x:v>
      </x:c>
      <x:c r="L792" s="10" t="n">
        <x:v>48</x:v>
      </x:c>
      <x:c r="M792" s="10" t="n">
        <x:v>0</x:v>
      </x:c>
      <x:c r="N792" s="10" t="n">
        <x:v>1061</x:v>
      </x:c>
      <x:c r="O792" s="10" t="str">
        <x:v>Paper &amp; Party Supplies</x:v>
      </x:c>
      <x:c r="P792" s="10" t="n">
        <x:v>106</x:v>
      </x:c>
      <x:c r="Q792" s="10" t="n">
        <x:v>0</x:v>
      </x:c>
      <x:c r="R792" s="13" t="n">
        <x:v>2.45</x:v>
      </x:c>
      <x:c r="S792" s="10" t="n">
        <x:v>5991</x:v>
      </x:c>
      <x:c r="T792" s="10" t="str">
        <x:v>mortgage payoff,printable,planner,goal crusher,dave ramsey,baby step 456,cute home payoff,payoff printables,dr follower,baby stepper,home payoff download,home sweet home</x:v>
      </x:c>
      <x:c r="U792" s="10" t="str">
        <x:v>mortgage payoff</x:v>
      </x:c>
      <x:c r="V792" s="10" t="str">
        <x:v>printable</x:v>
      </x:c>
      <x:c r="W792" s="10" t="str">
        <x:v>planner</x:v>
      </x:c>
      <x:c r="X792" s="10" t="str">
        <x:v>goal crusher</x:v>
      </x:c>
      <x:c r="Y792" s="10" t="str">
        <x:v>dave ramsey</x:v>
      </x:c>
      <x:c r="Z792" s="10" t="str">
        <x:v>baby step 456</x:v>
      </x:c>
      <x:c r="AA792" s="10" t="str">
        <x:v>cute home payoff</x:v>
      </x:c>
      <x:c r="AB792" s="10" t="str">
        <x:v>payoff printables</x:v>
      </x:c>
      <x:c r="AC792" s="10" t="str">
        <x:v>dr follower</x:v>
      </x:c>
      <x:c r="AD792" s="10" t="str">
        <x:v>baby stepper</x:v>
      </x:c>
      <x:c r="AE792" s="10" t="str">
        <x:v>home payoff download</x:v>
      </x:c>
      <x:c r="AF792" s="10" t="str">
        <x:v>home sweet home</x:v>
      </x:c>
      <x:c r="AG792" s="10" t="str">
        <x:v>--</x:v>
      </x:c>
      <x:c r="AH792" s="10" t="str">
        <x:v>Mortgage payoff / calculator</x:v>
      </x:c>
      <x:c r="AI792" s="13" t="n">
        <x:v>57</x:v>
      </x:c>
      <x:c r="AJ792" s="10" t="str">
        <x:f>IF(F792&gt;0,"Active","No est. sales")</x:f>
        <x:v>No est. sales</x:v>
      </x:c>
    </x:row>
    <x:row r="793">
      <x:c r="A793" s="10" t="str">
        <x:v>True Cost of Homeownership Calculator, Excel &amp; Google Sheets Home Buying Spreadsheet, Buy vs Rent Break Even, PITI Hidden Costs</x:v>
      </x:c>
      <x:c r="B793" s="10" t="str">
        <x:v>https://www.etsy.com/listing/4540358743/true-cost-of-homeownership-calculator</x:v>
      </x:c>
      <x:c r="C793" s="10" t="str">
        <x:v>ArdentWorkshop</x:v>
      </x:c>
      <x:c r="D793" s="10" t="str">
        <x:v>https://www.etsy.com/shop/ArdentWorkshop</x:v>
      </x:c>
      <x:c r="E793" s="11" t="n">
        <x:v>29.95</x:v>
      </x:c>
      <x:c r="F793" s="10" t="n">
        <x:v>0</x:v>
      </x:c>
      <x:c r="G793" s="12" t="n">
        <x:v>0</x:v>
      </x:c>
      <x:c r="H793" s="13" t="n">
        <x:v>0</x:v>
      </x:c>
      <x:c r="I793" s="10" t="n">
        <x:v>0</x:v>
      </x:c>
      <x:c r="J793" s="10" t="n">
        <x:v>0</x:v>
      </x:c>
      <x:c r="K793" s="10" t="str">
        <x:v>1 Mo.</x:v>
      </x:c>
      <x:c r="L793" s="10" t="n">
        <x:v>0</x:v>
      </x:c>
      <x:c r="M793" s="10" t="n">
        <x:v>0</x:v>
      </x:c>
      <x:c r="N793" s="10" t="n">
        <x:v>0</x:v>
      </x:c>
      <x:c r="O793" s="10" t="str">
        <x:v>Paper &amp; Party Supplies</x:v>
      </x:c>
      <x:c r="P793" s="10" t="n">
        <x:v>18</x:v>
      </x:c>
      <x:c r="Q793" s="10" t="n">
        <x:v>0</x:v>
      </x:c>
      <x:c r="R793" s="13" t="n">
        <x:v>0</x:v>
      </x:c>
      <x:c r="S793" s="10" t="n">
        <x:v>1845</x:v>
      </x:c>
      <x:c r="T793" s="10" t="str">
        <x:v>homeownership cost,home buying planner,buy vs rent,first home buyer,house budget sheet,piti calculator,mortgage spreadsheet,home cost calculator,true cost of owning,home buying budget,home buyer checklist,google sheets budget,excel home budget</x:v>
      </x:c>
      <x:c r="U793" s="10" t="str">
        <x:v>homeownership cost</x:v>
      </x:c>
      <x:c r="V793" s="10" t="str">
        <x:v>home buying planner</x:v>
      </x:c>
      <x:c r="W793" s="10" t="str">
        <x:v>buy vs rent</x:v>
      </x:c>
      <x:c r="X793" s="10" t="str">
        <x:v>first home buyer</x:v>
      </x:c>
      <x:c r="Y793" s="10" t="str">
        <x:v>house budget sheet</x:v>
      </x:c>
      <x:c r="Z793" s="10" t="str">
        <x:v>piti calculator</x:v>
      </x:c>
      <x:c r="AA793" s="10" t="str">
        <x:v>mortgage spreadsheet</x:v>
      </x:c>
      <x:c r="AB793" s="10" t="str">
        <x:v>home cost calculator</x:v>
      </x:c>
      <x:c r="AC793" s="10" t="str">
        <x:v>true cost of owning</x:v>
      </x:c>
      <x:c r="AD793" s="10" t="str">
        <x:v>home buying budget</x:v>
      </x:c>
      <x:c r="AE793" s="10" t="str">
        <x:v>home buyer checklist</x:v>
      </x:c>
      <x:c r="AF793" s="10" t="str">
        <x:v>google sheets budget</x:v>
      </x:c>
      <x:c r="AG793" s="10" t="str">
        <x:v>excel home budget</x:v>
      </x:c>
      <x:c r="AH793" s="10" t="str">
        <x:v>Home buying planner</x:v>
      </x:c>
      <x:c r="AI793" s="13" t="n">
        <x:v>1</x:v>
      </x:c>
      <x:c r="AJ793" s="10" t="str">
        <x:f>IF(F793&gt;0,"Active","No est. sales")</x:f>
        <x:v>No est. sales</x:v>
      </x:c>
    </x:row>
    <x:row r="794">
      <x:c r="A794" s="10" t="str">
        <x:v>Home Loan Amortization Excel Template – Track Payments, Save Interest (Digital Download)</x:v>
      </x:c>
      <x:c r="B794" s="10" t="str">
        <x:v>https://www.etsy.com/listing/832409651/track-your-home-loan-and-save-on</x:v>
      </x:c>
      <x:c r="C794" s="10" t="str">
        <x:v>ASALBIC</x:v>
      </x:c>
      <x:c r="D794" s="10" t="str">
        <x:v>https://www.etsy.com/shop/ASALBIC</x:v>
      </x:c>
      <x:c r="E794" s="11" t="n">
        <x:v>3.5</x:v>
      </x:c>
      <x:c r="F794" s="10" t="n">
        <x:v>0</x:v>
      </x:c>
      <x:c r="G794" s="12" t="n">
        <x:v>0</x:v>
      </x:c>
      <x:c r="H794" s="13" t="n">
        <x:v>0</x:v>
      </x:c>
      <x:c r="I794" s="10" t="n">
        <x:v>0</x:v>
      </x:c>
      <x:c r="J794" s="10" t="n">
        <x:v>0</x:v>
      </x:c>
      <x:c r="K794" s="10" t="str">
        <x:v>72 Mo.</x:v>
      </x:c>
      <x:c r="L794" s="10" t="n">
        <x:v>1</x:v>
      </x:c>
      <x:c r="M794" s="10" t="n">
        <x:v>0</x:v>
      </x:c>
      <x:c r="N794" s="10" t="n">
        <x:v>25</x:v>
      </x:c>
      <x:c r="O794" s="10" t="str">
        <x:v>Paper &amp; Party Supplies</x:v>
      </x:c>
      <x:c r="P794" s="10" t="n">
        <x:v>74</x:v>
      </x:c>
      <x:c r="Q794" s="10" t="n">
        <x:v>0</x:v>
      </x:c>
      <x:c r="R794" s="13" t="n">
        <x:v>0</x:v>
      </x:c>
      <x:c r="S794" s="10" t="n">
        <x:v>541</x:v>
      </x:c>
      <x:c r="T794" s="10" t="str">
        <x:v>loan repayment,mortgage tracker,amortization,loan calculator,extra payments,debt planner,home loan,finance tracker,payment planner,mortgage plan,loan schedule,budget planner,interest tracker</x:v>
      </x:c>
      <x:c r="U794" s="10" t="str">
        <x:v>loan repayment</x:v>
      </x:c>
      <x:c r="V794" s="10" t="str">
        <x:v>mortgage tracker</x:v>
      </x:c>
      <x:c r="W794" s="10" t="str">
        <x:v>amortization</x:v>
      </x:c>
      <x:c r="X794" s="10" t="str">
        <x:v>loan calculator</x:v>
      </x:c>
      <x:c r="Y794" s="10" t="str">
        <x:v>extra payments</x:v>
      </x:c>
      <x:c r="Z794" s="10" t="str">
        <x:v>debt planner</x:v>
      </x:c>
      <x:c r="AA794" s="10" t="str">
        <x:v>home loan</x:v>
      </x:c>
      <x:c r="AB794" s="10" t="str">
        <x:v>finance tracker</x:v>
      </x:c>
      <x:c r="AC794" s="10" t="str">
        <x:v>payment planner</x:v>
      </x:c>
      <x:c r="AD794" s="10" t="str">
        <x:v>mortgage plan</x:v>
      </x:c>
      <x:c r="AE794" s="10" t="str">
        <x:v>loan schedule</x:v>
      </x:c>
      <x:c r="AF794" s="10" t="str">
        <x:v>budget planner</x:v>
      </x:c>
      <x:c r="AG794" s="10" t="str">
        <x:v>interest tracker</x:v>
      </x:c>
      <x:c r="AH794" s="10" t="str">
        <x:v>Mortgage payoff / calculator</x:v>
      </x:c>
      <x:c r="AI794" s="13" t="n">
        <x:v>72</x:v>
      </x:c>
      <x:c r="AJ794" s="10" t="str">
        <x:f>IF(F794&gt;0,"Active","No est. sales")</x:f>
        <x:v>No est. sales</x:v>
      </x:c>
    </x:row>
    <x:row r="795">
      <x:c r="A795" s="10" t="str">
        <x:v>Budget Spreadsheet | Debt Payoff Tracker | Google Sheets Financial Dashboard (Digital Download)</x:v>
      </x:c>
      <x:c r="B795" s="10" t="str">
        <x:v>https://www.etsy.com/listing/1734434094/digital-budget-planner-debt-tracker</x:v>
      </x:c>
      <x:c r="C795" s="10" t="str">
        <x:v>PLANCONCEPT</x:v>
      </x:c>
      <x:c r="D795" s="10" t="str">
        <x:v>https://www.etsy.com/shop/PLANCONCEPT</x:v>
      </x:c>
      <x:c r="E795" s="11" t="n">
        <x:v>8.05</x:v>
      </x:c>
      <x:c r="F795" s="10" t="n">
        <x:v>0</x:v>
      </x:c>
      <x:c r="G795" s="12" t="n">
        <x:v>0</x:v>
      </x:c>
      <x:c r="H795" s="13" t="n">
        <x:v>0</x:v>
      </x:c>
      <x:c r="I795" s="10" t="n">
        <x:v>15</x:v>
      </x:c>
      <x:c r="J795" s="10" t="n">
        <x:v>1</x:v>
      </x:c>
      <x:c r="K795" s="10" t="str">
        <x:v>25 Mo.</x:v>
      </x:c>
      <x:c r="L795" s="10" t="n">
        <x:v>13</x:v>
      </x:c>
      <x:c r="M795" s="10" t="n">
        <x:v>0</x:v>
      </x:c>
      <x:c r="N795" s="10" t="n">
        <x:v>240</x:v>
      </x:c>
      <x:c r="O795" s="10" t="str">
        <x:v>Paper &amp; Party Supplies</x:v>
      </x:c>
      <x:c r="P795" s="10" t="n">
        <x:v>52</x:v>
      </x:c>
      <x:c r="Q795" s="10" t="n">
        <x:v>0</x:v>
      </x:c>
      <x:c r="R795" s="13" t="n">
        <x:v>6.25</x:v>
      </x:c>
      <x:c r="S795" s="10" t="n">
        <x:v>70454</x:v>
      </x:c>
      <x:c r="T795" s="10" t="str">
        <x:v>budget spreadsheet,budget planner,debt payoff tracker,debt snowball,debt tracker,budget template,google sheets budget,digital budget,financial planner,budget tracker,mortgage tracker,debt calculator,expense tracker</x:v>
      </x:c>
      <x:c r="U795" s="10" t="str">
        <x:v>budget spreadsheet</x:v>
      </x:c>
      <x:c r="V795" s="10" t="str">
        <x:v>budget planner</x:v>
      </x:c>
      <x:c r="W795" s="10" t="str">
        <x:v>debt payoff tracker</x:v>
      </x:c>
      <x:c r="X795" s="10" t="str">
        <x:v>debt snowball</x:v>
      </x:c>
      <x:c r="Y795" s="10" t="str">
        <x:v>debt tracker</x:v>
      </x:c>
      <x:c r="Z795" s="10" t="str">
        <x:v>budget template</x:v>
      </x:c>
      <x:c r="AA795" s="10" t="str">
        <x:v>google sheets budget</x:v>
      </x:c>
      <x:c r="AB795" s="10" t="str">
        <x:v>digital budget</x:v>
      </x:c>
      <x:c r="AC795" s="10" t="str">
        <x:v>financial planner</x:v>
      </x:c>
      <x:c r="AD795" s="10" t="str">
        <x:v>budget tracker</x:v>
      </x:c>
      <x:c r="AE795" s="10" t="str">
        <x:v>mortgage tracker</x:v>
      </x:c>
      <x:c r="AF795" s="10" t="str">
        <x:v>debt calculator</x:v>
      </x:c>
      <x:c r="AG795" s="10" t="str">
        <x:v>expense tracker</x:v>
      </x:c>
      <x:c r="AH795" s="10" t="str">
        <x:v>General debt payoff</x:v>
      </x:c>
      <x:c r="AI795" s="13" t="n">
        <x:v>25</x:v>
      </x:c>
      <x:c r="AJ795" s="10" t="str">
        <x:f>IF(F795&gt;0,"Active","No est. sales")</x:f>
        <x:v>No est. sales</x:v>
      </x:c>
    </x:row>
    <x:row r="796">
      <x:c r="A796" s="10" t="str">
        <x:v>Real Estate Mortgage Calculator, Property Management Excel Template, Loan Amortization Schedule Google Sheets</x:v>
      </x:c>
      <x:c r="B796" s="10" t="str">
        <x:v>https://www.etsy.com/listing/4531676098/real-estate-mortgage-calculator-property</x:v>
      </x:c>
      <x:c r="C796" s="10" t="str">
        <x:v>SNLDigiMart</x:v>
      </x:c>
      <x:c r="D796" s="10" t="str">
        <x:v>https://www.etsy.com/shop/SNLDigiMart</x:v>
      </x:c>
      <x:c r="E796" s="11" t="n">
        <x:v>17.75</x:v>
      </x:c>
      <x:c r="F796" s="10" t="n">
        <x:v>0</x:v>
      </x:c>
      <x:c r="G796" s="12" t="n">
        <x:v>0</x:v>
      </x:c>
      <x:c r="H796" s="13" t="n">
        <x:v>0</x:v>
      </x:c>
      <x:c r="I796" s="10" t="n">
        <x:v>0</x:v>
      </x:c>
      <x:c r="J796" s="10" t="n">
        <x:v>0</x:v>
      </x:c>
      <x:c r="K796" s="10" t="str">
        <x:v>1 Mo.</x:v>
      </x:c>
      <x:c r="L796" s="10" t="n">
        <x:v>0</x:v>
      </x:c>
      <x:c r="M796" s="10" t="n">
        <x:v>0</x:v>
      </x:c>
      <x:c r="N796" s="10" t="n">
        <x:v>5</x:v>
      </x:c>
      <x:c r="O796" s="10" t="str">
        <x:v>Paper &amp; Party Supplies</x:v>
      </x:c>
      <x:c r="P796" s="10" t="n">
        <x:v>38</x:v>
      </x:c>
      <x:c r="Q796" s="10" t="n">
        <x:v>0</x:v>
      </x:c>
      <x:c r="R796" s="13" t="n">
        <x:v>0</x:v>
      </x:c>
      <x:c r="S796" s="10" t="n">
        <x:v>1092</x:v>
      </x:c>
      <x:c r="T796" s="10" t="str">
        <x:v>mortgage calculator,mortgage business,real estate info,pmi tax calculator,real estate tool,real estate excel,mortgage payment,home loan template,mortgage planner,home mortgage,home loan payment,rental property calc,loan payoff planner</x:v>
      </x:c>
      <x:c r="U796" s="10" t="str">
        <x:v>mortgage calculator</x:v>
      </x:c>
      <x:c r="V796" s="10" t="str">
        <x:v>mortgage business</x:v>
      </x:c>
      <x:c r="W796" s="10" t="str">
        <x:v>real estate info</x:v>
      </x:c>
      <x:c r="X796" s="10" t="str">
        <x:v>pmi tax calculator</x:v>
      </x:c>
      <x:c r="Y796" s="10" t="str">
        <x:v>real estate tool</x:v>
      </x:c>
      <x:c r="Z796" s="10" t="str">
        <x:v>real estate excel</x:v>
      </x:c>
      <x:c r="AA796" s="10" t="str">
        <x:v>mortgage payment</x:v>
      </x:c>
      <x:c r="AB796" s="10" t="str">
        <x:v>home loan template</x:v>
      </x:c>
      <x:c r="AC796" s="10" t="str">
        <x:v>mortgage planner</x:v>
      </x:c>
      <x:c r="AD796" s="10" t="str">
        <x:v>home mortgage</x:v>
      </x:c>
      <x:c r="AE796" s="10" t="str">
        <x:v>home loan payment</x:v>
      </x:c>
      <x:c r="AF796" s="10" t="str">
        <x:v>rental property calc</x:v>
      </x:c>
      <x:c r="AG796" s="10" t="str">
        <x:v>loan payoff planner</x:v>
      </x:c>
      <x:c r="AH796" s="10" t="str">
        <x:v>Property investment</x:v>
      </x:c>
      <x:c r="AI796" s="13" t="n">
        <x:v>1</x:v>
      </x:c>
      <x:c r="AJ796" s="10" t="str">
        <x:f>IF(F796&gt;0,"Active","No est. sales")</x:f>
        <x:v>No est. sales</x:v>
      </x:c>
    </x:row>
    <x:row r="797">
      <x:c r="A797" s="10" t="str">
        <x:v>F-031 || HOME PAYMENT - Planner Stickers, Erin Condren, Makselife, Plumpaper</x:v>
      </x:c>
      <x:c r="B797" s="10" t="str">
        <x:v>https://www.etsy.com/listing/1714683632/f-031-home-payment-planner-stickers-erin</x:v>
      </x:c>
      <x:c r="C797" s="10" t="str">
        <x:v>DaisysDailyShop</x:v>
      </x:c>
      <x:c r="D797" s="10" t="str">
        <x:v>https://www.etsy.com/shop/DaisysDailyShop</x:v>
      </x:c>
      <x:c r="E797" s="11" t="n">
        <x:v>5.5</x:v>
      </x:c>
      <x:c r="F797" s="10" t="n">
        <x:v>0</x:v>
      </x:c>
      <x:c r="G797" s="12" t="n">
        <x:v>0</x:v>
      </x:c>
      <x:c r="H797" s="13" t="n">
        <x:v>0</x:v>
      </x:c>
      <x:c r="I797" s="10" t="n">
        <x:v>0</x:v>
      </x:c>
      <x:c r="J797" s="10" t="n">
        <x:v>0</x:v>
      </x:c>
      <x:c r="K797" s="10" t="str">
        <x:v>26 Mo.</x:v>
      </x:c>
      <x:c r="L797" s="10" t="n">
        <x:v>4</x:v>
      </x:c>
      <x:c r="M797" s="10" t="n">
        <x:v>0</x:v>
      </x:c>
      <x:c r="N797" s="10" t="n">
        <x:v>31</x:v>
      </x:c>
      <x:c r="O797" s="10" t="str">
        <x:v>Paper &amp; Party Supplies</x:v>
      </x:c>
      <x:c r="P797" s="10" t="n">
        <x:v>66</x:v>
      </x:c>
      <x:c r="Q797" s="10" t="n">
        <x:v>0</x:v>
      </x:c>
      <x:c r="R797" s="13" t="n">
        <x:v>0</x:v>
      </x:c>
      <x:c r="S797" s="10" t="n">
        <x:v>3297</x:v>
      </x:c>
      <x:c r="T797" s="10" t="str">
        <x:v>planner stickers,erin condren,makselife,plumpaper,happy planner,functional stickers,daisysplans,daisysdailyshop,minimal stickers,functional sticker,bill stickers,mortgage stickers,house payment</x:v>
      </x:c>
      <x:c r="U797" s="10" t="str">
        <x:v>planner stickers</x:v>
      </x:c>
      <x:c r="V797" s="10" t="str">
        <x:v>erin condren</x:v>
      </x:c>
      <x:c r="W797" s="10" t="str">
        <x:v>makselife</x:v>
      </x:c>
      <x:c r="X797" s="10" t="str">
        <x:v>plumpaper</x:v>
      </x:c>
      <x:c r="Y797" s="10" t="str">
        <x:v>happy planner</x:v>
      </x:c>
      <x:c r="Z797" s="10" t="str">
        <x:v>functional stickers</x:v>
      </x:c>
      <x:c r="AA797" s="10" t="str">
        <x:v>daisysplans</x:v>
      </x:c>
      <x:c r="AB797" s="10" t="str">
        <x:v>daisysdailyshop</x:v>
      </x:c>
      <x:c r="AC797" s="10" t="str">
        <x:v>minimal stickers</x:v>
      </x:c>
      <x:c r="AD797" s="10" t="str">
        <x:v>functional sticker</x:v>
      </x:c>
      <x:c r="AE797" s="10" t="str">
        <x:v>bill stickers</x:v>
      </x:c>
      <x:c r="AF797" s="10" t="str">
        <x:v>mortgage stickers</x:v>
      </x:c>
      <x:c r="AG797" s="10" t="str">
        <x:v>house payment</x:v>
      </x:c>
      <x:c r="AH797" s="10" t="str">
        <x:v>Other mortgage-related</x:v>
      </x:c>
      <x:c r="AI797" s="13" t="n">
        <x:v>26</x:v>
      </x:c>
      <x:c r="AJ797" s="10" t="str">
        <x:f>IF(F797&gt;0,"Active","No est. sales")</x:f>
        <x:v>No est. sales</x:v>
      </x:c>
    </x:row>
    <x:row r="798">
      <x:c r="A798" s="10" t="str">
        <x:v>Mortgage Payoff Calculator Excel Spreadsheet, Amortization Schedule Template, Debt Reduction Planner</x:v>
      </x:c>
      <x:c r="B798" s="10" t="str">
        <x:v>https://www.etsy.com/listing/4483977613/mortgage-payoff-calculator-excel</x:v>
      </x:c>
      <x:c r="C798" s="10" t="str">
        <x:v>MomMoneyMap</x:v>
      </x:c>
      <x:c r="D798" s="10" t="str">
        <x:v>https://www.etsy.com/shop/MomMoneyMap</x:v>
      </x:c>
      <x:c r="E798" s="11" t="n">
        <x:v>6.99</x:v>
      </x:c>
      <x:c r="F798" s="10" t="n">
        <x:v>0</x:v>
      </x:c>
      <x:c r="G798" s="12" t="n">
        <x:v>0</x:v>
      </x:c>
      <x:c r="H798" s="13" t="n">
        <x:v>0</x:v>
      </x:c>
      <x:c r="I798" s="10" t="n">
        <x:v>0</x:v>
      </x:c>
      <x:c r="J798" s="10" t="n">
        <x:v>0</x:v>
      </x:c>
      <x:c r="K798" s="10" t="str">
        <x:v>3 Mo.</x:v>
      </x:c>
      <x:c r="L798" s="10" t="n">
        <x:v>1</x:v>
      </x:c>
      <x:c r="M798" s="10" t="n">
        <x:v>0</x:v>
      </x:c>
      <x:c r="N798" s="10" t="n">
        <x:v>16</x:v>
      </x:c>
      <x:c r="O798" s="10" t="str">
        <x:v>Paper &amp; Party Supplies</x:v>
      </x:c>
      <x:c r="P798" s="10" t="n">
        <x:v>78</x:v>
      </x:c>
      <x:c r="Q798" s="10" t="n">
        <x:v>0</x:v>
      </x:c>
      <x:c r="R798" s="13" t="n">
        <x:v>0</x:v>
      </x:c>
      <x:c r="S798" s="10" t="n">
        <x:v>18652</x:v>
      </x:c>
      <x:c r="T798" s="10" t="str">
        <x:v>loan tracker,amortization chart,mortgage tracker,mortgage calculator,mortgage payoff,mortgage spreadsheet,mortgage excel,mortgage pay off,loan payment tracker,mortgage loan,mortgage payment,debt free mortgage,mortgage debt free</x:v>
      </x:c>
      <x:c r="U798" s="10" t="str">
        <x:v>loan tracker</x:v>
      </x:c>
      <x:c r="V798" s="10" t="str">
        <x:v>amortization chart</x:v>
      </x:c>
      <x:c r="W798" s="10" t="str">
        <x:v>mortgage tracker</x:v>
      </x:c>
      <x:c r="X798" s="10" t="str">
        <x:v>mortgage calculator</x:v>
      </x:c>
      <x:c r="Y798" s="10" t="str">
        <x:v>mortgage payoff</x:v>
      </x:c>
      <x:c r="Z798" s="10" t="str">
        <x:v>mortgage spreadsheet</x:v>
      </x:c>
      <x:c r="AA798" s="10" t="str">
        <x:v>mortgage excel</x:v>
      </x:c>
      <x:c r="AB798" s="10" t="str">
        <x:v>mortgage pay off</x:v>
      </x:c>
      <x:c r="AC798" s="10" t="str">
        <x:v>loan payment tracker</x:v>
      </x:c>
      <x:c r="AD798" s="10" t="str">
        <x:v>mortgage loan</x:v>
      </x:c>
      <x:c r="AE798" s="10" t="str">
        <x:v>mortgage payment</x:v>
      </x:c>
      <x:c r="AF798" s="10" t="str">
        <x:v>debt free mortgage</x:v>
      </x:c>
      <x:c r="AG798" s="10" t="str">
        <x:v>mortgage debt free</x:v>
      </x:c>
      <x:c r="AH798" s="10" t="str">
        <x:v>Mortgage payoff / calculator</x:v>
      </x:c>
      <x:c r="AI798" s="13" t="n">
        <x:v>3</x:v>
      </x:c>
      <x:c r="AJ798" s="10" t="str">
        <x:f>IF(F798&gt;0,"Active","No est. sales")</x:f>
        <x:v>No est. sales</x:v>
      </x:c>
    </x:row>
    <x:row r="799">
      <x:c r="A799" s="10" t="str">
        <x:v>Mortgage Tracker Spreadsheet | Loan Amortization Calculator (Excel/Google Sheets)</x:v>
      </x:c>
      <x:c r="B799" s="10" t="str">
        <x:v>https://www.etsy.com/listing/4545470046/mortgage-tracker-spreadsheet-loan</x:v>
      </x:c>
      <x:c r="C799" s="10" t="str">
        <x:v>ExcelByEduard</x:v>
      </x:c>
      <x:c r="D799" s="10" t="str">
        <x:v>https://www.etsy.com/shop/ExcelByEduard</x:v>
      </x:c>
      <x:c r="E799" s="11" t="n">
        <x:v>5.99</x:v>
      </x:c>
      <x:c r="F799" s="10" t="n">
        <x:v>0</x:v>
      </x:c>
      <x:c r="G799" s="12" t="n">
        <x:v>0</x:v>
      </x:c>
      <x:c r="H799" s="13" t="n">
        <x:v>0</x:v>
      </x:c>
      <x:c r="I799" s="10" t="n">
        <x:v>0</x:v>
      </x:c>
      <x:c r="J799" s="10" t="n">
        <x:v>0</x:v>
      </x:c>
      <x:c r="K799" s="10" t="str">
        <x:v>1 Mo.</x:v>
      </x:c>
      <x:c r="L799" s="10" t="n">
        <x:v>0</x:v>
      </x:c>
      <x:c r="M799" s="10" t="n">
        <x:v>0</x:v>
      </x:c>
      <x:c r="N799" s="10" t="n">
        <x:v>0</x:v>
      </x:c>
      <x:c r="O799" s="10" t="str"/>
      <x:c r="P799" s="10" t="n">
        <x:v>9</x:v>
      </x:c>
      <x:c r="Q799" s="10" t="n">
        <x:v>0</x:v>
      </x:c>
      <x:c r="R799" s="13" t="n">
        <x:v>0</x:v>
      </x:c>
      <x:c r="S799" s="10" t="n">
        <x:v>5</x:v>
      </x:c>
      <x:c r="T799" s="10" t="str">
        <x:v>mortgage tracker,mortgage payment,mortgage planner,home loan,loan tracker,mortgage calculator,amortization,excel spreadsheet,google sheets,budget planner,finance tracker,home budget,mortgage spreadsheet</x:v>
      </x:c>
      <x:c r="U799" s="10" t="str">
        <x:v>mortgage tracker</x:v>
      </x:c>
      <x:c r="V799" s="10" t="str">
        <x:v>mortgage payment</x:v>
      </x:c>
      <x:c r="W799" s="10" t="str">
        <x:v>mortgage planner</x:v>
      </x:c>
      <x:c r="X799" s="10" t="str">
        <x:v>home loan</x:v>
      </x:c>
      <x:c r="Y799" s="10" t="str">
        <x:v>loan tracker</x:v>
      </x:c>
      <x:c r="Z799" s="10" t="str">
        <x:v>mortgage calculator</x:v>
      </x:c>
      <x:c r="AA799" s="10" t="str">
        <x:v>amortization</x:v>
      </x:c>
      <x:c r="AB799" s="10" t="str">
        <x:v>excel spreadsheet</x:v>
      </x:c>
      <x:c r="AC799" s="10" t="str">
        <x:v>google sheets</x:v>
      </x:c>
      <x:c r="AD799" s="10" t="str">
        <x:v>budget planner</x:v>
      </x:c>
      <x:c r="AE799" s="10" t="str">
        <x:v>finance tracker</x:v>
      </x:c>
      <x:c r="AF799" s="10" t="str">
        <x:v>home budget</x:v>
      </x:c>
      <x:c r="AG799" s="10" t="str">
        <x:v>mortgage spreadsheet</x:v>
      </x:c>
      <x:c r="AH799" s="10" t="str">
        <x:v>Mortgage payoff / calculator</x:v>
      </x:c>
      <x:c r="AI799" s="13" t="n">
        <x:v>1</x:v>
      </x:c>
      <x:c r="AJ799" s="10" t="str">
        <x:f>IF(F799&gt;0,"Active","No est. sales")</x:f>
        <x:v>No est. sales</x:v>
      </x:c>
    </x:row>
    <x:row r="800">
      <x:c r="A800" s="10" t="str">
        <x:v>Home Buying Planner, Real Estate Organizer, Mortgage Tracker, House Hunting Journal, Personal Finance Notebook</x:v>
      </x:c>
      <x:c r="B800" s="10" t="str">
        <x:v>https://www.etsy.com/listing/1606119063/home-buying-planner-real-estate</x:v>
      </x:c>
      <x:c r="C800" s="10" t="str">
        <x:v>scribbleforsuccess</x:v>
      </x:c>
      <x:c r="D800" s="10" t="str">
        <x:v>https://www.etsy.com/shop/scribbleforsuccess</x:v>
      </x:c>
      <x:c r="E800" s="11" t="n">
        <x:v>6.08</x:v>
      </x:c>
      <x:c r="F800" s="10" t="n">
        <x:v>0</x:v>
      </x:c>
      <x:c r="G800" s="12" t="n">
        <x:v>0</x:v>
      </x:c>
      <x:c r="H800" s="13" t="n">
        <x:v>0</x:v>
      </x:c>
      <x:c r="I800" s="10" t="n">
        <x:v>0</x:v>
      </x:c>
      <x:c r="J800" s="10" t="n">
        <x:v>0</x:v>
      </x:c>
      <x:c r="K800" s="10" t="str">
        <x:v>32 Mo.</x:v>
      </x:c>
      <x:c r="L800" s="10" t="n">
        <x:v>23</x:v>
      </x:c>
      <x:c r="M800" s="10" t="n">
        <x:v>0</x:v>
      </x:c>
      <x:c r="N800" s="10" t="n">
        <x:v>1520</x:v>
      </x:c>
      <x:c r="O800" s="10" t="str">
        <x:v>Paper &amp; Party Supplies</x:v>
      </x:c>
      <x:c r="P800" s="10" t="n">
        <x:v>32</x:v>
      </x:c>
      <x:c r="Q800" s="10" t="n">
        <x:v>25</x:v>
      </x:c>
      <x:c r="R800" s="13" t="n">
        <x:v>0</x:v>
      </x:c>
      <x:c r="S800" s="10" t="n">
        <x:v>12</x:v>
      </x:c>
      <x:c r="T800" s="10" t="str">
        <x:v>home buying planner,home buying,house hunting,moving checklist,printable planner,home planner,planner,new home,digital planner,checklist,printable,moving,house checklist</x:v>
      </x:c>
      <x:c r="U800" s="10" t="str">
        <x:v>home buying planner</x:v>
      </x:c>
      <x:c r="V800" s="10" t="str">
        <x:v>home buying</x:v>
      </x:c>
      <x:c r="W800" s="10" t="str">
        <x:v>house hunting</x:v>
      </x:c>
      <x:c r="X800" s="10" t="str">
        <x:v>moving checklist</x:v>
      </x:c>
      <x:c r="Y800" s="10" t="str">
        <x:v>printable planner</x:v>
      </x:c>
      <x:c r="Z800" s="10" t="str">
        <x:v>home planner</x:v>
      </x:c>
      <x:c r="AA800" s="10" t="str">
        <x:v>planner</x:v>
      </x:c>
      <x:c r="AB800" s="10" t="str">
        <x:v>new home</x:v>
      </x:c>
      <x:c r="AC800" s="10" t="str">
        <x:v>digital planner</x:v>
      </x:c>
      <x:c r="AD800" s="10" t="str">
        <x:v>checklist</x:v>
      </x:c>
      <x:c r="AE800" s="10" t="str">
        <x:v>printable</x:v>
      </x:c>
      <x:c r="AF800" s="10" t="str">
        <x:v>moving</x:v>
      </x:c>
      <x:c r="AG800" s="10" t="str">
        <x:v>house checklist</x:v>
      </x:c>
      <x:c r="AH800" s="10" t="str">
        <x:v>Home buying planner</x:v>
      </x:c>
      <x:c r="AI800" s="13" t="n">
        <x:v>32</x:v>
      </x:c>
      <x:c r="AJ800" s="10" t="str">
        <x:f>IF(F800&gt;0,"Active","No est. sales")</x:f>
        <x:v>No est. sales</x:v>
      </x:c>
    </x:row>
    <x:row r="801">
      <x:c r="A801" s="10" t="str">
        <x:v>Home Buying Bundle | House Hunting, Mortgage, Moving &amp; Renovation Budget Spreadsheets | Excel, Google Sheets | First Time Buyer</x:v>
      </x:c>
      <x:c r="B801" s="10" t="str">
        <x:v>https://www.etsy.com/listing/4545009811/home-buying-bundle-house-hunting</x:v>
      </x:c>
      <x:c r="C801" s="10" t="str">
        <x:v>ReadySheetGo</x:v>
      </x:c>
      <x:c r="D801" s="10" t="str">
        <x:v>https://www.etsy.com/shop/ReadySheetGo</x:v>
      </x:c>
      <x:c r="E801" s="11" t="n">
        <x:v>24.99</x:v>
      </x:c>
      <x:c r="F801" s="10" t="n">
        <x:v>0</x:v>
      </x:c>
      <x:c r="G801" s="12" t="n">
        <x:v>0</x:v>
      </x:c>
      <x:c r="H801" s="13" t="n">
        <x:v>0</x:v>
      </x:c>
      <x:c r="I801" s="10" t="n">
        <x:v>0</x:v>
      </x:c>
      <x:c r="J801" s="10" t="n">
        <x:v>0</x:v>
      </x:c>
      <x:c r="K801" s="10" t="str">
        <x:v>1 Mo.</x:v>
      </x:c>
      <x:c r="L801" s="10" t="n">
        <x:v>0</x:v>
      </x:c>
      <x:c r="M801" s="10" t="n">
        <x:v>0</x:v>
      </x:c>
      <x:c r="N801" s="10" t="n">
        <x:v>6</x:v>
      </x:c>
      <x:c r="O801" s="10" t="str">
        <x:v>Paper &amp; Party Supplies</x:v>
      </x:c>
      <x:c r="P801" s="10" t="n">
        <x:v>4</x:v>
      </x:c>
      <x:c r="Q801" s="10" t="n">
        <x:v>0</x:v>
      </x:c>
      <x:c r="R801" s="13" t="n">
        <x:v>0</x:v>
      </x:c>
      <x:c r="S801" s="10" t="n">
        <x:v>2</x:v>
      </x:c>
      <x:c r="T801" s="10" t="str">
        <x:v>home buying bundle,house hunting,first time buyer,mortgage calculator,moving budget,home renovation,home buyer tools,house comparison,moving checklist,home budget planner,real estate tracker,excel template,google sheets</x:v>
      </x:c>
      <x:c r="U801" s="10" t="str">
        <x:v>home buying bundle</x:v>
      </x:c>
      <x:c r="V801" s="10" t="str">
        <x:v>house hunting</x:v>
      </x:c>
      <x:c r="W801" s="10" t="str">
        <x:v>first time buyer</x:v>
      </x:c>
      <x:c r="X801" s="10" t="str">
        <x:v>mortgage calculator</x:v>
      </x:c>
      <x:c r="Y801" s="10" t="str">
        <x:v>moving budget</x:v>
      </x:c>
      <x:c r="Z801" s="10" t="str">
        <x:v>home renovation</x:v>
      </x:c>
      <x:c r="AA801" s="10" t="str">
        <x:v>home buyer tools</x:v>
      </x:c>
      <x:c r="AB801" s="10" t="str">
        <x:v>house comparison</x:v>
      </x:c>
      <x:c r="AC801" s="10" t="str">
        <x:v>moving checklist</x:v>
      </x:c>
      <x:c r="AD801" s="10" t="str">
        <x:v>home budget planner</x:v>
      </x:c>
      <x:c r="AE801" s="10" t="str">
        <x:v>real estate tracker</x:v>
      </x:c>
      <x:c r="AF801" s="10" t="str">
        <x:v>excel template</x:v>
      </x:c>
      <x:c r="AG801" s="10" t="str">
        <x:v>google sheets</x:v>
      </x:c>
      <x:c r="AH801" s="10" t="str">
        <x:v>Home buying planner</x:v>
      </x:c>
      <x:c r="AI801" s="13" t="n">
        <x:v>1</x:v>
      </x:c>
      <x:c r="AJ801" s="10" t="str">
        <x:f>IF(F801&gt;0,"Active","No est. sales")</x:f>
        <x:v>No est. sales</x:v>
      </x:c>
    </x:row>
    <x:row r="802">
      <x:c r="A802" s="10" t="str">
        <x:v>First Home Buyer Planner | Interactive Checklist, Mortgage Tracker, Budget Calculator, Room Planner</x:v>
      </x:c>
      <x:c r="B802" s="10" t="str">
        <x:v>https://www.etsy.com/listing/4515633517/first-home-buyer-planner-interactive</x:v>
      </x:c>
      <x:c r="C802" s="10" t="str">
        <x:v>Groundshift</x:v>
      </x:c>
      <x:c r="D802" s="10" t="str">
        <x:v>https://www.etsy.com/shop/Groundshift</x:v>
      </x:c>
      <x:c r="E802" s="11" t="n">
        <x:v>8.56</x:v>
      </x:c>
      <x:c r="F802" s="10" t="n">
        <x:v>0</x:v>
      </x:c>
      <x:c r="G802" s="12" t="n">
        <x:v>0</x:v>
      </x:c>
      <x:c r="H802" s="13" t="n">
        <x:v>0</x:v>
      </x:c>
      <x:c r="I802" s="10" t="n">
        <x:v>0</x:v>
      </x:c>
      <x:c r="J802" s="10" t="n">
        <x:v>0</x:v>
      </x:c>
      <x:c r="K802" s="10" t="str">
        <x:v>1 Mo.</x:v>
      </x:c>
      <x:c r="L802" s="10" t="n">
        <x:v>11</x:v>
      </x:c>
      <x:c r="M802" s="10" t="n">
        <x:v>0</x:v>
      </x:c>
      <x:c r="N802" s="10" t="n">
        <x:v>326</x:v>
      </x:c>
      <x:c r="O802" s="10" t="str"/>
      <x:c r="P802" s="10" t="n">
        <x:v>5</x:v>
      </x:c>
      <x:c r="Q802" s="10" t="n">
        <x:v>78</x:v>
      </x:c>
      <x:c r="R802" s="13" t="n">
        <x:v>0</x:v>
      </x:c>
      <x:c r="S802" s="10" t="n">
        <x:v>174</x:v>
      </x:c>
      <x:c r="T802" s="10" t="str">
        <x:v>home buyer plan,first home buyer,home buying log,mortgage planner,home buyer guide,first home plan,house hunt log,home buying plan,home search log,buyer checklist,house hunt plan,home offer log,new home planner</x:v>
      </x:c>
      <x:c r="U802" s="10" t="str">
        <x:v>home buyer plan</x:v>
      </x:c>
      <x:c r="V802" s="10" t="str">
        <x:v>first home buyer</x:v>
      </x:c>
      <x:c r="W802" s="10" t="str">
        <x:v>home buying log</x:v>
      </x:c>
      <x:c r="X802" s="10" t="str">
        <x:v>mortgage planner</x:v>
      </x:c>
      <x:c r="Y802" s="10" t="str">
        <x:v>home buyer guide</x:v>
      </x:c>
      <x:c r="Z802" s="10" t="str">
        <x:v>first home plan</x:v>
      </x:c>
      <x:c r="AA802" s="10" t="str">
        <x:v>house hunt log</x:v>
      </x:c>
      <x:c r="AB802" s="10" t="str">
        <x:v>home buying plan</x:v>
      </x:c>
      <x:c r="AC802" s="10" t="str">
        <x:v>home search log</x:v>
      </x:c>
      <x:c r="AD802" s="10" t="str">
        <x:v>buyer checklist</x:v>
      </x:c>
      <x:c r="AE802" s="10" t="str">
        <x:v>house hunt plan</x:v>
      </x:c>
      <x:c r="AF802" s="10" t="str">
        <x:v>home offer log</x:v>
      </x:c>
      <x:c r="AG802" s="10" t="str">
        <x:v>new home planner</x:v>
      </x:c>
      <x:c r="AH802" s="10" t="str">
        <x:v>Home buying planner</x:v>
      </x:c>
      <x:c r="AI802" s="13" t="n">
        <x:v>1</x:v>
      </x:c>
      <x:c r="AJ802" s="10" t="str">
        <x:f>IF(F802&gt;0,"Active","No est. sales")</x:f>
        <x:v>No est. sales</x:v>
      </x:c>
    </x:row>
    <x:row r="803">
      <x:c r="A803" s="10" t="str">
        <x:v>Mortgage Payment Calculator Template, Loan Amortization Schedule, Home Loan Planner, Google Sheets Excel Spreadsheet</x:v>
      </x:c>
      <x:c r="B803" s="10" t="str">
        <x:v>https://www.etsy.com/listing/4472397277/mortgage-payment-calculator-template</x:v>
      </x:c>
      <x:c r="C803" s="10" t="str">
        <x:v>DaffodillsSheets</x:v>
      </x:c>
      <x:c r="D803" s="10" t="str">
        <x:v>https://www.etsy.com/shop/DaffodillsSheets</x:v>
      </x:c>
      <x:c r="E803" s="11" t="n">
        <x:v>10.87</x:v>
      </x:c>
      <x:c r="F803" s="10" t="n">
        <x:v>0</x:v>
      </x:c>
      <x:c r="G803" s="12" t="n">
        <x:v>0</x:v>
      </x:c>
      <x:c r="H803" s="13" t="n">
        <x:v>0</x:v>
      </x:c>
      <x:c r="I803" s="10" t="n">
        <x:v>0</x:v>
      </x:c>
      <x:c r="J803" s="10" t="n">
        <x:v>0</x:v>
      </x:c>
      <x:c r="K803" s="10" t="str">
        <x:v>4 Mo.</x:v>
      </x:c>
      <x:c r="L803" s="10" t="n">
        <x:v>0</x:v>
      </x:c>
      <x:c r="M803" s="10" t="n">
        <x:v>0</x:v>
      </x:c>
      <x:c r="N803" s="10" t="n">
        <x:v>1</x:v>
      </x:c>
      <x:c r="O803" s="10" t="str"/>
      <x:c r="P803" s="10" t="n">
        <x:v>10</x:v>
      </x:c>
      <x:c r="Q803" s="10" t="n">
        <x:v>0</x:v>
      </x:c>
      <x:c r="R803" s="13" t="n">
        <x:v>0</x:v>
      </x:c>
      <x:c r="S803" s="10" t="n">
        <x:v>567</x:v>
      </x:c>
      <x:c r="T803" s="10" t="str">
        <x:v>mortgage planner,loan calculator,amortization,home loan sheet,payment tracker,excel mortgage,google loan,refinance tool,interest tracker,home budget tool,finance template,loan planner,mortgage sheet</x:v>
      </x:c>
      <x:c r="U803" s="10" t="str">
        <x:v>mortgage planner</x:v>
      </x:c>
      <x:c r="V803" s="10" t="str">
        <x:v>loan calculator</x:v>
      </x:c>
      <x:c r="W803" s="10" t="str">
        <x:v>amortization</x:v>
      </x:c>
      <x:c r="X803" s="10" t="str">
        <x:v>home loan sheet</x:v>
      </x:c>
      <x:c r="Y803" s="10" t="str">
        <x:v>payment tracker</x:v>
      </x:c>
      <x:c r="Z803" s="10" t="str">
        <x:v>excel mortgage</x:v>
      </x:c>
      <x:c r="AA803" s="10" t="str">
        <x:v>google loan</x:v>
      </x:c>
      <x:c r="AB803" s="10" t="str">
        <x:v>refinance tool</x:v>
      </x:c>
      <x:c r="AC803" s="10" t="str">
        <x:v>interest tracker</x:v>
      </x:c>
      <x:c r="AD803" s="10" t="str">
        <x:v>home budget tool</x:v>
      </x:c>
      <x:c r="AE803" s="10" t="str">
        <x:v>finance template</x:v>
      </x:c>
      <x:c r="AF803" s="10" t="str">
        <x:v>loan planner</x:v>
      </x:c>
      <x:c r="AG803" s="10" t="str">
        <x:v>mortgage sheet</x:v>
      </x:c>
      <x:c r="AH803" s="10" t="str">
        <x:v>Mortgage payoff / calculator</x:v>
      </x:c>
      <x:c r="AI803" s="13" t="n">
        <x:v>4</x:v>
      </x:c>
      <x:c r="AJ803" s="10" t="str">
        <x:f>IF(F803&gt;0,"Active","No est. sales")</x:f>
        <x:v>No est. sales</x:v>
      </x:c>
    </x:row>
    <x:row r="804">
      <x:c r="A804" s="10" t="str">
        <x:v>Buy Or Rent Calculator Template, Rent vs Buy Spreadsheet, Home Buying Decision Tool, Google Sheets Excel Calculator</x:v>
      </x:c>
      <x:c r="B804" s="10" t="str">
        <x:v>https://www.etsy.com/listing/4485978947/buy-or-rent-calculator-template-rent-vs</x:v>
      </x:c>
      <x:c r="C804" s="10" t="str">
        <x:v>DaffodillsSheets</x:v>
      </x:c>
      <x:c r="D804" s="10" t="str">
        <x:v>https://www.etsy.com/shop/DaffodillsSheets</x:v>
      </x:c>
      <x:c r="E804" s="11" t="n">
        <x:v>10.87</x:v>
      </x:c>
      <x:c r="F804" s="10" t="n">
        <x:v>0</x:v>
      </x:c>
      <x:c r="G804" s="12" t="n">
        <x:v>0</x:v>
      </x:c>
      <x:c r="H804" s="13" t="n">
        <x:v>0</x:v>
      </x:c>
      <x:c r="I804" s="10" t="n">
        <x:v>0</x:v>
      </x:c>
      <x:c r="J804" s="10" t="n">
        <x:v>0</x:v>
      </x:c>
      <x:c r="K804" s="10" t="str">
        <x:v>3 Mo.</x:v>
      </x:c>
      <x:c r="L804" s="10" t="n">
        <x:v>0</x:v>
      </x:c>
      <x:c r="M804" s="10" t="n">
        <x:v>0</x:v>
      </x:c>
      <x:c r="N804" s="10" t="n">
        <x:v>0</x:v>
      </x:c>
      <x:c r="O804" s="10" t="str"/>
      <x:c r="P804" s="10" t="n">
        <x:v>10</x:v>
      </x:c>
      <x:c r="Q804" s="10" t="n">
        <x:v>0</x:v>
      </x:c>
      <x:c r="R804" s="13" t="n">
        <x:v>0</x:v>
      </x:c>
      <x:c r="S804" s="10" t="n">
        <x:v>567</x:v>
      </x:c>
      <x:c r="T804" s="10" t="str">
        <x:v>buy or rent,rent vs buy,home calculator,mortgage planner,rent calculator,buy calculator,excel finance,google sheets,real estate tool,home decision,cost comparison,spreadsheet,digital download</x:v>
      </x:c>
      <x:c r="U804" s="10" t="str">
        <x:v>buy or rent</x:v>
      </x:c>
      <x:c r="V804" s="10" t="str">
        <x:v>rent vs buy</x:v>
      </x:c>
      <x:c r="W804" s="10" t="str">
        <x:v>home calculator</x:v>
      </x:c>
      <x:c r="X804" s="10" t="str">
        <x:v>mortgage planner</x:v>
      </x:c>
      <x:c r="Y804" s="10" t="str">
        <x:v>rent calculator</x:v>
      </x:c>
      <x:c r="Z804" s="10" t="str">
        <x:v>buy calculator</x:v>
      </x:c>
      <x:c r="AA804" s="10" t="str">
        <x:v>excel finance</x:v>
      </x:c>
      <x:c r="AB804" s="10" t="str">
        <x:v>google sheets</x:v>
      </x:c>
      <x:c r="AC804" s="10" t="str">
        <x:v>real estate tool</x:v>
      </x:c>
      <x:c r="AD804" s="10" t="str">
        <x:v>home decision</x:v>
      </x:c>
      <x:c r="AE804" s="10" t="str">
        <x:v>cost comparison</x:v>
      </x:c>
      <x:c r="AF804" s="10" t="str">
        <x:v>spreadsheet</x:v>
      </x:c>
      <x:c r="AG804" s="10" t="str">
        <x:v>digital download</x:v>
      </x:c>
      <x:c r="AH804" s="10" t="str">
        <x:v>Other mortgage-related</x:v>
      </x:c>
      <x:c r="AI804" s="13" t="n">
        <x:v>3</x:v>
      </x:c>
      <x:c r="AJ804" s="10" t="str">
        <x:f>IF(F804&gt;0,"Active","No est. sales")</x:f>
        <x:v>No est. sales</x:v>
      </x:c>
    </x:row>
    <x:row r="805">
      <x:c r="A805" s="10" t="str">
        <x:v>Principal Amortization Schedule Template | Loan Repayment Tracker | Mortgage Payment Planner | Debt Schedule Sheet | Excel &amp; Google Sheets</x:v>
      </x:c>
      <x:c r="B805" s="10" t="str">
        <x:v>https://www.etsy.com/listing/4498594108/principal-amortization-schedule-template</x:v>
      </x:c>
      <x:c r="C805" s="10" t="str">
        <x:v>DaffodillsSheets</x:v>
      </x:c>
      <x:c r="D805" s="10" t="str">
        <x:v>https://www.etsy.com/shop/DaffodillsSheets</x:v>
      </x:c>
      <x:c r="E805" s="11" t="n">
        <x:v>10.87</x:v>
      </x:c>
      <x:c r="F805" s="10" t="n">
        <x:v>0</x:v>
      </x:c>
      <x:c r="G805" s="12" t="n">
        <x:v>0</x:v>
      </x:c>
      <x:c r="H805" s="13" t="n">
        <x:v>0</x:v>
      </x:c>
      <x:c r="I805" s="10" t="n">
        <x:v>0</x:v>
      </x:c>
      <x:c r="J805" s="10" t="n">
        <x:v>0</x:v>
      </x:c>
      <x:c r="K805" s="10" t="str">
        <x:v>2 Mo.</x:v>
      </x:c>
      <x:c r="L805" s="10" t="n">
        <x:v>0</x:v>
      </x:c>
      <x:c r="M805" s="10" t="n">
        <x:v>0</x:v>
      </x:c>
      <x:c r="N805" s="10" t="n">
        <x:v>1</x:v>
      </x:c>
      <x:c r="O805" s="10" t="str"/>
      <x:c r="P805" s="10" t="n">
        <x:v>10</x:v>
      </x:c>
      <x:c r="Q805" s="10" t="n">
        <x:v>0</x:v>
      </x:c>
      <x:c r="R805" s="13" t="n">
        <x:v>0</x:v>
      </x:c>
      <x:c r="S805" s="10" t="n">
        <x:v>567</x:v>
      </x:c>
      <x:c r="T805" s="10" t="str">
        <x:v>loan tracker,amortization,mortgage sheet,debt tracker,payment planner,loan schedule,finance tracker,interest log,excel template,google sheets,debt planner,loan planner,payment log</x:v>
      </x:c>
      <x:c r="U805" s="10" t="str">
        <x:v>loan tracker</x:v>
      </x:c>
      <x:c r="V805" s="10" t="str">
        <x:v>amortization</x:v>
      </x:c>
      <x:c r="W805" s="10" t="str">
        <x:v>mortgage sheet</x:v>
      </x:c>
      <x:c r="X805" s="10" t="str">
        <x:v>debt tracker</x:v>
      </x:c>
      <x:c r="Y805" s="10" t="str">
        <x:v>payment planner</x:v>
      </x:c>
      <x:c r="Z805" s="10" t="str">
        <x:v>loan schedule</x:v>
      </x:c>
      <x:c r="AA805" s="10" t="str">
        <x:v>finance tracker</x:v>
      </x:c>
      <x:c r="AB805" s="10" t="str">
        <x:v>interest log</x:v>
      </x:c>
      <x:c r="AC805" s="10" t="str">
        <x:v>excel template</x:v>
      </x:c>
      <x:c r="AD805" s="10" t="str">
        <x:v>google sheets</x:v>
      </x:c>
      <x:c r="AE805" s="10" t="str">
        <x:v>debt planner</x:v>
      </x:c>
      <x:c r="AF805" s="10" t="str">
        <x:v>loan planner</x:v>
      </x:c>
      <x:c r="AG805" s="10" t="str">
        <x:v>payment log</x:v>
      </x:c>
      <x:c r="AH805" s="10" t="str">
        <x:v>Mortgage payoff / calculator</x:v>
      </x:c>
      <x:c r="AI805" s="13" t="n">
        <x:v>2</x:v>
      </x:c>
      <x:c r="AJ805" s="10" t="str">
        <x:f>IF(F805&gt;0,"Active","No est. sales")</x:f>
        <x:v>No est. sales</x:v>
      </x:c>
    </x:row>
    <x:row r="806">
      <x:c r="A806" s="10" t="str">
        <x:v>Fixed Payment Amortization Schedule Template | Loan Calculator Spreadsheet | Debt Repayment Tracker | Excel &amp; Google Sheets | Loan Payment</x:v>
      </x:c>
      <x:c r="B806" s="10" t="str">
        <x:v>https://www.etsy.com/listing/4498615655/fixed-payment-amortization-schedule</x:v>
      </x:c>
      <x:c r="C806" s="10" t="str">
        <x:v>DaffodillsSheets</x:v>
      </x:c>
      <x:c r="D806" s="10" t="str">
        <x:v>https://www.etsy.com/shop/DaffodillsSheets</x:v>
      </x:c>
      <x:c r="E806" s="11" t="n">
        <x:v>10.87</x:v>
      </x:c>
      <x:c r="F806" s="10" t="n">
        <x:v>0</x:v>
      </x:c>
      <x:c r="G806" s="12" t="n">
        <x:v>0</x:v>
      </x:c>
      <x:c r="H806" s="13" t="n">
        <x:v>0</x:v>
      </x:c>
      <x:c r="I806" s="10" t="n">
        <x:v>0</x:v>
      </x:c>
      <x:c r="J806" s="10" t="n">
        <x:v>0</x:v>
      </x:c>
      <x:c r="K806" s="10" t="str">
        <x:v>2 Mo.</x:v>
      </x:c>
      <x:c r="L806" s="10" t="n">
        <x:v>0</x:v>
      </x:c>
      <x:c r="M806" s="10" t="n">
        <x:v>0</x:v>
      </x:c>
      <x:c r="N806" s="10" t="n">
        <x:v>5</x:v>
      </x:c>
      <x:c r="O806" s="10" t="str"/>
      <x:c r="P806" s="10" t="n">
        <x:v>10</x:v>
      </x:c>
      <x:c r="Q806" s="10" t="n">
        <x:v>0</x:v>
      </x:c>
      <x:c r="R806" s="13" t="n">
        <x:v>0</x:v>
      </x:c>
      <x:c r="S806" s="10" t="n">
        <x:v>567</x:v>
      </x:c>
      <x:c r="T806" s="10" t="str">
        <x:v>amortization,loan tracker,excel template,finance sheet,debt planner,loan schedule,mortgage tool,payment tracker,google sheets,budget planner,loan calculator,finance tracker,spreadsheet</x:v>
      </x:c>
      <x:c r="U806" s="10" t="str">
        <x:v>amortization</x:v>
      </x:c>
      <x:c r="V806" s="10" t="str">
        <x:v>loan tracker</x:v>
      </x:c>
      <x:c r="W806" s="10" t="str">
        <x:v>excel template</x:v>
      </x:c>
      <x:c r="X806" s="10" t="str">
        <x:v>finance sheet</x:v>
      </x:c>
      <x:c r="Y806" s="10" t="str">
        <x:v>debt planner</x:v>
      </x:c>
      <x:c r="Z806" s="10" t="str">
        <x:v>loan schedule</x:v>
      </x:c>
      <x:c r="AA806" s="10" t="str">
        <x:v>mortgage tool</x:v>
      </x:c>
      <x:c r="AB806" s="10" t="str">
        <x:v>payment tracker</x:v>
      </x:c>
      <x:c r="AC806" s="10" t="str">
        <x:v>google sheets</x:v>
      </x:c>
      <x:c r="AD806" s="10" t="str">
        <x:v>budget planner</x:v>
      </x:c>
      <x:c r="AE806" s="10" t="str">
        <x:v>loan calculator</x:v>
      </x:c>
      <x:c r="AF806" s="10" t="str">
        <x:v>finance tracker</x:v>
      </x:c>
      <x:c r="AG806" s="10" t="str">
        <x:v>spreadsheet</x:v>
      </x:c>
      <x:c r="AH806" s="10" t="str">
        <x:v>General loan calculator</x:v>
      </x:c>
      <x:c r="AI806" s="13" t="n">
        <x:v>2</x:v>
      </x:c>
      <x:c r="AJ806" s="10" t="str">
        <x:f>IF(F806&gt;0,"Active","No est. sales")</x:f>
        <x:v>No est. sales</x:v>
      </x:c>
    </x:row>
    <x:row r="807">
      <x:c r="A807" s="10" t="str">
        <x:v>ARM Mortgage Calculator, Adjustable Rate Loan Spreadsheet, Amortization Schedule, Home Loan Planner, Google Sheets, Excel</x:v>
      </x:c>
      <x:c r="B807" s="10" t="str">
        <x:v>https://www.etsy.com/listing/4471425318/arm-mortgage-calculator-adjustable-rate</x:v>
      </x:c>
      <x:c r="C807" s="10" t="str">
        <x:v>DaffodillsSheets</x:v>
      </x:c>
      <x:c r="D807" s="10" t="str">
        <x:v>https://www.etsy.com/shop/DaffodillsSheets</x:v>
      </x:c>
      <x:c r="E807" s="11" t="n">
        <x:v>10.87</x:v>
      </x:c>
      <x:c r="F807" s="10" t="n">
        <x:v>0</x:v>
      </x:c>
      <x:c r="G807" s="12" t="n">
        <x:v>0</x:v>
      </x:c>
      <x:c r="H807" s="13" t="n">
        <x:v>0</x:v>
      </x:c>
      <x:c r="I807" s="10" t="n">
        <x:v>0</x:v>
      </x:c>
      <x:c r="J807" s="10" t="n">
        <x:v>0</x:v>
      </x:c>
      <x:c r="K807" s="10" t="str">
        <x:v>4 Mo.</x:v>
      </x:c>
      <x:c r="L807" s="10" t="n">
        <x:v>0</x:v>
      </x:c>
      <x:c r="M807" s="10" t="n">
        <x:v>0</x:v>
      </x:c>
      <x:c r="N807" s="10" t="n">
        <x:v>7</x:v>
      </x:c>
      <x:c r="O807" s="10" t="str"/>
      <x:c r="P807" s="10" t="n">
        <x:v>10</x:v>
      </x:c>
      <x:c r="Q807" s="10" t="n">
        <x:v>0</x:v>
      </x:c>
      <x:c r="R807" s="13" t="n">
        <x:v>0</x:v>
      </x:c>
      <x:c r="S807" s="10" t="n">
        <x:v>567</x:v>
      </x:c>
      <x:c r="T807" s="10" t="str">
        <x:v>arm calculator,mortgage sheet,loan calculator,amortization,arm mortgage,loan planner,home loan,excel mortgage,sheets mortgage,rate tracker,loan schedule,finance sheet,mortgage tool</x:v>
      </x:c>
      <x:c r="U807" s="10" t="str">
        <x:v>arm calculator</x:v>
      </x:c>
      <x:c r="V807" s="10" t="str">
        <x:v>mortgage sheet</x:v>
      </x:c>
      <x:c r="W807" s="10" t="str">
        <x:v>loan calculator</x:v>
      </x:c>
      <x:c r="X807" s="10" t="str">
        <x:v>amortization</x:v>
      </x:c>
      <x:c r="Y807" s="10" t="str">
        <x:v>arm mortgage</x:v>
      </x:c>
      <x:c r="Z807" s="10" t="str">
        <x:v>loan planner</x:v>
      </x:c>
      <x:c r="AA807" s="10" t="str">
        <x:v>home loan</x:v>
      </x:c>
      <x:c r="AB807" s="10" t="str">
        <x:v>excel mortgage</x:v>
      </x:c>
      <x:c r="AC807" s="10" t="str">
        <x:v>sheets mortgage</x:v>
      </x:c>
      <x:c r="AD807" s="10" t="str">
        <x:v>rate tracker</x:v>
      </x:c>
      <x:c r="AE807" s="10" t="str">
        <x:v>loan schedule</x:v>
      </x:c>
      <x:c r="AF807" s="10" t="str">
        <x:v>finance sheet</x:v>
      </x:c>
      <x:c r="AG807" s="10" t="str">
        <x:v>mortgage tool</x:v>
      </x:c>
      <x:c r="AH807" s="10" t="str">
        <x:v>Mortgage payoff / calculator</x:v>
      </x:c>
      <x:c r="AI807" s="13" t="n">
        <x:v>4</x:v>
      </x:c>
      <x:c r="AJ807" s="10" t="str">
        <x:f>IF(F807&gt;0,"Active","No est. sales")</x:f>
        <x:v>No est. sales</x:v>
      </x:c>
    </x:row>
    <x:row r="808">
      <x:c r="A808" s="10" t="str">
        <x:v>50k House Savings Challenge Tracker: Printable Goal Planner (Digital Download)</x:v>
      </x:c>
      <x:c r="B808" s="10" t="str">
        <x:v>https://www.etsy.com/listing/947183407/50k-house-savings-challenge-tracker</x:v>
      </x:c>
      <x:c r="C808" s="10" t="str">
        <x:v>bbhdesignss</x:v>
      </x:c>
      <x:c r="D808" s="10" t="str">
        <x:v>https://www.etsy.com/shop/bbhdesignss</x:v>
      </x:c>
      <x:c r="E808" s="11" t="n">
        <x:v>2</x:v>
      </x:c>
      <x:c r="F808" s="10" t="n">
        <x:v>0</x:v>
      </x:c>
      <x:c r="G808" s="12" t="n">
        <x:v>0</x:v>
      </x:c>
      <x:c r="H808" s="13" t="n">
        <x:v>0</x:v>
      </x:c>
      <x:c r="I808" s="10" t="n">
        <x:v>132</x:v>
      </x:c>
      <x:c r="J808" s="10" t="n">
        <x:v>18</x:v>
      </x:c>
      <x:c r="K808" s="10" t="str">
        <x:v>66 Mo.</x:v>
      </x:c>
      <x:c r="L808" s="10" t="n">
        <x:v>634</x:v>
      </x:c>
      <x:c r="M808" s="10" t="n">
        <x:v>0</x:v>
      </x:c>
      <x:c r="N808" s="10" t="n">
        <x:v>28783</x:v>
      </x:c>
      <x:c r="O808" s="10" t="str">
        <x:v>Paper &amp; Party Supplies</x:v>
      </x:c>
      <x:c r="P808" s="10" t="n">
        <x:v>186</x:v>
      </x:c>
      <x:c r="Q808" s="10" t="n">
        <x:v>99</x:v>
      </x:c>
      <x:c r="R808" s="13" t="n">
        <x:v>0.46</x:v>
      </x:c>
      <x:c r="S808" s="10" t="n">
        <x:v>4402</x:v>
      </x:c>
      <x:c r="T808" s="10" t="str">
        <x:v>bullet journal,house saving tracker,savings challenge,planner insert,mortgage payoff,budget journal,savings printable,monthly savings goal,savings tracker,the mom life,goal planner,50000 savings</x:v>
      </x:c>
      <x:c r="U808" s="10" t="str">
        <x:v>bullet journal</x:v>
      </x:c>
      <x:c r="V808" s="10" t="str">
        <x:v>house saving tracker</x:v>
      </x:c>
      <x:c r="W808" s="10" t="str">
        <x:v>savings challenge</x:v>
      </x:c>
      <x:c r="X808" s="10" t="str">
        <x:v>planner insert</x:v>
      </x:c>
      <x:c r="Y808" s="10" t="str">
        <x:v>mortgage payoff</x:v>
      </x:c>
      <x:c r="Z808" s="10" t="str">
        <x:v>budget journal</x:v>
      </x:c>
      <x:c r="AA808" s="10" t="str">
        <x:v>savings printable</x:v>
      </x:c>
      <x:c r="AB808" s="10" t="str">
        <x:v>monthly savings goal</x:v>
      </x:c>
      <x:c r="AC808" s="10" t="str">
        <x:v>savings tracker</x:v>
      </x:c>
      <x:c r="AD808" s="10" t="str">
        <x:v>the mom life</x:v>
      </x:c>
      <x:c r="AE808" s="10" t="str">
        <x:v>goal planner</x:v>
      </x:c>
      <x:c r="AF808" s="10" t="str">
        <x:v>50000 savings</x:v>
      </x:c>
      <x:c r="AG808" s="10" t="str">
        <x:v>--</x:v>
      </x:c>
      <x:c r="AH808" s="10" t="str">
        <x:v>Other mortgage-related</x:v>
      </x:c>
      <x:c r="AI808" s="13" t="n">
        <x:v>66</x:v>
      </x:c>
      <x:c r="AJ808" s="10" t="str">
        <x:f>IF(F808&gt;0,"Active","No est. sales")</x:f>
        <x:v>No est. sales</x:v>
      </x:c>
    </x:row>
    <x:row r="809">
      <x:c r="A809" s="10" t="str">
        <x:v>30k House Savings Tracker, Printable, Savings Goal, New House Tracker, 30,000 House Tracker Planner, Letter Size. A4, A5, PNG planner insert</x:v>
      </x:c>
      <x:c r="B809" s="10" t="str">
        <x:v>https://www.etsy.com/listing/949801269/30k-house-savings-tracker-printable</x:v>
      </x:c>
      <x:c r="C809" s="10" t="str">
        <x:v>bbhdesignss</x:v>
      </x:c>
      <x:c r="D809" s="10" t="str">
        <x:v>https://www.etsy.com/shop/bbhdesignss</x:v>
      </x:c>
      <x:c r="E809" s="11" t="n">
        <x:v>2</x:v>
      </x:c>
      <x:c r="F809" s="10" t="n">
        <x:v>0</x:v>
      </x:c>
      <x:c r="G809" s="12" t="n">
        <x:v>0</x:v>
      </x:c>
      <x:c r="H809" s="13" t="n">
        <x:v>0</x:v>
      </x:c>
      <x:c r="I809" s="10" t="n">
        <x:v>154</x:v>
      </x:c>
      <x:c r="J809" s="10" t="n">
        <x:v>21</x:v>
      </x:c>
      <x:c r="K809" s="10" t="str">
        <x:v>66 Mo.</x:v>
      </x:c>
      <x:c r="L809" s="10" t="n">
        <x:v>377</x:v>
      </x:c>
      <x:c r="M809" s="10" t="n">
        <x:v>0</x:v>
      </x:c>
      <x:c r="N809" s="10" t="n">
        <x:v>10863</x:v>
      </x:c>
      <x:c r="O809" s="10" t="str">
        <x:v>Paper &amp; Party Supplies</x:v>
      </x:c>
      <x:c r="P809" s="10" t="n">
        <x:v>186</x:v>
      </x:c>
      <x:c r="Q809" s="10" t="n">
        <x:v>48</x:v>
      </x:c>
      <x:c r="R809" s="13" t="n">
        <x:v>1.42</x:v>
      </x:c>
      <x:c r="S809" s="10" t="n">
        <x:v>4402</x:v>
      </x:c>
      <x:c r="T809" s="10" t="str">
        <x:v>house savings,new home fund,down payment savings,homeownership goal,property purchase,real estate invest,mortgage deposit,printable savings,savings challenge,savings goal chart,monthly contribution,sinking fund,budget planner</x:v>
      </x:c>
      <x:c r="U809" s="10" t="str">
        <x:v>house savings</x:v>
      </x:c>
      <x:c r="V809" s="10" t="str">
        <x:v>new home fund</x:v>
      </x:c>
      <x:c r="W809" s="10" t="str">
        <x:v>down payment savings</x:v>
      </x:c>
      <x:c r="X809" s="10" t="str">
        <x:v>homeownership goal</x:v>
      </x:c>
      <x:c r="Y809" s="10" t="str">
        <x:v>property purchase</x:v>
      </x:c>
      <x:c r="Z809" s="10" t="str">
        <x:v>real estate invest</x:v>
      </x:c>
      <x:c r="AA809" s="10" t="str">
        <x:v>mortgage deposit</x:v>
      </x:c>
      <x:c r="AB809" s="10" t="str">
        <x:v>printable savings</x:v>
      </x:c>
      <x:c r="AC809" s="10" t="str">
        <x:v>savings challenge</x:v>
      </x:c>
      <x:c r="AD809" s="10" t="str">
        <x:v>savings goal chart</x:v>
      </x:c>
      <x:c r="AE809" s="10" t="str">
        <x:v>monthly contribution</x:v>
      </x:c>
      <x:c r="AF809" s="10" t="str">
        <x:v>sinking fund</x:v>
      </x:c>
      <x:c r="AG809" s="10" t="str">
        <x:v>budget planner</x:v>
      </x:c>
      <x:c r="AH809" s="10" t="str">
        <x:v>Other mortgage-related</x:v>
      </x:c>
      <x:c r="AI809" s="13" t="n">
        <x:v>66</x:v>
      </x:c>
      <x:c r="AJ809" s="10" t="str">
        <x:f>IF(F809&gt;0,"Active","No est. sales")</x:f>
        <x:v>No est. sales</x:v>
      </x:c>
    </x:row>
    <x:row r="810">
      <x:c r="A810" s="10" t="str">
        <x:v>First Time Buyer Planner Google Sheets | UK Home Buying Guide</x:v>
      </x:c>
      <x:c r="B810" s="10" t="str">
        <x:v>https://www.etsy.com/listing/4494976953/first-time-buyer-planner-google-sheets</x:v>
      </x:c>
      <x:c r="C810" s="10" t="str">
        <x:v>ColdAndCalder</x:v>
      </x:c>
      <x:c r="D810" s="10" t="str">
        <x:v>https://www.etsy.com/shop/ColdAndCalder</x:v>
      </x:c>
      <x:c r="E810" s="11" t="n">
        <x:v>9.39</x:v>
      </x:c>
      <x:c r="F810" s="10" t="n">
        <x:v>0</x:v>
      </x:c>
      <x:c r="G810" s="12" t="n">
        <x:v>0</x:v>
      </x:c>
      <x:c r="H810" s="13" t="n">
        <x:v>0</x:v>
      </x:c>
      <x:c r="I810" s="10" t="n">
        <x:v>0</x:v>
      </x:c>
      <x:c r="J810" s="10" t="n">
        <x:v>0</x:v>
      </x:c>
      <x:c r="K810" s="10" t="str">
        <x:v>3 Mo.</x:v>
      </x:c>
      <x:c r="L810" s="10" t="n">
        <x:v>0</x:v>
      </x:c>
      <x:c r="M810" s="10" t="n">
        <x:v>0</x:v>
      </x:c>
      <x:c r="N810" s="10" t="n">
        <x:v>8</x:v>
      </x:c>
      <x:c r="O810" s="10" t="str"/>
      <x:c r="P810" s="10" t="n">
        <x:v>37</x:v>
      </x:c>
      <x:c r="Q810" s="10" t="n">
        <x:v>0</x:v>
      </x:c>
      <x:c r="R810" s="13" t="n">
        <x:v>0</x:v>
      </x:c>
      <x:c r="S810" s="10" t="n">
        <x:v>3</x:v>
      </x:c>
      <x:c r="T810" s="10" t="str">
        <x:v>first time buyer,first time buyer uk,home buying planner,mortgage tracker,conveyancing tracker,stamp duty calculate,first home planner,house buying list,first buyer gift,new home gift,uk house buying,mortgage comparison,home buying guide uk</x:v>
      </x:c>
      <x:c r="U810" s="10" t="str">
        <x:v>first time buyer</x:v>
      </x:c>
      <x:c r="V810" s="10" t="str">
        <x:v>first time buyer uk</x:v>
      </x:c>
      <x:c r="W810" s="10" t="str">
        <x:v>home buying planner</x:v>
      </x:c>
      <x:c r="X810" s="10" t="str">
        <x:v>mortgage tracker</x:v>
      </x:c>
      <x:c r="Y810" s="10" t="str">
        <x:v>conveyancing tracker</x:v>
      </x:c>
      <x:c r="Z810" s="10" t="str">
        <x:v>stamp duty calculate</x:v>
      </x:c>
      <x:c r="AA810" s="10" t="str">
        <x:v>first home planner</x:v>
      </x:c>
      <x:c r="AB810" s="10" t="str">
        <x:v>house buying list</x:v>
      </x:c>
      <x:c r="AC810" s="10" t="str">
        <x:v>first buyer gift</x:v>
      </x:c>
      <x:c r="AD810" s="10" t="str">
        <x:v>new home gift</x:v>
      </x:c>
      <x:c r="AE810" s="10" t="str">
        <x:v>uk house buying</x:v>
      </x:c>
      <x:c r="AF810" s="10" t="str">
        <x:v>mortgage comparison</x:v>
      </x:c>
      <x:c r="AG810" s="10" t="str">
        <x:v>home buying guide uk</x:v>
      </x:c>
      <x:c r="AH810" s="10" t="str">
        <x:v>Home buying planner</x:v>
      </x:c>
      <x:c r="AI810" s="13" t="n">
        <x:v>3</x:v>
      </x:c>
      <x:c r="AJ810" s="10" t="str">
        <x:f>IF(F810&gt;0,"Active","No est. sales")</x:f>
        <x:v>No est. sales</x:v>
      </x:c>
    </x:row>
    <x:row r="811">
      <x:c r="A811" s="10" t="str">
        <x:v>Comprehensive Loan Amortization Calculator Excel Template | Detailed Loan Repayment Schedule, Mortgage Principal &amp; Interest Breakdown</x:v>
      </x:c>
      <x:c r="B811" s="10" t="str">
        <x:v>https://www.etsy.com/listing/1414181386/comprehensive-loan-amortization</x:v>
      </x:c>
      <x:c r="C811" s="10" t="str">
        <x:v>Sirexcelco</x:v>
      </x:c>
      <x:c r="D811" s="10" t="str">
        <x:v>https://www.etsy.com/shop/Sirexcelco</x:v>
      </x:c>
      <x:c r="E811" s="11" t="n">
        <x:v>6</x:v>
      </x:c>
      <x:c r="F811" s="10" t="n">
        <x:v>0</x:v>
      </x:c>
      <x:c r="G811" s="12" t="n">
        <x:v>0</x:v>
      </x:c>
      <x:c r="H811" s="13" t="n">
        <x:v>0</x:v>
      </x:c>
      <x:c r="I811" s="10" t="n">
        <x:v>0</x:v>
      </x:c>
      <x:c r="J811" s="10" t="n">
        <x:v>0</x:v>
      </x:c>
      <x:c r="K811" s="10" t="str">
        <x:v>40 Mo.</x:v>
      </x:c>
      <x:c r="L811" s="10" t="n">
        <x:v>5</x:v>
      </x:c>
      <x:c r="M811" s="10" t="n">
        <x:v>0</x:v>
      </x:c>
      <x:c r="N811" s="10" t="n">
        <x:v>342</x:v>
      </x:c>
      <x:c r="O811" s="10" t="str">
        <x:v>Paper &amp; Party Supplies</x:v>
      </x:c>
      <x:c r="P811" s="10" t="n">
        <x:v>69</x:v>
      </x:c>
      <x:c r="Q811" s="10" t="n">
        <x:v>0</x:v>
      </x:c>
      <x:c r="R811" s="13" t="n">
        <x:v>0</x:v>
      </x:c>
      <x:c r="S811" s="10" t="n">
        <x:v>611</x:v>
      </x:c>
      <x:c r="T811" s="10" t="str">
        <x:v>loan calculator,loan tracker,repayment calculator,finance tool,interest tracker,bank loan planner,excel template,monthly payments,debt tracker,financial planning,loan payment,loan analysis,mortgage schedule</x:v>
      </x:c>
      <x:c r="U811" s="10" t="str">
        <x:v>loan calculator</x:v>
      </x:c>
      <x:c r="V811" s="10" t="str">
        <x:v>loan tracker</x:v>
      </x:c>
      <x:c r="W811" s="10" t="str">
        <x:v>repayment calculator</x:v>
      </x:c>
      <x:c r="X811" s="10" t="str">
        <x:v>finance tool</x:v>
      </x:c>
      <x:c r="Y811" s="10" t="str">
        <x:v>interest tracker</x:v>
      </x:c>
      <x:c r="Z811" s="10" t="str">
        <x:v>bank loan planner</x:v>
      </x:c>
      <x:c r="AA811" s="10" t="str">
        <x:v>excel template</x:v>
      </x:c>
      <x:c r="AB811" s="10" t="str">
        <x:v>monthly payments</x:v>
      </x:c>
      <x:c r="AC811" s="10" t="str">
        <x:v>debt tracker</x:v>
      </x:c>
      <x:c r="AD811" s="10" t="str">
        <x:v>financial planning</x:v>
      </x:c>
      <x:c r="AE811" s="10" t="str">
        <x:v>loan payment</x:v>
      </x:c>
      <x:c r="AF811" s="10" t="str">
        <x:v>loan analysis</x:v>
      </x:c>
      <x:c r="AG811" s="10" t="str">
        <x:v>mortgage schedule</x:v>
      </x:c>
      <x:c r="AH811" s="10" t="str">
        <x:v>General loan calculator</x:v>
      </x:c>
      <x:c r="AI811" s="13" t="n">
        <x:v>40</x:v>
      </x:c>
      <x:c r="AJ811" s="10" t="str">
        <x:f>IF(F811&gt;0,"Active","No est. sales")</x:f>
        <x:v>No est. sales</x:v>
      </x:c>
    </x:row>
    <x:row r="812">
      <x:c r="A812" s="10" t="str">
        <x:v>Coquette Budget Planner, HTML Interactive Personal Finance Expense Tracker, Auto Save Backup, Web Browser No App Required (Digital Download)</x:v>
      </x:c>
      <x:c r="B812" s="10" t="str">
        <x:v>https://www.etsy.com/listing/4514054388/ultimate-budget-planner-expense-tracker</x:v>
      </x:c>
      <x:c r="C812" s="10" t="str">
        <x:v>SimplyPlannedAnna</x:v>
      </x:c>
      <x:c r="D812" s="10" t="str">
        <x:v>https://www.etsy.com/shop/SimplyPlannedAnna</x:v>
      </x:c>
      <x:c r="E812" s="11" t="n">
        <x:v>10.5</x:v>
      </x:c>
      <x:c r="F812" s="10" t="n">
        <x:v>0</x:v>
      </x:c>
      <x:c r="G812" s="12" t="n">
        <x:v>0</x:v>
      </x:c>
      <x:c r="H812" s="13" t="n">
        <x:v>0</x:v>
      </x:c>
      <x:c r="I812" s="10" t="n">
        <x:v>0</x:v>
      </x:c>
      <x:c r="J812" s="10" t="n">
        <x:v>0</x:v>
      </x:c>
      <x:c r="K812" s="10" t="str">
        <x:v>2 Mo.</x:v>
      </x:c>
      <x:c r="L812" s="10" t="n">
        <x:v>0</x:v>
      </x:c>
      <x:c r="M812" s="10" t="n">
        <x:v>0</x:v>
      </x:c>
      <x:c r="N812" s="10" t="n">
        <x:v>3</x:v>
      </x:c>
      <x:c r="O812" s="10" t="str"/>
      <x:c r="P812" s="10" t="n">
        <x:v>3</x:v>
      </x:c>
      <x:c r="Q812" s="10" t="n">
        <x:v>0</x:v>
      </x:c>
      <x:c r="R812" s="13" t="n">
        <x:v>0</x:v>
      </x:c>
      <x:c r="S812" s="10" t="n">
        <x:v>1</x:v>
      </x:c>
      <x:c r="T812" s="10" t="str">
        <x:v>budget planner,expense tracker,monthly budget,financial planner,budget tracker,household budget,mortgage tracker,sinking funds log,digital planner,digital download,auto save backup,no app web browser,interactive html</x:v>
      </x:c>
      <x:c r="U812" s="10" t="str">
        <x:v>budget planner</x:v>
      </x:c>
      <x:c r="V812" s="10" t="str">
        <x:v>expense tracker</x:v>
      </x:c>
      <x:c r="W812" s="10" t="str">
        <x:v>monthly budget</x:v>
      </x:c>
      <x:c r="X812" s="10" t="str">
        <x:v>financial planner</x:v>
      </x:c>
      <x:c r="Y812" s="10" t="str">
        <x:v>budget tracker</x:v>
      </x:c>
      <x:c r="Z812" s="10" t="str">
        <x:v>household budget</x:v>
      </x:c>
      <x:c r="AA812" s="10" t="str">
        <x:v>mortgage tracker</x:v>
      </x:c>
      <x:c r="AB812" s="10" t="str">
        <x:v>sinking funds log</x:v>
      </x:c>
      <x:c r="AC812" s="10" t="str">
        <x:v>digital planner</x:v>
      </x:c>
      <x:c r="AD812" s="10" t="str">
        <x:v>digital download</x:v>
      </x:c>
      <x:c r="AE812" s="10" t="str">
        <x:v>auto save backup</x:v>
      </x:c>
      <x:c r="AF812" s="10" t="str">
        <x:v>no app web browser</x:v>
      </x:c>
      <x:c r="AG812" s="10" t="str">
        <x:v>interactive html</x:v>
      </x:c>
      <x:c r="AH812" s="10" t="str">
        <x:v>Other mortgage-related</x:v>
      </x:c>
      <x:c r="AI812" s="13" t="n">
        <x:v>2</x:v>
      </x:c>
      <x:c r="AJ812" s="10" t="str">
        <x:f>IF(F812&gt;0,"Active","No est. sales")</x:f>
        <x:v>No est. sales</x:v>
      </x:c>
    </x:row>
    <x:row r="813">
      <x:c r="A813" s="10" t="str">
        <x:v>Credit Score Gauges Cute Planner Stickers - Finance Planning , Money Tracking Matte Sticker Sheet , Money Lending Scale</x:v>
      </x:c>
      <x:c r="B813" s="10" t="str">
        <x:v>https://www.etsy.com/listing/1196154742/credit-score-gauges-cute-planner</x:v>
      </x:c>
      <x:c r="C813" s="10" t="str">
        <x:v>danidolldesignsx</x:v>
      </x:c>
      <x:c r="D813" s="10" t="str">
        <x:v>https://www.etsy.com/shop/danidolldesignsx</x:v>
      </x:c>
      <x:c r="E813" s="11" t="n">
        <x:v>3.34</x:v>
      </x:c>
      <x:c r="F813" s="10" t="n">
        <x:v>0</x:v>
      </x:c>
      <x:c r="G813" s="12" t="n">
        <x:v>0</x:v>
      </x:c>
      <x:c r="H813" s="13" t="n">
        <x:v>0</x:v>
      </x:c>
      <x:c r="I813" s="10" t="n">
        <x:v>18</x:v>
      </x:c>
      <x:c r="J813" s="10" t="n">
        <x:v>3</x:v>
      </x:c>
      <x:c r="K813" s="10" t="str">
        <x:v>51 Mo.</x:v>
      </x:c>
      <x:c r="L813" s="10" t="n">
        <x:v>9</x:v>
      </x:c>
      <x:c r="M813" s="10" t="n">
        <x:v>0</x:v>
      </x:c>
      <x:c r="N813" s="10" t="n">
        <x:v>100</x:v>
      </x:c>
      <x:c r="O813" s="10" t="str">
        <x:v>Paper &amp; Party Supplies</x:v>
      </x:c>
      <x:c r="P813" s="10" t="n">
        <x:v>133</x:v>
      </x:c>
      <x:c r="Q813" s="10" t="n">
        <x:v>0</x:v>
      </x:c>
      <x:c r="R813" s="13" t="n">
        <x:v>18</x:v>
      </x:c>
      <x:c r="S813" s="10" t="n">
        <x:v>3472</x:v>
      </x:c>
      <x:c r="T813" s="10" t="str">
        <x:v>financial trackers,finance sticker,planner stickers,handmade stickers,diary sticker sheets,money stickers,utility bill,credit score,money lending,mortgage application,credit score scale,credit score gauge,borrowing cash</x:v>
      </x:c>
      <x:c r="U813" s="10" t="str">
        <x:v>financial trackers</x:v>
      </x:c>
      <x:c r="V813" s="10" t="str">
        <x:v>finance sticker</x:v>
      </x:c>
      <x:c r="W813" s="10" t="str">
        <x:v>planner stickers</x:v>
      </x:c>
      <x:c r="X813" s="10" t="str">
        <x:v>handmade stickers</x:v>
      </x:c>
      <x:c r="Y813" s="10" t="str">
        <x:v>diary sticker sheets</x:v>
      </x:c>
      <x:c r="Z813" s="10" t="str">
        <x:v>money stickers</x:v>
      </x:c>
      <x:c r="AA813" s="10" t="str">
        <x:v>utility bill</x:v>
      </x:c>
      <x:c r="AB813" s="10" t="str">
        <x:v>credit score</x:v>
      </x:c>
      <x:c r="AC813" s="10" t="str">
        <x:v>money lending</x:v>
      </x:c>
      <x:c r="AD813" s="10" t="str">
        <x:v>mortgage application</x:v>
      </x:c>
      <x:c r="AE813" s="10" t="str">
        <x:v>credit score scale</x:v>
      </x:c>
      <x:c r="AF813" s="10" t="str">
        <x:v>credit score gauge</x:v>
      </x:c>
      <x:c r="AG813" s="10" t="str">
        <x:v>borrowing cash</x:v>
      </x:c>
      <x:c r="AH813" s="10" t="str">
        <x:v>Other mortgage-related</x:v>
      </x:c>
      <x:c r="AI813" s="13" t="n">
        <x:v>51</x:v>
      </x:c>
      <x:c r="AJ813" s="10" t="str">
        <x:f>IF(F813&gt;0,"Active","No est. sales")</x:f>
        <x:v>No est. sales</x:v>
      </x:c>
    </x:row>
    <x:row r="814">
      <x:c r="A814" s="10" t="str">
        <x:v>Mortgage Affordability Workbook | Interactive Homebuyer Planner | Blue | DTI Calculator</x:v>
      </x:c>
      <x:c r="B814" s="10" t="str">
        <x:v>https://www.etsy.com/listing/4480381913/mortgage-affordability-workbook</x:v>
      </x:c>
      <x:c r="C814" s="10" t="str">
        <x:v>SolvanaShop</x:v>
      </x:c>
      <x:c r="D814" s="10" t="str">
        <x:v>https://www.etsy.com/shop/SolvanaShop</x:v>
      </x:c>
      <x:c r="E814" s="11" t="n">
        <x:v>20.68</x:v>
      </x:c>
      <x:c r="F814" s="10" t="n">
        <x:v>0</x:v>
      </x:c>
      <x:c r="G814" s="12" t="n">
        <x:v>0</x:v>
      </x:c>
      <x:c r="H814" s="13" t="n">
        <x:v>0</x:v>
      </x:c>
      <x:c r="I814" s="10" t="n">
        <x:v>0</x:v>
      </x:c>
      <x:c r="J814" s="10" t="n">
        <x:v>0</x:v>
      </x:c>
      <x:c r="K814" s="10" t="str">
        <x:v>4 Mo.</x:v>
      </x:c>
      <x:c r="L814" s="10" t="n">
        <x:v>0</x:v>
      </x:c>
      <x:c r="M814" s="10" t="n">
        <x:v>0</x:v>
      </x:c>
      <x:c r="N814" s="10" t="n">
        <x:v>0</x:v>
      </x:c>
      <x:c r="O814" s="10" t="str"/>
      <x:c r="P814" s="10" t="n">
        <x:v>30</x:v>
      </x:c>
      <x:c r="Q814" s="10" t="n">
        <x:v>0</x:v>
      </x:c>
      <x:c r="R814" s="13" t="n">
        <x:v>0</x:v>
      </x:c>
      <x:c r="S814" s="10" t="n">
        <x:v>0</x:v>
      </x:c>
      <x:c r="T814" s="10" t="str">
        <x:v>mortgage calculator,home budget worksheet,dti calculator,homebuyer guide,mortgage workbook,expense tracker,financial planner,printable planner,real estate tool,down payment planner,budget tracker,first time homebuyer,affordability planner</x:v>
      </x:c>
      <x:c r="U814" s="10" t="str">
        <x:v>mortgage calculator</x:v>
      </x:c>
      <x:c r="V814" s="10" t="str">
        <x:v>home budget worksheet</x:v>
      </x:c>
      <x:c r="W814" s="10" t="str">
        <x:v>dti calculator</x:v>
      </x:c>
      <x:c r="X814" s="10" t="str">
        <x:v>homebuyer guide</x:v>
      </x:c>
      <x:c r="Y814" s="10" t="str">
        <x:v>mortgage workbook</x:v>
      </x:c>
      <x:c r="Z814" s="10" t="str">
        <x:v>expense tracker</x:v>
      </x:c>
      <x:c r="AA814" s="10" t="str">
        <x:v>financial planner</x:v>
      </x:c>
      <x:c r="AB814" s="10" t="str">
        <x:v>printable planner</x:v>
      </x:c>
      <x:c r="AC814" s="10" t="str">
        <x:v>real estate tool</x:v>
      </x:c>
      <x:c r="AD814" s="10" t="str">
        <x:v>down payment planner</x:v>
      </x:c>
      <x:c r="AE814" s="10" t="str">
        <x:v>budget tracker</x:v>
      </x:c>
      <x:c r="AF814" s="10" t="str">
        <x:v>first time homebuyer</x:v>
      </x:c>
      <x:c r="AG814" s="10" t="str">
        <x:v>affordability planner</x:v>
      </x:c>
      <x:c r="AH814" s="10" t="str">
        <x:v>Home buying planner</x:v>
      </x:c>
      <x:c r="AI814" s="13" t="n">
        <x:v>4</x:v>
      </x:c>
      <x:c r="AJ814" s="10" t="str">
        <x:f>IF(F814&gt;0,"Active","No est. sales")</x:f>
        <x:v>No est. sales</x:v>
      </x:c>
    </x:row>
    <x:row r="815">
      <x:c r="A815" s="10" t="str">
        <x:v>Simple First Home Buyer Planner: AU Edition</x:v>
      </x:c>
      <x:c r="B815" s="10" t="str">
        <x:v>https://www.etsy.com/listing/4298250722/simple-first-home-buyer-planner-au</x:v>
      </x:c>
      <x:c r="C815" s="10" t="str">
        <x:v>BudgetBloomAU</x:v>
      </x:c>
      <x:c r="D815" s="10" t="str">
        <x:v>https://www.etsy.com/shop/BudgetBloomAU</x:v>
      </x:c>
      <x:c r="E815" s="11" t="n">
        <x:v>3.15</x:v>
      </x:c>
      <x:c r="F815" s="10" t="n">
        <x:v>0</x:v>
      </x:c>
      <x:c r="G815" s="12" t="n">
        <x:v>0</x:v>
      </x:c>
      <x:c r="H815" s="13" t="n">
        <x:v>0</x:v>
      </x:c>
      <x:c r="I815" s="10" t="n">
        <x:v>0</x:v>
      </x:c>
      <x:c r="J815" s="10" t="n">
        <x:v>0</x:v>
      </x:c>
      <x:c r="K815" s="10" t="str">
        <x:v>15 Mo.</x:v>
      </x:c>
      <x:c r="L815" s="10" t="n">
        <x:v>5</x:v>
      </x:c>
      <x:c r="M815" s="10" t="n">
        <x:v>0</x:v>
      </x:c>
      <x:c r="N815" s="10" t="n">
        <x:v>45</x:v>
      </x:c>
      <x:c r="O815" s="10" t="str"/>
      <x:c r="P815" s="10" t="n">
        <x:v>15</x:v>
      </x:c>
      <x:c r="Q815" s="10" t="n">
        <x:v>0</x:v>
      </x:c>
      <x:c r="R815" s="13" t="n">
        <x:v>0</x:v>
      </x:c>
      <x:c r="S815" s="10" t="n">
        <x:v>1</x:v>
      </x:c>
      <x:c r="T815" s="10" t="str">
        <x:v>finance planner,simple budget plan,first home buyer,aussie home buyer,first home planner,simple money tracker,first home printable,mortgage budget plan,savings planner,au savings planner,au first home buyer</x:v>
      </x:c>
      <x:c r="U815" s="10" t="str">
        <x:v>finance planner</x:v>
      </x:c>
      <x:c r="V815" s="10" t="str">
        <x:v>simple budget plan</x:v>
      </x:c>
      <x:c r="W815" s="10" t="str">
        <x:v>first home buyer</x:v>
      </x:c>
      <x:c r="X815" s="10" t="str">
        <x:v>aussie home buyer</x:v>
      </x:c>
      <x:c r="Y815" s="10" t="str">
        <x:v>first home planner</x:v>
      </x:c>
      <x:c r="Z815" s="10" t="str">
        <x:v>simple money tracker</x:v>
      </x:c>
      <x:c r="AA815" s="10" t="str">
        <x:v>first home printable</x:v>
      </x:c>
      <x:c r="AB815" s="10" t="str">
        <x:v>mortgage budget plan</x:v>
      </x:c>
      <x:c r="AC815" s="10" t="str">
        <x:v>savings planner</x:v>
      </x:c>
      <x:c r="AD815" s="10" t="str">
        <x:v>au savings planner</x:v>
      </x:c>
      <x:c r="AE815" s="10" t="str">
        <x:v>au first home buyer</x:v>
      </x:c>
      <x:c r="AF815" s="10" t="str">
        <x:v>--</x:v>
      </x:c>
      <x:c r="AG815" s="10" t="str">
        <x:v>--</x:v>
      </x:c>
      <x:c r="AH815" s="10" t="str">
        <x:v>Home buying planner</x:v>
      </x:c>
      <x:c r="AI815" s="13" t="n">
        <x:v>15</x:v>
      </x:c>
      <x:c r="AJ815" s="10" t="str">
        <x:f>IF(F815&gt;0,"Active","No est. sales")</x:f>
        <x:v>No est. sales</x:v>
      </x:c>
    </x:row>
    <x:row r="816">
      <x:c r="A816" s="10" t="str">
        <x:v>Loan Amortization &amp; Debt Payoff Planner Spreadsheet (Excel, Google Sheets)</x:v>
      </x:c>
      <x:c r="B816" s="10" t="str">
        <x:v>https://www.etsy.com/listing/4529612261/loan-amortization-debt-payoff-planner</x:v>
      </x:c>
      <x:c r="C816" s="10" t="str">
        <x:v>MindDigitalDesigns</x:v>
      </x:c>
      <x:c r="D816" s="10" t="str">
        <x:v>https://www.etsy.com/shop/MindDigitalDesigns</x:v>
      </x:c>
      <x:c r="E816" s="11" t="n">
        <x:v>8.95</x:v>
      </x:c>
      <x:c r="F816" s="10" t="n">
        <x:v>0</x:v>
      </x:c>
      <x:c r="G816" s="12" t="n">
        <x:v>0</x:v>
      </x:c>
      <x:c r="H816" s="13" t="n">
        <x:v>0</x:v>
      </x:c>
      <x:c r="I816" s="10" t="n">
        <x:v>0</x:v>
      </x:c>
      <x:c r="J816" s="10" t="n">
        <x:v>0</x:v>
      </x:c>
      <x:c r="K816" s="10" t="str">
        <x:v>1 Mo.</x:v>
      </x:c>
      <x:c r="L816" s="10" t="n">
        <x:v>0</x:v>
      </x:c>
      <x:c r="M816" s="10" t="n">
        <x:v>0</x:v>
      </x:c>
      <x:c r="N816" s="10" t="n">
        <x:v>11</x:v>
      </x:c>
      <x:c r="O816" s="10" t="str">
        <x:v>Paper &amp; Party Supplies</x:v>
      </x:c>
      <x:c r="P816" s="10" t="n">
        <x:v>20</x:v>
      </x:c>
      <x:c r="Q816" s="10" t="n">
        <x:v>0</x:v>
      </x:c>
      <x:c r="R816" s="13" t="n">
        <x:v>0</x:v>
      </x:c>
      <x:c r="S816" s="10" t="n">
        <x:v>492</x:v>
      </x:c>
      <x:c r="T816" s="10" t="str">
        <x:v>debt payoff planner,loan calculator,amortization sheet,debt snowball,debt avalanche,payoff tracker,loan amortization,debt tracker,budget planner,debt free plan,mortgage calc,loan payment calc,finance template</x:v>
      </x:c>
      <x:c r="U816" s="10" t="str">
        <x:v>debt payoff planner</x:v>
      </x:c>
      <x:c r="V816" s="10" t="str">
        <x:v>loan calculator</x:v>
      </x:c>
      <x:c r="W816" s="10" t="str">
        <x:v>amortization sheet</x:v>
      </x:c>
      <x:c r="X816" s="10" t="str">
        <x:v>debt snowball</x:v>
      </x:c>
      <x:c r="Y816" s="10" t="str">
        <x:v>debt avalanche</x:v>
      </x:c>
      <x:c r="Z816" s="10" t="str">
        <x:v>payoff tracker</x:v>
      </x:c>
      <x:c r="AA816" s="10" t="str">
        <x:v>loan amortization</x:v>
      </x:c>
      <x:c r="AB816" s="10" t="str">
        <x:v>debt tracker</x:v>
      </x:c>
      <x:c r="AC816" s="10" t="str">
        <x:v>budget planner</x:v>
      </x:c>
      <x:c r="AD816" s="10" t="str">
        <x:v>debt free plan</x:v>
      </x:c>
      <x:c r="AE816" s="10" t="str">
        <x:v>mortgage calc</x:v>
      </x:c>
      <x:c r="AF816" s="10" t="str">
        <x:v>loan payment calc</x:v>
      </x:c>
      <x:c r="AG816" s="10" t="str">
        <x:v>finance template</x:v>
      </x:c>
      <x:c r="AH816" s="10" t="str">
        <x:v>General debt payoff</x:v>
      </x:c>
      <x:c r="AI816" s="13" t="n">
        <x:v>1</x:v>
      </x:c>
      <x:c r="AJ816" s="10" t="str">
        <x:f>IF(F816&gt;0,"Active","No est. sales")</x:f>
        <x:v>No est. sales</x:v>
      </x:c>
    </x:row>
    <x:row r="817">
      <x:c r="A817" s="10" t="str">
        <x:v>Arizona Home Buyer GPT | First Time Home Buyer Arizona | Arizona Home Buying Checklist PDF | Mortgage Guide | House Hunting AI | Real Estate</x:v>
      </x:c>
      <x:c r="B817" s="10" t="str">
        <x:v>https://www.etsy.com/listing/4524175405/arizona-home-buyer-gpt-first-time-home</x:v>
      </x:c>
      <x:c r="C817" s="10" t="str">
        <x:v>CashMochi</x:v>
      </x:c>
      <x:c r="D817" s="10" t="str">
        <x:v>https://www.etsy.com/shop/CashMochi</x:v>
      </x:c>
      <x:c r="E817" s="11" t="n">
        <x:v>12.95</x:v>
      </x:c>
      <x:c r="F817" s="10" t="n">
        <x:v>0</x:v>
      </x:c>
      <x:c r="G817" s="12" t="n">
        <x:v>0</x:v>
      </x:c>
      <x:c r="H817" s="13" t="n">
        <x:v>0</x:v>
      </x:c>
      <x:c r="I817" s="10" t="n">
        <x:v>0</x:v>
      </x:c>
      <x:c r="J817" s="10" t="n">
        <x:v>0</x:v>
      </x:c>
      <x:c r="K817" s="10" t="str">
        <x:v>1 Mo.</x:v>
      </x:c>
      <x:c r="L817" s="10" t="n">
        <x:v>0</x:v>
      </x:c>
      <x:c r="M817" s="10" t="n">
        <x:v>0</x:v>
      </x:c>
      <x:c r="N817" s="10" t="n">
        <x:v>4</x:v>
      </x:c>
      <x:c r="O817" s="10" t="str">
        <x:v>Books, Movies &amp; Music</x:v>
      </x:c>
      <x:c r="P817" s="10" t="n">
        <x:v>2</x:v>
      </x:c>
      <x:c r="Q817" s="10" t="n">
        <x:v>0</x:v>
      </x:c>
      <x:c r="R817" s="13" t="n">
        <x:v>0</x:v>
      </x:c>
      <x:c r="S817" s="10" t="n">
        <x:v>112</x:v>
      </x:c>
      <x:c r="T817" s="10" t="str">
        <x:v>homebuyer pdf,chatgpt tool,digital planner,home planning,moving to az,real estate ai,buyer checklist,mortgage guide,house hunting,arizona gpt,first time buyer,home buyer ai,arizona home</x:v>
      </x:c>
      <x:c r="U817" s="10" t="str">
        <x:v>homebuyer pdf</x:v>
      </x:c>
      <x:c r="V817" s="10" t="str">
        <x:v>chatgpt tool</x:v>
      </x:c>
      <x:c r="W817" s="10" t="str">
        <x:v>digital planner</x:v>
      </x:c>
      <x:c r="X817" s="10" t="str">
        <x:v>home planning</x:v>
      </x:c>
      <x:c r="Y817" s="10" t="str">
        <x:v>moving to az</x:v>
      </x:c>
      <x:c r="Z817" s="10" t="str">
        <x:v>real estate ai</x:v>
      </x:c>
      <x:c r="AA817" s="10" t="str">
        <x:v>buyer checklist</x:v>
      </x:c>
      <x:c r="AB817" s="10" t="str">
        <x:v>mortgage guide</x:v>
      </x:c>
      <x:c r="AC817" s="10" t="str">
        <x:v>house hunting</x:v>
      </x:c>
      <x:c r="AD817" s="10" t="str">
        <x:v>arizona gpt</x:v>
      </x:c>
      <x:c r="AE817" s="10" t="str">
        <x:v>first time buyer</x:v>
      </x:c>
      <x:c r="AF817" s="10" t="str">
        <x:v>home buyer ai</x:v>
      </x:c>
      <x:c r="AG817" s="10" t="str">
        <x:v>arizona home</x:v>
      </x:c>
      <x:c r="AH817" s="10" t="str">
        <x:v>Home buying planner</x:v>
      </x:c>
      <x:c r="AI817" s="13" t="n">
        <x:v>1</x:v>
      </x:c>
      <x:c r="AJ817" s="10" t="str">
        <x:f>IF(F817&gt;0,"Active","No est. sales")</x:f>
        <x:v>No est. sales</x:v>
      </x:c>
    </x:row>
    <x:row r="818">
      <x:c r="A818" s="10" t="str">
        <x:v>Debt Payoff Tracker Debt Avalanche Calculator Google Sheets Excel Credit Card Loan Tracker Mortgage Payment Credit Card Debt Calculator Tool</x:v>
      </x:c>
      <x:c r="B818" s="10" t="str">
        <x:v>https://www.etsy.com/listing/4358120920/debt-payoff-tracker-debt-avalanche</x:v>
      </x:c>
      <x:c r="C818" s="10" t="str">
        <x:v>RichwhaleStudio</x:v>
      </x:c>
      <x:c r="D818" s="10" t="str">
        <x:v>https://www.etsy.com/shop/RichwhaleStudio</x:v>
      </x:c>
      <x:c r="E818" s="11" t="n">
        <x:v>2.89</x:v>
      </x:c>
      <x:c r="F818" s="10" t="n">
        <x:v>0</x:v>
      </x:c>
      <x:c r="G818" s="12" t="n">
        <x:v>0</x:v>
      </x:c>
      <x:c r="H818" s="13" t="n">
        <x:v>0</x:v>
      </x:c>
      <x:c r="I818" s="10" t="n">
        <x:v>0</x:v>
      </x:c>
      <x:c r="J818" s="10" t="n">
        <x:v>0</x:v>
      </x:c>
      <x:c r="K818" s="10" t="str">
        <x:v>1 Mo.</x:v>
      </x:c>
      <x:c r="L818" s="10" t="n">
        <x:v>0</x:v>
      </x:c>
      <x:c r="M818" s="10" t="n">
        <x:v>0</x:v>
      </x:c>
      <x:c r="N818" s="10" t="n">
        <x:v>0</x:v>
      </x:c>
      <x:c r="O818" s="10" t="str"/>
      <x:c r="P818" s="10" t="n">
        <x:v>7</x:v>
      </x:c>
      <x:c r="Q818" s="10" t="n">
        <x:v>0</x:v>
      </x:c>
      <x:c r="R818" s="13" t="n">
        <x:v>0</x:v>
      </x:c>
      <x:c r="S818" s="10" t="n">
        <x:v>168</x:v>
      </x:c>
      <x:c r="T818" s="10" t="str">
        <x:v>budget planner,credit card debt,debt google sheets,debt payoff tracker,debt spreadsheet,debt tracker excel,financial planner,mortgage payoff,personal finance,snowball calculator,student loan payoff,snowball payoff,debt payoff</x:v>
      </x:c>
      <x:c r="U818" s="10" t="str">
        <x:v>budget planner</x:v>
      </x:c>
      <x:c r="V818" s="10" t="str">
        <x:v>credit card debt</x:v>
      </x:c>
      <x:c r="W818" s="10" t="str">
        <x:v>debt google sheets</x:v>
      </x:c>
      <x:c r="X818" s="10" t="str">
        <x:v>debt payoff tracker</x:v>
      </x:c>
      <x:c r="Y818" s="10" t="str">
        <x:v>debt spreadsheet</x:v>
      </x:c>
      <x:c r="Z818" s="10" t="str">
        <x:v>debt tracker excel</x:v>
      </x:c>
      <x:c r="AA818" s="10" t="str">
        <x:v>financial planner</x:v>
      </x:c>
      <x:c r="AB818" s="10" t="str">
        <x:v>mortgage payoff</x:v>
      </x:c>
      <x:c r="AC818" s="10" t="str">
        <x:v>personal finance</x:v>
      </x:c>
      <x:c r="AD818" s="10" t="str">
        <x:v>snowball calculator</x:v>
      </x:c>
      <x:c r="AE818" s="10" t="str">
        <x:v>student loan payoff</x:v>
      </x:c>
      <x:c r="AF818" s="10" t="str">
        <x:v>snowball payoff</x:v>
      </x:c>
      <x:c r="AG818" s="10" t="str">
        <x:v>debt payoff</x:v>
      </x:c>
      <x:c r="AH818" s="10" t="str">
        <x:v>General debt payoff</x:v>
      </x:c>
      <x:c r="AI818" s="13" t="n">
        <x:v>1</x:v>
      </x:c>
      <x:c r="AJ818" s="10" t="str">
        <x:f>IF(F818&gt;0,"Active","No est. sales")</x:f>
        <x:v>No est. sales</x:v>
      </x:c>
    </x:row>
    <x:row r="819">
      <x:c r="A819" s="10" t="str">
        <x:v>Amortization Schedule Template, Editable Google Sheets, Digital Download, Easy Loan Payment Tracker for Homeowners &amp; Businesses</x:v>
      </x:c>
      <x:c r="B819" s="10" t="str">
        <x:v>https://www.etsy.com/listing/1801401535/amortization-schedule-template-editable</x:v>
      </x:c>
      <x:c r="C819" s="10" t="str">
        <x:v>DigitalTimesArt</x:v>
      </x:c>
      <x:c r="D819" s="10" t="str">
        <x:v>https://www.etsy.com/shop/DigitalTimesArt</x:v>
      </x:c>
      <x:c r="E819" s="11" t="n">
        <x:v>4.5</x:v>
      </x:c>
      <x:c r="F819" s="10" t="n">
        <x:v>0</x:v>
      </x:c>
      <x:c r="G819" s="12" t="n">
        <x:v>0</x:v>
      </x:c>
      <x:c r="H819" s="13" t="n">
        <x:v>0</x:v>
      </x:c>
      <x:c r="I819" s="10" t="n">
        <x:v>0</x:v>
      </x:c>
      <x:c r="J819" s="10" t="n">
        <x:v>0</x:v>
      </x:c>
      <x:c r="K819" s="10" t="str">
        <x:v>8 Mo.</x:v>
      </x:c>
      <x:c r="L819" s="10" t="n">
        <x:v>1</x:v>
      </x:c>
      <x:c r="M819" s="10" t="n">
        <x:v>0</x:v>
      </x:c>
      <x:c r="N819" s="10" t="n">
        <x:v>61</x:v>
      </x:c>
      <x:c r="O819" s="10" t="str"/>
      <x:c r="P819" s="10" t="n">
        <x:v>8</x:v>
      </x:c>
      <x:c r="Q819" s="10" t="n">
        <x:v>0</x:v>
      </x:c>
      <x:c r="R819" s="13" t="n">
        <x:v>0</x:v>
      </x:c>
      <x:c r="S819" s="10" t="n">
        <x:v>541</x:v>
      </x:c>
      <x:c r="T819" s="10" t="str">
        <x:v>amortization tool,loan payment tracker,editable template,google sheets tool,financial planning,loan management,digital download,customizable tracker,debt repayment plan,interest calculator,principal tracking,mortgage planner,payment overview</x:v>
      </x:c>
      <x:c r="U819" s="10" t="str">
        <x:v>amortization tool</x:v>
      </x:c>
      <x:c r="V819" s="10" t="str">
        <x:v>loan payment tracker</x:v>
      </x:c>
      <x:c r="W819" s="10" t="str">
        <x:v>editable template</x:v>
      </x:c>
      <x:c r="X819" s="10" t="str">
        <x:v>google sheets tool</x:v>
      </x:c>
      <x:c r="Y819" s="10" t="str">
        <x:v>financial planning</x:v>
      </x:c>
      <x:c r="Z819" s="10" t="str">
        <x:v>loan management</x:v>
      </x:c>
      <x:c r="AA819" s="10" t="str">
        <x:v>digital download</x:v>
      </x:c>
      <x:c r="AB819" s="10" t="str">
        <x:v>customizable tracker</x:v>
      </x:c>
      <x:c r="AC819" s="10" t="str">
        <x:v>debt repayment plan</x:v>
      </x:c>
      <x:c r="AD819" s="10" t="str">
        <x:v>interest calculator</x:v>
      </x:c>
      <x:c r="AE819" s="10" t="str">
        <x:v>principal tracking</x:v>
      </x:c>
      <x:c r="AF819" s="10" t="str">
        <x:v>mortgage planner</x:v>
      </x:c>
      <x:c r="AG819" s="10" t="str">
        <x:v>payment overview</x:v>
      </x:c>
      <x:c r="AH819" s="10" t="str">
        <x:v>General loan calculator</x:v>
      </x:c>
      <x:c r="AI819" s="13" t="n">
        <x:v>8</x:v>
      </x:c>
      <x:c r="AJ819" s="10" t="str">
        <x:f>IF(F819&gt;0,"Active","No est. sales")</x:f>
        <x:v>No est. sales</x:v>
      </x:c>
    </x:row>
    <x:row r="820">
      <x:c r="A820" s="10" t="str">
        <x:v>Debt Snowball Spreadsheet Debt Snowball Calculator, Debt Payoff Tracker Calculator Student Loan Payoff House Debt Payoff Chart Dark Green</x:v>
      </x:c>
      <x:c r="B820" s="10" t="str">
        <x:v>https://www.etsy.com/listing/4439380743/debt-snowball-calculator-spreadsheet</x:v>
      </x:c>
      <x:c r="C820" s="10" t="str">
        <x:v>SoftPapersStudio</x:v>
      </x:c>
      <x:c r="D820" s="10" t="str">
        <x:v>https://www.etsy.com/shop/SoftPapersStudio</x:v>
      </x:c>
      <x:c r="E820" s="11" t="n">
        <x:v>1.95</x:v>
      </x:c>
      <x:c r="F820" s="10" t="n">
        <x:v>0</x:v>
      </x:c>
      <x:c r="G820" s="12" t="n">
        <x:v>0</x:v>
      </x:c>
      <x:c r="H820" s="13" t="n">
        <x:v>0</x:v>
      </x:c>
      <x:c r="I820" s="10" t="n">
        <x:v>0</x:v>
      </x:c>
      <x:c r="J820" s="10" t="n">
        <x:v>0</x:v>
      </x:c>
      <x:c r="K820" s="10" t="str">
        <x:v>3 Mo.</x:v>
      </x:c>
      <x:c r="L820" s="10" t="n">
        <x:v>0</x:v>
      </x:c>
      <x:c r="M820" s="10" t="n">
        <x:v>0</x:v>
      </x:c>
      <x:c r="N820" s="10" t="n">
        <x:v>4</x:v>
      </x:c>
      <x:c r="O820" s="10" t="str">
        <x:v>Paper &amp; Party Supplies</x:v>
      </x:c>
      <x:c r="P820" s="10" t="n">
        <x:v>5</x:v>
      </x:c>
      <x:c r="Q820" s="10" t="n">
        <x:v>0</x:v>
      </x:c>
      <x:c r="R820" s="13" t="n">
        <x:v>0</x:v>
      </x:c>
      <x:c r="S820" s="10" t="n">
        <x:v>1</x:v>
      </x:c>
      <x:c r="T820" s="10" t="str">
        <x:v>debt snowball,debt payoff,debt tracker,loan payoff,credit card debt,mortgage debt,student loan debt,debt planner,excel debt tracker,google sheets debt,financial planner,payoff calculator,budget debt sheet</x:v>
      </x:c>
      <x:c r="U820" s="10" t="str">
        <x:v>debt snowball</x:v>
      </x:c>
      <x:c r="V820" s="10" t="str">
        <x:v>debt payoff</x:v>
      </x:c>
      <x:c r="W820" s="10" t="str">
        <x:v>debt tracker</x:v>
      </x:c>
      <x:c r="X820" s="10" t="str">
        <x:v>loan payoff</x:v>
      </x:c>
      <x:c r="Y820" s="10" t="str">
        <x:v>credit card debt</x:v>
      </x:c>
      <x:c r="Z820" s="10" t="str">
        <x:v>mortgage debt</x:v>
      </x:c>
      <x:c r="AA820" s="10" t="str">
        <x:v>student loan debt</x:v>
      </x:c>
      <x:c r="AB820" s="10" t="str">
        <x:v>debt planner</x:v>
      </x:c>
      <x:c r="AC820" s="10" t="str">
        <x:v>excel debt tracker</x:v>
      </x:c>
      <x:c r="AD820" s="10" t="str">
        <x:v>google sheets debt</x:v>
      </x:c>
      <x:c r="AE820" s="10" t="str">
        <x:v>financial planner</x:v>
      </x:c>
      <x:c r="AF820" s="10" t="str">
        <x:v>payoff calculator</x:v>
      </x:c>
      <x:c r="AG820" s="10" t="str">
        <x:v>budget debt sheet</x:v>
      </x:c>
      <x:c r="AH820" s="10" t="str">
        <x:v>General debt payoff</x:v>
      </x:c>
      <x:c r="AI820" s="13" t="n">
        <x:v>3</x:v>
      </x:c>
      <x:c r="AJ820" s="10" t="str">
        <x:f>IF(F820&gt;0,"Active","No est. sales")</x:f>
        <x:v>No est. sales</x:v>
      </x:c>
    </x:row>
    <x:row r="821">
      <x:c r="A821" s="10" t="str">
        <x:v>FHSA First Home Savings Planner Canada, Digital Home Buyer Budget Planner, Down Payment Savings Tracker, Mortgage Readiness Checklist</x:v>
      </x:c>
      <x:c r="B821" s="10" t="str">
        <x:v>https://www.etsy.com/listing/4524369037/fhsa-first-home-savings-planner-canada</x:v>
      </x:c>
      <x:c r="C821" s="10" t="str">
        <x:v>TrendTemplteStudio</x:v>
      </x:c>
      <x:c r="D821" s="10" t="str">
        <x:v>https://www.etsy.com/shop/TrendTemplteStudio</x:v>
      </x:c>
      <x:c r="E821" s="11" t="n">
        <x:v>9.17</x:v>
      </x:c>
      <x:c r="F821" s="10" t="n">
        <x:v>0</x:v>
      </x:c>
      <x:c r="G821" s="12" t="n">
        <x:v>0</x:v>
      </x:c>
      <x:c r="H821" s="13" t="n">
        <x:v>0</x:v>
      </x:c>
      <x:c r="I821" s="10" t="n">
        <x:v>0</x:v>
      </x:c>
      <x:c r="J821" s="10" t="n">
        <x:v>0</x:v>
      </x:c>
      <x:c r="K821" s="10" t="str">
        <x:v>1 Mo.</x:v>
      </x:c>
      <x:c r="L821" s="10" t="n">
        <x:v>0</x:v>
      </x:c>
      <x:c r="M821" s="10" t="n">
        <x:v>0</x:v>
      </x:c>
      <x:c r="N821" s="10" t="n">
        <x:v>1</x:v>
      </x:c>
      <x:c r="O821" s="10" t="str"/>
      <x:c r="P821" s="10" t="n">
        <x:v>2</x:v>
      </x:c>
      <x:c r="Q821" s="10" t="n">
        <x:v>0</x:v>
      </x:c>
      <x:c r="R821" s="13" t="n">
        <x:v>0</x:v>
      </x:c>
      <x:c r="S821" s="10" t="n">
        <x:v>6</x:v>
      </x:c>
      <x:c r="T821" s="10" t="str"/>
      <x:c r="U821" s="10" t="str">
        <x:v>--</x:v>
      </x:c>
      <x:c r="V821" s="10" t="str">
        <x:v>--</x:v>
      </x:c>
      <x:c r="W821" s="10" t="str">
        <x:v>--</x:v>
      </x:c>
      <x:c r="X821" s="10" t="str">
        <x:v>--</x:v>
      </x:c>
      <x:c r="Y821" s="10" t="str">
        <x:v>--</x:v>
      </x:c>
      <x:c r="Z821" s="10" t="str">
        <x:v>--</x:v>
      </x:c>
      <x:c r="AA821" s="10" t="str">
        <x:v>--</x:v>
      </x:c>
      <x:c r="AB821" s="10" t="str">
        <x:v>--</x:v>
      </x:c>
      <x:c r="AC821" s="10" t="str">
        <x:v>--</x:v>
      </x:c>
      <x:c r="AD821" s="10" t="str">
        <x:v>--</x:v>
      </x:c>
      <x:c r="AE821" s="10" t="str">
        <x:v>--</x:v>
      </x:c>
      <x:c r="AF821" s="10" t="str">
        <x:v>--</x:v>
      </x:c>
      <x:c r="AG821" s="10" t="str">
        <x:v>--</x:v>
      </x:c>
      <x:c r="AH821" s="10" t="str">
        <x:v>Other mortgage-related</x:v>
      </x:c>
      <x:c r="AI821" s="13" t="n">
        <x:v>1</x:v>
      </x:c>
      <x:c r="AJ821" s="10" t="str">
        <x:f>IF(F821&gt;0,"Active","No est. sales")</x:f>
        <x:v>No est. sales</x:v>
      </x:c>
    </x:row>
    <x:row r="822">
      <x:c r="A822" s="10" t="str">
        <x:v>Debt Payoff Tracker Google Sheets Excel Debt Snowball Calculator Student Loan Payoff Spreadsheet Credit Utilization Home Finance Template</x:v>
      </x:c>
      <x:c r="B822" s="10" t="str">
        <x:v>https://www.etsy.com/listing/4369212208/debt-payoff-tracker-google-sheets-excel</x:v>
      </x:c>
      <x:c r="C822" s="10" t="str">
        <x:v>ItsLumaDesign</x:v>
      </x:c>
      <x:c r="D822" s="10" t="str">
        <x:v>https://www.etsy.com/shop/ItsLumaDesign</x:v>
      </x:c>
      <x:c r="E822" s="11" t="n">
        <x:v>2.71</x:v>
      </x:c>
      <x:c r="F822" s="10" t="n">
        <x:v>0</x:v>
      </x:c>
      <x:c r="G822" s="12" t="n">
        <x:v>0</x:v>
      </x:c>
      <x:c r="H822" s="13" t="n">
        <x:v>0</x:v>
      </x:c>
      <x:c r="I822" s="10" t="n">
        <x:v>0</x:v>
      </x:c>
      <x:c r="J822" s="10" t="n">
        <x:v>0</x:v>
      </x:c>
      <x:c r="K822" s="10" t="str">
        <x:v>4 Mo.</x:v>
      </x:c>
      <x:c r="L822" s="10" t="n">
        <x:v>3</x:v>
      </x:c>
      <x:c r="M822" s="10" t="n">
        <x:v>0</x:v>
      </x:c>
      <x:c r="N822" s="10" t="n">
        <x:v>128</x:v>
      </x:c>
      <x:c r="O822" s="10" t="str"/>
      <x:c r="P822" s="10" t="n">
        <x:v>5</x:v>
      </x:c>
      <x:c r="Q822" s="10" t="n">
        <x:v>0</x:v>
      </x:c>
      <x:c r="R822" s="13" t="n">
        <x:v>0</x:v>
      </x:c>
      <x:c r="S822" s="10" t="n">
        <x:v>91</x:v>
      </x:c>
      <x:c r="T822" s="10" t="str">
        <x:v>financial planner,debt payoff tracker,debt snowball,debt payoff chart,debt payment tracker,credit card payoff,debt template,debt avalanche,student loan debt,google sheets budget,mortgage payoff,credit utilization,credit score debt</x:v>
      </x:c>
      <x:c r="U822" s="10" t="str">
        <x:v>financial planner</x:v>
      </x:c>
      <x:c r="V822" s="10" t="str">
        <x:v>debt payoff tracker</x:v>
      </x:c>
      <x:c r="W822" s="10" t="str">
        <x:v>debt snowball</x:v>
      </x:c>
      <x:c r="X822" s="10" t="str">
        <x:v>debt payoff chart</x:v>
      </x:c>
      <x:c r="Y822" s="10" t="str">
        <x:v>debt payment tracker</x:v>
      </x:c>
      <x:c r="Z822" s="10" t="str">
        <x:v>credit card payoff</x:v>
      </x:c>
      <x:c r="AA822" s="10" t="str">
        <x:v>debt template</x:v>
      </x:c>
      <x:c r="AB822" s="10" t="str">
        <x:v>debt avalanche</x:v>
      </x:c>
      <x:c r="AC822" s="10" t="str">
        <x:v>student loan debt</x:v>
      </x:c>
      <x:c r="AD822" s="10" t="str">
        <x:v>google sheets budget</x:v>
      </x:c>
      <x:c r="AE822" s="10" t="str">
        <x:v>mortgage payoff</x:v>
      </x:c>
      <x:c r="AF822" s="10" t="str">
        <x:v>credit utilization</x:v>
      </x:c>
      <x:c r="AG822" s="10" t="str">
        <x:v>credit score debt</x:v>
      </x:c>
      <x:c r="AH822" s="10" t="str">
        <x:v>General debt payoff</x:v>
      </x:c>
      <x:c r="AI822" s="13" t="n">
        <x:v>4</x:v>
      </x:c>
      <x:c r="AJ822" s="10" t="str">
        <x:f>IF(F822&gt;0,"Active","No est. sales")</x:f>
        <x:v>No est. sales</x:v>
      </x:c>
    </x:row>
    <x:row r="823">
      <x:c r="A823" s="10" t="str">
        <x:v>Debt Payoff Tracker with Debt Snowball &amp; Avalanche Calculator - Google Sheets - Debt Free Planner</x:v>
      </x:c>
      <x:c r="B823" s="10" t="str">
        <x:v>https://www.etsy.com/listing/1842660318/debt-payoff-tracker-with-debt-snowball</x:v>
      </x:c>
      <x:c r="C823" s="10" t="str">
        <x:v>SoftStepStudio</x:v>
      </x:c>
      <x:c r="D823" s="10" t="str">
        <x:v>https://www.etsy.com/shop/SoftStepStudio</x:v>
      </x:c>
      <x:c r="E823" s="11" t="n">
        <x:v>6.11</x:v>
      </x:c>
      <x:c r="F823" s="10" t="n">
        <x:v>0</x:v>
      </x:c>
      <x:c r="G823" s="12" t="n">
        <x:v>0</x:v>
      </x:c>
      <x:c r="H823" s="13" t="n">
        <x:v>0</x:v>
      </x:c>
      <x:c r="I823" s="10" t="n">
        <x:v>0</x:v>
      </x:c>
      <x:c r="J823" s="10" t="n">
        <x:v>0</x:v>
      </x:c>
      <x:c r="K823" s="10" t="str">
        <x:v>2 Mo.</x:v>
      </x:c>
      <x:c r="L823" s="10" t="n">
        <x:v>0</x:v>
      </x:c>
      <x:c r="M823" s="10" t="n">
        <x:v>0</x:v>
      </x:c>
      <x:c r="N823" s="10" t="n">
        <x:v>33</x:v>
      </x:c>
      <x:c r="O823" s="10" t="str">
        <x:v>Paper &amp; Party Supplies</x:v>
      </x:c>
      <x:c r="P823" s="10" t="n">
        <x:v>2</x:v>
      </x:c>
      <x:c r="Q823" s="10" t="n">
        <x:v>0</x:v>
      </x:c>
      <x:c r="R823" s="13" t="n">
        <x:v>0</x:v>
      </x:c>
      <x:c r="S823" s="10" t="n">
        <x:v>153</x:v>
      </x:c>
      <x:c r="T823" s="10" t="str">
        <x:v>credit card payoff,credit utilization,debt avalanche,debt payment tracker,debt payoff chart,debt payoff tracker,debt snowball,debt template,financial planner,google sheets budget,mortgage payoff,personal finance,student loan debt</x:v>
      </x:c>
      <x:c r="U823" s="10" t="str">
        <x:v>credit card payoff</x:v>
      </x:c>
      <x:c r="V823" s="10" t="str">
        <x:v>credit utilization</x:v>
      </x:c>
      <x:c r="W823" s="10" t="str">
        <x:v>debt avalanche</x:v>
      </x:c>
      <x:c r="X823" s="10" t="str">
        <x:v>debt payment tracker</x:v>
      </x:c>
      <x:c r="Y823" s="10" t="str">
        <x:v>debt payoff chart</x:v>
      </x:c>
      <x:c r="Z823" s="10" t="str">
        <x:v>debt payoff tracker</x:v>
      </x:c>
      <x:c r="AA823" s="10" t="str">
        <x:v>debt snowball</x:v>
      </x:c>
      <x:c r="AB823" s="10" t="str">
        <x:v>debt template</x:v>
      </x:c>
      <x:c r="AC823" s="10" t="str">
        <x:v>financial planner</x:v>
      </x:c>
      <x:c r="AD823" s="10" t="str">
        <x:v>google sheets budget</x:v>
      </x:c>
      <x:c r="AE823" s="10" t="str">
        <x:v>mortgage payoff</x:v>
      </x:c>
      <x:c r="AF823" s="10" t="str">
        <x:v>personal finance</x:v>
      </x:c>
      <x:c r="AG823" s="10" t="str">
        <x:v>student loan debt</x:v>
      </x:c>
      <x:c r="AH823" s="10" t="str">
        <x:v>General debt payoff</x:v>
      </x:c>
      <x:c r="AI823" s="13" t="n">
        <x:v>2</x:v>
      </x:c>
      <x:c r="AJ823" s="10" t="str">
        <x:f>IF(F823&gt;0,"Active","No est. sales")</x:f>
        <x:v>No est. sales</x:v>
      </x:c>
    </x:row>
    <x:row r="824">
      <x:c r="A824" s="10" t="str">
        <x:v>UK Mortgage and Debt Survival Pack | Emergency Budget Spreadsheet | Cost of Living Crisis Planner</x:v>
      </x:c>
      <x:c r="B824" s="10" t="str">
        <x:v>https://www.etsy.com/listing/4436056474/uk-mortgage-and-debt-survival-pack</x:v>
      </x:c>
      <x:c r="C824" s="10" t="str">
        <x:v>CalmMoneyUK</x:v>
      </x:c>
      <x:c r="D824" s="10" t="str">
        <x:v>https://www.etsy.com/shop/CalmMoneyUK</x:v>
      </x:c>
      <x:c r="E824" s="11" t="n">
        <x:v>13.78</x:v>
      </x:c>
      <x:c r="F824" s="10" t="n">
        <x:v>0</x:v>
      </x:c>
      <x:c r="G824" s="12" t="n">
        <x:v>0</x:v>
      </x:c>
      <x:c r="H824" s="13" t="n">
        <x:v>0</x:v>
      </x:c>
      <x:c r="I824" s="10" t="n">
        <x:v>0</x:v>
      </x:c>
      <x:c r="J824" s="10" t="n">
        <x:v>0</x:v>
      </x:c>
      <x:c r="K824" s="10" t="str">
        <x:v>1 Mo.</x:v>
      </x:c>
      <x:c r="L824" s="10" t="n">
        <x:v>0</x:v>
      </x:c>
      <x:c r="M824" s="10" t="n">
        <x:v>0</x:v>
      </x:c>
      <x:c r="N824" s="10" t="n">
        <x:v>0</x:v>
      </x:c>
      <x:c r="O824" s="10" t="str"/>
      <x:c r="P824" s="10" t="n">
        <x:v>0</x:v>
      </x:c>
      <x:c r="Q824" s="10" t="n">
        <x:v>0</x:v>
      </x:c>
      <x:c r="R824" s="13" t="n">
        <x:v>0</x:v>
      </x:c>
      <x:c r="S824" s="10" t="n">
        <x:v>1</x:v>
      </x:c>
      <x:c r="T824" s="10" t="str"/>
      <x:c r="U824" s="10" t="str">
        <x:v>--</x:v>
      </x:c>
      <x:c r="V824" s="10" t="str">
        <x:v>--</x:v>
      </x:c>
      <x:c r="W824" s="10" t="str">
        <x:v>--</x:v>
      </x:c>
      <x:c r="X824" s="10" t="str">
        <x:v>--</x:v>
      </x:c>
      <x:c r="Y824" s="10" t="str">
        <x:v>--</x:v>
      </x:c>
      <x:c r="Z824" s="10" t="str">
        <x:v>--</x:v>
      </x:c>
      <x:c r="AA824" s="10" t="str">
        <x:v>--</x:v>
      </x:c>
      <x:c r="AB824" s="10" t="str">
        <x:v>--</x:v>
      </x:c>
      <x:c r="AC824" s="10" t="str">
        <x:v>--</x:v>
      </x:c>
      <x:c r="AD824" s="10" t="str">
        <x:v>--</x:v>
      </x:c>
      <x:c r="AE824" s="10" t="str">
        <x:v>--</x:v>
      </x:c>
      <x:c r="AF824" s="10" t="str">
        <x:v>--</x:v>
      </x:c>
      <x:c r="AG824" s="10" t="str">
        <x:v>--</x:v>
      </x:c>
      <x:c r="AH824" s="10" t="str">
        <x:v>Other mortgage-related</x:v>
      </x:c>
      <x:c r="AI824" s="13" t="n">
        <x:v>1</x:v>
      </x:c>
      <x:c r="AJ824" s="10" t="str">
        <x:f>IF(F824&gt;0,"Active","No est. sales")</x:f>
        <x:v>No est. sales</x:v>
      </x:c>
    </x:row>
    <x:row r="825">
      <x:c r="A825" s="10" t="str">
        <x:v>Home Buying Planner | Digital PDF | First-Time Home Buyer Checklist | Mortgage Tracker | House Hunting Organizer | Printable + Fillable</x:v>
      </x:c>
      <x:c r="B825" s="10" t="str">
        <x:v>https://www.etsy.com/listing/4302257151/home-buying-planner-digital-pdf-first</x:v>
      </x:c>
      <x:c r="C825" s="10" t="str">
        <x:v>ExclusiveInvitesShop</x:v>
      </x:c>
      <x:c r="D825" s="10" t="str">
        <x:v>https://www.etsy.com/shop/ExclusiveInvitesShop</x:v>
      </x:c>
      <x:c r="E825" s="11" t="n">
        <x:v>20.16</x:v>
      </x:c>
      <x:c r="F825" s="10" t="n">
        <x:v>0</x:v>
      </x:c>
      <x:c r="G825" s="12" t="n">
        <x:v>0</x:v>
      </x:c>
      <x:c r="H825" s="13" t="n">
        <x:v>0</x:v>
      </x:c>
      <x:c r="I825" s="10" t="n">
        <x:v>0</x:v>
      </x:c>
      <x:c r="J825" s="10" t="n">
        <x:v>0</x:v>
      </x:c>
      <x:c r="K825" s="10" t="str">
        <x:v>4 Mo.</x:v>
      </x:c>
      <x:c r="L825" s="10" t="n">
        <x:v>1</x:v>
      </x:c>
      <x:c r="M825" s="10" t="n">
        <x:v>0</x:v>
      </x:c>
      <x:c r="N825" s="10" t="n">
        <x:v>6</x:v>
      </x:c>
      <x:c r="O825" s="10" t="str"/>
      <x:c r="P825" s="10" t="n">
        <x:v>4</x:v>
      </x:c>
      <x:c r="Q825" s="10" t="n">
        <x:v>0</x:v>
      </x:c>
      <x:c r="R825" s="13" t="n">
        <x:v>0</x:v>
      </x:c>
      <x:c r="S825" s="10" t="n">
        <x:v>1</x:v>
      </x:c>
      <x:c r="T825" s="10" t="str">
        <x:v>first home,buying home,checklist,planner,step by step,mortgage,organiser,digital,template,rent</x:v>
      </x:c>
      <x:c r="U825" s="10" t="str">
        <x:v>first home</x:v>
      </x:c>
      <x:c r="V825" s="10" t="str">
        <x:v>buying home</x:v>
      </x:c>
      <x:c r="W825" s="10" t="str">
        <x:v>checklist</x:v>
      </x:c>
      <x:c r="X825" s="10" t="str">
        <x:v>planner</x:v>
      </x:c>
      <x:c r="Y825" s="10" t="str">
        <x:v>step by step</x:v>
      </x:c>
      <x:c r="Z825" s="10" t="str">
        <x:v>mortgage</x:v>
      </x:c>
      <x:c r="AA825" s="10" t="str">
        <x:v>organiser</x:v>
      </x:c>
      <x:c r="AB825" s="10" t="str">
        <x:v>digital</x:v>
      </x:c>
      <x:c r="AC825" s="10" t="str">
        <x:v>template</x:v>
      </x:c>
      <x:c r="AD825" s="10" t="str">
        <x:v>rent</x:v>
      </x:c>
      <x:c r="AE825" s="10" t="str">
        <x:v>--</x:v>
      </x:c>
      <x:c r="AF825" s="10" t="str">
        <x:v>--</x:v>
      </x:c>
      <x:c r="AG825" s="10" t="str">
        <x:v>--</x:v>
      </x:c>
      <x:c r="AH825" s="10" t="str">
        <x:v>Home buying planner</x:v>
      </x:c>
      <x:c r="AI825" s="13" t="n">
        <x:v>4</x:v>
      </x:c>
      <x:c r="AJ825" s="10" t="str">
        <x:f>IF(F825&gt;0,"Active","No est. sales")</x:f>
        <x:v>No est. sales</x:v>
      </x:c>
    </x:row>
    <x:row r="826">
      <x:c r="A826" s="10" t="str">
        <x:v>UK Mortgage Tracker Spreadsheet | Excel | Instant Download</x:v>
      </x:c>
      <x:c r="B826" s="10" t="str">
        <x:v>https://www.etsy.com/listing/4328656599/uk-mortgage-tracker-spreadsheet-excel</x:v>
      </x:c>
      <x:c r="C826" s="10" t="str">
        <x:v>SpreadsheetsbyJulie</x:v>
      </x:c>
      <x:c r="D826" s="10" t="str">
        <x:v>https://www.etsy.com/shop/SpreadsheetsbyJulie</x:v>
      </x:c>
      <x:c r="E826" s="11" t="n">
        <x:v>3.96</x:v>
      </x:c>
      <x:c r="F826" s="10" t="n">
        <x:v>0</x:v>
      </x:c>
      <x:c r="G826" s="12" t="n">
        <x:v>0</x:v>
      </x:c>
      <x:c r="H826" s="13" t="n">
        <x:v>0</x:v>
      </x:c>
      <x:c r="I826" s="10" t="n">
        <x:v>0</x:v>
      </x:c>
      <x:c r="J826" s="10" t="n">
        <x:v>0</x:v>
      </x:c>
      <x:c r="K826" s="10" t="str">
        <x:v>4 Mo.</x:v>
      </x:c>
      <x:c r="L826" s="10" t="n">
        <x:v>1</x:v>
      </x:c>
      <x:c r="M826" s="10" t="n">
        <x:v>0</x:v>
      </x:c>
      <x:c r="N826" s="10" t="n">
        <x:v>22</x:v>
      </x:c>
      <x:c r="O826" s="10" t="str"/>
      <x:c r="P826" s="10" t="n">
        <x:v>4</x:v>
      </x:c>
      <x:c r="Q826" s="10" t="n">
        <x:v>0</x:v>
      </x:c>
      <x:c r="R826" s="13" t="n">
        <x:v>0</x:v>
      </x:c>
      <x:c r="S826" s="10" t="n">
        <x:v>0</x:v>
      </x:c>
      <x:c r="T826" s="10" t="str">
        <x:v>mortgage tracker uk,mortgage spreadsheet,repayment calculator,excel,mortgage tracker,interest calculator,home budget,mortgage,digital download,uk financial planner,personal finance,mortgage interest,mortgage graph</x:v>
      </x:c>
      <x:c r="U826" s="10" t="str">
        <x:v>mortgage tracker uk</x:v>
      </x:c>
      <x:c r="V826" s="10" t="str">
        <x:v>mortgage spreadsheet</x:v>
      </x:c>
      <x:c r="W826" s="10" t="str">
        <x:v>repayment calculator</x:v>
      </x:c>
      <x:c r="X826" s="10" t="str">
        <x:v>excel</x:v>
      </x:c>
      <x:c r="Y826" s="10" t="str">
        <x:v>mortgage tracker</x:v>
      </x:c>
      <x:c r="Z826" s="10" t="str">
        <x:v>interest calculator</x:v>
      </x:c>
      <x:c r="AA826" s="10" t="str">
        <x:v>home budget</x:v>
      </x:c>
      <x:c r="AB826" s="10" t="str">
        <x:v>mortgage</x:v>
      </x:c>
      <x:c r="AC826" s="10" t="str">
        <x:v>digital download</x:v>
      </x:c>
      <x:c r="AD826" s="10" t="str">
        <x:v>uk financial planner</x:v>
      </x:c>
      <x:c r="AE826" s="10" t="str">
        <x:v>personal finance</x:v>
      </x:c>
      <x:c r="AF826" s="10" t="str">
        <x:v>mortgage interest</x:v>
      </x:c>
      <x:c r="AG826" s="10" t="str">
        <x:v>mortgage graph</x:v>
      </x:c>
      <x:c r="AH826" s="10" t="str">
        <x:v>Mortgage payoff / calculator</x:v>
      </x:c>
      <x:c r="AI826" s="13" t="n">
        <x:v>4</x:v>
      </x:c>
      <x:c r="AJ826" s="10" t="str">
        <x:f>IF(F826&gt;0,"Active","No est. sales")</x:f>
        <x:v>No est. sales</x:v>
      </x:c>
    </x:row>
    <x:row r="827">
      <x:c r="A827" s="10" t="str">
        <x:v>Home Buying Planner Printable - House Hunting, Mortgage &amp; Closing Checklist PDF</x:v>
      </x:c>
      <x:c r="B827" s="10" t="str">
        <x:v>https://www.etsy.com/listing/4431143397/home-buying-planner-printable-house</x:v>
      </x:c>
      <x:c r="C827" s="10" t="str">
        <x:v>WaypointPartners</x:v>
      </x:c>
      <x:c r="D827" s="10" t="str">
        <x:v>https://www.etsy.com/shop/WaypointPartners</x:v>
      </x:c>
      <x:c r="E827" s="11" t="n">
        <x:v>13.97</x:v>
      </x:c>
      <x:c r="F827" s="10" t="n">
        <x:v>0</x:v>
      </x:c>
      <x:c r="G827" s="12" t="n">
        <x:v>0</x:v>
      </x:c>
      <x:c r="H827" s="13" t="n">
        <x:v>0</x:v>
      </x:c>
      <x:c r="I827" s="10" t="n">
        <x:v>0</x:v>
      </x:c>
      <x:c r="J827" s="10" t="n">
        <x:v>0</x:v>
      </x:c>
      <x:c r="K827" s="10" t="str">
        <x:v>7 Mo.</x:v>
      </x:c>
      <x:c r="L827" s="10" t="n">
        <x:v>0</x:v>
      </x:c>
      <x:c r="M827" s="10" t="n">
        <x:v>0</x:v>
      </x:c>
      <x:c r="N827" s="10" t="n">
        <x:v>37</x:v>
      </x:c>
      <x:c r="O827" s="10" t="str"/>
      <x:c r="P827" s="10" t="n">
        <x:v>8</x:v>
      </x:c>
      <x:c r="Q827" s="10" t="n">
        <x:v>0</x:v>
      </x:c>
      <x:c r="R827" s="13" t="n">
        <x:v>0</x:v>
      </x:c>
      <x:c r="S827" s="10" t="n">
        <x:v>35</x:v>
      </x:c>
      <x:c r="T827" s="10" t="str">
        <x:v>home buying,house hunting,first time buyer,mortgage planner,home buyer,closing checklist,real estate,house comparison,home buying kit,new home,buyer checklist,home search,realtor printable</x:v>
      </x:c>
      <x:c r="U827" s="10" t="str">
        <x:v>home buying</x:v>
      </x:c>
      <x:c r="V827" s="10" t="str">
        <x:v>house hunting</x:v>
      </x:c>
      <x:c r="W827" s="10" t="str">
        <x:v>first time buyer</x:v>
      </x:c>
      <x:c r="X827" s="10" t="str">
        <x:v>mortgage planner</x:v>
      </x:c>
      <x:c r="Y827" s="10" t="str">
        <x:v>home buyer</x:v>
      </x:c>
      <x:c r="Z827" s="10" t="str">
        <x:v>closing checklist</x:v>
      </x:c>
      <x:c r="AA827" s="10" t="str">
        <x:v>real estate</x:v>
      </x:c>
      <x:c r="AB827" s="10" t="str">
        <x:v>house comparison</x:v>
      </x:c>
      <x:c r="AC827" s="10" t="str">
        <x:v>home buying kit</x:v>
      </x:c>
      <x:c r="AD827" s="10" t="str">
        <x:v>new home</x:v>
      </x:c>
      <x:c r="AE827" s="10" t="str">
        <x:v>buyer checklist</x:v>
      </x:c>
      <x:c r="AF827" s="10" t="str">
        <x:v>home search</x:v>
      </x:c>
      <x:c r="AG827" s="10" t="str">
        <x:v>realtor printable</x:v>
      </x:c>
      <x:c r="AH827" s="10" t="str">
        <x:v>Home buying planner</x:v>
      </x:c>
      <x:c r="AI827" s="13" t="n">
        <x:v>7</x:v>
      </x:c>
      <x:c r="AJ827" s="10" t="str">
        <x:f>IF(F827&gt;0,"Active","No est. sales")</x:f>
        <x:v>No est. sales</x:v>
      </x:c>
    </x:row>
    <x:row r="828">
      <x:c r="A828" s="10" t="str">
        <x:v>Mortgage Tracker | 400 Home Icons | Debt Payoff | Budget Planner | Printable Digital Download</x:v>
      </x:c>
      <x:c r="B828" s="10" t="str">
        <x:v>https://www.etsy.com/listing/1374828338/mortgage-tracker-400-home-icons-debt</x:v>
      </x:c>
      <x:c r="C828" s="10" t="str">
        <x:v>MostlyOrganizedMess</x:v>
      </x:c>
      <x:c r="D828" s="10" t="str">
        <x:v>https://www.etsy.com/shop/MostlyOrganizedMess</x:v>
      </x:c>
      <x:c r="E828" s="11" t="n">
        <x:v>3</x:v>
      </x:c>
      <x:c r="F828" s="10" t="n">
        <x:v>0</x:v>
      </x:c>
      <x:c r="G828" s="12" t="n">
        <x:v>0</x:v>
      </x:c>
      <x:c r="H828" s="13" t="n">
        <x:v>0</x:v>
      </x:c>
      <x:c r="I828" s="10" t="n">
        <x:v>0</x:v>
      </x:c>
      <x:c r="J828" s="10" t="n">
        <x:v>0</x:v>
      </x:c>
      <x:c r="K828" s="10" t="str">
        <x:v>30 Mo.</x:v>
      </x:c>
      <x:c r="L828" s="10" t="n">
        <x:v>6</x:v>
      </x:c>
      <x:c r="M828" s="10" t="n">
        <x:v>0</x:v>
      </x:c>
      <x:c r="N828" s="10" t="n">
        <x:v>133</x:v>
      </x:c>
      <x:c r="O828" s="10" t="str">
        <x:v>Paper &amp; Party Supplies</x:v>
      </x:c>
      <x:c r="P828" s="10" t="n">
        <x:v>112</x:v>
      </x:c>
      <x:c r="Q828" s="10" t="n">
        <x:v>0</x:v>
      </x:c>
      <x:c r="R828" s="13" t="n">
        <x:v>0</x:v>
      </x:c>
      <x:c r="S828" s="10" t="n">
        <x:v>97</x:v>
      </x:c>
      <x:c r="T828" s="10" t="str">
        <x:v>mortgage tracker,debt tracker,mortgage payoff,budget tracker,budget planner,instant download,goal tracker,money tracker,debt printable,digital download,home finance,home budget,financial goals</x:v>
      </x:c>
      <x:c r="U828" s="10" t="str">
        <x:v>mortgage tracker</x:v>
      </x:c>
      <x:c r="V828" s="10" t="str">
        <x:v>debt tracker</x:v>
      </x:c>
      <x:c r="W828" s="10" t="str">
        <x:v>mortgage payoff</x:v>
      </x:c>
      <x:c r="X828" s="10" t="str">
        <x:v>budget tracker</x:v>
      </x:c>
      <x:c r="Y828" s="10" t="str">
        <x:v>budget planner</x:v>
      </x:c>
      <x:c r="Z828" s="10" t="str">
        <x:v>instant download</x:v>
      </x:c>
      <x:c r="AA828" s="10" t="str">
        <x:v>goal tracker</x:v>
      </x:c>
      <x:c r="AB828" s="10" t="str">
        <x:v>money tracker</x:v>
      </x:c>
      <x:c r="AC828" s="10" t="str">
        <x:v>debt printable</x:v>
      </x:c>
      <x:c r="AD828" s="10" t="str">
        <x:v>digital download</x:v>
      </x:c>
      <x:c r="AE828" s="10" t="str">
        <x:v>home finance</x:v>
      </x:c>
      <x:c r="AF828" s="10" t="str">
        <x:v>home budget</x:v>
      </x:c>
      <x:c r="AG828" s="10" t="str">
        <x:v>financial goals</x:v>
      </x:c>
      <x:c r="AH828" s="10" t="str">
        <x:v>Other mortgage-related</x:v>
      </x:c>
      <x:c r="AI828" s="13" t="n">
        <x:v>30</x:v>
      </x:c>
      <x:c r="AJ828" s="10" t="str">
        <x:f>IF(F828&gt;0,"Active","No est. sales")</x:f>
        <x:v>No est. sales</x:v>
      </x:c>
    </x:row>
    <x:row r="829">
      <x:c r="A829" s="10" t="str">
        <x:v>Mortgage Guide for the Sophisticated Buyer</x:v>
      </x:c>
      <x:c r="B829" s="10" t="str">
        <x:v>https://www.etsy.com/listing/4366315343/mortgage-guide-for-the-sophisticated</x:v>
      </x:c>
      <x:c r="C829" s="10" t="str">
        <x:v>FoundryAndFrontier</x:v>
      </x:c>
      <x:c r="D829" s="10" t="str">
        <x:v>https://www.etsy.com/shop/FoundryAndFrontier</x:v>
      </x:c>
      <x:c r="E829" s="11" t="n">
        <x:v>15</x:v>
      </x:c>
      <x:c r="F829" s="10" t="n">
        <x:v>0</x:v>
      </x:c>
      <x:c r="G829" s="12" t="n">
        <x:v>0</x:v>
      </x:c>
      <x:c r="H829" s="13" t="n">
        <x:v>0</x:v>
      </x:c>
      <x:c r="I829" s="10" t="n">
        <x:v>0</x:v>
      </x:c>
      <x:c r="J829" s="10" t="n">
        <x:v>0</x:v>
      </x:c>
      <x:c r="K829" s="10" t="str">
        <x:v>4 Mo.</x:v>
      </x:c>
      <x:c r="L829" s="10" t="n">
        <x:v>0</x:v>
      </x:c>
      <x:c r="M829" s="10" t="n">
        <x:v>0</x:v>
      </x:c>
      <x:c r="N829" s="10" t="n">
        <x:v>13</x:v>
      </x:c>
      <x:c r="O829" s="10" t="str">
        <x:v>Books, Movies &amp; Music</x:v>
      </x:c>
      <x:c r="P829" s="10" t="n">
        <x:v>4</x:v>
      </x:c>
      <x:c r="Q829" s="10" t="n">
        <x:v>0</x:v>
      </x:c>
      <x:c r="R829" s="13" t="n">
        <x:v>0</x:v>
      </x:c>
      <x:c r="S829" s="10" t="n">
        <x:v>0</x:v>
      </x:c>
      <x:c r="T829" s="10" t="str">
        <x:v>mortgage guide,home buying tips,homeowner tips,first time buyer,digital guide,real estate tips,mortgage help,refinance guide,finance printable,budget planner,loan checklist,credit score tips,house buying guide</x:v>
      </x:c>
      <x:c r="U829" s="10" t="str">
        <x:v>mortgage guide</x:v>
      </x:c>
      <x:c r="V829" s="10" t="str">
        <x:v>home buying tips</x:v>
      </x:c>
      <x:c r="W829" s="10" t="str">
        <x:v>homeowner tips</x:v>
      </x:c>
      <x:c r="X829" s="10" t="str">
        <x:v>first time buyer</x:v>
      </x:c>
      <x:c r="Y829" s="10" t="str">
        <x:v>digital guide</x:v>
      </x:c>
      <x:c r="Z829" s="10" t="str">
        <x:v>real estate tips</x:v>
      </x:c>
      <x:c r="AA829" s="10" t="str">
        <x:v>mortgage help</x:v>
      </x:c>
      <x:c r="AB829" s="10" t="str">
        <x:v>refinance guide</x:v>
      </x:c>
      <x:c r="AC829" s="10" t="str">
        <x:v>finance printable</x:v>
      </x:c>
      <x:c r="AD829" s="10" t="str">
        <x:v>budget planner</x:v>
      </x:c>
      <x:c r="AE829" s="10" t="str">
        <x:v>loan checklist</x:v>
      </x:c>
      <x:c r="AF829" s="10" t="str">
        <x:v>credit score tips</x:v>
      </x:c>
      <x:c r="AG829" s="10" t="str">
        <x:v>house buying guide</x:v>
      </x:c>
      <x:c r="AH829" s="10" t="str">
        <x:v>Other mortgage-related</x:v>
      </x:c>
      <x:c r="AI829" s="13" t="n">
        <x:v>4</x:v>
      </x:c>
      <x:c r="AJ829" s="10" t="str">
        <x:f>IF(F829&gt;0,"Active","No est. sales")</x:f>
        <x:v>No est. sales</x:v>
      </x:c>
    </x:row>
    <x:row r="830">
      <x:c r="A830" s="10" t="str">
        <x:v>Debt Payoff Tracker, Debt snowball, Debt paydown, Financial tracker, Budget planner, PDF, debt free, debt coloring, loan payoff motivator</x:v>
      </x:c>
      <x:c r="B830" s="10" t="str">
        <x:v>https://www.etsy.com/listing/1212339009/debt-payoff-tracker-debt-snowball-debt</x:v>
      </x:c>
      <x:c r="C830" s="10" t="str">
        <x:v>LuckyBreakStudio</x:v>
      </x:c>
      <x:c r="D830" s="10" t="str">
        <x:v>https://www.etsy.com/shop/LuckyBreakStudio</x:v>
      </x:c>
      <x:c r="E830" s="11" t="n">
        <x:v>2</x:v>
      </x:c>
      <x:c r="F830" s="10" t="n">
        <x:v>0</x:v>
      </x:c>
      <x:c r="G830" s="12" t="n">
        <x:v>0</x:v>
      </x:c>
      <x:c r="H830" s="13" t="n">
        <x:v>0</x:v>
      </x:c>
      <x:c r="I830" s="10" t="n">
        <x:v>0</x:v>
      </x:c>
      <x:c r="J830" s="10" t="n">
        <x:v>0</x:v>
      </x:c>
      <x:c r="K830" s="10" t="str">
        <x:v>44 Mo.</x:v>
      </x:c>
      <x:c r="L830" s="10" t="n">
        <x:v>4</x:v>
      </x:c>
      <x:c r="M830" s="10" t="n">
        <x:v>0</x:v>
      </x:c>
      <x:c r="N830" s="10" t="n">
        <x:v>77</x:v>
      </x:c>
      <x:c r="O830" s="10" t="str">
        <x:v>Paper &amp; Party Supplies</x:v>
      </x:c>
      <x:c r="P830" s="10" t="n">
        <x:v>46</x:v>
      </x:c>
      <x:c r="Q830" s="10" t="n">
        <x:v>0</x:v>
      </x:c>
      <x:c r="R830" s="13" t="n">
        <x:v>0</x:v>
      </x:c>
      <x:c r="S830" s="10" t="n">
        <x:v>19</x:v>
      </x:c>
      <x:c r="T830" s="10" t="str">
        <x:v>debt payoff,debt snowball,debt tracker,budget,debt planner,budget template,loan payoff,debt coloring page,mortgage,debt free,student loan,adult coloring page,credit card</x:v>
      </x:c>
      <x:c r="U830" s="10" t="str">
        <x:v>debt payoff</x:v>
      </x:c>
      <x:c r="V830" s="10" t="str">
        <x:v>debt snowball</x:v>
      </x:c>
      <x:c r="W830" s="10" t="str">
        <x:v>debt tracker</x:v>
      </x:c>
      <x:c r="X830" s="10" t="str">
        <x:v>budget</x:v>
      </x:c>
      <x:c r="Y830" s="10" t="str">
        <x:v>debt planner</x:v>
      </x:c>
      <x:c r="Z830" s="10" t="str">
        <x:v>budget template</x:v>
      </x:c>
      <x:c r="AA830" s="10" t="str">
        <x:v>loan payoff</x:v>
      </x:c>
      <x:c r="AB830" s="10" t="str">
        <x:v>debt coloring page</x:v>
      </x:c>
      <x:c r="AC830" s="10" t="str">
        <x:v>mortgage</x:v>
      </x:c>
      <x:c r="AD830" s="10" t="str">
        <x:v>debt free</x:v>
      </x:c>
      <x:c r="AE830" s="10" t="str">
        <x:v>student loan</x:v>
      </x:c>
      <x:c r="AF830" s="10" t="str">
        <x:v>adult coloring page</x:v>
      </x:c>
      <x:c r="AG830" s="10" t="str">
        <x:v>credit card</x:v>
      </x:c>
      <x:c r="AH830" s="10" t="str">
        <x:v>General debt payoff</x:v>
      </x:c>
      <x:c r="AI830" s="13" t="n">
        <x:v>44</x:v>
      </x:c>
      <x:c r="AJ830" s="10" t="str">
        <x:f>IF(F830&gt;0,"Active","No est. sales")</x:f>
        <x:v>No est. sales</x:v>
      </x:c>
    </x:row>
    <x:row r="831">
      <x:c r="A831" s="10" t="str">
        <x:v>Debt Destroyer Tracker, Snowball Spreadsheet, Debt Payoff Tracker, Debt Snowball Calculator, Debt Planner, Mortgage | Blue</x:v>
      </x:c>
      <x:c r="B831" s="10" t="str">
        <x:v>https://www.etsy.com/listing/1475005095/debt-destroyer-tracker-snowball</x:v>
      </x:c>
      <x:c r="C831" s="10" t="str">
        <x:v>michaelrusli</x:v>
      </x:c>
      <x:c r="D831" s="10" t="str">
        <x:v>https://www.etsy.com/shop/michaelrusli</x:v>
      </x:c>
      <x:c r="E831" s="11" t="n">
        <x:v>22.85</x:v>
      </x:c>
      <x:c r="F831" s="10" t="n">
        <x:v>0</x:v>
      </x:c>
      <x:c r="G831" s="12" t="n">
        <x:v>0</x:v>
      </x:c>
      <x:c r="H831" s="13" t="n">
        <x:v>0</x:v>
      </x:c>
      <x:c r="I831" s="10" t="n">
        <x:v>485</x:v>
      </x:c>
      <x:c r="J831" s="10" t="n">
        <x:v>16</x:v>
      </x:c>
      <x:c r="K831" s="10" t="str">
        <x:v>28 Mo.</x:v>
      </x:c>
      <x:c r="L831" s="10" t="n">
        <x:v>81</x:v>
      </x:c>
      <x:c r="M831" s="10" t="n">
        <x:v>1</x:v>
      </x:c>
      <x:c r="N831" s="10" t="n">
        <x:v>5156</x:v>
      </x:c>
      <x:c r="O831" s="10" t="str"/>
      <x:c r="P831" s="10" t="n">
        <x:v>38</x:v>
      </x:c>
      <x:c r="Q831" s="10" t="n">
        <x:v>54</x:v>
      </x:c>
      <x:c r="R831" s="13" t="n">
        <x:v>9.41</x:v>
      </x:c>
      <x:c r="S831" s="10" t="n">
        <x:v>6524</x:v>
      </x:c>
      <x:c r="T831" s="10" t="str">
        <x:v>budgeting spreadsheet,debt calculator,debt tracker,debt payment tracker,excel spreadsheet,debt repayment tool</x:v>
      </x:c>
      <x:c r="U831" s="10" t="str">
        <x:v>budgeting spreadsheet</x:v>
      </x:c>
      <x:c r="V831" s="10" t="str">
        <x:v>debt calculator</x:v>
      </x:c>
      <x:c r="W831" s="10" t="str">
        <x:v>debt tracker</x:v>
      </x:c>
      <x:c r="X831" s="10" t="str">
        <x:v>debt payment tracker</x:v>
      </x:c>
      <x:c r="Y831" s="10" t="str">
        <x:v>excel spreadsheet</x:v>
      </x:c>
      <x:c r="Z831" s="10" t="str">
        <x:v>debt repayment tool</x:v>
      </x:c>
      <x:c r="AA831" s="10" t="str">
        <x:v>--</x:v>
      </x:c>
      <x:c r="AB831" s="10" t="str">
        <x:v>--</x:v>
      </x:c>
      <x:c r="AC831" s="10" t="str">
        <x:v>--</x:v>
      </x:c>
      <x:c r="AD831" s="10" t="str">
        <x:v>--</x:v>
      </x:c>
      <x:c r="AE831" s="10" t="str">
        <x:v>--</x:v>
      </x:c>
      <x:c r="AF831" s="10" t="str">
        <x:v>--</x:v>
      </x:c>
      <x:c r="AG831" s="10" t="str">
        <x:v>--</x:v>
      </x:c>
      <x:c r="AH831" s="10" t="str">
        <x:v>General debt payoff</x:v>
      </x:c>
      <x:c r="AI831" s="13" t="n">
        <x:v>28</x:v>
      </x:c>
      <x:c r="AJ831" s="10" t="str">
        <x:f>IF(F831&gt;0,"Active","No est. sales")</x:f>
        <x:v>No est. sales</x:v>
      </x:c>
    </x:row>
    <x:row r="832">
      <x:c r="A832" s="10" t="str">
        <x:v>Mortgage Payoff Tracker: Fixed Rate Loan Calculator (Google Sheets)</x:v>
      </x:c>
      <x:c r="B832" s="10" t="str">
        <x:v>https://www.etsy.com/listing/1590262365/mortgage-payoff-tracker-fixed-rate-loan</x:v>
      </x:c>
      <x:c r="C832" s="10" t="str">
        <x:v>BuildWealthNow</x:v>
      </x:c>
      <x:c r="D832" s="10" t="str">
        <x:v>https://www.etsy.com/shop/BuildWealthNow</x:v>
      </x:c>
      <x:c r="E832" s="11" t="n">
        <x:v>5</x:v>
      </x:c>
      <x:c r="F832" s="10" t="n">
        <x:v>0</x:v>
      </x:c>
      <x:c r="G832" s="12" t="n">
        <x:v>0</x:v>
      </x:c>
      <x:c r="H832" s="13" t="n">
        <x:v>0</x:v>
      </x:c>
      <x:c r="I832" s="10" t="n">
        <x:v>68</x:v>
      </x:c>
      <x:c r="J832" s="10" t="n">
        <x:v>7</x:v>
      </x:c>
      <x:c r="K832" s="10" t="str">
        <x:v>30 Mo.</x:v>
      </x:c>
      <x:c r="L832" s="10" t="n">
        <x:v>36</x:v>
      </x:c>
      <x:c r="M832" s="10" t="n">
        <x:v>0</x:v>
      </x:c>
      <x:c r="N832" s="10" t="n">
        <x:v>0</x:v>
      </x:c>
      <x:c r="O832" s="10" t="str">
        <x:v>Paper &amp; Party Supplies</x:v>
      </x:c>
      <x:c r="P832" s="10" t="n">
        <x:v>39</x:v>
      </x:c>
      <x:c r="Q832" s="10" t="n">
        <x:v>0</x:v>
      </x:c>
      <x:c r="R832" s="13" t="n">
        <x:v>0</x:v>
      </x:c>
      <x:c r="S832" s="10" t="n">
        <x:v>1302</x:v>
      </x:c>
      <x:c r="T832" s="10" t="str">
        <x:v>house payoff tracker,home payoff tracker,home loan tracker,mortgage tracker,loan payoff tracker,debt tracker excel,loan payment tracker,debt google sheets,debt payoff planner,debt calculator,debt payment tracker,dave ramsey,debt snowball</x:v>
      </x:c>
      <x:c r="U832" s="10" t="str">
        <x:v>house payoff tracker</x:v>
      </x:c>
      <x:c r="V832" s="10" t="str">
        <x:v>home payoff tracker</x:v>
      </x:c>
      <x:c r="W832" s="10" t="str">
        <x:v>home loan tracker</x:v>
      </x:c>
      <x:c r="X832" s="10" t="str">
        <x:v>mortgage tracker</x:v>
      </x:c>
      <x:c r="Y832" s="10" t="str">
        <x:v>loan payoff tracker</x:v>
      </x:c>
      <x:c r="Z832" s="10" t="str">
        <x:v>debt tracker excel</x:v>
      </x:c>
      <x:c r="AA832" s="10" t="str">
        <x:v>loan payment tracker</x:v>
      </x:c>
      <x:c r="AB832" s="10" t="str">
        <x:v>debt google sheets</x:v>
      </x:c>
      <x:c r="AC832" s="10" t="str">
        <x:v>debt payoff planner</x:v>
      </x:c>
      <x:c r="AD832" s="10" t="str">
        <x:v>debt calculator</x:v>
      </x:c>
      <x:c r="AE832" s="10" t="str">
        <x:v>debt payment tracker</x:v>
      </x:c>
      <x:c r="AF832" s="10" t="str">
        <x:v>dave ramsey</x:v>
      </x:c>
      <x:c r="AG832" s="10" t="str">
        <x:v>debt snowball</x:v>
      </x:c>
      <x:c r="AH832" s="10" t="str">
        <x:v>Mortgage payoff / calculator</x:v>
      </x:c>
      <x:c r="AI832" s="13" t="n">
        <x:v>30</x:v>
      </x:c>
      <x:c r="AJ832" s="10" t="str">
        <x:f>IF(F832&gt;0,"Active","No est. sales")</x:f>
        <x:v>No est. sales</x:v>
      </x:c>
    </x:row>
    <x:row r="833">
      <x:c r="A833" s="10" t="str">
        <x:v>Rent vs Buy Decision Calculator | Total Cost Comparison Over Time | Interactive Digital Download</x:v>
      </x:c>
      <x:c r="B833" s="10" t="str">
        <x:v>https://www.etsy.com/listing/4476004990/rent-vs-buy-decision-calculator-total</x:v>
      </x:c>
      <x:c r="C833" s="10" t="str">
        <x:v>VaultandVesselStudio</x:v>
      </x:c>
      <x:c r="D833" s="10" t="str">
        <x:v>https://www.etsy.com/shop/VaultandVesselStudio</x:v>
      </x:c>
      <x:c r="E833" s="11" t="n">
        <x:v>19.99</x:v>
      </x:c>
      <x:c r="F833" s="10" t="n">
        <x:v>0</x:v>
      </x:c>
      <x:c r="G833" s="12" t="n">
        <x:v>0</x:v>
      </x:c>
      <x:c r="H833" s="13" t="n">
        <x:v>0</x:v>
      </x:c>
      <x:c r="I833" s="10" t="n">
        <x:v>0</x:v>
      </x:c>
      <x:c r="J833" s="10" t="n">
        <x:v>0</x:v>
      </x:c>
      <x:c r="K833" s="10" t="str">
        <x:v>4 Mo.</x:v>
      </x:c>
      <x:c r="L833" s="10" t="n">
        <x:v>0</x:v>
      </x:c>
      <x:c r="M833" s="10" t="n">
        <x:v>0</x:v>
      </x:c>
      <x:c r="N833" s="10" t="n">
        <x:v>3</x:v>
      </x:c>
      <x:c r="O833" s="10" t="str">
        <x:v>Paper &amp; Party Supplies</x:v>
      </x:c>
      <x:c r="P833" s="10" t="n">
        <x:v>4</x:v>
      </x:c>
      <x:c r="Q833" s="10" t="n">
        <x:v>0</x:v>
      </x:c>
      <x:c r="R833" s="13" t="n">
        <x:v>0</x:v>
      </x:c>
      <x:c r="S833" s="10" t="n">
        <x:v>22</x:v>
      </x:c>
      <x:c r="T833" s="10" t="str">
        <x:v>rent vs buy compare,first time buyer,rent vs buy decision,rent buy spreadsheet,home buying planner,should i rent or buy,home cost comparison,rent own calculator,mortgage rent sheet,housing cost planner,buy home template,rent buy download</x:v>
      </x:c>
      <x:c r="U833" s="10" t="str">
        <x:v>rent vs buy compare</x:v>
      </x:c>
      <x:c r="V833" s="10" t="str">
        <x:v>first time buyer</x:v>
      </x:c>
      <x:c r="W833" s="10" t="str">
        <x:v>rent vs buy decision</x:v>
      </x:c>
      <x:c r="X833" s="10" t="str">
        <x:v>rent buy spreadsheet</x:v>
      </x:c>
      <x:c r="Y833" s="10" t="str">
        <x:v>home buying planner</x:v>
      </x:c>
      <x:c r="Z833" s="10" t="str">
        <x:v>should i rent or buy</x:v>
      </x:c>
      <x:c r="AA833" s="10" t="str">
        <x:v>home cost comparison</x:v>
      </x:c>
      <x:c r="AB833" s="10" t="str">
        <x:v>rent own calculator</x:v>
      </x:c>
      <x:c r="AC833" s="10" t="str">
        <x:v>mortgage rent sheet</x:v>
      </x:c>
      <x:c r="AD833" s="10" t="str">
        <x:v>housing cost planner</x:v>
      </x:c>
      <x:c r="AE833" s="10" t="str">
        <x:v>buy home template</x:v>
      </x:c>
      <x:c r="AF833" s="10" t="str">
        <x:v>rent buy download</x:v>
      </x:c>
      <x:c r="AG833" s="10" t="str">
        <x:v>--</x:v>
      </x:c>
      <x:c r="AH833" s="10" t="str">
        <x:v>Home buying planner</x:v>
      </x:c>
      <x:c r="AI833" s="13" t="n">
        <x:v>4</x:v>
      </x:c>
      <x:c r="AJ833" s="10" t="str">
        <x:f>IF(F833&gt;0,"Active","No est. sales")</x:f>
        <x:v>No est. sales</x:v>
      </x:c>
    </x:row>
    <x:row r="834">
      <x:c r="A834" s="10" t="str">
        <x:v>Debt &amp; Sinking Fund Tracker Bundle | Gray Minimalistic Style | Printable Budgeting Kit | Digital Budgeting Kit</x:v>
      </x:c>
      <x:c r="B834" s="10" t="str">
        <x:v>https://www.etsy.com/listing/4336533023/debt-sinking-fund-tracker-bundle-gray</x:v>
      </x:c>
      <x:c r="C834" s="10" t="str">
        <x:v>BusyBeeBudgetsTN</x:v>
      </x:c>
      <x:c r="D834" s="10" t="str">
        <x:v>https://www.etsy.com/shop/BusyBeeBudgetsTN</x:v>
      </x:c>
      <x:c r="E834" s="11" t="n">
        <x:v>5.99</x:v>
      </x:c>
      <x:c r="F834" s="10" t="n">
        <x:v>0</x:v>
      </x:c>
      <x:c r="G834" s="12" t="n">
        <x:v>0</x:v>
      </x:c>
      <x:c r="H834" s="13" t="n">
        <x:v>0</x:v>
      </x:c>
      <x:c r="I834" s="10" t="n">
        <x:v>0</x:v>
      </x:c>
      <x:c r="J834" s="10" t="n">
        <x:v>0</x:v>
      </x:c>
      <x:c r="K834" s="10" t="str">
        <x:v>1 Mo.</x:v>
      </x:c>
      <x:c r="L834" s="10" t="n">
        <x:v>0</x:v>
      </x:c>
      <x:c r="M834" s="10" t="n">
        <x:v>0</x:v>
      </x:c>
      <x:c r="N834" s="10" t="n">
        <x:v>4</x:v>
      </x:c>
      <x:c r="O834" s="10" t="str"/>
      <x:c r="P834" s="10" t="n">
        <x:v>3</x:v>
      </x:c>
      <x:c r="Q834" s="10" t="n">
        <x:v>0</x:v>
      </x:c>
      <x:c r="R834" s="13" t="n">
        <x:v>0</x:v>
      </x:c>
      <x:c r="S834" s="10" t="n">
        <x:v>0</x:v>
      </x:c>
      <x:c r="T834" s="10" t="str">
        <x:v>debt payoff tracker,sinking fund tracker,budget binder,budget printables,emergency fund,mortgage payoff,car loan payoff,debt snowball,dave ramsey,money management,financial planner,student loan tracker,savings tracker</x:v>
      </x:c>
      <x:c r="U834" s="10" t="str">
        <x:v>debt payoff tracker</x:v>
      </x:c>
      <x:c r="V834" s="10" t="str">
        <x:v>sinking fund tracker</x:v>
      </x:c>
      <x:c r="W834" s="10" t="str">
        <x:v>budget binder</x:v>
      </x:c>
      <x:c r="X834" s="10" t="str">
        <x:v>budget printables</x:v>
      </x:c>
      <x:c r="Y834" s="10" t="str">
        <x:v>emergency fund</x:v>
      </x:c>
      <x:c r="Z834" s="10" t="str">
        <x:v>mortgage payoff</x:v>
      </x:c>
      <x:c r="AA834" s="10" t="str">
        <x:v>car loan payoff</x:v>
      </x:c>
      <x:c r="AB834" s="10" t="str">
        <x:v>debt snowball</x:v>
      </x:c>
      <x:c r="AC834" s="10" t="str">
        <x:v>dave ramsey</x:v>
      </x:c>
      <x:c r="AD834" s="10" t="str">
        <x:v>money management</x:v>
      </x:c>
      <x:c r="AE834" s="10" t="str">
        <x:v>financial planner</x:v>
      </x:c>
      <x:c r="AF834" s="10" t="str">
        <x:v>student loan tracker</x:v>
      </x:c>
      <x:c r="AG834" s="10" t="str">
        <x:v>savings tracker</x:v>
      </x:c>
      <x:c r="AH834" s="10" t="str">
        <x:v>Other mortgage-related</x:v>
      </x:c>
      <x:c r="AI834" s="13" t="n">
        <x:v>1</x:v>
      </x:c>
      <x:c r="AJ834" s="10" t="str">
        <x:f>IF(F834&gt;0,"Active","No est. sales")</x:f>
        <x:v>No est. sales</x:v>
      </x:c>
    </x:row>
    <x:row r="835">
      <x:c r="A835" s="10" t="str">
        <x:v>Mortgage Calculator - Compare Mortgage scenarios easily without complex formulas</x:v>
      </x:c>
      <x:c r="B835" s="10" t="str">
        <x:v>https://www.etsy.com/listing/4413758720/mortgage-calculator-compare-mortgage</x:v>
      </x:c>
      <x:c r="C835" s="10" t="str">
        <x:v>SimplestSpreadsheet</x:v>
      </x:c>
      <x:c r="D835" s="10" t="str">
        <x:v>https://www.etsy.com/shop/SimplestSpreadsheet</x:v>
      </x:c>
      <x:c r="E835" s="11" t="n">
        <x:v>2.36</x:v>
      </x:c>
      <x:c r="F835" s="10" t="n">
        <x:v>0</x:v>
      </x:c>
      <x:c r="G835" s="12" t="n">
        <x:v>0</x:v>
      </x:c>
      <x:c r="H835" s="13" t="n">
        <x:v>0</x:v>
      </x:c>
      <x:c r="I835" s="10" t="n">
        <x:v>0</x:v>
      </x:c>
      <x:c r="J835" s="10" t="n">
        <x:v>0</x:v>
      </x:c>
      <x:c r="K835" s="10" t="str">
        <x:v>3 Mo.</x:v>
      </x:c>
      <x:c r="L835" s="10" t="n">
        <x:v>2</x:v>
      </x:c>
      <x:c r="M835" s="10" t="n">
        <x:v>0</x:v>
      </x:c>
      <x:c r="N835" s="10" t="n">
        <x:v>52</x:v>
      </x:c>
      <x:c r="O835" s="10" t="str"/>
      <x:c r="P835" s="10" t="n">
        <x:v>3</x:v>
      </x:c>
      <x:c r="Q835" s="10" t="n">
        <x:v>0</x:v>
      </x:c>
      <x:c r="R835" s="13" t="n">
        <x:v>0</x:v>
      </x:c>
      <x:c r="S835" s="10" t="n">
        <x:v>1</x:v>
      </x:c>
      <x:c r="T835" s="10" t="str">
        <x:v>mortgage calculator,loan calculator,mortgage excel,house payment,loan payment,mortgage tool,excel template,loan planner,real estate xls,simple mortgage,mortgage xls</x:v>
      </x:c>
      <x:c r="U835" s="10" t="str">
        <x:v>mortgage calculator</x:v>
      </x:c>
      <x:c r="V835" s="10" t="str">
        <x:v>loan calculator</x:v>
      </x:c>
      <x:c r="W835" s="10" t="str">
        <x:v>mortgage excel</x:v>
      </x:c>
      <x:c r="X835" s="10" t="str">
        <x:v>house payment</x:v>
      </x:c>
      <x:c r="Y835" s="10" t="str">
        <x:v>loan payment</x:v>
      </x:c>
      <x:c r="Z835" s="10" t="str">
        <x:v>mortgage tool</x:v>
      </x:c>
      <x:c r="AA835" s="10" t="str">
        <x:v>excel template</x:v>
      </x:c>
      <x:c r="AB835" s="10" t="str">
        <x:v>loan planner</x:v>
      </x:c>
      <x:c r="AC835" s="10" t="str">
        <x:v>real estate xls</x:v>
      </x:c>
      <x:c r="AD835" s="10" t="str">
        <x:v>simple mortgage</x:v>
      </x:c>
      <x:c r="AE835" s="10" t="str">
        <x:v>mortgage xls</x:v>
      </x:c>
      <x:c r="AF835" s="10" t="str">
        <x:v>--</x:v>
      </x:c>
      <x:c r="AG835" s="10" t="str">
        <x:v>--</x:v>
      </x:c>
      <x:c r="AH835" s="10" t="str">
        <x:v>Mortgage payoff / calculator</x:v>
      </x:c>
      <x:c r="AI835" s="13" t="n">
        <x:v>3</x:v>
      </x:c>
      <x:c r="AJ835" s="10" t="str">
        <x:f>IF(F835&gt;0,"Active","No est. sales")</x:f>
        <x:v>No est. sales</x:v>
      </x:c>
    </x:row>
    <x:row r="836">
      <x:c r="A836" s="10" t="str">
        <x:v>Amortization Chart Template | Loan &amp; Payment Schedule Tracker | Digital Download</x:v>
      </x:c>
      <x:c r="B836" s="10" t="str">
        <x:v>https://www.etsy.com/listing/4373913742/amortization-chart-template-loan-payment</x:v>
      </x:c>
      <x:c r="C836" s="10" t="str">
        <x:v>DigiUniverse01</x:v>
      </x:c>
      <x:c r="D836" s="10" t="str">
        <x:v>https://www.etsy.com/shop/DigiUniverse01</x:v>
      </x:c>
      <x:c r="E836" s="11" t="n">
        <x:v>1.59</x:v>
      </x:c>
      <x:c r="F836" s="10" t="n">
        <x:v>0</x:v>
      </x:c>
      <x:c r="G836" s="12" t="n">
        <x:v>0</x:v>
      </x:c>
      <x:c r="H836" s="13" t="n">
        <x:v>0</x:v>
      </x:c>
      <x:c r="I836" s="10" t="n">
        <x:v>0</x:v>
      </x:c>
      <x:c r="J836" s="10" t="n">
        <x:v>0</x:v>
      </x:c>
      <x:c r="K836" s="10" t="str">
        <x:v>3 Mo.</x:v>
      </x:c>
      <x:c r="L836" s="10" t="n">
        <x:v>0</x:v>
      </x:c>
      <x:c r="M836" s="10" t="n">
        <x:v>0</x:v>
      </x:c>
      <x:c r="N836" s="10" t="n">
        <x:v>3</x:v>
      </x:c>
      <x:c r="O836" s="10" t="str">
        <x:v>Weddings</x:v>
      </x:c>
      <x:c r="P836" s="10" t="n">
        <x:v>7</x:v>
      </x:c>
      <x:c r="Q836" s="10" t="n">
        <x:v>0</x:v>
      </x:c>
      <x:c r="R836" s="13" t="n">
        <x:v>0</x:v>
      </x:c>
      <x:c r="S836" s="10" t="n">
        <x:v>1</x:v>
      </x:c>
      <x:c r="T836" s="10" t="str">
        <x:v>amortization chart,loan tracker,payment schedule,mortgage tracker,debt payoff log,interest tracker,principal log,finance planner,budget tracker,loan schedule,money tracker</x:v>
      </x:c>
      <x:c r="U836" s="10" t="str">
        <x:v>amortization chart</x:v>
      </x:c>
      <x:c r="V836" s="10" t="str">
        <x:v>loan tracker</x:v>
      </x:c>
      <x:c r="W836" s="10" t="str">
        <x:v>payment schedule</x:v>
      </x:c>
      <x:c r="X836" s="10" t="str">
        <x:v>mortgage tracker</x:v>
      </x:c>
      <x:c r="Y836" s="10" t="str">
        <x:v>debt payoff log</x:v>
      </x:c>
      <x:c r="Z836" s="10" t="str">
        <x:v>interest tracker</x:v>
      </x:c>
      <x:c r="AA836" s="10" t="str">
        <x:v>principal log</x:v>
      </x:c>
      <x:c r="AB836" s="10" t="str">
        <x:v>finance planner</x:v>
      </x:c>
      <x:c r="AC836" s="10" t="str">
        <x:v>budget tracker</x:v>
      </x:c>
      <x:c r="AD836" s="10" t="str">
        <x:v>loan schedule</x:v>
      </x:c>
      <x:c r="AE836" s="10" t="str">
        <x:v>money tracker</x:v>
      </x:c>
      <x:c r="AF836" s="10" t="str">
        <x:v>--</x:v>
      </x:c>
      <x:c r="AG836" s="10" t="str">
        <x:v>--</x:v>
      </x:c>
      <x:c r="AH836" s="10" t="str">
        <x:v>Other mortgage-related</x:v>
      </x:c>
      <x:c r="AI836" s="13" t="n">
        <x:v>3</x:v>
      </x:c>
      <x:c r="AJ836" s="10" t="str">
        <x:f>IF(F836&gt;0,"Active","No est. sales")</x:f>
        <x:v>No est. sales</x:v>
      </x:c>
    </x:row>
    <x:row r="837">
      <x:c r="A837" s="10" t="str">
        <x:v>Debt Destroyer Tracker, Snowball Spreadsheet, Debt Payoff Tracker, Debt Snowball Calculator, Debt Planner, Mortgage | Pink</x:v>
      </x:c>
      <x:c r="B837" s="10" t="str">
        <x:v>https://www.etsy.com/listing/1460812588/debt-destroyer-tracker-snowball</x:v>
      </x:c>
      <x:c r="C837" s="10" t="str">
        <x:v>michaelrusli</x:v>
      </x:c>
      <x:c r="D837" s="10" t="str">
        <x:v>https://www.etsy.com/shop/michaelrusli</x:v>
      </x:c>
      <x:c r="E837" s="11" t="n">
        <x:v>22.85</x:v>
      </x:c>
      <x:c r="F837" s="10" t="n">
        <x:v>0</x:v>
      </x:c>
      <x:c r="G837" s="12" t="n">
        <x:v>0</x:v>
      </x:c>
      <x:c r="H837" s="13" t="n">
        <x:v>0</x:v>
      </x:c>
      <x:c r="I837" s="10" t="n">
        <x:v>60</x:v>
      </x:c>
      <x:c r="J837" s="10" t="n">
        <x:v>2</x:v>
      </x:c>
      <x:c r="K837" s="10" t="str">
        <x:v>28 Mo.</x:v>
      </x:c>
      <x:c r="L837" s="10" t="n">
        <x:v>34</x:v>
      </x:c>
      <x:c r="M837" s="10" t="n">
        <x:v>0</x:v>
      </x:c>
      <x:c r="N837" s="10" t="n">
        <x:v>973</x:v>
      </x:c>
      <x:c r="O837" s="10" t="str"/>
      <x:c r="P837" s="10" t="n">
        <x:v>38</x:v>
      </x:c>
      <x:c r="Q837" s="10" t="n">
        <x:v>0</x:v>
      </x:c>
      <x:c r="R837" s="13" t="n">
        <x:v>6.17</x:v>
      </x:c>
      <x:c r="S837" s="10" t="n">
        <x:v>6524</x:v>
      </x:c>
      <x:c r="T837" s="10" t="str">
        <x:v>budgeting spreadsheet,debt calculator,debt tracker,debt payment tracker,excel spreadsheet,debt repayment tool,google sheets</x:v>
      </x:c>
      <x:c r="U837" s="10" t="str">
        <x:v>budgeting spreadsheet</x:v>
      </x:c>
      <x:c r="V837" s="10" t="str">
        <x:v>debt calculator</x:v>
      </x:c>
      <x:c r="W837" s="10" t="str">
        <x:v>debt tracker</x:v>
      </x:c>
      <x:c r="X837" s="10" t="str">
        <x:v>debt payment tracker</x:v>
      </x:c>
      <x:c r="Y837" s="10" t="str">
        <x:v>excel spreadsheet</x:v>
      </x:c>
      <x:c r="Z837" s="10" t="str">
        <x:v>debt repayment tool</x:v>
      </x:c>
      <x:c r="AA837" s="10" t="str">
        <x:v>google sheets</x:v>
      </x:c>
      <x:c r="AB837" s="10" t="str">
        <x:v>--</x:v>
      </x:c>
      <x:c r="AC837" s="10" t="str">
        <x:v>--</x:v>
      </x:c>
      <x:c r="AD837" s="10" t="str">
        <x:v>--</x:v>
      </x:c>
      <x:c r="AE837" s="10" t="str">
        <x:v>--</x:v>
      </x:c>
      <x:c r="AF837" s="10" t="str">
        <x:v>--</x:v>
      </x:c>
      <x:c r="AG837" s="10" t="str">
        <x:v>--</x:v>
      </x:c>
      <x:c r="AH837" s="10" t="str">
        <x:v>General debt payoff</x:v>
      </x:c>
      <x:c r="AI837" s="13" t="n">
        <x:v>28</x:v>
      </x:c>
      <x:c r="AJ837" s="10" t="str">
        <x:f>IF(F837&gt;0,"Active","No est. sales")</x:f>
        <x:v>No est. sales</x:v>
      </x:c>
    </x:row>
    <x:row r="838">
      <x:c r="A838" s="10" t="str">
        <x:v>First Home Buyer Guide PDF | Home Buying Checklist Mortgage Calculator Property Inspection Tool</x:v>
      </x:c>
      <x:c r="B838" s="10" t="str">
        <x:v>https://www.etsy.com/listing/4480083928/first-home-buyer-guide-pdf-home-buying</x:v>
      </x:c>
      <x:c r="C838" s="10" t="str">
        <x:v>SortedDigitalShop</x:v>
      </x:c>
      <x:c r="D838" s="10" t="str">
        <x:v>https://www.etsy.com/shop/SortedDigitalShop</x:v>
      </x:c>
      <x:c r="E838" s="11" t="n">
        <x:v>11.82</x:v>
      </x:c>
      <x:c r="F838" s="10" t="n">
        <x:v>0</x:v>
      </x:c>
      <x:c r="G838" s="12" t="n">
        <x:v>0</x:v>
      </x:c>
      <x:c r="H838" s="13" t="n">
        <x:v>0</x:v>
      </x:c>
      <x:c r="I838" s="10" t="n">
        <x:v>0</x:v>
      </x:c>
      <x:c r="J838" s="10" t="n">
        <x:v>0</x:v>
      </x:c>
      <x:c r="K838" s="10" t="str">
        <x:v>1 Mo.</x:v>
      </x:c>
      <x:c r="L838" s="10" t="n">
        <x:v>0</x:v>
      </x:c>
      <x:c r="M838" s="10" t="n">
        <x:v>0</x:v>
      </x:c>
      <x:c r="N838" s="10" t="n">
        <x:v>1</x:v>
      </x:c>
      <x:c r="O838" s="10" t="str"/>
      <x:c r="P838" s="10" t="n">
        <x:v>1</x:v>
      </x:c>
      <x:c r="Q838" s="10" t="n">
        <x:v>0</x:v>
      </x:c>
      <x:c r="R838" s="13" t="n">
        <x:v>0</x:v>
      </x:c>
      <x:c r="S838" s="10" t="n">
        <x:v>0</x:v>
      </x:c>
      <x:c r="T838" s="10" t="str">
        <x:v>first home buyer,home checklist,first home buyer pdf,mortgage calculator,home inspection,first time buyer,home buying guide,property comparison,home buyer planner,real estate buyer,house hunting,home purchase,mortgage afford</x:v>
      </x:c>
      <x:c r="U838" s="10" t="str">
        <x:v>first home buyer</x:v>
      </x:c>
      <x:c r="V838" s="10" t="str">
        <x:v>home checklist</x:v>
      </x:c>
      <x:c r="W838" s="10" t="str">
        <x:v>first home buyer pdf</x:v>
      </x:c>
      <x:c r="X838" s="10" t="str">
        <x:v>mortgage calculator</x:v>
      </x:c>
      <x:c r="Y838" s="10" t="str">
        <x:v>home inspection</x:v>
      </x:c>
      <x:c r="Z838" s="10" t="str">
        <x:v>first time buyer</x:v>
      </x:c>
      <x:c r="AA838" s="10" t="str">
        <x:v>home buying guide</x:v>
      </x:c>
      <x:c r="AB838" s="10" t="str">
        <x:v>property comparison</x:v>
      </x:c>
      <x:c r="AC838" s="10" t="str">
        <x:v>home buyer planner</x:v>
      </x:c>
      <x:c r="AD838" s="10" t="str">
        <x:v>real estate buyer</x:v>
      </x:c>
      <x:c r="AE838" s="10" t="str">
        <x:v>house hunting</x:v>
      </x:c>
      <x:c r="AF838" s="10" t="str">
        <x:v>home purchase</x:v>
      </x:c>
      <x:c r="AG838" s="10" t="str">
        <x:v>mortgage afford</x:v>
      </x:c>
      <x:c r="AH838" s="10" t="str">
        <x:v>Home buying planner</x:v>
      </x:c>
      <x:c r="AI838" s="13" t="n">
        <x:v>1</x:v>
      </x:c>
      <x:c r="AJ838" s="10" t="str">
        <x:f>IF(F838&gt;0,"Active","No est. sales")</x:f>
        <x:v>No est. sales</x:v>
      </x:c>
    </x:row>
    <x:row r="839">
      <x:c r="A839" s="10" t="str">
        <x:v>Home Buyer Guide | First Time Home Buyer Guide | House Hunting Checklist, Budget Planner (Digital Download)</x:v>
      </x:c>
      <x:c r="B839" s="10" t="str">
        <x:v>https://www.etsy.com/listing/4476692733/home-buying-guide-first-time-home-buyer</x:v>
      </x:c>
      <x:c r="C839" s="10" t="str">
        <x:v>PaperandPlansCompany</x:v>
      </x:c>
      <x:c r="D839" s="10" t="str">
        <x:v>https://www.etsy.com/shop/PaperandPlansCompany</x:v>
      </x:c>
      <x:c r="E839" s="11" t="n">
        <x:v>6.99</x:v>
      </x:c>
      <x:c r="F839" s="10" t="n">
        <x:v>0</x:v>
      </x:c>
      <x:c r="G839" s="12" t="n">
        <x:v>0</x:v>
      </x:c>
      <x:c r="H839" s="13" t="n">
        <x:v>0</x:v>
      </x:c>
      <x:c r="I839" s="10" t="n">
        <x:v>0</x:v>
      </x:c>
      <x:c r="J839" s="10" t="n">
        <x:v>0</x:v>
      </x:c>
      <x:c r="K839" s="10" t="str">
        <x:v>1 Mo.</x:v>
      </x:c>
      <x:c r="L839" s="10" t="n">
        <x:v>1</x:v>
      </x:c>
      <x:c r="M839" s="10" t="n">
        <x:v>0</x:v>
      </x:c>
      <x:c r="N839" s="10" t="n">
        <x:v>0</x:v>
      </x:c>
      <x:c r="O839" s="10" t="str"/>
      <x:c r="P839" s="10" t="n">
        <x:v>0</x:v>
      </x:c>
      <x:c r="Q839" s="10" t="n">
        <x:v>0</x:v>
      </x:c>
      <x:c r="R839" s="13" t="n">
        <x:v>0</x:v>
      </x:c>
      <x:c r="S839" s="10" t="n">
        <x:v>0</x:v>
      </x:c>
      <x:c r="T839" s="10" t="str">
        <x:v>home buyer planner,home buying guide,real estate planner,printable planner,budget planner,monthly planner,digital planner,moving planner,home organization,buyer checklist,house hunting,checklist,mortgage planner</x:v>
      </x:c>
      <x:c r="U839" s="10" t="str">
        <x:v>home buyer planner</x:v>
      </x:c>
      <x:c r="V839" s="10" t="str">
        <x:v>home buying guide</x:v>
      </x:c>
      <x:c r="W839" s="10" t="str">
        <x:v>real estate planner</x:v>
      </x:c>
      <x:c r="X839" s="10" t="str">
        <x:v>printable planner</x:v>
      </x:c>
      <x:c r="Y839" s="10" t="str">
        <x:v>budget planner</x:v>
      </x:c>
      <x:c r="Z839" s="10" t="str">
        <x:v>monthly planner</x:v>
      </x:c>
      <x:c r="AA839" s="10" t="str">
        <x:v>digital planner</x:v>
      </x:c>
      <x:c r="AB839" s="10" t="str">
        <x:v>moving planner</x:v>
      </x:c>
      <x:c r="AC839" s="10" t="str">
        <x:v>home organization</x:v>
      </x:c>
      <x:c r="AD839" s="10" t="str">
        <x:v>buyer checklist</x:v>
      </x:c>
      <x:c r="AE839" s="10" t="str">
        <x:v>house hunting</x:v>
      </x:c>
      <x:c r="AF839" s="10" t="str">
        <x:v>checklist</x:v>
      </x:c>
      <x:c r="AG839" s="10" t="str">
        <x:v>mortgage planner</x:v>
      </x:c>
      <x:c r="AH839" s="10" t="str">
        <x:v>Home buying planner</x:v>
      </x:c>
      <x:c r="AI839" s="13" t="n">
        <x:v>1</x:v>
      </x:c>
      <x:c r="AJ839" s="10" t="str">
        <x:f>IF(F839&gt;0,"Active","No est. sales")</x:f>
        <x:v>No est. sales</x:v>
      </x:c>
    </x:row>
    <x:row r="840">
      <x:c r="A840" s="10" t="str">
        <x:v>Debt Payoff Tracker Bundle Printable, Editable Family Debt Tracker, Student Debt Repayment Planner, US Letter A4, A5</x:v>
      </x:c>
      <x:c r="B840" s="10" t="str">
        <x:v>https://www.etsy.com/listing/1827068220/debt-payoff-tracker-bundle-printable</x:v>
      </x:c>
      <x:c r="C840" s="10" t="str">
        <x:v>SimplyGreenPlanners</x:v>
      </x:c>
      <x:c r="D840" s="10" t="str">
        <x:v>https://www.etsy.com/shop/SimplyGreenPlanners</x:v>
      </x:c>
      <x:c r="E840" s="11" t="n">
        <x:v>1.99</x:v>
      </x:c>
      <x:c r="F840" s="10" t="n">
        <x:v>0</x:v>
      </x:c>
      <x:c r="G840" s="12" t="n">
        <x:v>0</x:v>
      </x:c>
      <x:c r="H840" s="13" t="n">
        <x:v>0</x:v>
      </x:c>
      <x:c r="I840" s="10" t="n">
        <x:v>0</x:v>
      </x:c>
      <x:c r="J840" s="10" t="n">
        <x:v>0</x:v>
      </x:c>
      <x:c r="K840" s="10" t="str">
        <x:v>19 Mo.</x:v>
      </x:c>
      <x:c r="L840" s="10" t="n">
        <x:v>2</x:v>
      </x:c>
      <x:c r="M840" s="10" t="n">
        <x:v>0</x:v>
      </x:c>
      <x:c r="N840" s="10" t="n">
        <x:v>81</x:v>
      </x:c>
      <x:c r="O840" s="10" t="str">
        <x:v>Paper &amp; Party Supplies</x:v>
      </x:c>
      <x:c r="P840" s="10" t="n">
        <x:v>38</x:v>
      </x:c>
      <x:c r="Q840" s="10" t="n">
        <x:v>0</x:v>
      </x:c>
      <x:c r="R840" s="13" t="n">
        <x:v>0</x:v>
      </x:c>
      <x:c r="S840" s="10" t="n">
        <x:v>2115</x:v>
      </x:c>
      <x:c r="T840" s="10" t="str">
        <x:v>monthly debt,debt free planner,debt snowball,debt challenge,debt payoff tracker,family financial,household budgeting,credit card tracker,mortgage tracker,loan repayment,bill tracker,student debt,printable tracker</x:v>
      </x:c>
      <x:c r="U840" s="10" t="str">
        <x:v>monthly debt</x:v>
      </x:c>
      <x:c r="V840" s="10" t="str">
        <x:v>debt free planner</x:v>
      </x:c>
      <x:c r="W840" s="10" t="str">
        <x:v>debt snowball</x:v>
      </x:c>
      <x:c r="X840" s="10" t="str">
        <x:v>debt challenge</x:v>
      </x:c>
      <x:c r="Y840" s="10" t="str">
        <x:v>debt payoff tracker</x:v>
      </x:c>
      <x:c r="Z840" s="10" t="str">
        <x:v>family financial</x:v>
      </x:c>
      <x:c r="AA840" s="10" t="str">
        <x:v>household budgeting</x:v>
      </x:c>
      <x:c r="AB840" s="10" t="str">
        <x:v>credit card tracker</x:v>
      </x:c>
      <x:c r="AC840" s="10" t="str">
        <x:v>mortgage tracker</x:v>
      </x:c>
      <x:c r="AD840" s="10" t="str">
        <x:v>loan repayment</x:v>
      </x:c>
      <x:c r="AE840" s="10" t="str">
        <x:v>bill tracker</x:v>
      </x:c>
      <x:c r="AF840" s="10" t="str">
        <x:v>student debt</x:v>
      </x:c>
      <x:c r="AG840" s="10" t="str">
        <x:v>printable tracker</x:v>
      </x:c>
      <x:c r="AH840" s="10" t="str">
        <x:v>General debt payoff</x:v>
      </x:c>
      <x:c r="AI840" s="13" t="n">
        <x:v>19</x:v>
      </x:c>
      <x:c r="AJ840" s="10" t="str">
        <x:f>IF(F840&gt;0,"Active","No est. sales")</x:f>
        <x:v>No est. sales</x:v>
      </x:c>
    </x:row>
    <x:row r="841">
      <x:c r="A841" s="10" t="str">
        <x:v>20K House Savings Tracker Printable: A4, A5, Letter, Half-Letter (PDF Download Template)</x:v>
      </x:c>
      <x:c r="B841" s="10" t="str">
        <x:v>https://www.etsy.com/listing/4322545348/20k-house-savings-tracker-printable-a4</x:v>
      </x:c>
      <x:c r="C841" s="10" t="str">
        <x:v>thedandyplanner</x:v>
      </x:c>
      <x:c r="D841" s="10" t="str">
        <x:v>https://www.etsy.com/shop/thedandyplanner</x:v>
      </x:c>
      <x:c r="E841" s="11" t="n">
        <x:v>2.65</x:v>
      </x:c>
      <x:c r="F841" s="10" t="n">
        <x:v>0</x:v>
      </x:c>
      <x:c r="G841" s="12" t="n">
        <x:v>0</x:v>
      </x:c>
      <x:c r="H841" s="13" t="n">
        <x:v>0</x:v>
      </x:c>
      <x:c r="I841" s="10" t="n">
        <x:v>0</x:v>
      </x:c>
      <x:c r="J841" s="10" t="n">
        <x:v>0</x:v>
      </x:c>
      <x:c r="K841" s="10" t="str">
        <x:v>13 Mo.</x:v>
      </x:c>
      <x:c r="L841" s="10" t="n">
        <x:v>2</x:v>
      </x:c>
      <x:c r="M841" s="10" t="n">
        <x:v>0</x:v>
      </x:c>
      <x:c r="N841" s="10" t="n">
        <x:v>23</x:v>
      </x:c>
      <x:c r="O841" s="10" t="str"/>
      <x:c r="P841" s="10" t="n">
        <x:v>72</x:v>
      </x:c>
      <x:c r="Q841" s="10" t="n">
        <x:v>0</x:v>
      </x:c>
      <x:c r="R841" s="13" t="n">
        <x:v>0</x:v>
      </x:c>
      <x:c r="S841" s="10" t="n">
        <x:v>4717</x:v>
      </x:c>
      <x:c r="T841" s="10" t="str">
        <x:v>a4 printable,a5 printable,letter printable,planner printable,minimalist planner,snowball dept,expense tracker,finances trackers,house savings,home savings,mortgage savings,house tracker,home tracker</x:v>
      </x:c>
      <x:c r="U841" s="10" t="str">
        <x:v>a4 printable</x:v>
      </x:c>
      <x:c r="V841" s="10" t="str">
        <x:v>a5 printable</x:v>
      </x:c>
      <x:c r="W841" s="10" t="str">
        <x:v>letter printable</x:v>
      </x:c>
      <x:c r="X841" s="10" t="str">
        <x:v>planner printable</x:v>
      </x:c>
      <x:c r="Y841" s="10" t="str">
        <x:v>minimalist planner</x:v>
      </x:c>
      <x:c r="Z841" s="10" t="str">
        <x:v>snowball dept</x:v>
      </x:c>
      <x:c r="AA841" s="10" t="str">
        <x:v>expense tracker</x:v>
      </x:c>
      <x:c r="AB841" s="10" t="str">
        <x:v>finances trackers</x:v>
      </x:c>
      <x:c r="AC841" s="10" t="str">
        <x:v>house savings</x:v>
      </x:c>
      <x:c r="AD841" s="10" t="str">
        <x:v>home savings</x:v>
      </x:c>
      <x:c r="AE841" s="10" t="str">
        <x:v>mortgage savings</x:v>
      </x:c>
      <x:c r="AF841" s="10" t="str">
        <x:v>house tracker</x:v>
      </x:c>
      <x:c r="AG841" s="10" t="str">
        <x:v>home tracker</x:v>
      </x:c>
      <x:c r="AH841" s="10" t="str">
        <x:v>Other mortgage-related</x:v>
      </x:c>
      <x:c r="AI841" s="13" t="n">
        <x:v>13</x:v>
      </x:c>
      <x:c r="AJ841" s="10" t="str">
        <x:f>IF(F841&gt;0,"Active","No est. sales")</x:f>
        <x:v>No est. sales</x:v>
      </x:c>
    </x:row>
    <x:row r="842">
      <x:c r="A842" s="10" t="str">
        <x:v>Home Buyer Mortgage Calculator Savings Planner Excel Toolkit with Budget Affordability Tabs First Time Buyer Downloadable Spreadsheet Tools</x:v>
      </x:c>
      <x:c r="B842" s="10" t="str">
        <x:v>https://www.etsy.com/listing/1842276179/home-buyer-mortgage-calculator-savings</x:v>
      </x:c>
      <x:c r="C842" s="10" t="str">
        <x:v>ProDeductions</x:v>
      </x:c>
      <x:c r="D842" s="10" t="str">
        <x:v>https://www.etsy.com/shop/ProDeductions</x:v>
      </x:c>
      <x:c r="E842" s="11" t="n">
        <x:v>14.99</x:v>
      </x:c>
      <x:c r="F842" s="10" t="n">
        <x:v>0</x:v>
      </x:c>
      <x:c r="G842" s="12" t="n">
        <x:v>0</x:v>
      </x:c>
      <x:c r="H842" s="13" t="n">
        <x:v>0</x:v>
      </x:c>
      <x:c r="I842" s="10" t="n">
        <x:v>0</x:v>
      </x:c>
      <x:c r="J842" s="10" t="n">
        <x:v>0</x:v>
      </x:c>
      <x:c r="K842" s="10" t="str">
        <x:v>19 Mo.</x:v>
      </x:c>
      <x:c r="L842" s="10" t="n">
        <x:v>2</x:v>
      </x:c>
      <x:c r="M842" s="10" t="n">
        <x:v>0</x:v>
      </x:c>
      <x:c r="N842" s="10" t="n">
        <x:v>37</x:v>
      </x:c>
      <x:c r="O842" s="10" t="str">
        <x:v>Paper &amp; Party Supplies</x:v>
      </x:c>
      <x:c r="P842" s="10" t="n">
        <x:v>27</x:v>
      </x:c>
      <x:c r="Q842" s="10" t="n">
        <x:v>0</x:v>
      </x:c>
      <x:c r="R842" s="13" t="n">
        <x:v>0</x:v>
      </x:c>
      <x:c r="S842" s="10" t="n">
        <x:v>255</x:v>
      </x:c>
      <x:c r="T842" s="10" t="str">
        <x:v>first home planner,mortgage tool,home budget sheet,loan estimate excel,downpayment tracker,real estate tool,first buyer kit,house budget plan,savings calculator,piti estimator,excel finance kit,home purchase tool,debt income ratio</x:v>
      </x:c>
      <x:c r="U842" s="10" t="str">
        <x:v>first home planner</x:v>
      </x:c>
      <x:c r="V842" s="10" t="str">
        <x:v>mortgage tool</x:v>
      </x:c>
      <x:c r="W842" s="10" t="str">
        <x:v>home budget sheet</x:v>
      </x:c>
      <x:c r="X842" s="10" t="str">
        <x:v>loan estimate excel</x:v>
      </x:c>
      <x:c r="Y842" s="10" t="str">
        <x:v>downpayment tracker</x:v>
      </x:c>
      <x:c r="Z842" s="10" t="str">
        <x:v>real estate tool</x:v>
      </x:c>
      <x:c r="AA842" s="10" t="str">
        <x:v>first buyer kit</x:v>
      </x:c>
      <x:c r="AB842" s="10" t="str">
        <x:v>house budget plan</x:v>
      </x:c>
      <x:c r="AC842" s="10" t="str">
        <x:v>savings calculator</x:v>
      </x:c>
      <x:c r="AD842" s="10" t="str">
        <x:v>piti estimator</x:v>
      </x:c>
      <x:c r="AE842" s="10" t="str">
        <x:v>excel finance kit</x:v>
      </x:c>
      <x:c r="AF842" s="10" t="str">
        <x:v>home purchase tool</x:v>
      </x:c>
      <x:c r="AG842" s="10" t="str">
        <x:v>debt income ratio</x:v>
      </x:c>
      <x:c r="AH842" s="10" t="str">
        <x:v>Mortgage payoff / calculator</x:v>
      </x:c>
      <x:c r="AI842" s="13" t="n">
        <x:v>19</x:v>
      </x:c>
      <x:c r="AJ842" s="10" t="str">
        <x:f>IF(F842&gt;0,"Active","No est. sales")</x:f>
        <x:v>No est. sales</x:v>
      </x:c>
    </x:row>
    <x:row r="843">
      <x:c r="A843" s="10" t="str">
        <x:v>Minimalist Debt Tracker Printable | Simple Budget Planner PDF | Debt Payoff Worksheet | Snowball &amp; Avalanche Method | Instant Download</x:v>
      </x:c>
      <x:c r="B843" s="10" t="str">
        <x:v>https://www.etsy.com/listing/1889329987/minimalist-debt-tracker-printable-simple</x:v>
      </x:c>
      <x:c r="C843" s="10" t="str">
        <x:v>DesignifyStudioCo</x:v>
      </x:c>
      <x:c r="D843" s="10" t="str">
        <x:v>https://www.etsy.com/shop/DesignifyStudioCo</x:v>
      </x:c>
      <x:c r="E843" s="11" t="n">
        <x:v>2.5</x:v>
      </x:c>
      <x:c r="F843" s="10" t="n">
        <x:v>0</x:v>
      </x:c>
      <x:c r="G843" s="12" t="n">
        <x:v>0</x:v>
      </x:c>
      <x:c r="H843" s="13" t="n">
        <x:v>0</x:v>
      </x:c>
      <x:c r="I843" s="10" t="n">
        <x:v>0</x:v>
      </x:c>
      <x:c r="J843" s="10" t="n">
        <x:v>0</x:v>
      </x:c>
      <x:c r="K843" s="10" t="str">
        <x:v>16 Mo.</x:v>
      </x:c>
      <x:c r="L843" s="10" t="n">
        <x:v>1</x:v>
      </x:c>
      <x:c r="M843" s="10" t="n">
        <x:v>0</x:v>
      </x:c>
      <x:c r="N843" s="10" t="n">
        <x:v>16</x:v>
      </x:c>
      <x:c r="O843" s="10" t="str">
        <x:v>Paper &amp; Party Supplies</x:v>
      </x:c>
      <x:c r="P843" s="10" t="n">
        <x:v>42</x:v>
      </x:c>
      <x:c r="Q843" s="10" t="n">
        <x:v>0</x:v>
      </x:c>
      <x:c r="R843" s="13" t="n">
        <x:v>0</x:v>
      </x:c>
      <x:c r="S843" s="10" t="n">
        <x:v>44</x:v>
      </x:c>
      <x:c r="T843" s="10" t="str">
        <x:v>money management,debt tracker,spending tracker,debt payoff planner,debt payment tracker,loan payoff tracker,credit card debt,financial planner,personal finance,snowball method,mortgage payoff,snowball calculator,debt free planner</x:v>
      </x:c>
      <x:c r="U843" s="10" t="str">
        <x:v>money management</x:v>
      </x:c>
      <x:c r="V843" s="10" t="str">
        <x:v>debt tracker</x:v>
      </x:c>
      <x:c r="W843" s="10" t="str">
        <x:v>spending tracker</x:v>
      </x:c>
      <x:c r="X843" s="10" t="str">
        <x:v>debt payoff planner</x:v>
      </x:c>
      <x:c r="Y843" s="10" t="str">
        <x:v>debt payment tracker</x:v>
      </x:c>
      <x:c r="Z843" s="10" t="str">
        <x:v>loan payoff tracker</x:v>
      </x:c>
      <x:c r="AA843" s="10" t="str">
        <x:v>credit card debt</x:v>
      </x:c>
      <x:c r="AB843" s="10" t="str">
        <x:v>financial planner</x:v>
      </x:c>
      <x:c r="AC843" s="10" t="str">
        <x:v>personal finance</x:v>
      </x:c>
      <x:c r="AD843" s="10" t="str">
        <x:v>snowball method</x:v>
      </x:c>
      <x:c r="AE843" s="10" t="str">
        <x:v>mortgage payoff</x:v>
      </x:c>
      <x:c r="AF843" s="10" t="str">
        <x:v>snowball calculator</x:v>
      </x:c>
      <x:c r="AG843" s="10" t="str">
        <x:v>debt free planner</x:v>
      </x:c>
      <x:c r="AH843" s="10" t="str">
        <x:v>General debt payoff</x:v>
      </x:c>
      <x:c r="AI843" s="13" t="n">
        <x:v>16</x:v>
      </x:c>
      <x:c r="AJ843" s="10" t="str">
        <x:f>IF(F843&gt;0,"Active","No est. sales")</x:f>
        <x:v>No est. sales</x:v>
      </x:c>
    </x:row>
    <x:row r="844">
      <x:c r="A844" s="10" t="str">
        <x:v>Debt Payoff Avalanche, Debt Avalanche Excel, Debt Payoff Calculator Avalanche, Debt Avalanche Method, Loan &amp; Debt-Free Planner, Debt Stack</x:v>
      </x:c>
      <x:c r="B844" s="10" t="str">
        <x:v>https://www.etsy.com/listing/4314569013/debt-payoff-avalanche-debt-avalanche</x:v>
      </x:c>
      <x:c r="C844" s="10" t="str">
        <x:v>SheetKeeperBudget</x:v>
      </x:c>
      <x:c r="D844" s="10" t="str">
        <x:v>https://www.etsy.com/shop/SheetKeeperBudget</x:v>
      </x:c>
      <x:c r="E844" s="11" t="n">
        <x:v>6.95</x:v>
      </x:c>
      <x:c r="F844" s="10" t="n">
        <x:v>0</x:v>
      </x:c>
      <x:c r="G844" s="12" t="n">
        <x:v>0</x:v>
      </x:c>
      <x:c r="H844" s="13" t="n">
        <x:v>0</x:v>
      </x:c>
      <x:c r="I844" s="10" t="n">
        <x:v>0</x:v>
      </x:c>
      <x:c r="J844" s="10" t="n">
        <x:v>0</x:v>
      </x:c>
      <x:c r="K844" s="10" t="str">
        <x:v>13 Mo.</x:v>
      </x:c>
      <x:c r="L844" s="10" t="n">
        <x:v>1</x:v>
      </x:c>
      <x:c r="M844" s="10" t="n">
        <x:v>0</x:v>
      </x:c>
      <x:c r="N844" s="10" t="n">
        <x:v>9</x:v>
      </x:c>
      <x:c r="O844" s="10" t="str"/>
      <x:c r="P844" s="10" t="n">
        <x:v>14</x:v>
      </x:c>
      <x:c r="Q844" s="10" t="n">
        <x:v>0</x:v>
      </x:c>
      <x:c r="R844" s="13" t="n">
        <x:v>0</x:v>
      </x:c>
      <x:c r="S844" s="10" t="n">
        <x:v>8</x:v>
      </x:c>
      <x:c r="T844" s="10" t="str">
        <x:v>debt payoff tracker,financial planner,personal finance,budget spreadsheet,debt repayment,debt planner,debt free chart,mortgage payoff,debt avalanche,student loan debt,credit card payoff,highest interest,paid first template</x:v>
      </x:c>
      <x:c r="U844" s="10" t="str">
        <x:v>debt payoff tracker</x:v>
      </x:c>
      <x:c r="V844" s="10" t="str">
        <x:v>financial planner</x:v>
      </x:c>
      <x:c r="W844" s="10" t="str">
        <x:v>personal finance</x:v>
      </x:c>
      <x:c r="X844" s="10" t="str">
        <x:v>budget spreadsheet</x:v>
      </x:c>
      <x:c r="Y844" s="10" t="str">
        <x:v>debt repayment</x:v>
      </x:c>
      <x:c r="Z844" s="10" t="str">
        <x:v>debt planner</x:v>
      </x:c>
      <x:c r="AA844" s="10" t="str">
        <x:v>debt free chart</x:v>
      </x:c>
      <x:c r="AB844" s="10" t="str">
        <x:v>mortgage payoff</x:v>
      </x:c>
      <x:c r="AC844" s="10" t="str">
        <x:v>debt avalanche</x:v>
      </x:c>
      <x:c r="AD844" s="10" t="str">
        <x:v>student loan debt</x:v>
      </x:c>
      <x:c r="AE844" s="10" t="str">
        <x:v>credit card payoff</x:v>
      </x:c>
      <x:c r="AF844" s="10" t="str">
        <x:v>highest interest</x:v>
      </x:c>
      <x:c r="AG844" s="10" t="str">
        <x:v>paid first template</x:v>
      </x:c>
      <x:c r="AH844" s="10" t="str">
        <x:v>General debt payoff</x:v>
      </x:c>
      <x:c r="AI844" s="13" t="n">
        <x:v>13</x:v>
      </x:c>
      <x:c r="AJ844" s="10" t="str">
        <x:f>IF(F844&gt;0,"Active","No est. sales")</x:f>
        <x:v>No est. sales</x:v>
      </x:c>
    </x:row>
    <x:row r="845">
      <x:c r="A845" s="10" t="str">
        <x:v>Dark Mode Debt Payoff Tracker: Snowball, Avalanche &amp; Custom Methods in Google Sheets</x:v>
      </x:c>
      <x:c r="B845" s="10" t="str">
        <x:v>https://www.etsy.com/listing/4453613725/dark-mode-debt-payoff-tracker-snowball</x:v>
      </x:c>
      <x:c r="C845" s="10" t="str">
        <x:v>nuceryar</x:v>
      </x:c>
      <x:c r="D845" s="10" t="str">
        <x:v>https://www.etsy.com/shop/nuceryar</x:v>
      </x:c>
      <x:c r="E845" s="11" t="n">
        <x:v>4.66</x:v>
      </x:c>
      <x:c r="F845" s="10" t="n">
        <x:v>0</x:v>
      </x:c>
      <x:c r="G845" s="12" t="n">
        <x:v>0</x:v>
      </x:c>
      <x:c r="H845" s="13" t="n">
        <x:v>0</x:v>
      </x:c>
      <x:c r="I845" s="10" t="n">
        <x:v>0</x:v>
      </x:c>
      <x:c r="J845" s="10" t="n">
        <x:v>0</x:v>
      </x:c>
      <x:c r="K845" s="10" t="str">
        <x:v>5 Mo.</x:v>
      </x:c>
      <x:c r="L845" s="10" t="n">
        <x:v>0</x:v>
      </x:c>
      <x:c r="M845" s="10" t="n">
        <x:v>0</x:v>
      </x:c>
      <x:c r="N845" s="10" t="n">
        <x:v>43</x:v>
      </x:c>
      <x:c r="O845" s="10" t="str">
        <x:v>Paper &amp; Party Supplies</x:v>
      </x:c>
      <x:c r="P845" s="10" t="n">
        <x:v>10</x:v>
      </x:c>
      <x:c r="Q845" s="10" t="n">
        <x:v>0</x:v>
      </x:c>
      <x:c r="R845" s="13" t="n">
        <x:v>0</x:v>
      </x:c>
      <x:c r="S845" s="10" t="n">
        <x:v>18</x:v>
      </x:c>
      <x:c r="T845" s="10" t="str">
        <x:v>dark mode budget,debt spreadsheet,debt avalanche,mortgage payoff,google sheets budget,debt snowball,student loan debt,credit card tracker,debt repayment,debt payoff tracker,debt tracker,financial planner,snowball calculator</x:v>
      </x:c>
      <x:c r="U845" s="10" t="str">
        <x:v>dark mode budget</x:v>
      </x:c>
      <x:c r="V845" s="10" t="str">
        <x:v>debt spreadsheet</x:v>
      </x:c>
      <x:c r="W845" s="10" t="str">
        <x:v>debt avalanche</x:v>
      </x:c>
      <x:c r="X845" s="10" t="str">
        <x:v>mortgage payoff</x:v>
      </x:c>
      <x:c r="Y845" s="10" t="str">
        <x:v>google sheets budget</x:v>
      </x:c>
      <x:c r="Z845" s="10" t="str">
        <x:v>debt snowball</x:v>
      </x:c>
      <x:c r="AA845" s="10" t="str">
        <x:v>student loan debt</x:v>
      </x:c>
      <x:c r="AB845" s="10" t="str">
        <x:v>credit card tracker</x:v>
      </x:c>
      <x:c r="AC845" s="10" t="str">
        <x:v>debt repayment</x:v>
      </x:c>
      <x:c r="AD845" s="10" t="str">
        <x:v>debt payoff tracker</x:v>
      </x:c>
      <x:c r="AE845" s="10" t="str">
        <x:v>debt tracker</x:v>
      </x:c>
      <x:c r="AF845" s="10" t="str">
        <x:v>financial planner</x:v>
      </x:c>
      <x:c r="AG845" s="10" t="str">
        <x:v>snowball calculator</x:v>
      </x:c>
      <x:c r="AH845" s="10" t="str">
        <x:v>General debt payoff</x:v>
      </x:c>
      <x:c r="AI845" s="13" t="n">
        <x:v>5</x:v>
      </x:c>
      <x:c r="AJ845" s="10" t="str">
        <x:f>IF(F845&gt;0,"Active","No est. sales")</x:f>
        <x:v>No est. sales</x:v>
      </x:c>
    </x:row>
    <x:row r="846">
      <x:c r="A846" s="10" t="str">
        <x:v>Debt Payoff Tracker Excel Dark Mode | Snowball Avalanche Calculator | Credit Card Loan Mortgage Budget Planner | Goal Tracker Finance Tool</x:v>
      </x:c>
      <x:c r="B846" s="10" t="str">
        <x:v>https://www.etsy.com/listing/4424166495/debt-payoff-tracker-excel-dark-mode</x:v>
      </x:c>
      <x:c r="C846" s="10" t="str">
        <x:v>MahoganySheets</x:v>
      </x:c>
      <x:c r="D846" s="10" t="str">
        <x:v>https://www.etsy.com/shop/MahoganySheets</x:v>
      </x:c>
      <x:c r="E846" s="11" t="n">
        <x:v>2.4</x:v>
      </x:c>
      <x:c r="F846" s="10" t="n">
        <x:v>0</x:v>
      </x:c>
      <x:c r="G846" s="12" t="n">
        <x:v>0</x:v>
      </x:c>
      <x:c r="H846" s="13" t="n">
        <x:v>0</x:v>
      </x:c>
      <x:c r="I846" s="10" t="n">
        <x:v>0</x:v>
      </x:c>
      <x:c r="J846" s="10" t="n">
        <x:v>0</x:v>
      </x:c>
      <x:c r="K846" s="10" t="str">
        <x:v>7 Mo.</x:v>
      </x:c>
      <x:c r="L846" s="10" t="n">
        <x:v>2</x:v>
      </x:c>
      <x:c r="M846" s="10" t="n">
        <x:v>0</x:v>
      </x:c>
      <x:c r="N846" s="10" t="n">
        <x:v>18</x:v>
      </x:c>
      <x:c r="O846" s="10" t="str"/>
      <x:c r="P846" s="10" t="n">
        <x:v>8</x:v>
      </x:c>
      <x:c r="Q846" s="10" t="n">
        <x:v>0</x:v>
      </x:c>
      <x:c r="R846" s="13" t="n">
        <x:v>0</x:v>
      </x:c>
      <x:c r="S846" s="10" t="n">
        <x:v>118</x:v>
      </x:c>
      <x:c r="T846" s="10" t="str">
        <x:v>personal finance,credit card debt,financial planner,budget planner,debt tracker dark,snowball payoff,avalanche method,loan payoff tool,mortgage payoff,debt goal tracker,excel dark mode,finance tool excel,debt payoff tracker</x:v>
      </x:c>
      <x:c r="U846" s="10" t="str">
        <x:v>personal finance</x:v>
      </x:c>
      <x:c r="V846" s="10" t="str">
        <x:v>credit card debt</x:v>
      </x:c>
      <x:c r="W846" s="10" t="str">
        <x:v>financial planner</x:v>
      </x:c>
      <x:c r="X846" s="10" t="str">
        <x:v>budget planner</x:v>
      </x:c>
      <x:c r="Y846" s="10" t="str">
        <x:v>debt tracker dark</x:v>
      </x:c>
      <x:c r="Z846" s="10" t="str">
        <x:v>snowball payoff</x:v>
      </x:c>
      <x:c r="AA846" s="10" t="str">
        <x:v>avalanche method</x:v>
      </x:c>
      <x:c r="AB846" s="10" t="str">
        <x:v>loan payoff tool</x:v>
      </x:c>
      <x:c r="AC846" s="10" t="str">
        <x:v>mortgage payoff</x:v>
      </x:c>
      <x:c r="AD846" s="10" t="str">
        <x:v>debt goal tracker</x:v>
      </x:c>
      <x:c r="AE846" s="10" t="str">
        <x:v>excel dark mode</x:v>
      </x:c>
      <x:c r="AF846" s="10" t="str">
        <x:v>finance tool excel</x:v>
      </x:c>
      <x:c r="AG846" s="10" t="str">
        <x:v>debt payoff tracker</x:v>
      </x:c>
      <x:c r="AH846" s="10" t="str">
        <x:v>General debt payoff</x:v>
      </x:c>
      <x:c r="AI846" s="13" t="n">
        <x:v>7</x:v>
      </x:c>
      <x:c r="AJ846" s="10" t="str">
        <x:f>IF(F846&gt;0,"Active","No est. sales")</x:f>
        <x:v>No est. sales</x:v>
      </x:c>
    </x:row>
    <x:row r="847">
      <x:c r="A847" s="10" t="str">
        <x:v>House planner stickers - Little Pink Houses</x:v>
      </x:c>
      <x:c r="B847" s="10" t="str">
        <x:v>https://www.etsy.com/listing/1764453081/house-planner-stickers-little-pink</x:v>
      </x:c>
      <x:c r="C847" s="10" t="str">
        <x:v>ThePlannersWorld</x:v>
      </x:c>
      <x:c r="D847" s="10" t="str">
        <x:v>https://www.etsy.com/shop/ThePlannersWorld</x:v>
      </x:c>
      <x:c r="E847" s="11" t="n">
        <x:v>4.4</x:v>
      </x:c>
      <x:c r="F847" s="10" t="n">
        <x:v>0</x:v>
      </x:c>
      <x:c r="G847" s="12" t="n">
        <x:v>0</x:v>
      </x:c>
      <x:c r="H847" s="13" t="n">
        <x:v>0</x:v>
      </x:c>
      <x:c r="I847" s="10" t="n">
        <x:v>3</x:v>
      </x:c>
      <x:c r="J847" s="10" t="n">
        <x:v>1</x:v>
      </x:c>
      <x:c r="K847" s="10" t="str">
        <x:v>24 Mo.</x:v>
      </x:c>
      <x:c r="L847" s="10" t="n">
        <x:v>5</x:v>
      </x:c>
      <x:c r="M847" s="10" t="n">
        <x:v>0</x:v>
      </x:c>
      <x:c r="N847" s="10" t="n">
        <x:v>21</x:v>
      </x:c>
      <x:c r="O847" s="10" t="str">
        <x:v>Paper &amp; Party Supplies</x:v>
      </x:c>
      <x:c r="P847" s="10" t="n">
        <x:v>111</x:v>
      </x:c>
      <x:c r="Q847" s="10" t="n">
        <x:v>0</x:v>
      </x:c>
      <x:c r="R847" s="13" t="n">
        <x:v>14.29</x:v>
      </x:c>
      <x:c r="S847" s="10" t="n">
        <x:v>28385</x:v>
      </x:c>
      <x:c r="T847" s="10" t="str">
        <x:v>bill due,cute house stickers,decorative planning,erin condren,finance tracker,happy planner,home repair,house stickers,journal stickers,life planner,mortgage stickers,planner stickers,rent stickers</x:v>
      </x:c>
      <x:c r="U847" s="10" t="str">
        <x:v>bill due</x:v>
      </x:c>
      <x:c r="V847" s="10" t="str">
        <x:v>cute house stickers</x:v>
      </x:c>
      <x:c r="W847" s="10" t="str">
        <x:v>decorative planning</x:v>
      </x:c>
      <x:c r="X847" s="10" t="str">
        <x:v>erin condren</x:v>
      </x:c>
      <x:c r="Y847" s="10" t="str">
        <x:v>finance tracker</x:v>
      </x:c>
      <x:c r="Z847" s="10" t="str">
        <x:v>happy planner</x:v>
      </x:c>
      <x:c r="AA847" s="10" t="str">
        <x:v>home repair</x:v>
      </x:c>
      <x:c r="AB847" s="10" t="str">
        <x:v>house stickers</x:v>
      </x:c>
      <x:c r="AC847" s="10" t="str">
        <x:v>journal stickers</x:v>
      </x:c>
      <x:c r="AD847" s="10" t="str">
        <x:v>life planner</x:v>
      </x:c>
      <x:c r="AE847" s="10" t="str">
        <x:v>mortgage stickers</x:v>
      </x:c>
      <x:c r="AF847" s="10" t="str">
        <x:v>planner stickers</x:v>
      </x:c>
      <x:c r="AG847" s="10" t="str">
        <x:v>rent stickers</x:v>
      </x:c>
      <x:c r="AH847" s="10" t="str">
        <x:v>Other mortgage-related</x:v>
      </x:c>
      <x:c r="AI847" s="13" t="n">
        <x:v>24</x:v>
      </x:c>
      <x:c r="AJ847" s="10" t="str">
        <x:f>IF(F847&gt;0,"Active","No est. sales")</x:f>
        <x:v>No est. sales</x:v>
      </x:c>
    </x:row>
    <x:row r="848">
      <x:c r="A848" s="10" t="str">
        <x:v>Pay Rent or Mortgage Icons | Hand Doodled Clean House Planner Stickers | Clear Matte | I-447-BCM</x:v>
      </x:c>
      <x:c r="B848" s="10" t="str">
        <x:v>https://www.etsy.com/listing/1683221161/pay-rent-or-mortgage-icons-hand-doodled</x:v>
      </x:c>
      <x:c r="C848" s="10" t="str">
        <x:v>OrangeUmbrellaCo</x:v>
      </x:c>
      <x:c r="D848" s="10" t="str">
        <x:v>https://www.etsy.com/shop/OrangeUmbrellaCo</x:v>
      </x:c>
      <x:c r="E848" s="11" t="n">
        <x:v>4.89</x:v>
      </x:c>
      <x:c r="F848" s="10" t="n">
        <x:v>0</x:v>
      </x:c>
      <x:c r="G848" s="12" t="n">
        <x:v>0</x:v>
      </x:c>
      <x:c r="H848" s="13" t="n">
        <x:v>0</x:v>
      </x:c>
      <x:c r="I848" s="10" t="n">
        <x:v>5</x:v>
      </x:c>
      <x:c r="J848" s="10" t="n">
        <x:v>1</x:v>
      </x:c>
      <x:c r="K848" s="10" t="str">
        <x:v>29 Mo.</x:v>
      </x:c>
      <x:c r="L848" s="10" t="n">
        <x:v>17</x:v>
      </x:c>
      <x:c r="M848" s="10" t="n">
        <x:v>0</x:v>
      </x:c>
      <x:c r="N848" s="10" t="n">
        <x:v>92</x:v>
      </x:c>
      <x:c r="O848" s="10" t="str">
        <x:v>Paper &amp; Party Supplies</x:v>
      </x:c>
      <x:c r="P848" s="10" t="n">
        <x:v>150</x:v>
      </x:c>
      <x:c r="Q848" s="10" t="n">
        <x:v>0</x:v>
      </x:c>
      <x:c r="R848" s="13" t="n">
        <x:v>5.43</x:v>
      </x:c>
      <x:c r="S848" s="10" t="n">
        <x:v>142031</x:v>
      </x:c>
      <x:c r="T848" s="10" t="str">
        <x:v>planner stickers,planner sticker,planner labels,planner label,stickers for planner,planner supplies,house sticker,house icon,home icon,house payment,mortgage payment,clean house,house chores</x:v>
      </x:c>
      <x:c r="U848" s="10" t="str">
        <x:v>planner stickers</x:v>
      </x:c>
      <x:c r="V848" s="10" t="str">
        <x:v>planner sticker</x:v>
      </x:c>
      <x:c r="W848" s="10" t="str">
        <x:v>planner labels</x:v>
      </x:c>
      <x:c r="X848" s="10" t="str">
        <x:v>planner label</x:v>
      </x:c>
      <x:c r="Y848" s="10" t="str">
        <x:v>stickers for planner</x:v>
      </x:c>
      <x:c r="Z848" s="10" t="str">
        <x:v>planner supplies</x:v>
      </x:c>
      <x:c r="AA848" s="10" t="str">
        <x:v>house sticker</x:v>
      </x:c>
      <x:c r="AB848" s="10" t="str">
        <x:v>house icon</x:v>
      </x:c>
      <x:c r="AC848" s="10" t="str">
        <x:v>home icon</x:v>
      </x:c>
      <x:c r="AD848" s="10" t="str">
        <x:v>house payment</x:v>
      </x:c>
      <x:c r="AE848" s="10" t="str">
        <x:v>mortgage payment</x:v>
      </x:c>
      <x:c r="AF848" s="10" t="str">
        <x:v>clean house</x:v>
      </x:c>
      <x:c r="AG848" s="10" t="str">
        <x:v>house chores</x:v>
      </x:c>
      <x:c r="AH848" s="10" t="str">
        <x:v>Other mortgage-related</x:v>
      </x:c>
      <x:c r="AI848" s="13" t="n">
        <x:v>29</x:v>
      </x:c>
      <x:c r="AJ848" s="10" t="str">
        <x:f>IF(F848&gt;0,"Active","No est. sales")</x:f>
        <x:v>No est. sales</x:v>
      </x:c>
    </x:row>
    <x:row r="849">
      <x:c r="A849" s="10" t="str">
        <x:v>Snowball Debt Tracker, Finance Planner (A4/A5/US Letter PDF)</x:v>
      </x:c>
      <x:c r="B849" s="10" t="str">
        <x:v>https://www.etsy.com/listing/1753060726/snowball-debt-tracker-finance-planner</x:v>
      </x:c>
      <x:c r="C849" s="10" t="str">
        <x:v>DailyMadeSimple</x:v>
      </x:c>
      <x:c r="D849" s="10" t="str">
        <x:v>https://www.etsy.com/shop/DailyMadeSimple</x:v>
      </x:c>
      <x:c r="E849" s="11" t="n">
        <x:v>2.69</x:v>
      </x:c>
      <x:c r="F849" s="10" t="n">
        <x:v>0</x:v>
      </x:c>
      <x:c r="G849" s="12" t="n">
        <x:v>0</x:v>
      </x:c>
      <x:c r="H849" s="13" t="n">
        <x:v>0</x:v>
      </x:c>
      <x:c r="I849" s="10" t="n">
        <x:v>0</x:v>
      </x:c>
      <x:c r="J849" s="10" t="n">
        <x:v>0</x:v>
      </x:c>
      <x:c r="K849" s="10" t="str">
        <x:v>22 Mo.</x:v>
      </x:c>
      <x:c r="L849" s="10" t="n">
        <x:v>1</x:v>
      </x:c>
      <x:c r="M849" s="10" t="n">
        <x:v>0</x:v>
      </x:c>
      <x:c r="N849" s="10" t="n">
        <x:v>13</x:v>
      </x:c>
      <x:c r="O849" s="10" t="str">
        <x:v>Paper &amp; Party Supplies</x:v>
      </x:c>
      <x:c r="P849" s="10" t="n">
        <x:v>24</x:v>
      </x:c>
      <x:c r="Q849" s="10" t="n">
        <x:v>0</x:v>
      </x:c>
      <x:c r="R849" s="13" t="n">
        <x:v>0</x:v>
      </x:c>
      <x:c r="S849" s="10" t="n">
        <x:v>220</x:v>
      </x:c>
      <x:c r="T849" s="10" t="str">
        <x:v>debt payment tracker,debt snowball,debt payoff planner,debt calculator,loan payoff tracker,credit card debt,mortgage payoff,financial planner,personal finance,snowball method,printable planner,debt avalanche,budget planner</x:v>
      </x:c>
      <x:c r="U849" s="10" t="str">
        <x:v>debt payment tracker</x:v>
      </x:c>
      <x:c r="V849" s="10" t="str">
        <x:v>debt snowball</x:v>
      </x:c>
      <x:c r="W849" s="10" t="str">
        <x:v>debt payoff planner</x:v>
      </x:c>
      <x:c r="X849" s="10" t="str">
        <x:v>debt calculator</x:v>
      </x:c>
      <x:c r="Y849" s="10" t="str">
        <x:v>loan payoff tracker</x:v>
      </x:c>
      <x:c r="Z849" s="10" t="str">
        <x:v>credit card debt</x:v>
      </x:c>
      <x:c r="AA849" s="10" t="str">
        <x:v>mortgage payoff</x:v>
      </x:c>
      <x:c r="AB849" s="10" t="str">
        <x:v>financial planner</x:v>
      </x:c>
      <x:c r="AC849" s="10" t="str">
        <x:v>personal finance</x:v>
      </x:c>
      <x:c r="AD849" s="10" t="str">
        <x:v>snowball method</x:v>
      </x:c>
      <x:c r="AE849" s="10" t="str">
        <x:v>printable planner</x:v>
      </x:c>
      <x:c r="AF849" s="10" t="str">
        <x:v>debt avalanche</x:v>
      </x:c>
      <x:c r="AG849" s="10" t="str">
        <x:v>budget planner</x:v>
      </x:c>
      <x:c r="AH849" s="10" t="str">
        <x:v>General debt payoff</x:v>
      </x:c>
      <x:c r="AI849" s="13" t="n">
        <x:v>22</x:v>
      </x:c>
      <x:c r="AJ849" s="10" t="str">
        <x:f>IF(F849&gt;0,"Active","No est. sales")</x:f>
        <x:v>No est. sales</x:v>
      </x:c>
    </x:row>
    <x:row r="850">
      <x:c r="A850" s="10" t="str">
        <x:v>Mortgage Payoff Tracker Excel Spreadsheet | Overpayment Calculator | Ireland Forecast Template | Google Sheets</x:v>
      </x:c>
      <x:c r="B850" s="10" t="str">
        <x:v>https://www.etsy.com/listing/4521685373/mortgage-payoff-tracker-excel</x:v>
      </x:c>
      <x:c r="C850" s="10" t="str">
        <x:v>PracticalFinanStudio</x:v>
      </x:c>
      <x:c r="D850" s="10" t="str">
        <x:v>https://www.etsy.com/shop/PracticalFinanStudio</x:v>
      </x:c>
      <x:c r="E850" s="11" t="n">
        <x:v>4.75</x:v>
      </x:c>
      <x:c r="F850" s="10" t="n">
        <x:v>0</x:v>
      </x:c>
      <x:c r="G850" s="12" t="n">
        <x:v>0</x:v>
      </x:c>
      <x:c r="H850" s="13" t="n">
        <x:v>0</x:v>
      </x:c>
      <x:c r="I850" s="10" t="n">
        <x:v>0</x:v>
      </x:c>
      <x:c r="J850" s="10" t="n">
        <x:v>0</x:v>
      </x:c>
      <x:c r="K850" s="10" t="str">
        <x:v>1 Mo.</x:v>
      </x:c>
      <x:c r="L850" s="10" t="n">
        <x:v>0</x:v>
      </x:c>
      <x:c r="M850" s="10" t="n">
        <x:v>0</x:v>
      </x:c>
      <x:c r="N850" s="10" t="n">
        <x:v>7</x:v>
      </x:c>
      <x:c r="O850" s="10" t="str"/>
      <x:c r="P850" s="10" t="n">
        <x:v>1</x:v>
      </x:c>
      <x:c r="Q850" s="10" t="n">
        <x:v>0</x:v>
      </x:c>
      <x:c r="R850" s="13" t="n">
        <x:v>0</x:v>
      </x:c>
      <x:c r="S850" s="10" t="n">
        <x:v>0</x:v>
      </x:c>
      <x:c r="T850" s="10" t="str">
        <x:v>mortgage tracker,mortgage payoff,overpayment tracker,mortgage forecast,mortgage calculator,home loan tracker,loan repayment,excel spreadsheet,google sheets,finance tracker,debt payoff,ireland mortgage,budget planner</x:v>
      </x:c>
      <x:c r="U850" s="10" t="str">
        <x:v>mortgage tracker</x:v>
      </x:c>
      <x:c r="V850" s="10" t="str">
        <x:v>mortgage payoff</x:v>
      </x:c>
      <x:c r="W850" s="10" t="str">
        <x:v>overpayment tracker</x:v>
      </x:c>
      <x:c r="X850" s="10" t="str">
        <x:v>mortgage forecast</x:v>
      </x:c>
      <x:c r="Y850" s="10" t="str">
        <x:v>mortgage calculator</x:v>
      </x:c>
      <x:c r="Z850" s="10" t="str">
        <x:v>home loan tracker</x:v>
      </x:c>
      <x:c r="AA850" s="10" t="str">
        <x:v>loan repayment</x:v>
      </x:c>
      <x:c r="AB850" s="10" t="str">
        <x:v>excel spreadsheet</x:v>
      </x:c>
      <x:c r="AC850" s="10" t="str">
        <x:v>google sheets</x:v>
      </x:c>
      <x:c r="AD850" s="10" t="str">
        <x:v>finance tracker</x:v>
      </x:c>
      <x:c r="AE850" s="10" t="str">
        <x:v>debt payoff</x:v>
      </x:c>
      <x:c r="AF850" s="10" t="str">
        <x:v>ireland mortgage</x:v>
      </x:c>
      <x:c r="AG850" s="10" t="str">
        <x:v>budget planner</x:v>
      </x:c>
      <x:c r="AH850" s="10" t="str">
        <x:v>Mortgage payoff / calculator</x:v>
      </x:c>
      <x:c r="AI850" s="13" t="n">
        <x:v>1</x:v>
      </x:c>
      <x:c r="AJ850" s="10" t="str">
        <x:f>IF(F850&gt;0,"Active","No est. sales")</x:f>
        <x:v>No est. sales</x:v>
      </x:c>
    </x:row>
    <x:row r="851">
      <x:c r="A851" s="10" t="str">
        <x:v>House Hacking Calculator | Multi-Unit Mortgage Offset Tool | Interactive Digital Download</x:v>
      </x:c>
      <x:c r="B851" s="10" t="str">
        <x:v>https://www.etsy.com/listing/4476003426/house-hacking-calculator-multi-unit</x:v>
      </x:c>
      <x:c r="C851" s="10" t="str">
        <x:v>VaultandVesselStudio</x:v>
      </x:c>
      <x:c r="D851" s="10" t="str">
        <x:v>https://www.etsy.com/shop/VaultandVesselStudio</x:v>
      </x:c>
      <x:c r="E851" s="11" t="n">
        <x:v>19.99</x:v>
      </x:c>
      <x:c r="F851" s="10" t="n">
        <x:v>0</x:v>
      </x:c>
      <x:c r="G851" s="12" t="n">
        <x:v>0</x:v>
      </x:c>
      <x:c r="H851" s="13" t="n">
        <x:v>0</x:v>
      </x:c>
      <x:c r="I851" s="10" t="n">
        <x:v>0</x:v>
      </x:c>
      <x:c r="J851" s="10" t="n">
        <x:v>0</x:v>
      </x:c>
      <x:c r="K851" s="10" t="str">
        <x:v>4 Mo.</x:v>
      </x:c>
      <x:c r="L851" s="10" t="n">
        <x:v>0</x:v>
      </x:c>
      <x:c r="M851" s="10" t="n">
        <x:v>0</x:v>
      </x:c>
      <x:c r="N851" s="10" t="n">
        <x:v>3</x:v>
      </x:c>
      <x:c r="O851" s="10" t="str">
        <x:v>Paper &amp; Party Supplies</x:v>
      </x:c>
      <x:c r="P851" s="10" t="n">
        <x:v>4</x:v>
      </x:c>
      <x:c r="Q851" s="10" t="n">
        <x:v>0</x:v>
      </x:c>
      <x:c r="R851" s="13" t="n">
        <x:v>0</x:v>
      </x:c>
      <x:c r="S851" s="10" t="n">
        <x:v>22</x:v>
      </x:c>
      <x:c r="T851" s="10" t="str">
        <x:v>multi unit mortgage,duplex calculator,fha house hack,house hacking roi,duplex investment,rental offset calc,house hack template,rental income offset,fha duplex investing,multi unit roi tool,mortgage offset tool,live rent free sheet,duplex roi planner</x:v>
      </x:c>
      <x:c r="U851" s="10" t="str">
        <x:v>multi unit mortgage</x:v>
      </x:c>
      <x:c r="V851" s="10" t="str">
        <x:v>duplex calculator</x:v>
      </x:c>
      <x:c r="W851" s="10" t="str">
        <x:v>fha house hack</x:v>
      </x:c>
      <x:c r="X851" s="10" t="str">
        <x:v>house hacking roi</x:v>
      </x:c>
      <x:c r="Y851" s="10" t="str">
        <x:v>duplex investment</x:v>
      </x:c>
      <x:c r="Z851" s="10" t="str">
        <x:v>rental offset calc</x:v>
      </x:c>
      <x:c r="AA851" s="10" t="str">
        <x:v>house hack template</x:v>
      </x:c>
      <x:c r="AB851" s="10" t="str">
        <x:v>rental income offset</x:v>
      </x:c>
      <x:c r="AC851" s="10" t="str">
        <x:v>fha duplex investing</x:v>
      </x:c>
      <x:c r="AD851" s="10" t="str">
        <x:v>multi unit roi tool</x:v>
      </x:c>
      <x:c r="AE851" s="10" t="str">
        <x:v>mortgage offset tool</x:v>
      </x:c>
      <x:c r="AF851" s="10" t="str">
        <x:v>live rent free sheet</x:v>
      </x:c>
      <x:c r="AG851" s="10" t="str">
        <x:v>duplex roi planner</x:v>
      </x:c>
      <x:c r="AH851" s="10" t="str">
        <x:v>Other mortgage-related</x:v>
      </x:c>
      <x:c r="AI851" s="13" t="n">
        <x:v>4</x:v>
      </x:c>
      <x:c r="AJ851" s="10" t="str">
        <x:f>IF(F851&gt;0,"Active","No est. sales")</x:f>
        <x:v>No est. sales</x:v>
      </x:c>
    </x:row>
    <x:row r="852">
      <x:c r="A852" s="10" t="str">
        <x:v>Mortgage Loan Calculator Excel  Mortgage Payoff Calculator Home Loan Payment Calculator Mortgage Payment Tracker Amortization Calculator</x:v>
      </x:c>
      <x:c r="B852" s="10" t="str">
        <x:v>https://www.etsy.com/listing/4532997245/mortgage-loan-calculator-excel-mortgage</x:v>
      </x:c>
      <x:c r="C852" s="10" t="str">
        <x:v>TemplateAuraBySherry</x:v>
      </x:c>
      <x:c r="D852" s="10" t="str">
        <x:v>https://www.etsy.com/shop/TemplateAuraBySherry</x:v>
      </x:c>
      <x:c r="E852" s="11" t="n">
        <x:v>4.99</x:v>
      </x:c>
      <x:c r="F852" s="10" t="n">
        <x:v>0</x:v>
      </x:c>
      <x:c r="G852" s="12" t="n">
        <x:v>0</x:v>
      </x:c>
      <x:c r="H852" s="13" t="n">
        <x:v>0</x:v>
      </x:c>
      <x:c r="I852" s="10" t="n">
        <x:v>0</x:v>
      </x:c>
      <x:c r="J852" s="10" t="n">
        <x:v>0</x:v>
      </x:c>
      <x:c r="K852" s="10" t="str">
        <x:v>1 Mo.</x:v>
      </x:c>
      <x:c r="L852" s="10" t="n">
        <x:v>0</x:v>
      </x:c>
      <x:c r="M852" s="10" t="n">
        <x:v>0</x:v>
      </x:c>
      <x:c r="N852" s="10" t="n">
        <x:v>5</x:v>
      </x:c>
      <x:c r="O852" s="10" t="str"/>
      <x:c r="P852" s="10" t="n">
        <x:v>1</x:v>
      </x:c>
      <x:c r="Q852" s="10" t="n">
        <x:v>0</x:v>
      </x:c>
      <x:c r="R852" s="13" t="n">
        <x:v>0</x:v>
      </x:c>
      <x:c r="S852" s="10" t="n">
        <x:v>0</x:v>
      </x:c>
      <x:c r="T852" s="10" t="str">
        <x:v>mortgage calculator,loan calculator,mortgage excel,amortization,payment tracker,home loan,loan spreadsheet,mortgage planner,excel template,loan payment,interest tracker,finance template,mortgage payoff</x:v>
      </x:c>
      <x:c r="U852" s="10" t="str">
        <x:v>mortgage calculator</x:v>
      </x:c>
      <x:c r="V852" s="10" t="str">
        <x:v>loan calculator</x:v>
      </x:c>
      <x:c r="W852" s="10" t="str">
        <x:v>mortgage excel</x:v>
      </x:c>
      <x:c r="X852" s="10" t="str">
        <x:v>amortization</x:v>
      </x:c>
      <x:c r="Y852" s="10" t="str">
        <x:v>payment tracker</x:v>
      </x:c>
      <x:c r="Z852" s="10" t="str">
        <x:v>home loan</x:v>
      </x:c>
      <x:c r="AA852" s="10" t="str">
        <x:v>loan spreadsheet</x:v>
      </x:c>
      <x:c r="AB852" s="10" t="str">
        <x:v>mortgage planner</x:v>
      </x:c>
      <x:c r="AC852" s="10" t="str">
        <x:v>excel template</x:v>
      </x:c>
      <x:c r="AD852" s="10" t="str">
        <x:v>loan payment</x:v>
      </x:c>
      <x:c r="AE852" s="10" t="str">
        <x:v>interest tracker</x:v>
      </x:c>
      <x:c r="AF852" s="10" t="str">
        <x:v>finance template</x:v>
      </x:c>
      <x:c r="AG852" s="10" t="str">
        <x:v>mortgage payoff</x:v>
      </x:c>
      <x:c r="AH852" s="10" t="str">
        <x:v>Mortgage payoff / calculator</x:v>
      </x:c>
      <x:c r="AI852" s="13" t="n">
        <x:v>1</x:v>
      </x:c>
      <x:c r="AJ852" s="10" t="str">
        <x:f>IF(F852&gt;0,"Active","No est. sales")</x:f>
        <x:v>No est. sales</x:v>
      </x:c>
    </x:row>
    <x:row r="853">
      <x:c r="A853" s="10" t="str">
        <x:v>Mortgage Broker Template, Improve Your Credit Score Repair Guide Lead Magnet, Personal Finance Loan Office Business, Canva Template,</x:v>
      </x:c>
      <x:c r="B853" s="10" t="str">
        <x:v>https://www.etsy.com/listing/1664756180/mortgage-broker-template-improve-your</x:v>
      </x:c>
      <x:c r="C853" s="10" t="str">
        <x:v>ShellyLovesTemplates</x:v>
      </x:c>
      <x:c r="D853" s="10" t="str">
        <x:v>https://www.etsy.com/shop/ShellyLovesTemplates</x:v>
      </x:c>
      <x:c r="E853" s="11" t="n">
        <x:v>10.35</x:v>
      </x:c>
      <x:c r="F853" s="10" t="n">
        <x:v>0</x:v>
      </x:c>
      <x:c r="G853" s="12" t="n">
        <x:v>0</x:v>
      </x:c>
      <x:c r="H853" s="13" t="n">
        <x:v>0</x:v>
      </x:c>
      <x:c r="I853" s="10" t="n">
        <x:v>0</x:v>
      </x:c>
      <x:c r="J853" s="10" t="n">
        <x:v>0</x:v>
      </x:c>
      <x:c r="K853" s="10" t="str">
        <x:v>14 Mo.</x:v>
      </x:c>
      <x:c r="L853" s="10" t="n">
        <x:v>5</x:v>
      </x:c>
      <x:c r="M853" s="10" t="n">
        <x:v>0</x:v>
      </x:c>
      <x:c r="N853" s="10" t="n">
        <x:v>52</x:v>
      </x:c>
      <x:c r="O853" s="10" t="str">
        <x:v>Paper &amp; Party Supplies</x:v>
      </x:c>
      <x:c r="P853" s="10" t="n">
        <x:v>34</x:v>
      </x:c>
      <x:c r="Q853" s="10" t="n">
        <x:v>0</x:v>
      </x:c>
      <x:c r="R853" s="13" t="n">
        <x:v>0</x:v>
      </x:c>
      <x:c r="S853" s="10" t="n">
        <x:v>1048</x:v>
      </x:c>
      <x:c r="T853" s="10" t="str">
        <x:v>mortgage marketing,mortgage templates,mortgage tips,mortgage flyer,instagram template,mortgage guide,broker social media,credit score tracker,raise credit score,credit repair kit,mortgage broker,mortgate lead magnet,credit score planner</x:v>
      </x:c>
      <x:c r="U853" s="10" t="str">
        <x:v>mortgage marketing</x:v>
      </x:c>
      <x:c r="V853" s="10" t="str">
        <x:v>mortgage templates</x:v>
      </x:c>
      <x:c r="W853" s="10" t="str">
        <x:v>mortgage tips</x:v>
      </x:c>
      <x:c r="X853" s="10" t="str">
        <x:v>mortgage flyer</x:v>
      </x:c>
      <x:c r="Y853" s="10" t="str">
        <x:v>instagram template</x:v>
      </x:c>
      <x:c r="Z853" s="10" t="str">
        <x:v>mortgage guide</x:v>
      </x:c>
      <x:c r="AA853" s="10" t="str">
        <x:v>broker social media</x:v>
      </x:c>
      <x:c r="AB853" s="10" t="str">
        <x:v>credit score tracker</x:v>
      </x:c>
      <x:c r="AC853" s="10" t="str">
        <x:v>raise credit score</x:v>
      </x:c>
      <x:c r="AD853" s="10" t="str">
        <x:v>credit repair kit</x:v>
      </x:c>
      <x:c r="AE853" s="10" t="str">
        <x:v>mortgage broker</x:v>
      </x:c>
      <x:c r="AF853" s="10" t="str">
        <x:v>mortgate lead magnet</x:v>
      </x:c>
      <x:c r="AG853" s="10" t="str">
        <x:v>credit score planner</x:v>
      </x:c>
      <x:c r="AH853" s="10" t="str">
        <x:v>Loan officer / B2B</x:v>
      </x:c>
      <x:c r="AI853" s="13" t="n">
        <x:v>14</x:v>
      </x:c>
      <x:c r="AJ853" s="10" t="str">
        <x:f>IF(F853&gt;0,"Active","No est. sales")</x:f>
        <x:v>No est. sales</x:v>
      </x:c>
    </x:row>
    <x:row r="854">
      <x:c r="A854" s="10" t="str">
        <x:v>Debt Pay Off Tracker Spreadsheet, Snowball Method Calculator for Google Sheets, Debt Payment Template for Financial Freedom</x:v>
      </x:c>
      <x:c r="B854" s="10" t="str">
        <x:v>https://www.etsy.com/listing/1821412628/debt-pay-off-tracker-spreadsheet</x:v>
      </x:c>
      <x:c r="C854" s="10" t="str">
        <x:v>LilotteCo</x:v>
      </x:c>
      <x:c r="D854" s="10" t="str">
        <x:v>https://www.etsy.com/shop/LilotteCo</x:v>
      </x:c>
      <x:c r="E854" s="11" t="n">
        <x:v>9.3</x:v>
      </x:c>
      <x:c r="F854" s="10" t="n">
        <x:v>0</x:v>
      </x:c>
      <x:c r="G854" s="12" t="n">
        <x:v>0</x:v>
      </x:c>
      <x:c r="H854" s="13" t="n">
        <x:v>0</x:v>
      </x:c>
      <x:c r="I854" s="10" t="n">
        <x:v>0</x:v>
      </x:c>
      <x:c r="J854" s="10" t="n">
        <x:v>0</x:v>
      </x:c>
      <x:c r="K854" s="10" t="str">
        <x:v>17 Mo.</x:v>
      </x:c>
      <x:c r="L854" s="10" t="n">
        <x:v>3</x:v>
      </x:c>
      <x:c r="M854" s="10" t="n">
        <x:v>0</x:v>
      </x:c>
      <x:c r="N854" s="10" t="n">
        <x:v>112</x:v>
      </x:c>
      <x:c r="O854" s="10" t="str">
        <x:v>Paper &amp; Party Supplies</x:v>
      </x:c>
      <x:c r="P854" s="10" t="n">
        <x:v>70</x:v>
      </x:c>
      <x:c r="Q854" s="10" t="n">
        <x:v>0</x:v>
      </x:c>
      <x:c r="R854" s="13" t="n">
        <x:v>0</x:v>
      </x:c>
      <x:c r="S854" s="10" t="n">
        <x:v>6957</x:v>
      </x:c>
      <x:c r="T854" s="10" t="str">
        <x:v>debt snowball,snowball calculator,budget spreadsheet,debt payoff,spreadsheet tracker,debt free calculator,personal finance,financial planner,credit card payoff,student loan debt,debt payment tracker,mortgage payoff,google sheets budget</x:v>
      </x:c>
      <x:c r="U854" s="10" t="str">
        <x:v>debt snowball</x:v>
      </x:c>
      <x:c r="V854" s="10" t="str">
        <x:v>snowball calculator</x:v>
      </x:c>
      <x:c r="W854" s="10" t="str">
        <x:v>budget spreadsheet</x:v>
      </x:c>
      <x:c r="X854" s="10" t="str">
        <x:v>debt payoff</x:v>
      </x:c>
      <x:c r="Y854" s="10" t="str">
        <x:v>spreadsheet tracker</x:v>
      </x:c>
      <x:c r="Z854" s="10" t="str">
        <x:v>debt free calculator</x:v>
      </x:c>
      <x:c r="AA854" s="10" t="str">
        <x:v>personal finance</x:v>
      </x:c>
      <x:c r="AB854" s="10" t="str">
        <x:v>financial planner</x:v>
      </x:c>
      <x:c r="AC854" s="10" t="str">
        <x:v>credit card payoff</x:v>
      </x:c>
      <x:c r="AD854" s="10" t="str">
        <x:v>student loan debt</x:v>
      </x:c>
      <x:c r="AE854" s="10" t="str">
        <x:v>debt payment tracker</x:v>
      </x:c>
      <x:c r="AF854" s="10" t="str">
        <x:v>mortgage payoff</x:v>
      </x:c>
      <x:c r="AG854" s="10" t="str">
        <x:v>google sheets budget</x:v>
      </x:c>
      <x:c r="AH854" s="10" t="str">
        <x:v>Other mortgage-related</x:v>
      </x:c>
      <x:c r="AI854" s="13" t="n">
        <x:v>17</x:v>
      </x:c>
      <x:c r="AJ854" s="10" t="str">
        <x:f>IF(F854&gt;0,"Active","No est. sales")</x:f>
        <x:v>No est. sales</x:v>
      </x:c>
    </x:row>
    <x:row r="855">
      <x:c r="A855" s="10" t="str">
        <x:v>Debt Payoff Tracker Google Sheets Debt Snowball Avalanche Calculator Loan Credit Card Debt Payment Tracker Spreadsheet Debt Planner Monthly</x:v>
      </x:c>
      <x:c r="B855" s="10" t="str">
        <x:v>https://www.etsy.com/listing/4503345078/debt-payoff-tracker-google-sheets-debt</x:v>
      </x:c>
      <x:c r="C855" s="10" t="str">
        <x:v>MaxPlanDigital</x:v>
      </x:c>
      <x:c r="D855" s="10" t="str">
        <x:v>https://www.etsy.com/shop/MaxPlanDigital</x:v>
      </x:c>
      <x:c r="E855" s="11" t="n">
        <x:v>7.11</x:v>
      </x:c>
      <x:c r="F855" s="10" t="n">
        <x:v>0</x:v>
      </x:c>
      <x:c r="G855" s="12" t="n">
        <x:v>0</x:v>
      </x:c>
      <x:c r="H855" s="13" t="n">
        <x:v>0</x:v>
      </x:c>
      <x:c r="I855" s="10" t="n">
        <x:v>0</x:v>
      </x:c>
      <x:c r="J855" s="10" t="n">
        <x:v>0</x:v>
      </x:c>
      <x:c r="K855" s="10" t="str">
        <x:v>1 Mo.</x:v>
      </x:c>
      <x:c r="L855" s="10" t="n">
        <x:v>1</x:v>
      </x:c>
      <x:c r="M855" s="10" t="n">
        <x:v>0</x:v>
      </x:c>
      <x:c r="N855" s="10" t="n">
        <x:v>1</x:v>
      </x:c>
      <x:c r="O855" s="10" t="str"/>
      <x:c r="P855" s="10" t="n">
        <x:v>2</x:v>
      </x:c>
      <x:c r="Q855" s="10" t="n">
        <x:v>0</x:v>
      </x:c>
      <x:c r="R855" s="13" t="n">
        <x:v>0</x:v>
      </x:c>
      <x:c r="S855" s="10" t="n">
        <x:v>0</x:v>
      </x:c>
      <x:c r="T855" s="10" t="str">
        <x:v>debt spreadsheet,debt repayment,debt finance planner,debt google sheet,debt management,debt budget planner,debt calculator,credit card payoff,mortgage payoff,debt payoff chart,loan payoff tracker,google spreadsheet,monthly debt tracker</x:v>
      </x:c>
      <x:c r="U855" s="10" t="str">
        <x:v>debt spreadsheet</x:v>
      </x:c>
      <x:c r="V855" s="10" t="str">
        <x:v>debt repayment</x:v>
      </x:c>
      <x:c r="W855" s="10" t="str">
        <x:v>debt finance planner</x:v>
      </x:c>
      <x:c r="X855" s="10" t="str">
        <x:v>debt google sheet</x:v>
      </x:c>
      <x:c r="Y855" s="10" t="str">
        <x:v>debt management</x:v>
      </x:c>
      <x:c r="Z855" s="10" t="str">
        <x:v>debt budget planner</x:v>
      </x:c>
      <x:c r="AA855" s="10" t="str">
        <x:v>debt calculator</x:v>
      </x:c>
      <x:c r="AB855" s="10" t="str">
        <x:v>credit card payoff</x:v>
      </x:c>
      <x:c r="AC855" s="10" t="str">
        <x:v>mortgage payoff</x:v>
      </x:c>
      <x:c r="AD855" s="10" t="str">
        <x:v>debt payoff chart</x:v>
      </x:c>
      <x:c r="AE855" s="10" t="str">
        <x:v>loan payoff tracker</x:v>
      </x:c>
      <x:c r="AF855" s="10" t="str">
        <x:v>google spreadsheet</x:v>
      </x:c>
      <x:c r="AG855" s="10" t="str">
        <x:v>monthly debt tracker</x:v>
      </x:c>
      <x:c r="AH855" s="10" t="str">
        <x:v>General debt payoff</x:v>
      </x:c>
      <x:c r="AI855" s="13" t="n">
        <x:v>1</x:v>
      </x:c>
      <x:c r="AJ855" s="10" t="str">
        <x:f>IF(F855&gt;0,"Active","No est. sales")</x:f>
        <x:v>No est. sales</x:v>
      </x:c>
    </x:row>
    <x:row r="856">
      <x:c r="A856" s="10" t="str">
        <x:v>2026 Budget | Debt Tracker | Debt Spreadsheet | Home Buying | Home Purchase | debt google sheets | Payment Calendar | Mortgage MD</x:v>
      </x:c>
      <x:c r="B856" s="10" t="str">
        <x:v>https://www.etsy.com/listing/4500498400/budget-spreadsheet-debt-payoff-tracker</x:v>
      </x:c>
      <x:c r="C856" s="10" t="str">
        <x:v>TheMortgageMD</x:v>
      </x:c>
      <x:c r="D856" s="10" t="str">
        <x:v>https://www.etsy.com/shop/TheMortgageMD</x:v>
      </x:c>
      <x:c r="E856" s="11" t="n">
        <x:v>10</x:v>
      </x:c>
      <x:c r="F856" s="10" t="n">
        <x:v>0</x:v>
      </x:c>
      <x:c r="G856" s="12" t="n">
        <x:v>0</x:v>
      </x:c>
      <x:c r="H856" s="13" t="n">
        <x:v>0</x:v>
      </x:c>
      <x:c r="I856" s="10" t="n">
        <x:v>0</x:v>
      </x:c>
      <x:c r="J856" s="10" t="n">
        <x:v>0</x:v>
      </x:c>
      <x:c r="K856" s="10" t="str">
        <x:v>2 Mo.</x:v>
      </x:c>
      <x:c r="L856" s="10" t="n">
        <x:v>0</x:v>
      </x:c>
      <x:c r="M856" s="10" t="n">
        <x:v>0</x:v>
      </x:c>
      <x:c r="N856" s="10" t="n">
        <x:v>1</x:v>
      </x:c>
      <x:c r="O856" s="10" t="str"/>
      <x:c r="P856" s="10" t="n">
        <x:v>3</x:v>
      </x:c>
      <x:c r="Q856" s="10" t="n">
        <x:v>0</x:v>
      </x:c>
      <x:c r="R856" s="13" t="n">
        <x:v>0</x:v>
      </x:c>
      <x:c r="S856" s="10" t="n">
        <x:v>1</x:v>
      </x:c>
      <x:c r="T856" s="10" t="str">
        <x:v>budget spreadsheet,monthly planner,home buying budget,down payment savings,first time home,mortgage planner,budget tracker,spending tracker,personal finance,comparison tool,home buying,mortgage readiness,digital downloads</x:v>
      </x:c>
      <x:c r="U856" s="10" t="str">
        <x:v>budget spreadsheet</x:v>
      </x:c>
      <x:c r="V856" s="10" t="str">
        <x:v>monthly planner</x:v>
      </x:c>
      <x:c r="W856" s="10" t="str">
        <x:v>home buying budget</x:v>
      </x:c>
      <x:c r="X856" s="10" t="str">
        <x:v>down payment savings</x:v>
      </x:c>
      <x:c r="Y856" s="10" t="str">
        <x:v>first time home</x:v>
      </x:c>
      <x:c r="Z856" s="10" t="str">
        <x:v>mortgage planner</x:v>
      </x:c>
      <x:c r="AA856" s="10" t="str">
        <x:v>budget tracker</x:v>
      </x:c>
      <x:c r="AB856" s="10" t="str">
        <x:v>spending tracker</x:v>
      </x:c>
      <x:c r="AC856" s="10" t="str">
        <x:v>personal finance</x:v>
      </x:c>
      <x:c r="AD856" s="10" t="str">
        <x:v>comparison tool</x:v>
      </x:c>
      <x:c r="AE856" s="10" t="str">
        <x:v>home buying</x:v>
      </x:c>
      <x:c r="AF856" s="10" t="str">
        <x:v>mortgage readiness</x:v>
      </x:c>
      <x:c r="AG856" s="10" t="str">
        <x:v>digital downloads</x:v>
      </x:c>
      <x:c r="AH856" s="10" t="str">
        <x:v>General debt payoff</x:v>
      </x:c>
      <x:c r="AI856" s="13" t="n">
        <x:v>2</x:v>
      </x:c>
      <x:c r="AJ856" s="10" t="str">
        <x:f>IF(F856&gt;0,"Active","No est. sales")</x:f>
        <x:v>No est. sales</x:v>
      </x:c>
    </x:row>
    <x:row r="857">
      <x:c r="A857" s="10" t="str">
        <x:v>Google Sheets Debt Snowball Calculator, Debt Free Planner, Loan Repayment Spreadsheet, Mortgage Payoff Template</x:v>
      </x:c>
      <x:c r="B857" s="10" t="str">
        <x:v>https://www.etsy.com/listing/4390609497/google-sheets-debt-snowball-calculator</x:v>
      </x:c>
      <x:c r="C857" s="10" t="str">
        <x:v>TheBudgetingStudio</x:v>
      </x:c>
      <x:c r="D857" s="10" t="str">
        <x:v>https://www.etsy.com/shop/TheBudgetingStudio</x:v>
      </x:c>
      <x:c r="E857" s="11" t="n">
        <x:v>3.91</x:v>
      </x:c>
      <x:c r="F857" s="10" t="n">
        <x:v>0</x:v>
      </x:c>
      <x:c r="G857" s="12" t="n">
        <x:v>0</x:v>
      </x:c>
      <x:c r="H857" s="13" t="n">
        <x:v>0</x:v>
      </x:c>
      <x:c r="I857" s="10" t="n">
        <x:v>0</x:v>
      </x:c>
      <x:c r="J857" s="10" t="n">
        <x:v>0</x:v>
      </x:c>
      <x:c r="K857" s="10" t="str">
        <x:v>8 Mo.</x:v>
      </x:c>
      <x:c r="L857" s="10" t="n">
        <x:v>2</x:v>
      </x:c>
      <x:c r="M857" s="10" t="n">
        <x:v>0</x:v>
      </x:c>
      <x:c r="N857" s="10" t="n">
        <x:v>92</x:v>
      </x:c>
      <x:c r="O857" s="10" t="str"/>
      <x:c r="P857" s="10" t="n">
        <x:v>8</x:v>
      </x:c>
      <x:c r="Q857" s="10" t="n">
        <x:v>0</x:v>
      </x:c>
      <x:c r="R857" s="13" t="n">
        <x:v>0</x:v>
      </x:c>
      <x:c r="S857" s="10" t="n">
        <x:v>6</x:v>
      </x:c>
      <x:c r="T857" s="10" t="str">
        <x:v>snowball method,credit card debt,google sheets debt,house payoff tracker,mortgage payoff,dave ramsey,debt free journey,student loan payoff,car payoff tracker,personal finance,debt snowball,debt payment tracker,debt repayment</x:v>
      </x:c>
      <x:c r="U857" s="10" t="str">
        <x:v>snowball method</x:v>
      </x:c>
      <x:c r="V857" s="10" t="str">
        <x:v>credit card debt</x:v>
      </x:c>
      <x:c r="W857" s="10" t="str">
        <x:v>google sheets debt</x:v>
      </x:c>
      <x:c r="X857" s="10" t="str">
        <x:v>house payoff tracker</x:v>
      </x:c>
      <x:c r="Y857" s="10" t="str">
        <x:v>mortgage payoff</x:v>
      </x:c>
      <x:c r="Z857" s="10" t="str">
        <x:v>dave ramsey</x:v>
      </x:c>
      <x:c r="AA857" s="10" t="str">
        <x:v>debt free journey</x:v>
      </x:c>
      <x:c r="AB857" s="10" t="str">
        <x:v>student loan payoff</x:v>
      </x:c>
      <x:c r="AC857" s="10" t="str">
        <x:v>car payoff tracker</x:v>
      </x:c>
      <x:c r="AD857" s="10" t="str">
        <x:v>personal finance</x:v>
      </x:c>
      <x:c r="AE857" s="10" t="str">
        <x:v>debt snowball</x:v>
      </x:c>
      <x:c r="AF857" s="10" t="str">
        <x:v>debt payment tracker</x:v>
      </x:c>
      <x:c r="AG857" s="10" t="str">
        <x:v>debt repayment</x:v>
      </x:c>
      <x:c r="AH857" s="10" t="str">
        <x:v>General debt payoff</x:v>
      </x:c>
      <x:c r="AI857" s="13" t="n">
        <x:v>8</x:v>
      </x:c>
      <x:c r="AJ857" s="10" t="str">
        <x:f>IF(F857&gt;0,"Active","No est. sales")</x:f>
        <x:v>No est. sales</x:v>
      </x:c>
    </x:row>
    <x:row r="858">
      <x:c r="A858" s="10" t="str">
        <x:v>Mortgage and Loan Payoff Calculator Spreadsheet for Excel and Google Sheets, Amortization Schedule, Extra Payment Tracker</x:v>
      </x:c>
      <x:c r="B858" s="10" t="str">
        <x:v>https://www.etsy.com/listing/4529049159/mortgage-and-loan-payoff-calculator</x:v>
      </x:c>
      <x:c r="C858" s="10" t="str">
        <x:v>EzyDownload</x:v>
      </x:c>
      <x:c r="D858" s="10" t="str">
        <x:v>https://www.etsy.com/shop/EzyDownload</x:v>
      </x:c>
      <x:c r="E858" s="11" t="n">
        <x:v>11.38</x:v>
      </x:c>
      <x:c r="F858" s="10" t="n">
        <x:v>0</x:v>
      </x:c>
      <x:c r="G858" s="12" t="n">
        <x:v>0</x:v>
      </x:c>
      <x:c r="H858" s="13" t="n">
        <x:v>0</x:v>
      </x:c>
      <x:c r="I858" s="10" t="n">
        <x:v>0</x:v>
      </x:c>
      <x:c r="J858" s="10" t="n">
        <x:v>0</x:v>
      </x:c>
      <x:c r="K858" s="10" t="str">
        <x:v>1 Mo.</x:v>
      </x:c>
      <x:c r="L858" s="10" t="n">
        <x:v>0</x:v>
      </x:c>
      <x:c r="M858" s="10" t="n">
        <x:v>0</x:v>
      </x:c>
      <x:c r="N858" s="10" t="n">
        <x:v>1</x:v>
      </x:c>
      <x:c r="O858" s="10" t="str"/>
      <x:c r="P858" s="10" t="n">
        <x:v>2</x:v>
      </x:c>
      <x:c r="Q858" s="10" t="n">
        <x:v>0</x:v>
      </x:c>
      <x:c r="R858" s="13" t="n">
        <x:v>0</x:v>
      </x:c>
      <x:c r="S858" s="10" t="n">
        <x:v>0</x:v>
      </x:c>
      <x:c r="T858" s="10" t="str">
        <x:v>mortgage calculator,loan calculator,mortgage payoff,amortization,loan payoff,debt payoff,mortgage tracker,payoff calculator,loan tracker,mortgage planner,extra payment,home loan</x:v>
      </x:c>
      <x:c r="U858" s="10" t="str">
        <x:v>mortgage calculator</x:v>
      </x:c>
      <x:c r="V858" s="10" t="str">
        <x:v>loan calculator</x:v>
      </x:c>
      <x:c r="W858" s="10" t="str">
        <x:v>mortgage payoff</x:v>
      </x:c>
      <x:c r="X858" s="10" t="str">
        <x:v>amortization</x:v>
      </x:c>
      <x:c r="Y858" s="10" t="str">
        <x:v>loan payoff</x:v>
      </x:c>
      <x:c r="Z858" s="10" t="str">
        <x:v>debt payoff</x:v>
      </x:c>
      <x:c r="AA858" s="10" t="str">
        <x:v>mortgage tracker</x:v>
      </x:c>
      <x:c r="AB858" s="10" t="str">
        <x:v>payoff calculator</x:v>
      </x:c>
      <x:c r="AC858" s="10" t="str">
        <x:v>loan tracker</x:v>
      </x:c>
      <x:c r="AD858" s="10" t="str">
        <x:v>mortgage planner</x:v>
      </x:c>
      <x:c r="AE858" s="10" t="str">
        <x:v>extra payment</x:v>
      </x:c>
      <x:c r="AF858" s="10" t="str">
        <x:v>home loan</x:v>
      </x:c>
      <x:c r="AG858" s="10" t="str">
        <x:v>--</x:v>
      </x:c>
      <x:c r="AH858" s="10" t="str">
        <x:v>Mortgage payoff / calculator</x:v>
      </x:c>
      <x:c r="AI858" s="13" t="n">
        <x:v>1</x:v>
      </x:c>
      <x:c r="AJ858" s="10" t="str">
        <x:f>IF(F858&gt;0,"Active","No est. sales")</x:f>
        <x:v>No est. sales</x:v>
      </x:c>
    </x:row>
    <x:row r="859">
      <x:c r="A859" s="10" t="str">
        <x:v>Debt Payoff Tracker Debt Snowball Spreadsheet Google Sheets Debt Tracker Financial Planner Debt Payment Tracker Monthly Budget Spreadsheet</x:v>
      </x:c>
      <x:c r="B859" s="10" t="str">
        <x:v>https://www.etsy.com/listing/1461393322/debt-payoff-tracker-debt-snowball</x:v>
      </x:c>
      <x:c r="C859" s="10" t="str">
        <x:v>SheetLab</x:v>
      </x:c>
      <x:c r="D859" s="10" t="str">
        <x:v>https://www.etsy.com/shop/SheetLab</x:v>
      </x:c>
      <x:c r="E859" s="11" t="n">
        <x:v>3.29</x:v>
      </x:c>
      <x:c r="F859" s="10" t="n">
        <x:v>0</x:v>
      </x:c>
      <x:c r="G859" s="12" t="n">
        <x:v>0</x:v>
      </x:c>
      <x:c r="H859" s="13" t="n">
        <x:v>0</x:v>
      </x:c>
      <x:c r="I859" s="10" t="n">
        <x:v>4316</x:v>
      </x:c>
      <x:c r="J859" s="10" t="n">
        <x:v>303</x:v>
      </x:c>
      <x:c r="K859" s="10" t="str">
        <x:v>38 Mo.</x:v>
      </x:c>
      <x:c r="L859" s="10" t="n">
        <x:v>559</x:v>
      </x:c>
      <x:c r="M859" s="10" t="n">
        <x:v>8</x:v>
      </x:c>
      <x:c r="N859" s="10" t="n">
        <x:v>44248</x:v>
      </x:c>
      <x:c r="O859" s="10" t="str"/>
      <x:c r="P859" s="10" t="n">
        <x:v>40</x:v>
      </x:c>
      <x:c r="Q859" s="10" t="n">
        <x:v>100</x:v>
      </x:c>
      <x:c r="R859" s="13" t="n">
        <x:v>9.75</x:v>
      </x:c>
      <x:c r="S859" s="10" t="n">
        <x:v>10713</x:v>
      </x:c>
      <x:c r="T859" s="10" t="str">
        <x:v>house payoff tracker,debt payoff tracker,debt snowball,budget spreadsheet,google sheets,monthly debt tracker,student loan debt,financial planner,cash debt calculator,mortgage tracking,budget template,bill money payment,pay off credit card</x:v>
      </x:c>
      <x:c r="U859" s="10" t="str">
        <x:v>house payoff tracker</x:v>
      </x:c>
      <x:c r="V859" s="10" t="str">
        <x:v>debt payoff tracker</x:v>
      </x:c>
      <x:c r="W859" s="10" t="str">
        <x:v>debt snowball</x:v>
      </x:c>
      <x:c r="X859" s="10" t="str">
        <x:v>budget spreadsheet</x:v>
      </x:c>
      <x:c r="Y859" s="10" t="str">
        <x:v>google sheets</x:v>
      </x:c>
      <x:c r="Z859" s="10" t="str">
        <x:v>monthly debt tracker</x:v>
      </x:c>
      <x:c r="AA859" s="10" t="str">
        <x:v>student loan debt</x:v>
      </x:c>
      <x:c r="AB859" s="10" t="str">
        <x:v>financial planner</x:v>
      </x:c>
      <x:c r="AC859" s="10" t="str">
        <x:v>cash debt calculator</x:v>
      </x:c>
      <x:c r="AD859" s="10" t="str">
        <x:v>mortgage tracking</x:v>
      </x:c>
      <x:c r="AE859" s="10" t="str">
        <x:v>budget template</x:v>
      </x:c>
      <x:c r="AF859" s="10" t="str">
        <x:v>bill money payment</x:v>
      </x:c>
      <x:c r="AG859" s="10" t="str">
        <x:v>pay off credit card</x:v>
      </x:c>
      <x:c r="AH859" s="10" t="str">
        <x:v>General debt payoff</x:v>
      </x:c>
      <x:c r="AI859" s="13" t="n">
        <x:v>38</x:v>
      </x:c>
      <x:c r="AJ859" s="10" t="str">
        <x:f>IF(F859&gt;0,"Active","No est. sales")</x:f>
        <x:v>No est. sales</x:v>
      </x:c>
    </x:row>
    <x:row r="860">
      <x:c r="A860" s="10" t="str">
        <x:v>Debt Payment Tracker Printable, US Letter, A4, A5, Classic (PDF)</x:v>
      </x:c>
      <x:c r="B860" s="10" t="str">
        <x:v>https://www.etsy.com/listing/1086344244/debt-payment-tracker-printable-us-letter</x:v>
      </x:c>
      <x:c r="C860" s="10" t="str">
        <x:v>LeisurelyPrintables</x:v>
      </x:c>
      <x:c r="D860" s="10" t="str">
        <x:v>https://www.etsy.com/shop/LeisurelyPrintables</x:v>
      </x:c>
      <x:c r="E860" s="11" t="n">
        <x:v>4</x:v>
      </x:c>
      <x:c r="F860" s="10" t="n">
        <x:v>0</x:v>
      </x:c>
      <x:c r="G860" s="12" t="n">
        <x:v>0</x:v>
      </x:c>
      <x:c r="H860" s="13" t="n">
        <x:v>0</x:v>
      </x:c>
      <x:c r="I860" s="10" t="n">
        <x:v>624</x:v>
      </x:c>
      <x:c r="J860" s="10" t="n">
        <x:v>67</x:v>
      </x:c>
      <x:c r="K860" s="10" t="str">
        <x:v>57 Mo.</x:v>
      </x:c>
      <x:c r="L860" s="10" t="n">
        <x:v>444</x:v>
      </x:c>
      <x:c r="M860" s="10" t="n">
        <x:v>1</x:v>
      </x:c>
      <x:c r="N860" s="10" t="n">
        <x:v>11878</x:v>
      </x:c>
      <x:c r="O860" s="10" t="str"/>
      <x:c r="P860" s="10" t="n">
        <x:v>65</x:v>
      </x:c>
      <x:c r="Q860" s="10" t="n">
        <x:v>57</x:v>
      </x:c>
      <x:c r="R860" s="13" t="n">
        <x:v>5.25</x:v>
      </x:c>
      <x:c r="S860" s="10" t="n">
        <x:v>32696</x:v>
      </x:c>
      <x:c r="T860" s="10" t="str">
        <x:v>debt payment tracker,debt payment,debt printable,snowball debt,debt payoff tracker,dave ramsey,debt planner,debt management,debt worksheet,credit card payoff,loan payoff,debt payment log,mortgage payoff</x:v>
      </x:c>
      <x:c r="U860" s="10" t="str">
        <x:v>debt payment tracker</x:v>
      </x:c>
      <x:c r="V860" s="10" t="str">
        <x:v>debt payment</x:v>
      </x:c>
      <x:c r="W860" s="10" t="str">
        <x:v>debt printable</x:v>
      </x:c>
      <x:c r="X860" s="10" t="str">
        <x:v>snowball debt</x:v>
      </x:c>
      <x:c r="Y860" s="10" t="str">
        <x:v>debt payoff tracker</x:v>
      </x:c>
      <x:c r="Z860" s="10" t="str">
        <x:v>dave ramsey</x:v>
      </x:c>
      <x:c r="AA860" s="10" t="str">
        <x:v>debt planner</x:v>
      </x:c>
      <x:c r="AB860" s="10" t="str">
        <x:v>debt management</x:v>
      </x:c>
      <x:c r="AC860" s="10" t="str">
        <x:v>debt worksheet</x:v>
      </x:c>
      <x:c r="AD860" s="10" t="str">
        <x:v>credit card payoff</x:v>
      </x:c>
      <x:c r="AE860" s="10" t="str">
        <x:v>loan payoff</x:v>
      </x:c>
      <x:c r="AF860" s="10" t="str">
        <x:v>debt payment log</x:v>
      </x:c>
      <x:c r="AG860" s="10" t="str">
        <x:v>mortgage payoff</x:v>
      </x:c>
      <x:c r="AH860" s="10" t="str">
        <x:v>Other mortgage-related</x:v>
      </x:c>
      <x:c r="AI860" s="13" t="n">
        <x:v>57</x:v>
      </x:c>
      <x:c r="AJ860" s="10" t="str">
        <x:f>IF(F860&gt;0,"Active","No est. sales")</x:f>
        <x:v>No est. sales</x:v>
      </x:c>
    </x:row>
    <x:row r="861">
      <x:c r="A861" s="10" t="str">
        <x:v>First Home Buyer Mortgage Guide PDF | Home Loan Prep Checklist | Mortgage Planner | Digital Download</x:v>
      </x:c>
      <x:c r="B861" s="10" t="str">
        <x:v>https://www.etsy.com/listing/4317733416/first-home-buyer-mortgage-guide-pdf-home</x:v>
      </x:c>
      <x:c r="C861" s="10" t="str">
        <x:v>GuidesForged</x:v>
      </x:c>
      <x:c r="D861" s="10" t="str">
        <x:v>https://www.etsy.com/shop/GuidesForged</x:v>
      </x:c>
      <x:c r="E861" s="11" t="n">
        <x:v>9.78</x:v>
      </x:c>
      <x:c r="F861" s="10" t="n">
        <x:v>0</x:v>
      </x:c>
      <x:c r="G861" s="12" t="n">
        <x:v>0</x:v>
      </x:c>
      <x:c r="H861" s="13" t="n">
        <x:v>0</x:v>
      </x:c>
      <x:c r="I861" s="10" t="n">
        <x:v>0</x:v>
      </x:c>
      <x:c r="J861" s="10" t="n">
        <x:v>0</x:v>
      </x:c>
      <x:c r="K861" s="10" t="str">
        <x:v>13 Mo.</x:v>
      </x:c>
      <x:c r="L861" s="10" t="n">
        <x:v>2</x:v>
      </x:c>
      <x:c r="M861" s="10" t="n">
        <x:v>0</x:v>
      </x:c>
      <x:c r="N861" s="10" t="n">
        <x:v>27</x:v>
      </x:c>
      <x:c r="O861" s="10" t="str">
        <x:v>Books, Movies &amp; Music</x:v>
      </x:c>
      <x:c r="P861" s="10" t="n">
        <x:v>13</x:v>
      </x:c>
      <x:c r="Q861" s="10" t="n">
        <x:v>0</x:v>
      </x:c>
      <x:c r="R861" s="13" t="n">
        <x:v>0</x:v>
      </x:c>
      <x:c r="S861" s="10" t="n">
        <x:v>0</x:v>
      </x:c>
      <x:c r="T861" s="10" t="str">
        <x:v>first home buyer,mortgage guide,home loan help,buying a house,mortgage checklist,budget planner,digital pdf guide,home buyer planner,mortgage explained,offset account tips,credit score help,house deposit tips,australia mortgage</x:v>
      </x:c>
      <x:c r="U861" s="10" t="str">
        <x:v>first home buyer</x:v>
      </x:c>
      <x:c r="V861" s="10" t="str">
        <x:v>mortgage guide</x:v>
      </x:c>
      <x:c r="W861" s="10" t="str">
        <x:v>home loan help</x:v>
      </x:c>
      <x:c r="X861" s="10" t="str">
        <x:v>buying a house</x:v>
      </x:c>
      <x:c r="Y861" s="10" t="str">
        <x:v>mortgage checklist</x:v>
      </x:c>
      <x:c r="Z861" s="10" t="str">
        <x:v>budget planner</x:v>
      </x:c>
      <x:c r="AA861" s="10" t="str">
        <x:v>digital pdf guide</x:v>
      </x:c>
      <x:c r="AB861" s="10" t="str">
        <x:v>home buyer planner</x:v>
      </x:c>
      <x:c r="AC861" s="10" t="str">
        <x:v>mortgage explained</x:v>
      </x:c>
      <x:c r="AD861" s="10" t="str">
        <x:v>offset account tips</x:v>
      </x:c>
      <x:c r="AE861" s="10" t="str">
        <x:v>credit score help</x:v>
      </x:c>
      <x:c r="AF861" s="10" t="str">
        <x:v>house deposit tips</x:v>
      </x:c>
      <x:c r="AG861" s="10" t="str">
        <x:v>australia mortgage</x:v>
      </x:c>
      <x:c r="AH861" s="10" t="str">
        <x:v>Home buying planner</x:v>
      </x:c>
      <x:c r="AI861" s="13" t="n">
        <x:v>13</x:v>
      </x:c>
      <x:c r="AJ861" s="10" t="str">
        <x:f>IF(F861&gt;0,"Active","No est. sales")</x:f>
        <x:v>No est. sales</x:v>
      </x:c>
    </x:row>
    <x:row r="862">
      <x:c r="A862" s="10" t="str">
        <x:v>Mortgage Savings Challenge - A6 Cash Envelopes - Mortgage Tracker A6 - Cash Tracker A6 - Mini Savings Tracker a6 - Budget Binder Insert</x:v>
      </x:c>
      <x:c r="B862" s="10" t="str">
        <x:v>https://www.etsy.com/listing/1553154052/mortgage-savings-challenge-a6-cash</x:v>
      </x:c>
      <x:c r="C862" s="10" t="str">
        <x:v>BudgetQueenMama</x:v>
      </x:c>
      <x:c r="D862" s="10" t="str">
        <x:v>https://www.etsy.com/shop/BudgetQueenMama</x:v>
      </x:c>
      <x:c r="E862" s="11" t="n">
        <x:v>1.5</x:v>
      </x:c>
      <x:c r="F862" s="10" t="n">
        <x:v>0</x:v>
      </x:c>
      <x:c r="G862" s="12" t="n">
        <x:v>0</x:v>
      </x:c>
      <x:c r="H862" s="13" t="n">
        <x:v>0</x:v>
      </x:c>
      <x:c r="I862" s="10" t="n">
        <x:v>19</x:v>
      </x:c>
      <x:c r="J862" s="10" t="n">
        <x:v>4</x:v>
      </x:c>
      <x:c r="K862" s="10" t="str">
        <x:v>34 Mo.</x:v>
      </x:c>
      <x:c r="L862" s="10" t="n">
        <x:v>36</x:v>
      </x:c>
      <x:c r="M862" s="10" t="n">
        <x:v>0</x:v>
      </x:c>
      <x:c r="N862" s="10" t="n">
        <x:v>117</x:v>
      </x:c>
      <x:c r="O862" s="10" t="str"/>
      <x:c r="P862" s="10" t="n">
        <x:v>77</x:v>
      </x:c>
      <x:c r="Q862" s="10" t="n">
        <x:v>0</x:v>
      </x:c>
      <x:c r="R862" s="13" t="n">
        <x:v>16.24</x:v>
      </x:c>
      <x:c r="S862" s="10" t="n">
        <x:v>3342</x:v>
      </x:c>
      <x:c r="T862" s="10" t="str">
        <x:v>saving challenge a6,money challenge,a6 cash tracker,budget binder a6,cash budgeting,planner tracker a6,bills tracker a6,bills savings a6,bills a6,mortgage savings,low income savings,mini savings a6,a6 cash envelopes</x:v>
      </x:c>
      <x:c r="U862" s="10" t="str">
        <x:v>saving challenge a6</x:v>
      </x:c>
      <x:c r="V862" s="10" t="str">
        <x:v>money challenge</x:v>
      </x:c>
      <x:c r="W862" s="10" t="str">
        <x:v>a6 cash tracker</x:v>
      </x:c>
      <x:c r="X862" s="10" t="str">
        <x:v>budget binder a6</x:v>
      </x:c>
      <x:c r="Y862" s="10" t="str">
        <x:v>cash budgeting</x:v>
      </x:c>
      <x:c r="Z862" s="10" t="str">
        <x:v>planner tracker a6</x:v>
      </x:c>
      <x:c r="AA862" s="10" t="str">
        <x:v>bills tracker a6</x:v>
      </x:c>
      <x:c r="AB862" s="10" t="str">
        <x:v>bills savings a6</x:v>
      </x:c>
      <x:c r="AC862" s="10" t="str">
        <x:v>bills a6</x:v>
      </x:c>
      <x:c r="AD862" s="10" t="str">
        <x:v>mortgage savings</x:v>
      </x:c>
      <x:c r="AE862" s="10" t="str">
        <x:v>low income savings</x:v>
      </x:c>
      <x:c r="AF862" s="10" t="str">
        <x:v>mini savings a6</x:v>
      </x:c>
      <x:c r="AG862" s="10" t="str">
        <x:v>a6 cash envelopes</x:v>
      </x:c>
      <x:c r="AH862" s="10" t="str">
        <x:v>Other mortgage-related</x:v>
      </x:c>
      <x:c r="AI862" s="13" t="n">
        <x:v>34</x:v>
      </x:c>
      <x:c r="AJ862" s="10" t="str">
        <x:f>IF(F862&gt;0,"Active","No est. sales")</x:f>
        <x:v>No est. sales</x:v>
      </x:c>
    </x:row>
    <x:row r="863">
      <x:c r="A863" s="10" t="str">
        <x:v>TN STANDARD | Debt Snowball Repayment Tracker Printable Loan Debt Payoff Planner, Debt Finance Journal, Debt Tracker, Instant Download PDF</x:v>
      </x:c>
      <x:c r="B863" s="10" t="str">
        <x:v>https://www.etsy.com/listing/1424075624/tn-standard-debt-snowball-repayment</x:v>
      </x:c>
      <x:c r="C863" s="10" t="str">
        <x:v>Monthlyjoy</x:v>
      </x:c>
      <x:c r="D863" s="10" t="str">
        <x:v>https://www.etsy.com/shop/Monthlyjoy</x:v>
      </x:c>
      <x:c r="E863" s="11" t="n">
        <x:v>3.4</x:v>
      </x:c>
      <x:c r="F863" s="10" t="n">
        <x:v>0</x:v>
      </x:c>
      <x:c r="G863" s="12" t="n">
        <x:v>0</x:v>
      </x:c>
      <x:c r="H863" s="13" t="n">
        <x:v>0</x:v>
      </x:c>
      <x:c r="I863" s="10" t="n">
        <x:v>0</x:v>
      </x:c>
      <x:c r="J863" s="10" t="n">
        <x:v>0</x:v>
      </x:c>
      <x:c r="K863" s="10" t="str">
        <x:v>40 Mo.</x:v>
      </x:c>
      <x:c r="L863" s="10" t="n">
        <x:v>17</x:v>
      </x:c>
      <x:c r="M863" s="10" t="n">
        <x:v>0</x:v>
      </x:c>
      <x:c r="N863" s="10" t="n">
        <x:v>183</x:v>
      </x:c>
      <x:c r="O863" s="10" t="str">
        <x:v>Paper &amp; Party Supplies</x:v>
      </x:c>
      <x:c r="P863" s="10" t="n">
        <x:v>66</x:v>
      </x:c>
      <x:c r="Q863" s="10" t="n">
        <x:v>0</x:v>
      </x:c>
      <x:c r="R863" s="13" t="n">
        <x:v>0</x:v>
      </x:c>
      <x:c r="S863" s="10" t="n">
        <x:v>24015</x:v>
      </x:c>
      <x:c r="T863" s="10" t="str">
        <x:v>debt snowball,debt tracker,mortgage tracker,tn standard insert,printable template,money management,student loan payoff,card debt journal,inserts printable,regular tn,debt repayment sheet,money spending,budget planner pdf</x:v>
      </x:c>
      <x:c r="U863" s="10" t="str">
        <x:v>debt snowball</x:v>
      </x:c>
      <x:c r="V863" s="10" t="str">
        <x:v>debt tracker</x:v>
      </x:c>
      <x:c r="W863" s="10" t="str">
        <x:v>mortgage tracker</x:v>
      </x:c>
      <x:c r="X863" s="10" t="str">
        <x:v>tn standard insert</x:v>
      </x:c>
      <x:c r="Y863" s="10" t="str">
        <x:v>printable template</x:v>
      </x:c>
      <x:c r="Z863" s="10" t="str">
        <x:v>money management</x:v>
      </x:c>
      <x:c r="AA863" s="10" t="str">
        <x:v>student loan payoff</x:v>
      </x:c>
      <x:c r="AB863" s="10" t="str">
        <x:v>card debt journal</x:v>
      </x:c>
      <x:c r="AC863" s="10" t="str">
        <x:v>inserts printable</x:v>
      </x:c>
      <x:c r="AD863" s="10" t="str">
        <x:v>regular tn</x:v>
      </x:c>
      <x:c r="AE863" s="10" t="str">
        <x:v>debt repayment sheet</x:v>
      </x:c>
      <x:c r="AF863" s="10" t="str">
        <x:v>money spending</x:v>
      </x:c>
      <x:c r="AG863" s="10" t="str">
        <x:v>budget planner pdf</x:v>
      </x:c>
      <x:c r="AH863" s="10" t="str">
        <x:v>General debt payoff</x:v>
      </x:c>
      <x:c r="AI863" s="13" t="n">
        <x:v>40</x:v>
      </x:c>
      <x:c r="AJ863" s="10" t="str">
        <x:f>IF(F863&gt;0,"Active","No est. sales")</x:f>
        <x:v>No est. sales</x:v>
      </x:c>
    </x:row>
    <x:row r="864">
      <x:c r="A864" s="10" t="str">
        <x:v>Debt Snowball Printable Finance Journal, Student Loan Payoff, Credit card Debt Payment Tracker, Personal Wide Size, Digital Download PDF</x:v>
      </x:c>
      <x:c r="B864" s="10" t="str">
        <x:v>https://www.etsy.com/listing/1526523994/debt-snowball-printable-finance-journal</x:v>
      </x:c>
      <x:c r="C864" s="10" t="str">
        <x:v>Monthlyjoy</x:v>
      </x:c>
      <x:c r="D864" s="10" t="str">
        <x:v>https://www.etsy.com/shop/Monthlyjoy</x:v>
      </x:c>
      <x:c r="E864" s="11" t="n">
        <x:v>3.5</x:v>
      </x:c>
      <x:c r="F864" s="10" t="n">
        <x:v>0</x:v>
      </x:c>
      <x:c r="G864" s="12" t="n">
        <x:v>0</x:v>
      </x:c>
      <x:c r="H864" s="13" t="n">
        <x:v>0</x:v>
      </x:c>
      <x:c r="I864" s="10" t="n">
        <x:v>19</x:v>
      </x:c>
      <x:c r="J864" s="10" t="n">
        <x:v>2</x:v>
      </x:c>
      <x:c r="K864" s="10" t="str">
        <x:v>35 Mo.</x:v>
      </x:c>
      <x:c r="L864" s="10" t="n">
        <x:v>8</x:v>
      </x:c>
      <x:c r="M864" s="10" t="n">
        <x:v>0</x:v>
      </x:c>
      <x:c r="N864" s="10" t="n">
        <x:v>136</x:v>
      </x:c>
      <x:c r="O864" s="10" t="str">
        <x:v>Paper &amp; Party Supplies</x:v>
      </x:c>
      <x:c r="P864" s="10" t="n">
        <x:v>66</x:v>
      </x:c>
      <x:c r="Q864" s="10" t="n">
        <x:v>0</x:v>
      </x:c>
      <x:c r="R864" s="13" t="n">
        <x:v>13.97</x:v>
      </x:c>
      <x:c r="S864" s="10" t="n">
        <x:v>24015</x:v>
      </x:c>
      <x:c r="T864" s="10" t="str">
        <x:v>debt snowball,debt payoff sheet,student loan payoff,debt planner pdf,inserts minimalist,credit card tracker,simple debt template,debt repayment,mortgage tracker,personal wide,inserts printable,finance tracker,money management</x:v>
      </x:c>
      <x:c r="U864" s="10" t="str">
        <x:v>debt snowball</x:v>
      </x:c>
      <x:c r="V864" s="10" t="str">
        <x:v>debt payoff sheet</x:v>
      </x:c>
      <x:c r="W864" s="10" t="str">
        <x:v>student loan payoff</x:v>
      </x:c>
      <x:c r="X864" s="10" t="str">
        <x:v>debt planner pdf</x:v>
      </x:c>
      <x:c r="Y864" s="10" t="str">
        <x:v>inserts minimalist</x:v>
      </x:c>
      <x:c r="Z864" s="10" t="str">
        <x:v>credit card tracker</x:v>
      </x:c>
      <x:c r="AA864" s="10" t="str">
        <x:v>simple debt template</x:v>
      </x:c>
      <x:c r="AB864" s="10" t="str">
        <x:v>debt repayment</x:v>
      </x:c>
      <x:c r="AC864" s="10" t="str">
        <x:v>mortgage tracker</x:v>
      </x:c>
      <x:c r="AD864" s="10" t="str">
        <x:v>personal wide</x:v>
      </x:c>
      <x:c r="AE864" s="10" t="str">
        <x:v>inserts printable</x:v>
      </x:c>
      <x:c r="AF864" s="10" t="str">
        <x:v>finance tracker</x:v>
      </x:c>
      <x:c r="AG864" s="10" t="str">
        <x:v>money management</x:v>
      </x:c>
      <x:c r="AH864" s="10" t="str">
        <x:v>General debt payoff</x:v>
      </x:c>
      <x:c r="AI864" s="13" t="n">
        <x:v>35</x:v>
      </x:c>
      <x:c r="AJ864" s="10" t="str">
        <x:f>IF(F864&gt;0,"Active","No est. sales")</x:f>
        <x:v>No est. sales</x:v>
      </x:c>
    </x:row>
    <x:row r="865">
      <x:c r="A865" s="10" t="str">
        <x:v>Mortgage Payment Worksheet | Loan Amortization Schedule Template | Home Loan Calculator Spreadsheet | Excel &amp; Google Sheets</x:v>
      </x:c>
      <x:c r="B865" s="10" t="str">
        <x:v>https://www.etsy.com/listing/4480054400/mortgage-payment-worksheet-loan</x:v>
      </x:c>
      <x:c r="C865" s="10" t="str">
        <x:v>Xeasysheets</x:v>
      </x:c>
      <x:c r="D865" s="10" t="str">
        <x:v>https://www.etsy.com/shop/Xeasysheets</x:v>
      </x:c>
      <x:c r="E865" s="11" t="n">
        <x:v>11.09</x:v>
      </x:c>
      <x:c r="F865" s="10" t="n">
        <x:v>0</x:v>
      </x:c>
      <x:c r="G865" s="12" t="n">
        <x:v>0</x:v>
      </x:c>
      <x:c r="H865" s="13" t="n">
        <x:v>0</x:v>
      </x:c>
      <x:c r="I865" s="10" t="n">
        <x:v>0</x:v>
      </x:c>
      <x:c r="J865" s="10" t="n">
        <x:v>0</x:v>
      </x:c>
      <x:c r="K865" s="10" t="str">
        <x:v>4 Mo.</x:v>
      </x:c>
      <x:c r="L865" s="10" t="n">
        <x:v>0</x:v>
      </x:c>
      <x:c r="M865" s="10" t="n">
        <x:v>0</x:v>
      </x:c>
      <x:c r="N865" s="10" t="n">
        <x:v>6</x:v>
      </x:c>
      <x:c r="O865" s="10" t="str"/>
      <x:c r="P865" s="10" t="n">
        <x:v>12</x:v>
      </x:c>
      <x:c r="Q865" s="10" t="n">
        <x:v>0</x:v>
      </x:c>
      <x:c r="R865" s="13" t="n">
        <x:v>0</x:v>
      </x:c>
      <x:c r="S865" s="10" t="n">
        <x:v>2161</x:v>
      </x:c>
      <x:c r="T865" s="10" t="str">
        <x:v>mortgage worksheet,loan calculator,amortization sheet,home loan tracker,mortgage planner,excel mortgage,google sheets,loan schedule,payment tracker,interest tracker,mortgage sheet,finance planner,debt payoff</x:v>
      </x:c>
      <x:c r="U865" s="10" t="str">
        <x:v>mortgage worksheet</x:v>
      </x:c>
      <x:c r="V865" s="10" t="str">
        <x:v>loan calculator</x:v>
      </x:c>
      <x:c r="W865" s="10" t="str">
        <x:v>amortization sheet</x:v>
      </x:c>
      <x:c r="X865" s="10" t="str">
        <x:v>home loan tracker</x:v>
      </x:c>
      <x:c r="Y865" s="10" t="str">
        <x:v>mortgage planner</x:v>
      </x:c>
      <x:c r="Z865" s="10" t="str">
        <x:v>excel mortgage</x:v>
      </x:c>
      <x:c r="AA865" s="10" t="str">
        <x:v>google sheets</x:v>
      </x:c>
      <x:c r="AB865" s="10" t="str">
        <x:v>loan schedule</x:v>
      </x:c>
      <x:c r="AC865" s="10" t="str">
        <x:v>payment tracker</x:v>
      </x:c>
      <x:c r="AD865" s="10" t="str">
        <x:v>interest tracker</x:v>
      </x:c>
      <x:c r="AE865" s="10" t="str">
        <x:v>mortgage sheet</x:v>
      </x:c>
      <x:c r="AF865" s="10" t="str">
        <x:v>finance planner</x:v>
      </x:c>
      <x:c r="AG865" s="10" t="str">
        <x:v>debt payoff</x:v>
      </x:c>
      <x:c r="AH865" s="10" t="str">
        <x:v>Mortgage payoff / calculator</x:v>
      </x:c>
      <x:c r="AI865" s="13" t="n">
        <x:v>4</x:v>
      </x:c>
      <x:c r="AJ865" s="10" t="str">
        <x:f>IF(F865&gt;0,"Active","No est. sales")</x:f>
        <x:v>No est. sales</x:v>
      </x:c>
    </x:row>
    <x:row r="866">
      <x:c r="A866" s="10" t="str">
        <x:v>Recast Mortgage Calculator Template |  Loan Recast Calculator | Mortgage Payment Reduction Planner | Amortization Spreadsheet</x:v>
      </x:c>
      <x:c r="B866" s="10" t="str">
        <x:v>https://www.etsy.com/listing/4480727560/recast-mortgage-calculator-template-loan</x:v>
      </x:c>
      <x:c r="C866" s="10" t="str">
        <x:v>Xeasysheets</x:v>
      </x:c>
      <x:c r="D866" s="10" t="str">
        <x:v>https://www.etsy.com/shop/Xeasysheets</x:v>
      </x:c>
      <x:c r="E866" s="11" t="n">
        <x:v>11.09</x:v>
      </x:c>
      <x:c r="F866" s="10" t="n">
        <x:v>0</x:v>
      </x:c>
      <x:c r="G866" s="12" t="n">
        <x:v>0</x:v>
      </x:c>
      <x:c r="H866" s="13" t="n">
        <x:v>0</x:v>
      </x:c>
      <x:c r="I866" s="10" t="n">
        <x:v>0</x:v>
      </x:c>
      <x:c r="J866" s="10" t="n">
        <x:v>0</x:v>
      </x:c>
      <x:c r="K866" s="10" t="str">
        <x:v>4 Mo.</x:v>
      </x:c>
      <x:c r="L866" s="10" t="n">
        <x:v>0</x:v>
      </x:c>
      <x:c r="M866" s="10" t="n">
        <x:v>0</x:v>
      </x:c>
      <x:c r="N866" s="10" t="n">
        <x:v>8</x:v>
      </x:c>
      <x:c r="O866" s="10" t="str"/>
      <x:c r="P866" s="10" t="n">
        <x:v>12</x:v>
      </x:c>
      <x:c r="Q866" s="10" t="n">
        <x:v>0</x:v>
      </x:c>
      <x:c r="R866" s="13" t="n">
        <x:v>0</x:v>
      </x:c>
      <x:c r="S866" s="10" t="n">
        <x:v>2161</x:v>
      </x:c>
      <x:c r="T866" s="10" t="str">
        <x:v>mortgage recast,loan recast,payment planner,amortization,excel finance,google sheets,mortgage tool,loan tracker,interest log,home loan log,finance sheet,budget tool,real estate</x:v>
      </x:c>
      <x:c r="U866" s="10" t="str">
        <x:v>mortgage recast</x:v>
      </x:c>
      <x:c r="V866" s="10" t="str">
        <x:v>loan recast</x:v>
      </x:c>
      <x:c r="W866" s="10" t="str">
        <x:v>payment planner</x:v>
      </x:c>
      <x:c r="X866" s="10" t="str">
        <x:v>amortization</x:v>
      </x:c>
      <x:c r="Y866" s="10" t="str">
        <x:v>excel finance</x:v>
      </x:c>
      <x:c r="Z866" s="10" t="str">
        <x:v>google sheets</x:v>
      </x:c>
      <x:c r="AA866" s="10" t="str">
        <x:v>mortgage tool</x:v>
      </x:c>
      <x:c r="AB866" s="10" t="str">
        <x:v>loan tracker</x:v>
      </x:c>
      <x:c r="AC866" s="10" t="str">
        <x:v>interest log</x:v>
      </x:c>
      <x:c r="AD866" s="10" t="str">
        <x:v>home loan log</x:v>
      </x:c>
      <x:c r="AE866" s="10" t="str">
        <x:v>finance sheet</x:v>
      </x:c>
      <x:c r="AF866" s="10" t="str">
        <x:v>budget tool</x:v>
      </x:c>
      <x:c r="AG866" s="10" t="str">
        <x:v>real estate</x:v>
      </x:c>
      <x:c r="AH866" s="10" t="str">
        <x:v>Mortgage payoff / calculator</x:v>
      </x:c>
      <x:c r="AI866" s="13" t="n">
        <x:v>4</x:v>
      </x:c>
      <x:c r="AJ866" s="10" t="str">
        <x:f>IF(F866&gt;0,"Active","No est. sales")</x:f>
        <x:v>No est. sales</x:v>
      </x:c>
    </x:row>
    <x:row r="867">
      <x:c r="A867" s="10" t="str">
        <x:v>Amortization Schedule Template | Loan Payment Calculator | Mortgage Tracker Spreadsheet | Loan Repayment Sheet</x:v>
      </x:c>
      <x:c r="B867" s="10" t="str">
        <x:v>https://www.etsy.com/listing/4494444008/amortization-schedule-template-loan</x:v>
      </x:c>
      <x:c r="C867" s="10" t="str">
        <x:v>Xeasysheets</x:v>
      </x:c>
      <x:c r="D867" s="10" t="str">
        <x:v>https://www.etsy.com/shop/Xeasysheets</x:v>
      </x:c>
      <x:c r="E867" s="11" t="n">
        <x:v>11.09</x:v>
      </x:c>
      <x:c r="F867" s="10" t="n">
        <x:v>0</x:v>
      </x:c>
      <x:c r="G867" s="12" t="n">
        <x:v>0</x:v>
      </x:c>
      <x:c r="H867" s="13" t="n">
        <x:v>0</x:v>
      </x:c>
      <x:c r="I867" s="10" t="n">
        <x:v>0</x:v>
      </x:c>
      <x:c r="J867" s="10" t="n">
        <x:v>0</x:v>
      </x:c>
      <x:c r="K867" s="10" t="str">
        <x:v>3 Mo.</x:v>
      </x:c>
      <x:c r="L867" s="10" t="n">
        <x:v>0</x:v>
      </x:c>
      <x:c r="M867" s="10" t="n">
        <x:v>0</x:v>
      </x:c>
      <x:c r="N867" s="10" t="n">
        <x:v>0</x:v>
      </x:c>
      <x:c r="O867" s="10" t="str"/>
      <x:c r="P867" s="10" t="n">
        <x:v>12</x:v>
      </x:c>
      <x:c r="Q867" s="10" t="n">
        <x:v>0</x:v>
      </x:c>
      <x:c r="R867" s="13" t="n">
        <x:v>0</x:v>
      </x:c>
      <x:c r="S867" s="10" t="n">
        <x:v>2161</x:v>
      </x:c>
      <x:c r="T867" s="10" t="str">
        <x:v>amortization,loan tracker,loan planner,mortgage sheet,debt tracker,payment plan,finance sheet,excel finance,loan schedule,interest calc,budget planner,debt payoff,google sheets</x:v>
      </x:c>
      <x:c r="U867" s="10" t="str">
        <x:v>amortization</x:v>
      </x:c>
      <x:c r="V867" s="10" t="str">
        <x:v>loan tracker</x:v>
      </x:c>
      <x:c r="W867" s="10" t="str">
        <x:v>loan planner</x:v>
      </x:c>
      <x:c r="X867" s="10" t="str">
        <x:v>mortgage sheet</x:v>
      </x:c>
      <x:c r="Y867" s="10" t="str">
        <x:v>debt tracker</x:v>
      </x:c>
      <x:c r="Z867" s="10" t="str">
        <x:v>payment plan</x:v>
      </x:c>
      <x:c r="AA867" s="10" t="str">
        <x:v>finance sheet</x:v>
      </x:c>
      <x:c r="AB867" s="10" t="str">
        <x:v>excel finance</x:v>
      </x:c>
      <x:c r="AC867" s="10" t="str">
        <x:v>loan schedule</x:v>
      </x:c>
      <x:c r="AD867" s="10" t="str">
        <x:v>interest calc</x:v>
      </x:c>
      <x:c r="AE867" s="10" t="str">
        <x:v>budget planner</x:v>
      </x:c>
      <x:c r="AF867" s="10" t="str">
        <x:v>debt payoff</x:v>
      </x:c>
      <x:c r="AG867" s="10" t="str">
        <x:v>google sheets</x:v>
      </x:c>
      <x:c r="AH867" s="10" t="str">
        <x:v>Mortgage payoff / calculator</x:v>
      </x:c>
      <x:c r="AI867" s="13" t="n">
        <x:v>3</x:v>
      </x:c>
      <x:c r="AJ867" s="10" t="str">
        <x:f>IF(F867&gt;0,"Active","No est. sales")</x:f>
        <x:v>No est. sales</x:v>
      </x:c>
    </x:row>
    <x:row r="868">
      <x:c r="A868" s="10" t="str">
        <x:v>Debt Amortization Schedule Template | Loan Payment Calculator Spreadsheet | Debt Tracker Planner | Loan Repayment Schedule</x:v>
      </x:c>
      <x:c r="B868" s="10" t="str">
        <x:v>https://www.etsy.com/listing/4494645942/debt-amortization-schedule-template-loan</x:v>
      </x:c>
      <x:c r="C868" s="10" t="str">
        <x:v>Xeasysheets</x:v>
      </x:c>
      <x:c r="D868" s="10" t="str">
        <x:v>https://www.etsy.com/shop/Xeasysheets</x:v>
      </x:c>
      <x:c r="E868" s="11" t="n">
        <x:v>11.09</x:v>
      </x:c>
      <x:c r="F868" s="10" t="n">
        <x:v>0</x:v>
      </x:c>
      <x:c r="G868" s="12" t="n">
        <x:v>0</x:v>
      </x:c>
      <x:c r="H868" s="13" t="n">
        <x:v>0</x:v>
      </x:c>
      <x:c r="I868" s="10" t="n">
        <x:v>0</x:v>
      </x:c>
      <x:c r="J868" s="10" t="n">
        <x:v>0</x:v>
      </x:c>
      <x:c r="K868" s="10" t="str">
        <x:v>3 Mo.</x:v>
      </x:c>
      <x:c r="L868" s="10" t="n">
        <x:v>0</x:v>
      </x:c>
      <x:c r="M868" s="10" t="n">
        <x:v>0</x:v>
      </x:c>
      <x:c r="N868" s="10" t="n">
        <x:v>5</x:v>
      </x:c>
      <x:c r="O868" s="10" t="str"/>
      <x:c r="P868" s="10" t="n">
        <x:v>12</x:v>
      </x:c>
      <x:c r="Q868" s="10" t="n">
        <x:v>0</x:v>
      </x:c>
      <x:c r="R868" s="13" t="n">
        <x:v>0</x:v>
      </x:c>
      <x:c r="S868" s="10" t="n">
        <x:v>2161</x:v>
      </x:c>
      <x:c r="T868" s="10" t="str">
        <x:v>debt tracker,loan planner,amortization,payment schedule,loan tracker,finance planner,debt planner,mortgage tracker,excel template,google sheets,budget planner,loan schedule,finance sheet</x:v>
      </x:c>
      <x:c r="U868" s="10" t="str">
        <x:v>debt tracker</x:v>
      </x:c>
      <x:c r="V868" s="10" t="str">
        <x:v>loan planner</x:v>
      </x:c>
      <x:c r="W868" s="10" t="str">
        <x:v>amortization</x:v>
      </x:c>
      <x:c r="X868" s="10" t="str">
        <x:v>payment schedule</x:v>
      </x:c>
      <x:c r="Y868" s="10" t="str">
        <x:v>loan tracker</x:v>
      </x:c>
      <x:c r="Z868" s="10" t="str">
        <x:v>finance planner</x:v>
      </x:c>
      <x:c r="AA868" s="10" t="str">
        <x:v>debt planner</x:v>
      </x:c>
      <x:c r="AB868" s="10" t="str">
        <x:v>mortgage tracker</x:v>
      </x:c>
      <x:c r="AC868" s="10" t="str">
        <x:v>excel template</x:v>
      </x:c>
      <x:c r="AD868" s="10" t="str">
        <x:v>google sheets</x:v>
      </x:c>
      <x:c r="AE868" s="10" t="str">
        <x:v>budget planner</x:v>
      </x:c>
      <x:c r="AF868" s="10" t="str">
        <x:v>loan schedule</x:v>
      </x:c>
      <x:c r="AG868" s="10" t="str">
        <x:v>finance sheet</x:v>
      </x:c>
      <x:c r="AH868" s="10" t="str">
        <x:v>General debt payoff</x:v>
      </x:c>
      <x:c r="AI868" s="13" t="n">
        <x:v>3</x:v>
      </x:c>
      <x:c r="AJ868" s="10" t="str">
        <x:f>IF(F868&gt;0,"Active","No est. sales")</x:f>
        <x:v>No est. sales</x:v>
      </x:c>
    </x:row>
    <x:row r="869">
      <x:c r="A869" s="10" t="str">
        <x:v>Debt Snowball Budgeting Payments Tracker - Debt Jar, Finance Expenses Management, Printable Budget Planner for Debt Free Progress Gift</x:v>
      </x:c>
      <x:c r="B869" s="10" t="str">
        <x:v>https://www.etsy.com/listing/1632779075/debt-snowball-budgeting-payments-tracker</x:v>
      </x:c>
      <x:c r="C869" s="10" t="str">
        <x:v>ArtPrintByGissell</x:v>
      </x:c>
      <x:c r="D869" s="10" t="str">
        <x:v>https://www.etsy.com/shop/ArtPrintByGissell</x:v>
      </x:c>
      <x:c r="E869" s="11" t="n">
        <x:v>1.99</x:v>
      </x:c>
      <x:c r="F869" s="10" t="n">
        <x:v>0</x:v>
      </x:c>
      <x:c r="G869" s="12" t="n">
        <x:v>0</x:v>
      </x:c>
      <x:c r="H869" s="13" t="n">
        <x:v>0</x:v>
      </x:c>
      <x:c r="I869" s="10" t="n">
        <x:v>6</x:v>
      </x:c>
      <x:c r="J869" s="10" t="n">
        <x:v>3</x:v>
      </x:c>
      <x:c r="K869" s="10" t="str">
        <x:v>31 Mo.</x:v>
      </x:c>
      <x:c r="L869" s="10" t="n">
        <x:v>7</x:v>
      </x:c>
      <x:c r="M869" s="10" t="n">
        <x:v>0</x:v>
      </x:c>
      <x:c r="N869" s="10" t="n">
        <x:v>596</x:v>
      </x:c>
      <x:c r="O869" s="10" t="str">
        <x:v>Paper &amp; Party Supplies</x:v>
      </x:c>
      <x:c r="P869" s="10" t="n">
        <x:v>64</x:v>
      </x:c>
      <x:c r="Q869" s="10" t="n">
        <x:v>0</x:v>
      </x:c>
      <x:c r="R869" s="13" t="n">
        <x:v>1.01</x:v>
      </x:c>
      <x:c r="S869" s="10" t="n">
        <x:v>195</x:v>
      </x:c>
      <x:c r="T869" s="10" t="str">
        <x:v>mortgage tracker,financial planner,budget printable,credit card tracker,debt payoff tracker,monthly bill tracker,finance expenses,snowball avalanche,debt tracker art,debt snowball,debts trackers plans,budgeting payments,bill tracker</x:v>
      </x:c>
      <x:c r="U869" s="10" t="str">
        <x:v>mortgage tracker</x:v>
      </x:c>
      <x:c r="V869" s="10" t="str">
        <x:v>financial planner</x:v>
      </x:c>
      <x:c r="W869" s="10" t="str">
        <x:v>budget printable</x:v>
      </x:c>
      <x:c r="X869" s="10" t="str">
        <x:v>credit card tracker</x:v>
      </x:c>
      <x:c r="Y869" s="10" t="str">
        <x:v>debt payoff tracker</x:v>
      </x:c>
      <x:c r="Z869" s="10" t="str">
        <x:v>monthly bill tracker</x:v>
      </x:c>
      <x:c r="AA869" s="10" t="str">
        <x:v>finance expenses</x:v>
      </x:c>
      <x:c r="AB869" s="10" t="str">
        <x:v>snowball avalanche</x:v>
      </x:c>
      <x:c r="AC869" s="10" t="str">
        <x:v>debt tracker art</x:v>
      </x:c>
      <x:c r="AD869" s="10" t="str">
        <x:v>debt snowball</x:v>
      </x:c>
      <x:c r="AE869" s="10" t="str">
        <x:v>debts trackers plans</x:v>
      </x:c>
      <x:c r="AF869" s="10" t="str">
        <x:v>budgeting payments</x:v>
      </x:c>
      <x:c r="AG869" s="10" t="str">
        <x:v>bill tracker</x:v>
      </x:c>
      <x:c r="AH869" s="10" t="str">
        <x:v>General debt payoff</x:v>
      </x:c>
      <x:c r="AI869" s="13" t="n">
        <x:v>31</x:v>
      </x:c>
      <x:c r="AJ869" s="10" t="str">
        <x:f>IF(F869&gt;0,"Active","No est. sales")</x:f>
        <x:v>No est. sales</x:v>
      </x:c>
    </x:row>
    <x:row r="870">
      <x:c r="A870" s="10" t="str">
        <x:v>Debt Snowball Budgeting Payments Tracker - Debt Jar, Finance Expenses Management, Printable Budget Planner for Debt Free Progress Gift</x:v>
      </x:c>
      <x:c r="B870" s="10" t="str">
        <x:v>https://www.etsy.com/listing/1632790205/debt-snowball-budgeting-payments-tracker</x:v>
      </x:c>
      <x:c r="C870" s="10" t="str">
        <x:v>ArtPrintByGissell</x:v>
      </x:c>
      <x:c r="D870" s="10" t="str">
        <x:v>https://www.etsy.com/shop/ArtPrintByGissell</x:v>
      </x:c>
      <x:c r="E870" s="11" t="n">
        <x:v>1.99</x:v>
      </x:c>
      <x:c r="F870" s="10" t="n">
        <x:v>0</x:v>
      </x:c>
      <x:c r="G870" s="12" t="n">
        <x:v>0</x:v>
      </x:c>
      <x:c r="H870" s="13" t="n">
        <x:v>0</x:v>
      </x:c>
      <x:c r="I870" s="10" t="n">
        <x:v>4</x:v>
      </x:c>
      <x:c r="J870" s="10" t="n">
        <x:v>2</x:v>
      </x:c>
      <x:c r="K870" s="10" t="str">
        <x:v>31 Mo.</x:v>
      </x:c>
      <x:c r="L870" s="10" t="n">
        <x:v>15</x:v>
      </x:c>
      <x:c r="M870" s="10" t="n">
        <x:v>0</x:v>
      </x:c>
      <x:c r="N870" s="10" t="n">
        <x:v>545</x:v>
      </x:c>
      <x:c r="O870" s="10" t="str">
        <x:v>Paper &amp; Party Supplies</x:v>
      </x:c>
      <x:c r="P870" s="10" t="n">
        <x:v>64</x:v>
      </x:c>
      <x:c r="Q870" s="10" t="n">
        <x:v>0</x:v>
      </x:c>
      <x:c r="R870" s="13" t="n">
        <x:v>0.73</x:v>
      </x:c>
      <x:c r="S870" s="10" t="n">
        <x:v>195</x:v>
      </x:c>
      <x:c r="T870" s="10" t="str">
        <x:v>mortgage tracker,financial planner,budget printable,credit card tracker,debt payoff tracker,monthly bill tracker,finance expenses,snowball avalanche,debt tracker art,debt snowball,debts trackers plans,budgeting payments,bill tracker</x:v>
      </x:c>
      <x:c r="U870" s="10" t="str">
        <x:v>mortgage tracker</x:v>
      </x:c>
      <x:c r="V870" s="10" t="str">
        <x:v>financial planner</x:v>
      </x:c>
      <x:c r="W870" s="10" t="str">
        <x:v>budget printable</x:v>
      </x:c>
      <x:c r="X870" s="10" t="str">
        <x:v>credit card tracker</x:v>
      </x:c>
      <x:c r="Y870" s="10" t="str">
        <x:v>debt payoff tracker</x:v>
      </x:c>
      <x:c r="Z870" s="10" t="str">
        <x:v>monthly bill tracker</x:v>
      </x:c>
      <x:c r="AA870" s="10" t="str">
        <x:v>finance expenses</x:v>
      </x:c>
      <x:c r="AB870" s="10" t="str">
        <x:v>snowball avalanche</x:v>
      </x:c>
      <x:c r="AC870" s="10" t="str">
        <x:v>debt tracker art</x:v>
      </x:c>
      <x:c r="AD870" s="10" t="str">
        <x:v>debt snowball</x:v>
      </x:c>
      <x:c r="AE870" s="10" t="str">
        <x:v>debts trackers plans</x:v>
      </x:c>
      <x:c r="AF870" s="10" t="str">
        <x:v>budgeting payments</x:v>
      </x:c>
      <x:c r="AG870" s="10" t="str">
        <x:v>bill tracker</x:v>
      </x:c>
      <x:c r="AH870" s="10" t="str">
        <x:v>General debt payoff</x:v>
      </x:c>
      <x:c r="AI870" s="13" t="n">
        <x:v>31</x:v>
      </x:c>
      <x:c r="AJ870" s="10" t="str">
        <x:f>IF(F870&gt;0,"Active","No est. sales")</x:f>
        <x:v>No est. sales</x:v>
      </x:c>
    </x:row>
    <x:row r="871">
      <x:c r="A871" s="10" t="str">
        <x:v>Mortgage Loan Planner Sticker Mortgage Loan Icon Sticker Mortgage Loan Sticker</x:v>
      </x:c>
      <x:c r="B871" s="10" t="str">
        <x:v>https://www.etsy.com/listing/1526746699/mortgage-loan-planner-sticker-mortgage</x:v>
      </x:c>
      <x:c r="C871" s="10" t="str">
        <x:v>StickerPacked</x:v>
      </x:c>
      <x:c r="D871" s="10" t="str">
        <x:v>https://www.etsy.com/shop/StickerPacked</x:v>
      </x:c>
      <x:c r="E871" s="11" t="n">
        <x:v>4</x:v>
      </x:c>
      <x:c r="F871" s="10" t="n">
        <x:v>0</x:v>
      </x:c>
      <x:c r="G871" s="12" t="n">
        <x:v>0</x:v>
      </x:c>
      <x:c r="H871" s="13" t="n">
        <x:v>0</x:v>
      </x:c>
      <x:c r="I871" s="10" t="n">
        <x:v>0</x:v>
      </x:c>
      <x:c r="J871" s="10" t="n">
        <x:v>0</x:v>
      </x:c>
      <x:c r="K871" s="10" t="str">
        <x:v>36 Mo.</x:v>
      </x:c>
      <x:c r="L871" s="10" t="n">
        <x:v>8</x:v>
      </x:c>
      <x:c r="M871" s="10" t="n">
        <x:v>0</x:v>
      </x:c>
      <x:c r="N871" s="10" t="n">
        <x:v>74</x:v>
      </x:c>
      <x:c r="O871" s="10" t="str">
        <x:v>Paper &amp; Party Supplies</x:v>
      </x:c>
      <x:c r="P871" s="10" t="n">
        <x:v>41</x:v>
      </x:c>
      <x:c r="Q871" s="10" t="n">
        <x:v>0</x:v>
      </x:c>
      <x:c r="R871" s="13" t="n">
        <x:v>0</x:v>
      </x:c>
      <x:c r="S871" s="10" t="n">
        <x:v>79643</x:v>
      </x:c>
      <x:c r="T871" s="10" t="str">
        <x:v>mortgage loan,planner,planner stickers,bullet journal,happy planner,mini stickers,planning stickers,calendar stickers,icon stickers,erin condren</x:v>
      </x:c>
      <x:c r="U871" s="10" t="str">
        <x:v>mortgage loan</x:v>
      </x:c>
      <x:c r="V871" s="10" t="str">
        <x:v>planner</x:v>
      </x:c>
      <x:c r="W871" s="10" t="str">
        <x:v>planner stickers</x:v>
      </x:c>
      <x:c r="X871" s="10" t="str">
        <x:v>bullet journal</x:v>
      </x:c>
      <x:c r="Y871" s="10" t="str">
        <x:v>happy planner</x:v>
      </x:c>
      <x:c r="Z871" s="10" t="str">
        <x:v>mini stickers</x:v>
      </x:c>
      <x:c r="AA871" s="10" t="str">
        <x:v>planning stickers</x:v>
      </x:c>
      <x:c r="AB871" s="10" t="str">
        <x:v>calendar stickers</x:v>
      </x:c>
      <x:c r="AC871" s="10" t="str">
        <x:v>icon stickers</x:v>
      </x:c>
      <x:c r="AD871" s="10" t="str">
        <x:v>erin condren</x:v>
      </x:c>
      <x:c r="AE871" s="10" t="str">
        <x:v>--</x:v>
      </x:c>
      <x:c r="AF871" s="10" t="str">
        <x:v>--</x:v>
      </x:c>
      <x:c r="AG871" s="10" t="str">
        <x:v>--</x:v>
      </x:c>
      <x:c r="AH871" s="10" t="str">
        <x:v>Other mortgage-related</x:v>
      </x:c>
      <x:c r="AI871" s="13" t="n">
        <x:v>36</x:v>
      </x:c>
      <x:c r="AJ871" s="10" t="str">
        <x:f>IF(F871&gt;0,"Active","No est. sales")</x:f>
        <x:v>No est. sales</x:v>
      </x:c>
    </x:row>
    <x:row r="872">
      <x:c r="A872" s="10" t="str">
        <x:v>Mortgage Monthly Payment Tracker, Homeowner Loan Payment Tracker, Planner, Planning, Instant Download, Digital Templates</x:v>
      </x:c>
      <x:c r="B872" s="10" t="str">
        <x:v>https://www.etsy.com/listing/1111222333/mortgage-monthly-payment-tracker</x:v>
      </x:c>
      <x:c r="C872" s="10" t="str">
        <x:v>madebytherat</x:v>
      </x:c>
      <x:c r="D872" s="10" t="str">
        <x:v>https://www.etsy.com/shop/madebytherat</x:v>
      </x:c>
      <x:c r="E872" s="11" t="n">
        <x:v>2</x:v>
      </x:c>
      <x:c r="F872" s="10" t="n">
        <x:v>0</x:v>
      </x:c>
      <x:c r="G872" s="12" t="n">
        <x:v>0</x:v>
      </x:c>
      <x:c r="H872" s="13" t="n">
        <x:v>0</x:v>
      </x:c>
      <x:c r="I872" s="10" t="n">
        <x:v>7</x:v>
      </x:c>
      <x:c r="J872" s="10" t="n">
        <x:v>2</x:v>
      </x:c>
      <x:c r="K872" s="10" t="str">
        <x:v>57 Mo.</x:v>
      </x:c>
      <x:c r="L872" s="10" t="n">
        <x:v>9</x:v>
      </x:c>
      <x:c r="M872" s="10" t="n">
        <x:v>0</x:v>
      </x:c>
      <x:c r="N872" s="10" t="n">
        <x:v>245</x:v>
      </x:c>
      <x:c r="O872" s="10" t="str"/>
      <x:c r="P872" s="10" t="n">
        <x:v>102</x:v>
      </x:c>
      <x:c r="Q872" s="10" t="n">
        <x:v>0</x:v>
      </x:c>
      <x:c r="R872" s="13" t="n">
        <x:v>2.86</x:v>
      </x:c>
      <x:c r="S872" s="10" t="n">
        <x:v>778</x:v>
      </x:c>
      <x:c r="T872" s="10" t="str">
        <x:v>mortgage tracker,mortgage payment,planner,digital download,digital template,digital planner,homeowner planner,personal loan,home loan,financial tracker,spreadsheet,mortgage,tracker</x:v>
      </x:c>
      <x:c r="U872" s="10" t="str">
        <x:v>mortgage tracker</x:v>
      </x:c>
      <x:c r="V872" s="10" t="str">
        <x:v>mortgage payment</x:v>
      </x:c>
      <x:c r="W872" s="10" t="str">
        <x:v>planner</x:v>
      </x:c>
      <x:c r="X872" s="10" t="str">
        <x:v>digital download</x:v>
      </x:c>
      <x:c r="Y872" s="10" t="str">
        <x:v>digital template</x:v>
      </x:c>
      <x:c r="Z872" s="10" t="str">
        <x:v>digital planner</x:v>
      </x:c>
      <x:c r="AA872" s="10" t="str">
        <x:v>homeowner planner</x:v>
      </x:c>
      <x:c r="AB872" s="10" t="str">
        <x:v>personal loan</x:v>
      </x:c>
      <x:c r="AC872" s="10" t="str">
        <x:v>home loan</x:v>
      </x:c>
      <x:c r="AD872" s="10" t="str">
        <x:v>financial tracker</x:v>
      </x:c>
      <x:c r="AE872" s="10" t="str">
        <x:v>spreadsheet</x:v>
      </x:c>
      <x:c r="AF872" s="10" t="str">
        <x:v>mortgage</x:v>
      </x:c>
      <x:c r="AG872" s="10" t="str">
        <x:v>tracker</x:v>
      </x:c>
      <x:c r="AH872" s="10" t="str">
        <x:v>Other mortgage-related</x:v>
      </x:c>
      <x:c r="AI872" s="13" t="n">
        <x:v>57</x:v>
      </x:c>
      <x:c r="AJ872" s="10" t="str">
        <x:f>IF(F872&gt;0,"Active","No est. sales")</x:f>
        <x:v>No est. sales</x:v>
      </x:c>
    </x:row>
    <x:row r="873">
      <x:c r="A873" s="10" t="str">
        <x:v>Bills n shit: a budget place for the fed up adult</x:v>
      </x:c>
      <x:c r="B873" s="10" t="str">
        <x:v>https://www.etsy.com/listing/4457441284/bills-n-shit-a-budget-place-for-the-fed</x:v>
      </x:c>
      <x:c r="C873" s="10" t="str">
        <x:v>FourGoslingsStudio</x:v>
      </x:c>
      <x:c r="D873" s="10" t="str">
        <x:v>https://www.etsy.com/shop/FourGoslingsStudio</x:v>
      </x:c>
      <x:c r="E873" s="11" t="n">
        <x:v>3.99</x:v>
      </x:c>
      <x:c r="F873" s="10" t="n">
        <x:v>0</x:v>
      </x:c>
      <x:c r="G873" s="12" t="n">
        <x:v>0</x:v>
      </x:c>
      <x:c r="H873" s="13" t="n">
        <x:v>0</x:v>
      </x:c>
      <x:c r="I873" s="10" t="n">
        <x:v>0</x:v>
      </x:c>
      <x:c r="J873" s="10" t="n">
        <x:v>0</x:v>
      </x:c>
      <x:c r="K873" s="10" t="str">
        <x:v>5 Mo.</x:v>
      </x:c>
      <x:c r="L873" s="10" t="n">
        <x:v>0</x:v>
      </x:c>
      <x:c r="M873" s="10" t="n">
        <x:v>0</x:v>
      </x:c>
      <x:c r="N873" s="10" t="n">
        <x:v>2</x:v>
      </x:c>
      <x:c r="O873" s="10" t="str">
        <x:v>Paper &amp; Party Supplies</x:v>
      </x:c>
      <x:c r="P873" s="10" t="n">
        <x:v>5</x:v>
      </x:c>
      <x:c r="Q873" s="10" t="n">
        <x:v>0</x:v>
      </x:c>
      <x:c r="R873" s="13" t="n">
        <x:v>0</x:v>
      </x:c>
      <x:c r="S873" s="10" t="n">
        <x:v>0</x:v>
      </x:c>
      <x:c r="T873" s="10" t="str">
        <x:v>bill tracker,personal finance,mortgage tracker,adult planner,explicit language,quirky notebook,funky fun wild,piggy bank,broke bitch,weekly calendar,due date,organization fun,silly goose</x:v>
      </x:c>
      <x:c r="U873" s="10" t="str">
        <x:v>bill tracker</x:v>
      </x:c>
      <x:c r="V873" s="10" t="str">
        <x:v>personal finance</x:v>
      </x:c>
      <x:c r="W873" s="10" t="str">
        <x:v>mortgage tracker</x:v>
      </x:c>
      <x:c r="X873" s="10" t="str">
        <x:v>adult planner</x:v>
      </x:c>
      <x:c r="Y873" s="10" t="str">
        <x:v>explicit language</x:v>
      </x:c>
      <x:c r="Z873" s="10" t="str">
        <x:v>quirky notebook</x:v>
      </x:c>
      <x:c r="AA873" s="10" t="str">
        <x:v>funky fun wild</x:v>
      </x:c>
      <x:c r="AB873" s="10" t="str">
        <x:v>piggy bank</x:v>
      </x:c>
      <x:c r="AC873" s="10" t="str">
        <x:v>broke bitch</x:v>
      </x:c>
      <x:c r="AD873" s="10" t="str">
        <x:v>weekly calendar</x:v>
      </x:c>
      <x:c r="AE873" s="10" t="str">
        <x:v>due date</x:v>
      </x:c>
      <x:c r="AF873" s="10" t="str">
        <x:v>organization fun</x:v>
      </x:c>
      <x:c r="AG873" s="10" t="str">
        <x:v>silly goose</x:v>
      </x:c>
      <x:c r="AH873" s="10" t="str">
        <x:v>Other mortgage-related</x:v>
      </x:c>
      <x:c r="AI873" s="13" t="n">
        <x:v>5</x:v>
      </x:c>
      <x:c r="AJ873" s="10" t="str">
        <x:f>IF(F873&gt;0,"Active","No est. sales")</x:f>
        <x:v>No est. sales</x:v>
      </x:c>
    </x:row>
    <x:row r="874">
      <x:c r="A874" s="10" t="str">
        <x:v>Debt Payoff Tracker Google Sheets Snowball Avalanche Custom Method Debt Payment Spreadsheet Financial Planner Credit Card Mortgage Payoff</x:v>
      </x:c>
      <x:c r="B874" s="10" t="str">
        <x:v>https://www.etsy.com/listing/1697006100/debt-payoff-tracker-google-sheets</x:v>
      </x:c>
      <x:c r="C874" s="10" t="str">
        <x:v>PLANSTUDIOREMIER</x:v>
      </x:c>
      <x:c r="D874" s="10" t="str">
        <x:v>https://www.etsy.com/shop/PLANSTUDIOREMIER</x:v>
      </x:c>
      <x:c r="E874" s="11" t="n">
        <x:v>7.78</x:v>
      </x:c>
      <x:c r="F874" s="10" t="n">
        <x:v>0</x:v>
      </x:c>
      <x:c r="G874" s="12" t="n">
        <x:v>0</x:v>
      </x:c>
      <x:c r="H874" s="13" t="n">
        <x:v>0</x:v>
      </x:c>
      <x:c r="I874" s="10" t="n">
        <x:v>0</x:v>
      </x:c>
      <x:c r="J874" s="10" t="n">
        <x:v>0</x:v>
      </x:c>
      <x:c r="K874" s="10" t="str">
        <x:v>27 Mo.</x:v>
      </x:c>
      <x:c r="L874" s="10" t="n">
        <x:v>2</x:v>
      </x:c>
      <x:c r="M874" s="10" t="n">
        <x:v>0</x:v>
      </x:c>
      <x:c r="N874" s="10" t="n">
        <x:v>104</x:v>
      </x:c>
      <x:c r="O874" s="10" t="str"/>
      <x:c r="P874" s="10" t="n">
        <x:v>27</x:v>
      </x:c>
      <x:c r="Q874" s="10" t="n">
        <x:v>0</x:v>
      </x:c>
      <x:c r="R874" s="13" t="n">
        <x:v>0</x:v>
      </x:c>
      <x:c r="S874" s="10" t="n">
        <x:v>472</x:v>
      </x:c>
      <x:c r="T874" s="10" t="str">
        <x:v>debt payoff tracker,debt payment planner,financial planner,yearly budget tool,debt tracker google,debt snowball method,credit card payoff,finance spreadsheet,debt spreadsheet,avalanche method,google sheet planner,mortgage plan sheet,budgeting tool excel</x:v>
      </x:c>
      <x:c r="U874" s="10" t="str">
        <x:v>debt payoff tracker</x:v>
      </x:c>
      <x:c r="V874" s="10" t="str">
        <x:v>debt payment planner</x:v>
      </x:c>
      <x:c r="W874" s="10" t="str">
        <x:v>financial planner</x:v>
      </x:c>
      <x:c r="X874" s="10" t="str">
        <x:v>yearly budget tool</x:v>
      </x:c>
      <x:c r="Y874" s="10" t="str">
        <x:v>debt tracker google</x:v>
      </x:c>
      <x:c r="Z874" s="10" t="str">
        <x:v>debt snowball method</x:v>
      </x:c>
      <x:c r="AA874" s="10" t="str">
        <x:v>credit card payoff</x:v>
      </x:c>
      <x:c r="AB874" s="10" t="str">
        <x:v>finance spreadsheet</x:v>
      </x:c>
      <x:c r="AC874" s="10" t="str">
        <x:v>debt spreadsheet</x:v>
      </x:c>
      <x:c r="AD874" s="10" t="str">
        <x:v>avalanche method</x:v>
      </x:c>
      <x:c r="AE874" s="10" t="str">
        <x:v>google sheet planner</x:v>
      </x:c>
      <x:c r="AF874" s="10" t="str">
        <x:v>mortgage plan sheet</x:v>
      </x:c>
      <x:c r="AG874" s="10" t="str">
        <x:v>budgeting tool excel</x:v>
      </x:c>
      <x:c r="AH874" s="10" t="str">
        <x:v>General debt payoff</x:v>
      </x:c>
      <x:c r="AI874" s="13" t="n">
        <x:v>27</x:v>
      </x:c>
      <x:c r="AJ874" s="10" t="str">
        <x:f>IF(F874&gt;0,"Active","No est. sales")</x:f>
        <x:v>No est. sales</x:v>
      </x:c>
    </x:row>
    <x:row r="875">
      <x:c r="A875" s="10" t="str">
        <x:v>Debt Payoff Tracker Google Sheets Snowball Avalanche Custom Method Debt Payment Spreadsheet Financial Planner Credit Card Mortgage Payoff</x:v>
      </x:c>
      <x:c r="B875" s="10" t="str">
        <x:v>https://www.etsy.com/listing/1697007856/debt-payoff-tracker-google-sheets</x:v>
      </x:c>
      <x:c r="C875" s="10" t="str">
        <x:v>PLANSTUDIOREMIER</x:v>
      </x:c>
      <x:c r="D875" s="10" t="str">
        <x:v>https://www.etsy.com/shop/PLANSTUDIOREMIER</x:v>
      </x:c>
      <x:c r="E875" s="11" t="n">
        <x:v>7.78</x:v>
      </x:c>
      <x:c r="F875" s="10" t="n">
        <x:v>0</x:v>
      </x:c>
      <x:c r="G875" s="12" t="n">
        <x:v>0</x:v>
      </x:c>
      <x:c r="H875" s="13" t="n">
        <x:v>0</x:v>
      </x:c>
      <x:c r="I875" s="10" t="n">
        <x:v>0</x:v>
      </x:c>
      <x:c r="J875" s="10" t="n">
        <x:v>0</x:v>
      </x:c>
      <x:c r="K875" s="10" t="str">
        <x:v>27 Mo.</x:v>
      </x:c>
      <x:c r="L875" s="10" t="n">
        <x:v>2</x:v>
      </x:c>
      <x:c r="M875" s="10" t="n">
        <x:v>0</x:v>
      </x:c>
      <x:c r="N875" s="10" t="n">
        <x:v>63</x:v>
      </x:c>
      <x:c r="O875" s="10" t="str"/>
      <x:c r="P875" s="10" t="n">
        <x:v>27</x:v>
      </x:c>
      <x:c r="Q875" s="10" t="n">
        <x:v>0</x:v>
      </x:c>
      <x:c r="R875" s="13" t="n">
        <x:v>0</x:v>
      </x:c>
      <x:c r="S875" s="10" t="n">
        <x:v>472</x:v>
      </x:c>
      <x:c r="T875" s="10" t="str">
        <x:v>debt payoff tracker,debt payment planner,financial planner,yearly budget tool,debt tracker google,debt snowball method,credit card payoff,finance spreadsheet,debt spreadsheet,avalanche method,google sheet planner,mortgage plan sheet,budgeting tool excel</x:v>
      </x:c>
      <x:c r="U875" s="10" t="str">
        <x:v>debt payoff tracker</x:v>
      </x:c>
      <x:c r="V875" s="10" t="str">
        <x:v>debt payment planner</x:v>
      </x:c>
      <x:c r="W875" s="10" t="str">
        <x:v>financial planner</x:v>
      </x:c>
      <x:c r="X875" s="10" t="str">
        <x:v>yearly budget tool</x:v>
      </x:c>
      <x:c r="Y875" s="10" t="str">
        <x:v>debt tracker google</x:v>
      </x:c>
      <x:c r="Z875" s="10" t="str">
        <x:v>debt snowball method</x:v>
      </x:c>
      <x:c r="AA875" s="10" t="str">
        <x:v>credit card payoff</x:v>
      </x:c>
      <x:c r="AB875" s="10" t="str">
        <x:v>finance spreadsheet</x:v>
      </x:c>
      <x:c r="AC875" s="10" t="str">
        <x:v>debt spreadsheet</x:v>
      </x:c>
      <x:c r="AD875" s="10" t="str">
        <x:v>avalanche method</x:v>
      </x:c>
      <x:c r="AE875" s="10" t="str">
        <x:v>google sheet planner</x:v>
      </x:c>
      <x:c r="AF875" s="10" t="str">
        <x:v>mortgage plan sheet</x:v>
      </x:c>
      <x:c r="AG875" s="10" t="str">
        <x:v>budgeting tool excel</x:v>
      </x:c>
      <x:c r="AH875" s="10" t="str">
        <x:v>General debt payoff</x:v>
      </x:c>
      <x:c r="AI875" s="13" t="n">
        <x:v>27</x:v>
      </x:c>
      <x:c r="AJ875" s="10" t="str">
        <x:f>IF(F875&gt;0,"Active","No est. sales")</x:f>
        <x:v>No est. sales</x:v>
      </x:c>
    </x:row>
    <x:row r="876">
      <x:c r="A876" s="10" t="str">
        <x:v>Expense Tracker PDF: Bill Payment, Debt Snowball (Digital Download)</x:v>
      </x:c>
      <x:c r="B876" s="10" t="str">
        <x:v>https://www.etsy.com/listing/1207342511/expense-tracker-pdf-bill-payment-debt</x:v>
      </x:c>
      <x:c r="C876" s="10" t="str">
        <x:v>CreativeClaireCo</x:v>
      </x:c>
      <x:c r="D876" s="10" t="str">
        <x:v>https://www.etsy.com/shop/CreativeClaireCo</x:v>
      </x:c>
      <x:c r="E876" s="11" t="n">
        <x:v>1.5</x:v>
      </x:c>
      <x:c r="F876" s="10" t="n">
        <x:v>0</x:v>
      </x:c>
      <x:c r="G876" s="12" t="n">
        <x:v>0</x:v>
      </x:c>
      <x:c r="H876" s="13" t="n">
        <x:v>0</x:v>
      </x:c>
      <x:c r="I876" s="10" t="n">
        <x:v>0</x:v>
      </x:c>
      <x:c r="J876" s="10" t="n">
        <x:v>0</x:v>
      </x:c>
      <x:c r="K876" s="10" t="str">
        <x:v>51 Mo.</x:v>
      </x:c>
      <x:c r="L876" s="10" t="n">
        <x:v>42</x:v>
      </x:c>
      <x:c r="M876" s="10" t="n">
        <x:v>0</x:v>
      </x:c>
      <x:c r="N876" s="10" t="n">
        <x:v>208</x:v>
      </x:c>
      <x:c r="O876" s="10" t="str">
        <x:v>Paper &amp; Party Supplies</x:v>
      </x:c>
      <x:c r="P876" s="10" t="n">
        <x:v>66</x:v>
      </x:c>
      <x:c r="Q876" s="10" t="n">
        <x:v>0</x:v>
      </x:c>
      <x:c r="R876" s="13" t="n">
        <x:v>0</x:v>
      </x:c>
      <x:c r="S876" s="10" t="n">
        <x:v>41719</x:v>
      </x:c>
      <x:c r="T876" s="10" t="str">
        <x:v>bill tracker,expense log,financial planner,debt snowball,spending tracker,mortgage tracker,credit pdf,utility payments,rent due,household morgtage,tax season,house organization,budget planner</x:v>
      </x:c>
      <x:c r="U876" s="10" t="str">
        <x:v>bill tracker</x:v>
      </x:c>
      <x:c r="V876" s="10" t="str">
        <x:v>expense log</x:v>
      </x:c>
      <x:c r="W876" s="10" t="str">
        <x:v>financial planner</x:v>
      </x:c>
      <x:c r="X876" s="10" t="str">
        <x:v>debt snowball</x:v>
      </x:c>
      <x:c r="Y876" s="10" t="str">
        <x:v>spending tracker</x:v>
      </x:c>
      <x:c r="Z876" s="10" t="str">
        <x:v>mortgage tracker</x:v>
      </x:c>
      <x:c r="AA876" s="10" t="str">
        <x:v>credit pdf</x:v>
      </x:c>
      <x:c r="AB876" s="10" t="str">
        <x:v>utility payments</x:v>
      </x:c>
      <x:c r="AC876" s="10" t="str">
        <x:v>rent due</x:v>
      </x:c>
      <x:c r="AD876" s="10" t="str">
        <x:v>household morgtage</x:v>
      </x:c>
      <x:c r="AE876" s="10" t="str">
        <x:v>tax season</x:v>
      </x:c>
      <x:c r="AF876" s="10" t="str">
        <x:v>house organization</x:v>
      </x:c>
      <x:c r="AG876" s="10" t="str">
        <x:v>budget planner</x:v>
      </x:c>
      <x:c r="AH876" s="10" t="str">
        <x:v>General debt payoff</x:v>
      </x:c>
      <x:c r="AI876" s="13" t="n">
        <x:v>51</x:v>
      </x:c>
      <x:c r="AJ876" s="10" t="str">
        <x:f>IF(F876&gt;0,"Active","No est. sales")</x:f>
        <x:v>No est. sales</x:v>
      </x:c>
    </x:row>
    <x:row r="877">
      <x:c r="A877" s="10" t="str">
        <x:v>I Close Deals in Heels Notebook, Luxury Realtor Notebook, Jeweled Stilettos Agent Planner, Real Estate Stationery, KeyKult Fashion Journal</x:v>
      </x:c>
      <x:c r="B877" s="10" t="str">
        <x:v>https://www.etsy.com/listing/4503467818/i-close-deals-in-heels-notebook-luxury</x:v>
      </x:c>
      <x:c r="C877" s="10" t="str">
        <x:v>ElevatedByDana</x:v>
      </x:c>
      <x:c r="D877" s="10" t="str">
        <x:v>https://www.etsy.com/shop/ElevatedByDana</x:v>
      </x:c>
      <x:c r="E877" s="11" t="n">
        <x:v>24.34</x:v>
      </x:c>
      <x:c r="F877" s="10" t="n">
        <x:v>0</x:v>
      </x:c>
      <x:c r="G877" s="12" t="n">
        <x:v>0</x:v>
      </x:c>
      <x:c r="H877" s="13" t="n">
        <x:v>0</x:v>
      </x:c>
      <x:c r="I877" s="10" t="n">
        <x:v>0</x:v>
      </x:c>
      <x:c r="J877" s="10" t="n">
        <x:v>0</x:v>
      </x:c>
      <x:c r="K877" s="10" t="str">
        <x:v>2 Mo.</x:v>
      </x:c>
      <x:c r="L877" s="10" t="n">
        <x:v>0</x:v>
      </x:c>
      <x:c r="M877" s="10" t="n">
        <x:v>0</x:v>
      </x:c>
      <x:c r="N877" s="10" t="n">
        <x:v>3</x:v>
      </x:c>
      <x:c r="O877" s="10" t="str">
        <x:v>Books, Movies &amp; Music</x:v>
      </x:c>
      <x:c r="P877" s="10" t="n">
        <x:v>10</x:v>
      </x:c>
      <x:c r="Q877" s="10" t="n">
        <x:v>0</x:v>
      </x:c>
      <x:c r="R877" s="13" t="n">
        <x:v>0</x:v>
      </x:c>
      <x:c r="S877" s="10" t="n">
        <x:v>41</x:v>
      </x:c>
      <x:c r="T877" s="10" t="str">
        <x:v>spiral notebook,luxury realtor,closing deals notes,gold heel design,real estate agent,desk accessories,keykult fashion,daily planner,realtor gift,escrow closer notes,mortgage lender note,broker team gift,fashion notebook</x:v>
      </x:c>
      <x:c r="U877" s="10" t="str">
        <x:v>spiral notebook</x:v>
      </x:c>
      <x:c r="V877" s="10" t="str">
        <x:v>luxury realtor</x:v>
      </x:c>
      <x:c r="W877" s="10" t="str">
        <x:v>closing deals notes</x:v>
      </x:c>
      <x:c r="X877" s="10" t="str">
        <x:v>gold heel design</x:v>
      </x:c>
      <x:c r="Y877" s="10" t="str">
        <x:v>real estate agent</x:v>
      </x:c>
      <x:c r="Z877" s="10" t="str">
        <x:v>desk accessories</x:v>
      </x:c>
      <x:c r="AA877" s="10" t="str">
        <x:v>keykult fashion</x:v>
      </x:c>
      <x:c r="AB877" s="10" t="str">
        <x:v>daily planner</x:v>
      </x:c>
      <x:c r="AC877" s="10" t="str">
        <x:v>realtor gift</x:v>
      </x:c>
      <x:c r="AD877" s="10" t="str">
        <x:v>escrow closer notes</x:v>
      </x:c>
      <x:c r="AE877" s="10" t="str">
        <x:v>mortgage lender note</x:v>
      </x:c>
      <x:c r="AF877" s="10" t="str">
        <x:v>broker team gift</x:v>
      </x:c>
      <x:c r="AG877" s="10" t="str">
        <x:v>fashion notebook</x:v>
      </x:c>
      <x:c r="AH877" s="10" t="str">
        <x:v>Other mortgage-related</x:v>
      </x:c>
      <x:c r="AI877" s="13" t="n">
        <x:v>2</x:v>
      </x:c>
      <x:c r="AJ877" s="10" t="str">
        <x:f>IF(F877&gt;0,"Active","No est. sales")</x:f>
        <x:v>No est. sales</x:v>
      </x:c>
    </x:row>
    <x:row r="878">
      <x:c r="A878" s="10" t="str">
        <x:v>S5 • Money EDITABLE PDF Everyday Planner Printables Happy Classic Letter Half Free Font finances budgeting mortgage payments savings debts</x:v>
      </x:c>
      <x:c r="B878" s="10" t="str">
        <x:v>https://www.etsy.com/listing/201943300/s5-money-editable-pdf-everyday-planner</x:v>
      </x:c>
      <x:c r="C878" s="10" t="str">
        <x:v>MissTiina</x:v>
      </x:c>
      <x:c r="D878" s="10" t="str">
        <x:v>https://www.etsy.com/shop/MissTiina</x:v>
      </x:c>
      <x:c r="E878" s="11" t="n">
        <x:v>4.25</x:v>
      </x:c>
      <x:c r="F878" s="10" t="n">
        <x:v>0</x:v>
      </x:c>
      <x:c r="G878" s="12" t="n">
        <x:v>0</x:v>
      </x:c>
      <x:c r="H878" s="13" t="n">
        <x:v>0</x:v>
      </x:c>
      <x:c r="I878" s="10" t="n">
        <x:v>520</x:v>
      </x:c>
      <x:c r="J878" s="10" t="n">
        <x:v>48</x:v>
      </x:c>
      <x:c r="K878" s="10" t="str">
        <x:v>142 Mo.</x:v>
      </x:c>
      <x:c r="L878" s="10" t="n">
        <x:v>757</x:v>
      </x:c>
      <x:c r="M878" s="10" t="n">
        <x:v>0</x:v>
      </x:c>
      <x:c r="N878" s="10" t="n">
        <x:v>19514</x:v>
      </x:c>
      <x:c r="O878" s="10" t="str">
        <x:v>Paper &amp; Party Supplies</x:v>
      </x:c>
      <x:c r="P878" s="10" t="n">
        <x:v>206</x:v>
      </x:c>
      <x:c r="Q878" s="10" t="n">
        <x:v>45</x:v>
      </x:c>
      <x:c r="R878" s="13" t="n">
        <x:v>2.66</x:v>
      </x:c>
      <x:c r="S878" s="10" t="n">
        <x:v>36991</x:v>
      </x:c>
      <x:c r="T878" s="10" t="str">
        <x:v>printables,printable planner,budgeting,payments,monthly budget,finances,2020 planner,editable planner,bank record,savings challenge,debts payoff,saving up,banking</x:v>
      </x:c>
      <x:c r="U878" s="10" t="str">
        <x:v>printables</x:v>
      </x:c>
      <x:c r="V878" s="10" t="str">
        <x:v>printable planner</x:v>
      </x:c>
      <x:c r="W878" s="10" t="str">
        <x:v>budgeting</x:v>
      </x:c>
      <x:c r="X878" s="10" t="str">
        <x:v>payments</x:v>
      </x:c>
      <x:c r="Y878" s="10" t="str">
        <x:v>monthly budget</x:v>
      </x:c>
      <x:c r="Z878" s="10" t="str">
        <x:v>finances</x:v>
      </x:c>
      <x:c r="AA878" s="10" t="str">
        <x:v>2020 planner</x:v>
      </x:c>
      <x:c r="AB878" s="10" t="str">
        <x:v>editable planner</x:v>
      </x:c>
      <x:c r="AC878" s="10" t="str">
        <x:v>bank record</x:v>
      </x:c>
      <x:c r="AD878" s="10" t="str">
        <x:v>savings challenge</x:v>
      </x:c>
      <x:c r="AE878" s="10" t="str">
        <x:v>debts payoff</x:v>
      </x:c>
      <x:c r="AF878" s="10" t="str">
        <x:v>saving up</x:v>
      </x:c>
      <x:c r="AG878" s="10" t="str">
        <x:v>banking</x:v>
      </x:c>
      <x:c r="AH878" s="10" t="str">
        <x:v>Other mortgage-related</x:v>
      </x:c>
      <x:c r="AI878" s="13" t="n">
        <x:v>142</x:v>
      </x:c>
      <x:c r="AJ878" s="10" t="str">
        <x:f>IF(F878&gt;0,"Active","No est. sales")</x:f>
        <x:v>No est. sales</x:v>
      </x:c>
    </x:row>
    <x:row r="879">
      <x:c r="A879" s="10" t="str">
        <x:v>Mortgage Printable Stickers, House Planner Script Stickers, DIY Printable Stickers, Pay Bill DIY Stickers, Print &amp; Cut Cricut Silhouette</x:v>
      </x:c>
      <x:c r="B879" s="10" t="str">
        <x:v>https://www.etsy.com/listing/904018783/mortgage-printable-stickers-house</x:v>
      </x:c>
      <x:c r="C879" s="10" t="str">
        <x:v>GeminiPaperie</x:v>
      </x:c>
      <x:c r="D879" s="10" t="str">
        <x:v>https://www.etsy.com/shop/GeminiPaperie</x:v>
      </x:c>
      <x:c r="E879" s="11" t="n">
        <x:v>1.55</x:v>
      </x:c>
      <x:c r="F879" s="10" t="n">
        <x:v>0</x:v>
      </x:c>
      <x:c r="G879" s="12" t="n">
        <x:v>0</x:v>
      </x:c>
      <x:c r="H879" s="13" t="n">
        <x:v>0</x:v>
      </x:c>
      <x:c r="I879" s="10" t="n">
        <x:v>15</x:v>
      </x:c>
      <x:c r="J879" s="10" t="n">
        <x:v>2</x:v>
      </x:c>
      <x:c r="K879" s="10" t="str">
        <x:v>68 Mo.</x:v>
      </x:c>
      <x:c r="L879" s="10" t="n">
        <x:v>21</x:v>
      </x:c>
      <x:c r="M879" s="10" t="n">
        <x:v>0</x:v>
      </x:c>
      <x:c r="N879" s="10" t="n">
        <x:v>255</x:v>
      </x:c>
      <x:c r="O879" s="10" t="str">
        <x:v>Paper &amp; Party Supplies</x:v>
      </x:c>
      <x:c r="P879" s="10" t="n">
        <x:v>78</x:v>
      </x:c>
      <x:c r="Q879" s="10" t="n">
        <x:v>0</x:v>
      </x:c>
      <x:c r="R879" s="13" t="n">
        <x:v>5.88</x:v>
      </x:c>
      <x:c r="S879" s="10" t="n">
        <x:v>7363</x:v>
      </x:c>
      <x:c r="T879" s="10" t="str">
        <x:v>printable  stickers,cut files,planner stickers,diy sticker,script stickers,svg,silhouette,cricut,happy planner,sticker sheet,mortgage stickers,pay bill sticker,house sticker</x:v>
      </x:c>
      <x:c r="U879" s="10" t="str">
        <x:v>printable  stickers</x:v>
      </x:c>
      <x:c r="V879" s="10" t="str">
        <x:v>cut files</x:v>
      </x:c>
      <x:c r="W879" s="10" t="str">
        <x:v>planner stickers</x:v>
      </x:c>
      <x:c r="X879" s="10" t="str">
        <x:v>diy sticker</x:v>
      </x:c>
      <x:c r="Y879" s="10" t="str">
        <x:v>script stickers</x:v>
      </x:c>
      <x:c r="Z879" s="10" t="str">
        <x:v>svg</x:v>
      </x:c>
      <x:c r="AA879" s="10" t="str">
        <x:v>silhouette</x:v>
      </x:c>
      <x:c r="AB879" s="10" t="str">
        <x:v>cricut</x:v>
      </x:c>
      <x:c r="AC879" s="10" t="str">
        <x:v>happy planner</x:v>
      </x:c>
      <x:c r="AD879" s="10" t="str">
        <x:v>sticker sheet</x:v>
      </x:c>
      <x:c r="AE879" s="10" t="str">
        <x:v>mortgage stickers</x:v>
      </x:c>
      <x:c r="AF879" s="10" t="str">
        <x:v>pay bill sticker</x:v>
      </x:c>
      <x:c r="AG879" s="10" t="str">
        <x:v>house sticker</x:v>
      </x:c>
      <x:c r="AH879" s="10" t="str">
        <x:v>Other mortgage-related</x:v>
      </x:c>
      <x:c r="AI879" s="13" t="n">
        <x:v>68</x:v>
      </x:c>
      <x:c r="AJ879" s="10" t="str">
        <x:f>IF(F879&gt;0,"Active","No est. sales")</x:f>
        <x:v>No est. sales</x:v>
      </x:c>
    </x:row>
    <x:row r="880">
      <x:c r="A880" s="10" t="str">
        <x:v>Self Build Ireland Budget Planner Excel Template Spreadsheet</x:v>
      </x:c>
      <x:c r="B880" s="10" t="str">
        <x:v>https://www.etsy.com/listing/4462557399/self-build-house-budget-spreadsheet</x:v>
      </x:c>
      <x:c r="C880" s="10" t="str">
        <x:v>TheLittleVisualsCo</x:v>
      </x:c>
      <x:c r="D880" s="10" t="str">
        <x:v>https://www.etsy.com/shop/TheLittleVisualsCo</x:v>
      </x:c>
      <x:c r="E880" s="11" t="n">
        <x:v>13.65</x:v>
      </x:c>
      <x:c r="F880" s="10" t="n">
        <x:v>0</x:v>
      </x:c>
      <x:c r="G880" s="12" t="n">
        <x:v>0</x:v>
      </x:c>
      <x:c r="H880" s="13" t="n">
        <x:v>0</x:v>
      </x:c>
      <x:c r="I880" s="10" t="n">
        <x:v>0</x:v>
      </x:c>
      <x:c r="J880" s="10" t="n">
        <x:v>0</x:v>
      </x:c>
      <x:c r="K880" s="10" t="str">
        <x:v>5 Mo.</x:v>
      </x:c>
      <x:c r="L880" s="10" t="n">
        <x:v>0</x:v>
      </x:c>
      <x:c r="M880" s="10" t="n">
        <x:v>0</x:v>
      </x:c>
      <x:c r="N880" s="10" t="n">
        <x:v>104</x:v>
      </x:c>
      <x:c r="O880" s="10" t="str"/>
      <x:c r="P880" s="10" t="n">
        <x:v>5</x:v>
      </x:c>
      <x:c r="Q880" s="10" t="n">
        <x:v>0</x:v>
      </x:c>
      <x:c r="R880" s="13" t="n">
        <x:v>0</x:v>
      </x:c>
      <x:c r="S880" s="10" t="n">
        <x:v>6</x:v>
      </x:c>
      <x:c r="T880" s="10" t="str">
        <x:v>construction budget,house build planner,cost tracker excel,build cost ireland,mortgage tracker,drawdown tracker,quote comparison,building spreadsheet,home build budget,irish self build,excel budget,selfbuild,selfbuild budget</x:v>
      </x:c>
      <x:c r="U880" s="10" t="str">
        <x:v>construction budget</x:v>
      </x:c>
      <x:c r="V880" s="10" t="str">
        <x:v>house build planner</x:v>
      </x:c>
      <x:c r="W880" s="10" t="str">
        <x:v>cost tracker excel</x:v>
      </x:c>
      <x:c r="X880" s="10" t="str">
        <x:v>build cost ireland</x:v>
      </x:c>
      <x:c r="Y880" s="10" t="str">
        <x:v>mortgage tracker</x:v>
      </x:c>
      <x:c r="Z880" s="10" t="str">
        <x:v>drawdown tracker</x:v>
      </x:c>
      <x:c r="AA880" s="10" t="str">
        <x:v>quote comparison</x:v>
      </x:c>
      <x:c r="AB880" s="10" t="str">
        <x:v>building spreadsheet</x:v>
      </x:c>
      <x:c r="AC880" s="10" t="str">
        <x:v>home build budget</x:v>
      </x:c>
      <x:c r="AD880" s="10" t="str">
        <x:v>irish self build</x:v>
      </x:c>
      <x:c r="AE880" s="10" t="str">
        <x:v>excel budget</x:v>
      </x:c>
      <x:c r="AF880" s="10" t="str">
        <x:v>selfbuild</x:v>
      </x:c>
      <x:c r="AG880" s="10" t="str">
        <x:v>selfbuild budget</x:v>
      </x:c>
      <x:c r="AH880" s="10" t="str">
        <x:v>Other mortgage-related</x:v>
      </x:c>
      <x:c r="AI880" s="13" t="n">
        <x:v>5</x:v>
      </x:c>
      <x:c r="AJ880" s="10" t="str">
        <x:f>IF(F880&gt;0,"Active","No est. sales")</x:f>
        <x:v>No est. sales</x:v>
      </x:c>
    </x:row>
    <x:row r="881">
      <x:c r="A881" s="10" t="str">
        <x:v>Happy Home Payment Rent Monthly Reminder Tracker Cute Kawaii Planner Stickers Erin Condren Midori Calendar Funny Mortgage House Loan Bill</x:v>
      </x:c>
      <x:c r="B881" s="10" t="str">
        <x:v>https://www.etsy.com/listing/270028163/happy-home-payment-rent-monthly-reminder</x:v>
      </x:c>
      <x:c r="C881" s="10" t="str">
        <x:v>aHappyBlueTree</x:v>
      </x:c>
      <x:c r="D881" s="10" t="str">
        <x:v>https://www.etsy.com/shop/aHappyBlueTree</x:v>
      </x:c>
      <x:c r="E881" s="11" t="n">
        <x:v>3.95</x:v>
      </x:c>
      <x:c r="F881" s="10" t="n">
        <x:v>0</x:v>
      </x:c>
      <x:c r="G881" s="12" t="n">
        <x:v>0</x:v>
      </x:c>
      <x:c r="H881" s="13" t="n">
        <x:v>0</x:v>
      </x:c>
      <x:c r="I881" s="10" t="n">
        <x:v>240</x:v>
      </x:c>
      <x:c r="J881" s="10" t="n">
        <x:v>58</x:v>
      </x:c>
      <x:c r="K881" s="10" t="str">
        <x:v>125 Mo.</x:v>
      </x:c>
      <x:c r="L881" s="10" t="n">
        <x:v>185</x:v>
      </x:c>
      <x:c r="M881" s="10" t="n">
        <x:v>0</x:v>
      </x:c>
      <x:c r="N881" s="10" t="n">
        <x:v>3152</x:v>
      </x:c>
      <x:c r="O881" s="10" t="str">
        <x:v>Paper &amp; Party Supplies</x:v>
      </x:c>
      <x:c r="P881" s="10" t="n">
        <x:v>126</x:v>
      </x:c>
      <x:c r="Q881" s="10" t="n">
        <x:v>0</x:v>
      </x:c>
      <x:c r="R881" s="13" t="n">
        <x:v>7.61</x:v>
      </x:c>
      <x:c r="S881" s="10" t="n">
        <x:v>150331</x:v>
      </x:c>
      <x:c r="T881" s="10" t="str">
        <x:v>planner,stickers,calendar,happy,kawaii,cute,erin condren,monthly,house,mortgage,home,tree,rent</x:v>
      </x:c>
      <x:c r="U881" s="10" t="str">
        <x:v>planner</x:v>
      </x:c>
      <x:c r="V881" s="10" t="str">
        <x:v>stickers</x:v>
      </x:c>
      <x:c r="W881" s="10" t="str">
        <x:v>calendar</x:v>
      </x:c>
      <x:c r="X881" s="10" t="str">
        <x:v>happy</x:v>
      </x:c>
      <x:c r="Y881" s="10" t="str">
        <x:v>kawaii</x:v>
      </x:c>
      <x:c r="Z881" s="10" t="str">
        <x:v>cute</x:v>
      </x:c>
      <x:c r="AA881" s="10" t="str">
        <x:v>erin condren</x:v>
      </x:c>
      <x:c r="AB881" s="10" t="str">
        <x:v>monthly</x:v>
      </x:c>
      <x:c r="AC881" s="10" t="str">
        <x:v>house</x:v>
      </x:c>
      <x:c r="AD881" s="10" t="str">
        <x:v>mortgage</x:v>
      </x:c>
      <x:c r="AE881" s="10" t="str">
        <x:v>home</x:v>
      </x:c>
      <x:c r="AF881" s="10" t="str">
        <x:v>tree</x:v>
      </x:c>
      <x:c r="AG881" s="10" t="str">
        <x:v>rent</x:v>
      </x:c>
      <x:c r="AH881" s="10" t="str">
        <x:v>Other mortgage-related</x:v>
      </x:c>
      <x:c r="AI881" s="13" t="n">
        <x:v>125</x:v>
      </x:c>
      <x:c r="AJ881" s="10" t="str">
        <x:f>IF(F881&gt;0,"Active","No est. sales")</x:f>
        <x:v>No est. sales</x:v>
      </x:c>
    </x:row>
    <x:row r="882">
      <x:c r="A882" s="10" t="str">
        <x:v>Credit Card Payoff Planner | Debt Avalanche Snowball Tracker (Excel/Google Sheets)</x:v>
      </x:c>
      <x:c r="B882" s="10" t="str">
        <x:v>https://www.etsy.com/listing/4511144554/credit-card-payoff-planner-debt</x:v>
      </x:c>
      <x:c r="C882" s="10" t="str">
        <x:v>CarolinaFallsMarket</x:v>
      </x:c>
      <x:c r="D882" s="10" t="str">
        <x:v>https://www.etsy.com/shop/CarolinaFallsMarket</x:v>
      </x:c>
      <x:c r="E882" s="11" t="n">
        <x:v>5.99</x:v>
      </x:c>
      <x:c r="F882" s="10" t="n">
        <x:v>0</x:v>
      </x:c>
      <x:c r="G882" s="12" t="n">
        <x:v>0</x:v>
      </x:c>
      <x:c r="H882" s="13" t="n">
        <x:v>0</x:v>
      </x:c>
      <x:c r="I882" s="10" t="n">
        <x:v>0</x:v>
      </x:c>
      <x:c r="J882" s="10" t="n">
        <x:v>0</x:v>
      </x:c>
      <x:c r="K882" s="10" t="str">
        <x:v>2 Mo.</x:v>
      </x:c>
      <x:c r="L882" s="10" t="n">
        <x:v>0</x:v>
      </x:c>
      <x:c r="M882" s="10" t="n">
        <x:v>0</x:v>
      </x:c>
      <x:c r="N882" s="10" t="n">
        <x:v>13</x:v>
      </x:c>
      <x:c r="O882" s="10" t="str"/>
      <x:c r="P882" s="10" t="n">
        <x:v>11</x:v>
      </x:c>
      <x:c r="Q882" s="10" t="n">
        <x:v>0</x:v>
      </x:c>
      <x:c r="R882" s="13" t="n">
        <x:v>0</x:v>
      </x:c>
      <x:c r="S882" s="10" t="n">
        <x:v>12</x:v>
      </x:c>
      <x:c r="T882" s="10" t="str">
        <x:v>financial planner,debt payoff tracker,debt snowball,debt payoff chart,debt payment tracker,credit card payoff,debt template,debt avalanche,student loan debt,google sheets budget,mortgage payoff,credit utilization,credit score debt</x:v>
      </x:c>
      <x:c r="U882" s="10" t="str">
        <x:v>financial planner</x:v>
      </x:c>
      <x:c r="V882" s="10" t="str">
        <x:v>debt payoff tracker</x:v>
      </x:c>
      <x:c r="W882" s="10" t="str">
        <x:v>debt snowball</x:v>
      </x:c>
      <x:c r="X882" s="10" t="str">
        <x:v>debt payoff chart</x:v>
      </x:c>
      <x:c r="Y882" s="10" t="str">
        <x:v>debt payment tracker</x:v>
      </x:c>
      <x:c r="Z882" s="10" t="str">
        <x:v>credit card payoff</x:v>
      </x:c>
      <x:c r="AA882" s="10" t="str">
        <x:v>debt template</x:v>
      </x:c>
      <x:c r="AB882" s="10" t="str">
        <x:v>debt avalanche</x:v>
      </x:c>
      <x:c r="AC882" s="10" t="str">
        <x:v>student loan debt</x:v>
      </x:c>
      <x:c r="AD882" s="10" t="str">
        <x:v>google sheets budget</x:v>
      </x:c>
      <x:c r="AE882" s="10" t="str">
        <x:v>mortgage payoff</x:v>
      </x:c>
      <x:c r="AF882" s="10" t="str">
        <x:v>credit utilization</x:v>
      </x:c>
      <x:c r="AG882" s="10" t="str">
        <x:v>credit score debt</x:v>
      </x:c>
      <x:c r="AH882" s="10" t="str">
        <x:v>General debt payoff</x:v>
      </x:c>
      <x:c r="AI882" s="13" t="n">
        <x:v>2</x:v>
      </x:c>
      <x:c r="AJ882" s="10" t="str">
        <x:f>IF(F882&gt;0,"Active","No est. sales")</x:f>
        <x:v>No est. sales</x:v>
      </x:c>
    </x:row>
    <x:row r="883">
      <x:c r="A883" s="10" t="str">
        <x:v>Finance Loan Amortization Schedule Template Excel &amp; Google Sheets: Track Repayments and Interest</x:v>
      </x:c>
      <x:c r="B883" s="10" t="str">
        <x:v>https://www.etsy.com/listing/4373484310/finance-loan-amortization-schedule</x:v>
      </x:c>
      <x:c r="C883" s="10" t="str">
        <x:v>ExcelSheetSavvy</x:v>
      </x:c>
      <x:c r="D883" s="10" t="str">
        <x:v>https://www.etsy.com/shop/ExcelSheetSavvy</x:v>
      </x:c>
      <x:c r="E883" s="11" t="n">
        <x:v>6.6</x:v>
      </x:c>
      <x:c r="F883" s="10" t="n">
        <x:v>0</x:v>
      </x:c>
      <x:c r="G883" s="12" t="n">
        <x:v>0</x:v>
      </x:c>
      <x:c r="H883" s="13" t="n">
        <x:v>0</x:v>
      </x:c>
      <x:c r="I883" s="10" t="n">
        <x:v>0</x:v>
      </x:c>
      <x:c r="J883" s="10" t="n">
        <x:v>0</x:v>
      </x:c>
      <x:c r="K883" s="10" t="str">
        <x:v>10 Mo.</x:v>
      </x:c>
      <x:c r="L883" s="10" t="n">
        <x:v>2</x:v>
      </x:c>
      <x:c r="M883" s="10" t="n">
        <x:v>0</x:v>
      </x:c>
      <x:c r="N883" s="10" t="n">
        <x:v>29</x:v>
      </x:c>
      <x:c r="O883" s="10" t="str">
        <x:v>Paper &amp; Party Supplies</x:v>
      </x:c>
      <x:c r="P883" s="10" t="n">
        <x:v>14</x:v>
      </x:c>
      <x:c r="Q883" s="10" t="n">
        <x:v>0</x:v>
      </x:c>
      <x:c r="R883" s="13" t="n">
        <x:v>0</x:v>
      </x:c>
      <x:c r="S883" s="10" t="n">
        <x:v>1978</x:v>
      </x:c>
      <x:c r="T883" s="10" t="str">
        <x:v>loan amortization,excel template,google sheets,loan schedule,repayment tracker,interest calculator,finance template,debt tracker,loan management,mortgage tracker,payment schedule,accounting template,finance planner</x:v>
      </x:c>
      <x:c r="U883" s="10" t="str">
        <x:v>loan amortization</x:v>
      </x:c>
      <x:c r="V883" s="10" t="str">
        <x:v>excel template</x:v>
      </x:c>
      <x:c r="W883" s="10" t="str">
        <x:v>google sheets</x:v>
      </x:c>
      <x:c r="X883" s="10" t="str">
        <x:v>loan schedule</x:v>
      </x:c>
      <x:c r="Y883" s="10" t="str">
        <x:v>repayment tracker</x:v>
      </x:c>
      <x:c r="Z883" s="10" t="str">
        <x:v>interest calculator</x:v>
      </x:c>
      <x:c r="AA883" s="10" t="str">
        <x:v>finance template</x:v>
      </x:c>
      <x:c r="AB883" s="10" t="str">
        <x:v>debt tracker</x:v>
      </x:c>
      <x:c r="AC883" s="10" t="str">
        <x:v>loan management</x:v>
      </x:c>
      <x:c r="AD883" s="10" t="str">
        <x:v>mortgage tracker</x:v>
      </x:c>
      <x:c r="AE883" s="10" t="str">
        <x:v>payment schedule</x:v>
      </x:c>
      <x:c r="AF883" s="10" t="str">
        <x:v>accounting template</x:v>
      </x:c>
      <x:c r="AG883" s="10" t="str">
        <x:v>finance planner</x:v>
      </x:c>
      <x:c r="AH883" s="10" t="str">
        <x:v>General loan calculator</x:v>
      </x:c>
      <x:c r="AI883" s="13" t="n">
        <x:v>10</x:v>
      </x:c>
      <x:c r="AJ883" s="10" t="str">
        <x:f>IF(F883&gt;0,"Active","No est. sales")</x:f>
        <x:v>No est. sales</x:v>
      </x:c>
    </x:row>
    <x:row r="884">
      <x:c r="A884" s="10" t="str">
        <x:v>DEBT PAYOFF TRACKER, Debt Snowball, Debt Tracker Printable, Dave Ramsey, Debt Payments, Finance Planner, Budget Planner, Debt Free Progress,</x:v>
      </x:c>
      <x:c r="B884" s="10" t="str">
        <x:v>https://www.etsy.com/listing/1130496403/debt-payoff-tracker-debt-snowball-debt</x:v>
      </x:c>
      <x:c r="C884" s="10" t="str">
        <x:v>CreativeJamCo</x:v>
      </x:c>
      <x:c r="D884" s="10" t="str">
        <x:v>https://www.etsy.com/shop/CreativeJamCo</x:v>
      </x:c>
      <x:c r="E884" s="11" t="n">
        <x:v>2.65</x:v>
      </x:c>
      <x:c r="F884" s="10" t="n">
        <x:v>0</x:v>
      </x:c>
      <x:c r="G884" s="12" t="n">
        <x:v>0</x:v>
      </x:c>
      <x:c r="H884" s="13" t="n">
        <x:v>0</x:v>
      </x:c>
      <x:c r="I884" s="10" t="n">
        <x:v>868</x:v>
      </x:c>
      <x:c r="J884" s="10" t="n">
        <x:v>87</x:v>
      </x:c>
      <x:c r="K884" s="10" t="str">
        <x:v>56 Mo.</x:v>
      </x:c>
      <x:c r="L884" s="10" t="n">
        <x:v>506</x:v>
      </x:c>
      <x:c r="M884" s="10" t="n">
        <x:v>2</x:v>
      </x:c>
      <x:c r="N884" s="10" t="n">
        <x:v>17576</x:v>
      </x:c>
      <x:c r="O884" s="10" t="str">
        <x:v>Paper &amp; Party Supplies</x:v>
      </x:c>
      <x:c r="P884" s="10" t="n">
        <x:v>77</x:v>
      </x:c>
      <x:c r="Q884" s="10" t="n">
        <x:v>78</x:v>
      </x:c>
      <x:c r="R884" s="13" t="n">
        <x:v>4.94</x:v>
      </x:c>
      <x:c r="S884" s="10" t="n">
        <x:v>391577</x:v>
      </x:c>
      <x:c r="T884" s="10" t="str">
        <x:v>printable,debt tracker,debt snowball,debt payoff tracker,debt payment tracker,dave ramsey,credit card tracker,mortgage tracker,financial tracker,budget planner,finance planner,spending tracker,budget tracker</x:v>
      </x:c>
      <x:c r="U884" s="10" t="str">
        <x:v>printable</x:v>
      </x:c>
      <x:c r="V884" s="10" t="str">
        <x:v>debt tracker</x:v>
      </x:c>
      <x:c r="W884" s="10" t="str">
        <x:v>debt snowball</x:v>
      </x:c>
      <x:c r="X884" s="10" t="str">
        <x:v>debt payoff tracker</x:v>
      </x:c>
      <x:c r="Y884" s="10" t="str">
        <x:v>debt payment tracker</x:v>
      </x:c>
      <x:c r="Z884" s="10" t="str">
        <x:v>dave ramsey</x:v>
      </x:c>
      <x:c r="AA884" s="10" t="str">
        <x:v>credit card tracker</x:v>
      </x:c>
      <x:c r="AB884" s="10" t="str">
        <x:v>mortgage tracker</x:v>
      </x:c>
      <x:c r="AC884" s="10" t="str">
        <x:v>financial tracker</x:v>
      </x:c>
      <x:c r="AD884" s="10" t="str">
        <x:v>budget planner</x:v>
      </x:c>
      <x:c r="AE884" s="10" t="str">
        <x:v>finance planner</x:v>
      </x:c>
      <x:c r="AF884" s="10" t="str">
        <x:v>spending tracker</x:v>
      </x:c>
      <x:c r="AG884" s="10" t="str">
        <x:v>budget tracker</x:v>
      </x:c>
      <x:c r="AH884" s="10" t="str">
        <x:v>General debt payoff</x:v>
      </x:c>
      <x:c r="AI884" s="13" t="n">
        <x:v>56</x:v>
      </x:c>
      <x:c r="AJ884" s="10" t="str">
        <x:f>IF(F884&gt;0,"Active","No est. sales")</x:f>
        <x:v>No est. sales</x:v>
      </x:c>
    </x:row>
    <x:row r="885">
      <x:c r="A885" s="10" t="str">
        <x:v>Mortgage Comparison Spreadsheet: Loan Calculator, Payment Tracker (Excel, Google Sheets)</x:v>
      </x:c>
      <x:c r="B885" s="10" t="str">
        <x:v>https://www.etsy.com/listing/4484181684/mortgage-comparison-spreadsheet-loan</x:v>
      </x:c>
      <x:c r="C885" s="10" t="str">
        <x:v>ProductivityForgeHQ</x:v>
      </x:c>
      <x:c r="D885" s="10" t="str">
        <x:v>https://www.etsy.com/shop/ProductivityForgeHQ</x:v>
      </x:c>
      <x:c r="E885" s="11" t="n">
        <x:v>5.68</x:v>
      </x:c>
      <x:c r="F885" s="10" t="n">
        <x:v>0</x:v>
      </x:c>
      <x:c r="G885" s="12" t="n">
        <x:v>0</x:v>
      </x:c>
      <x:c r="H885" s="13" t="n">
        <x:v>0</x:v>
      </x:c>
      <x:c r="I885" s="10" t="n">
        <x:v>0</x:v>
      </x:c>
      <x:c r="J885" s="10" t="n">
        <x:v>0</x:v>
      </x:c>
      <x:c r="K885" s="10" t="str">
        <x:v>3 Mo.</x:v>
      </x:c>
      <x:c r="L885" s="10" t="n">
        <x:v>0</x:v>
      </x:c>
      <x:c r="M885" s="10" t="n">
        <x:v>0</x:v>
      </x:c>
      <x:c r="N885" s="10" t="n">
        <x:v>12</x:v>
      </x:c>
      <x:c r="O885" s="10" t="str">
        <x:v>Paper &amp; Party Supplies</x:v>
      </x:c>
      <x:c r="P885" s="10" t="n">
        <x:v>4</x:v>
      </x:c>
      <x:c r="Q885" s="10" t="n">
        <x:v>0</x:v>
      </x:c>
      <x:c r="R885" s="13" t="n">
        <x:v>0</x:v>
      </x:c>
      <x:c r="S885" s="10" t="n">
        <x:v>176</x:v>
      </x:c>
      <x:c r="T885" s="10" t="str">
        <x:v>mortgage comparison,loan calculator,mortgage tracker,payment tracker,rate comparison,mortgage template,home loan planner,mortgage spreadsheet,refinance tracker,closing cost tracker,loan comparison,home buyer tool,mortgage analyzer</x:v>
      </x:c>
      <x:c r="U885" s="10" t="str">
        <x:v>mortgage comparison</x:v>
      </x:c>
      <x:c r="V885" s="10" t="str">
        <x:v>loan calculator</x:v>
      </x:c>
      <x:c r="W885" s="10" t="str">
        <x:v>mortgage tracker</x:v>
      </x:c>
      <x:c r="X885" s="10" t="str">
        <x:v>payment tracker</x:v>
      </x:c>
      <x:c r="Y885" s="10" t="str">
        <x:v>rate comparison</x:v>
      </x:c>
      <x:c r="Z885" s="10" t="str">
        <x:v>mortgage template</x:v>
      </x:c>
      <x:c r="AA885" s="10" t="str">
        <x:v>home loan planner</x:v>
      </x:c>
      <x:c r="AB885" s="10" t="str">
        <x:v>mortgage spreadsheet</x:v>
      </x:c>
      <x:c r="AC885" s="10" t="str">
        <x:v>refinance tracker</x:v>
      </x:c>
      <x:c r="AD885" s="10" t="str">
        <x:v>closing cost tracker</x:v>
      </x:c>
      <x:c r="AE885" s="10" t="str">
        <x:v>loan comparison</x:v>
      </x:c>
      <x:c r="AF885" s="10" t="str">
        <x:v>home buyer tool</x:v>
      </x:c>
      <x:c r="AG885" s="10" t="str">
        <x:v>mortgage analyzer</x:v>
      </x:c>
      <x:c r="AH885" s="10" t="str">
        <x:v>Other mortgage-related</x:v>
      </x:c>
      <x:c r="AI885" s="13" t="n">
        <x:v>3</x:v>
      </x:c>
      <x:c r="AJ885" s="10" t="str">
        <x:f>IF(F885&gt;0,"Active","No est. sales")</x:f>
        <x:v>No est. sales</x:v>
      </x:c>
    </x:row>
    <x:row r="886">
      <x:c r="A886" s="10" t="str">
        <x:v>Loan Amortization Schedule Spreadsheet | Mortgage Payment Calculator &amp; Debt Repayment Tracker | Monthly Interest   Breakdown for Excel</x:v>
      </x:c>
      <x:c r="B886" s="10" t="str">
        <x:v>https://www.etsy.com/listing/4465644326/loan-amortization-schedule-spreadsheet</x:v>
      </x:c>
      <x:c r="C886" s="10" t="str">
        <x:v>PrimeSheetMall</x:v>
      </x:c>
      <x:c r="D886" s="10" t="str">
        <x:v>https://www.etsy.com/shop/PrimeSheetMall</x:v>
      </x:c>
      <x:c r="E886" s="11" t="n">
        <x:v>5.33</x:v>
      </x:c>
      <x:c r="F886" s="10" t="n">
        <x:v>0</x:v>
      </x:c>
      <x:c r="G886" s="12" t="n">
        <x:v>0</x:v>
      </x:c>
      <x:c r="H886" s="13" t="n">
        <x:v>0</x:v>
      </x:c>
      <x:c r="I886" s="10" t="n">
        <x:v>0</x:v>
      </x:c>
      <x:c r="J886" s="10" t="n">
        <x:v>0</x:v>
      </x:c>
      <x:c r="K886" s="10" t="str">
        <x:v>4 Mo.</x:v>
      </x:c>
      <x:c r="L886" s="10" t="n">
        <x:v>2</x:v>
      </x:c>
      <x:c r="M886" s="10" t="n">
        <x:v>0</x:v>
      </x:c>
      <x:c r="N886" s="10" t="n">
        <x:v>66</x:v>
      </x:c>
      <x:c r="O886" s="10" t="str"/>
      <x:c r="P886" s="10" t="n">
        <x:v>9</x:v>
      </x:c>
      <x:c r="Q886" s="10" t="n">
        <x:v>0</x:v>
      </x:c>
      <x:c r="R886" s="13" t="n">
        <x:v>0</x:v>
      </x:c>
      <x:c r="S886" s="10" t="n">
        <x:v>1066</x:v>
      </x:c>
      <x:c r="T886" s="10" t="str">
        <x:v>loan amortization,mortgage calculator,debt repayment sheet,loan tracker excel,interest breakdown,personal finance,debt payoff planner,google sheets loan,amortization table,financial planner,extra payment track,budget finance sheet,mortgage spreadsheet</x:v>
      </x:c>
      <x:c r="U886" s="10" t="str">
        <x:v>loan amortization</x:v>
      </x:c>
      <x:c r="V886" s="10" t="str">
        <x:v>mortgage calculator</x:v>
      </x:c>
      <x:c r="W886" s="10" t="str">
        <x:v>debt repayment sheet</x:v>
      </x:c>
      <x:c r="X886" s="10" t="str">
        <x:v>loan tracker excel</x:v>
      </x:c>
      <x:c r="Y886" s="10" t="str">
        <x:v>interest breakdown</x:v>
      </x:c>
      <x:c r="Z886" s="10" t="str">
        <x:v>personal finance</x:v>
      </x:c>
      <x:c r="AA886" s="10" t="str">
        <x:v>debt payoff planner</x:v>
      </x:c>
      <x:c r="AB886" s="10" t="str">
        <x:v>google sheets loan</x:v>
      </x:c>
      <x:c r="AC886" s="10" t="str">
        <x:v>amortization table</x:v>
      </x:c>
      <x:c r="AD886" s="10" t="str">
        <x:v>financial planner</x:v>
      </x:c>
      <x:c r="AE886" s="10" t="str">
        <x:v>extra payment track</x:v>
      </x:c>
      <x:c r="AF886" s="10" t="str">
        <x:v>budget finance sheet</x:v>
      </x:c>
      <x:c r="AG886" s="10" t="str">
        <x:v>mortgage spreadsheet</x:v>
      </x:c>
      <x:c r="AH886" s="10" t="str">
        <x:v>Mortgage payoff / calculator</x:v>
      </x:c>
      <x:c r="AI886" s="13" t="n">
        <x:v>4</x:v>
      </x:c>
      <x:c r="AJ886" s="10" t="str">
        <x:f>IF(F886&gt;0,"Active","No est. sales")</x:f>
        <x:v>No est. sales</x:v>
      </x:c>
    </x:row>
    <x:row r="887">
      <x:c r="A887" s="10" t="str">
        <x:v>Home Mortgage Calculator Spreadsheet | Loan Amortization Schedule Debt Payoff Tracker | Interest Payment Planner | Excel Template</x:v>
      </x:c>
      <x:c r="B887" s="10" t="str">
        <x:v>https://www.etsy.com/listing/4470749808/home-mortgage-calculator-spreadsheet</x:v>
      </x:c>
      <x:c r="C887" s="10" t="str">
        <x:v>PrimeSheetMall</x:v>
      </x:c>
      <x:c r="D887" s="10" t="str">
        <x:v>https://www.etsy.com/shop/PrimeSheetMall</x:v>
      </x:c>
      <x:c r="E887" s="11" t="n">
        <x:v>4</x:v>
      </x:c>
      <x:c r="F887" s="10" t="n">
        <x:v>0</x:v>
      </x:c>
      <x:c r="G887" s="12" t="n">
        <x:v>0</x:v>
      </x:c>
      <x:c r="H887" s="13" t="n">
        <x:v>0</x:v>
      </x:c>
      <x:c r="I887" s="10" t="n">
        <x:v>0</x:v>
      </x:c>
      <x:c r="J887" s="10" t="n">
        <x:v>0</x:v>
      </x:c>
      <x:c r="K887" s="10" t="str">
        <x:v>4 Mo.</x:v>
      </x:c>
      <x:c r="L887" s="10" t="n">
        <x:v>2</x:v>
      </x:c>
      <x:c r="M887" s="10" t="n">
        <x:v>0</x:v>
      </x:c>
      <x:c r="N887" s="10" t="n">
        <x:v>33</x:v>
      </x:c>
      <x:c r="O887" s="10" t="str"/>
      <x:c r="P887" s="10" t="n">
        <x:v>9</x:v>
      </x:c>
      <x:c r="Q887" s="10" t="n">
        <x:v>0</x:v>
      </x:c>
      <x:c r="R887" s="13" t="n">
        <x:v>0</x:v>
      </x:c>
      <x:c r="S887" s="10" t="n">
        <x:v>1066</x:v>
      </x:c>
      <x:c r="T887" s="10" t="str">
        <x:v>mortgage calculator,loan amortization,mortgage payoff,home loan calculator,debt payoff sheet,loan payment tracker,mortgage planning,interest payment,mortgage tool,mortgage templates,loan planner,home loan notion,notion templates</x:v>
      </x:c>
      <x:c r="U887" s="10" t="str">
        <x:v>mortgage calculator</x:v>
      </x:c>
      <x:c r="V887" s="10" t="str">
        <x:v>loan amortization</x:v>
      </x:c>
      <x:c r="W887" s="10" t="str">
        <x:v>mortgage payoff</x:v>
      </x:c>
      <x:c r="X887" s="10" t="str">
        <x:v>home loan calculator</x:v>
      </x:c>
      <x:c r="Y887" s="10" t="str">
        <x:v>debt payoff sheet</x:v>
      </x:c>
      <x:c r="Z887" s="10" t="str">
        <x:v>loan payment tracker</x:v>
      </x:c>
      <x:c r="AA887" s="10" t="str">
        <x:v>mortgage planning</x:v>
      </x:c>
      <x:c r="AB887" s="10" t="str">
        <x:v>interest payment</x:v>
      </x:c>
      <x:c r="AC887" s="10" t="str">
        <x:v>mortgage tool</x:v>
      </x:c>
      <x:c r="AD887" s="10" t="str">
        <x:v>mortgage templates</x:v>
      </x:c>
      <x:c r="AE887" s="10" t="str">
        <x:v>loan planner</x:v>
      </x:c>
      <x:c r="AF887" s="10" t="str">
        <x:v>home loan notion</x:v>
      </x:c>
      <x:c r="AG887" s="10" t="str">
        <x:v>notion templates</x:v>
      </x:c>
      <x:c r="AH887" s="10" t="str">
        <x:v>Mortgage payoff / calculator</x:v>
      </x:c>
      <x:c r="AI887" s="13" t="n">
        <x:v>4</x:v>
      </x:c>
      <x:c r="AJ887" s="10" t="str">
        <x:f>IF(F887&gt;0,"Active","No est. sales")</x:f>
        <x:v>No est. sales</x:v>
      </x:c>
    </x:row>
    <x:row r="888">
      <x:c r="A888" s="10" t="str">
        <x:v>The Ultimate Homebuyers Handbook Canva Template | Real Estate PLR Guide (PDF)</x:v>
      </x:c>
      <x:c r="B888" s="10" t="str">
        <x:v>https://www.etsy.com/listing/4394334238/the-ultimate-homebuyers-handbook-canva</x:v>
      </x:c>
      <x:c r="C888" s="10" t="str">
        <x:v>ToolkitByKimberly</x:v>
      </x:c>
      <x:c r="D888" s="10" t="str">
        <x:v>https://www.etsy.com/shop/ToolkitByKimberly</x:v>
      </x:c>
      <x:c r="E888" s="11" t="n">
        <x:v>15</x:v>
      </x:c>
      <x:c r="F888" s="10" t="n">
        <x:v>0</x:v>
      </x:c>
      <x:c r="G888" s="12" t="n">
        <x:v>0</x:v>
      </x:c>
      <x:c r="H888" s="13" t="n">
        <x:v>0</x:v>
      </x:c>
      <x:c r="I888" s="10" t="n">
        <x:v>0</x:v>
      </x:c>
      <x:c r="J888" s="10" t="n">
        <x:v>0</x:v>
      </x:c>
      <x:c r="K888" s="10" t="str">
        <x:v>9 Mo.</x:v>
      </x:c>
      <x:c r="L888" s="10" t="n">
        <x:v>1</x:v>
      </x:c>
      <x:c r="M888" s="10" t="n">
        <x:v>0</x:v>
      </x:c>
      <x:c r="N888" s="10" t="n">
        <x:v>52</x:v>
      </x:c>
      <x:c r="O888" s="10" t="str">
        <x:v>Art &amp; Collectibles</x:v>
      </x:c>
      <x:c r="P888" s="10" t="n">
        <x:v>9</x:v>
      </x:c>
      <x:c r="Q888" s="10" t="n">
        <x:v>0</x:v>
      </x:c>
      <x:c r="R888" s="13" t="n">
        <x:v>0</x:v>
      </x:c>
      <x:c r="S888" s="10" t="n">
        <x:v>40</x:v>
      </x:c>
      <x:c r="T888" s="10" t="str">
        <x:v>homebuyers handbook,real estate plr,editable template,canva template,first time buyer,mortgage planner,real estate template,home checklist,realtor client gift,mortgage guide,property planner,home buying planner,commercial template</x:v>
      </x:c>
      <x:c r="U888" s="10" t="str">
        <x:v>homebuyers handbook</x:v>
      </x:c>
      <x:c r="V888" s="10" t="str">
        <x:v>real estate plr</x:v>
      </x:c>
      <x:c r="W888" s="10" t="str">
        <x:v>editable template</x:v>
      </x:c>
      <x:c r="X888" s="10" t="str">
        <x:v>canva template</x:v>
      </x:c>
      <x:c r="Y888" s="10" t="str">
        <x:v>first time buyer</x:v>
      </x:c>
      <x:c r="Z888" s="10" t="str">
        <x:v>mortgage planner</x:v>
      </x:c>
      <x:c r="AA888" s="10" t="str">
        <x:v>real estate template</x:v>
      </x:c>
      <x:c r="AB888" s="10" t="str">
        <x:v>home checklist</x:v>
      </x:c>
      <x:c r="AC888" s="10" t="str">
        <x:v>realtor client gift</x:v>
      </x:c>
      <x:c r="AD888" s="10" t="str">
        <x:v>mortgage guide</x:v>
      </x:c>
      <x:c r="AE888" s="10" t="str">
        <x:v>property planner</x:v>
      </x:c>
      <x:c r="AF888" s="10" t="str">
        <x:v>home buying planner</x:v>
      </x:c>
      <x:c r="AG888" s="10" t="str">
        <x:v>commercial template</x:v>
      </x:c>
      <x:c r="AH888" s="10" t="str">
        <x:v>Home buying planner</x:v>
      </x:c>
      <x:c r="AI888" s="13" t="n">
        <x:v>9</x:v>
      </x:c>
      <x:c r="AJ888" s="10" t="str">
        <x:f>IF(F888&gt;0,"Active","No est. sales")</x:f>
        <x:v>No est. sales</x:v>
      </x:c>
    </x:row>
    <x:row r="889">
      <x:c r="A889" s="10" t="str">
        <x:v>Debt Payoff Planner Spreadsheet Excel Debt Snowball &amp; Avalanche Payoff Template Google Sheets Debt Dashboard Student Loan Payoff Tracker</x:v>
      </x:c>
      <x:c r="B889" s="10" t="str">
        <x:v>https://www.etsy.com/listing/1830232081/debt-payoff-planner-spreadsheet-excel</x:v>
      </x:c>
      <x:c r="C889" s="10" t="str">
        <x:v>TheSheetStudio</x:v>
      </x:c>
      <x:c r="D889" s="10" t="str">
        <x:v>https://www.etsy.com/shop/TheSheetStudio</x:v>
      </x:c>
      <x:c r="E889" s="11" t="n">
        <x:v>9.7</x:v>
      </x:c>
      <x:c r="F889" s="10" t="n">
        <x:v>0</x:v>
      </x:c>
      <x:c r="G889" s="12" t="n">
        <x:v>0</x:v>
      </x:c>
      <x:c r="H889" s="13" t="n">
        <x:v>0</x:v>
      </x:c>
      <x:c r="I889" s="10" t="n">
        <x:v>26</x:v>
      </x:c>
      <x:c r="J889" s="10" t="n">
        <x:v>2</x:v>
      </x:c>
      <x:c r="K889" s="10" t="str">
        <x:v>20 Mo.</x:v>
      </x:c>
      <x:c r="L889" s="10" t="n">
        <x:v>10</x:v>
      </x:c>
      <x:c r="M889" s="10" t="n">
        <x:v>0</x:v>
      </x:c>
      <x:c r="N889" s="10" t="n">
        <x:v>300</x:v>
      </x:c>
      <x:c r="O889" s="10" t="str"/>
      <x:c r="P889" s="10" t="n">
        <x:v>33</x:v>
      </x:c>
      <x:c r="Q889" s="10" t="n">
        <x:v>0</x:v>
      </x:c>
      <x:c r="R889" s="13" t="n">
        <x:v>8.67</x:v>
      </x:c>
      <x:c r="S889" s="10" t="n">
        <x:v>7034</x:v>
      </x:c>
      <x:c r="T889" s="10" t="str">
        <x:v>debt payoff planner,debt tracker,debt free planner,loan payoff tracker,debt planner excel,google sheets,finance planner,debt snowball,debt avalanche,debt spreadsheet,mortgage payoff,dave ramsay,debt dashboard</x:v>
      </x:c>
      <x:c r="U889" s="10" t="str">
        <x:v>debt payoff planner</x:v>
      </x:c>
      <x:c r="V889" s="10" t="str">
        <x:v>debt tracker</x:v>
      </x:c>
      <x:c r="W889" s="10" t="str">
        <x:v>debt free planner</x:v>
      </x:c>
      <x:c r="X889" s="10" t="str">
        <x:v>loan payoff tracker</x:v>
      </x:c>
      <x:c r="Y889" s="10" t="str">
        <x:v>debt planner excel</x:v>
      </x:c>
      <x:c r="Z889" s="10" t="str">
        <x:v>google sheets</x:v>
      </x:c>
      <x:c r="AA889" s="10" t="str">
        <x:v>finance planner</x:v>
      </x:c>
      <x:c r="AB889" s="10" t="str">
        <x:v>debt snowball</x:v>
      </x:c>
      <x:c r="AC889" s="10" t="str">
        <x:v>debt avalanche</x:v>
      </x:c>
      <x:c r="AD889" s="10" t="str">
        <x:v>debt spreadsheet</x:v>
      </x:c>
      <x:c r="AE889" s="10" t="str">
        <x:v>mortgage payoff</x:v>
      </x:c>
      <x:c r="AF889" s="10" t="str">
        <x:v>dave ramsay</x:v>
      </x:c>
      <x:c r="AG889" s="10" t="str">
        <x:v>debt dashboard</x:v>
      </x:c>
      <x:c r="AH889" s="10" t="str">
        <x:v>General debt payoff</x:v>
      </x:c>
      <x:c r="AI889" s="13" t="n">
        <x:v>20</x:v>
      </x:c>
      <x:c r="AJ889" s="10" t="str">
        <x:f>IF(F889&gt;0,"Active","No est. sales")</x:f>
        <x:v>No est. sales</x:v>
      </x:c>
    </x:row>
    <x:row r="890">
      <x:c r="A890" s="10" t="str">
        <x:v>Debt Payoff Dashboard: Excel &amp; Google Sheets (Digital Download)</x:v>
      </x:c>
      <x:c r="B890" s="10" t="str">
        <x:v>https://www.etsy.com/listing/1833694031/debt-payoff-tracker-spreadsheet-excel</x:v>
      </x:c>
      <x:c r="C890" s="10" t="str">
        <x:v>TheSheetStudio</x:v>
      </x:c>
      <x:c r="D890" s="10" t="str">
        <x:v>https://www.etsy.com/shop/TheSheetStudio</x:v>
      </x:c>
      <x:c r="E890" s="11" t="n">
        <x:v>9.7</x:v>
      </x:c>
      <x:c r="F890" s="10" t="n">
        <x:v>0</x:v>
      </x:c>
      <x:c r="G890" s="12" t="n">
        <x:v>0</x:v>
      </x:c>
      <x:c r="H890" s="13" t="n">
        <x:v>0</x:v>
      </x:c>
      <x:c r="I890" s="10" t="n">
        <x:v>13</x:v>
      </x:c>
      <x:c r="J890" s="10" t="n">
        <x:v>1</x:v>
      </x:c>
      <x:c r="K890" s="10" t="str">
        <x:v>20 Mo.</x:v>
      </x:c>
      <x:c r="L890" s="10" t="n">
        <x:v>13</x:v>
      </x:c>
      <x:c r="M890" s="10" t="n">
        <x:v>0</x:v>
      </x:c>
      <x:c r="N890" s="10" t="n">
        <x:v>530</x:v>
      </x:c>
      <x:c r="O890" s="10" t="str"/>
      <x:c r="P890" s="10" t="n">
        <x:v>33</x:v>
      </x:c>
      <x:c r="Q890" s="10" t="n">
        <x:v>0</x:v>
      </x:c>
      <x:c r="R890" s="13" t="n">
        <x:v>2.45</x:v>
      </x:c>
      <x:c r="S890" s="10" t="n">
        <x:v>7034</x:v>
      </x:c>
      <x:c r="T890" s="10" t="str">
        <x:v>debt payoff planner,debt tracker,loan payoff tracker,debt planner excel,google sheets,debt snowball,debt avalanche,debt spreadsheet,mortgage payoff,debt free christmas,debt template,debt dashboard,finance tracker</x:v>
      </x:c>
      <x:c r="U890" s="10" t="str">
        <x:v>debt payoff planner</x:v>
      </x:c>
      <x:c r="V890" s="10" t="str">
        <x:v>debt tracker</x:v>
      </x:c>
      <x:c r="W890" s="10" t="str">
        <x:v>loan payoff tracker</x:v>
      </x:c>
      <x:c r="X890" s="10" t="str">
        <x:v>debt planner excel</x:v>
      </x:c>
      <x:c r="Y890" s="10" t="str">
        <x:v>google sheets</x:v>
      </x:c>
      <x:c r="Z890" s="10" t="str">
        <x:v>debt snowball</x:v>
      </x:c>
      <x:c r="AA890" s="10" t="str">
        <x:v>debt avalanche</x:v>
      </x:c>
      <x:c r="AB890" s="10" t="str">
        <x:v>debt spreadsheet</x:v>
      </x:c>
      <x:c r="AC890" s="10" t="str">
        <x:v>mortgage payoff</x:v>
      </x:c>
      <x:c r="AD890" s="10" t="str">
        <x:v>debt free christmas</x:v>
      </x:c>
      <x:c r="AE890" s="10" t="str">
        <x:v>debt template</x:v>
      </x:c>
      <x:c r="AF890" s="10" t="str">
        <x:v>debt dashboard</x:v>
      </x:c>
      <x:c r="AG890" s="10" t="str">
        <x:v>finance tracker</x:v>
      </x:c>
      <x:c r="AH890" s="10" t="str">
        <x:v>General debt payoff</x:v>
      </x:c>
      <x:c r="AI890" s="13" t="n">
        <x:v>20</x:v>
      </x:c>
      <x:c r="AJ890" s="10" t="str">
        <x:f>IF(F890&gt;0,"Active","No est. sales")</x:f>
        <x:v>No est. sales</x:v>
      </x:c>
    </x:row>
    <x:row r="891">
      <x:c r="A891" s="10" t="str">
        <x:v>New Homeowner Expense Tracker Google Sheets Closing Cost Calculator Automated Excel Spreadsheet Home Budget Planner Digital Download</x:v>
      </x:c>
      <x:c r="B891" s="10" t="str">
        <x:v>https://www.etsy.com/listing/4536362006/new-homeowner-expense-tracker-google</x:v>
      </x:c>
      <x:c r="C891" s="10" t="str">
        <x:v>SheetSavvyTemplates</x:v>
      </x:c>
      <x:c r="D891" s="10" t="str">
        <x:v>https://www.etsy.com/shop/SheetSavvyTemplates</x:v>
      </x:c>
      <x:c r="E891" s="11" t="n">
        <x:v>24</x:v>
      </x:c>
      <x:c r="F891" s="10" t="n">
        <x:v>0</x:v>
      </x:c>
      <x:c r="G891" s="12" t="n">
        <x:v>0</x:v>
      </x:c>
      <x:c r="H891" s="13" t="n">
        <x:v>0</x:v>
      </x:c>
      <x:c r="I891" s="10" t="n">
        <x:v>0</x:v>
      </x:c>
      <x:c r="J891" s="10" t="n">
        <x:v>0</x:v>
      </x:c>
      <x:c r="K891" s="10" t="str">
        <x:v>1 Mo.</x:v>
      </x:c>
      <x:c r="L891" s="10" t="n">
        <x:v>0</x:v>
      </x:c>
      <x:c r="M891" s="10" t="n">
        <x:v>0</x:v>
      </x:c>
      <x:c r="N891" s="10" t="n">
        <x:v>11</x:v>
      </x:c>
      <x:c r="O891" s="10" t="str"/>
      <x:c r="P891" s="10" t="n">
        <x:v>23</x:v>
      </x:c>
      <x:c r="Q891" s="10" t="n">
        <x:v>0</x:v>
      </x:c>
      <x:c r="R891" s="13" t="n">
        <x:v>0</x:v>
      </x:c>
      <x:c r="S891" s="10" t="n">
        <x:v>6</x:v>
      </x:c>
      <x:c r="T891" s="10" t="str">
        <x:v>new homeowner gift,closing costs,home budget planner,google sheets,first time buyer,buying a home,budget spreadsheet,moving cost tracker,mortgage budget,expense tracker,savings tracker,house hunting,home comparison tool</x:v>
      </x:c>
      <x:c r="U891" s="10" t="str">
        <x:v>new homeowner gift</x:v>
      </x:c>
      <x:c r="V891" s="10" t="str">
        <x:v>closing costs</x:v>
      </x:c>
      <x:c r="W891" s="10" t="str">
        <x:v>home budget planner</x:v>
      </x:c>
      <x:c r="X891" s="10" t="str">
        <x:v>google sheets</x:v>
      </x:c>
      <x:c r="Y891" s="10" t="str">
        <x:v>first time buyer</x:v>
      </x:c>
      <x:c r="Z891" s="10" t="str">
        <x:v>buying a home</x:v>
      </x:c>
      <x:c r="AA891" s="10" t="str">
        <x:v>budget spreadsheet</x:v>
      </x:c>
      <x:c r="AB891" s="10" t="str">
        <x:v>moving cost tracker</x:v>
      </x:c>
      <x:c r="AC891" s="10" t="str">
        <x:v>mortgage budget</x:v>
      </x:c>
      <x:c r="AD891" s="10" t="str">
        <x:v>expense tracker</x:v>
      </x:c>
      <x:c r="AE891" s="10" t="str">
        <x:v>savings tracker</x:v>
      </x:c>
      <x:c r="AF891" s="10" t="str">
        <x:v>house hunting</x:v>
      </x:c>
      <x:c r="AG891" s="10" t="str">
        <x:v>home comparison tool</x:v>
      </x:c>
      <x:c r="AH891" s="10" t="str">
        <x:v>Home buying planner</x:v>
      </x:c>
      <x:c r="AI891" s="13" t="n">
        <x:v>1</x:v>
      </x:c>
      <x:c r="AJ891" s="10" t="str">
        <x:f>IF(F891&gt;0,"Active","No est. sales")</x:f>
        <x:v>No est. sales</x:v>
      </x:c>
    </x:row>
    <x:row r="892">
      <x:c r="A892" s="10" t="str">
        <x:v>Debt Tracker Google Sheets Debt Payoff Tracker Snowball Debt Calculator Loan Credit Card Mortgage Payment Budget Planner Debt Free Planner</x:v>
      </x:c>
      <x:c r="B892" s="10" t="str">
        <x:v>https://www.etsy.com/listing/4349291024/debt-tracker-google-sheets-debt-payoff</x:v>
      </x:c>
      <x:c r="C892" s="10" t="str">
        <x:v>PrioriDesignStudio</x:v>
      </x:c>
      <x:c r="D892" s="10" t="str">
        <x:v>https://www.etsy.com/shop/PrioriDesignStudio</x:v>
      </x:c>
      <x:c r="E892" s="11" t="n">
        <x:v>2.84</x:v>
      </x:c>
      <x:c r="F892" s="10" t="n">
        <x:v>0</x:v>
      </x:c>
      <x:c r="G892" s="12" t="n">
        <x:v>0</x:v>
      </x:c>
      <x:c r="H892" s="13" t="n">
        <x:v>0</x:v>
      </x:c>
      <x:c r="I892" s="10" t="n">
        <x:v>17</x:v>
      </x:c>
      <x:c r="J892" s="10" t="n">
        <x:v>1</x:v>
      </x:c>
      <x:c r="K892" s="10" t="str">
        <x:v>11 Mo.</x:v>
      </x:c>
      <x:c r="L892" s="10" t="n">
        <x:v>3</x:v>
      </x:c>
      <x:c r="M892" s="10" t="n">
        <x:v>0</x:v>
      </x:c>
      <x:c r="N892" s="10" t="n">
        <x:v>89</x:v>
      </x:c>
      <x:c r="O892" s="10" t="str"/>
      <x:c r="P892" s="10" t="n">
        <x:v>11</x:v>
      </x:c>
      <x:c r="Q892" s="10" t="n">
        <x:v>0</x:v>
      </x:c>
      <x:c r="R892" s="13" t="n">
        <x:v>19.1</x:v>
      </x:c>
      <x:c r="S892" s="10" t="n">
        <x:v>3678</x:v>
      </x:c>
      <x:c r="T892" s="10" t="str">
        <x:v>debt tracker,payoff planner,snowball method,avalanche plan,credit debt,loan tracker,budget tool,finance plan,loan payoff,payoff tracker,debt calculator,simple debt plan,mortgage tracker</x:v>
      </x:c>
      <x:c r="U892" s="10" t="str">
        <x:v>debt tracker</x:v>
      </x:c>
      <x:c r="V892" s="10" t="str">
        <x:v>payoff planner</x:v>
      </x:c>
      <x:c r="W892" s="10" t="str">
        <x:v>snowball method</x:v>
      </x:c>
      <x:c r="X892" s="10" t="str">
        <x:v>avalanche plan</x:v>
      </x:c>
      <x:c r="Y892" s="10" t="str">
        <x:v>credit debt</x:v>
      </x:c>
      <x:c r="Z892" s="10" t="str">
        <x:v>loan tracker</x:v>
      </x:c>
      <x:c r="AA892" s="10" t="str">
        <x:v>budget tool</x:v>
      </x:c>
      <x:c r="AB892" s="10" t="str">
        <x:v>finance plan</x:v>
      </x:c>
      <x:c r="AC892" s="10" t="str">
        <x:v>loan payoff</x:v>
      </x:c>
      <x:c r="AD892" s="10" t="str">
        <x:v>payoff tracker</x:v>
      </x:c>
      <x:c r="AE892" s="10" t="str">
        <x:v>debt calculator</x:v>
      </x:c>
      <x:c r="AF892" s="10" t="str">
        <x:v>simple debt plan</x:v>
      </x:c>
      <x:c r="AG892" s="10" t="str">
        <x:v>mortgage tracker</x:v>
      </x:c>
      <x:c r="AH892" s="10" t="str">
        <x:v>General debt payoff</x:v>
      </x:c>
      <x:c r="AI892" s="13" t="n">
        <x:v>11</x:v>
      </x:c>
      <x:c r="AJ892" s="10" t="str">
        <x:f>IF(F892&gt;0,"Active","No est. sales")</x:f>
        <x:v>No est. sales</x:v>
      </x:c>
    </x:row>
    <x:row r="893">
      <x:c r="A893" s="10" t="str">
        <x:v>Debt Snowball Avalanche Calculator Spreadsheet Custom Debt Payoff Strategy Tracker Credit Card Loan Mortgage Excel &amp; Google Sheets Debt Free</x:v>
      </x:c>
      <x:c r="B893" s="10" t="str">
        <x:v>https://www.etsy.com/listing/4477591754/debt-snowball-avalanche-calculator</x:v>
      </x:c>
      <x:c r="C893" s="10" t="str">
        <x:v>PrioriDesignStudio</x:v>
      </x:c>
      <x:c r="D893" s="10" t="str">
        <x:v>https://www.etsy.com/shop/PrioriDesignStudio</x:v>
      </x:c>
      <x:c r="E893" s="11" t="n">
        <x:v>9.93</x:v>
      </x:c>
      <x:c r="F893" s="10" t="n">
        <x:v>0</x:v>
      </x:c>
      <x:c r="G893" s="12" t="n">
        <x:v>0</x:v>
      </x:c>
      <x:c r="H893" s="13" t="n">
        <x:v>0</x:v>
      </x:c>
      <x:c r="I893" s="10" t="n">
        <x:v>0</x:v>
      </x:c>
      <x:c r="J893" s="10" t="n">
        <x:v>0</x:v>
      </x:c>
      <x:c r="K893" s="10" t="str">
        <x:v>4 Mo.</x:v>
      </x:c>
      <x:c r="L893" s="10" t="n">
        <x:v>3</x:v>
      </x:c>
      <x:c r="M893" s="10" t="n">
        <x:v>0</x:v>
      </x:c>
      <x:c r="N893" s="10" t="n">
        <x:v>60</x:v>
      </x:c>
      <x:c r="O893" s="10" t="str"/>
      <x:c r="P893" s="10" t="n">
        <x:v>11</x:v>
      </x:c>
      <x:c r="Q893" s="10" t="n">
        <x:v>0</x:v>
      </x:c>
      <x:c r="R893" s="13" t="n">
        <x:v>0</x:v>
      </x:c>
      <x:c r="S893" s="10" t="n">
        <x:v>3678</x:v>
      </x:c>
      <x:c r="T893" s="10" t="str">
        <x:v>debt google sheets,debt spreadsheet,debt payoff tracker,personal finance,mortgage payoff,debt snowball excel,debt tracker excel,snowball calculator,student loan payoff,credit card debt,financial planner,debt avalanche,budget planner</x:v>
      </x:c>
      <x:c r="U893" s="10" t="str">
        <x:v>debt google sheets</x:v>
      </x:c>
      <x:c r="V893" s="10" t="str">
        <x:v>debt spreadsheet</x:v>
      </x:c>
      <x:c r="W893" s="10" t="str">
        <x:v>debt payoff tracker</x:v>
      </x:c>
      <x:c r="X893" s="10" t="str">
        <x:v>personal finance</x:v>
      </x:c>
      <x:c r="Y893" s="10" t="str">
        <x:v>mortgage payoff</x:v>
      </x:c>
      <x:c r="Z893" s="10" t="str">
        <x:v>debt snowball excel</x:v>
      </x:c>
      <x:c r="AA893" s="10" t="str">
        <x:v>debt tracker excel</x:v>
      </x:c>
      <x:c r="AB893" s="10" t="str">
        <x:v>snowball calculator</x:v>
      </x:c>
      <x:c r="AC893" s="10" t="str">
        <x:v>student loan payoff</x:v>
      </x:c>
      <x:c r="AD893" s="10" t="str">
        <x:v>credit card debt</x:v>
      </x:c>
      <x:c r="AE893" s="10" t="str">
        <x:v>financial planner</x:v>
      </x:c>
      <x:c r="AF893" s="10" t="str">
        <x:v>debt avalanche</x:v>
      </x:c>
      <x:c r="AG893" s="10" t="str">
        <x:v>budget planner</x:v>
      </x:c>
      <x:c r="AH893" s="10" t="str">
        <x:v>General debt payoff</x:v>
      </x:c>
      <x:c r="AI893" s="13" t="n">
        <x:v>4</x:v>
      </x:c>
      <x:c r="AJ893" s="10" t="str">
        <x:f>IF(F893&gt;0,"Active","No est. sales")</x:f>
        <x:v>No est. sales</x:v>
      </x:c>
    </x:row>
    <x:row r="894">
      <x:c r="A894" s="10" t="str">
        <x:v>30 Year Mortgage Payoff Tracker Coloring Page / Pay Off, Debt Tracker, Progress Planner Sheet / Instant Digital Download, Printable</x:v>
      </x:c>
      <x:c r="B894" s="10" t="str">
        <x:v>https://www.etsy.com/listing/1408857200/30-year-mortgage-payoff-tracker-coloring</x:v>
      </x:c>
      <x:c r="C894" s="10" t="str">
        <x:v>WildWonderfulLiving</x:v>
      </x:c>
      <x:c r="D894" s="10" t="str">
        <x:v>https://www.etsy.com/shop/WildWonderfulLiving</x:v>
      </x:c>
      <x:c r="E894" s="11" t="n">
        <x:v>2</x:v>
      </x:c>
      <x:c r="F894" s="10" t="n">
        <x:v>0</x:v>
      </x:c>
      <x:c r="G894" s="12" t="n">
        <x:v>0</x:v>
      </x:c>
      <x:c r="H894" s="13" t="n">
        <x:v>0</x:v>
      </x:c>
      <x:c r="I894" s="10" t="n">
        <x:v>0</x:v>
      </x:c>
      <x:c r="J894" s="10" t="n">
        <x:v>0</x:v>
      </x:c>
      <x:c r="K894" s="10" t="str">
        <x:v>39 Mo.</x:v>
      </x:c>
      <x:c r="L894" s="10" t="n">
        <x:v>3</x:v>
      </x:c>
      <x:c r="M894" s="10" t="n">
        <x:v>0</x:v>
      </x:c>
      <x:c r="N894" s="10" t="n">
        <x:v>139</x:v>
      </x:c>
      <x:c r="O894" s="10" t="str">
        <x:v>Paper &amp; Party Supplies</x:v>
      </x:c>
      <x:c r="P894" s="10" t="n">
        <x:v>52</x:v>
      </x:c>
      <x:c r="Q894" s="10" t="n">
        <x:v>0</x:v>
      </x:c>
      <x:c r="R894" s="13" t="n">
        <x:v>0</x:v>
      </x:c>
      <x:c r="S894" s="10" t="n">
        <x:v>8</x:v>
      </x:c>
      <x:c r="T894" s="10" t="str">
        <x:v>mortgage tracker,debt tracker,debt payoff,mortgage payoff,digital planner,digital tracker,mortgage,debt,coloring page,progress planner,savings,progress tracker,digital download</x:v>
      </x:c>
      <x:c r="U894" s="10" t="str">
        <x:v>mortgage tracker</x:v>
      </x:c>
      <x:c r="V894" s="10" t="str">
        <x:v>debt tracker</x:v>
      </x:c>
      <x:c r="W894" s="10" t="str">
        <x:v>debt payoff</x:v>
      </x:c>
      <x:c r="X894" s="10" t="str">
        <x:v>mortgage payoff</x:v>
      </x:c>
      <x:c r="Y894" s="10" t="str">
        <x:v>digital planner</x:v>
      </x:c>
      <x:c r="Z894" s="10" t="str">
        <x:v>digital tracker</x:v>
      </x:c>
      <x:c r="AA894" s="10" t="str">
        <x:v>mortgage</x:v>
      </x:c>
      <x:c r="AB894" s="10" t="str">
        <x:v>debt</x:v>
      </x:c>
      <x:c r="AC894" s="10" t="str">
        <x:v>coloring page</x:v>
      </x:c>
      <x:c r="AD894" s="10" t="str">
        <x:v>progress planner</x:v>
      </x:c>
      <x:c r="AE894" s="10" t="str">
        <x:v>savings</x:v>
      </x:c>
      <x:c r="AF894" s="10" t="str">
        <x:v>progress tracker</x:v>
      </x:c>
      <x:c r="AG894" s="10" t="str">
        <x:v>digital download</x:v>
      </x:c>
      <x:c r="AH894" s="10" t="str">
        <x:v>General debt payoff</x:v>
      </x:c>
      <x:c r="AI894" s="13" t="n">
        <x:v>39</x:v>
      </x:c>
      <x:c r="AJ894" s="10" t="str">
        <x:f>IF(F894&gt;0,"Active","No est. sales")</x:f>
        <x:v>No est. sales</x:v>
      </x:c>
    </x:row>
    <x:row r="895">
      <x:c r="A895" s="10" t="str">
        <x:v>4-in-1 Mortgage Payoff Spreadsheet | Automatic Calculations &amp; Formulas | Google Sheets on Desktop | Fixed-Rate Mortgage Tracker</x:v>
      </x:c>
      <x:c r="B895" s="10" t="str">
        <x:v>https://www.etsy.com/listing/4411246326/4-in-1-mortgage-payoff-spreadsheet</x:v>
      </x:c>
      <x:c r="C895" s="10" t="str">
        <x:v>LiveWithoutLoans</x:v>
      </x:c>
      <x:c r="D895" s="10" t="str">
        <x:v>https://www.etsy.com/shop/LiveWithoutLoans</x:v>
      </x:c>
      <x:c r="E895" s="11" t="n">
        <x:v>14.99</x:v>
      </x:c>
      <x:c r="F895" s="10" t="n">
        <x:v>0</x:v>
      </x:c>
      <x:c r="G895" s="12" t="n">
        <x:v>0</x:v>
      </x:c>
      <x:c r="H895" s="13" t="n">
        <x:v>0</x:v>
      </x:c>
      <x:c r="I895" s="10" t="n">
        <x:v>39</x:v>
      </x:c>
      <x:c r="J895" s="10" t="n">
        <x:v>2</x:v>
      </x:c>
      <x:c r="K895" s="10" t="str">
        <x:v>1 Mo.</x:v>
      </x:c>
      <x:c r="L895" s="10" t="n">
        <x:v>57</x:v>
      </x:c>
      <x:c r="M895" s="10" t="n">
        <x:v>2</x:v>
      </x:c>
      <x:c r="N895" s="10" t="n">
        <x:v>2668</x:v>
      </x:c>
      <x:c r="O895" s="10" t="str"/>
      <x:c r="P895" s="10" t="n">
        <x:v>26</x:v>
      </x:c>
      <x:c r="Q895" s="10" t="n">
        <x:v>100</x:v>
      </x:c>
      <x:c r="R895" s="13" t="n">
        <x:v>1.46</x:v>
      </x:c>
      <x:c r="S895" s="10" t="n">
        <x:v>1682</x:v>
      </x:c>
      <x:c r="T895" s="10" t="str">
        <x:v>mortgage tracker,mortgage payoff,loan payoff sheet,debt payoff tool,google sheets,home loan tracker,extra payment tool,principal tracker,mortgage calculator,debt free planner,payoff spreadsheet,financial template,loan amortization</x:v>
      </x:c>
      <x:c r="U895" s="10" t="str">
        <x:v>mortgage tracker</x:v>
      </x:c>
      <x:c r="V895" s="10" t="str">
        <x:v>mortgage payoff</x:v>
      </x:c>
      <x:c r="W895" s="10" t="str">
        <x:v>loan payoff sheet</x:v>
      </x:c>
      <x:c r="X895" s="10" t="str">
        <x:v>debt payoff tool</x:v>
      </x:c>
      <x:c r="Y895" s="10" t="str">
        <x:v>google sheets</x:v>
      </x:c>
      <x:c r="Z895" s="10" t="str">
        <x:v>home loan tracker</x:v>
      </x:c>
      <x:c r="AA895" s="10" t="str">
        <x:v>extra payment tool</x:v>
      </x:c>
      <x:c r="AB895" s="10" t="str">
        <x:v>principal tracker</x:v>
      </x:c>
      <x:c r="AC895" s="10" t="str">
        <x:v>mortgage calculator</x:v>
      </x:c>
      <x:c r="AD895" s="10" t="str">
        <x:v>debt free planner</x:v>
      </x:c>
      <x:c r="AE895" s="10" t="str">
        <x:v>payoff spreadsheet</x:v>
      </x:c>
      <x:c r="AF895" s="10" t="str">
        <x:v>financial template</x:v>
      </x:c>
      <x:c r="AG895" s="10" t="str">
        <x:v>loan amortization</x:v>
      </x:c>
      <x:c r="AH895" s="10" t="str">
        <x:v>Mortgage payoff / calculator</x:v>
      </x:c>
      <x:c r="AI895" s="13" t="n">
        <x:v>1</x:v>
      </x:c>
      <x:c r="AJ895" s="10" t="str">
        <x:f>IF(F895&gt;0,"Active","No est. sales")</x:f>
        <x:v>No est. sales</x:v>
      </x:c>
    </x:row>
    <x:row r="896">
      <x:c r="A896" s="10" t="str">
        <x:v>Debt Tracker for Google Sheets, Dark Mode Snowball and Avalanche Debt Calculator, Custom Debt Payoff Spreadsheet Template</x:v>
      </x:c>
      <x:c r="B896" s="10" t="str">
        <x:v>https://www.etsy.com/listing/4393621611/debt-payment-planner-snowball-and</x:v>
      </x:c>
      <x:c r="C896" s="10" t="str">
        <x:v>SheetSenseShop</x:v>
      </x:c>
      <x:c r="D896" s="10" t="str">
        <x:v>https://www.etsy.com/shop/SheetSenseShop</x:v>
      </x:c>
      <x:c r="E896" s="11" t="n">
        <x:v>10.5</x:v>
      </x:c>
      <x:c r="F896" s="10" t="n">
        <x:v>0</x:v>
      </x:c>
      <x:c r="G896" s="12" t="n">
        <x:v>0</x:v>
      </x:c>
      <x:c r="H896" s="13" t="n">
        <x:v>0</x:v>
      </x:c>
      <x:c r="I896" s="10" t="n">
        <x:v>2</x:v>
      </x:c>
      <x:c r="J896" s="10" t="n">
        <x:v>0</x:v>
      </x:c>
      <x:c r="K896" s="10" t="str">
        <x:v>9 Mo.</x:v>
      </x:c>
      <x:c r="L896" s="10" t="n">
        <x:v>1</x:v>
      </x:c>
      <x:c r="M896" s="10" t="n">
        <x:v>0</x:v>
      </x:c>
      <x:c r="N896" s="10" t="n">
        <x:v>77</x:v>
      </x:c>
      <x:c r="O896" s="10" t="str"/>
      <x:c r="P896" s="10" t="n">
        <x:v>13</x:v>
      </x:c>
      <x:c r="Q896" s="10" t="n">
        <x:v>0</x:v>
      </x:c>
      <x:c r="R896" s="13" t="n">
        <x:v>2.6</x:v>
      </x:c>
      <x:c r="S896" s="10" t="n">
        <x:v>213</x:v>
      </x:c>
      <x:c r="T896" s="10" t="str">
        <x:v>debt tracker sheet,debt payoff tracker,loan payoff tracker,credit card payoff,debt free planner,dark mode template,debt google sheets,mortgage payoff,debt avalanche,debt calculator,debt spreadsheet,debt snowball,credit utilization</x:v>
      </x:c>
      <x:c r="U896" s="10" t="str">
        <x:v>debt tracker sheet</x:v>
      </x:c>
      <x:c r="V896" s="10" t="str">
        <x:v>debt payoff tracker</x:v>
      </x:c>
      <x:c r="W896" s="10" t="str">
        <x:v>loan payoff tracker</x:v>
      </x:c>
      <x:c r="X896" s="10" t="str">
        <x:v>credit card payoff</x:v>
      </x:c>
      <x:c r="Y896" s="10" t="str">
        <x:v>debt free planner</x:v>
      </x:c>
      <x:c r="Z896" s="10" t="str">
        <x:v>dark mode template</x:v>
      </x:c>
      <x:c r="AA896" s="10" t="str">
        <x:v>debt google sheets</x:v>
      </x:c>
      <x:c r="AB896" s="10" t="str">
        <x:v>mortgage payoff</x:v>
      </x:c>
      <x:c r="AC896" s="10" t="str">
        <x:v>debt avalanche</x:v>
      </x:c>
      <x:c r="AD896" s="10" t="str">
        <x:v>debt calculator</x:v>
      </x:c>
      <x:c r="AE896" s="10" t="str">
        <x:v>debt spreadsheet</x:v>
      </x:c>
      <x:c r="AF896" s="10" t="str">
        <x:v>debt snowball</x:v>
      </x:c>
      <x:c r="AG896" s="10" t="str">
        <x:v>credit utilization</x:v>
      </x:c>
      <x:c r="AH896" s="10" t="str">
        <x:v>General debt payoff</x:v>
      </x:c>
      <x:c r="AI896" s="13" t="n">
        <x:v>9</x:v>
      </x:c>
      <x:c r="AJ896" s="10" t="str">
        <x:f>IF(F896&gt;0,"Active","No est. sales")</x:f>
        <x:v>No est. sales</x:v>
      </x:c>
    </x:row>
    <x:row r="897">
      <x:c r="A897" s="10" t="str">
        <x:v>Early Mortgage Payoff Calculator: Excel Instant Projection Tool (Digital Download)</x:v>
      </x:c>
      <x:c r="B897" s="10" t="str">
        <x:v>https://www.etsy.com/listing/4363928964/early-mortgage-payoff-calculator-excel</x:v>
      </x:c>
      <x:c r="C897" s="10" t="str">
        <x:v>ChartDollar</x:v>
      </x:c>
      <x:c r="D897" s="10" t="str">
        <x:v>https://www.etsy.com/shop/ChartDollar</x:v>
      </x:c>
      <x:c r="E897" s="11" t="n">
        <x:v>2</x:v>
      </x:c>
      <x:c r="F897" s="10" t="n">
        <x:v>0</x:v>
      </x:c>
      <x:c r="G897" s="12" t="n">
        <x:v>0</x:v>
      </x:c>
      <x:c r="H897" s="13" t="n">
        <x:v>0</x:v>
      </x:c>
      <x:c r="I897" s="10" t="n">
        <x:v>0</x:v>
      </x:c>
      <x:c r="J897" s="10" t="n">
        <x:v>0</x:v>
      </x:c>
      <x:c r="K897" s="10" t="str">
        <x:v>10 Mo.</x:v>
      </x:c>
      <x:c r="L897" s="10" t="n">
        <x:v>1</x:v>
      </x:c>
      <x:c r="M897" s="10" t="n">
        <x:v>0</x:v>
      </x:c>
      <x:c r="N897" s="10" t="n">
        <x:v>33</x:v>
      </x:c>
      <x:c r="O897" s="10" t="str"/>
      <x:c r="P897" s="10" t="n">
        <x:v>10</x:v>
      </x:c>
      <x:c r="Q897" s="10" t="n">
        <x:v>0</x:v>
      </x:c>
      <x:c r="R897" s="13" t="n">
        <x:v>0</x:v>
      </x:c>
      <x:c r="S897" s="10" t="n">
        <x:v>15</x:v>
      </x:c>
      <x:c r="T897" s="10" t="str">
        <x:v>mortgage payoff calc,mortgage freedom,mortgage overpayment,loan payoff calc,mortgage template,debt payoff,personal finance,mortgage calculator,mortgage planning,debt free calculator,freedom planner,freedom calculator,finance planner</x:v>
      </x:c>
      <x:c r="U897" s="10" t="str">
        <x:v>mortgage payoff calc</x:v>
      </x:c>
      <x:c r="V897" s="10" t="str">
        <x:v>mortgage freedom</x:v>
      </x:c>
      <x:c r="W897" s="10" t="str">
        <x:v>mortgage overpayment</x:v>
      </x:c>
      <x:c r="X897" s="10" t="str">
        <x:v>loan payoff calc</x:v>
      </x:c>
      <x:c r="Y897" s="10" t="str">
        <x:v>mortgage template</x:v>
      </x:c>
      <x:c r="Z897" s="10" t="str">
        <x:v>debt payoff</x:v>
      </x:c>
      <x:c r="AA897" s="10" t="str">
        <x:v>personal finance</x:v>
      </x:c>
      <x:c r="AB897" s="10" t="str">
        <x:v>mortgage calculator</x:v>
      </x:c>
      <x:c r="AC897" s="10" t="str">
        <x:v>mortgage planning</x:v>
      </x:c>
      <x:c r="AD897" s="10" t="str">
        <x:v>debt free calculator</x:v>
      </x:c>
      <x:c r="AE897" s="10" t="str">
        <x:v>freedom planner</x:v>
      </x:c>
      <x:c r="AF897" s="10" t="str">
        <x:v>freedom calculator</x:v>
      </x:c>
      <x:c r="AG897" s="10" t="str">
        <x:v>finance planner</x:v>
      </x:c>
      <x:c r="AH897" s="10" t="str">
        <x:v>Mortgage payoff / calculator</x:v>
      </x:c>
      <x:c r="AI897" s="13" t="n">
        <x:v>10</x:v>
      </x:c>
      <x:c r="AJ897" s="10" t="str">
        <x:f>IF(F897&gt;0,"Active","No est. sales")</x:f>
        <x:v>No est. sales</x:v>
      </x:c>
    </x:row>
    <x:row r="898">
      <x:c r="A898" s="10" t="str">
        <x:v>Debt Payoff Tracker Spreadsheet for Google Sheets (Digital Download)</x:v>
      </x:c>
      <x:c r="B898" s="10" t="str">
        <x:v>https://www.etsy.com/listing/1827269411/debt-payoff-tracker-spreadsheet-for</x:v>
      </x:c>
      <x:c r="C898" s="10" t="str">
        <x:v>SimplisticMindStudio</x:v>
      </x:c>
      <x:c r="D898" s="10" t="str">
        <x:v>https://www.etsy.com/shop/SimplisticMindStudio</x:v>
      </x:c>
      <x:c r="E898" s="11" t="n">
        <x:v>2.99</x:v>
      </x:c>
      <x:c r="F898" s="10" t="n">
        <x:v>0</x:v>
      </x:c>
      <x:c r="G898" s="12" t="n">
        <x:v>0</x:v>
      </x:c>
      <x:c r="H898" s="13" t="n">
        <x:v>0</x:v>
      </x:c>
      <x:c r="I898" s="10" t="n">
        <x:v>0</x:v>
      </x:c>
      <x:c r="J898" s="10" t="n">
        <x:v>0</x:v>
      </x:c>
      <x:c r="K898" s="10" t="str">
        <x:v>20 Mo.</x:v>
      </x:c>
      <x:c r="L898" s="10" t="n">
        <x:v>5</x:v>
      </x:c>
      <x:c r="M898" s="10" t="n">
        <x:v>0</x:v>
      </x:c>
      <x:c r="N898" s="10" t="n">
        <x:v>584</x:v>
      </x:c>
      <x:c r="O898" s="10" t="str"/>
      <x:c r="P898" s="10" t="n">
        <x:v>38</x:v>
      </x:c>
      <x:c r="Q898" s="10" t="n">
        <x:v>0</x:v>
      </x:c>
      <x:c r="R898" s="13" t="n">
        <x:v>0</x:v>
      </x:c>
      <x:c r="S898" s="10" t="n">
        <x:v>635</x:v>
      </x:c>
      <x:c r="T898" s="10" t="str">
        <x:v>debt google sheets,snowball method,debt avalanche,debt calculator,debt snowball,credit card debt,mortgage payoff,debt payment tracker,loan payoff tracker,student loan debt,debt payoff planner,financial planner,personal finance</x:v>
      </x:c>
      <x:c r="U898" s="10" t="str">
        <x:v>debt google sheets</x:v>
      </x:c>
      <x:c r="V898" s="10" t="str">
        <x:v>snowball method</x:v>
      </x:c>
      <x:c r="W898" s="10" t="str">
        <x:v>debt avalanche</x:v>
      </x:c>
      <x:c r="X898" s="10" t="str">
        <x:v>debt calculator</x:v>
      </x:c>
      <x:c r="Y898" s="10" t="str">
        <x:v>debt snowball</x:v>
      </x:c>
      <x:c r="Z898" s="10" t="str">
        <x:v>credit card debt</x:v>
      </x:c>
      <x:c r="AA898" s="10" t="str">
        <x:v>mortgage payoff</x:v>
      </x:c>
      <x:c r="AB898" s="10" t="str">
        <x:v>debt payment tracker</x:v>
      </x:c>
      <x:c r="AC898" s="10" t="str">
        <x:v>loan payoff tracker</x:v>
      </x:c>
      <x:c r="AD898" s="10" t="str">
        <x:v>student loan debt</x:v>
      </x:c>
      <x:c r="AE898" s="10" t="str">
        <x:v>debt payoff planner</x:v>
      </x:c>
      <x:c r="AF898" s="10" t="str">
        <x:v>financial planner</x:v>
      </x:c>
      <x:c r="AG898" s="10" t="str">
        <x:v>personal finance</x:v>
      </x:c>
      <x:c r="AH898" s="10" t="str">
        <x:v>General debt payoff</x:v>
      </x:c>
      <x:c r="AI898" s="13" t="n">
        <x:v>20</x:v>
      </x:c>
      <x:c r="AJ898" s="10" t="str">
        <x:f>IF(F898&gt;0,"Active","No est. sales")</x:f>
        <x:v>No est. sales</x:v>
      </x:c>
    </x:row>
    <x:row r="899">
      <x:c r="A899" s="10" t="str">
        <x:v>Debt Payoff Tracker: Snowball Avalanche Calculator (Google Sheets)</x:v>
      </x:c>
      <x:c r="B899" s="10" t="str">
        <x:v>https://www.etsy.com/listing/1865309530/debt-payoff-tracker-snowball-avalanche</x:v>
      </x:c>
      <x:c r="C899" s="10" t="str">
        <x:v>confidentcoin</x:v>
      </x:c>
      <x:c r="D899" s="10" t="str">
        <x:v>https://www.etsy.com/shop/confidentcoin</x:v>
      </x:c>
      <x:c r="E899" s="11" t="n">
        <x:v>4.26</x:v>
      </x:c>
      <x:c r="F899" s="10" t="n">
        <x:v>0</x:v>
      </x:c>
      <x:c r="G899" s="12" t="n">
        <x:v>0</x:v>
      </x:c>
      <x:c r="H899" s="13" t="n">
        <x:v>0</x:v>
      </x:c>
      <x:c r="I899" s="10" t="n">
        <x:v>27</x:v>
      </x:c>
      <x:c r="J899" s="10" t="n">
        <x:v>3</x:v>
      </x:c>
      <x:c r="K899" s="10" t="str">
        <x:v>17 Mo.</x:v>
      </x:c>
      <x:c r="L899" s="10" t="n">
        <x:v>17</x:v>
      </x:c>
      <x:c r="M899" s="10" t="n">
        <x:v>0</x:v>
      </x:c>
      <x:c r="N899" s="10" t="n">
        <x:v>617</x:v>
      </x:c>
      <x:c r="O899" s="10" t="str"/>
      <x:c r="P899" s="10" t="n">
        <x:v>54</x:v>
      </x:c>
      <x:c r="Q899" s="10" t="n">
        <x:v>0</x:v>
      </x:c>
      <x:c r="R899" s="13" t="n">
        <x:v>4.38</x:v>
      </x:c>
      <x:c r="S899" s="10" t="n">
        <x:v>11947</x:v>
      </x:c>
      <x:c r="T899" s="10" t="str">
        <x:v>debt avalanche,debt payment tracker,mortgage payoff,debt payoff tracker,personal finance,debt google sheets,financial planner,debt spreadsheet,debt calculator,credit card payoff,student loan debt,credit card debt,loan payoff tracker</x:v>
      </x:c>
      <x:c r="U899" s="10" t="str">
        <x:v>debt avalanche</x:v>
      </x:c>
      <x:c r="V899" s="10" t="str">
        <x:v>debt payment tracker</x:v>
      </x:c>
      <x:c r="W899" s="10" t="str">
        <x:v>mortgage payoff</x:v>
      </x:c>
      <x:c r="X899" s="10" t="str">
        <x:v>debt payoff tracker</x:v>
      </x:c>
      <x:c r="Y899" s="10" t="str">
        <x:v>personal finance</x:v>
      </x:c>
      <x:c r="Z899" s="10" t="str">
        <x:v>debt google sheets</x:v>
      </x:c>
      <x:c r="AA899" s="10" t="str">
        <x:v>financial planner</x:v>
      </x:c>
      <x:c r="AB899" s="10" t="str">
        <x:v>debt spreadsheet</x:v>
      </x:c>
      <x:c r="AC899" s="10" t="str">
        <x:v>debt calculator</x:v>
      </x:c>
      <x:c r="AD899" s="10" t="str">
        <x:v>credit card payoff</x:v>
      </x:c>
      <x:c r="AE899" s="10" t="str">
        <x:v>student loan debt</x:v>
      </x:c>
      <x:c r="AF899" s="10" t="str">
        <x:v>credit card debt</x:v>
      </x:c>
      <x:c r="AG899" s="10" t="str">
        <x:v>loan payoff tracker</x:v>
      </x:c>
      <x:c r="AH899" s="10" t="str">
        <x:v>General debt payoff</x:v>
      </x:c>
      <x:c r="AI899" s="13" t="n">
        <x:v>17</x:v>
      </x:c>
      <x:c r="AJ899" s="10" t="str">
        <x:f>IF(F899&gt;0,"Active","No est. sales")</x:f>
        <x:v>No est. sales</x:v>
      </x:c>
    </x:row>
    <x:row r="900">
      <x:c r="A900" s="10" t="str">
        <x:v>Debt Payoff Tracker | Dave Ramsey Inspired | Snowball Method | Debt Avalanche | Credit Card Debt | Financial Tool</x:v>
      </x:c>
      <x:c r="B900" s="10" t="str">
        <x:v>https://www.etsy.com/listing/1856019194/debt-payoff-tracker-dave-ramsey-inspired</x:v>
      </x:c>
      <x:c r="C900" s="10" t="str">
        <x:v>MoonandPineDesign</x:v>
      </x:c>
      <x:c r="D900" s="10" t="str">
        <x:v>https://www.etsy.com/shop/MoonandPineDesign</x:v>
      </x:c>
      <x:c r="E900" s="11" t="n">
        <x:v>9</x:v>
      </x:c>
      <x:c r="F900" s="10" t="n">
        <x:v>0</x:v>
      </x:c>
      <x:c r="G900" s="12" t="n">
        <x:v>0</x:v>
      </x:c>
      <x:c r="H900" s="13" t="n">
        <x:v>0</x:v>
      </x:c>
      <x:c r="I900" s="10" t="n">
        <x:v>0</x:v>
      </x:c>
      <x:c r="J900" s="10" t="n">
        <x:v>0</x:v>
      </x:c>
      <x:c r="K900" s="10" t="str">
        <x:v>17 Mo.</x:v>
      </x:c>
      <x:c r="L900" s="10" t="n">
        <x:v>2</x:v>
      </x:c>
      <x:c r="M900" s="10" t="n">
        <x:v>0</x:v>
      </x:c>
      <x:c r="N900" s="10" t="n">
        <x:v>42</x:v>
      </x:c>
      <x:c r="O900" s="10" t="str">
        <x:v>Paper &amp; Party Supplies</x:v>
      </x:c>
      <x:c r="P900" s="10" t="n">
        <x:v>18</x:v>
      </x:c>
      <x:c r="Q900" s="10" t="n">
        <x:v>0</x:v>
      </x:c>
      <x:c r="R900" s="13" t="n">
        <x:v>0</x:v>
      </x:c>
      <x:c r="S900" s="10" t="n">
        <x:v>17</x:v>
      </x:c>
      <x:c r="T900" s="10" t="str">
        <x:v>debt snowball,debt avalanche,snowball method,snowball calculator,debt repayment,payment tracker,mortgage payoff,credit card debt,student loan debt,dave ramsey,google sheets budget,credit card tracker,financial planner</x:v>
      </x:c>
      <x:c r="U900" s="10" t="str">
        <x:v>debt snowball</x:v>
      </x:c>
      <x:c r="V900" s="10" t="str">
        <x:v>debt avalanche</x:v>
      </x:c>
      <x:c r="W900" s="10" t="str">
        <x:v>snowball method</x:v>
      </x:c>
      <x:c r="X900" s="10" t="str">
        <x:v>snowball calculator</x:v>
      </x:c>
      <x:c r="Y900" s="10" t="str">
        <x:v>debt repayment</x:v>
      </x:c>
      <x:c r="Z900" s="10" t="str">
        <x:v>payment tracker</x:v>
      </x:c>
      <x:c r="AA900" s="10" t="str">
        <x:v>mortgage payoff</x:v>
      </x:c>
      <x:c r="AB900" s="10" t="str">
        <x:v>credit card debt</x:v>
      </x:c>
      <x:c r="AC900" s="10" t="str">
        <x:v>student loan debt</x:v>
      </x:c>
      <x:c r="AD900" s="10" t="str">
        <x:v>dave ramsey</x:v>
      </x:c>
      <x:c r="AE900" s="10" t="str">
        <x:v>google sheets budget</x:v>
      </x:c>
      <x:c r="AF900" s="10" t="str">
        <x:v>credit card tracker</x:v>
      </x:c>
      <x:c r="AG900" s="10" t="str">
        <x:v>financial planner</x:v>
      </x:c>
      <x:c r="AH900" s="10" t="str">
        <x:v>General debt payoff</x:v>
      </x:c>
      <x:c r="AI900" s="13" t="n">
        <x:v>17</x:v>
      </x:c>
      <x:c r="AJ900" s="10" t="str">
        <x:f>IF(F900&gt;0,"Active","No est. sales")</x:f>
        <x:v>No est. sales</x:v>
      </x:c>
    </x:row>
    <x:row r="901">
      <x:c r="A901" s="10" t="str">
        <x:v>Kawaii Utility Bill Planner Stickers - Household Bills Due - Pay Reminder - Mortgage Rent Electricity Wifi Water Car - Budgeting Finance</x:v>
      </x:c>
      <x:c r="B901" s="10" t="str">
        <x:v>https://www.etsy.com/listing/767308012/kawaii-utility-bill-planner-stickers</x:v>
      </x:c>
      <x:c r="C901" s="10" t="str">
        <x:v>OhSoKawaiiDesigns</x:v>
      </x:c>
      <x:c r="D901" s="10" t="str">
        <x:v>https://www.etsy.com/shop/OhSoKawaiiDesigns</x:v>
      </x:c>
      <x:c r="E901" s="11" t="n">
        <x:v>3.5</x:v>
      </x:c>
      <x:c r="F901" s="10" t="n">
        <x:v>0</x:v>
      </x:c>
      <x:c r="G901" s="12" t="n">
        <x:v>0</x:v>
      </x:c>
      <x:c r="H901" s="13" t="n">
        <x:v>0</x:v>
      </x:c>
      <x:c r="I901" s="10" t="n">
        <x:v>79</x:v>
      </x:c>
      <x:c r="J901" s="10" t="n">
        <x:v>23</x:v>
      </x:c>
      <x:c r="K901" s="10" t="str">
        <x:v>75 Mo.</x:v>
      </x:c>
      <x:c r="L901" s="10" t="n">
        <x:v>210</x:v>
      </x:c>
      <x:c r="M901" s="10" t="n">
        <x:v>0</x:v>
      </x:c>
      <x:c r="N901" s="10" t="n">
        <x:v>2066</x:v>
      </x:c>
      <x:c r="O901" s="10" t="str">
        <x:v>Paper &amp; Party Supplies</x:v>
      </x:c>
      <x:c r="P901" s="10" t="n">
        <x:v>70</x:v>
      </x:c>
      <x:c r="Q901" s="10" t="n">
        <x:v>0</x:v>
      </x:c>
      <x:c r="R901" s="13" t="n">
        <x:v>3.82</x:v>
      </x:c>
      <x:c r="S901" s="10" t="n">
        <x:v>8923</x:v>
      </x:c>
      <x:c r="T901" s="10" t="str">
        <x:v>budget stickers,electricity bill,water bill,phone bill,bill due,bill stickers,internet bill,household bills,planner stickers,bill planner,bill reminder,finance stickers,utility icons</x:v>
      </x:c>
      <x:c r="U901" s="10" t="str">
        <x:v>budget stickers</x:v>
      </x:c>
      <x:c r="V901" s="10" t="str">
        <x:v>electricity bill</x:v>
      </x:c>
      <x:c r="W901" s="10" t="str">
        <x:v>water bill</x:v>
      </x:c>
      <x:c r="X901" s="10" t="str">
        <x:v>phone bill</x:v>
      </x:c>
      <x:c r="Y901" s="10" t="str">
        <x:v>bill due</x:v>
      </x:c>
      <x:c r="Z901" s="10" t="str">
        <x:v>bill stickers</x:v>
      </x:c>
      <x:c r="AA901" s="10" t="str">
        <x:v>internet bill</x:v>
      </x:c>
      <x:c r="AB901" s="10" t="str">
        <x:v>household bills</x:v>
      </x:c>
      <x:c r="AC901" s="10" t="str">
        <x:v>planner stickers</x:v>
      </x:c>
      <x:c r="AD901" s="10" t="str">
        <x:v>bill planner</x:v>
      </x:c>
      <x:c r="AE901" s="10" t="str">
        <x:v>bill reminder</x:v>
      </x:c>
      <x:c r="AF901" s="10" t="str">
        <x:v>finance stickers</x:v>
      </x:c>
      <x:c r="AG901" s="10" t="str">
        <x:v>utility icons</x:v>
      </x:c>
      <x:c r="AH901" s="10" t="str">
        <x:v>Other mortgage-related</x:v>
      </x:c>
      <x:c r="AI901" s="13" t="n">
        <x:v>75</x:v>
      </x:c>
      <x:c r="AJ901" s="10" t="str">
        <x:f>IF(F901&gt;0,"Active","No est. sales")</x:f>
        <x:v>No est. sales</x:v>
      </x:c>
    </x:row>
    <x:row r="902">
      <x:c r="A902" s="10" t="str">
        <x:v>Debt Tracker, Debt Payoff Tracker Printable, Debt Snowball, Debt Payments, Debt Avalanche, Debt Free Journey, Debt Repayment Printable</x:v>
      </x:c>
      <x:c r="B902" s="10" t="str">
        <x:v>https://www.etsy.com/listing/1796468404/debt-tracker-debt-payoff-tracker</x:v>
      </x:c>
      <x:c r="C902" s="10" t="str">
        <x:v>BudgetBlissPrints</x:v>
      </x:c>
      <x:c r="D902" s="10" t="str">
        <x:v>https://www.etsy.com/shop/BudgetBlissPrints</x:v>
      </x:c>
      <x:c r="E902" s="11" t="n">
        <x:v>1.74</x:v>
      </x:c>
      <x:c r="F902" s="10" t="n">
        <x:v>0</x:v>
      </x:c>
      <x:c r="G902" s="12" t="n">
        <x:v>0</x:v>
      </x:c>
      <x:c r="H902" s="13" t="n">
        <x:v>0</x:v>
      </x:c>
      <x:c r="I902" s="10" t="n">
        <x:v>0</x:v>
      </x:c>
      <x:c r="J902" s="10" t="n">
        <x:v>0</x:v>
      </x:c>
      <x:c r="K902" s="10" t="str">
        <x:v>7 Mo.</x:v>
      </x:c>
      <x:c r="L902" s="10" t="n">
        <x:v>4</x:v>
      </x:c>
      <x:c r="M902" s="10" t="n">
        <x:v>0</x:v>
      </x:c>
      <x:c r="N902" s="10" t="n">
        <x:v>51</x:v>
      </x:c>
      <x:c r="O902" s="10" t="str"/>
      <x:c r="P902" s="10" t="n">
        <x:v>7</x:v>
      </x:c>
      <x:c r="Q902" s="10" t="n">
        <x:v>0</x:v>
      </x:c>
      <x:c r="R902" s="13" t="n">
        <x:v>0</x:v>
      </x:c>
      <x:c r="S902" s="10" t="n">
        <x:v>58</x:v>
      </x:c>
      <x:c r="T902" s="10" t="str">
        <x:v>debt snowball,budget planner,debt free journey,printable planner,budget tracker,debt payoff plan,debt free planner,debt repayment,mortgage tracker,credit card tracker,debt payment tracker,spending tracker,debt tracker</x:v>
      </x:c>
      <x:c r="U902" s="10" t="str">
        <x:v>debt snowball</x:v>
      </x:c>
      <x:c r="V902" s="10" t="str">
        <x:v>budget planner</x:v>
      </x:c>
      <x:c r="W902" s="10" t="str">
        <x:v>debt free journey</x:v>
      </x:c>
      <x:c r="X902" s="10" t="str">
        <x:v>printable planner</x:v>
      </x:c>
      <x:c r="Y902" s="10" t="str">
        <x:v>budget tracker</x:v>
      </x:c>
      <x:c r="Z902" s="10" t="str">
        <x:v>debt payoff plan</x:v>
      </x:c>
      <x:c r="AA902" s="10" t="str">
        <x:v>debt free planner</x:v>
      </x:c>
      <x:c r="AB902" s="10" t="str">
        <x:v>debt repayment</x:v>
      </x:c>
      <x:c r="AC902" s="10" t="str">
        <x:v>mortgage tracker</x:v>
      </x:c>
      <x:c r="AD902" s="10" t="str">
        <x:v>credit card tracker</x:v>
      </x:c>
      <x:c r="AE902" s="10" t="str">
        <x:v>debt payment tracker</x:v>
      </x:c>
      <x:c r="AF902" s="10" t="str">
        <x:v>spending tracker</x:v>
      </x:c>
      <x:c r="AG902" s="10" t="str">
        <x:v>debt tracker</x:v>
      </x:c>
      <x:c r="AH902" s="10" t="str">
        <x:v>General debt payoff</x:v>
      </x:c>
      <x:c r="AI902" s="13" t="n">
        <x:v>7</x:v>
      </x:c>
      <x:c r="AJ902" s="10" t="str">
        <x:f>IF(F902&gt;0,"Active","No est. sales")</x:f>
        <x:v>No est. sales</x:v>
      </x:c>
    </x:row>
    <x:row r="903">
      <x:c r="A903" s="10" t="str">
        <x:v>Debt Payoff Tracker, Debt Snowball Printable, Debt Tracker, Debt Payment Planner, Finance Planner, Budget Planner, Debt Free Progress, A5 US</x:v>
      </x:c>
      <x:c r="B903" s="10" t="str">
        <x:v>https://www.etsy.com/listing/1177020111/debt-payoff-tracker-debt-snowball</x:v>
      </x:c>
      <x:c r="C903" s="10" t="str">
        <x:v>MawonStudio</x:v>
      </x:c>
      <x:c r="D903" s="10" t="str">
        <x:v>https://www.etsy.com/shop/MawonStudio</x:v>
      </x:c>
      <x:c r="E903" s="11" t="n">
        <x:v>1.45</x:v>
      </x:c>
      <x:c r="F903" s="10" t="n">
        <x:v>0</x:v>
      </x:c>
      <x:c r="G903" s="12" t="n">
        <x:v>0</x:v>
      </x:c>
      <x:c r="H903" s="13" t="n">
        <x:v>0</x:v>
      </x:c>
      <x:c r="I903" s="10" t="n">
        <x:v>0</x:v>
      </x:c>
      <x:c r="J903" s="10" t="n">
        <x:v>0</x:v>
      </x:c>
      <x:c r="K903" s="10" t="str">
        <x:v>33 Mo.</x:v>
      </x:c>
      <x:c r="L903" s="10" t="n">
        <x:v>4</x:v>
      </x:c>
      <x:c r="M903" s="10" t="n">
        <x:v>0</x:v>
      </x:c>
      <x:c r="N903" s="10" t="n">
        <x:v>38</x:v>
      </x:c>
      <x:c r="O903" s="10" t="str">
        <x:v>Art &amp; Collectibles</x:v>
      </x:c>
      <x:c r="P903" s="10" t="n">
        <x:v>33</x:v>
      </x:c>
      <x:c r="Q903" s="10" t="n">
        <x:v>0</x:v>
      </x:c>
      <x:c r="R903" s="13" t="n">
        <x:v>0</x:v>
      </x:c>
      <x:c r="S903" s="10" t="n">
        <x:v>250</x:v>
      </x:c>
      <x:c r="T903" s="10" t="str">
        <x:v>debt payment,finance planner,debt payoff tracker,debt progress log,debt tracker log,snowball finance,credit card tracker,mortgage tracker,planner,debt snowball,debt management,debt free,printable</x:v>
      </x:c>
      <x:c r="U903" s="10" t="str">
        <x:v>debt payment</x:v>
      </x:c>
      <x:c r="V903" s="10" t="str">
        <x:v>finance planner</x:v>
      </x:c>
      <x:c r="W903" s="10" t="str">
        <x:v>debt payoff tracker</x:v>
      </x:c>
      <x:c r="X903" s="10" t="str">
        <x:v>debt progress log</x:v>
      </x:c>
      <x:c r="Y903" s="10" t="str">
        <x:v>debt tracker log</x:v>
      </x:c>
      <x:c r="Z903" s="10" t="str">
        <x:v>snowball finance</x:v>
      </x:c>
      <x:c r="AA903" s="10" t="str">
        <x:v>credit card tracker</x:v>
      </x:c>
      <x:c r="AB903" s="10" t="str">
        <x:v>mortgage tracker</x:v>
      </x:c>
      <x:c r="AC903" s="10" t="str">
        <x:v>planner</x:v>
      </x:c>
      <x:c r="AD903" s="10" t="str">
        <x:v>debt snowball</x:v>
      </x:c>
      <x:c r="AE903" s="10" t="str">
        <x:v>debt management</x:v>
      </x:c>
      <x:c r="AF903" s="10" t="str">
        <x:v>debt free</x:v>
      </x:c>
      <x:c r="AG903" s="10" t="str">
        <x:v>printable</x:v>
      </x:c>
      <x:c r="AH903" s="10" t="str">
        <x:v>General debt payoff</x:v>
      </x:c>
      <x:c r="AI903" s="13" t="n">
        <x:v>33</x:v>
      </x:c>
      <x:c r="AJ903" s="10" t="str">
        <x:f>IF(F903&gt;0,"Active","No est. sales")</x:f>
        <x:v>No est. sales</x:v>
      </x:c>
    </x:row>
    <x:row r="904">
      <x:c r="A904" s="10" t="str">
        <x:v>Home Buying Planner | Printable House Purchase Organizer | Budget, Mortgage, Viewing Checklist Tracker | Digital PDF First-Time Buyer Binder</x:v>
      </x:c>
      <x:c r="B904" s="10" t="str">
        <x:v>https://www.etsy.com/listing/4342291535/home-buying-planner-printable-house</x:v>
      </x:c>
      <x:c r="C904" s="10" t="str">
        <x:v>vibeforcreators</x:v>
      </x:c>
      <x:c r="D904" s="10" t="str">
        <x:v>https://www.etsy.com/shop/vibeforcreators</x:v>
      </x:c>
      <x:c r="E904" s="11" t="n">
        <x:v>1.97</x:v>
      </x:c>
      <x:c r="F904" s="10" t="n">
        <x:v>0</x:v>
      </x:c>
      <x:c r="G904" s="12" t="n">
        <x:v>0</x:v>
      </x:c>
      <x:c r="H904" s="13" t="n">
        <x:v>0</x:v>
      </x:c>
      <x:c r="I904" s="10" t="n">
        <x:v>0</x:v>
      </x:c>
      <x:c r="J904" s="10" t="n">
        <x:v>0</x:v>
      </x:c>
      <x:c r="K904" s="10" t="str">
        <x:v>7 Mo.</x:v>
      </x:c>
      <x:c r="L904" s="10" t="n">
        <x:v>2</x:v>
      </x:c>
      <x:c r="M904" s="10" t="n">
        <x:v>0</x:v>
      </x:c>
      <x:c r="N904" s="10" t="n">
        <x:v>9</x:v>
      </x:c>
      <x:c r="O904" s="10" t="str">
        <x:v>Art &amp; Collectibles</x:v>
      </x:c>
      <x:c r="P904" s="10" t="n">
        <x:v>8</x:v>
      </x:c>
      <x:c r="Q904" s="10" t="n">
        <x:v>0</x:v>
      </x:c>
      <x:c r="R904" s="13" t="n">
        <x:v>0</x:v>
      </x:c>
      <x:c r="S904" s="10" t="n">
        <x:v>2</x:v>
      </x:c>
      <x:c r="T904" s="10" t="str"/>
      <x:c r="U904" s="10" t="str">
        <x:v>--</x:v>
      </x:c>
      <x:c r="V904" s="10" t="str">
        <x:v>--</x:v>
      </x:c>
      <x:c r="W904" s="10" t="str">
        <x:v>--</x:v>
      </x:c>
      <x:c r="X904" s="10" t="str">
        <x:v>--</x:v>
      </x:c>
      <x:c r="Y904" s="10" t="str">
        <x:v>--</x:v>
      </x:c>
      <x:c r="Z904" s="10" t="str">
        <x:v>--</x:v>
      </x:c>
      <x:c r="AA904" s="10" t="str">
        <x:v>--</x:v>
      </x:c>
      <x:c r="AB904" s="10" t="str">
        <x:v>--</x:v>
      </x:c>
      <x:c r="AC904" s="10" t="str">
        <x:v>--</x:v>
      </x:c>
      <x:c r="AD904" s="10" t="str">
        <x:v>--</x:v>
      </x:c>
      <x:c r="AE904" s="10" t="str">
        <x:v>--</x:v>
      </x:c>
      <x:c r="AF904" s="10" t="str">
        <x:v>--</x:v>
      </x:c>
      <x:c r="AG904" s="10" t="str">
        <x:v>--</x:v>
      </x:c>
      <x:c r="AH904" s="10" t="str">
        <x:v>Home buying planner</x:v>
      </x:c>
      <x:c r="AI904" s="13" t="n">
        <x:v>7</x:v>
      </x:c>
      <x:c r="AJ904" s="10" t="str">
        <x:f>IF(F904&gt;0,"Active","No est. sales")</x:f>
        <x:v>No est. sales</x:v>
      </x:c>
    </x:row>
    <x:row r="905">
      <x:c r="A905" s="10" t="str">
        <x:v>Notion CRM Template for Mortgage Brokers | Beginner Friendly Client Tracker | Loan Management System</x:v>
      </x:c>
      <x:c r="B905" s="10" t="str">
        <x:v>https://www.etsy.com/listing/4481781291/notion-crm-template-for-mortgage-brokers</x:v>
      </x:c>
      <x:c r="C905" s="10" t="str">
        <x:v>WorkYourSheetOut</x:v>
      </x:c>
      <x:c r="D905" s="10" t="str">
        <x:v>https://www.etsy.com/shop/WorkYourSheetOut</x:v>
      </x:c>
      <x:c r="E905" s="11" t="n">
        <x:v>6.27</x:v>
      </x:c>
      <x:c r="F905" s="10" t="n">
        <x:v>0</x:v>
      </x:c>
      <x:c r="G905" s="12" t="n">
        <x:v>0</x:v>
      </x:c>
      <x:c r="H905" s="13" t="n">
        <x:v>0</x:v>
      </x:c>
      <x:c r="I905" s="10" t="n">
        <x:v>0</x:v>
      </x:c>
      <x:c r="J905" s="10" t="n">
        <x:v>0</x:v>
      </x:c>
      <x:c r="K905" s="10" t="str">
        <x:v>3 Mo.</x:v>
      </x:c>
      <x:c r="L905" s="10" t="n">
        <x:v>0</x:v>
      </x:c>
      <x:c r="M905" s="10" t="n">
        <x:v>0</x:v>
      </x:c>
      <x:c r="N905" s="10" t="n">
        <x:v>2</x:v>
      </x:c>
      <x:c r="O905" s="10" t="str">
        <x:v>Paper &amp; Party Supplies</x:v>
      </x:c>
      <x:c r="P905" s="10" t="n">
        <x:v>45</x:v>
      </x:c>
      <x:c r="Q905" s="10" t="n">
        <x:v>0</x:v>
      </x:c>
      <x:c r="R905" s="13" t="n">
        <x:v>0</x:v>
      </x:c>
      <x:c r="S905" s="10" t="n">
        <x:v>14</x:v>
      </x:c>
      <x:c r="T905" s="10" t="str">
        <x:v>beginner crm,mortgage broker tool,notion template,client tracker,loan manager,simple crm,finance planner,easy system,business starter,broker crm,workflow tool,digital system,productivity planner</x:v>
      </x:c>
      <x:c r="U905" s="10" t="str">
        <x:v>beginner crm</x:v>
      </x:c>
      <x:c r="V905" s="10" t="str">
        <x:v>mortgage broker tool</x:v>
      </x:c>
      <x:c r="W905" s="10" t="str">
        <x:v>notion template</x:v>
      </x:c>
      <x:c r="X905" s="10" t="str">
        <x:v>client tracker</x:v>
      </x:c>
      <x:c r="Y905" s="10" t="str">
        <x:v>loan manager</x:v>
      </x:c>
      <x:c r="Z905" s="10" t="str">
        <x:v>simple crm</x:v>
      </x:c>
      <x:c r="AA905" s="10" t="str">
        <x:v>finance planner</x:v>
      </x:c>
      <x:c r="AB905" s="10" t="str">
        <x:v>easy system</x:v>
      </x:c>
      <x:c r="AC905" s="10" t="str">
        <x:v>business starter</x:v>
      </x:c>
      <x:c r="AD905" s="10" t="str">
        <x:v>broker crm</x:v>
      </x:c>
      <x:c r="AE905" s="10" t="str">
        <x:v>workflow tool</x:v>
      </x:c>
      <x:c r="AF905" s="10" t="str">
        <x:v>digital system</x:v>
      </x:c>
      <x:c r="AG905" s="10" t="str">
        <x:v>productivity planner</x:v>
      </x:c>
      <x:c r="AH905" s="10" t="str">
        <x:v>Loan officer / B2B</x:v>
      </x:c>
      <x:c r="AI905" s="13" t="n">
        <x:v>3</x:v>
      </x:c>
      <x:c r="AJ905" s="10" t="str">
        <x:f>IF(F905&gt;0,"Active","No est. sales")</x:f>
        <x:v>No est. sales</x:v>
      </x:c>
    </x:row>
    <x:row r="906">
      <x:c r="A906" s="10" t="str">
        <x:v>Euro Money Planner | Budget, Savings, Debt &amp; Mortgage Overpayment | Excel, Google Sheets And Web App - No Software Needed</x:v>
      </x:c>
      <x:c r="B906" s="10" t="str">
        <x:v>https://www.etsy.com/listing/4523351095/euro-money-planner-budget-savings-debt</x:v>
      </x:c>
      <x:c r="C906" s="10" t="str">
        <x:v>PennyWiseUK</x:v>
      </x:c>
      <x:c r="D906" s="10" t="str">
        <x:v>https://www.etsy.com/shop/PennyWiseUK</x:v>
      </x:c>
      <x:c r="E906" s="11" t="n">
        <x:v>13.35</x:v>
      </x:c>
      <x:c r="F906" s="10" t="n">
        <x:v>0</x:v>
      </x:c>
      <x:c r="G906" s="12" t="n">
        <x:v>0</x:v>
      </x:c>
      <x:c r="H906" s="13" t="n">
        <x:v>0</x:v>
      </x:c>
      <x:c r="I906" s="10" t="n">
        <x:v>0</x:v>
      </x:c>
      <x:c r="J906" s="10" t="n">
        <x:v>0</x:v>
      </x:c>
      <x:c r="K906" s="10" t="str">
        <x:v>1 Mo.</x:v>
      </x:c>
      <x:c r="L906" s="10" t="n">
        <x:v>0</x:v>
      </x:c>
      <x:c r="M906" s="10" t="n">
        <x:v>0</x:v>
      </x:c>
      <x:c r="N906" s="10" t="n">
        <x:v>4</x:v>
      </x:c>
      <x:c r="O906" s="10" t="str">
        <x:v>Paper &amp; Party Supplies</x:v>
      </x:c>
      <x:c r="P906" s="10" t="n">
        <x:v>1</x:v>
      </x:c>
      <x:c r="Q906" s="10" t="n">
        <x:v>0</x:v>
      </x:c>
      <x:c r="R906" s="13" t="n">
        <x:v>0</x:v>
      </x:c>
      <x:c r="S906" s="10" t="n">
        <x:v>0</x:v>
      </x:c>
      <x:c r="T906" s="10" t="str">
        <x:v>budget planner euro,debt payoff tracker,savings tracker,money tracker,excel budget tracker,google sheets budget,no software needed,household budget,euro finance planner,debt snowball,expense tracker,monthly budget</x:v>
      </x:c>
      <x:c r="U906" s="10" t="str">
        <x:v>budget planner euro</x:v>
      </x:c>
      <x:c r="V906" s="10" t="str">
        <x:v>debt payoff tracker</x:v>
      </x:c>
      <x:c r="W906" s="10" t="str">
        <x:v>savings tracker</x:v>
      </x:c>
      <x:c r="X906" s="10" t="str">
        <x:v>money tracker</x:v>
      </x:c>
      <x:c r="Y906" s="10" t="str">
        <x:v>excel budget tracker</x:v>
      </x:c>
      <x:c r="Z906" s="10" t="str">
        <x:v>google sheets budget</x:v>
      </x:c>
      <x:c r="AA906" s="10" t="str">
        <x:v>no software needed</x:v>
      </x:c>
      <x:c r="AB906" s="10" t="str">
        <x:v>household budget</x:v>
      </x:c>
      <x:c r="AC906" s="10" t="str">
        <x:v>euro finance planner</x:v>
      </x:c>
      <x:c r="AD906" s="10" t="str">
        <x:v>debt snowball</x:v>
      </x:c>
      <x:c r="AE906" s="10" t="str">
        <x:v>expense tracker</x:v>
      </x:c>
      <x:c r="AF906" s="10" t="str">
        <x:v>monthly budget</x:v>
      </x:c>
      <x:c r="AG906" s="10" t="str">
        <x:v>--</x:v>
      </x:c>
      <x:c r="AH906" s="10" t="str">
        <x:v>Other mortgage-related</x:v>
      </x:c>
      <x:c r="AI906" s="13" t="n">
        <x:v>1</x:v>
      </x:c>
      <x:c r="AJ906" s="10" t="str">
        <x:f>IF(F906&gt;0,"Active","No est. sales")</x:f>
        <x:v>No est. sales</x:v>
      </x:c>
    </x:row>
    <x:row r="907">
      <x:c r="A907" s="10" t="str">
        <x:v>First Time Homebuyer Complete Roadmap - Home Buying Guide Printable Mortgage Checklist Planner</x:v>
      </x:c>
      <x:c r="B907" s="10" t="str">
        <x:v>https://www.etsy.com/listing/4498596204/first-time-homebuyer-complete-roadmap</x:v>
      </x:c>
      <x:c r="C907" s="10" t="str">
        <x:v>CorePromptStudio</x:v>
      </x:c>
      <x:c r="D907" s="10" t="str">
        <x:v>https://www.etsy.com/shop/CorePromptStudio</x:v>
      </x:c>
      <x:c r="E907" s="11" t="n">
        <x:v>29</x:v>
      </x:c>
      <x:c r="F907" s="10" t="n">
        <x:v>0</x:v>
      </x:c>
      <x:c r="G907" s="12" t="n">
        <x:v>0</x:v>
      </x:c>
      <x:c r="H907" s="13" t="n">
        <x:v>0</x:v>
      </x:c>
      <x:c r="I907" s="10" t="n">
        <x:v>0</x:v>
      </x:c>
      <x:c r="J907" s="10" t="n">
        <x:v>0</x:v>
      </x:c>
      <x:c r="K907" s="10" t="str">
        <x:v>2 Mo.</x:v>
      </x:c>
      <x:c r="L907" s="10" t="n">
        <x:v>0</x:v>
      </x:c>
      <x:c r="M907" s="10" t="n">
        <x:v>0</x:v>
      </x:c>
      <x:c r="N907" s="10" t="n">
        <x:v>4</x:v>
      </x:c>
      <x:c r="O907" s="10" t="str">
        <x:v>Art &amp; Collectibles</x:v>
      </x:c>
      <x:c r="P907" s="10" t="n">
        <x:v>9</x:v>
      </x:c>
      <x:c r="Q907" s="10" t="n">
        <x:v>0</x:v>
      </x:c>
      <x:c r="R907" s="13" t="n">
        <x:v>0</x:v>
      </x:c>
      <x:c r="S907" s="10" t="n">
        <x:v>19</x:v>
      </x:c>
      <x:c r="T907" s="10" t="str">
        <x:v>first time buyer,home buying guide,homebuyer planner,mortgage checklist,home buying tips,real estate print,house hunting,closing checklist,homeowner guide,down payment plan,digital download,new homeowner,home purchase</x:v>
      </x:c>
      <x:c r="U907" s="10" t="str">
        <x:v>first time buyer</x:v>
      </x:c>
      <x:c r="V907" s="10" t="str">
        <x:v>home buying guide</x:v>
      </x:c>
      <x:c r="W907" s="10" t="str">
        <x:v>homebuyer planner</x:v>
      </x:c>
      <x:c r="X907" s="10" t="str">
        <x:v>mortgage checklist</x:v>
      </x:c>
      <x:c r="Y907" s="10" t="str">
        <x:v>home buying tips</x:v>
      </x:c>
      <x:c r="Z907" s="10" t="str">
        <x:v>real estate print</x:v>
      </x:c>
      <x:c r="AA907" s="10" t="str">
        <x:v>house hunting</x:v>
      </x:c>
      <x:c r="AB907" s="10" t="str">
        <x:v>closing checklist</x:v>
      </x:c>
      <x:c r="AC907" s="10" t="str">
        <x:v>homeowner guide</x:v>
      </x:c>
      <x:c r="AD907" s="10" t="str">
        <x:v>down payment plan</x:v>
      </x:c>
      <x:c r="AE907" s="10" t="str">
        <x:v>digital download</x:v>
      </x:c>
      <x:c r="AF907" s="10" t="str">
        <x:v>new homeowner</x:v>
      </x:c>
      <x:c r="AG907" s="10" t="str">
        <x:v>home purchase</x:v>
      </x:c>
      <x:c r="AH907" s="10" t="str">
        <x:v>Home buying planner</x:v>
      </x:c>
      <x:c r="AI907" s="13" t="n">
        <x:v>2</x:v>
      </x:c>
      <x:c r="AJ907" s="10" t="str">
        <x:f>IF(F907&gt;0,"Active","No est. sales")</x:f>
        <x:v>No est. sales</x:v>
      </x:c>
    </x:row>
    <x:row r="908">
      <x:c r="A908" s="10" t="str">
        <x:v>Mortgage Tracker Bundle, Savings, Home Loan Payments, Finance Planner, Printable, A4/A5/US Letter, Instant Download PDF</x:v>
      </x:c>
      <x:c r="B908" s="10" t="str">
        <x:v>https://www.etsy.com/listing/1753157498/mortgage-tracker-bundle-savings-home</x:v>
      </x:c>
      <x:c r="C908" s="10" t="str">
        <x:v>DailyMadeSimple</x:v>
      </x:c>
      <x:c r="D908" s="10" t="str">
        <x:v>https://www.etsy.com/shop/DailyMadeSimple</x:v>
      </x:c>
      <x:c r="E908" s="11" t="n">
        <x:v>3.63</x:v>
      </x:c>
      <x:c r="F908" s="10" t="n">
        <x:v>0</x:v>
      </x:c>
      <x:c r="G908" s="12" t="n">
        <x:v>0</x:v>
      </x:c>
      <x:c r="H908" s="13" t="n">
        <x:v>0</x:v>
      </x:c>
      <x:c r="I908" s="10" t="n">
        <x:v>0</x:v>
      </x:c>
      <x:c r="J908" s="10" t="n">
        <x:v>0</x:v>
      </x:c>
      <x:c r="K908" s="10" t="str">
        <x:v>22 Mo.</x:v>
      </x:c>
      <x:c r="L908" s="10" t="n">
        <x:v>2</x:v>
      </x:c>
      <x:c r="M908" s="10" t="n">
        <x:v>0</x:v>
      </x:c>
      <x:c r="N908" s="10" t="n">
        <x:v>56</x:v>
      </x:c>
      <x:c r="O908" s="10" t="str">
        <x:v>Paper &amp; Party Supplies</x:v>
      </x:c>
      <x:c r="P908" s="10" t="n">
        <x:v>24</x:v>
      </x:c>
      <x:c r="Q908" s="10" t="n">
        <x:v>0</x:v>
      </x:c>
      <x:c r="R908" s="13" t="n">
        <x:v>0</x:v>
      </x:c>
      <x:c r="S908" s="10" t="n">
        <x:v>220</x:v>
      </x:c>
      <x:c r="T908" s="10" t="str">
        <x:v>printable planner,home payments,house loan,monthly budget,mortgage tracker,personal finance,budget binder,bill tracker,debt tracker,loan payoff tracker,planner inserts,digital download,mortgage payments</x:v>
      </x:c>
      <x:c r="U908" s="10" t="str">
        <x:v>printable planner</x:v>
      </x:c>
      <x:c r="V908" s="10" t="str">
        <x:v>home payments</x:v>
      </x:c>
      <x:c r="W908" s="10" t="str">
        <x:v>house loan</x:v>
      </x:c>
      <x:c r="X908" s="10" t="str">
        <x:v>monthly budget</x:v>
      </x:c>
      <x:c r="Y908" s="10" t="str">
        <x:v>mortgage tracker</x:v>
      </x:c>
      <x:c r="Z908" s="10" t="str">
        <x:v>personal finance</x:v>
      </x:c>
      <x:c r="AA908" s="10" t="str">
        <x:v>budget binder</x:v>
      </x:c>
      <x:c r="AB908" s="10" t="str">
        <x:v>bill tracker</x:v>
      </x:c>
      <x:c r="AC908" s="10" t="str">
        <x:v>debt tracker</x:v>
      </x:c>
      <x:c r="AD908" s="10" t="str">
        <x:v>loan payoff tracker</x:v>
      </x:c>
      <x:c r="AE908" s="10" t="str">
        <x:v>planner inserts</x:v>
      </x:c>
      <x:c r="AF908" s="10" t="str">
        <x:v>digital download</x:v>
      </x:c>
      <x:c r="AG908" s="10" t="str">
        <x:v>mortgage payments</x:v>
      </x:c>
      <x:c r="AH908" s="10" t="str">
        <x:v>Other mortgage-related</x:v>
      </x:c>
      <x:c r="AI908" s="13" t="n">
        <x:v>22</x:v>
      </x:c>
      <x:c r="AJ908" s="10" t="str">
        <x:f>IF(F908&gt;0,"Active","No est. sales")</x:f>
        <x:v>No est. sales</x:v>
      </x:c>
    </x:row>
    <x:row r="909">
      <x:c r="A909" s="10" t="str">
        <x:v>Mortgage Affordability Calculator Web App | PITI, DTI, Max Price, Stress Test (Instant Download)</x:v>
      </x:c>
      <x:c r="B909" s="10" t="str">
        <x:v>https://www.etsy.com/listing/4511962760/mortgage-affordability-calculator-web</x:v>
      </x:c>
      <x:c r="C909" s="10" t="str">
        <x:v>SoloStackCreations</x:v>
      </x:c>
      <x:c r="D909" s="10" t="str">
        <x:v>https://www.etsy.com/shop/SoloStackCreations</x:v>
      </x:c>
      <x:c r="E909" s="11" t="n">
        <x:v>9</x:v>
      </x:c>
      <x:c r="F909" s="10" t="n">
        <x:v>0</x:v>
      </x:c>
      <x:c r="G909" s="12" t="n">
        <x:v>0</x:v>
      </x:c>
      <x:c r="H909" s="13" t="n">
        <x:v>0</x:v>
      </x:c>
      <x:c r="I909" s="10" t="n">
        <x:v>0</x:v>
      </x:c>
      <x:c r="J909" s="10" t="n">
        <x:v>0</x:v>
      </x:c>
      <x:c r="K909" s="10" t="str">
        <x:v>1 Mo.</x:v>
      </x:c>
      <x:c r="L909" s="10" t="n">
        <x:v>0</x:v>
      </x:c>
      <x:c r="M909" s="10" t="n">
        <x:v>0</x:v>
      </x:c>
      <x:c r="N909" s="10" t="n">
        <x:v>2</x:v>
      </x:c>
      <x:c r="O909" s="10" t="str"/>
      <x:c r="P909" s="10" t="n">
        <x:v>0</x:v>
      </x:c>
      <x:c r="Q909" s="10" t="n">
        <x:v>0</x:v>
      </x:c>
      <x:c r="R909" s="13" t="n">
        <x:v>0</x:v>
      </x:c>
      <x:c r="S909" s="10" t="n">
        <x:v>1</x:v>
      </x:c>
      <x:c r="T909" s="10" t="str">
        <x:v>mortgage calculator,affordability calc,piti calculator,dti ratio calc,home buyer tool,first time buyer,mortgage planner,home loan calc,mortgage rate calc,pmi calculator,home affordability,refinance tool,home loan planner</x:v>
      </x:c>
      <x:c r="U909" s="10" t="str">
        <x:v>mortgage calculator</x:v>
      </x:c>
      <x:c r="V909" s="10" t="str">
        <x:v>affordability calc</x:v>
      </x:c>
      <x:c r="W909" s="10" t="str">
        <x:v>piti calculator</x:v>
      </x:c>
      <x:c r="X909" s="10" t="str">
        <x:v>dti ratio calc</x:v>
      </x:c>
      <x:c r="Y909" s="10" t="str">
        <x:v>home buyer tool</x:v>
      </x:c>
      <x:c r="Z909" s="10" t="str">
        <x:v>first time buyer</x:v>
      </x:c>
      <x:c r="AA909" s="10" t="str">
        <x:v>mortgage planner</x:v>
      </x:c>
      <x:c r="AB909" s="10" t="str">
        <x:v>home loan calc</x:v>
      </x:c>
      <x:c r="AC909" s="10" t="str">
        <x:v>mortgage rate calc</x:v>
      </x:c>
      <x:c r="AD909" s="10" t="str">
        <x:v>pmi calculator</x:v>
      </x:c>
      <x:c r="AE909" s="10" t="str">
        <x:v>home affordability</x:v>
      </x:c>
      <x:c r="AF909" s="10" t="str">
        <x:v>refinance tool</x:v>
      </x:c>
      <x:c r="AG909" s="10" t="str">
        <x:v>home loan planner</x:v>
      </x:c>
      <x:c r="AH909" s="10" t="str">
        <x:v>Other mortgage-related</x:v>
      </x:c>
      <x:c r="AI909" s="13" t="n">
        <x:v>1</x:v>
      </x:c>
      <x:c r="AJ909" s="10" t="str">
        <x:f>IF(F909&gt;0,"Active","No est. sales")</x:f>
        <x:v>No est. sales</x:v>
      </x:c>
    </x:row>
    <x:row r="910">
      <x:c r="A910" s="10" t="str">
        <x:v>Home Buying &amp; Mortgage Planner</x:v>
      </x:c>
      <x:c r="B910" s="10" t="str">
        <x:v>https://www.etsy.com/listing/1837493960/home-buying-mortgage-planner</x:v>
      </x:c>
      <x:c r="C910" s="10" t="str">
        <x:v>StephanieRosanna</x:v>
      </x:c>
      <x:c r="D910" s="10" t="str">
        <x:v>https://www.etsy.com/shop/StephanieRosanna</x:v>
      </x:c>
      <x:c r="E910" s="11" t="n">
        <x:v>7.21</x:v>
      </x:c>
      <x:c r="F910" s="10" t="n">
        <x:v>0</x:v>
      </x:c>
      <x:c r="G910" s="12" t="n">
        <x:v>0</x:v>
      </x:c>
      <x:c r="H910" s="13" t="n">
        <x:v>0</x:v>
      </x:c>
      <x:c r="I910" s="10" t="n">
        <x:v>0</x:v>
      </x:c>
      <x:c r="J910" s="10" t="n">
        <x:v>0</x:v>
      </x:c>
      <x:c r="K910" s="10" t="str">
        <x:v>1 Mo.</x:v>
      </x:c>
      <x:c r="L910" s="10" t="n">
        <x:v>1</x:v>
      </x:c>
      <x:c r="M910" s="10" t="n">
        <x:v>0</x:v>
      </x:c>
      <x:c r="N910" s="10" t="n">
        <x:v>298</x:v>
      </x:c>
      <x:c r="O910" s="10" t="str"/>
      <x:c r="P910" s="10" t="n">
        <x:v>1</x:v>
      </x:c>
      <x:c r="Q910" s="10" t="n">
        <x:v>75</x:v>
      </x:c>
      <x:c r="R910" s="13" t="n">
        <x:v>0</x:v>
      </x:c>
      <x:c r="S910" s="10" t="n">
        <x:v>97</x:v>
      </x:c>
      <x:c r="T910" s="10" t="str">
        <x:v>home buying,mortgage,template,excel,planner</x:v>
      </x:c>
      <x:c r="U910" s="10" t="str">
        <x:v>home buying</x:v>
      </x:c>
      <x:c r="V910" s="10" t="str">
        <x:v>mortgage</x:v>
      </x:c>
      <x:c r="W910" s="10" t="str">
        <x:v>template</x:v>
      </x:c>
      <x:c r="X910" s="10" t="str">
        <x:v>excel</x:v>
      </x:c>
      <x:c r="Y910" s="10" t="str">
        <x:v>planner</x:v>
      </x:c>
      <x:c r="Z910" s="10" t="str">
        <x:v>--</x:v>
      </x:c>
      <x:c r="AA910" s="10" t="str">
        <x:v>--</x:v>
      </x:c>
      <x:c r="AB910" s="10" t="str">
        <x:v>--</x:v>
      </x:c>
      <x:c r="AC910" s="10" t="str">
        <x:v>--</x:v>
      </x:c>
      <x:c r="AD910" s="10" t="str">
        <x:v>--</x:v>
      </x:c>
      <x:c r="AE910" s="10" t="str">
        <x:v>--</x:v>
      </x:c>
      <x:c r="AF910" s="10" t="str">
        <x:v>--</x:v>
      </x:c>
      <x:c r="AG910" s="10" t="str">
        <x:v>--</x:v>
      </x:c>
      <x:c r="AH910" s="10" t="str">
        <x:v>Other mortgage-related</x:v>
      </x:c>
      <x:c r="AI910" s="13" t="n">
        <x:v>1</x:v>
      </x:c>
      <x:c r="AJ910" s="10" t="str">
        <x:f>IF(F910&gt;0,"Active","No est. sales")</x:f>
        <x:v>No est. sales</x:v>
      </x:c>
    </x:row>
    <x:row r="911">
      <x:c r="A911" s="10" t="str">
        <x:v>First-Time Home Buyer Planner | Home Buying Command Center Excel with Affordability Calculator, House Comparison &amp; Offer Tracker</x:v>
      </x:c>
      <x:c r="B911" s="10" t="str">
        <x:v>https://www.etsy.com/listing/4536812596/first-time-home-buyer-planner-home</x:v>
      </x:c>
      <x:c r="C911" s="10" t="str">
        <x:v>CrispDocs</x:v>
      </x:c>
      <x:c r="D911" s="10" t="str">
        <x:v>https://www.etsy.com/shop/CrispDocs</x:v>
      </x:c>
      <x:c r="E911" s="11" t="n">
        <x:v>17.13</x:v>
      </x:c>
      <x:c r="F911" s="10" t="n">
        <x:v>0</x:v>
      </x:c>
      <x:c r="G911" s="12" t="n">
        <x:v>0</x:v>
      </x:c>
      <x:c r="H911" s="13" t="n">
        <x:v>0</x:v>
      </x:c>
      <x:c r="I911" s="10" t="n">
        <x:v>0</x:v>
      </x:c>
      <x:c r="J911" s="10" t="n">
        <x:v>0</x:v>
      </x:c>
      <x:c r="K911" s="10" t="str">
        <x:v>1 Mo.</x:v>
      </x:c>
      <x:c r="L911" s="10" t="n">
        <x:v>0</x:v>
      </x:c>
      <x:c r="M911" s="10" t="n">
        <x:v>0</x:v>
      </x:c>
      <x:c r="N911" s="10" t="n">
        <x:v>0</x:v>
      </x:c>
      <x:c r="O911" s="10" t="str"/>
      <x:c r="P911" s="10" t="n">
        <x:v>0</x:v>
      </x:c>
      <x:c r="Q911" s="10" t="n">
        <x:v>0</x:v>
      </x:c>
      <x:c r="R911" s="13" t="n">
        <x:v>0</x:v>
      </x:c>
      <x:c r="S911" s="10" t="n">
        <x:v>0</x:v>
      </x:c>
      <x:c r="T911" s="10" t="str">
        <x:v>home buying planner,home buyer checklist,mortgage checklist,home affordability,house comparison,closing cost tracker,new homeowner,excel planner,home buying binder,life admin,first time home,house hunting,home buying</x:v>
      </x:c>
      <x:c r="U911" s="10" t="str">
        <x:v>home buying planner</x:v>
      </x:c>
      <x:c r="V911" s="10" t="str">
        <x:v>home buyer checklist</x:v>
      </x:c>
      <x:c r="W911" s="10" t="str">
        <x:v>mortgage checklist</x:v>
      </x:c>
      <x:c r="X911" s="10" t="str">
        <x:v>home affordability</x:v>
      </x:c>
      <x:c r="Y911" s="10" t="str">
        <x:v>house comparison</x:v>
      </x:c>
      <x:c r="Z911" s="10" t="str">
        <x:v>closing cost tracker</x:v>
      </x:c>
      <x:c r="AA911" s="10" t="str">
        <x:v>new homeowner</x:v>
      </x:c>
      <x:c r="AB911" s="10" t="str">
        <x:v>excel planner</x:v>
      </x:c>
      <x:c r="AC911" s="10" t="str">
        <x:v>home buying binder</x:v>
      </x:c>
      <x:c r="AD911" s="10" t="str">
        <x:v>life admin</x:v>
      </x:c>
      <x:c r="AE911" s="10" t="str">
        <x:v>first time home</x:v>
      </x:c>
      <x:c r="AF911" s="10" t="str">
        <x:v>house hunting</x:v>
      </x:c>
      <x:c r="AG911" s="10" t="str">
        <x:v>home buying</x:v>
      </x:c>
      <x:c r="AH911" s="10" t="str">
        <x:v>Home buying planner</x:v>
      </x:c>
      <x:c r="AI911" s="13" t="n">
        <x:v>1</x:v>
      </x:c>
      <x:c r="AJ911" s="10" t="str">
        <x:f>IF(F911&gt;0,"Active","No est. sales")</x:f>
        <x:v>No est. sales</x:v>
      </x:c>
    </x:row>
    <x:row r="912">
      <x:c r="A912" s="10" t="str">
        <x:v>House Deposit Savings Planner Excel | First Time Buyer Tracker (Instant Download)</x:v>
      </x:c>
      <x:c r="B912" s="10" t="str">
        <x:v>https://www.etsy.com/listing/4510516713/house-deposit-savings-planner-excel</x:v>
      </x:c>
      <x:c r="C912" s="10" t="str">
        <x:v>PoundPilotTemplates</x:v>
      </x:c>
      <x:c r="D912" s="10" t="str">
        <x:v>https://www.etsy.com/shop/PoundPilotTemplates</x:v>
      </x:c>
      <x:c r="E912" s="11" t="n">
        <x:v>9.37</x:v>
      </x:c>
      <x:c r="F912" s="10" t="n">
        <x:v>0</x:v>
      </x:c>
      <x:c r="G912" s="12" t="n">
        <x:v>0</x:v>
      </x:c>
      <x:c r="H912" s="13" t="n">
        <x:v>0</x:v>
      </x:c>
      <x:c r="I912" s="10" t="n">
        <x:v>0</x:v>
      </x:c>
      <x:c r="J912" s="10" t="n">
        <x:v>0</x:v>
      </x:c>
      <x:c r="K912" s="10" t="str">
        <x:v>1 Mo.</x:v>
      </x:c>
      <x:c r="L912" s="10" t="n">
        <x:v>0</x:v>
      </x:c>
      <x:c r="M912" s="10" t="n">
        <x:v>0</x:v>
      </x:c>
      <x:c r="N912" s="10" t="n">
        <x:v>19</x:v>
      </x:c>
      <x:c r="O912" s="10" t="str"/>
      <x:c r="P912" s="10" t="n">
        <x:v>7</x:v>
      </x:c>
      <x:c r="Q912" s="10" t="n">
        <x:v>0</x:v>
      </x:c>
      <x:c r="R912" s="13" t="n">
        <x:v>0</x:v>
      </x:c>
      <x:c r="S912" s="10" t="n">
        <x:v>0</x:v>
      </x:c>
      <x:c r="T912" s="10" t="str">
        <x:v>house deposit,uk first time buyer,deposit tracker,savings planner,savings goal,lisa tracker,deposit calculator,first home savings,mortgage savings,stamp duty uk,savings spreadsheet,home planner,property savings</x:v>
      </x:c>
      <x:c r="U912" s="10" t="str">
        <x:v>house deposit</x:v>
      </x:c>
      <x:c r="V912" s="10" t="str">
        <x:v>uk first time buyer</x:v>
      </x:c>
      <x:c r="W912" s="10" t="str">
        <x:v>deposit tracker</x:v>
      </x:c>
      <x:c r="X912" s="10" t="str">
        <x:v>savings planner</x:v>
      </x:c>
      <x:c r="Y912" s="10" t="str">
        <x:v>savings goal</x:v>
      </x:c>
      <x:c r="Z912" s="10" t="str">
        <x:v>lisa tracker</x:v>
      </x:c>
      <x:c r="AA912" s="10" t="str">
        <x:v>deposit calculator</x:v>
      </x:c>
      <x:c r="AB912" s="10" t="str">
        <x:v>first home savings</x:v>
      </x:c>
      <x:c r="AC912" s="10" t="str">
        <x:v>mortgage savings</x:v>
      </x:c>
      <x:c r="AD912" s="10" t="str">
        <x:v>stamp duty uk</x:v>
      </x:c>
      <x:c r="AE912" s="10" t="str">
        <x:v>savings spreadsheet</x:v>
      </x:c>
      <x:c r="AF912" s="10" t="str">
        <x:v>home planner</x:v>
      </x:c>
      <x:c r="AG912" s="10" t="str">
        <x:v>property savings</x:v>
      </x:c>
      <x:c r="AH912" s="10" t="str">
        <x:v>Other mortgage-related</x:v>
      </x:c>
      <x:c r="AI912" s="13" t="n">
        <x:v>1</x:v>
      </x:c>
      <x:c r="AJ912" s="10" t="str">
        <x:f>IF(F912&gt;0,"Active","No est. sales")</x:f>
        <x:v>No est. sales</x:v>
      </x:c>
    </x:row>
    <x:row r="913">
      <x:c r="A913" s="10" t="str">
        <x:v>Home Buying Guide and Workbook</x:v>
      </x:c>
      <x:c r="B913" s="10" t="str">
        <x:v>https://www.etsy.com/listing/4536582995/home-buying-guide-and-workbook</x:v>
      </x:c>
      <x:c r="C913" s="10" t="str">
        <x:v>JallySwight</x:v>
      </x:c>
      <x:c r="D913" s="10" t="str">
        <x:v>https://www.etsy.com/shop/JallySwight</x:v>
      </x:c>
      <x:c r="E913" s="11" t="n">
        <x:v>33.5</x:v>
      </x:c>
      <x:c r="F913" s="10" t="n">
        <x:v>0</x:v>
      </x:c>
      <x:c r="G913" s="12" t="n">
        <x:v>0</x:v>
      </x:c>
      <x:c r="H913" s="13" t="n">
        <x:v>0</x:v>
      </x:c>
      <x:c r="I913" s="10" t="n">
        <x:v>0</x:v>
      </x:c>
      <x:c r="J913" s="10" t="n">
        <x:v>0</x:v>
      </x:c>
      <x:c r="K913" s="10" t="str">
        <x:v>1 Mo.</x:v>
      </x:c>
      <x:c r="L913" s="10" t="n">
        <x:v>0</x:v>
      </x:c>
      <x:c r="M913" s="10" t="n">
        <x:v>0</x:v>
      </x:c>
      <x:c r="N913" s="10" t="n">
        <x:v>0</x:v>
      </x:c>
      <x:c r="O913" s="10" t="str">
        <x:v>Books, Movies &amp; Music</x:v>
      </x:c>
      <x:c r="P913" s="10" t="n">
        <x:v>0</x:v>
      </x:c>
      <x:c r="Q913" s="10" t="n">
        <x:v>0</x:v>
      </x:c>
      <x:c r="R913" s="13" t="n">
        <x:v>0</x:v>
      </x:c>
      <x:c r="S913" s="10" t="n">
        <x:v>0</x:v>
      </x:c>
      <x:c r="T913" s="10" t="str">
        <x:v>jally swight,home buying guide,first time buyer,mortgage planner,deposit saving,house hunting,property checklist,mortgage calculator,house buying,digital download,first home,property planner,printable workbook</x:v>
      </x:c>
      <x:c r="U913" s="10" t="str">
        <x:v>jally swight</x:v>
      </x:c>
      <x:c r="V913" s="10" t="str">
        <x:v>home buying guide</x:v>
      </x:c>
      <x:c r="W913" s="10" t="str">
        <x:v>first time buyer</x:v>
      </x:c>
      <x:c r="X913" s="10" t="str">
        <x:v>mortgage planner</x:v>
      </x:c>
      <x:c r="Y913" s="10" t="str">
        <x:v>deposit saving</x:v>
      </x:c>
      <x:c r="Z913" s="10" t="str">
        <x:v>house hunting</x:v>
      </x:c>
      <x:c r="AA913" s="10" t="str">
        <x:v>property checklist</x:v>
      </x:c>
      <x:c r="AB913" s="10" t="str">
        <x:v>mortgage calculator</x:v>
      </x:c>
      <x:c r="AC913" s="10" t="str">
        <x:v>house buying</x:v>
      </x:c>
      <x:c r="AD913" s="10" t="str">
        <x:v>digital download</x:v>
      </x:c>
      <x:c r="AE913" s="10" t="str">
        <x:v>first home</x:v>
      </x:c>
      <x:c r="AF913" s="10" t="str">
        <x:v>property planner</x:v>
      </x:c>
      <x:c r="AG913" s="10" t="str">
        <x:v>printable workbook</x:v>
      </x:c>
      <x:c r="AH913" s="10" t="str">
        <x:v>Home buying planner</x:v>
      </x:c>
      <x:c r="AI913" s="13" t="n">
        <x:v>1</x:v>
      </x:c>
      <x:c r="AJ913" s="10" t="str">
        <x:f>IF(F913&gt;0,"Active","No est. sales")</x:f>
        <x:v>No est. sales</x:v>
      </x:c>
    </x:row>
    <x:row r="914">
      <x:c r="A914" s="10" t="str">
        <x:v>Home Buying Offer Prep Checklist Printable | Real Estate Buyer Worksheet | House Hunting Planner | Negotiation Guide PDF | Realtor Tool</x:v>
      </x:c>
      <x:c r="B914" s="10" t="str">
        <x:v>https://www.etsy.com/listing/4512321634/home-buying-offer-prep-checklist</x:v>
      </x:c>
      <x:c r="C914" s="10" t="str">
        <x:v>MichaelSeongDesigns</x:v>
      </x:c>
      <x:c r="D914" s="10" t="str">
        <x:v>https://www.etsy.com/shop/MichaelSeongDesigns</x:v>
      </x:c>
      <x:c r="E914" s="11" t="n">
        <x:v>3.54</x:v>
      </x:c>
      <x:c r="F914" s="10" t="n">
        <x:v>0</x:v>
      </x:c>
      <x:c r="G914" s="12" t="n">
        <x:v>0</x:v>
      </x:c>
      <x:c r="H914" s="13" t="n">
        <x:v>0</x:v>
      </x:c>
      <x:c r="I914" s="10" t="n">
        <x:v>0</x:v>
      </x:c>
      <x:c r="J914" s="10" t="n">
        <x:v>0</x:v>
      </x:c>
      <x:c r="K914" s="10" t="str">
        <x:v>2 Mo.</x:v>
      </x:c>
      <x:c r="L914" s="10" t="n">
        <x:v>0</x:v>
      </x:c>
      <x:c r="M914" s="10" t="n">
        <x:v>0</x:v>
      </x:c>
      <x:c r="N914" s="10" t="n">
        <x:v>5</x:v>
      </x:c>
      <x:c r="O914" s="10" t="str">
        <x:v>Paper &amp; Party Supplies</x:v>
      </x:c>
      <x:c r="P914" s="10" t="n">
        <x:v>71</x:v>
      </x:c>
      <x:c r="Q914" s="10" t="n">
        <x:v>0</x:v>
      </x:c>
      <x:c r="R914" s="13" t="n">
        <x:v>0</x:v>
      </x:c>
      <x:c r="S914" s="10" t="n">
        <x:v>24</x:v>
      </x:c>
      <x:c r="T914" s="10" t="str">
        <x:v>home buying,house hunting,real estate,offer prep worksheet,buyer agent packet,realtor tools,first time homebuyer,real estate guide,negotiation tracker,house offer planner,property research,mortgage planner,moving checklist</x:v>
      </x:c>
      <x:c r="U914" s="10" t="str">
        <x:v>home buying</x:v>
      </x:c>
      <x:c r="V914" s="10" t="str">
        <x:v>house hunting</x:v>
      </x:c>
      <x:c r="W914" s="10" t="str">
        <x:v>real estate</x:v>
      </x:c>
      <x:c r="X914" s="10" t="str">
        <x:v>offer prep worksheet</x:v>
      </x:c>
      <x:c r="Y914" s="10" t="str">
        <x:v>buyer agent packet</x:v>
      </x:c>
      <x:c r="Z914" s="10" t="str">
        <x:v>realtor tools</x:v>
      </x:c>
      <x:c r="AA914" s="10" t="str">
        <x:v>first time homebuyer</x:v>
      </x:c>
      <x:c r="AB914" s="10" t="str">
        <x:v>real estate guide</x:v>
      </x:c>
      <x:c r="AC914" s="10" t="str">
        <x:v>negotiation tracker</x:v>
      </x:c>
      <x:c r="AD914" s="10" t="str">
        <x:v>house offer planner</x:v>
      </x:c>
      <x:c r="AE914" s="10" t="str">
        <x:v>property research</x:v>
      </x:c>
      <x:c r="AF914" s="10" t="str">
        <x:v>mortgage planner</x:v>
      </x:c>
      <x:c r="AG914" s="10" t="str">
        <x:v>moving checklist</x:v>
      </x:c>
      <x:c r="AH914" s="10" t="str">
        <x:v>Home buying planner</x:v>
      </x:c>
      <x:c r="AI914" s="13" t="n">
        <x:v>2</x:v>
      </x:c>
      <x:c r="AJ914" s="10" t="str">
        <x:f>IF(F914&gt;0,"Active","No est. sales")</x:f>
        <x:v>No est. sales</x:v>
      </x:c>
    </x:row>
    <x:row r="915">
      <x:c r="A915" s="10" t="str">
        <x:v>Canada Home Closing Cost Estimate Worksheet | First Time Buyer Budget Planner, Mortgage Expense Tracker PDF</x:v>
      </x:c>
      <x:c r="B915" s="10" t="str">
        <x:v>https://www.etsy.com/listing/4512955174/canada-home-closing-cost-estimate</x:v>
      </x:c>
      <x:c r="C915" s="10" t="str">
        <x:v>MichaelSeongDesigns</x:v>
      </x:c>
      <x:c r="D915" s="10" t="str">
        <x:v>https://www.etsy.com/shop/MichaelSeongDesigns</x:v>
      </x:c>
      <x:c r="E915" s="11" t="n">
        <x:v>3.54</x:v>
      </x:c>
      <x:c r="F915" s="10" t="n">
        <x:v>0</x:v>
      </x:c>
      <x:c r="G915" s="12" t="n">
        <x:v>0</x:v>
      </x:c>
      <x:c r="H915" s="13" t="n">
        <x:v>0</x:v>
      </x:c>
      <x:c r="I915" s="10" t="n">
        <x:v>0</x:v>
      </x:c>
      <x:c r="J915" s="10" t="n">
        <x:v>0</x:v>
      </x:c>
      <x:c r="K915" s="10" t="str">
        <x:v>2 Mo.</x:v>
      </x:c>
      <x:c r="L915" s="10" t="n">
        <x:v>0</x:v>
      </x:c>
      <x:c r="M915" s="10" t="n">
        <x:v>0</x:v>
      </x:c>
      <x:c r="N915" s="10" t="n">
        <x:v>1</x:v>
      </x:c>
      <x:c r="O915" s="10" t="str">
        <x:v>Paper &amp; Party Supplies</x:v>
      </x:c>
      <x:c r="P915" s="10" t="n">
        <x:v>71</x:v>
      </x:c>
      <x:c r="Q915" s="10" t="n">
        <x:v>0</x:v>
      </x:c>
      <x:c r="R915" s="13" t="n">
        <x:v>0</x:v>
      </x:c>
      <x:c r="S915" s="10" t="n">
        <x:v>24</x:v>
      </x:c>
      <x:c r="T915" s="10" t="str">
        <x:v>closing cost tracker,canada closing cost,home buyer planner,closing checklist,mortgage cost form,home purchase log,printable budget pdf,first home tracker,real estate planner,legal fees tracker,moving cost tracker,closing cost sheet,homebuyer organizer</x:v>
      </x:c>
      <x:c r="U915" s="10" t="str">
        <x:v>closing cost tracker</x:v>
      </x:c>
      <x:c r="V915" s="10" t="str">
        <x:v>canada closing cost</x:v>
      </x:c>
      <x:c r="W915" s="10" t="str">
        <x:v>home buyer planner</x:v>
      </x:c>
      <x:c r="X915" s="10" t="str">
        <x:v>closing checklist</x:v>
      </x:c>
      <x:c r="Y915" s="10" t="str">
        <x:v>mortgage cost form</x:v>
      </x:c>
      <x:c r="Z915" s="10" t="str">
        <x:v>home purchase log</x:v>
      </x:c>
      <x:c r="AA915" s="10" t="str">
        <x:v>printable budget pdf</x:v>
      </x:c>
      <x:c r="AB915" s="10" t="str">
        <x:v>first home tracker</x:v>
      </x:c>
      <x:c r="AC915" s="10" t="str">
        <x:v>real estate planner</x:v>
      </x:c>
      <x:c r="AD915" s="10" t="str">
        <x:v>legal fees tracker</x:v>
      </x:c>
      <x:c r="AE915" s="10" t="str">
        <x:v>moving cost tracker</x:v>
      </x:c>
      <x:c r="AF915" s="10" t="str">
        <x:v>closing cost sheet</x:v>
      </x:c>
      <x:c r="AG915" s="10" t="str">
        <x:v>homebuyer organizer</x:v>
      </x:c>
      <x:c r="AH915" s="10" t="str">
        <x:v>Home buying planner</x:v>
      </x:c>
      <x:c r="AI915" s="13" t="n">
        <x:v>2</x:v>
      </x:c>
      <x:c r="AJ915" s="10" t="str">
        <x:f>IF(F915&gt;0,"Active","No est. sales")</x:f>
        <x:v>No est. sales</x:v>
      </x:c>
    </x:row>
    <x:row r="916">
      <x:c r="A916" s="10" t="str">
        <x:v>Early Mortgage Payoff Calculator Spreadsheet Google Sheets Excel Extra Payment Tracker Loan Amortization Interest Savings Financial Planner</x:v>
      </x:c>
      <x:c r="B916" s="10" t="str">
        <x:v>https://www.etsy.com/listing/4513559129/early-mortgage-payoff-calculator</x:v>
      </x:c>
      <x:c r="C916" s="10" t="str">
        <x:v>Digiplet</x:v>
      </x:c>
      <x:c r="D916" s="10" t="str">
        <x:v>https://www.etsy.com/shop/Digiplet</x:v>
      </x:c>
      <x:c r="E916" s="11" t="n">
        <x:v>2.99</x:v>
      </x:c>
      <x:c r="F916" s="10" t="n">
        <x:v>0</x:v>
      </x:c>
      <x:c r="G916" s="12" t="n">
        <x:v>0</x:v>
      </x:c>
      <x:c r="H916" s="13" t="n">
        <x:v>0</x:v>
      </x:c>
      <x:c r="I916" s="10" t="n">
        <x:v>0</x:v>
      </x:c>
      <x:c r="J916" s="10" t="n">
        <x:v>0</x:v>
      </x:c>
      <x:c r="K916" s="10" t="str">
        <x:v>2 Mo.</x:v>
      </x:c>
      <x:c r="L916" s="10" t="n">
        <x:v>2</x:v>
      </x:c>
      <x:c r="M916" s="10" t="n">
        <x:v>0</x:v>
      </x:c>
      <x:c r="N916" s="10" t="n">
        <x:v>71</x:v>
      </x:c>
      <x:c r="O916" s="10" t="str"/>
      <x:c r="P916" s="10" t="n">
        <x:v>5</x:v>
      </x:c>
      <x:c r="Q916" s="10" t="n">
        <x:v>0</x:v>
      </x:c>
      <x:c r="R916" s="13" t="n">
        <x:v>0</x:v>
      </x:c>
      <x:c r="S916" s="10" t="n">
        <x:v>146</x:v>
      </x:c>
      <x:c r="T916" s="10" t="str">
        <x:v>mortgage payoff,early payoff,excel mortgage,google sheets,mortgage calculator,extra payments,loan payoff,amortization,interest saved,payoff tool,editable sheet,printable calc,loan reducer</x:v>
      </x:c>
      <x:c r="U916" s="10" t="str">
        <x:v>mortgage payoff</x:v>
      </x:c>
      <x:c r="V916" s="10" t="str">
        <x:v>early payoff</x:v>
      </x:c>
      <x:c r="W916" s="10" t="str">
        <x:v>excel mortgage</x:v>
      </x:c>
      <x:c r="X916" s="10" t="str">
        <x:v>google sheets</x:v>
      </x:c>
      <x:c r="Y916" s="10" t="str">
        <x:v>mortgage calculator</x:v>
      </x:c>
      <x:c r="Z916" s="10" t="str">
        <x:v>extra payments</x:v>
      </x:c>
      <x:c r="AA916" s="10" t="str">
        <x:v>loan payoff</x:v>
      </x:c>
      <x:c r="AB916" s="10" t="str">
        <x:v>amortization</x:v>
      </x:c>
      <x:c r="AC916" s="10" t="str">
        <x:v>interest saved</x:v>
      </x:c>
      <x:c r="AD916" s="10" t="str">
        <x:v>payoff tool</x:v>
      </x:c>
      <x:c r="AE916" s="10" t="str">
        <x:v>editable sheet</x:v>
      </x:c>
      <x:c r="AF916" s="10" t="str">
        <x:v>printable calc</x:v>
      </x:c>
      <x:c r="AG916" s="10" t="str">
        <x:v>loan reducer</x:v>
      </x:c>
      <x:c r="AH916" s="10" t="str">
        <x:v>Mortgage payoff / calculator</x:v>
      </x:c>
      <x:c r="AI916" s="13" t="n">
        <x:v>2</x:v>
      </x:c>
      <x:c r="AJ916" s="10" t="str">
        <x:f>IF(F916&gt;0,"Active","No est. sales")</x:f>
        <x:v>No est. sales</x:v>
      </x:c>
    </x:row>
    <x:row r="917">
      <x:c r="A917" s="10" t="str">
        <x:v>Buy &amp; Rent Calculator, Real Estate Investment Simulator, Home Mortgage Planner, Financial Dashboard Tool, Property Wealth Web Apps Software</x:v>
      </x:c>
      <x:c r="B917" s="10" t="str">
        <x:v>https://www.etsy.com/listing/4540731505/buy-rent-calculator-real-estate</x:v>
      </x:c>
      <x:c r="C917" s="10" t="str">
        <x:v>LifeInTemplate</x:v>
      </x:c>
      <x:c r="D917" s="10" t="str">
        <x:v>https://www.etsy.com/shop/LifeInTemplate</x:v>
      </x:c>
      <x:c r="E917" s="11" t="n">
        <x:v>19.73</x:v>
      </x:c>
      <x:c r="F917" s="10" t="n">
        <x:v>0</x:v>
      </x:c>
      <x:c r="G917" s="12" t="n">
        <x:v>0</x:v>
      </x:c>
      <x:c r="H917" s="13" t="n">
        <x:v>0</x:v>
      </x:c>
      <x:c r="I917" s="10" t="n">
        <x:v>0</x:v>
      </x:c>
      <x:c r="J917" s="10" t="n">
        <x:v>0</x:v>
      </x:c>
      <x:c r="K917" s="10" t="str">
        <x:v>1 Mo.</x:v>
      </x:c>
      <x:c r="L917" s="10" t="n">
        <x:v>0</x:v>
      </x:c>
      <x:c r="M917" s="10" t="n">
        <x:v>0</x:v>
      </x:c>
      <x:c r="N917" s="10" t="n">
        <x:v>0</x:v>
      </x:c>
      <x:c r="O917" s="10" t="str">
        <x:v>Paper &amp; Party Supplies</x:v>
      </x:c>
      <x:c r="P917" s="10" t="n">
        <x:v>1</x:v>
      </x:c>
      <x:c r="Q917" s="10" t="n">
        <x:v>0</x:v>
      </x:c>
      <x:c r="R917" s="13" t="n">
        <x:v>0</x:v>
      </x:c>
      <x:c r="S917" s="10" t="n">
        <x:v>7</x:v>
      </x:c>
      <x:c r="T917" s="10" t="str">
        <x:v>real estate app,mortgage simulator,investment planner,financial dashboard,home buying tracker,wealth calculator,property roi system,html saas software,housing market tech,finance comparison,digital product kit,rent tool,buy tool</x:v>
      </x:c>
      <x:c r="U917" s="10" t="str">
        <x:v>real estate app</x:v>
      </x:c>
      <x:c r="V917" s="10" t="str">
        <x:v>mortgage simulator</x:v>
      </x:c>
      <x:c r="W917" s="10" t="str">
        <x:v>investment planner</x:v>
      </x:c>
      <x:c r="X917" s="10" t="str">
        <x:v>financial dashboard</x:v>
      </x:c>
      <x:c r="Y917" s="10" t="str">
        <x:v>home buying tracker</x:v>
      </x:c>
      <x:c r="Z917" s="10" t="str">
        <x:v>wealth calculator</x:v>
      </x:c>
      <x:c r="AA917" s="10" t="str">
        <x:v>property roi system</x:v>
      </x:c>
      <x:c r="AB917" s="10" t="str">
        <x:v>html saas software</x:v>
      </x:c>
      <x:c r="AC917" s="10" t="str">
        <x:v>housing market tech</x:v>
      </x:c>
      <x:c r="AD917" s="10" t="str">
        <x:v>finance comparison</x:v>
      </x:c>
      <x:c r="AE917" s="10" t="str">
        <x:v>digital product kit</x:v>
      </x:c>
      <x:c r="AF917" s="10" t="str">
        <x:v>rent tool</x:v>
      </x:c>
      <x:c r="AG917" s="10" t="str">
        <x:v>buy tool</x:v>
      </x:c>
      <x:c r="AH917" s="10" t="str">
        <x:v>Property investment</x:v>
      </x:c>
      <x:c r="AI917" s="13" t="n">
        <x:v>1</x:v>
      </x:c>
      <x:c r="AJ917" s="10" t="str">
        <x:f>IF(F917&gt;0,"Active","No est. sales")</x:f>
        <x:v>No est. sales</x:v>
      </x:c>
    </x:row>
    <x:row r="918">
      <x:c r="A918" s="10" t="str">
        <x:v>MNTH-141-B || MORTGAGE DUE Bill Stickers for 7x9 Planner</x:v>
      </x:c>
      <x:c r="B918" s="10" t="str">
        <x:v>https://www.etsy.com/listing/1193237086/mnth-141-b-mortgage-due-bill-stickers</x:v>
      </x:c>
      <x:c r="C918" s="10" t="str">
        <x:v>PlannerKate1</x:v>
      </x:c>
      <x:c r="D918" s="10" t="str">
        <x:v>https://www.etsy.com/shop/PlannerKate1</x:v>
      </x:c>
      <x:c r="E918" s="11" t="n">
        <x:v>5.5</x:v>
      </x:c>
      <x:c r="F918" s="10" t="n">
        <x:v>0</x:v>
      </x:c>
      <x:c r="G918" s="12" t="n">
        <x:v>0</x:v>
      </x:c>
      <x:c r="H918" s="13" t="n">
        <x:v>0</x:v>
      </x:c>
      <x:c r="I918" s="10" t="n">
        <x:v>39</x:v>
      </x:c>
      <x:c r="J918" s="10" t="n">
        <x:v>5</x:v>
      </x:c>
      <x:c r="K918" s="10" t="str">
        <x:v>52 Mo.</x:v>
      </x:c>
      <x:c r="L918" s="10" t="n">
        <x:v>69</x:v>
      </x:c>
      <x:c r="M918" s="10" t="n">
        <x:v>0</x:v>
      </x:c>
      <x:c r="N918" s="10" t="n">
        <x:v>698</x:v>
      </x:c>
      <x:c r="O918" s="10" t="str">
        <x:v>Paper &amp; Party Supplies</x:v>
      </x:c>
      <x:c r="P918" s="10" t="n">
        <x:v>144</x:v>
      </x:c>
      <x:c r="Q918" s="10" t="n">
        <x:v>0</x:v>
      </x:c>
      <x:c r="R918" s="13" t="n">
        <x:v>5.59</x:v>
      </x:c>
      <x:c r="S918" s="10" t="n">
        <x:v>2080612</x:v>
      </x:c>
      <x:c r="T918" s="10" t="str">
        <x:v>planner stickers,functional stickers,sticker kits,hobonichi stickers,makselife stickers,winter kit,happy planner,laurel denise,plum paper,erin condren,fall kits,september kits,september stickers</x:v>
      </x:c>
      <x:c r="U918" s="10" t="str">
        <x:v>planner stickers</x:v>
      </x:c>
      <x:c r="V918" s="10" t="str">
        <x:v>functional stickers</x:v>
      </x:c>
      <x:c r="W918" s="10" t="str">
        <x:v>sticker kits</x:v>
      </x:c>
      <x:c r="X918" s="10" t="str">
        <x:v>hobonichi stickers</x:v>
      </x:c>
      <x:c r="Y918" s="10" t="str">
        <x:v>makselife stickers</x:v>
      </x:c>
      <x:c r="Z918" s="10" t="str">
        <x:v>winter kit</x:v>
      </x:c>
      <x:c r="AA918" s="10" t="str">
        <x:v>happy planner</x:v>
      </x:c>
      <x:c r="AB918" s="10" t="str">
        <x:v>laurel denise</x:v>
      </x:c>
      <x:c r="AC918" s="10" t="str">
        <x:v>plum paper</x:v>
      </x:c>
      <x:c r="AD918" s="10" t="str">
        <x:v>erin condren</x:v>
      </x:c>
      <x:c r="AE918" s="10" t="str">
        <x:v>fall kits</x:v>
      </x:c>
      <x:c r="AF918" s="10" t="str">
        <x:v>september kits</x:v>
      </x:c>
      <x:c r="AG918" s="10" t="str">
        <x:v>september stickers</x:v>
      </x:c>
      <x:c r="AH918" s="10" t="str">
        <x:v>Other mortgage-related</x:v>
      </x:c>
      <x:c r="AI918" s="13" t="n">
        <x:v>52</x:v>
      </x:c>
      <x:c r="AJ918" s="10" t="str">
        <x:f>IF(F918&gt;0,"Active","No est. sales")</x:f>
        <x:v>No est. sales</x:v>
      </x:c>
    </x:row>
    <x:row r="919">
      <x:c r="A919" s="10" t="str">
        <x:v>Rent Due Planner Stickers // Planner Stickers // Rent Planner Sticker //  Bills Planner Sticker // Mortgage Payment Due</x:v>
      </x:c>
      <x:c r="B919" s="10" t="str">
        <x:v>https://www.etsy.com/listing/787074919/rent-due-planner-stickers-planner</x:v>
      </x:c>
      <x:c r="C919" s="10" t="str">
        <x:v>StickyPaperParade</x:v>
      </x:c>
      <x:c r="D919" s="10" t="str">
        <x:v>https://www.etsy.com/shop/StickyPaperParade</x:v>
      </x:c>
      <x:c r="E919" s="11" t="n">
        <x:v>3.25</x:v>
      </x:c>
      <x:c r="F919" s="10" t="n">
        <x:v>0</x:v>
      </x:c>
      <x:c r="G919" s="12" t="n">
        <x:v>0</x:v>
      </x:c>
      <x:c r="H919" s="13" t="n">
        <x:v>0</x:v>
      </x:c>
      <x:c r="I919" s="10" t="n">
        <x:v>15</x:v>
      </x:c>
      <x:c r="J919" s="10" t="n">
        <x:v>5</x:v>
      </x:c>
      <x:c r="K919" s="10" t="str">
        <x:v>76 Mo.</x:v>
      </x:c>
      <x:c r="L919" s="10" t="n">
        <x:v>37</x:v>
      </x:c>
      <x:c r="M919" s="10" t="n">
        <x:v>0</x:v>
      </x:c>
      <x:c r="N919" s="10" t="n">
        <x:v>374</x:v>
      </x:c>
      <x:c r="O919" s="10" t="str">
        <x:v>Paper &amp; Party Supplies</x:v>
      </x:c>
      <x:c r="P919" s="10" t="n">
        <x:v>79</x:v>
      </x:c>
      <x:c r="Q919" s="10" t="n">
        <x:v>0</x:v>
      </x:c>
      <x:c r="R919" s="13" t="n">
        <x:v>4.01</x:v>
      </x:c>
      <x:c r="S919" s="10" t="n">
        <x:v>1505</x:v>
      </x:c>
      <x:c r="T919" s="10" t="str">
        <x:v>planner stickers,stickers,planning stickers,labels,erin condren,happy planner,planner kit,kiss cut stickers,verticle sticker,rent due sticker,rent due planner,rent planner sticker,mortgage payment due</x:v>
      </x:c>
      <x:c r="U919" s="10" t="str">
        <x:v>planner stickers</x:v>
      </x:c>
      <x:c r="V919" s="10" t="str">
        <x:v>stickers</x:v>
      </x:c>
      <x:c r="W919" s="10" t="str">
        <x:v>planning stickers</x:v>
      </x:c>
      <x:c r="X919" s="10" t="str">
        <x:v>labels</x:v>
      </x:c>
      <x:c r="Y919" s="10" t="str">
        <x:v>erin condren</x:v>
      </x:c>
      <x:c r="Z919" s="10" t="str">
        <x:v>happy planner</x:v>
      </x:c>
      <x:c r="AA919" s="10" t="str">
        <x:v>planner kit</x:v>
      </x:c>
      <x:c r="AB919" s="10" t="str">
        <x:v>kiss cut stickers</x:v>
      </x:c>
      <x:c r="AC919" s="10" t="str">
        <x:v>verticle sticker</x:v>
      </x:c>
      <x:c r="AD919" s="10" t="str">
        <x:v>rent due sticker</x:v>
      </x:c>
      <x:c r="AE919" s="10" t="str">
        <x:v>rent due planner</x:v>
      </x:c>
      <x:c r="AF919" s="10" t="str">
        <x:v>rent planner sticker</x:v>
      </x:c>
      <x:c r="AG919" s="10" t="str">
        <x:v>mortgage payment due</x:v>
      </x:c>
      <x:c r="AH919" s="10" t="str">
        <x:v>Other mortgage-related</x:v>
      </x:c>
      <x:c r="AI919" s="13" t="n">
        <x:v>76</x:v>
      </x:c>
      <x:c r="AJ919" s="10" t="str">
        <x:f>IF(F919&gt;0,"Active","No est. sales")</x:f>
        <x:v>No est. sales</x:v>
      </x:c>
    </x:row>
    <x:row r="920">
      <x:c r="A920" s="10" t="str">
        <x:v>SALE 100 HOUSE clipart home digital sticker rent due sticker mortgage clipart finance sticker chores clipart cleaning sticker bills sticker</x:v>
      </x:c>
      <x:c r="B920" s="10" t="str">
        <x:v>https://www.etsy.com/listing/1280855156/sale-100-house-clipart-home-digital</x:v>
      </x:c>
      <x:c r="C920" s="10" t="str">
        <x:v>TheDigiRainbow</x:v>
      </x:c>
      <x:c r="D920" s="10" t="str">
        <x:v>https://www.etsy.com/shop/TheDigiRainbow</x:v>
      </x:c>
      <x:c r="E920" s="11" t="n">
        <x:v>4</x:v>
      </x:c>
      <x:c r="F920" s="10" t="n">
        <x:v>0</x:v>
      </x:c>
      <x:c r="G920" s="12" t="n">
        <x:v>0</x:v>
      </x:c>
      <x:c r="H920" s="13" t="n">
        <x:v>0</x:v>
      </x:c>
      <x:c r="I920" s="10" t="n">
        <x:v>0</x:v>
      </x:c>
      <x:c r="J920" s="10" t="n">
        <x:v>0</x:v>
      </x:c>
      <x:c r="K920" s="10" t="str">
        <x:v>47 Mo.</x:v>
      </x:c>
      <x:c r="L920" s="10" t="n">
        <x:v>18</x:v>
      </x:c>
      <x:c r="M920" s="10" t="n">
        <x:v>0</x:v>
      </x:c>
      <x:c r="N920" s="10" t="n">
        <x:v>77</x:v>
      </x:c>
      <x:c r="O920" s="10" t="str">
        <x:v>Craft Supplies &amp; Tools</x:v>
      </x:c>
      <x:c r="P920" s="10" t="n">
        <x:v>147</x:v>
      </x:c>
      <x:c r="Q920" s="10" t="n">
        <x:v>0</x:v>
      </x:c>
      <x:c r="R920" s="13" t="n">
        <x:v>0</x:v>
      </x:c>
      <x:c r="S920" s="10" t="n">
        <x:v>252001</x:v>
      </x:c>
      <x:c r="T920" s="10" t="str">
        <x:v>digital sticker,house sticker,printable sticker,home sticker,mortgage sticker,bill sticker,cleaning sticker,finance sticker,planner clipart,goodnotes sticker,erin condren sticker,rent sticker,chores printable</x:v>
      </x:c>
      <x:c r="U920" s="10" t="str">
        <x:v>digital sticker</x:v>
      </x:c>
      <x:c r="V920" s="10" t="str">
        <x:v>house sticker</x:v>
      </x:c>
      <x:c r="W920" s="10" t="str">
        <x:v>printable sticker</x:v>
      </x:c>
      <x:c r="X920" s="10" t="str">
        <x:v>home sticker</x:v>
      </x:c>
      <x:c r="Y920" s="10" t="str">
        <x:v>mortgage sticker</x:v>
      </x:c>
      <x:c r="Z920" s="10" t="str">
        <x:v>bill sticker</x:v>
      </x:c>
      <x:c r="AA920" s="10" t="str">
        <x:v>cleaning sticker</x:v>
      </x:c>
      <x:c r="AB920" s="10" t="str">
        <x:v>finance sticker</x:v>
      </x:c>
      <x:c r="AC920" s="10" t="str">
        <x:v>planner clipart</x:v>
      </x:c>
      <x:c r="AD920" s="10" t="str">
        <x:v>goodnotes sticker</x:v>
      </x:c>
      <x:c r="AE920" s="10" t="str">
        <x:v>erin condren sticker</x:v>
      </x:c>
      <x:c r="AF920" s="10" t="str">
        <x:v>rent sticker</x:v>
      </x:c>
      <x:c r="AG920" s="10" t="str">
        <x:v>chores printable</x:v>
      </x:c>
      <x:c r="AH920" s="10" t="str">
        <x:v>Other mortgage-related</x:v>
      </x:c>
      <x:c r="AI920" s="13" t="n">
        <x:v>47</x:v>
      </x:c>
      <x:c r="AJ920" s="10" t="str">
        <x:f>IF(F920&gt;0,"Active","No est. sales")</x:f>
        <x:v>No est. sales</x:v>
      </x:c>
    </x:row>
    <x:row r="921">
      <x:c r="A921" s="10" t="str">
        <x:v>First Time Home Buyer Workbook | House Hunting Guide, Planner (PDF Download)</x:v>
      </x:c>
      <x:c r="B921" s="10" t="str">
        <x:v>https://www.etsy.com/listing/4509832360/first-time-home-buyer-workbook-house</x:v>
      </x:c>
      <x:c r="C921" s="10" t="str">
        <x:v>TemplateDesignMarket</x:v>
      </x:c>
      <x:c r="D921" s="10" t="str">
        <x:v>https://www.etsy.com/shop/TemplateDesignMarket</x:v>
      </x:c>
      <x:c r="E921" s="11" t="n">
        <x:v>8.98</x:v>
      </x:c>
      <x:c r="F921" s="10" t="n">
        <x:v>0</x:v>
      </x:c>
      <x:c r="G921" s="12" t="n">
        <x:v>0</x:v>
      </x:c>
      <x:c r="H921" s="13" t="n">
        <x:v>0</x:v>
      </x:c>
      <x:c r="I921" s="10" t="n">
        <x:v>0</x:v>
      </x:c>
      <x:c r="J921" s="10" t="n">
        <x:v>0</x:v>
      </x:c>
      <x:c r="K921" s="10" t="str">
        <x:v>2 Mo.</x:v>
      </x:c>
      <x:c r="L921" s="10" t="n">
        <x:v>0</x:v>
      </x:c>
      <x:c r="M921" s="10" t="n">
        <x:v>0</x:v>
      </x:c>
      <x:c r="N921" s="10" t="n">
        <x:v>8</x:v>
      </x:c>
      <x:c r="O921" s="10" t="str"/>
      <x:c r="P921" s="10" t="n">
        <x:v>66</x:v>
      </x:c>
      <x:c r="Q921" s="10" t="n">
        <x:v>0</x:v>
      </x:c>
      <x:c r="R921" s="13" t="n">
        <x:v>0</x:v>
      </x:c>
      <x:c r="S921" s="10" t="n">
        <x:v>209</x:v>
      </x:c>
      <x:c r="T921" s="10" t="str">
        <x:v>home buyer,home buyer workbook,house hunting guide,first home buyer,home buyer pdf,real estate guide,down payment guide,mortgage planner,closing cost tracker,first home planner,escrow timeline,new homebuyer guide,home buying pdf</x:v>
      </x:c>
      <x:c r="U921" s="10" t="str">
        <x:v>home buyer</x:v>
      </x:c>
      <x:c r="V921" s="10" t="str">
        <x:v>home buyer workbook</x:v>
      </x:c>
      <x:c r="W921" s="10" t="str">
        <x:v>house hunting guide</x:v>
      </x:c>
      <x:c r="X921" s="10" t="str">
        <x:v>first home buyer</x:v>
      </x:c>
      <x:c r="Y921" s="10" t="str">
        <x:v>home buyer pdf</x:v>
      </x:c>
      <x:c r="Z921" s="10" t="str">
        <x:v>real estate guide</x:v>
      </x:c>
      <x:c r="AA921" s="10" t="str">
        <x:v>down payment guide</x:v>
      </x:c>
      <x:c r="AB921" s="10" t="str">
        <x:v>mortgage planner</x:v>
      </x:c>
      <x:c r="AC921" s="10" t="str">
        <x:v>closing cost tracker</x:v>
      </x:c>
      <x:c r="AD921" s="10" t="str">
        <x:v>first home planner</x:v>
      </x:c>
      <x:c r="AE921" s="10" t="str">
        <x:v>escrow timeline</x:v>
      </x:c>
      <x:c r="AF921" s="10" t="str">
        <x:v>new homebuyer guide</x:v>
      </x:c>
      <x:c r="AG921" s="10" t="str">
        <x:v>home buying pdf</x:v>
      </x:c>
      <x:c r="AH921" s="10" t="str">
        <x:v>Home buying planner</x:v>
      </x:c>
      <x:c r="AI921" s="13" t="n">
        <x:v>2</x:v>
      </x:c>
      <x:c r="AJ921" s="10" t="str">
        <x:f>IF(F921&gt;0,"Active","No est. sales")</x:f>
        <x:v>No est. sales</x:v>
      </x:c>
    </x:row>
    <x:row r="922">
      <x:c r="A922" s="10" t="str">
        <x:v>Real Estate Investment ROI Spreadsheet for Google Sheets and Excel Rental Property Cash Flow Analyzer</x:v>
      </x:c>
      <x:c r="B922" s="10" t="str">
        <x:v>https://www.etsy.com/listing/4520379378/real-estate-investment-roi-spreadsheet</x:v>
      </x:c>
      <x:c r="C922" s="10" t="str">
        <x:v>TrackerPro</x:v>
      </x:c>
      <x:c r="D922" s="10" t="str">
        <x:v>https://www.etsy.com/shop/TrackerPro</x:v>
      </x:c>
      <x:c r="E922" s="11" t="n">
        <x:v>6.19</x:v>
      </x:c>
      <x:c r="F922" s="10" t="n">
        <x:v>0</x:v>
      </x:c>
      <x:c r="G922" s="12" t="n">
        <x:v>0</x:v>
      </x:c>
      <x:c r="H922" s="13" t="n">
        <x:v>0</x:v>
      </x:c>
      <x:c r="I922" s="10" t="n">
        <x:v>0</x:v>
      </x:c>
      <x:c r="J922" s="10" t="n">
        <x:v>0</x:v>
      </x:c>
      <x:c r="K922" s="10" t="str">
        <x:v>1 Mo.</x:v>
      </x:c>
      <x:c r="L922" s="10" t="n">
        <x:v>1</x:v>
      </x:c>
      <x:c r="M922" s="10" t="n">
        <x:v>0</x:v>
      </x:c>
      <x:c r="N922" s="10" t="n">
        <x:v>2</x:v>
      </x:c>
      <x:c r="O922" s="10" t="str">
        <x:v>Paper &amp; Party Supplies</x:v>
      </x:c>
      <x:c r="P922" s="10" t="n">
        <x:v>43</x:v>
      </x:c>
      <x:c r="Q922" s="10" t="n">
        <x:v>0</x:v>
      </x:c>
      <x:c r="R922" s="13" t="n">
        <x:v>0</x:v>
      </x:c>
      <x:c r="S922" s="10" t="n">
        <x:v>18476</x:v>
      </x:c>
      <x:c r="T922" s="10" t="str">
        <x:v>rental property,real estate roi,cash flow model,cap rate tool,landlord sheet,property analysis,investment planner,rental income,property tracker,flip calculator,mortgage log,real estate tool,property finance</x:v>
      </x:c>
      <x:c r="U922" s="10" t="str">
        <x:v>rental property</x:v>
      </x:c>
      <x:c r="V922" s="10" t="str">
        <x:v>real estate roi</x:v>
      </x:c>
      <x:c r="W922" s="10" t="str">
        <x:v>cash flow model</x:v>
      </x:c>
      <x:c r="X922" s="10" t="str">
        <x:v>cap rate tool</x:v>
      </x:c>
      <x:c r="Y922" s="10" t="str">
        <x:v>landlord sheet</x:v>
      </x:c>
      <x:c r="Z922" s="10" t="str">
        <x:v>property analysis</x:v>
      </x:c>
      <x:c r="AA922" s="10" t="str">
        <x:v>investment planner</x:v>
      </x:c>
      <x:c r="AB922" s="10" t="str">
        <x:v>rental income</x:v>
      </x:c>
      <x:c r="AC922" s="10" t="str">
        <x:v>property tracker</x:v>
      </x:c>
      <x:c r="AD922" s="10" t="str">
        <x:v>flip calculator</x:v>
      </x:c>
      <x:c r="AE922" s="10" t="str">
        <x:v>mortgage log</x:v>
      </x:c>
      <x:c r="AF922" s="10" t="str">
        <x:v>real estate tool</x:v>
      </x:c>
      <x:c r="AG922" s="10" t="str">
        <x:v>property finance</x:v>
      </x:c>
      <x:c r="AH922" s="10" t="str">
        <x:v>Property investment</x:v>
      </x:c>
      <x:c r="AI922" s="13" t="n">
        <x:v>1</x:v>
      </x:c>
      <x:c r="AJ922" s="10" t="str">
        <x:f>IF(F922&gt;0,"Active","No est. sales")</x:f>
        <x:v>No est. sales</x:v>
      </x:c>
    </x:row>
    <x:row r="923">
      <x:c r="A923" s="10" t="str">
        <x:v>Debt Payoff Tracker Spreadsheet Snowball Avalanche Calculator Credit Card Loan Bill Template House Mortgage Free Budget Planner Google Sheet</x:v>
      </x:c>
      <x:c r="B923" s="10" t="str">
        <x:v>https://www.etsy.com/listing/4459290551/debt-payoff-tracker-spreadsheet-snowball</x:v>
      </x:c>
      <x:c r="C923" s="10" t="str">
        <x:v>WaveCustom</x:v>
      </x:c>
      <x:c r="D923" s="10" t="str">
        <x:v>https://www.etsy.com/shop/WaveCustom</x:v>
      </x:c>
      <x:c r="E923" s="11" t="n">
        <x:v>1.24</x:v>
      </x:c>
      <x:c r="F923" s="10" t="n">
        <x:v>0</x:v>
      </x:c>
      <x:c r="G923" s="12" t="n">
        <x:v>0</x:v>
      </x:c>
      <x:c r="H923" s="13" t="n">
        <x:v>0</x:v>
      </x:c>
      <x:c r="I923" s="10" t="n">
        <x:v>0</x:v>
      </x:c>
      <x:c r="J923" s="10" t="n">
        <x:v>0</x:v>
      </x:c>
      <x:c r="K923" s="10" t="str">
        <x:v>5 Mo.</x:v>
      </x:c>
      <x:c r="L923" s="10" t="n">
        <x:v>1</x:v>
      </x:c>
      <x:c r="M923" s="10" t="n">
        <x:v>0</x:v>
      </x:c>
      <x:c r="N923" s="10" t="n">
        <x:v>17</x:v>
      </x:c>
      <x:c r="O923" s="10" t="str"/>
      <x:c r="P923" s="10" t="n">
        <x:v>41</x:v>
      </x:c>
      <x:c r="Q923" s="10" t="n">
        <x:v>0</x:v>
      </x:c>
      <x:c r="R923" s="13" t="n">
        <x:v>0</x:v>
      </x:c>
      <x:c r="S923" s="10" t="n">
        <x:v>855</x:v>
      </x:c>
      <x:c r="T923" s="10" t="str">
        <x:v>credit utilization,debt avalanche,mortgage payoff,google sheets budget,credit card payoff,debt payment tracker,debt payoff tracker,debt template,financial planner,debt google sheets,credit card loan,snowball spreadsheet,debt snowball</x:v>
      </x:c>
      <x:c r="U923" s="10" t="str">
        <x:v>credit utilization</x:v>
      </x:c>
      <x:c r="V923" s="10" t="str">
        <x:v>debt avalanche</x:v>
      </x:c>
      <x:c r="W923" s="10" t="str">
        <x:v>mortgage payoff</x:v>
      </x:c>
      <x:c r="X923" s="10" t="str">
        <x:v>google sheets budget</x:v>
      </x:c>
      <x:c r="Y923" s="10" t="str">
        <x:v>credit card payoff</x:v>
      </x:c>
      <x:c r="Z923" s="10" t="str">
        <x:v>debt payment tracker</x:v>
      </x:c>
      <x:c r="AA923" s="10" t="str">
        <x:v>debt payoff tracker</x:v>
      </x:c>
      <x:c r="AB923" s="10" t="str">
        <x:v>debt template</x:v>
      </x:c>
      <x:c r="AC923" s="10" t="str">
        <x:v>financial planner</x:v>
      </x:c>
      <x:c r="AD923" s="10" t="str">
        <x:v>debt google sheets</x:v>
      </x:c>
      <x:c r="AE923" s="10" t="str">
        <x:v>credit card loan</x:v>
      </x:c>
      <x:c r="AF923" s="10" t="str">
        <x:v>snowball spreadsheet</x:v>
      </x:c>
      <x:c r="AG923" s="10" t="str">
        <x:v>debt snowball</x:v>
      </x:c>
      <x:c r="AH923" s="10" t="str">
        <x:v>General debt payoff</x:v>
      </x:c>
      <x:c r="AI923" s="13" t="n">
        <x:v>5</x:v>
      </x:c>
      <x:c r="AJ923" s="10" t="str">
        <x:f>IF(F923&gt;0,"Active","No est. sales")</x:f>
        <x:v>No est. sales</x:v>
      </x:c>
    </x:row>
    <x:row r="924">
      <x:c r="A924" s="10" t="str">
        <x:v>Level Up Lender | Stop buying leads and do more loans | Guide to loan officer success</x:v>
      </x:c>
      <x:c r="B924" s="10" t="str">
        <x:v>https://www.etsy.com/listing/1498900008/level-up-lender-stop-buying-leads-and-do</x:v>
      </x:c>
      <x:c r="C924" s="10" t="str">
        <x:v>HelloSocialShop</x:v>
      </x:c>
      <x:c r="D924" s="10" t="str">
        <x:v>https://www.etsy.com/shop/HelloSocialShop</x:v>
      </x:c>
      <x:c r="E924" s="11" t="n">
        <x:v>39.99</x:v>
      </x:c>
      <x:c r="F924" s="10" t="n">
        <x:v>0</x:v>
      </x:c>
      <x:c r="G924" s="12" t="n">
        <x:v>0</x:v>
      </x:c>
      <x:c r="H924" s="13" t="n">
        <x:v>0</x:v>
      </x:c>
      <x:c r="I924" s="10" t="n">
        <x:v>0</x:v>
      </x:c>
      <x:c r="J924" s="10" t="n">
        <x:v>1</x:v>
      </x:c>
      <x:c r="K924" s="10" t="str">
        <x:v>37 Mo.</x:v>
      </x:c>
      <x:c r="L924" s="10" t="n">
        <x:v>14</x:v>
      </x:c>
      <x:c r="M924" s="10" t="n">
        <x:v>0</x:v>
      </x:c>
      <x:c r="N924" s="10" t="n">
        <x:v>240</x:v>
      </x:c>
      <x:c r="O924" s="10" t="str">
        <x:v>Paper &amp; Party Supplies</x:v>
      </x:c>
      <x:c r="P924" s="10" t="n">
        <x:v>37</x:v>
      </x:c>
      <x:c r="Q924" s="10" t="n">
        <x:v>0</x:v>
      </x:c>
      <x:c r="R924" s="13" t="n">
        <x:v>0</x:v>
      </x:c>
      <x:c r="S924" s="10" t="n">
        <x:v>10</x:v>
      </x:c>
      <x:c r="T924" s="10" t="str">
        <x:v>loan officer,mortgage,mortgage marketing,lender help,sales planner,lead generation,lender tools,mortgage tools,lender marketing,sales organizer,loan officer help</x:v>
      </x:c>
      <x:c r="U924" s="10" t="str">
        <x:v>loan officer</x:v>
      </x:c>
      <x:c r="V924" s="10" t="str">
        <x:v>mortgage</x:v>
      </x:c>
      <x:c r="W924" s="10" t="str">
        <x:v>mortgage marketing</x:v>
      </x:c>
      <x:c r="X924" s="10" t="str">
        <x:v>lender help</x:v>
      </x:c>
      <x:c r="Y924" s="10" t="str">
        <x:v>sales planner</x:v>
      </x:c>
      <x:c r="Z924" s="10" t="str">
        <x:v>lead generation</x:v>
      </x:c>
      <x:c r="AA924" s="10" t="str">
        <x:v>lender tools</x:v>
      </x:c>
      <x:c r="AB924" s="10" t="str">
        <x:v>mortgage tools</x:v>
      </x:c>
      <x:c r="AC924" s="10" t="str">
        <x:v>lender marketing</x:v>
      </x:c>
      <x:c r="AD924" s="10" t="str">
        <x:v>sales organizer</x:v>
      </x:c>
      <x:c r="AE924" s="10" t="str">
        <x:v>loan officer help</x:v>
      </x:c>
      <x:c r="AF924" s="10" t="str">
        <x:v>--</x:v>
      </x:c>
      <x:c r="AG924" s="10" t="str">
        <x:v>--</x:v>
      </x:c>
      <x:c r="AH924" s="10" t="str">
        <x:v>Loan officer / B2B</x:v>
      </x:c>
      <x:c r="AI924" s="13" t="n">
        <x:v>37</x:v>
      </x:c>
      <x:c r="AJ924" s="10" t="str">
        <x:f>IF(F924&gt;0,"Active","No est. sales")</x:f>
        <x:v>No est. sales</x:v>
      </x:c>
    </x:row>
    <x:row r="925">
      <x:c r="A925" s="10" t="str">
        <x:v>Loan Officer CRM Template Mortgage Broker Client Management Google Sheets Lead Tracker Customer Database Contacts Tracking Spreadsheet Excel</x:v>
      </x:c>
      <x:c r="B925" s="10" t="str">
        <x:v>https://www.etsy.com/listing/4333186401/loan-officer-crm-template-mortgage</x:v>
      </x:c>
      <x:c r="C925" s="10" t="str">
        <x:v>TrackerPro</x:v>
      </x:c>
      <x:c r="D925" s="10" t="str">
        <x:v>https://www.etsy.com/shop/TrackerPro</x:v>
      </x:c>
      <x:c r="E925" s="11" t="n">
        <x:v>7.43</x:v>
      </x:c>
      <x:c r="F925" s="10" t="n">
        <x:v>0</x:v>
      </x:c>
      <x:c r="G925" s="12" t="n">
        <x:v>0</x:v>
      </x:c>
      <x:c r="H925" s="13" t="n">
        <x:v>0</x:v>
      </x:c>
      <x:c r="I925" s="10" t="n">
        <x:v>12</x:v>
      </x:c>
      <x:c r="J925" s="10" t="n">
        <x:v>1</x:v>
      </x:c>
      <x:c r="K925" s="10" t="str">
        <x:v>12 Mo.</x:v>
      </x:c>
      <x:c r="L925" s="10" t="n">
        <x:v>35</x:v>
      </x:c>
      <x:c r="M925" s="10" t="n">
        <x:v>0</x:v>
      </x:c>
      <x:c r="N925" s="10" t="n">
        <x:v>868</x:v>
      </x:c>
      <x:c r="O925" s="10" t="str">
        <x:v>Paper &amp; Party Supplies</x:v>
      </x:c>
      <x:c r="P925" s="10" t="n">
        <x:v>43</x:v>
      </x:c>
      <x:c r="Q925" s="10" t="n">
        <x:v>30</x:v>
      </x:c>
      <x:c r="R925" s="13" t="n">
        <x:v>1.38</x:v>
      </x:c>
      <x:c r="S925" s="10" t="n">
        <x:v>18476</x:v>
      </x:c>
      <x:c r="T925" s="10" t="str">
        <x:v>loan officer crm template,mortgage broker tracker,lead tracker spreadsheet,client management template,customer database spreadsheet,google sheets crm,mortgage crm spreadsheet,contact tracking spreadsheet,loan pipeline tracker,real estate crm template,lender client tracker,mortgage business planner,excel crm system</x:v>
      </x:c>
      <x:c r="U925" s="10" t="str">
        <x:v>loan officer crm template</x:v>
      </x:c>
      <x:c r="V925" s="10" t="str">
        <x:v>mortgage broker tracker</x:v>
      </x:c>
      <x:c r="W925" s="10" t="str">
        <x:v>lead tracker spreadsheet</x:v>
      </x:c>
      <x:c r="X925" s="10" t="str">
        <x:v>client management template</x:v>
      </x:c>
      <x:c r="Y925" s="10" t="str">
        <x:v>customer database spreadsheet</x:v>
      </x:c>
      <x:c r="Z925" s="10" t="str">
        <x:v>google sheets crm</x:v>
      </x:c>
      <x:c r="AA925" s="10" t="str">
        <x:v>mortgage crm spreadsheet</x:v>
      </x:c>
      <x:c r="AB925" s="10" t="str">
        <x:v>contact tracking spreadsheet</x:v>
      </x:c>
      <x:c r="AC925" s="10" t="str">
        <x:v>loan pipeline tracker</x:v>
      </x:c>
      <x:c r="AD925" s="10" t="str">
        <x:v>real estate crm template</x:v>
      </x:c>
      <x:c r="AE925" s="10" t="str">
        <x:v>lender client tracker</x:v>
      </x:c>
      <x:c r="AF925" s="10" t="str">
        <x:v>mortgage business planner</x:v>
      </x:c>
      <x:c r="AG925" s="10" t="str">
        <x:v>excel crm system</x:v>
      </x:c>
      <x:c r="AH925" s="10" t="str">
        <x:v>Loan officer / B2B</x:v>
      </x:c>
      <x:c r="AI925" s="13" t="n">
        <x:v>12</x:v>
      </x:c>
      <x:c r="AJ925" s="10" t="str">
        <x:f>IF(F925&gt;0,"Active","No est. sales")</x:f>
        <x:v>No est. sales</x:v>
      </x:c>
    </x:row>
    <x:row r="926">
      <x:c r="A926" s="10" t="str">
        <x:v>Debt Snowball Spreadsheet Automated Payoff Tracker (Google Sheets)</x:v>
      </x:c>
      <x:c r="B926" s="10" t="str">
        <x:v>https://www.etsy.com/listing/4464879804/debt-snowball-spreadsheet-automated</x:v>
      </x:c>
      <x:c r="C926" s="10" t="str">
        <x:v>KrishnayaTemplates</x:v>
      </x:c>
      <x:c r="D926" s="10" t="str">
        <x:v>https://www.etsy.com/shop/KrishnayaTemplates</x:v>
      </x:c>
      <x:c r="E926" s="11" t="n">
        <x:v>1.66</x:v>
      </x:c>
      <x:c r="F926" s="10" t="n">
        <x:v>0</x:v>
      </x:c>
      <x:c r="G926" s="12" t="n">
        <x:v>0</x:v>
      </x:c>
      <x:c r="H926" s="13" t="n">
        <x:v>0</x:v>
      </x:c>
      <x:c r="I926" s="10" t="n">
        <x:v>13</x:v>
      </x:c>
      <x:c r="J926" s="10" t="n">
        <x:v>1</x:v>
      </x:c>
      <x:c r="K926" s="10" t="str">
        <x:v>4 Mo.</x:v>
      </x:c>
      <x:c r="L926" s="10" t="n">
        <x:v>6</x:v>
      </x:c>
      <x:c r="M926" s="10" t="n">
        <x:v>0</x:v>
      </x:c>
      <x:c r="N926" s="10" t="n">
        <x:v>680</x:v>
      </x:c>
      <x:c r="O926" s="10" t="str">
        <x:v>Paper &amp; Party Supplies</x:v>
      </x:c>
      <x:c r="P926" s="10" t="n">
        <x:v>8</x:v>
      </x:c>
      <x:c r="Q926" s="10" t="n">
        <x:v>45</x:v>
      </x:c>
      <x:c r="R926" s="13" t="n">
        <x:v>1.91</x:v>
      </x:c>
      <x:c r="S926" s="10" t="n">
        <x:v>188</x:v>
      </x:c>
      <x:c r="T926" s="10" t="str">
        <x:v>debt snowball,debt calculator,debt spreadsheet,debt google sheets,debt payoff planner,debt payment tracker,credit card payoff,loan payoff tracker,student loan tracker,debt payoff sheet,debt repay planner,mortgage payoff,debt free planner</x:v>
      </x:c>
      <x:c r="U926" s="10" t="str">
        <x:v>debt snowball</x:v>
      </x:c>
      <x:c r="V926" s="10" t="str">
        <x:v>debt calculator</x:v>
      </x:c>
      <x:c r="W926" s="10" t="str">
        <x:v>debt spreadsheet</x:v>
      </x:c>
      <x:c r="X926" s="10" t="str">
        <x:v>debt google sheets</x:v>
      </x:c>
      <x:c r="Y926" s="10" t="str">
        <x:v>debt payoff planner</x:v>
      </x:c>
      <x:c r="Z926" s="10" t="str">
        <x:v>debt payment tracker</x:v>
      </x:c>
      <x:c r="AA926" s="10" t="str">
        <x:v>credit card payoff</x:v>
      </x:c>
      <x:c r="AB926" s="10" t="str">
        <x:v>loan payoff tracker</x:v>
      </x:c>
      <x:c r="AC926" s="10" t="str">
        <x:v>student loan tracker</x:v>
      </x:c>
      <x:c r="AD926" s="10" t="str">
        <x:v>debt payoff sheet</x:v>
      </x:c>
      <x:c r="AE926" s="10" t="str">
        <x:v>debt repay planner</x:v>
      </x:c>
      <x:c r="AF926" s="10" t="str">
        <x:v>mortgage payoff</x:v>
      </x:c>
      <x:c r="AG926" s="10" t="str">
        <x:v>debt free planner</x:v>
      </x:c>
      <x:c r="AH926" s="10" t="str">
        <x:v>General debt payoff</x:v>
      </x:c>
      <x:c r="AI926" s="13" t="n">
        <x:v>4</x:v>
      </x:c>
      <x:c r="AJ926" s="10" t="str">
        <x:f>IF(F926&gt;0,"Active","No est. sales")</x:f>
        <x:v>No est. sales</x:v>
      </x:c>
    </x:row>
    <x:row r="927">
      <x:c r="A927" s="10" t="str">
        <x:v>Printable Debt Payoff Tracker | Budgeting Planner | Letter | A4 | A5 | Half Letter | Digital Download</x:v>
      </x:c>
      <x:c r="B927" s="10" t="str">
        <x:v>https://www.etsy.com/listing/1215328828/printable-debt-payoff-tracker-budgeting</x:v>
      </x:c>
      <x:c r="C927" s="10" t="str">
        <x:v>RDDigitals</x:v>
      </x:c>
      <x:c r="D927" s="10" t="str">
        <x:v>https://www.etsy.com/shop/RDDigitals</x:v>
      </x:c>
      <x:c r="E927" s="11" t="n">
        <x:v>1.95</x:v>
      </x:c>
      <x:c r="F927" s="10" t="n">
        <x:v>0</x:v>
      </x:c>
      <x:c r="G927" s="12" t="n">
        <x:v>0</x:v>
      </x:c>
      <x:c r="H927" s="13" t="n">
        <x:v>0</x:v>
      </x:c>
      <x:c r="I927" s="10" t="n">
        <x:v>0</x:v>
      </x:c>
      <x:c r="J927" s="10" t="n">
        <x:v>0</x:v>
      </x:c>
      <x:c r="K927" s="10" t="str">
        <x:v>50 Mo.</x:v>
      </x:c>
      <x:c r="L927" s="10" t="n">
        <x:v>5</x:v>
      </x:c>
      <x:c r="M927" s="10" t="n">
        <x:v>0</x:v>
      </x:c>
      <x:c r="N927" s="10" t="n">
        <x:v>66</x:v>
      </x:c>
      <x:c r="O927" s="10" t="str">
        <x:v>Art &amp; Collectibles</x:v>
      </x:c>
      <x:c r="P927" s="10" t="n">
        <x:v>52</x:v>
      </x:c>
      <x:c r="Q927" s="10" t="n">
        <x:v>0</x:v>
      </x:c>
      <x:c r="R927" s="13" t="n">
        <x:v>0</x:v>
      </x:c>
      <x:c r="S927" s="10" t="n">
        <x:v>25</x:v>
      </x:c>
      <x:c r="T927" s="10" t="str">
        <x:v>budgeting prints,printable trackers,paying off debt,debt payoff tracker,mortgage pay off,planner printables,planner trackers,planning to budget,snowball method,tracking debt,financial freedom,finance tracker,budgeting money</x:v>
      </x:c>
      <x:c r="U927" s="10" t="str">
        <x:v>budgeting prints</x:v>
      </x:c>
      <x:c r="V927" s="10" t="str">
        <x:v>printable trackers</x:v>
      </x:c>
      <x:c r="W927" s="10" t="str">
        <x:v>paying off debt</x:v>
      </x:c>
      <x:c r="X927" s="10" t="str">
        <x:v>debt payoff tracker</x:v>
      </x:c>
      <x:c r="Y927" s="10" t="str">
        <x:v>mortgage pay off</x:v>
      </x:c>
      <x:c r="Z927" s="10" t="str">
        <x:v>planner printables</x:v>
      </x:c>
      <x:c r="AA927" s="10" t="str">
        <x:v>planner trackers</x:v>
      </x:c>
      <x:c r="AB927" s="10" t="str">
        <x:v>planning to budget</x:v>
      </x:c>
      <x:c r="AC927" s="10" t="str">
        <x:v>snowball method</x:v>
      </x:c>
      <x:c r="AD927" s="10" t="str">
        <x:v>tracking debt</x:v>
      </x:c>
      <x:c r="AE927" s="10" t="str">
        <x:v>financial freedom</x:v>
      </x:c>
      <x:c r="AF927" s="10" t="str">
        <x:v>finance tracker</x:v>
      </x:c>
      <x:c r="AG927" s="10" t="str">
        <x:v>budgeting money</x:v>
      </x:c>
      <x:c r="AH927" s="10" t="str">
        <x:v>General debt payoff</x:v>
      </x:c>
      <x:c r="AI927" s="13" t="n">
        <x:v>50</x:v>
      </x:c>
      <x:c r="AJ927" s="10" t="str">
        <x:f>IF(F927&gt;0,"Active","No est. sales")</x:f>
        <x:v>No est. sales</x:v>
      </x:c>
    </x:row>
    <x:row r="928">
      <x:c r="A928" s="10" t="str">
        <x:v>Mortgage Loan Payment Calculator: Google Sheets &amp; Excel (Spreadsheet)</x:v>
      </x:c>
      <x:c r="B928" s="10" t="str">
        <x:v>https://www.etsy.com/listing/1763464130/mortgage-loan-payment-calculator-google</x:v>
      </x:c>
      <x:c r="C928" s="10" t="str">
        <x:v>MoneyUsageTools</x:v>
      </x:c>
      <x:c r="D928" s="10" t="str">
        <x:v>https://www.etsy.com/shop/MoneyUsageTools</x:v>
      </x:c>
      <x:c r="E928" s="11" t="n">
        <x:v>3.99</x:v>
      </x:c>
      <x:c r="F928" s="10" t="n">
        <x:v>0</x:v>
      </x:c>
      <x:c r="G928" s="12" t="n">
        <x:v>0</x:v>
      </x:c>
      <x:c r="H928" s="13" t="n">
        <x:v>0</x:v>
      </x:c>
      <x:c r="I928" s="10" t="n">
        <x:v>16</x:v>
      </x:c>
      <x:c r="J928" s="10" t="n">
        <x:v>1</x:v>
      </x:c>
      <x:c r="K928" s="10" t="str">
        <x:v>23 Mo.</x:v>
      </x:c>
      <x:c r="L928" s="10" t="n">
        <x:v>9</x:v>
      </x:c>
      <x:c r="M928" s="10" t="n">
        <x:v>0</x:v>
      </x:c>
      <x:c r="N928" s="10" t="n">
        <x:v>442</x:v>
      </x:c>
      <x:c r="O928" s="10" t="str">
        <x:v>Paper &amp; Party Supplies</x:v>
      </x:c>
      <x:c r="P928" s="10" t="n">
        <x:v>128</x:v>
      </x:c>
      <x:c r="Q928" s="10" t="n">
        <x:v>0</x:v>
      </x:c>
      <x:c r="R928" s="13" t="n">
        <x:v>3.62</x:v>
      </x:c>
      <x:c r="S928" s="10" t="n">
        <x:v>1708</x:v>
      </x:c>
      <x:c r="T928" s="10" t="str">
        <x:v>money tracker,personal finance,financial planner,mortgage payments,loan payments,interest payments,principal payments,interest saved,loan time saved,principal interest,loan period,interest rate track,budget goals</x:v>
      </x:c>
      <x:c r="U928" s="10" t="str">
        <x:v>money tracker</x:v>
      </x:c>
      <x:c r="V928" s="10" t="str">
        <x:v>personal finance</x:v>
      </x:c>
      <x:c r="W928" s="10" t="str">
        <x:v>financial planner</x:v>
      </x:c>
      <x:c r="X928" s="10" t="str">
        <x:v>mortgage payments</x:v>
      </x:c>
      <x:c r="Y928" s="10" t="str">
        <x:v>loan payments</x:v>
      </x:c>
      <x:c r="Z928" s="10" t="str">
        <x:v>interest payments</x:v>
      </x:c>
      <x:c r="AA928" s="10" t="str">
        <x:v>principal payments</x:v>
      </x:c>
      <x:c r="AB928" s="10" t="str">
        <x:v>interest saved</x:v>
      </x:c>
      <x:c r="AC928" s="10" t="str">
        <x:v>loan time saved</x:v>
      </x:c>
      <x:c r="AD928" s="10" t="str">
        <x:v>principal interest</x:v>
      </x:c>
      <x:c r="AE928" s="10" t="str">
        <x:v>loan period</x:v>
      </x:c>
      <x:c r="AF928" s="10" t="str">
        <x:v>interest rate track</x:v>
      </x:c>
      <x:c r="AG928" s="10" t="str">
        <x:v>budget goals</x:v>
      </x:c>
      <x:c r="AH928" s="10" t="str">
        <x:v>Other mortgage-related</x:v>
      </x:c>
      <x:c r="AI928" s="13" t="n">
        <x:v>23</x:v>
      </x:c>
      <x:c r="AJ928" s="10" t="str">
        <x:f>IF(F928&gt;0,"Active","No est. sales")</x:f>
        <x:v>No est. sales</x:v>
      </x:c>
    </x:row>
    <x:row r="929">
      <x:c r="A929" s="10" t="str">
        <x:v>House Buying Planner Spreadsheet | Mortgage, Affordability, Property Comparison, Conveyancing &amp; Costs | Excel Google Sheets</x:v>
      </x:c>
      <x:c r="B929" s="10" t="str">
        <x:v>https://www.etsy.com/listing/4544250599/house-buying-planner-spreadsheet</x:v>
      </x:c>
      <x:c r="C929" s="10" t="str">
        <x:v>Sheetsmithery</x:v>
      </x:c>
      <x:c r="D929" s="10" t="str">
        <x:v>https://www.etsy.com/shop/Sheetsmithery</x:v>
      </x:c>
      <x:c r="E929" s="11" t="n">
        <x:v>6.66</x:v>
      </x:c>
      <x:c r="F929" s="10" t="n">
        <x:v>0</x:v>
      </x:c>
      <x:c r="G929" s="12" t="n">
        <x:v>0</x:v>
      </x:c>
      <x:c r="H929" s="13" t="n">
        <x:v>0</x:v>
      </x:c>
      <x:c r="I929" s="10" t="n">
        <x:v>0</x:v>
      </x:c>
      <x:c r="J929" s="10" t="n">
        <x:v>0</x:v>
      </x:c>
      <x:c r="K929" s="10" t="str">
        <x:v>1 Mo.</x:v>
      </x:c>
      <x:c r="L929" s="10" t="n">
        <x:v>0</x:v>
      </x:c>
      <x:c r="M929" s="10" t="n">
        <x:v>0</x:v>
      </x:c>
      <x:c r="N929" s="10" t="n">
        <x:v>0</x:v>
      </x:c>
      <x:c r="O929" s="10" t="str"/>
      <x:c r="P929" s="10" t="n">
        <x:v>2</x:v>
      </x:c>
      <x:c r="Q929" s="10" t="n">
        <x:v>0</x:v>
      </x:c>
      <x:c r="R929" s="13" t="n">
        <x:v>0</x:v>
      </x:c>
      <x:c r="S929" s="10" t="n">
        <x:v>10</x:v>
      </x:c>
      <x:c r="T929" s="10" t="str">
        <x:v>couples finance,home renovation budg,home renovation,decorating,home planner,home improvement,home decor,moving house,moving house planner,house tracker,moving budget,first home planner,house buying planner</x:v>
      </x:c>
      <x:c r="U929" s="10" t="str">
        <x:v>couples finance</x:v>
      </x:c>
      <x:c r="V929" s="10" t="str">
        <x:v>home renovation budg</x:v>
      </x:c>
      <x:c r="W929" s="10" t="str">
        <x:v>home renovation</x:v>
      </x:c>
      <x:c r="X929" s="10" t="str">
        <x:v>decorating</x:v>
      </x:c>
      <x:c r="Y929" s="10" t="str">
        <x:v>home planner</x:v>
      </x:c>
      <x:c r="Z929" s="10" t="str">
        <x:v>home improvement</x:v>
      </x:c>
      <x:c r="AA929" s="10" t="str">
        <x:v>home decor</x:v>
      </x:c>
      <x:c r="AB929" s="10" t="str">
        <x:v>moving house</x:v>
      </x:c>
      <x:c r="AC929" s="10" t="str">
        <x:v>moving house planner</x:v>
      </x:c>
      <x:c r="AD929" s="10" t="str">
        <x:v>house tracker</x:v>
      </x:c>
      <x:c r="AE929" s="10" t="str">
        <x:v>moving budget</x:v>
      </x:c>
      <x:c r="AF929" s="10" t="str">
        <x:v>first home planner</x:v>
      </x:c>
      <x:c r="AG929" s="10" t="str">
        <x:v>house buying planner</x:v>
      </x:c>
      <x:c r="AH929" s="10" t="str">
        <x:v>Other mortgage-related</x:v>
      </x:c>
      <x:c r="AI929" s="13" t="n">
        <x:v>1</x:v>
      </x:c>
      <x:c r="AJ929" s="10" t="str">
        <x:f>IF(F929&gt;0,"Active","No est. sales")</x:f>
        <x:v>No est. sales</x:v>
      </x:c>
    </x:row>
    <x:row r="930">
      <x:c r="A930" s="10" t="str">
        <x:v>Mortgage Calculator Google Sheets, Rent vs Buy Spreadsheet, Home Affordability Planner, Automated Amortization Schedule, House Hunting Log</x:v>
      </x:c>
      <x:c r="B930" s="10" t="str">
        <x:v>https://www.etsy.com/listing/4527974816/mortgage-calculator-google-sheets-rent</x:v>
      </x:c>
      <x:c r="C930" s="10" t="str">
        <x:v>ZoraProLab</x:v>
      </x:c>
      <x:c r="D930" s="10" t="str">
        <x:v>https://www.etsy.com/shop/ZoraProLab</x:v>
      </x:c>
      <x:c r="E930" s="11" t="n">
        <x:v>3</x:v>
      </x:c>
      <x:c r="F930" s="10" t="n">
        <x:v>0</x:v>
      </x:c>
      <x:c r="G930" s="12" t="n">
        <x:v>0</x:v>
      </x:c>
      <x:c r="H930" s="13" t="n">
        <x:v>0</x:v>
      </x:c>
      <x:c r="I930" s="10" t="n">
        <x:v>0</x:v>
      </x:c>
      <x:c r="J930" s="10" t="n">
        <x:v>0</x:v>
      </x:c>
      <x:c r="K930" s="10" t="str">
        <x:v>1 Mo.</x:v>
      </x:c>
      <x:c r="L930" s="10" t="n">
        <x:v>0</x:v>
      </x:c>
      <x:c r="M930" s="10" t="n">
        <x:v>0</x:v>
      </x:c>
      <x:c r="N930" s="10" t="n">
        <x:v>7</x:v>
      </x:c>
      <x:c r="O930" s="10" t="str"/>
      <x:c r="P930" s="10" t="n">
        <x:v>1</x:v>
      </x:c>
      <x:c r="Q930" s="10" t="n">
        <x:v>0</x:v>
      </x:c>
      <x:c r="R930" s="13" t="n">
        <x:v>0</x:v>
      </x:c>
      <x:c r="S930" s="10" t="n">
        <x:v>0</x:v>
      </x:c>
      <x:c r="T930" s="10" t="str">
        <x:v>mortgage calculator,rent vs buy sheets,home buying planner,affordability sheet,google sheets plan,amortization,house hunting budget,real estate ledger,first time homebuyer,monthly debt tracker,mortgage spreadsheet,dti ratio calculator,property comparison</x:v>
      </x:c>
      <x:c r="U930" s="10" t="str">
        <x:v>mortgage calculator</x:v>
      </x:c>
      <x:c r="V930" s="10" t="str">
        <x:v>rent vs buy sheets</x:v>
      </x:c>
      <x:c r="W930" s="10" t="str">
        <x:v>home buying planner</x:v>
      </x:c>
      <x:c r="X930" s="10" t="str">
        <x:v>affordability sheet</x:v>
      </x:c>
      <x:c r="Y930" s="10" t="str">
        <x:v>google sheets plan</x:v>
      </x:c>
      <x:c r="Z930" s="10" t="str">
        <x:v>amortization</x:v>
      </x:c>
      <x:c r="AA930" s="10" t="str">
        <x:v>house hunting budget</x:v>
      </x:c>
      <x:c r="AB930" s="10" t="str">
        <x:v>real estate ledger</x:v>
      </x:c>
      <x:c r="AC930" s="10" t="str">
        <x:v>first time homebuyer</x:v>
      </x:c>
      <x:c r="AD930" s="10" t="str">
        <x:v>monthly debt tracker</x:v>
      </x:c>
      <x:c r="AE930" s="10" t="str">
        <x:v>mortgage spreadsheet</x:v>
      </x:c>
      <x:c r="AF930" s="10" t="str">
        <x:v>dti ratio calculator</x:v>
      </x:c>
      <x:c r="AG930" s="10" t="str">
        <x:v>property comparison</x:v>
      </x:c>
      <x:c r="AH930" s="10" t="str">
        <x:v>Home buying planner</x:v>
      </x:c>
      <x:c r="AI930" s="13" t="n">
        <x:v>1</x:v>
      </x:c>
      <x:c r="AJ930" s="10" t="str">
        <x:f>IF(F930&gt;0,"Active","No est. sales")</x:f>
        <x:v>No est. sales</x:v>
      </x:c>
    </x:row>
    <x:row r="931">
      <x:c r="A931" s="10" t="str">
        <x:v>Home Buying Tracker | House Comparison, Offers &amp; Closing Checklist</x:v>
      </x:c>
      <x:c r="B931" s="10" t="str">
        <x:v>https://www.etsy.com/listing/4535964380/home-buying-tracker-house-comparison</x:v>
      </x:c>
      <x:c r="C931" s="10" t="str">
        <x:v>DigitizeTheDay</x:v>
      </x:c>
      <x:c r="D931" s="10" t="str">
        <x:v>https://www.etsy.com/shop/DigitizeTheDay</x:v>
      </x:c>
      <x:c r="E931" s="11" t="n">
        <x:v>13.5</x:v>
      </x:c>
      <x:c r="F931" s="10" t="n">
        <x:v>0</x:v>
      </x:c>
      <x:c r="G931" s="12" t="n">
        <x:v>0</x:v>
      </x:c>
      <x:c r="H931" s="13" t="n">
        <x:v>0</x:v>
      </x:c>
      <x:c r="I931" s="10" t="n">
        <x:v>0</x:v>
      </x:c>
      <x:c r="J931" s="10" t="n">
        <x:v>0</x:v>
      </x:c>
      <x:c r="K931" s="10" t="str">
        <x:v>1 Mo.</x:v>
      </x:c>
      <x:c r="L931" s="10" t="n">
        <x:v>0</x:v>
      </x:c>
      <x:c r="M931" s="10" t="n">
        <x:v>0</x:v>
      </x:c>
      <x:c r="N931" s="10" t="n">
        <x:v>2</x:v>
      </x:c>
      <x:c r="O931" s="10" t="str"/>
      <x:c r="P931" s="10" t="n">
        <x:v>6</x:v>
      </x:c>
      <x:c r="Q931" s="10" t="n">
        <x:v>0</x:v>
      </x:c>
      <x:c r="R931" s="13" t="n">
        <x:v>0</x:v>
      </x:c>
      <x:c r="S931" s="10" t="n">
        <x:v>7</x:v>
      </x:c>
      <x:c r="T931" s="10" t="str">
        <x:v>home buying,house hunting,home buyer,mortgage tracker,offer tracker,moving planner,real estate,google sheets,excel template,checklist,budget tracker,digital download,house checklist</x:v>
      </x:c>
      <x:c r="U931" s="10" t="str">
        <x:v>home buying</x:v>
      </x:c>
      <x:c r="V931" s="10" t="str">
        <x:v>house hunting</x:v>
      </x:c>
      <x:c r="W931" s="10" t="str">
        <x:v>home buyer</x:v>
      </x:c>
      <x:c r="X931" s="10" t="str">
        <x:v>mortgage tracker</x:v>
      </x:c>
      <x:c r="Y931" s="10" t="str">
        <x:v>offer tracker</x:v>
      </x:c>
      <x:c r="Z931" s="10" t="str">
        <x:v>moving planner</x:v>
      </x:c>
      <x:c r="AA931" s="10" t="str">
        <x:v>real estate</x:v>
      </x:c>
      <x:c r="AB931" s="10" t="str">
        <x:v>google sheets</x:v>
      </x:c>
      <x:c r="AC931" s="10" t="str">
        <x:v>excel template</x:v>
      </x:c>
      <x:c r="AD931" s="10" t="str">
        <x:v>checklist</x:v>
      </x:c>
      <x:c r="AE931" s="10" t="str">
        <x:v>budget tracker</x:v>
      </x:c>
      <x:c r="AF931" s="10" t="str">
        <x:v>digital download</x:v>
      </x:c>
      <x:c r="AG931" s="10" t="str">
        <x:v>house checklist</x:v>
      </x:c>
      <x:c r="AH931" s="10" t="str">
        <x:v>Home buying planner</x:v>
      </x:c>
      <x:c r="AI931" s="13" t="n">
        <x:v>1</x:v>
      </x:c>
      <x:c r="AJ931" s="10" t="str">
        <x:f>IF(F931&gt;0,"Active","No est. sales")</x:f>
        <x:v>No est. sales</x:v>
      </x:c>
    </x:row>
    <x:row r="932">
      <x:c r="A932" s="10" t="str">
        <x:v>MORTGAGE BILL Planner Stickers</x:v>
      </x:c>
      <x:c r="B932" s="10" t="str">
        <x:v>https://www.etsy.com/listing/818094150/mortgage-bill-planner-stickers</x:v>
      </x:c>
      <x:c r="C932" s="10" t="str">
        <x:v>PlushPlanning</x:v>
      </x:c>
      <x:c r="D932" s="10" t="str">
        <x:v>https://www.etsy.com/shop/PlushPlanning</x:v>
      </x:c>
      <x:c r="E932" s="11" t="n">
        <x:v>5.99</x:v>
      </x:c>
      <x:c r="F932" s="10" t="n">
        <x:v>0</x:v>
      </x:c>
      <x:c r="G932" s="12" t="n">
        <x:v>0</x:v>
      </x:c>
      <x:c r="H932" s="13" t="n">
        <x:v>0</x:v>
      </x:c>
      <x:c r="I932" s="10" t="n">
        <x:v>19</x:v>
      </x:c>
      <x:c r="J932" s="10" t="n">
        <x:v>4</x:v>
      </x:c>
      <x:c r="K932" s="10" t="str">
        <x:v>73 Mo.</x:v>
      </x:c>
      <x:c r="L932" s="10" t="n">
        <x:v>42</x:v>
      </x:c>
      <x:c r="M932" s="10" t="n">
        <x:v>0</x:v>
      </x:c>
      <x:c r="N932" s="10" t="n">
        <x:v>301</x:v>
      </x:c>
      <x:c r="O932" s="10" t="str">
        <x:v>Paper &amp; Party Supplies</x:v>
      </x:c>
      <x:c r="P932" s="10" t="n">
        <x:v>78</x:v>
      </x:c>
      <x:c r="Q932" s="10" t="n">
        <x:v>0</x:v>
      </x:c>
      <x:c r="R932" s="13" t="n">
        <x:v>6.31</x:v>
      </x:c>
      <x:c r="S932" s="10" t="n">
        <x:v>50202</x:v>
      </x:c>
      <x:c r="T932" s="10" t="str">
        <x:v>mortgage,mortgage sticker,mortgage stickers,mortgage planner,mortgage planners,planner sticker,planner stickers,plush planning,plannerkate,planner kate,sticker,stickers,planning</x:v>
      </x:c>
      <x:c r="U932" s="10" t="str">
        <x:v>mortgage</x:v>
      </x:c>
      <x:c r="V932" s="10" t="str">
        <x:v>mortgage sticker</x:v>
      </x:c>
      <x:c r="W932" s="10" t="str">
        <x:v>mortgage stickers</x:v>
      </x:c>
      <x:c r="X932" s="10" t="str">
        <x:v>mortgage planner</x:v>
      </x:c>
      <x:c r="Y932" s="10" t="str">
        <x:v>mortgage planners</x:v>
      </x:c>
      <x:c r="Z932" s="10" t="str">
        <x:v>planner sticker</x:v>
      </x:c>
      <x:c r="AA932" s="10" t="str">
        <x:v>planner stickers</x:v>
      </x:c>
      <x:c r="AB932" s="10" t="str">
        <x:v>plush planning</x:v>
      </x:c>
      <x:c r="AC932" s="10" t="str">
        <x:v>plannerkate</x:v>
      </x:c>
      <x:c r="AD932" s="10" t="str">
        <x:v>planner kate</x:v>
      </x:c>
      <x:c r="AE932" s="10" t="str">
        <x:v>sticker</x:v>
      </x:c>
      <x:c r="AF932" s="10" t="str">
        <x:v>stickers</x:v>
      </x:c>
      <x:c r="AG932" s="10" t="str">
        <x:v>planning</x:v>
      </x:c>
      <x:c r="AH932" s="10" t="str">
        <x:v>Other mortgage-related</x:v>
      </x:c>
      <x:c r="AI932" s="13" t="n">
        <x:v>73</x:v>
      </x:c>
      <x:c r="AJ932" s="10" t="str">
        <x:f>IF(F932&gt;0,"Active","No est. sales")</x:f>
        <x:v>No est. sales</x:v>
      </x:c>
    </x:row>
    <x:row r="933">
      <x:c r="A933" s="10" t="str">
        <x:v>Debt Tracker Debt Avalanche Spreadsheet Excel Debt Payoff Tracker Debt Avalanche Calculator Student Loan Payoff Mortgage Debt Payoff</x:v>
      </x:c>
      <x:c r="B933" s="10" t="str">
        <x:v>https://www.etsy.com/listing/1720057229/debt-tracker-debt-avalanche-spreadsheet</x:v>
      </x:c>
      <x:c r="C933" s="10" t="str">
        <x:v>ExpertEasePro</x:v>
      </x:c>
      <x:c r="D933" s="10" t="str">
        <x:v>https://www.etsy.com/shop/ExpertEasePro</x:v>
      </x:c>
      <x:c r="E933" s="11" t="n">
        <x:v>4.99</x:v>
      </x:c>
      <x:c r="F933" s="10" t="n">
        <x:v>0</x:v>
      </x:c>
      <x:c r="G933" s="12" t="n">
        <x:v>0</x:v>
      </x:c>
      <x:c r="H933" s="13" t="n">
        <x:v>0</x:v>
      </x:c>
      <x:c r="I933" s="10" t="n">
        <x:v>20</x:v>
      </x:c>
      <x:c r="J933" s="10" t="n">
        <x:v>2</x:v>
      </x:c>
      <x:c r="K933" s="10" t="str">
        <x:v>27 Mo.</x:v>
      </x:c>
      <x:c r="L933" s="10" t="n">
        <x:v>9</x:v>
      </x:c>
      <x:c r="M933" s="10" t="n">
        <x:v>0</x:v>
      </x:c>
      <x:c r="N933" s="10" t="n">
        <x:v>371</x:v>
      </x:c>
      <x:c r="O933" s="10" t="str">
        <x:v>Paper &amp; Party Supplies</x:v>
      </x:c>
      <x:c r="P933" s="10" t="n">
        <x:v>35</x:v>
      </x:c>
      <x:c r="Q933" s="10" t="n">
        <x:v>0</x:v>
      </x:c>
      <x:c r="R933" s="13" t="n">
        <x:v>5.39</x:v>
      </x:c>
      <x:c r="S933" s="10" t="n">
        <x:v>5332</x:v>
      </x:c>
      <x:c r="T933" s="10" t="str">
        <x:v>debt payoff,debt tracker,student loan payoff,mortgage payoff,debt repayment,personal finance,debt track template,debt payoff planner,loan payoff template,debt repayment sheet,avalanche debt,debt avalanche,avalnche method</x:v>
      </x:c>
      <x:c r="U933" s="10" t="str">
        <x:v>debt payoff</x:v>
      </x:c>
      <x:c r="V933" s="10" t="str">
        <x:v>debt tracker</x:v>
      </x:c>
      <x:c r="W933" s="10" t="str">
        <x:v>student loan payoff</x:v>
      </x:c>
      <x:c r="X933" s="10" t="str">
        <x:v>mortgage payoff</x:v>
      </x:c>
      <x:c r="Y933" s="10" t="str">
        <x:v>debt repayment</x:v>
      </x:c>
      <x:c r="Z933" s="10" t="str">
        <x:v>personal finance</x:v>
      </x:c>
      <x:c r="AA933" s="10" t="str">
        <x:v>debt track template</x:v>
      </x:c>
      <x:c r="AB933" s="10" t="str">
        <x:v>debt payoff planner</x:v>
      </x:c>
      <x:c r="AC933" s="10" t="str">
        <x:v>loan payoff template</x:v>
      </x:c>
      <x:c r="AD933" s="10" t="str">
        <x:v>debt repayment sheet</x:v>
      </x:c>
      <x:c r="AE933" s="10" t="str">
        <x:v>avalanche debt</x:v>
      </x:c>
      <x:c r="AF933" s="10" t="str">
        <x:v>debt avalanche</x:v>
      </x:c>
      <x:c r="AG933" s="10" t="str">
        <x:v>avalnche method</x:v>
      </x:c>
      <x:c r="AH933" s="10" t="str">
        <x:v>General debt payoff</x:v>
      </x:c>
      <x:c r="AI933" s="13" t="n">
        <x:v>27</x:v>
      </x:c>
      <x:c r="AJ933" s="10" t="str">
        <x:f>IF(F933&gt;0,"Active","No est. sales")</x:f>
        <x:v>No est. sales</x:v>
      </x:c>
    </x:row>
    <x:row r="934">
      <x:c r="A934" s="10" t="str">
        <x:v>Debt Avalanche Spreadsheet Excel Debt Payoff Tracker Debt Avalanche Calculator Student Loan Payoff Mortgage Debt Payoff</x:v>
      </x:c>
      <x:c r="B934" s="10" t="str">
        <x:v>https://www.etsy.com/listing/1736725676/debt-avalanche-spreadsheet-excel-debt</x:v>
      </x:c>
      <x:c r="C934" s="10" t="str">
        <x:v>ExpertEasePro</x:v>
      </x:c>
      <x:c r="D934" s="10" t="str">
        <x:v>https://www.etsy.com/shop/ExpertEasePro</x:v>
      </x:c>
      <x:c r="E934" s="11" t="n">
        <x:v>4.99</x:v>
      </x:c>
      <x:c r="F934" s="10" t="n">
        <x:v>0</x:v>
      </x:c>
      <x:c r="G934" s="12" t="n">
        <x:v>0</x:v>
      </x:c>
      <x:c r="H934" s="13" t="n">
        <x:v>0</x:v>
      </x:c>
      <x:c r="I934" s="10" t="n">
        <x:v>0</x:v>
      </x:c>
      <x:c r="J934" s="10" t="n">
        <x:v>0</x:v>
      </x:c>
      <x:c r="K934" s="10" t="str">
        <x:v>25 Mo.</x:v>
      </x:c>
      <x:c r="L934" s="10" t="n">
        <x:v>6</x:v>
      </x:c>
      <x:c r="M934" s="10" t="n">
        <x:v>0</x:v>
      </x:c>
      <x:c r="N934" s="10" t="n">
        <x:v>412</x:v>
      </x:c>
      <x:c r="O934" s="10" t="str">
        <x:v>Paper &amp; Party Supplies</x:v>
      </x:c>
      <x:c r="P934" s="10" t="n">
        <x:v>35</x:v>
      </x:c>
      <x:c r="Q934" s="10" t="n">
        <x:v>0</x:v>
      </x:c>
      <x:c r="R934" s="13" t="n">
        <x:v>0</x:v>
      </x:c>
      <x:c r="S934" s="10" t="n">
        <x:v>5332</x:v>
      </x:c>
      <x:c r="T934" s="10" t="str">
        <x:v>debt payoff,debt tracker,student loan payoff,mortgage payoff,debt repayment,personal finance,debt track template,debt payoff planner,loan payoff template,debt repayment sheet,avalanche debt,debt avalanche,avalnche method</x:v>
      </x:c>
      <x:c r="U934" s="10" t="str">
        <x:v>debt payoff</x:v>
      </x:c>
      <x:c r="V934" s="10" t="str">
        <x:v>debt tracker</x:v>
      </x:c>
      <x:c r="W934" s="10" t="str">
        <x:v>student loan payoff</x:v>
      </x:c>
      <x:c r="X934" s="10" t="str">
        <x:v>mortgage payoff</x:v>
      </x:c>
      <x:c r="Y934" s="10" t="str">
        <x:v>debt repayment</x:v>
      </x:c>
      <x:c r="Z934" s="10" t="str">
        <x:v>personal finance</x:v>
      </x:c>
      <x:c r="AA934" s="10" t="str">
        <x:v>debt track template</x:v>
      </x:c>
      <x:c r="AB934" s="10" t="str">
        <x:v>debt payoff planner</x:v>
      </x:c>
      <x:c r="AC934" s="10" t="str">
        <x:v>loan payoff template</x:v>
      </x:c>
      <x:c r="AD934" s="10" t="str">
        <x:v>debt repayment sheet</x:v>
      </x:c>
      <x:c r="AE934" s="10" t="str">
        <x:v>avalanche debt</x:v>
      </x:c>
      <x:c r="AF934" s="10" t="str">
        <x:v>debt avalanche</x:v>
      </x:c>
      <x:c r="AG934" s="10" t="str">
        <x:v>avalnche method</x:v>
      </x:c>
      <x:c r="AH934" s="10" t="str">
        <x:v>General debt payoff</x:v>
      </x:c>
      <x:c r="AI934" s="13" t="n">
        <x:v>25</x:v>
      </x:c>
      <x:c r="AJ934" s="10" t="str">
        <x:f>IF(F934&gt;0,"Active","No est. sales")</x:f>
        <x:v>No est. sales</x:v>
      </x:c>
    </x:row>
    <x:row r="935">
      <x:c r="A935" s="10" t="str">
        <x:v>House Payment Stickers: Mortgage Tracker, Budget Planner Decor</x:v>
      </x:c>
      <x:c r="B935" s="10" t="str">
        <x:v>https://www.etsy.com/listing/1234916897/house-payment-stickers-mortgage-tracker</x:v>
      </x:c>
      <x:c r="C935" s="10" t="str">
        <x:v>VenusDanielle</x:v>
      </x:c>
      <x:c r="D935" s="10" t="str">
        <x:v>https://www.etsy.com/shop/VenusDanielle</x:v>
      </x:c>
      <x:c r="E935" s="11" t="n">
        <x:v>2.65</x:v>
      </x:c>
      <x:c r="F935" s="10" t="n">
        <x:v>0</x:v>
      </x:c>
      <x:c r="G935" s="12" t="n">
        <x:v>0</x:v>
      </x:c>
      <x:c r="H935" s="13" t="n">
        <x:v>0</x:v>
      </x:c>
      <x:c r="I935" s="10" t="n">
        <x:v>3</x:v>
      </x:c>
      <x:c r="J935" s="10" t="n">
        <x:v>1</x:v>
      </x:c>
      <x:c r="K935" s="10" t="str">
        <x:v>50 Mo.</x:v>
      </x:c>
      <x:c r="L935" s="10" t="n">
        <x:v>5</x:v>
      </x:c>
      <x:c r="M935" s="10" t="n">
        <x:v>0</x:v>
      </x:c>
      <x:c r="N935" s="10" t="n">
        <x:v>46</x:v>
      </x:c>
      <x:c r="O935" s="10" t="str">
        <x:v>Paper &amp; Party Supplies</x:v>
      </x:c>
      <x:c r="P935" s="10" t="n">
        <x:v>136</x:v>
      </x:c>
      <x:c r="Q935" s="10" t="n">
        <x:v>0</x:v>
      </x:c>
      <x:c r="R935" s="13" t="n">
        <x:v>6.52</x:v>
      </x:c>
      <x:c r="S935" s="10" t="n">
        <x:v>6160</x:v>
      </x:c>
      <x:c r="T935" s="10" t="str">
        <x:v>planner stickers,mortgage,bill due stickers,rent,payment,functional stickers,bills,budget planner,budget stickers,sticker sheet,payment tracker,budgeting stickers,bill</x:v>
      </x:c>
      <x:c r="U935" s="10" t="str">
        <x:v>planner stickers</x:v>
      </x:c>
      <x:c r="V935" s="10" t="str">
        <x:v>mortgage</x:v>
      </x:c>
      <x:c r="W935" s="10" t="str">
        <x:v>bill due stickers</x:v>
      </x:c>
      <x:c r="X935" s="10" t="str">
        <x:v>rent</x:v>
      </x:c>
      <x:c r="Y935" s="10" t="str">
        <x:v>payment</x:v>
      </x:c>
      <x:c r="Z935" s="10" t="str">
        <x:v>functional stickers</x:v>
      </x:c>
      <x:c r="AA935" s="10" t="str">
        <x:v>bills</x:v>
      </x:c>
      <x:c r="AB935" s="10" t="str">
        <x:v>budget planner</x:v>
      </x:c>
      <x:c r="AC935" s="10" t="str">
        <x:v>budget stickers</x:v>
      </x:c>
      <x:c r="AD935" s="10" t="str">
        <x:v>sticker sheet</x:v>
      </x:c>
      <x:c r="AE935" s="10" t="str">
        <x:v>payment tracker</x:v>
      </x:c>
      <x:c r="AF935" s="10" t="str">
        <x:v>budgeting stickers</x:v>
      </x:c>
      <x:c r="AG935" s="10" t="str">
        <x:v>bill</x:v>
      </x:c>
      <x:c r="AH935" s="10" t="str">
        <x:v>Other mortgage-related</x:v>
      </x:c>
      <x:c r="AI935" s="13" t="n">
        <x:v>50</x:v>
      </x:c>
      <x:c r="AJ935" s="10" t="str">
        <x:f>IF(F935&gt;0,"Active","No est. sales")</x:f>
        <x:v>No est. sales</x:v>
      </x:c>
    </x:row>
    <x:row r="936">
      <x:c r="A936" s="10" t="str">
        <x:v>House Mortgage Planner Stickers, Black Icon Stickers</x:v>
      </x:c>
      <x:c r="B936" s="10" t="str">
        <x:v>https://www.etsy.com/listing/1539811284/house-mortgage-planner-stickers-black</x:v>
      </x:c>
      <x:c r="C936" s="10" t="str">
        <x:v>PlushPlanning</x:v>
      </x:c>
      <x:c r="D936" s="10" t="str">
        <x:v>https://www.etsy.com/shop/PlushPlanning</x:v>
      </x:c>
      <x:c r="E936" s="11" t="n">
        <x:v>7.99</x:v>
      </x:c>
      <x:c r="F936" s="10" t="n">
        <x:v>0</x:v>
      </x:c>
      <x:c r="G936" s="12" t="n">
        <x:v>0</x:v>
      </x:c>
      <x:c r="H936" s="13" t="n">
        <x:v>0</x:v>
      </x:c>
      <x:c r="I936" s="10" t="n">
        <x:v>0</x:v>
      </x:c>
      <x:c r="J936" s="10" t="n">
        <x:v>0</x:v>
      </x:c>
      <x:c r="K936" s="10" t="str">
        <x:v>35 Mo.</x:v>
      </x:c>
      <x:c r="L936" s="10" t="n">
        <x:v>20</x:v>
      </x:c>
      <x:c r="M936" s="10" t="n">
        <x:v>0</x:v>
      </x:c>
      <x:c r="N936" s="10" t="n">
        <x:v>70</x:v>
      </x:c>
      <x:c r="O936" s="10" t="str">
        <x:v>Paper &amp; Party Supplies</x:v>
      </x:c>
      <x:c r="P936" s="10" t="n">
        <x:v>78</x:v>
      </x:c>
      <x:c r="Q936" s="10" t="n">
        <x:v>0</x:v>
      </x:c>
      <x:c r="R936" s="13" t="n">
        <x:v>0</x:v>
      </x:c>
      <x:c r="S936" s="10" t="n">
        <x:v>50202</x:v>
      </x:c>
      <x:c r="T936" s="10" t="str">
        <x:v>house,house tracker,house trackers,home tracker,home trackers,mortgage,mortgage tracker,mortgage trackers,planner sticker,planner stickers,erin condren,happyplanner,planners</x:v>
      </x:c>
      <x:c r="U936" s="10" t="str">
        <x:v>house</x:v>
      </x:c>
      <x:c r="V936" s="10" t="str">
        <x:v>house tracker</x:v>
      </x:c>
      <x:c r="W936" s="10" t="str">
        <x:v>house trackers</x:v>
      </x:c>
      <x:c r="X936" s="10" t="str">
        <x:v>home tracker</x:v>
      </x:c>
      <x:c r="Y936" s="10" t="str">
        <x:v>home trackers</x:v>
      </x:c>
      <x:c r="Z936" s="10" t="str">
        <x:v>mortgage</x:v>
      </x:c>
      <x:c r="AA936" s="10" t="str">
        <x:v>mortgage tracker</x:v>
      </x:c>
      <x:c r="AB936" s="10" t="str">
        <x:v>mortgage trackers</x:v>
      </x:c>
      <x:c r="AC936" s="10" t="str">
        <x:v>planner sticker</x:v>
      </x:c>
      <x:c r="AD936" s="10" t="str">
        <x:v>planner stickers</x:v>
      </x:c>
      <x:c r="AE936" s="10" t="str">
        <x:v>erin condren</x:v>
      </x:c>
      <x:c r="AF936" s="10" t="str">
        <x:v>happyplanner</x:v>
      </x:c>
      <x:c r="AG936" s="10" t="str">
        <x:v>planners</x:v>
      </x:c>
      <x:c r="AH936" s="10" t="str">
        <x:v>Other mortgage-related</x:v>
      </x:c>
      <x:c r="AI936" s="13" t="n">
        <x:v>35</x:v>
      </x:c>
      <x:c r="AJ936" s="10" t="str">
        <x:f>IF(F936&gt;0,"Active","No est. sales")</x:f>
        <x:v>No est. sales</x:v>
      </x:c>
    </x:row>
    <x:row r="937">
      <x:c r="A937" s="10" t="str">
        <x:v>Mini Mortgage House Icon Tracker, Clip Art Functional, Scrapbooking Stickers</x:v>
      </x:c>
      <x:c r="B937" s="10" t="str">
        <x:v>https://www.etsy.com/listing/4489910530/mini-mortgage-house-icon-tracker-clip</x:v>
      </x:c>
      <x:c r="C937" s="10" t="str">
        <x:v>PlushPlanning</x:v>
      </x:c>
      <x:c r="D937" s="10" t="str">
        <x:v>https://www.etsy.com/shop/PlushPlanning</x:v>
      </x:c>
      <x:c r="E937" s="11" t="n">
        <x:v>3.99</x:v>
      </x:c>
      <x:c r="F937" s="10" t="n">
        <x:v>0</x:v>
      </x:c>
      <x:c r="G937" s="12" t="n">
        <x:v>0</x:v>
      </x:c>
      <x:c r="H937" s="13" t="n">
        <x:v>0</x:v>
      </x:c>
      <x:c r="I937" s="10" t="n">
        <x:v>0</x:v>
      </x:c>
      <x:c r="J937" s="10" t="n">
        <x:v>0</x:v>
      </x:c>
      <x:c r="K937" s="10" t="str">
        <x:v>3 Mo.</x:v>
      </x:c>
      <x:c r="L937" s="10" t="n">
        <x:v>2</x:v>
      </x:c>
      <x:c r="M937" s="10" t="n">
        <x:v>0</x:v>
      </x:c>
      <x:c r="N937" s="10" t="n">
        <x:v>16</x:v>
      </x:c>
      <x:c r="O937" s="10" t="str">
        <x:v>Paper &amp; Party Supplies</x:v>
      </x:c>
      <x:c r="P937" s="10" t="n">
        <x:v>78</x:v>
      </x:c>
      <x:c r="Q937" s="10" t="n">
        <x:v>0</x:v>
      </x:c>
      <x:c r="R937" s="13" t="n">
        <x:v>0</x:v>
      </x:c>
      <x:c r="S937" s="10" t="n">
        <x:v>50202</x:v>
      </x:c>
      <x:c r="T937" s="10" t="str">
        <x:v>planner sticker,planner stickers,savings trackers,family budget,scrapbooking sticker,clip art stickers,planner decor,functional stickers,cute stickers,plannerkate,mortgage,mortgage sticker,house sticker</x:v>
      </x:c>
      <x:c r="U937" s="10" t="str">
        <x:v>planner sticker</x:v>
      </x:c>
      <x:c r="V937" s="10" t="str">
        <x:v>planner stickers</x:v>
      </x:c>
      <x:c r="W937" s="10" t="str">
        <x:v>savings trackers</x:v>
      </x:c>
      <x:c r="X937" s="10" t="str">
        <x:v>family budget</x:v>
      </x:c>
      <x:c r="Y937" s="10" t="str">
        <x:v>scrapbooking sticker</x:v>
      </x:c>
      <x:c r="Z937" s="10" t="str">
        <x:v>clip art stickers</x:v>
      </x:c>
      <x:c r="AA937" s="10" t="str">
        <x:v>planner decor</x:v>
      </x:c>
      <x:c r="AB937" s="10" t="str">
        <x:v>functional stickers</x:v>
      </x:c>
      <x:c r="AC937" s="10" t="str">
        <x:v>cute stickers</x:v>
      </x:c>
      <x:c r="AD937" s="10" t="str">
        <x:v>plannerkate</x:v>
      </x:c>
      <x:c r="AE937" s="10" t="str">
        <x:v>mortgage</x:v>
      </x:c>
      <x:c r="AF937" s="10" t="str">
        <x:v>mortgage sticker</x:v>
      </x:c>
      <x:c r="AG937" s="10" t="str">
        <x:v>house sticker</x:v>
      </x:c>
      <x:c r="AH937" s="10" t="str">
        <x:v>Other mortgage-related</x:v>
      </x:c>
      <x:c r="AI937" s="13" t="n">
        <x:v>3</x:v>
      </x:c>
      <x:c r="AJ937" s="10" t="str">
        <x:f>IF(F937&gt;0,"Active","No est. sales")</x:f>
        <x:v>No est. sales</x:v>
      </x:c>
    </x:row>
    <x:row r="938">
      <x:c r="A938" s="10" t="str">
        <x:v>Mortgage Tracker Checklist Planner Stickers</x:v>
      </x:c>
      <x:c r="B938" s="10" t="str">
        <x:v>https://www.etsy.com/listing/1114340323/mortgage-tracker-checklist-planner</x:v>
      </x:c>
      <x:c r="C938" s="10" t="str">
        <x:v>PlushPlanning</x:v>
      </x:c>
      <x:c r="D938" s="10" t="str">
        <x:v>https://www.etsy.com/shop/PlushPlanning</x:v>
      </x:c>
      <x:c r="E938" s="11" t="n">
        <x:v>7.99</x:v>
      </x:c>
      <x:c r="F938" s="10" t="n">
        <x:v>0</x:v>
      </x:c>
      <x:c r="G938" s="12" t="n">
        <x:v>0</x:v>
      </x:c>
      <x:c r="H938" s="13" t="n">
        <x:v>0</x:v>
      </x:c>
      <x:c r="I938" s="10" t="n">
        <x:v>23</x:v>
      </x:c>
      <x:c r="J938" s="10" t="n">
        <x:v>5</x:v>
      </x:c>
      <x:c r="K938" s="10" t="str">
        <x:v>56 Mo.</x:v>
      </x:c>
      <x:c r="L938" s="10" t="n">
        <x:v>26</x:v>
      </x:c>
      <x:c r="M938" s="10" t="n">
        <x:v>0</x:v>
      </x:c>
      <x:c r="N938" s="10" t="n">
        <x:v>703</x:v>
      </x:c>
      <x:c r="O938" s="10" t="str">
        <x:v>Paper &amp; Party Supplies</x:v>
      </x:c>
      <x:c r="P938" s="10" t="n">
        <x:v>78</x:v>
      </x:c>
      <x:c r="Q938" s="10" t="n">
        <x:v>0</x:v>
      </x:c>
      <x:c r="R938" s="13" t="n">
        <x:v>3.27</x:v>
      </x:c>
      <x:c r="S938" s="10" t="n">
        <x:v>50202</x:v>
      </x:c>
      <x:c r="T938" s="10" t="str">
        <x:v>mortgage,mortgage sticker,mortgage tracker,mortgage trackers,mortgage bill,mortgage bills,planner sticker,planner stickers,erin condren,happyplanner,plush planning,plannerkate,sticker planners</x:v>
      </x:c>
      <x:c r="U938" s="10" t="str">
        <x:v>mortgage</x:v>
      </x:c>
      <x:c r="V938" s="10" t="str">
        <x:v>mortgage sticker</x:v>
      </x:c>
      <x:c r="W938" s="10" t="str">
        <x:v>mortgage tracker</x:v>
      </x:c>
      <x:c r="X938" s="10" t="str">
        <x:v>mortgage trackers</x:v>
      </x:c>
      <x:c r="Y938" s="10" t="str">
        <x:v>mortgage bill</x:v>
      </x:c>
      <x:c r="Z938" s="10" t="str">
        <x:v>mortgage bills</x:v>
      </x:c>
      <x:c r="AA938" s="10" t="str">
        <x:v>planner sticker</x:v>
      </x:c>
      <x:c r="AB938" s="10" t="str">
        <x:v>planner stickers</x:v>
      </x:c>
      <x:c r="AC938" s="10" t="str">
        <x:v>erin condren</x:v>
      </x:c>
      <x:c r="AD938" s="10" t="str">
        <x:v>happyplanner</x:v>
      </x:c>
      <x:c r="AE938" s="10" t="str">
        <x:v>plush planning</x:v>
      </x:c>
      <x:c r="AF938" s="10" t="str">
        <x:v>plannerkate</x:v>
      </x:c>
      <x:c r="AG938" s="10" t="str">
        <x:v>sticker planners</x:v>
      </x:c>
      <x:c r="AH938" s="10" t="str">
        <x:v>Other mortgage-related</x:v>
      </x:c>
      <x:c r="AI938" s="13" t="n">
        <x:v>56</x:v>
      </x:c>
      <x:c r="AJ938" s="10" t="str">
        <x:f>IF(F938&gt;0,"Active","No est. sales")</x:f>
        <x:v>No est. sales</x:v>
      </x:c>
    </x:row>
    <x:row r="939">
      <x:c r="A939" s="10" t="str">
        <x:v>Extra Mortgage Payments Script Planner Stickers, Black Bold Font</x:v>
      </x:c>
      <x:c r="B939" s="10" t="str">
        <x:v>https://www.etsy.com/listing/4315596212/extra-mortgage-payments-script-planner</x:v>
      </x:c>
      <x:c r="C939" s="10" t="str">
        <x:v>PlushPlanning</x:v>
      </x:c>
      <x:c r="D939" s="10" t="str">
        <x:v>https://www.etsy.com/shop/PlushPlanning</x:v>
      </x:c>
      <x:c r="E939" s="11" t="n">
        <x:v>3.99</x:v>
      </x:c>
      <x:c r="F939" s="10" t="n">
        <x:v>0</x:v>
      </x:c>
      <x:c r="G939" s="12" t="n">
        <x:v>0</x:v>
      </x:c>
      <x:c r="H939" s="13" t="n">
        <x:v>0</x:v>
      </x:c>
      <x:c r="I939" s="10" t="n">
        <x:v>0</x:v>
      </x:c>
      <x:c r="J939" s="10" t="n">
        <x:v>0</x:v>
      </x:c>
      <x:c r="K939" s="10" t="str">
        <x:v>13 Mo.</x:v>
      </x:c>
      <x:c r="L939" s="10" t="n">
        <x:v>0</x:v>
      </x:c>
      <x:c r="M939" s="10" t="n">
        <x:v>0</x:v>
      </x:c>
      <x:c r="N939" s="10" t="n">
        <x:v>17</x:v>
      </x:c>
      <x:c r="O939" s="10" t="str">
        <x:v>Paper &amp; Party Supplies</x:v>
      </x:c>
      <x:c r="P939" s="10" t="n">
        <x:v>78</x:v>
      </x:c>
      <x:c r="Q939" s="10" t="n">
        <x:v>0</x:v>
      </x:c>
      <x:c r="R939" s="13" t="n">
        <x:v>0</x:v>
      </x:c>
      <x:c r="S939" s="10" t="n">
        <x:v>50202</x:v>
      </x:c>
      <x:c r="T939" s="10" t="str"/>
      <x:c r="U939" s="10" t="str">
        <x:v>--</x:v>
      </x:c>
      <x:c r="V939" s="10" t="str">
        <x:v>--</x:v>
      </x:c>
      <x:c r="W939" s="10" t="str">
        <x:v>--</x:v>
      </x:c>
      <x:c r="X939" s="10" t="str">
        <x:v>--</x:v>
      </x:c>
      <x:c r="Y939" s="10" t="str">
        <x:v>--</x:v>
      </x:c>
      <x:c r="Z939" s="10" t="str">
        <x:v>--</x:v>
      </x:c>
      <x:c r="AA939" s="10" t="str">
        <x:v>--</x:v>
      </x:c>
      <x:c r="AB939" s="10" t="str">
        <x:v>--</x:v>
      </x:c>
      <x:c r="AC939" s="10" t="str">
        <x:v>--</x:v>
      </x:c>
      <x:c r="AD939" s="10" t="str">
        <x:v>--</x:v>
      </x:c>
      <x:c r="AE939" s="10" t="str">
        <x:v>--</x:v>
      </x:c>
      <x:c r="AF939" s="10" t="str">
        <x:v>--</x:v>
      </x:c>
      <x:c r="AG939" s="10" t="str">
        <x:v>--</x:v>
      </x:c>
      <x:c r="AH939" s="10" t="str">
        <x:v>Other mortgage-related</x:v>
      </x:c>
      <x:c r="AI939" s="13" t="n">
        <x:v>13</x:v>
      </x:c>
      <x:c r="AJ939" s="10" t="str">
        <x:f>IF(F939&gt;0,"Active","No est. sales")</x:f>
        <x:v>No est. sales</x:v>
      </x:c>
    </x:row>
    <x:row r="940">
      <x:c r="A940" s="10" t="str">
        <x:v>Mortgage Payments Planner Stickers, Functional Bold Script</x:v>
      </x:c>
      <x:c r="B940" s="10" t="str">
        <x:v>https://www.etsy.com/listing/4315597115/mortgage-payments-planner-stickers</x:v>
      </x:c>
      <x:c r="C940" s="10" t="str">
        <x:v>PlushPlanning</x:v>
      </x:c>
      <x:c r="D940" s="10" t="str">
        <x:v>https://www.etsy.com/shop/PlushPlanning</x:v>
      </x:c>
      <x:c r="E940" s="11" t="n">
        <x:v>3.99</x:v>
      </x:c>
      <x:c r="F940" s="10" t="n">
        <x:v>0</x:v>
      </x:c>
      <x:c r="G940" s="12" t="n">
        <x:v>0</x:v>
      </x:c>
      <x:c r="H940" s="13" t="n">
        <x:v>0</x:v>
      </x:c>
      <x:c r="I940" s="10" t="n">
        <x:v>0</x:v>
      </x:c>
      <x:c r="J940" s="10" t="n">
        <x:v>0</x:v>
      </x:c>
      <x:c r="K940" s="10" t="str">
        <x:v>13 Mo.</x:v>
      </x:c>
      <x:c r="L940" s="10" t="n">
        <x:v>3</x:v>
      </x:c>
      <x:c r="M940" s="10" t="n">
        <x:v>0</x:v>
      </x:c>
      <x:c r="N940" s="10" t="n">
        <x:v>18</x:v>
      </x:c>
      <x:c r="O940" s="10" t="str">
        <x:v>Paper &amp; Party Supplies</x:v>
      </x:c>
      <x:c r="P940" s="10" t="n">
        <x:v>78</x:v>
      </x:c>
      <x:c r="Q940" s="10" t="n">
        <x:v>0</x:v>
      </x:c>
      <x:c r="R940" s="13" t="n">
        <x:v>0</x:v>
      </x:c>
      <x:c r="S940" s="10" t="n">
        <x:v>50202</x:v>
      </x:c>
      <x:c r="T940" s="10" t="str"/>
      <x:c r="U940" s="10" t="str">
        <x:v>--</x:v>
      </x:c>
      <x:c r="V940" s="10" t="str">
        <x:v>--</x:v>
      </x:c>
      <x:c r="W940" s="10" t="str">
        <x:v>--</x:v>
      </x:c>
      <x:c r="X940" s="10" t="str">
        <x:v>--</x:v>
      </x:c>
      <x:c r="Y940" s="10" t="str">
        <x:v>--</x:v>
      </x:c>
      <x:c r="Z940" s="10" t="str">
        <x:v>--</x:v>
      </x:c>
      <x:c r="AA940" s="10" t="str">
        <x:v>--</x:v>
      </x:c>
      <x:c r="AB940" s="10" t="str">
        <x:v>--</x:v>
      </x:c>
      <x:c r="AC940" s="10" t="str">
        <x:v>--</x:v>
      </x:c>
      <x:c r="AD940" s="10" t="str">
        <x:v>--</x:v>
      </x:c>
      <x:c r="AE940" s="10" t="str">
        <x:v>--</x:v>
      </x:c>
      <x:c r="AF940" s="10" t="str">
        <x:v>--</x:v>
      </x:c>
      <x:c r="AG940" s="10" t="str">
        <x:v>--</x:v>
      </x:c>
      <x:c r="AH940" s="10" t="str">
        <x:v>Other mortgage-related</x:v>
      </x:c>
      <x:c r="AI940" s="13" t="n">
        <x:v>13</x:v>
      </x:c>
      <x:c r="AJ940" s="10" t="str">
        <x:f>IF(F940&gt;0,"Active","No est. sales")</x:f>
        <x:v>No est. sales</x:v>
      </x:c>
    </x:row>
    <x:row r="941">
      <x:c r="A941" s="10" t="str">
        <x:v>Debt Payoff Tracker: Snowball, Avalanche Calculator (Excel, Google Sheets)</x:v>
      </x:c>
      <x:c r="B941" s="10" t="str">
        <x:v>https://www.etsy.com/listing/4546154077/debt-payoff-tracker-snowball-avalanche</x:v>
      </x:c>
      <x:c r="C941" s="10" t="str">
        <x:v>BespokeDigitalHouse</x:v>
      </x:c>
      <x:c r="D941" s="10" t="str">
        <x:v>https://www.etsy.com/shop/BespokeDigitalHouse</x:v>
      </x:c>
      <x:c r="E941" s="11" t="n">
        <x:v>6.25</x:v>
      </x:c>
      <x:c r="F941" s="10" t="n">
        <x:v>0</x:v>
      </x:c>
      <x:c r="G941" s="12" t="n">
        <x:v>0</x:v>
      </x:c>
      <x:c r="H941" s="13" t="n">
        <x:v>0</x:v>
      </x:c>
      <x:c r="I941" s="10" t="n">
        <x:v>0</x:v>
      </x:c>
      <x:c r="J941" s="10" t="n">
        <x:v>0</x:v>
      </x:c>
      <x:c r="K941" s="10" t="str">
        <x:v>1 Mo.</x:v>
      </x:c>
      <x:c r="L941" s="10" t="n">
        <x:v>0</x:v>
      </x:c>
      <x:c r="M941" s="10" t="n">
        <x:v>0</x:v>
      </x:c>
      <x:c r="N941" s="10" t="n">
        <x:v>0</x:v>
      </x:c>
      <x:c r="O941" s="10" t="str"/>
      <x:c r="P941" s="10" t="n">
        <x:v>0</x:v>
      </x:c>
      <x:c r="Q941" s="10" t="n">
        <x:v>0</x:v>
      </x:c>
      <x:c r="R941" s="13" t="n">
        <x:v>0</x:v>
      </x:c>
      <x:c r="S941" s="10" t="n">
        <x:v>2</x:v>
      </x:c>
      <x:c r="T941" s="10" t="str">
        <x:v>credit utilization,credit score focus,mortgage payoff,debt avalanche,credit card payoff,debt payoff chart,debt snowball,student loan debt,debt payment tracker,debt payoff tracker,debt template,financial planner,budget planner</x:v>
      </x:c>
      <x:c r="U941" s="10" t="str">
        <x:v>credit utilization</x:v>
      </x:c>
      <x:c r="V941" s="10" t="str">
        <x:v>credit score focus</x:v>
      </x:c>
      <x:c r="W941" s="10" t="str">
        <x:v>mortgage payoff</x:v>
      </x:c>
      <x:c r="X941" s="10" t="str">
        <x:v>debt avalanche</x:v>
      </x:c>
      <x:c r="Y941" s="10" t="str">
        <x:v>credit card payoff</x:v>
      </x:c>
      <x:c r="Z941" s="10" t="str">
        <x:v>debt payoff chart</x:v>
      </x:c>
      <x:c r="AA941" s="10" t="str">
        <x:v>debt snowball</x:v>
      </x:c>
      <x:c r="AB941" s="10" t="str">
        <x:v>student loan debt</x:v>
      </x:c>
      <x:c r="AC941" s="10" t="str">
        <x:v>debt payment tracker</x:v>
      </x:c>
      <x:c r="AD941" s="10" t="str">
        <x:v>debt payoff tracker</x:v>
      </x:c>
      <x:c r="AE941" s="10" t="str">
        <x:v>debt template</x:v>
      </x:c>
      <x:c r="AF941" s="10" t="str">
        <x:v>financial planner</x:v>
      </x:c>
      <x:c r="AG941" s="10" t="str">
        <x:v>budget planner</x:v>
      </x:c>
      <x:c r="AH941" s="10" t="str">
        <x:v>General debt payoff</x:v>
      </x:c>
      <x:c r="AI941" s="13" t="n">
        <x:v>1</x:v>
      </x:c>
      <x:c r="AJ941" s="10" t="str">
        <x:f>IF(F941&gt;0,"Active","No est. sales")</x:f>
        <x:v>No est. sales</x:v>
      </x:c>
    </x:row>
    <x:row r="942">
      <x:c r="A942" s="10" t="str">
        <x:v>Mortgage Loan Printable Planner Stickers |  Hand drawn Stickers, Planner Stickers, CoffeeBeanPaper</x:v>
      </x:c>
      <x:c r="B942" s="10" t="str">
        <x:v>https://www.etsy.com/listing/784223248/mortgage-loan-printable-planner-stickers</x:v>
      </x:c>
      <x:c r="C942" s="10" t="str">
        <x:v>CoffeeBeanPaper</x:v>
      </x:c>
      <x:c r="D942" s="10" t="str">
        <x:v>https://www.etsy.com/shop/CoffeeBeanPaper</x:v>
      </x:c>
      <x:c r="E942" s="11" t="n">
        <x:v>3.6</x:v>
      </x:c>
      <x:c r="F942" s="10" t="n">
        <x:v>0</x:v>
      </x:c>
      <x:c r="G942" s="12" t="n">
        <x:v>0</x:v>
      </x:c>
      <x:c r="H942" s="13" t="n">
        <x:v>0</x:v>
      </x:c>
      <x:c r="I942" s="10" t="n">
        <x:v>0</x:v>
      </x:c>
      <x:c r="J942" s="10" t="n">
        <x:v>0</x:v>
      </x:c>
      <x:c r="K942" s="10" t="str">
        <x:v>75 Mo.</x:v>
      </x:c>
      <x:c r="L942" s="10" t="n">
        <x:v>25</x:v>
      </x:c>
      <x:c r="M942" s="10" t="n">
        <x:v>0</x:v>
      </x:c>
      <x:c r="N942" s="10" t="n">
        <x:v>89</x:v>
      </x:c>
      <x:c r="O942" s="10" t="str">
        <x:v>Paper &amp; Party Supplies</x:v>
      </x:c>
      <x:c r="P942" s="10" t="n">
        <x:v>127</x:v>
      </x:c>
      <x:c r="Q942" s="10" t="n">
        <x:v>0</x:v>
      </x:c>
      <x:c r="R942" s="13" t="n">
        <x:v>0</x:v>
      </x:c>
      <x:c r="S942" s="10" t="n">
        <x:v>4685</x:v>
      </x:c>
      <x:c r="T942" s="10" t="str">
        <x:v>planning,planning stickers,stickers,hand-drawn stickers,planner stickers,erin condren,hobonichi,happy planner,print pression,stalogy,mortgage,finance,coffeebeanpaper</x:v>
      </x:c>
      <x:c r="U942" s="10" t="str">
        <x:v>planning</x:v>
      </x:c>
      <x:c r="V942" s="10" t="str">
        <x:v>planning stickers</x:v>
      </x:c>
      <x:c r="W942" s="10" t="str">
        <x:v>stickers</x:v>
      </x:c>
      <x:c r="X942" s="10" t="str">
        <x:v>hand-drawn stickers</x:v>
      </x:c>
      <x:c r="Y942" s="10" t="str">
        <x:v>planner stickers</x:v>
      </x:c>
      <x:c r="Z942" s="10" t="str">
        <x:v>erin condren</x:v>
      </x:c>
      <x:c r="AA942" s="10" t="str">
        <x:v>hobonichi</x:v>
      </x:c>
      <x:c r="AB942" s="10" t="str">
        <x:v>happy planner</x:v>
      </x:c>
      <x:c r="AC942" s="10" t="str">
        <x:v>print pression</x:v>
      </x:c>
      <x:c r="AD942" s="10" t="str">
        <x:v>stalogy</x:v>
      </x:c>
      <x:c r="AE942" s="10" t="str">
        <x:v>mortgage</x:v>
      </x:c>
      <x:c r="AF942" s="10" t="str">
        <x:v>finance</x:v>
      </x:c>
      <x:c r="AG942" s="10" t="str">
        <x:v>coffeebeanpaper</x:v>
      </x:c>
      <x:c r="AH942" s="10" t="str">
        <x:v>Other mortgage-related</x:v>
      </x:c>
      <x:c r="AI942" s="13" t="n">
        <x:v>75</x:v>
      </x:c>
      <x:c r="AJ942" s="10" t="str">
        <x:f>IF(F942&gt;0,"Active","No est. sales")</x:f>
        <x:v>No est. sales</x:v>
      </x:c>
    </x:row>
    <x:row r="943">
      <x:c r="A943" s="10" t="str">
        <x:v>Mortgage Payment Planner Stickers: Colorful House Icons</x:v>
      </x:c>
      <x:c r="B943" s="10" t="str">
        <x:v>https://www.etsy.com/listing/400717759/mortgage-payment-planner-stickers</x:v>
      </x:c>
      <x:c r="C943" s="10" t="str">
        <x:v>MyOwnCraftsStore</x:v>
      </x:c>
      <x:c r="D943" s="10" t="str">
        <x:v>https://www.etsy.com/shop/MyOwnCraftsStore</x:v>
      </x:c>
      <x:c r="E943" s="11" t="n">
        <x:v>0.97</x:v>
      </x:c>
      <x:c r="F943" s="10" t="n">
        <x:v>0</x:v>
      </x:c>
      <x:c r="G943" s="12" t="n">
        <x:v>0</x:v>
      </x:c>
      <x:c r="H943" s="13" t="n">
        <x:v>0</x:v>
      </x:c>
      <x:c r="I943" s="10" t="n">
        <x:v>47</x:v>
      </x:c>
      <x:c r="J943" s="10" t="n">
        <x:v>10</x:v>
      </x:c>
      <x:c r="K943" s="10" t="str">
        <x:v>121 Mo.</x:v>
      </x:c>
      <x:c r="L943" s="10" t="n">
        <x:v>47</x:v>
      </x:c>
      <x:c r="M943" s="10" t="n">
        <x:v>0</x:v>
      </x:c>
      <x:c r="N943" s="10" t="n">
        <x:v>543</x:v>
      </x:c>
      <x:c r="O943" s="10" t="str">
        <x:v>Paper &amp; Party Supplies</x:v>
      </x:c>
      <x:c r="P943" s="10" t="n">
        <x:v>124</x:v>
      </x:c>
      <x:c r="Q943" s="10" t="n">
        <x:v>0</x:v>
      </x:c>
      <x:c r="R943" s="13" t="n">
        <x:v>8.66</x:v>
      </x:c>
      <x:c r="S943" s="10" t="n">
        <x:v>31622</x:v>
      </x:c>
      <x:c r="T943" s="10" t="str">
        <x:v>sticker,planner,erin condren,limelife,plum paper,life planner,filofax,planner accessories,house,planner stickers,mortgage,mortgage loan,pay rent</x:v>
      </x:c>
      <x:c r="U943" s="10" t="str">
        <x:v>sticker</x:v>
      </x:c>
      <x:c r="V943" s="10" t="str">
        <x:v>planner</x:v>
      </x:c>
      <x:c r="W943" s="10" t="str">
        <x:v>erin condren</x:v>
      </x:c>
      <x:c r="X943" s="10" t="str">
        <x:v>limelife</x:v>
      </x:c>
      <x:c r="Y943" s="10" t="str">
        <x:v>plum paper</x:v>
      </x:c>
      <x:c r="Z943" s="10" t="str">
        <x:v>life planner</x:v>
      </x:c>
      <x:c r="AA943" s="10" t="str">
        <x:v>filofax</x:v>
      </x:c>
      <x:c r="AB943" s="10" t="str">
        <x:v>planner accessories</x:v>
      </x:c>
      <x:c r="AC943" s="10" t="str">
        <x:v>house</x:v>
      </x:c>
      <x:c r="AD943" s="10" t="str">
        <x:v>planner stickers</x:v>
      </x:c>
      <x:c r="AE943" s="10" t="str">
        <x:v>mortgage</x:v>
      </x:c>
      <x:c r="AF943" s="10" t="str">
        <x:v>mortgage loan</x:v>
      </x:c>
      <x:c r="AG943" s="10" t="str">
        <x:v>pay rent</x:v>
      </x:c>
      <x:c r="AH943" s="10" t="str">
        <x:v>Other mortgage-related</x:v>
      </x:c>
      <x:c r="AI943" s="13" t="n">
        <x:v>121</x:v>
      </x:c>
      <x:c r="AJ943" s="10" t="str">
        <x:f>IF(F943&gt;0,"Active","No est. sales")</x:f>
        <x:v>No est. sales</x:v>
      </x:c>
    </x:row>
    <x:row r="944">
      <x:c r="A944" s="10" t="str">
        <x:v>Bill Due Planner Stickers: Erin Condren, Plum Paper, Filofax</x:v>
      </x:c>
      <x:c r="B944" s="10" t="str">
        <x:v>https://www.etsy.com/listing/803010335/bill-due-planner-stickers-erin-condren</x:v>
      </x:c>
      <x:c r="C944" s="10" t="str">
        <x:v>MyOwnCraftsStore</x:v>
      </x:c>
      <x:c r="D944" s="10" t="str">
        <x:v>https://www.etsy.com/shop/MyOwnCraftsStore</x:v>
      </x:c>
      <x:c r="E944" s="11" t="n">
        <x:v>0.97</x:v>
      </x:c>
      <x:c r="F944" s="10" t="n">
        <x:v>0</x:v>
      </x:c>
      <x:c r="G944" s="12" t="n">
        <x:v>0</x:v>
      </x:c>
      <x:c r="H944" s="13" t="n">
        <x:v>0</x:v>
      </x:c>
      <x:c r="I944" s="10" t="n">
        <x:v>14</x:v>
      </x:c>
      <x:c r="J944" s="10" t="n">
        <x:v>3</x:v>
      </x:c>
      <x:c r="K944" s="10" t="str">
        <x:v>74 Mo.</x:v>
      </x:c>
      <x:c r="L944" s="10" t="n">
        <x:v>26</x:v>
      </x:c>
      <x:c r="M944" s="10" t="n">
        <x:v>0</x:v>
      </x:c>
      <x:c r="N944" s="10" t="n">
        <x:v>241</x:v>
      </x:c>
      <x:c r="O944" s="10" t="str">
        <x:v>Paper &amp; Party Supplies</x:v>
      </x:c>
      <x:c r="P944" s="10" t="n">
        <x:v>124</x:v>
      </x:c>
      <x:c r="Q944" s="10" t="n">
        <x:v>0</x:v>
      </x:c>
      <x:c r="R944" s="13" t="n">
        <x:v>5.81</x:v>
      </x:c>
      <x:c r="S944" s="10" t="n">
        <x:v>31622</x:v>
      </x:c>
      <x:c r="T944" s="10" t="str">
        <x:v>sticker,erin condren,plum paper,planner stickers,kawaii bill due,bill due,kawaii bill,bill,pay due,payment,pay bills,pay rent,mortgage</x:v>
      </x:c>
      <x:c r="U944" s="10" t="str">
        <x:v>sticker</x:v>
      </x:c>
      <x:c r="V944" s="10" t="str">
        <x:v>erin condren</x:v>
      </x:c>
      <x:c r="W944" s="10" t="str">
        <x:v>plum paper</x:v>
      </x:c>
      <x:c r="X944" s="10" t="str">
        <x:v>planner stickers</x:v>
      </x:c>
      <x:c r="Y944" s="10" t="str">
        <x:v>kawaii bill due</x:v>
      </x:c>
      <x:c r="Z944" s="10" t="str">
        <x:v>bill due</x:v>
      </x:c>
      <x:c r="AA944" s="10" t="str">
        <x:v>kawaii bill</x:v>
      </x:c>
      <x:c r="AB944" s="10" t="str">
        <x:v>bill</x:v>
      </x:c>
      <x:c r="AC944" s="10" t="str">
        <x:v>pay due</x:v>
      </x:c>
      <x:c r="AD944" s="10" t="str">
        <x:v>payment</x:v>
      </x:c>
      <x:c r="AE944" s="10" t="str">
        <x:v>pay bills</x:v>
      </x:c>
      <x:c r="AF944" s="10" t="str">
        <x:v>pay rent</x:v>
      </x:c>
      <x:c r="AG944" s="10" t="str">
        <x:v>mortgage</x:v>
      </x:c>
      <x:c r="AH944" s="10" t="str">
        <x:v>Other mortgage-related</x:v>
      </x:c>
      <x:c r="AI944" s="13" t="n">
        <x:v>74</x:v>
      </x:c>
      <x:c r="AJ944" s="10" t="str">
        <x:f>IF(F944&gt;0,"Active","No est. sales")</x:f>
        <x:v>No est. sales</x:v>
      </x:c>
    </x:row>
    <x:row r="945">
      <x:c r="A945" s="10" t="str">
        <x:v>Mortgage and Rent Payment Sticker Sheets- Payment Box Planner Stickers  - Finance Stickers for Planners and Paper Wall Calendars</x:v>
      </x:c>
      <x:c r="B945" s="10" t="str">
        <x:v>https://www.etsy.com/listing/1671222452/mortgage-and-rent-payment-sticker-sheets</x:v>
      </x:c>
      <x:c r="C945" s="10" t="str">
        <x:v>TheHopefulPlanner</x:v>
      </x:c>
      <x:c r="D945" s="10" t="str">
        <x:v>https://www.etsy.com/shop/TheHopefulPlanner</x:v>
      </x:c>
      <x:c r="E945" s="11" t="n">
        <x:v>2.8</x:v>
      </x:c>
      <x:c r="F945" s="10" t="n">
        <x:v>0</x:v>
      </x:c>
      <x:c r="G945" s="12" t="n">
        <x:v>0</x:v>
      </x:c>
      <x:c r="H945" s="13" t="n">
        <x:v>0</x:v>
      </x:c>
      <x:c r="I945" s="10" t="n">
        <x:v>0</x:v>
      </x:c>
      <x:c r="J945" s="10" t="n">
        <x:v>0</x:v>
      </x:c>
      <x:c r="K945" s="10" t="str">
        <x:v>29 Mo.</x:v>
      </x:c>
      <x:c r="L945" s="10" t="n">
        <x:v>6</x:v>
      </x:c>
      <x:c r="M945" s="10" t="n">
        <x:v>0</x:v>
      </x:c>
      <x:c r="N945" s="10" t="n">
        <x:v>74</x:v>
      </x:c>
      <x:c r="O945" s="10" t="str">
        <x:v>Paper &amp; Party Supplies</x:v>
      </x:c>
      <x:c r="P945" s="10" t="n">
        <x:v>89</x:v>
      </x:c>
      <x:c r="Q945" s="10" t="n">
        <x:v>0</x:v>
      </x:c>
      <x:c r="R945" s="13" t="n">
        <x:v>0</x:v>
      </x:c>
      <x:c r="S945" s="10" t="n">
        <x:v>26200</x:v>
      </x:c>
      <x:c r="T945" s="10" t="str">
        <x:v>finance planning,sticker sheet,bill sticker sheet,ec finance sticker,debt stickers,debt planner sticker,loan sticker,loan due sticker,house payment,sticker sheets,mortgage payment,planning stickers,rent due stickers</x:v>
      </x:c>
      <x:c r="U945" s="10" t="str">
        <x:v>finance planning</x:v>
      </x:c>
      <x:c r="V945" s="10" t="str">
        <x:v>sticker sheet</x:v>
      </x:c>
      <x:c r="W945" s="10" t="str">
        <x:v>bill sticker sheet</x:v>
      </x:c>
      <x:c r="X945" s="10" t="str">
        <x:v>ec finance sticker</x:v>
      </x:c>
      <x:c r="Y945" s="10" t="str">
        <x:v>debt stickers</x:v>
      </x:c>
      <x:c r="Z945" s="10" t="str">
        <x:v>debt planner sticker</x:v>
      </x:c>
      <x:c r="AA945" s="10" t="str">
        <x:v>loan sticker</x:v>
      </x:c>
      <x:c r="AB945" s="10" t="str">
        <x:v>loan due sticker</x:v>
      </x:c>
      <x:c r="AC945" s="10" t="str">
        <x:v>house payment</x:v>
      </x:c>
      <x:c r="AD945" s="10" t="str">
        <x:v>sticker sheets</x:v>
      </x:c>
      <x:c r="AE945" s="10" t="str">
        <x:v>mortgage payment</x:v>
      </x:c>
      <x:c r="AF945" s="10" t="str">
        <x:v>planning stickers</x:v>
      </x:c>
      <x:c r="AG945" s="10" t="str">
        <x:v>rent due stickers</x:v>
      </x:c>
      <x:c r="AH945" s="10" t="str">
        <x:v>Other mortgage-related</x:v>
      </x:c>
      <x:c r="AI945" s="13" t="n">
        <x:v>29</x:v>
      </x:c>
      <x:c r="AJ945" s="10" t="str">
        <x:f>IF(F945&gt;0,"Active","No est. sales")</x:f>
        <x:v>No est. sales</x:v>
      </x:c>
    </x:row>
    <x:row r="946">
      <x:c r="A946" s="10" t="str">
        <x:v>Credit Card Debt Tracker Printable Set, Debt-Free Trackers, Emergency Fund, Budget Planner,  INSTANT DOWNLOAD, 8 Pages - Pink LD052</x:v>
      </x:c>
      <x:c r="B946" s="10" t="str">
        <x:v>https://www.etsy.com/listing/1508844715/credit-card-debt-tracker-printable-set</x:v>
      </x:c>
      <x:c r="C946" s="10" t="str">
        <x:v>LivingFreeofD</x:v>
      </x:c>
      <x:c r="D946" s="10" t="str">
        <x:v>https://www.etsy.com/shop/LivingFreeofD</x:v>
      </x:c>
      <x:c r="E946" s="11" t="n">
        <x:v>6.21</x:v>
      </x:c>
      <x:c r="F946" s="10" t="n">
        <x:v>0</x:v>
      </x:c>
      <x:c r="G946" s="12" t="n">
        <x:v>0</x:v>
      </x:c>
      <x:c r="H946" s="13" t="n">
        <x:v>0</x:v>
      </x:c>
      <x:c r="I946" s="10" t="n">
        <x:v>5</x:v>
      </x:c>
      <x:c r="J946" s="10" t="n">
        <x:v>1</x:v>
      </x:c>
      <x:c r="K946" s="10" t="str">
        <x:v>37 Mo.</x:v>
      </x:c>
      <x:c r="L946" s="10" t="n">
        <x:v>3</x:v>
      </x:c>
      <x:c r="M946" s="10" t="n">
        <x:v>0</x:v>
      </x:c>
      <x:c r="N946" s="10" t="n">
        <x:v>59</x:v>
      </x:c>
      <x:c r="O946" s="10" t="str"/>
      <x:c r="P946" s="10" t="n">
        <x:v>70</x:v>
      </x:c>
      <x:c r="Q946" s="10" t="n">
        <x:v>0</x:v>
      </x:c>
      <x:c r="R946" s="13" t="n">
        <x:v>8.47</x:v>
      </x:c>
      <x:c r="S946" s="10" t="n">
        <x:v>2039</x:v>
      </x:c>
      <x:c r="T946" s="10" t="str">
        <x:v>finance planner,dave ramsey,emergency fund,credit card trcker,debt snowball,debt payoff tracker,mortgage tracker,budget tracker,debt-free goals,debt payment tracker,money mindset,printable budget,savings tracker</x:v>
      </x:c>
      <x:c r="U946" s="10" t="str">
        <x:v>finance planner</x:v>
      </x:c>
      <x:c r="V946" s="10" t="str">
        <x:v>dave ramsey</x:v>
      </x:c>
      <x:c r="W946" s="10" t="str">
        <x:v>emergency fund</x:v>
      </x:c>
      <x:c r="X946" s="10" t="str">
        <x:v>credit card trcker</x:v>
      </x:c>
      <x:c r="Y946" s="10" t="str">
        <x:v>debt snowball</x:v>
      </x:c>
      <x:c r="Z946" s="10" t="str">
        <x:v>debt payoff tracker</x:v>
      </x:c>
      <x:c r="AA946" s="10" t="str">
        <x:v>mortgage tracker</x:v>
      </x:c>
      <x:c r="AB946" s="10" t="str">
        <x:v>budget tracker</x:v>
      </x:c>
      <x:c r="AC946" s="10" t="str">
        <x:v>debt-free goals</x:v>
      </x:c>
      <x:c r="AD946" s="10" t="str">
        <x:v>debt payment tracker</x:v>
      </x:c>
      <x:c r="AE946" s="10" t="str">
        <x:v>money mindset</x:v>
      </x:c>
      <x:c r="AF946" s="10" t="str">
        <x:v>printable budget</x:v>
      </x:c>
      <x:c r="AG946" s="10" t="str">
        <x:v>savings tracker</x:v>
      </x:c>
      <x:c r="AH946" s="10" t="str">
        <x:v>General debt payoff</x:v>
      </x:c>
      <x:c r="AI946" s="13" t="n">
        <x:v>37</x:v>
      </x:c>
      <x:c r="AJ946" s="10" t="str">
        <x:f>IF(F946&gt;0,"Active","No est. sales")</x:f>
        <x:v>No est. sales</x:v>
      </x:c>
    </x:row>
    <x:row r="947">
      <x:c r="A947" s="10" t="str">
        <x:v>Mortgage Corner Sticker - Pastel Gray Planner Stickers</x:v>
      </x:c>
      <x:c r="B947" s="10" t="str">
        <x:v>https://www.etsy.com/listing/1172396217/mortgage-corner-sticker-pastel-gray</x:v>
      </x:c>
      <x:c r="C947" s="10" t="str">
        <x:v>SofiStickers</x:v>
      </x:c>
      <x:c r="D947" s="10" t="str">
        <x:v>https://www.etsy.com/shop/SofiStickers</x:v>
      </x:c>
      <x:c r="E947" s="11" t="n">
        <x:v>2</x:v>
      </x:c>
      <x:c r="F947" s="10" t="n">
        <x:v>0</x:v>
      </x:c>
      <x:c r="G947" s="12" t="n">
        <x:v>0</x:v>
      </x:c>
      <x:c r="H947" s="13" t="n">
        <x:v>0</x:v>
      </x:c>
      <x:c r="I947" s="10" t="n">
        <x:v>0</x:v>
      </x:c>
      <x:c r="J947" s="10" t="n">
        <x:v>0</x:v>
      </x:c>
      <x:c r="K947" s="10" t="str">
        <x:v>53 Mo.</x:v>
      </x:c>
      <x:c r="L947" s="10" t="n">
        <x:v>4</x:v>
      </x:c>
      <x:c r="M947" s="10" t="n">
        <x:v>0</x:v>
      </x:c>
      <x:c r="N947" s="10" t="n">
        <x:v>14</x:v>
      </x:c>
      <x:c r="O947" s="10" t="str">
        <x:v>Paper &amp; Party Supplies</x:v>
      </x:c>
      <x:c r="P947" s="10" t="n">
        <x:v>63</x:v>
      </x:c>
      <x:c r="Q947" s="10" t="n">
        <x:v>0</x:v>
      </x:c>
      <x:c r="R947" s="13" t="n">
        <x:v>0</x:v>
      </x:c>
      <x:c r="S947" s="10" t="n">
        <x:v>5120</x:v>
      </x:c>
      <x:c r="T947" s="10" t="str">
        <x:v>budget stickers,life planner,planner accessories,bullet journal,budgeting stickers,budget planner,weekly planner,functional stickers,monthly planner,corner sticker,mortgage,pastel gray</x:v>
      </x:c>
      <x:c r="U947" s="10" t="str">
        <x:v>budget stickers</x:v>
      </x:c>
      <x:c r="V947" s="10" t="str">
        <x:v>life planner</x:v>
      </x:c>
      <x:c r="W947" s="10" t="str">
        <x:v>planner accessories</x:v>
      </x:c>
      <x:c r="X947" s="10" t="str">
        <x:v>bullet journal</x:v>
      </x:c>
      <x:c r="Y947" s="10" t="str">
        <x:v>budgeting stickers</x:v>
      </x:c>
      <x:c r="Z947" s="10" t="str">
        <x:v>budget planner</x:v>
      </x:c>
      <x:c r="AA947" s="10" t="str">
        <x:v>weekly planner</x:v>
      </x:c>
      <x:c r="AB947" s="10" t="str">
        <x:v>functional stickers</x:v>
      </x:c>
      <x:c r="AC947" s="10" t="str">
        <x:v>monthly planner</x:v>
      </x:c>
      <x:c r="AD947" s="10" t="str">
        <x:v>corner sticker</x:v>
      </x:c>
      <x:c r="AE947" s="10" t="str">
        <x:v>mortgage</x:v>
      </x:c>
      <x:c r="AF947" s="10" t="str">
        <x:v>pastel gray</x:v>
      </x:c>
      <x:c r="AG947" s="10" t="str">
        <x:v>--</x:v>
      </x:c>
      <x:c r="AH947" s="10" t="str">
        <x:v>Other mortgage-related</x:v>
      </x:c>
      <x:c r="AI947" s="13" t="n">
        <x:v>53</x:v>
      </x:c>
      <x:c r="AJ947" s="10" t="str">
        <x:f>IF(F947&gt;0,"Active","No est. sales")</x:f>
        <x:v>No est. sales</x:v>
      </x:c>
    </x:row>
    <x:row r="948">
      <x:c r="A948" s="10" t="str">
        <x:v>First-Time Homebuyer Readiness Checklist (Printable PDF) | Home Buying Planner</x:v>
      </x:c>
      <x:c r="B948" s="10" t="str">
        <x:v>https://www.etsy.com/listing/4464562902/first-time-homebuyer-readiness-checklist</x:v>
      </x:c>
      <x:c r="C948" s="10" t="str">
        <x:v>UnpackingHomes</x:v>
      </x:c>
      <x:c r="D948" s="10" t="str">
        <x:v>https://www.etsy.com/shop/UnpackingHomes</x:v>
      </x:c>
      <x:c r="E948" s="11" t="n">
        <x:v>19</x:v>
      </x:c>
      <x:c r="F948" s="10" t="n">
        <x:v>0</x:v>
      </x:c>
      <x:c r="G948" s="12" t="n">
        <x:v>0</x:v>
      </x:c>
      <x:c r="H948" s="13" t="n">
        <x:v>0</x:v>
      </x:c>
      <x:c r="I948" s="10" t="n">
        <x:v>0</x:v>
      </x:c>
      <x:c r="J948" s="10" t="n">
        <x:v>0</x:v>
      </x:c>
      <x:c r="K948" s="10" t="str">
        <x:v>5 Mo.</x:v>
      </x:c>
      <x:c r="L948" s="10" t="n">
        <x:v>0</x:v>
      </x:c>
      <x:c r="M948" s="10" t="n">
        <x:v>0</x:v>
      </x:c>
      <x:c r="N948" s="10" t="n">
        <x:v>21</x:v>
      </x:c>
      <x:c r="O948" s="10" t="str"/>
      <x:c r="P948" s="10" t="n">
        <x:v>5</x:v>
      </x:c>
      <x:c r="Q948" s="10" t="n">
        <x:v>0</x:v>
      </x:c>
      <x:c r="R948" s="13" t="n">
        <x:v>0</x:v>
      </x:c>
      <x:c r="S948" s="10" t="n">
        <x:v>0</x:v>
      </x:c>
      <x:c r="T948" s="10" t="str">
        <x:v>first time homebuyer,homebuying checklist,homebuyer printable,house hunt plan,mortgage prep,buy a home guide,new home planner,real estate pdf,buyer readiness,preapproval prep,closing checklist,move in planner,home buying help</x:v>
      </x:c>
      <x:c r="U948" s="10" t="str">
        <x:v>first time homebuyer</x:v>
      </x:c>
      <x:c r="V948" s="10" t="str">
        <x:v>homebuying checklist</x:v>
      </x:c>
      <x:c r="W948" s="10" t="str">
        <x:v>homebuyer printable</x:v>
      </x:c>
      <x:c r="X948" s="10" t="str">
        <x:v>house hunt plan</x:v>
      </x:c>
      <x:c r="Y948" s="10" t="str">
        <x:v>mortgage prep</x:v>
      </x:c>
      <x:c r="Z948" s="10" t="str">
        <x:v>buy a home guide</x:v>
      </x:c>
      <x:c r="AA948" s="10" t="str">
        <x:v>new home planner</x:v>
      </x:c>
      <x:c r="AB948" s="10" t="str">
        <x:v>real estate pdf</x:v>
      </x:c>
      <x:c r="AC948" s="10" t="str">
        <x:v>buyer readiness</x:v>
      </x:c>
      <x:c r="AD948" s="10" t="str">
        <x:v>preapproval prep</x:v>
      </x:c>
      <x:c r="AE948" s="10" t="str">
        <x:v>closing checklist</x:v>
      </x:c>
      <x:c r="AF948" s="10" t="str">
        <x:v>move in planner</x:v>
      </x:c>
      <x:c r="AG948" s="10" t="str">
        <x:v>home buying help</x:v>
      </x:c>
      <x:c r="AH948" s="10" t="str">
        <x:v>Home buying planner</x:v>
      </x:c>
      <x:c r="AI948" s="13" t="n">
        <x:v>5</x:v>
      </x:c>
      <x:c r="AJ948" s="10" t="str">
        <x:f>IF(F948&gt;0,"Active","No est. sales")</x:f>
        <x:v>No est. sales</x:v>
      </x:c>
    </x:row>
    <x:row r="949">
      <x:c r="A949" s="10" t="str">
        <x:v>House Savings Tracker Bundle: Dream Home Down Payment Challenge (Digital Download)</x:v>
      </x:c>
      <x:c r="B949" s="10" t="str">
        <x:v>https://www.etsy.com/listing/4525978998/house-savings-tracker-bundle-dream-home</x:v>
      </x:c>
      <x:c r="C949" s="10" t="str">
        <x:v>CashflowControl</x:v>
      </x:c>
      <x:c r="D949" s="10" t="str">
        <x:v>https://www.etsy.com/shop/CashflowControl</x:v>
      </x:c>
      <x:c r="E949" s="11" t="n">
        <x:v>4.64</x:v>
      </x:c>
      <x:c r="F949" s="10" t="n">
        <x:v>0</x:v>
      </x:c>
      <x:c r="G949" s="12" t="n">
        <x:v>0</x:v>
      </x:c>
      <x:c r="H949" s="13" t="n">
        <x:v>0</x:v>
      </x:c>
      <x:c r="I949" s="10" t="n">
        <x:v>0</x:v>
      </x:c>
      <x:c r="J949" s="10" t="n">
        <x:v>0</x:v>
      </x:c>
      <x:c r="K949" s="10" t="str">
        <x:v>1 Mo.</x:v>
      </x:c>
      <x:c r="L949" s="10" t="n">
        <x:v>19</x:v>
      </x:c>
      <x:c r="M949" s="10" t="n">
        <x:v>0</x:v>
      </x:c>
      <x:c r="N949" s="10" t="n">
        <x:v>263</x:v>
      </x:c>
      <x:c r="O949" s="10" t="str"/>
      <x:c r="P949" s="10" t="n">
        <x:v>3</x:v>
      </x:c>
      <x:c r="Q949" s="10" t="n">
        <x:v>57</x:v>
      </x:c>
      <x:c r="R949" s="13" t="n">
        <x:v>0</x:v>
      </x:c>
      <x:c r="S949" s="10" t="n">
        <x:v>200</x:v>
      </x:c>
      <x:c r="T949" s="10" t="str">
        <x:v>house savings,saving tracker house,house savings goal,home savings,dream home fund,first home savings,down payment tracker,mortgage savings,home fund planner,printable tracker,money saving chart,coloring challenge,savings coloring</x:v>
      </x:c>
      <x:c r="U949" s="10" t="str">
        <x:v>house savings</x:v>
      </x:c>
      <x:c r="V949" s="10" t="str">
        <x:v>saving tracker house</x:v>
      </x:c>
      <x:c r="W949" s="10" t="str">
        <x:v>house savings goal</x:v>
      </x:c>
      <x:c r="X949" s="10" t="str">
        <x:v>home savings</x:v>
      </x:c>
      <x:c r="Y949" s="10" t="str">
        <x:v>dream home fund</x:v>
      </x:c>
      <x:c r="Z949" s="10" t="str">
        <x:v>first home savings</x:v>
      </x:c>
      <x:c r="AA949" s="10" t="str">
        <x:v>down payment tracker</x:v>
      </x:c>
      <x:c r="AB949" s="10" t="str">
        <x:v>mortgage savings</x:v>
      </x:c>
      <x:c r="AC949" s="10" t="str">
        <x:v>home fund planner</x:v>
      </x:c>
      <x:c r="AD949" s="10" t="str">
        <x:v>printable tracker</x:v>
      </x:c>
      <x:c r="AE949" s="10" t="str">
        <x:v>money saving chart</x:v>
      </x:c>
      <x:c r="AF949" s="10" t="str">
        <x:v>coloring challenge</x:v>
      </x:c>
      <x:c r="AG949" s="10" t="str">
        <x:v>savings coloring</x:v>
      </x:c>
      <x:c r="AH949" s="10" t="str">
        <x:v>Other mortgage-related</x:v>
      </x:c>
      <x:c r="AI949" s="13" t="n">
        <x:v>1</x:v>
      </x:c>
      <x:c r="AJ949" s="10" t="str">
        <x:f>IF(F949&gt;0,"Active","No est. sales")</x:f>
        <x:v>No est. sales</x:v>
      </x:c>
    </x:row>
    <x:row r="950">
      <x:c r="A950" s="10" t="str">
        <x:v>Mortgage Payoff Planner Google Sheets Extra Payment Calculator Amortization Schedule &amp; Payment Tracker Bundle</x:v>
      </x:c>
      <x:c r="B950" s="10" t="str">
        <x:v>https://www.etsy.com/listing/4544512186/mortgage-payoff-planner-google-sheets</x:v>
      </x:c>
      <x:c r="C950" s="10" t="str">
        <x:v>CashflowControl</x:v>
      </x:c>
      <x:c r="D950" s="10" t="str">
        <x:v>https://www.etsy.com/shop/CashflowControl</x:v>
      </x:c>
      <x:c r="E950" s="11" t="n">
        <x:v>9.18</x:v>
      </x:c>
      <x:c r="F950" s="10" t="n">
        <x:v>0</x:v>
      </x:c>
      <x:c r="G950" s="12" t="n">
        <x:v>0</x:v>
      </x:c>
      <x:c r="H950" s="13" t="n">
        <x:v>0</x:v>
      </x:c>
      <x:c r="I950" s="10" t="n">
        <x:v>0</x:v>
      </x:c>
      <x:c r="J950" s="10" t="n">
        <x:v>0</x:v>
      </x:c>
      <x:c r="K950" s="10" t="str">
        <x:v>1 Mo.</x:v>
      </x:c>
      <x:c r="L950" s="10" t="n">
        <x:v>1</x:v>
      </x:c>
      <x:c r="M950" s="10" t="n">
        <x:v>0</x:v>
      </x:c>
      <x:c r="N950" s="10" t="n">
        <x:v>3</x:v>
      </x:c>
      <x:c r="O950" s="10" t="str"/>
      <x:c r="P950" s="10" t="n">
        <x:v>3</x:v>
      </x:c>
      <x:c r="Q950" s="10" t="n">
        <x:v>0</x:v>
      </x:c>
      <x:c r="R950" s="13" t="n">
        <x:v>0</x:v>
      </x:c>
      <x:c r="S950" s="10" t="n">
        <x:v>200</x:v>
      </x:c>
      <x:c r="T950" s="10" t="str">
        <x:v>mortgage payoff,mortgage planner,mortgage tracker,mortgage calculator,mortgage spreadsheet,google sheets,extra payment calc,amortization sheet,payment schedule,interest savings,home loan planner,mortgage bundle,scenario planner</x:v>
      </x:c>
      <x:c r="U950" s="10" t="str">
        <x:v>mortgage payoff</x:v>
      </x:c>
      <x:c r="V950" s="10" t="str">
        <x:v>mortgage planner</x:v>
      </x:c>
      <x:c r="W950" s="10" t="str">
        <x:v>mortgage tracker</x:v>
      </x:c>
      <x:c r="X950" s="10" t="str">
        <x:v>mortgage calculator</x:v>
      </x:c>
      <x:c r="Y950" s="10" t="str">
        <x:v>mortgage spreadsheet</x:v>
      </x:c>
      <x:c r="Z950" s="10" t="str">
        <x:v>google sheets</x:v>
      </x:c>
      <x:c r="AA950" s="10" t="str">
        <x:v>extra payment calc</x:v>
      </x:c>
      <x:c r="AB950" s="10" t="str">
        <x:v>amortization sheet</x:v>
      </x:c>
      <x:c r="AC950" s="10" t="str">
        <x:v>payment schedule</x:v>
      </x:c>
      <x:c r="AD950" s="10" t="str">
        <x:v>interest savings</x:v>
      </x:c>
      <x:c r="AE950" s="10" t="str">
        <x:v>home loan planner</x:v>
      </x:c>
      <x:c r="AF950" s="10" t="str">
        <x:v>mortgage bundle</x:v>
      </x:c>
      <x:c r="AG950" s="10" t="str">
        <x:v>scenario planner</x:v>
      </x:c>
      <x:c r="AH950" s="10" t="str">
        <x:v>Mortgage payoff / calculator</x:v>
      </x:c>
      <x:c r="AI950" s="13" t="n">
        <x:v>1</x:v>
      </x:c>
      <x:c r="AJ950" s="10" t="str">
        <x:f>IF(F950&gt;0,"Active","No est. sales")</x:f>
        <x:v>No est. sales</x:v>
      </x:c>
    </x:row>
    <x:row r="951">
      <x:c r="A951" s="10" t="str">
        <x:v>Saving stickers (Mortgage, Travel, University) for various planners, Filofax, Bullet Journal etc (DPD849)</x:v>
      </x:c>
      <x:c r="B951" s="10" t="str">
        <x:v>https://www.etsy.com/listing/484280399/saving-stickers-mortgage-travel</x:v>
      </x:c>
      <x:c r="C951" s="10" t="str">
        <x:v>DookPlookDesigns</x:v>
      </x:c>
      <x:c r="D951" s="10" t="str">
        <x:v>https://www.etsy.com/shop/DookPlookDesigns</x:v>
      </x:c>
      <x:c r="E951" s="11" t="n">
        <x:v>3.32</x:v>
      </x:c>
      <x:c r="F951" s="10" t="n">
        <x:v>0</x:v>
      </x:c>
      <x:c r="G951" s="12" t="n">
        <x:v>0</x:v>
      </x:c>
      <x:c r="H951" s="13" t="n">
        <x:v>0</x:v>
      </x:c>
      <x:c r="I951" s="10" t="n">
        <x:v>26</x:v>
      </x:c>
      <x:c r="J951" s="10" t="n">
        <x:v>7</x:v>
      </x:c>
      <x:c r="K951" s="10" t="str">
        <x:v>117 Mo.</x:v>
      </x:c>
      <x:c r="L951" s="10" t="n">
        <x:v>25</x:v>
      </x:c>
      <x:c r="M951" s="10" t="n">
        <x:v>0</x:v>
      </x:c>
      <x:c r="N951" s="10" t="n">
        <x:v>933</x:v>
      </x:c>
      <x:c r="O951" s="10" t="str">
        <x:v>Paper &amp; Party Supplies</x:v>
      </x:c>
      <x:c r="P951" s="10" t="n">
        <x:v>131</x:v>
      </x:c>
      <x:c r="Q951" s="10" t="n">
        <x:v>0</x:v>
      </x:c>
      <x:c r="R951" s="13" t="n">
        <x:v>2.79</x:v>
      </x:c>
      <x:c r="S951" s="10" t="n">
        <x:v>45631</x:v>
      </x:c>
      <x:c r="T951" s="10" t="str">
        <x:v>erin condren,erin condren uk,ec life planner,planner stickers,stickers,stickers uk,filofax stickers,saving stickers,travel saving,uni saving,mortgage stickers,money stickers,saving jar</x:v>
      </x:c>
      <x:c r="U951" s="10" t="str">
        <x:v>erin condren</x:v>
      </x:c>
      <x:c r="V951" s="10" t="str">
        <x:v>erin condren uk</x:v>
      </x:c>
      <x:c r="W951" s="10" t="str">
        <x:v>ec life planner</x:v>
      </x:c>
      <x:c r="X951" s="10" t="str">
        <x:v>planner stickers</x:v>
      </x:c>
      <x:c r="Y951" s="10" t="str">
        <x:v>stickers</x:v>
      </x:c>
      <x:c r="Z951" s="10" t="str">
        <x:v>stickers uk</x:v>
      </x:c>
      <x:c r="AA951" s="10" t="str">
        <x:v>filofax stickers</x:v>
      </x:c>
      <x:c r="AB951" s="10" t="str">
        <x:v>saving stickers</x:v>
      </x:c>
      <x:c r="AC951" s="10" t="str">
        <x:v>travel saving</x:v>
      </x:c>
      <x:c r="AD951" s="10" t="str">
        <x:v>uni saving</x:v>
      </x:c>
      <x:c r="AE951" s="10" t="str">
        <x:v>mortgage stickers</x:v>
      </x:c>
      <x:c r="AF951" s="10" t="str">
        <x:v>money stickers</x:v>
      </x:c>
      <x:c r="AG951" s="10" t="str">
        <x:v>saving jar</x:v>
      </x:c>
      <x:c r="AH951" s="10" t="str">
        <x:v>Other mortgage-related</x:v>
      </x:c>
      <x:c r="AI951" s="13" t="n">
        <x:v>117</x:v>
      </x:c>
      <x:c r="AJ951" s="10" t="str">
        <x:f>IF(F951&gt;0,"Active","No est. sales")</x:f>
        <x:v>No est. sales</x:v>
      </x:c>
    </x:row>
    <x:row r="952">
      <x:c r="A952" s="10" t="str">
        <x:v>Homebuyer Printable Bundle | Budget Planner, Open House Checklist, Timeline, Comparison Sheet | Real Estate PDF Download</x:v>
      </x:c>
      <x:c r="B952" s="10" t="str">
        <x:v>https://www.etsy.com/listing/4311466112/homebuyer-printable-bundle-budget</x:v>
      </x:c>
      <x:c r="C952" s="10" t="str">
        <x:v>ECMCo</x:v>
      </x:c>
      <x:c r="D952" s="10" t="str">
        <x:v>https://www.etsy.com/shop/ECMCo</x:v>
      </x:c>
      <x:c r="E952" s="11" t="n">
        <x:v>8.99</x:v>
      </x:c>
      <x:c r="F952" s="10" t="n">
        <x:v>0</x:v>
      </x:c>
      <x:c r="G952" s="12" t="n">
        <x:v>0</x:v>
      </x:c>
      <x:c r="H952" s="13" t="n">
        <x:v>0</x:v>
      </x:c>
      <x:c r="I952" s="10" t="n">
        <x:v>0</x:v>
      </x:c>
      <x:c r="J952" s="10" t="n">
        <x:v>0</x:v>
      </x:c>
      <x:c r="K952" s="10" t="str">
        <x:v>14 Mo.</x:v>
      </x:c>
      <x:c r="L952" s="10" t="n">
        <x:v>0</x:v>
      </x:c>
      <x:c r="M952" s="10" t="n">
        <x:v>0</x:v>
      </x:c>
      <x:c r="N952" s="10" t="n">
        <x:v>7</x:v>
      </x:c>
      <x:c r="O952" s="10" t="str">
        <x:v>Paper &amp; Party Supplies</x:v>
      </x:c>
      <x:c r="P952" s="10" t="n">
        <x:v>51</x:v>
      </x:c>
      <x:c r="Q952" s="10" t="n">
        <x:v>0</x:v>
      </x:c>
      <x:c r="R952" s="13" t="n">
        <x:v>0</x:v>
      </x:c>
      <x:c r="S952" s="10" t="n">
        <x:v>37</x:v>
      </x:c>
      <x:c r="T952" s="10" t="str">
        <x:v>homebuyer bundle,real estate list,1st time home buyer,open house worksheet,budget for buyer,house hunting pdf,mortgage printable,home buying timeline,home planner,real estate,real estate compare,checklist bundle</x:v>
      </x:c>
      <x:c r="U952" s="10" t="str">
        <x:v>homebuyer bundle</x:v>
      </x:c>
      <x:c r="V952" s="10" t="str">
        <x:v>real estate list</x:v>
      </x:c>
      <x:c r="W952" s="10" t="str">
        <x:v>1st time home buyer</x:v>
      </x:c>
      <x:c r="X952" s="10" t="str">
        <x:v>open house worksheet</x:v>
      </x:c>
      <x:c r="Y952" s="10" t="str">
        <x:v>budget for buyer</x:v>
      </x:c>
      <x:c r="Z952" s="10" t="str">
        <x:v>house hunting pdf</x:v>
      </x:c>
      <x:c r="AA952" s="10" t="str">
        <x:v>mortgage printable</x:v>
      </x:c>
      <x:c r="AB952" s="10" t="str">
        <x:v>home buying timeline</x:v>
      </x:c>
      <x:c r="AC952" s="10" t="str">
        <x:v>home planner</x:v>
      </x:c>
      <x:c r="AD952" s="10" t="str">
        <x:v>real estate</x:v>
      </x:c>
      <x:c r="AE952" s="10" t="str">
        <x:v>real estate compare</x:v>
      </x:c>
      <x:c r="AF952" s="10" t="str">
        <x:v>checklist bundle</x:v>
      </x:c>
      <x:c r="AG952" s="10" t="str">
        <x:v>--</x:v>
      </x:c>
      <x:c r="AH952" s="10" t="str">
        <x:v>Home buying planner</x:v>
      </x:c>
      <x:c r="AI952" s="13" t="n">
        <x:v>14</x:v>
      </x:c>
      <x:c r="AJ952" s="10" t="str">
        <x:f>IF(F952&gt;0,"Active","No est. sales")</x:f>
        <x:v>No est. sales</x:v>
      </x:c>
    </x:row>
    <x:row r="953">
      <x:c r="A953" s="10" t="str">
        <x:v>Down Payment Savings Planner | Home Buying Budget Tracker Google Sheets | First Time Buyer Savings Goal Spreadsheet</x:v>
      </x:c>
      <x:c r="B953" s="10" t="str">
        <x:v>https://www.etsy.com/listing/4541657342/down-payment-savings-planner-home-buying</x:v>
      </x:c>
      <x:c r="C953" s="10" t="str">
        <x:v>CrayvenCreates</x:v>
      </x:c>
      <x:c r="D953" s="10" t="str">
        <x:v>https://www.etsy.com/shop/CrayvenCreates</x:v>
      </x:c>
      <x:c r="E953" s="11" t="n">
        <x:v>12.99</x:v>
      </x:c>
      <x:c r="F953" s="10" t="n">
        <x:v>0</x:v>
      </x:c>
      <x:c r="G953" s="12" t="n">
        <x:v>0</x:v>
      </x:c>
      <x:c r="H953" s="13" t="n">
        <x:v>0</x:v>
      </x:c>
      <x:c r="I953" s="10" t="n">
        <x:v>0</x:v>
      </x:c>
      <x:c r="J953" s="10" t="n">
        <x:v>0</x:v>
      </x:c>
      <x:c r="K953" s="10" t="str">
        <x:v>1 Mo.</x:v>
      </x:c>
      <x:c r="L953" s="10" t="n">
        <x:v>0</x:v>
      </x:c>
      <x:c r="M953" s="10" t="n">
        <x:v>0</x:v>
      </x:c>
      <x:c r="N953" s="10" t="n">
        <x:v>0</x:v>
      </x:c>
      <x:c r="O953" s="10" t="str"/>
      <x:c r="P953" s="10" t="n">
        <x:v>3</x:v>
      </x:c>
      <x:c r="Q953" s="10" t="n">
        <x:v>0</x:v>
      </x:c>
      <x:c r="R953" s="13" t="n">
        <x:v>0</x:v>
      </x:c>
      <x:c r="S953" s="10" t="n">
        <x:v>2</x:v>
      </x:c>
      <x:c r="T953" s="10" t="str">
        <x:v>down payment planner,home savings tracker,first time home,house down payment,savings goal sheet,closing cost planner,home buying budget,sinking fund tracker,real estate planner,google sheets budget,home purchase goal,mortgage savings,buy a house planner</x:v>
      </x:c>
      <x:c r="U953" s="10" t="str">
        <x:v>down payment planner</x:v>
      </x:c>
      <x:c r="V953" s="10" t="str">
        <x:v>home savings tracker</x:v>
      </x:c>
      <x:c r="W953" s="10" t="str">
        <x:v>first time home</x:v>
      </x:c>
      <x:c r="X953" s="10" t="str">
        <x:v>house down payment</x:v>
      </x:c>
      <x:c r="Y953" s="10" t="str">
        <x:v>savings goal sheet</x:v>
      </x:c>
      <x:c r="Z953" s="10" t="str">
        <x:v>closing cost planner</x:v>
      </x:c>
      <x:c r="AA953" s="10" t="str">
        <x:v>home buying budget</x:v>
      </x:c>
      <x:c r="AB953" s="10" t="str">
        <x:v>sinking fund tracker</x:v>
      </x:c>
      <x:c r="AC953" s="10" t="str">
        <x:v>real estate planner</x:v>
      </x:c>
      <x:c r="AD953" s="10" t="str">
        <x:v>google sheets budget</x:v>
      </x:c>
      <x:c r="AE953" s="10" t="str">
        <x:v>home purchase goal</x:v>
      </x:c>
      <x:c r="AF953" s="10" t="str">
        <x:v>mortgage savings</x:v>
      </x:c>
      <x:c r="AG953" s="10" t="str">
        <x:v>buy a house planner</x:v>
      </x:c>
      <x:c r="AH953" s="10" t="str">
        <x:v>Other mortgage-related</x:v>
      </x:c>
      <x:c r="AI953" s="13" t="n">
        <x:v>1</x:v>
      </x:c>
      <x:c r="AJ953" s="10" t="str">
        <x:f>IF(F953&gt;0,"Active","No est. sales")</x:f>
        <x:v>No est. sales</x:v>
      </x:c>
    </x:row>
    <x:row r="954">
      <x:c r="A954" s="10" t="str">
        <x:v>Home Buying Planner Canva Template, House Hunting Checklists &amp; Budget Tracker, PLR Editable, Digital Download</x:v>
      </x:c>
      <x:c r="B954" s="10" t="str">
        <x:v>https://www.etsy.com/listing/1871322966/home-buying-planner-canva-template-house</x:v>
      </x:c>
      <x:c r="C954" s="10" t="str">
        <x:v>ShealynnGraceStudio</x:v>
      </x:c>
      <x:c r="D954" s="10" t="str">
        <x:v>https://www.etsy.com/shop/ShealynnGraceStudio</x:v>
      </x:c>
      <x:c r="E954" s="11" t="n">
        <x:v>5.99</x:v>
      </x:c>
      <x:c r="F954" s="10" t="n">
        <x:v>0</x:v>
      </x:c>
      <x:c r="G954" s="12" t="n">
        <x:v>0</x:v>
      </x:c>
      <x:c r="H954" s="13" t="n">
        <x:v>0</x:v>
      </x:c>
      <x:c r="I954" s="10" t="n">
        <x:v>0</x:v>
      </x:c>
      <x:c r="J954" s="10" t="n">
        <x:v>0</x:v>
      </x:c>
      <x:c r="K954" s="10" t="str">
        <x:v>16 Mo.</x:v>
      </x:c>
      <x:c r="L954" s="10" t="n">
        <x:v>2</x:v>
      </x:c>
      <x:c r="M954" s="10" t="n">
        <x:v>0</x:v>
      </x:c>
      <x:c r="N954" s="10" t="n">
        <x:v>15</x:v>
      </x:c>
      <x:c r="O954" s="10" t="str"/>
      <x:c r="P954" s="10" t="n">
        <x:v>41</x:v>
      </x:c>
      <x:c r="Q954" s="10" t="n">
        <x:v>0</x:v>
      </x:c>
      <x:c r="R954" s="13" t="n">
        <x:v>0</x:v>
      </x:c>
      <x:c r="S954" s="10" t="n">
        <x:v>21</x:v>
      </x:c>
      <x:c r="T954" s="10" t="str">
        <x:v>home buying planner,editable template,budget tracker,moving organizer,real estate planner,first-time homebuyer,mortgage planner,digital planner,printable planner,homeowner organizer,home checklist,home purchase list,master resell rights</x:v>
      </x:c>
      <x:c r="U954" s="10" t="str">
        <x:v>home buying planner</x:v>
      </x:c>
      <x:c r="V954" s="10" t="str">
        <x:v>editable template</x:v>
      </x:c>
      <x:c r="W954" s="10" t="str">
        <x:v>budget tracker</x:v>
      </x:c>
      <x:c r="X954" s="10" t="str">
        <x:v>moving organizer</x:v>
      </x:c>
      <x:c r="Y954" s="10" t="str">
        <x:v>real estate planner</x:v>
      </x:c>
      <x:c r="Z954" s="10" t="str">
        <x:v>first-time homebuyer</x:v>
      </x:c>
      <x:c r="AA954" s="10" t="str">
        <x:v>mortgage planner</x:v>
      </x:c>
      <x:c r="AB954" s="10" t="str">
        <x:v>digital planner</x:v>
      </x:c>
      <x:c r="AC954" s="10" t="str">
        <x:v>printable planner</x:v>
      </x:c>
      <x:c r="AD954" s="10" t="str">
        <x:v>homeowner organizer</x:v>
      </x:c>
      <x:c r="AE954" s="10" t="str">
        <x:v>home checklist</x:v>
      </x:c>
      <x:c r="AF954" s="10" t="str">
        <x:v>home purchase list</x:v>
      </x:c>
      <x:c r="AG954" s="10" t="str">
        <x:v>master resell rights</x:v>
      </x:c>
      <x:c r="AH954" s="10" t="str">
        <x:v>Home buying planner</x:v>
      </x:c>
      <x:c r="AI954" s="13" t="n">
        <x:v>16</x:v>
      </x:c>
      <x:c r="AJ954" s="10" t="str">
        <x:f>IF(F954&gt;0,"Active","No est. sales")</x:f>
        <x:v>No est. sales</x:v>
      </x:c>
    </x:row>
    <x:row r="955">
      <x:c r="A955" s="10" t="str">
        <x:v>Bills icons,  Credit card payment, Bill due, Save money, Water bill, Internet, Gas, Car payment, House rent, Mortgage, Planner printables</x:v>
      </x:c>
      <x:c r="B955" s="10" t="str">
        <x:v>https://www.etsy.com/listing/1024074113/bills-icons-credit-card-payment-bill-due</x:v>
      </x:c>
      <x:c r="C955" s="10" t="str">
        <x:v>TralalaStickers</x:v>
      </x:c>
      <x:c r="D955" s="10" t="str">
        <x:v>https://www.etsy.com/shop/TralalaStickers</x:v>
      </x:c>
      <x:c r="E955" s="11" t="n">
        <x:v>2.5</x:v>
      </x:c>
      <x:c r="F955" s="10" t="n">
        <x:v>0</x:v>
      </x:c>
      <x:c r="G955" s="12" t="n">
        <x:v>0</x:v>
      </x:c>
      <x:c r="H955" s="13" t="n">
        <x:v>0</x:v>
      </x:c>
      <x:c r="I955" s="10" t="n">
        <x:v>43</x:v>
      </x:c>
      <x:c r="J955" s="10" t="n">
        <x:v>4</x:v>
      </x:c>
      <x:c r="K955" s="10" t="str">
        <x:v>62 Mo.</x:v>
      </x:c>
      <x:c r="L955" s="10" t="n">
        <x:v>132</x:v>
      </x:c>
      <x:c r="M955" s="10" t="n">
        <x:v>0</x:v>
      </x:c>
      <x:c r="N955" s="10" t="n">
        <x:v>2356</x:v>
      </x:c>
      <x:c r="O955" s="10" t="str">
        <x:v>Paper &amp; Party Supplies</x:v>
      </x:c>
      <x:c r="P955" s="10" t="n">
        <x:v>91</x:v>
      </x:c>
      <x:c r="Q955" s="10" t="n">
        <x:v>0</x:v>
      </x:c>
      <x:c r="R955" s="13" t="n">
        <x:v>1.83</x:v>
      </x:c>
      <x:c r="S955" s="10" t="n">
        <x:v>74580</x:v>
      </x:c>
      <x:c r="T955" s="10" t="str">
        <x:v>printable stickers,digital sticker pack,planner printables,erin condren kit,functional stickers,cricut stickers,icons printable,big happy planner,functional planning,girls stationary,bill due icons,printable bill icons,credit card</x:v>
      </x:c>
      <x:c r="U955" s="10" t="str">
        <x:v>printable stickers</x:v>
      </x:c>
      <x:c r="V955" s="10" t="str">
        <x:v>digital sticker pack</x:v>
      </x:c>
      <x:c r="W955" s="10" t="str">
        <x:v>planner printables</x:v>
      </x:c>
      <x:c r="X955" s="10" t="str">
        <x:v>erin condren kit</x:v>
      </x:c>
      <x:c r="Y955" s="10" t="str">
        <x:v>functional stickers</x:v>
      </x:c>
      <x:c r="Z955" s="10" t="str">
        <x:v>cricut stickers</x:v>
      </x:c>
      <x:c r="AA955" s="10" t="str">
        <x:v>icons printable</x:v>
      </x:c>
      <x:c r="AB955" s="10" t="str">
        <x:v>big happy planner</x:v>
      </x:c>
      <x:c r="AC955" s="10" t="str">
        <x:v>functional planning</x:v>
      </x:c>
      <x:c r="AD955" s="10" t="str">
        <x:v>girls stationary</x:v>
      </x:c>
      <x:c r="AE955" s="10" t="str">
        <x:v>bill due icons</x:v>
      </x:c>
      <x:c r="AF955" s="10" t="str">
        <x:v>printable bill icons</x:v>
      </x:c>
      <x:c r="AG955" s="10" t="str">
        <x:v>credit card</x:v>
      </x:c>
      <x:c r="AH955" s="10" t="str">
        <x:v>Other mortgage-related</x:v>
      </x:c>
      <x:c r="AI955" s="13" t="n">
        <x:v>62</x:v>
      </x:c>
      <x:c r="AJ955" s="10" t="str">
        <x:f>IF(F955&gt;0,"Active","No est. sales")</x:f>
        <x:v>No est. sales</x:v>
      </x:c>
    </x:row>
    <x:row r="956">
      <x:c r="A956" s="10" t="str">
        <x:v>Home Loan Comparison Calculator Spreadsheet : Excel &amp; Google Sheets (Digital Download)</x:v>
      </x:c>
      <x:c r="B956" s="10" t="str">
        <x:v>https://www.etsy.com/listing/1781846778/home-loan-comparison-calculator</x:v>
      </x:c>
      <x:c r="C956" s="10" t="str">
        <x:v>TheDigitalBeanDesign</x:v>
      </x:c>
      <x:c r="D956" s="10" t="str">
        <x:v>https://www.etsy.com/shop/TheDigitalBeanDesign</x:v>
      </x:c>
      <x:c r="E956" s="11" t="n">
        <x:v>5.32</x:v>
      </x:c>
      <x:c r="F956" s="10" t="n">
        <x:v>0</x:v>
      </x:c>
      <x:c r="G956" s="12" t="n">
        <x:v>0</x:v>
      </x:c>
      <x:c r="H956" s="13" t="n">
        <x:v>0</x:v>
      </x:c>
      <x:c r="I956" s="10" t="n">
        <x:v>0</x:v>
      </x:c>
      <x:c r="J956" s="10" t="n">
        <x:v>0</x:v>
      </x:c>
      <x:c r="K956" s="10" t="str">
        <x:v>22 Mo.</x:v>
      </x:c>
      <x:c r="L956" s="10" t="n">
        <x:v>4</x:v>
      </x:c>
      <x:c r="M956" s="10" t="n">
        <x:v>0</x:v>
      </x:c>
      <x:c r="N956" s="10" t="n">
        <x:v>160</x:v>
      </x:c>
      <x:c r="O956" s="10" t="str"/>
      <x:c r="P956" s="10" t="n">
        <x:v>22</x:v>
      </x:c>
      <x:c r="Q956" s="10" t="n">
        <x:v>0</x:v>
      </x:c>
      <x:c r="R956" s="13" t="n">
        <x:v>0</x:v>
      </x:c>
      <x:c r="S956" s="10" t="n">
        <x:v>73</x:v>
      </x:c>
      <x:c r="T956" s="10" t="str">
        <x:v>mortgage real estate,debt payoff tracker,budget template tool,financial planning,personal finance,interest rate review,money management,refinance planner,finance analysis,cash flow budgeting,repayment snowball,amortization table,loan officer broker</x:v>
      </x:c>
      <x:c r="U956" s="10" t="str">
        <x:v>mortgage real estate</x:v>
      </x:c>
      <x:c r="V956" s="10" t="str">
        <x:v>debt payoff tracker</x:v>
      </x:c>
      <x:c r="W956" s="10" t="str">
        <x:v>budget template tool</x:v>
      </x:c>
      <x:c r="X956" s="10" t="str">
        <x:v>financial planning</x:v>
      </x:c>
      <x:c r="Y956" s="10" t="str">
        <x:v>personal finance</x:v>
      </x:c>
      <x:c r="Z956" s="10" t="str">
        <x:v>interest rate review</x:v>
      </x:c>
      <x:c r="AA956" s="10" t="str">
        <x:v>money management</x:v>
      </x:c>
      <x:c r="AB956" s="10" t="str">
        <x:v>refinance planner</x:v>
      </x:c>
      <x:c r="AC956" s="10" t="str">
        <x:v>finance analysis</x:v>
      </x:c>
      <x:c r="AD956" s="10" t="str">
        <x:v>cash flow budgeting</x:v>
      </x:c>
      <x:c r="AE956" s="10" t="str">
        <x:v>repayment snowball</x:v>
      </x:c>
      <x:c r="AF956" s="10" t="str">
        <x:v>amortization table</x:v>
      </x:c>
      <x:c r="AG956" s="10" t="str">
        <x:v>loan officer broker</x:v>
      </x:c>
      <x:c r="AH956" s="10" t="str">
        <x:v>Loan officer / B2B</x:v>
      </x:c>
      <x:c r="AI956" s="13" t="n">
        <x:v>22</x:v>
      </x:c>
      <x:c r="AJ956" s="10" t="str">
        <x:f>IF(F956&gt;0,"Active","No est. sales")</x:f>
        <x:v>No est. sales</x:v>
      </x:c>
    </x:row>
    <x:row r="957">
      <x:c r="A957" s="10" t="str">
        <x:v>Loan and Mortgage Calculator Spreadsheet, Monthly Payment &amp; Amortization Schedule, Google Sheets Excel, Payoff Planner</x:v>
      </x:c>
      <x:c r="B957" s="10" t="str">
        <x:v>https://www.etsy.com/listing/4513048090/loan-and-mortgage-calculator-spreadsheet</x:v>
      </x:c>
      <x:c r="C957" s="10" t="str">
        <x:v>OmniAuraDigital</x:v>
      </x:c>
      <x:c r="D957" s="10" t="str">
        <x:v>https://www.etsy.com/shop/OmniAuraDigital</x:v>
      </x:c>
      <x:c r="E957" s="11" t="n">
        <x:v>4.13</x:v>
      </x:c>
      <x:c r="F957" s="10" t="n">
        <x:v>0</x:v>
      </x:c>
      <x:c r="G957" s="12" t="n">
        <x:v>0</x:v>
      </x:c>
      <x:c r="H957" s="13" t="n">
        <x:v>0</x:v>
      </x:c>
      <x:c r="I957" s="10" t="n">
        <x:v>0</x:v>
      </x:c>
      <x:c r="J957" s="10" t="n">
        <x:v>0</x:v>
      </x:c>
      <x:c r="K957" s="10" t="str">
        <x:v>2 Mo.</x:v>
      </x:c>
      <x:c r="L957" s="10" t="n">
        <x:v>1</x:v>
      </x:c>
      <x:c r="M957" s="10" t="n">
        <x:v>0</x:v>
      </x:c>
      <x:c r="N957" s="10" t="n">
        <x:v>25</x:v>
      </x:c>
      <x:c r="O957" s="10" t="str">
        <x:v>Craft Supplies &amp; Tools</x:v>
      </x:c>
      <x:c r="P957" s="10" t="n">
        <x:v>3</x:v>
      </x:c>
      <x:c r="Q957" s="10" t="n">
        <x:v>0</x:v>
      </x:c>
      <x:c r="R957" s="13" t="n">
        <x:v>0</x:v>
      </x:c>
      <x:c r="S957" s="10" t="n">
        <x:v>12</x:v>
      </x:c>
      <x:c r="T957" s="10" t="str">
        <x:v>mortgage calculator,loan calculator,amortization pages,payment calculator,mortgage payoff,loan payoff,google sheets,home loan,finance calculator,interest calculator,debt payoff,mortgage spreadsheet,payoff planner</x:v>
      </x:c>
      <x:c r="U957" s="10" t="str">
        <x:v>mortgage calculator</x:v>
      </x:c>
      <x:c r="V957" s="10" t="str">
        <x:v>loan calculator</x:v>
      </x:c>
      <x:c r="W957" s="10" t="str">
        <x:v>amortization pages</x:v>
      </x:c>
      <x:c r="X957" s="10" t="str">
        <x:v>payment calculator</x:v>
      </x:c>
      <x:c r="Y957" s="10" t="str">
        <x:v>mortgage payoff</x:v>
      </x:c>
      <x:c r="Z957" s="10" t="str">
        <x:v>loan payoff</x:v>
      </x:c>
      <x:c r="AA957" s="10" t="str">
        <x:v>google sheets</x:v>
      </x:c>
      <x:c r="AB957" s="10" t="str">
        <x:v>home loan</x:v>
      </x:c>
      <x:c r="AC957" s="10" t="str">
        <x:v>finance calculator</x:v>
      </x:c>
      <x:c r="AD957" s="10" t="str">
        <x:v>interest calculator</x:v>
      </x:c>
      <x:c r="AE957" s="10" t="str">
        <x:v>debt payoff</x:v>
      </x:c>
      <x:c r="AF957" s="10" t="str">
        <x:v>mortgage spreadsheet</x:v>
      </x:c>
      <x:c r="AG957" s="10" t="str">
        <x:v>payoff planner</x:v>
      </x:c>
      <x:c r="AH957" s="10" t="str">
        <x:v>Mortgage payoff / calculator</x:v>
      </x:c>
      <x:c r="AI957" s="13" t="n">
        <x:v>2</x:v>
      </x:c>
      <x:c r="AJ957" s="10" t="str">
        <x:f>IF(F957&gt;0,"Active","No est. sales")</x:f>
        <x:v>No est. sales</x:v>
      </x:c>
    </x:row>
    <x:row r="958">
      <x:c r="A958" s="10" t="str">
        <x:v>House Payment Planner Stickers, Mortgage Pmt Stickers, Rent Stickers, Simple Planner Stickers</x:v>
      </x:c>
      <x:c r="B958" s="10" t="str">
        <x:v>https://www.etsy.com/listing/1661571864/house-payment-planner-stickers-mortgage</x:v>
      </x:c>
      <x:c r="C958" s="10" t="str">
        <x:v>Judeannedesigns</x:v>
      </x:c>
      <x:c r="D958" s="10" t="str">
        <x:v>https://www.etsy.com/shop/Judeannedesigns</x:v>
      </x:c>
      <x:c r="E958" s="11" t="n">
        <x:v>3.5</x:v>
      </x:c>
      <x:c r="F958" s="10" t="n">
        <x:v>0</x:v>
      </x:c>
      <x:c r="G958" s="12" t="n">
        <x:v>0</x:v>
      </x:c>
      <x:c r="H958" s="13" t="n">
        <x:v>0</x:v>
      </x:c>
      <x:c r="I958" s="10" t="n">
        <x:v>19</x:v>
      </x:c>
      <x:c r="J958" s="10" t="n">
        <x:v>3</x:v>
      </x:c>
      <x:c r="K958" s="10" t="str">
        <x:v>29 Mo.</x:v>
      </x:c>
      <x:c r="L958" s="10" t="n">
        <x:v>34</x:v>
      </x:c>
      <x:c r="M958" s="10" t="n">
        <x:v>0</x:v>
      </x:c>
      <x:c r="N958" s="10" t="n">
        <x:v>210</x:v>
      </x:c>
      <x:c r="O958" s="10" t="str">
        <x:v>Paper &amp; Party Supplies</x:v>
      </x:c>
      <x:c r="P958" s="10" t="n">
        <x:v>47</x:v>
      </x:c>
      <x:c r="Q958" s="10" t="n">
        <x:v>0</x:v>
      </x:c>
      <x:c r="R958" s="13" t="n">
        <x:v>9.05</x:v>
      </x:c>
      <x:c r="S958" s="10" t="n">
        <x:v>42977</x:v>
      </x:c>
      <x:c r="T958" s="10" t="str">
        <x:v>planner stickers,tiny stickers,calendar stickers,bujo stickers,functional planner,half box planner,cute planner sticker,rent reminder,mortgage reminder,bill payment,house stickers,house payment,mortgage payment</x:v>
      </x:c>
      <x:c r="U958" s="10" t="str">
        <x:v>planner stickers</x:v>
      </x:c>
      <x:c r="V958" s="10" t="str">
        <x:v>tiny stickers</x:v>
      </x:c>
      <x:c r="W958" s="10" t="str">
        <x:v>calendar stickers</x:v>
      </x:c>
      <x:c r="X958" s="10" t="str">
        <x:v>bujo stickers</x:v>
      </x:c>
      <x:c r="Y958" s="10" t="str">
        <x:v>functional planner</x:v>
      </x:c>
      <x:c r="Z958" s="10" t="str">
        <x:v>half box planner</x:v>
      </x:c>
      <x:c r="AA958" s="10" t="str">
        <x:v>cute planner sticker</x:v>
      </x:c>
      <x:c r="AB958" s="10" t="str">
        <x:v>rent reminder</x:v>
      </x:c>
      <x:c r="AC958" s="10" t="str">
        <x:v>mortgage reminder</x:v>
      </x:c>
      <x:c r="AD958" s="10" t="str">
        <x:v>bill payment</x:v>
      </x:c>
      <x:c r="AE958" s="10" t="str">
        <x:v>house stickers</x:v>
      </x:c>
      <x:c r="AF958" s="10" t="str">
        <x:v>house payment</x:v>
      </x:c>
      <x:c r="AG958" s="10" t="str">
        <x:v>mortgage payment</x:v>
      </x:c>
      <x:c r="AH958" s="10" t="str">
        <x:v>Other mortgage-related</x:v>
      </x:c>
      <x:c r="AI958" s="13" t="n">
        <x:v>29</x:v>
      </x:c>
      <x:c r="AJ958" s="10" t="str">
        <x:f>IF(F958&gt;0,"Active","No est. sales")</x:f>
        <x:v>No est. sales</x:v>
      </x:c>
    </x:row>
    <x:row r="959">
      <x:c r="A959" s="10" t="str">
        <x:v>Log Cabin Planner Stickers, Cabin Trip Stickers for Planners, Travel Journals, Scrapbooking, Vacation, Camping, Outdoor Getaway Icons</x:v>
      </x:c>
      <x:c r="B959" s="10" t="str">
        <x:v>https://www.etsy.com/listing/4338225565/log-cabin-planner-stickers-cabin-trip</x:v>
      </x:c>
      <x:c r="C959" s="10" t="str">
        <x:v>Judeannedesigns</x:v>
      </x:c>
      <x:c r="D959" s="10" t="str">
        <x:v>https://www.etsy.com/shop/Judeannedesigns</x:v>
      </x:c>
      <x:c r="E959" s="11" t="n">
        <x:v>3.5</x:v>
      </x:c>
      <x:c r="F959" s="10" t="n">
        <x:v>0</x:v>
      </x:c>
      <x:c r="G959" s="12" t="n">
        <x:v>0</x:v>
      </x:c>
      <x:c r="H959" s="13" t="n">
        <x:v>0</x:v>
      </x:c>
      <x:c r="I959" s="10" t="n">
        <x:v>12</x:v>
      </x:c>
      <x:c r="J959" s="10" t="n">
        <x:v>2</x:v>
      </x:c>
      <x:c r="K959" s="10" t="str">
        <x:v>12 Mo.</x:v>
      </x:c>
      <x:c r="L959" s="10" t="n">
        <x:v>14</x:v>
      </x:c>
      <x:c r="M959" s="10" t="n">
        <x:v>0</x:v>
      </x:c>
      <x:c r="N959" s="10" t="n">
        <x:v>137</x:v>
      </x:c>
      <x:c r="O959" s="10" t="str">
        <x:v>Paper &amp; Party Supplies</x:v>
      </x:c>
      <x:c r="P959" s="10" t="n">
        <x:v>47</x:v>
      </x:c>
      <x:c r="Q959" s="10" t="n">
        <x:v>0</x:v>
      </x:c>
      <x:c r="R959" s="13" t="n">
        <x:v>8.76</x:v>
      </x:c>
      <x:c r="S959" s="10" t="n">
        <x:v>42977</x:v>
      </x:c>
      <x:c r="T959" s="10" t="str">
        <x:v>minimalist planner,mortgage reminder,cute housestickers,rent due sticker,house sticker,home icon sticker,moving day sticker,house chore sticker,cabin stickers,vacation stickers,log cabin stickers,vacation home cabin,holiday planning</x:v>
      </x:c>
      <x:c r="U959" s="10" t="str">
        <x:v>minimalist planner</x:v>
      </x:c>
      <x:c r="V959" s="10" t="str">
        <x:v>mortgage reminder</x:v>
      </x:c>
      <x:c r="W959" s="10" t="str">
        <x:v>cute housestickers</x:v>
      </x:c>
      <x:c r="X959" s="10" t="str">
        <x:v>rent due sticker</x:v>
      </x:c>
      <x:c r="Y959" s="10" t="str">
        <x:v>house sticker</x:v>
      </x:c>
      <x:c r="Z959" s="10" t="str">
        <x:v>home icon sticker</x:v>
      </x:c>
      <x:c r="AA959" s="10" t="str">
        <x:v>moving day sticker</x:v>
      </x:c>
      <x:c r="AB959" s="10" t="str">
        <x:v>house chore sticker</x:v>
      </x:c>
      <x:c r="AC959" s="10" t="str">
        <x:v>cabin stickers</x:v>
      </x:c>
      <x:c r="AD959" s="10" t="str">
        <x:v>vacation stickers</x:v>
      </x:c>
      <x:c r="AE959" s="10" t="str">
        <x:v>log cabin stickers</x:v>
      </x:c>
      <x:c r="AF959" s="10" t="str">
        <x:v>vacation home cabin</x:v>
      </x:c>
      <x:c r="AG959" s="10" t="str">
        <x:v>holiday planning</x:v>
      </x:c>
      <x:c r="AH959" s="10" t="str">
        <x:v>Other mortgage-related</x:v>
      </x:c>
      <x:c r="AI959" s="13" t="n">
        <x:v>12</x:v>
      </x:c>
      <x:c r="AJ959" s="10" t="str">
        <x:f>IF(F959&gt;0,"Active","No est. sales")</x:f>
        <x:v>No est. sales</x:v>
      </x:c>
    </x:row>
    <x:row r="960">
      <x:c r="A960" s="10" t="str">
        <x:v>Mortgage Countdown Printable Coloring Sheet - Tiny Bricks</x:v>
      </x:c>
      <x:c r="B960" s="10" t="str">
        <x:v>https://www.etsy.com/listing/619653013/mortgage-countdown-printable-coloring</x:v>
      </x:c>
      <x:c r="C960" s="10" t="str">
        <x:v>PerfectlyWhelmedShop</x:v>
      </x:c>
      <x:c r="D960" s="10" t="str">
        <x:v>https://www.etsy.com/shop/PerfectlyWhelmedShop</x:v>
      </x:c>
      <x:c r="E960" s="11" t="n">
        <x:v>3.5</x:v>
      </x:c>
      <x:c r="F960" s="10" t="n">
        <x:v>0</x:v>
      </x:c>
      <x:c r="G960" s="12" t="n">
        <x:v>0</x:v>
      </x:c>
      <x:c r="H960" s="13" t="n">
        <x:v>0</x:v>
      </x:c>
      <x:c r="I960" s="10" t="n">
        <x:v>12</x:v>
      </x:c>
      <x:c r="J960" s="10" t="n">
        <x:v>4</x:v>
      </x:c>
      <x:c r="K960" s="10" t="str">
        <x:v>97 Mo.</x:v>
      </x:c>
      <x:c r="L960" s="10" t="n">
        <x:v>20</x:v>
      </x:c>
      <x:c r="M960" s="10" t="n">
        <x:v>0</x:v>
      </x:c>
      <x:c r="N960" s="10" t="n">
        <x:v>1265</x:v>
      </x:c>
      <x:c r="O960" s="10" t="str"/>
      <x:c r="P960" s="10" t="n">
        <x:v>107</x:v>
      </x:c>
      <x:c r="Q960" s="10" t="n">
        <x:v>0</x:v>
      </x:c>
      <x:c r="R960" s="13" t="n">
        <x:v>0.95</x:v>
      </x:c>
      <x:c r="S960" s="10" t="n">
        <x:v>322</x:v>
      </x:c>
      <x:c r="T960" s="10" t="str">
        <x:v>printable,coloring sheet,coloring,finances,home,mortgage,goal tracker,habit tracking,loan payoff,debt planning,planner printout,brick house,financial</x:v>
      </x:c>
      <x:c r="U960" s="10" t="str">
        <x:v>printable</x:v>
      </x:c>
      <x:c r="V960" s="10" t="str">
        <x:v>coloring sheet</x:v>
      </x:c>
      <x:c r="W960" s="10" t="str">
        <x:v>coloring</x:v>
      </x:c>
      <x:c r="X960" s="10" t="str">
        <x:v>finances</x:v>
      </x:c>
      <x:c r="Y960" s="10" t="str">
        <x:v>home</x:v>
      </x:c>
      <x:c r="Z960" s="10" t="str">
        <x:v>mortgage</x:v>
      </x:c>
      <x:c r="AA960" s="10" t="str">
        <x:v>goal tracker</x:v>
      </x:c>
      <x:c r="AB960" s="10" t="str">
        <x:v>habit tracking</x:v>
      </x:c>
      <x:c r="AC960" s="10" t="str">
        <x:v>loan payoff</x:v>
      </x:c>
      <x:c r="AD960" s="10" t="str">
        <x:v>debt planning</x:v>
      </x:c>
      <x:c r="AE960" s="10" t="str">
        <x:v>planner printout</x:v>
      </x:c>
      <x:c r="AF960" s="10" t="str">
        <x:v>brick house</x:v>
      </x:c>
      <x:c r="AG960" s="10" t="str">
        <x:v>financial</x:v>
      </x:c>
      <x:c r="AH960" s="10" t="str">
        <x:v>Other mortgage-related</x:v>
      </x:c>
      <x:c r="AI960" s="13" t="n">
        <x:v>97</x:v>
      </x:c>
      <x:c r="AJ960" s="10" t="str">
        <x:f>IF(F960&gt;0,"Active","No est. sales")</x:f>
        <x:v>No est. sales</x:v>
      </x:c>
    </x:row>
    <x:row r="961">
      <x:c r="A961" s="10" t="str">
        <x:v>Debt Payoff Tracker: Snowball, Avalanche, Custom (Google Sheets &amp; Excel)</x:v>
      </x:c>
      <x:c r="B961" s="10" t="str">
        <x:v>https://www.etsy.com/listing/1743568430/debt-payoff-tracker-snowball-avalanche</x:v>
      </x:c>
      <x:c r="C961" s="10" t="str">
        <x:v>RainbowSheetsStudio</x:v>
      </x:c>
      <x:c r="D961" s="10" t="str">
        <x:v>https://www.etsy.com/shop/RainbowSheetsStudio</x:v>
      </x:c>
      <x:c r="E961" s="11" t="n">
        <x:v>3.43</x:v>
      </x:c>
      <x:c r="F961" s="10" t="n">
        <x:v>0</x:v>
      </x:c>
      <x:c r="G961" s="12" t="n">
        <x:v>0</x:v>
      </x:c>
      <x:c r="H961" s="13" t="n">
        <x:v>0</x:v>
      </x:c>
      <x:c r="I961" s="10" t="n">
        <x:v>21</x:v>
      </x:c>
      <x:c r="J961" s="10" t="n">
        <x:v>2</x:v>
      </x:c>
      <x:c r="K961" s="10" t="str">
        <x:v>24 Mo.</x:v>
      </x:c>
      <x:c r="L961" s="10" t="n">
        <x:v>24</x:v>
      </x:c>
      <x:c r="M961" s="10" t="n">
        <x:v>0</x:v>
      </x:c>
      <x:c r="N961" s="10" t="n">
        <x:v>471</x:v>
      </x:c>
      <x:c r="O961" s="10" t="str">
        <x:v>Paper &amp; Party Supplies</x:v>
      </x:c>
      <x:c r="P961" s="10" t="n">
        <x:v>27</x:v>
      </x:c>
      <x:c r="Q961" s="10" t="n">
        <x:v>0</x:v>
      </x:c>
      <x:c r="R961" s="13" t="n">
        <x:v>4.46</x:v>
      </x:c>
      <x:c r="S961" s="10" t="n">
        <x:v>3881</x:v>
      </x:c>
      <x:c r="T961" s="10" t="str">
        <x:v>credit card payoff,debt calculator,personal loan payoff,debt snowball,debt avalanche,debt tracker,mortgage payment,snowball debt,debt analysis,debt payoff schedule,debt payoff progress,debt free planner,student loan payoff</x:v>
      </x:c>
      <x:c r="U961" s="10" t="str">
        <x:v>credit card payoff</x:v>
      </x:c>
      <x:c r="V961" s="10" t="str">
        <x:v>debt calculator</x:v>
      </x:c>
      <x:c r="W961" s="10" t="str">
        <x:v>personal loan payoff</x:v>
      </x:c>
      <x:c r="X961" s="10" t="str">
        <x:v>debt snowball</x:v>
      </x:c>
      <x:c r="Y961" s="10" t="str">
        <x:v>debt avalanche</x:v>
      </x:c>
      <x:c r="Z961" s="10" t="str">
        <x:v>debt tracker</x:v>
      </x:c>
      <x:c r="AA961" s="10" t="str">
        <x:v>mortgage payment</x:v>
      </x:c>
      <x:c r="AB961" s="10" t="str">
        <x:v>snowball debt</x:v>
      </x:c>
      <x:c r="AC961" s="10" t="str">
        <x:v>debt analysis</x:v>
      </x:c>
      <x:c r="AD961" s="10" t="str">
        <x:v>debt payoff schedule</x:v>
      </x:c>
      <x:c r="AE961" s="10" t="str">
        <x:v>debt payoff progress</x:v>
      </x:c>
      <x:c r="AF961" s="10" t="str">
        <x:v>debt free planner</x:v>
      </x:c>
      <x:c r="AG961" s="10" t="str">
        <x:v>student loan payoff</x:v>
      </x:c>
      <x:c r="AH961" s="10" t="str">
        <x:v>General debt payoff</x:v>
      </x:c>
      <x:c r="AI961" s="13" t="n">
        <x:v>24</x:v>
      </x:c>
      <x:c r="AJ961" s="10" t="str">
        <x:f>IF(F961&gt;0,"Active","No est. sales")</x:f>
        <x:v>No est. sales</x:v>
      </x:c>
    </x:row>
    <x:row r="962">
      <x:c r="A962" s="10" t="str">
        <x:v>Excel Mortgage Template | Mortgage planner | Loan calculator</x:v>
      </x:c>
      <x:c r="B962" s="10" t="str">
        <x:v>https://www.etsy.com/listing/982784679/excel-mortgage-template-mortgage-planner</x:v>
      </x:c>
      <x:c r="C962" s="10" t="str">
        <x:v>BudgetIsFun</x:v>
      </x:c>
      <x:c r="D962" s="10" t="str">
        <x:v>https://www.etsy.com/shop/BudgetIsFun</x:v>
      </x:c>
      <x:c r="E962" s="11" t="n">
        <x:v>10.28</x:v>
      </x:c>
      <x:c r="F962" s="10" t="n">
        <x:v>0</x:v>
      </x:c>
      <x:c r="G962" s="12" t="n">
        <x:v>0</x:v>
      </x:c>
      <x:c r="H962" s="13" t="n">
        <x:v>0</x:v>
      </x:c>
      <x:c r="I962" s="10" t="n">
        <x:v>0</x:v>
      </x:c>
      <x:c r="J962" s="10" t="n">
        <x:v>0</x:v>
      </x:c>
      <x:c r="K962" s="10" t="str">
        <x:v>64 Mo.</x:v>
      </x:c>
      <x:c r="L962" s="10" t="n">
        <x:v>18</x:v>
      </x:c>
      <x:c r="M962" s="10" t="n">
        <x:v>0</x:v>
      </x:c>
      <x:c r="N962" s="10" t="n">
        <x:v>446</x:v>
      </x:c>
      <x:c r="O962" s="10" t="str">
        <x:v>Paper &amp; Party Supplies</x:v>
      </x:c>
      <x:c r="P962" s="10" t="n">
        <x:v>66</x:v>
      </x:c>
      <x:c r="Q962" s="10" t="n">
        <x:v>0</x:v>
      </x:c>
      <x:c r="R962" s="13" t="n">
        <x:v>0</x:v>
      </x:c>
      <x:c r="S962" s="10" t="n">
        <x:v>21</x:v>
      </x:c>
      <x:c r="T962" s="10" t="str">
        <x:v>mortgage planner,loan calculator,credit risk estimate,mortgage payment,loan schedule,loan amortization,loan excel,mortgage excel track,mortgage tracker,real estate planner,loan management,mortgage management,mortgage calculator</x:v>
      </x:c>
      <x:c r="U962" s="10" t="str">
        <x:v>mortgage planner</x:v>
      </x:c>
      <x:c r="V962" s="10" t="str">
        <x:v>loan calculator</x:v>
      </x:c>
      <x:c r="W962" s="10" t="str">
        <x:v>credit risk estimate</x:v>
      </x:c>
      <x:c r="X962" s="10" t="str">
        <x:v>mortgage payment</x:v>
      </x:c>
      <x:c r="Y962" s="10" t="str">
        <x:v>loan schedule</x:v>
      </x:c>
      <x:c r="Z962" s="10" t="str">
        <x:v>loan amortization</x:v>
      </x:c>
      <x:c r="AA962" s="10" t="str">
        <x:v>loan excel</x:v>
      </x:c>
      <x:c r="AB962" s="10" t="str">
        <x:v>mortgage excel track</x:v>
      </x:c>
      <x:c r="AC962" s="10" t="str">
        <x:v>mortgage tracker</x:v>
      </x:c>
      <x:c r="AD962" s="10" t="str">
        <x:v>real estate planner</x:v>
      </x:c>
      <x:c r="AE962" s="10" t="str">
        <x:v>loan management</x:v>
      </x:c>
      <x:c r="AF962" s="10" t="str">
        <x:v>mortgage management</x:v>
      </x:c>
      <x:c r="AG962" s="10" t="str">
        <x:v>mortgage calculator</x:v>
      </x:c>
      <x:c r="AH962" s="10" t="str">
        <x:v>Other mortgage-related</x:v>
      </x:c>
      <x:c r="AI962" s="13" t="n">
        <x:v>64</x:v>
      </x:c>
      <x:c r="AJ962" s="10" t="str">
        <x:f>IF(F962&gt;0,"Active","No est. sales")</x:f>
        <x:v>No est. sales</x:v>
      </x:c>
    </x:row>
    <x:row r="963">
      <x:c r="A963" s="10" t="str">
        <x:v>Debt Payoff Tracker Debt Snowball and Avalanche Custom Calculator Excel Debt Tracker Spreadsheet Google Sheets Loan Mortgage Debt Tracker</x:v>
      </x:c>
      <x:c r="B963" s="10" t="str">
        <x:v>https://www.etsy.com/listing/4419245450/debt-payoff-tracker-debt-snowball-and</x:v>
      </x:c>
      <x:c r="C963" s="10" t="str">
        <x:v>RichvaleCreatives</x:v>
      </x:c>
      <x:c r="D963" s="10" t="str">
        <x:v>https://www.etsy.com/shop/RichvaleCreatives</x:v>
      </x:c>
      <x:c r="E963" s="11" t="n">
        <x:v>3.55</x:v>
      </x:c>
      <x:c r="F963" s="10" t="n">
        <x:v>0</x:v>
      </x:c>
      <x:c r="G963" s="12" t="n">
        <x:v>0</x:v>
      </x:c>
      <x:c r="H963" s="13" t="n">
        <x:v>0</x:v>
      </x:c>
      <x:c r="I963" s="10" t="n">
        <x:v>0</x:v>
      </x:c>
      <x:c r="J963" s="10" t="n">
        <x:v>0</x:v>
      </x:c>
      <x:c r="K963" s="10" t="str">
        <x:v>7 Mo.</x:v>
      </x:c>
      <x:c r="L963" s="10" t="n">
        <x:v>6</x:v>
      </x:c>
      <x:c r="M963" s="10" t="n">
        <x:v>0</x:v>
      </x:c>
      <x:c r="N963" s="10" t="n">
        <x:v>112</x:v>
      </x:c>
      <x:c r="O963" s="10" t="str"/>
      <x:c r="P963" s="10" t="n">
        <x:v>7</x:v>
      </x:c>
      <x:c r="Q963" s="10" t="n">
        <x:v>0</x:v>
      </x:c>
      <x:c r="R963" s="13" t="n">
        <x:v>0</x:v>
      </x:c>
      <x:c r="S963" s="10" t="n">
        <x:v>1070</x:v>
      </x:c>
      <x:c r="T963" s="10" t="str">
        <x:v>credit score debt,credit utilization,debt avalanche,debt payment tracker,debt payoff chart,debt payoff tracker,debt snowball,financial planner,mortgage payoff,student loan debt,credit card payment,debt snowball excel,debt google sheets</x:v>
      </x:c>
      <x:c r="U963" s="10" t="str">
        <x:v>credit score debt</x:v>
      </x:c>
      <x:c r="V963" s="10" t="str">
        <x:v>credit utilization</x:v>
      </x:c>
      <x:c r="W963" s="10" t="str">
        <x:v>debt avalanche</x:v>
      </x:c>
      <x:c r="X963" s="10" t="str">
        <x:v>debt payment tracker</x:v>
      </x:c>
      <x:c r="Y963" s="10" t="str">
        <x:v>debt payoff chart</x:v>
      </x:c>
      <x:c r="Z963" s="10" t="str">
        <x:v>debt payoff tracker</x:v>
      </x:c>
      <x:c r="AA963" s="10" t="str">
        <x:v>debt snowball</x:v>
      </x:c>
      <x:c r="AB963" s="10" t="str">
        <x:v>financial planner</x:v>
      </x:c>
      <x:c r="AC963" s="10" t="str">
        <x:v>mortgage payoff</x:v>
      </x:c>
      <x:c r="AD963" s="10" t="str">
        <x:v>student loan debt</x:v>
      </x:c>
      <x:c r="AE963" s="10" t="str">
        <x:v>credit card payment</x:v>
      </x:c>
      <x:c r="AF963" s="10" t="str">
        <x:v>debt snowball excel</x:v>
      </x:c>
      <x:c r="AG963" s="10" t="str">
        <x:v>debt google sheets</x:v>
      </x:c>
      <x:c r="AH963" s="10" t="str">
        <x:v>General debt payoff</x:v>
      </x:c>
      <x:c r="AI963" s="13" t="n">
        <x:v>7</x:v>
      </x:c>
      <x:c r="AJ963" s="10" t="str">
        <x:f>IF(F963&gt;0,"Active","No est. sales")</x:f>
        <x:v>No est. sales</x:v>
      </x:c>
    </x:row>
    <x:row r="964">
      <x:c r="A964" s="10" t="str">
        <x:v>Housing Payment Labels |Rent Payment Stickers | Two Colorways</x:v>
      </x:c>
      <x:c r="B964" s="10" t="str">
        <x:v>https://www.etsy.com/listing/4477809797/housing-payment-labels-rent-payment</x:v>
      </x:c>
      <x:c r="C964" s="10" t="str">
        <x:v>HeyJoPlannerCo</x:v>
      </x:c>
      <x:c r="D964" s="10" t="str">
        <x:v>https://www.etsy.com/shop/HeyJoPlannerCo</x:v>
      </x:c>
      <x:c r="E964" s="11" t="n">
        <x:v>3.95</x:v>
      </x:c>
      <x:c r="F964" s="10" t="n">
        <x:v>0</x:v>
      </x:c>
      <x:c r="G964" s="12" t="n">
        <x:v>0</x:v>
      </x:c>
      <x:c r="H964" s="13" t="n">
        <x:v>0</x:v>
      </x:c>
      <x:c r="I964" s="10" t="n">
        <x:v>0</x:v>
      </x:c>
      <x:c r="J964" s="10" t="n">
        <x:v>0</x:v>
      </x:c>
      <x:c r="K964" s="10" t="str">
        <x:v>4 Mo.</x:v>
      </x:c>
      <x:c r="L964" s="10" t="n">
        <x:v>0</x:v>
      </x:c>
      <x:c r="M964" s="10" t="n">
        <x:v>0</x:v>
      </x:c>
      <x:c r="N964" s="10" t="n">
        <x:v>9</x:v>
      </x:c>
      <x:c r="O964" s="10" t="str">
        <x:v>Paper &amp; Party Supplies</x:v>
      </x:c>
      <x:c r="P964" s="10" t="n">
        <x:v>112</x:v>
      </x:c>
      <x:c r="Q964" s="10" t="n">
        <x:v>0</x:v>
      </x:c>
      <x:c r="R964" s="13" t="n">
        <x:v>0</x:v>
      </x:c>
      <x:c r="S964" s="10" t="n">
        <x:v>480</x:v>
      </x:c>
      <x:c r="T964" s="10" t="str">
        <x:v>planner stickers,budget stickers,financial stickers,calendar stickers,rent due stickers,house payment due,payment due stickers,mortgage due labels,payment labels,colorful rent label,colorful house due,colorful labels,boho rent label</x:v>
      </x:c>
      <x:c r="U964" s="10" t="str">
        <x:v>planner stickers</x:v>
      </x:c>
      <x:c r="V964" s="10" t="str">
        <x:v>budget stickers</x:v>
      </x:c>
      <x:c r="W964" s="10" t="str">
        <x:v>financial stickers</x:v>
      </x:c>
      <x:c r="X964" s="10" t="str">
        <x:v>calendar stickers</x:v>
      </x:c>
      <x:c r="Y964" s="10" t="str">
        <x:v>rent due stickers</x:v>
      </x:c>
      <x:c r="Z964" s="10" t="str">
        <x:v>house payment due</x:v>
      </x:c>
      <x:c r="AA964" s="10" t="str">
        <x:v>payment due stickers</x:v>
      </x:c>
      <x:c r="AB964" s="10" t="str">
        <x:v>mortgage due labels</x:v>
      </x:c>
      <x:c r="AC964" s="10" t="str">
        <x:v>payment labels</x:v>
      </x:c>
      <x:c r="AD964" s="10" t="str">
        <x:v>colorful rent label</x:v>
      </x:c>
      <x:c r="AE964" s="10" t="str">
        <x:v>colorful house due</x:v>
      </x:c>
      <x:c r="AF964" s="10" t="str">
        <x:v>colorful labels</x:v>
      </x:c>
      <x:c r="AG964" s="10" t="str">
        <x:v>boho rent label</x:v>
      </x:c>
      <x:c r="AH964" s="10" t="str">
        <x:v>Other mortgage-related</x:v>
      </x:c>
      <x:c r="AI964" s="13" t="n">
        <x:v>4</x:v>
      </x:c>
      <x:c r="AJ964" s="10" t="str">
        <x:f>IF(F964&gt;0,"Active","No est. sales")</x:f>
        <x:v>No est. sales</x:v>
      </x:c>
    </x:row>
    <x:row r="965">
      <x:c r="A965" s="10" t="str">
        <x:v>1868-14~~Rent Due Boxes Planner Stickers.</x:v>
      </x:c>
      <x:c r="B965" s="10" t="str">
        <x:v>https://www.etsy.com/listing/1052830106/1868-14rent-due-boxes-planner-stickers</x:v>
      </x:c>
      <x:c r="C965" s="10" t="str">
        <x:v>PlanToPlan</x:v>
      </x:c>
      <x:c r="D965" s="10" t="str">
        <x:v>https://www.etsy.com/shop/PlanToPlan</x:v>
      </x:c>
      <x:c r="E965" s="11" t="n">
        <x:v>3.25</x:v>
      </x:c>
      <x:c r="F965" s="10" t="n">
        <x:v>0</x:v>
      </x:c>
      <x:c r="G965" s="12" t="n">
        <x:v>0</x:v>
      </x:c>
      <x:c r="H965" s="13" t="n">
        <x:v>0</x:v>
      </x:c>
      <x:c r="I965" s="10" t="n">
        <x:v>31</x:v>
      </x:c>
      <x:c r="J965" s="10" t="n">
        <x:v>6</x:v>
      </x:c>
      <x:c r="K965" s="10" t="str">
        <x:v>59 Mo.</x:v>
      </x:c>
      <x:c r="L965" s="10" t="n">
        <x:v>56</x:v>
      </x:c>
      <x:c r="M965" s="10" t="n">
        <x:v>0</x:v>
      </x:c>
      <x:c r="N965" s="10" t="n">
        <x:v>324</x:v>
      </x:c>
      <x:c r="O965" s="10" t="str">
        <x:v>Paper &amp; Party Supplies</x:v>
      </x:c>
      <x:c r="P965" s="10" t="n">
        <x:v>126</x:v>
      </x:c>
      <x:c r="Q965" s="10" t="n">
        <x:v>0</x:v>
      </x:c>
      <x:c r="R965" s="13" t="n">
        <x:v>9.57</x:v>
      </x:c>
      <x:c r="S965" s="10" t="n">
        <x:v>319985</x:v>
      </x:c>
      <x:c r="T965" s="10" t="str">
        <x:v>planner stickers,reminder stickers,appointment stickers,tracker stickers,functional stickers,plantoplan,bill due stickers,quarter boxes,to do stickers,mortgage stickers,rent due stickers,erin condren,hobonichi stickers</x:v>
      </x:c>
      <x:c r="U965" s="10" t="str">
        <x:v>planner stickers</x:v>
      </x:c>
      <x:c r="V965" s="10" t="str">
        <x:v>reminder stickers</x:v>
      </x:c>
      <x:c r="W965" s="10" t="str">
        <x:v>appointment stickers</x:v>
      </x:c>
      <x:c r="X965" s="10" t="str">
        <x:v>tracker stickers</x:v>
      </x:c>
      <x:c r="Y965" s="10" t="str">
        <x:v>functional stickers</x:v>
      </x:c>
      <x:c r="Z965" s="10" t="str">
        <x:v>plantoplan</x:v>
      </x:c>
      <x:c r="AA965" s="10" t="str">
        <x:v>bill due stickers</x:v>
      </x:c>
      <x:c r="AB965" s="10" t="str">
        <x:v>quarter boxes</x:v>
      </x:c>
      <x:c r="AC965" s="10" t="str">
        <x:v>to do stickers</x:v>
      </x:c>
      <x:c r="AD965" s="10" t="str">
        <x:v>mortgage stickers</x:v>
      </x:c>
      <x:c r="AE965" s="10" t="str">
        <x:v>rent due stickers</x:v>
      </x:c>
      <x:c r="AF965" s="10" t="str">
        <x:v>erin condren</x:v>
      </x:c>
      <x:c r="AG965" s="10" t="str">
        <x:v>hobonichi stickers</x:v>
      </x:c>
      <x:c r="AH965" s="10" t="str">
        <x:v>Other mortgage-related</x:v>
      </x:c>
      <x:c r="AI965" s="13" t="n">
        <x:v>59</x:v>
      </x:c>
      <x:c r="AJ965" s="10" t="str">
        <x:f>IF(F965&gt;0,"Active","No est. sales")</x:f>
        <x:v>No est. sales</x:v>
      </x:c>
    </x:row>
    <x:row r="966">
      <x:c r="A966" s="10" t="str">
        <x:v>2745-15~~Cellphone Bill Due Planner Stickers.</x:v>
      </x:c>
      <x:c r="B966" s="10" t="str">
        <x:v>https://www.etsy.com/listing/1736601116/2745-15cellphone-bill-due-planner</x:v>
      </x:c>
      <x:c r="C966" s="10" t="str">
        <x:v>PlanToPlan</x:v>
      </x:c>
      <x:c r="D966" s="10" t="str">
        <x:v>https://www.etsy.com/shop/PlanToPlan</x:v>
      </x:c>
      <x:c r="E966" s="11" t="n">
        <x:v>3.25</x:v>
      </x:c>
      <x:c r="F966" s="10" t="n">
        <x:v>0</x:v>
      </x:c>
      <x:c r="G966" s="12" t="n">
        <x:v>0</x:v>
      </x:c>
      <x:c r="H966" s="13" t="n">
        <x:v>0</x:v>
      </x:c>
      <x:c r="I966" s="10" t="n">
        <x:v>5</x:v>
      </x:c>
      <x:c r="J966" s="10" t="n">
        <x:v>1</x:v>
      </x:c>
      <x:c r="K966" s="10" t="str">
        <x:v>25 Mo.</x:v>
      </x:c>
      <x:c r="L966" s="10" t="n">
        <x:v>39</x:v>
      </x:c>
      <x:c r="M966" s="10" t="n">
        <x:v>0</x:v>
      </x:c>
      <x:c r="N966" s="10" t="n">
        <x:v>139</x:v>
      </x:c>
      <x:c r="O966" s="10" t="str">
        <x:v>Paper &amp; Party Supplies</x:v>
      </x:c>
      <x:c r="P966" s="10" t="n">
        <x:v>126</x:v>
      </x:c>
      <x:c r="Q966" s="10" t="n">
        <x:v>0</x:v>
      </x:c>
      <x:c r="R966" s="13" t="n">
        <x:v>3.6</x:v>
      </x:c>
      <x:c r="S966" s="10" t="n">
        <x:v>319985</x:v>
      </x:c>
      <x:c r="T966" s="10" t="str">
        <x:v>planner stickers,reminder stickers,appointment stickers,tracker stickers,functional stickers,plantoplan,bill due stickers,cellphone stickers,cable bill stickers,electric bill,mortgage stickers,cellphone bill due,erin condren</x:v>
      </x:c>
      <x:c r="U966" s="10" t="str">
        <x:v>planner stickers</x:v>
      </x:c>
      <x:c r="V966" s="10" t="str">
        <x:v>reminder stickers</x:v>
      </x:c>
      <x:c r="W966" s="10" t="str">
        <x:v>appointment stickers</x:v>
      </x:c>
      <x:c r="X966" s="10" t="str">
        <x:v>tracker stickers</x:v>
      </x:c>
      <x:c r="Y966" s="10" t="str">
        <x:v>functional stickers</x:v>
      </x:c>
      <x:c r="Z966" s="10" t="str">
        <x:v>plantoplan</x:v>
      </x:c>
      <x:c r="AA966" s="10" t="str">
        <x:v>bill due stickers</x:v>
      </x:c>
      <x:c r="AB966" s="10" t="str">
        <x:v>cellphone stickers</x:v>
      </x:c>
      <x:c r="AC966" s="10" t="str">
        <x:v>cable bill stickers</x:v>
      </x:c>
      <x:c r="AD966" s="10" t="str">
        <x:v>electric bill</x:v>
      </x:c>
      <x:c r="AE966" s="10" t="str">
        <x:v>mortgage stickers</x:v>
      </x:c>
      <x:c r="AF966" s="10" t="str">
        <x:v>cellphone bill due</x:v>
      </x:c>
      <x:c r="AG966" s="10" t="str">
        <x:v>erin condren</x:v>
      </x:c>
      <x:c r="AH966" s="10" t="str">
        <x:v>Other mortgage-related</x:v>
      </x:c>
      <x:c r="AI966" s="13" t="n">
        <x:v>25</x:v>
      </x:c>
      <x:c r="AJ966" s="10" t="str">
        <x:f>IF(F966&gt;0,"Active","No est. sales")</x:f>
        <x:v>No est. sales</x:v>
      </x:c>
    </x:row>
    <x:row r="967">
      <x:c r="A967" s="10" t="str">
        <x:v>1973-6~~Rent Due Check Box Planner Stickers.</x:v>
      </x:c>
      <x:c r="B967" s="10" t="str">
        <x:v>https://www.etsy.com/listing/1005179088/1973-6rent-due-check-box-planner</x:v>
      </x:c>
      <x:c r="C967" s="10" t="str">
        <x:v>PlanToPlan</x:v>
      </x:c>
      <x:c r="D967" s="10" t="str">
        <x:v>https://www.etsy.com/shop/PlanToPlan</x:v>
      </x:c>
      <x:c r="E967" s="11" t="n">
        <x:v>3.25</x:v>
      </x:c>
      <x:c r="F967" s="10" t="n">
        <x:v>0</x:v>
      </x:c>
      <x:c r="G967" s="12" t="n">
        <x:v>0</x:v>
      </x:c>
      <x:c r="H967" s="13" t="n">
        <x:v>0</x:v>
      </x:c>
      <x:c r="I967" s="10" t="n">
        <x:v>0</x:v>
      </x:c>
      <x:c r="J967" s="10" t="n">
        <x:v>0</x:v>
      </x:c>
      <x:c r="K967" s="10" t="str">
        <x:v>62 Mo.</x:v>
      </x:c>
      <x:c r="L967" s="10" t="n">
        <x:v>46</x:v>
      </x:c>
      <x:c r="M967" s="10" t="n">
        <x:v>0</x:v>
      </x:c>
      <x:c r="N967" s="10" t="n">
        <x:v>294</x:v>
      </x:c>
      <x:c r="O967" s="10" t="str">
        <x:v>Paper &amp; Party Supplies</x:v>
      </x:c>
      <x:c r="P967" s="10" t="n">
        <x:v>126</x:v>
      </x:c>
      <x:c r="Q967" s="10" t="n">
        <x:v>0</x:v>
      </x:c>
      <x:c r="R967" s="13" t="n">
        <x:v>0</x:v>
      </x:c>
      <x:c r="S967" s="10" t="n">
        <x:v>319985</x:v>
      </x:c>
      <x:c r="T967" s="10" t="str">
        <x:v>planner stickers,reminder stickers,appointment stickers,tracker stickers,functional stickers,plantoplan,bill due stickers,quarter boxes,to do stickers,bill stickers,budget stickers,mortgage due sticker,rent due stickers</x:v>
      </x:c>
      <x:c r="U967" s="10" t="str">
        <x:v>planner stickers</x:v>
      </x:c>
      <x:c r="V967" s="10" t="str">
        <x:v>reminder stickers</x:v>
      </x:c>
      <x:c r="W967" s="10" t="str">
        <x:v>appointment stickers</x:v>
      </x:c>
      <x:c r="X967" s="10" t="str">
        <x:v>tracker stickers</x:v>
      </x:c>
      <x:c r="Y967" s="10" t="str">
        <x:v>functional stickers</x:v>
      </x:c>
      <x:c r="Z967" s="10" t="str">
        <x:v>plantoplan</x:v>
      </x:c>
      <x:c r="AA967" s="10" t="str">
        <x:v>bill due stickers</x:v>
      </x:c>
      <x:c r="AB967" s="10" t="str">
        <x:v>quarter boxes</x:v>
      </x:c>
      <x:c r="AC967" s="10" t="str">
        <x:v>to do stickers</x:v>
      </x:c>
      <x:c r="AD967" s="10" t="str">
        <x:v>bill stickers</x:v>
      </x:c>
      <x:c r="AE967" s="10" t="str">
        <x:v>budget stickers</x:v>
      </x:c>
      <x:c r="AF967" s="10" t="str">
        <x:v>mortgage due sticker</x:v>
      </x:c>
      <x:c r="AG967" s="10" t="str">
        <x:v>rent due stickers</x:v>
      </x:c>
      <x:c r="AH967" s="10" t="str">
        <x:v>Other mortgage-related</x:v>
      </x:c>
      <x:c r="AI967" s="13" t="n">
        <x:v>62</x:v>
      </x:c>
      <x:c r="AJ967" s="10" t="str">
        <x:f>IF(F967&gt;0,"Active","No est. sales")</x:f>
        <x:v>No est. sales</x:v>
      </x:c>
    </x:row>
    <x:row r="968">
      <x:c r="A968" s="10" t="str">
        <x:v>2348-2~~House Tiny Icons Planner Stickers.</x:v>
      </x:c>
      <x:c r="B968" s="10" t="str">
        <x:v>https://www.etsy.com/listing/1288606079/2348-2house-tiny-icons-planner-stickers</x:v>
      </x:c>
      <x:c r="C968" s="10" t="str">
        <x:v>PlanToPlan</x:v>
      </x:c>
      <x:c r="D968" s="10" t="str">
        <x:v>https://www.etsy.com/shop/PlanToPlan</x:v>
      </x:c>
      <x:c r="E968" s="11" t="n">
        <x:v>3.25</x:v>
      </x:c>
      <x:c r="F968" s="10" t="n">
        <x:v>0</x:v>
      </x:c>
      <x:c r="G968" s="12" t="n">
        <x:v>0</x:v>
      </x:c>
      <x:c r="H968" s="13" t="n">
        <x:v>0</x:v>
      </x:c>
      <x:c r="I968" s="10" t="n">
        <x:v>58</x:v>
      </x:c>
      <x:c r="J968" s="10" t="n">
        <x:v>11</x:v>
      </x:c>
      <x:c r="K968" s="10" t="str">
        <x:v>47 Mo.</x:v>
      </x:c>
      <x:c r="L968" s="10" t="n">
        <x:v>55</x:v>
      </x:c>
      <x:c r="M968" s="10" t="n">
        <x:v>0</x:v>
      </x:c>
      <x:c r="N968" s="10" t="n">
        <x:v>264</x:v>
      </x:c>
      <x:c r="O968" s="10" t="str">
        <x:v>Paper &amp; Party Supplies</x:v>
      </x:c>
      <x:c r="P968" s="10" t="n">
        <x:v>126</x:v>
      </x:c>
      <x:c r="Q968" s="10" t="n">
        <x:v>0</x:v>
      </x:c>
      <x:c r="R968" s="13" t="n">
        <x:v>21.97</x:v>
      </x:c>
      <x:c r="S968" s="10" t="n">
        <x:v>319985</x:v>
      </x:c>
      <x:c r="T968" s="10" t="str">
        <x:v>planner stickers,functional stickers,household stickers,cleaning stickers,chore stickers,work stickers,reminder stickers,to do stickers,plan to plan sticker,tiny stickers,rent stickers,house stickers,mortgage stickers</x:v>
      </x:c>
      <x:c r="U968" s="10" t="str">
        <x:v>planner stickers</x:v>
      </x:c>
      <x:c r="V968" s="10" t="str">
        <x:v>functional stickers</x:v>
      </x:c>
      <x:c r="W968" s="10" t="str">
        <x:v>household stickers</x:v>
      </x:c>
      <x:c r="X968" s="10" t="str">
        <x:v>cleaning stickers</x:v>
      </x:c>
      <x:c r="Y968" s="10" t="str">
        <x:v>chore stickers</x:v>
      </x:c>
      <x:c r="Z968" s="10" t="str">
        <x:v>work stickers</x:v>
      </x:c>
      <x:c r="AA968" s="10" t="str">
        <x:v>reminder stickers</x:v>
      </x:c>
      <x:c r="AB968" s="10" t="str">
        <x:v>to do stickers</x:v>
      </x:c>
      <x:c r="AC968" s="10" t="str">
        <x:v>plan to plan sticker</x:v>
      </x:c>
      <x:c r="AD968" s="10" t="str">
        <x:v>tiny stickers</x:v>
      </x:c>
      <x:c r="AE968" s="10" t="str">
        <x:v>rent stickers</x:v>
      </x:c>
      <x:c r="AF968" s="10" t="str">
        <x:v>house stickers</x:v>
      </x:c>
      <x:c r="AG968" s="10" t="str">
        <x:v>mortgage stickers</x:v>
      </x:c>
      <x:c r="AH968" s="10" t="str">
        <x:v>Other mortgage-related</x:v>
      </x:c>
      <x:c r="AI968" s="13" t="n">
        <x:v>47</x:v>
      </x:c>
      <x:c r="AJ968" s="10" t="str">
        <x:f>IF(F968&gt;0,"Active","No est. sales")</x:f>
        <x:v>No est. sales</x:v>
      </x:c>
    </x:row>
    <x:row r="969">
      <x:c r="A969" s="10" t="str">
        <x:v>Ultimate Debt Tracker Printable Bundle | 11 Templates for Credit Card, Debt Repayment | Snowball Strategy - Budget &amp; Finance Planner Sheets</x:v>
      </x:c>
      <x:c r="B969" s="10" t="str">
        <x:v>https://www.etsy.com/listing/1602854656/ultimate-debt-tracker-printable-bundle</x:v>
      </x:c>
      <x:c r="C969" s="10" t="str">
        <x:v>DiverseDesignMockups</x:v>
      </x:c>
      <x:c r="D969" s="10" t="str">
        <x:v>https://www.etsy.com/shop/DiverseDesignMockups</x:v>
      </x:c>
      <x:c r="E969" s="11" t="n">
        <x:v>2.97</x:v>
      </x:c>
      <x:c r="F969" s="10" t="n">
        <x:v>0</x:v>
      </x:c>
      <x:c r="G969" s="12" t="n">
        <x:v>0</x:v>
      </x:c>
      <x:c r="H969" s="13" t="n">
        <x:v>0</x:v>
      </x:c>
      <x:c r="I969" s="10" t="n">
        <x:v>44</x:v>
      </x:c>
      <x:c r="J969" s="10" t="n">
        <x:v>3</x:v>
      </x:c>
      <x:c r="K969" s="10" t="str">
        <x:v>32 Mo.</x:v>
      </x:c>
      <x:c r="L969" s="10" t="n">
        <x:v>19</x:v>
      </x:c>
      <x:c r="M969" s="10" t="n">
        <x:v>0</x:v>
      </x:c>
      <x:c r="N969" s="10" t="n">
        <x:v>1149</x:v>
      </x:c>
      <x:c r="O969" s="10" t="str"/>
      <x:c r="P969" s="10" t="n">
        <x:v>42</x:v>
      </x:c>
      <x:c r="Q969" s="10" t="n">
        <x:v>0</x:v>
      </x:c>
      <x:c r="R969" s="13" t="n">
        <x:v>3.83</x:v>
      </x:c>
      <x:c r="S969" s="10" t="n">
        <x:v>1898</x:v>
      </x:c>
      <x:c r="T969" s="10" t="str">
        <x:v>credit card debt,debt avalanche,debt calculator,debt google sheets,debt payment tracker,debt payoff planner,debt snowball,financial planner,loan payoff tracker,mortgage payoff,personal finance,snowball method,student loan debt</x:v>
      </x:c>
      <x:c r="U969" s="10" t="str">
        <x:v>credit card debt</x:v>
      </x:c>
      <x:c r="V969" s="10" t="str">
        <x:v>debt avalanche</x:v>
      </x:c>
      <x:c r="W969" s="10" t="str">
        <x:v>debt calculator</x:v>
      </x:c>
      <x:c r="X969" s="10" t="str">
        <x:v>debt google sheets</x:v>
      </x:c>
      <x:c r="Y969" s="10" t="str">
        <x:v>debt payment tracker</x:v>
      </x:c>
      <x:c r="Z969" s="10" t="str">
        <x:v>debt payoff planner</x:v>
      </x:c>
      <x:c r="AA969" s="10" t="str">
        <x:v>debt snowball</x:v>
      </x:c>
      <x:c r="AB969" s="10" t="str">
        <x:v>financial planner</x:v>
      </x:c>
      <x:c r="AC969" s="10" t="str">
        <x:v>loan payoff tracker</x:v>
      </x:c>
      <x:c r="AD969" s="10" t="str">
        <x:v>mortgage payoff</x:v>
      </x:c>
      <x:c r="AE969" s="10" t="str">
        <x:v>personal finance</x:v>
      </x:c>
      <x:c r="AF969" s="10" t="str">
        <x:v>snowball method</x:v>
      </x:c>
      <x:c r="AG969" s="10" t="str">
        <x:v>student loan debt</x:v>
      </x:c>
      <x:c r="AH969" s="10" t="str">
        <x:v>General debt payoff</x:v>
      </x:c>
      <x:c r="AI969" s="13" t="n">
        <x:v>32</x:v>
      </x:c>
      <x:c r="AJ969" s="10" t="str">
        <x:f>IF(F969&gt;0,"Active","No est. sales")</x:f>
        <x:v>No est. sales</x:v>
      </x:c>
    </x:row>
    <x:row r="970">
      <x:c r="A970" s="10" t="str">
        <x:v>Mortgage Overpayment Calculator | UK Excel Spreadsheet (Instant Download)</x:v>
      </x:c>
      <x:c r="B970" s="10" t="str">
        <x:v>https://www.etsy.com/listing/4455248062/mortgage-overpayment-calculator-excel</x:v>
      </x:c>
      <x:c r="C970" s="10" t="str">
        <x:v>ReadyCalc</x:v>
      </x:c>
      <x:c r="D970" s="10" t="str">
        <x:v>https://www.etsy.com/shop/ReadyCalc</x:v>
      </x:c>
      <x:c r="E970" s="11" t="n">
        <x:v>6.65</x:v>
      </x:c>
      <x:c r="F970" s="10" t="n">
        <x:v>0</x:v>
      </x:c>
      <x:c r="G970" s="12" t="n">
        <x:v>0</x:v>
      </x:c>
      <x:c r="H970" s="13" t="n">
        <x:v>0</x:v>
      </x:c>
      <x:c r="I970" s="10" t="n">
        <x:v>0</x:v>
      </x:c>
      <x:c r="J970" s="10" t="n">
        <x:v>0</x:v>
      </x:c>
      <x:c r="K970" s="10" t="str">
        <x:v>5 Mo.</x:v>
      </x:c>
      <x:c r="L970" s="10" t="n">
        <x:v>0</x:v>
      </x:c>
      <x:c r="M970" s="10" t="n">
        <x:v>0</x:v>
      </x:c>
      <x:c r="N970" s="10" t="n">
        <x:v>18</x:v>
      </x:c>
      <x:c r="O970" s="10" t="str">
        <x:v>Art &amp; Collectibles</x:v>
      </x:c>
      <x:c r="P970" s="10" t="n">
        <x:v>5</x:v>
      </x:c>
      <x:c r="Q970" s="10" t="n">
        <x:v>0</x:v>
      </x:c>
      <x:c r="R970" s="13" t="n">
        <x:v>0</x:v>
      </x:c>
      <x:c r="S970" s="10" t="n">
        <x:v>4</x:v>
      </x:c>
      <x:c r="T970" s="10" t="str">
        <x:v>mortgage overpayment,mortgage calculator,interest saved,mortgage planner uk,repayment calculator,mortgage spreadsheet,overpayment savings,home loan calculator,mortgage payoff,uk mortgage,property finance,mortgage tracker,early repayment</x:v>
      </x:c>
      <x:c r="U970" s="10" t="str">
        <x:v>mortgage overpayment</x:v>
      </x:c>
      <x:c r="V970" s="10" t="str">
        <x:v>mortgage calculator</x:v>
      </x:c>
      <x:c r="W970" s="10" t="str">
        <x:v>interest saved</x:v>
      </x:c>
      <x:c r="X970" s="10" t="str">
        <x:v>mortgage planner uk</x:v>
      </x:c>
      <x:c r="Y970" s="10" t="str">
        <x:v>repayment calculator</x:v>
      </x:c>
      <x:c r="Z970" s="10" t="str">
        <x:v>mortgage spreadsheet</x:v>
      </x:c>
      <x:c r="AA970" s="10" t="str">
        <x:v>overpayment savings</x:v>
      </x:c>
      <x:c r="AB970" s="10" t="str">
        <x:v>home loan calculator</x:v>
      </x:c>
      <x:c r="AC970" s="10" t="str">
        <x:v>mortgage payoff</x:v>
      </x:c>
      <x:c r="AD970" s="10" t="str">
        <x:v>uk mortgage</x:v>
      </x:c>
      <x:c r="AE970" s="10" t="str">
        <x:v>property finance</x:v>
      </x:c>
      <x:c r="AF970" s="10" t="str">
        <x:v>mortgage tracker</x:v>
      </x:c>
      <x:c r="AG970" s="10" t="str">
        <x:v>early repayment</x:v>
      </x:c>
      <x:c r="AH970" s="10" t="str">
        <x:v>Other mortgage-related</x:v>
      </x:c>
      <x:c r="AI970" s="13" t="n">
        <x:v>5</x:v>
      </x:c>
      <x:c r="AJ970" s="10" t="str">
        <x:f>IF(F970&gt;0,"Active","No est. sales")</x:f>
        <x:v>No est. sales</x:v>
      </x:c>
    </x:row>
    <x:row r="971">
      <x:c r="A971" s="10" t="str">
        <x:v>Insurance Due - Planner Stickers</x:v>
      </x:c>
      <x:c r="B971" s="10" t="str">
        <x:v>https://www.etsy.com/listing/601207670/insurance-due-planner-stickers</x:v>
      </x:c>
      <x:c r="C971" s="10" t="str">
        <x:v>thePrairiePlanner</x:v>
      </x:c>
      <x:c r="D971" s="10" t="str">
        <x:v>https://www.etsy.com/shop/thePrairiePlanner</x:v>
      </x:c>
      <x:c r="E971" s="11" t="n">
        <x:v>2.73</x:v>
      </x:c>
      <x:c r="F971" s="10" t="n">
        <x:v>0</x:v>
      </x:c>
      <x:c r="G971" s="12" t="n">
        <x:v>0</x:v>
      </x:c>
      <x:c r="H971" s="13" t="n">
        <x:v>0</x:v>
      </x:c>
      <x:c r="I971" s="10" t="n">
        <x:v>114</x:v>
      </x:c>
      <x:c r="J971" s="10" t="n">
        <x:v>21</x:v>
      </x:c>
      <x:c r="K971" s="10" t="str">
        <x:v>98 Mo.</x:v>
      </x:c>
      <x:c r="L971" s="10" t="n">
        <x:v>95</x:v>
      </x:c>
      <x:c r="M971" s="10" t="n">
        <x:v>0</x:v>
      </x:c>
      <x:c r="N971" s="10" t="n">
        <x:v>1200</x:v>
      </x:c>
      <x:c r="O971" s="10" t="str">
        <x:v>Paper &amp; Party Supplies</x:v>
      </x:c>
      <x:c r="P971" s="10" t="n">
        <x:v>102</x:v>
      </x:c>
      <x:c r="Q971" s="10" t="n">
        <x:v>0</x:v>
      </x:c>
      <x:c r="R971" s="13" t="n">
        <x:v>9.5</x:v>
      </x:c>
      <x:c r="S971" s="10" t="n">
        <x:v>68310</x:v>
      </x:c>
      <x:c r="T971" s="10" t="str">
        <x:v>bill due,bill,bills,functional stickers,planner stickers,insurance,insurance due,auto insurance,home insurance,insurance bill,mortgage insurance</x:v>
      </x:c>
      <x:c r="U971" s="10" t="str">
        <x:v>bill due</x:v>
      </x:c>
      <x:c r="V971" s="10" t="str">
        <x:v>bill</x:v>
      </x:c>
      <x:c r="W971" s="10" t="str">
        <x:v>bills</x:v>
      </x:c>
      <x:c r="X971" s="10" t="str">
        <x:v>functional stickers</x:v>
      </x:c>
      <x:c r="Y971" s="10" t="str">
        <x:v>planner stickers</x:v>
      </x:c>
      <x:c r="Z971" s="10" t="str">
        <x:v>insurance</x:v>
      </x:c>
      <x:c r="AA971" s="10" t="str">
        <x:v>insurance due</x:v>
      </x:c>
      <x:c r="AB971" s="10" t="str">
        <x:v>auto insurance</x:v>
      </x:c>
      <x:c r="AC971" s="10" t="str">
        <x:v>home insurance</x:v>
      </x:c>
      <x:c r="AD971" s="10" t="str">
        <x:v>insurance bill</x:v>
      </x:c>
      <x:c r="AE971" s="10" t="str">
        <x:v>mortgage insurance</x:v>
      </x:c>
      <x:c r="AF971" s="10" t="str">
        <x:v>--</x:v>
      </x:c>
      <x:c r="AG971" s="10" t="str">
        <x:v>--</x:v>
      </x:c>
      <x:c r="AH971" s="10" t="str">
        <x:v>Other mortgage-related</x:v>
      </x:c>
      <x:c r="AI971" s="13" t="n">
        <x:v>98</x:v>
      </x:c>
      <x:c r="AJ971" s="10" t="str">
        <x:f>IF(F971&gt;0,"Active","No est. sales")</x:f>
        <x:v>No est. sales</x:v>
      </x:c>
    </x:row>
    <x:row r="972">
      <x:c r="A972" s="10" t="str">
        <x:v>Mortgage Agreement</x:v>
      </x:c>
      <x:c r="B972" s="10" t="str">
        <x:v>https://www.etsy.com/listing/1792246753/mortgage-agreement</x:v>
      </x:c>
      <x:c r="C972" s="10" t="str">
        <x:v>docureadyorg</x:v>
      </x:c>
      <x:c r="D972" s="10" t="str">
        <x:v>https://www.etsy.com/shop/docureadyorg</x:v>
      </x:c>
      <x:c r="E972" s="11" t="n">
        <x:v>23.9</x:v>
      </x:c>
      <x:c r="F972" s="10" t="n">
        <x:v>0</x:v>
      </x:c>
      <x:c r="G972" s="12" t="n">
        <x:v>0</x:v>
      </x:c>
      <x:c r="H972" s="13" t="n">
        <x:v>0</x:v>
      </x:c>
      <x:c r="I972" s="10" t="n">
        <x:v>0</x:v>
      </x:c>
      <x:c r="J972" s="10" t="n">
        <x:v>0</x:v>
      </x:c>
      <x:c r="K972" s="10" t="str">
        <x:v>22 Mo.</x:v>
      </x:c>
      <x:c r="L972" s="10" t="n">
        <x:v>0</x:v>
      </x:c>
      <x:c r="M972" s="10" t="n">
        <x:v>0</x:v>
      </x:c>
      <x:c r="N972" s="10" t="n">
        <x:v>2280</x:v>
      </x:c>
      <x:c r="O972" s="10" t="str"/>
      <x:c r="P972" s="10" t="n">
        <x:v>145</x:v>
      </x:c>
      <x:c r="Q972" s="10" t="n">
        <x:v>36</x:v>
      </x:c>
      <x:c r="R972" s="13" t="n">
        <x:v>0</x:v>
      </x:c>
      <x:c r="S972" s="10" t="n">
        <x:v>384</x:v>
      </x:c>
      <x:c r="T972" s="10" t="str">
        <x:v>instant download,mortgage agreement,digital download,printable,wall art,planner,template,clipart,digital planner,planner stickers,real estate,commercial use,svg files</x:v>
      </x:c>
      <x:c r="U972" s="10" t="str">
        <x:v>instant download</x:v>
      </x:c>
      <x:c r="V972" s="10" t="str">
        <x:v>mortgage agreement</x:v>
      </x:c>
      <x:c r="W972" s="10" t="str">
        <x:v>digital download</x:v>
      </x:c>
      <x:c r="X972" s="10" t="str">
        <x:v>printable</x:v>
      </x:c>
      <x:c r="Y972" s="10" t="str">
        <x:v>wall art</x:v>
      </x:c>
      <x:c r="Z972" s="10" t="str">
        <x:v>planner</x:v>
      </x:c>
      <x:c r="AA972" s="10" t="str">
        <x:v>template</x:v>
      </x:c>
      <x:c r="AB972" s="10" t="str">
        <x:v>clipart</x:v>
      </x:c>
      <x:c r="AC972" s="10" t="str">
        <x:v>digital planner</x:v>
      </x:c>
      <x:c r="AD972" s="10" t="str">
        <x:v>planner stickers</x:v>
      </x:c>
      <x:c r="AE972" s="10" t="str">
        <x:v>real estate</x:v>
      </x:c>
      <x:c r="AF972" s="10" t="str">
        <x:v>commercial use</x:v>
      </x:c>
      <x:c r="AG972" s="10" t="str">
        <x:v>svg files</x:v>
      </x:c>
      <x:c r="AH972" s="10" t="str">
        <x:v>Other mortgage-related</x:v>
      </x:c>
      <x:c r="AI972" s="13" t="n">
        <x:v>22</x:v>
      </x:c>
      <x:c r="AJ972" s="10" t="str">
        <x:f>IF(F972&gt;0,"Active","No est. sales")</x:f>
        <x:v>No est. sales</x:v>
      </x:c>
    </x:row>
    <x:row r="973">
      <x:c r="A973" s="10" t="str">
        <x:v>Mortgage Payoff Calculator Spreadsheet, Car Loan Tracker &amp; Amortization Schedule for Google Sheets Excel</x:v>
      </x:c>
      <x:c r="B973" s="10" t="str">
        <x:v>https://www.etsy.com/listing/4477203941/mortgage-payoff-calculator-spreadsheet</x:v>
      </x:c>
      <x:c r="C973" s="10" t="str">
        <x:v>ProTemplateHQ</x:v>
      </x:c>
      <x:c r="D973" s="10" t="str">
        <x:v>https://www.etsy.com/shop/ProTemplateHQ</x:v>
      </x:c>
      <x:c r="E973" s="11" t="n">
        <x:v>8.43</x:v>
      </x:c>
      <x:c r="F973" s="10" t="n">
        <x:v>0</x:v>
      </x:c>
      <x:c r="G973" s="12" t="n">
        <x:v>0</x:v>
      </x:c>
      <x:c r="H973" s="13" t="n">
        <x:v>0</x:v>
      </x:c>
      <x:c r="I973" s="10" t="n">
        <x:v>0</x:v>
      </x:c>
      <x:c r="J973" s="10" t="n">
        <x:v>0</x:v>
      </x:c>
      <x:c r="K973" s="10" t="str">
        <x:v>4 Mo.</x:v>
      </x:c>
      <x:c r="L973" s="10" t="n">
        <x:v>0</x:v>
      </x:c>
      <x:c r="M973" s="10" t="n">
        <x:v>0</x:v>
      </x:c>
      <x:c r="N973" s="10" t="n">
        <x:v>2</x:v>
      </x:c>
      <x:c r="O973" s="10" t="str"/>
      <x:c r="P973" s="10" t="n">
        <x:v>4</x:v>
      </x:c>
      <x:c r="Q973" s="10" t="n">
        <x:v>0</x:v>
      </x:c>
      <x:c r="R973" s="13" t="n">
        <x:v>0</x:v>
      </x:c>
      <x:c r="S973" s="10" t="n">
        <x:v>57</x:v>
      </x:c>
      <x:c r="T973" s="10" t="str">
        <x:v>mortgage payoff,mortgage tracker,loan payoff,car loan payoff,auto loan tracker,amortization,extra payment,loan calculator,home loan tracker,payoff planner,google sheets,excel template,debt payoff</x:v>
      </x:c>
      <x:c r="U973" s="10" t="str">
        <x:v>mortgage payoff</x:v>
      </x:c>
      <x:c r="V973" s="10" t="str">
        <x:v>mortgage tracker</x:v>
      </x:c>
      <x:c r="W973" s="10" t="str">
        <x:v>loan payoff</x:v>
      </x:c>
      <x:c r="X973" s="10" t="str">
        <x:v>car loan payoff</x:v>
      </x:c>
      <x:c r="Y973" s="10" t="str">
        <x:v>auto loan tracker</x:v>
      </x:c>
      <x:c r="Z973" s="10" t="str">
        <x:v>amortization</x:v>
      </x:c>
      <x:c r="AA973" s="10" t="str">
        <x:v>extra payment</x:v>
      </x:c>
      <x:c r="AB973" s="10" t="str">
        <x:v>loan calculator</x:v>
      </x:c>
      <x:c r="AC973" s="10" t="str">
        <x:v>home loan tracker</x:v>
      </x:c>
      <x:c r="AD973" s="10" t="str">
        <x:v>payoff planner</x:v>
      </x:c>
      <x:c r="AE973" s="10" t="str">
        <x:v>google sheets</x:v>
      </x:c>
      <x:c r="AF973" s="10" t="str">
        <x:v>excel template</x:v>
      </x:c>
      <x:c r="AG973" s="10" t="str">
        <x:v>debt payoff</x:v>
      </x:c>
      <x:c r="AH973" s="10" t="str">
        <x:v>Mortgage payoff / calculator</x:v>
      </x:c>
      <x:c r="AI973" s="13" t="n">
        <x:v>4</x:v>
      </x:c>
      <x:c r="AJ973" s="10" t="str">
        <x:f>IF(F973&gt;0,"Active","No est. sales")</x:f>
        <x:v>No est. sales</x:v>
      </x:c>
    </x:row>
    <x:row r="974">
      <x:c r="A974" s="10" t="str">
        <x:v>First-Time Homebuyer Checklist &amp; Planner | Real Estate Broker PDF Kit (Digital Download)</x:v>
      </x:c>
      <x:c r="B974" s="10" t="str">
        <x:v>https://www.etsy.com/listing/4483125371/first-time-home-buyer-checklist-planner</x:v>
      </x:c>
      <x:c r="C974" s="10" t="str">
        <x:v>TeresaOvercash</x:v>
      </x:c>
      <x:c r="D974" s="10" t="str">
        <x:v>https://www.etsy.com/shop/TeresaOvercash</x:v>
      </x:c>
      <x:c r="E974" s="11" t="n">
        <x:v>21.99</x:v>
      </x:c>
      <x:c r="F974" s="10" t="n">
        <x:v>0</x:v>
      </x:c>
      <x:c r="G974" s="12" t="n">
        <x:v>0</x:v>
      </x:c>
      <x:c r="H974" s="13" t="n">
        <x:v>0</x:v>
      </x:c>
      <x:c r="I974" s="10" t="n">
        <x:v>0</x:v>
      </x:c>
      <x:c r="J974" s="10" t="n">
        <x:v>0</x:v>
      </x:c>
      <x:c r="K974" s="10" t="str">
        <x:v>3 Mo.</x:v>
      </x:c>
      <x:c r="L974" s="10" t="n">
        <x:v>2</x:v>
      </x:c>
      <x:c r="M974" s="10" t="n">
        <x:v>0</x:v>
      </x:c>
      <x:c r="N974" s="10" t="n">
        <x:v>15</x:v>
      </x:c>
      <x:c r="O974" s="10" t="str"/>
      <x:c r="P974" s="10" t="n">
        <x:v>3</x:v>
      </x:c>
      <x:c r="Q974" s="10" t="n">
        <x:v>0</x:v>
      </x:c>
      <x:c r="R974" s="13" t="n">
        <x:v>0</x:v>
      </x:c>
      <x:c r="S974" s="10" t="n">
        <x:v>11</x:v>
      </x:c>
      <x:c r="T974" s="10" t="str">
        <x:v>first time homebuyer,homebuyer checklist,home buyer planner,home buying guide,real estate planner,house hunting tool,closing checklist,home inspection,mortgage checklist,move in checklist,homeowner planner,digital planner pdf,real estate broker</x:v>
      </x:c>
      <x:c r="U974" s="10" t="str">
        <x:v>first time homebuyer</x:v>
      </x:c>
      <x:c r="V974" s="10" t="str">
        <x:v>homebuyer checklist</x:v>
      </x:c>
      <x:c r="W974" s="10" t="str">
        <x:v>home buyer planner</x:v>
      </x:c>
      <x:c r="X974" s="10" t="str">
        <x:v>home buying guide</x:v>
      </x:c>
      <x:c r="Y974" s="10" t="str">
        <x:v>real estate planner</x:v>
      </x:c>
      <x:c r="Z974" s="10" t="str">
        <x:v>house hunting tool</x:v>
      </x:c>
      <x:c r="AA974" s="10" t="str">
        <x:v>closing checklist</x:v>
      </x:c>
      <x:c r="AB974" s="10" t="str">
        <x:v>home inspection</x:v>
      </x:c>
      <x:c r="AC974" s="10" t="str">
        <x:v>mortgage checklist</x:v>
      </x:c>
      <x:c r="AD974" s="10" t="str">
        <x:v>move in checklist</x:v>
      </x:c>
      <x:c r="AE974" s="10" t="str">
        <x:v>homeowner planner</x:v>
      </x:c>
      <x:c r="AF974" s="10" t="str">
        <x:v>digital planner pdf</x:v>
      </x:c>
      <x:c r="AG974" s="10" t="str">
        <x:v>real estate broker</x:v>
      </x:c>
      <x:c r="AH974" s="10" t="str">
        <x:v>Home buying planner</x:v>
      </x:c>
      <x:c r="AI974" s="13" t="n">
        <x:v>3</x:v>
      </x:c>
      <x:c r="AJ974" s="10" t="str">
        <x:f>IF(F974&gt;0,"Active","No est. sales")</x:f>
        <x:v>No est. sales</x:v>
      </x:c>
    </x:row>
    <x:row r="975">
      <x:c r="A975" s="10" t="str">
        <x:v>Debt Payoff Tracker Spreadsheet Snowball Avalanche Calculator Credit Card Loan Bill Template House Mortgage Free Budget Planner Google Sheet</x:v>
      </x:c>
      <x:c r="B975" s="10" t="str">
        <x:v>https://www.etsy.com/listing/4460799500/debt-payoff-tracker-spreadsheet-snowball</x:v>
      </x:c>
      <x:c r="C975" s="10" t="str">
        <x:v>TangiSigns</x:v>
      </x:c>
      <x:c r="D975" s="10" t="str">
        <x:v>https://www.etsy.com/shop/TangiSigns</x:v>
      </x:c>
      <x:c r="E975" s="11" t="n">
        <x:v>2</x:v>
      </x:c>
      <x:c r="F975" s="10" t="n">
        <x:v>0</x:v>
      </x:c>
      <x:c r="G975" s="12" t="n">
        <x:v>0</x:v>
      </x:c>
      <x:c r="H975" s="13" t="n">
        <x:v>0</x:v>
      </x:c>
      <x:c r="I975" s="10" t="n">
        <x:v>0</x:v>
      </x:c>
      <x:c r="J975" s="10" t="n">
        <x:v>0</x:v>
      </x:c>
      <x:c r="K975" s="10" t="str">
        <x:v>5 Mo.</x:v>
      </x:c>
      <x:c r="L975" s="10" t="n">
        <x:v>0</x:v>
      </x:c>
      <x:c r="M975" s="10" t="n">
        <x:v>0</x:v>
      </x:c>
      <x:c r="N975" s="10" t="n">
        <x:v>6</x:v>
      </x:c>
      <x:c r="O975" s="10" t="str"/>
      <x:c r="P975" s="10" t="n">
        <x:v>12</x:v>
      </x:c>
      <x:c r="Q975" s="10" t="n">
        <x:v>0</x:v>
      </x:c>
      <x:c r="R975" s="13" t="n">
        <x:v>0</x:v>
      </x:c>
      <x:c r="S975" s="10" t="n">
        <x:v>4259</x:v>
      </x:c>
      <x:c r="T975" s="10" t="str">
        <x:v>credit utilization,debt google sheets,debt avalanche,credit card loan,snowball spreadsheet,mortgage payoff,google sheets budget,credit card payoff,debt snowball,debt payment tracker,debt payoff tracker,debt template,financial planner</x:v>
      </x:c>
      <x:c r="U975" s="10" t="str">
        <x:v>credit utilization</x:v>
      </x:c>
      <x:c r="V975" s="10" t="str">
        <x:v>debt google sheets</x:v>
      </x:c>
      <x:c r="W975" s="10" t="str">
        <x:v>debt avalanche</x:v>
      </x:c>
      <x:c r="X975" s="10" t="str">
        <x:v>credit card loan</x:v>
      </x:c>
      <x:c r="Y975" s="10" t="str">
        <x:v>snowball spreadsheet</x:v>
      </x:c>
      <x:c r="Z975" s="10" t="str">
        <x:v>mortgage payoff</x:v>
      </x:c>
      <x:c r="AA975" s="10" t="str">
        <x:v>google sheets budget</x:v>
      </x:c>
      <x:c r="AB975" s="10" t="str">
        <x:v>credit card payoff</x:v>
      </x:c>
      <x:c r="AC975" s="10" t="str">
        <x:v>debt snowball</x:v>
      </x:c>
      <x:c r="AD975" s="10" t="str">
        <x:v>debt payment tracker</x:v>
      </x:c>
      <x:c r="AE975" s="10" t="str">
        <x:v>debt payoff tracker</x:v>
      </x:c>
      <x:c r="AF975" s="10" t="str">
        <x:v>debt template</x:v>
      </x:c>
      <x:c r="AG975" s="10" t="str">
        <x:v>financial planner</x:v>
      </x:c>
      <x:c r="AH975" s="10" t="str">
        <x:v>General debt payoff</x:v>
      </x:c>
      <x:c r="AI975" s="13" t="n">
        <x:v>5</x:v>
      </x:c>
      <x:c r="AJ975" s="10" t="str">
        <x:f>IF(F975&gt;0,"Active","No est. sales")</x:f>
        <x:v>No est. sales</x:v>
      </x:c>
    </x:row>
    <x:row r="976">
      <x:c r="A976" s="10" t="str">
        <x:v>Mortgage Affordability Calculator Excel Template | Home Loan Budget Planner | Mortgage Payment Tracker | Financial Dashboard</x:v>
      </x:c>
      <x:c r="B976" s="10" t="str">
        <x:v>https://www.etsy.com/listing/4543343263/mortgage-affordability-calculator-excel</x:v>
      </x:c>
      <x:c r="C976" s="10" t="str">
        <x:v>StoreArtParDarkouch</x:v>
      </x:c>
      <x:c r="D976" s="10" t="str">
        <x:v>https://www.etsy.com/shop/StoreArtParDarkouch</x:v>
      </x:c>
      <x:c r="E976" s="11" t="n">
        <x:v>4.99</x:v>
      </x:c>
      <x:c r="F976" s="10" t="n">
        <x:v>0</x:v>
      </x:c>
      <x:c r="G976" s="12" t="n">
        <x:v>0</x:v>
      </x:c>
      <x:c r="H976" s="13" t="n">
        <x:v>0</x:v>
      </x:c>
      <x:c r="I976" s="10" t="n">
        <x:v>0</x:v>
      </x:c>
      <x:c r="J976" s="10" t="n">
        <x:v>0</x:v>
      </x:c>
      <x:c r="K976" s="10" t="str">
        <x:v>1 Mo.</x:v>
      </x:c>
      <x:c r="L976" s="10" t="n">
        <x:v>0</x:v>
      </x:c>
      <x:c r="M976" s="10" t="n">
        <x:v>0</x:v>
      </x:c>
      <x:c r="N976" s="10" t="n">
        <x:v>0</x:v>
      </x:c>
      <x:c r="O976" s="10" t="str"/>
      <x:c r="P976" s="10" t="n">
        <x:v>10</x:v>
      </x:c>
      <x:c r="Q976" s="10" t="n">
        <x:v>0</x:v>
      </x:c>
      <x:c r="R976" s="13" t="n">
        <x:v>0</x:v>
      </x:c>
      <x:c r="S976" s="10" t="n">
        <x:v>4</x:v>
      </x:c>
      <x:c r="T976" s="10" t="str">
        <x:v>mortgage,affordability,excel template,home buyer,mortgage planner,house budget,loan calculator,finance tracker,real estate,budget planner,home purchase,spreadsheet,digital download</x:v>
      </x:c>
      <x:c r="U976" s="10" t="str">
        <x:v>mortgage</x:v>
      </x:c>
      <x:c r="V976" s="10" t="str">
        <x:v>affordability</x:v>
      </x:c>
      <x:c r="W976" s="10" t="str">
        <x:v>excel template</x:v>
      </x:c>
      <x:c r="X976" s="10" t="str">
        <x:v>home buyer</x:v>
      </x:c>
      <x:c r="Y976" s="10" t="str">
        <x:v>mortgage planner</x:v>
      </x:c>
      <x:c r="Z976" s="10" t="str">
        <x:v>house budget</x:v>
      </x:c>
      <x:c r="AA976" s="10" t="str">
        <x:v>loan calculator</x:v>
      </x:c>
      <x:c r="AB976" s="10" t="str">
        <x:v>finance tracker</x:v>
      </x:c>
      <x:c r="AC976" s="10" t="str">
        <x:v>real estate</x:v>
      </x:c>
      <x:c r="AD976" s="10" t="str">
        <x:v>budget planner</x:v>
      </x:c>
      <x:c r="AE976" s="10" t="str">
        <x:v>home purchase</x:v>
      </x:c>
      <x:c r="AF976" s="10" t="str">
        <x:v>spreadsheet</x:v>
      </x:c>
      <x:c r="AG976" s="10" t="str">
        <x:v>digital download</x:v>
      </x:c>
      <x:c r="AH976" s="10" t="str">
        <x:v>Other mortgage-related</x:v>
      </x:c>
      <x:c r="AI976" s="13" t="n">
        <x:v>1</x:v>
      </x:c>
      <x:c r="AJ976" s="10" t="str">
        <x:f>IF(F976&gt;0,"Active","No est. sales")</x:f>
        <x:v>No est. sales</x:v>
      </x:c>
    </x:row>
    <x:row r="977">
      <x:c r="A977" s="10" t="str">
        <x:v>Mini Rent Mortgage Payment Bill Icon Calendar Sticker Sheets - Planner Stickers - Bullet Journalling - Memory Keeping Journal - BUJO Sticker</x:v>
      </x:c>
      <x:c r="B977" s="10" t="str">
        <x:v>https://www.etsy.com/listing/4472480924/mini-rent-mortgage-payment-bill-icon</x:v>
      </x:c>
      <x:c r="C977" s="10" t="str">
        <x:v>CozyBookSleeve</x:v>
      </x:c>
      <x:c r="D977" s="10" t="str">
        <x:v>https://www.etsy.com/shop/CozyBookSleeve</x:v>
      </x:c>
      <x:c r="E977" s="11" t="n">
        <x:v>3.2</x:v>
      </x:c>
      <x:c r="F977" s="10" t="n">
        <x:v>0</x:v>
      </x:c>
      <x:c r="G977" s="12" t="n">
        <x:v>0</x:v>
      </x:c>
      <x:c r="H977" s="13" t="n">
        <x:v>0</x:v>
      </x:c>
      <x:c r="I977" s="10" t="n">
        <x:v>0</x:v>
      </x:c>
      <x:c r="J977" s="10" t="n">
        <x:v>0</x:v>
      </x:c>
      <x:c r="K977" s="10" t="str">
        <x:v>4 Mo.</x:v>
      </x:c>
      <x:c r="L977" s="10" t="n">
        <x:v>9</x:v>
      </x:c>
      <x:c r="M977" s="10" t="n">
        <x:v>0</x:v>
      </x:c>
      <x:c r="N977" s="10" t="n">
        <x:v>43</x:v>
      </x:c>
      <x:c r="O977" s="10" t="str">
        <x:v>Paper &amp; Party Supplies</x:v>
      </x:c>
      <x:c r="P977" s="10" t="n">
        <x:v>68</x:v>
      </x:c>
      <x:c r="Q977" s="10" t="n">
        <x:v>0</x:v>
      </x:c>
      <x:c r="R977" s="13" t="n">
        <x:v>0</x:v>
      </x:c>
      <x:c r="S977" s="10" t="n">
        <x:v>8889</x:v>
      </x:c>
      <x:c r="T977" s="10" t="str">
        <x:v>bujo sticker,kawaii journal,planner stickers,journal stickers,bullet journal,cute stickers,kiss cut stickers,junk journal,weekly planner,monthly planner,daily planner,scrapbooking,mini stickers</x:v>
      </x:c>
      <x:c r="U977" s="10" t="str">
        <x:v>bujo sticker</x:v>
      </x:c>
      <x:c r="V977" s="10" t="str">
        <x:v>kawaii journal</x:v>
      </x:c>
      <x:c r="W977" s="10" t="str">
        <x:v>planner stickers</x:v>
      </x:c>
      <x:c r="X977" s="10" t="str">
        <x:v>journal stickers</x:v>
      </x:c>
      <x:c r="Y977" s="10" t="str">
        <x:v>bullet journal</x:v>
      </x:c>
      <x:c r="Z977" s="10" t="str">
        <x:v>cute stickers</x:v>
      </x:c>
      <x:c r="AA977" s="10" t="str">
        <x:v>kiss cut stickers</x:v>
      </x:c>
      <x:c r="AB977" s="10" t="str">
        <x:v>junk journal</x:v>
      </x:c>
      <x:c r="AC977" s="10" t="str">
        <x:v>weekly planner</x:v>
      </x:c>
      <x:c r="AD977" s="10" t="str">
        <x:v>monthly planner</x:v>
      </x:c>
      <x:c r="AE977" s="10" t="str">
        <x:v>daily planner</x:v>
      </x:c>
      <x:c r="AF977" s="10" t="str">
        <x:v>scrapbooking</x:v>
      </x:c>
      <x:c r="AG977" s="10" t="str">
        <x:v>mini stickers</x:v>
      </x:c>
      <x:c r="AH977" s="10" t="str">
        <x:v>Other mortgage-related</x:v>
      </x:c>
      <x:c r="AI977" s="13" t="n">
        <x:v>4</x:v>
      </x:c>
      <x:c r="AJ977" s="10" t="str">
        <x:f>IF(F977&gt;0,"Active","No est. sales")</x:f>
        <x:v>No est. sales</x:v>
      </x:c>
    </x:row>
    <x:row r="978">
      <x:c r="A978" s="10" t="str">
        <x:v>Randomized Seating Chart | Google Sheets</x:v>
      </x:c>
      <x:c r="B978" s="10" t="str">
        <x:v>https://www.etsy.com/listing/1510428634/randomized-seating-chart-google-sheets</x:v>
      </x:c>
      <x:c r="C978" s="10" t="str">
        <x:v>TheHappyPlanningClub</x:v>
      </x:c>
      <x:c r="D978" s="10" t="str">
        <x:v>https://www.etsy.com/shop/TheHappyPlanningClub</x:v>
      </x:c>
      <x:c r="E978" s="11" t="n">
        <x:v>3</x:v>
      </x:c>
      <x:c r="F978" s="10" t="n">
        <x:v>0</x:v>
      </x:c>
      <x:c r="G978" s="12" t="n">
        <x:v>0</x:v>
      </x:c>
      <x:c r="H978" s="13" t="n">
        <x:v>0</x:v>
      </x:c>
      <x:c r="I978" s="10" t="n">
        <x:v>3</x:v>
      </x:c>
      <x:c r="J978" s="10" t="n">
        <x:v>1</x:v>
      </x:c>
      <x:c r="K978" s="10" t="str">
        <x:v>36 Mo.</x:v>
      </x:c>
      <x:c r="L978" s="10" t="n">
        <x:v>6</x:v>
      </x:c>
      <x:c r="M978" s="10" t="n">
        <x:v>0</x:v>
      </x:c>
      <x:c r="N978" s="10" t="n">
        <x:v>210</x:v>
      </x:c>
      <x:c r="O978" s="10" t="str">
        <x:v>Paper &amp; Party Supplies</x:v>
      </x:c>
      <x:c r="P978" s="10" t="n">
        <x:v>38</x:v>
      </x:c>
      <x:c r="Q978" s="10" t="n">
        <x:v>0</x:v>
      </x:c>
      <x:c r="R978" s="13" t="n">
        <x:v>1.43</x:v>
      </x:c>
      <x:c r="S978" s="10" t="n">
        <x:v>346</x:v>
      </x:c>
      <x:c r="T978" s="10" t="str">
        <x:v>student loan debt,snowball method,personal finance,mortgage payoff,loan payoff tracker,financial planner,debt snowball,debt payoff planner,debt payment tracker,debt google sheets,debt calculator,debt avalanche,credit card debt</x:v>
      </x:c>
      <x:c r="U978" s="10" t="str">
        <x:v>student loan debt</x:v>
      </x:c>
      <x:c r="V978" s="10" t="str">
        <x:v>snowball method</x:v>
      </x:c>
      <x:c r="W978" s="10" t="str">
        <x:v>personal finance</x:v>
      </x:c>
      <x:c r="X978" s="10" t="str">
        <x:v>mortgage payoff</x:v>
      </x:c>
      <x:c r="Y978" s="10" t="str">
        <x:v>loan payoff tracker</x:v>
      </x:c>
      <x:c r="Z978" s="10" t="str">
        <x:v>financial planner</x:v>
      </x:c>
      <x:c r="AA978" s="10" t="str">
        <x:v>debt snowball</x:v>
      </x:c>
      <x:c r="AB978" s="10" t="str">
        <x:v>debt payoff planner</x:v>
      </x:c>
      <x:c r="AC978" s="10" t="str">
        <x:v>debt payment tracker</x:v>
      </x:c>
      <x:c r="AD978" s="10" t="str">
        <x:v>debt google sheets</x:v>
      </x:c>
      <x:c r="AE978" s="10" t="str">
        <x:v>debt calculator</x:v>
      </x:c>
      <x:c r="AF978" s="10" t="str">
        <x:v>debt avalanche</x:v>
      </x:c>
      <x:c r="AG978" s="10" t="str">
        <x:v>credit card debt</x:v>
      </x:c>
      <x:c r="AH978" s="10" t="str">
        <x:v>Other mortgage-related</x:v>
      </x:c>
      <x:c r="AI978" s="13" t="n">
        <x:v>36</x:v>
      </x:c>
      <x:c r="AJ978" s="10" t="str">
        <x:f>IF(F978&gt;0,"Active","No est. sales")</x:f>
        <x:v>No est. sales</x:v>
      </x:c>
    </x:row>
    <x:row r="979">
      <x:c r="A979" s="10" t="str">
        <x:v>Printable Stickers Bill Due Mortgage sticker Power bill Credit Card Payment Car Payment sticker Cable Netflix bill due Rent Payment PR-096</x:v>
      </x:c>
      <x:c r="B979" s="10" t="str">
        <x:v>https://www.etsy.com/listing/564140801/printable-stickers-bill-due-mortgage</x:v>
      </x:c>
      <x:c r="C979" s="10" t="str">
        <x:v>PaperLemonadeCo</x:v>
      </x:c>
      <x:c r="D979" s="10" t="str">
        <x:v>https://www.etsy.com/shop/PaperLemonadeCo</x:v>
      </x:c>
      <x:c r="E979" s="11" t="n">
        <x:v>4.8</x:v>
      </x:c>
      <x:c r="F979" s="10" t="n">
        <x:v>0</x:v>
      </x:c>
      <x:c r="G979" s="12" t="n">
        <x:v>0</x:v>
      </x:c>
      <x:c r="H979" s="13" t="n">
        <x:v>0</x:v>
      </x:c>
      <x:c r="I979" s="10" t="n">
        <x:v>50</x:v>
      </x:c>
      <x:c r="J979" s="10" t="n">
        <x:v>9</x:v>
      </x:c>
      <x:c r="K979" s="10" t="str">
        <x:v>105 Mo.</x:v>
      </x:c>
      <x:c r="L979" s="10" t="n">
        <x:v>184</x:v>
      </x:c>
      <x:c r="M979" s="10" t="n">
        <x:v>0</x:v>
      </x:c>
      <x:c r="N979" s="10" t="n">
        <x:v>2549</x:v>
      </x:c>
      <x:c r="O979" s="10" t="str">
        <x:v>Paper &amp; Party Supplies</x:v>
      </x:c>
      <x:c r="P979" s="10" t="n">
        <x:v>123</x:v>
      </x:c>
      <x:c r="Q979" s="10" t="n">
        <x:v>0</x:v>
      </x:c>
      <x:c r="R979" s="13" t="n">
        <x:v>1.96</x:v>
      </x:c>
      <x:c r="S979" s="10" t="n">
        <x:v>11805</x:v>
      </x:c>
      <x:c r="T979" s="10" t="str">
        <x:v>planner sticker,practical sticker,paper lemonade co,paperlemonadeco,sticker,planner stickers,printable sticker,bill due sticker,printable bill due,mortgage payment,car payment sticker,cable tv bill due,credit card payment</x:v>
      </x:c>
      <x:c r="U979" s="10" t="str">
        <x:v>planner sticker</x:v>
      </x:c>
      <x:c r="V979" s="10" t="str">
        <x:v>practical sticker</x:v>
      </x:c>
      <x:c r="W979" s="10" t="str">
        <x:v>paper lemonade co</x:v>
      </x:c>
      <x:c r="X979" s="10" t="str">
        <x:v>paperlemonadeco</x:v>
      </x:c>
      <x:c r="Y979" s="10" t="str">
        <x:v>sticker</x:v>
      </x:c>
      <x:c r="Z979" s="10" t="str">
        <x:v>planner stickers</x:v>
      </x:c>
      <x:c r="AA979" s="10" t="str">
        <x:v>printable sticker</x:v>
      </x:c>
      <x:c r="AB979" s="10" t="str">
        <x:v>bill due sticker</x:v>
      </x:c>
      <x:c r="AC979" s="10" t="str">
        <x:v>printable bill due</x:v>
      </x:c>
      <x:c r="AD979" s="10" t="str">
        <x:v>mortgage payment</x:v>
      </x:c>
      <x:c r="AE979" s="10" t="str">
        <x:v>car payment sticker</x:v>
      </x:c>
      <x:c r="AF979" s="10" t="str">
        <x:v>cable tv bill due</x:v>
      </x:c>
      <x:c r="AG979" s="10" t="str">
        <x:v>credit card payment</x:v>
      </x:c>
      <x:c r="AH979" s="10" t="str">
        <x:v>Other mortgage-related</x:v>
      </x:c>
      <x:c r="AI979" s="13" t="n">
        <x:v>105</x:v>
      </x:c>
      <x:c r="AJ979" s="10" t="str">
        <x:f>IF(F979&gt;0,"Active","No est. sales")</x:f>
        <x:v>No est. sales</x:v>
      </x:c>
    </x:row>
    <x:row r="980">
      <x:c r="A980" s="10" t="str">
        <x:v>Mortgage Payment Printable Stickers payment reminder for your planner track your house loan budget</x:v>
      </x:c>
      <x:c r="B980" s="10" t="str">
        <x:v>https://www.etsy.com/listing/1183765987/mortgage-payment-printable-stickers</x:v>
      </x:c>
      <x:c r="C980" s="10" t="str">
        <x:v>PaperLemonadeCo</x:v>
      </x:c>
      <x:c r="D980" s="10" t="str">
        <x:v>https://www.etsy.com/shop/PaperLemonadeCo</x:v>
      </x:c>
      <x:c r="E980" s="11" t="n">
        <x:v>3.4</x:v>
      </x:c>
      <x:c r="F980" s="10" t="n">
        <x:v>0</x:v>
      </x:c>
      <x:c r="G980" s="12" t="n">
        <x:v>0</x:v>
      </x:c>
      <x:c r="H980" s="13" t="n">
        <x:v>0</x:v>
      </x:c>
      <x:c r="I980" s="10" t="n">
        <x:v>0</x:v>
      </x:c>
      <x:c r="J980" s="10" t="n">
        <x:v>0</x:v>
      </x:c>
      <x:c r="K980" s="10" t="str">
        <x:v>53 Mo.</x:v>
      </x:c>
      <x:c r="L980" s="10" t="n">
        <x:v>30</x:v>
      </x:c>
      <x:c r="M980" s="10" t="n">
        <x:v>0</x:v>
      </x:c>
      <x:c r="N980" s="10" t="n">
        <x:v>176</x:v>
      </x:c>
      <x:c r="O980" s="10" t="str">
        <x:v>Paper &amp; Party Supplies</x:v>
      </x:c>
      <x:c r="P980" s="10" t="n">
        <x:v>123</x:v>
      </x:c>
      <x:c r="Q980" s="10" t="n">
        <x:v>0</x:v>
      </x:c>
      <x:c r="R980" s="13" t="n">
        <x:v>0</x:v>
      </x:c>
      <x:c r="S980" s="10" t="n">
        <x:v>11805</x:v>
      </x:c>
      <x:c r="T980" s="10" t="str">
        <x:v>planner sticker,printable sticker,printable planner,sticker printable,payment due stickers,payment tracker,budget planning,pay your mortgage,house budget,mortgage payment,monthly mortgage,mortgage tracker,plan house loan</x:v>
      </x:c>
      <x:c r="U980" s="10" t="str">
        <x:v>planner sticker</x:v>
      </x:c>
      <x:c r="V980" s="10" t="str">
        <x:v>printable sticker</x:v>
      </x:c>
      <x:c r="W980" s="10" t="str">
        <x:v>printable planner</x:v>
      </x:c>
      <x:c r="X980" s="10" t="str">
        <x:v>sticker printable</x:v>
      </x:c>
      <x:c r="Y980" s="10" t="str">
        <x:v>payment due stickers</x:v>
      </x:c>
      <x:c r="Z980" s="10" t="str">
        <x:v>payment tracker</x:v>
      </x:c>
      <x:c r="AA980" s="10" t="str">
        <x:v>budget planning</x:v>
      </x:c>
      <x:c r="AB980" s="10" t="str">
        <x:v>pay your mortgage</x:v>
      </x:c>
      <x:c r="AC980" s="10" t="str">
        <x:v>house budget</x:v>
      </x:c>
      <x:c r="AD980" s="10" t="str">
        <x:v>mortgage payment</x:v>
      </x:c>
      <x:c r="AE980" s="10" t="str">
        <x:v>monthly mortgage</x:v>
      </x:c>
      <x:c r="AF980" s="10" t="str">
        <x:v>mortgage tracker</x:v>
      </x:c>
      <x:c r="AG980" s="10" t="str">
        <x:v>plan house loan</x:v>
      </x:c>
      <x:c r="AH980" s="10" t="str">
        <x:v>Other mortgage-related</x:v>
      </x:c>
      <x:c r="AI980" s="13" t="n">
        <x:v>53</x:v>
      </x:c>
      <x:c r="AJ980" s="10" t="str">
        <x:f>IF(F980&gt;0,"Active","No est. sales")</x:f>
        <x:v>No est. sales</x:v>
      </x:c>
    </x:row>
    <x:row r="981">
      <x:c r="A981" s="10" t="str">
        <x:v>Mortgage Due Planner Stickers | Budget, Bill Pay, Monthly Tracker</x:v>
      </x:c>
      <x:c r="B981" s="10" t="str">
        <x:v>https://www.etsy.com/listing/833309685/mortgage-due-planner-stickers-budget</x:v>
      </x:c>
      <x:c r="C981" s="10" t="str">
        <x:v>SVGFILE</x:v>
      </x:c>
      <x:c r="D981" s="10" t="str">
        <x:v>https://www.etsy.com/shop/SVGFILE</x:v>
      </x:c>
      <x:c r="E981" s="11" t="n">
        <x:v>3.5</x:v>
      </x:c>
      <x:c r="F981" s="10" t="n">
        <x:v>0</x:v>
      </x:c>
      <x:c r="G981" s="12" t="n">
        <x:v>0</x:v>
      </x:c>
      <x:c r="H981" s="13" t="n">
        <x:v>0</x:v>
      </x:c>
      <x:c r="I981" s="10" t="n">
        <x:v>0</x:v>
      </x:c>
      <x:c r="J981" s="10" t="n">
        <x:v>0</x:v>
      </x:c>
      <x:c r="K981" s="10" t="str">
        <x:v>72 Mo.</x:v>
      </x:c>
      <x:c r="L981" s="10" t="n">
        <x:v>4</x:v>
      </x:c>
      <x:c r="M981" s="10" t="n">
        <x:v>0</x:v>
      </x:c>
      <x:c r="N981" s="10" t="n">
        <x:v>42</x:v>
      </x:c>
      <x:c r="O981" s="10" t="str">
        <x:v>Paper &amp; Party Supplies</x:v>
      </x:c>
      <x:c r="P981" s="10" t="n">
        <x:v>133</x:v>
      </x:c>
      <x:c r="Q981" s="10" t="n">
        <x:v>0</x:v>
      </x:c>
      <x:c r="R981" s="13" t="n">
        <x:v>0</x:v>
      </x:c>
      <x:c r="S981" s="10" t="n">
        <x:v>42749</x:v>
      </x:c>
      <x:c r="T981" s="10" t="str">
        <x:v>mortgage due planner,stickers,bill due stickers,bill due planner,monthly sticker,pay bills stickers,script sticker,kiss cut sticker,sticker sheets,finance stickers,budget stickers,budgeting stickers,money stickers</x:v>
      </x:c>
      <x:c r="U981" s="10" t="str">
        <x:v>mortgage due planner</x:v>
      </x:c>
      <x:c r="V981" s="10" t="str">
        <x:v>stickers</x:v>
      </x:c>
      <x:c r="W981" s="10" t="str">
        <x:v>bill due stickers</x:v>
      </x:c>
      <x:c r="X981" s="10" t="str">
        <x:v>bill due planner</x:v>
      </x:c>
      <x:c r="Y981" s="10" t="str">
        <x:v>monthly sticker</x:v>
      </x:c>
      <x:c r="Z981" s="10" t="str">
        <x:v>pay bills stickers</x:v>
      </x:c>
      <x:c r="AA981" s="10" t="str">
        <x:v>script sticker</x:v>
      </x:c>
      <x:c r="AB981" s="10" t="str">
        <x:v>kiss cut sticker</x:v>
      </x:c>
      <x:c r="AC981" s="10" t="str">
        <x:v>sticker sheets</x:v>
      </x:c>
      <x:c r="AD981" s="10" t="str">
        <x:v>finance stickers</x:v>
      </x:c>
      <x:c r="AE981" s="10" t="str">
        <x:v>budget stickers</x:v>
      </x:c>
      <x:c r="AF981" s="10" t="str">
        <x:v>budgeting stickers</x:v>
      </x:c>
      <x:c r="AG981" s="10" t="str">
        <x:v>money stickers</x:v>
      </x:c>
      <x:c r="AH981" s="10" t="str">
        <x:v>Other mortgage-related</x:v>
      </x:c>
      <x:c r="AI981" s="13" t="n">
        <x:v>72</x:v>
      </x:c>
      <x:c r="AJ981" s="10" t="str">
        <x:f>IF(F981&gt;0,"Active","No est. sales")</x:f>
        <x:v>No est. sales</x:v>
      </x:c>
    </x:row>
    <x:row r="982">
      <x:c r="A982" s="10" t="str">
        <x:v>25% OFF | House icon stickers | I025</x:v>
      </x:c>
      <x:c r="B982" s="10" t="str">
        <x:v>https://www.etsy.com/listing/4431654907/25-off-house-icon-stickers-i025</x:v>
      </x:c>
      <x:c r="C982" s="10" t="str">
        <x:v>busybstickerco</x:v>
      </x:c>
      <x:c r="D982" s="10" t="str">
        <x:v>https://www.etsy.com/shop/busybstickerco</x:v>
      </x:c>
      <x:c r="E982" s="11" t="n">
        <x:v>2.63</x:v>
      </x:c>
      <x:c r="F982" s="10" t="n">
        <x:v>0</x:v>
      </x:c>
      <x:c r="G982" s="12" t="n">
        <x:v>0</x:v>
      </x:c>
      <x:c r="H982" s="13" t="n">
        <x:v>0</x:v>
      </x:c>
      <x:c r="I982" s="10" t="n">
        <x:v>0</x:v>
      </x:c>
      <x:c r="J982" s="10" t="n">
        <x:v>0</x:v>
      </x:c>
      <x:c r="K982" s="10" t="str">
        <x:v>7 Mo.</x:v>
      </x:c>
      <x:c r="L982" s="10" t="n">
        <x:v>1</x:v>
      </x:c>
      <x:c r="M982" s="10" t="n">
        <x:v>0</x:v>
      </x:c>
      <x:c r="N982" s="10" t="n">
        <x:v>6</x:v>
      </x:c>
      <x:c r="O982" s="10" t="str">
        <x:v>Paper &amp; Party Supplies</x:v>
      </x:c>
      <x:c r="P982" s="10" t="n">
        <x:v>77</x:v>
      </x:c>
      <x:c r="Q982" s="10" t="n">
        <x:v>0</x:v>
      </x:c>
      <x:c r="R982" s="13" t="n">
        <x:v>0</x:v>
      </x:c>
      <x:c r="S982" s="10" t="n">
        <x:v>12555</x:v>
      </x:c>
      <x:c r="T982" s="10" t="str">
        <x:v>planner stickers,calendar stickers,mini house stickers,mildliner,mortgage,rent,due,home,housework,chores,payment,house,cabin</x:v>
      </x:c>
      <x:c r="U982" s="10" t="str">
        <x:v>planner stickers</x:v>
      </x:c>
      <x:c r="V982" s="10" t="str">
        <x:v>calendar stickers</x:v>
      </x:c>
      <x:c r="W982" s="10" t="str">
        <x:v>mini house stickers</x:v>
      </x:c>
      <x:c r="X982" s="10" t="str">
        <x:v>mildliner</x:v>
      </x:c>
      <x:c r="Y982" s="10" t="str">
        <x:v>mortgage</x:v>
      </x:c>
      <x:c r="Z982" s="10" t="str">
        <x:v>rent</x:v>
      </x:c>
      <x:c r="AA982" s="10" t="str">
        <x:v>due</x:v>
      </x:c>
      <x:c r="AB982" s="10" t="str">
        <x:v>home</x:v>
      </x:c>
      <x:c r="AC982" s="10" t="str">
        <x:v>housework</x:v>
      </x:c>
      <x:c r="AD982" s="10" t="str">
        <x:v>chores</x:v>
      </x:c>
      <x:c r="AE982" s="10" t="str">
        <x:v>payment</x:v>
      </x:c>
      <x:c r="AF982" s="10" t="str">
        <x:v>house</x:v>
      </x:c>
      <x:c r="AG982" s="10" t="str">
        <x:v>cabin</x:v>
      </x:c>
      <x:c r="AH982" s="10" t="str">
        <x:v>Other mortgage-related</x:v>
      </x:c>
      <x:c r="AI982" s="13" t="n">
        <x:v>7</x:v>
      </x:c>
      <x:c r="AJ982" s="10" t="str">
        <x:f>IF(F982&gt;0,"Active","No est. sales")</x:f>
        <x:v>No est. sales</x:v>
      </x:c>
    </x:row>
    <x:row r="983">
      <x:c r="A983" s="10" t="str">
        <x:v>First-Time Home Buyer Toolkit, Financial System (Excel, Google Sheets)</x:v>
      </x:c>
      <x:c r="B983" s="10" t="str">
        <x:v>https://www.etsy.com/listing/4464870413/first-time-home-buyer-toolkit-financial</x:v>
      </x:c>
      <x:c r="C983" s="10" t="str">
        <x:v>homebuildplaybook</x:v>
      </x:c>
      <x:c r="D983" s="10" t="str">
        <x:v>https://www.etsy.com/shop/homebuildplaybook</x:v>
      </x:c>
      <x:c r="E983" s="11" t="n">
        <x:v>17.03</x:v>
      </x:c>
      <x:c r="F983" s="10" t="n">
        <x:v>0</x:v>
      </x:c>
      <x:c r="G983" s="12" t="n">
        <x:v>0</x:v>
      </x:c>
      <x:c r="H983" s="13" t="n">
        <x:v>0</x:v>
      </x:c>
      <x:c r="I983" s="10" t="n">
        <x:v>0</x:v>
      </x:c>
      <x:c r="J983" s="10" t="n">
        <x:v>0</x:v>
      </x:c>
      <x:c r="K983" s="10" t="str">
        <x:v>4 Mo.</x:v>
      </x:c>
      <x:c r="L983" s="10" t="n">
        <x:v>1</x:v>
      </x:c>
      <x:c r="M983" s="10" t="n">
        <x:v>0</x:v>
      </x:c>
      <x:c r="N983" s="10" t="n">
        <x:v>10</x:v>
      </x:c>
      <x:c r="O983" s="10" t="str">
        <x:v>Toys &amp; Games</x:v>
      </x:c>
      <x:c r="P983" s="10" t="n">
        <x:v>6</x:v>
      </x:c>
      <x:c r="Q983" s="10" t="n">
        <x:v>0</x:v>
      </x:c>
      <x:c r="R983" s="13" t="n">
        <x:v>0</x:v>
      </x:c>
      <x:c r="S983" s="10" t="n">
        <x:v>25</x:v>
      </x:c>
      <x:c r="T983" s="10" t="str">
        <x:v>first time home buy,mortgage comparison,home affordability,mortgage planner,house cost tracker,rent vs buy calc,financial guide,mortgage planning,home purchase plan,home cost planner,closing cost plan,lender comparison,first home planner</x:v>
      </x:c>
      <x:c r="U983" s="10" t="str">
        <x:v>first time home buy</x:v>
      </x:c>
      <x:c r="V983" s="10" t="str">
        <x:v>mortgage comparison</x:v>
      </x:c>
      <x:c r="W983" s="10" t="str">
        <x:v>home affordability</x:v>
      </x:c>
      <x:c r="X983" s="10" t="str">
        <x:v>mortgage planner</x:v>
      </x:c>
      <x:c r="Y983" s="10" t="str">
        <x:v>house cost tracker</x:v>
      </x:c>
      <x:c r="Z983" s="10" t="str">
        <x:v>rent vs buy calc</x:v>
      </x:c>
      <x:c r="AA983" s="10" t="str">
        <x:v>financial guide</x:v>
      </x:c>
      <x:c r="AB983" s="10" t="str">
        <x:v>mortgage planning</x:v>
      </x:c>
      <x:c r="AC983" s="10" t="str">
        <x:v>home purchase plan</x:v>
      </x:c>
      <x:c r="AD983" s="10" t="str">
        <x:v>home cost planner</x:v>
      </x:c>
      <x:c r="AE983" s="10" t="str">
        <x:v>closing cost plan</x:v>
      </x:c>
      <x:c r="AF983" s="10" t="str">
        <x:v>lender comparison</x:v>
      </x:c>
      <x:c r="AG983" s="10" t="str">
        <x:v>first home planner</x:v>
      </x:c>
      <x:c r="AH983" s="10" t="str">
        <x:v>Home buying planner</x:v>
      </x:c>
      <x:c r="AI983" s="13" t="n">
        <x:v>4</x:v>
      </x:c>
      <x:c r="AJ983" s="10" t="str">
        <x:f>IF(F983&gt;0,"Active","No est. sales")</x:f>
        <x:v>No est. sales</x:v>
      </x:c>
    </x:row>
    <x:row r="984">
      <x:c r="A984" s="10" t="str">
        <x:v>Debt Payoff Tracker Printable: Fillable PDF Payment Log (Digital Download)</x:v>
      </x:c>
      <x:c r="B984" s="10" t="str">
        <x:v>https://www.etsy.com/listing/1733823367/debt-payoff-tracker-printable-fillable</x:v>
      </x:c>
      <x:c r="C984" s="10" t="str">
        <x:v>SimplyPlanHub</x:v>
      </x:c>
      <x:c r="D984" s="10" t="str">
        <x:v>https://www.etsy.com/shop/SimplyPlanHub</x:v>
      </x:c>
      <x:c r="E984" s="11" t="n">
        <x:v>5.18</x:v>
      </x:c>
      <x:c r="F984" s="10" t="n">
        <x:v>0</x:v>
      </x:c>
      <x:c r="G984" s="12" t="n">
        <x:v>0</x:v>
      </x:c>
      <x:c r="H984" s="13" t="n">
        <x:v>0</x:v>
      </x:c>
      <x:c r="I984" s="10" t="n">
        <x:v>0</x:v>
      </x:c>
      <x:c r="J984" s="10" t="n">
        <x:v>0</x:v>
      </x:c>
      <x:c r="K984" s="10" t="str">
        <x:v>26 Mo.</x:v>
      </x:c>
      <x:c r="L984" s="10" t="n">
        <x:v>4</x:v>
      </x:c>
      <x:c r="M984" s="10" t="n">
        <x:v>0</x:v>
      </x:c>
      <x:c r="N984" s="10" t="n">
        <x:v>46</x:v>
      </x:c>
      <x:c r="O984" s="10" t="str"/>
      <x:c r="P984" s="10" t="n">
        <x:v>30</x:v>
      </x:c>
      <x:c r="Q984" s="10" t="n">
        <x:v>0</x:v>
      </x:c>
      <x:c r="R984" s="13" t="n">
        <x:v>0</x:v>
      </x:c>
      <x:c r="S984" s="10" t="n">
        <x:v>1244</x:v>
      </x:c>
      <x:c r="T984" s="10" t="str">
        <x:v>debt payment tracker,debt payoff tracker,debt repayment log,credit card mortgage,student loan payoff,personal finance,fillable debt payoff,printable debt free,a4 a5 half letter hp,avalanche snowball,pay off dave ramsey,classic happy car,digital debt planner</x:v>
      </x:c>
      <x:c r="U984" s="10" t="str">
        <x:v>debt payment tracker</x:v>
      </x:c>
      <x:c r="V984" s="10" t="str">
        <x:v>debt payoff tracker</x:v>
      </x:c>
      <x:c r="W984" s="10" t="str">
        <x:v>debt repayment log</x:v>
      </x:c>
      <x:c r="X984" s="10" t="str">
        <x:v>credit card mortgage</x:v>
      </x:c>
      <x:c r="Y984" s="10" t="str">
        <x:v>student loan payoff</x:v>
      </x:c>
      <x:c r="Z984" s="10" t="str">
        <x:v>personal finance</x:v>
      </x:c>
      <x:c r="AA984" s="10" t="str">
        <x:v>fillable debt payoff</x:v>
      </x:c>
      <x:c r="AB984" s="10" t="str">
        <x:v>printable debt free</x:v>
      </x:c>
      <x:c r="AC984" s="10" t="str">
        <x:v>a4 a5 half letter hp</x:v>
      </x:c>
      <x:c r="AD984" s="10" t="str">
        <x:v>avalanche snowball</x:v>
      </x:c>
      <x:c r="AE984" s="10" t="str">
        <x:v>pay off dave ramsey</x:v>
      </x:c>
      <x:c r="AF984" s="10" t="str">
        <x:v>classic happy car</x:v>
      </x:c>
      <x:c r="AG984" s="10" t="str">
        <x:v>digital debt planner</x:v>
      </x:c>
      <x:c r="AH984" s="10" t="str">
        <x:v>General debt payoff</x:v>
      </x:c>
      <x:c r="AI984" s="13" t="n">
        <x:v>26</x:v>
      </x:c>
      <x:c r="AJ984" s="10" t="str">
        <x:f>IF(F984&gt;0,"Active","No est. sales")</x:f>
        <x:v>No est. sales</x:v>
      </x:c>
    </x:row>
    <x:row r="985">
      <x:c r="A985" s="10" t="str">
        <x:v>Editable Credit Score Worksheet | Mortgage Prep (Digital PDF)</x:v>
      </x:c>
      <x:c r="B985" s="10" t="str">
        <x:v>https://www.etsy.com/listing/4323313548/editable-credit-score-worksheet-mortgage</x:v>
      </x:c>
      <x:c r="C985" s="10" t="str">
        <x:v>RealtorDesignShop</x:v>
      </x:c>
      <x:c r="D985" s="10" t="str">
        <x:v>https://www.etsy.com/shop/RealtorDesignShop</x:v>
      </x:c>
      <x:c r="E985" s="11" t="n">
        <x:v>6.39</x:v>
      </x:c>
      <x:c r="F985" s="10" t="n">
        <x:v>0</x:v>
      </x:c>
      <x:c r="G985" s="12" t="n">
        <x:v>0</x:v>
      </x:c>
      <x:c r="H985" s="13" t="n">
        <x:v>0</x:v>
      </x:c>
      <x:c r="I985" s="10" t="n">
        <x:v>0</x:v>
      </x:c>
      <x:c r="J985" s="10" t="n">
        <x:v>0</x:v>
      </x:c>
      <x:c r="K985" s="10" t="str">
        <x:v>13 Mo.</x:v>
      </x:c>
      <x:c r="L985" s="10" t="n">
        <x:v>0</x:v>
      </x:c>
      <x:c r="M985" s="10" t="n">
        <x:v>0</x:v>
      </x:c>
      <x:c r="N985" s="10" t="n">
        <x:v>6</x:v>
      </x:c>
      <x:c r="O985" s="10" t="str">
        <x:v>Paper &amp; Party Supplies</x:v>
      </x:c>
      <x:c r="P985" s="10" t="n">
        <x:v>59</x:v>
      </x:c>
      <x:c r="Q985" s="10" t="n">
        <x:v>0</x:v>
      </x:c>
      <x:c r="R985" s="13" t="n">
        <x:v>0</x:v>
      </x:c>
      <x:c r="S985" s="10" t="n">
        <x:v>86</x:v>
      </x:c>
      <x:c r="T985" s="10" t="str">
        <x:v>credit score tracker,editable pdf,mortgage planner,financial goals,credit repair,digital planner,credit worksheet,score improvement,debt tracker,money management,financial worksheet,mortgage goals,credit rebuild</x:v>
      </x:c>
      <x:c r="U985" s="10" t="str">
        <x:v>credit score tracker</x:v>
      </x:c>
      <x:c r="V985" s="10" t="str">
        <x:v>editable pdf</x:v>
      </x:c>
      <x:c r="W985" s="10" t="str">
        <x:v>mortgage planner</x:v>
      </x:c>
      <x:c r="X985" s="10" t="str">
        <x:v>financial goals</x:v>
      </x:c>
      <x:c r="Y985" s="10" t="str">
        <x:v>credit repair</x:v>
      </x:c>
      <x:c r="Z985" s="10" t="str">
        <x:v>digital planner</x:v>
      </x:c>
      <x:c r="AA985" s="10" t="str">
        <x:v>credit worksheet</x:v>
      </x:c>
      <x:c r="AB985" s="10" t="str">
        <x:v>score improvement</x:v>
      </x:c>
      <x:c r="AC985" s="10" t="str">
        <x:v>debt tracker</x:v>
      </x:c>
      <x:c r="AD985" s="10" t="str">
        <x:v>money management</x:v>
      </x:c>
      <x:c r="AE985" s="10" t="str">
        <x:v>financial worksheet</x:v>
      </x:c>
      <x:c r="AF985" s="10" t="str">
        <x:v>mortgage goals</x:v>
      </x:c>
      <x:c r="AG985" s="10" t="str">
        <x:v>credit rebuild</x:v>
      </x:c>
      <x:c r="AH985" s="10" t="str">
        <x:v>Other mortgage-related</x:v>
      </x:c>
      <x:c r="AI985" s="13" t="n">
        <x:v>13</x:v>
      </x:c>
      <x:c r="AJ985" s="10" t="str">
        <x:f>IF(F985&gt;0,"Active","No est. sales")</x:f>
        <x:v>No est. sales</x:v>
      </x:c>
    </x:row>
    <x:row r="986">
      <x:c r="A986" s="10" t="str">
        <x:v>TTS-045 // Mortgage Due Planner Stickers</x:v>
      </x:c>
      <x:c r="B986" s="10" t="str">
        <x:v>https://www.etsy.com/listing/1265026621/tts-045-mortgage-due-planner-stickers</x:v>
      </x:c>
      <x:c r="C986" s="10" t="str">
        <x:v>CreativeCellar</x:v>
      </x:c>
      <x:c r="D986" s="10" t="str">
        <x:v>https://www.etsy.com/shop/CreativeCellar</x:v>
      </x:c>
      <x:c r="E986" s="11" t="n">
        <x:v>3.5</x:v>
      </x:c>
      <x:c r="F986" s="10" t="n">
        <x:v>0</x:v>
      </x:c>
      <x:c r="G986" s="12" t="n">
        <x:v>0</x:v>
      </x:c>
      <x:c r="H986" s="13" t="n">
        <x:v>0</x:v>
      </x:c>
      <x:c r="I986" s="10" t="n">
        <x:v>22</x:v>
      </x:c>
      <x:c r="J986" s="10" t="n">
        <x:v>5</x:v>
      </x:c>
      <x:c r="K986" s="10" t="str">
        <x:v>48 Mo.</x:v>
      </x:c>
      <x:c r="L986" s="10" t="n">
        <x:v>26</x:v>
      </x:c>
      <x:c r="M986" s="10" t="n">
        <x:v>0</x:v>
      </x:c>
      <x:c r="N986" s="10" t="n">
        <x:v>312</x:v>
      </x:c>
      <x:c r="O986" s="10" t="str">
        <x:v>Paper &amp; Party Supplies</x:v>
      </x:c>
      <x:c r="P986" s="10" t="n">
        <x:v>191</x:v>
      </x:c>
      <x:c r="Q986" s="10" t="n">
        <x:v>0</x:v>
      </x:c>
      <x:c r="R986" s="13" t="n">
        <x:v>7.05</x:v>
      </x:c>
      <x:c r="S986" s="10" t="n">
        <x:v>33591</x:v>
      </x:c>
      <x:c r="T986" s="10" t="str">
        <x:v>planner sticker,labels stickers tags,stickers,craft supplies tools,erin condren,eclp,planner,calendar,life planner,transparent stickers,matte stickers,functional sticker</x:v>
      </x:c>
      <x:c r="U986" s="10" t="str">
        <x:v>planner sticker</x:v>
      </x:c>
      <x:c r="V986" s="10" t="str">
        <x:v>labels stickers tags</x:v>
      </x:c>
      <x:c r="W986" s="10" t="str">
        <x:v>stickers</x:v>
      </x:c>
      <x:c r="X986" s="10" t="str">
        <x:v>craft supplies tools</x:v>
      </x:c>
      <x:c r="Y986" s="10" t="str">
        <x:v>erin condren</x:v>
      </x:c>
      <x:c r="Z986" s="10" t="str">
        <x:v>eclp</x:v>
      </x:c>
      <x:c r="AA986" s="10" t="str">
        <x:v>planner</x:v>
      </x:c>
      <x:c r="AB986" s="10" t="str">
        <x:v>calendar</x:v>
      </x:c>
      <x:c r="AC986" s="10" t="str">
        <x:v>life planner</x:v>
      </x:c>
      <x:c r="AD986" s="10" t="str">
        <x:v>transparent stickers</x:v>
      </x:c>
      <x:c r="AE986" s="10" t="str">
        <x:v>matte stickers</x:v>
      </x:c>
      <x:c r="AF986" s="10" t="str">
        <x:v>functional sticker</x:v>
      </x:c>
      <x:c r="AG986" s="10" t="str">
        <x:v>--</x:v>
      </x:c>
      <x:c r="AH986" s="10" t="str">
        <x:v>Other mortgage-related</x:v>
      </x:c>
      <x:c r="AI986" s="13" t="n">
        <x:v>48</x:v>
      </x:c>
      <x:c r="AJ986" s="10" t="str">
        <x:f>IF(F986&gt;0,"Active","No est. sales")</x:f>
        <x:v>No est. sales</x:v>
      </x:c>
    </x:row>
    <x:row r="987">
      <x:c r="A987" s="10" t="str">
        <x:v>30 Year Amortization Schedule Template | Loan Payment Calculator Spreadsheet | Mortgage Amortization Table | Excel &amp; Google Sheets | Loan</x:v>
      </x:c>
      <x:c r="B987" s="10" t="str">
        <x:v>https://www.etsy.com/listing/4492199134/30-year-amortization-schedule-template</x:v>
      </x:c>
      <x:c r="C987" s="10" t="str">
        <x:v>DaffodillsSheets</x:v>
      </x:c>
      <x:c r="D987" s="10" t="str">
        <x:v>https://www.etsy.com/shop/DaffodillsSheets</x:v>
      </x:c>
      <x:c r="E987" s="11" t="n">
        <x:v>10.87</x:v>
      </x:c>
      <x:c r="F987" s="10" t="n">
        <x:v>0</x:v>
      </x:c>
      <x:c r="G987" s="12" t="n">
        <x:v>0</x:v>
      </x:c>
      <x:c r="H987" s="13" t="n">
        <x:v>0</x:v>
      </x:c>
      <x:c r="I987" s="10" t="n">
        <x:v>0</x:v>
      </x:c>
      <x:c r="J987" s="10" t="n">
        <x:v>0</x:v>
      </x:c>
      <x:c r="K987" s="10" t="str">
        <x:v>3 Mo.</x:v>
      </x:c>
      <x:c r="L987" s="10" t="n">
        <x:v>0</x:v>
      </x:c>
      <x:c r="M987" s="10" t="n">
        <x:v>0</x:v>
      </x:c>
      <x:c r="N987" s="10" t="n">
        <x:v>0</x:v>
      </x:c>
      <x:c r="O987" s="10" t="str"/>
      <x:c r="P987" s="10" t="n">
        <x:v>10</x:v>
      </x:c>
      <x:c r="Q987" s="10" t="n">
        <x:v>0</x:v>
      </x:c>
      <x:c r="R987" s="13" t="n">
        <x:v>0</x:v>
      </x:c>
      <x:c r="S987" s="10" t="n">
        <x:v>567</x:v>
      </x:c>
      <x:c r="T987" s="10" t="str">
        <x:v>amortization,loan calculator,mortgage sheet,loan tracker,payment schedule,excel finance,google sheets,debt tracker,finance planner,mortgage plan,loan planner,interest tracker,budget finance</x:v>
      </x:c>
      <x:c r="U987" s="10" t="str">
        <x:v>amortization</x:v>
      </x:c>
      <x:c r="V987" s="10" t="str">
        <x:v>loan calculator</x:v>
      </x:c>
      <x:c r="W987" s="10" t="str">
        <x:v>mortgage sheet</x:v>
      </x:c>
      <x:c r="X987" s="10" t="str">
        <x:v>loan tracker</x:v>
      </x:c>
      <x:c r="Y987" s="10" t="str">
        <x:v>payment schedule</x:v>
      </x:c>
      <x:c r="Z987" s="10" t="str">
        <x:v>excel finance</x:v>
      </x:c>
      <x:c r="AA987" s="10" t="str">
        <x:v>google sheets</x:v>
      </x:c>
      <x:c r="AB987" s="10" t="str">
        <x:v>debt tracker</x:v>
      </x:c>
      <x:c r="AC987" s="10" t="str">
        <x:v>finance planner</x:v>
      </x:c>
      <x:c r="AD987" s="10" t="str">
        <x:v>mortgage plan</x:v>
      </x:c>
      <x:c r="AE987" s="10" t="str">
        <x:v>loan planner</x:v>
      </x:c>
      <x:c r="AF987" s="10" t="str">
        <x:v>interest tracker</x:v>
      </x:c>
      <x:c r="AG987" s="10" t="str">
        <x:v>budget finance</x:v>
      </x:c>
      <x:c r="AH987" s="10" t="str">
        <x:v>Mortgage payoff / calculator</x:v>
      </x:c>
      <x:c r="AI987" s="13" t="n">
        <x:v>3</x:v>
      </x:c>
      <x:c r="AJ987" s="10" t="str">
        <x:f>IF(F987&gt;0,"Active","No est. sales")</x:f>
        <x:v>No est. sales</x:v>
      </x:c>
    </x:row>
    <x:row r="988">
      <x:c r="A988" s="10" t="str">
        <x:v>30k Home Savings Challenge: Color &amp; Track 30,000 for House Deposit | 50-550 Amounts | 100 Goals</x:v>
      </x:c>
      <x:c r="B988" s="10" t="str">
        <x:v>https://www.etsy.com/listing/4298827185/30k-home-savings-challenge-color-track</x:v>
      </x:c>
      <x:c r="C988" s="10" t="str">
        <x:v>ManageAndBloom</x:v>
      </x:c>
      <x:c r="D988" s="10" t="str">
        <x:v>https://www.etsy.com/shop/ManageAndBloom</x:v>
      </x:c>
      <x:c r="E988" s="11" t="n">
        <x:v>2.41</x:v>
      </x:c>
      <x:c r="F988" s="10" t="n">
        <x:v>0</x:v>
      </x:c>
      <x:c r="G988" s="12" t="n">
        <x:v>0</x:v>
      </x:c>
      <x:c r="H988" s="13" t="n">
        <x:v>0</x:v>
      </x:c>
      <x:c r="I988" s="10" t="n">
        <x:v>16</x:v>
      </x:c>
      <x:c r="J988" s="10" t="n">
        <x:v>4</x:v>
      </x:c>
      <x:c r="K988" s="10" t="str">
        <x:v>15 Mo.</x:v>
      </x:c>
      <x:c r="L988" s="10" t="n">
        <x:v>32</x:v>
      </x:c>
      <x:c r="M988" s="10" t="n">
        <x:v>0</x:v>
      </x:c>
      <x:c r="N988" s="10" t="n">
        <x:v>457</x:v>
      </x:c>
      <x:c r="O988" s="10" t="str"/>
      <x:c r="P988" s="10" t="n">
        <x:v>19</x:v>
      </x:c>
      <x:c r="Q988" s="10" t="n">
        <x:v>0</x:v>
      </x:c>
      <x:c r="R988" s="13" t="n">
        <x:v>3.5</x:v>
      </x:c>
      <x:c r="S988" s="10" t="n">
        <x:v>958</x:v>
      </x:c>
      <x:c r="T988" s="10" t="str">
        <x:v>down payment on a house,debt payment,lifestyle building,setting finance real,allocation journal,management tracker,personal planner log,activity calculator,mortgage coloring,reduction purchase,financial ownership,preparation property,binder save down on</x:v>
      </x:c>
      <x:c r="U988" s="10" t="str">
        <x:v>down payment on a house</x:v>
      </x:c>
      <x:c r="V988" s="10" t="str">
        <x:v>debt payment</x:v>
      </x:c>
      <x:c r="W988" s="10" t="str">
        <x:v>lifestyle building</x:v>
      </x:c>
      <x:c r="X988" s="10" t="str">
        <x:v>setting finance real</x:v>
      </x:c>
      <x:c r="Y988" s="10" t="str">
        <x:v>allocation journal</x:v>
      </x:c>
      <x:c r="Z988" s="10" t="str">
        <x:v>management tracker</x:v>
      </x:c>
      <x:c r="AA988" s="10" t="str">
        <x:v>personal planner log</x:v>
      </x:c>
      <x:c r="AB988" s="10" t="str">
        <x:v>activity calculator</x:v>
      </x:c>
      <x:c r="AC988" s="10" t="str">
        <x:v>mortgage coloring</x:v>
      </x:c>
      <x:c r="AD988" s="10" t="str">
        <x:v>reduction purchase</x:v>
      </x:c>
      <x:c r="AE988" s="10" t="str">
        <x:v>financial ownership</x:v>
      </x:c>
      <x:c r="AF988" s="10" t="str">
        <x:v>preparation property</x:v>
      </x:c>
      <x:c r="AG988" s="10" t="str">
        <x:v>binder save down on</x:v>
      </x:c>
      <x:c r="AH988" s="10" t="str">
        <x:v>Other mortgage-related</x:v>
      </x:c>
      <x:c r="AI988" s="13" t="n">
        <x:v>15</x:v>
      </x:c>
      <x:c r="AJ988" s="10" t="str">
        <x:f>IF(F988&gt;0,"Active","No est. sales")</x:f>
        <x:v>No est. sales</x:v>
      </x:c>
    </x:row>
    <x:row r="989">
      <x:c r="A989" s="10" t="str">
        <x:v>Pay Off The House Tracker |  Downpayment Tracker | Savings Tracker  |  House Tracker  |  Savings Tracker</x:v>
      </x:c>
      <x:c r="B989" s="10" t="str">
        <x:v>https://www.etsy.com/listing/983562884/pay-off-the-house-tracker-downpayment</x:v>
      </x:c>
      <x:c r="C989" s="10" t="str">
        <x:v>ApricotParasol</x:v>
      </x:c>
      <x:c r="D989" s="10" t="str">
        <x:v>https://www.etsy.com/shop/ApricotParasol</x:v>
      </x:c>
      <x:c r="E989" s="11" t="n">
        <x:v>2.95</x:v>
      </x:c>
      <x:c r="F989" s="10" t="n">
        <x:v>0</x:v>
      </x:c>
      <x:c r="G989" s="12" t="n">
        <x:v>0</x:v>
      </x:c>
      <x:c r="H989" s="13" t="n">
        <x:v>0</x:v>
      </x:c>
      <x:c r="I989" s="10" t="n">
        <x:v>0</x:v>
      </x:c>
      <x:c r="J989" s="10" t="n">
        <x:v>0</x:v>
      </x:c>
      <x:c r="K989" s="10" t="str">
        <x:v>63 Mo.</x:v>
      </x:c>
      <x:c r="L989" s="10" t="n">
        <x:v>8</x:v>
      </x:c>
      <x:c r="M989" s="10" t="n">
        <x:v>0</x:v>
      </x:c>
      <x:c r="N989" s="10" t="n">
        <x:v>255</x:v>
      </x:c>
      <x:c r="O989" s="10" t="str">
        <x:v>Paper &amp; Party Supplies</x:v>
      </x:c>
      <x:c r="P989" s="10" t="n">
        <x:v>135</x:v>
      </x:c>
      <x:c r="Q989" s="10" t="n">
        <x:v>0</x:v>
      </x:c>
      <x:c r="R989" s="13" t="n">
        <x:v>0</x:v>
      </x:c>
      <x:c r="S989" s="10" t="n">
        <x:v>133</x:v>
      </x:c>
      <x:c r="T989" s="10" t="str">
        <x:v>printables,colorable printables,pay off the house,down payment savings,down payment tracker,down payment planner,savings tracker,first time home,debt tracker,dave ramsey,baby step 6,mortgage pay off,track my progress</x:v>
      </x:c>
      <x:c r="U989" s="10" t="str">
        <x:v>printables</x:v>
      </x:c>
      <x:c r="V989" s="10" t="str">
        <x:v>colorable printables</x:v>
      </x:c>
      <x:c r="W989" s="10" t="str">
        <x:v>pay off the house</x:v>
      </x:c>
      <x:c r="X989" s="10" t="str">
        <x:v>down payment savings</x:v>
      </x:c>
      <x:c r="Y989" s="10" t="str">
        <x:v>down payment tracker</x:v>
      </x:c>
      <x:c r="Z989" s="10" t="str">
        <x:v>down payment planner</x:v>
      </x:c>
      <x:c r="AA989" s="10" t="str">
        <x:v>savings tracker</x:v>
      </x:c>
      <x:c r="AB989" s="10" t="str">
        <x:v>first time home</x:v>
      </x:c>
      <x:c r="AC989" s="10" t="str">
        <x:v>debt tracker</x:v>
      </x:c>
      <x:c r="AD989" s="10" t="str">
        <x:v>dave ramsey</x:v>
      </x:c>
      <x:c r="AE989" s="10" t="str">
        <x:v>baby step 6</x:v>
      </x:c>
      <x:c r="AF989" s="10" t="str">
        <x:v>mortgage pay off</x:v>
      </x:c>
      <x:c r="AG989" s="10" t="str">
        <x:v>track my progress</x:v>
      </x:c>
      <x:c r="AH989" s="10" t="str">
        <x:v>Other mortgage-related</x:v>
      </x:c>
      <x:c r="AI989" s="13" t="n">
        <x:v>63</x:v>
      </x:c>
      <x:c r="AJ989" s="10" t="str">
        <x:f>IF(F989&gt;0,"Active","No est. sales")</x:f>
        <x:v>No est. sales</x:v>
      </x:c>
    </x:row>
    <x:row r="990">
      <x:c r="A990" s="10" t="str">
        <x:v>Complete Wealth Tracker Bundle | Printable Finance Planner, Balance Sheet, Investment &amp; Retirement Tracker, Mortgage Log, Minimalist</x:v>
      </x:c>
      <x:c r="B990" s="10" t="str">
        <x:v>https://www.etsy.com/listing/4433082215/complete-wealth-tracker-bundle-printable</x:v>
      </x:c>
      <x:c r="C990" s="10" t="str">
        <x:v>EthosAndBloom</x:v>
      </x:c>
      <x:c r="D990" s="10" t="str">
        <x:v>https://www.etsy.com/shop/EthosAndBloom</x:v>
      </x:c>
      <x:c r="E990" s="11" t="n">
        <x:v>4.99</x:v>
      </x:c>
      <x:c r="F990" s="10" t="n">
        <x:v>0</x:v>
      </x:c>
      <x:c r="G990" s="12" t="n">
        <x:v>0</x:v>
      </x:c>
      <x:c r="H990" s="13" t="n">
        <x:v>0</x:v>
      </x:c>
      <x:c r="I990" s="10" t="n">
        <x:v>0</x:v>
      </x:c>
      <x:c r="J990" s="10" t="n">
        <x:v>0</x:v>
      </x:c>
      <x:c r="K990" s="10" t="str">
        <x:v>7 Mo.</x:v>
      </x:c>
      <x:c r="L990" s="10" t="n">
        <x:v>0</x:v>
      </x:c>
      <x:c r="M990" s="10" t="n">
        <x:v>0</x:v>
      </x:c>
      <x:c r="N990" s="10" t="n">
        <x:v>12</x:v>
      </x:c>
      <x:c r="O990" s="10" t="str">
        <x:v>Paper &amp; Party Supplies</x:v>
      </x:c>
      <x:c r="P990" s="10" t="n">
        <x:v>7</x:v>
      </x:c>
      <x:c r="Q990" s="10" t="n">
        <x:v>0</x:v>
      </x:c>
      <x:c r="R990" s="13" t="n">
        <x:v>0</x:v>
      </x:c>
      <x:c r="S990" s="10" t="n">
        <x:v>6</x:v>
      </x:c>
      <x:c r="T990" s="10" t="str">
        <x:v>paper-friendly,wealth tracker,net worth planner,ink-saving design,minimalist finance,investment log,retirement tracker,mortgage checklist,printable budget,financial portfolio,long-term finance,all-in-one paper log,legacy wealth binder</x:v>
      </x:c>
      <x:c r="U990" s="10" t="str">
        <x:v>paper-friendly</x:v>
      </x:c>
      <x:c r="V990" s="10" t="str">
        <x:v>wealth tracker</x:v>
      </x:c>
      <x:c r="W990" s="10" t="str">
        <x:v>net worth planner</x:v>
      </x:c>
      <x:c r="X990" s="10" t="str">
        <x:v>ink-saving design</x:v>
      </x:c>
      <x:c r="Y990" s="10" t="str">
        <x:v>minimalist finance</x:v>
      </x:c>
      <x:c r="Z990" s="10" t="str">
        <x:v>investment log</x:v>
      </x:c>
      <x:c r="AA990" s="10" t="str">
        <x:v>retirement tracker</x:v>
      </x:c>
      <x:c r="AB990" s="10" t="str">
        <x:v>mortgage checklist</x:v>
      </x:c>
      <x:c r="AC990" s="10" t="str">
        <x:v>printable budget</x:v>
      </x:c>
      <x:c r="AD990" s="10" t="str">
        <x:v>financial portfolio</x:v>
      </x:c>
      <x:c r="AE990" s="10" t="str">
        <x:v>long-term finance</x:v>
      </x:c>
      <x:c r="AF990" s="10" t="str">
        <x:v>all-in-one paper log</x:v>
      </x:c>
      <x:c r="AG990" s="10" t="str">
        <x:v>legacy wealth binder</x:v>
      </x:c>
      <x:c r="AH990" s="10" t="str">
        <x:v>Other mortgage-related</x:v>
      </x:c>
      <x:c r="AI990" s="13" t="n">
        <x:v>7</x:v>
      </x:c>
      <x:c r="AJ990" s="10" t="str">
        <x:f>IF(F990&gt;0,"Active","No est. sales")</x:f>
        <x:v>No est. sales</x:v>
      </x:c>
    </x:row>
    <x:row r="991">
      <x:c r="A991" s="10" t="str">
        <x:v>Loan Officer tracker Spreadsheet Bundle |Mortgage Pipeline Tracker| CRM  Loan Processing Templates digital download(Google sheet&amp; excel)</x:v>
      </x:c>
      <x:c r="B991" s="10" t="str">
        <x:v>https://www.etsy.com/listing/4517830573/loan-officer-spreadsheet-bundle-mortgage</x:v>
      </x:c>
      <x:c r="C991" s="10" t="str">
        <x:v>ZuniMediumstudio</x:v>
      </x:c>
      <x:c r="D991" s="10" t="str">
        <x:v>https://www.etsy.com/shop/ZuniMediumstudio</x:v>
      </x:c>
      <x:c r="E991" s="11" t="n">
        <x:v>2.98</x:v>
      </x:c>
      <x:c r="F991" s="10" t="n">
        <x:v>0</x:v>
      </x:c>
      <x:c r="G991" s="12" t="n">
        <x:v>0</x:v>
      </x:c>
      <x:c r="H991" s="13" t="n">
        <x:v>0</x:v>
      </x:c>
      <x:c r="I991" s="10" t="n">
        <x:v>0</x:v>
      </x:c>
      <x:c r="J991" s="10" t="n">
        <x:v>0</x:v>
      </x:c>
      <x:c r="K991" s="10" t="str">
        <x:v>1 Mo.</x:v>
      </x:c>
      <x:c r="L991" s="10" t="n">
        <x:v>7</x:v>
      </x:c>
      <x:c r="M991" s="10" t="n">
        <x:v>0</x:v>
      </x:c>
      <x:c r="N991" s="10" t="n">
        <x:v>157</x:v>
      </x:c>
      <x:c r="O991" s="10" t="str"/>
      <x:c r="P991" s="10" t="n">
        <x:v>9</x:v>
      </x:c>
      <x:c r="Q991" s="10" t="n">
        <x:v>45</x:v>
      </x:c>
      <x:c r="R991" s="13" t="n">
        <x:v>0</x:v>
      </x:c>
      <x:c r="S991" s="10" t="n">
        <x:v>233</x:v>
      </x:c>
      <x:c r="T991" s="10" t="str">
        <x:v>loan tracker,mortgage template,mortgage broker,mortgage lender,mortgage planner,mortgage tracker,loan application,mortgage pipeline,loan officer,loan checklist,loan template,mortgage checklist,mortgage tracking</x:v>
      </x:c>
      <x:c r="U991" s="10" t="str">
        <x:v>loan tracker</x:v>
      </x:c>
      <x:c r="V991" s="10" t="str">
        <x:v>mortgage template</x:v>
      </x:c>
      <x:c r="W991" s="10" t="str">
        <x:v>mortgage broker</x:v>
      </x:c>
      <x:c r="X991" s="10" t="str">
        <x:v>mortgage lender</x:v>
      </x:c>
      <x:c r="Y991" s="10" t="str">
        <x:v>mortgage planner</x:v>
      </x:c>
      <x:c r="Z991" s="10" t="str">
        <x:v>mortgage tracker</x:v>
      </x:c>
      <x:c r="AA991" s="10" t="str">
        <x:v>loan application</x:v>
      </x:c>
      <x:c r="AB991" s="10" t="str">
        <x:v>mortgage pipeline</x:v>
      </x:c>
      <x:c r="AC991" s="10" t="str">
        <x:v>loan officer</x:v>
      </x:c>
      <x:c r="AD991" s="10" t="str">
        <x:v>loan checklist</x:v>
      </x:c>
      <x:c r="AE991" s="10" t="str">
        <x:v>loan template</x:v>
      </x:c>
      <x:c r="AF991" s="10" t="str">
        <x:v>mortgage checklist</x:v>
      </x:c>
      <x:c r="AG991" s="10" t="str">
        <x:v>mortgage tracking</x:v>
      </x:c>
      <x:c r="AH991" s="10" t="str">
        <x:v>Loan officer / B2B</x:v>
      </x:c>
      <x:c r="AI991" s="13" t="n">
        <x:v>1</x:v>
      </x:c>
      <x:c r="AJ991" s="10" t="str">
        <x:f>IF(F991&gt;0,"Active","No est. sales")</x:f>
        <x:v>No est. sales</x:v>
      </x:c>
    </x:row>
    <x:row r="992">
      <x:c r="A992" s="10" t="str">
        <x:v>Debt Payoff Tracker, Monthly Debt Tracker, Snowball &amp; Avalanche, Amortiztion, Google Sheets, Loan Manager, Credit Card, Calculator</x:v>
      </x:c>
      <x:c r="B992" s="10" t="str">
        <x:v>https://www.etsy.com/listing/4333207589/debt-payoff-tracker-debt-snowball</x:v>
      </x:c>
      <x:c r="C992" s="10" t="str">
        <x:v>InstantsDesigns</x:v>
      </x:c>
      <x:c r="D992" s="10" t="str">
        <x:v>https://www.etsy.com/shop/InstantsDesigns</x:v>
      </x:c>
      <x:c r="E992" s="11" t="n">
        <x:v>5.75</x:v>
      </x:c>
      <x:c r="F992" s="10" t="n">
        <x:v>0</x:v>
      </x:c>
      <x:c r="G992" s="12" t="n">
        <x:v>0</x:v>
      </x:c>
      <x:c r="H992" s="13" t="n">
        <x:v>0</x:v>
      </x:c>
      <x:c r="I992" s="10" t="n">
        <x:v>0</x:v>
      </x:c>
      <x:c r="J992" s="10" t="n">
        <x:v>0</x:v>
      </x:c>
      <x:c r="K992" s="10" t="str">
        <x:v>12 Mo.</x:v>
      </x:c>
      <x:c r="L992" s="10" t="n">
        <x:v>0</x:v>
      </x:c>
      <x:c r="M992" s="10" t="n">
        <x:v>0</x:v>
      </x:c>
      <x:c r="N992" s="10" t="n">
        <x:v>25</x:v>
      </x:c>
      <x:c r="O992" s="10" t="str"/>
      <x:c r="P992" s="10" t="n">
        <x:v>25</x:v>
      </x:c>
      <x:c r="Q992" s="10" t="n">
        <x:v>0</x:v>
      </x:c>
      <x:c r="R992" s="13" t="n">
        <x:v>0</x:v>
      </x:c>
      <x:c r="S992" s="10" t="n">
        <x:v>167</x:v>
      </x:c>
      <x:c r="T992" s="10" t="str">
        <x:v>student loan tracker,debt calculator,loan amortization,extra payment log,financial planner,mortgage payoff,interest tracker,payment schedule,loan manager,debt tracker,monthly debt tracker,debt payoff tracker,debt snowball</x:v>
      </x:c>
      <x:c r="U992" s="10" t="str">
        <x:v>student loan tracker</x:v>
      </x:c>
      <x:c r="V992" s="10" t="str">
        <x:v>debt calculator</x:v>
      </x:c>
      <x:c r="W992" s="10" t="str">
        <x:v>loan amortization</x:v>
      </x:c>
      <x:c r="X992" s="10" t="str">
        <x:v>extra payment log</x:v>
      </x:c>
      <x:c r="Y992" s="10" t="str">
        <x:v>financial planner</x:v>
      </x:c>
      <x:c r="Z992" s="10" t="str">
        <x:v>mortgage payoff</x:v>
      </x:c>
      <x:c r="AA992" s="10" t="str">
        <x:v>interest tracker</x:v>
      </x:c>
      <x:c r="AB992" s="10" t="str">
        <x:v>payment schedule</x:v>
      </x:c>
      <x:c r="AC992" s="10" t="str">
        <x:v>loan manager</x:v>
      </x:c>
      <x:c r="AD992" s="10" t="str">
        <x:v>debt tracker</x:v>
      </x:c>
      <x:c r="AE992" s="10" t="str">
        <x:v>monthly debt tracker</x:v>
      </x:c>
      <x:c r="AF992" s="10" t="str">
        <x:v>debt payoff tracker</x:v>
      </x:c>
      <x:c r="AG992" s="10" t="str">
        <x:v>debt snowball</x:v>
      </x:c>
      <x:c r="AH992" s="10" t="str">
        <x:v>General debt payoff</x:v>
      </x:c>
      <x:c r="AI992" s="13" t="n">
        <x:v>12</x:v>
      </x:c>
      <x:c r="AJ992" s="10" t="str">
        <x:f>IF(F992&gt;0,"Active","No est. sales")</x:f>
        <x:v>No est. sales</x:v>
      </x:c>
    </x:row>
    <x:row r="993">
      <x:c r="A993" s="10" t="str">
        <x:v>100k House Savings Challenge Tracker Printable (PDF)</x:v>
      </x:c>
      <x:c r="B993" s="10" t="str">
        <x:v>https://www.etsy.com/listing/955896371/100k-house-savings-challenge-tracker</x:v>
      </x:c>
      <x:c r="C993" s="10" t="str">
        <x:v>bbhdesignss</x:v>
      </x:c>
      <x:c r="D993" s="10" t="str">
        <x:v>https://www.etsy.com/shop/bbhdesignss</x:v>
      </x:c>
      <x:c r="E993" s="11" t="n">
        <x:v>2</x:v>
      </x:c>
      <x:c r="F993" s="10" t="n">
        <x:v>0</x:v>
      </x:c>
      <x:c r="G993" s="12" t="n">
        <x:v>0</x:v>
      </x:c>
      <x:c r="H993" s="13" t="n">
        <x:v>0</x:v>
      </x:c>
      <x:c r="I993" s="10" t="n">
        <x:v>95</x:v>
      </x:c>
      <x:c r="J993" s="10" t="n">
        <x:v>13</x:v>
      </x:c>
      <x:c r="K993" s="10" t="str">
        <x:v>65 Mo.</x:v>
      </x:c>
      <x:c r="L993" s="10" t="n">
        <x:v>193</x:v>
      </x:c>
      <x:c r="M993" s="10" t="n">
        <x:v>0</x:v>
      </x:c>
      <x:c r="N993" s="10" t="n">
        <x:v>17640</x:v>
      </x:c>
      <x:c r="O993" s="10" t="str">
        <x:v>Paper &amp; Party Supplies</x:v>
      </x:c>
      <x:c r="P993" s="10" t="n">
        <x:v>186</x:v>
      </x:c>
      <x:c r="Q993" s="10" t="n">
        <x:v>72</x:v>
      </x:c>
      <x:c r="R993" s="13" t="n">
        <x:v>0.54</x:v>
      </x:c>
      <x:c r="S993" s="10" t="n">
        <x:v>4402</x:v>
      </x:c>
      <x:c r="T993" s="10" t="str">
        <x:v>bullet journal,savings challenge,house saving tracker,planner insert,saving budget,the mom life,100000 savings goal,home mortgage,savings printable,budget journal,savings bundle,digital download,planner 2023</x:v>
      </x:c>
      <x:c r="U993" s="10" t="str">
        <x:v>bullet journal</x:v>
      </x:c>
      <x:c r="V993" s="10" t="str">
        <x:v>savings challenge</x:v>
      </x:c>
      <x:c r="W993" s="10" t="str">
        <x:v>house saving tracker</x:v>
      </x:c>
      <x:c r="X993" s="10" t="str">
        <x:v>planner insert</x:v>
      </x:c>
      <x:c r="Y993" s="10" t="str">
        <x:v>saving budget</x:v>
      </x:c>
      <x:c r="Z993" s="10" t="str">
        <x:v>the mom life</x:v>
      </x:c>
      <x:c r="AA993" s="10" t="str">
        <x:v>100000 savings goal</x:v>
      </x:c>
      <x:c r="AB993" s="10" t="str">
        <x:v>home mortgage</x:v>
      </x:c>
      <x:c r="AC993" s="10" t="str">
        <x:v>savings printable</x:v>
      </x:c>
      <x:c r="AD993" s="10" t="str">
        <x:v>budget journal</x:v>
      </x:c>
      <x:c r="AE993" s="10" t="str">
        <x:v>savings bundle</x:v>
      </x:c>
      <x:c r="AF993" s="10" t="str">
        <x:v>digital download</x:v>
      </x:c>
      <x:c r="AG993" s="10" t="str">
        <x:v>planner 2023</x:v>
      </x:c>
      <x:c r="AH993" s="10" t="str">
        <x:v>Other mortgage-related</x:v>
      </x:c>
      <x:c r="AI993" s="13" t="n">
        <x:v>65</x:v>
      </x:c>
      <x:c r="AJ993" s="10" t="str">
        <x:f>IF(F993&gt;0,"Active","No est. sales")</x:f>
        <x:v>No est. sales</x:v>
      </x:c>
    </x:row>
    <x:row r="994">
      <x:c r="A994" s="10" t="str">
        <x:v>Debt Tracker Pro Avalancha Edition | Control de Deudas | Debt Payoff Planner, Personal Finance Tool | loans | Mortgage | CreditCard</x:v>
      </x:c>
      <x:c r="B994" s="10" t="str">
        <x:v>https://www.etsy.com/listing/4438166549/debt-tracker-pro-avalancha-edition</x:v>
      </x:c>
      <x:c r="C994" s="10" t="str">
        <x:v>BAHERCreative</x:v>
      </x:c>
      <x:c r="D994" s="10" t="str">
        <x:v>https://www.etsy.com/shop/BAHERCreative</x:v>
      </x:c>
      <x:c r="E994" s="11" t="n">
        <x:v>5.99</x:v>
      </x:c>
      <x:c r="F994" s="10" t="n">
        <x:v>0</x:v>
      </x:c>
      <x:c r="G994" s="12" t="n">
        <x:v>0</x:v>
      </x:c>
      <x:c r="H994" s="13" t="n">
        <x:v>0</x:v>
      </x:c>
      <x:c r="I994" s="10" t="n">
        <x:v>0</x:v>
      </x:c>
      <x:c r="J994" s="10" t="n">
        <x:v>0</x:v>
      </x:c>
      <x:c r="K994" s="10" t="str">
        <x:v>6 Mo.</x:v>
      </x:c>
      <x:c r="L994" s="10" t="n">
        <x:v>2</x:v>
      </x:c>
      <x:c r="M994" s="10" t="n">
        <x:v>0</x:v>
      </x:c>
      <x:c r="N994" s="10" t="n">
        <x:v>22</x:v>
      </x:c>
      <x:c r="O994" s="10" t="str"/>
      <x:c r="P994" s="10" t="n">
        <x:v>7</x:v>
      </x:c>
      <x:c r="Q994" s="10" t="n">
        <x:v>0</x:v>
      </x:c>
      <x:c r="R994" s="13" t="n">
        <x:v>0</x:v>
      </x:c>
      <x:c r="S994" s="10" t="n">
        <x:v>3</x:v>
      </x:c>
      <x:c r="T994" s="10" t="str">
        <x:v>debt tracker excel,control de deudas,pagar deudas,método avalancha,finanzas personales,excel financiero,plan de deudas,ibertad financiera,organizador financiero,debt payoff spreadsheet,personal finance excel,mortgage,loans</x:v>
      </x:c>
      <x:c r="U994" s="10" t="str">
        <x:v>debt tracker excel</x:v>
      </x:c>
      <x:c r="V994" s="10" t="str">
        <x:v>control de deudas</x:v>
      </x:c>
      <x:c r="W994" s="10" t="str">
        <x:v>pagar deudas</x:v>
      </x:c>
      <x:c r="X994" s="10" t="str">
        <x:v>método avalancha</x:v>
      </x:c>
      <x:c r="Y994" s="10" t="str">
        <x:v>finanzas personales</x:v>
      </x:c>
      <x:c r="Z994" s="10" t="str">
        <x:v>excel financiero</x:v>
      </x:c>
      <x:c r="AA994" s="10" t="str">
        <x:v>plan de deudas</x:v>
      </x:c>
      <x:c r="AB994" s="10" t="str">
        <x:v>ibertad financiera</x:v>
      </x:c>
      <x:c r="AC994" s="10" t="str">
        <x:v>organizador financiero</x:v>
      </x:c>
      <x:c r="AD994" s="10" t="str">
        <x:v>debt payoff spreadsheet</x:v>
      </x:c>
      <x:c r="AE994" s="10" t="str">
        <x:v>personal finance excel</x:v>
      </x:c>
      <x:c r="AF994" s="10" t="str">
        <x:v>mortgage</x:v>
      </x:c>
      <x:c r="AG994" s="10" t="str">
        <x:v>loans</x:v>
      </x:c>
      <x:c r="AH994" s="10" t="str">
        <x:v>General debt payoff</x:v>
      </x:c>
      <x:c r="AI994" s="13" t="n">
        <x:v>6</x:v>
      </x:c>
      <x:c r="AJ994" s="10" t="str">
        <x:f>IF(F994&gt;0,"Active","No est. sales")</x:f>
        <x:v>No est. sales</x:v>
      </x:c>
    </x:row>
    <x:row r="995">
      <x:c r="A995" s="10" t="str">
        <x:v>loan repayment tracker google sheets &amp; excel template mortgage, car loan amortization schedule debt payoff planner</x:v>
      </x:c>
      <x:c r="B995" s="10" t="str">
        <x:v>https://www.etsy.com/listing/1629289093/loan-repayment-tracker-google-sheets</x:v>
      </x:c>
      <x:c r="C995" s="10" t="str">
        <x:v>quickdigitalplanner</x:v>
      </x:c>
      <x:c r="D995" s="10" t="str">
        <x:v>https://www.etsy.com/shop/quickdigitalplanner</x:v>
      </x:c>
      <x:c r="E995" s="11" t="n">
        <x:v>15</x:v>
      </x:c>
      <x:c r="F995" s="10" t="n">
        <x:v>0</x:v>
      </x:c>
      <x:c r="G995" s="12" t="n">
        <x:v>0</x:v>
      </x:c>
      <x:c r="H995" s="13" t="n">
        <x:v>0</x:v>
      </x:c>
      <x:c r="I995" s="10" t="n">
        <x:v>15</x:v>
      </x:c>
      <x:c r="J995" s="10" t="n">
        <x:v>2</x:v>
      </x:c>
      <x:c r="K995" s="10" t="str">
        <x:v>31 Mo.</x:v>
      </x:c>
      <x:c r="L995" s="10" t="n">
        <x:v>4</x:v>
      </x:c>
      <x:c r="M995" s="10" t="n">
        <x:v>0</x:v>
      </x:c>
      <x:c r="N995" s="10" t="n">
        <x:v>1170</x:v>
      </x:c>
      <x:c r="O995" s="10" t="str"/>
      <x:c r="P995" s="10" t="n">
        <x:v>53</x:v>
      </x:c>
      <x:c r="Q995" s="10" t="n">
        <x:v>0</x:v>
      </x:c>
      <x:c r="R995" s="13" t="n">
        <x:v>1.28</x:v>
      </x:c>
      <x:c r="S995" s="10" t="n">
        <x:v>3179</x:v>
      </x:c>
      <x:c r="T995" s="10" t="str">
        <x:v>loan repayment,debt tracker,amortization,google sheets,excel template,mortgage tracker,car loan payoff,financial planner,debt snowball,budget spreadsheet,loan calculator,early payoff,payment schedule</x:v>
      </x:c>
      <x:c r="U995" s="10" t="str">
        <x:v>loan repayment</x:v>
      </x:c>
      <x:c r="V995" s="10" t="str">
        <x:v>debt tracker</x:v>
      </x:c>
      <x:c r="W995" s="10" t="str">
        <x:v>amortization</x:v>
      </x:c>
      <x:c r="X995" s="10" t="str">
        <x:v>google sheets</x:v>
      </x:c>
      <x:c r="Y995" s="10" t="str">
        <x:v>excel template</x:v>
      </x:c>
      <x:c r="Z995" s="10" t="str">
        <x:v>mortgage tracker</x:v>
      </x:c>
      <x:c r="AA995" s="10" t="str">
        <x:v>car loan payoff</x:v>
      </x:c>
      <x:c r="AB995" s="10" t="str">
        <x:v>financial planner</x:v>
      </x:c>
      <x:c r="AC995" s="10" t="str">
        <x:v>debt snowball</x:v>
      </x:c>
      <x:c r="AD995" s="10" t="str">
        <x:v>budget spreadsheet</x:v>
      </x:c>
      <x:c r="AE995" s="10" t="str">
        <x:v>loan calculator</x:v>
      </x:c>
      <x:c r="AF995" s="10" t="str">
        <x:v>early payoff</x:v>
      </x:c>
      <x:c r="AG995" s="10" t="str">
        <x:v>payment schedule</x:v>
      </x:c>
      <x:c r="AH995" s="10" t="str">
        <x:v>General debt payoff</x:v>
      </x:c>
      <x:c r="AI995" s="13" t="n">
        <x:v>31</x:v>
      </x:c>
      <x:c r="AJ995" s="10" t="str">
        <x:f>IF(F995&gt;0,"Active","No est. sales")</x:f>
        <x:v>No est. sales</x:v>
      </x:c>
    </x:row>
    <x:row r="996">
      <x:c r="A996" s="10" t="str">
        <x:v>Loan Payoff Spreadsheet Excel &amp; Google Sheets Debt Snowball Tracker Mortgage, Car, Student Loan Amortization Template</x:v>
      </x:c>
      <x:c r="B996" s="10" t="str">
        <x:v>https://www.etsy.com/listing/1727958858/loan-payoff-spreadsheet-excel-google</x:v>
      </x:c>
      <x:c r="C996" s="10" t="str">
        <x:v>quickdigitalplanner</x:v>
      </x:c>
      <x:c r="D996" s="10" t="str">
        <x:v>https://www.etsy.com/shop/quickdigitalplanner</x:v>
      </x:c>
      <x:c r="E996" s="11" t="n">
        <x:v>15</x:v>
      </x:c>
      <x:c r="F996" s="10" t="n">
        <x:v>0</x:v>
      </x:c>
      <x:c r="G996" s="12" t="n">
        <x:v>0</x:v>
      </x:c>
      <x:c r="H996" s="13" t="n">
        <x:v>0</x:v>
      </x:c>
      <x:c r="I996" s="10" t="n">
        <x:v>4</x:v>
      </x:c>
      <x:c r="J996" s="10" t="n">
        <x:v>0</x:v>
      </x:c>
      <x:c r="K996" s="10" t="str">
        <x:v>25 Mo.</x:v>
      </x:c>
      <x:c r="L996" s="10" t="n">
        <x:v>2</x:v>
      </x:c>
      <x:c r="M996" s="10" t="n">
        <x:v>0</x:v>
      </x:c>
      <x:c r="N996" s="10" t="n">
        <x:v>165</x:v>
      </x:c>
      <x:c r="O996" s="10" t="str">
        <x:v>Paper &amp; Party Supplies</x:v>
      </x:c>
      <x:c r="P996" s="10" t="n">
        <x:v>53</x:v>
      </x:c>
      <x:c r="Q996" s="10" t="n">
        <x:v>0</x:v>
      </x:c>
      <x:c r="R996" s="13" t="n">
        <x:v>2.42</x:v>
      </x:c>
      <x:c r="S996" s="10" t="n">
        <x:v>3179</x:v>
      </x:c>
      <x:c r="T996" s="10" t="str">
        <x:v>loan tracker,debt payoff,amortization,excel template,google sheets,mortgage tracker,student loan,car loan payoff,financial planner,debt snowball,budget spreadsheet,loan calculator,early payoff</x:v>
      </x:c>
      <x:c r="U996" s="10" t="str">
        <x:v>loan tracker</x:v>
      </x:c>
      <x:c r="V996" s="10" t="str">
        <x:v>debt payoff</x:v>
      </x:c>
      <x:c r="W996" s="10" t="str">
        <x:v>amortization</x:v>
      </x:c>
      <x:c r="X996" s="10" t="str">
        <x:v>excel template</x:v>
      </x:c>
      <x:c r="Y996" s="10" t="str">
        <x:v>google sheets</x:v>
      </x:c>
      <x:c r="Z996" s="10" t="str">
        <x:v>mortgage tracker</x:v>
      </x:c>
      <x:c r="AA996" s="10" t="str">
        <x:v>student loan</x:v>
      </x:c>
      <x:c r="AB996" s="10" t="str">
        <x:v>car loan payoff</x:v>
      </x:c>
      <x:c r="AC996" s="10" t="str">
        <x:v>financial planner</x:v>
      </x:c>
      <x:c r="AD996" s="10" t="str">
        <x:v>debt snowball</x:v>
      </x:c>
      <x:c r="AE996" s="10" t="str">
        <x:v>budget spreadsheet</x:v>
      </x:c>
      <x:c r="AF996" s="10" t="str">
        <x:v>loan calculator</x:v>
      </x:c>
      <x:c r="AG996" s="10" t="str">
        <x:v>early payoff</x:v>
      </x:c>
      <x:c r="AH996" s="10" t="str">
        <x:v>General debt payoff</x:v>
      </x:c>
      <x:c r="AI996" s="13" t="n">
        <x:v>25</x:v>
      </x:c>
      <x:c r="AJ996" s="10" t="str">
        <x:f>IF(F996&gt;0,"Active","No est. sales")</x:f>
        <x:v>No est. sales</x:v>
      </x:c>
    </x:row>
    <x:row r="997">
      <x:c r="A997" s="10" t="str">
        <x:v>House Hacking Calculator Spreadsheet | Rental Income &amp; Mortgage Coverage Analyzer for Real Estate Investors</x:v>
      </x:c>
      <x:c r="B997" s="10" t="str">
        <x:v>https://www.etsy.com/listing/4535401881/house-hacking-calculator-spreadsheet</x:v>
      </x:c>
      <x:c r="C997" s="10" t="str">
        <x:v>MindDigitalDesigns</x:v>
      </x:c>
      <x:c r="D997" s="10" t="str">
        <x:v>https://www.etsy.com/shop/MindDigitalDesigns</x:v>
      </x:c>
      <x:c r="E997" s="11" t="n">
        <x:v>7.95</x:v>
      </x:c>
      <x:c r="F997" s="10" t="n">
        <x:v>0</x:v>
      </x:c>
      <x:c r="G997" s="12" t="n">
        <x:v>0</x:v>
      </x:c>
      <x:c r="H997" s="13" t="n">
        <x:v>0</x:v>
      </x:c>
      <x:c r="I997" s="10" t="n">
        <x:v>0</x:v>
      </x:c>
      <x:c r="J997" s="10" t="n">
        <x:v>0</x:v>
      </x:c>
      <x:c r="K997" s="10" t="str">
        <x:v>1 Mo.</x:v>
      </x:c>
      <x:c r="L997" s="10" t="n">
        <x:v>0</x:v>
      </x:c>
      <x:c r="M997" s="10" t="n">
        <x:v>0</x:v>
      </x:c>
      <x:c r="N997" s="10" t="n">
        <x:v>0</x:v>
      </x:c>
      <x:c r="O997" s="10" t="str"/>
      <x:c r="P997" s="10" t="n">
        <x:v>20</x:v>
      </x:c>
      <x:c r="Q997" s="10" t="n">
        <x:v>0</x:v>
      </x:c>
      <x:c r="R997" s="13" t="n">
        <x:v>0</x:v>
      </x:c>
      <x:c r="S997" s="10" t="n">
        <x:v>492</x:v>
      </x:c>
      <x:c r="T997" s="10" t="str">
        <x:v>house hacking,real estate,rental income,mortgage calculator,house hack,rental property,cash flow,real estate tool,investor tool,rental calculator,property investor,mortgage planner,real estate investor</x:v>
      </x:c>
      <x:c r="U997" s="10" t="str">
        <x:v>house hacking</x:v>
      </x:c>
      <x:c r="V997" s="10" t="str">
        <x:v>real estate</x:v>
      </x:c>
      <x:c r="W997" s="10" t="str">
        <x:v>rental income</x:v>
      </x:c>
      <x:c r="X997" s="10" t="str">
        <x:v>mortgage calculator</x:v>
      </x:c>
      <x:c r="Y997" s="10" t="str">
        <x:v>house hack</x:v>
      </x:c>
      <x:c r="Z997" s="10" t="str">
        <x:v>rental property</x:v>
      </x:c>
      <x:c r="AA997" s="10" t="str">
        <x:v>cash flow</x:v>
      </x:c>
      <x:c r="AB997" s="10" t="str">
        <x:v>real estate tool</x:v>
      </x:c>
      <x:c r="AC997" s="10" t="str">
        <x:v>investor tool</x:v>
      </x:c>
      <x:c r="AD997" s="10" t="str">
        <x:v>rental calculator</x:v>
      </x:c>
      <x:c r="AE997" s="10" t="str">
        <x:v>property investor</x:v>
      </x:c>
      <x:c r="AF997" s="10" t="str">
        <x:v>mortgage planner</x:v>
      </x:c>
      <x:c r="AG997" s="10" t="str">
        <x:v>real estate investor</x:v>
      </x:c>
      <x:c r="AH997" s="10" t="str">
        <x:v>Property investment</x:v>
      </x:c>
      <x:c r="AI997" s="13" t="n">
        <x:v>1</x:v>
      </x:c>
      <x:c r="AJ997" s="10" t="str">
        <x:f>IF(F997&gt;0,"Active","No est. sales")</x:f>
        <x:v>No est. sales</x:v>
      </x:c>
    </x:row>
    <x:row r="998">
      <x:c r="A998" s="10" t="str">
        <x:v>Mortgage Loan Debt Payoff Tracker | Debt Snowball Payoff Tracker | Digital Budgeting | Printable Debt Tracker | Debt Repayment Tracker</x:v>
      </x:c>
      <x:c r="B998" s="10" t="str">
        <x:v>https://www.etsy.com/listing/1551627521/mortgage-loan-debt-payoff-tracker-debt</x:v>
      </x:c>
      <x:c r="C998" s="10" t="str">
        <x:v>LMLStickers</x:v>
      </x:c>
      <x:c r="D998" s="10" t="str">
        <x:v>https://www.etsy.com/shop/LMLStickers</x:v>
      </x:c>
      <x:c r="E998" s="11" t="n">
        <x:v>1.99</x:v>
      </x:c>
      <x:c r="F998" s="10" t="n">
        <x:v>0</x:v>
      </x:c>
      <x:c r="G998" s="12" t="n">
        <x:v>0</x:v>
      </x:c>
      <x:c r="H998" s="13" t="n">
        <x:v>0</x:v>
      </x:c>
      <x:c r="I998" s="10" t="n">
        <x:v>3</x:v>
      </x:c>
      <x:c r="J998" s="10" t="n">
        <x:v>1</x:v>
      </x:c>
      <x:c r="K998" s="10" t="str">
        <x:v>35 Mo.</x:v>
      </x:c>
      <x:c r="L998" s="10" t="n">
        <x:v>5</x:v>
      </x:c>
      <x:c r="M998" s="10" t="n">
        <x:v>0</x:v>
      </x:c>
      <x:c r="N998" s="10" t="n">
        <x:v>31</x:v>
      </x:c>
      <x:c r="O998" s="10" t="str">
        <x:v>Paper &amp; Party Supplies</x:v>
      </x:c>
      <x:c r="P998" s="10" t="n">
        <x:v>72</x:v>
      </x:c>
      <x:c r="Q998" s="10" t="n">
        <x:v>0</x:v>
      </x:c>
      <x:c r="R998" s="13" t="n">
        <x:v>9.68</x:v>
      </x:c>
      <x:c r="S998" s="10" t="n">
        <x:v>8456</x:v>
      </x:c>
      <x:c r="T998" s="10" t="str">
        <x:v>debt payoff,digital download,budget template,debt snowball pdf,digital budgeting,printable budget,debt tracker,debt payoff tracker,debt payoff charts,debt repayment,debt payoff template,debt free planner,mortgage loan payoff</x:v>
      </x:c>
      <x:c r="U998" s="10" t="str">
        <x:v>debt payoff</x:v>
      </x:c>
      <x:c r="V998" s="10" t="str">
        <x:v>digital download</x:v>
      </x:c>
      <x:c r="W998" s="10" t="str">
        <x:v>budget template</x:v>
      </x:c>
      <x:c r="X998" s="10" t="str">
        <x:v>debt snowball pdf</x:v>
      </x:c>
      <x:c r="Y998" s="10" t="str">
        <x:v>digital budgeting</x:v>
      </x:c>
      <x:c r="Z998" s="10" t="str">
        <x:v>printable budget</x:v>
      </x:c>
      <x:c r="AA998" s="10" t="str">
        <x:v>debt tracker</x:v>
      </x:c>
      <x:c r="AB998" s="10" t="str">
        <x:v>debt payoff tracker</x:v>
      </x:c>
      <x:c r="AC998" s="10" t="str">
        <x:v>debt payoff charts</x:v>
      </x:c>
      <x:c r="AD998" s="10" t="str">
        <x:v>debt repayment</x:v>
      </x:c>
      <x:c r="AE998" s="10" t="str">
        <x:v>debt payoff template</x:v>
      </x:c>
      <x:c r="AF998" s="10" t="str">
        <x:v>debt free planner</x:v>
      </x:c>
      <x:c r="AG998" s="10" t="str">
        <x:v>mortgage loan payoff</x:v>
      </x:c>
      <x:c r="AH998" s="10" t="str">
        <x:v>Other mortgage-related</x:v>
      </x:c>
      <x:c r="AI998" s="13" t="n">
        <x:v>35</x:v>
      </x:c>
      <x:c r="AJ998" s="10" t="str">
        <x:f>IF(F998&gt;0,"Active","No est. sales")</x:f>
        <x:v>No est. sales</x:v>
      </x:c>
    </x:row>
    <x:row r="999">
      <x:c r="A999" s="10" t="str">
        <x:v>Mortgage Payment Worksheet Template, Loan Amortization Schedule, Home Loan Tracker, Google Sheets Excel Spreadsheet</x:v>
      </x:c>
      <x:c r="B999" s="10" t="str">
        <x:v>https://www.etsy.com/listing/4472396545/mortgage-payment-worksheet-template-loan</x:v>
      </x:c>
      <x:c r="C999" s="10" t="str">
        <x:v>DaffodillsSheets</x:v>
      </x:c>
      <x:c r="D999" s="10" t="str">
        <x:v>https://www.etsy.com/shop/DaffodillsSheets</x:v>
      </x:c>
      <x:c r="E999" s="11" t="n">
        <x:v>10.87</x:v>
      </x:c>
      <x:c r="F999" s="10" t="n">
        <x:v>0</x:v>
      </x:c>
      <x:c r="G999" s="12" t="n">
        <x:v>0</x:v>
      </x:c>
      <x:c r="H999" s="13" t="n">
        <x:v>0</x:v>
      </x:c>
      <x:c r="I999" s="10" t="n">
        <x:v>0</x:v>
      </x:c>
      <x:c r="J999" s="10" t="n">
        <x:v>0</x:v>
      </x:c>
      <x:c r="K999" s="10" t="str">
        <x:v>4 Mo.</x:v>
      </x:c>
      <x:c r="L999" s="10" t="n">
        <x:v>0</x:v>
      </x:c>
      <x:c r="M999" s="10" t="n">
        <x:v>0</x:v>
      </x:c>
      <x:c r="N999" s="10" t="n">
        <x:v>0</x:v>
      </x:c>
      <x:c r="O999" s="10" t="str"/>
      <x:c r="P999" s="10" t="n">
        <x:v>10</x:v>
      </x:c>
      <x:c r="Q999" s="10" t="n">
        <x:v>0</x:v>
      </x:c>
      <x:c r="R999" s="13" t="n">
        <x:v>0</x:v>
      </x:c>
      <x:c r="S999" s="10" t="n">
        <x:v>567</x:v>
      </x:c>
      <x:c r="T999" s="10" t="str">
        <x:v>mortgage sheet,loan worksheet,amortization table,home loan tracker,payment schedule,excel mortgage,google loan sheet,refinance planner,interest tracker,loan summary,home finance tool,debt tracker,mortgage planner</x:v>
      </x:c>
      <x:c r="U999" s="10" t="str">
        <x:v>mortgage sheet</x:v>
      </x:c>
      <x:c r="V999" s="10" t="str">
        <x:v>loan worksheet</x:v>
      </x:c>
      <x:c r="W999" s="10" t="str">
        <x:v>amortization table</x:v>
      </x:c>
      <x:c r="X999" s="10" t="str">
        <x:v>home loan tracker</x:v>
      </x:c>
      <x:c r="Y999" s="10" t="str">
        <x:v>payment schedule</x:v>
      </x:c>
      <x:c r="Z999" s="10" t="str">
        <x:v>excel mortgage</x:v>
      </x:c>
      <x:c r="AA999" s="10" t="str">
        <x:v>google loan sheet</x:v>
      </x:c>
      <x:c r="AB999" s="10" t="str">
        <x:v>refinance planner</x:v>
      </x:c>
      <x:c r="AC999" s="10" t="str">
        <x:v>interest tracker</x:v>
      </x:c>
      <x:c r="AD999" s="10" t="str">
        <x:v>loan summary</x:v>
      </x:c>
      <x:c r="AE999" s="10" t="str">
        <x:v>home finance tool</x:v>
      </x:c>
      <x:c r="AF999" s="10" t="str">
        <x:v>debt tracker</x:v>
      </x:c>
      <x:c r="AG999" s="10" t="str">
        <x:v>mortgage planner</x:v>
      </x:c>
      <x:c r="AH999" s="10" t="str">
        <x:v>Mortgage payoff / calculator</x:v>
      </x:c>
      <x:c r="AI999" s="13" t="n">
        <x:v>4</x:v>
      </x:c>
      <x:c r="AJ999" s="10" t="str">
        <x:f>IF(F999&gt;0,"Active","No est. sales")</x:f>
        <x:v>No est. sales</x:v>
      </x:c>
    </x:row>
    <x:row r="1000">
      <x:c r="A1000" s="10" t="str">
        <x:v>Early Mortgage Payoff Calculator, Loan Payoff Spreadsheet, Google Sheets Mortgage Planner, Excel Debt Calculator, Home Loan Tracker</x:v>
      </x:c>
      <x:c r="B1000" s="10" t="str">
        <x:v>https://www.etsy.com/listing/4471525902/early-mortgage-payoff-calculator-loan</x:v>
      </x:c>
      <x:c r="C1000" s="10" t="str">
        <x:v>DaffodillsSheets</x:v>
      </x:c>
      <x:c r="D1000" s="10" t="str">
        <x:v>https://www.etsy.com/shop/DaffodillsSheets</x:v>
      </x:c>
      <x:c r="E1000" s="11" t="n">
        <x:v>10.87</x:v>
      </x:c>
      <x:c r="F1000" s="10" t="n">
        <x:v>0</x:v>
      </x:c>
      <x:c r="G1000" s="12" t="n">
        <x:v>0</x:v>
      </x:c>
      <x:c r="H1000" s="13" t="n">
        <x:v>0</x:v>
      </x:c>
      <x:c r="I1000" s="10" t="n">
        <x:v>0</x:v>
      </x:c>
      <x:c r="J1000" s="10" t="n">
        <x:v>0</x:v>
      </x:c>
      <x:c r="K1000" s="10" t="str">
        <x:v>4 Mo.</x:v>
      </x:c>
      <x:c r="L1000" s="10" t="n">
        <x:v>0</x:v>
      </x:c>
      <x:c r="M1000" s="10" t="n">
        <x:v>0</x:v>
      </x:c>
      <x:c r="N1000" s="10" t="n">
        <x:v>13</x:v>
      </x:c>
      <x:c r="O1000" s="10" t="str"/>
      <x:c r="P1000" s="10" t="n">
        <x:v>10</x:v>
      </x:c>
      <x:c r="Q1000" s="10" t="n">
        <x:v>0</x:v>
      </x:c>
      <x:c r="R1000" s="13" t="n">
        <x:v>0</x:v>
      </x:c>
      <x:c r="S1000" s="10" t="n">
        <x:v>567</x:v>
      </x:c>
      <x:c r="T1000" s="10" t="str">
        <x:v>mortgage payoff,loan calculator,debt payoff,home loan,payoff planner,mortgage sheet,finance tool,loan tracker,payoff sheet,mortgage plan,debt planner,interest saver,finance sheet</x:v>
      </x:c>
      <x:c r="U1000" s="10" t="str">
        <x:v>mortgage payoff</x:v>
      </x:c>
      <x:c r="V1000" s="10" t="str">
        <x:v>loan calculator</x:v>
      </x:c>
      <x:c r="W1000" s="10" t="str">
        <x:v>debt payoff</x:v>
      </x:c>
      <x:c r="X1000" s="10" t="str">
        <x:v>home loan</x:v>
      </x:c>
      <x:c r="Y1000" s="10" t="str">
        <x:v>payoff planner</x:v>
      </x:c>
      <x:c r="Z1000" s="10" t="str">
        <x:v>mortgage sheet</x:v>
      </x:c>
      <x:c r="AA1000" s="10" t="str">
        <x:v>finance tool</x:v>
      </x:c>
      <x:c r="AB1000" s="10" t="str">
        <x:v>loan tracker</x:v>
      </x:c>
      <x:c r="AC1000" s="10" t="str">
        <x:v>payoff sheet</x:v>
      </x:c>
      <x:c r="AD1000" s="10" t="str">
        <x:v>mortgage plan</x:v>
      </x:c>
      <x:c r="AE1000" s="10" t="str">
        <x:v>debt planner</x:v>
      </x:c>
      <x:c r="AF1000" s="10" t="str">
        <x:v>interest saver</x:v>
      </x:c>
      <x:c r="AG1000" s="10" t="str">
        <x:v>finance sheet</x:v>
      </x:c>
      <x:c r="AH1000" s="10" t="str">
        <x:v>Mortgage payoff / calculator</x:v>
      </x:c>
      <x:c r="AI1000" s="13" t="n">
        <x:v>4</x:v>
      </x:c>
      <x:c r="AJ1000" s="10" t="str">
        <x:f>IF(F1000&gt;0,"Active","No est. sales")</x:f>
        <x:v>No est. sales</x:v>
      </x:c>
    </x:row>
    <x:row r="1001">
      <x:c r="A1001" s="10" t="str">
        <x:v>CCJ and Credit Repair Tracker UK | Credit Score Improvement Spreadsheet | Excel &amp; Google Sheets</x:v>
      </x:c>
      <x:c r="B1001" s="10" t="str">
        <x:v>https://www.etsy.com/listing/4431605735/ccj-and-credit-repair-tracker-uk-credit</x:v>
      </x:c>
      <x:c r="C1001" s="10" t="str">
        <x:v>ClearFileStudio</x:v>
      </x:c>
      <x:c r="D1001" s="10" t="str">
        <x:v>https://www.etsy.com/shop/ClearFileStudio</x:v>
      </x:c>
      <x:c r="E1001" s="11" t="n">
        <x:v>22.63</x:v>
      </x:c>
      <x:c r="F1001" s="10" t="n">
        <x:v>0</x:v>
      </x:c>
      <x:c r="G1001" s="12" t="n">
        <x:v>0</x:v>
      </x:c>
      <x:c r="H1001" s="13" t="n">
        <x:v>0</x:v>
      </x:c>
      <x:c r="I1001" s="10" t="n">
        <x:v>0</x:v>
      </x:c>
      <x:c r="J1001" s="10" t="n">
        <x:v>0</x:v>
      </x:c>
      <x:c r="K1001" s="10" t="str">
        <x:v>7 Mo.</x:v>
      </x:c>
      <x:c r="L1001" s="10" t="n">
        <x:v>2</x:v>
      </x:c>
      <x:c r="M1001" s="10" t="n">
        <x:v>0</x:v>
      </x:c>
      <x:c r="N1001" s="10" t="n">
        <x:v>63</x:v>
      </x:c>
      <x:c r="O1001" s="10" t="str"/>
      <x:c r="P1001" s="10" t="n">
        <x:v>7</x:v>
      </x:c>
      <x:c r="Q1001" s="10" t="n">
        <x:v>0</x:v>
      </x:c>
      <x:c r="R1001" s="13" t="n">
        <x:v>0</x:v>
      </x:c>
      <x:c r="S1001" s="10" t="n">
        <x:v>0</x:v>
      </x:c>
      <x:c r="T1001" s="10" t="str">
        <x:v>ccj tracker,credit repair uk,credit score tracker,uk credit file,ccj organiser,credit spreadsheet,financial planner uk,mortgage prep uk,credit tracker uk,debt tracker uk,ccj help,credit file uk,personal finance uk</x:v>
      </x:c>
      <x:c r="U1001" s="10" t="str">
        <x:v>ccj tracker</x:v>
      </x:c>
      <x:c r="V1001" s="10" t="str">
        <x:v>credit repair uk</x:v>
      </x:c>
      <x:c r="W1001" s="10" t="str">
        <x:v>credit score tracker</x:v>
      </x:c>
      <x:c r="X1001" s="10" t="str">
        <x:v>uk credit file</x:v>
      </x:c>
      <x:c r="Y1001" s="10" t="str">
        <x:v>ccj organiser</x:v>
      </x:c>
      <x:c r="Z1001" s="10" t="str">
        <x:v>credit spreadsheet</x:v>
      </x:c>
      <x:c r="AA1001" s="10" t="str">
        <x:v>financial planner uk</x:v>
      </x:c>
      <x:c r="AB1001" s="10" t="str">
        <x:v>mortgage prep uk</x:v>
      </x:c>
      <x:c r="AC1001" s="10" t="str">
        <x:v>credit tracker uk</x:v>
      </x:c>
      <x:c r="AD1001" s="10" t="str">
        <x:v>debt tracker uk</x:v>
      </x:c>
      <x:c r="AE1001" s="10" t="str">
        <x:v>ccj help</x:v>
      </x:c>
      <x:c r="AF1001" s="10" t="str">
        <x:v>credit file uk</x:v>
      </x:c>
      <x:c r="AG1001" s="10" t="str">
        <x:v>personal finance uk</x:v>
      </x:c>
      <x:c r="AH1001" s="10" t="str">
        <x:v>Other mortgage-related</x:v>
      </x:c>
      <x:c r="AI1001" s="13" t="n">
        <x:v>7</x:v>
      </x:c>
      <x:c r="AJ1001" s="10" t="str">
        <x:f>IF(F1001&gt;0,"Active","No est. sales")</x:f>
        <x:v>No est. sales</x:v>
      </x:c>
    </x:row>
    <x:row r="1002">
      <x:c r="A1002" s="10" t="str">
        <x:v>First Time Home Buyer Notion Template, House Hunting Tracker, Moving Checklist, Home Buying Budget Planner, New Homeowner Dashboard</x:v>
      </x:c>
      <x:c r="B1002" s="10" t="str">
        <x:v>https://www.etsy.com/listing/4542612562/first-time-home-buyer-notion-template</x:v>
      </x:c>
      <x:c r="C1002" s="10" t="str">
        <x:v>SacredAestheticsCo</x:v>
      </x:c>
      <x:c r="D1002" s="10" t="str">
        <x:v>https://www.etsy.com/shop/SacredAestheticsCo</x:v>
      </x:c>
      <x:c r="E1002" s="11" t="n">
        <x:v>23.96</x:v>
      </x:c>
      <x:c r="F1002" s="10" t="n">
        <x:v>0</x:v>
      </x:c>
      <x:c r="G1002" s="12" t="n">
        <x:v>0</x:v>
      </x:c>
      <x:c r="H1002" s="13" t="n">
        <x:v>0</x:v>
      </x:c>
      <x:c r="I1002" s="10" t="n">
        <x:v>0</x:v>
      </x:c>
      <x:c r="J1002" s="10" t="n">
        <x:v>0</x:v>
      </x:c>
      <x:c r="K1002" s="10" t="str">
        <x:v>1 Mo.</x:v>
      </x:c>
      <x:c r="L1002" s="10" t="n">
        <x:v>0</x:v>
      </x:c>
      <x:c r="M1002" s="10" t="n">
        <x:v>0</x:v>
      </x:c>
      <x:c r="N1002" s="10" t="n">
        <x:v>1</x:v>
      </x:c>
      <x:c r="O1002" s="10" t="str"/>
      <x:c r="P1002" s="10" t="n">
        <x:v>16</x:v>
      </x:c>
      <x:c r="Q1002" s="10" t="n">
        <x:v>0</x:v>
      </x:c>
      <x:c r="R1002" s="13" t="n">
        <x:v>0</x:v>
      </x:c>
      <x:c r="S1002" s="10" t="n">
        <x:v>1</x:v>
      </x:c>
      <x:c r="T1002" s="10" t="str">
        <x:v>first time buyer,house hunting,home buying,notion template,moving checklist,new homeowner,house tracker,home budget,moving planner,property tracker,mortgage tracker,house checklist,home organizer</x:v>
      </x:c>
      <x:c r="U1002" s="10" t="str">
        <x:v>first time buyer</x:v>
      </x:c>
      <x:c r="V1002" s="10" t="str">
        <x:v>house hunting</x:v>
      </x:c>
      <x:c r="W1002" s="10" t="str">
        <x:v>home buying</x:v>
      </x:c>
      <x:c r="X1002" s="10" t="str">
        <x:v>notion template</x:v>
      </x:c>
      <x:c r="Y1002" s="10" t="str">
        <x:v>moving checklist</x:v>
      </x:c>
      <x:c r="Z1002" s="10" t="str">
        <x:v>new homeowner</x:v>
      </x:c>
      <x:c r="AA1002" s="10" t="str">
        <x:v>house tracker</x:v>
      </x:c>
      <x:c r="AB1002" s="10" t="str">
        <x:v>home budget</x:v>
      </x:c>
      <x:c r="AC1002" s="10" t="str">
        <x:v>moving planner</x:v>
      </x:c>
      <x:c r="AD1002" s="10" t="str">
        <x:v>property tracker</x:v>
      </x:c>
      <x:c r="AE1002" s="10" t="str">
        <x:v>mortgage tracker</x:v>
      </x:c>
      <x:c r="AF1002" s="10" t="str">
        <x:v>house checklist</x:v>
      </x:c>
      <x:c r="AG1002" s="10" t="str">
        <x:v>home organizer</x:v>
      </x:c>
      <x:c r="AH1002" s="10" t="str">
        <x:v>Home buying planner</x:v>
      </x:c>
      <x:c r="AI1002" s="13" t="n">
        <x:v>1</x:v>
      </x:c>
      <x:c r="AJ1002" s="10" t="str">
        <x:f>IF(F1002&gt;0,"Active","No est. sales")</x:f>
        <x:v>No est. sales</x:v>
      </x:c>
    </x:row>
    <x:row r="1003">
      <x:c r="A1003" s="10" t="str">
        <x:v>Pay Mortgage Stickers- Mortgage Stickers-Mortgage Due Stickers -House Stickers-House Payment Stickers-Cute Stickers-Doodle Stickers-(DL-311)</x:v>
      </x:c>
      <x:c r="B1003" s="10" t="str">
        <x:v>https://www.etsy.com/listing/1795248793/pay-mortgage-stickers-mortgage-stickers</x:v>
      </x:c>
      <x:c r="C1003" s="10" t="str">
        <x:v>BenevaCreations</x:v>
      </x:c>
      <x:c r="D1003" s="10" t="str">
        <x:v>https://www.etsy.com/shop/BenevaCreations</x:v>
      </x:c>
      <x:c r="E1003" s="11" t="n">
        <x:v>1.64</x:v>
      </x:c>
      <x:c r="F1003" s="10" t="n">
        <x:v>0</x:v>
      </x:c>
      <x:c r="G1003" s="12" t="n">
        <x:v>0</x:v>
      </x:c>
      <x:c r="H1003" s="13" t="n">
        <x:v>0</x:v>
      </x:c>
      <x:c r="I1003" s="10" t="n">
        <x:v>0</x:v>
      </x:c>
      <x:c r="J1003" s="10" t="n">
        <x:v>0</x:v>
      </x:c>
      <x:c r="K1003" s="10" t="str">
        <x:v>22 Mo.</x:v>
      </x:c>
      <x:c r="L1003" s="10" t="n">
        <x:v>17</x:v>
      </x:c>
      <x:c r="M1003" s="10" t="n">
        <x:v>0</x:v>
      </x:c>
      <x:c r="N1003" s="10" t="n">
        <x:v>189</x:v>
      </x:c>
      <x:c r="O1003" s="10" t="str">
        <x:v>Paper &amp; Party Supplies</x:v>
      </x:c>
      <x:c r="P1003" s="10" t="n">
        <x:v>101</x:v>
      </x:c>
      <x:c r="Q1003" s="10" t="n">
        <x:v>0</x:v>
      </x:c>
      <x:c r="R1003" s="13" t="n">
        <x:v>0</x:v>
      </x:c>
      <x:c r="S1003" s="10" t="n">
        <x:v>78744</x:v>
      </x:c>
      <x:c r="T1003" s="10" t="str">
        <x:v>planner stickers,beneva creations,benevacreations,cute stickers,doodle stickers,house payment,house stickers,finance stickers,mortgage due,mortgage payment,mortgage stickers,mortgage reminder,mortgage planner</x:v>
      </x:c>
      <x:c r="U1003" s="10" t="str">
        <x:v>planner stickers</x:v>
      </x:c>
      <x:c r="V1003" s="10" t="str">
        <x:v>beneva creations</x:v>
      </x:c>
      <x:c r="W1003" s="10" t="str">
        <x:v>benevacreations</x:v>
      </x:c>
      <x:c r="X1003" s="10" t="str">
        <x:v>cute stickers</x:v>
      </x:c>
      <x:c r="Y1003" s="10" t="str">
        <x:v>doodle stickers</x:v>
      </x:c>
      <x:c r="Z1003" s="10" t="str">
        <x:v>house payment</x:v>
      </x:c>
      <x:c r="AA1003" s="10" t="str">
        <x:v>house stickers</x:v>
      </x:c>
      <x:c r="AB1003" s="10" t="str">
        <x:v>finance stickers</x:v>
      </x:c>
      <x:c r="AC1003" s="10" t="str">
        <x:v>mortgage due</x:v>
      </x:c>
      <x:c r="AD1003" s="10" t="str">
        <x:v>mortgage payment</x:v>
      </x:c>
      <x:c r="AE1003" s="10" t="str">
        <x:v>mortgage stickers</x:v>
      </x:c>
      <x:c r="AF1003" s="10" t="str">
        <x:v>mortgage reminder</x:v>
      </x:c>
      <x:c r="AG1003" s="10" t="str">
        <x:v>mortgage planner</x:v>
      </x:c>
      <x:c r="AH1003" s="10" t="str">
        <x:v>Other mortgage-related</x:v>
      </x:c>
      <x:c r="AI1003" s="13" t="n">
        <x:v>22</x:v>
      </x:c>
      <x:c r="AJ1003" s="10" t="str">
        <x:f>IF(F1003&gt;0,"Active","No est. sales")</x:f>
        <x:v>No est. sales</x:v>
      </x:c>
    </x:row>
    <x:row r="1004">
      <x:c r="A1004" s="10" t="str">
        <x:v>Credit Card Payoff Debt Tracker Google Sheets: Debt Snowball Spreadsheet, Debt Avalanche Calculator, Credit Card Tracker, Credit Card Debt</x:v>
      </x:c>
      <x:c r="B1004" s="10" t="str">
        <x:v>https://www.etsy.com/listing/4295007559/credit-card-payoff-debt-tracker-google</x:v>
      </x:c>
      <x:c r="C1004" s="10" t="str">
        <x:v>TheCalmLifeReset</x:v>
      </x:c>
      <x:c r="D1004" s="10" t="str">
        <x:v>https://www.etsy.com/shop/TheCalmLifeReset</x:v>
      </x:c>
      <x:c r="E1004" s="11" t="n">
        <x:v>3.6</x:v>
      </x:c>
      <x:c r="F1004" s="10" t="n">
        <x:v>0</x:v>
      </x:c>
      <x:c r="G1004" s="12" t="n">
        <x:v>0</x:v>
      </x:c>
      <x:c r="H1004" s="13" t="n">
        <x:v>0</x:v>
      </x:c>
      <x:c r="I1004" s="10" t="n">
        <x:v>261</x:v>
      </x:c>
      <x:c r="J1004" s="10" t="n">
        <x:v>19</x:v>
      </x:c>
      <x:c r="K1004" s="10" t="str">
        <x:v>15 Mo.</x:v>
      </x:c>
      <x:c r="L1004" s="10" t="n">
        <x:v>76</x:v>
      </x:c>
      <x:c r="M1004" s="10" t="n">
        <x:v>1</x:v>
      </x:c>
      <x:c r="N1004" s="10" t="n">
        <x:v>2910</x:v>
      </x:c>
      <x:c r="O1004" s="10" t="str">
        <x:v>Paper &amp; Party Supplies</x:v>
      </x:c>
      <x:c r="P1004" s="10" t="n">
        <x:v>23</x:v>
      </x:c>
      <x:c r="Q1004" s="10" t="n">
        <x:v>54</x:v>
      </x:c>
      <x:c r="R1004" s="13" t="n">
        <x:v>8.97</x:v>
      </x:c>
      <x:c r="S1004" s="10" t="n">
        <x:v>7715</x:v>
      </x:c>
      <x:c r="T1004" s="10" t="str">
        <x:v>debt google sheets,debt avalanche,mortgage payoff,snowball method,debt calculator,debt snowball,loan payoff tracker,student loan debt,debt payment tracker,debt payoff planner,financial planner,credit card debt,credit card tracker</x:v>
      </x:c>
      <x:c r="U1004" s="10" t="str">
        <x:v>debt google sheets</x:v>
      </x:c>
      <x:c r="V1004" s="10" t="str">
        <x:v>debt avalanche</x:v>
      </x:c>
      <x:c r="W1004" s="10" t="str">
        <x:v>mortgage payoff</x:v>
      </x:c>
      <x:c r="X1004" s="10" t="str">
        <x:v>snowball method</x:v>
      </x:c>
      <x:c r="Y1004" s="10" t="str">
        <x:v>debt calculator</x:v>
      </x:c>
      <x:c r="Z1004" s="10" t="str">
        <x:v>debt snowball</x:v>
      </x:c>
      <x:c r="AA1004" s="10" t="str">
        <x:v>loan payoff tracker</x:v>
      </x:c>
      <x:c r="AB1004" s="10" t="str">
        <x:v>student loan debt</x:v>
      </x:c>
      <x:c r="AC1004" s="10" t="str">
        <x:v>debt payment tracker</x:v>
      </x:c>
      <x:c r="AD1004" s="10" t="str">
        <x:v>debt payoff planner</x:v>
      </x:c>
      <x:c r="AE1004" s="10" t="str">
        <x:v>financial planner</x:v>
      </x:c>
      <x:c r="AF1004" s="10" t="str">
        <x:v>credit card debt</x:v>
      </x:c>
      <x:c r="AG1004" s="10" t="str">
        <x:v>credit card tracker</x:v>
      </x:c>
      <x:c r="AH1004" s="10" t="str">
        <x:v>General debt payoff</x:v>
      </x:c>
      <x:c r="AI1004" s="13" t="n">
        <x:v>15</x:v>
      </x:c>
      <x:c r="AJ1004" s="10" t="str">
        <x:f>IF(F1004&gt;0,"Active","No est. sales")</x:f>
        <x:v>No est. sales</x:v>
      </x:c>
    </x:row>
    <x:row r="1005">
      <x:c r="A1005" s="10" t="str">
        <x:v>Rent Due Sprout Character Planner Stickers Printable | Digital Download | Cut Lines Included | S10</x:v>
      </x:c>
      <x:c r="B1005" s="10" t="str">
        <x:v>https://www.etsy.com/listing/4481098298/rent-due-sprout-character-planner</x:v>
      </x:c>
      <x:c r="C1005" s="10" t="str">
        <x:v>PMDPrintAndPlan</x:v>
      </x:c>
      <x:c r="D1005" s="10" t="str">
        <x:v>https://www.etsy.com/shop/PMDPrintAndPlan</x:v>
      </x:c>
      <x:c r="E1005" s="11" t="n">
        <x:v>1.75</x:v>
      </x:c>
      <x:c r="F1005" s="10" t="n">
        <x:v>0</x:v>
      </x:c>
      <x:c r="G1005" s="12" t="n">
        <x:v>0</x:v>
      </x:c>
      <x:c r="H1005" s="13" t="n">
        <x:v>0</x:v>
      </x:c>
      <x:c r="I1005" s="10" t="n">
        <x:v>8</x:v>
      </x:c>
      <x:c r="J1005" s="10" t="n">
        <x:v>1</x:v>
      </x:c>
      <x:c r="K1005" s="10" t="str">
        <x:v>3 Mo.</x:v>
      </x:c>
      <x:c r="L1005" s="10" t="n">
        <x:v>1</x:v>
      </x:c>
      <x:c r="M1005" s="10" t="n">
        <x:v>0</x:v>
      </x:c>
      <x:c r="N1005" s="10" t="n">
        <x:v>15</x:v>
      </x:c>
      <x:c r="O1005" s="10" t="str">
        <x:v>Paper &amp; Party Supplies</x:v>
      </x:c>
      <x:c r="P1005" s="10" t="n">
        <x:v>124</x:v>
      </x:c>
      <x:c r="Q1005" s="10" t="n">
        <x:v>0</x:v>
      </x:c>
      <x:c r="R1005" s="13" t="n">
        <x:v>53.33</x:v>
      </x:c>
      <x:c r="S1005" s="10" t="n">
        <x:v>22638</x:v>
      </x:c>
      <x:c r="T1005" s="10" t="str">
        <x:v>printable stickers,printable planner,planner stickers,cricut printable,bills,bill due,rent due,mortgage,house bill</x:v>
      </x:c>
      <x:c r="U1005" s="10" t="str">
        <x:v>printable stickers</x:v>
      </x:c>
      <x:c r="V1005" s="10" t="str">
        <x:v>printable planner</x:v>
      </x:c>
      <x:c r="W1005" s="10" t="str">
        <x:v>planner stickers</x:v>
      </x:c>
      <x:c r="X1005" s="10" t="str">
        <x:v>cricut printable</x:v>
      </x:c>
      <x:c r="Y1005" s="10" t="str">
        <x:v>bills</x:v>
      </x:c>
      <x:c r="Z1005" s="10" t="str">
        <x:v>bill due</x:v>
      </x:c>
      <x:c r="AA1005" s="10" t="str">
        <x:v>rent due</x:v>
      </x:c>
      <x:c r="AB1005" s="10" t="str">
        <x:v>mortgage</x:v>
      </x:c>
      <x:c r="AC1005" s="10" t="str">
        <x:v>house bill</x:v>
      </x:c>
      <x:c r="AD1005" s="10" t="str">
        <x:v>--</x:v>
      </x:c>
      <x:c r="AE1005" s="10" t="str">
        <x:v>--</x:v>
      </x:c>
      <x:c r="AF1005" s="10" t="str">
        <x:v>--</x:v>
      </x:c>
      <x:c r="AG1005" s="10" t="str">
        <x:v>--</x:v>
      </x:c>
      <x:c r="AH1005" s="10" t="str">
        <x:v>Other mortgage-related</x:v>
      </x:c>
      <x:c r="AI1005" s="13" t="n">
        <x:v>3</x:v>
      </x:c>
      <x:c r="AJ1005" s="10" t="str">
        <x:f>IF(F1005&gt;0,"Active","No est. sales")</x:f>
        <x:v>No est. sales</x:v>
      </x:c>
    </x:row>
    <x:row r="1006">
      <x:c r="A1006" s="10" t="str">
        <x:v>Canadian First Home Buyer Kit — Down Payment Planner + FHSA RRSP Tracker + Checklist</x:v>
      </x:c>
      <x:c r="B1006" s="10" t="str">
        <x:v>https://www.etsy.com/listing/4508035378/canadian-first-home-buyer-kit-down</x:v>
      </x:c>
      <x:c r="C1006" s="10" t="str">
        <x:v>TheDashboardCo</x:v>
      </x:c>
      <x:c r="D1006" s="10" t="str">
        <x:v>https://www.etsy.com/shop/TheDashboardCo</x:v>
      </x:c>
      <x:c r="E1006" s="11" t="n">
        <x:v>2.83</x:v>
      </x:c>
      <x:c r="F1006" s="10" t="n">
        <x:v>0</x:v>
      </x:c>
      <x:c r="G1006" s="12" t="n">
        <x:v>0</x:v>
      </x:c>
      <x:c r="H1006" s="13" t="n">
        <x:v>0</x:v>
      </x:c>
      <x:c r="I1006" s="10" t="n">
        <x:v>0</x:v>
      </x:c>
      <x:c r="J1006" s="10" t="n">
        <x:v>0</x:v>
      </x:c>
      <x:c r="K1006" s="10" t="str">
        <x:v>2 Mo.</x:v>
      </x:c>
      <x:c r="L1006" s="10" t="n">
        <x:v>0</x:v>
      </x:c>
      <x:c r="M1006" s="10" t="n">
        <x:v>0</x:v>
      </x:c>
      <x:c r="N1006" s="10" t="n">
        <x:v>5</x:v>
      </x:c>
      <x:c r="O1006" s="10" t="str"/>
      <x:c r="P1006" s="10" t="n">
        <x:v>7</x:v>
      </x:c>
      <x:c r="Q1006" s="10" t="n">
        <x:v>0</x:v>
      </x:c>
      <x:c r="R1006" s="13" t="n">
        <x:v>0</x:v>
      </x:c>
      <x:c r="S1006" s="10" t="n">
        <x:v>0</x:v>
      </x:c>
      <x:c r="T1006" s="10" t="str">
        <x:v>fhsa tracker,down payment,planner rrsp,home buyers,first home canada,cmhc calculator,canadian real estate,fhsa rrsp tfsa,canadian finance,first home buyer,plan mortgage,home buyer kit,home checklist</x:v>
      </x:c>
      <x:c r="U1006" s="10" t="str">
        <x:v>fhsa tracker</x:v>
      </x:c>
      <x:c r="V1006" s="10" t="str">
        <x:v>down payment</x:v>
      </x:c>
      <x:c r="W1006" s="10" t="str">
        <x:v>planner rrsp</x:v>
      </x:c>
      <x:c r="X1006" s="10" t="str">
        <x:v>home buyers</x:v>
      </x:c>
      <x:c r="Y1006" s="10" t="str">
        <x:v>first home canada</x:v>
      </x:c>
      <x:c r="Z1006" s="10" t="str">
        <x:v>cmhc calculator</x:v>
      </x:c>
      <x:c r="AA1006" s="10" t="str">
        <x:v>canadian real estate</x:v>
      </x:c>
      <x:c r="AB1006" s="10" t="str">
        <x:v>fhsa rrsp tfsa</x:v>
      </x:c>
      <x:c r="AC1006" s="10" t="str">
        <x:v>canadian finance</x:v>
      </x:c>
      <x:c r="AD1006" s="10" t="str">
        <x:v>first home buyer</x:v>
      </x:c>
      <x:c r="AE1006" s="10" t="str">
        <x:v>plan mortgage</x:v>
      </x:c>
      <x:c r="AF1006" s="10" t="str">
        <x:v>home buyer kit</x:v>
      </x:c>
      <x:c r="AG1006" s="10" t="str">
        <x:v>home checklist</x:v>
      </x:c>
      <x:c r="AH1006" s="10" t="str">
        <x:v>Other mortgage-related</x:v>
      </x:c>
      <x:c r="AI1006" s="13" t="n">
        <x:v>2</x:v>
      </x:c>
      <x:c r="AJ1006" s="10" t="str">
        <x:f>IF(F1006&gt;0,"Active","No est. sales")</x:f>
        <x:v>No est. sales</x:v>
      </x:c>
    </x:row>
    <x:row r="1007">
      <x:c r="A1007" s="10" t="str">
        <x:v>Editable Home Buying Planner A4 US Letter Printable Real Estate Checklist Mortgage Budget Tracker First Time Buyer Guide Canva house planner</x:v>
      </x:c>
      <x:c r="B1007" s="10" t="str">
        <x:v>https://www.etsy.com/listing/4305120868/editable-home-buying-planner-a4-us</x:v>
      </x:c>
      <x:c r="C1007" s="10" t="str">
        <x:v>EliteTemplateStudio</x:v>
      </x:c>
      <x:c r="D1007" s="10" t="str">
        <x:v>https://www.etsy.com/shop/EliteTemplateStudio</x:v>
      </x:c>
      <x:c r="E1007" s="11" t="n">
        <x:v>9.57</x:v>
      </x:c>
      <x:c r="F1007" s="10" t="n">
        <x:v>0</x:v>
      </x:c>
      <x:c r="G1007" s="12" t="n">
        <x:v>0</x:v>
      </x:c>
      <x:c r="H1007" s="13" t="n">
        <x:v>0</x:v>
      </x:c>
      <x:c r="I1007" s="10" t="n">
        <x:v>13</x:v>
      </x:c>
      <x:c r="J1007" s="10" t="n">
        <x:v>1</x:v>
      </x:c>
      <x:c r="K1007" s="10" t="str">
        <x:v>14 Mo.</x:v>
      </x:c>
      <x:c r="L1007" s="10" t="n">
        <x:v>6</x:v>
      </x:c>
      <x:c r="M1007" s="10" t="n">
        <x:v>0</x:v>
      </x:c>
      <x:c r="N1007" s="10" t="n">
        <x:v>169</x:v>
      </x:c>
      <x:c r="O1007" s="10" t="str">
        <x:v>Paper &amp; Party Supplies</x:v>
      </x:c>
      <x:c r="P1007" s="10" t="n">
        <x:v>32</x:v>
      </x:c>
      <x:c r="Q1007" s="10" t="n">
        <x:v>0</x:v>
      </x:c>
      <x:c r="R1007" s="13" t="n">
        <x:v>7.69</x:v>
      </x:c>
      <x:c r="S1007" s="10" t="n">
        <x:v>4708</x:v>
      </x:c>
      <x:c r="T1007" s="10" t="str">
        <x:v>first time home buyer guide,home buying checklist pdf,house hunting organizer,printable real estate kit,mortgage tracker planner,editable home buyer binder,home buying journal canva,real estate planner pdf,new homeowner planner,house shopping worksheet,real estate budget tool,home purchase checklist,property comparison sheet</x:v>
      </x:c>
      <x:c r="U1007" s="10" t="str">
        <x:v>first time home buyer guide</x:v>
      </x:c>
      <x:c r="V1007" s="10" t="str">
        <x:v>home buying checklist pdf</x:v>
      </x:c>
      <x:c r="W1007" s="10" t="str">
        <x:v>house hunting organizer</x:v>
      </x:c>
      <x:c r="X1007" s="10" t="str">
        <x:v>printable real estate kit</x:v>
      </x:c>
      <x:c r="Y1007" s="10" t="str">
        <x:v>mortgage tracker planner</x:v>
      </x:c>
      <x:c r="Z1007" s="10" t="str">
        <x:v>editable home buyer binder</x:v>
      </x:c>
      <x:c r="AA1007" s="10" t="str">
        <x:v>home buying journal canva</x:v>
      </x:c>
      <x:c r="AB1007" s="10" t="str">
        <x:v>real estate planner pdf</x:v>
      </x:c>
      <x:c r="AC1007" s="10" t="str">
        <x:v>new homeowner planner</x:v>
      </x:c>
      <x:c r="AD1007" s="10" t="str">
        <x:v>house shopping worksheet</x:v>
      </x:c>
      <x:c r="AE1007" s="10" t="str">
        <x:v>real estate budget tool</x:v>
      </x:c>
      <x:c r="AF1007" s="10" t="str">
        <x:v>home purchase checklist</x:v>
      </x:c>
      <x:c r="AG1007" s="10" t="str">
        <x:v>property comparison sheet</x:v>
      </x:c>
      <x:c r="AH1007" s="10" t="str">
        <x:v>Home buying planner</x:v>
      </x:c>
      <x:c r="AI1007" s="13" t="n">
        <x:v>14</x:v>
      </x:c>
      <x:c r="AJ1007" s="10" t="str">
        <x:f>IF(F1007&gt;0,"Active","No est. sales")</x:f>
        <x:v>No est. sales</x:v>
      </x:c>
    </x:row>
    <x:row r="1008">
      <x:c r="A1008" s="10" t="str">
        <x:v>First-Time Homebuyer Workbook | House Hunting Checklist, Mortgage Planner (Instant Download)</x:v>
      </x:c>
      <x:c r="B1008" s="10" t="str">
        <x:v>https://www.etsy.com/listing/4516151077/first-time-homebuyer-workbook-house</x:v>
      </x:c>
      <x:c r="C1008" s="10" t="str">
        <x:v>FutureIncomeTools</x:v>
      </x:c>
      <x:c r="D1008" s="10" t="str">
        <x:v>https://www.etsy.com/shop/FutureIncomeTools</x:v>
      </x:c>
      <x:c r="E1008" s="11" t="n">
        <x:v>22.99</x:v>
      </x:c>
      <x:c r="F1008" s="10" t="n">
        <x:v>0</x:v>
      </x:c>
      <x:c r="G1008" s="12" t="n">
        <x:v>0</x:v>
      </x:c>
      <x:c r="H1008" s="13" t="n">
        <x:v>0</x:v>
      </x:c>
      <x:c r="I1008" s="10" t="n">
        <x:v>0</x:v>
      </x:c>
      <x:c r="J1008" s="10" t="n">
        <x:v>0</x:v>
      </x:c>
      <x:c r="K1008" s="10" t="str">
        <x:v>1 Mo.</x:v>
      </x:c>
      <x:c r="L1008" s="10" t="n">
        <x:v>0</x:v>
      </x:c>
      <x:c r="M1008" s="10" t="n">
        <x:v>0</x:v>
      </x:c>
      <x:c r="N1008" s="10" t="n">
        <x:v>7</x:v>
      </x:c>
      <x:c r="O1008" s="10" t="str">
        <x:v>Art &amp; Collectibles</x:v>
      </x:c>
      <x:c r="P1008" s="10" t="n">
        <x:v>5</x:v>
      </x:c>
      <x:c r="Q1008" s="10" t="n">
        <x:v>0</x:v>
      </x:c>
      <x:c r="R1008" s="13" t="n">
        <x:v>0</x:v>
      </x:c>
      <x:c r="S1008" s="10" t="n">
        <x:v>54</x:v>
      </x:c>
      <x:c r="T1008" s="10" t="str">
        <x:v>homebuyer workbook,first home buyer pdf,house hunting guide,homebuying planner,home buyer checklist,real estate workbook,first time buyer,house hunting pdf,mortgage planner,home search tracker,property comparison,homebuyer guide,new home planner</x:v>
      </x:c>
      <x:c r="U1008" s="10" t="str">
        <x:v>homebuyer workbook</x:v>
      </x:c>
      <x:c r="V1008" s="10" t="str">
        <x:v>first home buyer pdf</x:v>
      </x:c>
      <x:c r="W1008" s="10" t="str">
        <x:v>house hunting guide</x:v>
      </x:c>
      <x:c r="X1008" s="10" t="str">
        <x:v>homebuying planner</x:v>
      </x:c>
      <x:c r="Y1008" s="10" t="str">
        <x:v>home buyer checklist</x:v>
      </x:c>
      <x:c r="Z1008" s="10" t="str">
        <x:v>real estate workbook</x:v>
      </x:c>
      <x:c r="AA1008" s="10" t="str">
        <x:v>first time buyer</x:v>
      </x:c>
      <x:c r="AB1008" s="10" t="str">
        <x:v>house hunting pdf</x:v>
      </x:c>
      <x:c r="AC1008" s="10" t="str">
        <x:v>mortgage planner</x:v>
      </x:c>
      <x:c r="AD1008" s="10" t="str">
        <x:v>home search tracker</x:v>
      </x:c>
      <x:c r="AE1008" s="10" t="str">
        <x:v>property comparison</x:v>
      </x:c>
      <x:c r="AF1008" s="10" t="str">
        <x:v>homebuyer guide</x:v>
      </x:c>
      <x:c r="AG1008" s="10" t="str">
        <x:v>new home planner</x:v>
      </x:c>
      <x:c r="AH1008" s="10" t="str">
        <x:v>Home buying planner</x:v>
      </x:c>
      <x:c r="AI1008" s="13" t="n">
        <x:v>1</x:v>
      </x:c>
      <x:c r="AJ1008" s="10" t="str">
        <x:f>IF(F1008&gt;0,"Active","No est. sales")</x:f>
        <x:v>No est. sales</x:v>
      </x:c>
    </x:row>
    <x:row r="1009">
      <x:c r="A1009" s="10" t="str">
        <x:v>Loan Repayment Google Sheets Spreadsheet, Mortgage Amortization Calculator Template with Extra Payments to Payoff a Mortgage or Car Loan</x:v>
      </x:c>
      <x:c r="B1009" s="10" t="str">
        <x:v>https://www.etsy.com/listing/1018344183/loan-repayment-google-sheets-spreadsheet</x:v>
      </x:c>
      <x:c r="C1009" s="10" t="str">
        <x:v>MomMoneyMap</x:v>
      </x:c>
      <x:c r="D1009" s="10" t="str">
        <x:v>https://www.etsy.com/shop/MomMoneyMap</x:v>
      </x:c>
      <x:c r="E1009" s="11" t="n">
        <x:v>6.99</x:v>
      </x:c>
      <x:c r="F1009" s="10" t="n">
        <x:v>0</x:v>
      </x:c>
      <x:c r="G1009" s="12" t="n">
        <x:v>0</x:v>
      </x:c>
      <x:c r="H1009" s="13" t="n">
        <x:v>0</x:v>
      </x:c>
      <x:c r="I1009" s="10" t="n">
        <x:v>456</x:v>
      </x:c>
      <x:c r="J1009" s="10" t="n">
        <x:v>45</x:v>
      </x:c>
      <x:c r="K1009" s="10" t="str">
        <x:v>62 Mo.</x:v>
      </x:c>
      <x:c r="L1009" s="10" t="n">
        <x:v>354</x:v>
      </x:c>
      <x:c r="M1009" s="10" t="n">
        <x:v>1</x:v>
      </x:c>
      <x:c r="N1009" s="10" t="n">
        <x:v>17386</x:v>
      </x:c>
      <x:c r="O1009" s="10" t="str"/>
      <x:c r="P1009" s="10" t="n">
        <x:v>78</x:v>
      </x:c>
      <x:c r="Q1009" s="10" t="n">
        <x:v>72</x:v>
      </x:c>
      <x:c r="R1009" s="13" t="n">
        <x:v>2.62</x:v>
      </x:c>
      <x:c r="S1009" s="10" t="n">
        <x:v>18652</x:v>
      </x:c>
      <x:c r="T1009" s="10" t="str">
        <x:v>loan amortization,loan calculator,loan payment,loan google sheets,family loan tracker,amortization table,mortgage,amortization,loan pay back,calculator,loan planner,loan planning,loan plan</x:v>
      </x:c>
      <x:c r="U1009" s="10" t="str">
        <x:v>loan amortization</x:v>
      </x:c>
      <x:c r="V1009" s="10" t="str">
        <x:v>loan calculator</x:v>
      </x:c>
      <x:c r="W1009" s="10" t="str">
        <x:v>loan payment</x:v>
      </x:c>
      <x:c r="X1009" s="10" t="str">
        <x:v>loan google sheets</x:v>
      </x:c>
      <x:c r="Y1009" s="10" t="str">
        <x:v>family loan tracker</x:v>
      </x:c>
      <x:c r="Z1009" s="10" t="str">
        <x:v>amortization table</x:v>
      </x:c>
      <x:c r="AA1009" s="10" t="str">
        <x:v>mortgage</x:v>
      </x:c>
      <x:c r="AB1009" s="10" t="str">
        <x:v>amortization</x:v>
      </x:c>
      <x:c r="AC1009" s="10" t="str">
        <x:v>loan pay back</x:v>
      </x:c>
      <x:c r="AD1009" s="10" t="str">
        <x:v>calculator</x:v>
      </x:c>
      <x:c r="AE1009" s="10" t="str">
        <x:v>loan planner</x:v>
      </x:c>
      <x:c r="AF1009" s="10" t="str">
        <x:v>loan planning</x:v>
      </x:c>
      <x:c r="AG1009" s="10" t="str">
        <x:v>loan plan</x:v>
      </x:c>
      <x:c r="AH1009" s="10" t="str">
        <x:v>Mortgage payoff / calculator</x:v>
      </x:c>
      <x:c r="AI1009" s="13" t="n">
        <x:v>62</x:v>
      </x:c>
      <x:c r="AJ1009" s="10" t="str">
        <x:f>IF(F1009&gt;0,"Active","No est. sales")</x:f>
        <x:v>No est. sales</x:v>
      </x:c>
    </x:row>
    <x:row r="1010">
      <x:c r="A1010" s="10" t="str">
        <x:v>Home Mortgage Payoff / Home Debt Payoff / Debt Free Living / Dave Ramsey / Financial Peace / Debt Planner</x:v>
      </x:c>
      <x:c r="B1010" s="10" t="str">
        <x:v>https://www.etsy.com/listing/610362148/home-mortgage-payoff-home-debt-payoff</x:v>
      </x:c>
      <x:c r="C1010" s="10" t="str">
        <x:v>HorizonDesignStudios</x:v>
      </x:c>
      <x:c r="D1010" s="10" t="str">
        <x:v>https://www.etsy.com/shop/HorizonDesignStudios</x:v>
      </x:c>
      <x:c r="E1010" s="11" t="n">
        <x:v>4.75</x:v>
      </x:c>
      <x:c r="F1010" s="10" t="n">
        <x:v>0</x:v>
      </x:c>
      <x:c r="G1010" s="12" t="n">
        <x:v>0</x:v>
      </x:c>
      <x:c r="H1010" s="13" t="n">
        <x:v>0</x:v>
      </x:c>
      <x:c r="I1010" s="10" t="n">
        <x:v>0</x:v>
      </x:c>
      <x:c r="J1010" s="10" t="n">
        <x:v>0</x:v>
      </x:c>
      <x:c r="K1010" s="10" t="str">
        <x:v>97 Mo.</x:v>
      </x:c>
      <x:c r="L1010" s="10" t="n">
        <x:v>27</x:v>
      </x:c>
      <x:c r="M1010" s="10" t="n">
        <x:v>0</x:v>
      </x:c>
      <x:c r="N1010" s="10" t="n">
        <x:v>781</x:v>
      </x:c>
      <x:c r="O1010" s="10" t="str">
        <x:v>Paper &amp; Party Supplies</x:v>
      </x:c>
      <x:c r="P1010" s="10" t="n">
        <x:v>101</x:v>
      </x:c>
      <x:c r="Q1010" s="10" t="n">
        <x:v>0</x:v>
      </x:c>
      <x:c r="R1010" s="13" t="n">
        <x:v>0</x:v>
      </x:c>
      <x:c r="S1010" s="10" t="n">
        <x:v>39206</x:v>
      </x:c>
      <x:c r="T1010" s="10" t="str">
        <x:v>dave,fpu,debt free,planner,home,beach home,debt chart,budget form,home payoff,mortgage payoff,ramsey,mortage,debt reduction</x:v>
      </x:c>
      <x:c r="U1010" s="10" t="str">
        <x:v>dave</x:v>
      </x:c>
      <x:c r="V1010" s="10" t="str">
        <x:v>fpu</x:v>
      </x:c>
      <x:c r="W1010" s="10" t="str">
        <x:v>debt free</x:v>
      </x:c>
      <x:c r="X1010" s="10" t="str">
        <x:v>planner</x:v>
      </x:c>
      <x:c r="Y1010" s="10" t="str">
        <x:v>home</x:v>
      </x:c>
      <x:c r="Z1010" s="10" t="str">
        <x:v>beach home</x:v>
      </x:c>
      <x:c r="AA1010" s="10" t="str">
        <x:v>debt chart</x:v>
      </x:c>
      <x:c r="AB1010" s="10" t="str">
        <x:v>budget form</x:v>
      </x:c>
      <x:c r="AC1010" s="10" t="str">
        <x:v>home payoff</x:v>
      </x:c>
      <x:c r="AD1010" s="10" t="str">
        <x:v>mortgage payoff</x:v>
      </x:c>
      <x:c r="AE1010" s="10" t="str">
        <x:v>ramsey</x:v>
      </x:c>
      <x:c r="AF1010" s="10" t="str">
        <x:v>mortage</x:v>
      </x:c>
      <x:c r="AG1010" s="10" t="str">
        <x:v>debt reduction</x:v>
      </x:c>
      <x:c r="AH1010" s="10" t="str">
        <x:v>Mortgage payoff / calculator</x:v>
      </x:c>
      <x:c r="AI1010" s="13" t="n">
        <x:v>97</x:v>
      </x:c>
      <x:c r="AJ1010" s="10" t="str">
        <x:f>IF(F1010&gt;0,"Active","No est. sales")</x:f>
        <x:v>No est. sales</x:v>
      </x:c>
    </x:row>
    <x:row r="1011">
      <x:c r="A1011" s="10" t="str">
        <x:v>1300-16~~Houses Icon Boxes Planner Stickers.</x:v>
      </x:c>
      <x:c r="B1011" s="10" t="str">
        <x:v>https://www.etsy.com/listing/782637122/1300-16houses-icon-boxes-planner</x:v>
      </x:c>
      <x:c r="C1011" s="10" t="str">
        <x:v>PlanToPlan</x:v>
      </x:c>
      <x:c r="D1011" s="10" t="str">
        <x:v>https://www.etsy.com/shop/PlanToPlan</x:v>
      </x:c>
      <x:c r="E1011" s="11" t="n">
        <x:v>3.25</x:v>
      </x:c>
      <x:c r="F1011" s="10" t="n">
        <x:v>0</x:v>
      </x:c>
      <x:c r="G1011" s="12" t="n">
        <x:v>0</x:v>
      </x:c>
      <x:c r="H1011" s="13" t="n">
        <x:v>0</x:v>
      </x:c>
      <x:c r="I1011" s="10" t="n">
        <x:v>10</x:v>
      </x:c>
      <x:c r="J1011" s="10" t="n">
        <x:v>2</x:v>
      </x:c>
      <x:c r="K1011" s="10" t="str">
        <x:v>75 Mo.</x:v>
      </x:c>
      <x:c r="L1011" s="10" t="n">
        <x:v>34</x:v>
      </x:c>
      <x:c r="M1011" s="10" t="n">
        <x:v>0</x:v>
      </x:c>
      <x:c r="N1011" s="10" t="n">
        <x:v>156</x:v>
      </x:c>
      <x:c r="O1011" s="10" t="str">
        <x:v>Paper &amp; Party Supplies</x:v>
      </x:c>
      <x:c r="P1011" s="10" t="n">
        <x:v>126</x:v>
      </x:c>
      <x:c r="Q1011" s="10" t="n">
        <x:v>0</x:v>
      </x:c>
      <x:c r="R1011" s="13" t="n">
        <x:v>6.41</x:v>
      </x:c>
      <x:c r="S1011" s="10" t="n">
        <x:v>319985</x:v>
      </x:c>
      <x:c r="T1011" s="10" t="str">
        <x:v>planner stickers,plan to plan,icon stickers,bullet journal,multi color icons,plantoplan,reminder stickers,to do stickers,task trackers,house stickers,rent stickers,mortgage stickers,erin condren</x:v>
      </x:c>
      <x:c r="U1011" s="10" t="str">
        <x:v>planner stickers</x:v>
      </x:c>
      <x:c r="V1011" s="10" t="str">
        <x:v>plan to plan</x:v>
      </x:c>
      <x:c r="W1011" s="10" t="str">
        <x:v>icon stickers</x:v>
      </x:c>
      <x:c r="X1011" s="10" t="str">
        <x:v>bullet journal</x:v>
      </x:c>
      <x:c r="Y1011" s="10" t="str">
        <x:v>multi color icons</x:v>
      </x:c>
      <x:c r="Z1011" s="10" t="str">
        <x:v>plantoplan</x:v>
      </x:c>
      <x:c r="AA1011" s="10" t="str">
        <x:v>reminder stickers</x:v>
      </x:c>
      <x:c r="AB1011" s="10" t="str">
        <x:v>to do stickers</x:v>
      </x:c>
      <x:c r="AC1011" s="10" t="str">
        <x:v>task trackers</x:v>
      </x:c>
      <x:c r="AD1011" s="10" t="str">
        <x:v>house stickers</x:v>
      </x:c>
      <x:c r="AE1011" s="10" t="str">
        <x:v>rent stickers</x:v>
      </x:c>
      <x:c r="AF1011" s="10" t="str">
        <x:v>mortgage stickers</x:v>
      </x:c>
      <x:c r="AG1011" s="10" t="str">
        <x:v>erin condren</x:v>
      </x:c>
      <x:c r="AH1011" s="10" t="str">
        <x:v>Other mortgage-related</x:v>
      </x:c>
      <x:c r="AI1011" s="13" t="n">
        <x:v>75</x:v>
      </x:c>
      <x:c r="AJ1011" s="10" t="str">
        <x:f>IF(F1011&gt;0,"Active","No est. sales")</x:f>
        <x:v>No est. sales</x:v>
      </x:c>
    </x:row>
    <x:row r="1012">
      <x:c r="A1012" s="10" t="str">
        <x:v>Debt Payoff Tracker Debt Snowball Avalanche Calculator Credit Card Payoff Spreadsheet Debt Free Planner Google Sheets Excel Loan Tracker</x:v>
      </x:c>
      <x:c r="B1012" s="10" t="str">
        <x:v>https://www.etsy.com/listing/4515312246/debt-payoff-tracker-debt-snowball</x:v>
      </x:c>
      <x:c r="C1012" s="10" t="str">
        <x:v>HeyMorning</x:v>
      </x:c>
      <x:c r="D1012" s="10" t="str">
        <x:v>https://www.etsy.com/shop/HeyMorning</x:v>
      </x:c>
      <x:c r="E1012" s="11" t="n">
        <x:v>9.98</x:v>
      </x:c>
      <x:c r="F1012" s="10" t="n">
        <x:v>0</x:v>
      </x:c>
      <x:c r="G1012" s="12" t="n">
        <x:v>0</x:v>
      </x:c>
      <x:c r="H1012" s="13" t="n">
        <x:v>0</x:v>
      </x:c>
      <x:c r="I1012" s="10" t="n">
        <x:v>0</x:v>
      </x:c>
      <x:c r="J1012" s="10" t="n">
        <x:v>0</x:v>
      </x:c>
      <x:c r="K1012" s="10" t="str">
        <x:v>1 Mo.</x:v>
      </x:c>
      <x:c r="L1012" s="10" t="n">
        <x:v>18</x:v>
      </x:c>
      <x:c r="M1012" s="10" t="n">
        <x:v>0</x:v>
      </x:c>
      <x:c r="N1012" s="10" t="n">
        <x:v>506</x:v>
      </x:c>
      <x:c r="O1012" s="10" t="str"/>
      <x:c r="P1012" s="10" t="n">
        <x:v>27</x:v>
      </x:c>
      <x:c r="Q1012" s="10" t="n">
        <x:v>99</x:v>
      </x:c>
      <x:c r="R1012" s="13" t="n">
        <x:v>0</x:v>
      </x:c>
      <x:c r="S1012" s="10" t="n">
        <x:v>57767</x:v>
      </x:c>
      <x:c r="T1012" s="10" t="str">
        <x:v>financial planner,debt payoff tracker,debt snowball,debt avalanche,debt payment tracker,credit card payoff,student loan debt,mortgage payoff,credit score debt,debt template,credit utilization,debt payoff chart</x:v>
      </x:c>
      <x:c r="U1012" s="10" t="str">
        <x:v>financial planner</x:v>
      </x:c>
      <x:c r="V1012" s="10" t="str">
        <x:v>debt payoff tracker</x:v>
      </x:c>
      <x:c r="W1012" s="10" t="str">
        <x:v>debt snowball</x:v>
      </x:c>
      <x:c r="X1012" s="10" t="str">
        <x:v>debt avalanche</x:v>
      </x:c>
      <x:c r="Y1012" s="10" t="str">
        <x:v>debt payment tracker</x:v>
      </x:c>
      <x:c r="Z1012" s="10" t="str">
        <x:v>credit card payoff</x:v>
      </x:c>
      <x:c r="AA1012" s="10" t="str">
        <x:v>student loan debt</x:v>
      </x:c>
      <x:c r="AB1012" s="10" t="str">
        <x:v>mortgage payoff</x:v>
      </x:c>
      <x:c r="AC1012" s="10" t="str">
        <x:v>credit score debt</x:v>
      </x:c>
      <x:c r="AD1012" s="10" t="str">
        <x:v>debt template</x:v>
      </x:c>
      <x:c r="AE1012" s="10" t="str">
        <x:v>credit utilization</x:v>
      </x:c>
      <x:c r="AF1012" s="10" t="str">
        <x:v>debt payoff chart</x:v>
      </x:c>
      <x:c r="AG1012" s="10" t="str">
        <x:v>--</x:v>
      </x:c>
      <x:c r="AH1012" s="10" t="str">
        <x:v>General debt payoff</x:v>
      </x:c>
      <x:c r="AI1012" s="13" t="n">
        <x:v>1</x:v>
      </x:c>
      <x:c r="AJ1012" s="10" t="str">
        <x:f>IF(F1012&gt;0,"Active","No est. sales")</x:f>
        <x:v>No est. sales</x:v>
      </x:c>
    </x:row>
    <x:row r="1013">
      <x:c r="A1013" s="10" t="str">
        <x:v>Debt Avalanche Calculator: Google Sheets Budget Template, Debt Tracker, Debt Payoff Tracker, Debt Repayment Tracker, BONUS Snowball &amp; Custom</x:v>
      </x:c>
      <x:c r="B1013" s="10" t="str">
        <x:v>https://www.etsy.com/listing/4295876665/debt-avalanche-calculator-google-sheets</x:v>
      </x:c>
      <x:c r="C1013" s="10" t="str">
        <x:v>TheCalmLifeReset</x:v>
      </x:c>
      <x:c r="D1013" s="10" t="str">
        <x:v>https://www.etsy.com/shop/TheCalmLifeReset</x:v>
      </x:c>
      <x:c r="E1013" s="11" t="n">
        <x:v>4.01</x:v>
      </x:c>
      <x:c r="F1013" s="10" t="n">
        <x:v>0</x:v>
      </x:c>
      <x:c r="G1013" s="12" t="n">
        <x:v>0</x:v>
      </x:c>
      <x:c r="H1013" s="13" t="n">
        <x:v>0</x:v>
      </x:c>
      <x:c r="I1013" s="10" t="n">
        <x:v>13</x:v>
      </x:c>
      <x:c r="J1013" s="10" t="n">
        <x:v>1</x:v>
      </x:c>
      <x:c r="K1013" s="10" t="str">
        <x:v>15 Mo.</x:v>
      </x:c>
      <x:c r="L1013" s="10" t="n">
        <x:v>4</x:v>
      </x:c>
      <x:c r="M1013" s="10" t="n">
        <x:v>0</x:v>
      </x:c>
      <x:c r="N1013" s="10" t="n">
        <x:v>214</x:v>
      </x:c>
      <x:c r="O1013" s="10" t="str">
        <x:v>Paper &amp; Party Supplies</x:v>
      </x:c>
      <x:c r="P1013" s="10" t="n">
        <x:v>23</x:v>
      </x:c>
      <x:c r="Q1013" s="10" t="n">
        <x:v>0</x:v>
      </x:c>
      <x:c r="R1013" s="13" t="n">
        <x:v>6.07</x:v>
      </x:c>
      <x:c r="S1013" s="10" t="n">
        <x:v>7715</x:v>
      </x:c>
      <x:c r="T1013" s="10" t="str">
        <x:v>debt google sheets,debt avalanche,mortgage payoff,debt calculator,debt snowball,loan payoff tracker,student loan debt,debt payment tracker,debt payoff planner,financial planner,credit card debt,personal finance,avalanche method</x:v>
      </x:c>
      <x:c r="U1013" s="10" t="str">
        <x:v>debt google sheets</x:v>
      </x:c>
      <x:c r="V1013" s="10" t="str">
        <x:v>debt avalanche</x:v>
      </x:c>
      <x:c r="W1013" s="10" t="str">
        <x:v>mortgage payoff</x:v>
      </x:c>
      <x:c r="X1013" s="10" t="str">
        <x:v>debt calculator</x:v>
      </x:c>
      <x:c r="Y1013" s="10" t="str">
        <x:v>debt snowball</x:v>
      </x:c>
      <x:c r="Z1013" s="10" t="str">
        <x:v>loan payoff tracker</x:v>
      </x:c>
      <x:c r="AA1013" s="10" t="str">
        <x:v>student loan debt</x:v>
      </x:c>
      <x:c r="AB1013" s="10" t="str">
        <x:v>debt payment tracker</x:v>
      </x:c>
      <x:c r="AC1013" s="10" t="str">
        <x:v>debt payoff planner</x:v>
      </x:c>
      <x:c r="AD1013" s="10" t="str">
        <x:v>financial planner</x:v>
      </x:c>
      <x:c r="AE1013" s="10" t="str">
        <x:v>credit card debt</x:v>
      </x:c>
      <x:c r="AF1013" s="10" t="str">
        <x:v>personal finance</x:v>
      </x:c>
      <x:c r="AG1013" s="10" t="str">
        <x:v>avalanche method</x:v>
      </x:c>
      <x:c r="AH1013" s="10" t="str">
        <x:v>General debt payoff</x:v>
      </x:c>
      <x:c r="AI1013" s="13" t="n">
        <x:v>15</x:v>
      </x:c>
      <x:c r="AJ1013" s="10" t="str">
        <x:f>IF(F1013&gt;0,"Active","No est. sales")</x:f>
        <x:v>No est. sales</x:v>
      </x:c>
    </x:row>
    <x:row r="1014">
      <x:c r="A1014" s="10" t="str">
        <x:v>House Stickers | Clear Gloss or Matte White</x:v>
      </x:c>
      <x:c r="B1014" s="10" t="str">
        <x:v>https://www.etsy.com/listing/601409980/house-stickers-rent-due-planner-stickers</x:v>
      </x:c>
      <x:c r="C1014" s="10" t="str">
        <x:v>LucidLair</x:v>
      </x:c>
      <x:c r="D1014" s="10" t="str">
        <x:v>https://www.etsy.com/shop/LucidLair</x:v>
      </x:c>
      <x:c r="E1014" s="11" t="n">
        <x:v>2.89</x:v>
      </x:c>
      <x:c r="F1014" s="10" t="n">
        <x:v>0</x:v>
      </x:c>
      <x:c r="G1014" s="12" t="n">
        <x:v>0</x:v>
      </x:c>
      <x:c r="H1014" s="13" t="n">
        <x:v>0</x:v>
      </x:c>
      <x:c r="I1014" s="10" t="n">
        <x:v>62</x:v>
      </x:c>
      <x:c r="J1014" s="10" t="n">
        <x:v>11</x:v>
      </x:c>
      <x:c r="K1014" s="10" t="str">
        <x:v>98 Mo.</x:v>
      </x:c>
      <x:c r="L1014" s="10" t="n">
        <x:v>116</x:v>
      </x:c>
      <x:c r="M1014" s="10" t="n">
        <x:v>0</x:v>
      </x:c>
      <x:c r="N1014" s="10" t="n">
        <x:v>1264</x:v>
      </x:c>
      <x:c r="O1014" s="10" t="str">
        <x:v>Paper &amp; Party Supplies</x:v>
      </x:c>
      <x:c r="P1014" s="10" t="n">
        <x:v>100</x:v>
      </x:c>
      <x:c r="Q1014" s="10" t="n">
        <x:v>0</x:v>
      </x:c>
      <x:c r="R1014" s="13" t="n">
        <x:v>4.91</x:v>
      </x:c>
      <x:c r="S1014" s="10" t="n">
        <x:v>13927</x:v>
      </x:c>
      <x:c r="T1014" s="10" t="str">
        <x:v>finance stickers,clear stickers,money planner,bill stickers,rent stickers,rent due stickers,mortgage stickers,payment stickers,pay bills stickers,word stickers,house stickers,mini icon stickers,clear planner mini</x:v>
      </x:c>
      <x:c r="U1014" s="10" t="str">
        <x:v>finance stickers</x:v>
      </x:c>
      <x:c r="V1014" s="10" t="str">
        <x:v>clear stickers</x:v>
      </x:c>
      <x:c r="W1014" s="10" t="str">
        <x:v>money planner</x:v>
      </x:c>
      <x:c r="X1014" s="10" t="str">
        <x:v>bill stickers</x:v>
      </x:c>
      <x:c r="Y1014" s="10" t="str">
        <x:v>rent stickers</x:v>
      </x:c>
      <x:c r="Z1014" s="10" t="str">
        <x:v>rent due stickers</x:v>
      </x:c>
      <x:c r="AA1014" s="10" t="str">
        <x:v>mortgage stickers</x:v>
      </x:c>
      <x:c r="AB1014" s="10" t="str">
        <x:v>payment stickers</x:v>
      </x:c>
      <x:c r="AC1014" s="10" t="str">
        <x:v>pay bills stickers</x:v>
      </x:c>
      <x:c r="AD1014" s="10" t="str">
        <x:v>word stickers</x:v>
      </x:c>
      <x:c r="AE1014" s="10" t="str">
        <x:v>house stickers</x:v>
      </x:c>
      <x:c r="AF1014" s="10" t="str">
        <x:v>mini icon stickers</x:v>
      </x:c>
      <x:c r="AG1014" s="10" t="str">
        <x:v>clear planner mini</x:v>
      </x:c>
      <x:c r="AH1014" s="10" t="str">
        <x:v>Other mortgage-related</x:v>
      </x:c>
      <x:c r="AI1014" s="13" t="n">
        <x:v>98</x:v>
      </x:c>
      <x:c r="AJ1014" s="10" t="str">
        <x:f>IF(F1014&gt;0,"Active","No est. sales")</x:f>
        <x:v>No est. sales</x:v>
      </x:c>
    </x:row>
    <x:row r="1015">
      <x:c r="A1015" s="10" t="str">
        <x:v>16 Cute Mortgage/Tracker Planner Stickers</x:v>
      </x:c>
      <x:c r="B1015" s="10" t="str">
        <x:v>https://www.etsy.com/listing/569803644/16-cute-mortgagetracker-planner-stickers</x:v>
      </x:c>
      <x:c r="C1015" s="10" t="str">
        <x:v>HappyCutieStudio</x:v>
      </x:c>
      <x:c r="D1015" s="10" t="str">
        <x:v>https://www.etsy.com/shop/HappyCutieStudio</x:v>
      </x:c>
      <x:c r="E1015" s="11" t="n">
        <x:v>3.36</x:v>
      </x:c>
      <x:c r="F1015" s="10" t="n">
        <x:v>0</x:v>
      </x:c>
      <x:c r="G1015" s="12" t="n">
        <x:v>0</x:v>
      </x:c>
      <x:c r="H1015" s="13" t="n">
        <x:v>0</x:v>
      </x:c>
      <x:c r="I1015" s="10" t="n">
        <x:v>107</x:v>
      </x:c>
      <x:c r="J1015" s="10" t="n">
        <x:v>25</x:v>
      </x:c>
      <x:c r="K1015" s="10" t="str">
        <x:v>102 Mo.</x:v>
      </x:c>
      <x:c r="L1015" s="10" t="n">
        <x:v>138</x:v>
      </x:c>
      <x:c r="M1015" s="10" t="n">
        <x:v>0</x:v>
      </x:c>
      <x:c r="N1015" s="10" t="n">
        <x:v>993</x:v>
      </x:c>
      <x:c r="O1015" s="10" t="str">
        <x:v>Paper &amp; Party Supplies</x:v>
      </x:c>
      <x:c r="P1015" s="10" t="n">
        <x:v>126</x:v>
      </x:c>
      <x:c r="Q1015" s="10" t="n">
        <x:v>0</x:v>
      </x:c>
      <x:c r="R1015" s="13" t="n">
        <x:v>10.78</x:v>
      </x:c>
      <x:c r="S1015" s="10" t="n">
        <x:v>289569</x:v>
      </x:c>
      <x:c r="T1015" s="10" t="str">
        <x:v>stickers,planner,cute,kawaii,sticker,uk,tracker,mortgage,house</x:v>
      </x:c>
      <x:c r="U1015" s="10" t="str">
        <x:v>stickers</x:v>
      </x:c>
      <x:c r="V1015" s="10" t="str">
        <x:v>planner</x:v>
      </x:c>
      <x:c r="W1015" s="10" t="str">
        <x:v>cute</x:v>
      </x:c>
      <x:c r="X1015" s="10" t="str">
        <x:v>kawaii</x:v>
      </x:c>
      <x:c r="Y1015" s="10" t="str">
        <x:v>sticker</x:v>
      </x:c>
      <x:c r="Z1015" s="10" t="str">
        <x:v>uk</x:v>
      </x:c>
      <x:c r="AA1015" s="10" t="str">
        <x:v>tracker</x:v>
      </x:c>
      <x:c r="AB1015" s="10" t="str">
        <x:v>mortgage</x:v>
      </x:c>
      <x:c r="AC1015" s="10" t="str">
        <x:v>house</x:v>
      </x:c>
      <x:c r="AD1015" s="10" t="str">
        <x:v>--</x:v>
      </x:c>
      <x:c r="AE1015" s="10" t="str">
        <x:v>--</x:v>
      </x:c>
      <x:c r="AF1015" s="10" t="str">
        <x:v>--</x:v>
      </x:c>
      <x:c r="AG1015" s="10" t="str">
        <x:v>--</x:v>
      </x:c>
      <x:c r="AH1015" s="10" t="str">
        <x:v>Other mortgage-related</x:v>
      </x:c>
      <x:c r="AI1015" s="13" t="n">
        <x:v>102</x:v>
      </x:c>
      <x:c r="AJ1015" s="10" t="str">
        <x:f>IF(F1015&gt;0,"Active","No est. sales")</x:f>
        <x:v>No est. sales</x:v>
      </x:c>
    </x:row>
    <x:row r="1016">
      <x:c r="A1016" s="10" t="str">
        <x:v>Home Buyer Guide USA AI | First-Time Home Buyer gpt | Mortgage &amp; House Hunting Assistant | Home Buying Checklist | USA Real Estate Planner</x:v>
      </x:c>
      <x:c r="B1016" s="10" t="str">
        <x:v>https://www.etsy.com/listing/4523345252/home-buyer-guide-usa-ai-first-time-home</x:v>
      </x:c>
      <x:c r="C1016" s="10" t="str">
        <x:v>CashMochi</x:v>
      </x:c>
      <x:c r="D1016" s="10" t="str">
        <x:v>https://www.etsy.com/shop/CashMochi</x:v>
      </x:c>
      <x:c r="E1016" s="11" t="n">
        <x:v>12.95</x:v>
      </x:c>
      <x:c r="F1016" s="10" t="n">
        <x:v>0</x:v>
      </x:c>
      <x:c r="G1016" s="12" t="n">
        <x:v>0</x:v>
      </x:c>
      <x:c r="H1016" s="13" t="n">
        <x:v>0</x:v>
      </x:c>
      <x:c r="I1016" s="10" t="n">
        <x:v>0</x:v>
      </x:c>
      <x:c r="J1016" s="10" t="n">
        <x:v>0</x:v>
      </x:c>
      <x:c r="K1016" s="10" t="str">
        <x:v>1 Mo.</x:v>
      </x:c>
      <x:c r="L1016" s="10" t="n">
        <x:v>1</x:v>
      </x:c>
      <x:c r="M1016" s="10" t="n">
        <x:v>0</x:v>
      </x:c>
      <x:c r="N1016" s="10" t="n">
        <x:v>31</x:v>
      </x:c>
      <x:c r="O1016" s="10" t="str">
        <x:v>Books, Movies &amp; Music</x:v>
      </x:c>
      <x:c r="P1016" s="10" t="n">
        <x:v>2</x:v>
      </x:c>
      <x:c r="Q1016" s="10" t="n">
        <x:v>0</x:v>
      </x:c>
      <x:c r="R1016" s="13" t="n">
        <x:v>0</x:v>
      </x:c>
      <x:c r="S1016" s="10" t="n">
        <x:v>112</x:v>
      </x:c>
      <x:c r="T1016" s="10" t="str">
        <x:v>buyer planner,home purchase,moving checklist,new homeowner,house hunting,home checklist,real estate ai,mortgage help,buying a house,usa home guide,first time buyer,home buying gpt,home buyer ai</x:v>
      </x:c>
      <x:c r="U1016" s="10" t="str">
        <x:v>buyer planner</x:v>
      </x:c>
      <x:c r="V1016" s="10" t="str">
        <x:v>home purchase</x:v>
      </x:c>
      <x:c r="W1016" s="10" t="str">
        <x:v>moving checklist</x:v>
      </x:c>
      <x:c r="X1016" s="10" t="str">
        <x:v>new homeowner</x:v>
      </x:c>
      <x:c r="Y1016" s="10" t="str">
        <x:v>house hunting</x:v>
      </x:c>
      <x:c r="Z1016" s="10" t="str">
        <x:v>home checklist</x:v>
      </x:c>
      <x:c r="AA1016" s="10" t="str">
        <x:v>real estate ai</x:v>
      </x:c>
      <x:c r="AB1016" s="10" t="str">
        <x:v>mortgage help</x:v>
      </x:c>
      <x:c r="AC1016" s="10" t="str">
        <x:v>buying a house</x:v>
      </x:c>
      <x:c r="AD1016" s="10" t="str">
        <x:v>usa home guide</x:v>
      </x:c>
      <x:c r="AE1016" s="10" t="str">
        <x:v>first time buyer</x:v>
      </x:c>
      <x:c r="AF1016" s="10" t="str">
        <x:v>home buying gpt</x:v>
      </x:c>
      <x:c r="AG1016" s="10" t="str">
        <x:v>home buyer ai</x:v>
      </x:c>
      <x:c r="AH1016" s="10" t="str">
        <x:v>Home buying planner</x:v>
      </x:c>
      <x:c r="AI1016" s="13" t="n">
        <x:v>1</x:v>
      </x:c>
      <x:c r="AJ1016" s="10" t="str">
        <x:f>IF(F1016&gt;0,"Active","No est. sales")</x:f>
        <x:v>No est. sales</x:v>
      </x:c>
    </x:row>
    <x:row r="1017">
      <x:c r="A1017" s="10" t="str">
        <x:v>House Planner Stickers | IC-183 | home icon sticker</x:v>
      </x:c>
      <x:c r="B1017" s="10" t="str">
        <x:v>https://www.etsy.com/listing/4499286814/house-planner-stickers-ic-183-home-icon</x:v>
      </x:c>
      <x:c r="C1017" s="10" t="str">
        <x:v>wunderdoodleco</x:v>
      </x:c>
      <x:c r="D1017" s="10" t="str">
        <x:v>https://www.etsy.com/shop/wunderdoodleco</x:v>
      </x:c>
      <x:c r="E1017" s="11" t="n">
        <x:v>1.95</x:v>
      </x:c>
      <x:c r="F1017" s="10" t="n">
        <x:v>0</x:v>
      </x:c>
      <x:c r="G1017" s="12" t="n">
        <x:v>0</x:v>
      </x:c>
      <x:c r="H1017" s="13" t="n">
        <x:v>0</x:v>
      </x:c>
      <x:c r="I1017" s="10" t="n">
        <x:v>0</x:v>
      </x:c>
      <x:c r="J1017" s="10" t="n">
        <x:v>0</x:v>
      </x:c>
      <x:c r="K1017" s="10" t="str">
        <x:v>2 Mo.</x:v>
      </x:c>
      <x:c r="L1017" s="10" t="n">
        <x:v>8</x:v>
      </x:c>
      <x:c r="M1017" s="10" t="n">
        <x:v>0</x:v>
      </x:c>
      <x:c r="N1017" s="10" t="n">
        <x:v>50</x:v>
      </x:c>
      <x:c r="O1017" s="10" t="str">
        <x:v>Paper &amp; Party Supplies</x:v>
      </x:c>
      <x:c r="P1017" s="10" t="n">
        <x:v>29</x:v>
      </x:c>
      <x:c r="Q1017" s="10" t="n">
        <x:v>0</x:v>
      </x:c>
      <x:c r="R1017" s="13" t="n">
        <x:v>0</x:v>
      </x:c>
      <x:c r="S1017" s="10" t="n">
        <x:v>12067</x:v>
      </x:c>
      <x:c r="T1017" s="10" t="str">
        <x:v>home planner sticker,house icon sticker,home task sticker,cleaning planner,chore planner,moving planner,mortgage reminder,home icon,planner icon,functional sticker,planner supplies,home organization,bujo stickers</x:v>
      </x:c>
      <x:c r="U1017" s="10" t="str">
        <x:v>home planner sticker</x:v>
      </x:c>
      <x:c r="V1017" s="10" t="str">
        <x:v>house icon sticker</x:v>
      </x:c>
      <x:c r="W1017" s="10" t="str">
        <x:v>home task sticker</x:v>
      </x:c>
      <x:c r="X1017" s="10" t="str">
        <x:v>cleaning planner</x:v>
      </x:c>
      <x:c r="Y1017" s="10" t="str">
        <x:v>chore planner</x:v>
      </x:c>
      <x:c r="Z1017" s="10" t="str">
        <x:v>moving planner</x:v>
      </x:c>
      <x:c r="AA1017" s="10" t="str">
        <x:v>mortgage reminder</x:v>
      </x:c>
      <x:c r="AB1017" s="10" t="str">
        <x:v>home icon</x:v>
      </x:c>
      <x:c r="AC1017" s="10" t="str">
        <x:v>planner icon</x:v>
      </x:c>
      <x:c r="AD1017" s="10" t="str">
        <x:v>functional sticker</x:v>
      </x:c>
      <x:c r="AE1017" s="10" t="str">
        <x:v>planner supplies</x:v>
      </x:c>
      <x:c r="AF1017" s="10" t="str">
        <x:v>home organization</x:v>
      </x:c>
      <x:c r="AG1017" s="10" t="str">
        <x:v>bujo stickers</x:v>
      </x:c>
      <x:c r="AH1017" s="10" t="str">
        <x:v>Other mortgage-related</x:v>
      </x:c>
      <x:c r="AI1017" s="13" t="n">
        <x:v>2</x:v>
      </x:c>
      <x:c r="AJ1017" s="10" t="str">
        <x:f>IF(F1017&gt;0,"Active","No est. sales")</x:f>
        <x:v>No est. sales</x:v>
      </x:c>
    </x:row>
    <x:row r="1018">
      <x:c r="A1018" s="10" t="str">
        <x:v>Real Estate Realtor Planner Dashboard Insert /Cover for PM, MM, GM, Agenda, Planner Cover, A5, A6, Personal, Erin Condren &amp; Happy Planner</x:v>
      </x:c>
      <x:c r="B1018" s="10" t="str">
        <x:v>https://www.etsy.com/listing/1178654788/real-estate-realtor-planner-dashboard</x:v>
      </x:c>
      <x:c r="C1018" s="10" t="str">
        <x:v>MissyBelloPlanners</x:v>
      </x:c>
      <x:c r="D1018" s="10" t="str">
        <x:v>https://www.etsy.com/shop/MissyBelloPlanners</x:v>
      </x:c>
      <x:c r="E1018" s="11" t="n">
        <x:v>10</x:v>
      </x:c>
      <x:c r="F1018" s="10" t="n">
        <x:v>0</x:v>
      </x:c>
      <x:c r="G1018" s="12" t="n">
        <x:v>0</x:v>
      </x:c>
      <x:c r="H1018" s="13" t="n">
        <x:v>0</x:v>
      </x:c>
      <x:c r="I1018" s="10" t="n">
        <x:v>3</x:v>
      </x:c>
      <x:c r="J1018" s="10" t="n">
        <x:v>2</x:v>
      </x:c>
      <x:c r="K1018" s="10" t="str">
        <x:v>52 Mo.</x:v>
      </x:c>
      <x:c r="L1018" s="10" t="n">
        <x:v>12</x:v>
      </x:c>
      <x:c r="M1018" s="10" t="n">
        <x:v>0</x:v>
      </x:c>
      <x:c r="N1018" s="10" t="n">
        <x:v>567</x:v>
      </x:c>
      <x:c r="O1018" s="10" t="str">
        <x:v>Paper &amp; Party Supplies</x:v>
      </x:c>
      <x:c r="P1018" s="10" t="n">
        <x:v>73</x:v>
      </x:c>
      <x:c r="Q1018" s="10" t="n">
        <x:v>0</x:v>
      </x:c>
      <x:c r="R1018" s="13" t="n">
        <x:v>0.53</x:v>
      </x:c>
      <x:c r="S1018" s="10" t="n">
        <x:v>30616</x:v>
      </x:c>
      <x:c r="T1018" s="10" t="str">
        <x:v>a5 dashboard,personal planner,planner inserts,real estate agent,mortgage lender,interior design home,new home planner,moving planner list,sales planner book,printed planner,woman owned business,professional woman,planner accessory</x:v>
      </x:c>
      <x:c r="U1018" s="10" t="str">
        <x:v>a5 dashboard</x:v>
      </x:c>
      <x:c r="V1018" s="10" t="str">
        <x:v>personal planner</x:v>
      </x:c>
      <x:c r="W1018" s="10" t="str">
        <x:v>planner inserts</x:v>
      </x:c>
      <x:c r="X1018" s="10" t="str">
        <x:v>real estate agent</x:v>
      </x:c>
      <x:c r="Y1018" s="10" t="str">
        <x:v>mortgage lender</x:v>
      </x:c>
      <x:c r="Z1018" s="10" t="str">
        <x:v>interior design home</x:v>
      </x:c>
      <x:c r="AA1018" s="10" t="str">
        <x:v>new home planner</x:v>
      </x:c>
      <x:c r="AB1018" s="10" t="str">
        <x:v>moving planner list</x:v>
      </x:c>
      <x:c r="AC1018" s="10" t="str">
        <x:v>sales planner book</x:v>
      </x:c>
      <x:c r="AD1018" s="10" t="str">
        <x:v>printed planner</x:v>
      </x:c>
      <x:c r="AE1018" s="10" t="str">
        <x:v>woman owned business</x:v>
      </x:c>
      <x:c r="AF1018" s="10" t="str">
        <x:v>professional woman</x:v>
      </x:c>
      <x:c r="AG1018" s="10" t="str">
        <x:v>planner accessory</x:v>
      </x:c>
      <x:c r="AH1018" s="10" t="str">
        <x:v>Other mortgage-related</x:v>
      </x:c>
      <x:c r="AI1018" s="13" t="n">
        <x:v>52</x:v>
      </x:c>
      <x:c r="AJ1018" s="10" t="str">
        <x:f>IF(F1018&gt;0,"Active","No est. sales")</x:f>
        <x:v>No est. sales</x:v>
      </x:c>
    </x:row>
    <x:row r="1019">
      <x:c r="A1019" s="10" t="str">
        <x:v>Annual Financial Planner, Printable Planner, Annual Budget, Debt Snowball, Financial Goals, Credit Card Payoff, Income and Expense Trackers</x:v>
      </x:c>
      <x:c r="B1019" s="10" t="str">
        <x:v>https://www.etsy.com/listing/1375611521/annual-financial-planner-printable</x:v>
      </x:c>
      <x:c r="C1019" s="10" t="str">
        <x:v>PendySheets</x:v>
      </x:c>
      <x:c r="D1019" s="10" t="str">
        <x:v>https://www.etsy.com/shop/PendySheets</x:v>
      </x:c>
      <x:c r="E1019" s="11" t="n">
        <x:v>3.5</x:v>
      </x:c>
      <x:c r="F1019" s="10" t="n">
        <x:v>0</x:v>
      </x:c>
      <x:c r="G1019" s="12" t="n">
        <x:v>0</x:v>
      </x:c>
      <x:c r="H1019" s="13" t="n">
        <x:v>0</x:v>
      </x:c>
      <x:c r="I1019" s="10" t="n">
        <x:v>0</x:v>
      </x:c>
      <x:c r="J1019" s="10" t="n">
        <x:v>0</x:v>
      </x:c>
      <x:c r="K1019" s="10" t="str">
        <x:v>43 Mo.</x:v>
      </x:c>
      <x:c r="L1019" s="10" t="n">
        <x:v>1</x:v>
      </x:c>
      <x:c r="M1019" s="10" t="n">
        <x:v>0</x:v>
      </x:c>
      <x:c r="N1019" s="10" t="n">
        <x:v>10</x:v>
      </x:c>
      <x:c r="O1019" s="10" t="str">
        <x:v>Paper &amp; Party Supplies</x:v>
      </x:c>
      <x:c r="P1019" s="10" t="n">
        <x:v>43</x:v>
      </x:c>
      <x:c r="Q1019" s="10" t="n">
        <x:v>0</x:v>
      </x:c>
      <x:c r="R1019" s="13" t="n">
        <x:v>0</x:v>
      </x:c>
      <x:c r="S1019" s="10" t="n">
        <x:v>1</x:v>
      </x:c>
      <x:c r="T1019" s="10" t="str">
        <x:v>peach,printable,pdf,financial,budget,credit card payoff,mortgage payoff,side hustle,income tracker,expense tracker,financial goals,savings tracker,planner</x:v>
      </x:c>
      <x:c r="U1019" s="10" t="str">
        <x:v>peach</x:v>
      </x:c>
      <x:c r="V1019" s="10" t="str">
        <x:v>printable</x:v>
      </x:c>
      <x:c r="W1019" s="10" t="str">
        <x:v>pdf</x:v>
      </x:c>
      <x:c r="X1019" s="10" t="str">
        <x:v>financial</x:v>
      </x:c>
      <x:c r="Y1019" s="10" t="str">
        <x:v>budget</x:v>
      </x:c>
      <x:c r="Z1019" s="10" t="str">
        <x:v>credit card payoff</x:v>
      </x:c>
      <x:c r="AA1019" s="10" t="str">
        <x:v>mortgage payoff</x:v>
      </x:c>
      <x:c r="AB1019" s="10" t="str">
        <x:v>side hustle</x:v>
      </x:c>
      <x:c r="AC1019" s="10" t="str">
        <x:v>income tracker</x:v>
      </x:c>
      <x:c r="AD1019" s="10" t="str">
        <x:v>expense tracker</x:v>
      </x:c>
      <x:c r="AE1019" s="10" t="str">
        <x:v>financial goals</x:v>
      </x:c>
      <x:c r="AF1019" s="10" t="str">
        <x:v>savings tracker</x:v>
      </x:c>
      <x:c r="AG1019" s="10" t="str">
        <x:v>planner</x:v>
      </x:c>
      <x:c r="AH1019" s="10" t="str">
        <x:v>General debt payoff</x:v>
      </x:c>
      <x:c r="AI1019" s="13" t="n">
        <x:v>43</x:v>
      </x:c>
      <x:c r="AJ1019" s="10" t="str">
        <x:f>IF(F1019&gt;0,"Active","No est. sales")</x:f>
        <x:v>No est. sales</x:v>
      </x:c>
    </x:row>
    <x:row r="1020">
      <x:c r="A1020" s="10" t="str">
        <x:v>Mortgage Planner UK – Overpayment Calculator, Payoff Tracker &amp; Interest Savings Tool</x:v>
      </x:c>
      <x:c r="B1020" s="10" t="str">
        <x:v>https://www.etsy.com/listing/4496682549/mortgage-planner-uk-overpayment</x:v>
      </x:c>
      <x:c r="C1020" s="10" t="str">
        <x:v>MoneyLoom</x:v>
      </x:c>
      <x:c r="D1020" s="10" t="str">
        <x:v>https://www.etsy.com/shop/MoneyLoom</x:v>
      </x:c>
      <x:c r="E1020" s="11" t="n">
        <x:v>9.46</x:v>
      </x:c>
      <x:c r="F1020" s="10" t="n">
        <x:v>0</x:v>
      </x:c>
      <x:c r="G1020" s="12" t="n">
        <x:v>0</x:v>
      </x:c>
      <x:c r="H1020" s="13" t="n">
        <x:v>0</x:v>
      </x:c>
      <x:c r="I1020" s="10" t="n">
        <x:v>0</x:v>
      </x:c>
      <x:c r="J1020" s="10" t="n">
        <x:v>0</x:v>
      </x:c>
      <x:c r="K1020" s="10" t="str">
        <x:v>1 Mo.</x:v>
      </x:c>
      <x:c r="L1020" s="10" t="n">
        <x:v>0</x:v>
      </x:c>
      <x:c r="M1020" s="10" t="n">
        <x:v>0</x:v>
      </x:c>
      <x:c r="N1020" s="10" t="n">
        <x:v>4</x:v>
      </x:c>
      <x:c r="O1020" s="10" t="str"/>
      <x:c r="P1020" s="10" t="n">
        <x:v>1</x:v>
      </x:c>
      <x:c r="Q1020" s="10" t="n">
        <x:v>0</x:v>
      </x:c>
      <x:c r="R1020" s="13" t="n">
        <x:v>0</x:v>
      </x:c>
      <x:c r="S1020" s="10" t="n">
        <x:v>5</x:v>
      </x:c>
      <x:c r="T1020" s="10" t="str">
        <x:v>mortgage planner uk,mortgage calculator,mortgage tracker,overpayment calc,mortgage excel,loan repayment tool,mortgage payoff,home loan planner,interest calculator,uk mortgage tool,budget mortgage,amortization plan,debt payoff planner</x:v>
      </x:c>
      <x:c r="U1020" s="10" t="str">
        <x:v>mortgage planner uk</x:v>
      </x:c>
      <x:c r="V1020" s="10" t="str">
        <x:v>mortgage calculator</x:v>
      </x:c>
      <x:c r="W1020" s="10" t="str">
        <x:v>mortgage tracker</x:v>
      </x:c>
      <x:c r="X1020" s="10" t="str">
        <x:v>overpayment calc</x:v>
      </x:c>
      <x:c r="Y1020" s="10" t="str">
        <x:v>mortgage excel</x:v>
      </x:c>
      <x:c r="Z1020" s="10" t="str">
        <x:v>loan repayment tool</x:v>
      </x:c>
      <x:c r="AA1020" s="10" t="str">
        <x:v>mortgage payoff</x:v>
      </x:c>
      <x:c r="AB1020" s="10" t="str">
        <x:v>home loan planner</x:v>
      </x:c>
      <x:c r="AC1020" s="10" t="str">
        <x:v>interest calculator</x:v>
      </x:c>
      <x:c r="AD1020" s="10" t="str">
        <x:v>uk mortgage tool</x:v>
      </x:c>
      <x:c r="AE1020" s="10" t="str">
        <x:v>budget mortgage</x:v>
      </x:c>
      <x:c r="AF1020" s="10" t="str">
        <x:v>amortization plan</x:v>
      </x:c>
      <x:c r="AG1020" s="10" t="str">
        <x:v>debt payoff planner</x:v>
      </x:c>
      <x:c r="AH1020" s="10" t="str">
        <x:v>Other mortgage-related</x:v>
      </x:c>
      <x:c r="AI1020" s="13" t="n">
        <x:v>1</x:v>
      </x:c>
      <x:c r="AJ1020" s="10" t="str">
        <x:f>IF(F1020&gt;0,"Active","No est. sales")</x:f>
        <x:v>No est. sales</x:v>
      </x:c>
    </x:row>
    <x:row r="1021">
      <x:c r="A1021" s="10" t="str">
        <x:v>Mortgage Due Planner Stickers - PRINTED - Agenda Stickers, Diary Stickers, Journal Stickers, Scrapbook Stickers - Monthly Bills, House</x:v>
      </x:c>
      <x:c r="B1021" s="10" t="str">
        <x:v>https://www.etsy.com/listing/1181196678/mortgage-due-planner-stickers-printed</x:v>
      </x:c>
      <x:c r="C1021" s="10" t="str">
        <x:v>CuteLilTaquito</x:v>
      </x:c>
      <x:c r="D1021" s="10" t="str">
        <x:v>https://www.etsy.com/shop/CuteLilTaquito</x:v>
      </x:c>
      <x:c r="E1021" s="11" t="n">
        <x:v>4.5</x:v>
      </x:c>
      <x:c r="F1021" s="10" t="n">
        <x:v>0</x:v>
      </x:c>
      <x:c r="G1021" s="12" t="n">
        <x:v>0</x:v>
      </x:c>
      <x:c r="H1021" s="13" t="n">
        <x:v>0</x:v>
      </x:c>
      <x:c r="I1021" s="10" t="n">
        <x:v>0</x:v>
      </x:c>
      <x:c r="J1021" s="10" t="n">
        <x:v>0</x:v>
      </x:c>
      <x:c r="K1021" s="10" t="str">
        <x:v>37 Mo.</x:v>
      </x:c>
      <x:c r="L1021" s="10" t="n">
        <x:v>15</x:v>
      </x:c>
      <x:c r="M1021" s="10" t="n">
        <x:v>0</x:v>
      </x:c>
      <x:c r="N1021" s="10" t="n">
        <x:v>56</x:v>
      </x:c>
      <x:c r="O1021" s="10" t="str">
        <x:v>Paper &amp; Party Supplies</x:v>
      </x:c>
      <x:c r="P1021" s="10" t="n">
        <x:v>45</x:v>
      </x:c>
      <x:c r="Q1021" s="10" t="n">
        <x:v>0</x:v>
      </x:c>
      <x:c r="R1021" s="13" t="n">
        <x:v>0</x:v>
      </x:c>
      <x:c r="S1021" s="10" t="n">
        <x:v>1635</x:v>
      </x:c>
      <x:c r="T1021" s="10" t="str">
        <x:v>planner stickers,calendar stickers,journal stickers,scrapbooking,diary stickers,sticker sheet,bill due,stickers,hand-drawn stickers,monthly bills,bill stickers,house payment,mortgage</x:v>
      </x:c>
      <x:c r="U1021" s="10" t="str">
        <x:v>planner stickers</x:v>
      </x:c>
      <x:c r="V1021" s="10" t="str">
        <x:v>calendar stickers</x:v>
      </x:c>
      <x:c r="W1021" s="10" t="str">
        <x:v>journal stickers</x:v>
      </x:c>
      <x:c r="X1021" s="10" t="str">
        <x:v>scrapbooking</x:v>
      </x:c>
      <x:c r="Y1021" s="10" t="str">
        <x:v>diary stickers</x:v>
      </x:c>
      <x:c r="Z1021" s="10" t="str">
        <x:v>sticker sheet</x:v>
      </x:c>
      <x:c r="AA1021" s="10" t="str">
        <x:v>bill due</x:v>
      </x:c>
      <x:c r="AB1021" s="10" t="str">
        <x:v>stickers</x:v>
      </x:c>
      <x:c r="AC1021" s="10" t="str">
        <x:v>hand-drawn stickers</x:v>
      </x:c>
      <x:c r="AD1021" s="10" t="str">
        <x:v>monthly bills</x:v>
      </x:c>
      <x:c r="AE1021" s="10" t="str">
        <x:v>bill stickers</x:v>
      </x:c>
      <x:c r="AF1021" s="10" t="str">
        <x:v>house payment</x:v>
      </x:c>
      <x:c r="AG1021" s="10" t="str">
        <x:v>mortgage</x:v>
      </x:c>
      <x:c r="AH1021" s="10" t="str">
        <x:v>Other mortgage-related</x:v>
      </x:c>
      <x:c r="AI1021" s="13" t="n">
        <x:v>37</x:v>
      </x:c>
      <x:c r="AJ1021" s="10" t="str">
        <x:f>IF(F1021&gt;0,"Active","No est. sales")</x:f>
        <x:v>No est. sales</x:v>
      </x:c>
    </x:row>
    <x:row r="1022">
      <x:c r="A1022" s="10" t="str">
        <x:v>First Time Homebuyer Planner Printable | House Hunting Checklist | Mortgage Tracker | Home Buying Journal PDF Instant Download</x:v>
      </x:c>
      <x:c r="B1022" s="10" t="str">
        <x:v>https://www.etsy.com/listing/4485339147/first-time-homebuyer-planner-printable</x:v>
      </x:c>
      <x:c r="C1022" s="10" t="str">
        <x:v>MilestonePageCo</x:v>
      </x:c>
      <x:c r="D1022" s="10" t="str">
        <x:v>https://www.etsy.com/shop/MilestonePageCo</x:v>
      </x:c>
      <x:c r="E1022" s="11" t="n">
        <x:v>12.97</x:v>
      </x:c>
      <x:c r="F1022" s="10" t="n">
        <x:v>0</x:v>
      </x:c>
      <x:c r="G1022" s="12" t="n">
        <x:v>0</x:v>
      </x:c>
      <x:c r="H1022" s="13" t="n">
        <x:v>0</x:v>
      </x:c>
      <x:c r="I1022" s="10" t="n">
        <x:v>0</x:v>
      </x:c>
      <x:c r="J1022" s="10" t="n">
        <x:v>0</x:v>
      </x:c>
      <x:c r="K1022" s="10" t="str">
        <x:v>3 Mo.</x:v>
      </x:c>
      <x:c r="L1022" s="10" t="n">
        <x:v>0</x:v>
      </x:c>
      <x:c r="M1022" s="10" t="n">
        <x:v>0</x:v>
      </x:c>
      <x:c r="N1022" s="10" t="n">
        <x:v>7</x:v>
      </x:c>
      <x:c r="O1022" s="10" t="str">
        <x:v>Paper &amp; Party Supplies</x:v>
      </x:c>
      <x:c r="P1022" s="10" t="n">
        <x:v>15</x:v>
      </x:c>
      <x:c r="Q1022" s="10" t="n">
        <x:v>0</x:v>
      </x:c>
      <x:c r="R1022" s="13" t="n">
        <x:v>0</x:v>
      </x:c>
      <x:c r="S1022" s="10" t="n">
        <x:v>19</x:v>
      </x:c>
      <x:c r="T1022" s="10" t="str">
        <x:v>homebuyer planner,house hunting log,mortgage tracker,first home planner,home buying pdf,property checklist,house hunting pdf,moving planner,home inspection,new home journal,first home buyer,offer tracker,home budget log</x:v>
      </x:c>
      <x:c r="U1022" s="10" t="str">
        <x:v>homebuyer planner</x:v>
      </x:c>
      <x:c r="V1022" s="10" t="str">
        <x:v>house hunting log</x:v>
      </x:c>
      <x:c r="W1022" s="10" t="str">
        <x:v>mortgage tracker</x:v>
      </x:c>
      <x:c r="X1022" s="10" t="str">
        <x:v>first home planner</x:v>
      </x:c>
      <x:c r="Y1022" s="10" t="str">
        <x:v>home buying pdf</x:v>
      </x:c>
      <x:c r="Z1022" s="10" t="str">
        <x:v>property checklist</x:v>
      </x:c>
      <x:c r="AA1022" s="10" t="str">
        <x:v>house hunting pdf</x:v>
      </x:c>
      <x:c r="AB1022" s="10" t="str">
        <x:v>moving planner</x:v>
      </x:c>
      <x:c r="AC1022" s="10" t="str">
        <x:v>home inspection</x:v>
      </x:c>
      <x:c r="AD1022" s="10" t="str">
        <x:v>new home journal</x:v>
      </x:c>
      <x:c r="AE1022" s="10" t="str">
        <x:v>first home buyer</x:v>
      </x:c>
      <x:c r="AF1022" s="10" t="str">
        <x:v>offer tracker</x:v>
      </x:c>
      <x:c r="AG1022" s="10" t="str">
        <x:v>home budget log</x:v>
      </x:c>
      <x:c r="AH1022" s="10" t="str">
        <x:v>Home buying planner</x:v>
      </x:c>
      <x:c r="AI1022" s="13" t="n">
        <x:v>3</x:v>
      </x:c>
      <x:c r="AJ1022" s="10" t="str">
        <x:f>IF(F1022&gt;0,"Active","No est. sales")</x:f>
        <x:v>No est. sales</x:v>
      </x:c>
    </x:row>
    <x:row r="1023">
      <x:c r="A1023" s="10" t="str">
        <x:v>Stop Using Spreadsheets | Mortgage Broker Notion CRM | Client Tracker | Loan Pipeline | Business System</x:v>
      </x:c>
      <x:c r="B1023" s="10" t="str">
        <x:v>https://www.etsy.com/listing/4481779591/stop-using-spreadsheets-mortgage-broker</x:v>
      </x:c>
      <x:c r="C1023" s="10" t="str">
        <x:v>WorkYourSheetOut</x:v>
      </x:c>
      <x:c r="D1023" s="10" t="str">
        <x:v>https://www.etsy.com/shop/WorkYourSheetOut</x:v>
      </x:c>
      <x:c r="E1023" s="11" t="n">
        <x:v>6.27</x:v>
      </x:c>
      <x:c r="F1023" s="10" t="n">
        <x:v>0</x:v>
      </x:c>
      <x:c r="G1023" s="12" t="n">
        <x:v>0</x:v>
      </x:c>
      <x:c r="H1023" s="13" t="n">
        <x:v>0</x:v>
      </x:c>
      <x:c r="I1023" s="10" t="n">
        <x:v>0</x:v>
      </x:c>
      <x:c r="J1023" s="10" t="n">
        <x:v>0</x:v>
      </x:c>
      <x:c r="K1023" s="10" t="str">
        <x:v>3 Mo.</x:v>
      </x:c>
      <x:c r="L1023" s="10" t="n">
        <x:v>0</x:v>
      </x:c>
      <x:c r="M1023" s="10" t="n">
        <x:v>0</x:v>
      </x:c>
      <x:c r="N1023" s="10" t="n">
        <x:v>21</x:v>
      </x:c>
      <x:c r="O1023" s="10" t="str"/>
      <x:c r="P1023" s="10" t="n">
        <x:v>45</x:v>
      </x:c>
      <x:c r="Q1023" s="10" t="n">
        <x:v>0</x:v>
      </x:c>
      <x:c r="R1023" s="13" t="n">
        <x:v>0</x:v>
      </x:c>
      <x:c r="S1023" s="10" t="n">
        <x:v>14</x:v>
      </x:c>
      <x:c r="T1023" s="10" t="str">
        <x:v>stop spreadsheets,mortgage broker,notion crm,client tracker,loan pipeline,business system,crm template,finance tracker,broker workflow,organisation tool,productivity system,small business tool,digital planner</x:v>
      </x:c>
      <x:c r="U1023" s="10" t="str">
        <x:v>stop spreadsheets</x:v>
      </x:c>
      <x:c r="V1023" s="10" t="str">
        <x:v>mortgage broker</x:v>
      </x:c>
      <x:c r="W1023" s="10" t="str">
        <x:v>notion crm</x:v>
      </x:c>
      <x:c r="X1023" s="10" t="str">
        <x:v>client tracker</x:v>
      </x:c>
      <x:c r="Y1023" s="10" t="str">
        <x:v>loan pipeline</x:v>
      </x:c>
      <x:c r="Z1023" s="10" t="str">
        <x:v>business system</x:v>
      </x:c>
      <x:c r="AA1023" s="10" t="str">
        <x:v>crm template</x:v>
      </x:c>
      <x:c r="AB1023" s="10" t="str">
        <x:v>finance tracker</x:v>
      </x:c>
      <x:c r="AC1023" s="10" t="str">
        <x:v>broker workflow</x:v>
      </x:c>
      <x:c r="AD1023" s="10" t="str">
        <x:v>organisation tool</x:v>
      </x:c>
      <x:c r="AE1023" s="10" t="str">
        <x:v>productivity system</x:v>
      </x:c>
      <x:c r="AF1023" s="10" t="str">
        <x:v>small business tool</x:v>
      </x:c>
      <x:c r="AG1023" s="10" t="str">
        <x:v>digital planner</x:v>
      </x:c>
      <x:c r="AH1023" s="10" t="str">
        <x:v>Loan officer / B2B</x:v>
      </x:c>
      <x:c r="AI1023" s="13" t="n">
        <x:v>3</x:v>
      </x:c>
      <x:c r="AJ1023" s="10" t="str">
        <x:f>IF(F1023&gt;0,"Active","No est. sales")</x:f>
        <x:v>No est. sales</x:v>
      </x:c>
    </x:row>
    <x:row r="1024">
      <x:c r="A1024" s="10" t="str">
        <x:v>House planner stickers -stickers for planners, journals, scrapbooks and more!</x:v>
      </x:c>
      <x:c r="B1024" s="10" t="str">
        <x:v>https://www.etsy.com/listing/248860452/house-planner-stickers-stickers-for</x:v>
      </x:c>
      <x:c r="C1024" s="10" t="str">
        <x:v>TheStickerPatch</x:v>
      </x:c>
      <x:c r="D1024" s="10" t="str">
        <x:v>https://www.etsy.com/shop/TheStickerPatch</x:v>
      </x:c>
      <x:c r="E1024" s="11" t="n">
        <x:v>3.5</x:v>
      </x:c>
      <x:c r="F1024" s="10" t="n">
        <x:v>0</x:v>
      </x:c>
      <x:c r="G1024" s="12" t="n">
        <x:v>0</x:v>
      </x:c>
      <x:c r="H1024" s="13" t="n">
        <x:v>0</x:v>
      </x:c>
      <x:c r="I1024" s="10" t="n">
        <x:v>47</x:v>
      </x:c>
      <x:c r="J1024" s="10" t="n">
        <x:v>12</x:v>
      </x:c>
      <x:c r="K1024" s="10" t="str">
        <x:v>128 Mo.</x:v>
      </x:c>
      <x:c r="L1024" s="10" t="n">
        <x:v>47</x:v>
      </x:c>
      <x:c r="M1024" s="10" t="n">
        <x:v>0</x:v>
      </x:c>
      <x:c r="N1024" s="10" t="n">
        <x:v>369</x:v>
      </x:c>
      <x:c r="O1024" s="10" t="str">
        <x:v>Paper &amp; Party Supplies</x:v>
      </x:c>
      <x:c r="P1024" s="10" t="n">
        <x:v>133</x:v>
      </x:c>
      <x:c r="Q1024" s="10" t="n">
        <x:v>0</x:v>
      </x:c>
      <x:c r="R1024" s="13" t="n">
        <x:v>12.74</x:v>
      </x:c>
      <x:c r="S1024" s="10" t="n">
        <x:v>49147</x:v>
      </x:c>
      <x:c r="T1024" s="10" t="str">
        <x:v>rent,mortgage,bills,house payment,eclp,agenda,planner stickers,planning,life planner,erin condren,stickers,paper</x:v>
      </x:c>
      <x:c r="U1024" s="10" t="str">
        <x:v>rent</x:v>
      </x:c>
      <x:c r="V1024" s="10" t="str">
        <x:v>mortgage</x:v>
      </x:c>
      <x:c r="W1024" s="10" t="str">
        <x:v>bills</x:v>
      </x:c>
      <x:c r="X1024" s="10" t="str">
        <x:v>house payment</x:v>
      </x:c>
      <x:c r="Y1024" s="10" t="str">
        <x:v>eclp</x:v>
      </x:c>
      <x:c r="Z1024" s="10" t="str">
        <x:v>agenda</x:v>
      </x:c>
      <x:c r="AA1024" s="10" t="str">
        <x:v>planner stickers</x:v>
      </x:c>
      <x:c r="AB1024" s="10" t="str">
        <x:v>planning</x:v>
      </x:c>
      <x:c r="AC1024" s="10" t="str">
        <x:v>life planner</x:v>
      </x:c>
      <x:c r="AD1024" s="10" t="str">
        <x:v>erin condren</x:v>
      </x:c>
      <x:c r="AE1024" s="10" t="str">
        <x:v>stickers</x:v>
      </x:c>
      <x:c r="AF1024" s="10" t="str">
        <x:v>paper</x:v>
      </x:c>
      <x:c r="AG1024" s="10" t="str">
        <x:v>--</x:v>
      </x:c>
      <x:c r="AH1024" s="10" t="str">
        <x:v>Other mortgage-related</x:v>
      </x:c>
      <x:c r="AI1024" s="13" t="n">
        <x:v>128</x:v>
      </x:c>
      <x:c r="AJ1024" s="10" t="str">
        <x:f>IF(F1024&gt;0,"Active","No est. sales")</x:f>
        <x:v>No est. sales</x:v>
      </x:c>
    </x:row>
    <x:row r="1025">
      <x:c r="A1025" s="10" t="str">
        <x:v>Debt Payoff Financial Tracker with Avalanche method, Debt Repayment Planner, Debt Free Planner, Loan Tracker, Google Sheets</x:v>
      </x:c>
      <x:c r="B1025" s="10" t="str">
        <x:v>https://www.etsy.com/listing/4363196029/debt-payoff-financial-tracker-with</x:v>
      </x:c>
      <x:c r="C1025" s="10" t="str">
        <x:v>MindpadStudio</x:v>
      </x:c>
      <x:c r="D1025" s="10" t="str">
        <x:v>https://www.etsy.com/shop/MindpadStudio</x:v>
      </x:c>
      <x:c r="E1025" s="11" t="n">
        <x:v>6.98</x:v>
      </x:c>
      <x:c r="F1025" s="10" t="n">
        <x:v>0</x:v>
      </x:c>
      <x:c r="G1025" s="12" t="n">
        <x:v>0</x:v>
      </x:c>
      <x:c r="H1025" s="13" t="n">
        <x:v>0</x:v>
      </x:c>
      <x:c r="I1025" s="10" t="n">
        <x:v>0</x:v>
      </x:c>
      <x:c r="J1025" s="10" t="n">
        <x:v>0</x:v>
      </x:c>
      <x:c r="K1025" s="10" t="str">
        <x:v>1 Mo.</x:v>
      </x:c>
      <x:c r="L1025" s="10" t="n">
        <x:v>0</x:v>
      </x:c>
      <x:c r="M1025" s="10" t="n">
        <x:v>0</x:v>
      </x:c>
      <x:c r="N1025" s="10" t="n">
        <x:v>0</x:v>
      </x:c>
      <x:c r="O1025" s="10" t="str"/>
      <x:c r="P1025" s="10" t="n">
        <x:v>1</x:v>
      </x:c>
      <x:c r="Q1025" s="10" t="n">
        <x:v>0</x:v>
      </x:c>
      <x:c r="R1025" s="13" t="n">
        <x:v>0</x:v>
      </x:c>
      <x:c r="S1025" s="10" t="n">
        <x:v>0</x:v>
      </x:c>
      <x:c r="T1025" s="10" t="str">
        <x:v>debt avalanche,debt repayment,debt google sheets,debt calculator,mortgage payoff,google sheets budget,credit card payoff,loan payoff tracker,student loan debt,debt payment tracker,debt free planner,debt template,financial planner</x:v>
      </x:c>
      <x:c r="U1025" s="10" t="str">
        <x:v>debt avalanche</x:v>
      </x:c>
      <x:c r="V1025" s="10" t="str">
        <x:v>debt repayment</x:v>
      </x:c>
      <x:c r="W1025" s="10" t="str">
        <x:v>debt google sheets</x:v>
      </x:c>
      <x:c r="X1025" s="10" t="str">
        <x:v>debt calculator</x:v>
      </x:c>
      <x:c r="Y1025" s="10" t="str">
        <x:v>mortgage payoff</x:v>
      </x:c>
      <x:c r="Z1025" s="10" t="str">
        <x:v>google sheets budget</x:v>
      </x:c>
      <x:c r="AA1025" s="10" t="str">
        <x:v>credit card payoff</x:v>
      </x:c>
      <x:c r="AB1025" s="10" t="str">
        <x:v>loan payoff tracker</x:v>
      </x:c>
      <x:c r="AC1025" s="10" t="str">
        <x:v>student loan debt</x:v>
      </x:c>
      <x:c r="AD1025" s="10" t="str">
        <x:v>debt payment tracker</x:v>
      </x:c>
      <x:c r="AE1025" s="10" t="str">
        <x:v>debt free planner</x:v>
      </x:c>
      <x:c r="AF1025" s="10" t="str">
        <x:v>debt template</x:v>
      </x:c>
      <x:c r="AG1025" s="10" t="str">
        <x:v>financial planner</x:v>
      </x:c>
      <x:c r="AH1025" s="10" t="str">
        <x:v>General debt payoff</x:v>
      </x:c>
      <x:c r="AI1025" s="13" t="n">
        <x:v>1</x:v>
      </x:c>
      <x:c r="AJ1025" s="10" t="str">
        <x:f>IF(F1025&gt;0,"Active","No est. sales")</x:f>
        <x:v>No est. sales</x:v>
      </x:c>
    </x:row>
    <x:row r="1026">
      <x:c r="A1026" s="10" t="str">
        <x:v>Mortgage Freedom 2025 Bundle | Mortgage Payoff Dashboard + Printable Tracker | Home Loan &amp; Debt-Free Planner Set</x:v>
      </x:c>
      <x:c r="B1026" s="10" t="str">
        <x:v>https://www.etsy.com/listing/4382429890/mortgage-freedom-2025-bundle-mortgage</x:v>
      </x:c>
      <x:c r="C1026" s="10" t="str">
        <x:v>Digital2know</x:v>
      </x:c>
      <x:c r="D1026" s="10" t="str">
        <x:v>https://www.etsy.com/shop/Digital2know</x:v>
      </x:c>
      <x:c r="E1026" s="11" t="n">
        <x:v>1.23</x:v>
      </x:c>
      <x:c r="F1026" s="10" t="n">
        <x:v>0</x:v>
      </x:c>
      <x:c r="G1026" s="12" t="n">
        <x:v>0</x:v>
      </x:c>
      <x:c r="H1026" s="13" t="n">
        <x:v>0</x:v>
      </x:c>
      <x:c r="I1026" s="10" t="n">
        <x:v>0</x:v>
      </x:c>
      <x:c r="J1026" s="10" t="n">
        <x:v>0</x:v>
      </x:c>
      <x:c r="K1026" s="10" t="str">
        <x:v>1 Mo.</x:v>
      </x:c>
      <x:c r="L1026" s="10" t="n">
        <x:v>0</x:v>
      </x:c>
      <x:c r="M1026" s="10" t="n">
        <x:v>0</x:v>
      </x:c>
      <x:c r="N1026" s="10" t="n">
        <x:v>2</x:v>
      </x:c>
      <x:c r="O1026" s="10" t="str">
        <x:v>Home &amp; Living</x:v>
      </x:c>
      <x:c r="P1026" s="10" t="n">
        <x:v>2</x:v>
      </x:c>
      <x:c r="Q1026" s="10" t="n">
        <x:v>0</x:v>
      </x:c>
      <x:c r="R1026" s="13" t="n">
        <x:v>0</x:v>
      </x:c>
      <x:c r="S1026" s="10" t="n">
        <x:v>2</x:v>
      </x:c>
      <x:c r="T1026" s="10" t="str">
        <x:v>mortgage tracker,mortgage spreadsheet,debt free planner,financial dashboard,printable tracker,home loan payoff,mortgage template,budgeting tool,debt payoff chart,digital planner set,mortgage freedom,homeownership,mortgage payoff</x:v>
      </x:c>
      <x:c r="U1026" s="10" t="str">
        <x:v>mortgage tracker</x:v>
      </x:c>
      <x:c r="V1026" s="10" t="str">
        <x:v>mortgage spreadsheet</x:v>
      </x:c>
      <x:c r="W1026" s="10" t="str">
        <x:v>debt free planner</x:v>
      </x:c>
      <x:c r="X1026" s="10" t="str">
        <x:v>financial dashboard</x:v>
      </x:c>
      <x:c r="Y1026" s="10" t="str">
        <x:v>printable tracker</x:v>
      </x:c>
      <x:c r="Z1026" s="10" t="str">
        <x:v>home loan payoff</x:v>
      </x:c>
      <x:c r="AA1026" s="10" t="str">
        <x:v>mortgage template</x:v>
      </x:c>
      <x:c r="AB1026" s="10" t="str">
        <x:v>budgeting tool</x:v>
      </x:c>
      <x:c r="AC1026" s="10" t="str">
        <x:v>debt payoff chart</x:v>
      </x:c>
      <x:c r="AD1026" s="10" t="str">
        <x:v>digital planner set</x:v>
      </x:c>
      <x:c r="AE1026" s="10" t="str">
        <x:v>mortgage freedom</x:v>
      </x:c>
      <x:c r="AF1026" s="10" t="str">
        <x:v>homeownership</x:v>
      </x:c>
      <x:c r="AG1026" s="10" t="str">
        <x:v>mortgage payoff</x:v>
      </x:c>
      <x:c r="AH1026" s="10" t="str">
        <x:v>Mortgage payoff / calculator</x:v>
      </x:c>
      <x:c r="AI1026" s="13" t="n">
        <x:v>1</x:v>
      </x:c>
      <x:c r="AJ1026" s="10" t="str">
        <x:f>IF(F1026&gt;0,"Active","No est. sales")</x:f>
        <x:v>No est. sales</x:v>
      </x:c>
    </x:row>
    <x:row r="1027">
      <x:c r="A1027" s="10" t="str">
        <x:v>Printable New Home Buying Planner</x:v>
      </x:c>
      <x:c r="B1027" s="10" t="str">
        <x:v>https://www.etsy.com/listing/4356363328/printable-new-home-buying-planner</x:v>
      </x:c>
      <x:c r="C1027" s="10" t="str">
        <x:v>SelahDesignsBySarah</x:v>
      </x:c>
      <x:c r="D1027" s="10" t="str">
        <x:v>https://www.etsy.com/shop/SelahDesignsBySarah</x:v>
      </x:c>
      <x:c r="E1027" s="11" t="n">
        <x:v>4.99</x:v>
      </x:c>
      <x:c r="F1027" s="10" t="n">
        <x:v>0</x:v>
      </x:c>
      <x:c r="G1027" s="12" t="n">
        <x:v>0</x:v>
      </x:c>
      <x:c r="H1027" s="13" t="n">
        <x:v>0</x:v>
      </x:c>
      <x:c r="I1027" s="10" t="n">
        <x:v>0</x:v>
      </x:c>
      <x:c r="J1027" s="10" t="n">
        <x:v>0</x:v>
      </x:c>
      <x:c r="K1027" s="10" t="str">
        <x:v>4 Mo.</x:v>
      </x:c>
      <x:c r="L1027" s="10" t="n">
        <x:v>1</x:v>
      </x:c>
      <x:c r="M1027" s="10" t="n">
        <x:v>0</x:v>
      </x:c>
      <x:c r="N1027" s="10" t="n">
        <x:v>158</x:v>
      </x:c>
      <x:c r="O1027" s="10" t="str"/>
      <x:c r="P1027" s="10" t="n">
        <x:v>34</x:v>
      </x:c>
      <x:c r="Q1027" s="10" t="n">
        <x:v>0</x:v>
      </x:c>
      <x:c r="R1027" s="13" t="n">
        <x:v>0</x:v>
      </x:c>
      <x:c r="S1027" s="10" t="n">
        <x:v>0</x:v>
      </x:c>
      <x:c r="T1027" s="10" t="str">
        <x:v>home buying planner,home planner,printable planner,mortgage planner,mortgage budget,loan comparison,new home planner,moving inventory,contact list,home checklist</x:v>
      </x:c>
      <x:c r="U1027" s="10" t="str">
        <x:v>home buying planner</x:v>
      </x:c>
      <x:c r="V1027" s="10" t="str">
        <x:v>home planner</x:v>
      </x:c>
      <x:c r="W1027" s="10" t="str">
        <x:v>printable planner</x:v>
      </x:c>
      <x:c r="X1027" s="10" t="str">
        <x:v>mortgage planner</x:v>
      </x:c>
      <x:c r="Y1027" s="10" t="str">
        <x:v>mortgage budget</x:v>
      </x:c>
      <x:c r="Z1027" s="10" t="str">
        <x:v>loan comparison</x:v>
      </x:c>
      <x:c r="AA1027" s="10" t="str">
        <x:v>new home planner</x:v>
      </x:c>
      <x:c r="AB1027" s="10" t="str">
        <x:v>moving inventory</x:v>
      </x:c>
      <x:c r="AC1027" s="10" t="str">
        <x:v>contact list</x:v>
      </x:c>
      <x:c r="AD1027" s="10" t="str">
        <x:v>home checklist</x:v>
      </x:c>
      <x:c r="AE1027" s="10" t="str">
        <x:v>--</x:v>
      </x:c>
      <x:c r="AF1027" s="10" t="str">
        <x:v>--</x:v>
      </x:c>
      <x:c r="AG1027" s="10" t="str">
        <x:v>--</x:v>
      </x:c>
      <x:c r="AH1027" s="10" t="str">
        <x:v>Home buying planner</x:v>
      </x:c>
      <x:c r="AI1027" s="13" t="n">
        <x:v>4</x:v>
      </x:c>
      <x:c r="AJ1027" s="10" t="str">
        <x:f>IF(F1027&gt;0,"Active","No est. sales")</x:f>
        <x:v>No est. sales</x:v>
      </x:c>
    </x:row>
    <x:row r="1028">
      <x:c r="A1028" s="10" t="str">
        <x:v>Mortgage Due ~ Glossy Planner Stickers, Perfect for Journaling and Planners, Cute Waterproof Stickers, Bright and Colourful for Bujo</x:v>
      </x:c>
      <x:c r="B1028" s="10" t="str">
        <x:v>https://www.etsy.com/listing/1735681161/mortgage-due-glossy-planner-stickers</x:v>
      </x:c>
      <x:c r="C1028" s="10" t="str">
        <x:v>HanddrawnByMaddie</x:v>
      </x:c>
      <x:c r="D1028" s="10" t="str">
        <x:v>https://www.etsy.com/shop/HanddrawnByMaddie</x:v>
      </x:c>
      <x:c r="E1028" s="11" t="n">
        <x:v>3.65</x:v>
      </x:c>
      <x:c r="F1028" s="10" t="n">
        <x:v>0</x:v>
      </x:c>
      <x:c r="G1028" s="12" t="n">
        <x:v>0</x:v>
      </x:c>
      <x:c r="H1028" s="13" t="n">
        <x:v>0</x:v>
      </x:c>
      <x:c r="I1028" s="10" t="n">
        <x:v>0</x:v>
      </x:c>
      <x:c r="J1028" s="10" t="n">
        <x:v>0</x:v>
      </x:c>
      <x:c r="K1028" s="10" t="str">
        <x:v>10 Mo.</x:v>
      </x:c>
      <x:c r="L1028" s="10" t="n">
        <x:v>1</x:v>
      </x:c>
      <x:c r="M1028" s="10" t="n">
        <x:v>0</x:v>
      </x:c>
      <x:c r="N1028" s="10" t="n">
        <x:v>0</x:v>
      </x:c>
      <x:c r="O1028" s="10" t="str">
        <x:v>Paper &amp; Party Supplies</x:v>
      </x:c>
      <x:c r="P1028" s="10" t="n">
        <x:v>93</x:v>
      </x:c>
      <x:c r="Q1028" s="10" t="n">
        <x:v>0</x:v>
      </x:c>
      <x:c r="R1028" s="13" t="n">
        <x:v>0</x:v>
      </x:c>
      <x:c r="S1028" s="10" t="n">
        <x:v>237</x:v>
      </x:c>
      <x:c r="T1028" s="10" t="str">
        <x:v>bujo,planner stickers,cute stickers,waterproof stickers,bullet journal,journal stickers,kawaii planner,planner accessories,cute planner,kawaii journal,kawaii stickers,cute bullet journal,bujo stickers</x:v>
      </x:c>
      <x:c r="U1028" s="10" t="str">
        <x:v>bujo</x:v>
      </x:c>
      <x:c r="V1028" s="10" t="str">
        <x:v>planner stickers</x:v>
      </x:c>
      <x:c r="W1028" s="10" t="str">
        <x:v>cute stickers</x:v>
      </x:c>
      <x:c r="X1028" s="10" t="str">
        <x:v>waterproof stickers</x:v>
      </x:c>
      <x:c r="Y1028" s="10" t="str">
        <x:v>bullet journal</x:v>
      </x:c>
      <x:c r="Z1028" s="10" t="str">
        <x:v>journal stickers</x:v>
      </x:c>
      <x:c r="AA1028" s="10" t="str">
        <x:v>kawaii planner</x:v>
      </x:c>
      <x:c r="AB1028" s="10" t="str">
        <x:v>planner accessories</x:v>
      </x:c>
      <x:c r="AC1028" s="10" t="str">
        <x:v>cute planner</x:v>
      </x:c>
      <x:c r="AD1028" s="10" t="str">
        <x:v>kawaii journal</x:v>
      </x:c>
      <x:c r="AE1028" s="10" t="str">
        <x:v>kawaii stickers</x:v>
      </x:c>
      <x:c r="AF1028" s="10" t="str">
        <x:v>cute bullet journal</x:v>
      </x:c>
      <x:c r="AG1028" s="10" t="str">
        <x:v>bujo stickers</x:v>
      </x:c>
      <x:c r="AH1028" s="10" t="str">
        <x:v>Other mortgage-related</x:v>
      </x:c>
      <x:c r="AI1028" s="13" t="n">
        <x:v>10</x:v>
      </x:c>
      <x:c r="AJ1028" s="10" t="str">
        <x:f>IF(F1028&gt;0,"Active","No est. sales")</x:f>
        <x:v>No est. sales</x:v>
      </x:c>
    </x:row>
    <x:row r="1029">
      <x:c r="A1029" s="10" t="str">
        <x:v>Mortgage &amp; Monthly Budget Planner | Home Affordability Calculator | Excel Download</x:v>
      </x:c>
      <x:c r="B1029" s="10" t="str">
        <x:v>https://www.etsy.com/listing/4335935809/mortgage-monthly-budget-planner-home</x:v>
      </x:c>
      <x:c r="C1029" s="10" t="str">
        <x:v>LegalLaunchDocs</x:v>
      </x:c>
      <x:c r="D1029" s="10" t="str">
        <x:v>https://www.etsy.com/shop/LegalLaunchDocs</x:v>
      </x:c>
      <x:c r="E1029" s="11" t="n">
        <x:v>8.97</x:v>
      </x:c>
      <x:c r="F1029" s="10" t="n">
        <x:v>0</x:v>
      </x:c>
      <x:c r="G1029" s="12" t="n">
        <x:v>0</x:v>
      </x:c>
      <x:c r="H1029" s="13" t="n">
        <x:v>0</x:v>
      </x:c>
      <x:c r="I1029" s="10" t="n">
        <x:v>0</x:v>
      </x:c>
      <x:c r="J1029" s="10" t="n">
        <x:v>0</x:v>
      </x:c>
      <x:c r="K1029" s="10" t="str">
        <x:v>6 Mo.</x:v>
      </x:c>
      <x:c r="L1029" s="10" t="n">
        <x:v>1</x:v>
      </x:c>
      <x:c r="M1029" s="10" t="n">
        <x:v>0</x:v>
      </x:c>
      <x:c r="N1029" s="10" t="n">
        <x:v>26</x:v>
      </x:c>
      <x:c r="O1029" s="10" t="str"/>
      <x:c r="P1029" s="10" t="n">
        <x:v>6</x:v>
      </x:c>
      <x:c r="Q1029" s="10" t="n">
        <x:v>0</x:v>
      </x:c>
      <x:c r="R1029" s="13" t="n">
        <x:v>0</x:v>
      </x:c>
      <x:c r="S1029" s="10" t="n">
        <x:v>0</x:v>
      </x:c>
      <x:c r="T1029" s="10" t="str">
        <x:v>budget planner,mortgage calculator,excel budge,affordability calc,digital download,home budget,personal finance,financial planner,homebuyer,debt tracker,income vs expense,expense tracker</x:v>
      </x:c>
      <x:c r="U1029" s="10" t="str">
        <x:v>budget planner</x:v>
      </x:c>
      <x:c r="V1029" s="10" t="str">
        <x:v>mortgage calculator</x:v>
      </x:c>
      <x:c r="W1029" s="10" t="str">
        <x:v>excel budge</x:v>
      </x:c>
      <x:c r="X1029" s="10" t="str">
        <x:v>affordability calc</x:v>
      </x:c>
      <x:c r="Y1029" s="10" t="str">
        <x:v>digital download</x:v>
      </x:c>
      <x:c r="Z1029" s="10" t="str">
        <x:v>home budget</x:v>
      </x:c>
      <x:c r="AA1029" s="10" t="str">
        <x:v>personal finance</x:v>
      </x:c>
      <x:c r="AB1029" s="10" t="str">
        <x:v>financial planner</x:v>
      </x:c>
      <x:c r="AC1029" s="10" t="str">
        <x:v>homebuyer</x:v>
      </x:c>
      <x:c r="AD1029" s="10" t="str">
        <x:v>debt tracker</x:v>
      </x:c>
      <x:c r="AE1029" s="10" t="str">
        <x:v>income vs expense</x:v>
      </x:c>
      <x:c r="AF1029" s="10" t="str">
        <x:v>expense tracker</x:v>
      </x:c>
      <x:c r="AG1029" s="10" t="str">
        <x:v>--</x:v>
      </x:c>
      <x:c r="AH1029" s="10" t="str">
        <x:v>Other mortgage-related</x:v>
      </x:c>
      <x:c r="AI1029" s="13" t="n">
        <x:v>6</x:v>
      </x:c>
      <x:c r="AJ1029" s="10" t="str">
        <x:f>IF(F1029&gt;0,"Active","No est. sales")</x:f>
        <x:v>No est. sales</x:v>
      </x:c>
    </x:row>
    <x:row r="1030">
      <x:c r="A1030" s="10" t="str">
        <x:v>Mortgage Affordability Calculator | UK Home Buyers | Instant Download</x:v>
      </x:c>
      <x:c r="B1030" s="10" t="str">
        <x:v>https://www.etsy.com/listing/1838755466/mortgage-affordability-calculator-uk</x:v>
      </x:c>
      <x:c r="C1030" s="10" t="str">
        <x:v>MortgageGuru2812</x:v>
      </x:c>
      <x:c r="D1030" s="10" t="str">
        <x:v>https://www.etsy.com/shop/MortgageGuru2812</x:v>
      </x:c>
      <x:c r="E1030" s="11" t="n">
        <x:v>3.36</x:v>
      </x:c>
      <x:c r="F1030" s="10" t="n">
        <x:v>0</x:v>
      </x:c>
      <x:c r="G1030" s="12" t="n">
        <x:v>0</x:v>
      </x:c>
      <x:c r="H1030" s="13" t="n">
        <x:v>0</x:v>
      </x:c>
      <x:c r="I1030" s="10" t="n">
        <x:v>0</x:v>
      </x:c>
      <x:c r="J1030" s="10" t="n">
        <x:v>0</x:v>
      </x:c>
      <x:c r="K1030" s="10" t="str">
        <x:v>9 Mo.</x:v>
      </x:c>
      <x:c r="L1030" s="10" t="n">
        <x:v>1</x:v>
      </x:c>
      <x:c r="M1030" s="10" t="n">
        <x:v>0</x:v>
      </x:c>
      <x:c r="N1030" s="10" t="n">
        <x:v>24</x:v>
      </x:c>
      <x:c r="O1030" s="10" t="str"/>
      <x:c r="P1030" s="10" t="n">
        <x:v>17</x:v>
      </x:c>
      <x:c r="Q1030" s="10" t="n">
        <x:v>0</x:v>
      </x:c>
      <x:c r="R1030" s="13" t="n">
        <x:v>0</x:v>
      </x:c>
      <x:c r="S1030" s="10" t="n">
        <x:v>0</x:v>
      </x:c>
      <x:c r="T1030" s="10" t="str">
        <x:v>mortgage calculator,affordability calc,home buying tool,uk mortgage planner,mortgage tool,first time buyer,budget calculator,loan calculator,mortgage tool uk,finance planning</x:v>
      </x:c>
      <x:c r="U1030" s="10" t="str">
        <x:v>mortgage calculator</x:v>
      </x:c>
      <x:c r="V1030" s="10" t="str">
        <x:v>affordability calc</x:v>
      </x:c>
      <x:c r="W1030" s="10" t="str">
        <x:v>home buying tool</x:v>
      </x:c>
      <x:c r="X1030" s="10" t="str">
        <x:v>uk mortgage planner</x:v>
      </x:c>
      <x:c r="Y1030" s="10" t="str">
        <x:v>mortgage tool</x:v>
      </x:c>
      <x:c r="Z1030" s="10" t="str">
        <x:v>first time buyer</x:v>
      </x:c>
      <x:c r="AA1030" s="10" t="str">
        <x:v>budget calculator</x:v>
      </x:c>
      <x:c r="AB1030" s="10" t="str">
        <x:v>loan calculator</x:v>
      </x:c>
      <x:c r="AC1030" s="10" t="str">
        <x:v>mortgage tool uk</x:v>
      </x:c>
      <x:c r="AD1030" s="10" t="str">
        <x:v>finance planning</x:v>
      </x:c>
      <x:c r="AE1030" s="10" t="str">
        <x:v>--</x:v>
      </x:c>
      <x:c r="AF1030" s="10" t="str">
        <x:v>--</x:v>
      </x:c>
      <x:c r="AG1030" s="10" t="str">
        <x:v>--</x:v>
      </x:c>
      <x:c r="AH1030" s="10" t="str">
        <x:v>Other mortgage-related</x:v>
      </x:c>
      <x:c r="AI1030" s="13" t="n">
        <x:v>9</x:v>
      </x:c>
      <x:c r="AJ1030" s="10" t="str">
        <x:f>IF(F1030&gt;0,"Active","No est. sales")</x:f>
        <x:v>No est. sales</x:v>
      </x:c>
    </x:row>
    <x:row r="1031">
      <x:c r="A1031" s="10" t="str">
        <x:v>Debt Snowball Tracker Printable, Debt Tracker, Debt Payment Tracker Printable, Debt Repayment Printable, Debt Payoff Tracker Debt Log</x:v>
      </x:c>
      <x:c r="B1031" s="10" t="str">
        <x:v>https://www.etsy.com/listing/1290027960/debt-snowball-tracker-printable-debt</x:v>
      </x:c>
      <x:c r="C1031" s="10" t="str">
        <x:v>PlansPossibilities</x:v>
      </x:c>
      <x:c r="D1031" s="10" t="str">
        <x:v>https://www.etsy.com/shop/PlansPossibilities</x:v>
      </x:c>
      <x:c r="E1031" s="11" t="n">
        <x:v>2.54</x:v>
      </x:c>
      <x:c r="F1031" s="10" t="n">
        <x:v>0</x:v>
      </x:c>
      <x:c r="G1031" s="12" t="n">
        <x:v>0</x:v>
      </x:c>
      <x:c r="H1031" s="13" t="n">
        <x:v>0</x:v>
      </x:c>
      <x:c r="I1031" s="10" t="n">
        <x:v>0</x:v>
      </x:c>
      <x:c r="J1031" s="10" t="n">
        <x:v>0</x:v>
      </x:c>
      <x:c r="K1031" s="10" t="str">
        <x:v>27 Mo.</x:v>
      </x:c>
      <x:c r="L1031" s="10" t="n">
        <x:v>1</x:v>
      </x:c>
      <x:c r="M1031" s="10" t="n">
        <x:v>0</x:v>
      </x:c>
      <x:c r="N1031" s="10" t="n">
        <x:v>34</x:v>
      </x:c>
      <x:c r="O1031" s="10" t="str">
        <x:v>Paper &amp; Party Supplies</x:v>
      </x:c>
      <x:c r="P1031" s="10" t="n">
        <x:v>81</x:v>
      </x:c>
      <x:c r="Q1031" s="10" t="n">
        <x:v>0</x:v>
      </x:c>
      <x:c r="R1031" s="13" t="n">
        <x:v>0</x:v>
      </x:c>
      <x:c r="S1031" s="10" t="n">
        <x:v>1333</x:v>
      </x:c>
      <x:c r="T1031" s="10" t="str">
        <x:v>debt free planner,repayment planner,mortgage payment,payment tracker,budget planner pages,debt payment,printable pdf,budget binder,budget template,a5 planner budget,easy budget,finance planner,snowball debt</x:v>
      </x:c>
      <x:c r="U1031" s="10" t="str">
        <x:v>debt free planner</x:v>
      </x:c>
      <x:c r="V1031" s="10" t="str">
        <x:v>repayment planner</x:v>
      </x:c>
      <x:c r="W1031" s="10" t="str">
        <x:v>mortgage payment</x:v>
      </x:c>
      <x:c r="X1031" s="10" t="str">
        <x:v>payment tracker</x:v>
      </x:c>
      <x:c r="Y1031" s="10" t="str">
        <x:v>budget planner pages</x:v>
      </x:c>
      <x:c r="Z1031" s="10" t="str">
        <x:v>debt payment</x:v>
      </x:c>
      <x:c r="AA1031" s="10" t="str">
        <x:v>printable pdf</x:v>
      </x:c>
      <x:c r="AB1031" s="10" t="str">
        <x:v>budget binder</x:v>
      </x:c>
      <x:c r="AC1031" s="10" t="str">
        <x:v>budget template</x:v>
      </x:c>
      <x:c r="AD1031" s="10" t="str">
        <x:v>a5 planner budget</x:v>
      </x:c>
      <x:c r="AE1031" s="10" t="str">
        <x:v>easy budget</x:v>
      </x:c>
      <x:c r="AF1031" s="10" t="str">
        <x:v>finance planner</x:v>
      </x:c>
      <x:c r="AG1031" s="10" t="str">
        <x:v>snowball debt</x:v>
      </x:c>
      <x:c r="AH1031" s="10" t="str">
        <x:v>General debt payoff</x:v>
      </x:c>
      <x:c r="AI1031" s="13" t="n">
        <x:v>27</x:v>
      </x:c>
      <x:c r="AJ1031" s="10" t="str">
        <x:f>IF(F1031&gt;0,"Active","No est. sales")</x:f>
        <x:v>No est. sales</x:v>
      </x:c>
    </x:row>
    <x:row r="1032">
      <x:c r="A1032" s="10" t="str">
        <x:v>Mortgage Broker Canva Template, Financial Freedom RoadMap Lead Magnet, Personal Finance, Loan Office, Real Estate AgentBusiness Marketing,</x:v>
      </x:c>
      <x:c r="B1032" s="10" t="str">
        <x:v>https://www.etsy.com/listing/1678957625/mortgage-broker-canva-template-financial</x:v>
      </x:c>
      <x:c r="C1032" s="10" t="str">
        <x:v>ShellyLovesTemplates</x:v>
      </x:c>
      <x:c r="D1032" s="10" t="str">
        <x:v>https://www.etsy.com/shop/ShellyLovesTemplates</x:v>
      </x:c>
      <x:c r="E1032" s="11" t="n">
        <x:v>13.27</x:v>
      </x:c>
      <x:c r="F1032" s="10" t="n">
        <x:v>0</x:v>
      </x:c>
      <x:c r="G1032" s="12" t="n">
        <x:v>0</x:v>
      </x:c>
      <x:c r="H1032" s="13" t="n">
        <x:v>0</x:v>
      </x:c>
      <x:c r="I1032" s="10" t="n">
        <x:v>0</x:v>
      </x:c>
      <x:c r="J1032" s="10" t="n">
        <x:v>0</x:v>
      </x:c>
      <x:c r="K1032" s="10" t="str">
        <x:v>14 Mo.</x:v>
      </x:c>
      <x:c r="L1032" s="10" t="n">
        <x:v>7</x:v>
      </x:c>
      <x:c r="M1032" s="10" t="n">
        <x:v>0</x:v>
      </x:c>
      <x:c r="N1032" s="10" t="n">
        <x:v>73</x:v>
      </x:c>
      <x:c r="O1032" s="10" t="str">
        <x:v>Paper &amp; Party Supplies</x:v>
      </x:c>
      <x:c r="P1032" s="10" t="n">
        <x:v>34</x:v>
      </x:c>
      <x:c r="Q1032" s="10" t="n">
        <x:v>0</x:v>
      </x:c>
      <x:c r="R1032" s="13" t="n">
        <x:v>0</x:v>
      </x:c>
      <x:c r="S1032" s="10" t="n">
        <x:v>1048</x:v>
      </x:c>
      <x:c r="T1032" s="10" t="str">
        <x:v>mortgage marketing,mortgage templates,mortgage tips,mortgage flyer,instagram template,mortgage guide,broker social media,credit score tracker,raise credit score,credit repair kit,mortgage broker,mortgate lead magnet,credit score planner</x:v>
      </x:c>
      <x:c r="U1032" s="10" t="str">
        <x:v>mortgage marketing</x:v>
      </x:c>
      <x:c r="V1032" s="10" t="str">
        <x:v>mortgage templates</x:v>
      </x:c>
      <x:c r="W1032" s="10" t="str">
        <x:v>mortgage tips</x:v>
      </x:c>
      <x:c r="X1032" s="10" t="str">
        <x:v>mortgage flyer</x:v>
      </x:c>
      <x:c r="Y1032" s="10" t="str">
        <x:v>instagram template</x:v>
      </x:c>
      <x:c r="Z1032" s="10" t="str">
        <x:v>mortgage guide</x:v>
      </x:c>
      <x:c r="AA1032" s="10" t="str">
        <x:v>broker social media</x:v>
      </x:c>
      <x:c r="AB1032" s="10" t="str">
        <x:v>credit score tracker</x:v>
      </x:c>
      <x:c r="AC1032" s="10" t="str">
        <x:v>raise credit score</x:v>
      </x:c>
      <x:c r="AD1032" s="10" t="str">
        <x:v>credit repair kit</x:v>
      </x:c>
      <x:c r="AE1032" s="10" t="str">
        <x:v>mortgage broker</x:v>
      </x:c>
      <x:c r="AF1032" s="10" t="str">
        <x:v>mortgate lead magnet</x:v>
      </x:c>
      <x:c r="AG1032" s="10" t="str">
        <x:v>credit score planner</x:v>
      </x:c>
      <x:c r="AH1032" s="10" t="str">
        <x:v>Loan officer / B2B</x:v>
      </x:c>
      <x:c r="AI1032" s="13" t="n">
        <x:v>14</x:v>
      </x:c>
      <x:c r="AJ1032" s="10" t="str">
        <x:f>IF(F1032&gt;0,"Active","No est. sales")</x:f>
        <x:v>No est. sales</x:v>
      </x:c>
    </x:row>
    <x:row r="1033">
      <x:c r="A1033" s="10" t="str">
        <x:v>Mortgage Affordability Calculator Spreadsheet | Home Buying Budget Tool (Excel)</x:v>
      </x:c>
      <x:c r="B1033" s="10" t="str">
        <x:v>https://www.etsy.com/listing/4467568582/mortgage-affordability-calculator</x:v>
      </x:c>
      <x:c r="C1033" s="10" t="str">
        <x:v>Manguangua</x:v>
      </x:c>
      <x:c r="D1033" s="10" t="str">
        <x:v>https://www.etsy.com/shop/Manguangua</x:v>
      </x:c>
      <x:c r="E1033" s="11" t="n">
        <x:v>9.33</x:v>
      </x:c>
      <x:c r="F1033" s="10" t="n">
        <x:v>0</x:v>
      </x:c>
      <x:c r="G1033" s="12" t="n">
        <x:v>0</x:v>
      </x:c>
      <x:c r="H1033" s="13" t="n">
        <x:v>0</x:v>
      </x:c>
      <x:c r="I1033" s="10" t="n">
        <x:v>0</x:v>
      </x:c>
      <x:c r="J1033" s="10" t="n">
        <x:v>0</x:v>
      </x:c>
      <x:c r="K1033" s="10" t="str">
        <x:v>2 Mo.</x:v>
      </x:c>
      <x:c r="L1033" s="10" t="n">
        <x:v>1</x:v>
      </x:c>
      <x:c r="M1033" s="10" t="n">
        <x:v>0</x:v>
      </x:c>
      <x:c r="N1033" s="10" t="n">
        <x:v>3</x:v>
      </x:c>
      <x:c r="O1033" s="10" t="str"/>
      <x:c r="P1033" s="10" t="n">
        <x:v>2</x:v>
      </x:c>
      <x:c r="Q1033" s="10" t="n">
        <x:v>0</x:v>
      </x:c>
      <x:c r="R1033" s="13" t="n">
        <x:v>0</x:v>
      </x:c>
      <x:c r="S1033" s="10" t="n">
        <x:v>0</x:v>
      </x:c>
      <x:c r="T1033" s="10" t="str">
        <x:v>mortgage calculator,home buying tool,house hunting plan,affordability tool,real estate excel,monthly payment,new homeowner gift,property tax tool,finance spreadsheet,budget planner,mortgage planner,debt to income,home loan tracker</x:v>
      </x:c>
      <x:c r="U1033" s="10" t="str">
        <x:v>mortgage calculator</x:v>
      </x:c>
      <x:c r="V1033" s="10" t="str">
        <x:v>home buying tool</x:v>
      </x:c>
      <x:c r="W1033" s="10" t="str">
        <x:v>house hunting plan</x:v>
      </x:c>
      <x:c r="X1033" s="10" t="str">
        <x:v>affordability tool</x:v>
      </x:c>
      <x:c r="Y1033" s="10" t="str">
        <x:v>real estate excel</x:v>
      </x:c>
      <x:c r="Z1033" s="10" t="str">
        <x:v>monthly payment</x:v>
      </x:c>
      <x:c r="AA1033" s="10" t="str">
        <x:v>new homeowner gift</x:v>
      </x:c>
      <x:c r="AB1033" s="10" t="str">
        <x:v>property tax tool</x:v>
      </x:c>
      <x:c r="AC1033" s="10" t="str">
        <x:v>finance spreadsheet</x:v>
      </x:c>
      <x:c r="AD1033" s="10" t="str">
        <x:v>budget planner</x:v>
      </x:c>
      <x:c r="AE1033" s="10" t="str">
        <x:v>mortgage planner</x:v>
      </x:c>
      <x:c r="AF1033" s="10" t="str">
        <x:v>debt to income</x:v>
      </x:c>
      <x:c r="AG1033" s="10" t="str">
        <x:v>home loan tracker</x:v>
      </x:c>
      <x:c r="AH1033" s="10" t="str">
        <x:v>Home buying planner</x:v>
      </x:c>
      <x:c r="AI1033" s="13" t="n">
        <x:v>2</x:v>
      </x:c>
      <x:c r="AJ1033" s="10" t="str">
        <x:f>IF(F1033&gt;0,"Active","No est. sales")</x:f>
        <x:v>No est. sales</x:v>
      </x:c>
    </x:row>
    <x:row r="1034">
      <x:c r="A1034" s="10" t="str">
        <x:v>Debt Payoff Tracker | Google Sheets Budget Template (Digital Download)</x:v>
      </x:c>
      <x:c r="B1034" s="10" t="str">
        <x:v>https://www.etsy.com/listing/4445659265/debt-free-journey-tracker-student-loan</x:v>
      </x:c>
      <x:c r="C1034" s="10" t="str">
        <x:v>OrganizedOfficeShop</x:v>
      </x:c>
      <x:c r="D1034" s="10" t="str">
        <x:v>https://www.etsy.com/shop/OrganizedOfficeShop</x:v>
      </x:c>
      <x:c r="E1034" s="11" t="n">
        <x:v>1.99</x:v>
      </x:c>
      <x:c r="F1034" s="10" t="n">
        <x:v>0</x:v>
      </x:c>
      <x:c r="G1034" s="12" t="n">
        <x:v>0</x:v>
      </x:c>
      <x:c r="H1034" s="13" t="n">
        <x:v>0</x:v>
      </x:c>
      <x:c r="I1034" s="10" t="n">
        <x:v>0</x:v>
      </x:c>
      <x:c r="J1034" s="10" t="n">
        <x:v>0</x:v>
      </x:c>
      <x:c r="K1034" s="10" t="str">
        <x:v>4 Mo.</x:v>
      </x:c>
      <x:c r="L1034" s="10" t="n">
        <x:v>0</x:v>
      </x:c>
      <x:c r="M1034" s="10" t="n">
        <x:v>0</x:v>
      </x:c>
      <x:c r="N1034" s="10" t="n">
        <x:v>1</x:v>
      </x:c>
      <x:c r="O1034" s="10" t="str"/>
      <x:c r="P1034" s="10" t="n">
        <x:v>4</x:v>
      </x:c>
      <x:c r="Q1034" s="10" t="n">
        <x:v>0</x:v>
      </x:c>
      <x:c r="R1034" s="13" t="n">
        <x:v>0</x:v>
      </x:c>
      <x:c r="S1034" s="10" t="n">
        <x:v>0</x:v>
      </x:c>
      <x:c r="T1034" s="10" t="str">
        <x:v>debt payoff tracker,google sheets budget,personal finance,debt snowball tool,debt avalanche log,loan calculator,credit card payoff,student loan tracker,mortgage payoff log,automated dashboard,debt free journey,simple finance tool,financial planner</x:v>
      </x:c>
      <x:c r="U1034" s="10" t="str">
        <x:v>debt payoff tracker</x:v>
      </x:c>
      <x:c r="V1034" s="10" t="str">
        <x:v>google sheets budget</x:v>
      </x:c>
      <x:c r="W1034" s="10" t="str">
        <x:v>personal finance</x:v>
      </x:c>
      <x:c r="X1034" s="10" t="str">
        <x:v>debt snowball tool</x:v>
      </x:c>
      <x:c r="Y1034" s="10" t="str">
        <x:v>debt avalanche log</x:v>
      </x:c>
      <x:c r="Z1034" s="10" t="str">
        <x:v>loan calculator</x:v>
      </x:c>
      <x:c r="AA1034" s="10" t="str">
        <x:v>credit card payoff</x:v>
      </x:c>
      <x:c r="AB1034" s="10" t="str">
        <x:v>student loan tracker</x:v>
      </x:c>
      <x:c r="AC1034" s="10" t="str">
        <x:v>mortgage payoff log</x:v>
      </x:c>
      <x:c r="AD1034" s="10" t="str">
        <x:v>automated dashboard</x:v>
      </x:c>
      <x:c r="AE1034" s="10" t="str">
        <x:v>debt free journey</x:v>
      </x:c>
      <x:c r="AF1034" s="10" t="str">
        <x:v>simple finance tool</x:v>
      </x:c>
      <x:c r="AG1034" s="10" t="str">
        <x:v>financial planner</x:v>
      </x:c>
      <x:c r="AH1034" s="10" t="str">
        <x:v>General debt payoff</x:v>
      </x:c>
      <x:c r="AI1034" s="13" t="n">
        <x:v>4</x:v>
      </x:c>
      <x:c r="AJ1034" s="10" t="str">
        <x:f>IF(F1034&gt;0,"Active","No est. sales")</x:f>
        <x:v>No est. sales</x:v>
      </x:c>
    </x:row>
    <x:row r="1035">
      <x:c r="A1035" s="10" t="str">
        <x:v>Debt Payoff Tracker for Google Sheets, Debt Repayment Spreadsheet, Debt Snowball Spreadsheet, Debt Avalanche Calculator, Credit Card Payoff</x:v>
      </x:c>
      <x:c r="B1035" s="10" t="str">
        <x:v>https://www.etsy.com/listing/1861982740/debt-payoff-tracker-for-google-sheets</x:v>
      </x:c>
      <x:c r="C1035" s="10" t="str">
        <x:v>TheBudgetingCo</x:v>
      </x:c>
      <x:c r="D1035" s="10" t="str">
        <x:v>https://www.etsy.com/shop/TheBudgetingCo</x:v>
      </x:c>
      <x:c r="E1035" s="11" t="n">
        <x:v>8.71</x:v>
      </x:c>
      <x:c r="F1035" s="10" t="n">
        <x:v>0</x:v>
      </x:c>
      <x:c r="G1035" s="12" t="n">
        <x:v>0</x:v>
      </x:c>
      <x:c r="H1035" s="13" t="n">
        <x:v>0</x:v>
      </x:c>
      <x:c r="I1035" s="10" t="n">
        <x:v>0</x:v>
      </x:c>
      <x:c r="J1035" s="10" t="n">
        <x:v>0</x:v>
      </x:c>
      <x:c r="K1035" s="10" t="str">
        <x:v>1 Mo.</x:v>
      </x:c>
      <x:c r="L1035" s="10" t="n">
        <x:v>0</x:v>
      </x:c>
      <x:c r="M1035" s="10" t="n">
        <x:v>0</x:v>
      </x:c>
      <x:c r="N1035" s="10" t="n">
        <x:v>8</x:v>
      </x:c>
      <x:c r="O1035" s="10" t="str"/>
      <x:c r="P1035" s="10" t="n">
        <x:v>2</x:v>
      </x:c>
      <x:c r="Q1035" s="10" t="n">
        <x:v>0</x:v>
      </x:c>
      <x:c r="R1035" s="13" t="n">
        <x:v>0</x:v>
      </x:c>
      <x:c r="S1035" s="10" t="n">
        <x:v>2</x:v>
      </x:c>
      <x:c r="T1035" s="10" t="str">
        <x:v>debt avalanche,debt calculator,debt repayment,debt payment tracker,debt snowball,debt google sheets,credit card debt,mortgage payoff,loan payoff tracker,student loan debt,debt free planner,snowball method,debt payoff planner</x:v>
      </x:c>
      <x:c r="U1035" s="10" t="str">
        <x:v>debt avalanche</x:v>
      </x:c>
      <x:c r="V1035" s="10" t="str">
        <x:v>debt calculator</x:v>
      </x:c>
      <x:c r="W1035" s="10" t="str">
        <x:v>debt repayment</x:v>
      </x:c>
      <x:c r="X1035" s="10" t="str">
        <x:v>debt payment tracker</x:v>
      </x:c>
      <x:c r="Y1035" s="10" t="str">
        <x:v>debt snowball</x:v>
      </x:c>
      <x:c r="Z1035" s="10" t="str">
        <x:v>debt google sheets</x:v>
      </x:c>
      <x:c r="AA1035" s="10" t="str">
        <x:v>credit card debt</x:v>
      </x:c>
      <x:c r="AB1035" s="10" t="str">
        <x:v>mortgage payoff</x:v>
      </x:c>
      <x:c r="AC1035" s="10" t="str">
        <x:v>loan payoff tracker</x:v>
      </x:c>
      <x:c r="AD1035" s="10" t="str">
        <x:v>student loan debt</x:v>
      </x:c>
      <x:c r="AE1035" s="10" t="str">
        <x:v>debt free planner</x:v>
      </x:c>
      <x:c r="AF1035" s="10" t="str">
        <x:v>snowball method</x:v>
      </x:c>
      <x:c r="AG1035" s="10" t="str">
        <x:v>debt payoff planner</x:v>
      </x:c>
      <x:c r="AH1035" s="10" t="str">
        <x:v>General debt payoff</x:v>
      </x:c>
      <x:c r="AI1035" s="13" t="n">
        <x:v>1</x:v>
      </x:c>
      <x:c r="AJ1035" s="10" t="str">
        <x:f>IF(F1035&gt;0,"Active","No est. sales")</x:f>
        <x:v>No est. sales</x:v>
      </x:c>
    </x:row>
    <x:row r="1036">
      <x:c r="A1036" s="10" t="str">
        <x:v>House Bill Reminders Printable Planner Stickers, Pay Rent Labels Planner Stickers, mortgage Payment Tracker, Home Icons - CUT FILES</x:v>
      </x:c>
      <x:c r="B1036" s="10" t="str">
        <x:v>https://www.etsy.com/listing/1461026132/house-bill-reminders-printable-planner</x:v>
      </x:c>
      <x:c r="C1036" s="10" t="str">
        <x:v>ilove2print</x:v>
      </x:c>
      <x:c r="D1036" s="10" t="str">
        <x:v>https://www.etsy.com/shop/ilove2print</x:v>
      </x:c>
      <x:c r="E1036" s="11" t="n">
        <x:v>3.2</x:v>
      </x:c>
      <x:c r="F1036" s="10" t="n">
        <x:v>0</x:v>
      </x:c>
      <x:c r="G1036" s="12" t="n">
        <x:v>0</x:v>
      </x:c>
      <x:c r="H1036" s="13" t="n">
        <x:v>0</x:v>
      </x:c>
      <x:c r="I1036" s="10" t="n">
        <x:v>0</x:v>
      </x:c>
      <x:c r="J1036" s="10" t="n">
        <x:v>0</x:v>
      </x:c>
      <x:c r="K1036" s="10" t="str">
        <x:v>22 Mo.</x:v>
      </x:c>
      <x:c r="L1036" s="10" t="n">
        <x:v>19</x:v>
      </x:c>
      <x:c r="M1036" s="10" t="n">
        <x:v>0</x:v>
      </x:c>
      <x:c r="N1036" s="10" t="n">
        <x:v>111</x:v>
      </x:c>
      <x:c r="O1036" s="10" t="str">
        <x:v>Paper &amp; Party Supplies</x:v>
      </x:c>
      <x:c r="P1036" s="10" t="n">
        <x:v>113</x:v>
      </x:c>
      <x:c r="Q1036" s="10" t="n">
        <x:v>0</x:v>
      </x:c>
      <x:c r="R1036" s="13" t="n">
        <x:v>0</x:v>
      </x:c>
      <x:c r="S1036" s="10" t="n">
        <x:v>160438</x:v>
      </x:c>
      <x:c r="T1036" s="10" t="str">
        <x:v>printable stickers,ec stickers,printable planner,planner stickers,ec planner stickers,instant download,functional stickers,eclp stickers,cricut files,silhouette files,house mortgage,rent bill,house stickers</x:v>
      </x:c>
      <x:c r="U1036" s="10" t="str">
        <x:v>printable stickers</x:v>
      </x:c>
      <x:c r="V1036" s="10" t="str">
        <x:v>ec stickers</x:v>
      </x:c>
      <x:c r="W1036" s="10" t="str">
        <x:v>printable planner</x:v>
      </x:c>
      <x:c r="X1036" s="10" t="str">
        <x:v>planner stickers</x:v>
      </x:c>
      <x:c r="Y1036" s="10" t="str">
        <x:v>ec planner stickers</x:v>
      </x:c>
      <x:c r="Z1036" s="10" t="str">
        <x:v>instant download</x:v>
      </x:c>
      <x:c r="AA1036" s="10" t="str">
        <x:v>functional stickers</x:v>
      </x:c>
      <x:c r="AB1036" s="10" t="str">
        <x:v>eclp stickers</x:v>
      </x:c>
      <x:c r="AC1036" s="10" t="str">
        <x:v>cricut files</x:v>
      </x:c>
      <x:c r="AD1036" s="10" t="str">
        <x:v>silhouette files</x:v>
      </x:c>
      <x:c r="AE1036" s="10" t="str">
        <x:v>house mortgage</x:v>
      </x:c>
      <x:c r="AF1036" s="10" t="str">
        <x:v>rent bill</x:v>
      </x:c>
      <x:c r="AG1036" s="10" t="str">
        <x:v>house stickers</x:v>
      </x:c>
      <x:c r="AH1036" s="10" t="str">
        <x:v>Other mortgage-related</x:v>
      </x:c>
      <x:c r="AI1036" s="13" t="n">
        <x:v>22</x:v>
      </x:c>
      <x:c r="AJ1036" s="10" t="str">
        <x:f>IF(F1036&gt;0,"Active","No est. sales")</x:f>
        <x:v>No est. sales</x:v>
      </x:c>
    </x:row>
    <x:row r="1037">
      <x:c r="A1037" s="10" t="str">
        <x:v>Home Mortgage Comparison Spreadsheet | Loan Calculator, Budget Tracker (Digital Download)</x:v>
      </x:c>
      <x:c r="B1037" s="10" t="str">
        <x:v>https://www.etsy.com/listing/4503569298/home-mortgage-comparison-spreadsheet</x:v>
      </x:c>
      <x:c r="C1037" s="10" t="str">
        <x:v>SpreadsheetBaseStore</x:v>
      </x:c>
      <x:c r="D1037" s="10" t="str">
        <x:v>https://www.etsy.com/shop/SpreadsheetBaseStore</x:v>
      </x:c>
      <x:c r="E1037" s="11" t="n">
        <x:v>2.65</x:v>
      </x:c>
      <x:c r="F1037" s="10" t="n">
        <x:v>0</x:v>
      </x:c>
      <x:c r="G1037" s="12" t="n">
        <x:v>0</x:v>
      </x:c>
      <x:c r="H1037" s="13" t="n">
        <x:v>0</x:v>
      </x:c>
      <x:c r="I1037" s="10" t="n">
        <x:v>0</x:v>
      </x:c>
      <x:c r="J1037" s="10" t="n">
        <x:v>0</x:v>
      </x:c>
      <x:c r="K1037" s="10" t="str">
        <x:v>1 Mo.</x:v>
      </x:c>
      <x:c r="L1037" s="10" t="n">
        <x:v>0</x:v>
      </x:c>
      <x:c r="M1037" s="10" t="n">
        <x:v>0</x:v>
      </x:c>
      <x:c r="N1037" s="10" t="n">
        <x:v>1</x:v>
      </x:c>
      <x:c r="O1037" s="10" t="str"/>
      <x:c r="P1037" s="10" t="n">
        <x:v>0</x:v>
      </x:c>
      <x:c r="Q1037" s="10" t="n">
        <x:v>0</x:v>
      </x:c>
      <x:c r="R1037" s="13" t="n">
        <x:v>0</x:v>
      </x:c>
      <x:c r="S1037" s="10" t="n">
        <x:v>2</x:v>
      </x:c>
      <x:c r="T1037" s="10" t="str">
        <x:v>mortgage tracker,home loan comparison,house hunting,mortgage calculator,loan estimator,real estate tool,google sheets,excel template,interest tracker,finance planner,new homeowner,refinance tool,debt tracker</x:v>
      </x:c>
      <x:c r="U1037" s="10" t="str">
        <x:v>mortgage tracker</x:v>
      </x:c>
      <x:c r="V1037" s="10" t="str">
        <x:v>home loan comparison</x:v>
      </x:c>
      <x:c r="W1037" s="10" t="str">
        <x:v>house hunting</x:v>
      </x:c>
      <x:c r="X1037" s="10" t="str">
        <x:v>mortgage calculator</x:v>
      </x:c>
      <x:c r="Y1037" s="10" t="str">
        <x:v>loan estimator</x:v>
      </x:c>
      <x:c r="Z1037" s="10" t="str">
        <x:v>real estate tool</x:v>
      </x:c>
      <x:c r="AA1037" s="10" t="str">
        <x:v>google sheets</x:v>
      </x:c>
      <x:c r="AB1037" s="10" t="str">
        <x:v>excel template</x:v>
      </x:c>
      <x:c r="AC1037" s="10" t="str">
        <x:v>interest tracker</x:v>
      </x:c>
      <x:c r="AD1037" s="10" t="str">
        <x:v>finance planner</x:v>
      </x:c>
      <x:c r="AE1037" s="10" t="str">
        <x:v>new homeowner</x:v>
      </x:c>
      <x:c r="AF1037" s="10" t="str">
        <x:v>refinance tool</x:v>
      </x:c>
      <x:c r="AG1037" s="10" t="str">
        <x:v>debt tracker</x:v>
      </x:c>
      <x:c r="AH1037" s="10" t="str">
        <x:v>Home buying planner</x:v>
      </x:c>
      <x:c r="AI1037" s="13" t="n">
        <x:v>1</x:v>
      </x:c>
      <x:c r="AJ1037" s="10" t="str">
        <x:f>IF(F1037&gt;0,"Active","No est. sales")</x:f>
        <x:v>No est. sales</x:v>
      </x:c>
    </x:row>
    <x:row r="1038">
      <x:c r="A1038" s="10" t="str">
        <x:v>Mortgage Early Payoff Planner | Extra Payment Calculator Spreadsheet | Google Sheets</x:v>
      </x:c>
      <x:c r="B1038" s="10" t="str">
        <x:v>https://www.etsy.com/listing/4533454579/mortgage-early-payoff-planner-extra</x:v>
      </x:c>
      <x:c r="C1038" s="10" t="str">
        <x:v>CrayvenCreates</x:v>
      </x:c>
      <x:c r="D1038" s="10" t="str">
        <x:v>https://www.etsy.com/shop/CrayvenCreates</x:v>
      </x:c>
      <x:c r="E1038" s="11" t="n">
        <x:v>9.99</x:v>
      </x:c>
      <x:c r="F1038" s="10" t="n">
        <x:v>0</x:v>
      </x:c>
      <x:c r="G1038" s="12" t="n">
        <x:v>0</x:v>
      </x:c>
      <x:c r="H1038" s="13" t="n">
        <x:v>0</x:v>
      </x:c>
      <x:c r="I1038" s="10" t="n">
        <x:v>0</x:v>
      </x:c>
      <x:c r="J1038" s="10" t="n">
        <x:v>0</x:v>
      </x:c>
      <x:c r="K1038" s="10" t="str">
        <x:v>1 Mo.</x:v>
      </x:c>
      <x:c r="L1038" s="10" t="n">
        <x:v>0</x:v>
      </x:c>
      <x:c r="M1038" s="10" t="n">
        <x:v>0</x:v>
      </x:c>
      <x:c r="N1038" s="10" t="n">
        <x:v>0</x:v>
      </x:c>
      <x:c r="O1038" s="10" t="str"/>
      <x:c r="P1038" s="10" t="n">
        <x:v>3</x:v>
      </x:c>
      <x:c r="Q1038" s="10" t="n">
        <x:v>0</x:v>
      </x:c>
      <x:c r="R1038" s="13" t="n">
        <x:v>0</x:v>
      </x:c>
      <x:c r="S1038" s="10" t="n">
        <x:v>2</x:v>
      </x:c>
      <x:c r="T1038" s="10" t="str">
        <x:v>mortgage payoff,early payoff tracker,extra payment calc,debt free planner,amortization table,home loan tracker,pay off mortgage,lump sum mortgage,debt snowball home,interest savings,dave ramsey budget,payoff date tracker,loan payoff sheet</x:v>
      </x:c>
      <x:c r="U1038" s="10" t="str">
        <x:v>mortgage payoff</x:v>
      </x:c>
      <x:c r="V1038" s="10" t="str">
        <x:v>early payoff tracker</x:v>
      </x:c>
      <x:c r="W1038" s="10" t="str">
        <x:v>extra payment calc</x:v>
      </x:c>
      <x:c r="X1038" s="10" t="str">
        <x:v>debt free planner</x:v>
      </x:c>
      <x:c r="Y1038" s="10" t="str">
        <x:v>amortization table</x:v>
      </x:c>
      <x:c r="Z1038" s="10" t="str">
        <x:v>home loan tracker</x:v>
      </x:c>
      <x:c r="AA1038" s="10" t="str">
        <x:v>pay off mortgage</x:v>
      </x:c>
      <x:c r="AB1038" s="10" t="str">
        <x:v>lump sum mortgage</x:v>
      </x:c>
      <x:c r="AC1038" s="10" t="str">
        <x:v>debt snowball home</x:v>
      </x:c>
      <x:c r="AD1038" s="10" t="str">
        <x:v>interest savings</x:v>
      </x:c>
      <x:c r="AE1038" s="10" t="str">
        <x:v>dave ramsey budget</x:v>
      </x:c>
      <x:c r="AF1038" s="10" t="str">
        <x:v>payoff date tracker</x:v>
      </x:c>
      <x:c r="AG1038" s="10" t="str">
        <x:v>loan payoff sheet</x:v>
      </x:c>
      <x:c r="AH1038" s="10" t="str">
        <x:v>Other mortgage-related</x:v>
      </x:c>
      <x:c r="AI1038" s="13" t="n">
        <x:v>1</x:v>
      </x:c>
      <x:c r="AJ1038" s="10" t="str">
        <x:f>IF(F1038&gt;0,"Active","No est. sales")</x:f>
        <x:v>No est. sales</x:v>
      </x:c>
    </x:row>
    <x:row r="1039">
      <x:c r="A1039" s="10" t="str">
        <x:v>Bill Due Planner Sticker | Budget Planner | Rainbow Flags | Monthly Planner</x:v>
      </x:c>
      <x:c r="B1039" s="10" t="str">
        <x:v>https://www.etsy.com/listing/787746627/bill-due-planner-sticker-budget-planner</x:v>
      </x:c>
      <x:c r="C1039" s="10" t="str">
        <x:v>LibbyandLouStickerCo</x:v>
      </x:c>
      <x:c r="D1039" s="10" t="str">
        <x:v>https://www.etsy.com/shop/LibbyandLouStickerCo</x:v>
      </x:c>
      <x:c r="E1039" s="11" t="n">
        <x:v>3.9</x:v>
      </x:c>
      <x:c r="F1039" s="10" t="n">
        <x:v>0</x:v>
      </x:c>
      <x:c r="G1039" s="12" t="n">
        <x:v>0</x:v>
      </x:c>
      <x:c r="H1039" s="13" t="n">
        <x:v>0</x:v>
      </x:c>
      <x:c r="I1039" s="10" t="n">
        <x:v>31</x:v>
      </x:c>
      <x:c r="J1039" s="10" t="n">
        <x:v>6</x:v>
      </x:c>
      <x:c r="K1039" s="10" t="str">
        <x:v>76 Mo.</x:v>
      </x:c>
      <x:c r="L1039" s="10" t="n">
        <x:v>30</x:v>
      </x:c>
      <x:c r="M1039" s="10" t="n">
        <x:v>0</x:v>
      </x:c>
      <x:c r="N1039" s="10" t="n">
        <x:v>228</x:v>
      </x:c>
      <x:c r="O1039" s="10" t="str">
        <x:v>Paper &amp; Party Supplies</x:v>
      </x:c>
      <x:c r="P1039" s="10" t="n">
        <x:v>112</x:v>
      </x:c>
      <x:c r="Q1039" s="10" t="n">
        <x:v>0</x:v>
      </x:c>
      <x:c r="R1039" s="13" t="n">
        <x:v>13.6</x:v>
      </x:c>
      <x:c r="S1039" s="10" t="n">
        <x:v>41989</x:v>
      </x:c>
      <x:c r="T1039" s="10" t="str">
        <x:v>functional planning,planner sticker,functional sticker,monthly bills,mortgage due,credit card payment,bills due,bill due sticker,budget planner,rainbow stickers,bills sticker,monthly planner,libby and lou</x:v>
      </x:c>
      <x:c r="U1039" s="10" t="str">
        <x:v>functional planning</x:v>
      </x:c>
      <x:c r="V1039" s="10" t="str">
        <x:v>planner sticker</x:v>
      </x:c>
      <x:c r="W1039" s="10" t="str">
        <x:v>functional sticker</x:v>
      </x:c>
      <x:c r="X1039" s="10" t="str">
        <x:v>monthly bills</x:v>
      </x:c>
      <x:c r="Y1039" s="10" t="str">
        <x:v>mortgage due</x:v>
      </x:c>
      <x:c r="Z1039" s="10" t="str">
        <x:v>credit card payment</x:v>
      </x:c>
      <x:c r="AA1039" s="10" t="str">
        <x:v>bills due</x:v>
      </x:c>
      <x:c r="AB1039" s="10" t="str">
        <x:v>bill due sticker</x:v>
      </x:c>
      <x:c r="AC1039" s="10" t="str">
        <x:v>budget planner</x:v>
      </x:c>
      <x:c r="AD1039" s="10" t="str">
        <x:v>rainbow stickers</x:v>
      </x:c>
      <x:c r="AE1039" s="10" t="str">
        <x:v>bills sticker</x:v>
      </x:c>
      <x:c r="AF1039" s="10" t="str">
        <x:v>monthly planner</x:v>
      </x:c>
      <x:c r="AG1039" s="10" t="str">
        <x:v>libby and lou</x:v>
      </x:c>
      <x:c r="AH1039" s="10" t="str">
        <x:v>Other mortgage-related</x:v>
      </x:c>
      <x:c r="AI1039" s="13" t="n">
        <x:v>76</x:v>
      </x:c>
      <x:c r="AJ1039" s="10" t="str">
        <x:f>IF(F1039&gt;0,"Active","No est. sales")</x:f>
        <x:v>No est. sales</x:v>
      </x:c>
    </x:row>
    <x:row r="1040">
      <x:c r="A1040" s="10" t="str">
        <x:v>Loan Calculator, Repayment Schedule, &amp; Credit Card Tracker (Digital Download)</x:v>
      </x:c>
      <x:c r="B1040" s="10" t="str">
        <x:v>https://www.etsy.com/listing/1265203667/loan-calculator-repayment-schedule</x:v>
      </x:c>
      <x:c r="C1040" s="10" t="str">
        <x:v>DigitalCommodity</x:v>
      </x:c>
      <x:c r="D1040" s="10" t="str">
        <x:v>https://www.etsy.com/shop/DigitalCommodity</x:v>
      </x:c>
      <x:c r="E1040" s="11" t="n">
        <x:v>8.13</x:v>
      </x:c>
      <x:c r="F1040" s="10" t="n">
        <x:v>0</x:v>
      </x:c>
      <x:c r="G1040" s="12" t="n">
        <x:v>0</x:v>
      </x:c>
      <x:c r="H1040" s="13" t="n">
        <x:v>0</x:v>
      </x:c>
      <x:c r="I1040" s="10" t="n">
        <x:v>0</x:v>
      </x:c>
      <x:c r="J1040" s="10" t="n">
        <x:v>0</x:v>
      </x:c>
      <x:c r="K1040" s="10" t="str">
        <x:v>48 Mo.</x:v>
      </x:c>
      <x:c r="L1040" s="10" t="n">
        <x:v>30</x:v>
      </x:c>
      <x:c r="M1040" s="10" t="n">
        <x:v>0</x:v>
      </x:c>
      <x:c r="N1040" s="10" t="n">
        <x:v>749</x:v>
      </x:c>
      <x:c r="O1040" s="10" t="str">
        <x:v>Paper &amp; Party Supplies</x:v>
      </x:c>
      <x:c r="P1040" s="10" t="n">
        <x:v>49</x:v>
      </x:c>
      <x:c r="Q1040" s="10" t="n">
        <x:v>0</x:v>
      </x:c>
      <x:c r="R1040" s="13" t="n">
        <x:v>0</x:v>
      </x:c>
      <x:c r="S1040" s="10" t="n">
        <x:v>6441</x:v>
      </x:c>
      <x:c r="T1040" s="10" t="str">
        <x:v>excel templates,spreadsheet,loan repayment,amortization,notion templates,business templates,loan tracker,budget planner,loan calculator,repayment schedule,credit tracker,mortgage,credit card</x:v>
      </x:c>
      <x:c r="U1040" s="10" t="str">
        <x:v>excel templates</x:v>
      </x:c>
      <x:c r="V1040" s="10" t="str">
        <x:v>spreadsheet</x:v>
      </x:c>
      <x:c r="W1040" s="10" t="str">
        <x:v>loan repayment</x:v>
      </x:c>
      <x:c r="X1040" s="10" t="str">
        <x:v>amortization</x:v>
      </x:c>
      <x:c r="Y1040" s="10" t="str">
        <x:v>notion templates</x:v>
      </x:c>
      <x:c r="Z1040" s="10" t="str">
        <x:v>business templates</x:v>
      </x:c>
      <x:c r="AA1040" s="10" t="str">
        <x:v>loan tracker</x:v>
      </x:c>
      <x:c r="AB1040" s="10" t="str">
        <x:v>budget planner</x:v>
      </x:c>
      <x:c r="AC1040" s="10" t="str">
        <x:v>loan calculator</x:v>
      </x:c>
      <x:c r="AD1040" s="10" t="str">
        <x:v>repayment schedule</x:v>
      </x:c>
      <x:c r="AE1040" s="10" t="str">
        <x:v>credit tracker</x:v>
      </x:c>
      <x:c r="AF1040" s="10" t="str">
        <x:v>mortgage</x:v>
      </x:c>
      <x:c r="AG1040" s="10" t="str">
        <x:v>credit card</x:v>
      </x:c>
      <x:c r="AH1040" s="10" t="str">
        <x:v>Other mortgage-related</x:v>
      </x:c>
      <x:c r="AI1040" s="13" t="n">
        <x:v>48</x:v>
      </x:c>
      <x:c r="AJ1040" s="10" t="str">
        <x:f>IF(F1040&gt;0,"Active","No est. sales")</x:f>
        <x:v>No est. sales</x:v>
      </x:c>
    </x:row>
    <x:row r="1041">
      <x:c r="A1041" s="10" t="str">
        <x:v>Home Purchase Document Organizer PDF – Real Estate Filing System Guide</x:v>
      </x:c>
      <x:c r="B1041" s="10" t="str">
        <x:v>https://www.etsy.com/listing/1307134283/home-buying-file-structure-simple-filing</x:v>
      </x:c>
      <x:c r="C1041" s="10" t="str">
        <x:v>MadeforMoving</x:v>
      </x:c>
      <x:c r="D1041" s="10" t="str">
        <x:v>https://www.etsy.com/shop/MadeforMoving</x:v>
      </x:c>
      <x:c r="E1041" s="11" t="n">
        <x:v>4.82</x:v>
      </x:c>
      <x:c r="F1041" s="10" t="n">
        <x:v>0</x:v>
      </x:c>
      <x:c r="G1041" s="12" t="n">
        <x:v>0</x:v>
      </x:c>
      <x:c r="H1041" s="13" t="n">
        <x:v>0</x:v>
      </x:c>
      <x:c r="I1041" s="10" t="n">
        <x:v>0</x:v>
      </x:c>
      <x:c r="J1041" s="10" t="n">
        <x:v>0</x:v>
      </x:c>
      <x:c r="K1041" s="10" t="str">
        <x:v>46 Mo.</x:v>
      </x:c>
      <x:c r="L1041" s="10" t="n">
        <x:v>11</x:v>
      </x:c>
      <x:c r="M1041" s="10" t="n">
        <x:v>0</x:v>
      </x:c>
      <x:c r="N1041" s="10" t="n">
        <x:v>131</x:v>
      </x:c>
      <x:c r="O1041" s="10" t="str">
        <x:v>Paper &amp; Party Supplies</x:v>
      </x:c>
      <x:c r="P1041" s="10" t="n">
        <x:v>65</x:v>
      </x:c>
      <x:c r="Q1041" s="10" t="n">
        <x:v>0</x:v>
      </x:c>
      <x:c r="R1041" s="13" t="n">
        <x:v>0</x:v>
      </x:c>
      <x:c r="S1041" s="10" t="n">
        <x:v>4199</x:v>
      </x:c>
      <x:c r="T1041" s="10" t="str">
        <x:v>home document kit,mortgage organizer,real estate file,home admin planner,property filing,offer documents,house paperwork,buyer checklist,home admin pdf,settlement papers,purchase planner,buyer organizer,filing system pdf</x:v>
      </x:c>
      <x:c r="U1041" s="10" t="str">
        <x:v>home document kit</x:v>
      </x:c>
      <x:c r="V1041" s="10" t="str">
        <x:v>mortgage organizer</x:v>
      </x:c>
      <x:c r="W1041" s="10" t="str">
        <x:v>real estate file</x:v>
      </x:c>
      <x:c r="X1041" s="10" t="str">
        <x:v>home admin planner</x:v>
      </x:c>
      <x:c r="Y1041" s="10" t="str">
        <x:v>property filing</x:v>
      </x:c>
      <x:c r="Z1041" s="10" t="str">
        <x:v>offer documents</x:v>
      </x:c>
      <x:c r="AA1041" s="10" t="str">
        <x:v>house paperwork</x:v>
      </x:c>
      <x:c r="AB1041" s="10" t="str">
        <x:v>buyer checklist</x:v>
      </x:c>
      <x:c r="AC1041" s="10" t="str">
        <x:v>home admin pdf</x:v>
      </x:c>
      <x:c r="AD1041" s="10" t="str">
        <x:v>settlement papers</x:v>
      </x:c>
      <x:c r="AE1041" s="10" t="str">
        <x:v>purchase planner</x:v>
      </x:c>
      <x:c r="AF1041" s="10" t="str">
        <x:v>buyer organizer</x:v>
      </x:c>
      <x:c r="AG1041" s="10" t="str">
        <x:v>filing system pdf</x:v>
      </x:c>
      <x:c r="AH1041" s="10" t="str">
        <x:v>Other mortgage-related</x:v>
      </x:c>
      <x:c r="AI1041" s="13" t="n">
        <x:v>46</x:v>
      </x:c>
      <x:c r="AJ1041" s="10" t="str">
        <x:f>IF(F1041&gt;0,"Active","No est. sales")</x:f>
        <x:v>No est. sales</x:v>
      </x:c>
    </x:row>
    <x:row r="1042">
      <x:c r="A1042" s="10" t="str">
        <x:v>Bill Due Icon Planner Stickers / Budget</x:v>
      </x:c>
      <x:c r="B1042" s="10" t="str">
        <x:v>https://www.etsy.com/listing/816199940/bill-due-icon-planner-stickers-budget</x:v>
      </x:c>
      <x:c r="C1042" s="10" t="str">
        <x:v>StickItPrettyShop</x:v>
      </x:c>
      <x:c r="D1042" s="10" t="str">
        <x:v>https://www.etsy.com/shop/StickItPrettyShop</x:v>
      </x:c>
      <x:c r="E1042" s="11" t="n">
        <x:v>3.79</x:v>
      </x:c>
      <x:c r="F1042" s="10" t="n">
        <x:v>0</x:v>
      </x:c>
      <x:c r="G1042" s="12" t="n">
        <x:v>0</x:v>
      </x:c>
      <x:c r="H1042" s="13" t="n">
        <x:v>0</x:v>
      </x:c>
      <x:c r="I1042" s="10" t="n">
        <x:v>34</x:v>
      </x:c>
      <x:c r="J1042" s="10" t="n">
        <x:v>9</x:v>
      </x:c>
      <x:c r="K1042" s="10" t="str">
        <x:v>73 Mo.</x:v>
      </x:c>
      <x:c r="L1042" s="10" t="n">
        <x:v>97</x:v>
      </x:c>
      <x:c r="M1042" s="10" t="n">
        <x:v>0</x:v>
      </x:c>
      <x:c r="N1042" s="10" t="n">
        <x:v>643</x:v>
      </x:c>
      <x:c r="O1042" s="10" t="str">
        <x:v>Paper &amp; Party Supplies</x:v>
      </x:c>
      <x:c r="P1042" s="10" t="n">
        <x:v>82</x:v>
      </x:c>
      <x:c r="Q1042" s="10" t="n">
        <x:v>0</x:v>
      </x:c>
      <x:c r="R1042" s="13" t="n">
        <x:v>5.29</x:v>
      </x:c>
      <x:c r="S1042" s="10" t="n">
        <x:v>10252</x:v>
      </x:c>
      <x:c r="T1042" s="10" t="str">
        <x:v>planner stickers,icon stickers,bills bill due,budget budgeting,functional stickers,credit card payment,wallet envelope,pay bills,mortgage payment,debt,purse wallet</x:v>
      </x:c>
      <x:c r="U1042" s="10" t="str">
        <x:v>planner stickers</x:v>
      </x:c>
      <x:c r="V1042" s="10" t="str">
        <x:v>icon stickers</x:v>
      </x:c>
      <x:c r="W1042" s="10" t="str">
        <x:v>bills bill due</x:v>
      </x:c>
      <x:c r="X1042" s="10" t="str">
        <x:v>budget budgeting</x:v>
      </x:c>
      <x:c r="Y1042" s="10" t="str">
        <x:v>functional stickers</x:v>
      </x:c>
      <x:c r="Z1042" s="10" t="str">
        <x:v>credit card payment</x:v>
      </x:c>
      <x:c r="AA1042" s="10" t="str">
        <x:v>wallet envelope</x:v>
      </x:c>
      <x:c r="AB1042" s="10" t="str">
        <x:v>pay bills</x:v>
      </x:c>
      <x:c r="AC1042" s="10" t="str">
        <x:v>mortgage payment</x:v>
      </x:c>
      <x:c r="AD1042" s="10" t="str">
        <x:v>debt</x:v>
      </x:c>
      <x:c r="AE1042" s="10" t="str">
        <x:v>purse wallet</x:v>
      </x:c>
      <x:c r="AF1042" s="10" t="str">
        <x:v>--</x:v>
      </x:c>
      <x:c r="AG1042" s="10" t="str">
        <x:v>--</x:v>
      </x:c>
      <x:c r="AH1042" s="10" t="str">
        <x:v>Other mortgage-related</x:v>
      </x:c>
      <x:c r="AI1042" s="13" t="n">
        <x:v>73</x:v>
      </x:c>
      <x:c r="AJ1042" s="10" t="str">
        <x:f>IF(F1042&gt;0,"Active","No est. sales")</x:f>
        <x:v>No est. sales</x:v>
      </x:c>
    </x:row>
    <x:row r="1043">
      <x:c r="A1043" s="10" t="str">
        <x:v>House Savings Challenge Bundle</x:v>
      </x:c>
      <x:c r="B1043" s="10" t="str">
        <x:v>https://www.etsy.com/listing/1746861048/house-savings-challenge-bundle</x:v>
      </x:c>
      <x:c r="C1043" s="10" t="str">
        <x:v>KatFinancialPlaybook</x:v>
      </x:c>
      <x:c r="D1043" s="10" t="str">
        <x:v>https://www.etsy.com/shop/KatFinancialPlaybook</x:v>
      </x:c>
      <x:c r="E1043" s="11" t="n">
        <x:v>3.5</x:v>
      </x:c>
      <x:c r="F1043" s="10" t="n">
        <x:v>0</x:v>
      </x:c>
      <x:c r="G1043" s="12" t="n">
        <x:v>0</x:v>
      </x:c>
      <x:c r="H1043" s="13" t="n">
        <x:v>0</x:v>
      </x:c>
      <x:c r="I1043" s="10" t="n">
        <x:v>0</x:v>
      </x:c>
      <x:c r="J1043" s="10" t="n">
        <x:v>0</x:v>
      </x:c>
      <x:c r="K1043" s="10" t="str">
        <x:v>24 Mo.</x:v>
      </x:c>
      <x:c r="L1043" s="10" t="n">
        <x:v>0</x:v>
      </x:c>
      <x:c r="M1043" s="10" t="n">
        <x:v>0</x:v>
      </x:c>
      <x:c r="N1043" s="10" t="n">
        <x:v>37</x:v>
      </x:c>
      <x:c r="O1043" s="10" t="str"/>
      <x:c r="P1043" s="10" t="n">
        <x:v>25</x:v>
      </x:c>
      <x:c r="Q1043" s="10" t="n">
        <x:v>0</x:v>
      </x:c>
      <x:c r="R1043" s="13" t="n">
        <x:v>0</x:v>
      </x:c>
      <x:c r="S1043" s="10" t="n">
        <x:v>28</x:v>
      </x:c>
      <x:c r="T1043" s="10" t="str">
        <x:v>house savings,home budget,saving challenge,digital tracker,printable file,budget planner,home fund,save for house,reusable tracker,mortgage fund,finance goal,expense tracker,down payment</x:v>
      </x:c>
      <x:c r="U1043" s="10" t="str">
        <x:v>house savings</x:v>
      </x:c>
      <x:c r="V1043" s="10" t="str">
        <x:v>home budget</x:v>
      </x:c>
      <x:c r="W1043" s="10" t="str">
        <x:v>saving challenge</x:v>
      </x:c>
      <x:c r="X1043" s="10" t="str">
        <x:v>digital tracker</x:v>
      </x:c>
      <x:c r="Y1043" s="10" t="str">
        <x:v>printable file</x:v>
      </x:c>
      <x:c r="Z1043" s="10" t="str">
        <x:v>budget planner</x:v>
      </x:c>
      <x:c r="AA1043" s="10" t="str">
        <x:v>home fund</x:v>
      </x:c>
      <x:c r="AB1043" s="10" t="str">
        <x:v>save for house</x:v>
      </x:c>
      <x:c r="AC1043" s="10" t="str">
        <x:v>reusable tracker</x:v>
      </x:c>
      <x:c r="AD1043" s="10" t="str">
        <x:v>mortgage fund</x:v>
      </x:c>
      <x:c r="AE1043" s="10" t="str">
        <x:v>finance goal</x:v>
      </x:c>
      <x:c r="AF1043" s="10" t="str">
        <x:v>expense tracker</x:v>
      </x:c>
      <x:c r="AG1043" s="10" t="str">
        <x:v>down payment</x:v>
      </x:c>
      <x:c r="AH1043" s="10" t="str">
        <x:v>Other mortgage-related</x:v>
      </x:c>
      <x:c r="AI1043" s="13" t="n">
        <x:v>24</x:v>
      </x:c>
      <x:c r="AJ1043" s="10" t="str">
        <x:f>IF(F1043&gt;0,"Active","No est. sales")</x:f>
        <x:v>No est. sales</x:v>
      </x:c>
    </x:row>
    <x:row r="1044">
      <x:c r="A1044" s="10" t="str">
        <x:v>Dark Debt Payoff Tracker Spreadsheet Snowball Avalanche Calculator Credit Card Loan Bill Template House Mortgage Free Planner Google Sheet</x:v>
      </x:c>
      <x:c r="B1044" s="10" t="str">
        <x:v>https://www.etsy.com/listing/4459291011/dark-debt-payoff-tracker-spreadsheet</x:v>
      </x:c>
      <x:c r="C1044" s="10" t="str">
        <x:v>WaveCustom</x:v>
      </x:c>
      <x:c r="D1044" s="10" t="str">
        <x:v>https://www.etsy.com/shop/WaveCustom</x:v>
      </x:c>
      <x:c r="E1044" s="11" t="n">
        <x:v>1.24</x:v>
      </x:c>
      <x:c r="F1044" s="10" t="n">
        <x:v>0</x:v>
      </x:c>
      <x:c r="G1044" s="12" t="n">
        <x:v>0</x:v>
      </x:c>
      <x:c r="H1044" s="13" t="n">
        <x:v>0</x:v>
      </x:c>
      <x:c r="I1044" s="10" t="n">
        <x:v>0</x:v>
      </x:c>
      <x:c r="J1044" s="10" t="n">
        <x:v>0</x:v>
      </x:c>
      <x:c r="K1044" s="10" t="str">
        <x:v>5 Mo.</x:v>
      </x:c>
      <x:c r="L1044" s="10" t="n">
        <x:v>0</x:v>
      </x:c>
      <x:c r="M1044" s="10" t="n">
        <x:v>0</x:v>
      </x:c>
      <x:c r="N1044" s="10" t="n">
        <x:v>10</x:v>
      </x:c>
      <x:c r="O1044" s="10" t="str"/>
      <x:c r="P1044" s="10" t="n">
        <x:v>41</x:v>
      </x:c>
      <x:c r="Q1044" s="10" t="n">
        <x:v>0</x:v>
      </x:c>
      <x:c r="R1044" s="13" t="n">
        <x:v>0</x:v>
      </x:c>
      <x:c r="S1044" s="10" t="n">
        <x:v>855</x:v>
      </x:c>
      <x:c r="T1044" s="10" t="str">
        <x:v>credit utilization,debt avalanche,mortgage payoff,google sheets budget,credit card payoff,debt payment tracker,debt payoff tracker,debt template,financial planner,debt google sheets,credit card loan,snowball spreadsheet,debt snowball</x:v>
      </x:c>
      <x:c r="U1044" s="10" t="str">
        <x:v>credit utilization</x:v>
      </x:c>
      <x:c r="V1044" s="10" t="str">
        <x:v>debt avalanche</x:v>
      </x:c>
      <x:c r="W1044" s="10" t="str">
        <x:v>mortgage payoff</x:v>
      </x:c>
      <x:c r="X1044" s="10" t="str">
        <x:v>google sheets budget</x:v>
      </x:c>
      <x:c r="Y1044" s="10" t="str">
        <x:v>credit card payoff</x:v>
      </x:c>
      <x:c r="Z1044" s="10" t="str">
        <x:v>debt payment tracker</x:v>
      </x:c>
      <x:c r="AA1044" s="10" t="str">
        <x:v>debt payoff tracker</x:v>
      </x:c>
      <x:c r="AB1044" s="10" t="str">
        <x:v>debt template</x:v>
      </x:c>
      <x:c r="AC1044" s="10" t="str">
        <x:v>financial planner</x:v>
      </x:c>
      <x:c r="AD1044" s="10" t="str">
        <x:v>debt google sheets</x:v>
      </x:c>
      <x:c r="AE1044" s="10" t="str">
        <x:v>credit card loan</x:v>
      </x:c>
      <x:c r="AF1044" s="10" t="str">
        <x:v>snowball spreadsheet</x:v>
      </x:c>
      <x:c r="AG1044" s="10" t="str">
        <x:v>debt snowball</x:v>
      </x:c>
      <x:c r="AH1044" s="10" t="str">
        <x:v>General debt payoff</x:v>
      </x:c>
      <x:c r="AI1044" s="13" t="n">
        <x:v>5</x:v>
      </x:c>
      <x:c r="AJ1044" s="10" t="str">
        <x:f>IF(F1044&gt;0,"Active","No est. sales")</x:f>
        <x:v>No est. sales</x:v>
      </x:c>
    </x:row>
    <x:row r="1045">
      <x:c r="A1045" s="10" t="str">
        <x:v>Debt Snowball Spreadsheet Debt Snowball Payoff Tracker Google Sheets Debt Snowball Calculator Student Loan Payoff Mortgage Debt Payoff</x:v>
      </x:c>
      <x:c r="B1045" s="10" t="str">
        <x:v>https://www.etsy.com/listing/1679817075/debt-snowball-spreadsheet-debt-snowball</x:v>
      </x:c>
      <x:c r="C1045" s="10" t="str">
        <x:v>ExpertEasePro</x:v>
      </x:c>
      <x:c r="D1045" s="10" t="str">
        <x:v>https://www.etsy.com/shop/ExpertEasePro</x:v>
      </x:c>
      <x:c r="E1045" s="11" t="n">
        <x:v>4.99</x:v>
      </x:c>
      <x:c r="F1045" s="10" t="n">
        <x:v>0</x:v>
      </x:c>
      <x:c r="G1045" s="12" t="n">
        <x:v>0</x:v>
      </x:c>
      <x:c r="H1045" s="13" t="n">
        <x:v>0</x:v>
      </x:c>
      <x:c r="I1045" s="10" t="n">
        <x:v>392</x:v>
      </x:c>
      <x:c r="J1045" s="10" t="n">
        <x:v>38</x:v>
      </x:c>
      <x:c r="K1045" s="10" t="str">
        <x:v>29 Mo.</x:v>
      </x:c>
      <x:c r="L1045" s="10" t="n">
        <x:v>139</x:v>
      </x:c>
      <x:c r="M1045" s="10" t="n">
        <x:v>1</x:v>
      </x:c>
      <x:c r="N1045" s="10" t="n">
        <x:v>6317</x:v>
      </x:c>
      <x:c r="O1045" s="10" t="str">
        <x:v>Paper &amp; Party Supplies</x:v>
      </x:c>
      <x:c r="P1045" s="10" t="n">
        <x:v>35</x:v>
      </x:c>
      <x:c r="Q1045" s="10" t="n">
        <x:v>60</x:v>
      </x:c>
      <x:c r="R1045" s="13" t="n">
        <x:v>6.21</x:v>
      </x:c>
      <x:c r="S1045" s="10" t="n">
        <x:v>5332</x:v>
      </x:c>
      <x:c r="T1045" s="10" t="str">
        <x:v>debt snowball,debt payoff,debt tracker,student loan payoff,mortgage payoff,snowball method debt,debt repayment,personal finance,debt track template,debt payoff planner,loan payoff template,snowball debt,debt spreadsheet</x:v>
      </x:c>
      <x:c r="U1045" s="10" t="str">
        <x:v>debt snowball</x:v>
      </x:c>
      <x:c r="V1045" s="10" t="str">
        <x:v>debt payoff</x:v>
      </x:c>
      <x:c r="W1045" s="10" t="str">
        <x:v>debt tracker</x:v>
      </x:c>
      <x:c r="X1045" s="10" t="str">
        <x:v>student loan payoff</x:v>
      </x:c>
      <x:c r="Y1045" s="10" t="str">
        <x:v>mortgage payoff</x:v>
      </x:c>
      <x:c r="Z1045" s="10" t="str">
        <x:v>snowball method debt</x:v>
      </x:c>
      <x:c r="AA1045" s="10" t="str">
        <x:v>debt repayment</x:v>
      </x:c>
      <x:c r="AB1045" s="10" t="str">
        <x:v>personal finance</x:v>
      </x:c>
      <x:c r="AC1045" s="10" t="str">
        <x:v>debt track template</x:v>
      </x:c>
      <x:c r="AD1045" s="10" t="str">
        <x:v>debt payoff planner</x:v>
      </x:c>
      <x:c r="AE1045" s="10" t="str">
        <x:v>loan payoff template</x:v>
      </x:c>
      <x:c r="AF1045" s="10" t="str">
        <x:v>snowball debt</x:v>
      </x:c>
      <x:c r="AG1045" s="10" t="str">
        <x:v>debt spreadsheet</x:v>
      </x:c>
      <x:c r="AH1045" s="10" t="str">
        <x:v>General debt payoff</x:v>
      </x:c>
      <x:c r="AI1045" s="13" t="n">
        <x:v>29</x:v>
      </x:c>
      <x:c r="AJ1045" s="10" t="str">
        <x:f>IF(F1045&gt;0,"Active","No est. sales")</x:f>
        <x:v>No est. sales</x:v>
      </x:c>
    </x:row>
    <x:row r="1046">
      <x:c r="A1046" s="10" t="str">
        <x:v>Debt Avalanche Planner, Debt Avalanche Tracker, Debt Payments Tracker</x:v>
      </x:c>
      <x:c r="B1046" s="10" t="str">
        <x:v>https://www.etsy.com/listing/791793532/debt-avalanche-planner-debt-avalanche</x:v>
      </x:c>
      <x:c r="C1046" s="10" t="str">
        <x:v>AdventurePrintables</x:v>
      </x:c>
      <x:c r="D1046" s="10" t="str">
        <x:v>https://www.etsy.com/shop/AdventurePrintables</x:v>
      </x:c>
      <x:c r="E1046" s="11" t="n">
        <x:v>2.28</x:v>
      </x:c>
      <x:c r="F1046" s="10" t="n">
        <x:v>0</x:v>
      </x:c>
      <x:c r="G1046" s="12" t="n">
        <x:v>0</x:v>
      </x:c>
      <x:c r="H1046" s="13" t="n">
        <x:v>0</x:v>
      </x:c>
      <x:c r="I1046" s="10" t="n">
        <x:v>3</x:v>
      </x:c>
      <x:c r="J1046" s="10" t="n">
        <x:v>0</x:v>
      </x:c>
      <x:c r="K1046" s="10" t="str">
        <x:v>74 Mo.</x:v>
      </x:c>
      <x:c r="L1046" s="10" t="n">
        <x:v>23</x:v>
      </x:c>
      <x:c r="M1046" s="10" t="n">
        <x:v>0</x:v>
      </x:c>
      <x:c r="N1046" s="10" t="n">
        <x:v>363</x:v>
      </x:c>
      <x:c r="O1046" s="10" t="str">
        <x:v>Paper &amp; Party Supplies</x:v>
      </x:c>
      <x:c r="P1046" s="10" t="n">
        <x:v>113</x:v>
      </x:c>
      <x:c r="Q1046" s="10" t="n">
        <x:v>0</x:v>
      </x:c>
      <x:c r="R1046" s="13" t="n">
        <x:v>0.83</x:v>
      </x:c>
      <x:c r="S1046" s="10" t="n">
        <x:v>15029</x:v>
      </x:c>
      <x:c r="T1046" s="10" t="str">
        <x:v>printable planner,planner insert,debt avalanche,avalanche planner,avalanche tracker,debt payments,payments tracker,debt free,debt payoff plan,student loans,mortgage planner,financial freedom,dave ramsey</x:v>
      </x:c>
      <x:c r="U1046" s="10" t="str">
        <x:v>printable planner</x:v>
      </x:c>
      <x:c r="V1046" s="10" t="str">
        <x:v>planner insert</x:v>
      </x:c>
      <x:c r="W1046" s="10" t="str">
        <x:v>debt avalanche</x:v>
      </x:c>
      <x:c r="X1046" s="10" t="str">
        <x:v>avalanche planner</x:v>
      </x:c>
      <x:c r="Y1046" s="10" t="str">
        <x:v>avalanche tracker</x:v>
      </x:c>
      <x:c r="Z1046" s="10" t="str">
        <x:v>debt payments</x:v>
      </x:c>
      <x:c r="AA1046" s="10" t="str">
        <x:v>payments tracker</x:v>
      </x:c>
      <x:c r="AB1046" s="10" t="str">
        <x:v>debt free</x:v>
      </x:c>
      <x:c r="AC1046" s="10" t="str">
        <x:v>debt payoff plan</x:v>
      </x:c>
      <x:c r="AD1046" s="10" t="str">
        <x:v>student loans</x:v>
      </x:c>
      <x:c r="AE1046" s="10" t="str">
        <x:v>mortgage planner</x:v>
      </x:c>
      <x:c r="AF1046" s="10" t="str">
        <x:v>financial freedom</x:v>
      </x:c>
      <x:c r="AG1046" s="10" t="str">
        <x:v>dave ramsey</x:v>
      </x:c>
      <x:c r="AH1046" s="10" t="str">
        <x:v>General debt payoff</x:v>
      </x:c>
      <x:c r="AI1046" s="13" t="n">
        <x:v>74</x:v>
      </x:c>
      <x:c r="AJ1046" s="10" t="str">
        <x:f>IF(F1046&gt;0,"Active","No est. sales")</x:f>
        <x:v>No est. sales</x:v>
      </x:c>
    </x:row>
    <x:row r="1047">
      <x:c r="A1047" s="10" t="str">
        <x:v>Loan Comparison spreadsheet refinancing mortgage calculator best deal betwene 3 lenders Microsoft Excel Google Sheets or Numbers for Mac</x:v>
      </x:c>
      <x:c r="B1047" s="10" t="str">
        <x:v>https://www.etsy.com/listing/955014910/loan-comparison-spreadsheet-refinancing</x:v>
      </x:c>
      <x:c r="C1047" s="10" t="str">
        <x:v>AllAboutPlannersShop</x:v>
      </x:c>
      <x:c r="D1047" s="10" t="str">
        <x:v>https://www.etsy.com/shop/AllAboutPlannersShop</x:v>
      </x:c>
      <x:c r="E1047" s="11" t="n">
        <x:v>2.08</x:v>
      </x:c>
      <x:c r="F1047" s="10" t="n">
        <x:v>0</x:v>
      </x:c>
      <x:c r="G1047" s="12" t="n">
        <x:v>0</x:v>
      </x:c>
      <x:c r="H1047" s="13" t="n">
        <x:v>0</x:v>
      </x:c>
      <x:c r="I1047" s="10" t="n">
        <x:v>80</x:v>
      </x:c>
      <x:c r="J1047" s="10" t="n">
        <x:v>7</x:v>
      </x:c>
      <x:c r="K1047" s="10" t="str">
        <x:v>65 Mo.</x:v>
      </x:c>
      <x:c r="L1047" s="10" t="n">
        <x:v>65</x:v>
      </x:c>
      <x:c r="M1047" s="10" t="n">
        <x:v>0</x:v>
      </x:c>
      <x:c r="N1047" s="10" t="n">
        <x:v>2055</x:v>
      </x:c>
      <x:c r="O1047" s="10" t="str"/>
      <x:c r="P1047" s="10" t="n">
        <x:v>162</x:v>
      </x:c>
      <x:c r="Q1047" s="10" t="n">
        <x:v>0</x:v>
      </x:c>
      <x:c r="R1047" s="13" t="n">
        <x:v>3.89</x:v>
      </x:c>
      <x:c r="S1047" s="10" t="n">
        <x:v>34189</x:v>
      </x:c>
      <x:c r="T1047" s="10" t="str">
        <x:v>business,spreadsheet,excel,tracking,budget,planner,debt snowball,loan comparison,debt payoff,mortgage,refinance calculator,repayment calculator,investment property</x:v>
      </x:c>
      <x:c r="U1047" s="10" t="str">
        <x:v>business</x:v>
      </x:c>
      <x:c r="V1047" s="10" t="str">
        <x:v>spreadsheet</x:v>
      </x:c>
      <x:c r="W1047" s="10" t="str">
        <x:v>excel</x:v>
      </x:c>
      <x:c r="X1047" s="10" t="str">
        <x:v>tracking</x:v>
      </x:c>
      <x:c r="Y1047" s="10" t="str">
        <x:v>budget</x:v>
      </x:c>
      <x:c r="Z1047" s="10" t="str">
        <x:v>planner</x:v>
      </x:c>
      <x:c r="AA1047" s="10" t="str">
        <x:v>debt snowball</x:v>
      </x:c>
      <x:c r="AB1047" s="10" t="str">
        <x:v>loan comparison</x:v>
      </x:c>
      <x:c r="AC1047" s="10" t="str">
        <x:v>debt payoff</x:v>
      </x:c>
      <x:c r="AD1047" s="10" t="str">
        <x:v>mortgage</x:v>
      </x:c>
      <x:c r="AE1047" s="10" t="str">
        <x:v>refinance calculator</x:v>
      </x:c>
      <x:c r="AF1047" s="10" t="str">
        <x:v>repayment calculator</x:v>
      </x:c>
      <x:c r="AG1047" s="10" t="str">
        <x:v>investment property</x:v>
      </x:c>
      <x:c r="AH1047" s="10" t="str">
        <x:v>Mortgage payoff / calculator</x:v>
      </x:c>
      <x:c r="AI1047" s="13" t="n">
        <x:v>65</x:v>
      </x:c>
      <x:c r="AJ1047" s="10" t="str">
        <x:f>IF(F1047&gt;0,"Active","No est. sales")</x:f>
        <x:v>No est. sales</x:v>
      </x:c>
    </x:row>
    <x:row r="1048">
      <x:c r="A1048" s="10" t="str">
        <x:v>Pastel Mortgage Due Simple Icon Planner Stickers, 49 Stickers Per Sheet</x:v>
      </x:c>
      <x:c r="B1048" s="10" t="str">
        <x:v>https://www.etsy.com/listing/1706479111/pastel-mortgage-due-simple-icon-planner</x:v>
      </x:c>
      <x:c r="C1048" s="10" t="str">
        <x:v>JellyStudioDesigns</x:v>
      </x:c>
      <x:c r="D1048" s="10" t="str">
        <x:v>https://www.etsy.com/shop/JellyStudioDesigns</x:v>
      </x:c>
      <x:c r="E1048" s="11" t="n">
        <x:v>4.66</x:v>
      </x:c>
      <x:c r="F1048" s="10" t="n">
        <x:v>0</x:v>
      </x:c>
      <x:c r="G1048" s="12" t="n">
        <x:v>0</x:v>
      </x:c>
      <x:c r="H1048" s="13" t="n">
        <x:v>0</x:v>
      </x:c>
      <x:c r="I1048" s="10" t="n">
        <x:v>0</x:v>
      </x:c>
      <x:c r="J1048" s="10" t="n">
        <x:v>0</x:v>
      </x:c>
      <x:c r="K1048" s="10" t="str">
        <x:v>27 Mo.</x:v>
      </x:c>
      <x:c r="L1048" s="10" t="n">
        <x:v>1</x:v>
      </x:c>
      <x:c r="M1048" s="10" t="n">
        <x:v>0</x:v>
      </x:c>
      <x:c r="N1048" s="10" t="n">
        <x:v>20</x:v>
      </x:c>
      <x:c r="O1048" s="10" t="str">
        <x:v>Paper &amp; Party Supplies</x:v>
      </x:c>
      <x:c r="P1048" s="10" t="n">
        <x:v>71</x:v>
      </x:c>
      <x:c r="Q1048" s="10" t="n">
        <x:v>0</x:v>
      </x:c>
      <x:c r="R1048" s="13" t="n">
        <x:v>0</x:v>
      </x:c>
      <x:c r="S1048" s="10" t="n">
        <x:v>2696</x:v>
      </x:c>
      <x:c r="T1048" s="10" t="str">
        <x:v>planner stickers,functional planning,mini icons,mini stickers,mortgage due icons,payment reminder,pastel sticker sheet,expense tracker,minimalist stickers,bill due stickers,monthly planner,journaling stickers,tiny stickers</x:v>
      </x:c>
      <x:c r="U1048" s="10" t="str">
        <x:v>planner stickers</x:v>
      </x:c>
      <x:c r="V1048" s="10" t="str">
        <x:v>functional planning</x:v>
      </x:c>
      <x:c r="W1048" s="10" t="str">
        <x:v>mini icons</x:v>
      </x:c>
      <x:c r="X1048" s="10" t="str">
        <x:v>mini stickers</x:v>
      </x:c>
      <x:c r="Y1048" s="10" t="str">
        <x:v>mortgage due icons</x:v>
      </x:c>
      <x:c r="Z1048" s="10" t="str">
        <x:v>payment reminder</x:v>
      </x:c>
      <x:c r="AA1048" s="10" t="str">
        <x:v>pastel sticker sheet</x:v>
      </x:c>
      <x:c r="AB1048" s="10" t="str">
        <x:v>expense tracker</x:v>
      </x:c>
      <x:c r="AC1048" s="10" t="str">
        <x:v>minimalist stickers</x:v>
      </x:c>
      <x:c r="AD1048" s="10" t="str">
        <x:v>bill due stickers</x:v>
      </x:c>
      <x:c r="AE1048" s="10" t="str">
        <x:v>monthly planner</x:v>
      </x:c>
      <x:c r="AF1048" s="10" t="str">
        <x:v>journaling stickers</x:v>
      </x:c>
      <x:c r="AG1048" s="10" t="str">
        <x:v>tiny stickers</x:v>
      </x:c>
      <x:c r="AH1048" s="10" t="str">
        <x:v>Other mortgage-related</x:v>
      </x:c>
      <x:c r="AI1048" s="13" t="n">
        <x:v>27</x:v>
      </x:c>
      <x:c r="AJ1048" s="10" t="str">
        <x:f>IF(F1048&gt;0,"Active","No est. sales")</x:f>
        <x:v>No est. sales</x:v>
      </x:c>
    </x:row>
    <x:row r="1049">
      <x:c r="A1049" s="10" t="str">
        <x:v>Home Down Payment Savings Tracker Printable | House Fund Worksheet PDF Instant Download</x:v>
      </x:c>
      <x:c r="B1049" s="10" t="str">
        <x:v>https://www.etsy.com/listing/4481467003/home-down-payment-savings-tracker</x:v>
      </x:c>
      <x:c r="C1049" s="10" t="str">
        <x:v>FreedomTrailStudios</x:v>
      </x:c>
      <x:c r="D1049" s="10" t="str">
        <x:v>https://www.etsy.com/shop/FreedomTrailStudios</x:v>
      </x:c>
      <x:c r="E1049" s="11" t="n">
        <x:v>0.8</x:v>
      </x:c>
      <x:c r="F1049" s="10" t="n">
        <x:v>0</x:v>
      </x:c>
      <x:c r="G1049" s="12" t="n">
        <x:v>0</x:v>
      </x:c>
      <x:c r="H1049" s="13" t="n">
        <x:v>0</x:v>
      </x:c>
      <x:c r="I1049" s="10" t="n">
        <x:v>0</x:v>
      </x:c>
      <x:c r="J1049" s="10" t="n">
        <x:v>0</x:v>
      </x:c>
      <x:c r="K1049" s="10" t="str">
        <x:v>3 Mo.</x:v>
      </x:c>
      <x:c r="L1049" s="10" t="n">
        <x:v>3</x:v>
      </x:c>
      <x:c r="M1049" s="10" t="n">
        <x:v>0</x:v>
      </x:c>
      <x:c r="N1049" s="10" t="n">
        <x:v>3</x:v>
      </x:c>
      <x:c r="O1049" s="10" t="str">
        <x:v>Paper &amp; Party Supplies</x:v>
      </x:c>
      <x:c r="P1049" s="10" t="n">
        <x:v>4</x:v>
      </x:c>
      <x:c r="Q1049" s="10" t="n">
        <x:v>0</x:v>
      </x:c>
      <x:c r="R1049" s="13" t="n">
        <x:v>0</x:v>
      </x:c>
      <x:c r="S1049" s="10" t="n">
        <x:v>7</x:v>
      </x:c>
      <x:c r="T1049" s="10" t="str">
        <x:v>down payment savings,home savings tracker,house savings,home down payment,house fund tracker,savings printable,home buying planner,savings goal tracker,mortgage savings,first home savings,home purchase fund,budget printable,finance printable</x:v>
      </x:c>
      <x:c r="U1049" s="10" t="str">
        <x:v>down payment savings</x:v>
      </x:c>
      <x:c r="V1049" s="10" t="str">
        <x:v>home savings tracker</x:v>
      </x:c>
      <x:c r="W1049" s="10" t="str">
        <x:v>house savings</x:v>
      </x:c>
      <x:c r="X1049" s="10" t="str">
        <x:v>home down payment</x:v>
      </x:c>
      <x:c r="Y1049" s="10" t="str">
        <x:v>house fund tracker</x:v>
      </x:c>
      <x:c r="Z1049" s="10" t="str">
        <x:v>savings printable</x:v>
      </x:c>
      <x:c r="AA1049" s="10" t="str">
        <x:v>home buying planner</x:v>
      </x:c>
      <x:c r="AB1049" s="10" t="str">
        <x:v>savings goal tracker</x:v>
      </x:c>
      <x:c r="AC1049" s="10" t="str">
        <x:v>mortgage savings</x:v>
      </x:c>
      <x:c r="AD1049" s="10" t="str">
        <x:v>first home savings</x:v>
      </x:c>
      <x:c r="AE1049" s="10" t="str">
        <x:v>home purchase fund</x:v>
      </x:c>
      <x:c r="AF1049" s="10" t="str">
        <x:v>budget printable</x:v>
      </x:c>
      <x:c r="AG1049" s="10" t="str">
        <x:v>finance printable</x:v>
      </x:c>
      <x:c r="AH1049" s="10" t="str">
        <x:v>Home buying planner</x:v>
      </x:c>
      <x:c r="AI1049" s="13" t="n">
        <x:v>3</x:v>
      </x:c>
      <x:c r="AJ1049" s="10" t="str">
        <x:f>IF(F1049&gt;0,"Active","No est. sales")</x:f>
        <x:v>No est. sales</x:v>
      </x:c>
    </x:row>
    <x:row r="1050">
      <x:c r="A1050" s="10" t="str">
        <x:v>Home Planner Excel &amp; Printable PDF | Hausplaner | Save for Your Dream Home | Budget  Savings Tracker | Bilingual EN/DE</x:v>
      </x:c>
      <x:c r="B1050" s="10" t="str">
        <x:v>https://www.etsy.com/listing/4480084602/home-planner-excel-printable-pdf</x:v>
      </x:c>
      <x:c r="C1050" s="10" t="str">
        <x:v>Ispired</x:v>
      </x:c>
      <x:c r="D1050" s="10" t="str">
        <x:v>https://www.etsy.com/shop/Ispired</x:v>
      </x:c>
      <x:c r="E1050" s="11" t="n">
        <x:v>11.41</x:v>
      </x:c>
      <x:c r="F1050" s="10" t="n">
        <x:v>0</x:v>
      </x:c>
      <x:c r="G1050" s="12" t="n">
        <x:v>0</x:v>
      </x:c>
      <x:c r="H1050" s="13" t="n">
        <x:v>0</x:v>
      </x:c>
      <x:c r="I1050" s="10" t="n">
        <x:v>0</x:v>
      </x:c>
      <x:c r="J1050" s="10" t="n">
        <x:v>0</x:v>
      </x:c>
      <x:c r="K1050" s="10" t="str">
        <x:v>4 Mo.</x:v>
      </x:c>
      <x:c r="L1050" s="10" t="n">
        <x:v>0</x:v>
      </x:c>
      <x:c r="M1050" s="10" t="n">
        <x:v>0</x:v>
      </x:c>
      <x:c r="N1050" s="10" t="n">
        <x:v>0</x:v>
      </x:c>
      <x:c r="O1050" s="10" t="str"/>
      <x:c r="P1050" s="10" t="n">
        <x:v>52</x:v>
      </x:c>
      <x:c r="Q1050" s="10" t="n">
        <x:v>0</x:v>
      </x:c>
      <x:c r="R1050" s="13" t="n">
        <x:v>0</x:v>
      </x:c>
      <x:c r="S1050" s="10" t="n">
        <x:v>0</x:v>
      </x:c>
      <x:c r="T1050" s="10" t="str">
        <x:v>home planner,hausplaner,buy a house,first home,savings planner,house budget,real estate planner,mortgage planner,saving for house,home spreadsheet,printable planner,budget planner</x:v>
      </x:c>
      <x:c r="U1050" s="10" t="str">
        <x:v>home planner</x:v>
      </x:c>
      <x:c r="V1050" s="10" t="str">
        <x:v>hausplaner</x:v>
      </x:c>
      <x:c r="W1050" s="10" t="str">
        <x:v>buy a house</x:v>
      </x:c>
      <x:c r="X1050" s="10" t="str">
        <x:v>first home</x:v>
      </x:c>
      <x:c r="Y1050" s="10" t="str">
        <x:v>savings planner</x:v>
      </x:c>
      <x:c r="Z1050" s="10" t="str">
        <x:v>house budget</x:v>
      </x:c>
      <x:c r="AA1050" s="10" t="str">
        <x:v>real estate planner</x:v>
      </x:c>
      <x:c r="AB1050" s="10" t="str">
        <x:v>mortgage planner</x:v>
      </x:c>
      <x:c r="AC1050" s="10" t="str">
        <x:v>saving for house</x:v>
      </x:c>
      <x:c r="AD1050" s="10" t="str">
        <x:v>home spreadsheet</x:v>
      </x:c>
      <x:c r="AE1050" s="10" t="str">
        <x:v>printable planner</x:v>
      </x:c>
      <x:c r="AF1050" s="10" t="str">
        <x:v>budget planner</x:v>
      </x:c>
      <x:c r="AG1050" s="10" t="str">
        <x:v>--</x:v>
      </x:c>
      <x:c r="AH1050" s="10" t="str">
        <x:v>Other mortgage-related</x:v>
      </x:c>
      <x:c r="AI1050" s="13" t="n">
        <x:v>4</x:v>
      </x:c>
      <x:c r="AJ1050" s="10" t="str">
        <x:f>IF(F1050&gt;0,"Active","No est. sales")</x:f>
        <x:v>No est. sales</x:v>
      </x:c>
    </x:row>
    <x:row r="1051">
      <x:c r="A1051" s="10" t="str">
        <x:v>20 Down, 100 Yours: A Strategic Guide to Buying Your First Home , Digital Download with Savings Challenges</x:v>
      </x:c>
      <x:c r="B1051" s="10" t="str">
        <x:v>https://www.etsy.com/listing/1871156255/20-down-100-yours-a-strategic-guide-to</x:v>
      </x:c>
      <x:c r="C1051" s="10" t="str">
        <x:v>WalletWhisperer</x:v>
      </x:c>
      <x:c r="D1051" s="10" t="str">
        <x:v>https://www.etsy.com/shop/WalletWhisperer</x:v>
      </x:c>
      <x:c r="E1051" s="11" t="n">
        <x:v>14.99</x:v>
      </x:c>
      <x:c r="F1051" s="10" t="n">
        <x:v>0</x:v>
      </x:c>
      <x:c r="G1051" s="12" t="n">
        <x:v>0</x:v>
      </x:c>
      <x:c r="H1051" s="13" t="n">
        <x:v>0</x:v>
      </x:c>
      <x:c r="I1051" s="10" t="n">
        <x:v>0</x:v>
      </x:c>
      <x:c r="J1051" s="10" t="n">
        <x:v>0</x:v>
      </x:c>
      <x:c r="K1051" s="10" t="str">
        <x:v>17 Mo.</x:v>
      </x:c>
      <x:c r="L1051" s="10" t="n">
        <x:v>10</x:v>
      </x:c>
      <x:c r="M1051" s="10" t="n">
        <x:v>0</x:v>
      </x:c>
      <x:c r="N1051" s="10" t="n">
        <x:v>328</x:v>
      </x:c>
      <x:c r="O1051" s="10" t="str"/>
      <x:c r="P1051" s="10" t="n">
        <x:v>21</x:v>
      </x:c>
      <x:c r="Q1051" s="10" t="n">
        <x:v>0</x:v>
      </x:c>
      <x:c r="R1051" s="13" t="n">
        <x:v>0</x:v>
      </x:c>
      <x:c r="S1051" s="10" t="n">
        <x:v>315</x:v>
      </x:c>
      <x:c r="T1051" s="10" t="str">
        <x:v>home buying tips,savings planner,first home guide,digital download,mortgage planner,closing cost help,house fund guide,loan comparison,real estate help,budgeting printable,money tracker,house savings,down payment plan</x:v>
      </x:c>
      <x:c r="U1051" s="10" t="str">
        <x:v>home buying tips</x:v>
      </x:c>
      <x:c r="V1051" s="10" t="str">
        <x:v>savings planner</x:v>
      </x:c>
      <x:c r="W1051" s="10" t="str">
        <x:v>first home guide</x:v>
      </x:c>
      <x:c r="X1051" s="10" t="str">
        <x:v>digital download</x:v>
      </x:c>
      <x:c r="Y1051" s="10" t="str">
        <x:v>mortgage planner</x:v>
      </x:c>
      <x:c r="Z1051" s="10" t="str">
        <x:v>closing cost help</x:v>
      </x:c>
      <x:c r="AA1051" s="10" t="str">
        <x:v>house fund guide</x:v>
      </x:c>
      <x:c r="AB1051" s="10" t="str">
        <x:v>loan comparison</x:v>
      </x:c>
      <x:c r="AC1051" s="10" t="str">
        <x:v>real estate help</x:v>
      </x:c>
      <x:c r="AD1051" s="10" t="str">
        <x:v>budgeting printable</x:v>
      </x:c>
      <x:c r="AE1051" s="10" t="str">
        <x:v>money tracker</x:v>
      </x:c>
      <x:c r="AF1051" s="10" t="str">
        <x:v>house savings</x:v>
      </x:c>
      <x:c r="AG1051" s="10" t="str">
        <x:v>down payment plan</x:v>
      </x:c>
      <x:c r="AH1051" s="10" t="str">
        <x:v>Other mortgage-related</x:v>
      </x:c>
      <x:c r="AI1051" s="13" t="n">
        <x:v>17</x:v>
      </x:c>
      <x:c r="AJ1051" s="10" t="str">
        <x:f>IF(F1051&gt;0,"Active","No est. sales")</x:f>
        <x:v>No est. sales</x:v>
      </x:c>
    </x:row>
    <x:row r="1052">
      <x:c r="A1052" s="10" t="str">
        <x:v>Loan Officer tracker Spreadsheet Bundle |Mortgage Pipeline Tracker, CRM &amp; Loan Processing Templates digital download(excel and google sheet)</x:v>
      </x:c>
      <x:c r="B1052" s="10" t="str">
        <x:v>https://www.etsy.com/listing/4516543561/loan-officer-tracker-spreadsheet-bundle</x:v>
      </x:c>
      <x:c r="C1052" s="10" t="str">
        <x:v>PriorDesignhub</x:v>
      </x:c>
      <x:c r="D1052" s="10" t="str">
        <x:v>https://www.etsy.com/shop/PriorDesignhub</x:v>
      </x:c>
      <x:c r="E1052" s="11" t="n">
        <x:v>2</x:v>
      </x:c>
      <x:c r="F1052" s="10" t="n">
        <x:v>0</x:v>
      </x:c>
      <x:c r="G1052" s="12" t="n">
        <x:v>0</x:v>
      </x:c>
      <x:c r="H1052" s="13" t="n">
        <x:v>0</x:v>
      </x:c>
      <x:c r="I1052" s="10" t="n">
        <x:v>0</x:v>
      </x:c>
      <x:c r="J1052" s="10" t="n">
        <x:v>0</x:v>
      </x:c>
      <x:c r="K1052" s="10" t="str">
        <x:v>1 Mo.</x:v>
      </x:c>
      <x:c r="L1052" s="10" t="n">
        <x:v>3</x:v>
      </x:c>
      <x:c r="M1052" s="10" t="n">
        <x:v>0</x:v>
      </x:c>
      <x:c r="N1052" s="10" t="n">
        <x:v>109</x:v>
      </x:c>
      <x:c r="O1052" s="10" t="str"/>
      <x:c r="P1052" s="10" t="n">
        <x:v>12</x:v>
      </x:c>
      <x:c r="Q1052" s="10" t="n">
        <x:v>36</x:v>
      </x:c>
      <x:c r="R1052" s="13" t="n">
        <x:v>0</x:v>
      </x:c>
      <x:c r="S1052" s="10" t="n">
        <x:v>766</x:v>
      </x:c>
      <x:c r="T1052" s="10" t="str">
        <x:v>loan tracker,mortgage loan,mortgage template,mortgage broker,mortgage lender,mortgage planner,mortgage tracker,loan application,mortgage pipeline,loan officer,loan checklist,loan template,mortgage checklist</x:v>
      </x:c>
      <x:c r="U1052" s="10" t="str">
        <x:v>loan tracker</x:v>
      </x:c>
      <x:c r="V1052" s="10" t="str">
        <x:v>mortgage loan</x:v>
      </x:c>
      <x:c r="W1052" s="10" t="str">
        <x:v>mortgage template</x:v>
      </x:c>
      <x:c r="X1052" s="10" t="str">
        <x:v>mortgage broker</x:v>
      </x:c>
      <x:c r="Y1052" s="10" t="str">
        <x:v>mortgage lender</x:v>
      </x:c>
      <x:c r="Z1052" s="10" t="str">
        <x:v>mortgage planner</x:v>
      </x:c>
      <x:c r="AA1052" s="10" t="str">
        <x:v>mortgage tracker</x:v>
      </x:c>
      <x:c r="AB1052" s="10" t="str">
        <x:v>loan application</x:v>
      </x:c>
      <x:c r="AC1052" s="10" t="str">
        <x:v>mortgage pipeline</x:v>
      </x:c>
      <x:c r="AD1052" s="10" t="str">
        <x:v>loan officer</x:v>
      </x:c>
      <x:c r="AE1052" s="10" t="str">
        <x:v>loan checklist</x:v>
      </x:c>
      <x:c r="AF1052" s="10" t="str">
        <x:v>loan template</x:v>
      </x:c>
      <x:c r="AG1052" s="10" t="str">
        <x:v>mortgage checklist</x:v>
      </x:c>
      <x:c r="AH1052" s="10" t="str">
        <x:v>Loan officer / B2B</x:v>
      </x:c>
      <x:c r="AI1052" s="13" t="n">
        <x:v>1</x:v>
      </x:c>
      <x:c r="AJ1052" s="10" t="str">
        <x:f>IF(F1052&gt;0,"Active","No est. sales")</x:f>
        <x:v>No est. sales</x:v>
      </x:c>
    </x:row>
    <x:row r="1053">
      <x:c r="A1053" s="10" t="str">
        <x:v>House Doodle Planner Stickers / Icon Functional Planner stickers / Bullet Journal, Filofax, Erin Condren, Happy Planner</x:v>
      </x:c>
      <x:c r="B1053" s="10" t="str">
        <x:v>https://www.etsy.com/listing/1446518105/house-doodle-planner-stickers-icon</x:v>
      </x:c>
      <x:c r="C1053" s="10" t="str">
        <x:v>TwotheMoonCo</x:v>
      </x:c>
      <x:c r="D1053" s="10" t="str">
        <x:v>https://www.etsy.com/shop/TwotheMoonCo</x:v>
      </x:c>
      <x:c r="E1053" s="11" t="n">
        <x:v>4.27</x:v>
      </x:c>
      <x:c r="F1053" s="10" t="n">
        <x:v>0</x:v>
      </x:c>
      <x:c r="G1053" s="12" t="n">
        <x:v>0</x:v>
      </x:c>
      <x:c r="H1053" s="13" t="n">
        <x:v>0</x:v>
      </x:c>
      <x:c r="I1053" s="10" t="n">
        <x:v>21</x:v>
      </x:c>
      <x:c r="J1053" s="10" t="n">
        <x:v>4</x:v>
      </x:c>
      <x:c r="K1053" s="10" t="str">
        <x:v>40 Mo.</x:v>
      </x:c>
      <x:c r="L1053" s="10" t="n">
        <x:v>47</x:v>
      </x:c>
      <x:c r="M1053" s="10" t="n">
        <x:v>0</x:v>
      </x:c>
      <x:c r="N1053" s="10" t="n">
        <x:v>962</x:v>
      </x:c>
      <x:c r="O1053" s="10" t="str">
        <x:v>Paper &amp; Party Supplies</x:v>
      </x:c>
      <x:c r="P1053" s="10" t="n">
        <x:v>133</x:v>
      </x:c>
      <x:c r="Q1053" s="10" t="n">
        <x:v>0</x:v>
      </x:c>
      <x:c r="R1053" s="13" t="n">
        <x:v>2.18</x:v>
      </x:c>
      <x:c r="S1053" s="10" t="n">
        <x:v>48990</x:v>
      </x:c>
      <x:c r="T1053" s="10" t="str">
        <x:v>planner,stickers,erin condren,happy planner,mascha planner,icon,journal,mini,functional,house rent mortgage,house bill finance,reminder payment,home doodle</x:v>
      </x:c>
      <x:c r="U1053" s="10" t="str">
        <x:v>planner</x:v>
      </x:c>
      <x:c r="V1053" s="10" t="str">
        <x:v>stickers</x:v>
      </x:c>
      <x:c r="W1053" s="10" t="str">
        <x:v>erin condren</x:v>
      </x:c>
      <x:c r="X1053" s="10" t="str">
        <x:v>happy planner</x:v>
      </x:c>
      <x:c r="Y1053" s="10" t="str">
        <x:v>mascha planner</x:v>
      </x:c>
      <x:c r="Z1053" s="10" t="str">
        <x:v>icon</x:v>
      </x:c>
      <x:c r="AA1053" s="10" t="str">
        <x:v>journal</x:v>
      </x:c>
      <x:c r="AB1053" s="10" t="str">
        <x:v>mini</x:v>
      </x:c>
      <x:c r="AC1053" s="10" t="str">
        <x:v>functional</x:v>
      </x:c>
      <x:c r="AD1053" s="10" t="str">
        <x:v>house rent mortgage</x:v>
      </x:c>
      <x:c r="AE1053" s="10" t="str">
        <x:v>house bill finance</x:v>
      </x:c>
      <x:c r="AF1053" s="10" t="str">
        <x:v>reminder payment</x:v>
      </x:c>
      <x:c r="AG1053" s="10" t="str">
        <x:v>home doodle</x:v>
      </x:c>
      <x:c r="AH1053" s="10" t="str">
        <x:v>Other mortgage-related</x:v>
      </x:c>
      <x:c r="AI1053" s="13" t="n">
        <x:v>40</x:v>
      </x:c>
      <x:c r="AJ1053" s="10" t="str">
        <x:f>IF(F1053&gt;0,"Active","No est. sales")</x:f>
        <x:v>No est. sales</x:v>
      </x:c>
    </x:row>
    <x:row r="1054">
      <x:c r="A1054" s="10" t="str">
        <x:v>2007-6~~Water Bill Due Dots Planner Stickers.</x:v>
      </x:c>
      <x:c r="B1054" s="10" t="str">
        <x:v>https://www.etsy.com/listing/1144515952/2007-6water-bill-due-dots-planner</x:v>
      </x:c>
      <x:c r="C1054" s="10" t="str">
        <x:v>PlanToPlan</x:v>
      </x:c>
      <x:c r="D1054" s="10" t="str">
        <x:v>https://www.etsy.com/shop/PlanToPlan</x:v>
      </x:c>
      <x:c r="E1054" s="11" t="n">
        <x:v>3.25</x:v>
      </x:c>
      <x:c r="F1054" s="10" t="n">
        <x:v>0</x:v>
      </x:c>
      <x:c r="G1054" s="12" t="n">
        <x:v>0</x:v>
      </x:c>
      <x:c r="H1054" s="13" t="n">
        <x:v>0</x:v>
      </x:c>
      <x:c r="I1054" s="10" t="n">
        <x:v>10</x:v>
      </x:c>
      <x:c r="J1054" s="10" t="n">
        <x:v>2</x:v>
      </x:c>
      <x:c r="K1054" s="10" t="str">
        <x:v>54 Mo.</x:v>
      </x:c>
      <x:c r="L1054" s="10" t="n">
        <x:v>52</x:v>
      </x:c>
      <x:c r="M1054" s="10" t="n">
        <x:v>0</x:v>
      </x:c>
      <x:c r="N1054" s="10" t="n">
        <x:v>302</x:v>
      </x:c>
      <x:c r="O1054" s="10" t="str">
        <x:v>Paper &amp; Party Supplies</x:v>
      </x:c>
      <x:c r="P1054" s="10" t="n">
        <x:v>126</x:v>
      </x:c>
      <x:c r="Q1054" s="10" t="n">
        <x:v>0</x:v>
      </x:c>
      <x:c r="R1054" s="13" t="n">
        <x:v>3.31</x:v>
      </x:c>
      <x:c r="S1054" s="10" t="n">
        <x:v>319985</x:v>
      </x:c>
      <x:c r="T1054" s="10" t="str">
        <x:v>planner stickers,reminder stickers,appointment stickers,tracker stickers,functional stickers,plantoplan,bill due stickers,cellphone stickers,phone bill stickers,cable bill stickers,electric bill,mortgage stickers,water bill stickers</x:v>
      </x:c>
      <x:c r="U1054" s="10" t="str">
        <x:v>planner stickers</x:v>
      </x:c>
      <x:c r="V1054" s="10" t="str">
        <x:v>reminder stickers</x:v>
      </x:c>
      <x:c r="W1054" s="10" t="str">
        <x:v>appointment stickers</x:v>
      </x:c>
      <x:c r="X1054" s="10" t="str">
        <x:v>tracker stickers</x:v>
      </x:c>
      <x:c r="Y1054" s="10" t="str">
        <x:v>functional stickers</x:v>
      </x:c>
      <x:c r="Z1054" s="10" t="str">
        <x:v>plantoplan</x:v>
      </x:c>
      <x:c r="AA1054" s="10" t="str">
        <x:v>bill due stickers</x:v>
      </x:c>
      <x:c r="AB1054" s="10" t="str">
        <x:v>cellphone stickers</x:v>
      </x:c>
      <x:c r="AC1054" s="10" t="str">
        <x:v>phone bill stickers</x:v>
      </x:c>
      <x:c r="AD1054" s="10" t="str">
        <x:v>cable bill stickers</x:v>
      </x:c>
      <x:c r="AE1054" s="10" t="str">
        <x:v>electric bill</x:v>
      </x:c>
      <x:c r="AF1054" s="10" t="str">
        <x:v>mortgage stickers</x:v>
      </x:c>
      <x:c r="AG1054" s="10" t="str">
        <x:v>water bill stickers</x:v>
      </x:c>
      <x:c r="AH1054" s="10" t="str">
        <x:v>Other mortgage-related</x:v>
      </x:c>
      <x:c r="AI1054" s="13" t="n">
        <x:v>54</x:v>
      </x:c>
      <x:c r="AJ1054" s="10" t="str">
        <x:f>IF(F1054&gt;0,"Active","No est. sales")</x:f>
        <x:v>No est. sales</x:v>
      </x:c>
    </x:row>
    <x:row r="1055">
      <x:c r="A1055" s="10" t="str">
        <x:v>2007-5~~Mortgage Due Dots Planner Stickers.</x:v>
      </x:c>
      <x:c r="B1055" s="10" t="str">
        <x:v>https://www.etsy.com/listing/1158467233/2007-5mortgage-due-dots-planner-stickers</x:v>
      </x:c>
      <x:c r="C1055" s="10" t="str">
        <x:v>PlanToPlan</x:v>
      </x:c>
      <x:c r="D1055" s="10" t="str">
        <x:v>https://www.etsy.com/shop/PlanToPlan</x:v>
      </x:c>
      <x:c r="E1055" s="11" t="n">
        <x:v>3.25</x:v>
      </x:c>
      <x:c r="F1055" s="10" t="n">
        <x:v>0</x:v>
      </x:c>
      <x:c r="G1055" s="12" t="n">
        <x:v>0</x:v>
      </x:c>
      <x:c r="H1055" s="13" t="n">
        <x:v>0</x:v>
      </x:c>
      <x:c r="I1055" s="10" t="n">
        <x:v>37</x:v>
      </x:c>
      <x:c r="J1055" s="10" t="n">
        <x:v>7</x:v>
      </x:c>
      <x:c r="K1055" s="10" t="str">
        <x:v>54 Mo.</x:v>
      </x:c>
      <x:c r="L1055" s="10" t="n">
        <x:v>32</x:v>
      </x:c>
      <x:c r="M1055" s="10" t="n">
        <x:v>0</x:v>
      </x:c>
      <x:c r="N1055" s="10" t="n">
        <x:v>239</x:v>
      </x:c>
      <x:c r="O1055" s="10" t="str">
        <x:v>Paper &amp; Party Supplies</x:v>
      </x:c>
      <x:c r="P1055" s="10" t="n">
        <x:v>126</x:v>
      </x:c>
      <x:c r="Q1055" s="10" t="n">
        <x:v>0</x:v>
      </x:c>
      <x:c r="R1055" s="13" t="n">
        <x:v>15.48</x:v>
      </x:c>
      <x:c r="S1055" s="10" t="n">
        <x:v>319985</x:v>
      </x:c>
      <x:c r="T1055" s="10" t="str">
        <x:v>planner stickers,reminder stickers,appointment stickers,tracker stickers,functional stickers,plantoplan,bill due stickers,cellphone stickers,phone bill stickers,cable bill stickers,electric bill,rent stickers,mortgage stickers</x:v>
      </x:c>
      <x:c r="U1055" s="10" t="str">
        <x:v>planner stickers</x:v>
      </x:c>
      <x:c r="V1055" s="10" t="str">
        <x:v>reminder stickers</x:v>
      </x:c>
      <x:c r="W1055" s="10" t="str">
        <x:v>appointment stickers</x:v>
      </x:c>
      <x:c r="X1055" s="10" t="str">
        <x:v>tracker stickers</x:v>
      </x:c>
      <x:c r="Y1055" s="10" t="str">
        <x:v>functional stickers</x:v>
      </x:c>
      <x:c r="Z1055" s="10" t="str">
        <x:v>plantoplan</x:v>
      </x:c>
      <x:c r="AA1055" s="10" t="str">
        <x:v>bill due stickers</x:v>
      </x:c>
      <x:c r="AB1055" s="10" t="str">
        <x:v>cellphone stickers</x:v>
      </x:c>
      <x:c r="AC1055" s="10" t="str">
        <x:v>phone bill stickers</x:v>
      </x:c>
      <x:c r="AD1055" s="10" t="str">
        <x:v>cable bill stickers</x:v>
      </x:c>
      <x:c r="AE1055" s="10" t="str">
        <x:v>electric bill</x:v>
      </x:c>
      <x:c r="AF1055" s="10" t="str">
        <x:v>rent stickers</x:v>
      </x:c>
      <x:c r="AG1055" s="10" t="str">
        <x:v>mortgage stickers</x:v>
      </x:c>
      <x:c r="AH1055" s="10" t="str">
        <x:v>Other mortgage-related</x:v>
      </x:c>
      <x:c r="AI1055" s="13" t="n">
        <x:v>54</x:v>
      </x:c>
      <x:c r="AJ1055" s="10" t="str">
        <x:f>IF(F1055&gt;0,"Active","No est. sales")</x:f>
        <x:v>No est. sales</x:v>
      </x:c>
    </x:row>
    <x:row r="1056">
      <x:c r="A1056" s="10" t="str">
        <x:v>Debt Snowball Spreadsheet for Google Sheets, Debt Repayment Calculator in Neutral, Pink and Green</x:v>
      </x:c>
      <x:c r="B1056" s="10" t="str">
        <x:v>https://www.etsy.com/listing/4390778721/debt-snowball-spreadsheet-for-google</x:v>
      </x:c>
      <x:c r="C1056" s="10" t="str">
        <x:v>TheBudgetingStudio</x:v>
      </x:c>
      <x:c r="D1056" s="10" t="str">
        <x:v>https://www.etsy.com/shop/TheBudgetingStudio</x:v>
      </x:c>
      <x:c r="E1056" s="11" t="n">
        <x:v>3.91</x:v>
      </x:c>
      <x:c r="F1056" s="10" t="n">
        <x:v>0</x:v>
      </x:c>
      <x:c r="G1056" s="12" t="n">
        <x:v>0</x:v>
      </x:c>
      <x:c r="H1056" s="13" t="n">
        <x:v>0</x:v>
      </x:c>
      <x:c r="I1056" s="10" t="n">
        <x:v>0</x:v>
      </x:c>
      <x:c r="J1056" s="10" t="n">
        <x:v>0</x:v>
      </x:c>
      <x:c r="K1056" s="10" t="str">
        <x:v>8 Mo.</x:v>
      </x:c>
      <x:c r="L1056" s="10" t="n">
        <x:v>0</x:v>
      </x:c>
      <x:c r="M1056" s="10" t="n">
        <x:v>0</x:v>
      </x:c>
      <x:c r="N1056" s="10" t="n">
        <x:v>17</x:v>
      </x:c>
      <x:c r="O1056" s="10" t="str"/>
      <x:c r="P1056" s="10" t="n">
        <x:v>8</x:v>
      </x:c>
      <x:c r="Q1056" s="10" t="n">
        <x:v>0</x:v>
      </x:c>
      <x:c r="R1056" s="13" t="n">
        <x:v>0</x:v>
      </x:c>
      <x:c r="S1056" s="10" t="n">
        <x:v>6</x:v>
      </x:c>
      <x:c r="T1056" s="10" t="str">
        <x:v>house payoff tracker,car payoff tracker,student loan payoff,mortgage payoff,snowball method,dave ramsey,google sheets debt,debt repayment,debt free journey,financial freedom,debt payoff planner,credit card payoff,debt calculator</x:v>
      </x:c>
      <x:c r="U1056" s="10" t="str">
        <x:v>house payoff tracker</x:v>
      </x:c>
      <x:c r="V1056" s="10" t="str">
        <x:v>car payoff tracker</x:v>
      </x:c>
      <x:c r="W1056" s="10" t="str">
        <x:v>student loan payoff</x:v>
      </x:c>
      <x:c r="X1056" s="10" t="str">
        <x:v>mortgage payoff</x:v>
      </x:c>
      <x:c r="Y1056" s="10" t="str">
        <x:v>snowball method</x:v>
      </x:c>
      <x:c r="Z1056" s="10" t="str">
        <x:v>dave ramsey</x:v>
      </x:c>
      <x:c r="AA1056" s="10" t="str">
        <x:v>google sheets debt</x:v>
      </x:c>
      <x:c r="AB1056" s="10" t="str">
        <x:v>debt repayment</x:v>
      </x:c>
      <x:c r="AC1056" s="10" t="str">
        <x:v>debt free journey</x:v>
      </x:c>
      <x:c r="AD1056" s="10" t="str">
        <x:v>financial freedom</x:v>
      </x:c>
      <x:c r="AE1056" s="10" t="str">
        <x:v>debt payoff planner</x:v>
      </x:c>
      <x:c r="AF1056" s="10" t="str">
        <x:v>credit card payoff</x:v>
      </x:c>
      <x:c r="AG1056" s="10" t="str">
        <x:v>debt calculator</x:v>
      </x:c>
      <x:c r="AH1056" s="10" t="str">
        <x:v>General debt payoff</x:v>
      </x:c>
      <x:c r="AI1056" s="13" t="n">
        <x:v>8</x:v>
      </x:c>
      <x:c r="AJ1056" s="10" t="str">
        <x:f>IF(F1056&gt;0,"Active","No est. sales")</x:f>
        <x:v>No est. sales</x:v>
      </x:c>
    </x:row>
    <x:row r="1057">
      <x:c r="A1057" s="10" t="str">
        <x:v>Mortgage Scenario Simulator for Home Buyers | Excel &amp; Google Sheets</x:v>
      </x:c>
      <x:c r="B1057" s="10" t="str">
        <x:v>https://www.etsy.com/listing/4510068803/mortgage-scenario-simulator-for-home</x:v>
      </x:c>
      <x:c r="C1057" s="10" t="str">
        <x:v>Ovatrix</x:v>
      </x:c>
      <x:c r="D1057" s="10" t="str">
        <x:v>https://www.etsy.com/shop/Ovatrix</x:v>
      </x:c>
      <x:c r="E1057" s="11" t="n">
        <x:v>19.22</x:v>
      </x:c>
      <x:c r="F1057" s="10" t="n">
        <x:v>0</x:v>
      </x:c>
      <x:c r="G1057" s="12" t="n">
        <x:v>0</x:v>
      </x:c>
      <x:c r="H1057" s="13" t="n">
        <x:v>0</x:v>
      </x:c>
      <x:c r="I1057" s="10" t="n">
        <x:v>0</x:v>
      </x:c>
      <x:c r="J1057" s="10" t="n">
        <x:v>0</x:v>
      </x:c>
      <x:c r="K1057" s="10" t="str">
        <x:v>1 Mo.</x:v>
      </x:c>
      <x:c r="L1057" s="10" t="n">
        <x:v>0</x:v>
      </x:c>
      <x:c r="M1057" s="10" t="n">
        <x:v>0</x:v>
      </x:c>
      <x:c r="N1057" s="10" t="n">
        <x:v>20</x:v>
      </x:c>
      <x:c r="O1057" s="10" t="str"/>
      <x:c r="P1057" s="10" t="n">
        <x:v>1</x:v>
      </x:c>
      <x:c r="Q1057" s="10" t="n">
        <x:v>0</x:v>
      </x:c>
      <x:c r="R1057" s="13" t="n">
        <x:v>0</x:v>
      </x:c>
      <x:c r="S1057" s="10" t="n">
        <x:v>1</x:v>
      </x:c>
      <x:c r="T1057" s="10" t="str">
        <x:v>mortgage planner,mortgage tracker,mortgage excel,home loan planner,rent vs buy,wealth dashboard,investment planner,finance tracker,excel template,google sheets,investment simulator,first home,calculator</x:v>
      </x:c>
      <x:c r="U1057" s="10" t="str">
        <x:v>mortgage planner</x:v>
      </x:c>
      <x:c r="V1057" s="10" t="str">
        <x:v>mortgage tracker</x:v>
      </x:c>
      <x:c r="W1057" s="10" t="str">
        <x:v>mortgage excel</x:v>
      </x:c>
      <x:c r="X1057" s="10" t="str">
        <x:v>home loan planner</x:v>
      </x:c>
      <x:c r="Y1057" s="10" t="str">
        <x:v>rent vs buy</x:v>
      </x:c>
      <x:c r="Z1057" s="10" t="str">
        <x:v>wealth dashboard</x:v>
      </x:c>
      <x:c r="AA1057" s="10" t="str">
        <x:v>investment planner</x:v>
      </x:c>
      <x:c r="AB1057" s="10" t="str">
        <x:v>finance tracker</x:v>
      </x:c>
      <x:c r="AC1057" s="10" t="str">
        <x:v>excel template</x:v>
      </x:c>
      <x:c r="AD1057" s="10" t="str">
        <x:v>google sheets</x:v>
      </x:c>
      <x:c r="AE1057" s="10" t="str">
        <x:v>investment simulator</x:v>
      </x:c>
      <x:c r="AF1057" s="10" t="str">
        <x:v>first home</x:v>
      </x:c>
      <x:c r="AG1057" s="10" t="str">
        <x:v>calculator</x:v>
      </x:c>
      <x:c r="AH1057" s="10" t="str">
        <x:v>Other mortgage-related</x:v>
      </x:c>
      <x:c r="AI1057" s="13" t="n">
        <x:v>1</x:v>
      </x:c>
      <x:c r="AJ1057" s="10" t="str">
        <x:f>IF(F1057&gt;0,"Active","No est. sales")</x:f>
        <x:v>No est. sales</x:v>
      </x:c>
    </x:row>
    <x:row r="1058">
      <x:c r="A1058" s="10" t="str">
        <x:v>Rent/Mortgage Planner Stickers: Icon Bill Tracker</x:v>
      </x:c>
      <x:c r="B1058" s="10" t="str">
        <x:v>https://www.etsy.com/listing/1903149669/rentmortgage-planner-stickers-icon-bill</x:v>
      </x:c>
      <x:c r="C1058" s="10" t="str">
        <x:v>BeePlansBoutique</x:v>
      </x:c>
      <x:c r="D1058" s="10" t="str">
        <x:v>https://www.etsy.com/shop/BeePlansBoutique</x:v>
      </x:c>
      <x:c r="E1058" s="11" t="n">
        <x:v>5</x:v>
      </x:c>
      <x:c r="F1058" s="10" t="n">
        <x:v>0</x:v>
      </x:c>
      <x:c r="G1058" s="12" t="n">
        <x:v>0</x:v>
      </x:c>
      <x:c r="H1058" s="13" t="n">
        <x:v>0</x:v>
      </x:c>
      <x:c r="I1058" s="10" t="n">
        <x:v>0</x:v>
      </x:c>
      <x:c r="J1058" s="10" t="n">
        <x:v>0</x:v>
      </x:c>
      <x:c r="K1058" s="10" t="str">
        <x:v>8 Mo.</x:v>
      </x:c>
      <x:c r="L1058" s="10" t="n">
        <x:v>6</x:v>
      </x:c>
      <x:c r="M1058" s="10" t="n">
        <x:v>0</x:v>
      </x:c>
      <x:c r="N1058" s="10" t="n">
        <x:v>21</x:v>
      </x:c>
      <x:c r="O1058" s="10" t="str">
        <x:v>Paper &amp; Party Supplies</x:v>
      </x:c>
      <x:c r="P1058" s="10" t="n">
        <x:v>29</x:v>
      </x:c>
      <x:c r="Q1058" s="10" t="n">
        <x:v>0</x:v>
      </x:c>
      <x:c r="R1058" s="13" t="n">
        <x:v>0</x:v>
      </x:c>
      <x:c r="S1058" s="10" t="n">
        <x:v>1622</x:v>
      </x:c>
      <x:c r="T1058" s="10" t="str">
        <x:v>planner stickers,happy planner icons,erin condren sticker,planner icon sticker,icon stickers,credit card icon,credit card planner,financial stickers,budget stickers,hbbp,hb budget planner,humble beginnings,rent</x:v>
      </x:c>
      <x:c r="U1058" s="10" t="str">
        <x:v>planner stickers</x:v>
      </x:c>
      <x:c r="V1058" s="10" t="str">
        <x:v>happy planner icons</x:v>
      </x:c>
      <x:c r="W1058" s="10" t="str">
        <x:v>erin condren sticker</x:v>
      </x:c>
      <x:c r="X1058" s="10" t="str">
        <x:v>planner icon sticker</x:v>
      </x:c>
      <x:c r="Y1058" s="10" t="str">
        <x:v>icon stickers</x:v>
      </x:c>
      <x:c r="Z1058" s="10" t="str">
        <x:v>credit card icon</x:v>
      </x:c>
      <x:c r="AA1058" s="10" t="str">
        <x:v>credit card planner</x:v>
      </x:c>
      <x:c r="AB1058" s="10" t="str">
        <x:v>financial stickers</x:v>
      </x:c>
      <x:c r="AC1058" s="10" t="str">
        <x:v>budget stickers</x:v>
      </x:c>
      <x:c r="AD1058" s="10" t="str">
        <x:v>hbbp</x:v>
      </x:c>
      <x:c r="AE1058" s="10" t="str">
        <x:v>hb budget planner</x:v>
      </x:c>
      <x:c r="AF1058" s="10" t="str">
        <x:v>humble beginnings</x:v>
      </x:c>
      <x:c r="AG1058" s="10" t="str">
        <x:v>rent</x:v>
      </x:c>
      <x:c r="AH1058" s="10" t="str">
        <x:v>Other mortgage-related</x:v>
      </x:c>
      <x:c r="AI1058" s="13" t="n">
        <x:v>8</x:v>
      </x:c>
      <x:c r="AJ1058" s="10" t="str">
        <x:f>IF(F1058&gt;0,"Active","No est. sales")</x:f>
        <x:v>No est. sales</x:v>
      </x:c>
    </x:row>
    <x:row r="1059">
      <x:c r="A1059" s="10" t="str">
        <x:v>First Time Homebuyer Bundle | Home Buying Planner | House Hunting Checklist Printable</x:v>
      </x:c>
      <x:c r="B1059" s="10" t="str">
        <x:v>https://www.etsy.com/listing/4508636993/first-time-homebuyer-bundle-home-buying</x:v>
      </x:c>
      <x:c r="C1059" s="10" t="str">
        <x:v>CurlyGlamBudget</x:v>
      </x:c>
      <x:c r="D1059" s="10" t="str">
        <x:v>https://www.etsy.com/shop/CurlyGlamBudget</x:v>
      </x:c>
      <x:c r="E1059" s="11" t="n">
        <x:v>6.99</x:v>
      </x:c>
      <x:c r="F1059" s="10" t="n">
        <x:v>0</x:v>
      </x:c>
      <x:c r="G1059" s="12" t="n">
        <x:v>0</x:v>
      </x:c>
      <x:c r="H1059" s="13" t="n">
        <x:v>0</x:v>
      </x:c>
      <x:c r="I1059" s="10" t="n">
        <x:v>0</x:v>
      </x:c>
      <x:c r="J1059" s="10" t="n">
        <x:v>0</x:v>
      </x:c>
      <x:c r="K1059" s="10" t="str">
        <x:v>1 Mo.</x:v>
      </x:c>
      <x:c r="L1059" s="10" t="n">
        <x:v>2</x:v>
      </x:c>
      <x:c r="M1059" s="10" t="n">
        <x:v>0</x:v>
      </x:c>
      <x:c r="N1059" s="10" t="n">
        <x:v>42</x:v>
      </x:c>
      <x:c r="O1059" s="10" t="str"/>
      <x:c r="P1059" s="10" t="n">
        <x:v>1</x:v>
      </x:c>
      <x:c r="Q1059" s="10" t="n">
        <x:v>0</x:v>
      </x:c>
      <x:c r="R1059" s="13" t="n">
        <x:v>0</x:v>
      </x:c>
      <x:c r="S1059" s="10" t="n">
        <x:v>17</x:v>
      </x:c>
      <x:c r="T1059" s="10" t="str">
        <x:v>first time homebuyer,home buying bundle,house hunting list,moving checklist,mortgage preapproval,moving planner,mortgage checklist,new home planner,dream house,house buying,home buying,home tracker,mortgage planner</x:v>
      </x:c>
      <x:c r="U1059" s="10" t="str">
        <x:v>first time homebuyer</x:v>
      </x:c>
      <x:c r="V1059" s="10" t="str">
        <x:v>home buying bundle</x:v>
      </x:c>
      <x:c r="W1059" s="10" t="str">
        <x:v>house hunting list</x:v>
      </x:c>
      <x:c r="X1059" s="10" t="str">
        <x:v>moving checklist</x:v>
      </x:c>
      <x:c r="Y1059" s="10" t="str">
        <x:v>mortgage preapproval</x:v>
      </x:c>
      <x:c r="Z1059" s="10" t="str">
        <x:v>moving planner</x:v>
      </x:c>
      <x:c r="AA1059" s="10" t="str">
        <x:v>mortgage checklist</x:v>
      </x:c>
      <x:c r="AB1059" s="10" t="str">
        <x:v>new home planner</x:v>
      </x:c>
      <x:c r="AC1059" s="10" t="str">
        <x:v>dream house</x:v>
      </x:c>
      <x:c r="AD1059" s="10" t="str">
        <x:v>house buying</x:v>
      </x:c>
      <x:c r="AE1059" s="10" t="str">
        <x:v>home buying</x:v>
      </x:c>
      <x:c r="AF1059" s="10" t="str">
        <x:v>home tracker</x:v>
      </x:c>
      <x:c r="AG1059" s="10" t="str">
        <x:v>mortgage planner</x:v>
      </x:c>
      <x:c r="AH1059" s="10" t="str">
        <x:v>Home buying planner</x:v>
      </x:c>
      <x:c r="AI1059" s="13" t="n">
        <x:v>1</x:v>
      </x:c>
      <x:c r="AJ1059" s="10" t="str">
        <x:f>IF(F1059&gt;0,"Active","No est. sales")</x:f>
        <x:v>No est. sales</x:v>
      </x:c>
    </x:row>
    <x:row r="1060">
      <x:c r="A1060" s="10" t="str">
        <x:v>Vancouver First-Time Home Buyer Toolkit Notion Template | BC Mortgage FHSA Down Payment Tracker</x:v>
      </x:c>
      <x:c r="B1060" s="10" t="str">
        <x:v>https://www.etsy.com/listing/4501730044/vancouver-first-time-home-buyer-toolkit</x:v>
      </x:c>
      <x:c r="C1060" s="10" t="str">
        <x:v>NorthNestCA</x:v>
      </x:c>
      <x:c r="D1060" s="10" t="str">
        <x:v>https://www.etsy.com/shop/NorthNestCA</x:v>
      </x:c>
      <x:c r="E1060" s="11" t="n">
        <x:v>10.79</x:v>
      </x:c>
      <x:c r="F1060" s="10" t="n">
        <x:v>0</x:v>
      </x:c>
      <x:c r="G1060" s="12" t="n">
        <x:v>0</x:v>
      </x:c>
      <x:c r="H1060" s="13" t="n">
        <x:v>0</x:v>
      </x:c>
      <x:c r="I1060" s="10" t="n">
        <x:v>0</x:v>
      </x:c>
      <x:c r="J1060" s="10" t="n">
        <x:v>0</x:v>
      </x:c>
      <x:c r="K1060" s="10" t="str">
        <x:v>1 Mo.</x:v>
      </x:c>
      <x:c r="L1060" s="10" t="n">
        <x:v>0</x:v>
      </x:c>
      <x:c r="M1060" s="10" t="n">
        <x:v>0</x:v>
      </x:c>
      <x:c r="N1060" s="10" t="n">
        <x:v>0</x:v>
      </x:c>
      <x:c r="O1060" s="10" t="str"/>
      <x:c r="P1060" s="10" t="n">
        <x:v>1</x:v>
      </x:c>
      <x:c r="Q1060" s="10" t="n">
        <x:v>0</x:v>
      </x:c>
      <x:c r="R1060" s="13" t="n">
        <x:v>0</x:v>
      </x:c>
      <x:c r="S1060" s="10" t="n">
        <x:v>0</x:v>
      </x:c>
      <x:c r="T1060" s="10" t="str">
        <x:v>vancouver,notion template,first time buyer,home buyer planner,bc real estate,metro vancouver,mortgage tracker,fhsa savings,canadian buyer,strata checklist,real estate notion,property tax bc,first home checklist</x:v>
      </x:c>
      <x:c r="U1060" s="10" t="str">
        <x:v>vancouver</x:v>
      </x:c>
      <x:c r="V1060" s="10" t="str">
        <x:v>notion template</x:v>
      </x:c>
      <x:c r="W1060" s="10" t="str">
        <x:v>first time buyer</x:v>
      </x:c>
      <x:c r="X1060" s="10" t="str">
        <x:v>home buyer planner</x:v>
      </x:c>
      <x:c r="Y1060" s="10" t="str">
        <x:v>bc real estate</x:v>
      </x:c>
      <x:c r="Z1060" s="10" t="str">
        <x:v>metro vancouver</x:v>
      </x:c>
      <x:c r="AA1060" s="10" t="str">
        <x:v>mortgage tracker</x:v>
      </x:c>
      <x:c r="AB1060" s="10" t="str">
        <x:v>fhsa savings</x:v>
      </x:c>
      <x:c r="AC1060" s="10" t="str">
        <x:v>canadian buyer</x:v>
      </x:c>
      <x:c r="AD1060" s="10" t="str">
        <x:v>strata checklist</x:v>
      </x:c>
      <x:c r="AE1060" s="10" t="str">
        <x:v>real estate notion</x:v>
      </x:c>
      <x:c r="AF1060" s="10" t="str">
        <x:v>property tax bc</x:v>
      </x:c>
      <x:c r="AG1060" s="10" t="str">
        <x:v>first home checklist</x:v>
      </x:c>
      <x:c r="AH1060" s="10" t="str">
        <x:v>Home buying planner</x:v>
      </x:c>
      <x:c r="AI1060" s="13" t="n">
        <x:v>1</x:v>
      </x:c>
      <x:c r="AJ1060" s="10" t="str">
        <x:f>IF(F1060&gt;0,"Active","No est. sales")</x:f>
        <x:v>No est. sales</x:v>
      </x:c>
    </x:row>
    <x:row r="1061">
      <x:c r="A1061" s="10" t="str">
        <x:v>Debt Payoff Tracker Canva PDF Instant Download Repayment Debt Snowball Journal Avalanche Planner Schedule Payments Track Balance Credit Card</x:v>
      </x:c>
      <x:c r="B1061" s="10" t="str">
        <x:v>https://www.etsy.com/listing/1669908748/debt-payoff-tracker-canva-pdf-instant</x:v>
      </x:c>
      <x:c r="C1061" s="10" t="str">
        <x:v>BarMelDesignsDigital</x:v>
      </x:c>
      <x:c r="D1061" s="10" t="str">
        <x:v>https://www.etsy.com/shop/BarMelDesignsDigital</x:v>
      </x:c>
      <x:c r="E1061" s="11" t="n">
        <x:v>3.18</x:v>
      </x:c>
      <x:c r="F1061" s="10" t="n">
        <x:v>0</x:v>
      </x:c>
      <x:c r="G1061" s="12" t="n">
        <x:v>0</x:v>
      </x:c>
      <x:c r="H1061" s="13" t="n">
        <x:v>0</x:v>
      </x:c>
      <x:c r="I1061" s="10" t="n">
        <x:v>7</x:v>
      </x:c>
      <x:c r="J1061" s="10" t="n">
        <x:v>1</x:v>
      </x:c>
      <x:c r="K1061" s="10" t="str">
        <x:v>29 Mo.</x:v>
      </x:c>
      <x:c r="L1061" s="10" t="n">
        <x:v>7</x:v>
      </x:c>
      <x:c r="M1061" s="10" t="n">
        <x:v>0</x:v>
      </x:c>
      <x:c r="N1061" s="10" t="n">
        <x:v>176</x:v>
      </x:c>
      <x:c r="O1061" s="10" t="str"/>
      <x:c r="P1061" s="10" t="n">
        <x:v>29</x:v>
      </x:c>
      <x:c r="Q1061" s="10" t="n">
        <x:v>0</x:v>
      </x:c>
      <x:c r="R1061" s="13" t="n">
        <x:v>3.98</x:v>
      </x:c>
      <x:c r="S1061" s="10" t="n">
        <x:v>2583</x:v>
      </x:c>
      <x:c r="T1061" s="10" t="str">
        <x:v>debt calculator,financial planner,mortgage payoff,debt snowball,personal finance,debt tracker,52 weeks challenge,creditcards,pay off debt,canva template,financial journal,financial freedom,debt avalanche</x:v>
      </x:c>
      <x:c r="U1061" s="10" t="str">
        <x:v>debt calculator</x:v>
      </x:c>
      <x:c r="V1061" s="10" t="str">
        <x:v>financial planner</x:v>
      </x:c>
      <x:c r="W1061" s="10" t="str">
        <x:v>mortgage payoff</x:v>
      </x:c>
      <x:c r="X1061" s="10" t="str">
        <x:v>debt snowball</x:v>
      </x:c>
      <x:c r="Y1061" s="10" t="str">
        <x:v>personal finance</x:v>
      </x:c>
      <x:c r="Z1061" s="10" t="str">
        <x:v>debt tracker</x:v>
      </x:c>
      <x:c r="AA1061" s="10" t="str">
        <x:v>52 weeks challenge</x:v>
      </x:c>
      <x:c r="AB1061" s="10" t="str">
        <x:v>creditcards</x:v>
      </x:c>
      <x:c r="AC1061" s="10" t="str">
        <x:v>pay off debt</x:v>
      </x:c>
      <x:c r="AD1061" s="10" t="str">
        <x:v>canva template</x:v>
      </x:c>
      <x:c r="AE1061" s="10" t="str">
        <x:v>financial journal</x:v>
      </x:c>
      <x:c r="AF1061" s="10" t="str">
        <x:v>financial freedom</x:v>
      </x:c>
      <x:c r="AG1061" s="10" t="str">
        <x:v>debt avalanche</x:v>
      </x:c>
      <x:c r="AH1061" s="10" t="str">
        <x:v>General debt payoff</x:v>
      </x:c>
      <x:c r="AI1061" s="13" t="n">
        <x:v>29</x:v>
      </x:c>
      <x:c r="AJ1061" s="10" t="str">
        <x:f>IF(F1061&gt;0,"Active","No est. sales")</x:f>
        <x:v>No est. sales</x:v>
      </x:c>
    </x:row>
    <x:row r="1062">
      <x:c r="A1062" s="10" t="str">
        <x:v>Home Buying Planner &amp; Property Comparison for Buyers | Buyer House Hunting Planner | PDF Instant Download</x:v>
      </x:c>
      <x:c r="B1062" s="10" t="str">
        <x:v>https://www.etsy.com/listing/4515235654/home-buying-planner-property-comparison</x:v>
      </x:c>
      <x:c r="C1062" s="10" t="str">
        <x:v>RealEstateDemystify</x:v>
      </x:c>
      <x:c r="D1062" s="10" t="str">
        <x:v>https://www.etsy.com/shop/RealEstateDemystify</x:v>
      </x:c>
      <x:c r="E1062" s="11" t="n">
        <x:v>4.45</x:v>
      </x:c>
      <x:c r="F1062" s="10" t="n">
        <x:v>0</x:v>
      </x:c>
      <x:c r="G1062" s="12" t="n">
        <x:v>0</x:v>
      </x:c>
      <x:c r="H1062" s="13" t="n">
        <x:v>0</x:v>
      </x:c>
      <x:c r="I1062" s="10" t="n">
        <x:v>0</x:v>
      </x:c>
      <x:c r="J1062" s="10" t="n">
        <x:v>0</x:v>
      </x:c>
      <x:c r="K1062" s="10" t="str">
        <x:v>1 Mo.</x:v>
      </x:c>
      <x:c r="L1062" s="10" t="n">
        <x:v>1</x:v>
      </x:c>
      <x:c r="M1062" s="10" t="n">
        <x:v>0</x:v>
      </x:c>
      <x:c r="N1062" s="10" t="n">
        <x:v>3</x:v>
      </x:c>
      <x:c r="O1062" s="10" t="str">
        <x:v>Paper &amp; Party Supplies</x:v>
      </x:c>
      <x:c r="P1062" s="10" t="n">
        <x:v>46</x:v>
      </x:c>
      <x:c r="Q1062" s="10" t="n">
        <x:v>0</x:v>
      </x:c>
      <x:c r="R1062" s="13" t="n">
        <x:v>0</x:v>
      </x:c>
      <x:c r="S1062" s="10" t="n">
        <x:v>4993</x:v>
      </x:c>
      <x:c r="T1062" s="10" t="str">
        <x:v>home buy planner,move checklist,printable house hunt,real estate digital,management guide,timeline tips,mortgage tracker,budget plan list,home buying planner,home buyer workbook,house hunting guide,house hunting uk,first time buyer</x:v>
      </x:c>
      <x:c r="U1062" s="10" t="str">
        <x:v>home buy planner</x:v>
      </x:c>
      <x:c r="V1062" s="10" t="str">
        <x:v>move checklist</x:v>
      </x:c>
      <x:c r="W1062" s="10" t="str">
        <x:v>printable house hunt</x:v>
      </x:c>
      <x:c r="X1062" s="10" t="str">
        <x:v>real estate digital</x:v>
      </x:c>
      <x:c r="Y1062" s="10" t="str">
        <x:v>management guide</x:v>
      </x:c>
      <x:c r="Z1062" s="10" t="str">
        <x:v>timeline tips</x:v>
      </x:c>
      <x:c r="AA1062" s="10" t="str">
        <x:v>mortgage tracker</x:v>
      </x:c>
      <x:c r="AB1062" s="10" t="str">
        <x:v>budget plan list</x:v>
      </x:c>
      <x:c r="AC1062" s="10" t="str">
        <x:v>home buying planner</x:v>
      </x:c>
      <x:c r="AD1062" s="10" t="str">
        <x:v>home buyer workbook</x:v>
      </x:c>
      <x:c r="AE1062" s="10" t="str">
        <x:v>house hunting guide</x:v>
      </x:c>
      <x:c r="AF1062" s="10" t="str">
        <x:v>house hunting uk</x:v>
      </x:c>
      <x:c r="AG1062" s="10" t="str">
        <x:v>first time buyer</x:v>
      </x:c>
      <x:c r="AH1062" s="10" t="str">
        <x:v>Home buying planner</x:v>
      </x:c>
      <x:c r="AI1062" s="13" t="n">
        <x:v>1</x:v>
      </x:c>
      <x:c r="AJ1062" s="10" t="str">
        <x:f>IF(F1062&gt;0,"Active","No est. sales")</x:f>
        <x:v>No est. sales</x:v>
      </x:c>
    </x:row>
    <x:row r="1063">
      <x:c r="A1063" s="10" t="str">
        <x:v>Mortgage Planner Stickers: Removable Matte Vinyl, Script Fonts</x:v>
      </x:c>
      <x:c r="B1063" s="10" t="str">
        <x:v>https://www.etsy.com/listing/588167708/mortgage-planner-stickers-removable</x:v>
      </x:c>
      <x:c r="C1063" s="10" t="str">
        <x:v>KHDStickers</x:v>
      </x:c>
      <x:c r="D1063" s="10" t="str">
        <x:v>https://www.etsy.com/shop/KHDStickers</x:v>
      </x:c>
      <x:c r="E1063" s="11" t="n">
        <x:v>2.65</x:v>
      </x:c>
      <x:c r="F1063" s="10" t="n">
        <x:v>0</x:v>
      </x:c>
      <x:c r="G1063" s="12" t="n">
        <x:v>0</x:v>
      </x:c>
      <x:c r="H1063" s="13" t="n">
        <x:v>0</x:v>
      </x:c>
      <x:c r="I1063" s="10" t="n">
        <x:v>74</x:v>
      </x:c>
      <x:c r="J1063" s="10" t="n">
        <x:v>14</x:v>
      </x:c>
      <x:c r="K1063" s="10" t="str">
        <x:v>100 Mo.</x:v>
      </x:c>
      <x:c r="L1063" s="10" t="n">
        <x:v>80</x:v>
      </x:c>
      <x:c r="M1063" s="10" t="n">
        <x:v>0</x:v>
      </x:c>
      <x:c r="N1063" s="10" t="n">
        <x:v>834</x:v>
      </x:c>
      <x:c r="O1063" s="10" t="str">
        <x:v>Paper &amp; Party Supplies</x:v>
      </x:c>
      <x:c r="P1063" s="10" t="n">
        <x:v>135</x:v>
      </x:c>
      <x:c r="Q1063" s="10" t="n">
        <x:v>0</x:v>
      </x:c>
      <x:c r="R1063" s="13" t="n">
        <x:v>8.87</x:v>
      </x:c>
      <x:c r="S1063" s="10" t="n">
        <x:v>105599</x:v>
      </x:c>
      <x:c r="T1063" s="10" t="str">
        <x:v>eclp,happy planner,planner stickers,kikki k,filofax,calendar stickers,sticker sheets,australia,planning stickers,pastel stickers,canada,new zealand,scripts 6 options</x:v>
      </x:c>
      <x:c r="U1063" s="10" t="str">
        <x:v>eclp</x:v>
      </x:c>
      <x:c r="V1063" s="10" t="str">
        <x:v>happy planner</x:v>
      </x:c>
      <x:c r="W1063" s="10" t="str">
        <x:v>planner stickers</x:v>
      </x:c>
      <x:c r="X1063" s="10" t="str">
        <x:v>kikki k</x:v>
      </x:c>
      <x:c r="Y1063" s="10" t="str">
        <x:v>filofax</x:v>
      </x:c>
      <x:c r="Z1063" s="10" t="str">
        <x:v>calendar stickers</x:v>
      </x:c>
      <x:c r="AA1063" s="10" t="str">
        <x:v>sticker sheets</x:v>
      </x:c>
      <x:c r="AB1063" s="10" t="str">
        <x:v>australia</x:v>
      </x:c>
      <x:c r="AC1063" s="10" t="str">
        <x:v>planning stickers</x:v>
      </x:c>
      <x:c r="AD1063" s="10" t="str">
        <x:v>pastel stickers</x:v>
      </x:c>
      <x:c r="AE1063" s="10" t="str">
        <x:v>canada</x:v>
      </x:c>
      <x:c r="AF1063" s="10" t="str">
        <x:v>new zealand</x:v>
      </x:c>
      <x:c r="AG1063" s="10" t="str">
        <x:v>scripts 6 options</x:v>
      </x:c>
      <x:c r="AH1063" s="10" t="str">
        <x:v>Other mortgage-related</x:v>
      </x:c>
      <x:c r="AI1063" s="13" t="n">
        <x:v>100</x:v>
      </x:c>
      <x:c r="AJ1063" s="10" t="str">
        <x:f>IF(F1063&gt;0,"Active","No est. sales")</x:f>
        <x:v>No est. sales</x:v>
      </x:c>
    </x:row>
    <x:row r="1064">
      <x:c r="A1064" s="10" t="str">
        <x:v>Simple Loan or Mortgage Repayment Excel Tracker | Amortization Calculator and Schedule | Budgeting and Digital Planner | Digital Download</x:v>
      </x:c>
      <x:c r="B1064" s="10" t="str">
        <x:v>https://www.etsy.com/listing/1395008338/simple-loan-or-mortgage-repayment-excel</x:v>
      </x:c>
      <x:c r="C1064" s="10" t="str">
        <x:v>ExcelDoctor</x:v>
      </x:c>
      <x:c r="D1064" s="10" t="str">
        <x:v>https://www.etsy.com/shop/ExcelDoctor</x:v>
      </x:c>
      <x:c r="E1064" s="11" t="n">
        <x:v>2.49</x:v>
      </x:c>
      <x:c r="F1064" s="10" t="n">
        <x:v>0</x:v>
      </x:c>
      <x:c r="G1064" s="12" t="n">
        <x:v>0</x:v>
      </x:c>
      <x:c r="H1064" s="13" t="n">
        <x:v>0</x:v>
      </x:c>
      <x:c r="I1064" s="10" t="n">
        <x:v>12</x:v>
      </x:c>
      <x:c r="J1064" s="10" t="n">
        <x:v>3</x:v>
      </x:c>
      <x:c r="K1064" s="10" t="str">
        <x:v>41 Mo.</x:v>
      </x:c>
      <x:c r="L1064" s="10" t="n">
        <x:v>46</x:v>
      </x:c>
      <x:c r="M1064" s="10" t="n">
        <x:v>0</x:v>
      </x:c>
      <x:c r="N1064" s="10" t="n">
        <x:v>2710</x:v>
      </x:c>
      <x:c r="O1064" s="10" t="str"/>
      <x:c r="P1064" s="10" t="n">
        <x:v>42</x:v>
      </x:c>
      <x:c r="Q1064" s="10" t="n">
        <x:v>30</x:v>
      </x:c>
      <x:c r="R1064" s="13" t="n">
        <x:v>0.44</x:v>
      </x:c>
      <x:c r="S1064" s="10" t="n">
        <x:v>705</x:v>
      </x:c>
      <x:c r="T1064" s="10" t="str">
        <x:v>digital planner,mortgage calculator,repayment schedule,excel spreadsheet,budget template,loan amortization,accounting budgeting,mortgage excel,mortgage spreadsheet,mortgage tracker,loan tracker,loan calculator,loan planning</x:v>
      </x:c>
      <x:c r="U1064" s="10" t="str">
        <x:v>digital planner</x:v>
      </x:c>
      <x:c r="V1064" s="10" t="str">
        <x:v>mortgage calculator</x:v>
      </x:c>
      <x:c r="W1064" s="10" t="str">
        <x:v>repayment schedule</x:v>
      </x:c>
      <x:c r="X1064" s="10" t="str">
        <x:v>excel spreadsheet</x:v>
      </x:c>
      <x:c r="Y1064" s="10" t="str">
        <x:v>budget template</x:v>
      </x:c>
      <x:c r="Z1064" s="10" t="str">
        <x:v>loan amortization</x:v>
      </x:c>
      <x:c r="AA1064" s="10" t="str">
        <x:v>accounting budgeting</x:v>
      </x:c>
      <x:c r="AB1064" s="10" t="str">
        <x:v>mortgage excel</x:v>
      </x:c>
      <x:c r="AC1064" s="10" t="str">
        <x:v>mortgage spreadsheet</x:v>
      </x:c>
      <x:c r="AD1064" s="10" t="str">
        <x:v>mortgage tracker</x:v>
      </x:c>
      <x:c r="AE1064" s="10" t="str">
        <x:v>loan tracker</x:v>
      </x:c>
      <x:c r="AF1064" s="10" t="str">
        <x:v>loan calculator</x:v>
      </x:c>
      <x:c r="AG1064" s="10" t="str">
        <x:v>loan planning</x:v>
      </x:c>
      <x:c r="AH1064" s="10" t="str">
        <x:v>Other mortgage-related</x:v>
      </x:c>
      <x:c r="AI1064" s="13" t="n">
        <x:v>41</x:v>
      </x:c>
      <x:c r="AJ1064" s="10" t="str">
        <x:f>IF(F1064&gt;0,"Active","No est. sales")</x:f>
        <x:v>No est. sales</x:v>
      </x:c>
    </x:row>
    <x:row r="1065">
      <x:c r="A1065" s="10" t="str">
        <x:v>Loan/Mortgage Amortization Schedule | Instant Download for Excel and Google Sheets</x:v>
      </x:c>
      <x:c r="B1065" s="10" t="str">
        <x:v>https://www.etsy.com/listing/1439855438/loanmortgage-amortization-schedule</x:v>
      </x:c>
      <x:c r="C1065" s="10" t="str">
        <x:v>LogsTemplatesnThings</x:v>
      </x:c>
      <x:c r="D1065" s="10" t="str">
        <x:v>https://www.etsy.com/shop/LogsTemplatesnThings</x:v>
      </x:c>
      <x:c r="E1065" s="11" t="n">
        <x:v>2.99</x:v>
      </x:c>
      <x:c r="F1065" s="10" t="n">
        <x:v>0</x:v>
      </x:c>
      <x:c r="G1065" s="12" t="n">
        <x:v>0</x:v>
      </x:c>
      <x:c r="H1065" s="13" t="n">
        <x:v>0</x:v>
      </x:c>
      <x:c r="I1065" s="10" t="n">
        <x:v>0</x:v>
      </x:c>
      <x:c r="J1065" s="10" t="n">
        <x:v>0</x:v>
      </x:c>
      <x:c r="K1065" s="10" t="str">
        <x:v>39 Mo.</x:v>
      </x:c>
      <x:c r="L1065" s="10" t="n">
        <x:v>29</x:v>
      </x:c>
      <x:c r="M1065" s="10" t="n">
        <x:v>0</x:v>
      </x:c>
      <x:c r="N1065" s="10" t="n">
        <x:v>77</x:v>
      </x:c>
      <x:c r="O1065" s="10" t="str"/>
      <x:c r="P1065" s="10" t="n">
        <x:v>49</x:v>
      </x:c>
      <x:c r="Q1065" s="10" t="n">
        <x:v>0</x:v>
      </x:c>
      <x:c r="R1065" s="13" t="n">
        <x:v>0</x:v>
      </x:c>
      <x:c r="S1065" s="10" t="n">
        <x:v>4</x:v>
      </x:c>
      <x:c r="T1065" s="10" t="str">
        <x:v>mortgage calculator,loan calculator,loan early payoff,amortization chart,debt payoff tracker,mortgage planner,loan spreadsheet,debt reduction tool,finance template,money management,payment schedule,bank loan paydown,mortgage worksheet</x:v>
      </x:c>
      <x:c r="U1065" s="10" t="str">
        <x:v>mortgage calculator</x:v>
      </x:c>
      <x:c r="V1065" s="10" t="str">
        <x:v>loan calculator</x:v>
      </x:c>
      <x:c r="W1065" s="10" t="str">
        <x:v>loan early payoff</x:v>
      </x:c>
      <x:c r="X1065" s="10" t="str">
        <x:v>amortization chart</x:v>
      </x:c>
      <x:c r="Y1065" s="10" t="str">
        <x:v>debt payoff tracker</x:v>
      </x:c>
      <x:c r="Z1065" s="10" t="str">
        <x:v>mortgage planner</x:v>
      </x:c>
      <x:c r="AA1065" s="10" t="str">
        <x:v>loan spreadsheet</x:v>
      </x:c>
      <x:c r="AB1065" s="10" t="str">
        <x:v>debt reduction tool</x:v>
      </x:c>
      <x:c r="AC1065" s="10" t="str">
        <x:v>finance template</x:v>
      </x:c>
      <x:c r="AD1065" s="10" t="str">
        <x:v>money management</x:v>
      </x:c>
      <x:c r="AE1065" s="10" t="str">
        <x:v>payment schedule</x:v>
      </x:c>
      <x:c r="AF1065" s="10" t="str">
        <x:v>bank loan paydown</x:v>
      </x:c>
      <x:c r="AG1065" s="10" t="str">
        <x:v>mortgage worksheet</x:v>
      </x:c>
      <x:c r="AH1065" s="10" t="str">
        <x:v>Mortgage payoff / calculator</x:v>
      </x:c>
      <x:c r="AI1065" s="13" t="n">
        <x:v>39</x:v>
      </x:c>
      <x:c r="AJ1065" s="10" t="str">
        <x:f>IF(F1065&gt;0,"Active","No est. sales")</x:f>
        <x:v>No est. sales</x:v>
      </x:c>
    </x:row>
    <x:row r="1066">
      <x:c r="A1066" s="10" t="str">
        <x:v>Print Ready or Editable Financial Planner, KDP. Financial Tracker, Budget Planner, Savings Tracker, Expense Tracker &amp; Money Savings Planner.</x:v>
      </x:c>
      <x:c r="B1066" s="10" t="str">
        <x:v>https://www.etsy.com/listing/1505627072/print-ready-or-editable-financial</x:v>
      </x:c>
      <x:c r="C1066" s="10" t="str">
        <x:v>DollarwiseDocuments</x:v>
      </x:c>
      <x:c r="D1066" s="10" t="str">
        <x:v>https://www.etsy.com/shop/DollarwiseDocuments</x:v>
      </x:c>
      <x:c r="E1066" s="11" t="n">
        <x:v>2.5</x:v>
      </x:c>
      <x:c r="F1066" s="10" t="n">
        <x:v>0</x:v>
      </x:c>
      <x:c r="G1066" s="12" t="n">
        <x:v>0</x:v>
      </x:c>
      <x:c r="H1066" s="13" t="n">
        <x:v>0</x:v>
      </x:c>
      <x:c r="I1066" s="10" t="n">
        <x:v>0</x:v>
      </x:c>
      <x:c r="J1066" s="10" t="n">
        <x:v>0</x:v>
      </x:c>
      <x:c r="K1066" s="10" t="str">
        <x:v>36 Mo.</x:v>
      </x:c>
      <x:c r="L1066" s="10" t="n">
        <x:v>0</x:v>
      </x:c>
      <x:c r="M1066" s="10" t="n">
        <x:v>0</x:v>
      </x:c>
      <x:c r="N1066" s="10" t="n">
        <x:v>19</x:v>
      </x:c>
      <x:c r="O1066" s="10" t="str">
        <x:v>Paper &amp; Party Supplies</x:v>
      </x:c>
      <x:c r="P1066" s="10" t="n">
        <x:v>36</x:v>
      </x:c>
      <x:c r="Q1066" s="10" t="n">
        <x:v>0</x:v>
      </x:c>
      <x:c r="R1066" s="13" t="n">
        <x:v>0</x:v>
      </x:c>
      <x:c r="S1066" s="10" t="n">
        <x:v>0</x:v>
      </x:c>
      <x:c r="T1066" s="10" t="str">
        <x:v>financial planner,budget planner,savings tracker,debt tracker,income tracker,monthly planner,expenses tracker,bill planner,bills,financial tracker,no spend challenge,savings challenge,mortgage planner</x:v>
      </x:c>
      <x:c r="U1066" s="10" t="str">
        <x:v>financial planner</x:v>
      </x:c>
      <x:c r="V1066" s="10" t="str">
        <x:v>budget planner</x:v>
      </x:c>
      <x:c r="W1066" s="10" t="str">
        <x:v>savings tracker</x:v>
      </x:c>
      <x:c r="X1066" s="10" t="str">
        <x:v>debt tracker</x:v>
      </x:c>
      <x:c r="Y1066" s="10" t="str">
        <x:v>income tracker</x:v>
      </x:c>
      <x:c r="Z1066" s="10" t="str">
        <x:v>monthly planner</x:v>
      </x:c>
      <x:c r="AA1066" s="10" t="str">
        <x:v>expenses tracker</x:v>
      </x:c>
      <x:c r="AB1066" s="10" t="str">
        <x:v>bill planner</x:v>
      </x:c>
      <x:c r="AC1066" s="10" t="str">
        <x:v>bills</x:v>
      </x:c>
      <x:c r="AD1066" s="10" t="str">
        <x:v>financial tracker</x:v>
      </x:c>
      <x:c r="AE1066" s="10" t="str">
        <x:v>no spend challenge</x:v>
      </x:c>
      <x:c r="AF1066" s="10" t="str">
        <x:v>savings challenge</x:v>
      </x:c>
      <x:c r="AG1066" s="10" t="str">
        <x:v>mortgage planner</x:v>
      </x:c>
      <x:c r="AH1066" s="10" t="str">
        <x:v>Other mortgage-related</x:v>
      </x:c>
      <x:c r="AI1066" s="13" t="n">
        <x:v>36</x:v>
      </x:c>
      <x:c r="AJ1066" s="10" t="str">
        <x:f>IF(F1066&gt;0,"Active","No est. sales")</x:f>
        <x:v>No est. sales</x:v>
      </x:c>
    </x:row>
    <x:row r="1067">
      <x:c r="A1067" s="10" t="str">
        <x:v>Squarespace Template for Finance | 10 Pages | Wealth Strategy, Tax, Investment &amp; Business  Finance, Accounting, Professional Services</x:v>
      </x:c>
      <x:c r="B1067" s="10" t="str">
        <x:v>https://www.etsy.com/listing/4494878111/squarespace-71-financial-advisers</x:v>
      </x:c>
      <x:c r="C1067" s="10" t="str">
        <x:v>VolarCreative</x:v>
      </x:c>
      <x:c r="D1067" s="10" t="str">
        <x:v>https://www.etsy.com/shop/VolarCreative</x:v>
      </x:c>
      <x:c r="E1067" s="11" t="n">
        <x:v>247.19</x:v>
      </x:c>
      <x:c r="F1067" s="10" t="n">
        <x:v>0</x:v>
      </x:c>
      <x:c r="G1067" s="12" t="n">
        <x:v>0</x:v>
      </x:c>
      <x:c r="H1067" s="13" t="n">
        <x:v>0</x:v>
      </x:c>
      <x:c r="I1067" s="10" t="n">
        <x:v>0</x:v>
      </x:c>
      <x:c r="J1067" s="10" t="n">
        <x:v>0</x:v>
      </x:c>
      <x:c r="K1067" s="10" t="str">
        <x:v>3 Mo.</x:v>
      </x:c>
      <x:c r="L1067" s="10" t="n">
        <x:v>2</x:v>
      </x:c>
      <x:c r="M1067" s="10" t="n">
        <x:v>0</x:v>
      </x:c>
      <x:c r="N1067" s="10" t="n">
        <x:v>48</x:v>
      </x:c>
      <x:c r="O1067" s="10" t="str">
        <x:v>Paper &amp; Party Supplies</x:v>
      </x:c>
      <x:c r="P1067" s="10" t="n">
        <x:v>5</x:v>
      </x:c>
      <x:c r="Q1067" s="10" t="n">
        <x:v>0</x:v>
      </x:c>
      <x:c r="R1067" s="13" t="n">
        <x:v>0</x:v>
      </x:c>
      <x:c r="S1067" s="10" t="n">
        <x:v>1</x:v>
      </x:c>
      <x:c r="T1067" s="10" t="str">
        <x:v>squarespace template,finance website,wealth management,accountant website,financial planner,squarespace finance,cpa website template,investment adviser,small business,tax adviser website,professional service,consultant website,mortgage broker</x:v>
      </x:c>
      <x:c r="U1067" s="10" t="str">
        <x:v>squarespace template</x:v>
      </x:c>
      <x:c r="V1067" s="10" t="str">
        <x:v>finance website</x:v>
      </x:c>
      <x:c r="W1067" s="10" t="str">
        <x:v>wealth management</x:v>
      </x:c>
      <x:c r="X1067" s="10" t="str">
        <x:v>accountant website</x:v>
      </x:c>
      <x:c r="Y1067" s="10" t="str">
        <x:v>financial planner</x:v>
      </x:c>
      <x:c r="Z1067" s="10" t="str">
        <x:v>squarespace finance</x:v>
      </x:c>
      <x:c r="AA1067" s="10" t="str">
        <x:v>cpa website template</x:v>
      </x:c>
      <x:c r="AB1067" s="10" t="str">
        <x:v>investment adviser</x:v>
      </x:c>
      <x:c r="AC1067" s="10" t="str">
        <x:v>small business</x:v>
      </x:c>
      <x:c r="AD1067" s="10" t="str">
        <x:v>tax adviser website</x:v>
      </x:c>
      <x:c r="AE1067" s="10" t="str">
        <x:v>professional service</x:v>
      </x:c>
      <x:c r="AF1067" s="10" t="str">
        <x:v>consultant website</x:v>
      </x:c>
      <x:c r="AG1067" s="10" t="str">
        <x:v>mortgage broker</x:v>
      </x:c>
      <x:c r="AH1067" s="10" t="str">
        <x:v>Loan officer / B2B</x:v>
      </x:c>
      <x:c r="AI1067" s="13" t="n">
        <x:v>3</x:v>
      </x:c>
      <x:c r="AJ1067" s="10" t="str">
        <x:f>IF(F1067&gt;0,"Active","No est. sales")</x:f>
        <x:v>No est. sales</x:v>
      </x:c>
    </x:row>
    <x:row r="1068">
      <x:c r="A1068" s="10" t="str">
        <x:v>Debt Payment Tracker Printable, Student Loan Repayment Template PDF, Digital Mortgage Payoff Log, Debt Free Journey, Credit Card Management</x:v>
      </x:c>
      <x:c r="B1068" s="10" t="str">
        <x:v>https://www.etsy.com/listing/1470458547/debt-payment-tracker-printable-student</x:v>
      </x:c>
      <x:c r="C1068" s="10" t="str">
        <x:v>MommaBearing</x:v>
      </x:c>
      <x:c r="D1068" s="10" t="str">
        <x:v>https://www.etsy.com/shop/MommaBearing</x:v>
      </x:c>
      <x:c r="E1068" s="11" t="n">
        <x:v>3.38</x:v>
      </x:c>
      <x:c r="F1068" s="10" t="n">
        <x:v>0</x:v>
      </x:c>
      <x:c r="G1068" s="12" t="n">
        <x:v>0</x:v>
      </x:c>
      <x:c r="H1068" s="13" t="n">
        <x:v>0</x:v>
      </x:c>
      <x:c r="I1068" s="10" t="n">
        <x:v>0</x:v>
      </x:c>
      <x:c r="J1068" s="10" t="n">
        <x:v>0</x:v>
      </x:c>
      <x:c r="K1068" s="10" t="str">
        <x:v>39 Mo.</x:v>
      </x:c>
      <x:c r="L1068" s="10" t="n">
        <x:v>3</x:v>
      </x:c>
      <x:c r="M1068" s="10" t="n">
        <x:v>0</x:v>
      </x:c>
      <x:c r="N1068" s="10" t="n">
        <x:v>62</x:v>
      </x:c>
      <x:c r="O1068" s="10" t="str">
        <x:v>Paper &amp; Party Supplies</x:v>
      </x:c>
      <x:c r="P1068" s="10" t="n">
        <x:v>45</x:v>
      </x:c>
      <x:c r="Q1068" s="10" t="n">
        <x:v>0</x:v>
      </x:c>
      <x:c r="R1068" s="13" t="n">
        <x:v>0</x:v>
      </x:c>
      <x:c r="S1068" s="10" t="n">
        <x:v>2016</x:v>
      </x:c>
      <x:c r="T1068" s="10" t="str">
        <x:v>monthly debt tracker,debt free journey,undated printable,repayment calculator,payoff log chart pdf,credit card planner,debt payoff tracker,progress management,finish student loans,home mortgage plan,dave ramsey snowball,financial goals ipad,half letter a5 a4</x:v>
      </x:c>
      <x:c r="U1068" s="10" t="str">
        <x:v>monthly debt tracker</x:v>
      </x:c>
      <x:c r="V1068" s="10" t="str">
        <x:v>debt free journey</x:v>
      </x:c>
      <x:c r="W1068" s="10" t="str">
        <x:v>undated printable</x:v>
      </x:c>
      <x:c r="X1068" s="10" t="str">
        <x:v>repayment calculator</x:v>
      </x:c>
      <x:c r="Y1068" s="10" t="str">
        <x:v>payoff log chart pdf</x:v>
      </x:c>
      <x:c r="Z1068" s="10" t="str">
        <x:v>credit card planner</x:v>
      </x:c>
      <x:c r="AA1068" s="10" t="str">
        <x:v>debt payoff tracker</x:v>
      </x:c>
      <x:c r="AB1068" s="10" t="str">
        <x:v>progress management</x:v>
      </x:c>
      <x:c r="AC1068" s="10" t="str">
        <x:v>finish student loans</x:v>
      </x:c>
      <x:c r="AD1068" s="10" t="str">
        <x:v>home mortgage plan</x:v>
      </x:c>
      <x:c r="AE1068" s="10" t="str">
        <x:v>dave ramsey snowball</x:v>
      </x:c>
      <x:c r="AF1068" s="10" t="str">
        <x:v>financial goals ipad</x:v>
      </x:c>
      <x:c r="AG1068" s="10" t="str">
        <x:v>half letter a5 a4</x:v>
      </x:c>
      <x:c r="AH1068" s="10" t="str">
        <x:v>Mortgage payoff / calculator</x:v>
      </x:c>
      <x:c r="AI1068" s="13" t="n">
        <x:v>39</x:v>
      </x:c>
      <x:c r="AJ1068" s="10" t="str">
        <x:f>IF(F1068&gt;0,"Active","No est. sales")</x:f>
        <x:v>No est. sales</x:v>
      </x:c>
    </x:row>
    <x:row r="1069">
      <x:c r="A1069" s="10" t="str">
        <x:v>Printable Debt Payment Tracker, Student Loans Payoff, Monthly Home Mortgage Log, Undated Template, Credit Card Management, Digital Download</x:v>
      </x:c>
      <x:c r="B1069" s="10" t="str">
        <x:v>https://www.etsy.com/listing/1471579263/printable-debt-payment-tracker-student</x:v>
      </x:c>
      <x:c r="C1069" s="10" t="str">
        <x:v>MommaBearing</x:v>
      </x:c>
      <x:c r="D1069" s="10" t="str">
        <x:v>https://www.etsy.com/shop/MommaBearing</x:v>
      </x:c>
      <x:c r="E1069" s="11" t="n">
        <x:v>3.38</x:v>
      </x:c>
      <x:c r="F1069" s="10" t="n">
        <x:v>0</x:v>
      </x:c>
      <x:c r="G1069" s="12" t="n">
        <x:v>0</x:v>
      </x:c>
      <x:c r="H1069" s="13" t="n">
        <x:v>0</x:v>
      </x:c>
      <x:c r="I1069" s="10" t="n">
        <x:v>0</x:v>
      </x:c>
      <x:c r="J1069" s="10" t="n">
        <x:v>0</x:v>
      </x:c>
      <x:c r="K1069" s="10" t="str">
        <x:v>39 Mo.</x:v>
      </x:c>
      <x:c r="L1069" s="10" t="n">
        <x:v>1</x:v>
      </x:c>
      <x:c r="M1069" s="10" t="n">
        <x:v>0</x:v>
      </x:c>
      <x:c r="N1069" s="10" t="n">
        <x:v>30</x:v>
      </x:c>
      <x:c r="O1069" s="10" t="str">
        <x:v>Paper &amp; Party Supplies</x:v>
      </x:c>
      <x:c r="P1069" s="10" t="n">
        <x:v>45</x:v>
      </x:c>
      <x:c r="Q1069" s="10" t="n">
        <x:v>0</x:v>
      </x:c>
      <x:c r="R1069" s="13" t="n">
        <x:v>0</x:v>
      </x:c>
      <x:c r="S1069" s="10" t="n">
        <x:v>2016</x:v>
      </x:c>
      <x:c r="T1069" s="10" t="str">
        <x:v>monthly debt tracker,debt free journey,undated printable,repayment calculator,easy log chart pdf,credit card planner,refinance car note,dave ramsey snowball,payoff student loans,home mortgage budget,digital goodnotes,financial goals ipad,half letter a5 a4</x:v>
      </x:c>
      <x:c r="U1069" s="10" t="str">
        <x:v>monthly debt tracker</x:v>
      </x:c>
      <x:c r="V1069" s="10" t="str">
        <x:v>debt free journey</x:v>
      </x:c>
      <x:c r="W1069" s="10" t="str">
        <x:v>undated printable</x:v>
      </x:c>
      <x:c r="X1069" s="10" t="str">
        <x:v>repayment calculator</x:v>
      </x:c>
      <x:c r="Y1069" s="10" t="str">
        <x:v>easy log chart pdf</x:v>
      </x:c>
      <x:c r="Z1069" s="10" t="str">
        <x:v>credit card planner</x:v>
      </x:c>
      <x:c r="AA1069" s="10" t="str">
        <x:v>refinance car note</x:v>
      </x:c>
      <x:c r="AB1069" s="10" t="str">
        <x:v>dave ramsey snowball</x:v>
      </x:c>
      <x:c r="AC1069" s="10" t="str">
        <x:v>payoff student loans</x:v>
      </x:c>
      <x:c r="AD1069" s="10" t="str">
        <x:v>home mortgage budget</x:v>
      </x:c>
      <x:c r="AE1069" s="10" t="str">
        <x:v>digital goodnotes</x:v>
      </x:c>
      <x:c r="AF1069" s="10" t="str">
        <x:v>financial goals ipad</x:v>
      </x:c>
      <x:c r="AG1069" s="10" t="str">
        <x:v>half letter a5 a4</x:v>
      </x:c>
      <x:c r="AH1069" s="10" t="str">
        <x:v>Other mortgage-related</x:v>
      </x:c>
      <x:c r="AI1069" s="13" t="n">
        <x:v>39</x:v>
      </x:c>
      <x:c r="AJ1069" s="10" t="str">
        <x:f>IF(F1069&gt;0,"Active","No est. sales")</x:f>
        <x:v>No est. sales</x:v>
      </x:c>
    </x:row>
    <x:row r="1070">
      <x:c r="A1070" s="10" t="str">
        <x:v>Funny Credit Card Debt Free Soy Wax Candle, Paid Off Mortgage Loan Humor Gag Gift For Home Owner, Financial Analyst Consultant Medical Bills</x:v>
      </x:c>
      <x:c r="B1070" s="10" t="str">
        <x:v>https://www.etsy.com/listing/1830273441/funny-credit-card-debt-free-soy-wax</x:v>
      </x:c>
      <x:c r="C1070" s="10" t="str">
        <x:v>SaraBeltranDesigns</x:v>
      </x:c>
      <x:c r="D1070" s="10" t="str">
        <x:v>https://www.etsy.com/shop/SaraBeltranDesigns</x:v>
      </x:c>
      <x:c r="E1070" s="11" t="n">
        <x:v>21.99</x:v>
      </x:c>
      <x:c r="F1070" s="10" t="n">
        <x:v>0</x:v>
      </x:c>
      <x:c r="G1070" s="12" t="n">
        <x:v>0</x:v>
      </x:c>
      <x:c r="H1070" s="13" t="n">
        <x:v>0</x:v>
      </x:c>
      <x:c r="I1070" s="10" t="n">
        <x:v>5</x:v>
      </x:c>
      <x:c r="J1070" s="10" t="n">
        <x:v>1</x:v>
      </x:c>
      <x:c r="K1070" s="10" t="str">
        <x:v>20 Mo.</x:v>
      </x:c>
      <x:c r="L1070" s="10" t="n">
        <x:v>2</x:v>
      </x:c>
      <x:c r="M1070" s="10" t="n">
        <x:v>0</x:v>
      </x:c>
      <x:c r="N1070" s="10" t="n">
        <x:v>125</x:v>
      </x:c>
      <x:c r="O1070" s="10" t="str">
        <x:v>Home &amp; Living</x:v>
      </x:c>
      <x:c r="P1070" s="10" t="n">
        <x:v>46</x:v>
      </x:c>
      <x:c r="Q1070" s="10" t="n">
        <x:v>0</x:v>
      </x:c>
      <x:c r="R1070" s="13" t="n">
        <x:v>4</x:v>
      </x:c>
      <x:c r="S1070" s="10" t="n">
        <x:v>10161</x:v>
      </x:c>
      <x:c r="T1070" s="10" t="str">
        <x:v>financial freedom,personal loan debt,debt solutions,car loan,financially free,debt calculator,financial planner,loan payoff tracker,mortgage payoff,personal finance,student loan debt,student loan gift,paid off loans gift</x:v>
      </x:c>
      <x:c r="U1070" s="10" t="str">
        <x:v>financial freedom</x:v>
      </x:c>
      <x:c r="V1070" s="10" t="str">
        <x:v>personal loan debt</x:v>
      </x:c>
      <x:c r="W1070" s="10" t="str">
        <x:v>debt solutions</x:v>
      </x:c>
      <x:c r="X1070" s="10" t="str">
        <x:v>car loan</x:v>
      </x:c>
      <x:c r="Y1070" s="10" t="str">
        <x:v>financially free</x:v>
      </x:c>
      <x:c r="Z1070" s="10" t="str">
        <x:v>debt calculator</x:v>
      </x:c>
      <x:c r="AA1070" s="10" t="str">
        <x:v>financial planner</x:v>
      </x:c>
      <x:c r="AB1070" s="10" t="str">
        <x:v>loan payoff tracker</x:v>
      </x:c>
      <x:c r="AC1070" s="10" t="str">
        <x:v>mortgage payoff</x:v>
      </x:c>
      <x:c r="AD1070" s="10" t="str">
        <x:v>personal finance</x:v>
      </x:c>
      <x:c r="AE1070" s="10" t="str">
        <x:v>student loan debt</x:v>
      </x:c>
      <x:c r="AF1070" s="10" t="str">
        <x:v>student loan gift</x:v>
      </x:c>
      <x:c r="AG1070" s="10" t="str">
        <x:v>paid off loans gift</x:v>
      </x:c>
      <x:c r="AH1070" s="10" t="str">
        <x:v>Other mortgage-related</x:v>
      </x:c>
      <x:c r="AI1070" s="13" t="n">
        <x:v>20</x:v>
      </x:c>
      <x:c r="AJ1070" s="10" t="str">
        <x:f>IF(F1070&gt;0,"Active","No est. sales")</x:f>
        <x:v>No est. sales</x:v>
      </x:c>
    </x:row>
    <x:row r="1071">
      <x:c r="A1071" s="10" t="str">
        <x:v>Self-Build Home Planner/Journal - Beige Minimalist home, progress, budget, monthly</x:v>
      </x:c>
      <x:c r="B1071" s="10" t="str">
        <x:v>https://www.etsy.com/listing/1578541209/self-build-home-plannerjournal-beige</x:v>
      </x:c>
      <x:c r="C1071" s="10" t="str">
        <x:v>CGshopByCaitlin</x:v>
      </x:c>
      <x:c r="D1071" s="10" t="str">
        <x:v>https://www.etsy.com/shop/CGshopByCaitlin</x:v>
      </x:c>
      <x:c r="E1071" s="11" t="n">
        <x:v>14.61</x:v>
      </x:c>
      <x:c r="F1071" s="10" t="n">
        <x:v>0</x:v>
      </x:c>
      <x:c r="G1071" s="12" t="n">
        <x:v>0</x:v>
      </x:c>
      <x:c r="H1071" s="13" t="n">
        <x:v>0</x:v>
      </x:c>
      <x:c r="I1071" s="10" t="n">
        <x:v>0</x:v>
      </x:c>
      <x:c r="J1071" s="10" t="n">
        <x:v>0</x:v>
      </x:c>
      <x:c r="K1071" s="10" t="str">
        <x:v>34 Mo.</x:v>
      </x:c>
      <x:c r="L1071" s="10" t="n">
        <x:v>1</x:v>
      </x:c>
      <x:c r="M1071" s="10" t="n">
        <x:v>0</x:v>
      </x:c>
      <x:c r="N1071" s="10" t="n">
        <x:v>569</x:v>
      </x:c>
      <x:c r="O1071" s="10" t="str">
        <x:v>Paper &amp; Party Supplies</x:v>
      </x:c>
      <x:c r="P1071" s="10" t="n">
        <x:v>34</x:v>
      </x:c>
      <x:c r="Q1071" s="10" t="n">
        <x:v>0</x:v>
      </x:c>
      <x:c r="R1071" s="13" t="n">
        <x:v>0</x:v>
      </x:c>
      <x:c r="S1071" s="10" t="n">
        <x:v>0</x:v>
      </x:c>
      <x:c r="T1071" s="10" t="str">
        <x:v>home,planner,mortgage,budget,progress,notes,journal,house,self build,diary,record,beige,organised</x:v>
      </x:c>
      <x:c r="U1071" s="10" t="str">
        <x:v>home</x:v>
      </x:c>
      <x:c r="V1071" s="10" t="str">
        <x:v>planner</x:v>
      </x:c>
      <x:c r="W1071" s="10" t="str">
        <x:v>mortgage</x:v>
      </x:c>
      <x:c r="X1071" s="10" t="str">
        <x:v>budget</x:v>
      </x:c>
      <x:c r="Y1071" s="10" t="str">
        <x:v>progress</x:v>
      </x:c>
      <x:c r="Z1071" s="10" t="str">
        <x:v>notes</x:v>
      </x:c>
      <x:c r="AA1071" s="10" t="str">
        <x:v>journal</x:v>
      </x:c>
      <x:c r="AB1071" s="10" t="str">
        <x:v>house</x:v>
      </x:c>
      <x:c r="AC1071" s="10" t="str">
        <x:v>self build</x:v>
      </x:c>
      <x:c r="AD1071" s="10" t="str">
        <x:v>diary</x:v>
      </x:c>
      <x:c r="AE1071" s="10" t="str">
        <x:v>record</x:v>
      </x:c>
      <x:c r="AF1071" s="10" t="str">
        <x:v>beige</x:v>
      </x:c>
      <x:c r="AG1071" s="10" t="str">
        <x:v>organised</x:v>
      </x:c>
      <x:c r="AH1071" s="10" t="str">
        <x:v>Other mortgage-related</x:v>
      </x:c>
      <x:c r="AI1071" s="13" t="n">
        <x:v>34</x:v>
      </x:c>
      <x:c r="AJ1071" s="10" t="str">
        <x:f>IF(F1071&gt;0,"Active","No est. sales")</x:f>
        <x:v>No est. sales</x:v>
      </x:c>
    </x:row>
    <x:row r="1072">
      <x:c r="A1072" s="10" t="str">
        <x:v>Home Buying Planner Printable: Mortgage, Budget, Moving Checklist (44 Page PDF)</x:v>
      </x:c>
      <x:c r="B1072" s="10" t="str">
        <x:v>https://www.etsy.com/listing/1876956078/home-buying-planner-printable-mortgage</x:v>
      </x:c>
      <x:c r="C1072" s="10" t="str">
        <x:v>FayVonDigitals</x:v>
      </x:c>
      <x:c r="D1072" s="10" t="str">
        <x:v>https://www.etsy.com/shop/FayVonDigitals</x:v>
      </x:c>
      <x:c r="E1072" s="11" t="n">
        <x:v>8</x:v>
      </x:c>
      <x:c r="F1072" s="10" t="n">
        <x:v>0</x:v>
      </x:c>
      <x:c r="G1072" s="12" t="n">
        <x:v>0</x:v>
      </x:c>
      <x:c r="H1072" s="13" t="n">
        <x:v>0</x:v>
      </x:c>
      <x:c r="I1072" s="10" t="n">
        <x:v>0</x:v>
      </x:c>
      <x:c r="J1072" s="10" t="n">
        <x:v>0</x:v>
      </x:c>
      <x:c r="K1072" s="10" t="str">
        <x:v>16 Mo.</x:v>
      </x:c>
      <x:c r="L1072" s="10" t="n">
        <x:v>1</x:v>
      </x:c>
      <x:c r="M1072" s="10" t="n">
        <x:v>0</x:v>
      </x:c>
      <x:c r="N1072" s="10" t="n">
        <x:v>27</x:v>
      </x:c>
      <x:c r="O1072" s="10" t="str"/>
      <x:c r="P1072" s="10" t="n">
        <x:v>16</x:v>
      </x:c>
      <x:c r="Q1072" s="10" t="n">
        <x:v>0</x:v>
      </x:c>
      <x:c r="R1072" s="13" t="n">
        <x:v>0</x:v>
      </x:c>
      <x:c r="S1072" s="10" t="n">
        <x:v>53</x:v>
      </x:c>
      <x:c r="T1072" s="10" t="str">
        <x:v>home buying guide,real estate pdf,house checklist,goal planner pdf,dream home list,property tracker,printable planner,digital download,home buying planner,home expenses log,moving checklist,homeownership log,mortgage tracker pdf</x:v>
      </x:c>
      <x:c r="U1072" s="10" t="str">
        <x:v>home buying guide</x:v>
      </x:c>
      <x:c r="V1072" s="10" t="str">
        <x:v>real estate pdf</x:v>
      </x:c>
      <x:c r="W1072" s="10" t="str">
        <x:v>house checklist</x:v>
      </x:c>
      <x:c r="X1072" s="10" t="str">
        <x:v>goal planner pdf</x:v>
      </x:c>
      <x:c r="Y1072" s="10" t="str">
        <x:v>dream home list</x:v>
      </x:c>
      <x:c r="Z1072" s="10" t="str">
        <x:v>property tracker</x:v>
      </x:c>
      <x:c r="AA1072" s="10" t="str">
        <x:v>printable planner</x:v>
      </x:c>
      <x:c r="AB1072" s="10" t="str">
        <x:v>digital download</x:v>
      </x:c>
      <x:c r="AC1072" s="10" t="str">
        <x:v>home buying planner</x:v>
      </x:c>
      <x:c r="AD1072" s="10" t="str">
        <x:v>home expenses log</x:v>
      </x:c>
      <x:c r="AE1072" s="10" t="str">
        <x:v>moving checklist</x:v>
      </x:c>
      <x:c r="AF1072" s="10" t="str">
        <x:v>homeownership log</x:v>
      </x:c>
      <x:c r="AG1072" s="10" t="str">
        <x:v>mortgage tracker pdf</x:v>
      </x:c>
      <x:c r="AH1072" s="10" t="str">
        <x:v>Home buying planner</x:v>
      </x:c>
      <x:c r="AI1072" s="13" t="n">
        <x:v>16</x:v>
      </x:c>
      <x:c r="AJ1072" s="10" t="str">
        <x:f>IF(F1072&gt;0,"Active","No est. sales")</x:f>
        <x:v>No est. sales</x:v>
      </x:c>
    </x:row>
    <x:row r="1073">
      <x:c r="A1073" s="10" t="str">
        <x:v>Mortgage due sticker, Rent due sticker, household bill due stickers, bill due sticker, bill icons,  functional sticker</x:v>
      </x:c>
      <x:c r="B1073" s="10" t="str">
        <x:v>https://www.etsy.com/listing/624021713/mortgage-due-sticker-rent-due-sticker</x:v>
      </x:c>
      <x:c r="C1073" s="10" t="str">
        <x:v>craftpenguinplanner</x:v>
      </x:c>
      <x:c r="D1073" s="10" t="str">
        <x:v>https://www.etsy.com/shop/craftpenguinplanner</x:v>
      </x:c>
      <x:c r="E1073" s="11" t="n">
        <x:v>2.43</x:v>
      </x:c>
      <x:c r="F1073" s="10" t="n">
        <x:v>0</x:v>
      </x:c>
      <x:c r="G1073" s="12" t="n">
        <x:v>0</x:v>
      </x:c>
      <x:c r="H1073" s="13" t="n">
        <x:v>0</x:v>
      </x:c>
      <x:c r="I1073" s="10" t="n">
        <x:v>33</x:v>
      </x:c>
      <x:c r="J1073" s="10" t="n">
        <x:v>8</x:v>
      </x:c>
      <x:c r="K1073" s="10" t="str">
        <x:v>97 Mo.</x:v>
      </x:c>
      <x:c r="L1073" s="10" t="n">
        <x:v>28</x:v>
      </x:c>
      <x:c r="M1073" s="10" t="n">
        <x:v>0</x:v>
      </x:c>
      <x:c r="N1073" s="10" t="n">
        <x:v>381</x:v>
      </x:c>
      <x:c r="O1073" s="10" t="str">
        <x:v>Paper &amp; Party Supplies</x:v>
      </x:c>
      <x:c r="P1073" s="10" t="n">
        <x:v>111</x:v>
      </x:c>
      <x:c r="Q1073" s="10" t="n">
        <x:v>0</x:v>
      </x:c>
      <x:c r="R1073" s="13" t="n">
        <x:v>8.66</x:v>
      </x:c>
      <x:c r="S1073" s="10" t="n">
        <x:v>11672</x:v>
      </x:c>
      <x:c r="T1073" s="10" t="str">
        <x:v>happy planner,functional stickers,planner stickers,functional planning,any planner,erin condren,reminder sticker,functional sticker,bill due sticker,bill icon sticker,household bills,mortgage due sticker,rent due sticker</x:v>
      </x:c>
      <x:c r="U1073" s="10" t="str">
        <x:v>happy planner</x:v>
      </x:c>
      <x:c r="V1073" s="10" t="str">
        <x:v>functional stickers</x:v>
      </x:c>
      <x:c r="W1073" s="10" t="str">
        <x:v>planner stickers</x:v>
      </x:c>
      <x:c r="X1073" s="10" t="str">
        <x:v>functional planning</x:v>
      </x:c>
      <x:c r="Y1073" s="10" t="str">
        <x:v>any planner</x:v>
      </x:c>
      <x:c r="Z1073" s="10" t="str">
        <x:v>erin condren</x:v>
      </x:c>
      <x:c r="AA1073" s="10" t="str">
        <x:v>reminder sticker</x:v>
      </x:c>
      <x:c r="AB1073" s="10" t="str">
        <x:v>functional sticker</x:v>
      </x:c>
      <x:c r="AC1073" s="10" t="str">
        <x:v>bill due sticker</x:v>
      </x:c>
      <x:c r="AD1073" s="10" t="str">
        <x:v>bill icon sticker</x:v>
      </x:c>
      <x:c r="AE1073" s="10" t="str">
        <x:v>household bills</x:v>
      </x:c>
      <x:c r="AF1073" s="10" t="str">
        <x:v>mortgage due sticker</x:v>
      </x:c>
      <x:c r="AG1073" s="10" t="str">
        <x:v>rent due sticker</x:v>
      </x:c>
      <x:c r="AH1073" s="10" t="str">
        <x:v>Other mortgage-related</x:v>
      </x:c>
      <x:c r="AI1073" s="13" t="n">
        <x:v>97</x:v>
      </x:c>
      <x:c r="AJ1073" s="10" t="str">
        <x:f>IF(F1073&gt;0,"Active","No est. sales")</x:f>
        <x:v>No est. sales</x:v>
      </x:c>
    </x:row>
    <x:row r="1074">
      <x:c r="A1074" s="10" t="str">
        <x:v>Mortgage Calculator Tool Real Estate Agent Lead Capture Home Loan Estimator Property Calculator Digital Download</x:v>
      </x:c>
      <x:c r="B1074" s="10" t="str">
        <x:v>https://www.etsy.com/listing/4505695249/mortgage-estimate-calculator-widget-html</x:v>
      </x:c>
      <x:c r="C1074" s="10" t="str">
        <x:v>SystemLoom</x:v>
      </x:c>
      <x:c r="D1074" s="10" t="str">
        <x:v>https://www.etsy.com/shop/SystemLoom</x:v>
      </x:c>
      <x:c r="E1074" s="11" t="n">
        <x:v>26.6</x:v>
      </x:c>
      <x:c r="F1074" s="10" t="n">
        <x:v>0</x:v>
      </x:c>
      <x:c r="G1074" s="12" t="n">
        <x:v>0</x:v>
      </x:c>
      <x:c r="H1074" s="13" t="n">
        <x:v>0</x:v>
      </x:c>
      <x:c r="I1074" s="10" t="n">
        <x:v>0</x:v>
      </x:c>
      <x:c r="J1074" s="10" t="n">
        <x:v>0</x:v>
      </x:c>
      <x:c r="K1074" s="10" t="str">
        <x:v>2 Mo.</x:v>
      </x:c>
      <x:c r="L1074" s="10" t="n">
        <x:v>1</x:v>
      </x:c>
      <x:c r="M1074" s="10" t="n">
        <x:v>0</x:v>
      </x:c>
      <x:c r="N1074" s="10" t="n">
        <x:v>56</x:v>
      </x:c>
      <x:c r="O1074" s="10" t="str"/>
      <x:c r="P1074" s="10" t="n">
        <x:v>20</x:v>
      </x:c>
      <x:c r="Q1074" s="10" t="n">
        <x:v>0</x:v>
      </x:c>
      <x:c r="R1074" s="13" t="n">
        <x:v>0</x:v>
      </x:c>
      <x:c r="S1074" s="10" t="n">
        <x:v>10</x:v>
      </x:c>
      <x:c r="T1074" s="10" t="str">
        <x:v>mortgage calculator,home loan calculator,real estate tool,mortgage estimator,real estate agent,property calculator,home buyer tool,lead capture tool,budget planner,first time buyer,mortgage planner,home purchase tool,digital download</x:v>
      </x:c>
      <x:c r="U1074" s="10" t="str">
        <x:v>mortgage calculator</x:v>
      </x:c>
      <x:c r="V1074" s="10" t="str">
        <x:v>home loan calculator</x:v>
      </x:c>
      <x:c r="W1074" s="10" t="str">
        <x:v>real estate tool</x:v>
      </x:c>
      <x:c r="X1074" s="10" t="str">
        <x:v>mortgage estimator</x:v>
      </x:c>
      <x:c r="Y1074" s="10" t="str">
        <x:v>real estate agent</x:v>
      </x:c>
      <x:c r="Z1074" s="10" t="str">
        <x:v>property calculator</x:v>
      </x:c>
      <x:c r="AA1074" s="10" t="str">
        <x:v>home buyer tool</x:v>
      </x:c>
      <x:c r="AB1074" s="10" t="str">
        <x:v>lead capture tool</x:v>
      </x:c>
      <x:c r="AC1074" s="10" t="str">
        <x:v>budget planner</x:v>
      </x:c>
      <x:c r="AD1074" s="10" t="str">
        <x:v>first time buyer</x:v>
      </x:c>
      <x:c r="AE1074" s="10" t="str">
        <x:v>mortgage planner</x:v>
      </x:c>
      <x:c r="AF1074" s="10" t="str">
        <x:v>home purchase tool</x:v>
      </x:c>
      <x:c r="AG1074" s="10" t="str">
        <x:v>digital download</x:v>
      </x:c>
      <x:c r="AH1074" s="10" t="str">
        <x:v>Mortgage payoff / calculator</x:v>
      </x:c>
      <x:c r="AI1074" s="13" t="n">
        <x:v>2</x:v>
      </x:c>
      <x:c r="AJ1074" s="10" t="str">
        <x:f>IF(F1074&gt;0,"Active","No est. sales")</x:f>
        <x:v>No est. sales</x:v>
      </x:c>
    </x:row>
    <x:row r="1075">
      <x:c r="A1075" s="10" t="str">
        <x:v>Debt Snowball Tracker Google Sheets Debt Payoff Calculator Student Loan Credit Card Debt Repayment Tracker</x:v>
      </x:c>
      <x:c r="B1075" s="10" t="str">
        <x:v>https://www.etsy.com/listing/4523018837/debt-snowball-tracker-google-sheets-debt</x:v>
      </x:c>
      <x:c r="C1075" s="10" t="str">
        <x:v>docsytemplates</x:v>
      </x:c>
      <x:c r="D1075" s="10" t="str">
        <x:v>https://www.etsy.com/shop/docsytemplates</x:v>
      </x:c>
      <x:c r="E1075" s="11" t="n">
        <x:v>3.18</x:v>
      </x:c>
      <x:c r="F1075" s="10" t="n">
        <x:v>0</x:v>
      </x:c>
      <x:c r="G1075" s="12" t="n">
        <x:v>0</x:v>
      </x:c>
      <x:c r="H1075" s="13" t="n">
        <x:v>0</x:v>
      </x:c>
      <x:c r="I1075" s="10" t="n">
        <x:v>0</x:v>
      </x:c>
      <x:c r="J1075" s="10" t="n">
        <x:v>0</x:v>
      </x:c>
      <x:c r="K1075" s="10" t="str">
        <x:v>1 Mo.</x:v>
      </x:c>
      <x:c r="L1075" s="10" t="n">
        <x:v>0</x:v>
      </x:c>
      <x:c r="M1075" s="10" t="n">
        <x:v>0</x:v>
      </x:c>
      <x:c r="N1075" s="10" t="n">
        <x:v>7</x:v>
      </x:c>
      <x:c r="O1075" s="10" t="str"/>
      <x:c r="P1075" s="10" t="n">
        <x:v>7</x:v>
      </x:c>
      <x:c r="Q1075" s="10" t="n">
        <x:v>0</x:v>
      </x:c>
      <x:c r="R1075" s="13" t="n">
        <x:v>0</x:v>
      </x:c>
      <x:c r="S1075" s="10" t="n">
        <x:v>17</x:v>
      </x:c>
      <x:c r="T1075" s="10" t="str">
        <x:v>debt tracker,debt snowball,debt payoff tracker,debt repayment,credit card payoff,student debt payoff,student debt tracker,student loan tracker,debt free tracker,debt free planner,snowball method,mortgage tracker,debt payoff planner</x:v>
      </x:c>
      <x:c r="U1075" s="10" t="str">
        <x:v>debt tracker</x:v>
      </x:c>
      <x:c r="V1075" s="10" t="str">
        <x:v>debt snowball</x:v>
      </x:c>
      <x:c r="W1075" s="10" t="str">
        <x:v>debt payoff tracker</x:v>
      </x:c>
      <x:c r="X1075" s="10" t="str">
        <x:v>debt repayment</x:v>
      </x:c>
      <x:c r="Y1075" s="10" t="str">
        <x:v>credit card payoff</x:v>
      </x:c>
      <x:c r="Z1075" s="10" t="str">
        <x:v>student debt payoff</x:v>
      </x:c>
      <x:c r="AA1075" s="10" t="str">
        <x:v>student debt tracker</x:v>
      </x:c>
      <x:c r="AB1075" s="10" t="str">
        <x:v>student loan tracker</x:v>
      </x:c>
      <x:c r="AC1075" s="10" t="str">
        <x:v>debt free tracker</x:v>
      </x:c>
      <x:c r="AD1075" s="10" t="str">
        <x:v>debt free planner</x:v>
      </x:c>
      <x:c r="AE1075" s="10" t="str">
        <x:v>snowball method</x:v>
      </x:c>
      <x:c r="AF1075" s="10" t="str">
        <x:v>mortgage tracker</x:v>
      </x:c>
      <x:c r="AG1075" s="10" t="str">
        <x:v>debt payoff planner</x:v>
      </x:c>
      <x:c r="AH1075" s="10" t="str">
        <x:v>General debt payoff</x:v>
      </x:c>
      <x:c r="AI1075" s="13" t="n">
        <x:v>1</x:v>
      </x:c>
      <x:c r="AJ1075" s="10" t="str">
        <x:f>IF(F1075&gt;0,"Active","No est. sales")</x:f>
        <x:v>No est. sales</x:v>
      </x:c>
    </x:row>
    <x:row r="1076">
      <x:c r="A1076" s="10" t="str">
        <x:v>Mortgage Payoff Tracker Goal Home Challenge 2022 Planner Binder Letter Size Instant Digital Download Printable PDF Countdown Loan debt</x:v>
      </x:c>
      <x:c r="B1076" s="10" t="str">
        <x:v>https://www.etsy.com/listing/1153525527/mortgage-payoff-tracker-goal-home</x:v>
      </x:c>
      <x:c r="C1076" s="10" t="str">
        <x:v>KidsOnElm</x:v>
      </x:c>
      <x:c r="D1076" s="10" t="str">
        <x:v>https://www.etsy.com/shop/KidsOnElm</x:v>
      </x:c>
      <x:c r="E1076" s="11" t="n">
        <x:v>2.49</x:v>
      </x:c>
      <x:c r="F1076" s="10" t="n">
        <x:v>0</x:v>
      </x:c>
      <x:c r="G1076" s="12" t="n">
        <x:v>0</x:v>
      </x:c>
      <x:c r="H1076" s="13" t="n">
        <x:v>0</x:v>
      </x:c>
      <x:c r="I1076" s="10" t="n">
        <x:v>0</x:v>
      </x:c>
      <x:c r="J1076" s="10" t="n">
        <x:v>0</x:v>
      </x:c>
      <x:c r="K1076" s="10" t="str">
        <x:v>54 Mo.</x:v>
      </x:c>
      <x:c r="L1076" s="10" t="n">
        <x:v>11</x:v>
      </x:c>
      <x:c r="M1076" s="10" t="n">
        <x:v>0</x:v>
      </x:c>
      <x:c r="N1076" s="10" t="n">
        <x:v>270</x:v>
      </x:c>
      <x:c r="O1076" s="10" t="str">
        <x:v>Paper &amp; Party Supplies</x:v>
      </x:c>
      <x:c r="P1076" s="10" t="n">
        <x:v>55</x:v>
      </x:c>
      <x:c r="Q1076" s="10" t="n">
        <x:v>0</x:v>
      </x:c>
      <x:c r="R1076" s="13" t="n">
        <x:v>0</x:v>
      </x:c>
      <x:c r="S1076" s="10" t="n">
        <x:v>5978</x:v>
      </x:c>
      <x:c r="T1076" s="10" t="str">
        <x:v>savings challenge,house savings,home savings,savings planner,savings printable,down payment savings,savings plan,first home,10k saving challange,20k savings,50k challenge,digital planner,home challenge</x:v>
      </x:c>
      <x:c r="U1076" s="10" t="str">
        <x:v>savings challenge</x:v>
      </x:c>
      <x:c r="V1076" s="10" t="str">
        <x:v>house savings</x:v>
      </x:c>
      <x:c r="W1076" s="10" t="str">
        <x:v>home savings</x:v>
      </x:c>
      <x:c r="X1076" s="10" t="str">
        <x:v>savings planner</x:v>
      </x:c>
      <x:c r="Y1076" s="10" t="str">
        <x:v>savings printable</x:v>
      </x:c>
      <x:c r="Z1076" s="10" t="str">
        <x:v>down payment savings</x:v>
      </x:c>
      <x:c r="AA1076" s="10" t="str">
        <x:v>savings plan</x:v>
      </x:c>
      <x:c r="AB1076" s="10" t="str">
        <x:v>first home</x:v>
      </x:c>
      <x:c r="AC1076" s="10" t="str">
        <x:v>10k saving challange</x:v>
      </x:c>
      <x:c r="AD1076" s="10" t="str">
        <x:v>20k savings</x:v>
      </x:c>
      <x:c r="AE1076" s="10" t="str">
        <x:v>50k challenge</x:v>
      </x:c>
      <x:c r="AF1076" s="10" t="str">
        <x:v>digital planner</x:v>
      </x:c>
      <x:c r="AG1076" s="10" t="str">
        <x:v>home challenge</x:v>
      </x:c>
      <x:c r="AH1076" s="10" t="str">
        <x:v>Mortgage payoff / calculator</x:v>
      </x:c>
      <x:c r="AI1076" s="13" t="n">
        <x:v>54</x:v>
      </x:c>
      <x:c r="AJ1076" s="10" t="str">
        <x:f>IF(F1076&gt;0,"Active","No est. sales")</x:f>
        <x:v>No est. sales</x:v>
      </x:c>
    </x:row>
    <x:row r="1077">
      <x:c r="A1077" s="10" t="str">
        <x:v>Annual 50/30/20 Budget Spreadsheet for Google Sheets</x:v>
      </x:c>
      <x:c r="B1077" s="10" t="str">
        <x:v>https://www.etsy.com/listing/4408661001/annual-503020-budget-spreadsheet-for</x:v>
      </x:c>
      <x:c r="C1077" s="10" t="str">
        <x:v>HavnCreatives</x:v>
      </x:c>
      <x:c r="D1077" s="10" t="str">
        <x:v>https://www.etsy.com/shop/HavnCreatives</x:v>
      </x:c>
      <x:c r="E1077" s="11" t="n">
        <x:v>3.76</x:v>
      </x:c>
      <x:c r="F1077" s="10" t="n">
        <x:v>0</x:v>
      </x:c>
      <x:c r="G1077" s="12" t="n">
        <x:v>0</x:v>
      </x:c>
      <x:c r="H1077" s="13" t="n">
        <x:v>0</x:v>
      </x:c>
      <x:c r="I1077" s="10" t="n">
        <x:v>0</x:v>
      </x:c>
      <x:c r="J1077" s="10" t="n">
        <x:v>0</x:v>
      </x:c>
      <x:c r="K1077" s="10" t="str">
        <x:v>8 Mo.</x:v>
      </x:c>
      <x:c r="L1077" s="10" t="n">
        <x:v>0</x:v>
      </x:c>
      <x:c r="M1077" s="10" t="n">
        <x:v>0</x:v>
      </x:c>
      <x:c r="N1077" s="10" t="n">
        <x:v>6</x:v>
      </x:c>
      <x:c r="O1077" s="10" t="str"/>
      <x:c r="P1077" s="10" t="n">
        <x:v>9</x:v>
      </x:c>
      <x:c r="Q1077" s="10" t="n">
        <x:v>0</x:v>
      </x:c>
      <x:c r="R1077" s="13" t="n">
        <x:v>0</x:v>
      </x:c>
      <x:c r="S1077" s="10" t="n">
        <x:v>4</x:v>
      </x:c>
      <x:c r="T1077" s="10" t="str">
        <x:v>annual budget excel,debt payoff planner,mortgage payoff,budget worksheet,budgeting notebook,beginner budget,cash breakdown,the 50 30 20 rule,expense calculator,net worth tracker,saving template,family finances,annual expenses</x:v>
      </x:c>
      <x:c r="U1077" s="10" t="str">
        <x:v>annual budget excel</x:v>
      </x:c>
      <x:c r="V1077" s="10" t="str">
        <x:v>debt payoff planner</x:v>
      </x:c>
      <x:c r="W1077" s="10" t="str">
        <x:v>mortgage payoff</x:v>
      </x:c>
      <x:c r="X1077" s="10" t="str">
        <x:v>budget worksheet</x:v>
      </x:c>
      <x:c r="Y1077" s="10" t="str">
        <x:v>budgeting notebook</x:v>
      </x:c>
      <x:c r="Z1077" s="10" t="str">
        <x:v>beginner budget</x:v>
      </x:c>
      <x:c r="AA1077" s="10" t="str">
        <x:v>cash breakdown</x:v>
      </x:c>
      <x:c r="AB1077" s="10" t="str">
        <x:v>the 50 30 20 rule</x:v>
      </x:c>
      <x:c r="AC1077" s="10" t="str">
        <x:v>expense calculator</x:v>
      </x:c>
      <x:c r="AD1077" s="10" t="str">
        <x:v>net worth tracker</x:v>
      </x:c>
      <x:c r="AE1077" s="10" t="str">
        <x:v>saving template</x:v>
      </x:c>
      <x:c r="AF1077" s="10" t="str">
        <x:v>family finances</x:v>
      </x:c>
      <x:c r="AG1077" s="10" t="str">
        <x:v>annual expenses</x:v>
      </x:c>
      <x:c r="AH1077" s="10" t="str">
        <x:v>Other mortgage-related</x:v>
      </x:c>
      <x:c r="AI1077" s="13" t="n">
        <x:v>8</x:v>
      </x:c>
      <x:c r="AJ1077" s="10" t="str">
        <x:f>IF(F1077&gt;0,"Active","No est. sales")</x:f>
        <x:v>No est. sales</x:v>
      </x:c>
    </x:row>
    <x:row r="1078">
      <x:c r="A1078" s="10" t="str">
        <x:v>DEBT TRACKER, Debt Snowball, Debt Payoff Tracker Printable, Dave Ramsey, Debt Payments, Finance Planner, Budget Planner, Debt Free Progress,</x:v>
      </x:c>
      <x:c r="B1078" s="10" t="str">
        <x:v>https://www.etsy.com/listing/1158630019/debt-tracker-debt-snowball-debt-payoff</x:v>
      </x:c>
      <x:c r="C1078" s="10" t="str">
        <x:v>CreativeJamCo</x:v>
      </x:c>
      <x:c r="D1078" s="10" t="str">
        <x:v>https://www.etsy.com/shop/CreativeJamCo</x:v>
      </x:c>
      <x:c r="E1078" s="11" t="n">
        <x:v>2.38</x:v>
      </x:c>
      <x:c r="F1078" s="10" t="n">
        <x:v>0</x:v>
      </x:c>
      <x:c r="G1078" s="12" t="n">
        <x:v>0</x:v>
      </x:c>
      <x:c r="H1078" s="13" t="n">
        <x:v>0</x:v>
      </x:c>
      <x:c r="I1078" s="10" t="n">
        <x:v>1787</x:v>
      </x:c>
      <x:c r="J1078" s="10" t="n">
        <x:v>179</x:v>
      </x:c>
      <x:c r="K1078" s="10" t="str">
        <x:v>54 Mo.</x:v>
      </x:c>
      <x:c r="L1078" s="10" t="n">
        <x:v>720</x:v>
      </x:c>
      <x:c r="M1078" s="10" t="n">
        <x:v>3</x:v>
      </x:c>
      <x:c r="N1078" s="10" t="n">
        <x:v>27738</x:v>
      </x:c>
      <x:c r="O1078" s="10" t="str">
        <x:v>Paper &amp; Party Supplies</x:v>
      </x:c>
      <x:c r="P1078" s="10" t="n">
        <x:v>77</x:v>
      </x:c>
      <x:c r="Q1078" s="10" t="n">
        <x:v>100</x:v>
      </x:c>
      <x:c r="R1078" s="13" t="n">
        <x:v>6.44</x:v>
      </x:c>
      <x:c r="S1078" s="10" t="n">
        <x:v>391577</x:v>
      </x:c>
      <x:c r="T1078" s="10" t="str">
        <x:v>printable,debt tracker,debt snowball,debt payoff tracker,debt payment tracker,dave ramsey,credit card tracker,mortgage tracker,financial tracker,budget planner,finance planner,spending tracker,budget tracker</x:v>
      </x:c>
      <x:c r="U1078" s="10" t="str">
        <x:v>printable</x:v>
      </x:c>
      <x:c r="V1078" s="10" t="str">
        <x:v>debt tracker</x:v>
      </x:c>
      <x:c r="W1078" s="10" t="str">
        <x:v>debt snowball</x:v>
      </x:c>
      <x:c r="X1078" s="10" t="str">
        <x:v>debt payoff tracker</x:v>
      </x:c>
      <x:c r="Y1078" s="10" t="str">
        <x:v>debt payment tracker</x:v>
      </x:c>
      <x:c r="Z1078" s="10" t="str">
        <x:v>dave ramsey</x:v>
      </x:c>
      <x:c r="AA1078" s="10" t="str">
        <x:v>credit card tracker</x:v>
      </x:c>
      <x:c r="AB1078" s="10" t="str">
        <x:v>mortgage tracker</x:v>
      </x:c>
      <x:c r="AC1078" s="10" t="str">
        <x:v>financial tracker</x:v>
      </x:c>
      <x:c r="AD1078" s="10" t="str">
        <x:v>budget planner</x:v>
      </x:c>
      <x:c r="AE1078" s="10" t="str">
        <x:v>finance planner</x:v>
      </x:c>
      <x:c r="AF1078" s="10" t="str">
        <x:v>spending tracker</x:v>
      </x:c>
      <x:c r="AG1078" s="10" t="str">
        <x:v>budget tracker</x:v>
      </x:c>
      <x:c r="AH1078" s="10" t="str">
        <x:v>General debt payoff</x:v>
      </x:c>
      <x:c r="AI1078" s="13" t="n">
        <x:v>54</x:v>
      </x:c>
      <x:c r="AJ1078" s="10" t="str">
        <x:f>IF(F1078&gt;0,"Active","No est. sales")</x:f>
        <x:v>No est. sales</x:v>
      </x:c>
    </x:row>
    <x:row r="1079">
      <x:c r="A1079" s="10" t="str">
        <x:v>DEBT SNOWBALL TRACKER, Debt Payoff, Debt Tracker Printable, Dave Ramsey, Debt Payments, Finance Planner, Budget Planner, Debt Free Progress,</x:v>
      </x:c>
      <x:c r="B1079" s="10" t="str">
        <x:v>https://www.etsy.com/listing/1130496647/debt-snowball-tracker-debt-payoff-debt</x:v>
      </x:c>
      <x:c r="C1079" s="10" t="str">
        <x:v>CreativeJamCo</x:v>
      </x:c>
      <x:c r="D1079" s="10" t="str">
        <x:v>https://www.etsy.com/shop/CreativeJamCo</x:v>
      </x:c>
      <x:c r="E1079" s="11" t="n">
        <x:v>2.38</x:v>
      </x:c>
      <x:c r="F1079" s="10" t="n">
        <x:v>0</x:v>
      </x:c>
      <x:c r="G1079" s="12" t="n">
        <x:v>0</x:v>
      </x:c>
      <x:c r="H1079" s="13" t="n">
        <x:v>0</x:v>
      </x:c>
      <x:c r="I1079" s="10" t="n">
        <x:v>9</x:v>
      </x:c>
      <x:c r="J1079" s="10" t="n">
        <x:v>1</x:v>
      </x:c>
      <x:c r="K1079" s="10" t="str">
        <x:v>56 Mo.</x:v>
      </x:c>
      <x:c r="L1079" s="10" t="n">
        <x:v>32</x:v>
      </x:c>
      <x:c r="M1079" s="10" t="n">
        <x:v>0</x:v>
      </x:c>
      <x:c r="N1079" s="10" t="n">
        <x:v>807</x:v>
      </x:c>
      <x:c r="O1079" s="10" t="str">
        <x:v>Paper &amp; Party Supplies</x:v>
      </x:c>
      <x:c r="P1079" s="10" t="n">
        <x:v>77</x:v>
      </x:c>
      <x:c r="Q1079" s="10" t="n">
        <x:v>0</x:v>
      </x:c>
      <x:c r="R1079" s="13" t="n">
        <x:v>1.12</x:v>
      </x:c>
      <x:c r="S1079" s="10" t="n">
        <x:v>391577</x:v>
      </x:c>
      <x:c r="T1079" s="10" t="str">
        <x:v>printable,debt tracker,debt snowball,debt payoff tracker,debt payment tracker,dave ramsey,credit card tracker,mortgage tracker,financial tracker,budget planner,finance planner,spending tracker,budget tracker</x:v>
      </x:c>
      <x:c r="U1079" s="10" t="str">
        <x:v>printable</x:v>
      </x:c>
      <x:c r="V1079" s="10" t="str">
        <x:v>debt tracker</x:v>
      </x:c>
      <x:c r="W1079" s="10" t="str">
        <x:v>debt snowball</x:v>
      </x:c>
      <x:c r="X1079" s="10" t="str">
        <x:v>debt payoff tracker</x:v>
      </x:c>
      <x:c r="Y1079" s="10" t="str">
        <x:v>debt payment tracker</x:v>
      </x:c>
      <x:c r="Z1079" s="10" t="str">
        <x:v>dave ramsey</x:v>
      </x:c>
      <x:c r="AA1079" s="10" t="str">
        <x:v>credit card tracker</x:v>
      </x:c>
      <x:c r="AB1079" s="10" t="str">
        <x:v>mortgage tracker</x:v>
      </x:c>
      <x:c r="AC1079" s="10" t="str">
        <x:v>financial tracker</x:v>
      </x:c>
      <x:c r="AD1079" s="10" t="str">
        <x:v>budget planner</x:v>
      </x:c>
      <x:c r="AE1079" s="10" t="str">
        <x:v>finance planner</x:v>
      </x:c>
      <x:c r="AF1079" s="10" t="str">
        <x:v>spending tracker</x:v>
      </x:c>
      <x:c r="AG1079" s="10" t="str">
        <x:v>budget tracker</x:v>
      </x:c>
      <x:c r="AH1079" s="10" t="str">
        <x:v>General debt payoff</x:v>
      </x:c>
      <x:c r="AI1079" s="13" t="n">
        <x:v>56</x:v>
      </x:c>
      <x:c r="AJ1079" s="10" t="str">
        <x:f>IF(F1079&gt;0,"Active","No est. sales")</x:f>
        <x:v>No est. sales</x:v>
      </x:c>
    </x:row>
    <x:row r="1080">
      <x:c r="A1080" s="10" t="str">
        <x:v>Simple Loan Repayment Schedule</x:v>
      </x:c>
      <x:c r="B1080" s="10" t="str">
        <x:v>https://www.etsy.com/listing/1660981127/simple-loan-repayment-schedule</x:v>
      </x:c>
      <x:c r="C1080" s="10" t="str">
        <x:v>CentsNSensibilityCo</x:v>
      </x:c>
      <x:c r="D1080" s="10" t="str">
        <x:v>https://www.etsy.com/shop/CentsNSensibilityCo</x:v>
      </x:c>
      <x:c r="E1080" s="11" t="n">
        <x:v>2.13</x:v>
      </x:c>
      <x:c r="F1080" s="10" t="n">
        <x:v>0</x:v>
      </x:c>
      <x:c r="G1080" s="12" t="n">
        <x:v>0</x:v>
      </x:c>
      <x:c r="H1080" s="13" t="n">
        <x:v>0</x:v>
      </x:c>
      <x:c r="I1080" s="10" t="n">
        <x:v>2</x:v>
      </x:c>
      <x:c r="J1080" s="10" t="n">
        <x:v>0</x:v>
      </x:c>
      <x:c r="K1080" s="10" t="str">
        <x:v>30 Mo.</x:v>
      </x:c>
      <x:c r="L1080" s="10" t="n">
        <x:v>6</x:v>
      </x:c>
      <x:c r="M1080" s="10" t="n">
        <x:v>0</x:v>
      </x:c>
      <x:c r="N1080" s="10" t="n">
        <x:v>139</x:v>
      </x:c>
      <x:c r="O1080" s="10" t="str"/>
      <x:c r="P1080" s="10" t="n">
        <x:v>30</x:v>
      </x:c>
      <x:c r="Q1080" s="10" t="n">
        <x:v>0</x:v>
      </x:c>
      <x:c r="R1080" s="13" t="n">
        <x:v>1.44</x:v>
      </x:c>
      <x:c r="S1080" s="10" t="n">
        <x:v>78</x:v>
      </x:c>
      <x:c r="T1080" s="10" t="str">
        <x:v>debt tracker,debt repayment,debt free,budget spreadsheet,house payoff tracker,debt spreadsheet,debt payoff,debt chart,mortgage planner,loan calculator,debt payment tracker,loan payoff,loan tracker</x:v>
      </x:c>
      <x:c r="U1080" s="10" t="str">
        <x:v>debt tracker</x:v>
      </x:c>
      <x:c r="V1080" s="10" t="str">
        <x:v>debt repayment</x:v>
      </x:c>
      <x:c r="W1080" s="10" t="str">
        <x:v>debt free</x:v>
      </x:c>
      <x:c r="X1080" s="10" t="str">
        <x:v>budget spreadsheet</x:v>
      </x:c>
      <x:c r="Y1080" s="10" t="str">
        <x:v>house payoff tracker</x:v>
      </x:c>
      <x:c r="Z1080" s="10" t="str">
        <x:v>debt spreadsheet</x:v>
      </x:c>
      <x:c r="AA1080" s="10" t="str">
        <x:v>debt payoff</x:v>
      </x:c>
      <x:c r="AB1080" s="10" t="str">
        <x:v>debt chart</x:v>
      </x:c>
      <x:c r="AC1080" s="10" t="str">
        <x:v>mortgage planner</x:v>
      </x:c>
      <x:c r="AD1080" s="10" t="str">
        <x:v>loan calculator</x:v>
      </x:c>
      <x:c r="AE1080" s="10" t="str">
        <x:v>debt payment tracker</x:v>
      </x:c>
      <x:c r="AF1080" s="10" t="str">
        <x:v>loan payoff</x:v>
      </x:c>
      <x:c r="AG1080" s="10" t="str">
        <x:v>loan tracker</x:v>
      </x:c>
      <x:c r="AH1080" s="10" t="str">
        <x:v>General loan calculator</x:v>
      </x:c>
      <x:c r="AI1080" s="13" t="n">
        <x:v>30</x:v>
      </x:c>
      <x:c r="AJ1080" s="10" t="str">
        <x:f>IF(F1080&gt;0,"Active","No est. sales")</x:f>
        <x:v>No est. sales</x:v>
      </x:c>
    </x:row>
    <x:row r="1081">
      <x:c r="A1081" s="10" t="str">
        <x:v>Mortgage Calculator | Google Sheets Template | Calculate Loan Payments | Mortgage Payoff Planner</x:v>
      </x:c>
      <x:c r="B1081" s="10" t="str">
        <x:v>https://www.etsy.com/listing/1478053634/mortgage-calculator-google-sheets</x:v>
      </x:c>
      <x:c r="C1081" s="10" t="str">
        <x:v>someka</x:v>
      </x:c>
      <x:c r="D1081" s="10" t="str">
        <x:v>https://www.etsy.com/shop/someka</x:v>
      </x:c>
      <x:c r="E1081" s="11" t="n">
        <x:v>24.95</x:v>
      </x:c>
      <x:c r="F1081" s="10" t="n">
        <x:v>0</x:v>
      </x:c>
      <x:c r="G1081" s="12" t="n">
        <x:v>0</x:v>
      </x:c>
      <x:c r="H1081" s="13" t="n">
        <x:v>0</x:v>
      </x:c>
      <x:c r="I1081" s="10" t="n">
        <x:v>0</x:v>
      </x:c>
      <x:c r="J1081" s="10" t="n">
        <x:v>0</x:v>
      </x:c>
      <x:c r="K1081" s="10" t="str">
        <x:v>38 Mo.</x:v>
      </x:c>
      <x:c r="L1081" s="10" t="n">
        <x:v>3</x:v>
      </x:c>
      <x:c r="M1081" s="10" t="n">
        <x:v>0</x:v>
      </x:c>
      <x:c r="N1081" s="10" t="n">
        <x:v>904</x:v>
      </x:c>
      <x:c r="O1081" s="10" t="str">
        <x:v>Paper &amp; Party Supplies</x:v>
      </x:c>
      <x:c r="P1081" s="10" t="n">
        <x:v>123</x:v>
      </x:c>
      <x:c r="Q1081" s="10" t="n">
        <x:v>0</x:v>
      </x:c>
      <x:c r="R1081" s="13" t="n">
        <x:v>0</x:v>
      </x:c>
      <x:c r="S1081" s="10" t="n">
        <x:v>9991</x:v>
      </x:c>
      <x:c r="T1081" s="10" t="str">
        <x:v>amortization,buying house,real estate,credit,interest,loan payment,personal finance,morftgage calculator,printable,mortgage,monthly payments,calculate payments,google sheets</x:v>
      </x:c>
      <x:c r="U1081" s="10" t="str">
        <x:v>amortization</x:v>
      </x:c>
      <x:c r="V1081" s="10" t="str">
        <x:v>buying house</x:v>
      </x:c>
      <x:c r="W1081" s="10" t="str">
        <x:v>real estate</x:v>
      </x:c>
      <x:c r="X1081" s="10" t="str">
        <x:v>credit</x:v>
      </x:c>
      <x:c r="Y1081" s="10" t="str">
        <x:v>interest</x:v>
      </x:c>
      <x:c r="Z1081" s="10" t="str">
        <x:v>loan payment</x:v>
      </x:c>
      <x:c r="AA1081" s="10" t="str">
        <x:v>personal finance</x:v>
      </x:c>
      <x:c r="AB1081" s="10" t="str">
        <x:v>morftgage calculator</x:v>
      </x:c>
      <x:c r="AC1081" s="10" t="str">
        <x:v>printable</x:v>
      </x:c>
      <x:c r="AD1081" s="10" t="str">
        <x:v>mortgage</x:v>
      </x:c>
      <x:c r="AE1081" s="10" t="str">
        <x:v>monthly payments</x:v>
      </x:c>
      <x:c r="AF1081" s="10" t="str">
        <x:v>calculate payments</x:v>
      </x:c>
      <x:c r="AG1081" s="10" t="str">
        <x:v>google sheets</x:v>
      </x:c>
      <x:c r="AH1081" s="10" t="str">
        <x:v>Mortgage payoff / calculator</x:v>
      </x:c>
      <x:c r="AI1081" s="13" t="n">
        <x:v>38</x:v>
      </x:c>
      <x:c r="AJ1081" s="10" t="str">
        <x:f>IF(F1081&gt;0,"Active","No est. sales")</x:f>
        <x:v>No est. sales</x:v>
      </x:c>
    </x:row>
    <x:row r="1082">
      <x:c r="A1082" s="10" t="str">
        <x:v>MRR Resell Realtor Brand Kit, Real Estate Agent Website Canva Template for Agents, New Home Buyer Guide and Property Listings Social Media</x:v>
      </x:c>
      <x:c r="B1082" s="10" t="str">
        <x:v>https://www.etsy.com/listing/4434448591/realtor-brand-kit-for-real-estate-agent</x:v>
      </x:c>
      <x:c r="C1082" s="10" t="str">
        <x:v>LumeoDesignsPLRplus</x:v>
      </x:c>
      <x:c r="D1082" s="10" t="str">
        <x:v>https://www.etsy.com/shop/LumeoDesignsPLRplus</x:v>
      </x:c>
      <x:c r="E1082" s="11" t="n">
        <x:v>23.54</x:v>
      </x:c>
      <x:c r="F1082" s="10" t="n">
        <x:v>0</x:v>
      </x:c>
      <x:c r="G1082" s="12" t="n">
        <x:v>0</x:v>
      </x:c>
      <x:c r="H1082" s="13" t="n">
        <x:v>0</x:v>
      </x:c>
      <x:c r="I1082" s="10" t="n">
        <x:v>0</x:v>
      </x:c>
      <x:c r="J1082" s="10" t="n">
        <x:v>0</x:v>
      </x:c>
      <x:c r="K1082" s="10" t="str">
        <x:v>6 Mo.</x:v>
      </x:c>
      <x:c r="L1082" s="10" t="n">
        <x:v>16</x:v>
      </x:c>
      <x:c r="M1082" s="10" t="n">
        <x:v>0</x:v>
      </x:c>
      <x:c r="N1082" s="10" t="n">
        <x:v>219</x:v>
      </x:c>
      <x:c r="O1082" s="10" t="str">
        <x:v>Paper &amp; Party Supplies</x:v>
      </x:c>
      <x:c r="P1082" s="10" t="n">
        <x:v>11</x:v>
      </x:c>
      <x:c r="Q1082" s="10" t="n">
        <x:v>0</x:v>
      </x:c>
      <x:c r="R1082" s="13" t="n">
        <x:v>0</x:v>
      </x:c>
      <x:c r="S1082" s="10" t="n">
        <x:v>54</x:v>
      </x:c>
      <x:c r="T1082" s="10" t="str">
        <x:v>marketing material,real estate agent,property marketing,real estate plr,plr template,mrr resell,home buyer guide,new home owner,mortgage guide,financial planner,budget tracker,home buying budget,canva plr</x:v>
      </x:c>
      <x:c r="U1082" s="10" t="str">
        <x:v>marketing material</x:v>
      </x:c>
      <x:c r="V1082" s="10" t="str">
        <x:v>real estate agent</x:v>
      </x:c>
      <x:c r="W1082" s="10" t="str">
        <x:v>property marketing</x:v>
      </x:c>
      <x:c r="X1082" s="10" t="str">
        <x:v>real estate plr</x:v>
      </x:c>
      <x:c r="Y1082" s="10" t="str">
        <x:v>plr template</x:v>
      </x:c>
      <x:c r="Z1082" s="10" t="str">
        <x:v>mrr resell</x:v>
      </x:c>
      <x:c r="AA1082" s="10" t="str">
        <x:v>home buyer guide</x:v>
      </x:c>
      <x:c r="AB1082" s="10" t="str">
        <x:v>new home owner</x:v>
      </x:c>
      <x:c r="AC1082" s="10" t="str">
        <x:v>mortgage guide</x:v>
      </x:c>
      <x:c r="AD1082" s="10" t="str">
        <x:v>financial planner</x:v>
      </x:c>
      <x:c r="AE1082" s="10" t="str">
        <x:v>budget tracker</x:v>
      </x:c>
      <x:c r="AF1082" s="10" t="str">
        <x:v>home buying budget</x:v>
      </x:c>
      <x:c r="AG1082" s="10" t="str">
        <x:v>canva plr</x:v>
      </x:c>
      <x:c r="AH1082" s="10" t="str">
        <x:v>Other mortgage-related</x:v>
      </x:c>
      <x:c r="AI1082" s="13" t="n">
        <x:v>6</x:v>
      </x:c>
      <x:c r="AJ1082" s="10" t="str">
        <x:f>IF(F1082&gt;0,"Active","No est. sales")</x:f>
        <x:v>No est. sales</x:v>
      </x:c>
    </x:row>
    <x:row r="1083">
      <x:c r="A1083" s="10" t="str">
        <x:v>15 Year Mortgage Payment Tracker Printable Journal Pages, Home Loan Freedom Planner Insert, Budget Binder Debt Payoff Sheet, Planner pages</x:v>
      </x:c>
      <x:c r="B1083" s="10" t="str">
        <x:v>https://www.etsy.com/listing/4423199230/15-year-mortgage-payment-tracker</x:v>
      </x:c>
      <x:c r="C1083" s="10" t="str">
        <x:v>OwlsLane</x:v>
      </x:c>
      <x:c r="D1083" s="10" t="str">
        <x:v>https://www.etsy.com/shop/OwlsLane</x:v>
      </x:c>
      <x:c r="E1083" s="11" t="n">
        <x:v>1.87</x:v>
      </x:c>
      <x:c r="F1083" s="10" t="n">
        <x:v>0</x:v>
      </x:c>
      <x:c r="G1083" s="12" t="n">
        <x:v>0</x:v>
      </x:c>
      <x:c r="H1083" s="13" t="n">
        <x:v>0</x:v>
      </x:c>
      <x:c r="I1083" s="10" t="n">
        <x:v>0</x:v>
      </x:c>
      <x:c r="J1083" s="10" t="n">
        <x:v>0</x:v>
      </x:c>
      <x:c r="K1083" s="10" t="str">
        <x:v>7 Mo.</x:v>
      </x:c>
      <x:c r="L1083" s="10" t="n">
        <x:v>0</x:v>
      </x:c>
      <x:c r="M1083" s="10" t="n">
        <x:v>0</x:v>
      </x:c>
      <x:c r="N1083" s="10" t="n">
        <x:v>3</x:v>
      </x:c>
      <x:c r="O1083" s="10" t="str"/>
      <x:c r="P1083" s="10" t="n">
        <x:v>144</x:v>
      </x:c>
      <x:c r="Q1083" s="10" t="n">
        <x:v>0</x:v>
      </x:c>
      <x:c r="R1083" s="13" t="n">
        <x:v>0</x:v>
      </x:c>
      <x:c r="S1083" s="10" t="n">
        <x:v>3242</x:v>
      </x:c>
      <x:c r="T1083" s="10" t="str">
        <x:v>mortgage tracker,debt payoff,payment tracker,planner insert,budget planner,financial planner,budget binder,debt free,home loan,mortgage payoff,budget printable,finance tracker,journal pages</x:v>
      </x:c>
      <x:c r="U1083" s="10" t="str">
        <x:v>mortgage tracker</x:v>
      </x:c>
      <x:c r="V1083" s="10" t="str">
        <x:v>debt payoff</x:v>
      </x:c>
      <x:c r="W1083" s="10" t="str">
        <x:v>payment tracker</x:v>
      </x:c>
      <x:c r="X1083" s="10" t="str">
        <x:v>planner insert</x:v>
      </x:c>
      <x:c r="Y1083" s="10" t="str">
        <x:v>budget planner</x:v>
      </x:c>
      <x:c r="Z1083" s="10" t="str">
        <x:v>financial planner</x:v>
      </x:c>
      <x:c r="AA1083" s="10" t="str">
        <x:v>budget binder</x:v>
      </x:c>
      <x:c r="AB1083" s="10" t="str">
        <x:v>debt free</x:v>
      </x:c>
      <x:c r="AC1083" s="10" t="str">
        <x:v>home loan</x:v>
      </x:c>
      <x:c r="AD1083" s="10" t="str">
        <x:v>mortgage payoff</x:v>
      </x:c>
      <x:c r="AE1083" s="10" t="str">
        <x:v>budget printable</x:v>
      </x:c>
      <x:c r="AF1083" s="10" t="str">
        <x:v>finance tracker</x:v>
      </x:c>
      <x:c r="AG1083" s="10" t="str">
        <x:v>journal pages</x:v>
      </x:c>
      <x:c r="AH1083" s="10" t="str">
        <x:v>General debt payoff</x:v>
      </x:c>
      <x:c r="AI1083" s="13" t="n">
        <x:v>7</x:v>
      </x:c>
      <x:c r="AJ1083" s="10" t="str">
        <x:f>IF(F1083&gt;0,"Active","No est. sales")</x:f>
        <x:v>No est. sales</x:v>
      </x:c>
    </x:row>
    <x:row r="1084">
      <x:c r="A1084" s="10" t="str">
        <x:v>2559-15~~Credit Card Boxes Planner Stickers.</x:v>
      </x:c>
      <x:c r="B1084" s="10" t="str">
        <x:v>https://www.etsy.com/listing/1587657088/2559-15credit-card-boxes-planner</x:v>
      </x:c>
      <x:c r="C1084" s="10" t="str">
        <x:v>PlanToPlan</x:v>
      </x:c>
      <x:c r="D1084" s="10" t="str">
        <x:v>https://www.etsy.com/shop/PlanToPlan</x:v>
      </x:c>
      <x:c r="E1084" s="11" t="n">
        <x:v>3.25</x:v>
      </x:c>
      <x:c r="F1084" s="10" t="n">
        <x:v>0</x:v>
      </x:c>
      <x:c r="G1084" s="12" t="n">
        <x:v>0</x:v>
      </x:c>
      <x:c r="H1084" s="13" t="n">
        <x:v>0</x:v>
      </x:c>
      <x:c r="I1084" s="10" t="n">
        <x:v>15</x:v>
      </x:c>
      <x:c r="J1084" s="10" t="n">
        <x:v>3</x:v>
      </x:c>
      <x:c r="K1084" s="10" t="str">
        <x:v>32 Mo.</x:v>
      </x:c>
      <x:c r="L1084" s="10" t="n">
        <x:v>32</x:v>
      </x:c>
      <x:c r="M1084" s="10" t="n">
        <x:v>0</x:v>
      </x:c>
      <x:c r="N1084" s="10" t="n">
        <x:v>142</x:v>
      </x:c>
      <x:c r="O1084" s="10" t="str">
        <x:v>Paper &amp; Party Supplies</x:v>
      </x:c>
      <x:c r="P1084" s="10" t="n">
        <x:v>126</x:v>
      </x:c>
      <x:c r="Q1084" s="10" t="n">
        <x:v>0</x:v>
      </x:c>
      <x:c r="R1084" s="13" t="n">
        <x:v>10.56</x:v>
      </x:c>
      <x:c r="S1084" s="10" t="n">
        <x:v>319985</x:v>
      </x:c>
      <x:c r="T1084" s="10" t="str">
        <x:v>planner stickers,plan to plan,icon stickers,plantoplan,reminder stickers,to do stickers,task trackers,bill due stickers,bill stickers,budget stickers,mortgage stickers,electric stickers,credit card due</x:v>
      </x:c>
      <x:c r="U1084" s="10" t="str">
        <x:v>planner stickers</x:v>
      </x:c>
      <x:c r="V1084" s="10" t="str">
        <x:v>plan to plan</x:v>
      </x:c>
      <x:c r="W1084" s="10" t="str">
        <x:v>icon stickers</x:v>
      </x:c>
      <x:c r="X1084" s="10" t="str">
        <x:v>plantoplan</x:v>
      </x:c>
      <x:c r="Y1084" s="10" t="str">
        <x:v>reminder stickers</x:v>
      </x:c>
      <x:c r="Z1084" s="10" t="str">
        <x:v>to do stickers</x:v>
      </x:c>
      <x:c r="AA1084" s="10" t="str">
        <x:v>task trackers</x:v>
      </x:c>
      <x:c r="AB1084" s="10" t="str">
        <x:v>bill due stickers</x:v>
      </x:c>
      <x:c r="AC1084" s="10" t="str">
        <x:v>bill stickers</x:v>
      </x:c>
      <x:c r="AD1084" s="10" t="str">
        <x:v>budget stickers</x:v>
      </x:c>
      <x:c r="AE1084" s="10" t="str">
        <x:v>mortgage stickers</x:v>
      </x:c>
      <x:c r="AF1084" s="10" t="str">
        <x:v>electric stickers</x:v>
      </x:c>
      <x:c r="AG1084" s="10" t="str">
        <x:v>credit card due</x:v>
      </x:c>
      <x:c r="AH1084" s="10" t="str">
        <x:v>Other mortgage-related</x:v>
      </x:c>
      <x:c r="AI1084" s="13" t="n">
        <x:v>32</x:v>
      </x:c>
      <x:c r="AJ1084" s="10" t="str">
        <x:f>IF(F1084&gt;0,"Active","No est. sales")</x:f>
        <x:v>No est. sales</x:v>
      </x:c>
    </x:row>
    <x:row r="1085">
      <x:c r="A1085" s="10" t="str">
        <x:v>2559-12~~Gas Boxes Planner Stickers.</x:v>
      </x:c>
      <x:c r="B1085" s="10" t="str">
        <x:v>https://www.etsy.com/listing/1587654824/2559-12gas-boxes-planner-stickers</x:v>
      </x:c>
      <x:c r="C1085" s="10" t="str">
        <x:v>PlanToPlan</x:v>
      </x:c>
      <x:c r="D1085" s="10" t="str">
        <x:v>https://www.etsy.com/shop/PlanToPlan</x:v>
      </x:c>
      <x:c r="E1085" s="11" t="n">
        <x:v>3.25</x:v>
      </x:c>
      <x:c r="F1085" s="10" t="n">
        <x:v>0</x:v>
      </x:c>
      <x:c r="G1085" s="12" t="n">
        <x:v>0</x:v>
      </x:c>
      <x:c r="H1085" s="13" t="n">
        <x:v>0</x:v>
      </x:c>
      <x:c r="I1085" s="10" t="n">
        <x:v>5</x:v>
      </x:c>
      <x:c r="J1085" s="10" t="n">
        <x:v>1</x:v>
      </x:c>
      <x:c r="K1085" s="10" t="str">
        <x:v>32 Mo.</x:v>
      </x:c>
      <x:c r="L1085" s="10" t="n">
        <x:v>29</x:v>
      </x:c>
      <x:c r="M1085" s="10" t="n">
        <x:v>0</x:v>
      </x:c>
      <x:c r="N1085" s="10" t="n">
        <x:v>86</x:v>
      </x:c>
      <x:c r="O1085" s="10" t="str">
        <x:v>Paper &amp; Party Supplies</x:v>
      </x:c>
      <x:c r="P1085" s="10" t="n">
        <x:v>126</x:v>
      </x:c>
      <x:c r="Q1085" s="10" t="n">
        <x:v>0</x:v>
      </x:c>
      <x:c r="R1085" s="13" t="n">
        <x:v>5.81</x:v>
      </x:c>
      <x:c r="S1085" s="10" t="n">
        <x:v>319985</x:v>
      </x:c>
      <x:c r="T1085" s="10" t="str">
        <x:v>planner stickers,plan to plan,icon stickers,plantoplan,reminder stickers,to do stickers,task trackers,bill due stickers,bill stickers,budget stickers,mortgage stickers,gas stickers,gas due stickers</x:v>
      </x:c>
      <x:c r="U1085" s="10" t="str">
        <x:v>planner stickers</x:v>
      </x:c>
      <x:c r="V1085" s="10" t="str">
        <x:v>plan to plan</x:v>
      </x:c>
      <x:c r="W1085" s="10" t="str">
        <x:v>icon stickers</x:v>
      </x:c>
      <x:c r="X1085" s="10" t="str">
        <x:v>plantoplan</x:v>
      </x:c>
      <x:c r="Y1085" s="10" t="str">
        <x:v>reminder stickers</x:v>
      </x:c>
      <x:c r="Z1085" s="10" t="str">
        <x:v>to do stickers</x:v>
      </x:c>
      <x:c r="AA1085" s="10" t="str">
        <x:v>task trackers</x:v>
      </x:c>
      <x:c r="AB1085" s="10" t="str">
        <x:v>bill due stickers</x:v>
      </x:c>
      <x:c r="AC1085" s="10" t="str">
        <x:v>bill stickers</x:v>
      </x:c>
      <x:c r="AD1085" s="10" t="str">
        <x:v>budget stickers</x:v>
      </x:c>
      <x:c r="AE1085" s="10" t="str">
        <x:v>mortgage stickers</x:v>
      </x:c>
      <x:c r="AF1085" s="10" t="str">
        <x:v>gas stickers</x:v>
      </x:c>
      <x:c r="AG1085" s="10" t="str">
        <x:v>gas due stickers</x:v>
      </x:c>
      <x:c r="AH1085" s="10" t="str">
        <x:v>Other mortgage-related</x:v>
      </x:c>
      <x:c r="AI1085" s="13" t="n">
        <x:v>32</x:v>
      </x:c>
      <x:c r="AJ1085" s="10" t="str">
        <x:f>IF(F1085&gt;0,"Active","No est. sales")</x:f>
        <x:v>No est. sales</x:v>
      </x:c>
    </x:row>
    <x:row r="1086">
      <x:c r="A1086" s="10" t="str">
        <x:v>2745-22~~Cable Bill Due Planner Stickers.</x:v>
      </x:c>
      <x:c r="B1086" s="10" t="str">
        <x:v>https://www.etsy.com/listing/1736597806/2745-22cable-bill-due-planner-stickers</x:v>
      </x:c>
      <x:c r="C1086" s="10" t="str">
        <x:v>PlanToPlan</x:v>
      </x:c>
      <x:c r="D1086" s="10" t="str">
        <x:v>https://www.etsy.com/shop/PlanToPlan</x:v>
      </x:c>
      <x:c r="E1086" s="11" t="n">
        <x:v>3.25</x:v>
      </x:c>
      <x:c r="F1086" s="10" t="n">
        <x:v>0</x:v>
      </x:c>
      <x:c r="G1086" s="12" t="n">
        <x:v>0</x:v>
      </x:c>
      <x:c r="H1086" s="13" t="n">
        <x:v>0</x:v>
      </x:c>
      <x:c r="I1086" s="10" t="n">
        <x:v>5</x:v>
      </x:c>
      <x:c r="J1086" s="10" t="n">
        <x:v>1</x:v>
      </x:c>
      <x:c r="K1086" s="10" t="str">
        <x:v>25 Mo.</x:v>
      </x:c>
      <x:c r="L1086" s="10" t="n">
        <x:v>17</x:v>
      </x:c>
      <x:c r="M1086" s="10" t="n">
        <x:v>0</x:v>
      </x:c>
      <x:c r="N1086" s="10" t="n">
        <x:v>33</x:v>
      </x:c>
      <x:c r="O1086" s="10" t="str">
        <x:v>Paper &amp; Party Supplies</x:v>
      </x:c>
      <x:c r="P1086" s="10" t="n">
        <x:v>126</x:v>
      </x:c>
      <x:c r="Q1086" s="10" t="n">
        <x:v>0</x:v>
      </x:c>
      <x:c r="R1086" s="13" t="n">
        <x:v>15.15</x:v>
      </x:c>
      <x:c r="S1086" s="10" t="n">
        <x:v>319985</x:v>
      </x:c>
      <x:c r="T1086" s="10" t="str">
        <x:v>planner stickers,reminder stickers,appointment stickers,tracker stickers,functional stickers,plantoplan,bill due stickers,cellphone stickers,cable bill stickers,electric bill,mortgage stickers,cable bill due,cable due sticker</x:v>
      </x:c>
      <x:c r="U1086" s="10" t="str">
        <x:v>planner stickers</x:v>
      </x:c>
      <x:c r="V1086" s="10" t="str">
        <x:v>reminder stickers</x:v>
      </x:c>
      <x:c r="W1086" s="10" t="str">
        <x:v>appointment stickers</x:v>
      </x:c>
      <x:c r="X1086" s="10" t="str">
        <x:v>tracker stickers</x:v>
      </x:c>
      <x:c r="Y1086" s="10" t="str">
        <x:v>functional stickers</x:v>
      </x:c>
      <x:c r="Z1086" s="10" t="str">
        <x:v>plantoplan</x:v>
      </x:c>
      <x:c r="AA1086" s="10" t="str">
        <x:v>bill due stickers</x:v>
      </x:c>
      <x:c r="AB1086" s="10" t="str">
        <x:v>cellphone stickers</x:v>
      </x:c>
      <x:c r="AC1086" s="10" t="str">
        <x:v>cable bill stickers</x:v>
      </x:c>
      <x:c r="AD1086" s="10" t="str">
        <x:v>electric bill</x:v>
      </x:c>
      <x:c r="AE1086" s="10" t="str">
        <x:v>mortgage stickers</x:v>
      </x:c>
      <x:c r="AF1086" s="10" t="str">
        <x:v>cable bill due</x:v>
      </x:c>
      <x:c r="AG1086" s="10" t="str">
        <x:v>cable due sticker</x:v>
      </x:c>
      <x:c r="AH1086" s="10" t="str">
        <x:v>Other mortgage-related</x:v>
      </x:c>
      <x:c r="AI1086" s="13" t="n">
        <x:v>25</x:v>
      </x:c>
      <x:c r="AJ1086" s="10" t="str">
        <x:f>IF(F1086&gt;0,"Active","No est. sales")</x:f>
        <x:v>No est. sales</x:v>
      </x:c>
    </x:row>
    <x:row r="1087">
      <x:c r="A1087" s="10" t="str">
        <x:v>2559-11~~Cable Boxes Planner Stickers.</x:v>
      </x:c>
      <x:c r="B1087" s="10" t="str">
        <x:v>https://www.etsy.com/listing/1601825787/2559-11cable-boxes-planner-stickers</x:v>
      </x:c>
      <x:c r="C1087" s="10" t="str">
        <x:v>PlanToPlan</x:v>
      </x:c>
      <x:c r="D1087" s="10" t="str">
        <x:v>https://www.etsy.com/shop/PlanToPlan</x:v>
      </x:c>
      <x:c r="E1087" s="11" t="n">
        <x:v>3.25</x:v>
      </x:c>
      <x:c r="F1087" s="10" t="n">
        <x:v>0</x:v>
      </x:c>
      <x:c r="G1087" s="12" t="n">
        <x:v>0</x:v>
      </x:c>
      <x:c r="H1087" s="13" t="n">
        <x:v>0</x:v>
      </x:c>
      <x:c r="I1087" s="10" t="n">
        <x:v>5</x:v>
      </x:c>
      <x:c r="J1087" s="10" t="n">
        <x:v>1</x:v>
      </x:c>
      <x:c r="K1087" s="10" t="str">
        <x:v>32 Mo.</x:v>
      </x:c>
      <x:c r="L1087" s="10" t="n">
        <x:v>11</x:v>
      </x:c>
      <x:c r="M1087" s="10" t="n">
        <x:v>0</x:v>
      </x:c>
      <x:c r="N1087" s="10" t="n">
        <x:v>26</x:v>
      </x:c>
      <x:c r="O1087" s="10" t="str">
        <x:v>Paper &amp; Party Supplies</x:v>
      </x:c>
      <x:c r="P1087" s="10" t="n">
        <x:v>126</x:v>
      </x:c>
      <x:c r="Q1087" s="10" t="n">
        <x:v>0</x:v>
      </x:c>
      <x:c r="R1087" s="13" t="n">
        <x:v>19.23</x:v>
      </x:c>
      <x:c r="S1087" s="10" t="n">
        <x:v>319985</x:v>
      </x:c>
      <x:c r="T1087" s="10" t="str">
        <x:v>planner stickers,plan to plan,icon stickers,plantoplan,reminder stickers,to do stickers,task trackers,bill due stickers,bill stickers,budget stickers,mortgage stickers,electric stickers,cable due stickers</x:v>
      </x:c>
      <x:c r="U1087" s="10" t="str">
        <x:v>planner stickers</x:v>
      </x:c>
      <x:c r="V1087" s="10" t="str">
        <x:v>plan to plan</x:v>
      </x:c>
      <x:c r="W1087" s="10" t="str">
        <x:v>icon stickers</x:v>
      </x:c>
      <x:c r="X1087" s="10" t="str">
        <x:v>plantoplan</x:v>
      </x:c>
      <x:c r="Y1087" s="10" t="str">
        <x:v>reminder stickers</x:v>
      </x:c>
      <x:c r="Z1087" s="10" t="str">
        <x:v>to do stickers</x:v>
      </x:c>
      <x:c r="AA1087" s="10" t="str">
        <x:v>task trackers</x:v>
      </x:c>
      <x:c r="AB1087" s="10" t="str">
        <x:v>bill due stickers</x:v>
      </x:c>
      <x:c r="AC1087" s="10" t="str">
        <x:v>bill stickers</x:v>
      </x:c>
      <x:c r="AD1087" s="10" t="str">
        <x:v>budget stickers</x:v>
      </x:c>
      <x:c r="AE1087" s="10" t="str">
        <x:v>mortgage stickers</x:v>
      </x:c>
      <x:c r="AF1087" s="10" t="str">
        <x:v>electric stickers</x:v>
      </x:c>
      <x:c r="AG1087" s="10" t="str">
        <x:v>cable due stickers</x:v>
      </x:c>
      <x:c r="AH1087" s="10" t="str">
        <x:v>Other mortgage-related</x:v>
      </x:c>
      <x:c r="AI1087" s="13" t="n">
        <x:v>32</x:v>
      </x:c>
      <x:c r="AJ1087" s="10" t="str">
        <x:f>IF(F1087&gt;0,"Active","No est. sales")</x:f>
        <x:v>No est. sales</x:v>
      </x:c>
    </x:row>
    <x:row r="1088">
      <x:c r="A1088" s="10" t="str">
        <x:v>2745-20~~Gas Bill Due Planner Stickers.</x:v>
      </x:c>
      <x:c r="B1088" s="10" t="str">
        <x:v>https://www.etsy.com/listing/1750789273/2745-20gas-bill-due-planner-stickers</x:v>
      </x:c>
      <x:c r="C1088" s="10" t="str">
        <x:v>PlanToPlan</x:v>
      </x:c>
      <x:c r="D1088" s="10" t="str">
        <x:v>https://www.etsy.com/shop/PlanToPlan</x:v>
      </x:c>
      <x:c r="E1088" s="11" t="n">
        <x:v>3.25</x:v>
      </x:c>
      <x:c r="F1088" s="10" t="n">
        <x:v>0</x:v>
      </x:c>
      <x:c r="G1088" s="12" t="n">
        <x:v>0</x:v>
      </x:c>
      <x:c r="H1088" s="13" t="n">
        <x:v>0</x:v>
      </x:c>
      <x:c r="I1088" s="10" t="n">
        <x:v>10</x:v>
      </x:c>
      <x:c r="J1088" s="10" t="n">
        <x:v>2</x:v>
      </x:c>
      <x:c r="K1088" s="10" t="str">
        <x:v>25 Mo.</x:v>
      </x:c>
      <x:c r="L1088" s="10" t="n">
        <x:v>18</x:v>
      </x:c>
      <x:c r="M1088" s="10" t="n">
        <x:v>0</x:v>
      </x:c>
      <x:c r="N1088" s="10" t="n">
        <x:v>56</x:v>
      </x:c>
      <x:c r="O1088" s="10" t="str">
        <x:v>Paper &amp; Party Supplies</x:v>
      </x:c>
      <x:c r="P1088" s="10" t="n">
        <x:v>126</x:v>
      </x:c>
      <x:c r="Q1088" s="10" t="n">
        <x:v>0</x:v>
      </x:c>
      <x:c r="R1088" s="13" t="n">
        <x:v>17.86</x:v>
      </x:c>
      <x:c r="S1088" s="10" t="n">
        <x:v>319985</x:v>
      </x:c>
      <x:c r="T1088" s="10" t="str">
        <x:v>planner stickers,reminder stickers,appointment stickers,tracker stickers,functional stickers,plantoplan,bill due stickers,cellphone stickers,cable bill stickers,electric bill,mortgage stickers,cable bill due,gas bill due</x:v>
      </x:c>
      <x:c r="U1088" s="10" t="str">
        <x:v>planner stickers</x:v>
      </x:c>
      <x:c r="V1088" s="10" t="str">
        <x:v>reminder stickers</x:v>
      </x:c>
      <x:c r="W1088" s="10" t="str">
        <x:v>appointment stickers</x:v>
      </x:c>
      <x:c r="X1088" s="10" t="str">
        <x:v>tracker stickers</x:v>
      </x:c>
      <x:c r="Y1088" s="10" t="str">
        <x:v>functional stickers</x:v>
      </x:c>
      <x:c r="Z1088" s="10" t="str">
        <x:v>plantoplan</x:v>
      </x:c>
      <x:c r="AA1088" s="10" t="str">
        <x:v>bill due stickers</x:v>
      </x:c>
      <x:c r="AB1088" s="10" t="str">
        <x:v>cellphone stickers</x:v>
      </x:c>
      <x:c r="AC1088" s="10" t="str">
        <x:v>cable bill stickers</x:v>
      </x:c>
      <x:c r="AD1088" s="10" t="str">
        <x:v>electric bill</x:v>
      </x:c>
      <x:c r="AE1088" s="10" t="str">
        <x:v>mortgage stickers</x:v>
      </x:c>
      <x:c r="AF1088" s="10" t="str">
        <x:v>cable bill due</x:v>
      </x:c>
      <x:c r="AG1088" s="10" t="str">
        <x:v>gas bill due</x:v>
      </x:c>
      <x:c r="AH1088" s="10" t="str">
        <x:v>Other mortgage-related</x:v>
      </x:c>
      <x:c r="AI1088" s="13" t="n">
        <x:v>25</x:v>
      </x:c>
      <x:c r="AJ1088" s="10" t="str">
        <x:f>IF(F1088&gt;0,"Active","No est. sales")</x:f>
        <x:v>No est. sales</x:v>
      </x:c>
    </x:row>
    <x:row r="1089">
      <x:c r="A1089" s="10" t="str">
        <x:v>2007-9~~Credit Card Due Dots Planner Stickers.</x:v>
      </x:c>
      <x:c r="B1089" s="10" t="str">
        <x:v>https://www.etsy.com/listing/1158470207/2007-9credit-card-due-dots-planner</x:v>
      </x:c>
      <x:c r="C1089" s="10" t="str">
        <x:v>PlanToPlan</x:v>
      </x:c>
      <x:c r="D1089" s="10" t="str">
        <x:v>https://www.etsy.com/shop/PlanToPlan</x:v>
      </x:c>
      <x:c r="E1089" s="11" t="n">
        <x:v>3.25</x:v>
      </x:c>
      <x:c r="F1089" s="10" t="n">
        <x:v>0</x:v>
      </x:c>
      <x:c r="G1089" s="12" t="n">
        <x:v>0</x:v>
      </x:c>
      <x:c r="H1089" s="13" t="n">
        <x:v>0</x:v>
      </x:c>
      <x:c r="I1089" s="10" t="n">
        <x:v>74</x:v>
      </x:c>
      <x:c r="J1089" s="10" t="n">
        <x:v>14</x:v>
      </x:c>
      <x:c r="K1089" s="10" t="str">
        <x:v>54 Mo.</x:v>
      </x:c>
      <x:c r="L1089" s="10" t="n">
        <x:v>76</x:v>
      </x:c>
      <x:c r="M1089" s="10" t="n">
        <x:v>0</x:v>
      </x:c>
      <x:c r="N1089" s="10" t="n">
        <x:v>893</x:v>
      </x:c>
      <x:c r="O1089" s="10" t="str">
        <x:v>Paper &amp; Party Supplies</x:v>
      </x:c>
      <x:c r="P1089" s="10" t="n">
        <x:v>126</x:v>
      </x:c>
      <x:c r="Q1089" s="10" t="n">
        <x:v>0</x:v>
      </x:c>
      <x:c r="R1089" s="13" t="n">
        <x:v>8.29</x:v>
      </x:c>
      <x:c r="S1089" s="10" t="n">
        <x:v>319985</x:v>
      </x:c>
      <x:c r="T1089" s="10" t="str">
        <x:v>planner stickers,reminder stickers,appointment stickers,tracker stickers,functional stickers,plantoplan,bill due stickers,cellphone stickers,mortgage stickers,college stickers,student loan sticker,monthly sub sticker,credit card bill</x:v>
      </x:c>
      <x:c r="U1089" s="10" t="str">
        <x:v>planner stickers</x:v>
      </x:c>
      <x:c r="V1089" s="10" t="str">
        <x:v>reminder stickers</x:v>
      </x:c>
      <x:c r="W1089" s="10" t="str">
        <x:v>appointment stickers</x:v>
      </x:c>
      <x:c r="X1089" s="10" t="str">
        <x:v>tracker stickers</x:v>
      </x:c>
      <x:c r="Y1089" s="10" t="str">
        <x:v>functional stickers</x:v>
      </x:c>
      <x:c r="Z1089" s="10" t="str">
        <x:v>plantoplan</x:v>
      </x:c>
      <x:c r="AA1089" s="10" t="str">
        <x:v>bill due stickers</x:v>
      </x:c>
      <x:c r="AB1089" s="10" t="str">
        <x:v>cellphone stickers</x:v>
      </x:c>
      <x:c r="AC1089" s="10" t="str">
        <x:v>mortgage stickers</x:v>
      </x:c>
      <x:c r="AD1089" s="10" t="str">
        <x:v>college stickers</x:v>
      </x:c>
      <x:c r="AE1089" s="10" t="str">
        <x:v>student loan sticker</x:v>
      </x:c>
      <x:c r="AF1089" s="10" t="str">
        <x:v>monthly sub sticker</x:v>
      </x:c>
      <x:c r="AG1089" s="10" t="str">
        <x:v>credit card bill</x:v>
      </x:c>
      <x:c r="AH1089" s="10" t="str">
        <x:v>Other mortgage-related</x:v>
      </x:c>
      <x:c r="AI1089" s="13" t="n">
        <x:v>54</x:v>
      </x:c>
      <x:c r="AJ1089" s="10" t="str">
        <x:f>IF(F1089&gt;0,"Active","No est. sales")</x:f>
        <x:v>No est. sales</x:v>
      </x:c>
    </x:row>
    <x:row r="1090">
      <x:c r="A1090" s="10" t="str">
        <x:v>Loan Payoff Schedule Google Sheets Spreadsheet, Student and Personal Debt Tracker, Amortization Log</x:v>
      </x:c>
      <x:c r="B1090" s="10" t="str">
        <x:v>https://www.etsy.com/listing/4481250144/loan-payoff-schedule-google-sheets</x:v>
      </x:c>
      <x:c r="C1090" s="10" t="str">
        <x:v>MomMoneyMap</x:v>
      </x:c>
      <x:c r="D1090" s="10" t="str">
        <x:v>https://www.etsy.com/shop/MomMoneyMap</x:v>
      </x:c>
      <x:c r="E1090" s="11" t="n">
        <x:v>6.99</x:v>
      </x:c>
      <x:c r="F1090" s="10" t="n">
        <x:v>0</x:v>
      </x:c>
      <x:c r="G1090" s="12" t="n">
        <x:v>0</x:v>
      </x:c>
      <x:c r="H1090" s="13" t="n">
        <x:v>0</x:v>
      </x:c>
      <x:c r="I1090" s="10" t="n">
        <x:v>0</x:v>
      </x:c>
      <x:c r="J1090" s="10" t="n">
        <x:v>0</x:v>
      </x:c>
      <x:c r="K1090" s="10" t="str">
        <x:v>3 Mo.</x:v>
      </x:c>
      <x:c r="L1090" s="10" t="n">
        <x:v>0</x:v>
      </x:c>
      <x:c r="M1090" s="10" t="n">
        <x:v>0</x:v>
      </x:c>
      <x:c r="N1090" s="10" t="n">
        <x:v>9</x:v>
      </x:c>
      <x:c r="O1090" s="10" t="str">
        <x:v>Paper &amp; Party Supplies</x:v>
      </x:c>
      <x:c r="P1090" s="10" t="n">
        <x:v>78</x:v>
      </x:c>
      <x:c r="Q1090" s="10" t="n">
        <x:v>0</x:v>
      </x:c>
      <x:c r="R1090" s="13" t="n">
        <x:v>0</x:v>
      </x:c>
      <x:c r="S1090" s="10" t="n">
        <x:v>18652</x:v>
      </x:c>
      <x:c r="T1090" s="10" t="str">
        <x:v>loan amortization,loan calculator,loan payment,loan google sheets,family loan tracker,amortization table,mortgage,amortization,loan pay back,calculator,loan planner,loan planning,loan plan</x:v>
      </x:c>
      <x:c r="U1090" s="10" t="str">
        <x:v>loan amortization</x:v>
      </x:c>
      <x:c r="V1090" s="10" t="str">
        <x:v>loan calculator</x:v>
      </x:c>
      <x:c r="W1090" s="10" t="str">
        <x:v>loan payment</x:v>
      </x:c>
      <x:c r="X1090" s="10" t="str">
        <x:v>loan google sheets</x:v>
      </x:c>
      <x:c r="Y1090" s="10" t="str">
        <x:v>family loan tracker</x:v>
      </x:c>
      <x:c r="Z1090" s="10" t="str">
        <x:v>amortization table</x:v>
      </x:c>
      <x:c r="AA1090" s="10" t="str">
        <x:v>mortgage</x:v>
      </x:c>
      <x:c r="AB1090" s="10" t="str">
        <x:v>amortization</x:v>
      </x:c>
      <x:c r="AC1090" s="10" t="str">
        <x:v>loan pay back</x:v>
      </x:c>
      <x:c r="AD1090" s="10" t="str">
        <x:v>calculator</x:v>
      </x:c>
      <x:c r="AE1090" s="10" t="str">
        <x:v>loan planner</x:v>
      </x:c>
      <x:c r="AF1090" s="10" t="str">
        <x:v>loan planning</x:v>
      </x:c>
      <x:c r="AG1090" s="10" t="str">
        <x:v>loan plan</x:v>
      </x:c>
      <x:c r="AH1090" s="10" t="str">
        <x:v>General debt payoff</x:v>
      </x:c>
      <x:c r="AI1090" s="13" t="n">
        <x:v>3</x:v>
      </x:c>
      <x:c r="AJ1090" s="10" t="str">
        <x:f>IF(F1090&gt;0,"Active","No est. sales")</x:f>
        <x:v>No est. sales</x:v>
      </x:c>
    </x:row>
    <x:row r="1091">
      <x:c r="A1091" s="10" t="str">
        <x:v>Mortgage Payoff Calculator Browser App | Extra Payment Planner | Amortization Schedule | Interest Savings Tracker | No Excel Needed</x:v>
      </x:c>
      <x:c r="B1091" s="10" t="str">
        <x:v>https://www.etsy.com/listing/4523900508/mortgage-payoff-calculator-browser-app</x:v>
      </x:c>
      <x:c r="C1091" s="10" t="str">
        <x:v>BoringStudioDesign</x:v>
      </x:c>
      <x:c r="D1091" s="10" t="str">
        <x:v>https://www.etsy.com/shop/BoringStudioDesign</x:v>
      </x:c>
      <x:c r="E1091" s="11" t="n">
        <x:v>19</x:v>
      </x:c>
      <x:c r="F1091" s="10" t="n">
        <x:v>0</x:v>
      </x:c>
      <x:c r="G1091" s="12" t="n">
        <x:v>0</x:v>
      </x:c>
      <x:c r="H1091" s="13" t="n">
        <x:v>0</x:v>
      </x:c>
      <x:c r="I1091" s="10" t="n">
        <x:v>0</x:v>
      </x:c>
      <x:c r="J1091" s="10" t="n">
        <x:v>0</x:v>
      </x:c>
      <x:c r="K1091" s="10" t="str">
        <x:v>1 Mo.</x:v>
      </x:c>
      <x:c r="L1091" s="10" t="n">
        <x:v>2</x:v>
      </x:c>
      <x:c r="M1091" s="10" t="n">
        <x:v>0</x:v>
      </x:c>
      <x:c r="N1091" s="10" t="n">
        <x:v>22</x:v>
      </x:c>
      <x:c r="O1091" s="10" t="str"/>
      <x:c r="P1091" s="10" t="n">
        <x:v>3</x:v>
      </x:c>
      <x:c r="Q1091" s="10" t="n">
        <x:v>0</x:v>
      </x:c>
      <x:c r="R1091" s="13" t="n">
        <x:v>0</x:v>
      </x:c>
      <x:c r="S1091" s="10" t="n">
        <x:v>87</x:v>
      </x:c>
      <x:c r="T1091" s="10" t="str">
        <x:v>mortgage planner,mortgage payoff,payoff calculator,mortgage tracker,amortization app,extra payments,debt payoff app,home loan planner,interest tracker,mortgage app,browser app,no excel needed,finance planner</x:v>
      </x:c>
      <x:c r="U1091" s="10" t="str">
        <x:v>mortgage planner</x:v>
      </x:c>
      <x:c r="V1091" s="10" t="str">
        <x:v>mortgage payoff</x:v>
      </x:c>
      <x:c r="W1091" s="10" t="str">
        <x:v>payoff calculator</x:v>
      </x:c>
      <x:c r="X1091" s="10" t="str">
        <x:v>mortgage tracker</x:v>
      </x:c>
      <x:c r="Y1091" s="10" t="str">
        <x:v>amortization app</x:v>
      </x:c>
      <x:c r="Z1091" s="10" t="str">
        <x:v>extra payments</x:v>
      </x:c>
      <x:c r="AA1091" s="10" t="str">
        <x:v>debt payoff app</x:v>
      </x:c>
      <x:c r="AB1091" s="10" t="str">
        <x:v>home loan planner</x:v>
      </x:c>
      <x:c r="AC1091" s="10" t="str">
        <x:v>interest tracker</x:v>
      </x:c>
      <x:c r="AD1091" s="10" t="str">
        <x:v>mortgage app</x:v>
      </x:c>
      <x:c r="AE1091" s="10" t="str">
        <x:v>browser app</x:v>
      </x:c>
      <x:c r="AF1091" s="10" t="str">
        <x:v>no excel needed</x:v>
      </x:c>
      <x:c r="AG1091" s="10" t="str">
        <x:v>finance planner</x:v>
      </x:c>
      <x:c r="AH1091" s="10" t="str">
        <x:v>Mortgage payoff / calculator</x:v>
      </x:c>
      <x:c r="AI1091" s="13" t="n">
        <x:v>1</x:v>
      </x:c>
      <x:c r="AJ1091" s="10" t="str">
        <x:f>IF(F1091&gt;0,"Active","No est. sales")</x:f>
        <x:v>No est. sales</x:v>
      </x:c>
    </x:row>
    <x:row r="1092">
      <x:c r="A1092" s="10" t="str">
        <x:v>Debt Payoff Planner/ Finance Planner/ Monthly Debt Payoff Tracker</x:v>
      </x:c>
      <x:c r="B1092" s="10" t="str">
        <x:v>https://www.etsy.com/listing/1120374682/debt-payoff-planner-finance-planner</x:v>
      </x:c>
      <x:c r="C1092" s="10" t="str">
        <x:v>MindfulwithMelissa</x:v>
      </x:c>
      <x:c r="D1092" s="10" t="str">
        <x:v>https://www.etsy.com/shop/MindfulwithMelissa</x:v>
      </x:c>
      <x:c r="E1092" s="11" t="n">
        <x:v>4.98</x:v>
      </x:c>
      <x:c r="F1092" s="10" t="n">
        <x:v>0</x:v>
      </x:c>
      <x:c r="G1092" s="12" t="n">
        <x:v>0</x:v>
      </x:c>
      <x:c r="H1092" s="13" t="n">
        <x:v>0</x:v>
      </x:c>
      <x:c r="I1092" s="10" t="n">
        <x:v>0</x:v>
      </x:c>
      <x:c r="J1092" s="10" t="n">
        <x:v>0</x:v>
      </x:c>
      <x:c r="K1092" s="10" t="str">
        <x:v>47 Mo.</x:v>
      </x:c>
      <x:c r="L1092" s="10" t="n">
        <x:v>7</x:v>
      </x:c>
      <x:c r="M1092" s="10" t="n">
        <x:v>0</x:v>
      </x:c>
      <x:c r="N1092" s="10" t="n">
        <x:v>137</x:v>
      </x:c>
      <x:c r="O1092" s="10" t="str">
        <x:v>Paper &amp; Party Supplies</x:v>
      </x:c>
      <x:c r="P1092" s="10" t="n">
        <x:v>60</x:v>
      </x:c>
      <x:c r="Q1092" s="10" t="n">
        <x:v>0</x:v>
      </x:c>
      <x:c r="R1092" s="13" t="n">
        <x:v>0</x:v>
      </x:c>
      <x:c r="S1092" s="10" t="n">
        <x:v>68</x:v>
      </x:c>
      <x:c r="T1092" s="10" t="str">
        <x:v>mortgage payoff,car pay off,credit card,a5 binder,a4 printable,finance tracker,debt snowball,budget planner,happy planner,payoff tracker,zero based budget,2023 budget sheet,student loan payoff</x:v>
      </x:c>
      <x:c r="U1092" s="10" t="str">
        <x:v>mortgage payoff</x:v>
      </x:c>
      <x:c r="V1092" s="10" t="str">
        <x:v>car pay off</x:v>
      </x:c>
      <x:c r="W1092" s="10" t="str">
        <x:v>credit card</x:v>
      </x:c>
      <x:c r="X1092" s="10" t="str">
        <x:v>a5 binder</x:v>
      </x:c>
      <x:c r="Y1092" s="10" t="str">
        <x:v>a4 printable</x:v>
      </x:c>
      <x:c r="Z1092" s="10" t="str">
        <x:v>finance tracker</x:v>
      </x:c>
      <x:c r="AA1092" s="10" t="str">
        <x:v>debt snowball</x:v>
      </x:c>
      <x:c r="AB1092" s="10" t="str">
        <x:v>budget planner</x:v>
      </x:c>
      <x:c r="AC1092" s="10" t="str">
        <x:v>happy planner</x:v>
      </x:c>
      <x:c r="AD1092" s="10" t="str">
        <x:v>payoff tracker</x:v>
      </x:c>
      <x:c r="AE1092" s="10" t="str">
        <x:v>zero based budget</x:v>
      </x:c>
      <x:c r="AF1092" s="10" t="str">
        <x:v>2023 budget sheet</x:v>
      </x:c>
      <x:c r="AG1092" s="10" t="str">
        <x:v>student loan payoff</x:v>
      </x:c>
      <x:c r="AH1092" s="10" t="str">
        <x:v>General debt payoff</x:v>
      </x:c>
      <x:c r="AI1092" s="13" t="n">
        <x:v>47</x:v>
      </x:c>
      <x:c r="AJ1092" s="10" t="str">
        <x:f>IF(F1092&gt;0,"Active","No est. sales")</x:f>
        <x:v>No est. sales</x:v>
      </x:c>
    </x:row>
    <x:row r="1093">
      <x:c r="A1093" s="10" t="str">
        <x:v>Mortgage Reminder Script Planner Stickers for Happy Planner Hobonichi Printpression Travelers Notebook</x:v>
      </x:c>
      <x:c r="B1093" s="10" t="str">
        <x:v>https://www.etsy.com/listing/1571705447/mortgage-reminder-script-planner</x:v>
      </x:c>
      <x:c r="C1093" s="10" t="str">
        <x:v>TheFatCatDesigns</x:v>
      </x:c>
      <x:c r="D1093" s="10" t="str">
        <x:v>https://www.etsy.com/shop/TheFatCatDesigns</x:v>
      </x:c>
      <x:c r="E1093" s="11" t="n">
        <x:v>3.5</x:v>
      </x:c>
      <x:c r="F1093" s="10" t="n">
        <x:v>0</x:v>
      </x:c>
      <x:c r="G1093" s="12" t="n">
        <x:v>0</x:v>
      </x:c>
      <x:c r="H1093" s="13" t="n">
        <x:v>0</x:v>
      </x:c>
      <x:c r="I1093" s="10" t="n">
        <x:v>0</x:v>
      </x:c>
      <x:c r="J1093" s="10" t="n">
        <x:v>0</x:v>
      </x:c>
      <x:c r="K1093" s="10" t="str">
        <x:v>27 Mo.</x:v>
      </x:c>
      <x:c r="L1093" s="10" t="n">
        <x:v>1</x:v>
      </x:c>
      <x:c r="M1093" s="10" t="n">
        <x:v>0</x:v>
      </x:c>
      <x:c r="N1093" s="10" t="n">
        <x:v>7</x:v>
      </x:c>
      <x:c r="O1093" s="10" t="str">
        <x:v>Paper &amp; Party Supplies</x:v>
      </x:c>
      <x:c r="P1093" s="10" t="n">
        <x:v>120</x:v>
      </x:c>
      <x:c r="Q1093" s="10" t="n">
        <x:v>0</x:v>
      </x:c>
      <x:c r="R1093" s="13" t="n">
        <x:v>0</x:v>
      </x:c>
      <x:c r="S1093" s="10" t="n">
        <x:v>15241</x:v>
      </x:c>
      <x:c r="T1093" s="10" t="str">
        <x:v>bill due reminder,brush script,bullet journal,erin condren,happy planner,hobonichi,hobonichi stickers,mortgage,planner,planner stickers,reminder,script stickers,stickers</x:v>
      </x:c>
      <x:c r="U1093" s="10" t="str">
        <x:v>bill due reminder</x:v>
      </x:c>
      <x:c r="V1093" s="10" t="str">
        <x:v>brush script</x:v>
      </x:c>
      <x:c r="W1093" s="10" t="str">
        <x:v>bullet journal</x:v>
      </x:c>
      <x:c r="X1093" s="10" t="str">
        <x:v>erin condren</x:v>
      </x:c>
      <x:c r="Y1093" s="10" t="str">
        <x:v>happy planner</x:v>
      </x:c>
      <x:c r="Z1093" s="10" t="str">
        <x:v>hobonichi</x:v>
      </x:c>
      <x:c r="AA1093" s="10" t="str">
        <x:v>hobonichi stickers</x:v>
      </x:c>
      <x:c r="AB1093" s="10" t="str">
        <x:v>mortgage</x:v>
      </x:c>
      <x:c r="AC1093" s="10" t="str">
        <x:v>planner</x:v>
      </x:c>
      <x:c r="AD1093" s="10" t="str">
        <x:v>planner stickers</x:v>
      </x:c>
      <x:c r="AE1093" s="10" t="str">
        <x:v>reminder</x:v>
      </x:c>
      <x:c r="AF1093" s="10" t="str">
        <x:v>script stickers</x:v>
      </x:c>
      <x:c r="AG1093" s="10" t="str">
        <x:v>stickers</x:v>
      </x:c>
      <x:c r="AH1093" s="10" t="str">
        <x:v>Other mortgage-related</x:v>
      </x:c>
      <x:c r="AI1093" s="13" t="n">
        <x:v>27</x:v>
      </x:c>
      <x:c r="AJ1093" s="10" t="str">
        <x:f>IF(F1093&gt;0,"Active","No est. sales")</x:f>
        <x:v>No est. sales</x:v>
      </x:c>
    </x:row>
    <x:row r="1094">
      <x:c r="A1094" s="10" t="str">
        <x:v>Mortgage Payoff Calculator | Excel Google Sheets Amortization Schedule (Digital Download)</x:v>
      </x:c>
      <x:c r="B1094" s="10" t="str">
        <x:v>https://www.etsy.com/listing/4536452778/mortgage-payoff-calculator-excel-google</x:v>
      </x:c>
      <x:c r="C1094" s="10" t="str">
        <x:v>KingRealEstateCo</x:v>
      </x:c>
      <x:c r="D1094" s="10" t="str">
        <x:v>https://www.etsy.com/shop/KingRealEstateCo</x:v>
      </x:c>
      <x:c r="E1094" s="11" t="n">
        <x:v>9.99</x:v>
      </x:c>
      <x:c r="F1094" s="10" t="n">
        <x:v>0</x:v>
      </x:c>
      <x:c r="G1094" s="12" t="n">
        <x:v>0</x:v>
      </x:c>
      <x:c r="H1094" s="13" t="n">
        <x:v>0</x:v>
      </x:c>
      <x:c r="I1094" s="10" t="n">
        <x:v>0</x:v>
      </x:c>
      <x:c r="J1094" s="10" t="n">
        <x:v>0</x:v>
      </x:c>
      <x:c r="K1094" s="10" t="str">
        <x:v>1 Mo.</x:v>
      </x:c>
      <x:c r="L1094" s="10" t="n">
        <x:v>0</x:v>
      </x:c>
      <x:c r="M1094" s="10" t="n">
        <x:v>0</x:v>
      </x:c>
      <x:c r="N1094" s="10" t="n">
        <x:v>7</x:v>
      </x:c>
      <x:c r="O1094" s="10" t="str"/>
      <x:c r="P1094" s="10" t="n">
        <x:v>0</x:v>
      </x:c>
      <x:c r="Q1094" s="10" t="n">
        <x:v>0</x:v>
      </x:c>
      <x:c r="R1094" s="13" t="n">
        <x:v>0</x:v>
      </x:c>
      <x:c r="S1094" s="10" t="n">
        <x:v>0</x:v>
      </x:c>
      <x:c r="T1094" s="10" t="str">
        <x:v>mortgage calculator,mortgage payoff,amortization,extra payments,debt payoff,loan calculator,pay off mortgage,interest savings,home loan,google sheets,excel template,mortgage tracker,financial planner</x:v>
      </x:c>
      <x:c r="U1094" s="10" t="str">
        <x:v>mortgage calculator</x:v>
      </x:c>
      <x:c r="V1094" s="10" t="str">
        <x:v>mortgage payoff</x:v>
      </x:c>
      <x:c r="W1094" s="10" t="str">
        <x:v>amortization</x:v>
      </x:c>
      <x:c r="X1094" s="10" t="str">
        <x:v>extra payments</x:v>
      </x:c>
      <x:c r="Y1094" s="10" t="str">
        <x:v>debt payoff</x:v>
      </x:c>
      <x:c r="Z1094" s="10" t="str">
        <x:v>loan calculator</x:v>
      </x:c>
      <x:c r="AA1094" s="10" t="str">
        <x:v>pay off mortgage</x:v>
      </x:c>
      <x:c r="AB1094" s="10" t="str">
        <x:v>interest savings</x:v>
      </x:c>
      <x:c r="AC1094" s="10" t="str">
        <x:v>home loan</x:v>
      </x:c>
      <x:c r="AD1094" s="10" t="str">
        <x:v>google sheets</x:v>
      </x:c>
      <x:c r="AE1094" s="10" t="str">
        <x:v>excel template</x:v>
      </x:c>
      <x:c r="AF1094" s="10" t="str">
        <x:v>mortgage tracker</x:v>
      </x:c>
      <x:c r="AG1094" s="10" t="str">
        <x:v>financial planner</x:v>
      </x:c>
      <x:c r="AH1094" s="10" t="str">
        <x:v>Mortgage payoff / calculator</x:v>
      </x:c>
      <x:c r="AI1094" s="13" t="n">
        <x:v>1</x:v>
      </x:c>
      <x:c r="AJ1094" s="10" t="str">
        <x:f>IF(F1094&gt;0,"Active","No est. sales")</x:f>
        <x:v>No est. sales</x:v>
      </x:c>
    </x:row>
    <x:row r="1095">
      <x:c r="A1095" s="10" t="str">
        <x:v>Home Loan Tracker — Digital Mortgage Planner | Payment Schedule, Overpayment Savings &amp; Scenario Comparator | Digital Download</x:v>
      </x:c>
      <x:c r="B1095" s="10" t="str">
        <x:v>https://www.etsy.com/listing/4469689357/home-loan-tracker-digital-mortgage</x:v>
      </x:c>
      <x:c r="C1095" s="10" t="str">
        <x:v>ZenWorkCo</x:v>
      </x:c>
      <x:c r="D1095" s="10" t="str">
        <x:v>https://www.etsy.com/shop/ZenWorkCo</x:v>
      </x:c>
      <x:c r="E1095" s="11" t="n">
        <x:v>5.7</x:v>
      </x:c>
      <x:c r="F1095" s="10" t="n">
        <x:v>0</x:v>
      </x:c>
      <x:c r="G1095" s="12" t="n">
        <x:v>0</x:v>
      </x:c>
      <x:c r="H1095" s="13" t="n">
        <x:v>0</x:v>
      </x:c>
      <x:c r="I1095" s="10" t="n">
        <x:v>0</x:v>
      </x:c>
      <x:c r="J1095" s="10" t="n">
        <x:v>0</x:v>
      </x:c>
      <x:c r="K1095" s="10" t="str">
        <x:v>1 Mo.</x:v>
      </x:c>
      <x:c r="L1095" s="10" t="n">
        <x:v>0</x:v>
      </x:c>
      <x:c r="M1095" s="10" t="n">
        <x:v>0</x:v>
      </x:c>
      <x:c r="N1095" s="10" t="n">
        <x:v>2</x:v>
      </x:c>
      <x:c r="O1095" s="10" t="str"/>
      <x:c r="P1095" s="10" t="n">
        <x:v>3</x:v>
      </x:c>
      <x:c r="Q1095" s="10" t="n">
        <x:v>0</x:v>
      </x:c>
      <x:c r="R1095" s="13" t="n">
        <x:v>0</x:v>
      </x:c>
      <x:c r="S1095" s="10" t="n">
        <x:v>1</x:v>
      </x:c>
      <x:c r="T1095" s="10" t="str">
        <x:v>mortgage tracker,home loan planner,mortgage planner,loan tracker 2026,mortgage calculator,finance planner 2026,budget planner 2026,debt tracker 2026,money planner 2026,bill tracker 2026,loan payoff planner,digital planner 2026,savings planner</x:v>
      </x:c>
      <x:c r="U1095" s="10" t="str">
        <x:v>mortgage tracker</x:v>
      </x:c>
      <x:c r="V1095" s="10" t="str">
        <x:v>home loan planner</x:v>
      </x:c>
      <x:c r="W1095" s="10" t="str">
        <x:v>mortgage planner</x:v>
      </x:c>
      <x:c r="X1095" s="10" t="str">
        <x:v>loan tracker 2026</x:v>
      </x:c>
      <x:c r="Y1095" s="10" t="str">
        <x:v>mortgage calculator</x:v>
      </x:c>
      <x:c r="Z1095" s="10" t="str">
        <x:v>finance planner 2026</x:v>
      </x:c>
      <x:c r="AA1095" s="10" t="str">
        <x:v>budget planner 2026</x:v>
      </x:c>
      <x:c r="AB1095" s="10" t="str">
        <x:v>debt tracker 2026</x:v>
      </x:c>
      <x:c r="AC1095" s="10" t="str">
        <x:v>money planner 2026</x:v>
      </x:c>
      <x:c r="AD1095" s="10" t="str">
        <x:v>bill tracker 2026</x:v>
      </x:c>
      <x:c r="AE1095" s="10" t="str">
        <x:v>loan payoff planner</x:v>
      </x:c>
      <x:c r="AF1095" s="10" t="str">
        <x:v>digital planner 2026</x:v>
      </x:c>
      <x:c r="AG1095" s="10" t="str">
        <x:v>savings planner</x:v>
      </x:c>
      <x:c r="AH1095" s="10" t="str">
        <x:v>Other mortgage-related</x:v>
      </x:c>
      <x:c r="AI1095" s="13" t="n">
        <x:v>1</x:v>
      </x:c>
      <x:c r="AJ1095" s="10" t="str">
        <x:f>IF(F1095&gt;0,"Active","No est. sales")</x:f>
        <x:v>No est. sales</x:v>
      </x:c>
    </x:row>
    <x:row r="1096">
      <x:c r="A1096" s="10" t="str">
        <x:v>Pay the Rent or Mortgage Icon Sticker | Bills and Payments Planner Stickers | Finances and Budgeting Planning</x:v>
      </x:c>
      <x:c r="B1096" s="10" t="str">
        <x:v>https://www.etsy.com/listing/942276272/pay-the-rent-or-mortgage-icon-sticker</x:v>
      </x:c>
      <x:c r="C1096" s="10" t="str">
        <x:v>MidnightSnackPlanner</x:v>
      </x:c>
      <x:c r="D1096" s="10" t="str">
        <x:v>https://www.etsy.com/shop/MidnightSnackPlanner</x:v>
      </x:c>
      <x:c r="E1096" s="11" t="n">
        <x:v>3.2</x:v>
      </x:c>
      <x:c r="F1096" s="10" t="n">
        <x:v>0</x:v>
      </x:c>
      <x:c r="G1096" s="12" t="n">
        <x:v>0</x:v>
      </x:c>
      <x:c r="H1096" s="13" t="n">
        <x:v>0</x:v>
      </x:c>
      <x:c r="I1096" s="10" t="n">
        <x:v>36</x:v>
      </x:c>
      <x:c r="J1096" s="10" t="n">
        <x:v>8</x:v>
      </x:c>
      <x:c r="K1096" s="10" t="str">
        <x:v>60 Mo.</x:v>
      </x:c>
      <x:c r="L1096" s="10" t="n">
        <x:v>59</x:v>
      </x:c>
      <x:c r="M1096" s="10" t="n">
        <x:v>0</x:v>
      </x:c>
      <x:c r="N1096" s="10" t="n">
        <x:v>317</x:v>
      </x:c>
      <x:c r="O1096" s="10" t="str">
        <x:v>Paper &amp; Party Supplies</x:v>
      </x:c>
      <x:c r="P1096" s="10" t="n">
        <x:v>99</x:v>
      </x:c>
      <x:c r="Q1096" s="10" t="n">
        <x:v>0</x:v>
      </x:c>
      <x:c r="R1096" s="13" t="n">
        <x:v>11.36</x:v>
      </x:c>
      <x:c r="S1096" s="10" t="n">
        <x:v>27990</x:v>
      </x:c>
      <x:c r="T1096" s="10" t="str">
        <x:v>planner stickers,icon stickers,erin condren,happy planner,budget planning,money management,finance sticker,budgeting stickers,pay the rent,mortgage payment,bills and payments,renters insurance,house insurance</x:v>
      </x:c>
      <x:c r="U1096" s="10" t="str">
        <x:v>planner stickers</x:v>
      </x:c>
      <x:c r="V1096" s="10" t="str">
        <x:v>icon stickers</x:v>
      </x:c>
      <x:c r="W1096" s="10" t="str">
        <x:v>erin condren</x:v>
      </x:c>
      <x:c r="X1096" s="10" t="str">
        <x:v>happy planner</x:v>
      </x:c>
      <x:c r="Y1096" s="10" t="str">
        <x:v>budget planning</x:v>
      </x:c>
      <x:c r="Z1096" s="10" t="str">
        <x:v>money management</x:v>
      </x:c>
      <x:c r="AA1096" s="10" t="str">
        <x:v>finance sticker</x:v>
      </x:c>
      <x:c r="AB1096" s="10" t="str">
        <x:v>budgeting stickers</x:v>
      </x:c>
      <x:c r="AC1096" s="10" t="str">
        <x:v>pay the rent</x:v>
      </x:c>
      <x:c r="AD1096" s="10" t="str">
        <x:v>mortgage payment</x:v>
      </x:c>
      <x:c r="AE1096" s="10" t="str">
        <x:v>bills and payments</x:v>
      </x:c>
      <x:c r="AF1096" s="10" t="str">
        <x:v>renters insurance</x:v>
      </x:c>
      <x:c r="AG1096" s="10" t="str">
        <x:v>house insurance</x:v>
      </x:c>
      <x:c r="AH1096" s="10" t="str">
        <x:v>Other mortgage-related</x:v>
      </x:c>
      <x:c r="AI1096" s="13" t="n">
        <x:v>60</x:v>
      </x:c>
      <x:c r="AJ1096" s="10" t="str">
        <x:f>IF(F1096&gt;0,"Active","No est. sales")</x:f>
        <x:v>No est. sales</x:v>
      </x:c>
    </x:row>
    <x:row r="1097">
      <x:c r="A1097" s="10" t="str">
        <x:v>Debt Payoff Tracker, Dark Theme, Snowball Method, Google Sheets (Digital Download)</x:v>
      </x:c>
      <x:c r="B1097" s="10" t="str">
        <x:v>https://www.etsy.com/listing/4515089506/debt-payoff-tracker-dark-theme-snowball</x:v>
      </x:c>
      <x:c r="C1097" s="10" t="str">
        <x:v>MidNightModeStudio</x:v>
      </x:c>
      <x:c r="D1097" s="10" t="str">
        <x:v>https://www.etsy.com/shop/MidNightModeStudio</x:v>
      </x:c>
      <x:c r="E1097" s="11" t="n">
        <x:v>4.99</x:v>
      </x:c>
      <x:c r="F1097" s="10" t="n">
        <x:v>0</x:v>
      </x:c>
      <x:c r="G1097" s="12" t="n">
        <x:v>0</x:v>
      </x:c>
      <x:c r="H1097" s="13" t="n">
        <x:v>0</x:v>
      </x:c>
      <x:c r="I1097" s="10" t="n">
        <x:v>0</x:v>
      </x:c>
      <x:c r="J1097" s="10" t="n">
        <x:v>0</x:v>
      </x:c>
      <x:c r="K1097" s="10" t="str">
        <x:v>1 Mo.</x:v>
      </x:c>
      <x:c r="L1097" s="10" t="n">
        <x:v>0</x:v>
      </x:c>
      <x:c r="M1097" s="10" t="n">
        <x:v>0</x:v>
      </x:c>
      <x:c r="N1097" s="10" t="n">
        <x:v>0</x:v>
      </x:c>
      <x:c r="O1097" s="10" t="str"/>
      <x:c r="P1097" s="10" t="n">
        <x:v>1</x:v>
      </x:c>
      <x:c r="Q1097" s="10" t="n">
        <x:v>0</x:v>
      </x:c>
      <x:c r="R1097" s="13" t="n">
        <x:v>0</x:v>
      </x:c>
      <x:c r="S1097" s="10" t="n">
        <x:v>3</x:v>
      </x:c>
      <x:c r="T1097" s="10" t="str">
        <x:v>debt payment tracker,debt template,credit card payoff,debt payoff tracker,debt snowball,mortgage payoff,debt payoff chart,debt payoff google,debt tracker digital,debt free planner,debt spreadsheet,snowball method,payoff spreadsheet</x:v>
      </x:c>
      <x:c r="U1097" s="10" t="str">
        <x:v>debt payment tracker</x:v>
      </x:c>
      <x:c r="V1097" s="10" t="str">
        <x:v>debt template</x:v>
      </x:c>
      <x:c r="W1097" s="10" t="str">
        <x:v>credit card payoff</x:v>
      </x:c>
      <x:c r="X1097" s="10" t="str">
        <x:v>debt payoff tracker</x:v>
      </x:c>
      <x:c r="Y1097" s="10" t="str">
        <x:v>debt snowball</x:v>
      </x:c>
      <x:c r="Z1097" s="10" t="str">
        <x:v>mortgage payoff</x:v>
      </x:c>
      <x:c r="AA1097" s="10" t="str">
        <x:v>debt payoff chart</x:v>
      </x:c>
      <x:c r="AB1097" s="10" t="str">
        <x:v>debt payoff google</x:v>
      </x:c>
      <x:c r="AC1097" s="10" t="str">
        <x:v>debt tracker digital</x:v>
      </x:c>
      <x:c r="AD1097" s="10" t="str">
        <x:v>debt free planner</x:v>
      </x:c>
      <x:c r="AE1097" s="10" t="str">
        <x:v>debt spreadsheet</x:v>
      </x:c>
      <x:c r="AF1097" s="10" t="str">
        <x:v>snowball method</x:v>
      </x:c>
      <x:c r="AG1097" s="10" t="str">
        <x:v>payoff spreadsheet</x:v>
      </x:c>
      <x:c r="AH1097" s="10" t="str">
        <x:v>General debt payoff</x:v>
      </x:c>
      <x:c r="AI1097" s="13" t="n">
        <x:v>1</x:v>
      </x:c>
      <x:c r="AJ1097" s="10" t="str">
        <x:f>IF(F1097&gt;0,"Active","No est. sales")</x:f>
        <x:v>No est. sales</x:v>
      </x:c>
    </x:row>
    <x:row r="1098">
      <x:c r="A1098" s="10" t="str">
        <x:v>Mortgage Payoff Tracker | Amortization Log | Equity Growth Printable PDF</x:v>
      </x:c>
      <x:c r="B1098" s="10" t="str">
        <x:v>https://www.etsy.com/listing/4506048421/mortgage-payoff-tracker-amortization-log</x:v>
      </x:c>
      <x:c r="C1098" s="10" t="str">
        <x:v>KitHaus</x:v>
      </x:c>
      <x:c r="D1098" s="10" t="str">
        <x:v>https://www.etsy.com/shop/KitHaus</x:v>
      </x:c>
      <x:c r="E1098" s="11" t="n">
        <x:v>0.99</x:v>
      </x:c>
      <x:c r="F1098" s="10" t="n">
        <x:v>0</x:v>
      </x:c>
      <x:c r="G1098" s="12" t="n">
        <x:v>0</x:v>
      </x:c>
      <x:c r="H1098" s="13" t="n">
        <x:v>0</x:v>
      </x:c>
      <x:c r="I1098" s="10" t="n">
        <x:v>0</x:v>
      </x:c>
      <x:c r="J1098" s="10" t="n">
        <x:v>0</x:v>
      </x:c>
      <x:c r="K1098" s="10" t="str">
        <x:v>2 Mo.</x:v>
      </x:c>
      <x:c r="L1098" s="10" t="n">
        <x:v>0</x:v>
      </x:c>
      <x:c r="M1098" s="10" t="n">
        <x:v>0</x:v>
      </x:c>
      <x:c r="N1098" s="10" t="n">
        <x:v>1</x:v>
      </x:c>
      <x:c r="O1098" s="10" t="str">
        <x:v>Art &amp; Collectibles</x:v>
      </x:c>
      <x:c r="P1098" s="10" t="n">
        <x:v>9</x:v>
      </x:c>
      <x:c r="Q1098" s="10" t="n">
        <x:v>0</x:v>
      </x:c>
      <x:c r="R1098" s="13" t="n">
        <x:v>0</x:v>
      </x:c>
      <x:c r="S1098" s="10" t="n">
        <x:v>77</x:v>
      </x:c>
      <x:c r="T1098" s="10" t="str">
        <x:v>mortgage payoff,amortization tracker,home equity log,extra payment tracke,debt free planner,printable finance,mortgage planner,interest saved,payoff countdown</x:v>
      </x:c>
      <x:c r="U1098" s="10" t="str">
        <x:v>mortgage payoff</x:v>
      </x:c>
      <x:c r="V1098" s="10" t="str">
        <x:v>amortization tracker</x:v>
      </x:c>
      <x:c r="W1098" s="10" t="str">
        <x:v>home equity log</x:v>
      </x:c>
      <x:c r="X1098" s="10" t="str">
        <x:v>extra payment tracke</x:v>
      </x:c>
      <x:c r="Y1098" s="10" t="str">
        <x:v>debt free planner</x:v>
      </x:c>
      <x:c r="Z1098" s="10" t="str">
        <x:v>printable finance</x:v>
      </x:c>
      <x:c r="AA1098" s="10" t="str">
        <x:v>mortgage planner</x:v>
      </x:c>
      <x:c r="AB1098" s="10" t="str">
        <x:v>interest saved</x:v>
      </x:c>
      <x:c r="AC1098" s="10" t="str">
        <x:v>payoff countdown</x:v>
      </x:c>
      <x:c r="AD1098" s="10" t="str">
        <x:v>--</x:v>
      </x:c>
      <x:c r="AE1098" s="10" t="str">
        <x:v>--</x:v>
      </x:c>
      <x:c r="AF1098" s="10" t="str">
        <x:v>--</x:v>
      </x:c>
      <x:c r="AG1098" s="10" t="str">
        <x:v>--</x:v>
      </x:c>
      <x:c r="AH1098" s="10" t="str">
        <x:v>Mortgage payoff / calculator</x:v>
      </x:c>
      <x:c r="AI1098" s="13" t="n">
        <x:v>2</x:v>
      </x:c>
      <x:c r="AJ1098" s="10" t="str">
        <x:f>IF(F1098&gt;0,"Active","No est. sales")</x:f>
        <x:v>No est. sales</x:v>
      </x:c>
    </x:row>
    <x:row r="1099">
      <x:c r="A1099" s="10" t="str">
        <x:v>Real Estate Property Planner – Digital Investment &amp; Rental Management Organizer</x:v>
      </x:c>
      <x:c r="B1099" s="10" t="str">
        <x:v>https://www.etsy.com/listing/1875750826/real-estate-property-planner-digital</x:v>
      </x:c>
      <x:c r="C1099" s="10" t="str">
        <x:v>DigitalRealEstatePro</x:v>
      </x:c>
      <x:c r="D1099" s="10" t="str">
        <x:v>https://www.etsy.com/shop/DigitalRealEstatePro</x:v>
      </x:c>
      <x:c r="E1099" s="11" t="n">
        <x:v>4.39</x:v>
      </x:c>
      <x:c r="F1099" s="10" t="n">
        <x:v>0</x:v>
      </x:c>
      <x:c r="G1099" s="12" t="n">
        <x:v>0</x:v>
      </x:c>
      <x:c r="H1099" s="13" t="n">
        <x:v>0</x:v>
      </x:c>
      <x:c r="I1099" s="10" t="n">
        <x:v>0</x:v>
      </x:c>
      <x:c r="J1099" s="10" t="n">
        <x:v>0</x:v>
      </x:c>
      <x:c r="K1099" s="10" t="str">
        <x:v>5 Mo.</x:v>
      </x:c>
      <x:c r="L1099" s="10" t="n">
        <x:v>0</x:v>
      </x:c>
      <x:c r="M1099" s="10" t="n">
        <x:v>0</x:v>
      </x:c>
      <x:c r="N1099" s="10" t="n">
        <x:v>15</x:v>
      </x:c>
      <x:c r="O1099" s="10" t="str">
        <x:v>Paper &amp; Party Supplies</x:v>
      </x:c>
      <x:c r="P1099" s="10" t="n">
        <x:v>5</x:v>
      </x:c>
      <x:c r="Q1099" s="10" t="n">
        <x:v>0</x:v>
      </x:c>
      <x:c r="R1099" s="13" t="n">
        <x:v>0</x:v>
      </x:c>
      <x:c r="S1099" s="10" t="n">
        <x:v>7</x:v>
      </x:c>
      <x:c r="T1099" s="10" t="str">
        <x:v>real estate planner,property management,rental tracker,real estate investor,property log,real estate journal,mortgage planner,investment tracker,real estate budget,rental income log,property portfolio,digital planner</x:v>
      </x:c>
      <x:c r="U1099" s="10" t="str">
        <x:v>real estate planner</x:v>
      </x:c>
      <x:c r="V1099" s="10" t="str">
        <x:v>property management</x:v>
      </x:c>
      <x:c r="W1099" s="10" t="str">
        <x:v>rental tracker</x:v>
      </x:c>
      <x:c r="X1099" s="10" t="str">
        <x:v>real estate investor</x:v>
      </x:c>
      <x:c r="Y1099" s="10" t="str">
        <x:v>property log</x:v>
      </x:c>
      <x:c r="Z1099" s="10" t="str">
        <x:v>real estate journal</x:v>
      </x:c>
      <x:c r="AA1099" s="10" t="str">
        <x:v>mortgage planner</x:v>
      </x:c>
      <x:c r="AB1099" s="10" t="str">
        <x:v>investment tracker</x:v>
      </x:c>
      <x:c r="AC1099" s="10" t="str">
        <x:v>real estate budget</x:v>
      </x:c>
      <x:c r="AD1099" s="10" t="str">
        <x:v>rental income log</x:v>
      </x:c>
      <x:c r="AE1099" s="10" t="str">
        <x:v>property portfolio</x:v>
      </x:c>
      <x:c r="AF1099" s="10" t="str">
        <x:v>digital planner</x:v>
      </x:c>
      <x:c r="AG1099" s="10" t="str">
        <x:v>--</x:v>
      </x:c>
      <x:c r="AH1099" s="10" t="str">
        <x:v>Property investment</x:v>
      </x:c>
      <x:c r="AI1099" s="13" t="n">
        <x:v>5</x:v>
      </x:c>
      <x:c r="AJ1099" s="10" t="str">
        <x:f>IF(F1099&gt;0,"Active","No est. sales")</x:f>
        <x:v>No est. sales</x:v>
      </x:c>
    </x:row>
    <x:row r="1100">
      <x:c r="A1100" s="10" t="str">
        <x:v>Debt Payoff Planner-Purple</x:v>
      </x:c>
      <x:c r="B1100" s="10" t="str">
        <x:v>https://www.etsy.com/listing/1120370190/debt-payoff-planner-purple</x:v>
      </x:c>
      <x:c r="C1100" s="10" t="str">
        <x:v>MindfulwithMelissa</x:v>
      </x:c>
      <x:c r="D1100" s="10" t="str">
        <x:v>https://www.etsy.com/shop/MindfulwithMelissa</x:v>
      </x:c>
      <x:c r="E1100" s="11" t="n">
        <x:v>4.98</x:v>
      </x:c>
      <x:c r="F1100" s="10" t="n">
        <x:v>0</x:v>
      </x:c>
      <x:c r="G1100" s="12" t="n">
        <x:v>0</x:v>
      </x:c>
      <x:c r="H1100" s="13" t="n">
        <x:v>0</x:v>
      </x:c>
      <x:c r="I1100" s="10" t="n">
        <x:v>0</x:v>
      </x:c>
      <x:c r="J1100" s="10" t="n">
        <x:v>0</x:v>
      </x:c>
      <x:c r="K1100" s="10" t="str">
        <x:v>47 Mo.</x:v>
      </x:c>
      <x:c r="L1100" s="10" t="n">
        <x:v>3</x:v>
      </x:c>
      <x:c r="M1100" s="10" t="n">
        <x:v>0</x:v>
      </x:c>
      <x:c r="N1100" s="10" t="n">
        <x:v>55</x:v>
      </x:c>
      <x:c r="O1100" s="10" t="str">
        <x:v>Paper &amp; Party Supplies</x:v>
      </x:c>
      <x:c r="P1100" s="10" t="n">
        <x:v>60</x:v>
      </x:c>
      <x:c r="Q1100" s="10" t="n">
        <x:v>0</x:v>
      </x:c>
      <x:c r="R1100" s="13" t="n">
        <x:v>0</x:v>
      </x:c>
      <x:c r="S1100" s="10" t="n">
        <x:v>68</x:v>
      </x:c>
      <x:c r="T1100" s="10" t="str">
        <x:v>debt payoff planner,debt binder,mortgage payoff,car payoff,credit card,2022 goals,a5 binder,happy planner,classic,dave ramsey,finance tracker,debt snowball,budget planner</x:v>
      </x:c>
      <x:c r="U1100" s="10" t="str">
        <x:v>debt payoff planner</x:v>
      </x:c>
      <x:c r="V1100" s="10" t="str">
        <x:v>debt binder</x:v>
      </x:c>
      <x:c r="W1100" s="10" t="str">
        <x:v>mortgage payoff</x:v>
      </x:c>
      <x:c r="X1100" s="10" t="str">
        <x:v>car payoff</x:v>
      </x:c>
      <x:c r="Y1100" s="10" t="str">
        <x:v>credit card</x:v>
      </x:c>
      <x:c r="Z1100" s="10" t="str">
        <x:v>2022 goals</x:v>
      </x:c>
      <x:c r="AA1100" s="10" t="str">
        <x:v>a5 binder</x:v>
      </x:c>
      <x:c r="AB1100" s="10" t="str">
        <x:v>happy planner</x:v>
      </x:c>
      <x:c r="AC1100" s="10" t="str">
        <x:v>classic</x:v>
      </x:c>
      <x:c r="AD1100" s="10" t="str">
        <x:v>dave ramsey</x:v>
      </x:c>
      <x:c r="AE1100" s="10" t="str">
        <x:v>finance tracker</x:v>
      </x:c>
      <x:c r="AF1100" s="10" t="str">
        <x:v>debt snowball</x:v>
      </x:c>
      <x:c r="AG1100" s="10" t="str">
        <x:v>budget planner</x:v>
      </x:c>
      <x:c r="AH1100" s="10" t="str">
        <x:v>General debt payoff</x:v>
      </x:c>
      <x:c r="AI1100" s="13" t="n">
        <x:v>47</x:v>
      </x:c>
      <x:c r="AJ1100" s="10" t="str">
        <x:f>IF(F1100&gt;0,"Active","No est. sales")</x:f>
        <x:v>No est. sales</x:v>
      </x:c>
    </x:row>
    <x:row r="1101">
      <x:c r="A1101" s="10" t="str">
        <x:v>Mortgage Broker Productivity Notion Template | Save Time CRM | Client &amp; Loan Tracker | Business Dashboard</x:v>
      </x:c>
      <x:c r="B1101" s="10" t="str">
        <x:v>https://www.etsy.com/listing/4481795701/mortgage-broker-productivity-notion</x:v>
      </x:c>
      <x:c r="C1101" s="10" t="str">
        <x:v>WorkYourSheetOut</x:v>
      </x:c>
      <x:c r="D1101" s="10" t="str">
        <x:v>https://www.etsy.com/shop/WorkYourSheetOut</x:v>
      </x:c>
      <x:c r="E1101" s="11" t="n">
        <x:v>6.27</x:v>
      </x:c>
      <x:c r="F1101" s="10" t="n">
        <x:v>0</x:v>
      </x:c>
      <x:c r="G1101" s="12" t="n">
        <x:v>0</x:v>
      </x:c>
      <x:c r="H1101" s="13" t="n">
        <x:v>0</x:v>
      </x:c>
      <x:c r="I1101" s="10" t="n">
        <x:v>0</x:v>
      </x:c>
      <x:c r="J1101" s="10" t="n">
        <x:v>0</x:v>
      </x:c>
      <x:c r="K1101" s="10" t="str">
        <x:v>3 Mo.</x:v>
      </x:c>
      <x:c r="L1101" s="10" t="n">
        <x:v>1</x:v>
      </x:c>
      <x:c r="M1101" s="10" t="n">
        <x:v>0</x:v>
      </x:c>
      <x:c r="N1101" s="10" t="n">
        <x:v>12</x:v>
      </x:c>
      <x:c r="O1101" s="10" t="str"/>
      <x:c r="P1101" s="10" t="n">
        <x:v>45</x:v>
      </x:c>
      <x:c r="Q1101" s="10" t="n">
        <x:v>0</x:v>
      </x:c>
      <x:c r="R1101" s="13" t="n">
        <x:v>0</x:v>
      </x:c>
      <x:c r="S1101" s="10" t="n">
        <x:v>14</x:v>
      </x:c>
      <x:c r="T1101" s="10" t="str">
        <x:v>productivity crm,save time tool,mortgage broker,notion system,workflow tracker,client crm,loan tracker,business dashboard,time saving,broker tool,finance crm,digital planner,work organiser</x:v>
      </x:c>
      <x:c r="U1101" s="10" t="str">
        <x:v>productivity crm</x:v>
      </x:c>
      <x:c r="V1101" s="10" t="str">
        <x:v>save time tool</x:v>
      </x:c>
      <x:c r="W1101" s="10" t="str">
        <x:v>mortgage broker</x:v>
      </x:c>
      <x:c r="X1101" s="10" t="str">
        <x:v>notion system</x:v>
      </x:c>
      <x:c r="Y1101" s="10" t="str">
        <x:v>workflow tracker</x:v>
      </x:c>
      <x:c r="Z1101" s="10" t="str">
        <x:v>client crm</x:v>
      </x:c>
      <x:c r="AA1101" s="10" t="str">
        <x:v>loan tracker</x:v>
      </x:c>
      <x:c r="AB1101" s="10" t="str">
        <x:v>business dashboard</x:v>
      </x:c>
      <x:c r="AC1101" s="10" t="str">
        <x:v>time saving</x:v>
      </x:c>
      <x:c r="AD1101" s="10" t="str">
        <x:v>broker tool</x:v>
      </x:c>
      <x:c r="AE1101" s="10" t="str">
        <x:v>finance crm</x:v>
      </x:c>
      <x:c r="AF1101" s="10" t="str">
        <x:v>digital planner</x:v>
      </x:c>
      <x:c r="AG1101" s="10" t="str">
        <x:v>work organiser</x:v>
      </x:c>
      <x:c r="AH1101" s="10" t="str">
        <x:v>Loan officer / B2B</x:v>
      </x:c>
      <x:c r="AI1101" s="13" t="n">
        <x:v>3</x:v>
      </x:c>
      <x:c r="AJ1101" s="10" t="str">
        <x:f>IF(F1101&gt;0,"Active","No est. sales")</x:f>
        <x:v>No est. sales</x:v>
      </x:c>
    </x:row>
    <x:row r="1102">
      <x:c r="A1102" s="10" t="str">
        <x:v>Kawaii Mortgage Due Sticker - Rent Due Stickers - Happy Planner Stickers - Mortgage Tracker Planner Stickers - Mortgage Bill Due Sticker</x:v>
      </x:c>
      <x:c r="B1102" s="10" t="str">
        <x:v>https://www.etsy.com/listing/822209961/kawaii-mortgage-due-sticker-rent-due</x:v>
      </x:c>
      <x:c r="C1102" s="10" t="str">
        <x:v>OhSoKawaiiDesigns</x:v>
      </x:c>
      <x:c r="D1102" s="10" t="str">
        <x:v>https://www.etsy.com/shop/OhSoKawaiiDesigns</x:v>
      </x:c>
      <x:c r="E1102" s="11" t="n">
        <x:v>3.9</x:v>
      </x:c>
      <x:c r="F1102" s="10" t="n">
        <x:v>0</x:v>
      </x:c>
      <x:c r="G1102" s="12" t="n">
        <x:v>0</x:v>
      </x:c>
      <x:c r="H1102" s="13" t="n">
        <x:v>0</x:v>
      </x:c>
      <x:c r="I1102" s="10" t="n">
        <x:v>45</x:v>
      </x:c>
      <x:c r="J1102" s="10" t="n">
        <x:v>13</x:v>
      </x:c>
      <x:c r="K1102" s="10" t="str">
        <x:v>71 Mo.</x:v>
      </x:c>
      <x:c r="L1102" s="10" t="n">
        <x:v>87</x:v>
      </x:c>
      <x:c r="M1102" s="10" t="n">
        <x:v>0</x:v>
      </x:c>
      <x:c r="N1102" s="10" t="n">
        <x:v>530</x:v>
      </x:c>
      <x:c r="O1102" s="10" t="str">
        <x:v>Paper &amp; Party Supplies</x:v>
      </x:c>
      <x:c r="P1102" s="10" t="n">
        <x:v>70</x:v>
      </x:c>
      <x:c r="Q1102" s="10" t="n">
        <x:v>0</x:v>
      </x:c>
      <x:c r="R1102" s="13" t="n">
        <x:v>8.49</x:v>
      </x:c>
      <x:c r="S1102" s="10" t="n">
        <x:v>8923</x:v>
      </x:c>
      <x:c r="T1102" s="10" t="str">
        <x:v>utilities due,utilities bill,mortgage due,mortgage bill,rent due,due sticker,due stickers,bill sticker,mortgage tracker,pay mortgage,pay rent sticker,pay rent planner,happy planner</x:v>
      </x:c>
      <x:c r="U1102" s="10" t="str">
        <x:v>utilities due</x:v>
      </x:c>
      <x:c r="V1102" s="10" t="str">
        <x:v>utilities bill</x:v>
      </x:c>
      <x:c r="W1102" s="10" t="str">
        <x:v>mortgage due</x:v>
      </x:c>
      <x:c r="X1102" s="10" t="str">
        <x:v>mortgage bill</x:v>
      </x:c>
      <x:c r="Y1102" s="10" t="str">
        <x:v>rent due</x:v>
      </x:c>
      <x:c r="Z1102" s="10" t="str">
        <x:v>due sticker</x:v>
      </x:c>
      <x:c r="AA1102" s="10" t="str">
        <x:v>due stickers</x:v>
      </x:c>
      <x:c r="AB1102" s="10" t="str">
        <x:v>bill sticker</x:v>
      </x:c>
      <x:c r="AC1102" s="10" t="str">
        <x:v>mortgage tracker</x:v>
      </x:c>
      <x:c r="AD1102" s="10" t="str">
        <x:v>pay mortgage</x:v>
      </x:c>
      <x:c r="AE1102" s="10" t="str">
        <x:v>pay rent sticker</x:v>
      </x:c>
      <x:c r="AF1102" s="10" t="str">
        <x:v>pay rent planner</x:v>
      </x:c>
      <x:c r="AG1102" s="10" t="str">
        <x:v>happy planner</x:v>
      </x:c>
      <x:c r="AH1102" s="10" t="str">
        <x:v>Other mortgage-related</x:v>
      </x:c>
      <x:c r="AI1102" s="13" t="n">
        <x:v>71</x:v>
      </x:c>
      <x:c r="AJ1102" s="10" t="str">
        <x:f>IF(F1102&gt;0,"Active","No est. sales")</x:f>
        <x:v>No est. sales</x:v>
      </x:c>
    </x:row>
    <x:row r="1103">
      <x:c r="A1103" s="10" t="str">
        <x:v>Loan Amortization Spreadsheet: Debt Payoff Tracker | Google Sheets | Pink</x:v>
      </x:c>
      <x:c r="B1103" s="10" t="str">
        <x:v>https://www.etsy.com/listing/4392308551/loan-amortization-spreadsheet-debt</x:v>
      </x:c>
      <x:c r="C1103" s="10" t="str">
        <x:v>BusyBeePagesCo</x:v>
      </x:c>
      <x:c r="D1103" s="10" t="str">
        <x:v>https://www.etsy.com/shop/BusyBeePagesCo</x:v>
      </x:c>
      <x:c r="E1103" s="11" t="n">
        <x:v>5.99</x:v>
      </x:c>
      <x:c r="F1103" s="10" t="n">
        <x:v>0</x:v>
      </x:c>
      <x:c r="G1103" s="12" t="n">
        <x:v>0</x:v>
      </x:c>
      <x:c r="H1103" s="13" t="n">
        <x:v>0</x:v>
      </x:c>
      <x:c r="I1103" s="10" t="n">
        <x:v>0</x:v>
      </x:c>
      <x:c r="J1103" s="10" t="n">
        <x:v>0</x:v>
      </x:c>
      <x:c r="K1103" s="10" t="str">
        <x:v>9 Mo.</x:v>
      </x:c>
      <x:c r="L1103" s="10" t="n">
        <x:v>0</x:v>
      </x:c>
      <x:c r="M1103" s="10" t="n">
        <x:v>0</x:v>
      </x:c>
      <x:c r="N1103" s="10" t="n">
        <x:v>5</x:v>
      </x:c>
      <x:c r="O1103" s="10" t="str"/>
      <x:c r="P1103" s="10" t="n">
        <x:v>13</x:v>
      </x:c>
      <x:c r="Q1103" s="10" t="n">
        <x:v>0</x:v>
      </x:c>
      <x:c r="R1103" s="13" t="n">
        <x:v>0</x:v>
      </x:c>
      <x:c r="S1103" s="10" t="n">
        <x:v>1</x:v>
      </x:c>
      <x:c r="T1103" s="10" t="str">
        <x:v>loan tracker,loan payoff,extra payments,mortgage tracker,payoff planner,debt payoff,amortization,early payoff,finance tracker,loan calculator,budget planner,debt tracker,payoff tracker</x:v>
      </x:c>
      <x:c r="U1103" s="10" t="str">
        <x:v>loan tracker</x:v>
      </x:c>
      <x:c r="V1103" s="10" t="str">
        <x:v>loan payoff</x:v>
      </x:c>
      <x:c r="W1103" s="10" t="str">
        <x:v>extra payments</x:v>
      </x:c>
      <x:c r="X1103" s="10" t="str">
        <x:v>mortgage tracker</x:v>
      </x:c>
      <x:c r="Y1103" s="10" t="str">
        <x:v>payoff planner</x:v>
      </x:c>
      <x:c r="Z1103" s="10" t="str">
        <x:v>debt payoff</x:v>
      </x:c>
      <x:c r="AA1103" s="10" t="str">
        <x:v>amortization</x:v>
      </x:c>
      <x:c r="AB1103" s="10" t="str">
        <x:v>early payoff</x:v>
      </x:c>
      <x:c r="AC1103" s="10" t="str">
        <x:v>finance tracker</x:v>
      </x:c>
      <x:c r="AD1103" s="10" t="str">
        <x:v>loan calculator</x:v>
      </x:c>
      <x:c r="AE1103" s="10" t="str">
        <x:v>budget planner</x:v>
      </x:c>
      <x:c r="AF1103" s="10" t="str">
        <x:v>debt tracker</x:v>
      </x:c>
      <x:c r="AG1103" s="10" t="str">
        <x:v>payoff tracker</x:v>
      </x:c>
      <x:c r="AH1103" s="10" t="str">
        <x:v>General debt payoff</x:v>
      </x:c>
      <x:c r="AI1103" s="13" t="n">
        <x:v>9</x:v>
      </x:c>
      <x:c r="AJ1103" s="10" t="str">
        <x:f>IF(F1103&gt;0,"Active","No est. sales")</x:f>
        <x:v>No est. sales</x:v>
      </x:c>
    </x:row>
    <x:row r="1104">
      <x:c r="A1104" s="10" t="str">
        <x:v>Loan Payoff Calculator, Mortgage Auto Student Extra Payment Planner (Digital Download)</x:v>
      </x:c>
      <x:c r="B1104" s="10" t="str">
        <x:v>https://www.etsy.com/listing/4532575742/loan-payoff-calculator-mortgage-auto</x:v>
      </x:c>
      <x:c r="C1104" s="10" t="str">
        <x:v>PlanAndProsperHQ</x:v>
      </x:c>
      <x:c r="D1104" s="10" t="str">
        <x:v>https://www.etsy.com/shop/PlanAndProsperHQ</x:v>
      </x:c>
      <x:c r="E1104" s="11" t="n">
        <x:v>9.14</x:v>
      </x:c>
      <x:c r="F1104" s="10" t="n">
        <x:v>0</x:v>
      </x:c>
      <x:c r="G1104" s="12" t="n">
        <x:v>0</x:v>
      </x:c>
      <x:c r="H1104" s="13" t="n">
        <x:v>0</x:v>
      </x:c>
      <x:c r="I1104" s="10" t="n">
        <x:v>0</x:v>
      </x:c>
      <x:c r="J1104" s="10" t="n">
        <x:v>0</x:v>
      </x:c>
      <x:c r="K1104" s="10" t="str">
        <x:v>1 Mo.</x:v>
      </x:c>
      <x:c r="L1104" s="10" t="n">
        <x:v>0</x:v>
      </x:c>
      <x:c r="M1104" s="10" t="n">
        <x:v>0</x:v>
      </x:c>
      <x:c r="N1104" s="10" t="n">
        <x:v>0</x:v>
      </x:c>
      <x:c r="O1104" s="10" t="str"/>
      <x:c r="P1104" s="10" t="n">
        <x:v>8</x:v>
      </x:c>
      <x:c r="Q1104" s="10" t="n">
        <x:v>0</x:v>
      </x:c>
      <x:c r="R1104" s="13" t="n">
        <x:v>0</x:v>
      </x:c>
      <x:c r="S1104" s="10" t="n">
        <x:v>0</x:v>
      </x:c>
      <x:c r="T1104" s="10" t="str">
        <x:v>loan payoff planner,mortgage payoff,extra payment,loan calculator,early payoff,amortization,mortgage calculator,pay off loan,debt payoff planner,student loan payoff,auto loan payoff,no spreadsheet,dark mode planner</x:v>
      </x:c>
      <x:c r="U1104" s="10" t="str">
        <x:v>loan payoff planner</x:v>
      </x:c>
      <x:c r="V1104" s="10" t="str">
        <x:v>mortgage payoff</x:v>
      </x:c>
      <x:c r="W1104" s="10" t="str">
        <x:v>extra payment</x:v>
      </x:c>
      <x:c r="X1104" s="10" t="str">
        <x:v>loan calculator</x:v>
      </x:c>
      <x:c r="Y1104" s="10" t="str">
        <x:v>early payoff</x:v>
      </x:c>
      <x:c r="Z1104" s="10" t="str">
        <x:v>amortization</x:v>
      </x:c>
      <x:c r="AA1104" s="10" t="str">
        <x:v>mortgage calculator</x:v>
      </x:c>
      <x:c r="AB1104" s="10" t="str">
        <x:v>pay off loan</x:v>
      </x:c>
      <x:c r="AC1104" s="10" t="str">
        <x:v>debt payoff planner</x:v>
      </x:c>
      <x:c r="AD1104" s="10" t="str">
        <x:v>student loan payoff</x:v>
      </x:c>
      <x:c r="AE1104" s="10" t="str">
        <x:v>auto loan payoff</x:v>
      </x:c>
      <x:c r="AF1104" s="10" t="str">
        <x:v>no spreadsheet</x:v>
      </x:c>
      <x:c r="AG1104" s="10" t="str">
        <x:v>dark mode planner</x:v>
      </x:c>
      <x:c r="AH1104" s="10" t="str">
        <x:v>General loan calculator</x:v>
      </x:c>
      <x:c r="AI1104" s="13" t="n">
        <x:v>1</x:v>
      </x:c>
      <x:c r="AJ1104" s="10" t="str">
        <x:f>IF(F1104&gt;0,"Active","No est. sales")</x:f>
        <x:v>No est. sales</x:v>
      </x:c>
    </x:row>
    <x:row r="1105">
      <x:c r="A1105" s="10" t="str">
        <x:v>Mortgage Overpayment Calculator Spreadsheet Planner Excel and Google Sheets Template</x:v>
      </x:c>
      <x:c r="B1105" s="10" t="str">
        <x:v>https://www.etsy.com/listing/4536925507/mortgage-overpayment-calculator</x:v>
      </x:c>
      <x:c r="C1105" s="10" t="str">
        <x:v>JensengCreative</x:v>
      </x:c>
      <x:c r="D1105" s="10" t="str">
        <x:v>https://www.etsy.com/shop/JensengCreative</x:v>
      </x:c>
      <x:c r="E1105" s="11" t="n">
        <x:v>1.99</x:v>
      </x:c>
      <x:c r="F1105" s="10" t="n">
        <x:v>0</x:v>
      </x:c>
      <x:c r="G1105" s="12" t="n">
        <x:v>0</x:v>
      </x:c>
      <x:c r="H1105" s="13" t="n">
        <x:v>0</x:v>
      </x:c>
      <x:c r="I1105" s="10" t="n">
        <x:v>0</x:v>
      </x:c>
      <x:c r="J1105" s="10" t="n">
        <x:v>0</x:v>
      </x:c>
      <x:c r="K1105" s="10" t="str">
        <x:v>1 Mo.</x:v>
      </x:c>
      <x:c r="L1105" s="10" t="n">
        <x:v>0</x:v>
      </x:c>
      <x:c r="M1105" s="10" t="n">
        <x:v>0</x:v>
      </x:c>
      <x:c r="N1105" s="10" t="n">
        <x:v>2</x:v>
      </x:c>
      <x:c r="O1105" s="10" t="str"/>
      <x:c r="P1105" s="10" t="n">
        <x:v>1</x:v>
      </x:c>
      <x:c r="Q1105" s="10" t="n">
        <x:v>0</x:v>
      </x:c>
      <x:c r="R1105" s="13" t="n">
        <x:v>0</x:v>
      </x:c>
      <x:c r="S1105" s="10" t="n">
        <x:v>0</x:v>
      </x:c>
      <x:c r="T1105" s="10" t="str">
        <x:v>mortgage overpayment,mortgage payoff,home loan tracker,overpay mortgage,mortgage calculator,overpayment planner,home finances,mortgage free,debt free journey,money spreadsheet,interest calculator,excel template,google sheets</x:v>
      </x:c>
      <x:c r="U1105" s="10" t="str">
        <x:v>mortgage overpayment</x:v>
      </x:c>
      <x:c r="V1105" s="10" t="str">
        <x:v>mortgage payoff</x:v>
      </x:c>
      <x:c r="W1105" s="10" t="str">
        <x:v>home loan tracker</x:v>
      </x:c>
      <x:c r="X1105" s="10" t="str">
        <x:v>overpay mortgage</x:v>
      </x:c>
      <x:c r="Y1105" s="10" t="str">
        <x:v>mortgage calculator</x:v>
      </x:c>
      <x:c r="Z1105" s="10" t="str">
        <x:v>overpayment planner</x:v>
      </x:c>
      <x:c r="AA1105" s="10" t="str">
        <x:v>home finances</x:v>
      </x:c>
      <x:c r="AB1105" s="10" t="str">
        <x:v>mortgage free</x:v>
      </x:c>
      <x:c r="AC1105" s="10" t="str">
        <x:v>debt free journey</x:v>
      </x:c>
      <x:c r="AD1105" s="10" t="str">
        <x:v>money spreadsheet</x:v>
      </x:c>
      <x:c r="AE1105" s="10" t="str">
        <x:v>interest calculator</x:v>
      </x:c>
      <x:c r="AF1105" s="10" t="str">
        <x:v>excel template</x:v>
      </x:c>
      <x:c r="AG1105" s="10" t="str">
        <x:v>google sheets</x:v>
      </x:c>
      <x:c r="AH1105" s="10" t="str">
        <x:v>Other mortgage-related</x:v>
      </x:c>
      <x:c r="AI1105" s="13" t="n">
        <x:v>1</x:v>
      </x:c>
      <x:c r="AJ1105" s="10" t="str">
        <x:f>IF(F1105&gt;0,"Active","No est. sales")</x:f>
        <x:v>No est. sales</x:v>
      </x:c>
    </x:row>
    <x:row r="1106">
      <x:c r="A1106" s="10" t="str">
        <x:v>15 Year Mortgage Payoff Tracker Coloring Page / Pay off, Debt Tracker, Progress Planner Sheet / Instant Digital Download, Printable</x:v>
      </x:c>
      <x:c r="B1106" s="10" t="str">
        <x:v>https://www.etsy.com/listing/1407395682/15-year-mortgage-payoff-tracker-coloring</x:v>
      </x:c>
      <x:c r="C1106" s="10" t="str">
        <x:v>WildWonderfulLiving</x:v>
      </x:c>
      <x:c r="D1106" s="10" t="str">
        <x:v>https://www.etsy.com/shop/WildWonderfulLiving</x:v>
      </x:c>
      <x:c r="E1106" s="11" t="n">
        <x:v>2</x:v>
      </x:c>
      <x:c r="F1106" s="10" t="n">
        <x:v>0</x:v>
      </x:c>
      <x:c r="G1106" s="12" t="n">
        <x:v>0</x:v>
      </x:c>
      <x:c r="H1106" s="13" t="n">
        <x:v>0</x:v>
      </x:c>
      <x:c r="I1106" s="10" t="n">
        <x:v>0</x:v>
      </x:c>
      <x:c r="J1106" s="10" t="n">
        <x:v>0</x:v>
      </x:c>
      <x:c r="K1106" s="10" t="str">
        <x:v>39 Mo.</x:v>
      </x:c>
      <x:c r="L1106" s="10" t="n">
        <x:v>2</x:v>
      </x:c>
      <x:c r="M1106" s="10" t="n">
        <x:v>0</x:v>
      </x:c>
      <x:c r="N1106" s="10" t="n">
        <x:v>82</x:v>
      </x:c>
      <x:c r="O1106" s="10" t="str">
        <x:v>Paper &amp; Party Supplies</x:v>
      </x:c>
      <x:c r="P1106" s="10" t="n">
        <x:v>52</x:v>
      </x:c>
      <x:c r="Q1106" s="10" t="n">
        <x:v>0</x:v>
      </x:c>
      <x:c r="R1106" s="13" t="n">
        <x:v>0</x:v>
      </x:c>
      <x:c r="S1106" s="10" t="n">
        <x:v>8</x:v>
      </x:c>
      <x:c r="T1106" s="10" t="str">
        <x:v>mortgage tracker,mortgage payoff,mortgage planner,mortgage,mortgage digital,instant download,money planner,money tracker,savings tracker,savings planner,house pay off,debt tracker,visual debt tracker</x:v>
      </x:c>
      <x:c r="U1106" s="10" t="str">
        <x:v>mortgage tracker</x:v>
      </x:c>
      <x:c r="V1106" s="10" t="str">
        <x:v>mortgage payoff</x:v>
      </x:c>
      <x:c r="W1106" s="10" t="str">
        <x:v>mortgage planner</x:v>
      </x:c>
      <x:c r="X1106" s="10" t="str">
        <x:v>mortgage</x:v>
      </x:c>
      <x:c r="Y1106" s="10" t="str">
        <x:v>mortgage digital</x:v>
      </x:c>
      <x:c r="Z1106" s="10" t="str">
        <x:v>instant download</x:v>
      </x:c>
      <x:c r="AA1106" s="10" t="str">
        <x:v>money planner</x:v>
      </x:c>
      <x:c r="AB1106" s="10" t="str">
        <x:v>money tracker</x:v>
      </x:c>
      <x:c r="AC1106" s="10" t="str">
        <x:v>savings tracker</x:v>
      </x:c>
      <x:c r="AD1106" s="10" t="str">
        <x:v>savings planner</x:v>
      </x:c>
      <x:c r="AE1106" s="10" t="str">
        <x:v>house pay off</x:v>
      </x:c>
      <x:c r="AF1106" s="10" t="str">
        <x:v>debt tracker</x:v>
      </x:c>
      <x:c r="AG1106" s="10" t="str">
        <x:v>visual debt tracker</x:v>
      </x:c>
      <x:c r="AH1106" s="10" t="str">
        <x:v>General debt payoff</x:v>
      </x:c>
      <x:c r="AI1106" s="13" t="n">
        <x:v>39</x:v>
      </x:c>
      <x:c r="AJ1106" s="10" t="str">
        <x:f>IF(F1106&gt;0,"Active","No est. sales")</x:f>
        <x:v>No est. sales</x:v>
      </x:c>
    </x:row>
    <x:row r="1107">
      <x:c r="A1107" s="10" t="str">
        <x:v>MONTHLY BUDGET PLANNER- template</x:v>
      </x:c>
      <x:c r="B1107" s="10" t="str">
        <x:v>https://www.etsy.com/listing/1543738438/monthly-budget-planner-template</x:v>
      </x:c>
      <x:c r="C1107" s="10" t="str">
        <x:v>MEDICINEMADNESS</x:v>
      </x:c>
      <x:c r="D1107" s="10" t="str">
        <x:v>https://www.etsy.com/shop/MEDICINEMADNESS</x:v>
      </x:c>
      <x:c r="E1107" s="11" t="n">
        <x:v>4.12</x:v>
      </x:c>
      <x:c r="F1107" s="10" t="n">
        <x:v>0</x:v>
      </x:c>
      <x:c r="G1107" s="12" t="n">
        <x:v>0</x:v>
      </x:c>
      <x:c r="H1107" s="13" t="n">
        <x:v>0</x:v>
      </x:c>
      <x:c r="I1107" s="10" t="n">
        <x:v>0</x:v>
      </x:c>
      <x:c r="J1107" s="10" t="n">
        <x:v>0</x:v>
      </x:c>
      <x:c r="K1107" s="10" t="str">
        <x:v>19 Mo.</x:v>
      </x:c>
      <x:c r="L1107" s="10" t="n">
        <x:v>0</x:v>
      </x:c>
      <x:c r="M1107" s="10" t="n">
        <x:v>0</x:v>
      </x:c>
      <x:c r="N1107" s="10" t="n">
        <x:v>10</x:v>
      </x:c>
      <x:c r="O1107" s="10" t="str">
        <x:v>Paper &amp; Party Supplies</x:v>
      </x:c>
      <x:c r="P1107" s="10" t="n">
        <x:v>19</x:v>
      </x:c>
      <x:c r="Q1107" s="10" t="n">
        <x:v>0</x:v>
      </x:c>
      <x:c r="R1107" s="13" t="n">
        <x:v>0</x:v>
      </x:c>
      <x:c r="S1107" s="10" t="n">
        <x:v>6</x:v>
      </x:c>
      <x:c r="T1107" s="10" t="str">
        <x:v>minimalist planner,budget planner,student planner,planner,budget,savings,savings binder,budget binder,mortgage planner,mortgage savings,masters degree,accounts,investment</x:v>
      </x:c>
      <x:c r="U1107" s="10" t="str">
        <x:v>minimalist planner</x:v>
      </x:c>
      <x:c r="V1107" s="10" t="str">
        <x:v>budget planner</x:v>
      </x:c>
      <x:c r="W1107" s="10" t="str">
        <x:v>student planner</x:v>
      </x:c>
      <x:c r="X1107" s="10" t="str">
        <x:v>planner</x:v>
      </x:c>
      <x:c r="Y1107" s="10" t="str">
        <x:v>budget</x:v>
      </x:c>
      <x:c r="Z1107" s="10" t="str">
        <x:v>savings</x:v>
      </x:c>
      <x:c r="AA1107" s="10" t="str">
        <x:v>savings binder</x:v>
      </x:c>
      <x:c r="AB1107" s="10" t="str">
        <x:v>budget binder</x:v>
      </x:c>
      <x:c r="AC1107" s="10" t="str">
        <x:v>mortgage planner</x:v>
      </x:c>
      <x:c r="AD1107" s="10" t="str">
        <x:v>mortgage savings</x:v>
      </x:c>
      <x:c r="AE1107" s="10" t="str">
        <x:v>masters degree</x:v>
      </x:c>
      <x:c r="AF1107" s="10" t="str">
        <x:v>accounts</x:v>
      </x:c>
      <x:c r="AG1107" s="10" t="str">
        <x:v>investment</x:v>
      </x:c>
      <x:c r="AH1107" s="10" t="str">
        <x:v>Other mortgage-related</x:v>
      </x:c>
      <x:c r="AI1107" s="13" t="n">
        <x:v>19</x:v>
      </x:c>
      <x:c r="AJ1107" s="10" t="str">
        <x:f>IF(F1107&gt;0,"Active","No est. sales")</x:f>
        <x:v>No est. sales</x:v>
      </x:c>
    </x:row>
    <x:row r="1108">
      <x:c r="A1108" s="10" t="str">
        <x:v>Mortgage Calculator Excel | Loan Amortization Schedule | Extra Payments Simulator | Loan Comparison | Debt Payoff Tool</x:v>
      </x:c>
      <x:c r="B1108" s="10" t="str">
        <x:v>https://www.etsy.com/listing/4422200740/mortgage-calculator-excel-loan</x:v>
      </x:c>
      <x:c r="C1108" s="10" t="str">
        <x:v>FloydsDigitalStudio</x:v>
      </x:c>
      <x:c r="D1108" s="10" t="str">
        <x:v>https://www.etsy.com/shop/FloydsDigitalStudio</x:v>
      </x:c>
      <x:c r="E1108" s="11" t="n">
        <x:v>5.72</x:v>
      </x:c>
      <x:c r="F1108" s="10" t="n">
        <x:v>0</x:v>
      </x:c>
      <x:c r="G1108" s="12" t="n">
        <x:v>0</x:v>
      </x:c>
      <x:c r="H1108" s="13" t="n">
        <x:v>0</x:v>
      </x:c>
      <x:c r="I1108" s="10" t="n">
        <x:v>0</x:v>
      </x:c>
      <x:c r="J1108" s="10" t="n">
        <x:v>0</x:v>
      </x:c>
      <x:c r="K1108" s="10" t="str">
        <x:v>4 Mo.</x:v>
      </x:c>
      <x:c r="L1108" s="10" t="n">
        <x:v>0</x:v>
      </x:c>
      <x:c r="M1108" s="10" t="n">
        <x:v>0</x:v>
      </x:c>
      <x:c r="N1108" s="10" t="n">
        <x:v>20</x:v>
      </x:c>
      <x:c r="O1108" s="10" t="str"/>
      <x:c r="P1108" s="10" t="n">
        <x:v>4</x:v>
      </x:c>
      <x:c r="Q1108" s="10" t="n">
        <x:v>0</x:v>
      </x:c>
      <x:c r="R1108" s="13" t="n">
        <x:v>0</x:v>
      </x:c>
      <x:c r="S1108" s="10" t="n">
        <x:v>1</x:v>
      </x:c>
      <x:c r="T1108" s="10" t="str">
        <x:v>mortgage calculator,loan calculator,amortization schedul,debt payoff,mortgage payoff,loan comparison,extra payment,financial planner,budget spreadsheet,home loan,refinance calculator,excel template,google sheets</x:v>
      </x:c>
      <x:c r="U1108" s="10" t="str">
        <x:v>mortgage calculator</x:v>
      </x:c>
      <x:c r="V1108" s="10" t="str">
        <x:v>loan calculator</x:v>
      </x:c>
      <x:c r="W1108" s="10" t="str">
        <x:v>amortization schedul</x:v>
      </x:c>
      <x:c r="X1108" s="10" t="str">
        <x:v>debt payoff</x:v>
      </x:c>
      <x:c r="Y1108" s="10" t="str">
        <x:v>mortgage payoff</x:v>
      </x:c>
      <x:c r="Z1108" s="10" t="str">
        <x:v>loan comparison</x:v>
      </x:c>
      <x:c r="AA1108" s="10" t="str">
        <x:v>extra payment</x:v>
      </x:c>
      <x:c r="AB1108" s="10" t="str">
        <x:v>financial planner</x:v>
      </x:c>
      <x:c r="AC1108" s="10" t="str">
        <x:v>budget spreadsheet</x:v>
      </x:c>
      <x:c r="AD1108" s="10" t="str">
        <x:v>home loan</x:v>
      </x:c>
      <x:c r="AE1108" s="10" t="str">
        <x:v>refinance calculator</x:v>
      </x:c>
      <x:c r="AF1108" s="10" t="str">
        <x:v>excel template</x:v>
      </x:c>
      <x:c r="AG1108" s="10" t="str">
        <x:v>google sheets</x:v>
      </x:c>
      <x:c r="AH1108" s="10" t="str">
        <x:v>Mortgage payoff / calculator</x:v>
      </x:c>
      <x:c r="AI1108" s="13" t="n">
        <x:v>4</x:v>
      </x:c>
      <x:c r="AJ1108" s="10" t="str">
        <x:f>IF(F1108&gt;0,"Active","No est. sales")</x:f>
        <x:v>No est. sales</x:v>
      </x:c>
    </x:row>
    <x:row r="1109">
      <x:c r="A1109" s="10" t="str">
        <x:v>Google Sheets Snowball and Avalanche Calculator, Debt Payoff Spreadsheet in Neutral Pink and Green</x:v>
      </x:c>
      <x:c r="B1109" s="10" t="str">
        <x:v>https://www.etsy.com/listing/4399465979/google-sheets-snowball-and-avalanche</x:v>
      </x:c>
      <x:c r="C1109" s="10" t="str">
        <x:v>TheBudgetingStudio</x:v>
      </x:c>
      <x:c r="D1109" s="10" t="str">
        <x:v>https://www.etsy.com/shop/TheBudgetingStudio</x:v>
      </x:c>
      <x:c r="E1109" s="11" t="n">
        <x:v>8.37</x:v>
      </x:c>
      <x:c r="F1109" s="10" t="n">
        <x:v>0</x:v>
      </x:c>
      <x:c r="G1109" s="12" t="n">
        <x:v>0</x:v>
      </x:c>
      <x:c r="H1109" s="13" t="n">
        <x:v>0</x:v>
      </x:c>
      <x:c r="I1109" s="10" t="n">
        <x:v>0</x:v>
      </x:c>
      <x:c r="J1109" s="10" t="n">
        <x:v>0</x:v>
      </x:c>
      <x:c r="K1109" s="10" t="str">
        <x:v>7 Mo.</x:v>
      </x:c>
      <x:c r="L1109" s="10" t="n">
        <x:v>1</x:v>
      </x:c>
      <x:c r="M1109" s="10" t="n">
        <x:v>0</x:v>
      </x:c>
      <x:c r="N1109" s="10" t="n">
        <x:v>25</x:v>
      </x:c>
      <x:c r="O1109" s="10" t="str"/>
      <x:c r="P1109" s="10" t="n">
        <x:v>8</x:v>
      </x:c>
      <x:c r="Q1109" s="10" t="n">
        <x:v>0</x:v>
      </x:c>
      <x:c r="R1109" s="13" t="n">
        <x:v>0</x:v>
      </x:c>
      <x:c r="S1109" s="10" t="n">
        <x:v>6</x:v>
      </x:c>
      <x:c r="T1109" s="10" t="str">
        <x:v>debt avalanche,debt payment tracker,credit card debt,mortgage payoff,loan payoff tracker,student loan debt,debt free planner,snowball method,car payoff tracker,personal finance,google sheets budget,dave ramsey,financial freedom</x:v>
      </x:c>
      <x:c r="U1109" s="10" t="str">
        <x:v>debt avalanche</x:v>
      </x:c>
      <x:c r="V1109" s="10" t="str">
        <x:v>debt payment tracker</x:v>
      </x:c>
      <x:c r="W1109" s="10" t="str">
        <x:v>credit card debt</x:v>
      </x:c>
      <x:c r="X1109" s="10" t="str">
        <x:v>mortgage payoff</x:v>
      </x:c>
      <x:c r="Y1109" s="10" t="str">
        <x:v>loan payoff tracker</x:v>
      </x:c>
      <x:c r="Z1109" s="10" t="str">
        <x:v>student loan debt</x:v>
      </x:c>
      <x:c r="AA1109" s="10" t="str">
        <x:v>debt free planner</x:v>
      </x:c>
      <x:c r="AB1109" s="10" t="str">
        <x:v>snowball method</x:v>
      </x:c>
      <x:c r="AC1109" s="10" t="str">
        <x:v>car payoff tracker</x:v>
      </x:c>
      <x:c r="AD1109" s="10" t="str">
        <x:v>personal finance</x:v>
      </x:c>
      <x:c r="AE1109" s="10" t="str">
        <x:v>google sheets budget</x:v>
      </x:c>
      <x:c r="AF1109" s="10" t="str">
        <x:v>dave ramsey</x:v>
      </x:c>
      <x:c r="AG1109" s="10" t="str">
        <x:v>financial freedom</x:v>
      </x:c>
      <x:c r="AH1109" s="10" t="str">
        <x:v>General debt payoff</x:v>
      </x:c>
      <x:c r="AI1109" s="13" t="n">
        <x:v>7</x:v>
      </x:c>
      <x:c r="AJ1109" s="10" t="str">
        <x:f>IF(F1109&gt;0,"Active","No est. sales")</x:f>
        <x:v>No est. sales</x:v>
      </x:c>
    </x:row>
    <x:row r="1110">
      <x:c r="A1110" s="10" t="str">
        <x:v>Funny Loan Officer Journal, Loan Officer Notebook Gift, Gift for Loan Officer, Mortgage Planner Journal, Loan Finance Notebook Gift</x:v>
      </x:c>
      <x:c r="B1110" s="10" t="str">
        <x:v>https://www.etsy.com/listing/4317019140/funny-loan-officer-journal-loan-officer</x:v>
      </x:c>
      <x:c r="C1110" s="10" t="str">
        <x:v>TheKingsCut</x:v>
      </x:c>
      <x:c r="D1110" s="10" t="str">
        <x:v>https://www.etsy.com/shop/TheKingsCut</x:v>
      </x:c>
      <x:c r="E1110" s="11" t="n">
        <x:v>20.49</x:v>
      </x:c>
      <x:c r="F1110" s="10" t="n">
        <x:v>0</x:v>
      </x:c>
      <x:c r="G1110" s="12" t="n">
        <x:v>0</x:v>
      </x:c>
      <x:c r="H1110" s="13" t="n">
        <x:v>0</x:v>
      </x:c>
      <x:c r="I1110" s="10" t="n">
        <x:v>0</x:v>
      </x:c>
      <x:c r="J1110" s="10" t="n">
        <x:v>0</x:v>
      </x:c>
      <x:c r="K1110" s="10" t="str">
        <x:v>13 Mo.</x:v>
      </x:c>
      <x:c r="L1110" s="10" t="n">
        <x:v>5</x:v>
      </x:c>
      <x:c r="M1110" s="10" t="n">
        <x:v>0</x:v>
      </x:c>
      <x:c r="N1110" s="10" t="n">
        <x:v>57</x:v>
      </x:c>
      <x:c r="O1110" s="10" t="str">
        <x:v>Books, Movies &amp; Music</x:v>
      </x:c>
      <x:c r="P1110" s="10" t="n">
        <x:v>21</x:v>
      </x:c>
      <x:c r="Q1110" s="10" t="n">
        <x:v>0</x:v>
      </x:c>
      <x:c r="R1110" s="13" t="n">
        <x:v>0</x:v>
      </x:c>
      <x:c r="S1110" s="10" t="n">
        <x:v>61</x:v>
      </x:c>
      <x:c r="T1110" s="10" t="str">
        <x:v>loan officer gift,loan officer journal,loan officer book,loan officer noteboo,gift for loan office,mortgage broker gift,broker journal,mortgage notebook,gift for him,gift for her,unique loan gift,financial gift book,finance journal gift</x:v>
      </x:c>
      <x:c r="U1110" s="10" t="str">
        <x:v>loan officer gift</x:v>
      </x:c>
      <x:c r="V1110" s="10" t="str">
        <x:v>loan officer journal</x:v>
      </x:c>
      <x:c r="W1110" s="10" t="str">
        <x:v>loan officer book</x:v>
      </x:c>
      <x:c r="X1110" s="10" t="str">
        <x:v>loan officer noteboo</x:v>
      </x:c>
      <x:c r="Y1110" s="10" t="str">
        <x:v>gift for loan office</x:v>
      </x:c>
      <x:c r="Z1110" s="10" t="str">
        <x:v>mortgage broker gift</x:v>
      </x:c>
      <x:c r="AA1110" s="10" t="str">
        <x:v>broker journal</x:v>
      </x:c>
      <x:c r="AB1110" s="10" t="str">
        <x:v>mortgage notebook</x:v>
      </x:c>
      <x:c r="AC1110" s="10" t="str">
        <x:v>gift for him</x:v>
      </x:c>
      <x:c r="AD1110" s="10" t="str">
        <x:v>gift for her</x:v>
      </x:c>
      <x:c r="AE1110" s="10" t="str">
        <x:v>unique loan gift</x:v>
      </x:c>
      <x:c r="AF1110" s="10" t="str">
        <x:v>financial gift book</x:v>
      </x:c>
      <x:c r="AG1110" s="10" t="str">
        <x:v>finance journal gift</x:v>
      </x:c>
      <x:c r="AH1110" s="10" t="str">
        <x:v>Loan officer / B2B</x:v>
      </x:c>
      <x:c r="AI1110" s="13" t="n">
        <x:v>13</x:v>
      </x:c>
      <x:c r="AJ1110" s="10" t="str">
        <x:f>IF(F1110&gt;0,"Active","No est. sales")</x:f>
        <x:v>No est. sales</x:v>
      </x:c>
    </x:row>
    <x:row r="1111">
      <x:c r="A1111" s="10" t="str">
        <x:v>Wanna Buy a House? Spiral Notebook | Real Estate Agent Notebook</x:v>
      </x:c>
      <x:c r="B1111" s="10" t="str">
        <x:v>https://www.etsy.com/listing/4436434472/wanna-buy-a-house-spiral-notebook-real</x:v>
      </x:c>
      <x:c r="C1111" s="10" t="str">
        <x:v>MarketingMamasShop</x:v>
      </x:c>
      <x:c r="D1111" s="10" t="str">
        <x:v>https://www.etsy.com/shop/MarketingMamasShop</x:v>
      </x:c>
      <x:c r="E1111" s="11" t="n">
        <x:v>13</x:v>
      </x:c>
      <x:c r="F1111" s="10" t="n">
        <x:v>0</x:v>
      </x:c>
      <x:c r="G1111" s="12" t="n">
        <x:v>0</x:v>
      </x:c>
      <x:c r="H1111" s="13" t="n">
        <x:v>0</x:v>
      </x:c>
      <x:c r="I1111" s="10" t="n">
        <x:v>0</x:v>
      </x:c>
      <x:c r="J1111" s="10" t="n">
        <x:v>0</x:v>
      </x:c>
      <x:c r="K1111" s="10" t="str">
        <x:v>6 Mo.</x:v>
      </x:c>
      <x:c r="L1111" s="10" t="n">
        <x:v>0</x:v>
      </x:c>
      <x:c r="M1111" s="10" t="n">
        <x:v>0</x:v>
      </x:c>
      <x:c r="N1111" s="10" t="n">
        <x:v>14</x:v>
      </x:c>
      <x:c r="O1111" s="10" t="str">
        <x:v>Books, Movies &amp; Music</x:v>
      </x:c>
      <x:c r="P1111" s="10" t="n">
        <x:v>33</x:v>
      </x:c>
      <x:c r="Q1111" s="10" t="n">
        <x:v>0</x:v>
      </x:c>
      <x:c r="R1111" s="13" t="n">
        <x:v>0</x:v>
      </x:c>
      <x:c r="S1111" s="10" t="n">
        <x:v>696</x:v>
      </x:c>
      <x:c r="T1111" s="10" t="str">
        <x:v>spiral notebook,homebuyer gift,real estate,house hunting,mortgage planner,home goals,buyer planner,gift for realtor,closing checklist,property journal,new home gift,housewarming gift,real estate agent</x:v>
      </x:c>
      <x:c r="U1111" s="10" t="str">
        <x:v>spiral notebook</x:v>
      </x:c>
      <x:c r="V1111" s="10" t="str">
        <x:v>homebuyer gift</x:v>
      </x:c>
      <x:c r="W1111" s="10" t="str">
        <x:v>real estate</x:v>
      </x:c>
      <x:c r="X1111" s="10" t="str">
        <x:v>house hunting</x:v>
      </x:c>
      <x:c r="Y1111" s="10" t="str">
        <x:v>mortgage planner</x:v>
      </x:c>
      <x:c r="Z1111" s="10" t="str">
        <x:v>home goals</x:v>
      </x:c>
      <x:c r="AA1111" s="10" t="str">
        <x:v>buyer planner</x:v>
      </x:c>
      <x:c r="AB1111" s="10" t="str">
        <x:v>gift for realtor</x:v>
      </x:c>
      <x:c r="AC1111" s="10" t="str">
        <x:v>closing checklist</x:v>
      </x:c>
      <x:c r="AD1111" s="10" t="str">
        <x:v>property journal</x:v>
      </x:c>
      <x:c r="AE1111" s="10" t="str">
        <x:v>new home gift</x:v>
      </x:c>
      <x:c r="AF1111" s="10" t="str">
        <x:v>housewarming gift</x:v>
      </x:c>
      <x:c r="AG1111" s="10" t="str">
        <x:v>real estate agent</x:v>
      </x:c>
      <x:c r="AH1111" s="10" t="str">
        <x:v>Home buying planner</x:v>
      </x:c>
      <x:c r="AI1111" s="13" t="n">
        <x:v>6</x:v>
      </x:c>
      <x:c r="AJ1111" s="10" t="str">
        <x:f>IF(F1111&gt;0,"Active","No est. sales")</x:f>
        <x:v>No est. sales</x:v>
      </x:c>
    </x:row>
    <x:row r="1112">
      <x:c r="A1112" s="10" t="str">
        <x:v>Pay Rent Script Printable Planner Stickers | Digital Planner Sticker Download | Bible Journaling Stickers</x:v>
      </x:c>
      <x:c r="B1112" s="10" t="str">
        <x:v>https://www.etsy.com/listing/4425719658/pay-rent-script-printable-planner</x:v>
      </x:c>
      <x:c r="C1112" s="10" t="str">
        <x:v>biblejournalstickers</x:v>
      </x:c>
      <x:c r="D1112" s="10" t="str">
        <x:v>https://www.etsy.com/shop/biblejournalstickers</x:v>
      </x:c>
      <x:c r="E1112" s="11" t="n">
        <x:v>1.5</x:v>
      </x:c>
      <x:c r="F1112" s="10" t="n">
        <x:v>0</x:v>
      </x:c>
      <x:c r="G1112" s="12" t="n">
        <x:v>0</x:v>
      </x:c>
      <x:c r="H1112" s="13" t="n">
        <x:v>0</x:v>
      </x:c>
      <x:c r="I1112" s="10" t="n">
        <x:v>0</x:v>
      </x:c>
      <x:c r="J1112" s="10" t="n">
        <x:v>0</x:v>
      </x:c>
      <x:c r="K1112" s="10" t="str">
        <x:v>7 Mo.</x:v>
      </x:c>
      <x:c r="L1112" s="10" t="n">
        <x:v>2</x:v>
      </x:c>
      <x:c r="M1112" s="10" t="n">
        <x:v>0</x:v>
      </x:c>
      <x:c r="N1112" s="10" t="n">
        <x:v>0</x:v>
      </x:c>
      <x:c r="O1112" s="10" t="str">
        <x:v>Paper &amp; Party Supplies</x:v>
      </x:c>
      <x:c r="P1112" s="10" t="n">
        <x:v>8</x:v>
      </x:c>
      <x:c r="Q1112" s="10" t="n">
        <x:v>0</x:v>
      </x:c>
      <x:c r="R1112" s="13" t="n">
        <x:v>0</x:v>
      </x:c>
      <x:c r="S1112" s="10" t="n">
        <x:v>100</x:v>
      </x:c>
      <x:c r="T1112" s="10" t="str">
        <x:v>journaling stickers,planner stickers,planner scripts,printable,digital,printable stickers,bujo stickers,hobonichi,script stickers,pay rent stickers,pay rent,pay mortgage,bill stickers</x:v>
      </x:c>
      <x:c r="U1112" s="10" t="str">
        <x:v>journaling stickers</x:v>
      </x:c>
      <x:c r="V1112" s="10" t="str">
        <x:v>planner stickers</x:v>
      </x:c>
      <x:c r="W1112" s="10" t="str">
        <x:v>planner scripts</x:v>
      </x:c>
      <x:c r="X1112" s="10" t="str">
        <x:v>printable</x:v>
      </x:c>
      <x:c r="Y1112" s="10" t="str">
        <x:v>digital</x:v>
      </x:c>
      <x:c r="Z1112" s="10" t="str">
        <x:v>printable stickers</x:v>
      </x:c>
      <x:c r="AA1112" s="10" t="str">
        <x:v>bujo stickers</x:v>
      </x:c>
      <x:c r="AB1112" s="10" t="str">
        <x:v>hobonichi</x:v>
      </x:c>
      <x:c r="AC1112" s="10" t="str">
        <x:v>script stickers</x:v>
      </x:c>
      <x:c r="AD1112" s="10" t="str">
        <x:v>pay rent stickers</x:v>
      </x:c>
      <x:c r="AE1112" s="10" t="str">
        <x:v>pay rent</x:v>
      </x:c>
      <x:c r="AF1112" s="10" t="str">
        <x:v>pay mortgage</x:v>
      </x:c>
      <x:c r="AG1112" s="10" t="str">
        <x:v>bill stickers</x:v>
      </x:c>
      <x:c r="AH1112" s="10" t="str">
        <x:v>Other mortgage-related</x:v>
      </x:c>
      <x:c r="AI1112" s="13" t="n">
        <x:v>7</x:v>
      </x:c>
      <x:c r="AJ1112" s="10" t="str">
        <x:f>IF(F1112&gt;0,"Active","No est. sales")</x:f>
        <x:v>No est. sales</x:v>
      </x:c>
    </x:row>
    <x:row r="1113">
      <x:c r="A1113" s="10" t="str">
        <x:v>Home Printable Planner Stickers Mortgage Planner Stickers for Erin Condren Planner Rent Functional Stickers Budget Stickers Bill Due Sticker</x:v>
      </x:c>
      <x:c r="B1113" s="10" t="str">
        <x:v>https://www.etsy.com/listing/569160552/home-printable-planner-stickers-mortgage</x:v>
      </x:c>
      <x:c r="C1113" s="10" t="str">
        <x:v>loveplannerprintable</x:v>
      </x:c>
      <x:c r="D1113" s="10" t="str">
        <x:v>https://www.etsy.com/shop/loveplannerprintable</x:v>
      </x:c>
      <x:c r="E1113" s="11" t="n">
        <x:v>4.5</x:v>
      </x:c>
      <x:c r="F1113" s="10" t="n">
        <x:v>0</x:v>
      </x:c>
      <x:c r="G1113" s="12" t="n">
        <x:v>0</x:v>
      </x:c>
      <x:c r="H1113" s="13" t="n">
        <x:v>0</x:v>
      </x:c>
      <x:c r="I1113" s="10" t="n">
        <x:v>7</x:v>
      </x:c>
      <x:c r="J1113" s="10" t="n">
        <x:v>1</x:v>
      </x:c>
      <x:c r="K1113" s="10" t="str">
        <x:v>103 Mo.</x:v>
      </x:c>
      <x:c r="L1113" s="10" t="n">
        <x:v>26</x:v>
      </x:c>
      <x:c r="M1113" s="10" t="n">
        <x:v>0</x:v>
      </x:c>
      <x:c r="N1113" s="10" t="n">
        <x:v>173</x:v>
      </x:c>
      <x:c r="O1113" s="10" t="str">
        <x:v>Paper &amp; Party Supplies</x:v>
      </x:c>
      <x:c r="P1113" s="10" t="n">
        <x:v>124</x:v>
      </x:c>
      <x:c r="Q1113" s="10" t="n">
        <x:v>0</x:v>
      </x:c>
      <x:c r="R1113" s="13" t="n">
        <x:v>4.05</x:v>
      </x:c>
      <x:c r="S1113" s="10" t="n">
        <x:v>9564</x:v>
      </x:c>
      <x:c r="T1113" s="10" t="str">
        <x:v>planner,planner stickers,printable stickers,printable planner,digital printable,digital planner,functional stickers,cut file,bill payment,bill tracker sticker,bill due,mortgage planner</x:v>
      </x:c>
      <x:c r="U1113" s="10" t="str">
        <x:v>planner</x:v>
      </x:c>
      <x:c r="V1113" s="10" t="str">
        <x:v>planner stickers</x:v>
      </x:c>
      <x:c r="W1113" s="10" t="str">
        <x:v>printable stickers</x:v>
      </x:c>
      <x:c r="X1113" s="10" t="str">
        <x:v>printable planner</x:v>
      </x:c>
      <x:c r="Y1113" s="10" t="str">
        <x:v>digital printable</x:v>
      </x:c>
      <x:c r="Z1113" s="10" t="str">
        <x:v>digital planner</x:v>
      </x:c>
      <x:c r="AA1113" s="10" t="str">
        <x:v>functional stickers</x:v>
      </x:c>
      <x:c r="AB1113" s="10" t="str">
        <x:v>cut file</x:v>
      </x:c>
      <x:c r="AC1113" s="10" t="str">
        <x:v>bill payment</x:v>
      </x:c>
      <x:c r="AD1113" s="10" t="str">
        <x:v>bill tracker sticker</x:v>
      </x:c>
      <x:c r="AE1113" s="10" t="str">
        <x:v>bill due</x:v>
      </x:c>
      <x:c r="AF1113" s="10" t="str">
        <x:v>mortgage planner</x:v>
      </x:c>
      <x:c r="AG1113" s="10" t="str">
        <x:v>--</x:v>
      </x:c>
      <x:c r="AH1113" s="10" t="str">
        <x:v>Other mortgage-related</x:v>
      </x:c>
      <x:c r="AI1113" s="13" t="n">
        <x:v>103</x:v>
      </x:c>
      <x:c r="AJ1113" s="10" t="str">
        <x:f>IF(F1113&gt;0,"Active","No est. sales")</x:f>
        <x:v>No est. sales</x:v>
      </x:c>
    </x:row>
    <x:row r="1114">
      <x:c r="A1114" s="10" t="str">
        <x:v>Home Buying Budget Worksheets, Printable First Time Home Buyer Planner, Realtor Lead Magnet PDF</x:v>
      </x:c>
      <x:c r="B1114" s="10" t="str">
        <x:v>https://www.etsy.com/listing/4510001471/home-buying-budget-worksheets-printable</x:v>
      </x:c>
      <x:c r="C1114" s="10" t="str">
        <x:v>HatchEssentials</x:v>
      </x:c>
      <x:c r="D1114" s="10" t="str">
        <x:v>https://www.etsy.com/shop/HatchEssentials</x:v>
      </x:c>
      <x:c r="E1114" s="11" t="n">
        <x:v>9.99</x:v>
      </x:c>
      <x:c r="F1114" s="10" t="n">
        <x:v>0</x:v>
      </x:c>
      <x:c r="G1114" s="12" t="n">
        <x:v>0</x:v>
      </x:c>
      <x:c r="H1114" s="13" t="n">
        <x:v>0</x:v>
      </x:c>
      <x:c r="I1114" s="10" t="n">
        <x:v>0</x:v>
      </x:c>
      <x:c r="J1114" s="10" t="n">
        <x:v>0</x:v>
      </x:c>
      <x:c r="K1114" s="10" t="str">
        <x:v>2 Mo.</x:v>
      </x:c>
      <x:c r="L1114" s="10" t="n">
        <x:v>0</x:v>
      </x:c>
      <x:c r="M1114" s="10" t="n">
        <x:v>0</x:v>
      </x:c>
      <x:c r="N1114" s="10" t="n">
        <x:v>15</x:v>
      </x:c>
      <x:c r="O1114" s="10" t="str"/>
      <x:c r="P1114" s="10" t="n">
        <x:v>41</x:v>
      </x:c>
      <x:c r="Q1114" s="10" t="n">
        <x:v>0</x:v>
      </x:c>
      <x:c r="R1114" s="13" t="n">
        <x:v>0</x:v>
      </x:c>
      <x:c r="S1114" s="10" t="n">
        <x:v>681</x:v>
      </x:c>
      <x:c r="T1114" s="10" t="str">
        <x:v>home buying budget,homebuyer budget,first time buyer,buyer worksheet,budget worksheet,home buyer planner,mortgage planner,down payment,closing costs,house budget,realtor printable,buyer lead magnet,real estate pdf</x:v>
      </x:c>
      <x:c r="U1114" s="10" t="str">
        <x:v>home buying budget</x:v>
      </x:c>
      <x:c r="V1114" s="10" t="str">
        <x:v>homebuyer budget</x:v>
      </x:c>
      <x:c r="W1114" s="10" t="str">
        <x:v>first time buyer</x:v>
      </x:c>
      <x:c r="X1114" s="10" t="str">
        <x:v>buyer worksheet</x:v>
      </x:c>
      <x:c r="Y1114" s="10" t="str">
        <x:v>budget worksheet</x:v>
      </x:c>
      <x:c r="Z1114" s="10" t="str">
        <x:v>home buyer planner</x:v>
      </x:c>
      <x:c r="AA1114" s="10" t="str">
        <x:v>mortgage planner</x:v>
      </x:c>
      <x:c r="AB1114" s="10" t="str">
        <x:v>down payment</x:v>
      </x:c>
      <x:c r="AC1114" s="10" t="str">
        <x:v>closing costs</x:v>
      </x:c>
      <x:c r="AD1114" s="10" t="str">
        <x:v>house budget</x:v>
      </x:c>
      <x:c r="AE1114" s="10" t="str">
        <x:v>realtor printable</x:v>
      </x:c>
      <x:c r="AF1114" s="10" t="str">
        <x:v>buyer lead magnet</x:v>
      </x:c>
      <x:c r="AG1114" s="10" t="str">
        <x:v>real estate pdf</x:v>
      </x:c>
      <x:c r="AH1114" s="10" t="str">
        <x:v>Home buying planner</x:v>
      </x:c>
      <x:c r="AI1114" s="13" t="n">
        <x:v>2</x:v>
      </x:c>
      <x:c r="AJ1114" s="10" t="str">
        <x:f>IF(F1114&gt;0,"Active","No est. sales")</x:f>
        <x:v>No est. sales</x:v>
      </x:c>
    </x:row>
    <x:row r="1115">
      <x:c r="A1115" s="10" t="str">
        <x:v>Snowball Debt Payoff Tracker for Excel &amp; Googlesheets: with Payment Schedule and Monthly Dashboard</x:v>
      </x:c>
      <x:c r="B1115" s="10" t="str">
        <x:v>https://www.etsy.com/listing/4473225862/snowball-debt-payoff-tracker-for-excel</x:v>
      </x:c>
      <x:c r="C1115" s="10" t="str">
        <x:v>LivvyCreates</x:v>
      </x:c>
      <x:c r="D1115" s="10" t="str">
        <x:v>https://www.etsy.com/shop/LivvyCreates</x:v>
      </x:c>
      <x:c r="E1115" s="11" t="n">
        <x:v>2.79</x:v>
      </x:c>
      <x:c r="F1115" s="10" t="n">
        <x:v>0</x:v>
      </x:c>
      <x:c r="G1115" s="12" t="n">
        <x:v>0</x:v>
      </x:c>
      <x:c r="H1115" s="13" t="n">
        <x:v>0</x:v>
      </x:c>
      <x:c r="I1115" s="10" t="n">
        <x:v>0</x:v>
      </x:c>
      <x:c r="J1115" s="10" t="n">
        <x:v>0</x:v>
      </x:c>
      <x:c r="K1115" s="10" t="str">
        <x:v>4 Mo.</x:v>
      </x:c>
      <x:c r="L1115" s="10" t="n">
        <x:v>2</x:v>
      </x:c>
      <x:c r="M1115" s="10" t="n">
        <x:v>0</x:v>
      </x:c>
      <x:c r="N1115" s="10" t="n">
        <x:v>33</x:v>
      </x:c>
      <x:c r="O1115" s="10" t="str"/>
      <x:c r="P1115" s="10" t="n">
        <x:v>42</x:v>
      </x:c>
      <x:c r="Q1115" s="10" t="n">
        <x:v>0</x:v>
      </x:c>
      <x:c r="R1115" s="13" t="n">
        <x:v>0</x:v>
      </x:c>
      <x:c r="S1115" s="10" t="n">
        <x:v>1240</x:v>
      </x:c>
      <x:c r="T1115" s="10" t="str">
        <x:v>debt payoff tracker,snowball debt method,credit card payment,google sheet debt,excel debt planner,debt repayment,mortgage payments,debt reduction,credit card pay off,student loan payoff,debt spreadsheet,livvycreates,google sheets budget</x:v>
      </x:c>
      <x:c r="U1115" s="10" t="str">
        <x:v>debt payoff tracker</x:v>
      </x:c>
      <x:c r="V1115" s="10" t="str">
        <x:v>snowball debt method</x:v>
      </x:c>
      <x:c r="W1115" s="10" t="str">
        <x:v>credit card payment</x:v>
      </x:c>
      <x:c r="X1115" s="10" t="str">
        <x:v>google sheet debt</x:v>
      </x:c>
      <x:c r="Y1115" s="10" t="str">
        <x:v>excel debt planner</x:v>
      </x:c>
      <x:c r="Z1115" s="10" t="str">
        <x:v>debt repayment</x:v>
      </x:c>
      <x:c r="AA1115" s="10" t="str">
        <x:v>mortgage payments</x:v>
      </x:c>
      <x:c r="AB1115" s="10" t="str">
        <x:v>debt reduction</x:v>
      </x:c>
      <x:c r="AC1115" s="10" t="str">
        <x:v>credit card pay off</x:v>
      </x:c>
      <x:c r="AD1115" s="10" t="str">
        <x:v>student loan payoff</x:v>
      </x:c>
      <x:c r="AE1115" s="10" t="str">
        <x:v>debt spreadsheet</x:v>
      </x:c>
      <x:c r="AF1115" s="10" t="str">
        <x:v>livvycreates</x:v>
      </x:c>
      <x:c r="AG1115" s="10" t="str">
        <x:v>google sheets budget</x:v>
      </x:c>
      <x:c r="AH1115" s="10" t="str">
        <x:v>General debt payoff</x:v>
      </x:c>
      <x:c r="AI1115" s="13" t="n">
        <x:v>4</x:v>
      </x:c>
      <x:c r="AJ1115" s="10" t="str">
        <x:f>IF(F1115&gt;0,"Active","No est. sales")</x:f>
        <x:v>No est. sales</x:v>
      </x:c>
    </x:row>
    <x:row r="1116">
      <x:c r="A1116" s="10" t="str">
        <x:v>Financial Freedom Soy Wax Candle, Paid Off Debt Gift</x:v>
      </x:c>
      <x:c r="B1116" s="10" t="str">
        <x:v>https://www.etsy.com/listing/1712297292/financial-freedom-soy-wax-candle-paid</x:v>
      </x:c>
      <x:c r="C1116" s="10" t="str">
        <x:v>LilioCreations</x:v>
      </x:c>
      <x:c r="D1116" s="10" t="str">
        <x:v>https://www.etsy.com/shop/LilioCreations</x:v>
      </x:c>
      <x:c r="E1116" s="11" t="n">
        <x:v>30.5</x:v>
      </x:c>
      <x:c r="F1116" s="10" t="n">
        <x:v>0</x:v>
      </x:c>
      <x:c r="G1116" s="12" t="n">
        <x:v>0</x:v>
      </x:c>
      <x:c r="H1116" s="13" t="n">
        <x:v>0</x:v>
      </x:c>
      <x:c r="I1116" s="10" t="n">
        <x:v>4</x:v>
      </x:c>
      <x:c r="J1116" s="10" t="n">
        <x:v>1</x:v>
      </x:c>
      <x:c r="K1116" s="10" t="str">
        <x:v>26 Mo.</x:v>
      </x:c>
      <x:c r="L1116" s="10" t="n">
        <x:v>7</x:v>
      </x:c>
      <x:c r="M1116" s="10" t="n">
        <x:v>0</x:v>
      </x:c>
      <x:c r="N1116" s="10" t="n">
        <x:v>157</x:v>
      </x:c>
      <x:c r="O1116" s="10" t="str">
        <x:v>Home &amp; Living</x:v>
      </x:c>
      <x:c r="P1116" s="10" t="n">
        <x:v>27</x:v>
      </x:c>
      <x:c r="Q1116" s="10" t="n">
        <x:v>0</x:v>
      </x:c>
      <x:c r="R1116" s="13" t="n">
        <x:v>2.55</x:v>
      </x:c>
      <x:c r="S1116" s="10" t="n">
        <x:v>6442</x:v>
      </x:c>
      <x:c r="T1116" s="10" t="str">
        <x:v>mortgage payoff,debt calculator,financial planner,loan payoff tracker,personal finance,student loan debt,debt free gift,debt free,financial freedom,loan payoff gift,credit card debt,debt snowball,fire movement</x:v>
      </x:c>
      <x:c r="U1116" s="10" t="str">
        <x:v>mortgage payoff</x:v>
      </x:c>
      <x:c r="V1116" s="10" t="str">
        <x:v>debt calculator</x:v>
      </x:c>
      <x:c r="W1116" s="10" t="str">
        <x:v>financial planner</x:v>
      </x:c>
      <x:c r="X1116" s="10" t="str">
        <x:v>loan payoff tracker</x:v>
      </x:c>
      <x:c r="Y1116" s="10" t="str">
        <x:v>personal finance</x:v>
      </x:c>
      <x:c r="Z1116" s="10" t="str">
        <x:v>student loan debt</x:v>
      </x:c>
      <x:c r="AA1116" s="10" t="str">
        <x:v>debt free gift</x:v>
      </x:c>
      <x:c r="AB1116" s="10" t="str">
        <x:v>debt free</x:v>
      </x:c>
      <x:c r="AC1116" s="10" t="str">
        <x:v>financial freedom</x:v>
      </x:c>
      <x:c r="AD1116" s="10" t="str">
        <x:v>loan payoff gift</x:v>
      </x:c>
      <x:c r="AE1116" s="10" t="str">
        <x:v>credit card debt</x:v>
      </x:c>
      <x:c r="AF1116" s="10" t="str">
        <x:v>debt snowball</x:v>
      </x:c>
      <x:c r="AG1116" s="10" t="str">
        <x:v>fire movement</x:v>
      </x:c>
      <x:c r="AH1116" s="10" t="str">
        <x:v>Other mortgage-related</x:v>
      </x:c>
      <x:c r="AI1116" s="13" t="n">
        <x:v>26</x:v>
      </x:c>
      <x:c r="AJ1116" s="10" t="str">
        <x:f>IF(F1116&gt;0,"Active","No est. sales")</x:f>
        <x:v>No est. sales</x:v>
      </x:c>
    </x:row>
    <x:row r="1117">
      <x:c r="A1117" s="10" t="str">
        <x:v>Calculator Templates Bundle 50+ | Excel Google Sheets Financial, Budget, Loan &amp; Investment Calculator Spreadsheet Pack</x:v>
      </x:c>
      <x:c r="B1117" s="10" t="str">
        <x:v>https://www.etsy.com/listing/4450666017/project-budget-summary-template-project</x:v>
      </x:c>
      <x:c r="C1117" s="10" t="str">
        <x:v>DeskoraPK</x:v>
      </x:c>
      <x:c r="D1117" s="10" t="str">
        <x:v>https://www.etsy.com/shop/DeskoraPK</x:v>
      </x:c>
      <x:c r="E1117" s="11" t="n">
        <x:v>10</x:v>
      </x:c>
      <x:c r="F1117" s="10" t="n">
        <x:v>0</x:v>
      </x:c>
      <x:c r="G1117" s="12" t="n">
        <x:v>0</x:v>
      </x:c>
      <x:c r="H1117" s="13" t="n">
        <x:v>0</x:v>
      </x:c>
      <x:c r="I1117" s="10" t="n">
        <x:v>0</x:v>
      </x:c>
      <x:c r="J1117" s="10" t="n">
        <x:v>0</x:v>
      </x:c>
      <x:c r="K1117" s="10" t="str">
        <x:v>5 Mo.</x:v>
      </x:c>
      <x:c r="L1117" s="10" t="n">
        <x:v>1</x:v>
      </x:c>
      <x:c r="M1117" s="10" t="n">
        <x:v>0</x:v>
      </x:c>
      <x:c r="N1117" s="10" t="n">
        <x:v>4</x:v>
      </x:c>
      <x:c r="O1117" s="10" t="str"/>
      <x:c r="P1117" s="10" t="n">
        <x:v>6</x:v>
      </x:c>
      <x:c r="Q1117" s="10" t="n">
        <x:v>0</x:v>
      </x:c>
      <x:c r="R1117" s="13" t="n">
        <x:v>0</x:v>
      </x:c>
      <x:c r="S1117" s="10" t="n">
        <x:v>76</x:v>
      </x:c>
      <x:c r="T1117" s="10" t="str">
        <x:v>calculator bundle,excel calculator,loan calculator,budget planner,mortgage calc,investment calc,finance template,roi calculator,savings tracker,business excel,google sheets,money planner,excel template</x:v>
      </x:c>
      <x:c r="U1117" s="10" t="str">
        <x:v>calculator bundle</x:v>
      </x:c>
      <x:c r="V1117" s="10" t="str">
        <x:v>excel calculator</x:v>
      </x:c>
      <x:c r="W1117" s="10" t="str">
        <x:v>loan calculator</x:v>
      </x:c>
      <x:c r="X1117" s="10" t="str">
        <x:v>budget planner</x:v>
      </x:c>
      <x:c r="Y1117" s="10" t="str">
        <x:v>mortgage calc</x:v>
      </x:c>
      <x:c r="Z1117" s="10" t="str">
        <x:v>investment calc</x:v>
      </x:c>
      <x:c r="AA1117" s="10" t="str">
        <x:v>finance template</x:v>
      </x:c>
      <x:c r="AB1117" s="10" t="str">
        <x:v>roi calculator</x:v>
      </x:c>
      <x:c r="AC1117" s="10" t="str">
        <x:v>savings tracker</x:v>
      </x:c>
      <x:c r="AD1117" s="10" t="str">
        <x:v>business excel</x:v>
      </x:c>
      <x:c r="AE1117" s="10" t="str">
        <x:v>google sheets</x:v>
      </x:c>
      <x:c r="AF1117" s="10" t="str">
        <x:v>money planner</x:v>
      </x:c>
      <x:c r="AG1117" s="10" t="str">
        <x:v>excel template</x:v>
      </x:c>
      <x:c r="AH1117" s="10" t="str">
        <x:v>Other mortgage-related</x:v>
      </x:c>
      <x:c r="AI1117" s="13" t="n">
        <x:v>5</x:v>
      </x:c>
      <x:c r="AJ1117" s="10" t="str">
        <x:f>IF(F1117&gt;0,"Active","No est. sales")</x:f>
        <x:v>No est. sales</x:v>
      </x:c>
    </x:row>
    <x:row r="1118">
      <x:c r="A1118" s="10" t="str">
        <x:v>Home Buying Planner House Hunting Checklist Home Hunting Checklist Home Buying Printable Moving Checklist Home Buyer Planner Kit</x:v>
      </x:c>
      <x:c r="B1118" s="10" t="str">
        <x:v>https://www.etsy.com/listing/4469179503/home-buying-planner-house-hunting</x:v>
      </x:c>
      <x:c r="C1118" s="10" t="str">
        <x:v>SSDigitalss</x:v>
      </x:c>
      <x:c r="D1118" s="10" t="str">
        <x:v>https://www.etsy.com/shop/SSDigitalss</x:v>
      </x:c>
      <x:c r="E1118" s="11" t="n">
        <x:v>3.76</x:v>
      </x:c>
      <x:c r="F1118" s="10" t="n">
        <x:v>0</x:v>
      </x:c>
      <x:c r="G1118" s="12" t="n">
        <x:v>0</x:v>
      </x:c>
      <x:c r="H1118" s="13" t="n">
        <x:v>0</x:v>
      </x:c>
      <x:c r="I1118" s="10" t="n">
        <x:v>0</x:v>
      </x:c>
      <x:c r="J1118" s="10" t="n">
        <x:v>0</x:v>
      </x:c>
      <x:c r="K1118" s="10" t="str">
        <x:v>4 Mo.</x:v>
      </x:c>
      <x:c r="L1118" s="10" t="n">
        <x:v>0</x:v>
      </x:c>
      <x:c r="M1118" s="10" t="n">
        <x:v>0</x:v>
      </x:c>
      <x:c r="N1118" s="10" t="n">
        <x:v>2</x:v>
      </x:c>
      <x:c r="O1118" s="10" t="str"/>
      <x:c r="P1118" s="10" t="n">
        <x:v>10</x:v>
      </x:c>
      <x:c r="Q1118" s="10" t="n">
        <x:v>0</x:v>
      </x:c>
      <x:c r="R1118" s="13" t="n">
        <x:v>0</x:v>
      </x:c>
      <x:c r="S1118" s="10" t="n">
        <x:v>0</x:v>
      </x:c>
      <x:c r="T1118" s="10" t="str">
        <x:v>home buying,home buying plan,house buying,home buyer guide,home buyer planner,first home buyer,house hunt planner,home search log,home checklist,property planner,house budget plan,new home planner,mortgage planner</x:v>
      </x:c>
      <x:c r="U1118" s="10" t="str">
        <x:v>home buying</x:v>
      </x:c>
      <x:c r="V1118" s="10" t="str">
        <x:v>home buying plan</x:v>
      </x:c>
      <x:c r="W1118" s="10" t="str">
        <x:v>house buying</x:v>
      </x:c>
      <x:c r="X1118" s="10" t="str">
        <x:v>home buyer guide</x:v>
      </x:c>
      <x:c r="Y1118" s="10" t="str">
        <x:v>home buyer planner</x:v>
      </x:c>
      <x:c r="Z1118" s="10" t="str">
        <x:v>first home buyer</x:v>
      </x:c>
      <x:c r="AA1118" s="10" t="str">
        <x:v>house hunt planner</x:v>
      </x:c>
      <x:c r="AB1118" s="10" t="str">
        <x:v>home search log</x:v>
      </x:c>
      <x:c r="AC1118" s="10" t="str">
        <x:v>home checklist</x:v>
      </x:c>
      <x:c r="AD1118" s="10" t="str">
        <x:v>property planner</x:v>
      </x:c>
      <x:c r="AE1118" s="10" t="str">
        <x:v>house budget plan</x:v>
      </x:c>
      <x:c r="AF1118" s="10" t="str">
        <x:v>new home planner</x:v>
      </x:c>
      <x:c r="AG1118" s="10" t="str">
        <x:v>mortgage planner</x:v>
      </x:c>
      <x:c r="AH1118" s="10" t="str">
        <x:v>Home buying planner</x:v>
      </x:c>
      <x:c r="AI1118" s="13" t="n">
        <x:v>4</x:v>
      </x:c>
      <x:c r="AJ1118" s="10" t="str">
        <x:f>IF(F1118&gt;0,"Active","No est. sales")</x:f>
        <x:v>No est. sales</x:v>
      </x:c>
    </x:row>
    <x:row r="1119">
      <x:c r="A1119" s="10" t="str">
        <x:v>Ultimate Life Planner Bundle | Budget, Mortgage, Habit, Meal, Goal Trackers (Digital Download)</x:v>
      </x:c>
      <x:c r="B1119" s="10" t="str">
        <x:v>https://www.etsy.com/listing/4479962209/ultimate-life-planner-bundle-budget</x:v>
      </x:c>
      <x:c r="C1119" s="10" t="str">
        <x:v>GridLifeDigital</x:v>
      </x:c>
      <x:c r="D1119" s="10" t="str">
        <x:v>https://www.etsy.com/shop/GridLifeDigital</x:v>
      </x:c>
      <x:c r="E1119" s="11" t="n">
        <x:v>45.99</x:v>
      </x:c>
      <x:c r="F1119" s="10" t="n">
        <x:v>0</x:v>
      </x:c>
      <x:c r="G1119" s="12" t="n">
        <x:v>0</x:v>
      </x:c>
      <x:c r="H1119" s="13" t="n">
        <x:v>0</x:v>
      </x:c>
      <x:c r="I1119" s="10" t="n">
        <x:v>0</x:v>
      </x:c>
      <x:c r="J1119" s="10" t="n">
        <x:v>0</x:v>
      </x:c>
      <x:c r="K1119" s="10" t="str">
        <x:v>4 Mo.</x:v>
      </x:c>
      <x:c r="L1119" s="10" t="n">
        <x:v>0</x:v>
      </x:c>
      <x:c r="M1119" s="10" t="n">
        <x:v>0</x:v>
      </x:c>
      <x:c r="N1119" s="10" t="n">
        <x:v>10</x:v>
      </x:c>
      <x:c r="O1119" s="10" t="str"/>
      <x:c r="P1119" s="10" t="n">
        <x:v>85</x:v>
      </x:c>
      <x:c r="Q1119" s="10" t="n">
        <x:v>0</x:v>
      </x:c>
      <x:c r="R1119" s="13" t="n">
        <x:v>0</x:v>
      </x:c>
      <x:c r="S1119" s="10" t="n">
        <x:v>36</x:v>
      </x:c>
      <x:c r="T1119" s="10" t="str">
        <x:v>planner bundle,digital planner kit,goal planner bundle,google sheets bundle,new year planner kit,budget spreadsheet,habit tracker bundle,mortgage payoff,financial planner,self improvement,excel planner,meal planner bundle,life planner</x:v>
      </x:c>
      <x:c r="U1119" s="10" t="str">
        <x:v>planner bundle</x:v>
      </x:c>
      <x:c r="V1119" s="10" t="str">
        <x:v>digital planner kit</x:v>
      </x:c>
      <x:c r="W1119" s="10" t="str">
        <x:v>goal planner bundle</x:v>
      </x:c>
      <x:c r="X1119" s="10" t="str">
        <x:v>google sheets bundle</x:v>
      </x:c>
      <x:c r="Y1119" s="10" t="str">
        <x:v>new year planner kit</x:v>
      </x:c>
      <x:c r="Z1119" s="10" t="str">
        <x:v>budget spreadsheet</x:v>
      </x:c>
      <x:c r="AA1119" s="10" t="str">
        <x:v>habit tracker bundle</x:v>
      </x:c>
      <x:c r="AB1119" s="10" t="str">
        <x:v>mortgage payoff</x:v>
      </x:c>
      <x:c r="AC1119" s="10" t="str">
        <x:v>financial planner</x:v>
      </x:c>
      <x:c r="AD1119" s="10" t="str">
        <x:v>self improvement</x:v>
      </x:c>
      <x:c r="AE1119" s="10" t="str">
        <x:v>excel planner</x:v>
      </x:c>
      <x:c r="AF1119" s="10" t="str">
        <x:v>meal planner bundle</x:v>
      </x:c>
      <x:c r="AG1119" s="10" t="str">
        <x:v>life planner</x:v>
      </x:c>
      <x:c r="AH1119" s="10" t="str">
        <x:v>Other mortgage-related</x:v>
      </x:c>
      <x:c r="AI1119" s="13" t="n">
        <x:v>4</x:v>
      </x:c>
      <x:c r="AJ1119" s="10" t="str">
        <x:f>IF(F1119&gt;0,"Active","No est. sales")</x:f>
        <x:v>No est. sales</x:v>
      </x:c>
    </x:row>
    <x:row r="1120">
      <x:c r="A1120" s="10" t="str">
        <x:v>UK Home Toolkit Bundle | First Time Buyer Planner | Home Purchase Checklist | Mortgage Deposit Budget | Moving House Binder</x:v>
      </x:c>
      <x:c r="B1120" s="10" t="str">
        <x:v>https://www.etsy.com/listing/4487138259/uk-home-toolkit-bundle-first-time-buyer</x:v>
      </x:c>
      <x:c r="C1120" s="10" t="str">
        <x:v>EasyLifeDesignStudio</x:v>
      </x:c>
      <x:c r="D1120" s="10" t="str">
        <x:v>https://www.etsy.com/shop/EasyLifeDesignStudio</x:v>
      </x:c>
      <x:c r="E1120" s="11" t="n">
        <x:v>11.98</x:v>
      </x:c>
      <x:c r="F1120" s="10" t="n">
        <x:v>0</x:v>
      </x:c>
      <x:c r="G1120" s="12" t="n">
        <x:v>0</x:v>
      </x:c>
      <x:c r="H1120" s="13" t="n">
        <x:v>0</x:v>
      </x:c>
      <x:c r="I1120" s="10" t="n">
        <x:v>0</x:v>
      </x:c>
      <x:c r="J1120" s="10" t="n">
        <x:v>0</x:v>
      </x:c>
      <x:c r="K1120" s="10" t="str">
        <x:v>3 Mo.</x:v>
      </x:c>
      <x:c r="L1120" s="10" t="n">
        <x:v>1</x:v>
      </x:c>
      <x:c r="M1120" s="10" t="n">
        <x:v>0</x:v>
      </x:c>
      <x:c r="N1120" s="10" t="n">
        <x:v>11</x:v>
      </x:c>
      <x:c r="O1120" s="10" t="str"/>
      <x:c r="P1120" s="10" t="n">
        <x:v>6</x:v>
      </x:c>
      <x:c r="Q1120" s="10" t="n">
        <x:v>0</x:v>
      </x:c>
      <x:c r="R1120" s="13" t="n">
        <x:v>0</x:v>
      </x:c>
      <x:c r="S1120" s="10" t="n">
        <x:v>0</x:v>
      </x:c>
      <x:c r="T1120" s="10" t="str">
        <x:v>home buyer toolkit,uk mortgage bundle,stamp duty calc,affordability check,property tax uk,first time buyer,excel spreadsheet,digital download,uk home buying,mortgage planning,property purchase,home buying tools,uk finance bundle</x:v>
      </x:c>
      <x:c r="U1120" s="10" t="str">
        <x:v>home buyer toolkit</x:v>
      </x:c>
      <x:c r="V1120" s="10" t="str">
        <x:v>uk mortgage bundle</x:v>
      </x:c>
      <x:c r="W1120" s="10" t="str">
        <x:v>stamp duty calc</x:v>
      </x:c>
      <x:c r="X1120" s="10" t="str">
        <x:v>affordability check</x:v>
      </x:c>
      <x:c r="Y1120" s="10" t="str">
        <x:v>property tax uk</x:v>
      </x:c>
      <x:c r="Z1120" s="10" t="str">
        <x:v>first time buyer</x:v>
      </x:c>
      <x:c r="AA1120" s="10" t="str">
        <x:v>excel spreadsheet</x:v>
      </x:c>
      <x:c r="AB1120" s="10" t="str">
        <x:v>digital download</x:v>
      </x:c>
      <x:c r="AC1120" s="10" t="str">
        <x:v>uk home buying</x:v>
      </x:c>
      <x:c r="AD1120" s="10" t="str">
        <x:v>mortgage planning</x:v>
      </x:c>
      <x:c r="AE1120" s="10" t="str">
        <x:v>property purchase</x:v>
      </x:c>
      <x:c r="AF1120" s="10" t="str">
        <x:v>home buying tools</x:v>
      </x:c>
      <x:c r="AG1120" s="10" t="str">
        <x:v>uk finance bundle</x:v>
      </x:c>
      <x:c r="AH1120" s="10" t="str">
        <x:v>Other mortgage-related</x:v>
      </x:c>
      <x:c r="AI1120" s="13" t="n">
        <x:v>3</x:v>
      </x:c>
      <x:c r="AJ1120" s="10" t="str">
        <x:f>IF(F1120&gt;0,"Active","No est. sales")</x:f>
        <x:v>No est. sales</x:v>
      </x:c>
    </x:row>
    <x:row r="1121">
      <x:c r="A1121" s="10" t="str">
        <x:v>New Homeowner Planner Spreadsheet, First Time Home Buyer Checklist, House Hunting &amp; Mortgage Affordability Calculator, Excel Google Sheets</x:v>
      </x:c>
      <x:c r="B1121" s="10" t="str">
        <x:v>https://www.etsy.com/listing/4527105554/new-homeowner-planner-spreadsheet-first</x:v>
      </x:c>
      <x:c r="C1121" s="10" t="str">
        <x:v>PolishedFolio</x:v>
      </x:c>
      <x:c r="D1121" s="10" t="str">
        <x:v>https://www.etsy.com/shop/PolishedFolio</x:v>
      </x:c>
      <x:c r="E1121" s="11" t="n">
        <x:v>18.65</x:v>
      </x:c>
      <x:c r="F1121" s="10" t="n">
        <x:v>0</x:v>
      </x:c>
      <x:c r="G1121" s="12" t="n">
        <x:v>0</x:v>
      </x:c>
      <x:c r="H1121" s="13" t="n">
        <x:v>0</x:v>
      </x:c>
      <x:c r="I1121" s="10" t="n">
        <x:v>0</x:v>
      </x:c>
      <x:c r="J1121" s="10" t="n">
        <x:v>0</x:v>
      </x:c>
      <x:c r="K1121" s="10" t="str">
        <x:v>1 Mo.</x:v>
      </x:c>
      <x:c r="L1121" s="10" t="n">
        <x:v>0</x:v>
      </x:c>
      <x:c r="M1121" s="10" t="n">
        <x:v>0</x:v>
      </x:c>
      <x:c r="N1121" s="10" t="n">
        <x:v>1</x:v>
      </x:c>
      <x:c r="O1121" s="10" t="str"/>
      <x:c r="P1121" s="10" t="n">
        <x:v>35</x:v>
      </x:c>
      <x:c r="Q1121" s="10" t="n">
        <x:v>0</x:v>
      </x:c>
      <x:c r="R1121" s="13" t="n">
        <x:v>0</x:v>
      </x:c>
      <x:c r="S1121" s="10" t="n">
        <x:v>12</x:v>
      </x:c>
      <x:c r="T1121" s="10" t="str">
        <x:v>home buying planner,new homeowner,first time buyer,house hunting,home buyer checklist,closing costs,moving checklist,mortgage calculator,home budget,house planner,new home checklist,home maintenance,homeowner planner</x:v>
      </x:c>
      <x:c r="U1121" s="10" t="str">
        <x:v>home buying planner</x:v>
      </x:c>
      <x:c r="V1121" s="10" t="str">
        <x:v>new homeowner</x:v>
      </x:c>
      <x:c r="W1121" s="10" t="str">
        <x:v>first time buyer</x:v>
      </x:c>
      <x:c r="X1121" s="10" t="str">
        <x:v>house hunting</x:v>
      </x:c>
      <x:c r="Y1121" s="10" t="str">
        <x:v>home buyer checklist</x:v>
      </x:c>
      <x:c r="Z1121" s="10" t="str">
        <x:v>closing costs</x:v>
      </x:c>
      <x:c r="AA1121" s="10" t="str">
        <x:v>moving checklist</x:v>
      </x:c>
      <x:c r="AB1121" s="10" t="str">
        <x:v>mortgage calculator</x:v>
      </x:c>
      <x:c r="AC1121" s="10" t="str">
        <x:v>home budget</x:v>
      </x:c>
      <x:c r="AD1121" s="10" t="str">
        <x:v>house planner</x:v>
      </x:c>
      <x:c r="AE1121" s="10" t="str">
        <x:v>new home checklist</x:v>
      </x:c>
      <x:c r="AF1121" s="10" t="str">
        <x:v>home maintenance</x:v>
      </x:c>
      <x:c r="AG1121" s="10" t="str">
        <x:v>homeowner planner</x:v>
      </x:c>
      <x:c r="AH1121" s="10" t="str">
        <x:v>Home buying planner</x:v>
      </x:c>
      <x:c r="AI1121" s="13" t="n">
        <x:v>1</x:v>
      </x:c>
      <x:c r="AJ1121" s="10" t="str">
        <x:f>IF(F1121&gt;0,"Active","No est. sales")</x:f>
        <x:v>No est. sales</x:v>
      </x:c>
    </x:row>
    <x:row r="1122">
      <x:c r="A1122" s="10" t="str">
        <x:v>Printable Debt Tracker: Debt Management , Debt Snowball, Debt Payoff Tracker Printable, Debt Payments, Finance Planner, Debt Repayment A5 A4</x:v>
      </x:c>
      <x:c r="B1122" s="10" t="str">
        <x:v>https://www.etsy.com/listing/1564299242/printable-debt-tracker-debt-management</x:v>
      </x:c>
      <x:c r="C1122" s="10" t="str">
        <x:v>ThePlanningZone</x:v>
      </x:c>
      <x:c r="D1122" s="10" t="str">
        <x:v>https://www.etsy.com/shop/ThePlanningZone</x:v>
      </x:c>
      <x:c r="E1122" s="11" t="n">
        <x:v>5.99</x:v>
      </x:c>
      <x:c r="F1122" s="10" t="n">
        <x:v>0</x:v>
      </x:c>
      <x:c r="G1122" s="12" t="n">
        <x:v>0</x:v>
      </x:c>
      <x:c r="H1122" s="13" t="n">
        <x:v>0</x:v>
      </x:c>
      <x:c r="I1122" s="10" t="n">
        <x:v>0</x:v>
      </x:c>
      <x:c r="J1122" s="10" t="n">
        <x:v>0</x:v>
      </x:c>
      <x:c r="K1122" s="10" t="str">
        <x:v>34 Mo.</x:v>
      </x:c>
      <x:c r="L1122" s="10" t="n">
        <x:v>0</x:v>
      </x:c>
      <x:c r="M1122" s="10" t="n">
        <x:v>0</x:v>
      </x:c>
      <x:c r="N1122" s="10" t="n">
        <x:v>16</x:v>
      </x:c>
      <x:c r="O1122" s="10" t="str"/>
      <x:c r="P1122" s="10" t="n">
        <x:v>35</x:v>
      </x:c>
      <x:c r="Q1122" s="10" t="n">
        <x:v>0</x:v>
      </x:c>
      <x:c r="R1122" s="13" t="n">
        <x:v>0</x:v>
      </x:c>
      <x:c r="S1122" s="10" t="n">
        <x:v>481</x:v>
      </x:c>
      <x:c r="T1122" s="10" t="str">
        <x:v>debt tracker,debt snowball,debt payoff tracker,debt payment tracker,dave ramsey,credit card tracker,mortgage tracker,financial tracker,budget planner,finance planner,spending tracker,budget tracker,debt repayment</x:v>
      </x:c>
      <x:c r="U1122" s="10" t="str">
        <x:v>debt tracker</x:v>
      </x:c>
      <x:c r="V1122" s="10" t="str">
        <x:v>debt snowball</x:v>
      </x:c>
      <x:c r="W1122" s="10" t="str">
        <x:v>debt payoff tracker</x:v>
      </x:c>
      <x:c r="X1122" s="10" t="str">
        <x:v>debt payment tracker</x:v>
      </x:c>
      <x:c r="Y1122" s="10" t="str">
        <x:v>dave ramsey</x:v>
      </x:c>
      <x:c r="Z1122" s="10" t="str">
        <x:v>credit card tracker</x:v>
      </x:c>
      <x:c r="AA1122" s="10" t="str">
        <x:v>mortgage tracker</x:v>
      </x:c>
      <x:c r="AB1122" s="10" t="str">
        <x:v>financial tracker</x:v>
      </x:c>
      <x:c r="AC1122" s="10" t="str">
        <x:v>budget planner</x:v>
      </x:c>
      <x:c r="AD1122" s="10" t="str">
        <x:v>finance planner</x:v>
      </x:c>
      <x:c r="AE1122" s="10" t="str">
        <x:v>spending tracker</x:v>
      </x:c>
      <x:c r="AF1122" s="10" t="str">
        <x:v>budget tracker</x:v>
      </x:c>
      <x:c r="AG1122" s="10" t="str">
        <x:v>debt repayment</x:v>
      </x:c>
      <x:c r="AH1122" s="10" t="str">
        <x:v>General debt payoff</x:v>
      </x:c>
      <x:c r="AI1122" s="13" t="n">
        <x:v>34</x:v>
      </x:c>
      <x:c r="AJ1122" s="10" t="str">
        <x:f>IF(F1122&gt;0,"Active","No est. sales")</x:f>
        <x:v>No est. sales</x:v>
      </x:c>
    </x:row>
    <x:row r="1123">
      <x:c r="A1123" s="10" t="str">
        <x:v>Debt Snowball Template Excel, Debt Snowball Calculator Excel, Debt Snowball Calculator Spreadsheet, Credit Card Snowball, Debt Free Planning</x:v>
      </x:c>
      <x:c r="B1123" s="10" t="str">
        <x:v>https://www.etsy.com/listing/4312108473/debt-snowball-template-excel-debt</x:v>
      </x:c>
      <x:c r="C1123" s="10" t="str">
        <x:v>SheetKeeperBudget</x:v>
      </x:c>
      <x:c r="D1123" s="10" t="str">
        <x:v>https://www.etsy.com/shop/SheetKeeperBudget</x:v>
      </x:c>
      <x:c r="E1123" s="11" t="n">
        <x:v>6.95</x:v>
      </x:c>
      <x:c r="F1123" s="10" t="n">
        <x:v>0</x:v>
      </x:c>
      <x:c r="G1123" s="12" t="n">
        <x:v>0</x:v>
      </x:c>
      <x:c r="H1123" s="13" t="n">
        <x:v>0</x:v>
      </x:c>
      <x:c r="I1123" s="10" t="n">
        <x:v>0</x:v>
      </x:c>
      <x:c r="J1123" s="10" t="n">
        <x:v>0</x:v>
      </x:c>
      <x:c r="K1123" s="10" t="str">
        <x:v>14 Mo.</x:v>
      </x:c>
      <x:c r="L1123" s="10" t="n">
        <x:v>0</x:v>
      </x:c>
      <x:c r="M1123" s="10" t="n">
        <x:v>0</x:v>
      </x:c>
      <x:c r="N1123" s="10" t="n">
        <x:v>9</x:v>
      </x:c>
      <x:c r="O1123" s="10" t="str"/>
      <x:c r="P1123" s="10" t="n">
        <x:v>14</x:v>
      </x:c>
      <x:c r="Q1123" s="10" t="n">
        <x:v>0</x:v>
      </x:c>
      <x:c r="R1123" s="13" t="n">
        <x:v>0</x:v>
      </x:c>
      <x:c r="S1123" s="10" t="n">
        <x:v>8</x:v>
      </x:c>
      <x:c r="T1123" s="10" t="str">
        <x:v>debt payoff tracker,financial planner,personal finance,budget spreadsheet,debt repayment,debt planner,debt free chart,snowball method,student loan payoff,mortgage payoff,snowball calculator,debt excel worksheet,pay down bills</x:v>
      </x:c>
      <x:c r="U1123" s="10" t="str">
        <x:v>debt payoff tracker</x:v>
      </x:c>
      <x:c r="V1123" s="10" t="str">
        <x:v>financial planner</x:v>
      </x:c>
      <x:c r="W1123" s="10" t="str">
        <x:v>personal finance</x:v>
      </x:c>
      <x:c r="X1123" s="10" t="str">
        <x:v>budget spreadsheet</x:v>
      </x:c>
      <x:c r="Y1123" s="10" t="str">
        <x:v>debt repayment</x:v>
      </x:c>
      <x:c r="Z1123" s="10" t="str">
        <x:v>debt planner</x:v>
      </x:c>
      <x:c r="AA1123" s="10" t="str">
        <x:v>debt free chart</x:v>
      </x:c>
      <x:c r="AB1123" s="10" t="str">
        <x:v>snowball method</x:v>
      </x:c>
      <x:c r="AC1123" s="10" t="str">
        <x:v>student loan payoff</x:v>
      </x:c>
      <x:c r="AD1123" s="10" t="str">
        <x:v>mortgage payoff</x:v>
      </x:c>
      <x:c r="AE1123" s="10" t="str">
        <x:v>snowball calculator</x:v>
      </x:c>
      <x:c r="AF1123" s="10" t="str">
        <x:v>debt excel worksheet</x:v>
      </x:c>
      <x:c r="AG1123" s="10" t="str">
        <x:v>pay down bills</x:v>
      </x:c>
      <x:c r="AH1123" s="10" t="str">
        <x:v>General debt payoff</x:v>
      </x:c>
      <x:c r="AI1123" s="13" t="n">
        <x:v>14</x:v>
      </x:c>
      <x:c r="AJ1123" s="10" t="str">
        <x:f>IF(F1123&gt;0,"Active","No est. sales")</x:f>
        <x:v>No est. sales</x:v>
      </x:c>
    </x:row>
    <x:row r="1124">
      <x:c r="A1124" s="10" t="str">
        <x:v>Financial Budget Planner</x:v>
      </x:c>
      <x:c r="B1124" s="10" t="str">
        <x:v>https://www.etsy.com/listing/1656650843/financial-budget-planner</x:v>
      </x:c>
      <x:c r="C1124" s="10" t="str">
        <x:v>StorebyBlake</x:v>
      </x:c>
      <x:c r="D1124" s="10" t="str">
        <x:v>https://www.etsy.com/shop/StorebyBlake</x:v>
      </x:c>
      <x:c r="E1124" s="11" t="n">
        <x:v>3.48</x:v>
      </x:c>
      <x:c r="F1124" s="10" t="n">
        <x:v>0</x:v>
      </x:c>
      <x:c r="G1124" s="12" t="n">
        <x:v>0</x:v>
      </x:c>
      <x:c r="H1124" s="13" t="n">
        <x:v>0</x:v>
      </x:c>
      <x:c r="I1124" s="10" t="n">
        <x:v>0</x:v>
      </x:c>
      <x:c r="J1124" s="10" t="n">
        <x:v>0</x:v>
      </x:c>
      <x:c r="K1124" s="10" t="str">
        <x:v>30 Mo.</x:v>
      </x:c>
      <x:c r="L1124" s="10" t="n">
        <x:v>1</x:v>
      </x:c>
      <x:c r="M1124" s="10" t="n">
        <x:v>0</x:v>
      </x:c>
      <x:c r="N1124" s="10" t="n">
        <x:v>27</x:v>
      </x:c>
      <x:c r="O1124" s="10" t="str"/>
      <x:c r="P1124" s="10" t="n">
        <x:v>30</x:v>
      </x:c>
      <x:c r="Q1124" s="10" t="n">
        <x:v>0</x:v>
      </x:c>
      <x:c r="R1124" s="13" t="n">
        <x:v>0</x:v>
      </x:c>
      <x:c r="S1124" s="10" t="n">
        <x:v>0</x:v>
      </x:c>
      <x:c r="T1124" s="10" t="str">
        <x:v>budget,finances,money,tracker,planner,2024,save,income and expenses,mortgage tracker,simple to use,financial goals,money wins</x:v>
      </x:c>
      <x:c r="U1124" s="10" t="str">
        <x:v>budget</x:v>
      </x:c>
      <x:c r="V1124" s="10" t="str">
        <x:v>finances</x:v>
      </x:c>
      <x:c r="W1124" s="10" t="str">
        <x:v>money</x:v>
      </x:c>
      <x:c r="X1124" s="10" t="str">
        <x:v>tracker</x:v>
      </x:c>
      <x:c r="Y1124" s="10" t="str">
        <x:v>planner</x:v>
      </x:c>
      <x:c r="Z1124" s="10" t="str">
        <x:v>2024</x:v>
      </x:c>
      <x:c r="AA1124" s="10" t="str">
        <x:v>save</x:v>
      </x:c>
      <x:c r="AB1124" s="10" t="str">
        <x:v>income and expenses</x:v>
      </x:c>
      <x:c r="AC1124" s="10" t="str">
        <x:v>mortgage tracker</x:v>
      </x:c>
      <x:c r="AD1124" s="10" t="str">
        <x:v>simple to use</x:v>
      </x:c>
      <x:c r="AE1124" s="10" t="str">
        <x:v>financial goals</x:v>
      </x:c>
      <x:c r="AF1124" s="10" t="str">
        <x:v>money wins</x:v>
      </x:c>
      <x:c r="AG1124" s="10" t="str">
        <x:v>--</x:v>
      </x:c>
      <x:c r="AH1124" s="10" t="str">
        <x:v>Other mortgage-related</x:v>
      </x:c>
      <x:c r="AI1124" s="13" t="n">
        <x:v>30</x:v>
      </x:c>
      <x:c r="AJ1124" s="10" t="str">
        <x:f>IF(F1124&gt;0,"Active","No est. sales")</x:f>
        <x:v>No est. sales</x:v>
      </x:c>
    </x:row>
    <x:row r="1125">
      <x:c r="A1125" s="10" t="str">
        <x:v>Kawaii House Planner Stickers: Home, Rent, Bill Due - Matte or Glossy</x:v>
      </x:c>
      <x:c r="B1125" s="10" t="str">
        <x:v>https://www.etsy.com/listing/694575053/kawaii-house-planner-stickers-home-rent</x:v>
      </x:c>
      <x:c r="C1125" s="10" t="str">
        <x:v>LollipopStickerShop</x:v>
      </x:c>
      <x:c r="D1125" s="10" t="str">
        <x:v>https://www.etsy.com/shop/LollipopStickerShop</x:v>
      </x:c>
      <x:c r="E1125" s="11" t="n">
        <x:v>2.64</x:v>
      </x:c>
      <x:c r="F1125" s="10" t="n">
        <x:v>0</x:v>
      </x:c>
      <x:c r="G1125" s="12" t="n">
        <x:v>0</x:v>
      </x:c>
      <x:c r="H1125" s="13" t="n">
        <x:v>0</x:v>
      </x:c>
      <x:c r="I1125" s="10" t="n">
        <x:v>10</x:v>
      </x:c>
      <x:c r="J1125" s="10" t="n">
        <x:v>2</x:v>
      </x:c>
      <x:c r="K1125" s="10" t="str">
        <x:v>88 Mo.</x:v>
      </x:c>
      <x:c r="L1125" s="10" t="n">
        <x:v>26</x:v>
      </x:c>
      <x:c r="M1125" s="10" t="n">
        <x:v>0</x:v>
      </x:c>
      <x:c r="N1125" s="10" t="n">
        <x:v>229</x:v>
      </x:c>
      <x:c r="O1125" s="10" t="str">
        <x:v>Paper &amp; Party Supplies</x:v>
      </x:c>
      <x:c r="P1125" s="10" t="n">
        <x:v>120</x:v>
      </x:c>
      <x:c r="Q1125" s="10" t="n">
        <x:v>0</x:v>
      </x:c>
      <x:c r="R1125" s="13" t="n">
        <x:v>4.37</x:v>
      </x:c>
      <x:c r="S1125" s="10" t="n">
        <x:v>17530</x:v>
      </x:c>
      <x:c r="T1125" s="10" t="str">
        <x:v>kawaii,planner stickers,stickers,erin condren,happy planner,kawaii stickers,cute stickers,planning stickers,house stickers,kawaii house sticker,cute kawaii stickers,rent stickers,mortgage stickers</x:v>
      </x:c>
      <x:c r="U1125" s="10" t="str">
        <x:v>kawaii</x:v>
      </x:c>
      <x:c r="V1125" s="10" t="str">
        <x:v>planner stickers</x:v>
      </x:c>
      <x:c r="W1125" s="10" t="str">
        <x:v>stickers</x:v>
      </x:c>
      <x:c r="X1125" s="10" t="str">
        <x:v>erin condren</x:v>
      </x:c>
      <x:c r="Y1125" s="10" t="str">
        <x:v>happy planner</x:v>
      </x:c>
      <x:c r="Z1125" s="10" t="str">
        <x:v>kawaii stickers</x:v>
      </x:c>
      <x:c r="AA1125" s="10" t="str">
        <x:v>cute stickers</x:v>
      </x:c>
      <x:c r="AB1125" s="10" t="str">
        <x:v>planning stickers</x:v>
      </x:c>
      <x:c r="AC1125" s="10" t="str">
        <x:v>house stickers</x:v>
      </x:c>
      <x:c r="AD1125" s="10" t="str">
        <x:v>kawaii house sticker</x:v>
      </x:c>
      <x:c r="AE1125" s="10" t="str">
        <x:v>cute kawaii stickers</x:v>
      </x:c>
      <x:c r="AF1125" s="10" t="str">
        <x:v>rent stickers</x:v>
      </x:c>
      <x:c r="AG1125" s="10" t="str">
        <x:v>mortgage stickers</x:v>
      </x:c>
      <x:c r="AH1125" s="10" t="str">
        <x:v>Other mortgage-related</x:v>
      </x:c>
      <x:c r="AI1125" s="13" t="n">
        <x:v>88</x:v>
      </x:c>
      <x:c r="AJ1125" s="10" t="str">
        <x:f>IF(F1125&gt;0,"Active","No est. sales")</x:f>
        <x:v>No est. sales</x:v>
      </x:c>
    </x:row>
    <x:row r="1126">
      <x:c r="A1126" s="10" t="str">
        <x:v>Household Management Planner | Printable Home Organizer, Budget &amp; Cleaning Schedule | Family Binder Chore Chart</x:v>
      </x:c>
      <x:c r="B1126" s="10" t="str">
        <x:v>https://www.etsy.com/listing/1867064565/household-management-planner-printable</x:v>
      </x:c>
      <x:c r="C1126" s="10" t="str">
        <x:v>TheCrystalCart</x:v>
      </x:c>
      <x:c r="D1126" s="10" t="str">
        <x:v>https://www.etsy.com/shop/TheCrystalCart</x:v>
      </x:c>
      <x:c r="E1126" s="11" t="n">
        <x:v>6.69</x:v>
      </x:c>
      <x:c r="F1126" s="10" t="n">
        <x:v>0</x:v>
      </x:c>
      <x:c r="G1126" s="12" t="n">
        <x:v>0</x:v>
      </x:c>
      <x:c r="H1126" s="13" t="n">
        <x:v>0</x:v>
      </x:c>
      <x:c r="I1126" s="10" t="n">
        <x:v>0</x:v>
      </x:c>
      <x:c r="J1126" s="10" t="n">
        <x:v>0</x:v>
      </x:c>
      <x:c r="K1126" s="10" t="str">
        <x:v>16 Mo.</x:v>
      </x:c>
      <x:c r="L1126" s="10" t="n">
        <x:v>0</x:v>
      </x:c>
      <x:c r="M1126" s="10" t="n">
        <x:v>0</x:v>
      </x:c>
      <x:c r="N1126" s="10" t="n">
        <x:v>4</x:v>
      </x:c>
      <x:c r="O1126" s="10" t="str"/>
      <x:c r="P1126" s="10" t="n">
        <x:v>43</x:v>
      </x:c>
      <x:c r="Q1126" s="10" t="n">
        <x:v>0</x:v>
      </x:c>
      <x:c r="R1126" s="13" t="n">
        <x:v>0</x:v>
      </x:c>
      <x:c r="S1126" s="10" t="n">
        <x:v>61</x:v>
      </x:c>
      <x:c r="T1126" s="10" t="str">
        <x:v>home buying planner,home planner,home buying,new home planner,goal planner,renovation planner,household planner,moving planner,canva planner,house planner,mortgage planner,home management,home organizer</x:v>
      </x:c>
      <x:c r="U1126" s="10" t="str">
        <x:v>home buying planner</x:v>
      </x:c>
      <x:c r="V1126" s="10" t="str">
        <x:v>home planner</x:v>
      </x:c>
      <x:c r="W1126" s="10" t="str">
        <x:v>home buying</x:v>
      </x:c>
      <x:c r="X1126" s="10" t="str">
        <x:v>new home planner</x:v>
      </x:c>
      <x:c r="Y1126" s="10" t="str">
        <x:v>goal planner</x:v>
      </x:c>
      <x:c r="Z1126" s="10" t="str">
        <x:v>renovation planner</x:v>
      </x:c>
      <x:c r="AA1126" s="10" t="str">
        <x:v>household planner</x:v>
      </x:c>
      <x:c r="AB1126" s="10" t="str">
        <x:v>moving planner</x:v>
      </x:c>
      <x:c r="AC1126" s="10" t="str">
        <x:v>canva planner</x:v>
      </x:c>
      <x:c r="AD1126" s="10" t="str">
        <x:v>house planner</x:v>
      </x:c>
      <x:c r="AE1126" s="10" t="str">
        <x:v>mortgage planner</x:v>
      </x:c>
      <x:c r="AF1126" s="10" t="str">
        <x:v>home management</x:v>
      </x:c>
      <x:c r="AG1126" s="10" t="str">
        <x:v>home organizer</x:v>
      </x:c>
      <x:c r="AH1126" s="10" t="str">
        <x:v>Home buying planner</x:v>
      </x:c>
      <x:c r="AI1126" s="13" t="n">
        <x:v>16</x:v>
      </x:c>
      <x:c r="AJ1126" s="10" t="str">
        <x:f>IF(F1126&gt;0,"Active","No est. sales")</x:f>
        <x:v>No est. sales</x:v>
      </x:c>
    </x:row>
    <x:row r="1127">
      <x:c r="A1127" s="10" t="str">
        <x:v>Ultimate Calculator Template Bundle, 45 Google Sheets Calculators, Financial, Business, Loan, Budget, Productivity, Investment Tools</x:v>
      </x:c>
      <x:c r="B1127" s="10" t="str">
        <x:v>https://www.etsy.com/listing/1853175593/ultimate-calculator-template-bundle-45</x:v>
      </x:c>
      <x:c r="C1127" s="10" t="str">
        <x:v>ARTIVADIGITALL</x:v>
      </x:c>
      <x:c r="D1127" s="10" t="str">
        <x:v>https://www.etsy.com/shop/ARTIVADIGITALL</x:v>
      </x:c>
      <x:c r="E1127" s="11" t="n">
        <x:v>59.99</x:v>
      </x:c>
      <x:c r="F1127" s="10" t="n">
        <x:v>0</x:v>
      </x:c>
      <x:c r="G1127" s="12" t="n">
        <x:v>0</x:v>
      </x:c>
      <x:c r="H1127" s="13" t="n">
        <x:v>0</x:v>
      </x:c>
      <x:c r="I1127" s="10" t="n">
        <x:v>2</x:v>
      </x:c>
      <x:c r="J1127" s="10" t="n">
        <x:v>0</x:v>
      </x:c>
      <x:c r="K1127" s="10" t="str">
        <x:v>9 Mo.</x:v>
      </x:c>
      <x:c r="L1127" s="10" t="n">
        <x:v>16</x:v>
      </x:c>
      <x:c r="M1127" s="10" t="n">
        <x:v>0</x:v>
      </x:c>
      <x:c r="N1127" s="10" t="n">
        <x:v>562</x:v>
      </x:c>
      <x:c r="O1127" s="10" t="str">
        <x:v>Paper &amp; Party Supplies</x:v>
      </x:c>
      <x:c r="P1127" s="10" t="n">
        <x:v>66</x:v>
      </x:c>
      <x:c r="Q1127" s="10" t="n">
        <x:v>30</x:v>
      </x:c>
      <x:c r="R1127" s="13" t="n">
        <x:v>0.36</x:v>
      </x:c>
      <x:c r="S1127" s="10" t="n">
        <x:v>1492</x:v>
      </x:c>
      <x:c r="T1127" s="10" t="str">
        <x:v>calculator bundle,google sheets tools,financial calculator,business calculators,roi calculator,loan tracker tool,budget calculator,payroll calculator,expense tracker,mortgage planner,productivity tool,cost analysis tool,investment tracker</x:v>
      </x:c>
      <x:c r="U1127" s="10" t="str">
        <x:v>calculator bundle</x:v>
      </x:c>
      <x:c r="V1127" s="10" t="str">
        <x:v>google sheets tools</x:v>
      </x:c>
      <x:c r="W1127" s="10" t="str">
        <x:v>financial calculator</x:v>
      </x:c>
      <x:c r="X1127" s="10" t="str">
        <x:v>business calculators</x:v>
      </x:c>
      <x:c r="Y1127" s="10" t="str">
        <x:v>roi calculator</x:v>
      </x:c>
      <x:c r="Z1127" s="10" t="str">
        <x:v>loan tracker tool</x:v>
      </x:c>
      <x:c r="AA1127" s="10" t="str">
        <x:v>budget calculator</x:v>
      </x:c>
      <x:c r="AB1127" s="10" t="str">
        <x:v>payroll calculator</x:v>
      </x:c>
      <x:c r="AC1127" s="10" t="str">
        <x:v>expense tracker</x:v>
      </x:c>
      <x:c r="AD1127" s="10" t="str">
        <x:v>mortgage planner</x:v>
      </x:c>
      <x:c r="AE1127" s="10" t="str">
        <x:v>productivity tool</x:v>
      </x:c>
      <x:c r="AF1127" s="10" t="str">
        <x:v>cost analysis tool</x:v>
      </x:c>
      <x:c r="AG1127" s="10" t="str">
        <x:v>investment tracker</x:v>
      </x:c>
      <x:c r="AH1127" s="10" t="str">
        <x:v>Other mortgage-related</x:v>
      </x:c>
      <x:c r="AI1127" s="13" t="n">
        <x:v>9</x:v>
      </x:c>
      <x:c r="AJ1127" s="10" t="str">
        <x:f>IF(F1127&gt;0,"Active","No est. sales")</x:f>
        <x:v>No est. sales</x:v>
      </x:c>
    </x:row>
    <x:row r="1128">
      <x:c r="A1128" s="10" t="str">
        <x:v>House Savings Insert Set | A6 Tracker and Matching Cash Wallet</x:v>
      </x:c>
      <x:c r="B1128" s="10" t="str">
        <x:v>https://www.etsy.com/listing/1423875906/house-savings-insert-set-a6-tracker-and</x:v>
      </x:c>
      <x:c r="C1128" s="10" t="str">
        <x:v>ThatBudgetLux</x:v>
      </x:c>
      <x:c r="D1128" s="10" t="str">
        <x:v>https://www.etsy.com/shop/ThatBudgetLux</x:v>
      </x:c>
      <x:c r="E1128" s="11" t="n">
        <x:v>8.01</x:v>
      </x:c>
      <x:c r="F1128" s="10" t="n">
        <x:v>0</x:v>
      </x:c>
      <x:c r="G1128" s="12" t="n">
        <x:v>0</x:v>
      </x:c>
      <x:c r="H1128" s="13" t="n">
        <x:v>0</x:v>
      </x:c>
      <x:c r="I1128" s="10" t="n">
        <x:v>36</x:v>
      </x:c>
      <x:c r="J1128" s="10" t="n">
        <x:v>15</x:v>
      </x:c>
      <x:c r="K1128" s="10" t="str">
        <x:v>40 Mo.</x:v>
      </x:c>
      <x:c r="L1128" s="10" t="n">
        <x:v>70</x:v>
      </x:c>
      <x:c r="M1128" s="10" t="n">
        <x:v>0</x:v>
      </x:c>
      <x:c r="N1128" s="10" t="n">
        <x:v>2221</x:v>
      </x:c>
      <x:c r="O1128" s="10" t="str">
        <x:v>Paper &amp; Party Supplies</x:v>
      </x:c>
      <x:c r="P1128" s="10" t="n">
        <x:v>54</x:v>
      </x:c>
      <x:c r="Q1128" s="10" t="n">
        <x:v>25</x:v>
      </x:c>
      <x:c r="R1128" s="13" t="n">
        <x:v>1.62</x:v>
      </x:c>
      <x:c r="S1128" s="10" t="n">
        <x:v>9788</x:v>
      </x:c>
      <x:c r="T1128" s="10" t="str">
        <x:v>new home savings,house down payment,home decor,mortgage savings,home improvement,housing deposit,moving expenses,budgeting,cash envelope,debt free,money,planner,rent savings</x:v>
      </x:c>
      <x:c r="U1128" s="10" t="str">
        <x:v>new home savings</x:v>
      </x:c>
      <x:c r="V1128" s="10" t="str">
        <x:v>house down payment</x:v>
      </x:c>
      <x:c r="W1128" s="10" t="str">
        <x:v>home decor</x:v>
      </x:c>
      <x:c r="X1128" s="10" t="str">
        <x:v>mortgage savings</x:v>
      </x:c>
      <x:c r="Y1128" s="10" t="str">
        <x:v>home improvement</x:v>
      </x:c>
      <x:c r="Z1128" s="10" t="str">
        <x:v>housing deposit</x:v>
      </x:c>
      <x:c r="AA1128" s="10" t="str">
        <x:v>moving expenses</x:v>
      </x:c>
      <x:c r="AB1128" s="10" t="str">
        <x:v>budgeting</x:v>
      </x:c>
      <x:c r="AC1128" s="10" t="str">
        <x:v>cash envelope</x:v>
      </x:c>
      <x:c r="AD1128" s="10" t="str">
        <x:v>debt free</x:v>
      </x:c>
      <x:c r="AE1128" s="10" t="str">
        <x:v>money</x:v>
      </x:c>
      <x:c r="AF1128" s="10" t="str">
        <x:v>planner</x:v>
      </x:c>
      <x:c r="AG1128" s="10" t="str">
        <x:v>rent savings</x:v>
      </x:c>
      <x:c r="AH1128" s="10" t="str">
        <x:v>Other mortgage-related</x:v>
      </x:c>
      <x:c r="AI1128" s="13" t="n">
        <x:v>40</x:v>
      </x:c>
      <x:c r="AJ1128" s="10" t="str">
        <x:f>IF(F1128&gt;0,"Active","No est. sales")</x:f>
        <x:v>No est. sales</x:v>
      </x:c>
    </x:row>
    <x:row r="1129">
      <x:c r="A1129" s="10" t="str">
        <x:v>Debt Payoff Planner Spreadsheet, Excel &amp; Google Sheets Debt Tracker, Snowball and Avalanche</x:v>
      </x:c>
      <x:c r="B1129" s="10" t="str">
        <x:v>https://www.etsy.com/listing/4538231557/debt-payoff-planner-spreadsheet-excel</x:v>
      </x:c>
      <x:c r="C1129" s="10" t="str">
        <x:v>StansenSpreadsheets</x:v>
      </x:c>
      <x:c r="D1129" s="10" t="str">
        <x:v>https://www.etsy.com/shop/StansenSpreadsheets</x:v>
      </x:c>
      <x:c r="E1129" s="11" t="n">
        <x:v>3.9</x:v>
      </x:c>
      <x:c r="F1129" s="10" t="n">
        <x:v>0</x:v>
      </x:c>
      <x:c r="G1129" s="12" t="n">
        <x:v>0</x:v>
      </x:c>
      <x:c r="H1129" s="13" t="n">
        <x:v>0</x:v>
      </x:c>
      <x:c r="I1129" s="10" t="n">
        <x:v>0</x:v>
      </x:c>
      <x:c r="J1129" s="10" t="n">
        <x:v>0</x:v>
      </x:c>
      <x:c r="K1129" s="10" t="str">
        <x:v>1 Mo.</x:v>
      </x:c>
      <x:c r="L1129" s="10" t="n">
        <x:v>0</x:v>
      </x:c>
      <x:c r="M1129" s="10" t="n">
        <x:v>0</x:v>
      </x:c>
      <x:c r="N1129" s="10" t="n">
        <x:v>0</x:v>
      </x:c>
      <x:c r="O1129" s="10" t="str"/>
      <x:c r="P1129" s="10" t="n">
        <x:v>1</x:v>
      </x:c>
      <x:c r="Q1129" s="10" t="n">
        <x:v>0</x:v>
      </x:c>
      <x:c r="R1129" s="13" t="n">
        <x:v>0</x:v>
      </x:c>
      <x:c r="S1129" s="10" t="n">
        <x:v>1</x:v>
      </x:c>
      <x:c r="T1129" s="10" t="str">
        <x:v>debt payoff tracker,snowball spreadsheet,debt payment tracker,student loan payoff,house debt payoff,debt repayment,mortgage payment,car payoff tracker,debt google sheets,debt free planner,debt payoff template,credit card loan,debt avalanche track</x:v>
      </x:c>
      <x:c r="U1129" s="10" t="str">
        <x:v>debt payoff tracker</x:v>
      </x:c>
      <x:c r="V1129" s="10" t="str">
        <x:v>snowball spreadsheet</x:v>
      </x:c>
      <x:c r="W1129" s="10" t="str">
        <x:v>debt payment tracker</x:v>
      </x:c>
      <x:c r="X1129" s="10" t="str">
        <x:v>student loan payoff</x:v>
      </x:c>
      <x:c r="Y1129" s="10" t="str">
        <x:v>house debt payoff</x:v>
      </x:c>
      <x:c r="Z1129" s="10" t="str">
        <x:v>debt repayment</x:v>
      </x:c>
      <x:c r="AA1129" s="10" t="str">
        <x:v>mortgage payment</x:v>
      </x:c>
      <x:c r="AB1129" s="10" t="str">
        <x:v>car payoff tracker</x:v>
      </x:c>
      <x:c r="AC1129" s="10" t="str">
        <x:v>debt google sheets</x:v>
      </x:c>
      <x:c r="AD1129" s="10" t="str">
        <x:v>debt free planner</x:v>
      </x:c>
      <x:c r="AE1129" s="10" t="str">
        <x:v>debt payoff template</x:v>
      </x:c>
      <x:c r="AF1129" s="10" t="str">
        <x:v>credit card loan</x:v>
      </x:c>
      <x:c r="AG1129" s="10" t="str">
        <x:v>debt avalanche track</x:v>
      </x:c>
      <x:c r="AH1129" s="10" t="str">
        <x:v>General debt payoff</x:v>
      </x:c>
      <x:c r="AI1129" s="13" t="n">
        <x:v>1</x:v>
      </x:c>
      <x:c r="AJ1129" s="10" t="str">
        <x:f>IF(F1129&gt;0,"Active","No est. sales")</x:f>
        <x:v>No est. sales</x:v>
      </x:c>
    </x:row>
    <x:row r="1130">
      <x:c r="A1130" s="10" t="str">
        <x:v>First Time Home Buyer Guide Mortgage Checklist Complete Roadmap Closing Negotiation Workbook</x:v>
      </x:c>
      <x:c r="B1130" s="10" t="str">
        <x:v>https://www.etsy.com/listing/4500727686/first-time-home-buyer-guide-mortgage</x:v>
      </x:c>
      <x:c r="C1130" s="10" t="str">
        <x:v>CorePromptStudio</x:v>
      </x:c>
      <x:c r="D1130" s="10" t="str">
        <x:v>https://www.etsy.com/shop/CorePromptStudio</x:v>
      </x:c>
      <x:c r="E1130" s="11" t="n">
        <x:v>35</x:v>
      </x:c>
      <x:c r="F1130" s="10" t="n">
        <x:v>0</x:v>
      </x:c>
      <x:c r="G1130" s="12" t="n">
        <x:v>0</x:v>
      </x:c>
      <x:c r="H1130" s="13" t="n">
        <x:v>0</x:v>
      </x:c>
      <x:c r="I1130" s="10" t="n">
        <x:v>0</x:v>
      </x:c>
      <x:c r="J1130" s="10" t="n">
        <x:v>0</x:v>
      </x:c>
      <x:c r="K1130" s="10" t="str">
        <x:v>2 Mo.</x:v>
      </x:c>
      <x:c r="L1130" s="10" t="n">
        <x:v>1</x:v>
      </x:c>
      <x:c r="M1130" s="10" t="n">
        <x:v>0</x:v>
      </x:c>
      <x:c r="N1130" s="10" t="n">
        <x:v>2</x:v>
      </x:c>
      <x:c r="O1130" s="10" t="str">
        <x:v>Art &amp; Collectibles</x:v>
      </x:c>
      <x:c r="P1130" s="10" t="n">
        <x:v>9</x:v>
      </x:c>
      <x:c r="Q1130" s="10" t="n">
        <x:v>0</x:v>
      </x:c>
      <x:c r="R1130" s="13" t="n">
        <x:v>0</x:v>
      </x:c>
      <x:c r="S1130" s="10" t="n">
        <x:v>19</x:v>
      </x:c>
      <x:c r="T1130" s="10" t="str">
        <x:v>first-time-homebuyer,home-buyer-guide,mortgage-checklist,real-estate-guide,homebuying-tips,first-home-planner,house-hunting,closing-checklist,home-inspection,mortgage-guide,digital-download,real-estate-planner,homeowner-guide</x:v>
      </x:c>
      <x:c r="U1130" s="10" t="str">
        <x:v>first-time-homebuyer</x:v>
      </x:c>
      <x:c r="V1130" s="10" t="str">
        <x:v>home-buyer-guide</x:v>
      </x:c>
      <x:c r="W1130" s="10" t="str">
        <x:v>mortgage-checklist</x:v>
      </x:c>
      <x:c r="X1130" s="10" t="str">
        <x:v>real-estate-guide</x:v>
      </x:c>
      <x:c r="Y1130" s="10" t="str">
        <x:v>homebuying-tips</x:v>
      </x:c>
      <x:c r="Z1130" s="10" t="str">
        <x:v>first-home-planner</x:v>
      </x:c>
      <x:c r="AA1130" s="10" t="str">
        <x:v>house-hunting</x:v>
      </x:c>
      <x:c r="AB1130" s="10" t="str">
        <x:v>closing-checklist</x:v>
      </x:c>
      <x:c r="AC1130" s="10" t="str">
        <x:v>home-inspection</x:v>
      </x:c>
      <x:c r="AD1130" s="10" t="str">
        <x:v>mortgage-guide</x:v>
      </x:c>
      <x:c r="AE1130" s="10" t="str">
        <x:v>digital-download</x:v>
      </x:c>
      <x:c r="AF1130" s="10" t="str">
        <x:v>real-estate-planner</x:v>
      </x:c>
      <x:c r="AG1130" s="10" t="str">
        <x:v>homeowner-guide</x:v>
      </x:c>
      <x:c r="AH1130" s="10" t="str">
        <x:v>Home buying planner</x:v>
      </x:c>
      <x:c r="AI1130" s="13" t="n">
        <x:v>2</x:v>
      </x:c>
      <x:c r="AJ1130" s="10" t="str">
        <x:f>IF(F1130&gt;0,"Active","No est. sales")</x:f>
        <x:v>No est. sales</x:v>
      </x:c>
    </x:row>
    <x:row r="1131">
      <x:c r="A1131" s="10" t="str">
        <x:v>First Time Homebuyer Guide Spreadsheet, Home Buying Planner, Mortgage Calculator, Affordability, Closing Costs, Excel Google Sheets</x:v>
      </x:c>
      <x:c r="B1131" s="10" t="str">
        <x:v>https://www.etsy.com/listing/4537122021/first-time-homebuyer-guide-spreadsheet</x:v>
      </x:c>
      <x:c r="C1131" s="10" t="str">
        <x:v>SellerKitLab</x:v>
      </x:c>
      <x:c r="D1131" s="10" t="str">
        <x:v>https://www.etsy.com/shop/SellerKitLab</x:v>
      </x:c>
      <x:c r="E1131" s="11" t="n">
        <x:v>6.49</x:v>
      </x:c>
      <x:c r="F1131" s="10" t="n">
        <x:v>0</x:v>
      </x:c>
      <x:c r="G1131" s="12" t="n">
        <x:v>0</x:v>
      </x:c>
      <x:c r="H1131" s="13" t="n">
        <x:v>0</x:v>
      </x:c>
      <x:c r="I1131" s="10" t="n">
        <x:v>0</x:v>
      </x:c>
      <x:c r="J1131" s="10" t="n">
        <x:v>0</x:v>
      </x:c>
      <x:c r="K1131" s="10" t="str">
        <x:v>1 Mo.</x:v>
      </x:c>
      <x:c r="L1131" s="10" t="n">
        <x:v>0</x:v>
      </x:c>
      <x:c r="M1131" s="10" t="n">
        <x:v>0</x:v>
      </x:c>
      <x:c r="N1131" s="10" t="n">
        <x:v>2</x:v>
      </x:c>
      <x:c r="O1131" s="10" t="str"/>
      <x:c r="P1131" s="10" t="n">
        <x:v>2</x:v>
      </x:c>
      <x:c r="Q1131" s="10" t="n">
        <x:v>0</x:v>
      </x:c>
      <x:c r="R1131" s="13" t="n">
        <x:v>0</x:v>
      </x:c>
      <x:c r="S1131" s="10" t="n">
        <x:v>260</x:v>
      </x:c>
      <x:c r="T1131" s="10" t="str">
        <x:v>first home buyer,homebuyer guide,home buying,buyer checklist,mortgage calc,affordability,closing costs,house hunt,down payment,document list,home budget,google sheets,excel planner</x:v>
      </x:c>
      <x:c r="U1131" s="10" t="str">
        <x:v>first home buyer</x:v>
      </x:c>
      <x:c r="V1131" s="10" t="str">
        <x:v>homebuyer guide</x:v>
      </x:c>
      <x:c r="W1131" s="10" t="str">
        <x:v>home buying</x:v>
      </x:c>
      <x:c r="X1131" s="10" t="str">
        <x:v>buyer checklist</x:v>
      </x:c>
      <x:c r="Y1131" s="10" t="str">
        <x:v>mortgage calc</x:v>
      </x:c>
      <x:c r="Z1131" s="10" t="str">
        <x:v>affordability</x:v>
      </x:c>
      <x:c r="AA1131" s="10" t="str">
        <x:v>closing costs</x:v>
      </x:c>
      <x:c r="AB1131" s="10" t="str">
        <x:v>house hunt</x:v>
      </x:c>
      <x:c r="AC1131" s="10" t="str">
        <x:v>down payment</x:v>
      </x:c>
      <x:c r="AD1131" s="10" t="str">
        <x:v>document list</x:v>
      </x:c>
      <x:c r="AE1131" s="10" t="str">
        <x:v>home budget</x:v>
      </x:c>
      <x:c r="AF1131" s="10" t="str">
        <x:v>google sheets</x:v>
      </x:c>
      <x:c r="AG1131" s="10" t="str">
        <x:v>excel planner</x:v>
      </x:c>
      <x:c r="AH1131" s="10" t="str">
        <x:v>Home buying planner</x:v>
      </x:c>
      <x:c r="AI1131" s="13" t="n">
        <x:v>1</x:v>
      </x:c>
      <x:c r="AJ1131" s="10" t="str">
        <x:f>IF(F1131&gt;0,"Active","No est. sales")</x:f>
        <x:v>No est. sales</x:v>
      </x:c>
    </x:row>
    <x:row r="1132">
      <x:c r="A1132" s="10" t="str">
        <x:v>Canadian Mortgage Calculator | Excel &amp; Google Spreadsheet | Mortgage Payment Calculator | CMHC Calculator | Amortization Schedule Tracker</x:v>
      </x:c>
      <x:c r="B1132" s="10" t="str">
        <x:v>https://www.etsy.com/listing/4405771011/canadian-mortgage-calculator-with</x:v>
      </x:c>
      <x:c r="C1132" s="10" t="str">
        <x:v>FinanceBuddyStudio</x:v>
      </x:c>
      <x:c r="D1132" s="10" t="str">
        <x:v>https://www.etsy.com/shop/FinanceBuddyStudio</x:v>
      </x:c>
      <x:c r="E1132" s="11" t="n">
        <x:v>6.38</x:v>
      </x:c>
      <x:c r="F1132" s="10" t="n">
        <x:v>0</x:v>
      </x:c>
      <x:c r="G1132" s="12" t="n">
        <x:v>0</x:v>
      </x:c>
      <x:c r="H1132" s="13" t="n">
        <x:v>0</x:v>
      </x:c>
      <x:c r="I1132" s="10" t="n">
        <x:v>0</x:v>
      </x:c>
      <x:c r="J1132" s="10" t="n">
        <x:v>0</x:v>
      </x:c>
      <x:c r="K1132" s="10" t="str">
        <x:v>8 Mo.</x:v>
      </x:c>
      <x:c r="L1132" s="10" t="n">
        <x:v>0</x:v>
      </x:c>
      <x:c r="M1132" s="10" t="n">
        <x:v>0</x:v>
      </x:c>
      <x:c r="N1132" s="10" t="n">
        <x:v>121</x:v>
      </x:c>
      <x:c r="O1132" s="10" t="str"/>
      <x:c r="P1132" s="10" t="n">
        <x:v>8</x:v>
      </x:c>
      <x:c r="Q1132" s="10" t="n">
        <x:v>0</x:v>
      </x:c>
      <x:c r="R1132" s="13" t="n">
        <x:v>0</x:v>
      </x:c>
      <x:c r="S1132" s="10" t="n">
        <x:v>5</x:v>
      </x:c>
      <x:c r="T1132" s="10" t="str">
        <x:v>mortgage calc,mortgage sheet,mortgage planner,cmhc calculator,canada mortgage,home buyer tool,loan calculator,amortization,payment tracker,interest breakdown,excel mortgage,google sheets,finance spreadsheet</x:v>
      </x:c>
      <x:c r="U1132" s="10" t="str">
        <x:v>mortgage calc</x:v>
      </x:c>
      <x:c r="V1132" s="10" t="str">
        <x:v>mortgage sheet</x:v>
      </x:c>
      <x:c r="W1132" s="10" t="str">
        <x:v>mortgage planner</x:v>
      </x:c>
      <x:c r="X1132" s="10" t="str">
        <x:v>cmhc calculator</x:v>
      </x:c>
      <x:c r="Y1132" s="10" t="str">
        <x:v>canada mortgage</x:v>
      </x:c>
      <x:c r="Z1132" s="10" t="str">
        <x:v>home buyer tool</x:v>
      </x:c>
      <x:c r="AA1132" s="10" t="str">
        <x:v>loan calculator</x:v>
      </x:c>
      <x:c r="AB1132" s="10" t="str">
        <x:v>amortization</x:v>
      </x:c>
      <x:c r="AC1132" s="10" t="str">
        <x:v>payment tracker</x:v>
      </x:c>
      <x:c r="AD1132" s="10" t="str">
        <x:v>interest breakdown</x:v>
      </x:c>
      <x:c r="AE1132" s="10" t="str">
        <x:v>excel mortgage</x:v>
      </x:c>
      <x:c r="AF1132" s="10" t="str">
        <x:v>google sheets</x:v>
      </x:c>
      <x:c r="AG1132" s="10" t="str">
        <x:v>finance spreadsheet</x:v>
      </x:c>
      <x:c r="AH1132" s="10" t="str">
        <x:v>Mortgage payoff / calculator</x:v>
      </x:c>
      <x:c r="AI1132" s="13" t="n">
        <x:v>8</x:v>
      </x:c>
      <x:c r="AJ1132" s="10" t="str">
        <x:f>IF(F1132&gt;0,"Active","No est. sales")</x:f>
        <x:v>No est. sales</x:v>
      </x:c>
    </x:row>
    <x:row r="1133">
      <x:c r="A1133" s="10" t="str">
        <x:v>HELOC vs Mortgage Calculator, Interest Savings Spreadsheet, Mortgage Payoff Planner for Excel Google Sheets</x:v>
      </x:c>
      <x:c r="B1133" s="10" t="str">
        <x:v>https://www.etsy.com/listing/4406901423/heloc-vs-mortgage-calculator-interest</x:v>
      </x:c>
      <x:c r="C1133" s="10" t="str">
        <x:v>FinanceBuddyStudio</x:v>
      </x:c>
      <x:c r="D1133" s="10" t="str">
        <x:v>https://www.etsy.com/shop/FinanceBuddyStudio</x:v>
      </x:c>
      <x:c r="E1133" s="11" t="n">
        <x:v>5.67</x:v>
      </x:c>
      <x:c r="F1133" s="10" t="n">
        <x:v>0</x:v>
      </x:c>
      <x:c r="G1133" s="12" t="n">
        <x:v>0</x:v>
      </x:c>
      <x:c r="H1133" s="13" t="n">
        <x:v>0</x:v>
      </x:c>
      <x:c r="I1133" s="10" t="n">
        <x:v>0</x:v>
      </x:c>
      <x:c r="J1133" s="10" t="n">
        <x:v>0</x:v>
      </x:c>
      <x:c r="K1133" s="10" t="str">
        <x:v>8 Mo.</x:v>
      </x:c>
      <x:c r="L1133" s="10" t="n">
        <x:v>0</x:v>
      </x:c>
      <x:c r="M1133" s="10" t="n">
        <x:v>0</x:v>
      </x:c>
      <x:c r="N1133" s="10" t="n">
        <x:v>61</x:v>
      </x:c>
      <x:c r="O1133" s="10" t="str"/>
      <x:c r="P1133" s="10" t="n">
        <x:v>8</x:v>
      </x:c>
      <x:c r="Q1133" s="10" t="n">
        <x:v>0</x:v>
      </x:c>
      <x:c r="R1133" s="13" t="n">
        <x:v>0</x:v>
      </x:c>
      <x:c r="S1133" s="10" t="n">
        <x:v>5</x:v>
      </x:c>
      <x:c r="T1133" s="10" t="str">
        <x:v>heloc calculator,heloc mortgage,mortgage payoff,interest savings,mortgage planner,home equity calc,loan comparison,mortgage excel,debt payoff tool,canadian mortgage,home finance tool,real estate finance,spreadsheet template</x:v>
      </x:c>
      <x:c r="U1133" s="10" t="str">
        <x:v>heloc calculator</x:v>
      </x:c>
      <x:c r="V1133" s="10" t="str">
        <x:v>heloc mortgage</x:v>
      </x:c>
      <x:c r="W1133" s="10" t="str">
        <x:v>mortgage payoff</x:v>
      </x:c>
      <x:c r="X1133" s="10" t="str">
        <x:v>interest savings</x:v>
      </x:c>
      <x:c r="Y1133" s="10" t="str">
        <x:v>mortgage planner</x:v>
      </x:c>
      <x:c r="Z1133" s="10" t="str">
        <x:v>home equity calc</x:v>
      </x:c>
      <x:c r="AA1133" s="10" t="str">
        <x:v>loan comparison</x:v>
      </x:c>
      <x:c r="AB1133" s="10" t="str">
        <x:v>mortgage excel</x:v>
      </x:c>
      <x:c r="AC1133" s="10" t="str">
        <x:v>debt payoff tool</x:v>
      </x:c>
      <x:c r="AD1133" s="10" t="str">
        <x:v>canadian mortgage</x:v>
      </x:c>
      <x:c r="AE1133" s="10" t="str">
        <x:v>home finance tool</x:v>
      </x:c>
      <x:c r="AF1133" s="10" t="str">
        <x:v>real estate finance</x:v>
      </x:c>
      <x:c r="AG1133" s="10" t="str">
        <x:v>spreadsheet template</x:v>
      </x:c>
      <x:c r="AH1133" s="10" t="str">
        <x:v>Mortgage payoff / calculator</x:v>
      </x:c>
      <x:c r="AI1133" s="13" t="n">
        <x:v>8</x:v>
      </x:c>
      <x:c r="AJ1133" s="10" t="str">
        <x:f>IF(F1133&gt;0,"Active","No est. sales")</x:f>
        <x:v>No est. sales</x:v>
      </x:c>
    </x:row>
    <x:row r="1134">
      <x:c r="A1134" s="10" t="str">
        <x:v>Rent vs Buy Calculator Spreadsheet | Home Affordability &amp; Mortgage Comparison Tool | Excel Google Sheets</x:v>
      </x:c>
      <x:c r="B1134" s="10" t="str">
        <x:v>https://www.etsy.com/listing/4410903857/rent-vs-buy-calculator-excel-home</x:v>
      </x:c>
      <x:c r="C1134" s="10" t="str">
        <x:v>FinanceBuddyStudio</x:v>
      </x:c>
      <x:c r="D1134" s="10" t="str">
        <x:v>https://www.etsy.com/shop/FinanceBuddyStudio</x:v>
      </x:c>
      <x:c r="E1134" s="11" t="n">
        <x:v>5.67</x:v>
      </x:c>
      <x:c r="F1134" s="10" t="n">
        <x:v>0</x:v>
      </x:c>
      <x:c r="G1134" s="12" t="n">
        <x:v>0</x:v>
      </x:c>
      <x:c r="H1134" s="13" t="n">
        <x:v>0</x:v>
      </x:c>
      <x:c r="I1134" s="10" t="n">
        <x:v>0</x:v>
      </x:c>
      <x:c r="J1134" s="10" t="n">
        <x:v>0</x:v>
      </x:c>
      <x:c r="K1134" s="10" t="str">
        <x:v>8 Mo.</x:v>
      </x:c>
      <x:c r="L1134" s="10" t="n">
        <x:v>0</x:v>
      </x:c>
      <x:c r="M1134" s="10" t="n">
        <x:v>0</x:v>
      </x:c>
      <x:c r="N1134" s="10" t="n">
        <x:v>18</x:v>
      </x:c>
      <x:c r="O1134" s="10" t="str"/>
      <x:c r="P1134" s="10" t="n">
        <x:v>8</x:v>
      </x:c>
      <x:c r="Q1134" s="10" t="n">
        <x:v>0</x:v>
      </x:c>
      <x:c r="R1134" s="13" t="n">
        <x:v>0</x:v>
      </x:c>
      <x:c r="S1134" s="10" t="n">
        <x:v>5</x:v>
      </x:c>
      <x:c r="T1134" s="10" t="str">
        <x:v>rent vs buy calc,rent vs buy template,mortgage excel calc,home buying planner,real estate calc,mortgage comparison,buy vs rent analysis,home affordability,should i buy a home,excel budget planner,investment calculatr,google sheets calc,rent or buy house</x:v>
      </x:c>
      <x:c r="U1134" s="10" t="str">
        <x:v>rent vs buy calc</x:v>
      </x:c>
      <x:c r="V1134" s="10" t="str">
        <x:v>rent vs buy template</x:v>
      </x:c>
      <x:c r="W1134" s="10" t="str">
        <x:v>mortgage excel calc</x:v>
      </x:c>
      <x:c r="X1134" s="10" t="str">
        <x:v>home buying planner</x:v>
      </x:c>
      <x:c r="Y1134" s="10" t="str">
        <x:v>real estate calc</x:v>
      </x:c>
      <x:c r="Z1134" s="10" t="str">
        <x:v>mortgage comparison</x:v>
      </x:c>
      <x:c r="AA1134" s="10" t="str">
        <x:v>buy vs rent analysis</x:v>
      </x:c>
      <x:c r="AB1134" s="10" t="str">
        <x:v>home affordability</x:v>
      </x:c>
      <x:c r="AC1134" s="10" t="str">
        <x:v>should i buy a home</x:v>
      </x:c>
      <x:c r="AD1134" s="10" t="str">
        <x:v>excel budget planner</x:v>
      </x:c>
      <x:c r="AE1134" s="10" t="str">
        <x:v>investment calculatr</x:v>
      </x:c>
      <x:c r="AF1134" s="10" t="str">
        <x:v>google sheets calc</x:v>
      </x:c>
      <x:c r="AG1134" s="10" t="str">
        <x:v>rent or buy house</x:v>
      </x:c>
      <x:c r="AH1134" s="10" t="str">
        <x:v>Home buying planner</x:v>
      </x:c>
      <x:c r="AI1134" s="13" t="n">
        <x:v>8</x:v>
      </x:c>
      <x:c r="AJ1134" s="10" t="str">
        <x:f>IF(F1134&gt;0,"Active","No est. sales")</x:f>
        <x:v>No est. sales</x:v>
      </x:c>
    </x:row>
    <x:row r="1135">
      <x:c r="A1135" s="10" t="str">
        <x:v>Grey House Deposit Tracker Digital Download | Printable Home Savings Planner | Mortgage Down Payment Progress | Financial Budgeting Tool</x:v>
      </x:c>
      <x:c r="B1135" s="10" t="str">
        <x:v>https://www.etsy.com/listing/1417645094/grey-house-deposit-tracker-digital</x:v>
      </x:c>
      <x:c r="C1135" s="10" t="str">
        <x:v>AMillennialSaves</x:v>
      </x:c>
      <x:c r="D1135" s="10" t="str">
        <x:v>https://www.etsy.com/shop/AMillennialSaves</x:v>
      </x:c>
      <x:c r="E1135" s="11" t="n">
        <x:v>1.99</x:v>
      </x:c>
      <x:c r="F1135" s="10" t="n">
        <x:v>0</x:v>
      </x:c>
      <x:c r="G1135" s="12" t="n">
        <x:v>0</x:v>
      </x:c>
      <x:c r="H1135" s="13" t="n">
        <x:v>0</x:v>
      </x:c>
      <x:c r="I1135" s="10" t="n">
        <x:v>0</x:v>
      </x:c>
      <x:c r="J1135" s="10" t="n">
        <x:v>0</x:v>
      </x:c>
      <x:c r="K1135" s="10" t="str">
        <x:v>40 Mo.</x:v>
      </x:c>
      <x:c r="L1135" s="10" t="n">
        <x:v>1</x:v>
      </x:c>
      <x:c r="M1135" s="10" t="n">
        <x:v>0</x:v>
      </x:c>
      <x:c r="N1135" s="10" t="n">
        <x:v>24</x:v>
      </x:c>
      <x:c r="O1135" s="10" t="str">
        <x:v>Home &amp; Living</x:v>
      </x:c>
      <x:c r="P1135" s="10" t="n">
        <x:v>40</x:v>
      </x:c>
      <x:c r="Q1135" s="10" t="n">
        <x:v>0</x:v>
      </x:c>
      <x:c r="R1135" s="13" t="n">
        <x:v>0</x:v>
      </x:c>
      <x:c r="S1135" s="10" t="n">
        <x:v>0</x:v>
      </x:c>
      <x:c r="T1135" s="10" t="str">
        <x:v>home savings planner,budgeting tool,digital download,printable planner,savings tracker,house deposit,tracker,savings plan,personal finance,budget planner,money management,savings goals,deposit savings</x:v>
      </x:c>
      <x:c r="U1135" s="10" t="str">
        <x:v>home savings planner</x:v>
      </x:c>
      <x:c r="V1135" s="10" t="str">
        <x:v>budgeting tool</x:v>
      </x:c>
      <x:c r="W1135" s="10" t="str">
        <x:v>digital download</x:v>
      </x:c>
      <x:c r="X1135" s="10" t="str">
        <x:v>printable planner</x:v>
      </x:c>
      <x:c r="Y1135" s="10" t="str">
        <x:v>savings tracker</x:v>
      </x:c>
      <x:c r="Z1135" s="10" t="str">
        <x:v>house deposit</x:v>
      </x:c>
      <x:c r="AA1135" s="10" t="str">
        <x:v>tracker</x:v>
      </x:c>
      <x:c r="AB1135" s="10" t="str">
        <x:v>savings plan</x:v>
      </x:c>
      <x:c r="AC1135" s="10" t="str">
        <x:v>personal finance</x:v>
      </x:c>
      <x:c r="AD1135" s="10" t="str">
        <x:v>budget planner</x:v>
      </x:c>
      <x:c r="AE1135" s="10" t="str">
        <x:v>money management</x:v>
      </x:c>
      <x:c r="AF1135" s="10" t="str">
        <x:v>savings goals</x:v>
      </x:c>
      <x:c r="AG1135" s="10" t="str">
        <x:v>deposit savings</x:v>
      </x:c>
      <x:c r="AH1135" s="10" t="str">
        <x:v>Other mortgage-related</x:v>
      </x:c>
      <x:c r="AI1135" s="13" t="n">
        <x:v>40</x:v>
      </x:c>
      <x:c r="AJ1135" s="10" t="str">
        <x:f>IF(F1135&gt;0,"Active","No est. sales")</x:f>
        <x:v>No est. sales</x:v>
      </x:c>
    </x:row>
    <x:row r="1136">
      <x:c r="A1136" s="10" t="str">
        <x:v>Home Affordability Tracker, Housing &amp; Closing Cost Planner, Mortgage Estimate, Pre-Buying Overview For Real Estate</x:v>
      </x:c>
      <x:c r="B1136" s="10" t="str">
        <x:v>https://www.etsy.com/listing/4532763652/home-affordability-tracker-housing</x:v>
      </x:c>
      <x:c r="C1136" s="10" t="str">
        <x:v>SapphireGroveStudios</x:v>
      </x:c>
      <x:c r="D1136" s="10" t="str">
        <x:v>https://www.etsy.com/shop/SapphireGroveStudios</x:v>
      </x:c>
      <x:c r="E1136" s="11" t="n">
        <x:v>4.96</x:v>
      </x:c>
      <x:c r="F1136" s="10" t="n">
        <x:v>0</x:v>
      </x:c>
      <x:c r="G1136" s="12" t="n">
        <x:v>0</x:v>
      </x:c>
      <x:c r="H1136" s="13" t="n">
        <x:v>0</x:v>
      </x:c>
      <x:c r="I1136" s="10" t="n">
        <x:v>0</x:v>
      </x:c>
      <x:c r="J1136" s="10" t="n">
        <x:v>0</x:v>
      </x:c>
      <x:c r="K1136" s="10" t="str">
        <x:v>1 Mo.</x:v>
      </x:c>
      <x:c r="L1136" s="10" t="n">
        <x:v>0</x:v>
      </x:c>
      <x:c r="M1136" s="10" t="n">
        <x:v>0</x:v>
      </x:c>
      <x:c r="N1136" s="10" t="n">
        <x:v>0</x:v>
      </x:c>
      <x:c r="O1136" s="10" t="str"/>
      <x:c r="P1136" s="10" t="n">
        <x:v>9</x:v>
      </x:c>
      <x:c r="Q1136" s="10" t="n">
        <x:v>0</x:v>
      </x:c>
      <x:c r="R1136" s="13" t="n">
        <x:v>0</x:v>
      </x:c>
      <x:c r="S1136" s="10" t="n">
        <x:v>3</x:v>
      </x:c>
      <x:c r="T1136" s="10" t="str">
        <x:v>home buying,real estate,first time buyer,personal finance,home,downpayment,closing costs,affordability,tracker,spreadsheet,google sheets,estimator,planner</x:v>
      </x:c>
      <x:c r="U1136" s="10" t="str">
        <x:v>home buying</x:v>
      </x:c>
      <x:c r="V1136" s="10" t="str">
        <x:v>real estate</x:v>
      </x:c>
      <x:c r="W1136" s="10" t="str">
        <x:v>first time buyer</x:v>
      </x:c>
      <x:c r="X1136" s="10" t="str">
        <x:v>personal finance</x:v>
      </x:c>
      <x:c r="Y1136" s="10" t="str">
        <x:v>home</x:v>
      </x:c>
      <x:c r="Z1136" s="10" t="str">
        <x:v>downpayment</x:v>
      </x:c>
      <x:c r="AA1136" s="10" t="str">
        <x:v>closing costs</x:v>
      </x:c>
      <x:c r="AB1136" s="10" t="str">
        <x:v>affordability</x:v>
      </x:c>
      <x:c r="AC1136" s="10" t="str">
        <x:v>tracker</x:v>
      </x:c>
      <x:c r="AD1136" s="10" t="str">
        <x:v>spreadsheet</x:v>
      </x:c>
      <x:c r="AE1136" s="10" t="str">
        <x:v>google sheets</x:v>
      </x:c>
      <x:c r="AF1136" s="10" t="str">
        <x:v>estimator</x:v>
      </x:c>
      <x:c r="AG1136" s="10" t="str">
        <x:v>planner</x:v>
      </x:c>
      <x:c r="AH1136" s="10" t="str">
        <x:v>Other mortgage-related</x:v>
      </x:c>
      <x:c r="AI1136" s="13" t="n">
        <x:v>1</x:v>
      </x:c>
      <x:c r="AJ1136" s="10" t="str">
        <x:f>IF(F1136&gt;0,"Active","No est. sales")</x:f>
        <x:v>No est. sales</x:v>
      </x:c>
    </x:row>
    <x:row r="1137">
      <x:c r="A1137" s="10" t="str">
        <x:v>Mortgage Payment // Rent // HOA Fees Minis (Set of 40) Item #779</x:v>
      </x:c>
      <x:c r="B1137" s="10" t="str">
        <x:v>https://www.etsy.com/listing/623031522/mortgage-payment-rent-hoa-fees-minis-set</x:v>
      </x:c>
      <x:c r="C1137" s="10" t="str">
        <x:v>BottledHoneyDesigns</x:v>
      </x:c>
      <x:c r="D1137" s="10" t="str">
        <x:v>https://www.etsy.com/shop/BottledHoneyDesigns</x:v>
      </x:c>
      <x:c r="E1137" s="11" t="n">
        <x:v>5.75</x:v>
      </x:c>
      <x:c r="F1137" s="10" t="n">
        <x:v>0</x:v>
      </x:c>
      <x:c r="G1137" s="12" t="n">
        <x:v>0</x:v>
      </x:c>
      <x:c r="H1137" s="13" t="n">
        <x:v>0</x:v>
      </x:c>
      <x:c r="I1137" s="10" t="n">
        <x:v>17</x:v>
      </x:c>
      <x:c r="J1137" s="10" t="n">
        <x:v>5</x:v>
      </x:c>
      <x:c r="K1137" s="10" t="str">
        <x:v>95 Mo.</x:v>
      </x:c>
      <x:c r="L1137" s="10" t="n">
        <x:v>22</x:v>
      </x:c>
      <x:c r="M1137" s="10" t="n">
        <x:v>0</x:v>
      </x:c>
      <x:c r="N1137" s="10" t="n">
        <x:v>155</x:v>
      </x:c>
      <x:c r="O1137" s="10" t="str">
        <x:v>Craft Supplies &amp; Tools</x:v>
      </x:c>
      <x:c r="P1137" s="10" t="n">
        <x:v>132</x:v>
      </x:c>
      <x:c r="Q1137" s="10" t="n">
        <x:v>0</x:v>
      </x:c>
      <x:c r="R1137" s="13" t="n">
        <x:v>10.97</x:v>
      </x:c>
      <x:c r="S1137" s="10" t="n">
        <x:v>40899</x:v>
      </x:c>
      <x:c r="T1137" s="10" t="str">
        <x:v>hoa fees,rent,mortgage,payment,mini stickers,stickers,planner,bottledhoneydesigns,plum paper,happy planner,recollections,inkwell press,erin condren</x:v>
      </x:c>
      <x:c r="U1137" s="10" t="str">
        <x:v>hoa fees</x:v>
      </x:c>
      <x:c r="V1137" s="10" t="str">
        <x:v>rent</x:v>
      </x:c>
      <x:c r="W1137" s="10" t="str">
        <x:v>mortgage</x:v>
      </x:c>
      <x:c r="X1137" s="10" t="str">
        <x:v>payment</x:v>
      </x:c>
      <x:c r="Y1137" s="10" t="str">
        <x:v>mini stickers</x:v>
      </x:c>
      <x:c r="Z1137" s="10" t="str">
        <x:v>stickers</x:v>
      </x:c>
      <x:c r="AA1137" s="10" t="str">
        <x:v>planner</x:v>
      </x:c>
      <x:c r="AB1137" s="10" t="str">
        <x:v>bottledhoneydesigns</x:v>
      </x:c>
      <x:c r="AC1137" s="10" t="str">
        <x:v>plum paper</x:v>
      </x:c>
      <x:c r="AD1137" s="10" t="str">
        <x:v>happy planner</x:v>
      </x:c>
      <x:c r="AE1137" s="10" t="str">
        <x:v>recollections</x:v>
      </x:c>
      <x:c r="AF1137" s="10" t="str">
        <x:v>inkwell press</x:v>
      </x:c>
      <x:c r="AG1137" s="10" t="str">
        <x:v>erin condren</x:v>
      </x:c>
      <x:c r="AH1137" s="10" t="str">
        <x:v>Other mortgage-related</x:v>
      </x:c>
      <x:c r="AI1137" s="13" t="n">
        <x:v>95</x:v>
      </x:c>
      <x:c r="AJ1137" s="10" t="str">
        <x:f>IF(F1137&gt;0,"Active","No est. sales")</x:f>
        <x:v>No est. sales</x:v>
      </x:c>
    </x:row>
    <x:row r="1138">
      <x:c r="A1138" s="10" t="str">
        <x:v>Simple Budget Tracker Monthly Planner Financial Tracker Google Sheets Template Spreadsheet Budgeting Payckeck Tool Beginner Dark Mode 2025</x:v>
      </x:c>
      <x:c r="B1138" s="10" t="str">
        <x:v>https://www.etsy.com/listing/4320198366/simple-budget-tracker-monthly-planner</x:v>
      </x:c>
      <x:c r="C1138" s="10" t="str">
        <x:v>TheCraftedLabel</x:v>
      </x:c>
      <x:c r="D1138" s="10" t="str">
        <x:v>https://www.etsy.com/shop/TheCraftedLabel</x:v>
      </x:c>
      <x:c r="E1138" s="11" t="n">
        <x:v>5.33</x:v>
      </x:c>
      <x:c r="F1138" s="10" t="n">
        <x:v>0</x:v>
      </x:c>
      <x:c r="G1138" s="12" t="n">
        <x:v>0</x:v>
      </x:c>
      <x:c r="H1138" s="13" t="n">
        <x:v>0</x:v>
      </x:c>
      <x:c r="I1138" s="10" t="n">
        <x:v>0</x:v>
      </x:c>
      <x:c r="J1138" s="10" t="n">
        <x:v>0</x:v>
      </x:c>
      <x:c r="K1138" s="10" t="str">
        <x:v>13 Mo.</x:v>
      </x:c>
      <x:c r="L1138" s="10" t="n">
        <x:v>1</x:v>
      </x:c>
      <x:c r="M1138" s="10" t="n">
        <x:v>0</x:v>
      </x:c>
      <x:c r="N1138" s="10" t="n">
        <x:v>9</x:v>
      </x:c>
      <x:c r="O1138" s="10" t="str">
        <x:v>Paper &amp; Party Supplies</x:v>
      </x:c>
      <x:c r="P1138" s="10" t="n">
        <x:v>22</x:v>
      </x:c>
      <x:c r="Q1138" s="10" t="n">
        <x:v>0</x:v>
      </x:c>
      <x:c r="R1138" s="13" t="n">
        <x:v>0</x:v>
      </x:c>
      <x:c r="S1138" s="10" t="n">
        <x:v>12</x:v>
      </x:c>
      <x:c r="T1138" s="10" t="str">
        <x:v>personal finance,bill debt tracker,paycheck spreadsheet,saving investments,money budget,income expenses,mortgage tracker,expense tracker,adhd excel planner,month weekly budget,dark mode budget,minimal google sheet,expense calculator</x:v>
      </x:c>
      <x:c r="U1138" s="10" t="str">
        <x:v>personal finance</x:v>
      </x:c>
      <x:c r="V1138" s="10" t="str">
        <x:v>bill debt tracker</x:v>
      </x:c>
      <x:c r="W1138" s="10" t="str">
        <x:v>paycheck spreadsheet</x:v>
      </x:c>
      <x:c r="X1138" s="10" t="str">
        <x:v>saving investments</x:v>
      </x:c>
      <x:c r="Y1138" s="10" t="str">
        <x:v>money budget</x:v>
      </x:c>
      <x:c r="Z1138" s="10" t="str">
        <x:v>income expenses</x:v>
      </x:c>
      <x:c r="AA1138" s="10" t="str">
        <x:v>mortgage tracker</x:v>
      </x:c>
      <x:c r="AB1138" s="10" t="str">
        <x:v>expense tracker</x:v>
      </x:c>
      <x:c r="AC1138" s="10" t="str">
        <x:v>adhd excel planner</x:v>
      </x:c>
      <x:c r="AD1138" s="10" t="str">
        <x:v>month weekly budget</x:v>
      </x:c>
      <x:c r="AE1138" s="10" t="str">
        <x:v>dark mode budget</x:v>
      </x:c>
      <x:c r="AF1138" s="10" t="str">
        <x:v>minimal google sheet</x:v>
      </x:c>
      <x:c r="AG1138" s="10" t="str">
        <x:v>expense calculator</x:v>
      </x:c>
      <x:c r="AH1138" s="10" t="str">
        <x:v>Other mortgage-related</x:v>
      </x:c>
      <x:c r="AI1138" s="13" t="n">
        <x:v>13</x:v>
      </x:c>
      <x:c r="AJ1138" s="10" t="str">
        <x:f>IF(F1138&gt;0,"Active","No est. sales")</x:f>
        <x:v>No est. sales</x:v>
      </x:c>
    </x:row>
    <x:row r="1139">
      <x:c r="A1139" s="10" t="str">
        <x:v>Rent | Mortgage Bill Payment Due | Flag Pay Reminder Planner Stickers | Erin Condren, Kikki-K, Happy Planner and More</x:v>
      </x:c>
      <x:c r="B1139" s="10" t="str">
        <x:v>https://www.etsy.com/listing/792337863/rent-mortgage-bill-payment-due-flag-pay</x:v>
      </x:c>
      <x:c r="C1139" s="10" t="str">
        <x:v>Stickers4UByKate</x:v>
      </x:c>
      <x:c r="D1139" s="10" t="str">
        <x:v>https://www.etsy.com/shop/Stickers4UByKate</x:v>
      </x:c>
      <x:c r="E1139" s="11" t="n">
        <x:v>1.75</x:v>
      </x:c>
      <x:c r="F1139" s="10" t="n">
        <x:v>0</x:v>
      </x:c>
      <x:c r="G1139" s="12" t="n">
        <x:v>0</x:v>
      </x:c>
      <x:c r="H1139" s="13" t="n">
        <x:v>0</x:v>
      </x:c>
      <x:c r="I1139" s="10" t="n">
        <x:v>6</x:v>
      </x:c>
      <x:c r="J1139" s="10" t="n">
        <x:v>1</x:v>
      </x:c>
      <x:c r="K1139" s="10" t="str">
        <x:v>75 Mo.</x:v>
      </x:c>
      <x:c r="L1139" s="10" t="n">
        <x:v>18</x:v>
      </x:c>
      <x:c r="M1139" s="10" t="n">
        <x:v>0</x:v>
      </x:c>
      <x:c r="N1139" s="10" t="n">
        <x:v>250</x:v>
      </x:c>
      <x:c r="O1139" s="10" t="str">
        <x:v>Paper &amp; Party Supplies</x:v>
      </x:c>
      <x:c r="P1139" s="10" t="n">
        <x:v>77</x:v>
      </x:c>
      <x:c r="Q1139" s="10" t="n">
        <x:v>0</x:v>
      </x:c>
      <x:c r="R1139" s="13" t="n">
        <x:v>2.4</x:v>
      </x:c>
      <x:c r="S1139" s="10" t="n">
        <x:v>39601</x:v>
      </x:c>
      <x:c r="T1139" s="10" t="str">
        <x:v>planner stickers,stickers,diary,erin condren,happy planner,kikki k,bullet journal,premium matte,unicorn paper,sticker paper,hobonichi,foiled sticker,half boxes sticker</x:v>
      </x:c>
      <x:c r="U1139" s="10" t="str">
        <x:v>planner stickers</x:v>
      </x:c>
      <x:c r="V1139" s="10" t="str">
        <x:v>stickers</x:v>
      </x:c>
      <x:c r="W1139" s="10" t="str">
        <x:v>diary</x:v>
      </x:c>
      <x:c r="X1139" s="10" t="str">
        <x:v>erin condren</x:v>
      </x:c>
      <x:c r="Y1139" s="10" t="str">
        <x:v>happy planner</x:v>
      </x:c>
      <x:c r="Z1139" s="10" t="str">
        <x:v>kikki k</x:v>
      </x:c>
      <x:c r="AA1139" s="10" t="str">
        <x:v>bullet journal</x:v>
      </x:c>
      <x:c r="AB1139" s="10" t="str">
        <x:v>premium matte</x:v>
      </x:c>
      <x:c r="AC1139" s="10" t="str">
        <x:v>unicorn paper</x:v>
      </x:c>
      <x:c r="AD1139" s="10" t="str">
        <x:v>sticker paper</x:v>
      </x:c>
      <x:c r="AE1139" s="10" t="str">
        <x:v>hobonichi</x:v>
      </x:c>
      <x:c r="AF1139" s="10" t="str">
        <x:v>foiled sticker</x:v>
      </x:c>
      <x:c r="AG1139" s="10" t="str">
        <x:v>half boxes sticker</x:v>
      </x:c>
      <x:c r="AH1139" s="10" t="str">
        <x:v>Other mortgage-related</x:v>
      </x:c>
      <x:c r="AI1139" s="13" t="n">
        <x:v>75</x:v>
      </x:c>
      <x:c r="AJ1139" s="10" t="str">
        <x:f>IF(F1139&gt;0,"Active","No est. sales")</x:f>
        <x:v>No est. sales</x:v>
      </x:c>
    </x:row>
    <x:row r="1140">
      <x:c r="A1140" s="10" t="str">
        <x:v>Mortgage Due Script and Doodles - Planner Sticker Sheet Doodles - F025</x:v>
      </x:c>
      <x:c r="B1140" s="10" t="str">
        <x:v>https://www.etsy.com/listing/1291082746/mortgage-due-script-and-doodles-planner</x:v>
      </x:c>
      <x:c r="C1140" s="10" t="str">
        <x:v>missfitzillustration</x:v>
      </x:c>
      <x:c r="D1140" s="10" t="str">
        <x:v>https://www.etsy.com/shop/missfitzillustration</x:v>
      </x:c>
      <x:c r="E1140" s="11" t="n">
        <x:v>3.42</x:v>
      </x:c>
      <x:c r="F1140" s="10" t="n">
        <x:v>0</x:v>
      </x:c>
      <x:c r="G1140" s="12" t="n">
        <x:v>0</x:v>
      </x:c>
      <x:c r="H1140" s="13" t="n">
        <x:v>0</x:v>
      </x:c>
      <x:c r="I1140" s="10" t="n">
        <x:v>0</x:v>
      </x:c>
      <x:c r="J1140" s="10" t="n">
        <x:v>0</x:v>
      </x:c>
      <x:c r="K1140" s="10" t="str">
        <x:v>46 Mo.</x:v>
      </x:c>
      <x:c r="L1140" s="10" t="n">
        <x:v>13</x:v>
      </x:c>
      <x:c r="M1140" s="10" t="n">
        <x:v>0</x:v>
      </x:c>
      <x:c r="N1140" s="10" t="n">
        <x:v>92</x:v>
      </x:c>
      <x:c r="O1140" s="10" t="str">
        <x:v>Paper &amp; Party Supplies</x:v>
      </x:c>
      <x:c r="P1140" s="10" t="n">
        <x:v>74</x:v>
      </x:c>
      <x:c r="Q1140" s="10" t="n">
        <x:v>0</x:v>
      </x:c>
      <x:c r="R1140" s="13" t="n">
        <x:v>0</x:v>
      </x:c>
      <x:c r="S1140" s="10" t="n">
        <x:v>6569</x:v>
      </x:c>
      <x:c r="T1140" s="10" t="str">
        <x:v>planner sticker,planner,sticker sheet,stickers,planner life,bullet journal,functional stickers,planner stickers,doodles,doodle stickers,planning,happy planner,memory planning</x:v>
      </x:c>
      <x:c r="U1140" s="10" t="str">
        <x:v>planner sticker</x:v>
      </x:c>
      <x:c r="V1140" s="10" t="str">
        <x:v>planner</x:v>
      </x:c>
      <x:c r="W1140" s="10" t="str">
        <x:v>sticker sheet</x:v>
      </x:c>
      <x:c r="X1140" s="10" t="str">
        <x:v>stickers</x:v>
      </x:c>
      <x:c r="Y1140" s="10" t="str">
        <x:v>planner life</x:v>
      </x:c>
      <x:c r="Z1140" s="10" t="str">
        <x:v>bullet journal</x:v>
      </x:c>
      <x:c r="AA1140" s="10" t="str">
        <x:v>functional stickers</x:v>
      </x:c>
      <x:c r="AB1140" s="10" t="str">
        <x:v>planner stickers</x:v>
      </x:c>
      <x:c r="AC1140" s="10" t="str">
        <x:v>doodles</x:v>
      </x:c>
      <x:c r="AD1140" s="10" t="str">
        <x:v>doodle stickers</x:v>
      </x:c>
      <x:c r="AE1140" s="10" t="str">
        <x:v>planning</x:v>
      </x:c>
      <x:c r="AF1140" s="10" t="str">
        <x:v>happy planner</x:v>
      </x:c>
      <x:c r="AG1140" s="10" t="str">
        <x:v>memory planning</x:v>
      </x:c>
      <x:c r="AH1140" s="10" t="str">
        <x:v>Other mortgage-related</x:v>
      </x:c>
      <x:c r="AI1140" s="13" t="n">
        <x:v>46</x:v>
      </x:c>
      <x:c r="AJ1140" s="10" t="str">
        <x:f>IF(F1140&gt;0,"Active","No est. sales")</x:f>
        <x:v>No est. sales</x:v>
      </x:c>
    </x:row>
    <x:row r="1141">
      <x:c r="A1141" s="10" t="str">
        <x:v>Loan Amortization Spreadsheet, Interest Calculation Template, Finance Loan Tracker, Payment Schedule Calculator, Excel Google Sheets</x:v>
      </x:c>
      <x:c r="B1141" s="10" t="str">
        <x:v>https://www.etsy.com/listing/4457699380/loan-amortization-spreadsheet-interest</x:v>
      </x:c>
      <x:c r="C1141" s="10" t="str">
        <x:v>Xeasysheets</x:v>
      </x:c>
      <x:c r="D1141" s="10" t="str">
        <x:v>https://www.etsy.com/shop/Xeasysheets</x:v>
      </x:c>
      <x:c r="E1141" s="11" t="n">
        <x:v>11.09</x:v>
      </x:c>
      <x:c r="F1141" s="10" t="n">
        <x:v>0</x:v>
      </x:c>
      <x:c r="G1141" s="12" t="n">
        <x:v>0</x:v>
      </x:c>
      <x:c r="H1141" s="13" t="n">
        <x:v>0</x:v>
      </x:c>
      <x:c r="I1141" s="10" t="n">
        <x:v>0</x:v>
      </x:c>
      <x:c r="J1141" s="10" t="n">
        <x:v>0</x:v>
      </x:c>
      <x:c r="K1141" s="10" t="str">
        <x:v>5 Mo.</x:v>
      </x:c>
      <x:c r="L1141" s="10" t="n">
        <x:v>0</x:v>
      </x:c>
      <x:c r="M1141" s="10" t="n">
        <x:v>0</x:v>
      </x:c>
      <x:c r="N1141" s="10" t="n">
        <x:v>3</x:v>
      </x:c>
      <x:c r="O1141" s="10" t="str"/>
      <x:c r="P1141" s="10" t="n">
        <x:v>12</x:v>
      </x:c>
      <x:c r="Q1141" s="10" t="n">
        <x:v>0</x:v>
      </x:c>
      <x:c r="R1141" s="13" t="n">
        <x:v>0</x:v>
      </x:c>
      <x:c r="S1141" s="10" t="n">
        <x:v>2161</x:v>
      </x:c>
      <x:c r="T1141" s="10" t="str">
        <x:v>loan calculator,amortization sheet,loan spreadsheet,interest tracker,payment schedule,loan template,finance template,mortgage sheet,loan planner,debt tracker,interest sheet,loan budget,finance spreadsheet</x:v>
      </x:c>
      <x:c r="U1141" s="10" t="str">
        <x:v>loan calculator</x:v>
      </x:c>
      <x:c r="V1141" s="10" t="str">
        <x:v>amortization sheet</x:v>
      </x:c>
      <x:c r="W1141" s="10" t="str">
        <x:v>loan spreadsheet</x:v>
      </x:c>
      <x:c r="X1141" s="10" t="str">
        <x:v>interest tracker</x:v>
      </x:c>
      <x:c r="Y1141" s="10" t="str">
        <x:v>payment schedule</x:v>
      </x:c>
      <x:c r="Z1141" s="10" t="str">
        <x:v>loan template</x:v>
      </x:c>
      <x:c r="AA1141" s="10" t="str">
        <x:v>finance template</x:v>
      </x:c>
      <x:c r="AB1141" s="10" t="str">
        <x:v>mortgage sheet</x:v>
      </x:c>
      <x:c r="AC1141" s="10" t="str">
        <x:v>loan planner</x:v>
      </x:c>
      <x:c r="AD1141" s="10" t="str">
        <x:v>debt tracker</x:v>
      </x:c>
      <x:c r="AE1141" s="10" t="str">
        <x:v>interest sheet</x:v>
      </x:c>
      <x:c r="AF1141" s="10" t="str">
        <x:v>loan budget</x:v>
      </x:c>
      <x:c r="AG1141" s="10" t="str">
        <x:v>finance spreadsheet</x:v>
      </x:c>
      <x:c r="AH1141" s="10" t="str">
        <x:v>General loan calculator</x:v>
      </x:c>
      <x:c r="AI1141" s="13" t="n">
        <x:v>5</x:v>
      </x:c>
      <x:c r="AJ1141" s="10" t="str">
        <x:f>IF(F1141&gt;0,"Active","No est. sales")</x:f>
        <x:v>No est. sales</x:v>
      </x:c>
    </x:row>
    <x:row r="1142">
      <x:c r="A1142" s="10" t="str">
        <x:v>Home Affordability Calculator Sheet | Google Sheets | Affordable Home Price Calculator | Real Estate Budget Planner | Mortgage Calculator</x:v>
      </x:c>
      <x:c r="B1142" s="10" t="str">
        <x:v>https://www.etsy.com/listing/4359149594/home-affordability-calculator-sheet</x:v>
      </x:c>
      <x:c r="C1142" s="10" t="str">
        <x:v>Xeasysheets</x:v>
      </x:c>
      <x:c r="D1142" s="10" t="str">
        <x:v>https://www.etsy.com/shop/Xeasysheets</x:v>
      </x:c>
      <x:c r="E1142" s="11" t="n">
        <x:v>11.09</x:v>
      </x:c>
      <x:c r="F1142" s="10" t="n">
        <x:v>0</x:v>
      </x:c>
      <x:c r="G1142" s="12" t="n">
        <x:v>0</x:v>
      </x:c>
      <x:c r="H1142" s="13" t="n">
        <x:v>0</x:v>
      </x:c>
      <x:c r="I1142" s="10" t="n">
        <x:v>0</x:v>
      </x:c>
      <x:c r="J1142" s="10" t="n">
        <x:v>0</x:v>
      </x:c>
      <x:c r="K1142" s="10" t="str">
        <x:v>11 Mo.</x:v>
      </x:c>
      <x:c r="L1142" s="10" t="n">
        <x:v>0</x:v>
      </x:c>
      <x:c r="M1142" s="10" t="n">
        <x:v>0</x:v>
      </x:c>
      <x:c r="N1142" s="10" t="n">
        <x:v>14</x:v>
      </x:c>
      <x:c r="O1142" s="10" t="str"/>
      <x:c r="P1142" s="10" t="n">
        <x:v>12</x:v>
      </x:c>
      <x:c r="Q1142" s="10" t="n">
        <x:v>0</x:v>
      </x:c>
      <x:c r="R1142" s="13" t="n">
        <x:v>0</x:v>
      </x:c>
      <x:c r="S1142" s="10" t="n">
        <x:v>2161</x:v>
      </x:c>
      <x:c r="T1142" s="10" t="str">
        <x:v>home affordability,mortgage calculator,home price estimate,real estate planner,budget planner,home buyer tool,excel affordability,financial tool,first time homebuyer,home budget,home price,google sheet,affordability</x:v>
      </x:c>
      <x:c r="U1142" s="10" t="str">
        <x:v>home affordability</x:v>
      </x:c>
      <x:c r="V1142" s="10" t="str">
        <x:v>mortgage calculator</x:v>
      </x:c>
      <x:c r="W1142" s="10" t="str">
        <x:v>home price estimate</x:v>
      </x:c>
      <x:c r="X1142" s="10" t="str">
        <x:v>real estate planner</x:v>
      </x:c>
      <x:c r="Y1142" s="10" t="str">
        <x:v>budget planner</x:v>
      </x:c>
      <x:c r="Z1142" s="10" t="str">
        <x:v>home buyer tool</x:v>
      </x:c>
      <x:c r="AA1142" s="10" t="str">
        <x:v>excel affordability</x:v>
      </x:c>
      <x:c r="AB1142" s="10" t="str">
        <x:v>financial tool</x:v>
      </x:c>
      <x:c r="AC1142" s="10" t="str">
        <x:v>first time homebuyer</x:v>
      </x:c>
      <x:c r="AD1142" s="10" t="str">
        <x:v>home budget</x:v>
      </x:c>
      <x:c r="AE1142" s="10" t="str">
        <x:v>home price</x:v>
      </x:c>
      <x:c r="AF1142" s="10" t="str">
        <x:v>google sheet</x:v>
      </x:c>
      <x:c r="AG1142" s="10" t="str">
        <x:v>affordability</x:v>
      </x:c>
      <x:c r="AH1142" s="10" t="str">
        <x:v>Mortgage payoff / calculator</x:v>
      </x:c>
      <x:c r="AI1142" s="13" t="n">
        <x:v>11</x:v>
      </x:c>
      <x:c r="AJ1142" s="10" t="str">
        <x:f>IF(F1142&gt;0,"Active","No est. sales")</x:f>
        <x:v>No est. sales</x:v>
      </x:c>
    </x:row>
    <x:row r="1143">
      <x:c r="A1143" s="10" t="str">
        <x:v>Principal Amortization Schedule Template | Loan Payment Calculator | Mortgage Amortization Spreadsheet | Loan Repayment Tracker</x:v>
      </x:c>
      <x:c r="B1143" s="10" t="str">
        <x:v>https://www.etsy.com/listing/4495442098/principal-amortization-schedule-template</x:v>
      </x:c>
      <x:c r="C1143" s="10" t="str">
        <x:v>Xeasysheets</x:v>
      </x:c>
      <x:c r="D1143" s="10" t="str">
        <x:v>https://www.etsy.com/shop/Xeasysheets</x:v>
      </x:c>
      <x:c r="E1143" s="11" t="n">
        <x:v>11.09</x:v>
      </x:c>
      <x:c r="F1143" s="10" t="n">
        <x:v>0</x:v>
      </x:c>
      <x:c r="G1143" s="12" t="n">
        <x:v>0</x:v>
      </x:c>
      <x:c r="H1143" s="13" t="n">
        <x:v>0</x:v>
      </x:c>
      <x:c r="I1143" s="10" t="n">
        <x:v>0</x:v>
      </x:c>
      <x:c r="J1143" s="10" t="n">
        <x:v>0</x:v>
      </x:c>
      <x:c r="K1143" s="10" t="str">
        <x:v>3 Mo.</x:v>
      </x:c>
      <x:c r="L1143" s="10" t="n">
        <x:v>0</x:v>
      </x:c>
      <x:c r="M1143" s="10" t="n">
        <x:v>0</x:v>
      </x:c>
      <x:c r="N1143" s="10" t="n">
        <x:v>14</x:v>
      </x:c>
      <x:c r="O1143" s="10" t="str"/>
      <x:c r="P1143" s="10" t="n">
        <x:v>12</x:v>
      </x:c>
      <x:c r="Q1143" s="10" t="n">
        <x:v>0</x:v>
      </x:c>
      <x:c r="R1143" s="13" t="n">
        <x:v>0</x:v>
      </x:c>
      <x:c r="S1143" s="10" t="n">
        <x:v>2161</x:v>
      </x:c>
      <x:c r="T1143" s="10" t="str">
        <x:v>amortization,loan template,loan tracker,mortgage sheet,payment tracker,finance planner,loan schedule,excel finance,google sheets,debt tracker,loan calculator,budget planner,repayment plan</x:v>
      </x:c>
      <x:c r="U1143" s="10" t="str">
        <x:v>amortization</x:v>
      </x:c>
      <x:c r="V1143" s="10" t="str">
        <x:v>loan template</x:v>
      </x:c>
      <x:c r="W1143" s="10" t="str">
        <x:v>loan tracker</x:v>
      </x:c>
      <x:c r="X1143" s="10" t="str">
        <x:v>mortgage sheet</x:v>
      </x:c>
      <x:c r="Y1143" s="10" t="str">
        <x:v>payment tracker</x:v>
      </x:c>
      <x:c r="Z1143" s="10" t="str">
        <x:v>finance planner</x:v>
      </x:c>
      <x:c r="AA1143" s="10" t="str">
        <x:v>loan schedule</x:v>
      </x:c>
      <x:c r="AB1143" s="10" t="str">
        <x:v>excel finance</x:v>
      </x:c>
      <x:c r="AC1143" s="10" t="str">
        <x:v>google sheets</x:v>
      </x:c>
      <x:c r="AD1143" s="10" t="str">
        <x:v>debt tracker</x:v>
      </x:c>
      <x:c r="AE1143" s="10" t="str">
        <x:v>loan calculator</x:v>
      </x:c>
      <x:c r="AF1143" s="10" t="str">
        <x:v>budget planner</x:v>
      </x:c>
      <x:c r="AG1143" s="10" t="str">
        <x:v>repayment plan</x:v>
      </x:c>
      <x:c r="AH1143" s="10" t="str">
        <x:v>Mortgage payoff / calculator</x:v>
      </x:c>
      <x:c r="AI1143" s="13" t="n">
        <x:v>3</x:v>
      </x:c>
      <x:c r="AJ1143" s="10" t="str">
        <x:f>IF(F1143&gt;0,"Active","No est. sales")</x:f>
        <x:v>No est. sales</x:v>
      </x:c>
    </x:row>
    <x:row r="1144">
      <x:c r="A1144" s="10" t="str">
        <x:v>Home Mortgage Calculator Excel &amp; Google Sheets, Loan Payment Planner, Amortization Schedule, Home Loan Tracker, Mortgage Budget Template</x:v>
      </x:c>
      <x:c r="B1144" s="10" t="str">
        <x:v>https://www.etsy.com/listing/4480030038/home-mortgage-calculator-excel-google</x:v>
      </x:c>
      <x:c r="C1144" s="10" t="str">
        <x:v>Xeasysheets</x:v>
      </x:c>
      <x:c r="D1144" s="10" t="str">
        <x:v>https://www.etsy.com/shop/Xeasysheets</x:v>
      </x:c>
      <x:c r="E1144" s="11" t="n">
        <x:v>11.09</x:v>
      </x:c>
      <x:c r="F1144" s="10" t="n">
        <x:v>0</x:v>
      </x:c>
      <x:c r="G1144" s="12" t="n">
        <x:v>0</x:v>
      </x:c>
      <x:c r="H1144" s="13" t="n">
        <x:v>0</x:v>
      </x:c>
      <x:c r="I1144" s="10" t="n">
        <x:v>0</x:v>
      </x:c>
      <x:c r="J1144" s="10" t="n">
        <x:v>0</x:v>
      </x:c>
      <x:c r="K1144" s="10" t="str">
        <x:v>4 Mo.</x:v>
      </x:c>
      <x:c r="L1144" s="10" t="n">
        <x:v>0</x:v>
      </x:c>
      <x:c r="M1144" s="10" t="n">
        <x:v>0</x:v>
      </x:c>
      <x:c r="N1144" s="10" t="n">
        <x:v>4</x:v>
      </x:c>
      <x:c r="O1144" s="10" t="str"/>
      <x:c r="P1144" s="10" t="n">
        <x:v>12</x:v>
      </x:c>
      <x:c r="Q1144" s="10" t="n">
        <x:v>0</x:v>
      </x:c>
      <x:c r="R1144" s="13" t="n">
        <x:v>0</x:v>
      </x:c>
      <x:c r="S1144" s="10" t="n">
        <x:v>2161</x:v>
      </x:c>
      <x:c r="T1144" s="10" t="str">
        <x:v>home mortgage,mortgage calc,loan calculator,home loan sheet,amortization,mortgage planner,loan tracker,excel mortgage,sheet mortgage,budget mortgage,loan template,finance template,payment planner</x:v>
      </x:c>
      <x:c r="U1144" s="10" t="str">
        <x:v>home mortgage</x:v>
      </x:c>
      <x:c r="V1144" s="10" t="str">
        <x:v>mortgage calc</x:v>
      </x:c>
      <x:c r="W1144" s="10" t="str">
        <x:v>loan calculator</x:v>
      </x:c>
      <x:c r="X1144" s="10" t="str">
        <x:v>home loan sheet</x:v>
      </x:c>
      <x:c r="Y1144" s="10" t="str">
        <x:v>amortization</x:v>
      </x:c>
      <x:c r="Z1144" s="10" t="str">
        <x:v>mortgage planner</x:v>
      </x:c>
      <x:c r="AA1144" s="10" t="str">
        <x:v>loan tracker</x:v>
      </x:c>
      <x:c r="AB1144" s="10" t="str">
        <x:v>excel mortgage</x:v>
      </x:c>
      <x:c r="AC1144" s="10" t="str">
        <x:v>sheet mortgage</x:v>
      </x:c>
      <x:c r="AD1144" s="10" t="str">
        <x:v>budget mortgage</x:v>
      </x:c>
      <x:c r="AE1144" s="10" t="str">
        <x:v>loan template</x:v>
      </x:c>
      <x:c r="AF1144" s="10" t="str">
        <x:v>finance template</x:v>
      </x:c>
      <x:c r="AG1144" s="10" t="str">
        <x:v>payment planner</x:v>
      </x:c>
      <x:c r="AH1144" s="10" t="str">
        <x:v>Mortgage payoff / calculator</x:v>
      </x:c>
      <x:c r="AI1144" s="13" t="n">
        <x:v>4</x:v>
      </x:c>
      <x:c r="AJ1144" s="10" t="str">
        <x:f>IF(F1144&gt;0,"Active","No est. sales")</x:f>
        <x:v>No est. sales</x:v>
      </x:c>
    </x:row>
    <x:row r="1145">
      <x:c r="A1145" s="10" t="str">
        <x:v>MORTGAGE Mini Finance Labels, minimal planner stickers, journal stickers, functional stickers, digital stickers, bullet journal</x:v>
      </x:c>
      <x:c r="B1145" s="10" t="str">
        <x:v>https://www.etsy.com/listing/1772305850/mortgage-mini-finance-labels-minimal</x:v>
      </x:c>
      <x:c r="C1145" s="10" t="str">
        <x:v>GoinsCrafting</x:v>
      </x:c>
      <x:c r="D1145" s="10" t="str">
        <x:v>https://www.etsy.com/shop/GoinsCrafting</x:v>
      </x:c>
      <x:c r="E1145" s="11" t="n">
        <x:v>2</x:v>
      </x:c>
      <x:c r="F1145" s="10" t="n">
        <x:v>0</x:v>
      </x:c>
      <x:c r="G1145" s="12" t="n">
        <x:v>0</x:v>
      </x:c>
      <x:c r="H1145" s="13" t="n">
        <x:v>0</x:v>
      </x:c>
      <x:c r="I1145" s="10" t="n">
        <x:v>0</x:v>
      </x:c>
      <x:c r="J1145" s="10" t="n">
        <x:v>0</x:v>
      </x:c>
      <x:c r="K1145" s="10" t="str">
        <x:v>23 Mo.</x:v>
      </x:c>
      <x:c r="L1145" s="10" t="n">
        <x:v>5</x:v>
      </x:c>
      <x:c r="M1145" s="10" t="n">
        <x:v>0</x:v>
      </x:c>
      <x:c r="N1145" s="10" t="n">
        <x:v>23</x:v>
      </x:c>
      <x:c r="O1145" s="10" t="str">
        <x:v>Paper &amp; Party Supplies</x:v>
      </x:c>
      <x:c r="P1145" s="10" t="n">
        <x:v>81</x:v>
      </x:c>
      <x:c r="Q1145" s="10" t="n">
        <x:v>0</x:v>
      </x:c>
      <x:c r="R1145" s="13" t="n">
        <x:v>0</x:v>
      </x:c>
      <x:c r="S1145" s="10" t="n">
        <x:v>6264</x:v>
      </x:c>
      <x:c r="T1145" s="10" t="str">
        <x:v>hobonichi,pocket planner,a5 planner,deco stickers,bullet journal,budget stickers,teacher stickers,planner stickers,goodnotes,erin condren,plum paper,passion planner,student stickers</x:v>
      </x:c>
      <x:c r="U1145" s="10" t="str">
        <x:v>hobonichi</x:v>
      </x:c>
      <x:c r="V1145" s="10" t="str">
        <x:v>pocket planner</x:v>
      </x:c>
      <x:c r="W1145" s="10" t="str">
        <x:v>a5 planner</x:v>
      </x:c>
      <x:c r="X1145" s="10" t="str">
        <x:v>deco stickers</x:v>
      </x:c>
      <x:c r="Y1145" s="10" t="str">
        <x:v>bullet journal</x:v>
      </x:c>
      <x:c r="Z1145" s="10" t="str">
        <x:v>budget stickers</x:v>
      </x:c>
      <x:c r="AA1145" s="10" t="str">
        <x:v>teacher stickers</x:v>
      </x:c>
      <x:c r="AB1145" s="10" t="str">
        <x:v>planner stickers</x:v>
      </x:c>
      <x:c r="AC1145" s="10" t="str">
        <x:v>goodnotes</x:v>
      </x:c>
      <x:c r="AD1145" s="10" t="str">
        <x:v>erin condren</x:v>
      </x:c>
      <x:c r="AE1145" s="10" t="str">
        <x:v>plum paper</x:v>
      </x:c>
      <x:c r="AF1145" s="10" t="str">
        <x:v>passion planner</x:v>
      </x:c>
      <x:c r="AG1145" s="10" t="str">
        <x:v>student stickers</x:v>
      </x:c>
      <x:c r="AH1145" s="10" t="str">
        <x:v>Other mortgage-related</x:v>
      </x:c>
      <x:c r="AI1145" s="13" t="n">
        <x:v>23</x:v>
      </x:c>
      <x:c r="AJ1145" s="10" t="str">
        <x:f>IF(F1145&gt;0,"Active","No est. sales")</x:f>
        <x:v>No est. sales</x:v>
      </x:c>
    </x:row>
    <x:row r="1146">
      <x:c r="A1146" s="10" t="str">
        <x:v>First Time Home Buyer Planner | Home Buying Planner, Moving planner, Buyer&amp;#39;s Guide</x:v>
      </x:c>
      <x:c r="B1146" s="10" t="str">
        <x:v>https://www.etsy.com/listing/4502066014/first-time-homebuyer-planner-home-buying</x:v>
      </x:c>
      <x:c r="C1146" s="10" t="str">
        <x:v>DigitalSmithery</x:v>
      </x:c>
      <x:c r="D1146" s="10" t="str">
        <x:v>https://www.etsy.com/shop/DigitalSmithery</x:v>
      </x:c>
      <x:c r="E1146" s="11" t="n">
        <x:v>4.4</x:v>
      </x:c>
      <x:c r="F1146" s="10" t="n">
        <x:v>0</x:v>
      </x:c>
      <x:c r="G1146" s="12" t="n">
        <x:v>0</x:v>
      </x:c>
      <x:c r="H1146" s="13" t="n">
        <x:v>0</x:v>
      </x:c>
      <x:c r="I1146" s="10" t="n">
        <x:v>0</x:v>
      </x:c>
      <x:c r="J1146" s="10" t="n">
        <x:v>0</x:v>
      </x:c>
      <x:c r="K1146" s="10" t="str">
        <x:v>2 Mo.</x:v>
      </x:c>
      <x:c r="L1146" s="10" t="n">
        <x:v>9</x:v>
      </x:c>
      <x:c r="M1146" s="10" t="n">
        <x:v>0</x:v>
      </x:c>
      <x:c r="N1146" s="10" t="n">
        <x:v>172</x:v>
      </x:c>
      <x:c r="O1146" s="10" t="str"/>
      <x:c r="P1146" s="10" t="n">
        <x:v>6</x:v>
      </x:c>
      <x:c r="Q1146" s="10" t="n">
        <x:v>25</x:v>
      </x:c>
      <x:c r="R1146" s="13" t="n">
        <x:v>0</x:v>
      </x:c>
      <x:c r="S1146" s="10" t="n">
        <x:v>125</x:v>
      </x:c>
      <x:c r="T1146" s="10" t="str">
        <x:v>first time homebuyer,moving planner,buyers guide,real estate planner,new home checklist,home buying planner,real estate tools,moving spreadsheet,mortgage tracker,first home checklist,moving tracker,closing checklist,home inspection</x:v>
      </x:c>
      <x:c r="U1146" s="10" t="str">
        <x:v>first time homebuyer</x:v>
      </x:c>
      <x:c r="V1146" s="10" t="str">
        <x:v>moving planner</x:v>
      </x:c>
      <x:c r="W1146" s="10" t="str">
        <x:v>buyers guide</x:v>
      </x:c>
      <x:c r="X1146" s="10" t="str">
        <x:v>real estate planner</x:v>
      </x:c>
      <x:c r="Y1146" s="10" t="str">
        <x:v>new home checklist</x:v>
      </x:c>
      <x:c r="Z1146" s="10" t="str">
        <x:v>home buying planner</x:v>
      </x:c>
      <x:c r="AA1146" s="10" t="str">
        <x:v>real estate tools</x:v>
      </x:c>
      <x:c r="AB1146" s="10" t="str">
        <x:v>moving spreadsheet</x:v>
      </x:c>
      <x:c r="AC1146" s="10" t="str">
        <x:v>mortgage tracker</x:v>
      </x:c>
      <x:c r="AD1146" s="10" t="str">
        <x:v>first home checklist</x:v>
      </x:c>
      <x:c r="AE1146" s="10" t="str">
        <x:v>moving tracker</x:v>
      </x:c>
      <x:c r="AF1146" s="10" t="str">
        <x:v>closing checklist</x:v>
      </x:c>
      <x:c r="AG1146" s="10" t="str">
        <x:v>home inspection</x:v>
      </x:c>
      <x:c r="AH1146" s="10" t="str">
        <x:v>Home buying planner</x:v>
      </x:c>
      <x:c r="AI1146" s="13" t="n">
        <x:v>2</x:v>
      </x:c>
      <x:c r="AJ1146" s="10" t="str">
        <x:f>IF(F1146&gt;0,"Active","No est. sales")</x:f>
        <x:v>No est. sales</x:v>
      </x:c>
    </x:row>
    <x:row r="1147">
      <x:c r="A1147" s="10" t="str">
        <x:v>10k Home Savings Tracker | Mortgage Goal Coloring Page (Digital Download)</x:v>
      </x:c>
      <x:c r="B1147" s="10" t="str">
        <x:v>https://www.etsy.com/listing/1559632296/10k-home-down-payment-savings-tracker</x:v>
      </x:c>
      <x:c r="C1147" s="10" t="str">
        <x:v>CutiPiPrintables</x:v>
      </x:c>
      <x:c r="D1147" s="10" t="str">
        <x:v>https://www.etsy.com/shop/CutiPiPrintables</x:v>
      </x:c>
      <x:c r="E1147" s="11" t="n">
        <x:v>2</x:v>
      </x:c>
      <x:c r="F1147" s="10" t="n">
        <x:v>0</x:v>
      </x:c>
      <x:c r="G1147" s="12" t="n">
        <x:v>0</x:v>
      </x:c>
      <x:c r="H1147" s="13" t="n">
        <x:v>0</x:v>
      </x:c>
      <x:c r="I1147" s="10" t="n">
        <x:v>0</x:v>
      </x:c>
      <x:c r="J1147" s="10" t="n">
        <x:v>0</x:v>
      </x:c>
      <x:c r="K1147" s="10" t="str">
        <x:v>34 Mo.</x:v>
      </x:c>
      <x:c r="L1147" s="10" t="n">
        <x:v>9</x:v>
      </x:c>
      <x:c r="M1147" s="10" t="n">
        <x:v>0</x:v>
      </x:c>
      <x:c r="N1147" s="10" t="n">
        <x:v>278</x:v>
      </x:c>
      <x:c r="O1147" s="10" t="str">
        <x:v>Paper &amp; Party Supplies</x:v>
      </x:c>
      <x:c r="P1147" s="10" t="n">
        <x:v>63</x:v>
      </x:c>
      <x:c r="Q1147" s="10" t="n">
        <x:v>0</x:v>
      </x:c>
      <x:c r="R1147" s="13" t="n">
        <x:v>0</x:v>
      </x:c>
      <x:c r="S1147" s="10" t="n">
        <x:v>525</x:v>
      </x:c>
      <x:c r="T1147" s="10" t="str">
        <x:v>financial organizer,mortgage,printable,financial planner,personal finance,savings tracker,savings printable,down payment,budget tracker,dave ramsey,buying a home,my first home,10000</x:v>
      </x:c>
      <x:c r="U1147" s="10" t="str">
        <x:v>financial organizer</x:v>
      </x:c>
      <x:c r="V1147" s="10" t="str">
        <x:v>mortgage</x:v>
      </x:c>
      <x:c r="W1147" s="10" t="str">
        <x:v>printable</x:v>
      </x:c>
      <x:c r="X1147" s="10" t="str">
        <x:v>financial planner</x:v>
      </x:c>
      <x:c r="Y1147" s="10" t="str">
        <x:v>personal finance</x:v>
      </x:c>
      <x:c r="Z1147" s="10" t="str">
        <x:v>savings tracker</x:v>
      </x:c>
      <x:c r="AA1147" s="10" t="str">
        <x:v>savings printable</x:v>
      </x:c>
      <x:c r="AB1147" s="10" t="str">
        <x:v>down payment</x:v>
      </x:c>
      <x:c r="AC1147" s="10" t="str">
        <x:v>budget tracker</x:v>
      </x:c>
      <x:c r="AD1147" s="10" t="str">
        <x:v>dave ramsey</x:v>
      </x:c>
      <x:c r="AE1147" s="10" t="str">
        <x:v>buying a home</x:v>
      </x:c>
      <x:c r="AF1147" s="10" t="str">
        <x:v>my first home</x:v>
      </x:c>
      <x:c r="AG1147" s="10" t="str">
        <x:v>10000</x:v>
      </x:c>
      <x:c r="AH1147" s="10" t="str">
        <x:v>Other mortgage-related</x:v>
      </x:c>
      <x:c r="AI1147" s="13" t="n">
        <x:v>34</x:v>
      </x:c>
      <x:c r="AJ1147" s="10" t="str">
        <x:f>IF(F1147&gt;0,"Active","No est. sales")</x:f>
        <x:v>No est. sales</x:v>
      </x:c>
    </x:row>
    <x:row r="1148">
      <x:c r="A1148" s="10" t="str">
        <x:v>Debt Reduction Spreadsheets Bundle: 5 Excel Templates for Budgeting, Debt Payoff &amp; Financial Freedom Tracker</x:v>
      </x:c>
      <x:c r="B1148" s="10" t="str">
        <x:v>https://www.etsy.com/listing/1838971946/debt-reduction-spreadsheets-bundle-5</x:v>
      </x:c>
      <x:c r="C1148" s="10" t="str">
        <x:v>ChronicleAndConquer</x:v>
      </x:c>
      <x:c r="D1148" s="10" t="str">
        <x:v>https://www.etsy.com/shop/ChronicleAndConquer</x:v>
      </x:c>
      <x:c r="E1148" s="11" t="n">
        <x:v>5</x:v>
      </x:c>
      <x:c r="F1148" s="10" t="n">
        <x:v>0</x:v>
      </x:c>
      <x:c r="G1148" s="12" t="n">
        <x:v>0</x:v>
      </x:c>
      <x:c r="H1148" s="13" t="n">
        <x:v>0</x:v>
      </x:c>
      <x:c r="I1148" s="10" t="n">
        <x:v>0</x:v>
      </x:c>
      <x:c r="J1148" s="10" t="n">
        <x:v>0</x:v>
      </x:c>
      <x:c r="K1148" s="10" t="str">
        <x:v>18 Mo.</x:v>
      </x:c>
      <x:c r="L1148" s="10" t="n">
        <x:v>2</x:v>
      </x:c>
      <x:c r="M1148" s="10" t="n">
        <x:v>0</x:v>
      </x:c>
      <x:c r="N1148" s="10" t="n">
        <x:v>7</x:v>
      </x:c>
      <x:c r="O1148" s="10" t="str"/>
      <x:c r="P1148" s="10" t="n">
        <x:v>23</x:v>
      </x:c>
      <x:c r="Q1148" s="10" t="n">
        <x:v>0</x:v>
      </x:c>
      <x:c r="R1148" s="13" t="n">
        <x:v>0</x:v>
      </x:c>
      <x:c r="S1148" s="10" t="n">
        <x:v>6</x:v>
      </x:c>
      <x:c r="T1148" s="10" t="str">
        <x:v>budget planner excel,income and expenses,debt management plan,debt payoff planner,debt-free lifestyle,money-saving planner,debt reduction,excel spreadsheet,financial planner,mortgage calculator,money management,personal finance,debt snowball</x:v>
      </x:c>
      <x:c r="U1148" s="10" t="str">
        <x:v>budget planner excel</x:v>
      </x:c>
      <x:c r="V1148" s="10" t="str">
        <x:v>income and expenses</x:v>
      </x:c>
      <x:c r="W1148" s="10" t="str">
        <x:v>debt management plan</x:v>
      </x:c>
      <x:c r="X1148" s="10" t="str">
        <x:v>debt payoff planner</x:v>
      </x:c>
      <x:c r="Y1148" s="10" t="str">
        <x:v>debt-free lifestyle</x:v>
      </x:c>
      <x:c r="Z1148" s="10" t="str">
        <x:v>money-saving planner</x:v>
      </x:c>
      <x:c r="AA1148" s="10" t="str">
        <x:v>debt reduction</x:v>
      </x:c>
      <x:c r="AB1148" s="10" t="str">
        <x:v>excel spreadsheet</x:v>
      </x:c>
      <x:c r="AC1148" s="10" t="str">
        <x:v>financial planner</x:v>
      </x:c>
      <x:c r="AD1148" s="10" t="str">
        <x:v>mortgage calculator</x:v>
      </x:c>
      <x:c r="AE1148" s="10" t="str">
        <x:v>money management</x:v>
      </x:c>
      <x:c r="AF1148" s="10" t="str">
        <x:v>personal finance</x:v>
      </x:c>
      <x:c r="AG1148" s="10" t="str">
        <x:v>debt snowball</x:v>
      </x:c>
      <x:c r="AH1148" s="10" t="str">
        <x:v>General debt payoff</x:v>
      </x:c>
      <x:c r="AI1148" s="13" t="n">
        <x:v>18</x:v>
      </x:c>
      <x:c r="AJ1148" s="10" t="str">
        <x:f>IF(F1148&gt;0,"Active","No est. sales")</x:f>
        <x:v>No est. sales</x:v>
      </x:c>
    </x:row>
    <x:row r="1149">
      <x:c r="A1149" s="10" t="str">
        <x:v>Mortgage | Bill Reminder Functional Printable Planner Stickers | Cut Files</x:v>
      </x:c>
      <x:c r="B1149" s="10" t="str">
        <x:v>https://www.etsy.com/listing/4353221628/mortgage-bill-reminder-printable-planner</x:v>
      </x:c>
      <x:c r="C1149" s="10" t="str">
        <x:v>StudioSisDesign</x:v>
      </x:c>
      <x:c r="D1149" s="10" t="str">
        <x:v>https://www.etsy.com/shop/StudioSisDesign</x:v>
      </x:c>
      <x:c r="E1149" s="11" t="n">
        <x:v>2.4</x:v>
      </x:c>
      <x:c r="F1149" s="10" t="n">
        <x:v>0</x:v>
      </x:c>
      <x:c r="G1149" s="12" t="n">
        <x:v>0</x:v>
      </x:c>
      <x:c r="H1149" s="13" t="n">
        <x:v>0</x:v>
      </x:c>
      <x:c r="I1149" s="10" t="n">
        <x:v>0</x:v>
      </x:c>
      <x:c r="J1149" s="10" t="n">
        <x:v>0</x:v>
      </x:c>
      <x:c r="K1149" s="10" t="str">
        <x:v>11 Mo.</x:v>
      </x:c>
      <x:c r="L1149" s="10" t="n">
        <x:v>13</x:v>
      </x:c>
      <x:c r="M1149" s="10" t="n">
        <x:v>0</x:v>
      </x:c>
      <x:c r="N1149" s="10" t="n">
        <x:v>47</x:v>
      </x:c>
      <x:c r="O1149" s="10" t="str">
        <x:v>Paper &amp; Party Supplies</x:v>
      </x:c>
      <x:c r="P1149" s="10" t="n">
        <x:v>14</x:v>
      </x:c>
      <x:c r="Q1149" s="10" t="n">
        <x:v>0</x:v>
      </x:c>
      <x:c r="R1149" s="13" t="n">
        <x:v>0</x:v>
      </x:c>
      <x:c r="S1149" s="10" t="n">
        <x:v>8088</x:v>
      </x:c>
      <x:c r="T1149" s="10" t="str">
        <x:v>planner stickers,printable stickers,functional sticker,planner functional,finance stickers,bill due stickers,bill reminder,budget stickers,budgeting printable,budgeting stickers,monthly bill tracker,cut files</x:v>
      </x:c>
      <x:c r="U1149" s="10" t="str">
        <x:v>planner stickers</x:v>
      </x:c>
      <x:c r="V1149" s="10" t="str">
        <x:v>printable stickers</x:v>
      </x:c>
      <x:c r="W1149" s="10" t="str">
        <x:v>functional sticker</x:v>
      </x:c>
      <x:c r="X1149" s="10" t="str">
        <x:v>planner functional</x:v>
      </x:c>
      <x:c r="Y1149" s="10" t="str">
        <x:v>finance stickers</x:v>
      </x:c>
      <x:c r="Z1149" s="10" t="str">
        <x:v>bill due stickers</x:v>
      </x:c>
      <x:c r="AA1149" s="10" t="str">
        <x:v>bill reminder</x:v>
      </x:c>
      <x:c r="AB1149" s="10" t="str">
        <x:v>budget stickers</x:v>
      </x:c>
      <x:c r="AC1149" s="10" t="str">
        <x:v>budgeting printable</x:v>
      </x:c>
      <x:c r="AD1149" s="10" t="str">
        <x:v>budgeting stickers</x:v>
      </x:c>
      <x:c r="AE1149" s="10" t="str">
        <x:v>monthly bill tracker</x:v>
      </x:c>
      <x:c r="AF1149" s="10" t="str">
        <x:v>cut files</x:v>
      </x:c>
      <x:c r="AG1149" s="10" t="str">
        <x:v>--</x:v>
      </x:c>
      <x:c r="AH1149" s="10" t="str">
        <x:v>Other mortgage-related</x:v>
      </x:c>
      <x:c r="AI1149" s="13" t="n">
        <x:v>11</x:v>
      </x:c>
      <x:c r="AJ1149" s="10" t="str">
        <x:f>IF(F1149&gt;0,"Active","No est. sales")</x:f>
        <x:v>No est. sales</x:v>
      </x:c>
    </x:row>
    <x:row r="1150">
      <x:c r="A1150" s="10" t="str">
        <x:v>First Time Home Buyer Budget Template | Editable Canva Planner + PDF | Mortgage Calculator, Expense Tracker &amp; Checklist</x:v>
      </x:c>
      <x:c r="B1150" s="10" t="str">
        <x:v>https://www.etsy.com/listing/4306607722/first-time-home-buyer-budget-template</x:v>
      </x:c>
      <x:c r="C1150" s="10" t="str">
        <x:v>WrightWayy</x:v>
      </x:c>
      <x:c r="D1150" s="10" t="str">
        <x:v>https://www.etsy.com/shop/WrightWayy</x:v>
      </x:c>
      <x:c r="E1150" s="11" t="n">
        <x:v>3.98</x:v>
      </x:c>
      <x:c r="F1150" s="10" t="n">
        <x:v>0</x:v>
      </x:c>
      <x:c r="G1150" s="12" t="n">
        <x:v>0</x:v>
      </x:c>
      <x:c r="H1150" s="13" t="n">
        <x:v>0</x:v>
      </x:c>
      <x:c r="I1150" s="10" t="n">
        <x:v>0</x:v>
      </x:c>
      <x:c r="J1150" s="10" t="n">
        <x:v>0</x:v>
      </x:c>
      <x:c r="K1150" s="10" t="str">
        <x:v>14 Mo.</x:v>
      </x:c>
      <x:c r="L1150" s="10" t="n">
        <x:v>1</x:v>
      </x:c>
      <x:c r="M1150" s="10" t="n">
        <x:v>0</x:v>
      </x:c>
      <x:c r="N1150" s="10" t="n">
        <x:v>29</x:v>
      </x:c>
      <x:c r="O1150" s="10" t="str">
        <x:v>Paper &amp; Party Supplies</x:v>
      </x:c>
      <x:c r="P1150" s="10" t="n">
        <x:v>38</x:v>
      </x:c>
      <x:c r="Q1150" s="10" t="n">
        <x:v>0</x:v>
      </x:c>
      <x:c r="R1150" s="13" t="n">
        <x:v>0</x:v>
      </x:c>
      <x:c r="S1150" s="10" t="n">
        <x:v>83</x:v>
      </x:c>
      <x:c r="T1150" s="10" t="str">
        <x:v>home buyer budget,budget planner,mortgage tracker,first home buyer,mortgage calculator,canva budget,real estate tools,printable budget,home buying guide,canva template,house hunting,down payment,finance planner</x:v>
      </x:c>
      <x:c r="U1150" s="10" t="str">
        <x:v>home buyer budget</x:v>
      </x:c>
      <x:c r="V1150" s="10" t="str">
        <x:v>budget planner</x:v>
      </x:c>
      <x:c r="W1150" s="10" t="str">
        <x:v>mortgage tracker</x:v>
      </x:c>
      <x:c r="X1150" s="10" t="str">
        <x:v>first home buyer</x:v>
      </x:c>
      <x:c r="Y1150" s="10" t="str">
        <x:v>mortgage calculator</x:v>
      </x:c>
      <x:c r="Z1150" s="10" t="str">
        <x:v>canva budget</x:v>
      </x:c>
      <x:c r="AA1150" s="10" t="str">
        <x:v>real estate tools</x:v>
      </x:c>
      <x:c r="AB1150" s="10" t="str">
        <x:v>printable budget</x:v>
      </x:c>
      <x:c r="AC1150" s="10" t="str">
        <x:v>home buying guide</x:v>
      </x:c>
      <x:c r="AD1150" s="10" t="str">
        <x:v>canva template</x:v>
      </x:c>
      <x:c r="AE1150" s="10" t="str">
        <x:v>house hunting</x:v>
      </x:c>
      <x:c r="AF1150" s="10" t="str">
        <x:v>down payment</x:v>
      </x:c>
      <x:c r="AG1150" s="10" t="str">
        <x:v>finance planner</x:v>
      </x:c>
      <x:c r="AH1150" s="10" t="str">
        <x:v>Home buying planner</x:v>
      </x:c>
      <x:c r="AI1150" s="13" t="n">
        <x:v>14</x:v>
      </x:c>
      <x:c r="AJ1150" s="10" t="str">
        <x:f>IF(F1150&gt;0,"Active","No est. sales")</x:f>
        <x:v>No est. sales</x:v>
      </x:c>
    </x:row>
    <x:row r="1151">
      <x:c r="A1151" s="10" t="str">
        <x:v>Home Savings Tracker Printable Coloring Sheet - Small Bricks</x:v>
      </x:c>
      <x:c r="B1151" s="10" t="str">
        <x:v>https://www.etsy.com/listing/552272385/home-savings-tracker-printable-coloring</x:v>
      </x:c>
      <x:c r="C1151" s="10" t="str">
        <x:v>PerfectlyWhelmedShop</x:v>
      </x:c>
      <x:c r="D1151" s="10" t="str">
        <x:v>https://www.etsy.com/shop/PerfectlyWhelmedShop</x:v>
      </x:c>
      <x:c r="E1151" s="11" t="n">
        <x:v>3.5</x:v>
      </x:c>
      <x:c r="F1151" s="10" t="n">
        <x:v>0</x:v>
      </x:c>
      <x:c r="G1151" s="12" t="n">
        <x:v>0</x:v>
      </x:c>
      <x:c r="H1151" s="13" t="n">
        <x:v>0</x:v>
      </x:c>
      <x:c r="I1151" s="10" t="n">
        <x:v>32</x:v>
      </x:c>
      <x:c r="J1151" s="10" t="n">
        <x:v>10</x:v>
      </x:c>
      <x:c r="K1151" s="10" t="str">
        <x:v>107 Mo.</x:v>
      </x:c>
      <x:c r="L1151" s="10" t="n">
        <x:v>139</x:v>
      </x:c>
      <x:c r="M1151" s="10" t="n">
        <x:v>0</x:v>
      </x:c>
      <x:c r="N1151" s="10" t="n">
        <x:v>4390</x:v>
      </x:c>
      <x:c r="O1151" s="10" t="str"/>
      <x:c r="P1151" s="10" t="n">
        <x:v>107</x:v>
      </x:c>
      <x:c r="Q1151" s="10" t="n">
        <x:v>0</x:v>
      </x:c>
      <x:c r="R1151" s="13" t="n">
        <x:v>0.73</x:v>
      </x:c>
      <x:c r="S1151" s="10" t="n">
        <x:v>322</x:v>
      </x:c>
      <x:c r="T1151" s="10" t="str">
        <x:v>printable,coloring sheet,goal tracker,habit tracking,habit tracker,home saving,brick stacking,digital planner,digital download,house home mortgage,budget planner,savings challenge,coloring page</x:v>
      </x:c>
      <x:c r="U1151" s="10" t="str">
        <x:v>printable</x:v>
      </x:c>
      <x:c r="V1151" s="10" t="str">
        <x:v>coloring sheet</x:v>
      </x:c>
      <x:c r="W1151" s="10" t="str">
        <x:v>goal tracker</x:v>
      </x:c>
      <x:c r="X1151" s="10" t="str">
        <x:v>habit tracking</x:v>
      </x:c>
      <x:c r="Y1151" s="10" t="str">
        <x:v>habit tracker</x:v>
      </x:c>
      <x:c r="Z1151" s="10" t="str">
        <x:v>home saving</x:v>
      </x:c>
      <x:c r="AA1151" s="10" t="str">
        <x:v>brick stacking</x:v>
      </x:c>
      <x:c r="AB1151" s="10" t="str">
        <x:v>digital planner</x:v>
      </x:c>
      <x:c r="AC1151" s="10" t="str">
        <x:v>digital download</x:v>
      </x:c>
      <x:c r="AD1151" s="10" t="str">
        <x:v>house home mortgage</x:v>
      </x:c>
      <x:c r="AE1151" s="10" t="str">
        <x:v>budget planner</x:v>
      </x:c>
      <x:c r="AF1151" s="10" t="str">
        <x:v>savings challenge</x:v>
      </x:c>
      <x:c r="AG1151" s="10" t="str">
        <x:v>coloring page</x:v>
      </x:c>
      <x:c r="AH1151" s="10" t="str">
        <x:v>Other mortgage-related</x:v>
      </x:c>
      <x:c r="AI1151" s="13" t="n">
        <x:v>107</x:v>
      </x:c>
      <x:c r="AJ1151" s="10" t="str">
        <x:f>IF(F1151&gt;0,"Active","No est. sales")</x:f>
        <x:v>No est. sales</x:v>
      </x:c>
    </x:row>
    <x:row r="1152">
      <x:c r="A1152" s="10" t="str">
        <x:v>Credit Card Debt Tracker Printable Set, Debt-Free Trackers, Emergency Fund, Budget Planner,  INSTANT DOWNLOAD, 8 Pages - Purple LD053</x:v>
      </x:c>
      <x:c r="B1152" s="10" t="str">
        <x:v>https://www.etsy.com/listing/1508849199/credit-card-debt-tracker-printable-set</x:v>
      </x:c>
      <x:c r="C1152" s="10" t="str">
        <x:v>LivingFreeofD</x:v>
      </x:c>
      <x:c r="D1152" s="10" t="str">
        <x:v>https://www.etsy.com/shop/LivingFreeofD</x:v>
      </x:c>
      <x:c r="E1152" s="11" t="n">
        <x:v>6.21</x:v>
      </x:c>
      <x:c r="F1152" s="10" t="n">
        <x:v>0</x:v>
      </x:c>
      <x:c r="G1152" s="12" t="n">
        <x:v>0</x:v>
      </x:c>
      <x:c r="H1152" s="13" t="n">
        <x:v>0</x:v>
      </x:c>
      <x:c r="I1152" s="10" t="n">
        <x:v>0</x:v>
      </x:c>
      <x:c r="J1152" s="10" t="n">
        <x:v>0</x:v>
      </x:c>
      <x:c r="K1152" s="10" t="str">
        <x:v>37 Mo.</x:v>
      </x:c>
      <x:c r="L1152" s="10" t="n">
        <x:v>3</x:v>
      </x:c>
      <x:c r="M1152" s="10" t="n">
        <x:v>0</x:v>
      </x:c>
      <x:c r="N1152" s="10" t="n">
        <x:v>30</x:v>
      </x:c>
      <x:c r="O1152" s="10" t="str"/>
      <x:c r="P1152" s="10" t="n">
        <x:v>70</x:v>
      </x:c>
      <x:c r="Q1152" s="10" t="n">
        <x:v>0</x:v>
      </x:c>
      <x:c r="R1152" s="13" t="n">
        <x:v>0</x:v>
      </x:c>
      <x:c r="S1152" s="10" t="n">
        <x:v>2039</x:v>
      </x:c>
      <x:c r="T1152" s="10" t="str">
        <x:v>finance planner,dave ramsey,emergency fund,credit card trcker,debt snowball,debt payoff tracker,mortgage tracker,budget tracker,debt-free goals,debt payment tracker,money mindset,printable budget,savings tracker</x:v>
      </x:c>
      <x:c r="U1152" s="10" t="str">
        <x:v>finance planner</x:v>
      </x:c>
      <x:c r="V1152" s="10" t="str">
        <x:v>dave ramsey</x:v>
      </x:c>
      <x:c r="W1152" s="10" t="str">
        <x:v>emergency fund</x:v>
      </x:c>
      <x:c r="X1152" s="10" t="str">
        <x:v>credit card trcker</x:v>
      </x:c>
      <x:c r="Y1152" s="10" t="str">
        <x:v>debt snowball</x:v>
      </x:c>
      <x:c r="Z1152" s="10" t="str">
        <x:v>debt payoff tracker</x:v>
      </x:c>
      <x:c r="AA1152" s="10" t="str">
        <x:v>mortgage tracker</x:v>
      </x:c>
      <x:c r="AB1152" s="10" t="str">
        <x:v>budget tracker</x:v>
      </x:c>
      <x:c r="AC1152" s="10" t="str">
        <x:v>debt-free goals</x:v>
      </x:c>
      <x:c r="AD1152" s="10" t="str">
        <x:v>debt payment tracker</x:v>
      </x:c>
      <x:c r="AE1152" s="10" t="str">
        <x:v>money mindset</x:v>
      </x:c>
      <x:c r="AF1152" s="10" t="str">
        <x:v>printable budget</x:v>
      </x:c>
      <x:c r="AG1152" s="10" t="str">
        <x:v>savings tracker</x:v>
      </x:c>
      <x:c r="AH1152" s="10" t="str">
        <x:v>General debt payoff</x:v>
      </x:c>
      <x:c r="AI1152" s="13" t="n">
        <x:v>37</x:v>
      </x:c>
      <x:c r="AJ1152" s="10" t="str">
        <x:f>IF(F1152&gt;0,"Active","No est. sales")</x:f>
        <x:v>No est. sales</x:v>
      </x:c>
    </x:row>
    <x:row r="1153">
      <x:c r="A1153" s="10" t="str">
        <x:v>Real Estate Buyer&amp;#39;s Guide Template | Canva Lead Magnet Template for Agents Branding (Digital Download)</x:v>
      </x:c>
      <x:c r="B1153" s="10" t="str">
        <x:v>https://www.etsy.com/listing/1577460336/cream-homebuyer-canva-real-estate-lead</x:v>
      </x:c>
      <x:c r="C1153" s="10" t="str">
        <x:v>TheBlissfulBroker</x:v>
      </x:c>
      <x:c r="D1153" s="10" t="str">
        <x:v>https://www.etsy.com/shop/TheBlissfulBroker</x:v>
      </x:c>
      <x:c r="E1153" s="11" t="n">
        <x:v>15</x:v>
      </x:c>
      <x:c r="F1153" s="10" t="n">
        <x:v>0</x:v>
      </x:c>
      <x:c r="G1153" s="12" t="n">
        <x:v>0</x:v>
      </x:c>
      <x:c r="H1153" s="13" t="n">
        <x:v>0</x:v>
      </x:c>
      <x:c r="I1153" s="10" t="n">
        <x:v>0</x:v>
      </x:c>
      <x:c r="J1153" s="10" t="n">
        <x:v>0</x:v>
      </x:c>
      <x:c r="K1153" s="10" t="str">
        <x:v>33 Mo.</x:v>
      </x:c>
      <x:c r="L1153" s="10" t="n">
        <x:v>1</x:v>
      </x:c>
      <x:c r="M1153" s="10" t="n">
        <x:v>0</x:v>
      </x:c>
      <x:c r="N1153" s="10" t="n">
        <x:v>11</x:v>
      </x:c>
      <x:c r="O1153" s="10" t="str"/>
      <x:c r="P1153" s="10" t="n">
        <x:v>82</x:v>
      </x:c>
      <x:c r="Q1153" s="10" t="n">
        <x:v>0</x:v>
      </x:c>
      <x:c r="R1153" s="13" t="n">
        <x:v>0</x:v>
      </x:c>
      <x:c r="S1153" s="10" t="n">
        <x:v>93</x:v>
      </x:c>
      <x:c r="T1153" s="10" t="str">
        <x:v>real estate template,lead magnet template,real estate funnel,realtor lead magnet,realtor checklist,homebuyer checklist,homebuyer guide,realtor templates,mortgage templates,real estate planner,real estate buyer,sales funnels,canva agent template</x:v>
      </x:c>
      <x:c r="U1153" s="10" t="str">
        <x:v>real estate template</x:v>
      </x:c>
      <x:c r="V1153" s="10" t="str">
        <x:v>lead magnet template</x:v>
      </x:c>
      <x:c r="W1153" s="10" t="str">
        <x:v>real estate funnel</x:v>
      </x:c>
      <x:c r="X1153" s="10" t="str">
        <x:v>realtor lead magnet</x:v>
      </x:c>
      <x:c r="Y1153" s="10" t="str">
        <x:v>realtor checklist</x:v>
      </x:c>
      <x:c r="Z1153" s="10" t="str">
        <x:v>homebuyer checklist</x:v>
      </x:c>
      <x:c r="AA1153" s="10" t="str">
        <x:v>homebuyer guide</x:v>
      </x:c>
      <x:c r="AB1153" s="10" t="str">
        <x:v>realtor templates</x:v>
      </x:c>
      <x:c r="AC1153" s="10" t="str">
        <x:v>mortgage templates</x:v>
      </x:c>
      <x:c r="AD1153" s="10" t="str">
        <x:v>real estate planner</x:v>
      </x:c>
      <x:c r="AE1153" s="10" t="str">
        <x:v>real estate buyer</x:v>
      </x:c>
      <x:c r="AF1153" s="10" t="str">
        <x:v>sales funnels</x:v>
      </x:c>
      <x:c r="AG1153" s="10" t="str">
        <x:v>canva agent template</x:v>
      </x:c>
      <x:c r="AH1153" s="10" t="str">
        <x:v>Other mortgage-related</x:v>
      </x:c>
      <x:c r="AI1153" s="13" t="n">
        <x:v>33</x:v>
      </x:c>
      <x:c r="AJ1153" s="10" t="str">
        <x:f>IF(F1153&gt;0,"Active","No est. sales")</x:f>
        <x:v>No est. sales</x:v>
      </x:c>
    </x:row>
    <x:row r="1154">
      <x:c r="A1154" s="10" t="str">
        <x:v>Printable Stickers | MORTGAGE PAYMENT Mini Icon + Script</x:v>
      </x:c>
      <x:c r="B1154" s="10" t="str">
        <x:v>https://www.etsy.com/listing/1461129634/printable-stickers-mortgage-payment-mini</x:v>
      </x:c>
      <x:c r="C1154" s="10" t="str">
        <x:v>ImiandCole</x:v>
      </x:c>
      <x:c r="D1154" s="10" t="str">
        <x:v>https://www.etsy.com/shop/ImiandCole</x:v>
      </x:c>
      <x:c r="E1154" s="11" t="n">
        <x:v>2</x:v>
      </x:c>
      <x:c r="F1154" s="10" t="n">
        <x:v>0</x:v>
      </x:c>
      <x:c r="G1154" s="12" t="n">
        <x:v>0</x:v>
      </x:c>
      <x:c r="H1154" s="13" t="n">
        <x:v>0</x:v>
      </x:c>
      <x:c r="I1154" s="10" t="n">
        <x:v>0</x:v>
      </x:c>
      <x:c r="J1154" s="10" t="n">
        <x:v>0</x:v>
      </x:c>
      <x:c r="K1154" s="10" t="str">
        <x:v>38 Mo.</x:v>
      </x:c>
      <x:c r="L1154" s="10" t="n">
        <x:v>0</x:v>
      </x:c>
      <x:c r="M1154" s="10" t="n">
        <x:v>0</x:v>
      </x:c>
      <x:c r="N1154" s="10" t="n">
        <x:v>9</x:v>
      </x:c>
      <x:c r="O1154" s="10" t="str">
        <x:v>Paper &amp; Party Supplies</x:v>
      </x:c>
      <x:c r="P1154" s="10" t="n">
        <x:v>92</x:v>
      </x:c>
      <x:c r="Q1154" s="10" t="n">
        <x:v>0</x:v>
      </x:c>
      <x:c r="R1154" s="13" t="n">
        <x:v>0</x:v>
      </x:c>
      <x:c r="S1154" s="10" t="n">
        <x:v>1121</x:v>
      </x:c>
      <x:c r="T1154" s="10" t="str">
        <x:v>mini icon stickers,minimalist stickers,budget tracking,mortgage payment,mortgage sticker,planner printable,printable stickers,functional stickers,black owned shop,black owned business,financial tracking,bill payment,script stickers</x:v>
      </x:c>
      <x:c r="U1154" s="10" t="str">
        <x:v>mini icon stickers</x:v>
      </x:c>
      <x:c r="V1154" s="10" t="str">
        <x:v>minimalist stickers</x:v>
      </x:c>
      <x:c r="W1154" s="10" t="str">
        <x:v>budget tracking</x:v>
      </x:c>
      <x:c r="X1154" s="10" t="str">
        <x:v>mortgage payment</x:v>
      </x:c>
      <x:c r="Y1154" s="10" t="str">
        <x:v>mortgage sticker</x:v>
      </x:c>
      <x:c r="Z1154" s="10" t="str">
        <x:v>planner printable</x:v>
      </x:c>
      <x:c r="AA1154" s="10" t="str">
        <x:v>printable stickers</x:v>
      </x:c>
      <x:c r="AB1154" s="10" t="str">
        <x:v>functional stickers</x:v>
      </x:c>
      <x:c r="AC1154" s="10" t="str">
        <x:v>black owned shop</x:v>
      </x:c>
      <x:c r="AD1154" s="10" t="str">
        <x:v>black owned business</x:v>
      </x:c>
      <x:c r="AE1154" s="10" t="str">
        <x:v>financial tracking</x:v>
      </x:c>
      <x:c r="AF1154" s="10" t="str">
        <x:v>bill payment</x:v>
      </x:c>
      <x:c r="AG1154" s="10" t="str">
        <x:v>script stickers</x:v>
      </x:c>
      <x:c r="AH1154" s="10" t="str">
        <x:v>Other mortgage-related</x:v>
      </x:c>
      <x:c r="AI1154" s="13" t="n">
        <x:v>38</x:v>
      </x:c>
      <x:c r="AJ1154" s="10" t="str">
        <x:f>IF(F1154&gt;0,"Active","No est. sales")</x:f>
        <x:v>No est. sales</x:v>
      </x:c>
    </x:row>
    <x:row r="1155">
      <x:c r="A1155" s="10" t="str">
        <x:v>Mortgage Corner Sticker - Pastel Blue Planner Stickers</x:v>
      </x:c>
      <x:c r="B1155" s="10" t="str">
        <x:v>https://www.etsy.com/listing/1158446460/mortgage-corner-sticker-pastel-blue</x:v>
      </x:c>
      <x:c r="C1155" s="10" t="str">
        <x:v>SofiStickers</x:v>
      </x:c>
      <x:c r="D1155" s="10" t="str">
        <x:v>https://www.etsy.com/shop/SofiStickers</x:v>
      </x:c>
      <x:c r="E1155" s="11" t="n">
        <x:v>2</x:v>
      </x:c>
      <x:c r="F1155" s="10" t="n">
        <x:v>0</x:v>
      </x:c>
      <x:c r="G1155" s="12" t="n">
        <x:v>0</x:v>
      </x:c>
      <x:c r="H1155" s="13" t="n">
        <x:v>0</x:v>
      </x:c>
      <x:c r="I1155" s="10" t="n">
        <x:v>3</x:v>
      </x:c>
      <x:c r="J1155" s="10" t="n">
        <x:v>1</x:v>
      </x:c>
      <x:c r="K1155" s="10" t="str">
        <x:v>53 Mo.</x:v>
      </x:c>
      <x:c r="L1155" s="10" t="n">
        <x:v>3</x:v>
      </x:c>
      <x:c r="M1155" s="10" t="n">
        <x:v>0</x:v>
      </x:c>
      <x:c r="N1155" s="10" t="n">
        <x:v>13</x:v>
      </x:c>
      <x:c r="O1155" s="10" t="str">
        <x:v>Paper &amp; Party Supplies</x:v>
      </x:c>
      <x:c r="P1155" s="10" t="n">
        <x:v>63</x:v>
      </x:c>
      <x:c r="Q1155" s="10" t="n">
        <x:v>0</x:v>
      </x:c>
      <x:c r="R1155" s="13" t="n">
        <x:v>23.08</x:v>
      </x:c>
      <x:c r="S1155" s="10" t="n">
        <x:v>5120</x:v>
      </x:c>
      <x:c r="T1155" s="10" t="str">
        <x:v>budget stickers,life planner,planner accessories,bullet journal,budgeting stickers,budget planner,weekly planner,functional stickers,monthly planner,corner sticker,pastel blue,mortgage</x:v>
      </x:c>
      <x:c r="U1155" s="10" t="str">
        <x:v>budget stickers</x:v>
      </x:c>
      <x:c r="V1155" s="10" t="str">
        <x:v>life planner</x:v>
      </x:c>
      <x:c r="W1155" s="10" t="str">
        <x:v>planner accessories</x:v>
      </x:c>
      <x:c r="X1155" s="10" t="str">
        <x:v>bullet journal</x:v>
      </x:c>
      <x:c r="Y1155" s="10" t="str">
        <x:v>budgeting stickers</x:v>
      </x:c>
      <x:c r="Z1155" s="10" t="str">
        <x:v>budget planner</x:v>
      </x:c>
      <x:c r="AA1155" s="10" t="str">
        <x:v>weekly planner</x:v>
      </x:c>
      <x:c r="AB1155" s="10" t="str">
        <x:v>functional stickers</x:v>
      </x:c>
      <x:c r="AC1155" s="10" t="str">
        <x:v>monthly planner</x:v>
      </x:c>
      <x:c r="AD1155" s="10" t="str">
        <x:v>corner sticker</x:v>
      </x:c>
      <x:c r="AE1155" s="10" t="str">
        <x:v>pastel blue</x:v>
      </x:c>
      <x:c r="AF1155" s="10" t="str">
        <x:v>mortgage</x:v>
      </x:c>
      <x:c r="AG1155" s="10" t="str">
        <x:v>--</x:v>
      </x:c>
      <x:c r="AH1155" s="10" t="str">
        <x:v>Other mortgage-related</x:v>
      </x:c>
      <x:c r="AI1155" s="13" t="n">
        <x:v>53</x:v>
      </x:c>
      <x:c r="AJ1155" s="10" t="str">
        <x:f>IF(F1155&gt;0,"Active","No est. sales")</x:f>
        <x:v>No est. sales</x:v>
      </x:c>
    </x:row>
    <x:row r="1156">
      <x:c r="A1156" s="10" t="str">
        <x:v>Happy House Bill Label Tracker Reminder Cute Kawaii Personal Planner Stickers Erin Condren Midori Mambi Funny Rent Mortgage Tax</x:v>
      </x:c>
      <x:c r="B1156" s="10" t="str">
        <x:v>https://www.etsy.com/listing/520801331/happy-house-bill-label-tracker-reminder</x:v>
      </x:c>
      <x:c r="C1156" s="10" t="str">
        <x:v>aHappyBlueTree</x:v>
      </x:c>
      <x:c r="D1156" s="10" t="str">
        <x:v>https://www.etsy.com/shop/aHappyBlueTree</x:v>
      </x:c>
      <x:c r="E1156" s="11" t="n">
        <x:v>3.95</x:v>
      </x:c>
      <x:c r="F1156" s="10" t="n">
        <x:v>0</x:v>
      </x:c>
      <x:c r="G1156" s="12" t="n">
        <x:v>0</x:v>
      </x:c>
      <x:c r="H1156" s="13" t="n">
        <x:v>0</x:v>
      </x:c>
      <x:c r="I1156" s="10" t="n">
        <x:v>94</x:v>
      </x:c>
      <x:c r="J1156" s="10" t="n">
        <x:v>23</x:v>
      </x:c>
      <x:c r="K1156" s="10" t="str">
        <x:v>112 Mo.</x:v>
      </x:c>
      <x:c r="L1156" s="10" t="n">
        <x:v>166</x:v>
      </x:c>
      <x:c r="M1156" s="10" t="n">
        <x:v>0</x:v>
      </x:c>
      <x:c r="N1156" s="10" t="n">
        <x:v>1331</x:v>
      </x:c>
      <x:c r="O1156" s="10" t="str">
        <x:v>Paper &amp; Party Supplies</x:v>
      </x:c>
      <x:c r="P1156" s="10" t="n">
        <x:v>126</x:v>
      </x:c>
      <x:c r="Q1156" s="10" t="n">
        <x:v>0</x:v>
      </x:c>
      <x:c r="R1156" s="13" t="n">
        <x:v>7.06</x:v>
      </x:c>
      <x:c r="S1156" s="10" t="n">
        <x:v>150331</x:v>
      </x:c>
      <x:c r="T1156" s="10" t="str">
        <x:v>planner,stickers,happy,kawaii,cute,erin condren,funny,mambi,bill,budget,mortgage,rent,repairs</x:v>
      </x:c>
      <x:c r="U1156" s="10" t="str">
        <x:v>planner</x:v>
      </x:c>
      <x:c r="V1156" s="10" t="str">
        <x:v>stickers</x:v>
      </x:c>
      <x:c r="W1156" s="10" t="str">
        <x:v>happy</x:v>
      </x:c>
      <x:c r="X1156" s="10" t="str">
        <x:v>kawaii</x:v>
      </x:c>
      <x:c r="Y1156" s="10" t="str">
        <x:v>cute</x:v>
      </x:c>
      <x:c r="Z1156" s="10" t="str">
        <x:v>erin condren</x:v>
      </x:c>
      <x:c r="AA1156" s="10" t="str">
        <x:v>funny</x:v>
      </x:c>
      <x:c r="AB1156" s="10" t="str">
        <x:v>mambi</x:v>
      </x:c>
      <x:c r="AC1156" s="10" t="str">
        <x:v>bill</x:v>
      </x:c>
      <x:c r="AD1156" s="10" t="str">
        <x:v>budget</x:v>
      </x:c>
      <x:c r="AE1156" s="10" t="str">
        <x:v>mortgage</x:v>
      </x:c>
      <x:c r="AF1156" s="10" t="str">
        <x:v>rent</x:v>
      </x:c>
      <x:c r="AG1156" s="10" t="str">
        <x:v>repairs</x:v>
      </x:c>
      <x:c r="AH1156" s="10" t="str">
        <x:v>Other mortgage-related</x:v>
      </x:c>
      <x:c r="AI1156" s="13" t="n">
        <x:v>112</x:v>
      </x:c>
      <x:c r="AJ1156" s="10" t="str">
        <x:f>IF(F1156&gt;0,"Active","No est. sales")</x:f>
        <x:v>No est. sales</x:v>
      </x:c>
    </x:row>
    <x:row r="1157">
      <x:c r="A1157" s="10" t="str">
        <x:v>Debt Payoff Tracker Google Sheets,  Debt Avalanche Calculator, Debt Snowball, Debt Free Planner Loan Tracker Credit Card Payoff</x:v>
      </x:c>
      <x:c r="B1157" s="10" t="str">
        <x:v>https://www.etsy.com/listing/1778882762/debt-payoff-tracker-google-sheets-debt</x:v>
      </x:c>
      <x:c r="C1157" s="10" t="str">
        <x:v>SapphireCreationsAU</x:v>
      </x:c>
      <x:c r="D1157" s="10" t="str">
        <x:v>https://www.etsy.com/shop/SapphireCreationsAU</x:v>
      </x:c>
      <x:c r="E1157" s="11" t="n">
        <x:v>2.8</x:v>
      </x:c>
      <x:c r="F1157" s="10" t="n">
        <x:v>0</x:v>
      </x:c>
      <x:c r="G1157" s="12" t="n">
        <x:v>0</x:v>
      </x:c>
      <x:c r="H1157" s="13" t="n">
        <x:v>0</x:v>
      </x:c>
      <x:c r="I1157" s="10" t="n">
        <x:v>0</x:v>
      </x:c>
      <x:c r="J1157" s="10" t="n">
        <x:v>0</x:v>
      </x:c>
      <x:c r="K1157" s="10" t="str">
        <x:v>22 Mo.</x:v>
      </x:c>
      <x:c r="L1157" s="10" t="n">
        <x:v>4</x:v>
      </x:c>
      <x:c r="M1157" s="10" t="n">
        <x:v>0</x:v>
      </x:c>
      <x:c r="N1157" s="10" t="n">
        <x:v>87</x:v>
      </x:c>
      <x:c r="O1157" s="10" t="str"/>
      <x:c r="P1157" s="10" t="n">
        <x:v>34</x:v>
      </x:c>
      <x:c r="Q1157" s="10" t="n">
        <x:v>0</x:v>
      </x:c>
      <x:c r="R1157" s="13" t="n">
        <x:v>0</x:v>
      </x:c>
      <x:c r="S1157" s="10" t="n">
        <x:v>14912</x:v>
      </x:c>
      <x:c r="T1157" s="10" t="str">
        <x:v>debt payoff chart,credit utilization,snowball method,mortgage payoff,student loan debt,credit card payoff,loan payoff tracker,debt calculator,credit card debt,debt payment tracker,debt payoff planner,debt payoff tracker,debt template</x:v>
      </x:c>
      <x:c r="U1157" s="10" t="str">
        <x:v>debt payoff chart</x:v>
      </x:c>
      <x:c r="V1157" s="10" t="str">
        <x:v>credit utilization</x:v>
      </x:c>
      <x:c r="W1157" s="10" t="str">
        <x:v>snowball method</x:v>
      </x:c>
      <x:c r="X1157" s="10" t="str">
        <x:v>mortgage payoff</x:v>
      </x:c>
      <x:c r="Y1157" s="10" t="str">
        <x:v>student loan debt</x:v>
      </x:c>
      <x:c r="Z1157" s="10" t="str">
        <x:v>credit card payoff</x:v>
      </x:c>
      <x:c r="AA1157" s="10" t="str">
        <x:v>loan payoff tracker</x:v>
      </x:c>
      <x:c r="AB1157" s="10" t="str">
        <x:v>debt calculator</x:v>
      </x:c>
      <x:c r="AC1157" s="10" t="str">
        <x:v>credit card debt</x:v>
      </x:c>
      <x:c r="AD1157" s="10" t="str">
        <x:v>debt payment tracker</x:v>
      </x:c>
      <x:c r="AE1157" s="10" t="str">
        <x:v>debt payoff planner</x:v>
      </x:c>
      <x:c r="AF1157" s="10" t="str">
        <x:v>debt payoff tracker</x:v>
      </x:c>
      <x:c r="AG1157" s="10" t="str">
        <x:v>debt template</x:v>
      </x:c>
      <x:c r="AH1157" s="10" t="str">
        <x:v>General debt payoff</x:v>
      </x:c>
      <x:c r="AI1157" s="13" t="n">
        <x:v>22</x:v>
      </x:c>
      <x:c r="AJ1157" s="10" t="str">
        <x:f>IF(F1157&gt;0,"Active","No est. sales")</x:f>
        <x:v>No est. sales</x:v>
      </x:c>
    </x:row>
    <x:row r="1158">
      <x:c r="A1158" s="10" t="str">
        <x:v>Debt Snowball Tracker, Avalanche Calculator, Debt Payoff Planner, Google Sheets &amp; Excel, Credit Card, Student Loan, Mortgage Debt Free</x:v>
      </x:c>
      <x:c r="B1158" s="10" t="str">
        <x:v>https://www.etsy.com/listing/4535213916/debt-snowball-tracker-avalanche</x:v>
      </x:c>
      <x:c r="C1158" s="10" t="str">
        <x:v>Plandrix</x:v>
      </x:c>
      <x:c r="D1158" s="10" t="str">
        <x:v>https://www.etsy.com/shop/Plandrix</x:v>
      </x:c>
      <x:c r="E1158" s="11" t="n">
        <x:v>15.99</x:v>
      </x:c>
      <x:c r="F1158" s="10" t="n">
        <x:v>0</x:v>
      </x:c>
      <x:c r="G1158" s="12" t="n">
        <x:v>0</x:v>
      </x:c>
      <x:c r="H1158" s="13" t="n">
        <x:v>0</x:v>
      </x:c>
      <x:c r="I1158" s="10" t="n">
        <x:v>0</x:v>
      </x:c>
      <x:c r="J1158" s="10" t="n">
        <x:v>0</x:v>
      </x:c>
      <x:c r="K1158" s="10" t="str">
        <x:v>1 Mo.</x:v>
      </x:c>
      <x:c r="L1158" s="10" t="n">
        <x:v>0</x:v>
      </x:c>
      <x:c r="M1158" s="10" t="n">
        <x:v>0</x:v>
      </x:c>
      <x:c r="N1158" s="10" t="n">
        <x:v>10</x:v>
      </x:c>
      <x:c r="O1158" s="10" t="str"/>
      <x:c r="P1158" s="10" t="n">
        <x:v>2</x:v>
      </x:c>
      <x:c r="Q1158" s="10" t="n">
        <x:v>0</x:v>
      </x:c>
      <x:c r="R1158" s="13" t="n">
        <x:v>0</x:v>
      </x:c>
      <x:c r="S1158" s="10" t="n">
        <x:v>44</x:v>
      </x:c>
      <x:c r="T1158" s="10" t="str">
        <x:v>debt snowball,debt avalanche,debt payoff tracker,payoff calculator,debt free planner,credit card payoff,student loan payoff,mortgage payoff,google sheets,excel template,debt tracker,finance dashboard,digital download</x:v>
      </x:c>
      <x:c r="U1158" s="10" t="str">
        <x:v>debt snowball</x:v>
      </x:c>
      <x:c r="V1158" s="10" t="str">
        <x:v>debt avalanche</x:v>
      </x:c>
      <x:c r="W1158" s="10" t="str">
        <x:v>debt payoff tracker</x:v>
      </x:c>
      <x:c r="X1158" s="10" t="str">
        <x:v>payoff calculator</x:v>
      </x:c>
      <x:c r="Y1158" s="10" t="str">
        <x:v>debt free planner</x:v>
      </x:c>
      <x:c r="Z1158" s="10" t="str">
        <x:v>credit card payoff</x:v>
      </x:c>
      <x:c r="AA1158" s="10" t="str">
        <x:v>student loan payoff</x:v>
      </x:c>
      <x:c r="AB1158" s="10" t="str">
        <x:v>mortgage payoff</x:v>
      </x:c>
      <x:c r="AC1158" s="10" t="str">
        <x:v>google sheets</x:v>
      </x:c>
      <x:c r="AD1158" s="10" t="str">
        <x:v>excel template</x:v>
      </x:c>
      <x:c r="AE1158" s="10" t="str">
        <x:v>debt tracker</x:v>
      </x:c>
      <x:c r="AF1158" s="10" t="str">
        <x:v>finance dashboard</x:v>
      </x:c>
      <x:c r="AG1158" s="10" t="str">
        <x:v>digital download</x:v>
      </x:c>
      <x:c r="AH1158" s="10" t="str">
        <x:v>General debt payoff</x:v>
      </x:c>
      <x:c r="AI1158" s="13" t="n">
        <x:v>1</x:v>
      </x:c>
      <x:c r="AJ1158" s="10" t="str">
        <x:f>IF(F1158&gt;0,"Active","No est. sales")</x:f>
        <x:v>No est. sales</x:v>
      </x:c>
    </x:row>
    <x:row r="1159">
      <x:c r="A1159" s="10" t="str">
        <x:v>Ultimate Debt Payoff Tracker and Planner</x:v>
      </x:c>
      <x:c r="B1159" s="10" t="str">
        <x:v>https://www.etsy.com/listing/4537170675/ultimate-debt-payoff-tracker-and-planner</x:v>
      </x:c>
      <x:c r="C1159" s="10" t="str">
        <x:v>FolioFreedom</x:v>
      </x:c>
      <x:c r="D1159" s="10" t="str">
        <x:v>https://www.etsy.com/shop/FolioFreedom</x:v>
      </x:c>
      <x:c r="E1159" s="11" t="n">
        <x:v>4.99</x:v>
      </x:c>
      <x:c r="F1159" s="10" t="n">
        <x:v>0</x:v>
      </x:c>
      <x:c r="G1159" s="12" t="n">
        <x:v>0</x:v>
      </x:c>
      <x:c r="H1159" s="13" t="n">
        <x:v>0</x:v>
      </x:c>
      <x:c r="I1159" s="10" t="n">
        <x:v>0</x:v>
      </x:c>
      <x:c r="J1159" s="10" t="n">
        <x:v>0</x:v>
      </x:c>
      <x:c r="K1159" s="10" t="str">
        <x:v>1 Mo.</x:v>
      </x:c>
      <x:c r="L1159" s="10" t="n">
        <x:v>0</x:v>
      </x:c>
      <x:c r="M1159" s="10" t="n">
        <x:v>0</x:v>
      </x:c>
      <x:c r="N1159" s="10" t="n">
        <x:v>0</x:v>
      </x:c>
      <x:c r="O1159" s="10" t="str"/>
      <x:c r="P1159" s="10" t="n">
        <x:v>1</x:v>
      </x:c>
      <x:c r="Q1159" s="10" t="n">
        <x:v>0</x:v>
      </x:c>
      <x:c r="R1159" s="13" t="n">
        <x:v>0</x:v>
      </x:c>
      <x:c r="S1159" s="10" t="n">
        <x:v>0</x:v>
      </x:c>
      <x:c r="T1159" s="10" t="str">
        <x:v>debt payoff tracker,debt snowball sheet,ultimate debt tool,budget spreadsheet,credit card payoff,student loan tracker,mortgage payoff plan,debt free planner,financial planner,debt calculator,payoff schedule,excel tool,google sheets tool</x:v>
      </x:c>
      <x:c r="U1159" s="10" t="str">
        <x:v>debt payoff tracker</x:v>
      </x:c>
      <x:c r="V1159" s="10" t="str">
        <x:v>debt snowball sheet</x:v>
      </x:c>
      <x:c r="W1159" s="10" t="str">
        <x:v>ultimate debt tool</x:v>
      </x:c>
      <x:c r="X1159" s="10" t="str">
        <x:v>budget spreadsheet</x:v>
      </x:c>
      <x:c r="Y1159" s="10" t="str">
        <x:v>credit card payoff</x:v>
      </x:c>
      <x:c r="Z1159" s="10" t="str">
        <x:v>student loan tracker</x:v>
      </x:c>
      <x:c r="AA1159" s="10" t="str">
        <x:v>mortgage payoff plan</x:v>
      </x:c>
      <x:c r="AB1159" s="10" t="str">
        <x:v>debt free planner</x:v>
      </x:c>
      <x:c r="AC1159" s="10" t="str">
        <x:v>financial planner</x:v>
      </x:c>
      <x:c r="AD1159" s="10" t="str">
        <x:v>debt calculator</x:v>
      </x:c>
      <x:c r="AE1159" s="10" t="str">
        <x:v>payoff schedule</x:v>
      </x:c>
      <x:c r="AF1159" s="10" t="str">
        <x:v>excel tool</x:v>
      </x:c>
      <x:c r="AG1159" s="10" t="str">
        <x:v>google sheets tool</x:v>
      </x:c>
      <x:c r="AH1159" s="10" t="str">
        <x:v>General debt payoff</x:v>
      </x:c>
      <x:c r="AI1159" s="13" t="n">
        <x:v>1</x:v>
      </x:c>
      <x:c r="AJ1159" s="10" t="str">
        <x:f>IF(F1159&gt;0,"Active","No est. sales")</x:f>
        <x:v>No est. sales</x:v>
      </x:c>
    </x:row>
    <x:row r="1160">
      <x:c r="A1160" s="10" t="str">
        <x:v>Debt Payoff Tracker: Snowball, Avalanche, Custom - Google Sheets (Digital Download)</x:v>
      </x:c>
      <x:c r="B1160" s="10" t="str">
        <x:v>https://www.etsy.com/listing/1812271668/debt-payoff-tracker-snowball-avalanche</x:v>
      </x:c>
      <x:c r="C1160" s="10" t="str">
        <x:v>SmartsSheetsPro</x:v>
      </x:c>
      <x:c r="D1160" s="10" t="str">
        <x:v>https://www.etsy.com/shop/SmartsSheetsPro</x:v>
      </x:c>
      <x:c r="E1160" s="11" t="n">
        <x:v>3</x:v>
      </x:c>
      <x:c r="F1160" s="10" t="n">
        <x:v>0</x:v>
      </x:c>
      <x:c r="G1160" s="12" t="n">
        <x:v>0</x:v>
      </x:c>
      <x:c r="H1160" s="13" t="n">
        <x:v>0</x:v>
      </x:c>
      <x:c r="I1160" s="10" t="n">
        <x:v>0</x:v>
      </x:c>
      <x:c r="J1160" s="10" t="n">
        <x:v>0</x:v>
      </x:c>
      <x:c r="K1160" s="10" t="str">
        <x:v>20 Mo.</x:v>
      </x:c>
      <x:c r="L1160" s="10" t="n">
        <x:v>4</x:v>
      </x:c>
      <x:c r="M1160" s="10" t="n">
        <x:v>0</x:v>
      </x:c>
      <x:c r="N1160" s="10" t="n">
        <x:v>35</x:v>
      </x:c>
      <x:c r="O1160" s="10" t="str">
        <x:v>Paper &amp; Party Supplies</x:v>
      </x:c>
      <x:c r="P1160" s="10" t="n">
        <x:v>23</x:v>
      </x:c>
      <x:c r="Q1160" s="10" t="n">
        <x:v>0</x:v>
      </x:c>
      <x:c r="R1160" s="13" t="n">
        <x:v>0</x:v>
      </x:c>
      <x:c r="S1160" s="10" t="n">
        <x:v>1120</x:v>
      </x:c>
      <x:c r="T1160" s="10" t="str">
        <x:v>credit utilization,debt avalanche,google sheets budget,debt snowball,debt payoff chart,credit card payoff,mortgage payoff,debt payment tracker,debt payoff tracker,debt template,student loan debt,financial planner,personal finance</x:v>
      </x:c>
      <x:c r="U1160" s="10" t="str">
        <x:v>credit utilization</x:v>
      </x:c>
      <x:c r="V1160" s="10" t="str">
        <x:v>debt avalanche</x:v>
      </x:c>
      <x:c r="W1160" s="10" t="str">
        <x:v>google sheets budget</x:v>
      </x:c>
      <x:c r="X1160" s="10" t="str">
        <x:v>debt snowball</x:v>
      </x:c>
      <x:c r="Y1160" s="10" t="str">
        <x:v>debt payoff chart</x:v>
      </x:c>
      <x:c r="Z1160" s="10" t="str">
        <x:v>credit card payoff</x:v>
      </x:c>
      <x:c r="AA1160" s="10" t="str">
        <x:v>mortgage payoff</x:v>
      </x:c>
      <x:c r="AB1160" s="10" t="str">
        <x:v>debt payment tracker</x:v>
      </x:c>
      <x:c r="AC1160" s="10" t="str">
        <x:v>debt payoff tracker</x:v>
      </x:c>
      <x:c r="AD1160" s="10" t="str">
        <x:v>debt template</x:v>
      </x:c>
      <x:c r="AE1160" s="10" t="str">
        <x:v>student loan debt</x:v>
      </x:c>
      <x:c r="AF1160" s="10" t="str">
        <x:v>financial planner</x:v>
      </x:c>
      <x:c r="AG1160" s="10" t="str">
        <x:v>personal finance</x:v>
      </x:c>
      <x:c r="AH1160" s="10" t="str">
        <x:v>General debt payoff</x:v>
      </x:c>
      <x:c r="AI1160" s="13" t="n">
        <x:v>20</x:v>
      </x:c>
      <x:c r="AJ1160" s="10" t="str">
        <x:f>IF(F1160&gt;0,"Active","No est. sales")</x:f>
        <x:v>No est. sales</x:v>
      </x:c>
    </x:row>
    <x:row r="1161">
      <x:c r="A1161" s="10" t="str">
        <x:v>Home Buying Planner, 44 Page House Hunting Checklist (Canva Editable, Printable)</x:v>
      </x:c>
      <x:c r="B1161" s="10" t="str">
        <x:v>https://www.etsy.com/listing/4310271390/home-buying-planner-44-page-house</x:v>
      </x:c>
      <x:c r="C1161" s="10" t="str">
        <x:v>RealChicPrintables</x:v>
      </x:c>
      <x:c r="D1161" s="10" t="str">
        <x:v>https://www.etsy.com/shop/RealChicPrintables</x:v>
      </x:c>
      <x:c r="E1161" s="11" t="n">
        <x:v>14.99</x:v>
      </x:c>
      <x:c r="F1161" s="10" t="n">
        <x:v>0</x:v>
      </x:c>
      <x:c r="G1161" s="12" t="n">
        <x:v>0</x:v>
      </x:c>
      <x:c r="H1161" s="13" t="n">
        <x:v>0</x:v>
      </x:c>
      <x:c r="I1161" s="10" t="n">
        <x:v>0</x:v>
      </x:c>
      <x:c r="J1161" s="10" t="n">
        <x:v>0</x:v>
      </x:c>
      <x:c r="K1161" s="10" t="str">
        <x:v>14 Mo.</x:v>
      </x:c>
      <x:c r="L1161" s="10" t="n">
        <x:v>4</x:v>
      </x:c>
      <x:c r="M1161" s="10" t="n">
        <x:v>0</x:v>
      </x:c>
      <x:c r="N1161" s="10" t="n">
        <x:v>104</x:v>
      </x:c>
      <x:c r="O1161" s="10" t="str">
        <x:v>Paper &amp; Party Supplies</x:v>
      </x:c>
      <x:c r="P1161" s="10" t="n">
        <x:v>30</x:v>
      </x:c>
      <x:c r="Q1161" s="10" t="n">
        <x:v>0</x:v>
      </x:c>
      <x:c r="R1161" s="13" t="n">
        <x:v>0</x:v>
      </x:c>
      <x:c r="S1161" s="10" t="n">
        <x:v>564</x:v>
      </x:c>
      <x:c r="T1161" s="10" t="str">
        <x:v>home buyer planner,house hunting,moving checklist,editable planner,new home planner,real estate gift,buyer checklist,printable planner,buyer organizer,real estate planner,mortgage planner,mortgage broker,mortgage marketing</x:v>
      </x:c>
      <x:c r="U1161" s="10" t="str">
        <x:v>home buyer planner</x:v>
      </x:c>
      <x:c r="V1161" s="10" t="str">
        <x:v>house hunting</x:v>
      </x:c>
      <x:c r="W1161" s="10" t="str">
        <x:v>moving checklist</x:v>
      </x:c>
      <x:c r="X1161" s="10" t="str">
        <x:v>editable planner</x:v>
      </x:c>
      <x:c r="Y1161" s="10" t="str">
        <x:v>new home planner</x:v>
      </x:c>
      <x:c r="Z1161" s="10" t="str">
        <x:v>real estate gift</x:v>
      </x:c>
      <x:c r="AA1161" s="10" t="str">
        <x:v>buyer checklist</x:v>
      </x:c>
      <x:c r="AB1161" s="10" t="str">
        <x:v>printable planner</x:v>
      </x:c>
      <x:c r="AC1161" s="10" t="str">
        <x:v>buyer organizer</x:v>
      </x:c>
      <x:c r="AD1161" s="10" t="str">
        <x:v>real estate planner</x:v>
      </x:c>
      <x:c r="AE1161" s="10" t="str">
        <x:v>mortgage planner</x:v>
      </x:c>
      <x:c r="AF1161" s="10" t="str">
        <x:v>mortgage broker</x:v>
      </x:c>
      <x:c r="AG1161" s="10" t="str">
        <x:v>mortgage marketing</x:v>
      </x:c>
      <x:c r="AH1161" s="10" t="str">
        <x:v>Loan officer / B2B</x:v>
      </x:c>
      <x:c r="AI1161" s="13" t="n">
        <x:v>14</x:v>
      </x:c>
      <x:c r="AJ1161" s="10" t="str">
        <x:f>IF(F1161&gt;0,"Active","No est. sales")</x:f>
        <x:v>No est. sales</x:v>
      </x:c>
    </x:row>
    <x:row r="1162">
      <x:c r="A1162" s="10" t="str">
        <x:v>House Savings Challenge Tracker | 5000 Dollar First Home Funding (Digital Download)</x:v>
      </x:c>
      <x:c r="B1162" s="10" t="str">
        <x:v>https://www.etsy.com/listing/4516623110/house-savings-challenge-tracker-5000</x:v>
      </x:c>
      <x:c r="C1162" s="10" t="str">
        <x:v>CashflowControl</x:v>
      </x:c>
      <x:c r="D1162" s="10" t="str">
        <x:v>https://www.etsy.com/shop/CashflowControl</x:v>
      </x:c>
      <x:c r="E1162" s="11" t="n">
        <x:v>2.06</x:v>
      </x:c>
      <x:c r="F1162" s="10" t="n">
        <x:v>0</x:v>
      </x:c>
      <x:c r="G1162" s="12" t="n">
        <x:v>0</x:v>
      </x:c>
      <x:c r="H1162" s="13" t="n">
        <x:v>0</x:v>
      </x:c>
      <x:c r="I1162" s="10" t="n">
        <x:v>0</x:v>
      </x:c>
      <x:c r="J1162" s="10" t="n">
        <x:v>0</x:v>
      </x:c>
      <x:c r="K1162" s="10" t="str">
        <x:v>1 Mo.</x:v>
      </x:c>
      <x:c r="L1162" s="10" t="n">
        <x:v>11</x:v>
      </x:c>
      <x:c r="M1162" s="10" t="n">
        <x:v>0</x:v>
      </x:c>
      <x:c r="N1162" s="10" t="n">
        <x:v>98</x:v>
      </x:c>
      <x:c r="O1162" s="10" t="str"/>
      <x:c r="P1162" s="10" t="n">
        <x:v>3</x:v>
      </x:c>
      <x:c r="Q1162" s="10" t="n">
        <x:v>33</x:v>
      </x:c>
      <x:c r="R1162" s="13" t="n">
        <x:v>0</x:v>
      </x:c>
      <x:c r="S1162" s="10" t="n">
        <x:v>200</x:v>
      </x:c>
      <x:c r="T1162" s="10" t="str">
        <x:v>house savings,savings tracker,printable tracker,money challenge,5000 challenge,home savings,down payment,first home fund,budget printable,savings challenge,coloring tracker,mortgage payoff,financial planner</x:v>
      </x:c>
      <x:c r="U1162" s="10" t="str">
        <x:v>house savings</x:v>
      </x:c>
      <x:c r="V1162" s="10" t="str">
        <x:v>savings tracker</x:v>
      </x:c>
      <x:c r="W1162" s="10" t="str">
        <x:v>printable tracker</x:v>
      </x:c>
      <x:c r="X1162" s="10" t="str">
        <x:v>money challenge</x:v>
      </x:c>
      <x:c r="Y1162" s="10" t="str">
        <x:v>5000 challenge</x:v>
      </x:c>
      <x:c r="Z1162" s="10" t="str">
        <x:v>home savings</x:v>
      </x:c>
      <x:c r="AA1162" s="10" t="str">
        <x:v>down payment</x:v>
      </x:c>
      <x:c r="AB1162" s="10" t="str">
        <x:v>first home fund</x:v>
      </x:c>
      <x:c r="AC1162" s="10" t="str">
        <x:v>budget printable</x:v>
      </x:c>
      <x:c r="AD1162" s="10" t="str">
        <x:v>savings challenge</x:v>
      </x:c>
      <x:c r="AE1162" s="10" t="str">
        <x:v>coloring tracker</x:v>
      </x:c>
      <x:c r="AF1162" s="10" t="str">
        <x:v>mortgage payoff</x:v>
      </x:c>
      <x:c r="AG1162" s="10" t="str">
        <x:v>financial planner</x:v>
      </x:c>
      <x:c r="AH1162" s="10" t="str">
        <x:v>Other mortgage-related</x:v>
      </x:c>
      <x:c r="AI1162" s="13" t="n">
        <x:v>1</x:v>
      </x:c>
      <x:c r="AJ1162" s="10" t="str">
        <x:f>IF(F1162&gt;0,"Active","No est. sales")</x:f>
        <x:v>No est. sales</x:v>
      </x:c>
    </x:row>
    <x:row r="1163">
      <x:c r="A1163" s="10" t="str">
        <x:v>Personal Finance Scenario Planner – Budget, Mortgage, Retirement Tracker (Digital Download)</x:v>
      </x:c>
      <x:c r="B1163" s="10" t="str">
        <x:v>https://www.etsy.com/listing/4527061871/personal-finance-scenario-planner-budget</x:v>
      </x:c>
      <x:c r="C1163" s="10" t="str">
        <x:v>SpreadsheetShopAU</x:v>
      </x:c>
      <x:c r="D1163" s="10" t="str">
        <x:v>https://www.etsy.com/shop/SpreadsheetShopAU</x:v>
      </x:c>
      <x:c r="E1163" s="11" t="n">
        <x:v>6.94</x:v>
      </x:c>
      <x:c r="F1163" s="10" t="n">
        <x:v>0</x:v>
      </x:c>
      <x:c r="G1163" s="12" t="n">
        <x:v>0</x:v>
      </x:c>
      <x:c r="H1163" s="13" t="n">
        <x:v>0</x:v>
      </x:c>
      <x:c r="I1163" s="10" t="n">
        <x:v>0</x:v>
      </x:c>
      <x:c r="J1163" s="10" t="n">
        <x:v>0</x:v>
      </x:c>
      <x:c r="K1163" s="10" t="str">
        <x:v>1 Mo.</x:v>
      </x:c>
      <x:c r="L1163" s="10" t="n">
        <x:v>0</x:v>
      </x:c>
      <x:c r="M1163" s="10" t="n">
        <x:v>0</x:v>
      </x:c>
      <x:c r="N1163" s="10" t="n">
        <x:v>1</x:v>
      </x:c>
      <x:c r="O1163" s="10" t="str"/>
      <x:c r="P1163" s="10" t="n">
        <x:v>6</x:v>
      </x:c>
      <x:c r="Q1163" s="10" t="n">
        <x:v>0</x:v>
      </x:c>
      <x:c r="R1163" s="13" t="n">
        <x:v>0</x:v>
      </x:c>
      <x:c r="S1163" s="10" t="n">
        <x:v>1</x:v>
      </x:c>
      <x:c r="T1163" s="10" t="str">
        <x:v>spreadsheet,excel,templates,mortgage calculator,personal tracker,retirement tracker,digital download,diy finance</x:v>
      </x:c>
      <x:c r="U1163" s="10" t="str">
        <x:v>spreadsheet</x:v>
      </x:c>
      <x:c r="V1163" s="10" t="str">
        <x:v>excel</x:v>
      </x:c>
      <x:c r="W1163" s="10" t="str">
        <x:v>templates</x:v>
      </x:c>
      <x:c r="X1163" s="10" t="str">
        <x:v>mortgage calculator</x:v>
      </x:c>
      <x:c r="Y1163" s="10" t="str">
        <x:v>personal tracker</x:v>
      </x:c>
      <x:c r="Z1163" s="10" t="str">
        <x:v>retirement tracker</x:v>
      </x:c>
      <x:c r="AA1163" s="10" t="str">
        <x:v>digital download</x:v>
      </x:c>
      <x:c r="AB1163" s="10" t="str">
        <x:v>diy finance</x:v>
      </x:c>
      <x:c r="AC1163" s="10" t="str">
        <x:v>--</x:v>
      </x:c>
      <x:c r="AD1163" s="10" t="str">
        <x:v>--</x:v>
      </x:c>
      <x:c r="AE1163" s="10" t="str">
        <x:v>--</x:v>
      </x:c>
      <x:c r="AF1163" s="10" t="str">
        <x:v>--</x:v>
      </x:c>
      <x:c r="AG1163" s="10" t="str">
        <x:v>--</x:v>
      </x:c>
      <x:c r="AH1163" s="10" t="str">
        <x:v>Other mortgage-related</x:v>
      </x:c>
      <x:c r="AI1163" s="13" t="n">
        <x:v>1</x:v>
      </x:c>
      <x:c r="AJ1163" s="10" t="str">
        <x:f>IF(F1163&gt;0,"Active","No est. sales")</x:f>
        <x:v>No est. sales</x:v>
      </x:c>
    </x:row>
    <x:row r="1164">
      <x:c r="A1164" s="10" t="str">
        <x:v>Bill Due Planner Stickers: Erin Condren, Limelife, Plum Paper</x:v>
      </x:c>
      <x:c r="B1164" s="10" t="str">
        <x:v>https://www.etsy.com/listing/746234016/bill-due-planner-stickers-erin-condren</x:v>
      </x:c>
      <x:c r="C1164" s="10" t="str">
        <x:v>MyOwnCraftsStore</x:v>
      </x:c>
      <x:c r="D1164" s="10" t="str">
        <x:v>https://www.etsy.com/shop/MyOwnCraftsStore</x:v>
      </x:c>
      <x:c r="E1164" s="11" t="n">
        <x:v>0.97</x:v>
      </x:c>
      <x:c r="F1164" s="10" t="n">
        <x:v>0</x:v>
      </x:c>
      <x:c r="G1164" s="12" t="n">
        <x:v>0</x:v>
      </x:c>
      <x:c r="H1164" s="13" t="n">
        <x:v>0</x:v>
      </x:c>
      <x:c r="I1164" s="10" t="n">
        <x:v>9</x:v>
      </x:c>
      <x:c r="J1164" s="10" t="n">
        <x:v>2</x:v>
      </x:c>
      <x:c r="K1164" s="10" t="str">
        <x:v>79 Mo.</x:v>
      </x:c>
      <x:c r="L1164" s="10" t="n">
        <x:v>15</x:v>
      </x:c>
      <x:c r="M1164" s="10" t="n">
        <x:v>0</x:v>
      </x:c>
      <x:c r="N1164" s="10" t="n">
        <x:v>245</x:v>
      </x:c>
      <x:c r="O1164" s="10" t="str">
        <x:v>Paper &amp; Party Supplies</x:v>
      </x:c>
      <x:c r="P1164" s="10" t="n">
        <x:v>124</x:v>
      </x:c>
      <x:c r="Q1164" s="10" t="n">
        <x:v>0</x:v>
      </x:c>
      <x:c r="R1164" s="13" t="n">
        <x:v>3.67</x:v>
      </x:c>
      <x:c r="S1164" s="10" t="n">
        <x:v>31622</x:v>
      </x:c>
      <x:c r="T1164" s="10" t="str">
        <x:v>planner stickers,stickers,reiminder,bill,bill due,ec,eric condern,payment due,pay rent,mortgage,payment,payment reminder</x:v>
      </x:c>
      <x:c r="U1164" s="10" t="str">
        <x:v>planner stickers</x:v>
      </x:c>
      <x:c r="V1164" s="10" t="str">
        <x:v>stickers</x:v>
      </x:c>
      <x:c r="W1164" s="10" t="str">
        <x:v>reiminder</x:v>
      </x:c>
      <x:c r="X1164" s="10" t="str">
        <x:v>bill</x:v>
      </x:c>
      <x:c r="Y1164" s="10" t="str">
        <x:v>bill due</x:v>
      </x:c>
      <x:c r="Z1164" s="10" t="str">
        <x:v>ec</x:v>
      </x:c>
      <x:c r="AA1164" s="10" t="str">
        <x:v>eric condern</x:v>
      </x:c>
      <x:c r="AB1164" s="10" t="str">
        <x:v>payment due</x:v>
      </x:c>
      <x:c r="AC1164" s="10" t="str">
        <x:v>pay rent</x:v>
      </x:c>
      <x:c r="AD1164" s="10" t="str">
        <x:v>mortgage</x:v>
      </x:c>
      <x:c r="AE1164" s="10" t="str">
        <x:v>payment</x:v>
      </x:c>
      <x:c r="AF1164" s="10" t="str">
        <x:v>payment reminder</x:v>
      </x:c>
      <x:c r="AG1164" s="10" t="str">
        <x:v>--</x:v>
      </x:c>
      <x:c r="AH1164" s="10" t="str">
        <x:v>Other mortgage-related</x:v>
      </x:c>
      <x:c r="AI1164" s="13" t="n">
        <x:v>79</x:v>
      </x:c>
      <x:c r="AJ1164" s="10" t="str">
        <x:f>IF(F1164&gt;0,"Active","No est. sales")</x:f>
        <x:v>No est. sales</x:v>
      </x:c>
    </x:row>
    <x:row r="1165">
      <x:c r="A1165" s="10" t="str">
        <x:v>Debt Tracker, Debt Payment Template, Debt Snowball, Payoff Log Digital Planner for Goodnotes Ipad, Printable PDF</x:v>
      </x:c>
      <x:c r="B1165" s="10" t="str">
        <x:v>https://www.etsy.com/listing/1847453748/debt-tracker-debt-payment-template-debt</x:v>
      </x:c>
      <x:c r="C1165" s="10" t="str">
        <x:v>netnookdigitals</x:v>
      </x:c>
      <x:c r="D1165" s="10" t="str">
        <x:v>https://www.etsy.com/shop/netnookdigitals</x:v>
      </x:c>
      <x:c r="E1165" s="11" t="n">
        <x:v>4.87</x:v>
      </x:c>
      <x:c r="F1165" s="10" t="n">
        <x:v>0</x:v>
      </x:c>
      <x:c r="G1165" s="12" t="n">
        <x:v>0</x:v>
      </x:c>
      <x:c r="H1165" s="13" t="n">
        <x:v>0</x:v>
      </x:c>
      <x:c r="I1165" s="10" t="n">
        <x:v>32</x:v>
      </x:c>
      <x:c r="J1165" s="10" t="n">
        <x:v>3</x:v>
      </x:c>
      <x:c r="K1165" s="10" t="str">
        <x:v>18 Mo.</x:v>
      </x:c>
      <x:c r="L1165" s="10" t="n">
        <x:v>24</x:v>
      </x:c>
      <x:c r="M1165" s="10" t="n">
        <x:v>0</x:v>
      </x:c>
      <x:c r="N1165" s="10" t="n">
        <x:v>527</x:v>
      </x:c>
      <x:c r="O1165" s="10" t="str"/>
      <x:c r="P1165" s="10" t="n">
        <x:v>18</x:v>
      </x:c>
      <x:c r="Q1165" s="10" t="n">
        <x:v>0</x:v>
      </x:c>
      <x:c r="R1165" s="13" t="n">
        <x:v>6.07</x:v>
      </x:c>
      <x:c r="S1165" s="10" t="n">
        <x:v>1295</x:v>
      </x:c>
      <x:c r="T1165" s="10" t="str">
        <x:v>debt payoff tracker,debt snowball,mortgage tracker,money tracker,debt payment log,debt repayment,finance planner,digital planner,goodnotes planner,ipad planner,digital inserts,payment tracker,tracker printable</x:v>
      </x:c>
      <x:c r="U1165" s="10" t="str">
        <x:v>debt payoff tracker</x:v>
      </x:c>
      <x:c r="V1165" s="10" t="str">
        <x:v>debt snowball</x:v>
      </x:c>
      <x:c r="W1165" s="10" t="str">
        <x:v>mortgage tracker</x:v>
      </x:c>
      <x:c r="X1165" s="10" t="str">
        <x:v>money tracker</x:v>
      </x:c>
      <x:c r="Y1165" s="10" t="str">
        <x:v>debt payment log</x:v>
      </x:c>
      <x:c r="Z1165" s="10" t="str">
        <x:v>debt repayment</x:v>
      </x:c>
      <x:c r="AA1165" s="10" t="str">
        <x:v>finance planner</x:v>
      </x:c>
      <x:c r="AB1165" s="10" t="str">
        <x:v>digital planner</x:v>
      </x:c>
      <x:c r="AC1165" s="10" t="str">
        <x:v>goodnotes planner</x:v>
      </x:c>
      <x:c r="AD1165" s="10" t="str">
        <x:v>ipad planner</x:v>
      </x:c>
      <x:c r="AE1165" s="10" t="str">
        <x:v>digital inserts</x:v>
      </x:c>
      <x:c r="AF1165" s="10" t="str">
        <x:v>payment tracker</x:v>
      </x:c>
      <x:c r="AG1165" s="10" t="str">
        <x:v>tracker printable</x:v>
      </x:c>
      <x:c r="AH1165" s="10" t="str">
        <x:v>General debt payoff</x:v>
      </x:c>
      <x:c r="AI1165" s="13" t="n">
        <x:v>18</x:v>
      </x:c>
      <x:c r="AJ1165" s="10" t="str">
        <x:f>IF(F1165&gt;0,"Active","No est. sales")</x:f>
        <x:v>No est. sales</x:v>
      </x:c>
    </x:row>
    <x:row r="1166">
      <x:c r="A1166" s="10" t="str">
        <x:v>Mortgage Broker Daily Planner, Loan Officer Daily Planner, Mortgage Advisor Daily Schedule, Mortgage loan consultant Daily Organizer</x:v>
      </x:c>
      <x:c r="B1166" s="10" t="str">
        <x:v>https://www.etsy.com/listing/1773337999/mortgage-broker-daily-planner-loan</x:v>
      </x:c>
      <x:c r="C1166" s="10" t="str">
        <x:v>AgentlyDesigns</x:v>
      </x:c>
      <x:c r="D1166" s="10" t="str">
        <x:v>https://www.etsy.com/shop/AgentlyDesigns</x:v>
      </x:c>
      <x:c r="E1166" s="11" t="n">
        <x:v>13.97</x:v>
      </x:c>
      <x:c r="F1166" s="10" t="n">
        <x:v>0</x:v>
      </x:c>
      <x:c r="G1166" s="12" t="n">
        <x:v>0</x:v>
      </x:c>
      <x:c r="H1166" s="13" t="n">
        <x:v>0</x:v>
      </x:c>
      <x:c r="I1166" s="10" t="n">
        <x:v>0</x:v>
      </x:c>
      <x:c r="J1166" s="10" t="n">
        <x:v>0</x:v>
      </x:c>
      <x:c r="K1166" s="10" t="str">
        <x:v>23 Mo.</x:v>
      </x:c>
      <x:c r="L1166" s="10" t="n">
        <x:v>15</x:v>
      </x:c>
      <x:c r="M1166" s="10" t="n">
        <x:v>0</x:v>
      </x:c>
      <x:c r="N1166" s="10" t="n">
        <x:v>940</x:v>
      </x:c>
      <x:c r="O1166" s="10" t="str">
        <x:v>Paper &amp; Party Supplies</x:v>
      </x:c>
      <x:c r="P1166" s="10" t="n">
        <x:v>45</x:v>
      </x:c>
      <x:c r="Q1166" s="10" t="n">
        <x:v>0</x:v>
      </x:c>
      <x:c r="R1166" s="13" t="n">
        <x:v>0</x:v>
      </x:c>
      <x:c r="S1166" s="10" t="n">
        <x:v>1612</x:v>
      </x:c>
      <x:c r="T1166" s="10" t="str">
        <x:v>mortgage broker,daily planner,loan officer,mortgage advisor,daily schedule,daily organizer,loan consultant,daily planning guide,agenda checklist,mortgage consultant,day planner,real estate,marketing</x:v>
      </x:c>
      <x:c r="U1166" s="10" t="str">
        <x:v>mortgage broker</x:v>
      </x:c>
      <x:c r="V1166" s="10" t="str">
        <x:v>daily planner</x:v>
      </x:c>
      <x:c r="W1166" s="10" t="str">
        <x:v>loan officer</x:v>
      </x:c>
      <x:c r="X1166" s="10" t="str">
        <x:v>mortgage advisor</x:v>
      </x:c>
      <x:c r="Y1166" s="10" t="str">
        <x:v>daily schedule</x:v>
      </x:c>
      <x:c r="Z1166" s="10" t="str">
        <x:v>daily organizer</x:v>
      </x:c>
      <x:c r="AA1166" s="10" t="str">
        <x:v>loan consultant</x:v>
      </x:c>
      <x:c r="AB1166" s="10" t="str">
        <x:v>daily planning guide</x:v>
      </x:c>
      <x:c r="AC1166" s="10" t="str">
        <x:v>agenda checklist</x:v>
      </x:c>
      <x:c r="AD1166" s="10" t="str">
        <x:v>mortgage consultant</x:v>
      </x:c>
      <x:c r="AE1166" s="10" t="str">
        <x:v>day planner</x:v>
      </x:c>
      <x:c r="AF1166" s="10" t="str">
        <x:v>real estate</x:v>
      </x:c>
      <x:c r="AG1166" s="10" t="str">
        <x:v>marketing</x:v>
      </x:c>
      <x:c r="AH1166" s="10" t="str">
        <x:v>Loan officer / B2B</x:v>
      </x:c>
      <x:c r="AI1166" s="13" t="n">
        <x:v>23</x:v>
      </x:c>
      <x:c r="AJ1166" s="10" t="str">
        <x:f>IF(F1166&gt;0,"Active","No est. sales")</x:f>
        <x:v>No est. sales</x:v>
      </x:c>
    </x:row>
    <x:row r="1167">
      <x:c r="A1167" s="10" t="str">
        <x:v>Debt Payoff Tracker Google Sheet | Snowball Avalanche Calculator (Digital Download)</x:v>
      </x:c>
      <x:c r="B1167" s="10" t="str">
        <x:v>https://www.etsy.com/listing/4495031350/debt-payoff-tracker-google-sheet</x:v>
      </x:c>
      <x:c r="C1167" s="10" t="str">
        <x:v>GoleDigitalStudio</x:v>
      </x:c>
      <x:c r="D1167" s="10" t="str">
        <x:v>https://www.etsy.com/shop/GoleDigitalStudio</x:v>
      </x:c>
      <x:c r="E1167" s="11" t="n">
        <x:v>16</x:v>
      </x:c>
      <x:c r="F1167" s="10" t="n">
        <x:v>0</x:v>
      </x:c>
      <x:c r="G1167" s="12" t="n">
        <x:v>0</x:v>
      </x:c>
      <x:c r="H1167" s="13" t="n">
        <x:v>0</x:v>
      </x:c>
      <x:c r="I1167" s="10" t="n">
        <x:v>0</x:v>
      </x:c>
      <x:c r="J1167" s="10" t="n">
        <x:v>0</x:v>
      </x:c>
      <x:c r="K1167" s="10" t="str">
        <x:v>3 Mo.</x:v>
      </x:c>
      <x:c r="L1167" s="10" t="n">
        <x:v>1</x:v>
      </x:c>
      <x:c r="M1167" s="10" t="n">
        <x:v>0</x:v>
      </x:c>
      <x:c r="N1167" s="10" t="n">
        <x:v>2</x:v>
      </x:c>
      <x:c r="O1167" s="10" t="str"/>
      <x:c r="P1167" s="10" t="n">
        <x:v>3</x:v>
      </x:c>
      <x:c r="Q1167" s="10" t="n">
        <x:v>0</x:v>
      </x:c>
      <x:c r="R1167" s="13" t="n">
        <x:v>0</x:v>
      </x:c>
      <x:c r="S1167" s="10" t="n">
        <x:v>1</x:v>
      </x:c>
      <x:c r="T1167" s="10" t="str">
        <x:v>debt payoff tracker,debt snowball sheet,debt avalanche,credit card tracker,loan payoff planner,google sheets debt,debt free planner,payoff calculator,student loan tracker,mortgage tracker,financial freedom,budget spreadsheet,digital download</x:v>
      </x:c>
      <x:c r="U1167" s="10" t="str">
        <x:v>debt payoff tracker</x:v>
      </x:c>
      <x:c r="V1167" s="10" t="str">
        <x:v>debt snowball sheet</x:v>
      </x:c>
      <x:c r="W1167" s="10" t="str">
        <x:v>debt avalanche</x:v>
      </x:c>
      <x:c r="X1167" s="10" t="str">
        <x:v>credit card tracker</x:v>
      </x:c>
      <x:c r="Y1167" s="10" t="str">
        <x:v>loan payoff planner</x:v>
      </x:c>
      <x:c r="Z1167" s="10" t="str">
        <x:v>google sheets debt</x:v>
      </x:c>
      <x:c r="AA1167" s="10" t="str">
        <x:v>debt free planner</x:v>
      </x:c>
      <x:c r="AB1167" s="10" t="str">
        <x:v>payoff calculator</x:v>
      </x:c>
      <x:c r="AC1167" s="10" t="str">
        <x:v>student loan tracker</x:v>
      </x:c>
      <x:c r="AD1167" s="10" t="str">
        <x:v>mortgage tracker</x:v>
      </x:c>
      <x:c r="AE1167" s="10" t="str">
        <x:v>financial freedom</x:v>
      </x:c>
      <x:c r="AF1167" s="10" t="str">
        <x:v>budget spreadsheet</x:v>
      </x:c>
      <x:c r="AG1167" s="10" t="str">
        <x:v>digital download</x:v>
      </x:c>
      <x:c r="AH1167" s="10" t="str">
        <x:v>General debt payoff</x:v>
      </x:c>
      <x:c r="AI1167" s="13" t="n">
        <x:v>3</x:v>
      </x:c>
      <x:c r="AJ1167" s="10" t="str">
        <x:f>IF(F1167&gt;0,"Active","No est. sales")</x:f>
        <x:v>No est. sales</x:v>
      </x:c>
    </x:row>
    <x:row r="1168">
      <x:c r="A1168" s="10" t="str">
        <x:v>Smart House Purchase Tracker | 12 Tabs | Mortgage Calculator | Excel Budget Planner</x:v>
      </x:c>
      <x:c r="B1168" s="10" t="str">
        <x:v>https://www.etsy.com/listing/4535804210/smart-house-purchase-tracker-12-tabs</x:v>
      </x:c>
      <x:c r="C1168" s="10" t="str">
        <x:v>CntrlFStudio</x:v>
      </x:c>
      <x:c r="D1168" s="10" t="str">
        <x:v>https://www.etsy.com/shop/CntrlFStudio</x:v>
      </x:c>
      <x:c r="E1168" s="11" t="n">
        <x:v>6.68</x:v>
      </x:c>
      <x:c r="F1168" s="10" t="n">
        <x:v>0</x:v>
      </x:c>
      <x:c r="G1168" s="12" t="n">
        <x:v>0</x:v>
      </x:c>
      <x:c r="H1168" s="13" t="n">
        <x:v>0</x:v>
      </x:c>
      <x:c r="I1168" s="10" t="n">
        <x:v>0</x:v>
      </x:c>
      <x:c r="J1168" s="10" t="n">
        <x:v>0</x:v>
      </x:c>
      <x:c r="K1168" s="10" t="str">
        <x:v>1 Mo.</x:v>
      </x:c>
      <x:c r="L1168" s="10" t="n">
        <x:v>0</x:v>
      </x:c>
      <x:c r="M1168" s="10" t="n">
        <x:v>0</x:v>
      </x:c>
      <x:c r="N1168" s="10" t="n">
        <x:v>213</x:v>
      </x:c>
      <x:c r="O1168" s="10" t="str"/>
      <x:c r="P1168" s="10" t="n">
        <x:v>0</x:v>
      </x:c>
      <x:c r="Q1168" s="10" t="n">
        <x:v>60</x:v>
      </x:c>
      <x:c r="R1168" s="13" t="n">
        <x:v>0</x:v>
      </x:c>
      <x:c r="S1168" s="10" t="n">
        <x:v>4</x:v>
      </x:c>
      <x:c r="T1168" s="10" t="str">
        <x:v>excel,house purchase,home,wealth,finance,saving,mortgage,loan,moving house,money,smart,ai,automation</x:v>
      </x:c>
      <x:c r="U1168" s="10" t="str">
        <x:v>excel</x:v>
      </x:c>
      <x:c r="V1168" s="10" t="str">
        <x:v>house purchase</x:v>
      </x:c>
      <x:c r="W1168" s="10" t="str">
        <x:v>home</x:v>
      </x:c>
      <x:c r="X1168" s="10" t="str">
        <x:v>wealth</x:v>
      </x:c>
      <x:c r="Y1168" s="10" t="str">
        <x:v>finance</x:v>
      </x:c>
      <x:c r="Z1168" s="10" t="str">
        <x:v>saving</x:v>
      </x:c>
      <x:c r="AA1168" s="10" t="str">
        <x:v>mortgage</x:v>
      </x:c>
      <x:c r="AB1168" s="10" t="str">
        <x:v>loan</x:v>
      </x:c>
      <x:c r="AC1168" s="10" t="str">
        <x:v>moving house</x:v>
      </x:c>
      <x:c r="AD1168" s="10" t="str">
        <x:v>money</x:v>
      </x:c>
      <x:c r="AE1168" s="10" t="str">
        <x:v>smart</x:v>
      </x:c>
      <x:c r="AF1168" s="10" t="str">
        <x:v>ai</x:v>
      </x:c>
      <x:c r="AG1168" s="10" t="str">
        <x:v>automation</x:v>
      </x:c>
      <x:c r="AH1168" s="10" t="str">
        <x:v>Mortgage payoff / calculator</x:v>
      </x:c>
      <x:c r="AI1168" s="13" t="n">
        <x:v>1</x:v>
      </x:c>
      <x:c r="AJ1168" s="10" t="str">
        <x:f>IF(F1168&gt;0,"Active","No est. sales")</x:f>
        <x:v>No est. sales</x:v>
      </x:c>
    </x:row>
    <x:row r="1169">
      <x:c r="A1169" s="10" t="str">
        <x:v>Debt Tracker</x:v>
      </x:c>
      <x:c r="B1169" s="10" t="str">
        <x:v>https://www.etsy.com/listing/929663304/debt-tracker</x:v>
      </x:c>
      <x:c r="C1169" s="10" t="str">
        <x:v>MyMoneyMission360</x:v>
      </x:c>
      <x:c r="D1169" s="10" t="str">
        <x:v>https://www.etsy.com/shop/MyMoneyMission360</x:v>
      </x:c>
      <x:c r="E1169" s="11" t="n">
        <x:v>1.53</x:v>
      </x:c>
      <x:c r="F1169" s="10" t="n">
        <x:v>0</x:v>
      </x:c>
      <x:c r="G1169" s="12" t="n">
        <x:v>0</x:v>
      </x:c>
      <x:c r="H1169" s="13" t="n">
        <x:v>0</x:v>
      </x:c>
      <x:c r="I1169" s="10" t="n">
        <x:v>0</x:v>
      </x:c>
      <x:c r="J1169" s="10" t="n">
        <x:v>0</x:v>
      </x:c>
      <x:c r="K1169" s="10" t="str">
        <x:v>66 Mo.</x:v>
      </x:c>
      <x:c r="L1169" s="10" t="n">
        <x:v>3</x:v>
      </x:c>
      <x:c r="M1169" s="10" t="n">
        <x:v>0</x:v>
      </x:c>
      <x:c r="N1169" s="10" t="n">
        <x:v>31</x:v>
      </x:c>
      <x:c r="O1169" s="10" t="str">
        <x:v>Paper &amp; Party Supplies</x:v>
      </x:c>
      <x:c r="P1169" s="10" t="n">
        <x:v>66</x:v>
      </x:c>
      <x:c r="Q1169" s="10" t="n">
        <x:v>0</x:v>
      </x:c>
      <x:c r="R1169" s="13" t="n">
        <x:v>0</x:v>
      </x:c>
      <x:c r="S1169" s="10" t="n">
        <x:v>3</x:v>
      </x:c>
      <x:c r="T1169" s="10" t="str">
        <x:v>tracker,mortgage,repayment,planner,goals,printable,binder,calendar,credit score,financial planner,finance planning,debt free,early retirement</x:v>
      </x:c>
      <x:c r="U1169" s="10" t="str">
        <x:v>tracker</x:v>
      </x:c>
      <x:c r="V1169" s="10" t="str">
        <x:v>mortgage</x:v>
      </x:c>
      <x:c r="W1169" s="10" t="str">
        <x:v>repayment</x:v>
      </x:c>
      <x:c r="X1169" s="10" t="str">
        <x:v>planner</x:v>
      </x:c>
      <x:c r="Y1169" s="10" t="str">
        <x:v>goals</x:v>
      </x:c>
      <x:c r="Z1169" s="10" t="str">
        <x:v>printable</x:v>
      </x:c>
      <x:c r="AA1169" s="10" t="str">
        <x:v>binder</x:v>
      </x:c>
      <x:c r="AB1169" s="10" t="str">
        <x:v>calendar</x:v>
      </x:c>
      <x:c r="AC1169" s="10" t="str">
        <x:v>credit score</x:v>
      </x:c>
      <x:c r="AD1169" s="10" t="str">
        <x:v>financial planner</x:v>
      </x:c>
      <x:c r="AE1169" s="10" t="str">
        <x:v>finance planning</x:v>
      </x:c>
      <x:c r="AF1169" s="10" t="str">
        <x:v>debt free</x:v>
      </x:c>
      <x:c r="AG1169" s="10" t="str">
        <x:v>early retirement</x:v>
      </x:c>
      <x:c r="AH1169" s="10" t="str">
        <x:v>General debt payoff</x:v>
      </x:c>
      <x:c r="AI1169" s="13" t="n">
        <x:v>66</x:v>
      </x:c>
      <x:c r="AJ1169" s="10" t="str">
        <x:f>IF(F1169&gt;0,"Active","No est. sales")</x:f>
        <x:v>No est. sales</x:v>
      </x:c>
    </x:row>
    <x:row r="1170">
      <x:c r="A1170" s="10" t="str">
        <x:v>Loan and Mortgage Calculator, Comparison and Summary tool</x:v>
      </x:c>
      <x:c r="B1170" s="10" t="str">
        <x:v>https://www.etsy.com/listing/4438152696/loan-and-mortgage-calculator-comparison</x:v>
      </x:c>
      <x:c r="C1170" s="10" t="str">
        <x:v>CreckyzFinance</x:v>
      </x:c>
      <x:c r="D1170" s="10" t="str">
        <x:v>https://www.etsy.com/shop/CreckyzFinance</x:v>
      </x:c>
      <x:c r="E1170" s="11" t="n">
        <x:v>3.99</x:v>
      </x:c>
      <x:c r="F1170" s="10" t="n">
        <x:v>0</x:v>
      </x:c>
      <x:c r="G1170" s="12" t="n">
        <x:v>0</x:v>
      </x:c>
      <x:c r="H1170" s="13" t="n">
        <x:v>0</x:v>
      </x:c>
      <x:c r="I1170" s="10" t="n">
        <x:v>0</x:v>
      </x:c>
      <x:c r="J1170" s="10" t="n">
        <x:v>0</x:v>
      </x:c>
      <x:c r="K1170" s="10" t="str">
        <x:v>6 Mo.</x:v>
      </x:c>
      <x:c r="L1170" s="10" t="n">
        <x:v>0</x:v>
      </x:c>
      <x:c r="M1170" s="10" t="n">
        <x:v>0</x:v>
      </x:c>
      <x:c r="N1170" s="10" t="n">
        <x:v>12</x:v>
      </x:c>
      <x:c r="O1170" s="10" t="str"/>
      <x:c r="P1170" s="10" t="n">
        <x:v>6</x:v>
      </x:c>
      <x:c r="Q1170" s="10" t="n">
        <x:v>0</x:v>
      </x:c>
      <x:c r="R1170" s="13" t="n">
        <x:v>0</x:v>
      </x:c>
      <x:c r="S1170" s="10" t="n">
        <x:v>0</x:v>
      </x:c>
      <x:c r="T1170" s="10" t="str">
        <x:v>loan calculator,mortgage template,amortization table,digital download,personal finance,budget planner,financial planning,google sheets,loan comparison,mortgage calculator,loan scenarios,loan visualization,user friendly</x:v>
      </x:c>
      <x:c r="U1170" s="10" t="str">
        <x:v>loan calculator</x:v>
      </x:c>
      <x:c r="V1170" s="10" t="str">
        <x:v>mortgage template</x:v>
      </x:c>
      <x:c r="W1170" s="10" t="str">
        <x:v>amortization table</x:v>
      </x:c>
      <x:c r="X1170" s="10" t="str">
        <x:v>digital download</x:v>
      </x:c>
      <x:c r="Y1170" s="10" t="str">
        <x:v>personal finance</x:v>
      </x:c>
      <x:c r="Z1170" s="10" t="str">
        <x:v>budget planner</x:v>
      </x:c>
      <x:c r="AA1170" s="10" t="str">
        <x:v>financial planning</x:v>
      </x:c>
      <x:c r="AB1170" s="10" t="str">
        <x:v>google sheets</x:v>
      </x:c>
      <x:c r="AC1170" s="10" t="str">
        <x:v>loan comparison</x:v>
      </x:c>
      <x:c r="AD1170" s="10" t="str">
        <x:v>mortgage calculator</x:v>
      </x:c>
      <x:c r="AE1170" s="10" t="str">
        <x:v>loan scenarios</x:v>
      </x:c>
      <x:c r="AF1170" s="10" t="str">
        <x:v>loan visualization</x:v>
      </x:c>
      <x:c r="AG1170" s="10" t="str">
        <x:v>user friendly</x:v>
      </x:c>
      <x:c r="AH1170" s="10" t="str">
        <x:v>Mortgage payoff / calculator</x:v>
      </x:c>
      <x:c r="AI1170" s="13" t="n">
        <x:v>6</x:v>
      </x:c>
      <x:c r="AJ1170" s="10" t="str">
        <x:f>IF(F1170&gt;0,"Active","No est. sales")</x:f>
        <x:v>No est. sales</x:v>
      </x:c>
    </x:row>
    <x:row r="1171">
      <x:c r="A1171" s="10" t="str">
        <x:v>Home Buying Planner Printable PDF, House Hunting Organizer, Home Buyer Binder, Real Estate Planner, Moving Planner | Home Buyer Binder</x:v>
      </x:c>
      <x:c r="B1171" s="10" t="str">
        <x:v>https://www.etsy.com/listing/4518372838/home-buying-planner-printable-pdf-house</x:v>
      </x:c>
      <x:c r="C1171" s="10" t="str">
        <x:v>BinYousaf</x:v>
      </x:c>
      <x:c r="D1171" s="10" t="str">
        <x:v>https://www.etsy.com/shop/BinYousaf</x:v>
      </x:c>
      <x:c r="E1171" s="11" t="n">
        <x:v>3.9</x:v>
      </x:c>
      <x:c r="F1171" s="10" t="n">
        <x:v>0</x:v>
      </x:c>
      <x:c r="G1171" s="12" t="n">
        <x:v>0</x:v>
      </x:c>
      <x:c r="H1171" s="13" t="n">
        <x:v>0</x:v>
      </x:c>
      <x:c r="I1171" s="10" t="n">
        <x:v>0</x:v>
      </x:c>
      <x:c r="J1171" s="10" t="n">
        <x:v>0</x:v>
      </x:c>
      <x:c r="K1171" s="10" t="str">
        <x:v>1 Mo.</x:v>
      </x:c>
      <x:c r="L1171" s="10" t="n">
        <x:v>1</x:v>
      </x:c>
      <x:c r="M1171" s="10" t="n">
        <x:v>0</x:v>
      </x:c>
      <x:c r="N1171" s="10" t="n">
        <x:v>45</x:v>
      </x:c>
      <x:c r="O1171" s="10" t="str"/>
      <x:c r="P1171" s="10" t="n">
        <x:v>7</x:v>
      </x:c>
      <x:c r="Q1171" s="10" t="n">
        <x:v>25</x:v>
      </x:c>
      <x:c r="R1171" s="13" t="n">
        <x:v>0</x:v>
      </x:c>
      <x:c r="S1171" s="10" t="n">
        <x:v>177</x:v>
      </x:c>
      <x:c r="T1171" s="10" t="str">
        <x:v>home buying planner,home buyer binder,real estate planner,printable planner,first time buyer,mortgage planner,moving planner,home checklist,house comparison,property tracker,buyer workbook,instant download,house planner</x:v>
      </x:c>
      <x:c r="U1171" s="10" t="str">
        <x:v>home buying planner</x:v>
      </x:c>
      <x:c r="V1171" s="10" t="str">
        <x:v>home buyer binder</x:v>
      </x:c>
      <x:c r="W1171" s="10" t="str">
        <x:v>real estate planner</x:v>
      </x:c>
      <x:c r="X1171" s="10" t="str">
        <x:v>printable planner</x:v>
      </x:c>
      <x:c r="Y1171" s="10" t="str">
        <x:v>first time buyer</x:v>
      </x:c>
      <x:c r="Z1171" s="10" t="str">
        <x:v>mortgage planner</x:v>
      </x:c>
      <x:c r="AA1171" s="10" t="str">
        <x:v>moving planner</x:v>
      </x:c>
      <x:c r="AB1171" s="10" t="str">
        <x:v>home checklist</x:v>
      </x:c>
      <x:c r="AC1171" s="10" t="str">
        <x:v>house comparison</x:v>
      </x:c>
      <x:c r="AD1171" s="10" t="str">
        <x:v>property tracker</x:v>
      </x:c>
      <x:c r="AE1171" s="10" t="str">
        <x:v>buyer workbook</x:v>
      </x:c>
      <x:c r="AF1171" s="10" t="str">
        <x:v>instant download</x:v>
      </x:c>
      <x:c r="AG1171" s="10" t="str">
        <x:v>house planner</x:v>
      </x:c>
      <x:c r="AH1171" s="10" t="str">
        <x:v>Home buying planner</x:v>
      </x:c>
      <x:c r="AI1171" s="13" t="n">
        <x:v>1</x:v>
      </x:c>
      <x:c r="AJ1171" s="10" t="str">
        <x:f>IF(F1171&gt;0,"Active","No est. sales")</x:f>
        <x:v>No est. sales</x:v>
      </x:c>
    </x:row>
    <x:row r="1172">
      <x:c r="A1172" s="10" t="str">
        <x:v>Rental Loan Spreadsheet for Google Sheets and Excel Mortgage Tracking Interest Monitoring and Payment Dashboard</x:v>
      </x:c>
      <x:c r="B1172" s="10" t="str">
        <x:v>https://www.etsy.com/listing/4520213173/rental-loan-spreadsheet-for-google</x:v>
      </x:c>
      <x:c r="C1172" s="10" t="str">
        <x:v>TrackerPro</x:v>
      </x:c>
      <x:c r="D1172" s="10" t="str">
        <x:v>https://www.etsy.com/shop/TrackerPro</x:v>
      </x:c>
      <x:c r="E1172" s="11" t="n">
        <x:v>6.19</x:v>
      </x:c>
      <x:c r="F1172" s="10" t="n">
        <x:v>0</x:v>
      </x:c>
      <x:c r="G1172" s="12" t="n">
        <x:v>0</x:v>
      </x:c>
      <x:c r="H1172" s="13" t="n">
        <x:v>0</x:v>
      </x:c>
      <x:c r="I1172" s="10" t="n">
        <x:v>0</x:v>
      </x:c>
      <x:c r="J1172" s="10" t="n">
        <x:v>0</x:v>
      </x:c>
      <x:c r="K1172" s="10" t="str">
        <x:v>1 Mo.</x:v>
      </x:c>
      <x:c r="L1172" s="10" t="n">
        <x:v>0</x:v>
      </x:c>
      <x:c r="M1172" s="10" t="n">
        <x:v>0</x:v>
      </x:c>
      <x:c r="N1172" s="10" t="n">
        <x:v>2</x:v>
      </x:c>
      <x:c r="O1172" s="10" t="str">
        <x:v>Paper &amp; Party Supplies</x:v>
      </x:c>
      <x:c r="P1172" s="10" t="n">
        <x:v>43</x:v>
      </x:c>
      <x:c r="Q1172" s="10" t="n">
        <x:v>0</x:v>
      </x:c>
      <x:c r="R1172" s="13" t="n">
        <x:v>0</x:v>
      </x:c>
      <x:c r="S1172" s="10" t="n">
        <x:v>18476</x:v>
      </x:c>
      <x:c r="T1172" s="10" t="str">
        <x:v>rental loans,mortgage log,landlord finance,property debt,interest tracker,payment log,real estate tool,loan planner,investor sheet,amortization log,rental dashboard,finance tracker,property planner</x:v>
      </x:c>
      <x:c r="U1172" s="10" t="str">
        <x:v>rental loans</x:v>
      </x:c>
      <x:c r="V1172" s="10" t="str">
        <x:v>mortgage log</x:v>
      </x:c>
      <x:c r="W1172" s="10" t="str">
        <x:v>landlord finance</x:v>
      </x:c>
      <x:c r="X1172" s="10" t="str">
        <x:v>property debt</x:v>
      </x:c>
      <x:c r="Y1172" s="10" t="str">
        <x:v>interest tracker</x:v>
      </x:c>
      <x:c r="Z1172" s="10" t="str">
        <x:v>payment log</x:v>
      </x:c>
      <x:c r="AA1172" s="10" t="str">
        <x:v>real estate tool</x:v>
      </x:c>
      <x:c r="AB1172" s="10" t="str">
        <x:v>loan planner</x:v>
      </x:c>
      <x:c r="AC1172" s="10" t="str">
        <x:v>investor sheet</x:v>
      </x:c>
      <x:c r="AD1172" s="10" t="str">
        <x:v>amortization log</x:v>
      </x:c>
      <x:c r="AE1172" s="10" t="str">
        <x:v>rental dashboard</x:v>
      </x:c>
      <x:c r="AF1172" s="10" t="str">
        <x:v>finance tracker</x:v>
      </x:c>
      <x:c r="AG1172" s="10" t="str">
        <x:v>property planner</x:v>
      </x:c>
      <x:c r="AH1172" s="10" t="str">
        <x:v>Property investment</x:v>
      </x:c>
      <x:c r="AI1172" s="13" t="n">
        <x:v>1</x:v>
      </x:c>
      <x:c r="AJ1172" s="10" t="str">
        <x:f>IF(F1172&gt;0,"Active","No est. sales")</x:f>
        <x:v>No est. sales</x:v>
      </x:c>
    </x:row>
    <x:row r="1173">
      <x:c r="A1173" s="10" t="str">
        <x:v>First-Time Buyer Planner | Scotland Home Buying Guide (Printable PDF)</x:v>
      </x:c>
      <x:c r="B1173" s="10" t="str">
        <x:v>https://www.etsy.com/listing/4544442840/first-time-buyer-planner-scotland-home</x:v>
      </x:c>
      <x:c r="C1173" s="10" t="str">
        <x:v>WildeMargin</x:v>
      </x:c>
      <x:c r="D1173" s="10" t="str">
        <x:v>https://www.etsy.com/shop/WildeMargin</x:v>
      </x:c>
      <x:c r="E1173" s="11" t="n">
        <x:v>13.31</x:v>
      </x:c>
      <x:c r="F1173" s="10" t="n">
        <x:v>0</x:v>
      </x:c>
      <x:c r="G1173" s="12" t="n">
        <x:v>0</x:v>
      </x:c>
      <x:c r="H1173" s="13" t="n">
        <x:v>0</x:v>
      </x:c>
      <x:c r="I1173" s="10" t="n">
        <x:v>0</x:v>
      </x:c>
      <x:c r="J1173" s="10" t="n">
        <x:v>0</x:v>
      </x:c>
      <x:c r="K1173" s="10" t="str">
        <x:v>1 Mo.</x:v>
      </x:c>
      <x:c r="L1173" s="10" t="n">
        <x:v>0</x:v>
      </x:c>
      <x:c r="M1173" s="10" t="n">
        <x:v>0</x:v>
      </x:c>
      <x:c r="N1173" s="10" t="n">
        <x:v>0</x:v>
      </x:c>
      <x:c r="O1173" s="10" t="str"/>
      <x:c r="P1173" s="10" t="n">
        <x:v>0</x:v>
      </x:c>
      <x:c r="Q1173" s="10" t="n">
        <x:v>0</x:v>
      </x:c>
      <x:c r="R1173" s="13" t="n">
        <x:v>0</x:v>
      </x:c>
      <x:c r="S1173" s="10" t="n">
        <x:v>0</x:v>
      </x:c>
      <x:c r="T1173" s="10" t="str">
        <x:v>first time buyer,home buying planner,house buying planner,property checklist,moving house planner,printable planner,fillable pdf,home purchase guide,buying a house uk,mortgage checklist,new home organiser,conveyancing tracker,scottish home buyer</x:v>
      </x:c>
      <x:c r="U1173" s="10" t="str">
        <x:v>first time buyer</x:v>
      </x:c>
      <x:c r="V1173" s="10" t="str">
        <x:v>home buying planner</x:v>
      </x:c>
      <x:c r="W1173" s="10" t="str">
        <x:v>house buying planner</x:v>
      </x:c>
      <x:c r="X1173" s="10" t="str">
        <x:v>property checklist</x:v>
      </x:c>
      <x:c r="Y1173" s="10" t="str">
        <x:v>moving house planner</x:v>
      </x:c>
      <x:c r="Z1173" s="10" t="str">
        <x:v>printable planner</x:v>
      </x:c>
      <x:c r="AA1173" s="10" t="str">
        <x:v>fillable pdf</x:v>
      </x:c>
      <x:c r="AB1173" s="10" t="str">
        <x:v>home purchase guide</x:v>
      </x:c>
      <x:c r="AC1173" s="10" t="str">
        <x:v>buying a house uk</x:v>
      </x:c>
      <x:c r="AD1173" s="10" t="str">
        <x:v>mortgage checklist</x:v>
      </x:c>
      <x:c r="AE1173" s="10" t="str">
        <x:v>new home organiser</x:v>
      </x:c>
      <x:c r="AF1173" s="10" t="str">
        <x:v>conveyancing tracker</x:v>
      </x:c>
      <x:c r="AG1173" s="10" t="str">
        <x:v>scottish home buyer</x:v>
      </x:c>
      <x:c r="AH1173" s="10" t="str">
        <x:v>Home buying planner</x:v>
      </x:c>
      <x:c r="AI1173" s="13" t="n">
        <x:v>1</x:v>
      </x:c>
      <x:c r="AJ1173" s="10" t="str">
        <x:f>IF(F1173&gt;0,"Active","No est. sales")</x:f>
        <x:v>No est. sales</x:v>
      </x:c>
    </x:row>
    <x:row r="1174">
      <x:c r="A1174" s="10" t="str">
        <x:v>Debt Payoff Calculator: Google Sheets Financial Planner (Digital Download)</x:v>
      </x:c>
      <x:c r="B1174" s="10" t="str">
        <x:v>https://www.etsy.com/listing/1886675779/debt-payoff-calculator-google-sheets</x:v>
      </x:c>
      <x:c r="C1174" s="10" t="str">
        <x:v>theabundantstudio</x:v>
      </x:c>
      <x:c r="D1174" s="10" t="str">
        <x:v>https://www.etsy.com/shop/theabundantstudio</x:v>
      </x:c>
      <x:c r="E1174" s="11" t="n">
        <x:v>5.62</x:v>
      </x:c>
      <x:c r="F1174" s="10" t="n">
        <x:v>0</x:v>
      </x:c>
      <x:c r="G1174" s="12" t="n">
        <x:v>0</x:v>
      </x:c>
      <x:c r="H1174" s="13" t="n">
        <x:v>0</x:v>
      </x:c>
      <x:c r="I1174" s="10" t="n">
        <x:v>0</x:v>
      </x:c>
      <x:c r="J1174" s="10" t="n">
        <x:v>0</x:v>
      </x:c>
      <x:c r="K1174" s="10" t="str">
        <x:v>16 Mo.</x:v>
      </x:c>
      <x:c r="L1174" s="10" t="n">
        <x:v>1</x:v>
      </x:c>
      <x:c r="M1174" s="10" t="n">
        <x:v>0</x:v>
      </x:c>
      <x:c r="N1174" s="10" t="n">
        <x:v>28</x:v>
      </x:c>
      <x:c r="O1174" s="10" t="str">
        <x:v>Paper &amp; Party Supplies</x:v>
      </x:c>
      <x:c r="P1174" s="10" t="n">
        <x:v>19</x:v>
      </x:c>
      <x:c r="Q1174" s="10" t="n">
        <x:v>0</x:v>
      </x:c>
      <x:c r="R1174" s="13" t="n">
        <x:v>0</x:v>
      </x:c>
      <x:c r="S1174" s="10" t="n">
        <x:v>238</x:v>
      </x:c>
      <x:c r="T1174" s="10" t="str">
        <x:v>debt payment tracker,debt snowball,debt avalanche,debt payoff planner,debt calculator,debt google sheets,debt spreadsheet,credit card payoff,student loan tracker,mortgage payoff,loan payoff tracker,credit utilization,dark mode template</x:v>
      </x:c>
      <x:c r="U1174" s="10" t="str">
        <x:v>debt payment tracker</x:v>
      </x:c>
      <x:c r="V1174" s="10" t="str">
        <x:v>debt snowball</x:v>
      </x:c>
      <x:c r="W1174" s="10" t="str">
        <x:v>debt avalanche</x:v>
      </x:c>
      <x:c r="X1174" s="10" t="str">
        <x:v>debt payoff planner</x:v>
      </x:c>
      <x:c r="Y1174" s="10" t="str">
        <x:v>debt calculator</x:v>
      </x:c>
      <x:c r="Z1174" s="10" t="str">
        <x:v>debt google sheets</x:v>
      </x:c>
      <x:c r="AA1174" s="10" t="str">
        <x:v>debt spreadsheet</x:v>
      </x:c>
      <x:c r="AB1174" s="10" t="str">
        <x:v>credit card payoff</x:v>
      </x:c>
      <x:c r="AC1174" s="10" t="str">
        <x:v>student loan tracker</x:v>
      </x:c>
      <x:c r="AD1174" s="10" t="str">
        <x:v>mortgage payoff</x:v>
      </x:c>
      <x:c r="AE1174" s="10" t="str">
        <x:v>loan payoff tracker</x:v>
      </x:c>
      <x:c r="AF1174" s="10" t="str">
        <x:v>credit utilization</x:v>
      </x:c>
      <x:c r="AG1174" s="10" t="str">
        <x:v>dark mode template</x:v>
      </x:c>
      <x:c r="AH1174" s="10" t="str">
        <x:v>General debt payoff</x:v>
      </x:c>
      <x:c r="AI1174" s="13" t="n">
        <x:v>16</x:v>
      </x:c>
      <x:c r="AJ1174" s="10" t="str">
        <x:f>IF(F1174&gt;0,"Active","No est. sales")</x:f>
        <x:v>No est. sales</x:v>
      </x:c>
    </x:row>
    <x:row r="1175">
      <x:c r="A1175" s="10" t="str">
        <x:v>Debt Payoff Tracker | Snowball &amp; Avalanche, Google Sheets (Payment Planner)</x:v>
      </x:c>
      <x:c r="B1175" s="10" t="str">
        <x:v>https://www.etsy.com/listing/1572532715/smart-debt-payoff-tracker-snowball</x:v>
      </x:c>
      <x:c r="C1175" s="10" t="str">
        <x:v>ThemeAndMethod</x:v>
      </x:c>
      <x:c r="D1175" s="10" t="str">
        <x:v>https://www.etsy.com/shop/ThemeAndMethod</x:v>
      </x:c>
      <x:c r="E1175" s="11" t="n">
        <x:v>16.18</x:v>
      </x:c>
      <x:c r="F1175" s="10" t="n">
        <x:v>0</x:v>
      </x:c>
      <x:c r="G1175" s="12" t="n">
        <x:v>0</x:v>
      </x:c>
      <x:c r="H1175" s="13" t="n">
        <x:v>0</x:v>
      </x:c>
      <x:c r="I1175" s="10" t="n">
        <x:v>18</x:v>
      </x:c>
      <x:c r="J1175" s="10" t="n">
        <x:v>2</x:v>
      </x:c>
      <x:c r="K1175" s="10" t="str">
        <x:v>34 Mo.</x:v>
      </x:c>
      <x:c r="L1175" s="10" t="n">
        <x:v>18</x:v>
      </x:c>
      <x:c r="M1175" s="10" t="n">
        <x:v>0</x:v>
      </x:c>
      <x:c r="N1175" s="10" t="n">
        <x:v>408</x:v>
      </x:c>
      <x:c r="O1175" s="10" t="str"/>
      <x:c r="P1175" s="10" t="n">
        <x:v>35</x:v>
      </x:c>
      <x:c r="Q1175" s="10" t="n">
        <x:v>0</x:v>
      </x:c>
      <x:c r="R1175" s="13" t="n">
        <x:v>4.41</x:v>
      </x:c>
      <x:c r="S1175" s="10" t="n">
        <x:v>1222</x:v>
      </x:c>
      <x:c r="T1175" s="10" t="str">
        <x:v>debt free planner,mortgage calculator,student loan tracker,credit card payoff,loan repayment help,debt payoff planner,financial freedom,budget spreadsheet,fi independence,avalanche planner,debt free aesthetic,debt snowball payoff,google sheets</x:v>
      </x:c>
      <x:c r="U1175" s="10" t="str">
        <x:v>debt free planner</x:v>
      </x:c>
      <x:c r="V1175" s="10" t="str">
        <x:v>mortgage calculator</x:v>
      </x:c>
      <x:c r="W1175" s="10" t="str">
        <x:v>student loan tracker</x:v>
      </x:c>
      <x:c r="X1175" s="10" t="str">
        <x:v>credit card payoff</x:v>
      </x:c>
      <x:c r="Y1175" s="10" t="str">
        <x:v>loan repayment help</x:v>
      </x:c>
      <x:c r="Z1175" s="10" t="str">
        <x:v>debt payoff planner</x:v>
      </x:c>
      <x:c r="AA1175" s="10" t="str">
        <x:v>financial freedom</x:v>
      </x:c>
      <x:c r="AB1175" s="10" t="str">
        <x:v>budget spreadsheet</x:v>
      </x:c>
      <x:c r="AC1175" s="10" t="str">
        <x:v>fi independence</x:v>
      </x:c>
      <x:c r="AD1175" s="10" t="str">
        <x:v>avalanche planner</x:v>
      </x:c>
      <x:c r="AE1175" s="10" t="str">
        <x:v>debt free aesthetic</x:v>
      </x:c>
      <x:c r="AF1175" s="10" t="str">
        <x:v>debt snowball payoff</x:v>
      </x:c>
      <x:c r="AG1175" s="10" t="str">
        <x:v>google sheets</x:v>
      </x:c>
      <x:c r="AH1175" s="10" t="str">
        <x:v>General debt payoff</x:v>
      </x:c>
      <x:c r="AI1175" s="13" t="n">
        <x:v>34</x:v>
      </x:c>
      <x:c r="AJ1175" s="10" t="str">
        <x:f>IF(F1175&gt;0,"Active","No est. sales")</x:f>
        <x:v>No est. sales</x:v>
      </x:c>
    </x:row>
    <x:row r="1176">
      <x:c r="A1176" s="10" t="str">
        <x:v>Debt Payoff Tracker Debt Snowball Spreadsheet Google Sheets Credit Card Loan Repayment Avalanche tracker Financial Planner Monthly Budget</x:v>
      </x:c>
      <x:c r="B1176" s="10" t="str">
        <x:v>https://www.etsy.com/listing/4514929097/debt-payoff-tracker-debt-snowball</x:v>
      </x:c>
      <x:c r="C1176" s="10" t="str">
        <x:v>EZSpreadsheets4Life</x:v>
      </x:c>
      <x:c r="D1176" s="10" t="str">
        <x:v>https://www.etsy.com/shop/EZSpreadsheets4Life</x:v>
      </x:c>
      <x:c r="E1176" s="11" t="n">
        <x:v>5.75</x:v>
      </x:c>
      <x:c r="F1176" s="10" t="n">
        <x:v>0</x:v>
      </x:c>
      <x:c r="G1176" s="12" t="n">
        <x:v>0</x:v>
      </x:c>
      <x:c r="H1176" s="13" t="n">
        <x:v>0</x:v>
      </x:c>
      <x:c r="I1176" s="10" t="n">
        <x:v>0</x:v>
      </x:c>
      <x:c r="J1176" s="10" t="n">
        <x:v>0</x:v>
      </x:c>
      <x:c r="K1176" s="10" t="str">
        <x:v>1 Mo.</x:v>
      </x:c>
      <x:c r="L1176" s="10" t="n">
        <x:v>2</x:v>
      </x:c>
      <x:c r="M1176" s="10" t="n">
        <x:v>0</x:v>
      </x:c>
      <x:c r="N1176" s="10" t="n">
        <x:v>85</x:v>
      </x:c>
      <x:c r="O1176" s="10" t="str"/>
      <x:c r="P1176" s="10" t="n">
        <x:v>33</x:v>
      </x:c>
      <x:c r="Q1176" s="10" t="n">
        <x:v>33</x:v>
      </x:c>
      <x:c r="R1176" s="13" t="n">
        <x:v>0</x:v>
      </x:c>
      <x:c r="S1176" s="10" t="n">
        <x:v>4205</x:v>
      </x:c>
      <x:c r="T1176" s="10" t="str">
        <x:v>debt avalanche,personal finance,debt tracker,debt payoff chart,debt free planner,debt calculator,debt payment tracker,debt spreadsheet,credit card payoff,loan repayment,student loan debt,mortgage payoff,credit utilization</x:v>
      </x:c>
      <x:c r="U1176" s="10" t="str">
        <x:v>debt avalanche</x:v>
      </x:c>
      <x:c r="V1176" s="10" t="str">
        <x:v>personal finance</x:v>
      </x:c>
      <x:c r="W1176" s="10" t="str">
        <x:v>debt tracker</x:v>
      </x:c>
      <x:c r="X1176" s="10" t="str">
        <x:v>debt payoff chart</x:v>
      </x:c>
      <x:c r="Y1176" s="10" t="str">
        <x:v>debt free planner</x:v>
      </x:c>
      <x:c r="Z1176" s="10" t="str">
        <x:v>debt calculator</x:v>
      </x:c>
      <x:c r="AA1176" s="10" t="str">
        <x:v>debt payment tracker</x:v>
      </x:c>
      <x:c r="AB1176" s="10" t="str">
        <x:v>debt spreadsheet</x:v>
      </x:c>
      <x:c r="AC1176" s="10" t="str">
        <x:v>credit card payoff</x:v>
      </x:c>
      <x:c r="AD1176" s="10" t="str">
        <x:v>loan repayment</x:v>
      </x:c>
      <x:c r="AE1176" s="10" t="str">
        <x:v>student loan debt</x:v>
      </x:c>
      <x:c r="AF1176" s="10" t="str">
        <x:v>mortgage payoff</x:v>
      </x:c>
      <x:c r="AG1176" s="10" t="str">
        <x:v>credit utilization</x:v>
      </x:c>
      <x:c r="AH1176" s="10" t="str">
        <x:v>General debt payoff</x:v>
      </x:c>
      <x:c r="AI1176" s="13" t="n">
        <x:v>1</x:v>
      </x:c>
      <x:c r="AJ1176" s="10" t="str">
        <x:f>IF(F1176&gt;0,"Active","No est. sales")</x:f>
        <x:v>No est. sales</x:v>
      </x:c>
    </x:row>
    <x:row r="1177">
      <x:c r="A1177" s="10" t="str">
        <x:v>Mortgage Due Planner Stickers, Bill Tracker Checklist</x:v>
      </x:c>
      <x:c r="B1177" s="10" t="str">
        <x:v>https://www.etsy.com/listing/1760040299/mortgage-due-planner-stickers-bill</x:v>
      </x:c>
      <x:c r="C1177" s="10" t="str">
        <x:v>PlushPlanning</x:v>
      </x:c>
      <x:c r="D1177" s="10" t="str">
        <x:v>https://www.etsy.com/shop/PlushPlanning</x:v>
      </x:c>
      <x:c r="E1177" s="11" t="n">
        <x:v>7.99</x:v>
      </x:c>
      <x:c r="F1177" s="10" t="n">
        <x:v>0</x:v>
      </x:c>
      <x:c r="G1177" s="12" t="n">
        <x:v>0</x:v>
      </x:c>
      <x:c r="H1177" s="13" t="n">
        <x:v>0</x:v>
      </x:c>
      <x:c r="I1177" s="10" t="n">
        <x:v>0</x:v>
      </x:c>
      <x:c r="J1177" s="10" t="n">
        <x:v>0</x:v>
      </x:c>
      <x:c r="K1177" s="10" t="str">
        <x:v>24 Mo.</x:v>
      </x:c>
      <x:c r="L1177" s="10" t="n">
        <x:v>13</x:v>
      </x:c>
      <x:c r="M1177" s="10" t="n">
        <x:v>0</x:v>
      </x:c>
      <x:c r="N1177" s="10" t="n">
        <x:v>104</x:v>
      </x:c>
      <x:c r="O1177" s="10" t="str">
        <x:v>Paper &amp; Party Supplies</x:v>
      </x:c>
      <x:c r="P1177" s="10" t="n">
        <x:v>78</x:v>
      </x:c>
      <x:c r="Q1177" s="10" t="n">
        <x:v>0</x:v>
      </x:c>
      <x:c r="R1177" s="13" t="n">
        <x:v>0</x:v>
      </x:c>
      <x:c r="S1177" s="10" t="n">
        <x:v>50202</x:v>
      </x:c>
      <x:c r="T1177" s="10" t="str">
        <x:v>mortgage,mortgage sticker,mortgage stickers,mortgage due,mortgage tracker,mortgage trackers,planner sticker,planner stickers,erin condren,happyplanner,mortgage bill,bill due,bill due tracker</x:v>
      </x:c>
      <x:c r="U1177" s="10" t="str">
        <x:v>mortgage</x:v>
      </x:c>
      <x:c r="V1177" s="10" t="str">
        <x:v>mortgage sticker</x:v>
      </x:c>
      <x:c r="W1177" s="10" t="str">
        <x:v>mortgage stickers</x:v>
      </x:c>
      <x:c r="X1177" s="10" t="str">
        <x:v>mortgage due</x:v>
      </x:c>
      <x:c r="Y1177" s="10" t="str">
        <x:v>mortgage tracker</x:v>
      </x:c>
      <x:c r="Z1177" s="10" t="str">
        <x:v>mortgage trackers</x:v>
      </x:c>
      <x:c r="AA1177" s="10" t="str">
        <x:v>planner sticker</x:v>
      </x:c>
      <x:c r="AB1177" s="10" t="str">
        <x:v>planner stickers</x:v>
      </x:c>
      <x:c r="AC1177" s="10" t="str">
        <x:v>erin condren</x:v>
      </x:c>
      <x:c r="AD1177" s="10" t="str">
        <x:v>happyplanner</x:v>
      </x:c>
      <x:c r="AE1177" s="10" t="str">
        <x:v>mortgage bill</x:v>
      </x:c>
      <x:c r="AF1177" s="10" t="str">
        <x:v>bill due</x:v>
      </x:c>
      <x:c r="AG1177" s="10" t="str">
        <x:v>bill due tracker</x:v>
      </x:c>
      <x:c r="AH1177" s="10" t="str">
        <x:v>Other mortgage-related</x:v>
      </x:c>
      <x:c r="AI1177" s="13" t="n">
        <x:v>24</x:v>
      </x:c>
      <x:c r="AJ1177" s="10" t="str">
        <x:f>IF(F1177&gt;0,"Active","No est. sales")</x:f>
        <x:v>No est. sales</x:v>
      </x:c>
    </x:row>
    <x:row r="1178">
      <x:c r="A1178" s="10" t="str">
        <x:v>Canadian Mortgage Renewal Kit</x:v>
      </x:c>
      <x:c r="B1178" s="10" t="str">
        <x:v>https://www.etsy.com/listing/4539562764/canadian-mortgage-renewal-kit</x:v>
      </x:c>
      <x:c r="C1178" s="10" t="str">
        <x:v>HelpfulSheetsHQ</x:v>
      </x:c>
      <x:c r="D1178" s="10" t="str">
        <x:v>https://www.etsy.com/shop/HelpfulSheetsHQ</x:v>
      </x:c>
      <x:c r="E1178" s="11" t="n">
        <x:v>7.09</x:v>
      </x:c>
      <x:c r="F1178" s="10" t="n">
        <x:v>0</x:v>
      </x:c>
      <x:c r="G1178" s="12" t="n">
        <x:v>0</x:v>
      </x:c>
      <x:c r="H1178" s="13" t="n">
        <x:v>0</x:v>
      </x:c>
      <x:c r="I1178" s="10" t="n">
        <x:v>0</x:v>
      </x:c>
      <x:c r="J1178" s="10" t="n">
        <x:v>0</x:v>
      </x:c>
      <x:c r="K1178" s="10" t="str">
        <x:v>1 Mo.</x:v>
      </x:c>
      <x:c r="L1178" s="10" t="n">
        <x:v>0</x:v>
      </x:c>
      <x:c r="M1178" s="10" t="n">
        <x:v>0</x:v>
      </x:c>
      <x:c r="N1178" s="10" t="n">
        <x:v>1</x:v>
      </x:c>
      <x:c r="O1178" s="10" t="str"/>
      <x:c r="P1178" s="10" t="n">
        <x:v>4</x:v>
      </x:c>
      <x:c r="Q1178" s="10" t="n">
        <x:v>0</x:v>
      </x:c>
      <x:c r="R1178" s="13" t="n">
        <x:v>0</x:v>
      </x:c>
      <x:c r="S1178" s="10" t="n">
        <x:v>23</x:v>
      </x:c>
      <x:c r="T1178" s="10" t="str">
        <x:v>mortgage renewal,renewal calculator,mortgage canada,compare lenders,renewal offer,canadian mortgage,offer comparison,mortgage spreadsheet,google sheets,renewal 2026,home loan canada,mortgage planner,renewal tool</x:v>
      </x:c>
      <x:c r="U1178" s="10" t="str">
        <x:v>mortgage renewal</x:v>
      </x:c>
      <x:c r="V1178" s="10" t="str">
        <x:v>renewal calculator</x:v>
      </x:c>
      <x:c r="W1178" s="10" t="str">
        <x:v>mortgage canada</x:v>
      </x:c>
      <x:c r="X1178" s="10" t="str">
        <x:v>compare lenders</x:v>
      </x:c>
      <x:c r="Y1178" s="10" t="str">
        <x:v>renewal offer</x:v>
      </x:c>
      <x:c r="Z1178" s="10" t="str">
        <x:v>canadian mortgage</x:v>
      </x:c>
      <x:c r="AA1178" s="10" t="str">
        <x:v>offer comparison</x:v>
      </x:c>
      <x:c r="AB1178" s="10" t="str">
        <x:v>mortgage spreadsheet</x:v>
      </x:c>
      <x:c r="AC1178" s="10" t="str">
        <x:v>google sheets</x:v>
      </x:c>
      <x:c r="AD1178" s="10" t="str">
        <x:v>renewal 2026</x:v>
      </x:c>
      <x:c r="AE1178" s="10" t="str">
        <x:v>home loan canada</x:v>
      </x:c>
      <x:c r="AF1178" s="10" t="str">
        <x:v>mortgage planner</x:v>
      </x:c>
      <x:c r="AG1178" s="10" t="str">
        <x:v>renewal tool</x:v>
      </x:c>
      <x:c r="AH1178" s="10" t="str">
        <x:v>Other mortgage-related</x:v>
      </x:c>
      <x:c r="AI1178" s="13" t="n">
        <x:v>1</x:v>
      </x:c>
      <x:c r="AJ1178" s="10" t="str">
        <x:f>IF(F1178&gt;0,"Active","No est. sales")</x:f>
        <x:v>No est. sales</x:v>
      </x:c>
    </x:row>
    <x:row r="1179">
      <x:c r="A1179" s="10" t="str">
        <x:v>MRR Debt Tracker, Debt Repayment Spreadsheet, Debt Snowball, Debt Avalanche Spreadsheet, Debt Free Planner, Master Resell Rights</x:v>
      </x:c>
      <x:c r="B1179" s="10" t="str">
        <x:v>https://www.etsy.com/listing/1762993826/mrr-debt-tracker-debt-repayment</x:v>
      </x:c>
      <x:c r="C1179" s="10" t="str">
        <x:v>Digijara</x:v>
      </x:c>
      <x:c r="D1179" s="10" t="str">
        <x:v>https://www.etsy.com/shop/Digijara</x:v>
      </x:c>
      <x:c r="E1179" s="11" t="n">
        <x:v>8.76</x:v>
      </x:c>
      <x:c r="F1179" s="10" t="n">
        <x:v>0</x:v>
      </x:c>
      <x:c r="G1179" s="12" t="n">
        <x:v>0</x:v>
      </x:c>
      <x:c r="H1179" s="13" t="n">
        <x:v>0</x:v>
      </x:c>
      <x:c r="I1179" s="10" t="n">
        <x:v>0</x:v>
      </x:c>
      <x:c r="J1179" s="10" t="n">
        <x:v>0</x:v>
      </x:c>
      <x:c r="K1179" s="10" t="str">
        <x:v>23 Mo.</x:v>
      </x:c>
      <x:c r="L1179" s="10" t="n">
        <x:v>2</x:v>
      </x:c>
      <x:c r="M1179" s="10" t="n">
        <x:v>0</x:v>
      </x:c>
      <x:c r="N1179" s="10" t="n">
        <x:v>31</x:v>
      </x:c>
      <x:c r="O1179" s="10" t="str">
        <x:v>Books, Movies &amp; Music</x:v>
      </x:c>
      <x:c r="P1179" s="10" t="n">
        <x:v>27</x:v>
      </x:c>
      <x:c r="Q1179" s="10" t="n">
        <x:v>0</x:v>
      </x:c>
      <x:c r="R1179" s="13" t="n">
        <x:v>0</x:v>
      </x:c>
      <x:c r="S1179" s="10" t="n">
        <x:v>1685</x:v>
      </x:c>
      <x:c r="T1179" s="10" t="str">
        <x:v>financial printable,debt snowball,debt avalanche,debt spreadsheet,debt payment tracker,mortgage payoff,debt tracker,budget spreadsheet,debt payoff tracker,plr digital planner,easy budget,budget template,done for you content</x:v>
      </x:c>
      <x:c r="U1179" s="10" t="str">
        <x:v>financial printable</x:v>
      </x:c>
      <x:c r="V1179" s="10" t="str">
        <x:v>debt snowball</x:v>
      </x:c>
      <x:c r="W1179" s="10" t="str">
        <x:v>debt avalanche</x:v>
      </x:c>
      <x:c r="X1179" s="10" t="str">
        <x:v>debt spreadsheet</x:v>
      </x:c>
      <x:c r="Y1179" s="10" t="str">
        <x:v>debt payment tracker</x:v>
      </x:c>
      <x:c r="Z1179" s="10" t="str">
        <x:v>mortgage payoff</x:v>
      </x:c>
      <x:c r="AA1179" s="10" t="str">
        <x:v>debt tracker</x:v>
      </x:c>
      <x:c r="AB1179" s="10" t="str">
        <x:v>budget spreadsheet</x:v>
      </x:c>
      <x:c r="AC1179" s="10" t="str">
        <x:v>debt payoff tracker</x:v>
      </x:c>
      <x:c r="AD1179" s="10" t="str">
        <x:v>plr digital planner</x:v>
      </x:c>
      <x:c r="AE1179" s="10" t="str">
        <x:v>easy budget</x:v>
      </x:c>
      <x:c r="AF1179" s="10" t="str">
        <x:v>budget template</x:v>
      </x:c>
      <x:c r="AG1179" s="10" t="str">
        <x:v>done for you content</x:v>
      </x:c>
      <x:c r="AH1179" s="10" t="str">
        <x:v>General debt payoff</x:v>
      </x:c>
      <x:c r="AI1179" s="13" t="n">
        <x:v>23</x:v>
      </x:c>
      <x:c r="AJ1179" s="10" t="str">
        <x:f>IF(F1179&gt;0,"Active","No est. sales")</x:f>
        <x:v>No est. sales</x:v>
      </x:c>
    </x:row>
    <x:row r="1180">
      <x:c r="A1180" s="10" t="str">
        <x:v>120+ Excel Calculator Mega Bundle | Personal Finance, Business, Debt Snowball, Mortgage, Loan Payoff, Real Estate ROI, Payroll، HR Templates</x:v>
      </x:c>
      <x:c r="B1180" s="10" t="str">
        <x:v>https://www.etsy.com/listing/4451542295/120-excel-calculator-mega-bundle-o</x:v>
      </x:c>
      <x:c r="C1180" s="10" t="str">
        <x:v>Officetemplatesdoor</x:v>
      </x:c>
      <x:c r="D1180" s="10" t="str">
        <x:v>https://www.etsy.com/shop/Officetemplatesdoor</x:v>
      </x:c>
      <x:c r="E1180" s="11" t="n">
        <x:v>5.5</x:v>
      </x:c>
      <x:c r="F1180" s="10" t="n">
        <x:v>0</x:v>
      </x:c>
      <x:c r="G1180" s="12" t="n">
        <x:v>0</x:v>
      </x:c>
      <x:c r="H1180" s="13" t="n">
        <x:v>0</x:v>
      </x:c>
      <x:c r="I1180" s="10" t="n">
        <x:v>0</x:v>
      </x:c>
      <x:c r="J1180" s="10" t="n">
        <x:v>0</x:v>
      </x:c>
      <x:c r="K1180" s="10" t="str">
        <x:v>5 Mo.</x:v>
      </x:c>
      <x:c r="L1180" s="10" t="n">
        <x:v>0</x:v>
      </x:c>
      <x:c r="M1180" s="10" t="n">
        <x:v>0</x:v>
      </x:c>
      <x:c r="N1180" s="10" t="n">
        <x:v>14</x:v>
      </x:c>
      <x:c r="O1180" s="10" t="str">
        <x:v>Paper &amp; Party Supplies</x:v>
      </x:c>
      <x:c r="P1180" s="10" t="n">
        <x:v>6</x:v>
      </x:c>
      <x:c r="Q1180" s="10" t="n">
        <x:v>0</x:v>
      </x:c>
      <x:c r="R1180" s="13" t="n">
        <x:v>0</x:v>
      </x:c>
      <x:c r="S1180" s="10" t="n">
        <x:v>105</x:v>
      </x:c>
      <x:c r="T1180" s="10" t="str">
        <x:v>excel templates,excel,excel calculator,calculator,finance calculator,budget planner excel,debt snowball excel,mortgage calculator,loan payoff tracker,real estate roi,business calculator,payroll excel,hr templates</x:v>
      </x:c>
      <x:c r="U1180" s="10" t="str">
        <x:v>excel templates</x:v>
      </x:c>
      <x:c r="V1180" s="10" t="str">
        <x:v>excel</x:v>
      </x:c>
      <x:c r="W1180" s="10" t="str">
        <x:v>excel calculator</x:v>
      </x:c>
      <x:c r="X1180" s="10" t="str">
        <x:v>calculator</x:v>
      </x:c>
      <x:c r="Y1180" s="10" t="str">
        <x:v>finance calculator</x:v>
      </x:c>
      <x:c r="Z1180" s="10" t="str">
        <x:v>budget planner excel</x:v>
      </x:c>
      <x:c r="AA1180" s="10" t="str">
        <x:v>debt snowball excel</x:v>
      </x:c>
      <x:c r="AB1180" s="10" t="str">
        <x:v>mortgage calculator</x:v>
      </x:c>
      <x:c r="AC1180" s="10" t="str">
        <x:v>loan payoff tracker</x:v>
      </x:c>
      <x:c r="AD1180" s="10" t="str">
        <x:v>real estate roi</x:v>
      </x:c>
      <x:c r="AE1180" s="10" t="str">
        <x:v>business calculator</x:v>
      </x:c>
      <x:c r="AF1180" s="10" t="str">
        <x:v>payroll excel</x:v>
      </x:c>
      <x:c r="AG1180" s="10" t="str">
        <x:v>hr templates</x:v>
      </x:c>
      <x:c r="AH1180" s="10" t="str">
        <x:v>General debt payoff</x:v>
      </x:c>
      <x:c r="AI1180" s="13" t="n">
        <x:v>5</x:v>
      </x:c>
      <x:c r="AJ1180" s="10" t="str">
        <x:f>IF(F1180&gt;0,"Active","No est. sales")</x:f>
        <x:v>No est. sales</x:v>
      </x:c>
    </x:row>
    <x:row r="1181">
      <x:c r="A1181" s="10" t="str">
        <x:v>Rent Due, Mortgage Due, Bill Due Planner Stickers, Bill Due Labels</x:v>
      </x:c>
      <x:c r="B1181" s="10" t="str">
        <x:v>https://www.etsy.com/listing/1175758094/rent-due-mortgage-due-bill-due-planner</x:v>
      </x:c>
      <x:c r="C1181" s="10" t="str">
        <x:v>OrganizingChaosCo</x:v>
      </x:c>
      <x:c r="D1181" s="10" t="str">
        <x:v>https://www.etsy.com/shop/OrganizingChaosCo</x:v>
      </x:c>
      <x:c r="E1181" s="11" t="n">
        <x:v>4.5</x:v>
      </x:c>
      <x:c r="F1181" s="10" t="n">
        <x:v>0</x:v>
      </x:c>
      <x:c r="G1181" s="12" t="n">
        <x:v>0</x:v>
      </x:c>
      <x:c r="H1181" s="13" t="n">
        <x:v>0</x:v>
      </x:c>
      <x:c r="I1181" s="10" t="n">
        <x:v>45</x:v>
      </x:c>
      <x:c r="J1181" s="10" t="n">
        <x:v>10</x:v>
      </x:c>
      <x:c r="K1181" s="10" t="str">
        <x:v>52 Mo.</x:v>
      </x:c>
      <x:c r="L1181" s="10" t="n">
        <x:v>54</x:v>
      </x:c>
      <x:c r="M1181" s="10" t="n">
        <x:v>0</x:v>
      </x:c>
      <x:c r="N1181" s="10" t="n">
        <x:v>505</x:v>
      </x:c>
      <x:c r="O1181" s="10" t="str">
        <x:v>Paper &amp; Party Supplies</x:v>
      </x:c>
      <x:c r="P1181" s="10" t="n">
        <x:v>71</x:v>
      </x:c>
      <x:c r="Q1181" s="10" t="n">
        <x:v>0</x:v>
      </x:c>
      <x:c r="R1181" s="13" t="n">
        <x:v>8.91</x:v>
      </x:c>
      <x:c r="S1181" s="10" t="n">
        <x:v>40378</x:v>
      </x:c>
      <x:c r="T1181" s="10" t="str">
        <x:v>life planner,happy planner,planner stickers,functional planner,recollections,planners,agenda,calendar,erin condren planner,functional stickers,budgeting</x:v>
      </x:c>
      <x:c r="U1181" s="10" t="str">
        <x:v>life planner</x:v>
      </x:c>
      <x:c r="V1181" s="10" t="str">
        <x:v>happy planner</x:v>
      </x:c>
      <x:c r="W1181" s="10" t="str">
        <x:v>planner stickers</x:v>
      </x:c>
      <x:c r="X1181" s="10" t="str">
        <x:v>functional planner</x:v>
      </x:c>
      <x:c r="Y1181" s="10" t="str">
        <x:v>recollections</x:v>
      </x:c>
      <x:c r="Z1181" s="10" t="str">
        <x:v>planners</x:v>
      </x:c>
      <x:c r="AA1181" s="10" t="str">
        <x:v>agenda</x:v>
      </x:c>
      <x:c r="AB1181" s="10" t="str">
        <x:v>calendar</x:v>
      </x:c>
      <x:c r="AC1181" s="10" t="str">
        <x:v>erin condren planner</x:v>
      </x:c>
      <x:c r="AD1181" s="10" t="str">
        <x:v>functional stickers</x:v>
      </x:c>
      <x:c r="AE1181" s="10" t="str">
        <x:v>budgeting</x:v>
      </x:c>
      <x:c r="AF1181" s="10" t="str">
        <x:v>--</x:v>
      </x:c>
      <x:c r="AG1181" s="10" t="str">
        <x:v>--</x:v>
      </x:c>
      <x:c r="AH1181" s="10" t="str">
        <x:v>Other mortgage-related</x:v>
      </x:c>
      <x:c r="AI1181" s="13" t="n">
        <x:v>52</x:v>
      </x:c>
      <x:c r="AJ1181" s="10" t="str">
        <x:f>IF(F1181&gt;0,"Active","No est. sales")</x:f>
        <x:v>No est. sales</x:v>
      </x:c>
    </x:row>
    <x:row r="1182">
      <x:c r="A1182" s="10" t="str">
        <x:v>Mortgage Due Bold Text Bill Self-Inking Rubber Stamp for Stamping Crafting Planners</x:v>
      </x:c>
      <x:c r="B1182" s="10" t="str">
        <x:v>https://www.etsy.com/listing/4364159374/mortgage-due-bold-text-bill-self-inking</x:v>
      </x:c>
      <x:c r="C1182" s="10" t="str">
        <x:v>SniggleSlothCrafts</x:v>
      </x:c>
      <x:c r="D1182" s="10" t="str">
        <x:v>https://www.etsy.com/shop/SniggleSlothCrafts</x:v>
      </x:c>
      <x:c r="E1182" s="11" t="n">
        <x:v>12.99</x:v>
      </x:c>
      <x:c r="F1182" s="10" t="n">
        <x:v>0</x:v>
      </x:c>
      <x:c r="G1182" s="12" t="n">
        <x:v>0</x:v>
      </x:c>
      <x:c r="H1182" s="13" t="n">
        <x:v>0</x:v>
      </x:c>
      <x:c r="I1182" s="10" t="n">
        <x:v>0</x:v>
      </x:c>
      <x:c r="J1182" s="10" t="n">
        <x:v>0</x:v>
      </x:c>
      <x:c r="K1182" s="10" t="str">
        <x:v>10 Mo.</x:v>
      </x:c>
      <x:c r="L1182" s="10" t="n">
        <x:v>1</x:v>
      </x:c>
      <x:c r="M1182" s="10" t="n">
        <x:v>0</x:v>
      </x:c>
      <x:c r="N1182" s="10" t="n">
        <x:v>1</x:v>
      </x:c>
      <x:c r="O1182" s="10" t="str">
        <x:v>Craft Supplies &amp; Tools</x:v>
      </x:c>
      <x:c r="P1182" s="10" t="n">
        <x:v>22</x:v>
      </x:c>
      <x:c r="Q1182" s="10" t="n">
        <x:v>0</x:v>
      </x:c>
      <x:c r="R1182" s="13" t="n">
        <x:v>0</x:v>
      </x:c>
      <x:c r="S1182" s="10" t="n">
        <x:v>20627</x:v>
      </x:c>
      <x:c r="T1182" s="10" t="str">
        <x:v>card making,crafting,decorative,diary,gift tags,letters,making,organization,planner,scrapbook,scrapbooking,seal,stamp</x:v>
      </x:c>
      <x:c r="U1182" s="10" t="str">
        <x:v>card making</x:v>
      </x:c>
      <x:c r="V1182" s="10" t="str">
        <x:v>crafting</x:v>
      </x:c>
      <x:c r="W1182" s="10" t="str">
        <x:v>decorative</x:v>
      </x:c>
      <x:c r="X1182" s="10" t="str">
        <x:v>diary</x:v>
      </x:c>
      <x:c r="Y1182" s="10" t="str">
        <x:v>gift tags</x:v>
      </x:c>
      <x:c r="Z1182" s="10" t="str">
        <x:v>letters</x:v>
      </x:c>
      <x:c r="AA1182" s="10" t="str">
        <x:v>making</x:v>
      </x:c>
      <x:c r="AB1182" s="10" t="str">
        <x:v>organization</x:v>
      </x:c>
      <x:c r="AC1182" s="10" t="str">
        <x:v>planner</x:v>
      </x:c>
      <x:c r="AD1182" s="10" t="str">
        <x:v>scrapbook</x:v>
      </x:c>
      <x:c r="AE1182" s="10" t="str">
        <x:v>scrapbooking</x:v>
      </x:c>
      <x:c r="AF1182" s="10" t="str">
        <x:v>seal</x:v>
      </x:c>
      <x:c r="AG1182" s="10" t="str">
        <x:v>stamp</x:v>
      </x:c>
      <x:c r="AH1182" s="10" t="str">
        <x:v>Other mortgage-related</x:v>
      </x:c>
      <x:c r="AI1182" s="13" t="n">
        <x:v>10</x:v>
      </x:c>
      <x:c r="AJ1182" s="10" t="str">
        <x:f>IF(F1182&gt;0,"Active","No est. sales")</x:f>
        <x:v>No est. sales</x:v>
      </x:c>
    </x:row>
    <x:row r="1183">
      <x:c r="A1183" s="10" t="str">
        <x:v>Debt Payoff Tracker Spreadsheet | Google Sheets &amp; Excel Budget Planner | Debt Snowball Template | Loan and Credit Card Tracker</x:v>
      </x:c>
      <x:c r="B1183" s="10" t="str">
        <x:v>https://www.etsy.com/listing/4505405883/debt-payoff-tracker-spreadsheet-google</x:v>
      </x:c>
      <x:c r="C1183" s="10" t="str">
        <x:v>ProductivityCentres</x:v>
      </x:c>
      <x:c r="D1183" s="10" t="str">
        <x:v>https://www.etsy.com/shop/ProductivityCentres</x:v>
      </x:c>
      <x:c r="E1183" s="11" t="n">
        <x:v>5.35</x:v>
      </x:c>
      <x:c r="F1183" s="10" t="n">
        <x:v>0</x:v>
      </x:c>
      <x:c r="G1183" s="12" t="n">
        <x:v>0</x:v>
      </x:c>
      <x:c r="H1183" s="13" t="n">
        <x:v>0</x:v>
      </x:c>
      <x:c r="I1183" s="10" t="n">
        <x:v>0</x:v>
      </x:c>
      <x:c r="J1183" s="10" t="n">
        <x:v>0</x:v>
      </x:c>
      <x:c r="K1183" s="10" t="str">
        <x:v>2 Mo.</x:v>
      </x:c>
      <x:c r="L1183" s="10" t="n">
        <x:v>1</x:v>
      </x:c>
      <x:c r="M1183" s="10" t="n">
        <x:v>0</x:v>
      </x:c>
      <x:c r="N1183" s="10" t="n">
        <x:v>5</x:v>
      </x:c>
      <x:c r="O1183" s="10" t="str"/>
      <x:c r="P1183" s="10" t="n">
        <x:v>35</x:v>
      </x:c>
      <x:c r="Q1183" s="10" t="n">
        <x:v>0</x:v>
      </x:c>
      <x:c r="R1183" s="13" t="n">
        <x:v>0</x:v>
      </x:c>
      <x:c r="S1183" s="10" t="n">
        <x:v>75</x:v>
      </x:c>
      <x:c r="T1183" s="10" t="str">
        <x:v>debt payoff,debt payoff tracker,house payoff tracker,credit card payoff,debt planner,loan tracker,monthly debt tracker,credit card tracker,debt snowball,money planner,monthly budget,car loan tracker,mortgage payoff</x:v>
      </x:c>
      <x:c r="U1183" s="10" t="str">
        <x:v>debt payoff</x:v>
      </x:c>
      <x:c r="V1183" s="10" t="str">
        <x:v>debt payoff tracker</x:v>
      </x:c>
      <x:c r="W1183" s="10" t="str">
        <x:v>house payoff tracker</x:v>
      </x:c>
      <x:c r="X1183" s="10" t="str">
        <x:v>credit card payoff</x:v>
      </x:c>
      <x:c r="Y1183" s="10" t="str">
        <x:v>debt planner</x:v>
      </x:c>
      <x:c r="Z1183" s="10" t="str">
        <x:v>loan tracker</x:v>
      </x:c>
      <x:c r="AA1183" s="10" t="str">
        <x:v>monthly debt tracker</x:v>
      </x:c>
      <x:c r="AB1183" s="10" t="str">
        <x:v>credit card tracker</x:v>
      </x:c>
      <x:c r="AC1183" s="10" t="str">
        <x:v>debt snowball</x:v>
      </x:c>
      <x:c r="AD1183" s="10" t="str">
        <x:v>money planner</x:v>
      </x:c>
      <x:c r="AE1183" s="10" t="str">
        <x:v>monthly budget</x:v>
      </x:c>
      <x:c r="AF1183" s="10" t="str">
        <x:v>car loan tracker</x:v>
      </x:c>
      <x:c r="AG1183" s="10" t="str">
        <x:v>mortgage payoff</x:v>
      </x:c>
      <x:c r="AH1183" s="10" t="str">
        <x:v>General debt payoff</x:v>
      </x:c>
      <x:c r="AI1183" s="13" t="n">
        <x:v>2</x:v>
      </x:c>
      <x:c r="AJ1183" s="10" t="str">
        <x:f>IF(F1183&gt;0,"Active","No est. sales")</x:f>
        <x:v>No est. sales</x:v>
      </x:c>
    </x:row>
    <x:row r="1184">
      <x:c r="A1184" s="10" t="str">
        <x:v>Budget Spreadsheet | Debt Snowball Spreadsheet Google Sheets | Debt Payoff Payment Tracker | Personal Budget Finance Template</x:v>
      </x:c>
      <x:c r="B1184" s="10" t="str">
        <x:v>https://www.etsy.com/listing/1748622781/debt-snowball-spreadsheet-for-google</x:v>
      </x:c>
      <x:c r="C1184" s="10" t="str">
        <x:v>PLANCONCEPT</x:v>
      </x:c>
      <x:c r="D1184" s="10" t="str">
        <x:v>https://www.etsy.com/shop/PLANCONCEPT</x:v>
      </x:c>
      <x:c r="E1184" s="11" t="n">
        <x:v>8.05</x:v>
      </x:c>
      <x:c r="F1184" s="10" t="n">
        <x:v>0</x:v>
      </x:c>
      <x:c r="G1184" s="12" t="n">
        <x:v>0</x:v>
      </x:c>
      <x:c r="H1184" s="13" t="n">
        <x:v>0</x:v>
      </x:c>
      <x:c r="I1184" s="10" t="n">
        <x:v>14</x:v>
      </x:c>
      <x:c r="J1184" s="10" t="n">
        <x:v>3</x:v>
      </x:c>
      <x:c r="K1184" s="10" t="str">
        <x:v>25 Mo.</x:v>
      </x:c>
      <x:c r="L1184" s="10" t="n">
        <x:v>15</x:v>
      </x:c>
      <x:c r="M1184" s="10" t="n">
        <x:v>0</x:v>
      </x:c>
      <x:c r="N1184" s="10" t="n">
        <x:v>360</x:v>
      </x:c>
      <x:c r="O1184" s="10" t="str">
        <x:v>Paper &amp; Party Supplies</x:v>
      </x:c>
      <x:c r="P1184" s="10" t="n">
        <x:v>52</x:v>
      </x:c>
      <x:c r="Q1184" s="10" t="n">
        <x:v>0</x:v>
      </x:c>
      <x:c r="R1184" s="13" t="n">
        <x:v>3.89</x:v>
      </x:c>
      <x:c r="S1184" s="10" t="n">
        <x:v>70454</x:v>
      </x:c>
      <x:c r="T1184" s="10" t="str">
        <x:v>budget spreadsheet,budget planner,debt payoff tracker,debt snowball,debt tracker,budget template,google sheets budget,digital budget,financial planner,budget tracker,mortgage tracker,debt calculator,debt payment</x:v>
      </x:c>
      <x:c r="U1184" s="10" t="str">
        <x:v>budget spreadsheet</x:v>
      </x:c>
      <x:c r="V1184" s="10" t="str">
        <x:v>budget planner</x:v>
      </x:c>
      <x:c r="W1184" s="10" t="str">
        <x:v>debt payoff tracker</x:v>
      </x:c>
      <x:c r="X1184" s="10" t="str">
        <x:v>debt snowball</x:v>
      </x:c>
      <x:c r="Y1184" s="10" t="str">
        <x:v>debt tracker</x:v>
      </x:c>
      <x:c r="Z1184" s="10" t="str">
        <x:v>budget template</x:v>
      </x:c>
      <x:c r="AA1184" s="10" t="str">
        <x:v>google sheets budget</x:v>
      </x:c>
      <x:c r="AB1184" s="10" t="str">
        <x:v>digital budget</x:v>
      </x:c>
      <x:c r="AC1184" s="10" t="str">
        <x:v>financial planner</x:v>
      </x:c>
      <x:c r="AD1184" s="10" t="str">
        <x:v>budget tracker</x:v>
      </x:c>
      <x:c r="AE1184" s="10" t="str">
        <x:v>mortgage tracker</x:v>
      </x:c>
      <x:c r="AF1184" s="10" t="str">
        <x:v>debt calculator</x:v>
      </x:c>
      <x:c r="AG1184" s="10" t="str">
        <x:v>debt payment</x:v>
      </x:c>
      <x:c r="AH1184" s="10" t="str">
        <x:v>General debt payoff</x:v>
      </x:c>
      <x:c r="AI1184" s="13" t="n">
        <x:v>25</x:v>
      </x:c>
      <x:c r="AJ1184" s="10" t="str">
        <x:f>IF(F1184&gt;0,"Active","No est. sales")</x:f>
        <x:v>No est. sales</x:v>
      </x:c>
    </x:row>
    <x:row r="1185">
      <x:c r="A1185" s="10" t="str">
        <x:v>Debt Payoff Planner, Debt Tracker, Snowball Avalanche Calculator, Credit Card Debt, Loan Tracker, Debt-Free Planner, Google Sheets Template</x:v>
      </x:c>
      <x:c r="B1185" s="10" t="str">
        <x:v>https://www.etsy.com/listing/4365948467/debt-payoff-planner-debt-tracker</x:v>
      </x:c>
      <x:c r="C1185" s="10" t="str">
        <x:v>EnroriCo</x:v>
      </x:c>
      <x:c r="D1185" s="10" t="str">
        <x:v>https://www.etsy.com/shop/EnroriCo</x:v>
      </x:c>
      <x:c r="E1185" s="11" t="n">
        <x:v>4.01</x:v>
      </x:c>
      <x:c r="F1185" s="10" t="n">
        <x:v>0</x:v>
      </x:c>
      <x:c r="G1185" s="12" t="n">
        <x:v>0</x:v>
      </x:c>
      <x:c r="H1185" s="13" t="n">
        <x:v>0</x:v>
      </x:c>
      <x:c r="I1185" s="10" t="n">
        <x:v>87</x:v>
      </x:c>
      <x:c r="J1185" s="10" t="n">
        <x:v>5</x:v>
      </x:c>
      <x:c r="K1185" s="10" t="str">
        <x:v>10 Mo.</x:v>
      </x:c>
      <x:c r="L1185" s="10" t="n">
        <x:v>32</x:v>
      </x:c>
      <x:c r="M1185" s="10" t="n">
        <x:v>1</x:v>
      </x:c>
      <x:c r="N1185" s="10" t="n">
        <x:v>661</x:v>
      </x:c>
      <x:c r="O1185" s="10" t="str"/>
      <x:c r="P1185" s="10" t="n">
        <x:v>24</x:v>
      </x:c>
      <x:c r="Q1185" s="10" t="n">
        <x:v>30</x:v>
      </x:c>
      <x:c r="R1185" s="13" t="n">
        <x:v>13.16</x:v>
      </x:c>
      <x:c r="S1185" s="10" t="n">
        <x:v>5475</x:v>
      </x:c>
      <x:c r="T1185" s="10" t="str">
        <x:v>debt payoff tracker,debt payment planner,debt snowball,debt avalanche,debt reduction,debt repayment,debt free planner,credit card payoff,credit card debt,loan payoff tracker,student loan debt,mortgage payoff,google sheets budget</x:v>
      </x:c>
      <x:c r="U1185" s="10" t="str">
        <x:v>debt payoff tracker</x:v>
      </x:c>
      <x:c r="V1185" s="10" t="str">
        <x:v>debt payment planner</x:v>
      </x:c>
      <x:c r="W1185" s="10" t="str">
        <x:v>debt snowball</x:v>
      </x:c>
      <x:c r="X1185" s="10" t="str">
        <x:v>debt avalanche</x:v>
      </x:c>
      <x:c r="Y1185" s="10" t="str">
        <x:v>debt reduction</x:v>
      </x:c>
      <x:c r="Z1185" s="10" t="str">
        <x:v>debt repayment</x:v>
      </x:c>
      <x:c r="AA1185" s="10" t="str">
        <x:v>debt free planner</x:v>
      </x:c>
      <x:c r="AB1185" s="10" t="str">
        <x:v>credit card payoff</x:v>
      </x:c>
      <x:c r="AC1185" s="10" t="str">
        <x:v>credit card debt</x:v>
      </x:c>
      <x:c r="AD1185" s="10" t="str">
        <x:v>loan payoff tracker</x:v>
      </x:c>
      <x:c r="AE1185" s="10" t="str">
        <x:v>student loan debt</x:v>
      </x:c>
      <x:c r="AF1185" s="10" t="str">
        <x:v>mortgage payoff</x:v>
      </x:c>
      <x:c r="AG1185" s="10" t="str">
        <x:v>google sheets budget</x:v>
      </x:c>
      <x:c r="AH1185" s="10" t="str">
        <x:v>General debt payoff</x:v>
      </x:c>
      <x:c r="AI1185" s="13" t="n">
        <x:v>10</x:v>
      </x:c>
      <x:c r="AJ1185" s="10" t="str">
        <x:f>IF(F1185&gt;0,"Active","No est. sales")</x:f>
        <x:v>No est. sales</x:v>
      </x:c>
    </x:row>
    <x:row r="1186">
      <x:c r="A1186" s="10" t="str">
        <x:v>Irish First-Time Buyer Budget Calculator | House Deposit &amp; Costs Spreadsheet | Ireland Mortgage Planner</x:v>
      </x:c>
      <x:c r="B1186" s="10" t="str">
        <x:v>https://www.etsy.com/listing/4454258803/irish-first-time-buyer-budget-calculator</x:v>
      </x:c>
      <x:c r="C1186" s="10" t="str">
        <x:v>KeenFinance</x:v>
      </x:c>
      <x:c r="D1186" s="10" t="str">
        <x:v>https://www.etsy.com/shop/KeenFinance</x:v>
      </x:c>
      <x:c r="E1186" s="11" t="n">
        <x:v>2.3</x:v>
      </x:c>
      <x:c r="F1186" s="10" t="n">
        <x:v>0</x:v>
      </x:c>
      <x:c r="G1186" s="12" t="n">
        <x:v>0</x:v>
      </x:c>
      <x:c r="H1186" s="13" t="n">
        <x:v>0</x:v>
      </x:c>
      <x:c r="I1186" s="10" t="n">
        <x:v>0</x:v>
      </x:c>
      <x:c r="J1186" s="10" t="n">
        <x:v>0</x:v>
      </x:c>
      <x:c r="K1186" s="10" t="str">
        <x:v>5 Mo.</x:v>
      </x:c>
      <x:c r="L1186" s="10" t="n">
        <x:v>0</x:v>
      </x:c>
      <x:c r="M1186" s="10" t="n">
        <x:v>0</x:v>
      </x:c>
      <x:c r="N1186" s="10" t="n">
        <x:v>45</x:v>
      </x:c>
      <x:c r="O1186" s="10" t="str">
        <x:v>Paper &amp; Party Supplies</x:v>
      </x:c>
      <x:c r="P1186" s="10" t="n">
        <x:v>105</x:v>
      </x:c>
      <x:c r="Q1186" s="10" t="n">
        <x:v>0</x:v>
      </x:c>
      <x:c r="R1186" s="13" t="n">
        <x:v>0</x:v>
      </x:c>
      <x:c r="S1186" s="10" t="n">
        <x:v>5</x:v>
      </x:c>
      <x:c r="T1186" s="10" t="str">
        <x:v>mortgage,personal finance,first time buyer,irish mortgage,property,finance templates</x:v>
      </x:c>
      <x:c r="U1186" s="10" t="str">
        <x:v>mortgage</x:v>
      </x:c>
      <x:c r="V1186" s="10" t="str">
        <x:v>personal finance</x:v>
      </x:c>
      <x:c r="W1186" s="10" t="str">
        <x:v>first time buyer</x:v>
      </x:c>
      <x:c r="X1186" s="10" t="str">
        <x:v>irish mortgage</x:v>
      </x:c>
      <x:c r="Y1186" s="10" t="str">
        <x:v>property</x:v>
      </x:c>
      <x:c r="Z1186" s="10" t="str">
        <x:v>finance templates</x:v>
      </x:c>
      <x:c r="AA1186" s="10" t="str">
        <x:v>--</x:v>
      </x:c>
      <x:c r="AB1186" s="10" t="str">
        <x:v>--</x:v>
      </x:c>
      <x:c r="AC1186" s="10" t="str">
        <x:v>--</x:v>
      </x:c>
      <x:c r="AD1186" s="10" t="str">
        <x:v>--</x:v>
      </x:c>
      <x:c r="AE1186" s="10" t="str">
        <x:v>--</x:v>
      </x:c>
      <x:c r="AF1186" s="10" t="str">
        <x:v>--</x:v>
      </x:c>
      <x:c r="AG1186" s="10" t="str">
        <x:v>--</x:v>
      </x:c>
      <x:c r="AH1186" s="10" t="str">
        <x:v>Other mortgage-related</x:v>
      </x:c>
      <x:c r="AI1186" s="13" t="n">
        <x:v>5</x:v>
      </x:c>
      <x:c r="AJ1186" s="10" t="str">
        <x:f>IF(F1186&gt;0,"Active","No est. sales")</x:f>
        <x:v>No est. sales</x:v>
      </x:c>
    </x:row>
    <x:row r="1187">
      <x:c r="A1187" s="10" t="str">
        <x:v>30 Year Mortgage Payoff Tracker: Printable House Loan Planner (Digital Download)</x:v>
      </x:c>
      <x:c r="B1187" s="10" t="str">
        <x:v>https://www.etsy.com/listing/1037791416/30-year-mortgage-payoff-tracker</x:v>
      </x:c>
      <x:c r="C1187" s="10" t="str">
        <x:v>bbhdesignss</x:v>
      </x:c>
      <x:c r="D1187" s="10" t="str">
        <x:v>https://www.etsy.com/shop/bbhdesignss</x:v>
      </x:c>
      <x:c r="E1187" s="11" t="n">
        <x:v>2</x:v>
      </x:c>
      <x:c r="F1187" s="10" t="n">
        <x:v>0</x:v>
      </x:c>
      <x:c r="G1187" s="12" t="n">
        <x:v>0</x:v>
      </x:c>
      <x:c r="H1187" s="13" t="n">
        <x:v>0</x:v>
      </x:c>
      <x:c r="I1187" s="10" t="n">
        <x:v>22</x:v>
      </x:c>
      <x:c r="J1187" s="10" t="n">
        <x:v>3</x:v>
      </x:c>
      <x:c r="K1187" s="10" t="str">
        <x:v>60 Mo.</x:v>
      </x:c>
      <x:c r="L1187" s="10" t="n">
        <x:v>41</x:v>
      </x:c>
      <x:c r="M1187" s="10" t="n">
        <x:v>0</x:v>
      </x:c>
      <x:c r="N1187" s="10" t="n">
        <x:v>1118</x:v>
      </x:c>
      <x:c r="O1187" s="10" t="str">
        <x:v>Paper &amp; Party Supplies</x:v>
      </x:c>
      <x:c r="P1187" s="10" t="n">
        <x:v>186</x:v>
      </x:c>
      <x:c r="Q1187" s="10" t="n">
        <x:v>0</x:v>
      </x:c>
      <x:c r="R1187" s="13" t="n">
        <x:v>1.97</x:v>
      </x:c>
      <x:c r="S1187" s="10" t="n">
        <x:v>4402</x:v>
      </x:c>
      <x:c r="T1187" s="10" t="str">
        <x:v>planner,house,home,tracker,goal,tracking,bullet journal,savings tracker,home mortgage,mortgage payoff,loan payoff,loan debt,30 year mortgage</x:v>
      </x:c>
      <x:c r="U1187" s="10" t="str">
        <x:v>planner</x:v>
      </x:c>
      <x:c r="V1187" s="10" t="str">
        <x:v>house</x:v>
      </x:c>
      <x:c r="W1187" s="10" t="str">
        <x:v>home</x:v>
      </x:c>
      <x:c r="X1187" s="10" t="str">
        <x:v>tracker</x:v>
      </x:c>
      <x:c r="Y1187" s="10" t="str">
        <x:v>goal</x:v>
      </x:c>
      <x:c r="Z1187" s="10" t="str">
        <x:v>tracking</x:v>
      </x:c>
      <x:c r="AA1187" s="10" t="str">
        <x:v>bullet journal</x:v>
      </x:c>
      <x:c r="AB1187" s="10" t="str">
        <x:v>savings tracker</x:v>
      </x:c>
      <x:c r="AC1187" s="10" t="str">
        <x:v>home mortgage</x:v>
      </x:c>
      <x:c r="AD1187" s="10" t="str">
        <x:v>mortgage payoff</x:v>
      </x:c>
      <x:c r="AE1187" s="10" t="str">
        <x:v>loan payoff</x:v>
      </x:c>
      <x:c r="AF1187" s="10" t="str">
        <x:v>loan debt</x:v>
      </x:c>
      <x:c r="AG1187" s="10" t="str">
        <x:v>30 year mortgage</x:v>
      </x:c>
      <x:c r="AH1187" s="10" t="str">
        <x:v>Mortgage payoff / calculator</x:v>
      </x:c>
      <x:c r="AI1187" s="13" t="n">
        <x:v>60</x:v>
      </x:c>
      <x:c r="AJ1187" s="10" t="str">
        <x:f>IF(F1187&gt;0,"Active","No est. sales")</x:f>
        <x:v>No est. sales</x:v>
      </x:c>
    </x:row>
    <x:row r="1188">
      <x:c r="A1188" s="10" t="str">
        <x:v>Financial Goals tracker, Easy savings progress spreadsheet, Excel debt repayment tracking, customizable sinking funds budget analysis tool</x:v>
      </x:c>
      <x:c r="B1188" s="10" t="str">
        <x:v>https://www.etsy.com/listing/1755599793/financial-goals-tracker-easy-savings</x:v>
      </x:c>
      <x:c r="C1188" s="10" t="str">
        <x:v>BraveBuffaloCrafts</x:v>
      </x:c>
      <x:c r="D1188" s="10" t="str">
        <x:v>https://www.etsy.com/shop/BraveBuffaloCrafts</x:v>
      </x:c>
      <x:c r="E1188" s="11" t="n">
        <x:v>3.99</x:v>
      </x:c>
      <x:c r="F1188" s="10" t="n">
        <x:v>0</x:v>
      </x:c>
      <x:c r="G1188" s="12" t="n">
        <x:v>0</x:v>
      </x:c>
      <x:c r="H1188" s="13" t="n">
        <x:v>0</x:v>
      </x:c>
      <x:c r="I1188" s="10" t="n">
        <x:v>31</x:v>
      </x:c>
      <x:c r="J1188" s="10" t="n">
        <x:v>2</x:v>
      </x:c>
      <x:c r="K1188" s="10" t="str">
        <x:v>24 Mo.</x:v>
      </x:c>
      <x:c r="L1188" s="10" t="n">
        <x:v>29</x:v>
      </x:c>
      <x:c r="M1188" s="10" t="n">
        <x:v>0</x:v>
      </x:c>
      <x:c r="N1188" s="10" t="n">
        <x:v>607</x:v>
      </x:c>
      <x:c r="O1188" s="10" t="str">
        <x:v>Weddings</x:v>
      </x:c>
      <x:c r="P1188" s="10" t="n">
        <x:v>27</x:v>
      </x:c>
      <x:c r="Q1188" s="10" t="n">
        <x:v>0</x:v>
      </x:c>
      <x:c r="R1188" s="13" t="n">
        <x:v>5.11</x:v>
      </x:c>
      <x:c r="S1188" s="10" t="n">
        <x:v>9081</x:v>
      </x:c>
      <x:c r="T1188" s="10" t="str">
        <x:v>financial goal excel,sinking funds sheet,personal finance log,budget spreadsheet,savings goal planner,debt repayment track,financial freedom,money spreadsheet,retirement tracking,vacation funds,excel tracker log,mortgage progress,cash saving plan</x:v>
      </x:c>
      <x:c r="U1188" s="10" t="str">
        <x:v>financial goal excel</x:v>
      </x:c>
      <x:c r="V1188" s="10" t="str">
        <x:v>sinking funds sheet</x:v>
      </x:c>
      <x:c r="W1188" s="10" t="str">
        <x:v>personal finance log</x:v>
      </x:c>
      <x:c r="X1188" s="10" t="str">
        <x:v>budget spreadsheet</x:v>
      </x:c>
      <x:c r="Y1188" s="10" t="str">
        <x:v>savings goal planner</x:v>
      </x:c>
      <x:c r="Z1188" s="10" t="str">
        <x:v>debt repayment track</x:v>
      </x:c>
      <x:c r="AA1188" s="10" t="str">
        <x:v>financial freedom</x:v>
      </x:c>
      <x:c r="AB1188" s="10" t="str">
        <x:v>money spreadsheet</x:v>
      </x:c>
      <x:c r="AC1188" s="10" t="str">
        <x:v>retirement tracking</x:v>
      </x:c>
      <x:c r="AD1188" s="10" t="str">
        <x:v>vacation funds</x:v>
      </x:c>
      <x:c r="AE1188" s="10" t="str">
        <x:v>excel tracker log</x:v>
      </x:c>
      <x:c r="AF1188" s="10" t="str">
        <x:v>mortgage progress</x:v>
      </x:c>
      <x:c r="AG1188" s="10" t="str">
        <x:v>cash saving plan</x:v>
      </x:c>
      <x:c r="AH1188" s="10" t="str">
        <x:v>Other mortgage-related</x:v>
      </x:c>
      <x:c r="AI1188" s="13" t="n">
        <x:v>24</x:v>
      </x:c>
      <x:c r="AJ1188" s="10" t="str">
        <x:f>IF(F1188&gt;0,"Active","No est. sales")</x:f>
        <x:v>No est. sales</x:v>
      </x:c>
    </x:row>
    <x:row r="1189">
      <x:c r="A1189" s="10" t="str">
        <x:v>Home Buying Budget Spreadsheet | Mortgage Stress Test Calculator | Property Ownership Cost Planner | Real Estate Decision Tool (Excel)</x:v>
      </x:c>
      <x:c r="B1189" s="10" t="str">
        <x:v>https://www.etsy.com/listing/4467399212/home-buying-budget-spreadsheet-mortgage</x:v>
      </x:c>
      <x:c r="C1189" s="10" t="str">
        <x:v>johnocal</x:v>
      </x:c>
      <x:c r="D1189" s="10" t="str">
        <x:v>https://www.etsy.com/shop/johnocal</x:v>
      </x:c>
      <x:c r="E1189" s="11" t="n">
        <x:v>14.01</x:v>
      </x:c>
      <x:c r="F1189" s="10" t="n">
        <x:v>0</x:v>
      </x:c>
      <x:c r="G1189" s="12" t="n">
        <x:v>0</x:v>
      </x:c>
      <x:c r="H1189" s="13" t="n">
        <x:v>0</x:v>
      </x:c>
      <x:c r="I1189" s="10" t="n">
        <x:v>0</x:v>
      </x:c>
      <x:c r="J1189" s="10" t="n">
        <x:v>0</x:v>
      </x:c>
      <x:c r="K1189" s="10" t="str">
        <x:v>4 Mo.</x:v>
      </x:c>
      <x:c r="L1189" s="10" t="n">
        <x:v>0</x:v>
      </x:c>
      <x:c r="M1189" s="10" t="n">
        <x:v>0</x:v>
      </x:c>
      <x:c r="N1189" s="10" t="n">
        <x:v>13</x:v>
      </x:c>
      <x:c r="O1189" s="10" t="str"/>
      <x:c r="P1189" s="10" t="n">
        <x:v>4</x:v>
      </x:c>
      <x:c r="Q1189" s="10" t="n">
        <x:v>0</x:v>
      </x:c>
      <x:c r="R1189" s="13" t="n">
        <x:v>0</x:v>
      </x:c>
      <x:c r="S1189" s="10" t="n">
        <x:v>5</x:v>
      </x:c>
      <x:c r="T1189" s="10" t="str">
        <x:v>home ownership cost,home buying,spreadsheet,mortgage calculator,real estate,calculator,house buying planner,stress test mortgage,mortgage,property decision,excel budget,mortgage planning,house buying</x:v>
      </x:c>
      <x:c r="U1189" s="10" t="str">
        <x:v>home ownership cost</x:v>
      </x:c>
      <x:c r="V1189" s="10" t="str">
        <x:v>home buying</x:v>
      </x:c>
      <x:c r="W1189" s="10" t="str">
        <x:v>spreadsheet</x:v>
      </x:c>
      <x:c r="X1189" s="10" t="str">
        <x:v>mortgage calculator</x:v>
      </x:c>
      <x:c r="Y1189" s="10" t="str">
        <x:v>real estate</x:v>
      </x:c>
      <x:c r="Z1189" s="10" t="str">
        <x:v>calculator</x:v>
      </x:c>
      <x:c r="AA1189" s="10" t="str">
        <x:v>house buying planner</x:v>
      </x:c>
      <x:c r="AB1189" s="10" t="str">
        <x:v>stress test mortgage</x:v>
      </x:c>
      <x:c r="AC1189" s="10" t="str">
        <x:v>mortgage</x:v>
      </x:c>
      <x:c r="AD1189" s="10" t="str">
        <x:v>property decision</x:v>
      </x:c>
      <x:c r="AE1189" s="10" t="str">
        <x:v>excel budget</x:v>
      </x:c>
      <x:c r="AF1189" s="10" t="str">
        <x:v>mortgage planning</x:v>
      </x:c>
      <x:c r="AG1189" s="10" t="str">
        <x:v>house buying</x:v>
      </x:c>
      <x:c r="AH1189" s="10" t="str">
        <x:v>Other mortgage-related</x:v>
      </x:c>
      <x:c r="AI1189" s="13" t="n">
        <x:v>4</x:v>
      </x:c>
      <x:c r="AJ1189" s="10" t="str">
        <x:f>IF(F1189&gt;0,"Active","No est. sales")</x:f>
        <x:v>No est. sales</x:v>
      </x:c>
    </x:row>
    <x:row r="1190">
      <x:c r="A1190" s="10" t="str">
        <x:v>Home Ownership Workbook PDF | First Time Home Buyer Guide, Budget &amp; Expense Planner, Mortgage Prep, Printable Download</x:v>
      </x:c>
      <x:c r="B1190" s="10" t="str">
        <x:v>https://www.etsy.com/listing/4432283518/home-ownership-workbook-pdf-first-time</x:v>
      </x:c>
      <x:c r="C1190" s="10" t="str">
        <x:v>TheRoseMethods</x:v>
      </x:c>
      <x:c r="D1190" s="10" t="str">
        <x:v>https://www.etsy.com/shop/TheRoseMethods</x:v>
      </x:c>
      <x:c r="E1190" s="11" t="n">
        <x:v>1.5</x:v>
      </x:c>
      <x:c r="F1190" s="10" t="n">
        <x:v>0</x:v>
      </x:c>
      <x:c r="G1190" s="12" t="n">
        <x:v>0</x:v>
      </x:c>
      <x:c r="H1190" s="13" t="n">
        <x:v>0</x:v>
      </x:c>
      <x:c r="I1190" s="10" t="n">
        <x:v>0</x:v>
      </x:c>
      <x:c r="J1190" s="10" t="n">
        <x:v>0</x:v>
      </x:c>
      <x:c r="K1190" s="10" t="str">
        <x:v>7 Mo.</x:v>
      </x:c>
      <x:c r="L1190" s="10" t="n">
        <x:v>4</x:v>
      </x:c>
      <x:c r="M1190" s="10" t="n">
        <x:v>0</x:v>
      </x:c>
      <x:c r="N1190" s="10" t="n">
        <x:v>30</x:v>
      </x:c>
      <x:c r="O1190" s="10" t="str"/>
      <x:c r="P1190" s="10" t="n">
        <x:v>7</x:v>
      </x:c>
      <x:c r="Q1190" s="10" t="n">
        <x:v>0</x:v>
      </x:c>
      <x:c r="R1190" s="13" t="n">
        <x:v>0</x:v>
      </x:c>
      <x:c r="S1190" s="10" t="n">
        <x:v>6</x:v>
      </x:c>
      <x:c r="T1190" s="10" t="str">
        <x:v>home ownership,home buyer guide,first time buyer,home workbook,mortgage planner,home budget,buyer workbook,home expenses,house planning,real estate prep,home planner pdf,printable workbook,budget worksheet</x:v>
      </x:c>
      <x:c r="U1190" s="10" t="str">
        <x:v>home ownership</x:v>
      </x:c>
      <x:c r="V1190" s="10" t="str">
        <x:v>home buyer guide</x:v>
      </x:c>
      <x:c r="W1190" s="10" t="str">
        <x:v>first time buyer</x:v>
      </x:c>
      <x:c r="X1190" s="10" t="str">
        <x:v>home workbook</x:v>
      </x:c>
      <x:c r="Y1190" s="10" t="str">
        <x:v>mortgage planner</x:v>
      </x:c>
      <x:c r="Z1190" s="10" t="str">
        <x:v>home budget</x:v>
      </x:c>
      <x:c r="AA1190" s="10" t="str">
        <x:v>buyer workbook</x:v>
      </x:c>
      <x:c r="AB1190" s="10" t="str">
        <x:v>home expenses</x:v>
      </x:c>
      <x:c r="AC1190" s="10" t="str">
        <x:v>house planning</x:v>
      </x:c>
      <x:c r="AD1190" s="10" t="str">
        <x:v>real estate prep</x:v>
      </x:c>
      <x:c r="AE1190" s="10" t="str">
        <x:v>home planner pdf</x:v>
      </x:c>
      <x:c r="AF1190" s="10" t="str">
        <x:v>printable workbook</x:v>
      </x:c>
      <x:c r="AG1190" s="10" t="str">
        <x:v>budget worksheet</x:v>
      </x:c>
      <x:c r="AH1190" s="10" t="str">
        <x:v>Home buying planner</x:v>
      </x:c>
      <x:c r="AI1190" s="13" t="n">
        <x:v>7</x:v>
      </x:c>
      <x:c r="AJ1190" s="10" t="str">
        <x:f>IF(F1190&gt;0,"Active","No est. sales")</x:f>
        <x:v>No est. sales</x:v>
      </x:c>
    </x:row>
    <x:row r="1191">
      <x:c r="A1191" s="10" t="str">
        <x:v>House deposit tracker spreadsheet, Savings calculator and tracker, Editable budget planner</x:v>
      </x:c>
      <x:c r="B1191" s="10" t="str">
        <x:v>https://www.etsy.com/listing/4394049662/house-deposit-tracker-spreadsheet</x:v>
      </x:c>
      <x:c r="C1191" s="10" t="str">
        <x:v>TrackifyGB</x:v>
      </x:c>
      <x:c r="D1191" s="10" t="str">
        <x:v>https://www.etsy.com/shop/TrackifyGB</x:v>
      </x:c>
      <x:c r="E1191" s="11" t="n">
        <x:v>6.7</x:v>
      </x:c>
      <x:c r="F1191" s="10" t="n">
        <x:v>0</x:v>
      </x:c>
      <x:c r="G1191" s="12" t="n">
        <x:v>0</x:v>
      </x:c>
      <x:c r="H1191" s="13" t="n">
        <x:v>0</x:v>
      </x:c>
      <x:c r="I1191" s="10" t="n">
        <x:v>0</x:v>
      </x:c>
      <x:c r="J1191" s="10" t="n">
        <x:v>0</x:v>
      </x:c>
      <x:c r="K1191" s="10" t="str">
        <x:v>9 Mo.</x:v>
      </x:c>
      <x:c r="L1191" s="10" t="n">
        <x:v>0</x:v>
      </x:c>
      <x:c r="M1191" s="10" t="n">
        <x:v>0</x:v>
      </x:c>
      <x:c r="N1191" s="10" t="n">
        <x:v>11</x:v>
      </x:c>
      <x:c r="O1191" s="10" t="str"/>
      <x:c r="P1191" s="10" t="n">
        <x:v>9</x:v>
      </x:c>
      <x:c r="Q1191" s="10" t="n">
        <x:v>0</x:v>
      </x:c>
      <x:c r="R1191" s="13" t="n">
        <x:v>0</x:v>
      </x:c>
      <x:c r="S1191" s="10" t="n">
        <x:v>2</x:v>
      </x:c>
      <x:c r="T1191" s="10" t="str">
        <x:v>editable,budget planner,savings calculator,spreadsheet,house deposit,tracker,property,mortgage,first house,google sheets,savings,budget</x:v>
      </x:c>
      <x:c r="U1191" s="10" t="str">
        <x:v>editable</x:v>
      </x:c>
      <x:c r="V1191" s="10" t="str">
        <x:v>budget planner</x:v>
      </x:c>
      <x:c r="W1191" s="10" t="str">
        <x:v>savings calculator</x:v>
      </x:c>
      <x:c r="X1191" s="10" t="str">
        <x:v>spreadsheet</x:v>
      </x:c>
      <x:c r="Y1191" s="10" t="str">
        <x:v>house deposit</x:v>
      </x:c>
      <x:c r="Z1191" s="10" t="str">
        <x:v>tracker</x:v>
      </x:c>
      <x:c r="AA1191" s="10" t="str">
        <x:v>property</x:v>
      </x:c>
      <x:c r="AB1191" s="10" t="str">
        <x:v>mortgage</x:v>
      </x:c>
      <x:c r="AC1191" s="10" t="str">
        <x:v>first house</x:v>
      </x:c>
      <x:c r="AD1191" s="10" t="str">
        <x:v>google sheets</x:v>
      </x:c>
      <x:c r="AE1191" s="10" t="str">
        <x:v>savings</x:v>
      </x:c>
      <x:c r="AF1191" s="10" t="str">
        <x:v>budget</x:v>
      </x:c>
      <x:c r="AG1191" s="10" t="str">
        <x:v>--</x:v>
      </x:c>
      <x:c r="AH1191" s="10" t="str">
        <x:v>Other mortgage-related</x:v>
      </x:c>
      <x:c r="AI1191" s="13" t="n">
        <x:v>9</x:v>
      </x:c>
      <x:c r="AJ1191" s="10" t="str">
        <x:f>IF(F1191&gt;0,"Active","No est. sales")</x:f>
        <x:v>No est. sales</x:v>
      </x:c>
    </x:row>
    <x:row r="1192">
      <x:c r="A1192" s="10" t="str">
        <x:v>Balloon Payment Amortization Template | Loan Payment Schedule | Mortgage Calculator Sheet | Excel &amp; Google Sheets | Debt Repayment Tracker</x:v>
      </x:c>
      <x:c r="B1192" s="10" t="str">
        <x:v>https://www.etsy.com/listing/4497366620/balloon-payment-amortization-template</x:v>
      </x:c>
      <x:c r="C1192" s="10" t="str">
        <x:v>DaffodillsSheets</x:v>
      </x:c>
      <x:c r="D1192" s="10" t="str">
        <x:v>https://www.etsy.com/shop/DaffodillsSheets</x:v>
      </x:c>
      <x:c r="E1192" s="11" t="n">
        <x:v>10.87</x:v>
      </x:c>
      <x:c r="F1192" s="10" t="n">
        <x:v>0</x:v>
      </x:c>
      <x:c r="G1192" s="12" t="n">
        <x:v>0</x:v>
      </x:c>
      <x:c r="H1192" s="13" t="n">
        <x:v>0</x:v>
      </x:c>
      <x:c r="I1192" s="10" t="n">
        <x:v>0</x:v>
      </x:c>
      <x:c r="J1192" s="10" t="n">
        <x:v>0</x:v>
      </x:c>
      <x:c r="K1192" s="10" t="str">
        <x:v>3 Mo.</x:v>
      </x:c>
      <x:c r="L1192" s="10" t="n">
        <x:v>0</x:v>
      </x:c>
      <x:c r="M1192" s="10" t="n">
        <x:v>0</x:v>
      </x:c>
      <x:c r="N1192" s="10" t="n">
        <x:v>1</x:v>
      </x:c>
      <x:c r="O1192" s="10" t="str"/>
      <x:c r="P1192" s="10" t="n">
        <x:v>10</x:v>
      </x:c>
      <x:c r="Q1192" s="10" t="n">
        <x:v>0</x:v>
      </x:c>
      <x:c r="R1192" s="13" t="n">
        <x:v>0</x:v>
      </x:c>
      <x:c r="S1192" s="10" t="n">
        <x:v>567</x:v>
      </x:c>
      <x:c r="T1192" s="10" t="str">
        <x:v>loan schedule,amortization,balloon loan,payment sheet,mortgage log,debt tracker,loan tracker,interest log,finance sheet,payment plan,loan excel,sheets loan,debt planner</x:v>
      </x:c>
      <x:c r="U1192" s="10" t="str">
        <x:v>loan schedule</x:v>
      </x:c>
      <x:c r="V1192" s="10" t="str">
        <x:v>amortization</x:v>
      </x:c>
      <x:c r="W1192" s="10" t="str">
        <x:v>balloon loan</x:v>
      </x:c>
      <x:c r="X1192" s="10" t="str">
        <x:v>payment sheet</x:v>
      </x:c>
      <x:c r="Y1192" s="10" t="str">
        <x:v>mortgage log</x:v>
      </x:c>
      <x:c r="Z1192" s="10" t="str">
        <x:v>debt tracker</x:v>
      </x:c>
      <x:c r="AA1192" s="10" t="str">
        <x:v>loan tracker</x:v>
      </x:c>
      <x:c r="AB1192" s="10" t="str">
        <x:v>interest log</x:v>
      </x:c>
      <x:c r="AC1192" s="10" t="str">
        <x:v>finance sheet</x:v>
      </x:c>
      <x:c r="AD1192" s="10" t="str">
        <x:v>payment plan</x:v>
      </x:c>
      <x:c r="AE1192" s="10" t="str">
        <x:v>loan excel</x:v>
      </x:c>
      <x:c r="AF1192" s="10" t="str">
        <x:v>sheets loan</x:v>
      </x:c>
      <x:c r="AG1192" s="10" t="str">
        <x:v>debt planner</x:v>
      </x:c>
      <x:c r="AH1192" s="10" t="str">
        <x:v>Mortgage payoff / calculator</x:v>
      </x:c>
      <x:c r="AI1192" s="13" t="n">
        <x:v>3</x:v>
      </x:c>
      <x:c r="AJ1192" s="10" t="str">
        <x:f>IF(F1192&gt;0,"Active","No est. sales")</x:f>
        <x:v>No est. sales</x:v>
      </x:c>
    </x:row>
    <x:row r="1193">
      <x:c r="A1193" s="10" t="str">
        <x:v>Real Estate Mortgage Calculator Template, Loan Payment Spreadsheet, Amortization Schedule, Google Sheets, Excel Tool</x:v>
      </x:c>
      <x:c r="B1193" s="10" t="str">
        <x:v>https://www.etsy.com/listing/4473308067/real-estate-mortgage-calculator-template</x:v>
      </x:c>
      <x:c r="C1193" s="10" t="str">
        <x:v>DaffodillsSheets</x:v>
      </x:c>
      <x:c r="D1193" s="10" t="str">
        <x:v>https://www.etsy.com/shop/DaffodillsSheets</x:v>
      </x:c>
      <x:c r="E1193" s="11" t="n">
        <x:v>10.87</x:v>
      </x:c>
      <x:c r="F1193" s="10" t="n">
        <x:v>0</x:v>
      </x:c>
      <x:c r="G1193" s="12" t="n">
        <x:v>0</x:v>
      </x:c>
      <x:c r="H1193" s="13" t="n">
        <x:v>0</x:v>
      </x:c>
      <x:c r="I1193" s="10" t="n">
        <x:v>0</x:v>
      </x:c>
      <x:c r="J1193" s="10" t="n">
        <x:v>0</x:v>
      </x:c>
      <x:c r="K1193" s="10" t="str">
        <x:v>4 Mo.</x:v>
      </x:c>
      <x:c r="L1193" s="10" t="n">
        <x:v>0</x:v>
      </x:c>
      <x:c r="M1193" s="10" t="n">
        <x:v>0</x:v>
      </x:c>
      <x:c r="N1193" s="10" t="n">
        <x:v>1</x:v>
      </x:c>
      <x:c r="O1193" s="10" t="str"/>
      <x:c r="P1193" s="10" t="n">
        <x:v>10</x:v>
      </x:c>
      <x:c r="Q1193" s="10" t="n">
        <x:v>0</x:v>
      </x:c>
      <x:c r="R1193" s="13" t="n">
        <x:v>0</x:v>
      </x:c>
      <x:c r="S1193" s="10" t="n">
        <x:v>567</x:v>
      </x:c>
      <x:c r="T1193" s="10" t="str">
        <x:v>mortgage tool,loan calculator,payment tracker,amortization,home loan sheet,interest calc,real estate tool,finance planner,excel mortgage,google sheets,loan schedule,property loan,investment tool</x:v>
      </x:c>
      <x:c r="U1193" s="10" t="str">
        <x:v>mortgage tool</x:v>
      </x:c>
      <x:c r="V1193" s="10" t="str">
        <x:v>loan calculator</x:v>
      </x:c>
      <x:c r="W1193" s="10" t="str">
        <x:v>payment tracker</x:v>
      </x:c>
      <x:c r="X1193" s="10" t="str">
        <x:v>amortization</x:v>
      </x:c>
      <x:c r="Y1193" s="10" t="str">
        <x:v>home loan sheet</x:v>
      </x:c>
      <x:c r="Z1193" s="10" t="str">
        <x:v>interest calc</x:v>
      </x:c>
      <x:c r="AA1193" s="10" t="str">
        <x:v>real estate tool</x:v>
      </x:c>
      <x:c r="AB1193" s="10" t="str">
        <x:v>finance planner</x:v>
      </x:c>
      <x:c r="AC1193" s="10" t="str">
        <x:v>excel mortgage</x:v>
      </x:c>
      <x:c r="AD1193" s="10" t="str">
        <x:v>google sheets</x:v>
      </x:c>
      <x:c r="AE1193" s="10" t="str">
        <x:v>loan schedule</x:v>
      </x:c>
      <x:c r="AF1193" s="10" t="str">
        <x:v>property loan</x:v>
      </x:c>
      <x:c r="AG1193" s="10" t="str">
        <x:v>investment tool</x:v>
      </x:c>
      <x:c r="AH1193" s="10" t="str">
        <x:v>Mortgage payoff / calculator</x:v>
      </x:c>
      <x:c r="AI1193" s="13" t="n">
        <x:v>4</x:v>
      </x:c>
      <x:c r="AJ1193" s="10" t="str">
        <x:f>IF(F1193&gt;0,"Active","No est. sales")</x:f>
        <x:v>No est. sales</x:v>
      </x:c>
    </x:row>
    <x:row r="1194">
      <x:c r="A1194" s="10" t="str">
        <x:v>Recast Mortgage Calculator Template, Mortgage Recast Spreadsheet, Loan Amortization Schedule, Extra Payment Planner, Excel Google Sheets</x:v>
      </x:c>
      <x:c r="B1194" s="10" t="str">
        <x:v>https://www.etsy.com/listing/4473310748/recast-mortgage-calculator-template</x:v>
      </x:c>
      <x:c r="C1194" s="10" t="str">
        <x:v>DaffodillsSheets</x:v>
      </x:c>
      <x:c r="D1194" s="10" t="str">
        <x:v>https://www.etsy.com/shop/DaffodillsSheets</x:v>
      </x:c>
      <x:c r="E1194" s="11" t="n">
        <x:v>10.87</x:v>
      </x:c>
      <x:c r="F1194" s="10" t="n">
        <x:v>0</x:v>
      </x:c>
      <x:c r="G1194" s="12" t="n">
        <x:v>0</x:v>
      </x:c>
      <x:c r="H1194" s="13" t="n">
        <x:v>0</x:v>
      </x:c>
      <x:c r="I1194" s="10" t="n">
        <x:v>0</x:v>
      </x:c>
      <x:c r="J1194" s="10" t="n">
        <x:v>0</x:v>
      </x:c>
      <x:c r="K1194" s="10" t="str">
        <x:v>4 Mo.</x:v>
      </x:c>
      <x:c r="L1194" s="10" t="n">
        <x:v>0</x:v>
      </x:c>
      <x:c r="M1194" s="10" t="n">
        <x:v>0</x:v>
      </x:c>
      <x:c r="N1194" s="10" t="n">
        <x:v>34</x:v>
      </x:c>
      <x:c r="O1194" s="10" t="str"/>
      <x:c r="P1194" s="10" t="n">
        <x:v>10</x:v>
      </x:c>
      <x:c r="Q1194" s="10" t="n">
        <x:v>0</x:v>
      </x:c>
      <x:c r="R1194" s="13" t="n">
        <x:v>0</x:v>
      </x:c>
      <x:c r="S1194" s="10" t="n">
        <x:v>567</x:v>
      </x:c>
      <x:c r="T1194" s="10" t="str">
        <x:v>mortgage recast,loan calculator,amortization sheet,extra payment plan,mortgage planner,loan spreadsheet,recast template,home loan tracker,finance worksheet,principal payment,loan schedule,budget mortgage,excel mortgage</x:v>
      </x:c>
      <x:c r="U1194" s="10" t="str">
        <x:v>mortgage recast</x:v>
      </x:c>
      <x:c r="V1194" s="10" t="str">
        <x:v>loan calculator</x:v>
      </x:c>
      <x:c r="W1194" s="10" t="str">
        <x:v>amortization sheet</x:v>
      </x:c>
      <x:c r="X1194" s="10" t="str">
        <x:v>extra payment plan</x:v>
      </x:c>
      <x:c r="Y1194" s="10" t="str">
        <x:v>mortgage planner</x:v>
      </x:c>
      <x:c r="Z1194" s="10" t="str">
        <x:v>loan spreadsheet</x:v>
      </x:c>
      <x:c r="AA1194" s="10" t="str">
        <x:v>recast template</x:v>
      </x:c>
      <x:c r="AB1194" s="10" t="str">
        <x:v>home loan tracker</x:v>
      </x:c>
      <x:c r="AC1194" s="10" t="str">
        <x:v>finance worksheet</x:v>
      </x:c>
      <x:c r="AD1194" s="10" t="str">
        <x:v>principal payment</x:v>
      </x:c>
      <x:c r="AE1194" s="10" t="str">
        <x:v>loan schedule</x:v>
      </x:c>
      <x:c r="AF1194" s="10" t="str">
        <x:v>budget mortgage</x:v>
      </x:c>
      <x:c r="AG1194" s="10" t="str">
        <x:v>excel mortgage</x:v>
      </x:c>
      <x:c r="AH1194" s="10" t="str">
        <x:v>Mortgage payoff / calculator</x:v>
      </x:c>
      <x:c r="AI1194" s="13" t="n">
        <x:v>4</x:v>
      </x:c>
      <x:c r="AJ1194" s="10" t="str">
        <x:f>IF(F1194&gt;0,"Active","No est. sales")</x:f>
        <x:v>No est. sales</x:v>
      </x:c>
    </x:row>
    <x:row r="1195">
      <x:c r="A1195" s="10" t="str">
        <x:v>Mortgage Affordability Calculator Template, Home Loan Budget Planner, Excel Estimator, Google Sheets Loan</x:v>
      </x:c>
      <x:c r="B1195" s="10" t="str">
        <x:v>https://www.etsy.com/listing/4401727992/mortgage-affordability-calculator</x:v>
      </x:c>
      <x:c r="C1195" s="10" t="str">
        <x:v>DaffodillsSheets</x:v>
      </x:c>
      <x:c r="D1195" s="10" t="str">
        <x:v>https://www.etsy.com/shop/DaffodillsSheets</x:v>
      </x:c>
      <x:c r="E1195" s="11" t="n">
        <x:v>10.87</x:v>
      </x:c>
      <x:c r="F1195" s="10" t="n">
        <x:v>0</x:v>
      </x:c>
      <x:c r="G1195" s="12" t="n">
        <x:v>0</x:v>
      </x:c>
      <x:c r="H1195" s="13" t="n">
        <x:v>0</x:v>
      </x:c>
      <x:c r="I1195" s="10" t="n">
        <x:v>0</x:v>
      </x:c>
      <x:c r="J1195" s="10" t="n">
        <x:v>0</x:v>
      </x:c>
      <x:c r="K1195" s="10" t="str">
        <x:v>8 Mo.</x:v>
      </x:c>
      <x:c r="L1195" s="10" t="n">
        <x:v>0</x:v>
      </x:c>
      <x:c r="M1195" s="10" t="n">
        <x:v>0</x:v>
      </x:c>
      <x:c r="N1195" s="10" t="n">
        <x:v>41</x:v>
      </x:c>
      <x:c r="O1195" s="10" t="str"/>
      <x:c r="P1195" s="10" t="n">
        <x:v>10</x:v>
      </x:c>
      <x:c r="Q1195" s="10" t="n">
        <x:v>0</x:v>
      </x:c>
      <x:c r="R1195" s="13" t="n">
        <x:v>0</x:v>
      </x:c>
      <x:c r="S1195" s="10" t="n">
        <x:v>567</x:v>
      </x:c>
      <x:c r="T1195" s="10" t="str">
        <x:v>home loan calculator,home budget planner,house loan budget,google sheets,home affordability,mortgage calculator,personal finance,real estate finance,mortgage payment,loan repayment,google sheets loan,excel mortgage,mortgage afford</x:v>
      </x:c>
      <x:c r="U1195" s="10" t="str">
        <x:v>home loan calculator</x:v>
      </x:c>
      <x:c r="V1195" s="10" t="str">
        <x:v>home budget planner</x:v>
      </x:c>
      <x:c r="W1195" s="10" t="str">
        <x:v>house loan budget</x:v>
      </x:c>
      <x:c r="X1195" s="10" t="str">
        <x:v>google sheets</x:v>
      </x:c>
      <x:c r="Y1195" s="10" t="str">
        <x:v>home affordability</x:v>
      </x:c>
      <x:c r="Z1195" s="10" t="str">
        <x:v>mortgage calculator</x:v>
      </x:c>
      <x:c r="AA1195" s="10" t="str">
        <x:v>personal finance</x:v>
      </x:c>
      <x:c r="AB1195" s="10" t="str">
        <x:v>real estate finance</x:v>
      </x:c>
      <x:c r="AC1195" s="10" t="str">
        <x:v>mortgage payment</x:v>
      </x:c>
      <x:c r="AD1195" s="10" t="str">
        <x:v>loan repayment</x:v>
      </x:c>
      <x:c r="AE1195" s="10" t="str">
        <x:v>google sheets loan</x:v>
      </x:c>
      <x:c r="AF1195" s="10" t="str">
        <x:v>excel mortgage</x:v>
      </x:c>
      <x:c r="AG1195" s="10" t="str">
        <x:v>mortgage afford</x:v>
      </x:c>
      <x:c r="AH1195" s="10" t="str">
        <x:v>Other mortgage-related</x:v>
      </x:c>
      <x:c r="AI1195" s="13" t="n">
        <x:v>8</x:v>
      </x:c>
      <x:c r="AJ1195" s="10" t="str">
        <x:f>IF(F1195&gt;0,"Active","No est. sales")</x:f>
        <x:v>No est. sales</x:v>
      </x:c>
    </x:row>
    <x:row r="1196">
      <x:c r="A1196" s="10" t="str">
        <x:v>Escrow Officer Leather Journal - Custom Name Real Estate Notebook, Escrow Professional Mortgage Gift, Closing Coordinator Planner</x:v>
      </x:c>
      <x:c r="B1196" s="10" t="str">
        <x:v>https://www.etsy.com/listing/4512975777/escrow-officer-leather-journal-custom</x:v>
      </x:c>
      <x:c r="C1196" s="10" t="str">
        <x:v>BlissfulGiftCreation</x:v>
      </x:c>
      <x:c r="D1196" s="10" t="str">
        <x:v>https://www.etsy.com/shop/BlissfulGiftCreation</x:v>
      </x:c>
      <x:c r="E1196" s="11" t="n">
        <x:v>11.67</x:v>
      </x:c>
      <x:c r="F1196" s="10" t="n">
        <x:v>0</x:v>
      </x:c>
      <x:c r="G1196" s="12" t="n">
        <x:v>0</x:v>
      </x:c>
      <x:c r="H1196" s="13" t="n">
        <x:v>0</x:v>
      </x:c>
      <x:c r="I1196" s="10" t="n">
        <x:v>0</x:v>
      </x:c>
      <x:c r="J1196" s="10" t="n">
        <x:v>0</x:v>
      </x:c>
      <x:c r="K1196" s="10" t="str">
        <x:v>2 Mo.</x:v>
      </x:c>
      <x:c r="L1196" s="10" t="n">
        <x:v>1</x:v>
      </x:c>
      <x:c r="M1196" s="10" t="n">
        <x:v>0</x:v>
      </x:c>
      <x:c r="N1196" s="10" t="n">
        <x:v>15</x:v>
      </x:c>
      <x:c r="O1196" s="10" t="str">
        <x:v>Books, Movies &amp; Music</x:v>
      </x:c>
      <x:c r="P1196" s="10" t="n">
        <x:v>71</x:v>
      </x:c>
      <x:c r="Q1196" s="10" t="n">
        <x:v>0</x:v>
      </x:c>
      <x:c r="R1196" s="13" t="n">
        <x:v>0</x:v>
      </x:c>
      <x:c r="S1196" s="10" t="n">
        <x:v>15448</x:v>
      </x:c>
      <x:c r="T1196" s="10" t="str">
        <x:v>journal for women,definition print,dictionary prints,coworker giftful,journal for men,appreciate thank you,escrow officer gift,real estate journal,closing coordinator,settlement agent,title company gift,loan officer gift,escrow closing</x:v>
      </x:c>
      <x:c r="U1196" s="10" t="str">
        <x:v>journal for women</x:v>
      </x:c>
      <x:c r="V1196" s="10" t="str">
        <x:v>definition print</x:v>
      </x:c>
      <x:c r="W1196" s="10" t="str">
        <x:v>dictionary prints</x:v>
      </x:c>
      <x:c r="X1196" s="10" t="str">
        <x:v>coworker giftful</x:v>
      </x:c>
      <x:c r="Y1196" s="10" t="str">
        <x:v>journal for men</x:v>
      </x:c>
      <x:c r="Z1196" s="10" t="str">
        <x:v>appreciate thank you</x:v>
      </x:c>
      <x:c r="AA1196" s="10" t="str">
        <x:v>escrow officer gift</x:v>
      </x:c>
      <x:c r="AB1196" s="10" t="str">
        <x:v>real estate journal</x:v>
      </x:c>
      <x:c r="AC1196" s="10" t="str">
        <x:v>closing coordinator</x:v>
      </x:c>
      <x:c r="AD1196" s="10" t="str">
        <x:v>settlement agent</x:v>
      </x:c>
      <x:c r="AE1196" s="10" t="str">
        <x:v>title company gift</x:v>
      </x:c>
      <x:c r="AF1196" s="10" t="str">
        <x:v>loan officer gift</x:v>
      </x:c>
      <x:c r="AG1196" s="10" t="str">
        <x:v>escrow closing</x:v>
      </x:c>
      <x:c r="AH1196" s="10" t="str">
        <x:v>Loan officer / B2B</x:v>
      </x:c>
      <x:c r="AI1196" s="13" t="n">
        <x:v>2</x:v>
      </x:c>
      <x:c r="AJ1196" s="10" t="str">
        <x:f>IF(F1196&gt;0,"Active","No est. sales")</x:f>
        <x:v>No est. sales</x:v>
      </x:c>
    </x:row>
    <x:row r="1197">
      <x:c r="A1197" s="10" t="str">
        <x:v>Mortgage Affordability Workbook | Dark Mode | Interactive Homebuyer Planner | DTI Calculator</x:v>
      </x:c>
      <x:c r="B1197" s="10" t="str">
        <x:v>https://www.etsy.com/listing/4480385601/mortgage-affordability-workbook-dark</x:v>
      </x:c>
      <x:c r="C1197" s="10" t="str">
        <x:v>SolvanaShop</x:v>
      </x:c>
      <x:c r="D1197" s="10" t="str">
        <x:v>https://www.etsy.com/shop/SolvanaShop</x:v>
      </x:c>
      <x:c r="E1197" s="11" t="n">
        <x:v>20.68</x:v>
      </x:c>
      <x:c r="F1197" s="10" t="n">
        <x:v>0</x:v>
      </x:c>
      <x:c r="G1197" s="12" t="n">
        <x:v>0</x:v>
      </x:c>
      <x:c r="H1197" s="13" t="n">
        <x:v>0</x:v>
      </x:c>
      <x:c r="I1197" s="10" t="n">
        <x:v>0</x:v>
      </x:c>
      <x:c r="J1197" s="10" t="n">
        <x:v>0</x:v>
      </x:c>
      <x:c r="K1197" s="10" t="str">
        <x:v>4 Mo.</x:v>
      </x:c>
      <x:c r="L1197" s="10" t="n">
        <x:v>0</x:v>
      </x:c>
      <x:c r="M1197" s="10" t="n">
        <x:v>0</x:v>
      </x:c>
      <x:c r="N1197" s="10" t="n">
        <x:v>3</x:v>
      </x:c>
      <x:c r="O1197" s="10" t="str"/>
      <x:c r="P1197" s="10" t="n">
        <x:v>30</x:v>
      </x:c>
      <x:c r="Q1197" s="10" t="n">
        <x:v>0</x:v>
      </x:c>
      <x:c r="R1197" s="13" t="n">
        <x:v>0</x:v>
      </x:c>
      <x:c r="S1197" s="10" t="n">
        <x:v>0</x:v>
      </x:c>
      <x:c r="T1197" s="10" t="str">
        <x:v>mortgage calculator,home budget worksheet,dti calculator,homebuyer guide,mortgage workbook,expense tracker,financial planner,printable planner,real estate tool,down payment planner,first time homebuyer,affordability planner</x:v>
      </x:c>
      <x:c r="U1197" s="10" t="str">
        <x:v>mortgage calculator</x:v>
      </x:c>
      <x:c r="V1197" s="10" t="str">
        <x:v>home budget worksheet</x:v>
      </x:c>
      <x:c r="W1197" s="10" t="str">
        <x:v>dti calculator</x:v>
      </x:c>
      <x:c r="X1197" s="10" t="str">
        <x:v>homebuyer guide</x:v>
      </x:c>
      <x:c r="Y1197" s="10" t="str">
        <x:v>mortgage workbook</x:v>
      </x:c>
      <x:c r="Z1197" s="10" t="str">
        <x:v>expense tracker</x:v>
      </x:c>
      <x:c r="AA1197" s="10" t="str">
        <x:v>financial planner</x:v>
      </x:c>
      <x:c r="AB1197" s="10" t="str">
        <x:v>printable planner</x:v>
      </x:c>
      <x:c r="AC1197" s="10" t="str">
        <x:v>real estate tool</x:v>
      </x:c>
      <x:c r="AD1197" s="10" t="str">
        <x:v>down payment planner</x:v>
      </x:c>
      <x:c r="AE1197" s="10" t="str">
        <x:v>first time homebuyer</x:v>
      </x:c>
      <x:c r="AF1197" s="10" t="str">
        <x:v>affordability planner</x:v>
      </x:c>
      <x:c r="AG1197" s="10" t="str">
        <x:v>--</x:v>
      </x:c>
      <x:c r="AH1197" s="10" t="str">
        <x:v>Home buying planner</x:v>
      </x:c>
      <x:c r="AI1197" s="13" t="n">
        <x:v>4</x:v>
      </x:c>
      <x:c r="AJ1197" s="10" t="str">
        <x:f>IF(F1197&gt;0,"Active","No est. sales")</x:f>
        <x:v>No est. sales</x:v>
      </x:c>
    </x:row>
    <x:row r="1198">
      <x:c r="A1198" s="10" t="str">
        <x:v>Mortgage Affordability Workbook | Interactive Homebuyer Planner | Sage | DTI Calculator</x:v>
      </x:c>
      <x:c r="B1198" s="10" t="str">
        <x:v>https://www.etsy.com/listing/4480390842/mortgage-affordability-workbook</x:v>
      </x:c>
      <x:c r="C1198" s="10" t="str">
        <x:v>SolvanaShop</x:v>
      </x:c>
      <x:c r="D1198" s="10" t="str">
        <x:v>https://www.etsy.com/shop/SolvanaShop</x:v>
      </x:c>
      <x:c r="E1198" s="11" t="n">
        <x:v>20.68</x:v>
      </x:c>
      <x:c r="F1198" s="10" t="n">
        <x:v>0</x:v>
      </x:c>
      <x:c r="G1198" s="12" t="n">
        <x:v>0</x:v>
      </x:c>
      <x:c r="H1198" s="13" t="n">
        <x:v>0</x:v>
      </x:c>
      <x:c r="I1198" s="10" t="n">
        <x:v>0</x:v>
      </x:c>
      <x:c r="J1198" s="10" t="n">
        <x:v>0</x:v>
      </x:c>
      <x:c r="K1198" s="10" t="str">
        <x:v>4 Mo.</x:v>
      </x:c>
      <x:c r="L1198" s="10" t="n">
        <x:v>0</x:v>
      </x:c>
      <x:c r="M1198" s="10" t="n">
        <x:v>0</x:v>
      </x:c>
      <x:c r="N1198" s="10" t="n">
        <x:v>0</x:v>
      </x:c>
      <x:c r="O1198" s="10" t="str"/>
      <x:c r="P1198" s="10" t="n">
        <x:v>30</x:v>
      </x:c>
      <x:c r="Q1198" s="10" t="n">
        <x:v>0</x:v>
      </x:c>
      <x:c r="R1198" s="13" t="n">
        <x:v>0</x:v>
      </x:c>
      <x:c r="S1198" s="10" t="n">
        <x:v>0</x:v>
      </x:c>
      <x:c r="T1198" s="10" t="str">
        <x:v>mortgage calculator,home budget worksheet,dti calculator,homebuyer guide,mortgage workbook,expense tracker,financial planner,printable planner,real estate tool,down payment planner,budget tracker,affordability planner,first time homebuyer</x:v>
      </x:c>
      <x:c r="U1198" s="10" t="str">
        <x:v>mortgage calculator</x:v>
      </x:c>
      <x:c r="V1198" s="10" t="str">
        <x:v>home budget worksheet</x:v>
      </x:c>
      <x:c r="W1198" s="10" t="str">
        <x:v>dti calculator</x:v>
      </x:c>
      <x:c r="X1198" s="10" t="str">
        <x:v>homebuyer guide</x:v>
      </x:c>
      <x:c r="Y1198" s="10" t="str">
        <x:v>mortgage workbook</x:v>
      </x:c>
      <x:c r="Z1198" s="10" t="str">
        <x:v>expense tracker</x:v>
      </x:c>
      <x:c r="AA1198" s="10" t="str">
        <x:v>financial planner</x:v>
      </x:c>
      <x:c r="AB1198" s="10" t="str">
        <x:v>printable planner</x:v>
      </x:c>
      <x:c r="AC1198" s="10" t="str">
        <x:v>real estate tool</x:v>
      </x:c>
      <x:c r="AD1198" s="10" t="str">
        <x:v>down payment planner</x:v>
      </x:c>
      <x:c r="AE1198" s="10" t="str">
        <x:v>budget tracker</x:v>
      </x:c>
      <x:c r="AF1198" s="10" t="str">
        <x:v>affordability planner</x:v>
      </x:c>
      <x:c r="AG1198" s="10" t="str">
        <x:v>first time homebuyer</x:v>
      </x:c>
      <x:c r="AH1198" s="10" t="str">
        <x:v>Home buying planner</x:v>
      </x:c>
      <x:c r="AI1198" s="13" t="n">
        <x:v>4</x:v>
      </x:c>
      <x:c r="AJ1198" s="10" t="str">
        <x:f>IF(F1198&gt;0,"Active","No est. sales")</x:f>
        <x:v>No est. sales</x:v>
      </x:c>
    </x:row>
    <x:row r="1199">
      <x:c r="A1199" s="10" t="str">
        <x:v>Debt Free Planner Google Sheets Payoff Tracker Credit Card Loan Mortgage Calculator Snowball Avalanche Financial Budget Spreadsheet</x:v>
      </x:c>
      <x:c r="B1199" s="10" t="str">
        <x:v>https://www.etsy.com/listing/4390674943/debt-free-planner-payoff-tracker-credit</x:v>
      </x:c>
      <x:c r="C1199" s="10" t="str">
        <x:v>SerenatasJourney</x:v>
      </x:c>
      <x:c r="D1199" s="10" t="str">
        <x:v>https://www.etsy.com/shop/SerenatasJourney</x:v>
      </x:c>
      <x:c r="E1199" s="11" t="n">
        <x:v>10.24</x:v>
      </x:c>
      <x:c r="F1199" s="10" t="n">
        <x:v>0</x:v>
      </x:c>
      <x:c r="G1199" s="12" t="n">
        <x:v>0</x:v>
      </x:c>
      <x:c r="H1199" s="13" t="n">
        <x:v>0</x:v>
      </x:c>
      <x:c r="I1199" s="10" t="n">
        <x:v>0</x:v>
      </x:c>
      <x:c r="J1199" s="10" t="n">
        <x:v>0</x:v>
      </x:c>
      <x:c r="K1199" s="10" t="str">
        <x:v>9 Mo.</x:v>
      </x:c>
      <x:c r="L1199" s="10" t="n">
        <x:v>7</x:v>
      </x:c>
      <x:c r="M1199" s="10" t="n">
        <x:v>0</x:v>
      </x:c>
      <x:c r="N1199" s="10" t="n">
        <x:v>150</x:v>
      </x:c>
      <x:c r="O1199" s="10" t="str">
        <x:v>Paper &amp; Party Supplies</x:v>
      </x:c>
      <x:c r="P1199" s="10" t="n">
        <x:v>41</x:v>
      </x:c>
      <x:c r="Q1199" s="10" t="n">
        <x:v>0</x:v>
      </x:c>
      <x:c r="R1199" s="13" t="n">
        <x:v>0</x:v>
      </x:c>
      <x:c r="S1199" s="10" t="n">
        <x:v>37587</x:v>
      </x:c>
      <x:c r="T1199" s="10" t="str">
        <x:v>debt free planner,google sheets,debt payoff tracker,financial planner,budget planner,debt snowball,debt avalanche,credit card payoff,mortgage payoff,loan payoff tracker,debt tracker,debt calculator,spreadsheet template</x:v>
      </x:c>
      <x:c r="U1199" s="10" t="str">
        <x:v>debt free planner</x:v>
      </x:c>
      <x:c r="V1199" s="10" t="str">
        <x:v>google sheets</x:v>
      </x:c>
      <x:c r="W1199" s="10" t="str">
        <x:v>debt payoff tracker</x:v>
      </x:c>
      <x:c r="X1199" s="10" t="str">
        <x:v>financial planner</x:v>
      </x:c>
      <x:c r="Y1199" s="10" t="str">
        <x:v>budget planner</x:v>
      </x:c>
      <x:c r="Z1199" s="10" t="str">
        <x:v>debt snowball</x:v>
      </x:c>
      <x:c r="AA1199" s="10" t="str">
        <x:v>debt avalanche</x:v>
      </x:c>
      <x:c r="AB1199" s="10" t="str">
        <x:v>credit card payoff</x:v>
      </x:c>
      <x:c r="AC1199" s="10" t="str">
        <x:v>mortgage payoff</x:v>
      </x:c>
      <x:c r="AD1199" s="10" t="str">
        <x:v>loan payoff tracker</x:v>
      </x:c>
      <x:c r="AE1199" s="10" t="str">
        <x:v>debt tracker</x:v>
      </x:c>
      <x:c r="AF1199" s="10" t="str">
        <x:v>debt calculator</x:v>
      </x:c>
      <x:c r="AG1199" s="10" t="str">
        <x:v>spreadsheet template</x:v>
      </x:c>
      <x:c r="AH1199" s="10" t="str">
        <x:v>Mortgage payoff / calculator</x:v>
      </x:c>
      <x:c r="AI1199" s="13" t="n">
        <x:v>9</x:v>
      </x:c>
      <x:c r="AJ1199" s="10" t="str">
        <x:f>IF(F1199&gt;0,"Active","No est. sales")</x:f>
        <x:v>No est. sales</x:v>
      </x:c>
    </x:row>
    <x:row r="1200">
      <x:c r="A1200" s="10" t="str">
        <x:v>House Sticker | Home, Apartment, Flat | Journal, Planner Stickers</x:v>
      </x:c>
      <x:c r="B1200" s="10" t="str">
        <x:v>https://www.etsy.com/listing/1769397169/house-sticker-home-apartment-flat</x:v>
      </x:c>
      <x:c r="C1200" s="10" t="str">
        <x:v>HillsideDesignsUK</x:v>
      </x:c>
      <x:c r="D1200" s="10" t="str">
        <x:v>https://www.etsy.com/shop/HillsideDesignsUK</x:v>
      </x:c>
      <x:c r="E1200" s="11" t="n">
        <x:v>2.82</x:v>
      </x:c>
      <x:c r="F1200" s="10" t="n">
        <x:v>0</x:v>
      </x:c>
      <x:c r="G1200" s="12" t="n">
        <x:v>0</x:v>
      </x:c>
      <x:c r="H1200" s="13" t="n">
        <x:v>0</x:v>
      </x:c>
      <x:c r="I1200" s="10" t="n">
        <x:v>4</x:v>
      </x:c>
      <x:c r="J1200" s="10" t="n">
        <x:v>1</x:v>
      </x:c>
      <x:c r="K1200" s="10" t="str">
        <x:v>24 Mo.</x:v>
      </x:c>
      <x:c r="L1200" s="10" t="n">
        <x:v>8</x:v>
      </x:c>
      <x:c r="M1200" s="10" t="n">
        <x:v>0</x:v>
      </x:c>
      <x:c r="N1200" s="10" t="n">
        <x:v>75</x:v>
      </x:c>
      <x:c r="O1200" s="10" t="str">
        <x:v>Paper &amp; Party Supplies</x:v>
      </x:c>
      <x:c r="P1200" s="10" t="n">
        <x:v>68</x:v>
      </x:c>
      <x:c r="Q1200" s="10" t="n">
        <x:v>0</x:v>
      </x:c>
      <x:c r="R1200" s="13" t="n">
        <x:v>5.33</x:v>
      </x:c>
      <x:c r="S1200" s="10" t="n">
        <x:v>7558</x:v>
      </x:c>
      <x:c r="T1200" s="10" t="str">
        <x:v>house,home,stickers,journal,planner,hobonichi,rent due,payment stickers,mortgage payment,cute house,house icon,icon sticker</x:v>
      </x:c>
      <x:c r="U1200" s="10" t="str">
        <x:v>house</x:v>
      </x:c>
      <x:c r="V1200" s="10" t="str">
        <x:v>home</x:v>
      </x:c>
      <x:c r="W1200" s="10" t="str">
        <x:v>stickers</x:v>
      </x:c>
      <x:c r="X1200" s="10" t="str">
        <x:v>journal</x:v>
      </x:c>
      <x:c r="Y1200" s="10" t="str">
        <x:v>planner</x:v>
      </x:c>
      <x:c r="Z1200" s="10" t="str">
        <x:v>hobonichi</x:v>
      </x:c>
      <x:c r="AA1200" s="10" t="str">
        <x:v>rent due</x:v>
      </x:c>
      <x:c r="AB1200" s="10" t="str">
        <x:v>payment stickers</x:v>
      </x:c>
      <x:c r="AC1200" s="10" t="str">
        <x:v>mortgage payment</x:v>
      </x:c>
      <x:c r="AD1200" s="10" t="str">
        <x:v>cute house</x:v>
      </x:c>
      <x:c r="AE1200" s="10" t="str">
        <x:v>house icon</x:v>
      </x:c>
      <x:c r="AF1200" s="10" t="str">
        <x:v>icon sticker</x:v>
      </x:c>
      <x:c r="AG1200" s="10" t="str">
        <x:v>--</x:v>
      </x:c>
      <x:c r="AH1200" s="10" t="str">
        <x:v>Other mortgage-related</x:v>
      </x:c>
      <x:c r="AI1200" s="13" t="n">
        <x:v>24</x:v>
      </x:c>
      <x:c r="AJ1200" s="10" t="str">
        <x:f>IF(F1200&gt;0,"Active","No est. sales")</x:f>
        <x:v>No est. sales</x:v>
      </x:c>
    </x:row>
    <x:row r="1201">
      <x:c r="A1201" s="10" t="str">
        <x:v>California Home Buyer GPT + PDF Checklist | Home Buying Planner | Mortgage &amp; House Hunting Assistant | Real Estate Planner</x:v>
      </x:c>
      <x:c r="B1201" s="10" t="str">
        <x:v>https://www.etsy.com/listing/4523961563/california-home-buyer-gpt-pdf-checklist</x:v>
      </x:c>
      <x:c r="C1201" s="10" t="str">
        <x:v>CashMochi</x:v>
      </x:c>
      <x:c r="D1201" s="10" t="str">
        <x:v>https://www.etsy.com/shop/CashMochi</x:v>
      </x:c>
      <x:c r="E1201" s="11" t="n">
        <x:v>12.95</x:v>
      </x:c>
      <x:c r="F1201" s="10" t="n">
        <x:v>0</x:v>
      </x:c>
      <x:c r="G1201" s="12" t="n">
        <x:v>0</x:v>
      </x:c>
      <x:c r="H1201" s="13" t="n">
        <x:v>0</x:v>
      </x:c>
      <x:c r="I1201" s="10" t="n">
        <x:v>0</x:v>
      </x:c>
      <x:c r="J1201" s="10" t="n">
        <x:v>0</x:v>
      </x:c>
      <x:c r="K1201" s="10" t="str">
        <x:v>1 Mo.</x:v>
      </x:c>
      <x:c r="L1201" s="10" t="n">
        <x:v>0</x:v>
      </x:c>
      <x:c r="M1201" s="10" t="n">
        <x:v>0</x:v>
      </x:c>
      <x:c r="N1201" s="10" t="n">
        <x:v>6</x:v>
      </x:c>
      <x:c r="O1201" s="10" t="str">
        <x:v>Books, Movies &amp; Music</x:v>
      </x:c>
      <x:c r="P1201" s="10" t="n">
        <x:v>2</x:v>
      </x:c>
      <x:c r="Q1201" s="10" t="n">
        <x:v>0</x:v>
      </x:c>
      <x:c r="R1201" s="13" t="n">
        <x:v>0</x:v>
      </x:c>
      <x:c r="S1201" s="10" t="n">
        <x:v>112</x:v>
      </x:c>
      <x:c r="T1201" s="10" t="str">
        <x:v>home buyer guide,digital planner,home buying gpt,california home,buying checklist,home planner pdf,real estate aihouse,mortgage guide,first time home,pdf checklist,home buyer ai,california buyer,house hunting ai</x:v>
      </x:c>
      <x:c r="U1201" s="10" t="str">
        <x:v>home buyer guide</x:v>
      </x:c>
      <x:c r="V1201" s="10" t="str">
        <x:v>digital planner</x:v>
      </x:c>
      <x:c r="W1201" s="10" t="str">
        <x:v>home buying gpt</x:v>
      </x:c>
      <x:c r="X1201" s="10" t="str">
        <x:v>california home</x:v>
      </x:c>
      <x:c r="Y1201" s="10" t="str">
        <x:v>buying checklist</x:v>
      </x:c>
      <x:c r="Z1201" s="10" t="str">
        <x:v>home planner pdf</x:v>
      </x:c>
      <x:c r="AA1201" s="10" t="str">
        <x:v>real estate aihouse</x:v>
      </x:c>
      <x:c r="AB1201" s="10" t="str">
        <x:v>mortgage guide</x:v>
      </x:c>
      <x:c r="AC1201" s="10" t="str">
        <x:v>first time home</x:v>
      </x:c>
      <x:c r="AD1201" s="10" t="str">
        <x:v>pdf checklist</x:v>
      </x:c>
      <x:c r="AE1201" s="10" t="str">
        <x:v>home buyer ai</x:v>
      </x:c>
      <x:c r="AF1201" s="10" t="str">
        <x:v>california buyer</x:v>
      </x:c>
      <x:c r="AG1201" s="10" t="str">
        <x:v>house hunting ai</x:v>
      </x:c>
      <x:c r="AH1201" s="10" t="str">
        <x:v>Home buying planner</x:v>
      </x:c>
      <x:c r="AI1201" s="13" t="n">
        <x:v>1</x:v>
      </x:c>
      <x:c r="AJ1201" s="10" t="str">
        <x:f>IF(F1201&gt;0,"Active","No est. sales")</x:f>
        <x:v>No est. sales</x:v>
      </x:c>
    </x:row>
    <x:row r="1202">
      <x:c r="A1202" s="10" t="str">
        <x:v>NESTLED First Home Buyer Planner App | Mortgage Calculator Down Payment Tracker | Home Buying Planner Digital Download</x:v>
      </x:c>
      <x:c r="B1202" s="10" t="str">
        <x:v>https://www.etsy.com/listing/4503708283/nestled-first-home-buyer-planner-app</x:v>
      </x:c>
      <x:c r="C1202" s="10" t="str">
        <x:v>digitalcreatorvault2</x:v>
      </x:c>
      <x:c r="D1202" s="10" t="str">
        <x:v>https://www.etsy.com/shop/digitalcreatorvault2</x:v>
      </x:c>
      <x:c r="E1202" s="11" t="n">
        <x:v>24.99</x:v>
      </x:c>
      <x:c r="F1202" s="10" t="n">
        <x:v>0</x:v>
      </x:c>
      <x:c r="G1202" s="12" t="n">
        <x:v>0</x:v>
      </x:c>
      <x:c r="H1202" s="13" t="n">
        <x:v>0</x:v>
      </x:c>
      <x:c r="I1202" s="10" t="n">
        <x:v>0</x:v>
      </x:c>
      <x:c r="J1202" s="10" t="n">
        <x:v>0</x:v>
      </x:c>
      <x:c r="K1202" s="10" t="str">
        <x:v>2 Mo.</x:v>
      </x:c>
      <x:c r="L1202" s="10" t="n">
        <x:v>2</x:v>
      </x:c>
      <x:c r="M1202" s="10" t="n">
        <x:v>0</x:v>
      </x:c>
      <x:c r="N1202" s="10" t="n">
        <x:v>34</x:v>
      </x:c>
      <x:c r="O1202" s="10" t="str"/>
      <x:c r="P1202" s="10" t="n">
        <x:v>6</x:v>
      </x:c>
      <x:c r="Q1202" s="10" t="n">
        <x:v>0</x:v>
      </x:c>
      <x:c r="R1202" s="13" t="n">
        <x:v>0</x:v>
      </x:c>
      <x:c r="S1202" s="10" t="n">
        <x:v>332</x:v>
      </x:c>
      <x:c r="T1202" s="10" t="str">
        <x:v>first home buyer app,home buying planner,mortgage calculator,down payment tracker,first time homebuyer,home buying app,home buyer digital,closing cost tool,home inspection app,real estate planner,homebuyer checklist,digital home planner,house buying guide</x:v>
      </x:c>
      <x:c r="U1202" s="10" t="str">
        <x:v>first home buyer app</x:v>
      </x:c>
      <x:c r="V1202" s="10" t="str">
        <x:v>home buying planner</x:v>
      </x:c>
      <x:c r="W1202" s="10" t="str">
        <x:v>mortgage calculator</x:v>
      </x:c>
      <x:c r="X1202" s="10" t="str">
        <x:v>down payment tracker</x:v>
      </x:c>
      <x:c r="Y1202" s="10" t="str">
        <x:v>first time homebuyer</x:v>
      </x:c>
      <x:c r="Z1202" s="10" t="str">
        <x:v>home buying app</x:v>
      </x:c>
      <x:c r="AA1202" s="10" t="str">
        <x:v>home buyer digital</x:v>
      </x:c>
      <x:c r="AB1202" s="10" t="str">
        <x:v>closing cost tool</x:v>
      </x:c>
      <x:c r="AC1202" s="10" t="str">
        <x:v>home inspection app</x:v>
      </x:c>
      <x:c r="AD1202" s="10" t="str">
        <x:v>real estate planner</x:v>
      </x:c>
      <x:c r="AE1202" s="10" t="str">
        <x:v>homebuyer checklist</x:v>
      </x:c>
      <x:c r="AF1202" s="10" t="str">
        <x:v>digital home planner</x:v>
      </x:c>
      <x:c r="AG1202" s="10" t="str">
        <x:v>house buying guide</x:v>
      </x:c>
      <x:c r="AH1202" s="10" t="str">
        <x:v>Home buying planner</x:v>
      </x:c>
      <x:c r="AI1202" s="13" t="n">
        <x:v>2</x:v>
      </x:c>
      <x:c r="AJ1202" s="10" t="str">
        <x:f>IF(F1202&gt;0,"Active","No est. sales")</x:f>
        <x:v>No est. sales</x:v>
      </x:c>
    </x:row>
    <x:row r="1203">
      <x:c r="A1203" s="10" t="str">
        <x:v>Mortgage Broker Template Spreadsheet Bundle, Mortgage Lender Loan Checklist Template Google Sheets,  Mortgage Pipeline Tracker CRM Planner</x:v>
      </x:c>
      <x:c r="B1203" s="10" t="str">
        <x:v>https://www.etsy.com/listing/4308762086/mortgage-broker-template-spreadsheet</x:v>
      </x:c>
      <x:c r="C1203" s="10" t="str">
        <x:v>SavvyandThriving</x:v>
      </x:c>
      <x:c r="D1203" s="10" t="str">
        <x:v>https://www.etsy.com/shop/SavvyandThriving</x:v>
      </x:c>
      <x:c r="E1203" s="11" t="n">
        <x:v>19.5</x:v>
      </x:c>
      <x:c r="F1203" s="10" t="n">
        <x:v>0</x:v>
      </x:c>
      <x:c r="G1203" s="12" t="n">
        <x:v>0</x:v>
      </x:c>
      <x:c r="H1203" s="13" t="n">
        <x:v>0</x:v>
      </x:c>
      <x:c r="I1203" s="10" t="n">
        <x:v>13</x:v>
      </x:c>
      <x:c r="J1203" s="10" t="n">
        <x:v>1</x:v>
      </x:c>
      <x:c r="K1203" s="10" t="str">
        <x:v>14 Mo.</x:v>
      </x:c>
      <x:c r="L1203" s="10" t="n">
        <x:v>46</x:v>
      </x:c>
      <x:c r="M1203" s="10" t="n">
        <x:v>0</x:v>
      </x:c>
      <x:c r="N1203" s="10" t="n">
        <x:v>1347</x:v>
      </x:c>
      <x:c r="O1203" s="10" t="str">
        <x:v>Paper &amp; Party Supplies</x:v>
      </x:c>
      <x:c r="P1203" s="10" t="n">
        <x:v>195</x:v>
      </x:c>
      <x:c r="Q1203" s="10" t="n">
        <x:v>36</x:v>
      </x:c>
      <x:c r="R1203" s="13" t="n">
        <x:v>0.97</x:v>
      </x:c>
      <x:c r="S1203" s="10" t="n">
        <x:v>45548</x:v>
      </x:c>
      <x:c r="T1203" s="10" t="str">
        <x:v>mortgage template,mortgage broker,mortgage lender,mortgage tracker,broker template,broker business,mortgage templates,loan processor,loan comparison,loan spreadsheet,real estate template,home loan,broker templates</x:v>
      </x:c>
      <x:c r="U1203" s="10" t="str">
        <x:v>mortgage template</x:v>
      </x:c>
      <x:c r="V1203" s="10" t="str">
        <x:v>mortgage broker</x:v>
      </x:c>
      <x:c r="W1203" s="10" t="str">
        <x:v>mortgage lender</x:v>
      </x:c>
      <x:c r="X1203" s="10" t="str">
        <x:v>mortgage tracker</x:v>
      </x:c>
      <x:c r="Y1203" s="10" t="str">
        <x:v>broker template</x:v>
      </x:c>
      <x:c r="Z1203" s="10" t="str">
        <x:v>broker business</x:v>
      </x:c>
      <x:c r="AA1203" s="10" t="str">
        <x:v>mortgage templates</x:v>
      </x:c>
      <x:c r="AB1203" s="10" t="str">
        <x:v>loan processor</x:v>
      </x:c>
      <x:c r="AC1203" s="10" t="str">
        <x:v>loan comparison</x:v>
      </x:c>
      <x:c r="AD1203" s="10" t="str">
        <x:v>loan spreadsheet</x:v>
      </x:c>
      <x:c r="AE1203" s="10" t="str">
        <x:v>real estate template</x:v>
      </x:c>
      <x:c r="AF1203" s="10" t="str">
        <x:v>home loan</x:v>
      </x:c>
      <x:c r="AG1203" s="10" t="str">
        <x:v>broker templates</x:v>
      </x:c>
      <x:c r="AH1203" s="10" t="str">
        <x:v>Loan officer / B2B</x:v>
      </x:c>
      <x:c r="AI1203" s="13" t="n">
        <x:v>14</x:v>
      </x:c>
      <x:c r="AJ1203" s="10" t="str">
        <x:f>IF(F1203&gt;0,"Active","No est. sales")</x:f>
        <x:v>No est. sales</x:v>
      </x:c>
    </x:row>
    <x:row r="1204">
      <x:c r="A1204" s="10" t="str">
        <x:v>First-Time Homebuyer Course – Step-by-Step Guide for Buying a Home – Digital Real Estate Workbook &amp; Planner</x:v>
      </x:c>
      <x:c r="B1204" s="10" t="str">
        <x:v>https://www.etsy.com/listing/4334958227/first-time-homebuyer-course-step-by-step</x:v>
      </x:c>
      <x:c r="C1204" s="10" t="str">
        <x:v>DavielierEmpower</x:v>
      </x:c>
      <x:c r="D1204" s="10" t="str">
        <x:v>https://www.etsy.com/shop/DavielierEmpower</x:v>
      </x:c>
      <x:c r="E1204" s="11" t="n">
        <x:v>19.99</x:v>
      </x:c>
      <x:c r="F1204" s="10" t="n">
        <x:v>0</x:v>
      </x:c>
      <x:c r="G1204" s="12" t="n">
        <x:v>0</x:v>
      </x:c>
      <x:c r="H1204" s="13" t="n">
        <x:v>0</x:v>
      </x:c>
      <x:c r="I1204" s="10" t="n">
        <x:v>0</x:v>
      </x:c>
      <x:c r="J1204" s="10" t="n">
        <x:v>0</x:v>
      </x:c>
      <x:c r="K1204" s="10" t="str">
        <x:v>5 Mo.</x:v>
      </x:c>
      <x:c r="L1204" s="10" t="n">
        <x:v>1</x:v>
      </x:c>
      <x:c r="M1204" s="10" t="n">
        <x:v>0</x:v>
      </x:c>
      <x:c r="N1204" s="10" t="n">
        <x:v>6</x:v>
      </x:c>
      <x:c r="O1204" s="10" t="str">
        <x:v>Books, Movies &amp; Music</x:v>
      </x:c>
      <x:c r="P1204" s="10" t="n">
        <x:v>5</x:v>
      </x:c>
      <x:c r="Q1204" s="10" t="n">
        <x:v>0</x:v>
      </x:c>
      <x:c r="R1204" s="13" t="n">
        <x:v>0</x:v>
      </x:c>
      <x:c r="S1204" s="10" t="n">
        <x:v>5</x:v>
      </x:c>
      <x:c r="T1204" s="10" t="str">
        <x:v>homebuyer course,real estate guide,buying first home,first home planner,digital home guide,mortgage tips,house buying pdf,budget for home,loan info sheet,checklist for home,real estate help,printable workbook,gift for adulting</x:v>
      </x:c>
      <x:c r="U1204" s="10" t="str">
        <x:v>homebuyer course</x:v>
      </x:c>
      <x:c r="V1204" s="10" t="str">
        <x:v>real estate guide</x:v>
      </x:c>
      <x:c r="W1204" s="10" t="str">
        <x:v>buying first home</x:v>
      </x:c>
      <x:c r="X1204" s="10" t="str">
        <x:v>first home planner</x:v>
      </x:c>
      <x:c r="Y1204" s="10" t="str">
        <x:v>digital home guide</x:v>
      </x:c>
      <x:c r="Z1204" s="10" t="str">
        <x:v>mortgage tips</x:v>
      </x:c>
      <x:c r="AA1204" s="10" t="str">
        <x:v>house buying pdf</x:v>
      </x:c>
      <x:c r="AB1204" s="10" t="str">
        <x:v>budget for home</x:v>
      </x:c>
      <x:c r="AC1204" s="10" t="str">
        <x:v>loan info sheet</x:v>
      </x:c>
      <x:c r="AD1204" s="10" t="str">
        <x:v>checklist for home</x:v>
      </x:c>
      <x:c r="AE1204" s="10" t="str">
        <x:v>real estate help</x:v>
      </x:c>
      <x:c r="AF1204" s="10" t="str">
        <x:v>printable workbook</x:v>
      </x:c>
      <x:c r="AG1204" s="10" t="str">
        <x:v>gift for adulting</x:v>
      </x:c>
      <x:c r="AH1204" s="10" t="str">
        <x:v>Other mortgage-related</x:v>
      </x:c>
      <x:c r="AI1204" s="13" t="n">
        <x:v>5</x:v>
      </x:c>
      <x:c r="AJ1204" s="10" t="str">
        <x:f>IF(F1204&gt;0,"Active","No est. sales")</x:f>
        <x:v>No est. sales</x:v>
      </x:c>
    </x:row>
    <x:row r="1205">
      <x:c r="A1205" s="10" t="str">
        <x:v>Debt Payoff Tracker Debt Snowball Avalanche Calculator Google Sheets Credit Card Loan Debt Template Financial Template Planner Spreadsheet</x:v>
      </x:c>
      <x:c r="B1205" s="10" t="str">
        <x:v>https://www.etsy.com/listing/4334019429/debt-payoff-tracker-debt-snowball</x:v>
      </x:c>
      <x:c r="C1205" s="10" t="str">
        <x:v>SHEETPOP</x:v>
      </x:c>
      <x:c r="D1205" s="10" t="str">
        <x:v>https://www.etsy.com/shop/SHEETPOP</x:v>
      </x:c>
      <x:c r="E1205" s="11" t="n">
        <x:v>7.27</x:v>
      </x:c>
      <x:c r="F1205" s="10" t="n">
        <x:v>0</x:v>
      </x:c>
      <x:c r="G1205" s="12" t="n">
        <x:v>0</x:v>
      </x:c>
      <x:c r="H1205" s="13" t="n">
        <x:v>0</x:v>
      </x:c>
      <x:c r="I1205" s="10" t="n">
        <x:v>0</x:v>
      </x:c>
      <x:c r="J1205" s="10" t="n">
        <x:v>0</x:v>
      </x:c>
      <x:c r="K1205" s="10" t="str">
        <x:v>5 Mo.</x:v>
      </x:c>
      <x:c r="L1205" s="10" t="n">
        <x:v>3</x:v>
      </x:c>
      <x:c r="M1205" s="10" t="n">
        <x:v>0</x:v>
      </x:c>
      <x:c r="N1205" s="10" t="n">
        <x:v>32</x:v>
      </x:c>
      <x:c r="O1205" s="10" t="str">
        <x:v>Paper &amp; Party Supplies</x:v>
      </x:c>
      <x:c r="P1205" s="10" t="n">
        <x:v>37</x:v>
      </x:c>
      <x:c r="Q1205" s="10" t="n">
        <x:v>0</x:v>
      </x:c>
      <x:c r="R1205" s="13" t="n">
        <x:v>0</x:v>
      </x:c>
      <x:c r="S1205" s="10" t="n">
        <x:v>192</x:v>
      </x:c>
      <x:c r="T1205" s="10" t="str">
        <x:v>debt payment tracker,debt snowball,debt avalanche,debt payoff planner,debt calculator,debt google sheets,debt spreadsheet,credit card payoff,student loan tracker,mortgage payoff,loan payoff tracker,credit utilization,dark mode template</x:v>
      </x:c>
      <x:c r="U1205" s="10" t="str">
        <x:v>debt payment tracker</x:v>
      </x:c>
      <x:c r="V1205" s="10" t="str">
        <x:v>debt snowball</x:v>
      </x:c>
      <x:c r="W1205" s="10" t="str">
        <x:v>debt avalanche</x:v>
      </x:c>
      <x:c r="X1205" s="10" t="str">
        <x:v>debt payoff planner</x:v>
      </x:c>
      <x:c r="Y1205" s="10" t="str">
        <x:v>debt calculator</x:v>
      </x:c>
      <x:c r="Z1205" s="10" t="str">
        <x:v>debt google sheets</x:v>
      </x:c>
      <x:c r="AA1205" s="10" t="str">
        <x:v>debt spreadsheet</x:v>
      </x:c>
      <x:c r="AB1205" s="10" t="str">
        <x:v>credit card payoff</x:v>
      </x:c>
      <x:c r="AC1205" s="10" t="str">
        <x:v>student loan tracker</x:v>
      </x:c>
      <x:c r="AD1205" s="10" t="str">
        <x:v>mortgage payoff</x:v>
      </x:c>
      <x:c r="AE1205" s="10" t="str">
        <x:v>loan payoff tracker</x:v>
      </x:c>
      <x:c r="AF1205" s="10" t="str">
        <x:v>credit utilization</x:v>
      </x:c>
      <x:c r="AG1205" s="10" t="str">
        <x:v>dark mode template</x:v>
      </x:c>
      <x:c r="AH1205" s="10" t="str">
        <x:v>General debt payoff</x:v>
      </x:c>
      <x:c r="AI1205" s="13" t="n">
        <x:v>5</x:v>
      </x:c>
      <x:c r="AJ1205" s="10" t="str">
        <x:f>IF(F1205&gt;0,"Active","No est. sales")</x:f>
        <x:v>No est. sales</x:v>
      </x:c>
    </x:row>
    <x:row r="1206">
      <x:c r="A1206" s="10" t="str">
        <x:v>Debt Repayment Printable Tracker Bundle | Student Loan Repayment Tracker | Debt Avalanche Debt Snowball Repayment Trackers</x:v>
      </x:c>
      <x:c r="B1206" s="10" t="str">
        <x:v>https://www.etsy.com/listing/724991038/debt-repayment-printable-tracker-bundle</x:v>
      </x:c>
      <x:c r="C1206" s="10" t="str">
        <x:v>DoubleDippedDesigns</x:v>
      </x:c>
      <x:c r="D1206" s="10" t="str">
        <x:v>https://www.etsy.com/shop/DoubleDippedDesigns</x:v>
      </x:c>
      <x:c r="E1206" s="11" t="n">
        <x:v>5</x:v>
      </x:c>
      <x:c r="F1206" s="10" t="n">
        <x:v>0</x:v>
      </x:c>
      <x:c r="G1206" s="12" t="n">
        <x:v>0</x:v>
      </x:c>
      <x:c r="H1206" s="13" t="n">
        <x:v>0</x:v>
      </x:c>
      <x:c r="I1206" s="10" t="n">
        <x:v>0</x:v>
      </x:c>
      <x:c r="J1206" s="10" t="n">
        <x:v>0</x:v>
      </x:c>
      <x:c r="K1206" s="10" t="str">
        <x:v>64 Mo.</x:v>
      </x:c>
      <x:c r="L1206" s="10" t="n">
        <x:v>6</x:v>
      </x:c>
      <x:c r="M1206" s="10" t="n">
        <x:v>0</x:v>
      </x:c>
      <x:c r="N1206" s="10" t="n">
        <x:v>0</x:v>
      </x:c>
      <x:c r="O1206" s="10" t="str">
        <x:v>Art &amp; Collectibles</x:v>
      </x:c>
      <x:c r="P1206" s="10" t="n">
        <x:v>109</x:v>
      </x:c>
      <x:c r="Q1206" s="10" t="n">
        <x:v>0</x:v>
      </x:c>
      <x:c r="R1206" s="13" t="n">
        <x:v>0</x:v>
      </x:c>
      <x:c r="S1206" s="10" t="n">
        <x:v>247</x:v>
      </x:c>
      <x:c r="T1206" s="10" t="str">
        <x:v>financial planner,financial tracker,financial printable,debt printable,debt payoff tracker,mortgage payoff,debt repayment,credit card payoff,mortgage repayment,student loan payment,credit card payment,debt avalanche,debt snowball</x:v>
      </x:c>
      <x:c r="U1206" s="10" t="str">
        <x:v>financial planner</x:v>
      </x:c>
      <x:c r="V1206" s="10" t="str">
        <x:v>financial tracker</x:v>
      </x:c>
      <x:c r="W1206" s="10" t="str">
        <x:v>financial printable</x:v>
      </x:c>
      <x:c r="X1206" s="10" t="str">
        <x:v>debt printable</x:v>
      </x:c>
      <x:c r="Y1206" s="10" t="str">
        <x:v>debt payoff tracker</x:v>
      </x:c>
      <x:c r="Z1206" s="10" t="str">
        <x:v>mortgage payoff</x:v>
      </x:c>
      <x:c r="AA1206" s="10" t="str">
        <x:v>debt repayment</x:v>
      </x:c>
      <x:c r="AB1206" s="10" t="str">
        <x:v>credit card payoff</x:v>
      </x:c>
      <x:c r="AC1206" s="10" t="str">
        <x:v>mortgage repayment</x:v>
      </x:c>
      <x:c r="AD1206" s="10" t="str">
        <x:v>student loan payment</x:v>
      </x:c>
      <x:c r="AE1206" s="10" t="str">
        <x:v>credit card payment</x:v>
      </x:c>
      <x:c r="AF1206" s="10" t="str">
        <x:v>debt avalanche</x:v>
      </x:c>
      <x:c r="AG1206" s="10" t="str">
        <x:v>debt snowball</x:v>
      </x:c>
      <x:c r="AH1206" s="10" t="str">
        <x:v>General debt payoff</x:v>
      </x:c>
      <x:c r="AI1206" s="13" t="n">
        <x:v>64</x:v>
      </x:c>
      <x:c r="AJ1206" s="10" t="str">
        <x:f>IF(F1206&gt;0,"Active","No est. sales")</x:f>
        <x:v>No est. sales</x:v>
      </x:c>
    </x:row>
    <x:row r="1207">
      <x:c r="A1207" s="10" t="str">
        <x:v>Debt Payment Tracker Printable, Snowball Debt Tracker Printable, Debt Progress Tracker, US Letter, A4, A5</x:v>
      </x:c>
      <x:c r="B1207" s="10" t="str">
        <x:v>https://www.etsy.com/listing/1163064178/debt-payment-tracker-printable-snowball</x:v>
      </x:c>
      <x:c r="C1207" s="10" t="str">
        <x:v>MawonStudio</x:v>
      </x:c>
      <x:c r="D1207" s="10" t="str">
        <x:v>https://www.etsy.com/shop/MawonStudio</x:v>
      </x:c>
      <x:c r="E1207" s="11" t="n">
        <x:v>1.45</x:v>
      </x:c>
      <x:c r="F1207" s="10" t="n">
        <x:v>0</x:v>
      </x:c>
      <x:c r="G1207" s="12" t="n">
        <x:v>0</x:v>
      </x:c>
      <x:c r="H1207" s="13" t="n">
        <x:v>0</x:v>
      </x:c>
      <x:c r="I1207" s="10" t="n">
        <x:v>0</x:v>
      </x:c>
      <x:c r="J1207" s="10" t="n">
        <x:v>0</x:v>
      </x:c>
      <x:c r="K1207" s="10" t="str">
        <x:v>33 Mo.</x:v>
      </x:c>
      <x:c r="L1207" s="10" t="n">
        <x:v>3</x:v>
      </x:c>
      <x:c r="M1207" s="10" t="n">
        <x:v>0</x:v>
      </x:c>
      <x:c r="N1207" s="10" t="n">
        <x:v>38</x:v>
      </x:c>
      <x:c r="O1207" s="10" t="str">
        <x:v>Art &amp; Collectibles</x:v>
      </x:c>
      <x:c r="P1207" s="10" t="n">
        <x:v>33</x:v>
      </x:c>
      <x:c r="Q1207" s="10" t="n">
        <x:v>0</x:v>
      </x:c>
      <x:c r="R1207" s="13" t="n">
        <x:v>0</x:v>
      </x:c>
      <x:c r="S1207" s="10" t="n">
        <x:v>250</x:v>
      </x:c>
      <x:c r="T1207" s="10" t="str">
        <x:v>debt tracker,debt payment,finance planner,debt payoff tracker,debt progress log,debt tracker log,snowball finance,credit card tracker,mortgage tracker,payoff tracker,debt snowball,debt free,debt management</x:v>
      </x:c>
      <x:c r="U1207" s="10" t="str">
        <x:v>debt tracker</x:v>
      </x:c>
      <x:c r="V1207" s="10" t="str">
        <x:v>debt payment</x:v>
      </x:c>
      <x:c r="W1207" s="10" t="str">
        <x:v>finance planner</x:v>
      </x:c>
      <x:c r="X1207" s="10" t="str">
        <x:v>debt payoff tracker</x:v>
      </x:c>
      <x:c r="Y1207" s="10" t="str">
        <x:v>debt progress log</x:v>
      </x:c>
      <x:c r="Z1207" s="10" t="str">
        <x:v>debt tracker log</x:v>
      </x:c>
      <x:c r="AA1207" s="10" t="str">
        <x:v>snowball finance</x:v>
      </x:c>
      <x:c r="AB1207" s="10" t="str">
        <x:v>credit card tracker</x:v>
      </x:c>
      <x:c r="AC1207" s="10" t="str">
        <x:v>mortgage tracker</x:v>
      </x:c>
      <x:c r="AD1207" s="10" t="str">
        <x:v>payoff tracker</x:v>
      </x:c>
      <x:c r="AE1207" s="10" t="str">
        <x:v>debt snowball</x:v>
      </x:c>
      <x:c r="AF1207" s="10" t="str">
        <x:v>debt free</x:v>
      </x:c>
      <x:c r="AG1207" s="10" t="str">
        <x:v>debt management</x:v>
      </x:c>
      <x:c r="AH1207" s="10" t="str">
        <x:v>General debt payoff</x:v>
      </x:c>
      <x:c r="AI1207" s="13" t="n">
        <x:v>33</x:v>
      </x:c>
      <x:c r="AJ1207" s="10" t="str">
        <x:f>IF(F1207&gt;0,"Active","No est. sales")</x:f>
        <x:v>No est. sales</x:v>
      </x:c>
    </x:row>
    <x:row r="1208">
      <x:c r="A1208" s="10" t="str">
        <x:v>Budgeting for a New Home Worksheet</x:v>
      </x:c>
      <x:c r="B1208" s="10" t="str">
        <x:v>https://www.etsy.com/listing/1847398210/budgeting-for-a-new-home-worksheet</x:v>
      </x:c>
      <x:c r="C1208" s="10" t="str">
        <x:v>MadebySylviaDesigns</x:v>
      </x:c>
      <x:c r="D1208" s="10" t="str">
        <x:v>https://www.etsy.com/shop/MadebySylviaDesigns</x:v>
      </x:c>
      <x:c r="E1208" s="11" t="n">
        <x:v>9.99</x:v>
      </x:c>
      <x:c r="F1208" s="10" t="n">
        <x:v>0</x:v>
      </x:c>
      <x:c r="G1208" s="12" t="n">
        <x:v>0</x:v>
      </x:c>
      <x:c r="H1208" s="13" t="n">
        <x:v>0</x:v>
      </x:c>
      <x:c r="I1208" s="10" t="n">
        <x:v>0</x:v>
      </x:c>
      <x:c r="J1208" s="10" t="n">
        <x:v>0</x:v>
      </x:c>
      <x:c r="K1208" s="10" t="str">
        <x:v>13 Mo.</x:v>
      </x:c>
      <x:c r="L1208" s="10" t="n">
        <x:v>1</x:v>
      </x:c>
      <x:c r="M1208" s="10" t="n">
        <x:v>0</x:v>
      </x:c>
      <x:c r="N1208" s="10" t="n">
        <x:v>8</x:v>
      </x:c>
      <x:c r="O1208" s="10" t="str">
        <x:v>Paper &amp; Party Supplies</x:v>
      </x:c>
      <x:c r="P1208" s="10" t="n">
        <x:v>13</x:v>
      </x:c>
      <x:c r="Q1208" s="10" t="n">
        <x:v>0</x:v>
      </x:c>
      <x:c r="R1208" s="13" t="n">
        <x:v>0</x:v>
      </x:c>
      <x:c r="S1208" s="10" t="n">
        <x:v>0</x:v>
      </x:c>
      <x:c r="T1208" s="10" t="str">
        <x:v>budgeting worksheet,home budget planner,new home budget,first-time homebuyer,mortgage planning,home purchase budget,financial planning,moving costs tracker,homeowner budget,real estate budget,budget planner,home financing tool</x:v>
      </x:c>
      <x:c r="U1208" s="10" t="str">
        <x:v>budgeting worksheet</x:v>
      </x:c>
      <x:c r="V1208" s="10" t="str">
        <x:v>home budget planner</x:v>
      </x:c>
      <x:c r="W1208" s="10" t="str">
        <x:v>new home budget</x:v>
      </x:c>
      <x:c r="X1208" s="10" t="str">
        <x:v>first-time homebuyer</x:v>
      </x:c>
      <x:c r="Y1208" s="10" t="str">
        <x:v>mortgage planning</x:v>
      </x:c>
      <x:c r="Z1208" s="10" t="str">
        <x:v>home purchase budget</x:v>
      </x:c>
      <x:c r="AA1208" s="10" t="str">
        <x:v>financial planning</x:v>
      </x:c>
      <x:c r="AB1208" s="10" t="str">
        <x:v>moving costs tracker</x:v>
      </x:c>
      <x:c r="AC1208" s="10" t="str">
        <x:v>homeowner budget</x:v>
      </x:c>
      <x:c r="AD1208" s="10" t="str">
        <x:v>real estate budget</x:v>
      </x:c>
      <x:c r="AE1208" s="10" t="str">
        <x:v>budget planner</x:v>
      </x:c>
      <x:c r="AF1208" s="10" t="str">
        <x:v>home financing tool</x:v>
      </x:c>
      <x:c r="AG1208" s="10" t="str">
        <x:v>--</x:v>
      </x:c>
      <x:c r="AH1208" s="10" t="str">
        <x:v>Other mortgage-related</x:v>
      </x:c>
      <x:c r="AI1208" s="13" t="n">
        <x:v>13</x:v>
      </x:c>
      <x:c r="AJ1208" s="10" t="str">
        <x:f>IF(F1208&gt;0,"Active","No est. sales")</x:f>
        <x:v>No est. sales</x:v>
      </x:c>
    </x:row>
    <x:row r="1209">
      <x:c r="A1209" s="10" t="str">
        <x:v>Amortization Schedule Template, Editable Google Sheets Easy Loan Repayment Tracker, Digital Download for Homeowners, Investors Loan Officers</x:v>
      </x:c>
      <x:c r="B1209" s="10" t="str">
        <x:v>https://www.etsy.com/listing/1807327111/amortization-schedule-template-editable</x:v>
      </x:c>
      <x:c r="C1209" s="10" t="str">
        <x:v>EsperanzaTRDesign</x:v>
      </x:c>
      <x:c r="D1209" s="10" t="str">
        <x:v>https://www.etsy.com/shop/EsperanzaTRDesign</x:v>
      </x:c>
      <x:c r="E1209" s="11" t="n">
        <x:v>4.99</x:v>
      </x:c>
      <x:c r="F1209" s="10" t="n">
        <x:v>0</x:v>
      </x:c>
      <x:c r="G1209" s="12" t="n">
        <x:v>0</x:v>
      </x:c>
      <x:c r="H1209" s="13" t="n">
        <x:v>0</x:v>
      </x:c>
      <x:c r="I1209" s="10" t="n">
        <x:v>0</x:v>
      </x:c>
      <x:c r="J1209" s="10" t="n">
        <x:v>0</x:v>
      </x:c>
      <x:c r="K1209" s="10" t="str">
        <x:v>19 Mo.</x:v>
      </x:c>
      <x:c r="L1209" s="10" t="n">
        <x:v>3</x:v>
      </x:c>
      <x:c r="M1209" s="10" t="n">
        <x:v>0</x:v>
      </x:c>
      <x:c r="N1209" s="10" t="n">
        <x:v>10</x:v>
      </x:c>
      <x:c r="O1209" s="10" t="str">
        <x:v>Paper &amp; Party Supplies</x:v>
      </x:c>
      <x:c r="P1209" s="10" t="n">
        <x:v>21</x:v>
      </x:c>
      <x:c r="Q1209" s="10" t="n">
        <x:v>0</x:v>
      </x:c>
      <x:c r="R1209" s="13" t="n">
        <x:v>0</x:v>
      </x:c>
      <x:c r="S1209" s="10" t="n">
        <x:v>63</x:v>
      </x:c>
      <x:c r="T1209" s="10" t="str">
        <x:v>payroll,mortgage tracker,pay off debt,mortgage planner,student loan,loan payoff tracker,debt repayment,loan payoff,balance sheet,loan tracker,fortnight,printable calender,debt payment tracker</x:v>
      </x:c>
      <x:c r="U1209" s="10" t="str">
        <x:v>payroll</x:v>
      </x:c>
      <x:c r="V1209" s="10" t="str">
        <x:v>mortgage tracker</x:v>
      </x:c>
      <x:c r="W1209" s="10" t="str">
        <x:v>pay off debt</x:v>
      </x:c>
      <x:c r="X1209" s="10" t="str">
        <x:v>mortgage planner</x:v>
      </x:c>
      <x:c r="Y1209" s="10" t="str">
        <x:v>student loan</x:v>
      </x:c>
      <x:c r="Z1209" s="10" t="str">
        <x:v>loan payoff tracker</x:v>
      </x:c>
      <x:c r="AA1209" s="10" t="str">
        <x:v>debt repayment</x:v>
      </x:c>
      <x:c r="AB1209" s="10" t="str">
        <x:v>loan payoff</x:v>
      </x:c>
      <x:c r="AC1209" s="10" t="str">
        <x:v>balance sheet</x:v>
      </x:c>
      <x:c r="AD1209" s="10" t="str">
        <x:v>loan tracker</x:v>
      </x:c>
      <x:c r="AE1209" s="10" t="str">
        <x:v>fortnight</x:v>
      </x:c>
      <x:c r="AF1209" s="10" t="str">
        <x:v>printable calender</x:v>
      </x:c>
      <x:c r="AG1209" s="10" t="str">
        <x:v>debt payment tracker</x:v>
      </x:c>
      <x:c r="AH1209" s="10" t="str">
        <x:v>Loan officer / B2B</x:v>
      </x:c>
      <x:c r="AI1209" s="13" t="n">
        <x:v>19</x:v>
      </x:c>
      <x:c r="AJ1209" s="10" t="str">
        <x:f>IF(F1209&gt;0,"Active","No est. sales")</x:f>
        <x:v>No est. sales</x:v>
      </x:c>
    </x:row>
    <x:row r="1210">
      <x:c r="A1210" s="10" t="str">
        <x:v>Home Buying Planner, House Hunting Organizer, Real Estate Notebook, Budget Tracker, Mortgage Calculator</x:v>
      </x:c>
      <x:c r="B1210" s="10" t="str">
        <x:v>https://www.etsy.com/listing/1656369912/home-buying-planner-house-hunting</x:v>
      </x:c>
      <x:c r="C1210" s="10" t="str">
        <x:v>InkwellEstates</x:v>
      </x:c>
      <x:c r="D1210" s="10" t="str">
        <x:v>https://www.etsy.com/shop/InkwellEstates</x:v>
      </x:c>
      <x:c r="E1210" s="11" t="n">
        <x:v>4.62</x:v>
      </x:c>
      <x:c r="F1210" s="10" t="n">
        <x:v>0</x:v>
      </x:c>
      <x:c r="G1210" s="12" t="n">
        <x:v>0</x:v>
      </x:c>
      <x:c r="H1210" s="13" t="n">
        <x:v>0</x:v>
      </x:c>
      <x:c r="I1210" s="10" t="n">
        <x:v>0</x:v>
      </x:c>
      <x:c r="J1210" s="10" t="n">
        <x:v>0</x:v>
      </x:c>
      <x:c r="K1210" s="10" t="str">
        <x:v>22 Mo.</x:v>
      </x:c>
      <x:c r="L1210" s="10" t="n">
        <x:v>0</x:v>
      </x:c>
      <x:c r="M1210" s="10" t="n">
        <x:v>0</x:v>
      </x:c>
      <x:c r="N1210" s="10" t="n">
        <x:v>9</x:v>
      </x:c>
      <x:c r="O1210" s="10" t="str">
        <x:v>Paper &amp; Party Supplies</x:v>
      </x:c>
      <x:c r="P1210" s="10" t="n">
        <x:v>22</x:v>
      </x:c>
      <x:c r="Q1210" s="10" t="n">
        <x:v>0</x:v>
      </x:c>
      <x:c r="R1210" s="13" t="n">
        <x:v>0</x:v>
      </x:c>
      <x:c r="S1210" s="10" t="n">
        <x:v>0</x:v>
      </x:c>
      <x:c r="T1210" s="10" t="str">
        <x:v>home buying planner,home buying,planner,printable planner,digital planner,house hunting,home planner,real estate,new home,printable,house buying planner,household planner,journal</x:v>
      </x:c>
      <x:c r="U1210" s="10" t="str">
        <x:v>home buying planner</x:v>
      </x:c>
      <x:c r="V1210" s="10" t="str">
        <x:v>home buying</x:v>
      </x:c>
      <x:c r="W1210" s="10" t="str">
        <x:v>planner</x:v>
      </x:c>
      <x:c r="X1210" s="10" t="str">
        <x:v>printable planner</x:v>
      </x:c>
      <x:c r="Y1210" s="10" t="str">
        <x:v>digital planner</x:v>
      </x:c>
      <x:c r="Z1210" s="10" t="str">
        <x:v>house hunting</x:v>
      </x:c>
      <x:c r="AA1210" s="10" t="str">
        <x:v>home planner</x:v>
      </x:c>
      <x:c r="AB1210" s="10" t="str">
        <x:v>real estate</x:v>
      </x:c>
      <x:c r="AC1210" s="10" t="str">
        <x:v>new home</x:v>
      </x:c>
      <x:c r="AD1210" s="10" t="str">
        <x:v>printable</x:v>
      </x:c>
      <x:c r="AE1210" s="10" t="str">
        <x:v>house buying planner</x:v>
      </x:c>
      <x:c r="AF1210" s="10" t="str">
        <x:v>household planner</x:v>
      </x:c>
      <x:c r="AG1210" s="10" t="str">
        <x:v>journal</x:v>
      </x:c>
      <x:c r="AH1210" s="10" t="str">
        <x:v>Home buying planner</x:v>
      </x:c>
      <x:c r="AI1210" s="13" t="n">
        <x:v>22</x:v>
      </x:c>
      <x:c r="AJ1210" s="10" t="str">
        <x:f>IF(F1210&gt;0,"Active","No est. sales")</x:f>
        <x:v>No est. sales</x:v>
      </x:c>
    </x:row>
    <x:row r="1211">
      <x:c r="A1211" s="10" t="str">
        <x:v>Home Buying Planner | Printable Digital House Hunt Organizer | Budget, Checklist, Mortgage Info &amp; Viewing Notes | Instant PDF Download|</x:v>
      </x:c>
      <x:c r="B1211" s="10" t="str">
        <x:v>https://www.etsy.com/listing/4324010515/home-buying-planner-printable-digital</x:v>
      </x:c>
      <x:c r="C1211" s="10" t="str">
        <x:v>Sashaselfcare</x:v>
      </x:c>
      <x:c r="D1211" s="10" t="str">
        <x:v>https://www.etsy.com/shop/Sashaselfcare</x:v>
      </x:c>
      <x:c r="E1211" s="11" t="n">
        <x:v>2.21</x:v>
      </x:c>
      <x:c r="F1211" s="10" t="n">
        <x:v>0</x:v>
      </x:c>
      <x:c r="G1211" s="12" t="n">
        <x:v>0</x:v>
      </x:c>
      <x:c r="H1211" s="13" t="n">
        <x:v>0</x:v>
      </x:c>
      <x:c r="I1211" s="10" t="n">
        <x:v>0</x:v>
      </x:c>
      <x:c r="J1211" s="10" t="n">
        <x:v>0</x:v>
      </x:c>
      <x:c r="K1211" s="10" t="str">
        <x:v>3 Mo.</x:v>
      </x:c>
      <x:c r="L1211" s="10" t="n">
        <x:v>1</x:v>
      </x:c>
      <x:c r="M1211" s="10" t="n">
        <x:v>0</x:v>
      </x:c>
      <x:c r="N1211" s="10" t="n">
        <x:v>5</x:v>
      </x:c>
      <x:c r="O1211" s="10" t="str"/>
      <x:c r="P1211" s="10" t="n">
        <x:v>3</x:v>
      </x:c>
      <x:c r="Q1211" s="10" t="n">
        <x:v>0</x:v>
      </x:c>
      <x:c r="R1211" s="13" t="n">
        <x:v>0</x:v>
      </x:c>
      <x:c r="S1211" s="10" t="n">
        <x:v>3</x:v>
      </x:c>
      <x:c r="T1211" s="10" t="str">
        <x:v>home buying planner,house hunting check,mortgage tracker,home buying budget,real estate planner,property comparison,moving planner,house purchase plan,home buying,organiser planner,instant download,home buying pdf,property planner</x:v>
      </x:c>
      <x:c r="U1211" s="10" t="str">
        <x:v>home buying planner</x:v>
      </x:c>
      <x:c r="V1211" s="10" t="str">
        <x:v>house hunting check</x:v>
      </x:c>
      <x:c r="W1211" s="10" t="str">
        <x:v>mortgage tracker</x:v>
      </x:c>
      <x:c r="X1211" s="10" t="str">
        <x:v>home buying budget</x:v>
      </x:c>
      <x:c r="Y1211" s="10" t="str">
        <x:v>real estate planner</x:v>
      </x:c>
      <x:c r="Z1211" s="10" t="str">
        <x:v>property comparison</x:v>
      </x:c>
      <x:c r="AA1211" s="10" t="str">
        <x:v>moving planner</x:v>
      </x:c>
      <x:c r="AB1211" s="10" t="str">
        <x:v>house purchase plan</x:v>
      </x:c>
      <x:c r="AC1211" s="10" t="str">
        <x:v>home buying</x:v>
      </x:c>
      <x:c r="AD1211" s="10" t="str">
        <x:v>organiser planner</x:v>
      </x:c>
      <x:c r="AE1211" s="10" t="str">
        <x:v>instant download</x:v>
      </x:c>
      <x:c r="AF1211" s="10" t="str">
        <x:v>home buying pdf</x:v>
      </x:c>
      <x:c r="AG1211" s="10" t="str">
        <x:v>property planner</x:v>
      </x:c>
      <x:c r="AH1211" s="10" t="str">
        <x:v>Home buying planner</x:v>
      </x:c>
      <x:c r="AI1211" s="13" t="n">
        <x:v>3</x:v>
      </x:c>
      <x:c r="AJ1211" s="10" t="str">
        <x:f>IF(F1211&gt;0,"Active","No est. sales")</x:f>
        <x:v>No est. sales</x:v>
      </x:c>
    </x:row>
    <x:row r="1212">
      <x:c r="A1212" s="10" t="str">
        <x:v>Loan Amortization Schedule</x:v>
      </x:c>
      <x:c r="B1212" s="10" t="str">
        <x:v>https://www.etsy.com/listing/4357445133/loan-amortization-schedule</x:v>
      </x:c>
      <x:c r="C1212" s="10" t="str">
        <x:v>RhythmTendencias</x:v>
      </x:c>
      <x:c r="D1212" s="10" t="str">
        <x:v>https://www.etsy.com/shop/RhythmTendencias</x:v>
      </x:c>
      <x:c r="E1212" s="11" t="n">
        <x:v>4.53</x:v>
      </x:c>
      <x:c r="F1212" s="10" t="n">
        <x:v>0</x:v>
      </x:c>
      <x:c r="G1212" s="12" t="n">
        <x:v>0</x:v>
      </x:c>
      <x:c r="H1212" s="13" t="n">
        <x:v>0</x:v>
      </x:c>
      <x:c r="I1212" s="10" t="n">
        <x:v>0</x:v>
      </x:c>
      <x:c r="J1212" s="10" t="n">
        <x:v>0</x:v>
      </x:c>
      <x:c r="K1212" s="10" t="str">
        <x:v>1 Mo.</x:v>
      </x:c>
      <x:c r="L1212" s="10" t="n">
        <x:v>0</x:v>
      </x:c>
      <x:c r="M1212" s="10" t="n">
        <x:v>0</x:v>
      </x:c>
      <x:c r="N1212" s="10" t="n">
        <x:v>1</x:v>
      </x:c>
      <x:c r="O1212" s="10" t="str">
        <x:v>Paper &amp; Party Supplies</x:v>
      </x:c>
      <x:c r="P1212" s="10" t="n">
        <x:v>1</x:v>
      </x:c>
      <x:c r="Q1212" s="10" t="n">
        <x:v>0</x:v>
      </x:c>
      <x:c r="R1212" s="13" t="n">
        <x:v>0</x:v>
      </x:c>
      <x:c r="S1212" s="10" t="n">
        <x:v>1</x:v>
      </x:c>
      <x:c r="T1212" s="10" t="str">
        <x:v>amortization,planner,repayment,loan calculator,loan payment,debt tracker sheet,payment tracker,loan schedule excel,finance organizer,mortgage payoff,budget planner</x:v>
      </x:c>
      <x:c r="U1212" s="10" t="str">
        <x:v>amortization</x:v>
      </x:c>
      <x:c r="V1212" s="10" t="str">
        <x:v>planner</x:v>
      </x:c>
      <x:c r="W1212" s="10" t="str">
        <x:v>repayment</x:v>
      </x:c>
      <x:c r="X1212" s="10" t="str">
        <x:v>loan calculator</x:v>
      </x:c>
      <x:c r="Y1212" s="10" t="str">
        <x:v>loan payment</x:v>
      </x:c>
      <x:c r="Z1212" s="10" t="str">
        <x:v>debt tracker sheet</x:v>
      </x:c>
      <x:c r="AA1212" s="10" t="str">
        <x:v>payment tracker</x:v>
      </x:c>
      <x:c r="AB1212" s="10" t="str">
        <x:v>loan schedule excel</x:v>
      </x:c>
      <x:c r="AC1212" s="10" t="str">
        <x:v>finance organizer</x:v>
      </x:c>
      <x:c r="AD1212" s="10" t="str">
        <x:v>mortgage payoff</x:v>
      </x:c>
      <x:c r="AE1212" s="10" t="str">
        <x:v>budget planner</x:v>
      </x:c>
      <x:c r="AF1212" s="10" t="str">
        <x:v>--</x:v>
      </x:c>
      <x:c r="AG1212" s="10" t="str">
        <x:v>--</x:v>
      </x:c>
      <x:c r="AH1212" s="10" t="str">
        <x:v>General loan calculator</x:v>
      </x:c>
      <x:c r="AI1212" s="13" t="n">
        <x:v>1</x:v>
      </x:c>
      <x:c r="AJ1212" s="10" t="str">
        <x:f>IF(F1212&gt;0,"Active","No est. sales")</x:f>
        <x:v>No est. sales</x:v>
      </x:c>
    </x:row>
    <x:row r="1213">
      <x:c r="A1213" s="10" t="str">
        <x:v>Mortgage Payoff Tracker: Loan Amortization Schedule (Excel - Instant Download)</x:v>
      </x:c>
      <x:c r="B1213" s="10" t="str">
        <x:v>https://www.etsy.com/listing/4365017943/mortgage-payoff-tracker-loan</x:v>
      </x:c>
      <x:c r="C1213" s="10" t="str">
        <x:v>DocsNJosh</x:v>
      </x:c>
      <x:c r="D1213" s="10" t="str">
        <x:v>https://www.etsy.com/shop/DocsNJosh</x:v>
      </x:c>
      <x:c r="E1213" s="11" t="n">
        <x:v>11.75</x:v>
      </x:c>
      <x:c r="F1213" s="10" t="n">
        <x:v>0</x:v>
      </x:c>
      <x:c r="G1213" s="12" t="n">
        <x:v>0</x:v>
      </x:c>
      <x:c r="H1213" s="13" t="n">
        <x:v>0</x:v>
      </x:c>
      <x:c r="I1213" s="10" t="n">
        <x:v>0</x:v>
      </x:c>
      <x:c r="J1213" s="10" t="n">
        <x:v>2</x:v>
      </x:c>
      <x:c r="K1213" s="10" t="str">
        <x:v>6 Mo.</x:v>
      </x:c>
      <x:c r="L1213" s="10" t="n">
        <x:v>1</x:v>
      </x:c>
      <x:c r="M1213" s="10" t="n">
        <x:v>0</x:v>
      </x:c>
      <x:c r="N1213" s="10" t="n">
        <x:v>124</x:v>
      </x:c>
      <x:c r="O1213" s="10" t="str"/>
      <x:c r="P1213" s="10" t="n">
        <x:v>6</x:v>
      </x:c>
      <x:c r="Q1213" s="10" t="n">
        <x:v>0</x:v>
      </x:c>
      <x:c r="R1213" s="13" t="n">
        <x:v>0</x:v>
      </x:c>
      <x:c r="S1213" s="10" t="n">
        <x:v>6</x:v>
      </x:c>
      <x:c r="T1213" s="10" t="str">
        <x:v>earth color,loan calculator,mortgage template,payoff tracker excel,amortization plan,instant download,home planner,home finance sheet,loan tool,interest tracker,excel template,home loan summary,payoff document</x:v>
      </x:c>
      <x:c r="U1213" s="10" t="str">
        <x:v>earth color</x:v>
      </x:c>
      <x:c r="V1213" s="10" t="str">
        <x:v>loan calculator</x:v>
      </x:c>
      <x:c r="W1213" s="10" t="str">
        <x:v>mortgage template</x:v>
      </x:c>
      <x:c r="X1213" s="10" t="str">
        <x:v>payoff tracker excel</x:v>
      </x:c>
      <x:c r="Y1213" s="10" t="str">
        <x:v>amortization plan</x:v>
      </x:c>
      <x:c r="Z1213" s="10" t="str">
        <x:v>instant download</x:v>
      </x:c>
      <x:c r="AA1213" s="10" t="str">
        <x:v>home planner</x:v>
      </x:c>
      <x:c r="AB1213" s="10" t="str">
        <x:v>home finance sheet</x:v>
      </x:c>
      <x:c r="AC1213" s="10" t="str">
        <x:v>loan tool</x:v>
      </x:c>
      <x:c r="AD1213" s="10" t="str">
        <x:v>interest tracker</x:v>
      </x:c>
      <x:c r="AE1213" s="10" t="str">
        <x:v>excel template</x:v>
      </x:c>
      <x:c r="AF1213" s="10" t="str">
        <x:v>home loan summary</x:v>
      </x:c>
      <x:c r="AG1213" s="10" t="str">
        <x:v>payoff document</x:v>
      </x:c>
      <x:c r="AH1213" s="10" t="str">
        <x:v>Mortgage payoff / calculator</x:v>
      </x:c>
      <x:c r="AI1213" s="13" t="n">
        <x:v>6</x:v>
      </x:c>
      <x:c r="AJ1213" s="10" t="str">
        <x:f>IF(F1213&gt;0,"Active","No est. sales")</x:f>
        <x:v>No est. sales</x:v>
      </x:c>
    </x:row>
    <x:row r="1214">
      <x:c r="A1214" s="10" t="str">
        <x:v>Digital Real Estate Home Buyer Guide | Home Buyer Roadmap Printable | Moving Checklist | Realtor Planner Pdf | Editable Canva Template A5 A4</x:v>
      </x:c>
      <x:c r="B1214" s="10" t="str">
        <x:v>https://www.etsy.com/listing/4415664376/digital-real-estate-home-buyer-guide</x:v>
      </x:c>
      <x:c r="C1214" s="10" t="str">
        <x:v>ClareDesignEbook</x:v>
      </x:c>
      <x:c r="D1214" s="10" t="str">
        <x:v>https://www.etsy.com/shop/ClareDesignEbook</x:v>
      </x:c>
      <x:c r="E1214" s="11" t="n">
        <x:v>2.94</x:v>
      </x:c>
      <x:c r="F1214" s="10" t="n">
        <x:v>0</x:v>
      </x:c>
      <x:c r="G1214" s="12" t="n">
        <x:v>0</x:v>
      </x:c>
      <x:c r="H1214" s="13" t="n">
        <x:v>0</x:v>
      </x:c>
      <x:c r="I1214" s="10" t="n">
        <x:v>0</x:v>
      </x:c>
      <x:c r="J1214" s="10" t="n">
        <x:v>0</x:v>
      </x:c>
      <x:c r="K1214" s="10" t="str">
        <x:v>1 Mo.</x:v>
      </x:c>
      <x:c r="L1214" s="10" t="n">
        <x:v>0</x:v>
      </x:c>
      <x:c r="M1214" s="10" t="n">
        <x:v>0</x:v>
      </x:c>
      <x:c r="N1214" s="10" t="n">
        <x:v>5</x:v>
      </x:c>
      <x:c r="O1214" s="10" t="str"/>
      <x:c r="P1214" s="10" t="n">
        <x:v>2</x:v>
      </x:c>
      <x:c r="Q1214" s="10" t="n">
        <x:v>0</x:v>
      </x:c>
      <x:c r="R1214" s="13" t="n">
        <x:v>0</x:v>
      </x:c>
      <x:c r="S1214" s="10" t="n">
        <x:v>3</x:v>
      </x:c>
      <x:c r="T1214" s="10" t="str">
        <x:v>home buying planner,house hunting planner,real estate organizer,first time home buyer,mortgage planner,home purchase checklist,property search tracker,budget and finance planner,home buying printable,real estate printable,moving planner,home ownership planner,instant download planner</x:v>
      </x:c>
      <x:c r="U1214" s="10" t="str">
        <x:v>home buying planner</x:v>
      </x:c>
      <x:c r="V1214" s="10" t="str">
        <x:v>house hunting planner</x:v>
      </x:c>
      <x:c r="W1214" s="10" t="str">
        <x:v>real estate organizer</x:v>
      </x:c>
      <x:c r="X1214" s="10" t="str">
        <x:v>first time home buyer</x:v>
      </x:c>
      <x:c r="Y1214" s="10" t="str">
        <x:v>mortgage planner</x:v>
      </x:c>
      <x:c r="Z1214" s="10" t="str">
        <x:v>home purchase checklist</x:v>
      </x:c>
      <x:c r="AA1214" s="10" t="str">
        <x:v>property search tracker</x:v>
      </x:c>
      <x:c r="AB1214" s="10" t="str">
        <x:v>budget and finance planner</x:v>
      </x:c>
      <x:c r="AC1214" s="10" t="str">
        <x:v>home buying printable</x:v>
      </x:c>
      <x:c r="AD1214" s="10" t="str">
        <x:v>real estate printable</x:v>
      </x:c>
      <x:c r="AE1214" s="10" t="str">
        <x:v>moving planner</x:v>
      </x:c>
      <x:c r="AF1214" s="10" t="str">
        <x:v>home ownership planner</x:v>
      </x:c>
      <x:c r="AG1214" s="10" t="str">
        <x:v>instant download planner</x:v>
      </x:c>
      <x:c r="AH1214" s="10" t="str">
        <x:v>Home buying planner</x:v>
      </x:c>
      <x:c r="AI1214" s="13" t="n">
        <x:v>1</x:v>
      </x:c>
      <x:c r="AJ1214" s="10" t="str">
        <x:f>IF(F1214&gt;0,"Active","No est. sales")</x:f>
        <x:v>No est. sales</x:v>
      </x:c>
    </x:row>
    <x:row r="1215">
      <x:c r="A1215" s="10" t="str">
        <x:v>Debt Payoff Tracker Debt Snowball Avalanche Calculator for Google Sheets | Debt Free Planner Loan Tracker Credit Card Payoff Custom Chart</x:v>
      </x:c>
      <x:c r="B1215" s="10" t="str">
        <x:v>https://www.etsy.com/listing/4328783709/debt-payoff-tracker-debt-snowball</x:v>
      </x:c>
      <x:c r="C1215" s="10" t="str">
        <x:v>SHEETPOP</x:v>
      </x:c>
      <x:c r="D1215" s="10" t="str">
        <x:v>https://www.etsy.com/shop/SHEETPOP</x:v>
      </x:c>
      <x:c r="E1215" s="11" t="n">
        <x:v>7.27</x:v>
      </x:c>
      <x:c r="F1215" s="10" t="n">
        <x:v>0</x:v>
      </x:c>
      <x:c r="G1215" s="12" t="n">
        <x:v>0</x:v>
      </x:c>
      <x:c r="H1215" s="13" t="n">
        <x:v>0</x:v>
      </x:c>
      <x:c r="I1215" s="10" t="n">
        <x:v>0</x:v>
      </x:c>
      <x:c r="J1215" s="10" t="n">
        <x:v>0</x:v>
      </x:c>
      <x:c r="K1215" s="10" t="str">
        <x:v>5 Mo.</x:v>
      </x:c>
      <x:c r="L1215" s="10" t="n">
        <x:v>0</x:v>
      </x:c>
      <x:c r="M1215" s="10" t="n">
        <x:v>0</x:v>
      </x:c>
      <x:c r="N1215" s="10" t="n">
        <x:v>21</x:v>
      </x:c>
      <x:c r="O1215" s="10" t="str">
        <x:v>Paper &amp; Party Supplies</x:v>
      </x:c>
      <x:c r="P1215" s="10" t="n">
        <x:v>37</x:v>
      </x:c>
      <x:c r="Q1215" s="10" t="n">
        <x:v>0</x:v>
      </x:c>
      <x:c r="R1215" s="13" t="n">
        <x:v>0</x:v>
      </x:c>
      <x:c r="S1215" s="10" t="n">
        <x:v>192</x:v>
      </x:c>
      <x:c r="T1215" s="10" t="str">
        <x:v>debt payment tracker,debt snowball,debt avalanche,debt payoff planner,debt calculator,loan payoff tracker,credit card debt,mortgage payoff,student loan debt,financial planner,personal finance,debt google sheets,snowball method</x:v>
      </x:c>
      <x:c r="U1215" s="10" t="str">
        <x:v>debt payment tracker</x:v>
      </x:c>
      <x:c r="V1215" s="10" t="str">
        <x:v>debt snowball</x:v>
      </x:c>
      <x:c r="W1215" s="10" t="str">
        <x:v>debt avalanche</x:v>
      </x:c>
      <x:c r="X1215" s="10" t="str">
        <x:v>debt payoff planner</x:v>
      </x:c>
      <x:c r="Y1215" s="10" t="str">
        <x:v>debt calculator</x:v>
      </x:c>
      <x:c r="Z1215" s="10" t="str">
        <x:v>loan payoff tracker</x:v>
      </x:c>
      <x:c r="AA1215" s="10" t="str">
        <x:v>credit card debt</x:v>
      </x:c>
      <x:c r="AB1215" s="10" t="str">
        <x:v>mortgage payoff</x:v>
      </x:c>
      <x:c r="AC1215" s="10" t="str">
        <x:v>student loan debt</x:v>
      </x:c>
      <x:c r="AD1215" s="10" t="str">
        <x:v>financial planner</x:v>
      </x:c>
      <x:c r="AE1215" s="10" t="str">
        <x:v>personal finance</x:v>
      </x:c>
      <x:c r="AF1215" s="10" t="str">
        <x:v>debt google sheets</x:v>
      </x:c>
      <x:c r="AG1215" s="10" t="str">
        <x:v>snowball method</x:v>
      </x:c>
      <x:c r="AH1215" s="10" t="str">
        <x:v>General debt payoff</x:v>
      </x:c>
      <x:c r="AI1215" s="13" t="n">
        <x:v>5</x:v>
      </x:c>
      <x:c r="AJ1215" s="10" t="str">
        <x:f>IF(F1215&gt;0,"Active","No est. sales")</x:f>
        <x:v>No est. sales</x:v>
      </x:c>
    </x:row>
    <x:row r="1216">
      <x:c r="A1216" s="10" t="str">
        <x:v>Ultimate Mortgage Payoff Calculator Saving Interest Monthly Breakdown Build Equity Spreadsheet</x:v>
      </x:c>
      <x:c r="B1216" s="10" t="str">
        <x:v>https://www.etsy.com/listing/4408275669/ultimate-mortgage-payoff-calculator</x:v>
      </x:c>
      <x:c r="C1216" s="10" t="str">
        <x:v>InklingsEssentials</x:v>
      </x:c>
      <x:c r="D1216" s="10" t="str">
        <x:v>https://www.etsy.com/shop/InklingsEssentials</x:v>
      </x:c>
      <x:c r="E1216" s="11" t="n">
        <x:v>2.99</x:v>
      </x:c>
      <x:c r="F1216" s="10" t="n">
        <x:v>0</x:v>
      </x:c>
      <x:c r="G1216" s="12" t="n">
        <x:v>0</x:v>
      </x:c>
      <x:c r="H1216" s="13" t="n">
        <x:v>0</x:v>
      </x:c>
      <x:c r="I1216" s="10" t="n">
        <x:v>0</x:v>
      </x:c>
      <x:c r="J1216" s="10" t="n">
        <x:v>0</x:v>
      </x:c>
      <x:c r="K1216" s="10" t="str">
        <x:v>5 Mo.</x:v>
      </x:c>
      <x:c r="L1216" s="10" t="n">
        <x:v>0</x:v>
      </x:c>
      <x:c r="M1216" s="10" t="n">
        <x:v>0</x:v>
      </x:c>
      <x:c r="N1216" s="10" t="n">
        <x:v>64</x:v>
      </x:c>
      <x:c r="O1216" s="10" t="str"/>
      <x:c r="P1216" s="10" t="n">
        <x:v>5</x:v>
      </x:c>
      <x:c r="Q1216" s="10" t="n">
        <x:v>0</x:v>
      </x:c>
      <x:c r="R1216" s="13" t="n">
        <x:v>0</x:v>
      </x:c>
      <x:c r="S1216" s="10" t="n">
        <x:v>9</x:v>
      </x:c>
      <x:c r="T1216" s="10" t="str">
        <x:v>mortgage tracker,equity planner,mortgage spreadsheet,interest calculator,home owner tracker,debt tracker,home spreadsheet,loan spreadsheet,home loan tracker,principal tracker,mortgage payment,debt spreadsheet,loan payment tracker</x:v>
      </x:c>
      <x:c r="U1216" s="10" t="str">
        <x:v>mortgage tracker</x:v>
      </x:c>
      <x:c r="V1216" s="10" t="str">
        <x:v>equity planner</x:v>
      </x:c>
      <x:c r="W1216" s="10" t="str">
        <x:v>mortgage spreadsheet</x:v>
      </x:c>
      <x:c r="X1216" s="10" t="str">
        <x:v>interest calculator</x:v>
      </x:c>
      <x:c r="Y1216" s="10" t="str">
        <x:v>home owner tracker</x:v>
      </x:c>
      <x:c r="Z1216" s="10" t="str">
        <x:v>debt tracker</x:v>
      </x:c>
      <x:c r="AA1216" s="10" t="str">
        <x:v>home spreadsheet</x:v>
      </x:c>
      <x:c r="AB1216" s="10" t="str">
        <x:v>loan spreadsheet</x:v>
      </x:c>
      <x:c r="AC1216" s="10" t="str">
        <x:v>home loan tracker</x:v>
      </x:c>
      <x:c r="AD1216" s="10" t="str">
        <x:v>principal tracker</x:v>
      </x:c>
      <x:c r="AE1216" s="10" t="str">
        <x:v>mortgage payment</x:v>
      </x:c>
      <x:c r="AF1216" s="10" t="str">
        <x:v>debt spreadsheet</x:v>
      </x:c>
      <x:c r="AG1216" s="10" t="str">
        <x:v>loan payment tracker</x:v>
      </x:c>
      <x:c r="AH1216" s="10" t="str">
        <x:v>Mortgage payoff / calculator</x:v>
      </x:c>
      <x:c r="AI1216" s="13" t="n">
        <x:v>5</x:v>
      </x:c>
      <x:c r="AJ1216" s="10" t="str">
        <x:f>IF(F1216&gt;0,"Active","No est. sales")</x:f>
        <x:v>No est. sales</x:v>
      </x:c>
    </x:row>
    <x:row r="1217">
      <x:c r="A1217" s="10" t="str">
        <x:v>Mortgage Bill Functional/Icon Stickers, Planner Stickers, Erin Condren</x:v>
      </x:c>
      <x:c r="B1217" s="10" t="str">
        <x:v>https://www.etsy.com/listing/1384476341/mortgage-bill-functionalicon-stickers</x:v>
      </x:c>
      <x:c r="C1217" s="10" t="str">
        <x:v>ThatPlannerLifeCo</x:v>
      </x:c>
      <x:c r="D1217" s="10" t="str">
        <x:v>https://www.etsy.com/shop/ThatPlannerLifeCo</x:v>
      </x:c>
      <x:c r="E1217" s="11" t="n">
        <x:v>3.38</x:v>
      </x:c>
      <x:c r="F1217" s="10" t="n">
        <x:v>0</x:v>
      </x:c>
      <x:c r="G1217" s="12" t="n">
        <x:v>0</x:v>
      </x:c>
      <x:c r="H1217" s="13" t="n">
        <x:v>0</x:v>
      </x:c>
      <x:c r="I1217" s="10" t="n">
        <x:v>5</x:v>
      </x:c>
      <x:c r="J1217" s="10" t="n">
        <x:v>1</x:v>
      </x:c>
      <x:c r="K1217" s="10" t="str">
        <x:v>31 Mo.</x:v>
      </x:c>
      <x:c r="L1217" s="10" t="n">
        <x:v>34</x:v>
      </x:c>
      <x:c r="M1217" s="10" t="n">
        <x:v>0</x:v>
      </x:c>
      <x:c r="N1217" s="10" t="n">
        <x:v>277</x:v>
      </x:c>
      <x:c r="O1217" s="10" t="str">
        <x:v>Paper &amp; Party Supplies</x:v>
      </x:c>
      <x:c r="P1217" s="10" t="n">
        <x:v>75</x:v>
      </x:c>
      <x:c r="Q1217" s="10" t="n">
        <x:v>0</x:v>
      </x:c>
      <x:c r="R1217" s="13" t="n">
        <x:v>1.81</x:v>
      </x:c>
      <x:c r="S1217" s="10" t="n">
        <x:v>5610</x:v>
      </x:c>
      <x:c r="T1217" s="10" t="str">
        <x:v>glam planner,glam planning,best seller stickers,best seller,tracker stickers,habit tracker,stickers,planner stickers,icon stickers,functional stickers,mortgage,mortgage bill,mortgage stickers</x:v>
      </x:c>
      <x:c r="U1217" s="10" t="str">
        <x:v>glam planner</x:v>
      </x:c>
      <x:c r="V1217" s="10" t="str">
        <x:v>glam planning</x:v>
      </x:c>
      <x:c r="W1217" s="10" t="str">
        <x:v>best seller stickers</x:v>
      </x:c>
      <x:c r="X1217" s="10" t="str">
        <x:v>best seller</x:v>
      </x:c>
      <x:c r="Y1217" s="10" t="str">
        <x:v>tracker stickers</x:v>
      </x:c>
      <x:c r="Z1217" s="10" t="str">
        <x:v>habit tracker</x:v>
      </x:c>
      <x:c r="AA1217" s="10" t="str">
        <x:v>stickers</x:v>
      </x:c>
      <x:c r="AB1217" s="10" t="str">
        <x:v>planner stickers</x:v>
      </x:c>
      <x:c r="AC1217" s="10" t="str">
        <x:v>icon stickers</x:v>
      </x:c>
      <x:c r="AD1217" s="10" t="str">
        <x:v>functional stickers</x:v>
      </x:c>
      <x:c r="AE1217" s="10" t="str">
        <x:v>mortgage</x:v>
      </x:c>
      <x:c r="AF1217" s="10" t="str">
        <x:v>mortgage bill</x:v>
      </x:c>
      <x:c r="AG1217" s="10" t="str">
        <x:v>mortgage stickers</x:v>
      </x:c>
      <x:c r="AH1217" s="10" t="str">
        <x:v>Other mortgage-related</x:v>
      </x:c>
      <x:c r="AI1217" s="13" t="n">
        <x:v>31</x:v>
      </x:c>
      <x:c r="AJ1217" s="10" t="str">
        <x:f>IF(F1217&gt;0,"Active","No est. sales")</x:f>
        <x:v>No est. sales</x:v>
      </x:c>
    </x:row>
    <x:row r="1218">
      <x:c r="A1218" s="10" t="str">
        <x:v>Early Mortgage Payoff Calculator for Google Sheets, Mortgage Payoff Tracker, Debt Payoff, Mortgage Payment, Mortgage Amortization Calculator</x:v>
      </x:c>
      <x:c r="B1218" s="10" t="str">
        <x:v>https://www.etsy.com/listing/1675384746/early-mortgage-payoff-calculator-for</x:v>
      </x:c>
      <x:c r="C1218" s="10" t="str">
        <x:v>SophiFinance</x:v>
      </x:c>
      <x:c r="D1218" s="10" t="str">
        <x:v>https://www.etsy.com/shop/SophiFinance</x:v>
      </x:c>
      <x:c r="E1218" s="11" t="n">
        <x:v>6.7</x:v>
      </x:c>
      <x:c r="F1218" s="10" t="n">
        <x:v>0</x:v>
      </x:c>
      <x:c r="G1218" s="12" t="n">
        <x:v>0</x:v>
      </x:c>
      <x:c r="H1218" s="13" t="n">
        <x:v>0</x:v>
      </x:c>
      <x:c r="I1218" s="10" t="n">
        <x:v>0</x:v>
      </x:c>
      <x:c r="J1218" s="10" t="n">
        <x:v>0</x:v>
      </x:c>
      <x:c r="K1218" s="10" t="str">
        <x:v>17 Mo.</x:v>
      </x:c>
      <x:c r="L1218" s="10" t="n">
        <x:v>3</x:v>
      </x:c>
      <x:c r="M1218" s="10" t="n">
        <x:v>0</x:v>
      </x:c>
      <x:c r="N1218" s="10" t="n">
        <x:v>85</x:v>
      </x:c>
      <x:c r="O1218" s="10" t="str"/>
      <x:c r="P1218" s="10" t="n">
        <x:v>17</x:v>
      </x:c>
      <x:c r="Q1218" s="10" t="n">
        <x:v>0</x:v>
      </x:c>
      <x:c r="R1218" s="13" t="n">
        <x:v>0</x:v>
      </x:c>
      <x:c r="S1218" s="10" t="n">
        <x:v>1</x:v>
      </x:c>
      <x:c r="T1218" s="10" t="str">
        <x:v>debt snowball,mortgage tracker,financial planner,excel template,mortgage calculator,debt payoff template,budget planner,budget template,savings tracker</x:v>
      </x:c>
      <x:c r="U1218" s="10" t="str">
        <x:v>debt snowball</x:v>
      </x:c>
      <x:c r="V1218" s="10" t="str">
        <x:v>mortgage tracker</x:v>
      </x:c>
      <x:c r="W1218" s="10" t="str">
        <x:v>financial planner</x:v>
      </x:c>
      <x:c r="X1218" s="10" t="str">
        <x:v>excel template</x:v>
      </x:c>
      <x:c r="Y1218" s="10" t="str">
        <x:v>mortgage calculator</x:v>
      </x:c>
      <x:c r="Z1218" s="10" t="str">
        <x:v>debt payoff template</x:v>
      </x:c>
      <x:c r="AA1218" s="10" t="str">
        <x:v>budget planner</x:v>
      </x:c>
      <x:c r="AB1218" s="10" t="str">
        <x:v>budget template</x:v>
      </x:c>
      <x:c r="AC1218" s="10" t="str">
        <x:v>savings tracker</x:v>
      </x:c>
      <x:c r="AD1218" s="10" t="str">
        <x:v>--</x:v>
      </x:c>
      <x:c r="AE1218" s="10" t="str">
        <x:v>--</x:v>
      </x:c>
      <x:c r="AF1218" s="10" t="str">
        <x:v>--</x:v>
      </x:c>
      <x:c r="AG1218" s="10" t="str">
        <x:v>--</x:v>
      </x:c>
      <x:c r="AH1218" s="10" t="str">
        <x:v>General debt payoff</x:v>
      </x:c>
      <x:c r="AI1218" s="13" t="n">
        <x:v>17</x:v>
      </x:c>
      <x:c r="AJ1218" s="10" t="str">
        <x:f>IF(F1218&gt;0,"Active","No est. sales")</x:f>
        <x:v>No est. sales</x:v>
      </x:c>
    </x:row>
    <x:row r="1219">
      <x:c r="A1219" s="10" t="str">
        <x:v>Mortgage Payoff Calculator Spreadsheet, Loan Amortization Schedule, Extra Payment Payoff Planner, Google Sheets Excel</x:v>
      </x:c>
      <x:c r="B1219" s="10" t="str">
        <x:v>https://www.etsy.com/listing/4538509125/mortgage-payoff-calculator-spreadsheet</x:v>
      </x:c>
      <x:c r="C1219" s="10" t="str">
        <x:v>PennyPlanCrafts</x:v>
      </x:c>
      <x:c r="D1219" s="10" t="str">
        <x:v>https://www.etsy.com/shop/PennyPlanCrafts</x:v>
      </x:c>
      <x:c r="E1219" s="11" t="n">
        <x:v>9.98</x:v>
      </x:c>
      <x:c r="F1219" s="10" t="n">
        <x:v>0</x:v>
      </x:c>
      <x:c r="G1219" s="12" t="n">
        <x:v>0</x:v>
      </x:c>
      <x:c r="H1219" s="13" t="n">
        <x:v>0</x:v>
      </x:c>
      <x:c r="I1219" s="10" t="n">
        <x:v>0</x:v>
      </x:c>
      <x:c r="J1219" s="10" t="n">
        <x:v>0</x:v>
      </x:c>
      <x:c r="K1219" s="10" t="str">
        <x:v>1 Mo.</x:v>
      </x:c>
      <x:c r="L1219" s="10" t="n">
        <x:v>0</x:v>
      </x:c>
      <x:c r="M1219" s="10" t="n">
        <x:v>0</x:v>
      </x:c>
      <x:c r="N1219" s="10" t="n">
        <x:v>0</x:v>
      </x:c>
      <x:c r="O1219" s="10" t="str"/>
      <x:c r="P1219" s="10" t="n">
        <x:v>1</x:v>
      </x:c>
      <x:c r="Q1219" s="10" t="n">
        <x:v>0</x:v>
      </x:c>
      <x:c r="R1219" s="13" t="n">
        <x:v>0</x:v>
      </x:c>
      <x:c r="S1219" s="10" t="n">
        <x:v>1</x:v>
      </x:c>
      <x:c r="T1219" s="10" t="str">
        <x:v>mortgage calculator,loan payoff,amortization chart,mortgage spreadsheet,loan calculator,payoff calculator,extra payment,debt free calculator,home loan tracker,refinance calculator,interest calculator,finance spreadsheet,google sheets excel</x:v>
      </x:c>
      <x:c r="U1219" s="10" t="str">
        <x:v>mortgage calculator</x:v>
      </x:c>
      <x:c r="V1219" s="10" t="str">
        <x:v>loan payoff</x:v>
      </x:c>
      <x:c r="W1219" s="10" t="str">
        <x:v>amortization chart</x:v>
      </x:c>
      <x:c r="X1219" s="10" t="str">
        <x:v>mortgage spreadsheet</x:v>
      </x:c>
      <x:c r="Y1219" s="10" t="str">
        <x:v>loan calculator</x:v>
      </x:c>
      <x:c r="Z1219" s="10" t="str">
        <x:v>payoff calculator</x:v>
      </x:c>
      <x:c r="AA1219" s="10" t="str">
        <x:v>extra payment</x:v>
      </x:c>
      <x:c r="AB1219" s="10" t="str">
        <x:v>debt free calculator</x:v>
      </x:c>
      <x:c r="AC1219" s="10" t="str">
        <x:v>home loan tracker</x:v>
      </x:c>
      <x:c r="AD1219" s="10" t="str">
        <x:v>refinance calculator</x:v>
      </x:c>
      <x:c r="AE1219" s="10" t="str">
        <x:v>interest calculator</x:v>
      </x:c>
      <x:c r="AF1219" s="10" t="str">
        <x:v>finance spreadsheet</x:v>
      </x:c>
      <x:c r="AG1219" s="10" t="str">
        <x:v>google sheets excel</x:v>
      </x:c>
      <x:c r="AH1219" s="10" t="str">
        <x:v>Mortgage payoff / calculator</x:v>
      </x:c>
      <x:c r="AI1219" s="13" t="n">
        <x:v>1</x:v>
      </x:c>
      <x:c r="AJ1219" s="10" t="str">
        <x:f>IF(F1219&gt;0,"Active","No est. sales")</x:f>
        <x:v>No est. sales</x:v>
      </x:c>
    </x:row>
    <x:row r="1220">
      <x:c r="A1220" s="10" t="str">
        <x:v>Debt Payoff Tracker Debt Snowball Avalanche Calculator Google Sheets Credit Card Loan Debt Template Financial Template Planner Spreadsheet</x:v>
      </x:c>
      <x:c r="B1220" s="10" t="str">
        <x:v>https://www.etsy.com/listing/4360406706/debt-payoff-tracker-debt-snowball</x:v>
      </x:c>
      <x:c r="C1220" s="10" t="str">
        <x:v>Sheetpoppi</x:v>
      </x:c>
      <x:c r="D1220" s="10" t="str">
        <x:v>https://www.etsy.com/shop/Sheetpoppi</x:v>
      </x:c>
      <x:c r="E1220" s="11" t="n">
        <x:v>8.98</x:v>
      </x:c>
      <x:c r="F1220" s="10" t="n">
        <x:v>0</x:v>
      </x:c>
      <x:c r="G1220" s="12" t="n">
        <x:v>0</x:v>
      </x:c>
      <x:c r="H1220" s="13" t="n">
        <x:v>0</x:v>
      </x:c>
      <x:c r="I1220" s="10" t="n">
        <x:v>18</x:v>
      </x:c>
      <x:c r="J1220" s="10" t="n">
        <x:v>4</x:v>
      </x:c>
      <x:c r="K1220" s="10" t="str">
        <x:v>4 Mo.</x:v>
      </x:c>
      <x:c r="L1220" s="10" t="n">
        <x:v>3</x:v>
      </x:c>
      <x:c r="M1220" s="10" t="n">
        <x:v>1</x:v>
      </x:c>
      <x:c r="N1220" s="10" t="n">
        <x:v>92</x:v>
      </x:c>
      <x:c r="O1220" s="10" t="str">
        <x:v>Paper &amp; Party Supplies</x:v>
      </x:c>
      <x:c r="P1220" s="10" t="n">
        <x:v>11</x:v>
      </x:c>
      <x:c r="Q1220" s="10" t="n">
        <x:v>0</x:v>
      </x:c>
      <x:c r="R1220" s="13" t="n">
        <x:v>19.57</x:v>
      </x:c>
      <x:c r="S1220" s="10" t="n">
        <x:v>51</x:v>
      </x:c>
      <x:c r="T1220" s="10" t="str">
        <x:v>debt payment tracker,debt snowball,debt avalanche,debt payoff planner,debt calculator,debt google sheets,credit card payoff,student loan tracker,mortgage payoff,loan payoff tracker,credit utilization,dark mode template,debt spreadsheet</x:v>
      </x:c>
      <x:c r="U1220" s="10" t="str">
        <x:v>debt payment tracker</x:v>
      </x:c>
      <x:c r="V1220" s="10" t="str">
        <x:v>debt snowball</x:v>
      </x:c>
      <x:c r="W1220" s="10" t="str">
        <x:v>debt avalanche</x:v>
      </x:c>
      <x:c r="X1220" s="10" t="str">
        <x:v>debt payoff planner</x:v>
      </x:c>
      <x:c r="Y1220" s="10" t="str">
        <x:v>debt calculator</x:v>
      </x:c>
      <x:c r="Z1220" s="10" t="str">
        <x:v>debt google sheets</x:v>
      </x:c>
      <x:c r="AA1220" s="10" t="str">
        <x:v>credit card payoff</x:v>
      </x:c>
      <x:c r="AB1220" s="10" t="str">
        <x:v>student loan tracker</x:v>
      </x:c>
      <x:c r="AC1220" s="10" t="str">
        <x:v>mortgage payoff</x:v>
      </x:c>
      <x:c r="AD1220" s="10" t="str">
        <x:v>loan payoff tracker</x:v>
      </x:c>
      <x:c r="AE1220" s="10" t="str">
        <x:v>credit utilization</x:v>
      </x:c>
      <x:c r="AF1220" s="10" t="str">
        <x:v>dark mode template</x:v>
      </x:c>
      <x:c r="AG1220" s="10" t="str">
        <x:v>debt spreadsheet</x:v>
      </x:c>
      <x:c r="AH1220" s="10" t="str">
        <x:v>General debt payoff</x:v>
      </x:c>
      <x:c r="AI1220" s="13" t="n">
        <x:v>4</x:v>
      </x:c>
      <x:c r="AJ1220" s="10" t="str">
        <x:f>IF(F1220&gt;0,"Active","No est. sales")</x:f>
        <x:v>No est. sales</x:v>
      </x:c>
    </x:row>
    <x:row r="1221">
      <x:c r="A1221" s="10" t="str">
        <x:v>Home Buying Planner, House Hunting Planner, Home Buying Organizer, Real Estate Tracker, Mortgage Checklist, Moving Calendar</x:v>
      </x:c>
      <x:c r="B1221" s="10" t="str">
        <x:v>https://www.etsy.com/listing/1587628994/home-buying-planner-house-hunting</x:v>
      </x:c>
      <x:c r="C1221" s="10" t="str">
        <x:v>AffirmHerCompany</x:v>
      </x:c>
      <x:c r="D1221" s="10" t="str">
        <x:v>https://www.etsy.com/shop/AffirmHerCompany</x:v>
      </x:c>
      <x:c r="E1221" s="11" t="n">
        <x:v>2</x:v>
      </x:c>
      <x:c r="F1221" s="10" t="n">
        <x:v>0</x:v>
      </x:c>
      <x:c r="G1221" s="12" t="n">
        <x:v>0</x:v>
      </x:c>
      <x:c r="H1221" s="13" t="n">
        <x:v>0</x:v>
      </x:c>
      <x:c r="I1221" s="10" t="n">
        <x:v>0</x:v>
      </x:c>
      <x:c r="J1221" s="10" t="n">
        <x:v>0</x:v>
      </x:c>
      <x:c r="K1221" s="10" t="str">
        <x:v>29 Mo.</x:v>
      </x:c>
      <x:c r="L1221" s="10" t="n">
        <x:v>2</x:v>
      </x:c>
      <x:c r="M1221" s="10" t="n">
        <x:v>0</x:v>
      </x:c>
      <x:c r="N1221" s="10" t="n">
        <x:v>35</x:v>
      </x:c>
      <x:c r="O1221" s="10" t="str">
        <x:v>Paper &amp; Party Supplies</x:v>
      </x:c>
      <x:c r="P1221" s="10" t="n">
        <x:v>39</x:v>
      </x:c>
      <x:c r="Q1221" s="10" t="n">
        <x:v>0</x:v>
      </x:c>
      <x:c r="R1221" s="13" t="n">
        <x:v>0</x:v>
      </x:c>
      <x:c r="S1221" s="10" t="n">
        <x:v>5</x:v>
      </x:c>
      <x:c r="T1221" s="10" t="str">
        <x:v>home buying planner,home buying,real estate,printable planner,home planner,real estate planner,planner,new home,digital planner,moving,checklist,house buying,digital download</x:v>
      </x:c>
      <x:c r="U1221" s="10" t="str">
        <x:v>home buying planner</x:v>
      </x:c>
      <x:c r="V1221" s="10" t="str">
        <x:v>home buying</x:v>
      </x:c>
      <x:c r="W1221" s="10" t="str">
        <x:v>real estate</x:v>
      </x:c>
      <x:c r="X1221" s="10" t="str">
        <x:v>printable planner</x:v>
      </x:c>
      <x:c r="Y1221" s="10" t="str">
        <x:v>home planner</x:v>
      </x:c>
      <x:c r="Z1221" s="10" t="str">
        <x:v>real estate planner</x:v>
      </x:c>
      <x:c r="AA1221" s="10" t="str">
        <x:v>planner</x:v>
      </x:c>
      <x:c r="AB1221" s="10" t="str">
        <x:v>new home</x:v>
      </x:c>
      <x:c r="AC1221" s="10" t="str">
        <x:v>digital planner</x:v>
      </x:c>
      <x:c r="AD1221" s="10" t="str">
        <x:v>moving</x:v>
      </x:c>
      <x:c r="AE1221" s="10" t="str">
        <x:v>checklist</x:v>
      </x:c>
      <x:c r="AF1221" s="10" t="str">
        <x:v>house buying</x:v>
      </x:c>
      <x:c r="AG1221" s="10" t="str">
        <x:v>digital download</x:v>
      </x:c>
      <x:c r="AH1221" s="10" t="str">
        <x:v>Home buying planner</x:v>
      </x:c>
      <x:c r="AI1221" s="13" t="n">
        <x:v>29</x:v>
      </x:c>
      <x:c r="AJ1221" s="10" t="str">
        <x:f>IF(F1221&gt;0,"Active","No est. sales")</x:f>
        <x:v>No est. sales</x:v>
      </x:c>
    </x:row>
    <x:row r="1222">
      <x:c r="A1222" s="10" t="str">
        <x:v>House Payment Mortgage Payoff Tracker, House Payoff Tracker, Mortgage  Tracker, Debt Tracker, Debt Payoff Tracker, Home Savings Tracker</x:v>
      </x:c>
      <x:c r="B1222" s="10" t="str">
        <x:v>https://www.etsy.com/listing/1391946369/house-payment-mortgage-payoff-tracker</x:v>
      </x:c>
      <x:c r="C1222" s="10" t="str">
        <x:v>TheOrganizedCreative</x:v>
      </x:c>
      <x:c r="D1222" s="10" t="str">
        <x:v>https://www.etsy.com/shop/TheOrganizedCreative</x:v>
      </x:c>
      <x:c r="E1222" s="11" t="n">
        <x:v>1.99</x:v>
      </x:c>
      <x:c r="F1222" s="10" t="n">
        <x:v>0</x:v>
      </x:c>
      <x:c r="G1222" s="12" t="n">
        <x:v>0</x:v>
      </x:c>
      <x:c r="H1222" s="13" t="n">
        <x:v>0</x:v>
      </x:c>
      <x:c r="I1222" s="10" t="n">
        <x:v>0</x:v>
      </x:c>
      <x:c r="J1222" s="10" t="n">
        <x:v>0</x:v>
      </x:c>
      <x:c r="K1222" s="10" t="str">
        <x:v>35 Mo.</x:v>
      </x:c>
      <x:c r="L1222" s="10" t="n">
        <x:v>3</x:v>
      </x:c>
      <x:c r="M1222" s="10" t="n">
        <x:v>0</x:v>
      </x:c>
      <x:c r="N1222" s="10" t="n">
        <x:v>86</x:v>
      </x:c>
      <x:c r="O1222" s="10" t="str">
        <x:v>Paper &amp; Party Supplies</x:v>
      </x:c>
      <x:c r="P1222" s="10" t="n">
        <x:v>70</x:v>
      </x:c>
      <x:c r="Q1222" s="10" t="n">
        <x:v>0</x:v>
      </x:c>
      <x:c r="R1222" s="13" t="n">
        <x:v>0</x:v>
      </x:c>
      <x:c r="S1222" s="10" t="n">
        <x:v>5</x:v>
      </x:c>
      <x:c r="T1222" s="10" t="str">
        <x:v>mortgage payoff,mortgage planner,house payment,debt snowball,debt planner,dave ramsey,retirement planner,savings planner,savings tracker,debt printable,debt payoff tracker,house savings</x:v>
      </x:c>
      <x:c r="U1222" s="10" t="str">
        <x:v>mortgage payoff</x:v>
      </x:c>
      <x:c r="V1222" s="10" t="str">
        <x:v>mortgage planner</x:v>
      </x:c>
      <x:c r="W1222" s="10" t="str">
        <x:v>house payment</x:v>
      </x:c>
      <x:c r="X1222" s="10" t="str">
        <x:v>debt snowball</x:v>
      </x:c>
      <x:c r="Y1222" s="10" t="str">
        <x:v>debt planner</x:v>
      </x:c>
      <x:c r="Z1222" s="10" t="str">
        <x:v>dave ramsey</x:v>
      </x:c>
      <x:c r="AA1222" s="10" t="str">
        <x:v>retirement planner</x:v>
      </x:c>
      <x:c r="AB1222" s="10" t="str">
        <x:v>savings planner</x:v>
      </x:c>
      <x:c r="AC1222" s="10" t="str">
        <x:v>savings tracker</x:v>
      </x:c>
      <x:c r="AD1222" s="10" t="str">
        <x:v>debt printable</x:v>
      </x:c>
      <x:c r="AE1222" s="10" t="str">
        <x:v>debt payoff tracker</x:v>
      </x:c>
      <x:c r="AF1222" s="10" t="str">
        <x:v>house savings</x:v>
      </x:c>
      <x:c r="AG1222" s="10" t="str">
        <x:v>--</x:v>
      </x:c>
      <x:c r="AH1222" s="10" t="str">
        <x:v>General debt payoff</x:v>
      </x:c>
      <x:c r="AI1222" s="13" t="n">
        <x:v>35</x:v>
      </x:c>
      <x:c r="AJ1222" s="10" t="str">
        <x:f>IF(F1222&gt;0,"Active","No est. sales")</x:f>
        <x:v>No est. sales</x:v>
      </x:c>
    </x:row>
    <x:row r="1223">
      <x:c r="A1223" s="10" t="str">
        <x:v>Mortgage Tracker Template, Home Loan Payment Log, Amortization Schedule, Monthly Repayment Planner, Debt Reduction Sheet, LoanTracker</x:v>
      </x:c>
      <x:c r="B1223" s="10" t="str">
        <x:v>https://www.etsy.com/listing/1884093994/mortgage-tracker-template-home-loan</x:v>
      </x:c>
      <x:c r="C1223" s="10" t="str">
        <x:v>ArtlasTuncer</x:v>
      </x:c>
      <x:c r="D1223" s="10" t="str">
        <x:v>https://www.etsy.com/shop/ArtlasTuncer</x:v>
      </x:c>
      <x:c r="E1223" s="11" t="n">
        <x:v>9.98</x:v>
      </x:c>
      <x:c r="F1223" s="10" t="n">
        <x:v>0</x:v>
      </x:c>
      <x:c r="G1223" s="12" t="n">
        <x:v>0</x:v>
      </x:c>
      <x:c r="H1223" s="13" t="n">
        <x:v>0</x:v>
      </x:c>
      <x:c r="I1223" s="10" t="n">
        <x:v>0</x:v>
      </x:c>
      <x:c r="J1223" s="10" t="n">
        <x:v>0</x:v>
      </x:c>
      <x:c r="K1223" s="10" t="str">
        <x:v>3 Mo.</x:v>
      </x:c>
      <x:c r="L1223" s="10" t="n">
        <x:v>2</x:v>
      </x:c>
      <x:c r="M1223" s="10" t="n">
        <x:v>0</x:v>
      </x:c>
      <x:c r="N1223" s="10" t="n">
        <x:v>12</x:v>
      </x:c>
      <x:c r="O1223" s="10" t="str">
        <x:v>Paper &amp; Party Supplies</x:v>
      </x:c>
      <x:c r="P1223" s="10" t="n">
        <x:v>8</x:v>
      </x:c>
      <x:c r="Q1223" s="10" t="n">
        <x:v>0</x:v>
      </x:c>
      <x:c r="R1223" s="13" t="n">
        <x:v>0</x:v>
      </x:c>
      <x:c r="S1223" s="10" t="n">
        <x:v>234</x:v>
      </x:c>
      <x:c r="T1223" s="10" t="str">
        <x:v>mortgage tracker,home loan log,loan payment tracker,amortization chart,debt payoff log,extra payment sheet,mortgage planner,digital loan sheet,home finance log,monthly loan log,interest tracker,principal balance,digital loan tracker</x:v>
      </x:c>
      <x:c r="U1223" s="10" t="str">
        <x:v>mortgage tracker</x:v>
      </x:c>
      <x:c r="V1223" s="10" t="str">
        <x:v>home loan log</x:v>
      </x:c>
      <x:c r="W1223" s="10" t="str">
        <x:v>loan payment tracker</x:v>
      </x:c>
      <x:c r="X1223" s="10" t="str">
        <x:v>amortization chart</x:v>
      </x:c>
      <x:c r="Y1223" s="10" t="str">
        <x:v>debt payoff log</x:v>
      </x:c>
      <x:c r="Z1223" s="10" t="str">
        <x:v>extra payment sheet</x:v>
      </x:c>
      <x:c r="AA1223" s="10" t="str">
        <x:v>mortgage planner</x:v>
      </x:c>
      <x:c r="AB1223" s="10" t="str">
        <x:v>digital loan sheet</x:v>
      </x:c>
      <x:c r="AC1223" s="10" t="str">
        <x:v>home finance log</x:v>
      </x:c>
      <x:c r="AD1223" s="10" t="str">
        <x:v>monthly loan log</x:v>
      </x:c>
      <x:c r="AE1223" s="10" t="str">
        <x:v>interest tracker</x:v>
      </x:c>
      <x:c r="AF1223" s="10" t="str">
        <x:v>principal balance</x:v>
      </x:c>
      <x:c r="AG1223" s="10" t="str">
        <x:v>digital loan tracker</x:v>
      </x:c>
      <x:c r="AH1223" s="10" t="str">
        <x:v>Mortgage payoff / calculator</x:v>
      </x:c>
      <x:c r="AI1223" s="13" t="n">
        <x:v>3</x:v>
      </x:c>
      <x:c r="AJ1223" s="10" t="str">
        <x:f>IF(F1223&gt;0,"Active","No est. sales")</x:f>
        <x:v>No est. sales</x:v>
      </x:c>
    </x:row>
    <x:row r="1224">
      <x:c r="A1224" s="10" t="str">
        <x:v>Mortgage Tracker Stickers / Writable Bill Reminder Sticker Sheet For Planner (79)</x:v>
      </x:c>
      <x:c r="B1224" s="10" t="str">
        <x:v>https://www.etsy.com/listing/1445822219/mortgage-tracker-stickers-writable-bill</x:v>
      </x:c>
      <x:c r="C1224" s="10" t="str">
        <x:v>ColourItUnique</x:v>
      </x:c>
      <x:c r="D1224" s="10" t="str">
        <x:v>https://www.etsy.com/shop/ColourItUnique</x:v>
      </x:c>
      <x:c r="E1224" s="11" t="n">
        <x:v>3.27</x:v>
      </x:c>
      <x:c r="F1224" s="10" t="n">
        <x:v>0</x:v>
      </x:c>
      <x:c r="G1224" s="12" t="n">
        <x:v>0</x:v>
      </x:c>
      <x:c r="H1224" s="13" t="n">
        <x:v>0</x:v>
      </x:c>
      <x:c r="I1224" s="10" t="n">
        <x:v>0</x:v>
      </x:c>
      <x:c r="J1224" s="10" t="n">
        <x:v>0</x:v>
      </x:c>
      <x:c r="K1224" s="10" t="str">
        <x:v>32 Mo.</x:v>
      </x:c>
      <x:c r="L1224" s="10" t="n">
        <x:v>3</x:v>
      </x:c>
      <x:c r="M1224" s="10" t="n">
        <x:v>0</x:v>
      </x:c>
      <x:c r="N1224" s="10" t="n">
        <x:v>27</x:v>
      </x:c>
      <x:c r="O1224" s="10" t="str">
        <x:v>Paper &amp; Party Supplies</x:v>
      </x:c>
      <x:c r="P1224" s="10" t="n">
        <x:v>115</x:v>
      </x:c>
      <x:c r="Q1224" s="10" t="n">
        <x:v>0</x:v>
      </x:c>
      <x:c r="R1224" s="13" t="n">
        <x:v>0</x:v>
      </x:c>
      <x:c r="S1224" s="10" t="n">
        <x:v>413</x:v>
      </x:c>
      <x:c r="T1224" s="10" t="str">
        <x:v>gift under 5 10 20,mini sticker sheet,bill due cute small,pink blue purple,aqua budget paper,writable budgeting,journal calendar red,green yellow icon,mortgage tracker,stickers journaling,diary reminder,monthly chore chores,pastel planning home</x:v>
      </x:c>
      <x:c r="U1224" s="10" t="str">
        <x:v>gift under 5 10 20</x:v>
      </x:c>
      <x:c r="V1224" s="10" t="str">
        <x:v>mini sticker sheet</x:v>
      </x:c>
      <x:c r="W1224" s="10" t="str">
        <x:v>bill due cute small</x:v>
      </x:c>
      <x:c r="X1224" s="10" t="str">
        <x:v>pink blue purple</x:v>
      </x:c>
      <x:c r="Y1224" s="10" t="str">
        <x:v>aqua budget paper</x:v>
      </x:c>
      <x:c r="Z1224" s="10" t="str">
        <x:v>writable budgeting</x:v>
      </x:c>
      <x:c r="AA1224" s="10" t="str">
        <x:v>journal calendar red</x:v>
      </x:c>
      <x:c r="AB1224" s="10" t="str">
        <x:v>green yellow icon</x:v>
      </x:c>
      <x:c r="AC1224" s="10" t="str">
        <x:v>mortgage tracker</x:v>
      </x:c>
      <x:c r="AD1224" s="10" t="str">
        <x:v>stickers journaling</x:v>
      </x:c>
      <x:c r="AE1224" s="10" t="str">
        <x:v>diary reminder</x:v>
      </x:c>
      <x:c r="AF1224" s="10" t="str">
        <x:v>monthly chore chores</x:v>
      </x:c>
      <x:c r="AG1224" s="10" t="str">
        <x:v>pastel planning home</x:v>
      </x:c>
      <x:c r="AH1224" s="10" t="str">
        <x:v>Other mortgage-related</x:v>
      </x:c>
      <x:c r="AI1224" s="13" t="n">
        <x:v>32</x:v>
      </x:c>
      <x:c r="AJ1224" s="10" t="str">
        <x:f>IF(F1224&gt;0,"Active","No est. sales")</x:f>
        <x:v>No est. sales</x:v>
      </x:c>
    </x:row>
    <x:row r="1225">
      <x:c r="A1225" s="10" t="str">
        <x:v>Debt Payoff Tracker Debt Snowball Excel Debt Avalanche Calculator Google Sheets Credit Card Loan Tracker Credit Card Payoff Mortgage Payment</x:v>
      </x:c>
      <x:c r="B1225" s="10" t="str">
        <x:v>https://www.etsy.com/listing/4544782341/debt-payoff-tracker-debt-snowball-excel</x:v>
      </x:c>
      <x:c r="C1225" s="10" t="str">
        <x:v>Easy2PrintStore</x:v>
      </x:c>
      <x:c r="D1225" s="10" t="str">
        <x:v>https://www.etsy.com/shop/Easy2PrintStore</x:v>
      </x:c>
      <x:c r="E1225" s="11" t="n">
        <x:v>22.84</x:v>
      </x:c>
      <x:c r="F1225" s="10" t="n">
        <x:v>0</x:v>
      </x:c>
      <x:c r="G1225" s="12" t="n">
        <x:v>0</x:v>
      </x:c>
      <x:c r="H1225" s="13" t="n">
        <x:v>0</x:v>
      </x:c>
      <x:c r="I1225" s="10" t="n">
        <x:v>0</x:v>
      </x:c>
      <x:c r="J1225" s="10" t="n">
        <x:v>0</x:v>
      </x:c>
      <x:c r="K1225" s="10" t="str">
        <x:v>1 Mo.</x:v>
      </x:c>
      <x:c r="L1225" s="10" t="n">
        <x:v>0</x:v>
      </x:c>
      <x:c r="M1225" s="10" t="n">
        <x:v>0</x:v>
      </x:c>
      <x:c r="N1225" s="10" t="n">
        <x:v>1</x:v>
      </x:c>
      <x:c r="O1225" s="10" t="str">
        <x:v>Books, Movies &amp; Music</x:v>
      </x:c>
      <x:c r="P1225" s="10" t="n">
        <x:v>26</x:v>
      </x:c>
      <x:c r="Q1225" s="10" t="n">
        <x:v>0</x:v>
      </x:c>
      <x:c r="R1225" s="13" t="n">
        <x:v>0</x:v>
      </x:c>
      <x:c r="S1225" s="10" t="n">
        <x:v>192</x:v>
      </x:c>
      <x:c r="T1225" s="10" t="str">
        <x:v>credit utilization,credit score focus,debt avalanche,mortgage payoff,credit card payoff,debt payoff chart,debt snowball,student loan debt,debt payment tracker,debt payoff tracker,debt template,financial planner,credit score debt</x:v>
      </x:c>
      <x:c r="U1225" s="10" t="str">
        <x:v>credit utilization</x:v>
      </x:c>
      <x:c r="V1225" s="10" t="str">
        <x:v>credit score focus</x:v>
      </x:c>
      <x:c r="W1225" s="10" t="str">
        <x:v>debt avalanche</x:v>
      </x:c>
      <x:c r="X1225" s="10" t="str">
        <x:v>mortgage payoff</x:v>
      </x:c>
      <x:c r="Y1225" s="10" t="str">
        <x:v>credit card payoff</x:v>
      </x:c>
      <x:c r="Z1225" s="10" t="str">
        <x:v>debt payoff chart</x:v>
      </x:c>
      <x:c r="AA1225" s="10" t="str">
        <x:v>debt snowball</x:v>
      </x:c>
      <x:c r="AB1225" s="10" t="str">
        <x:v>student loan debt</x:v>
      </x:c>
      <x:c r="AC1225" s="10" t="str">
        <x:v>debt payment tracker</x:v>
      </x:c>
      <x:c r="AD1225" s="10" t="str">
        <x:v>debt payoff tracker</x:v>
      </x:c>
      <x:c r="AE1225" s="10" t="str">
        <x:v>debt template</x:v>
      </x:c>
      <x:c r="AF1225" s="10" t="str">
        <x:v>financial planner</x:v>
      </x:c>
      <x:c r="AG1225" s="10" t="str">
        <x:v>credit score debt</x:v>
      </x:c>
      <x:c r="AH1225" s="10" t="str">
        <x:v>General debt payoff</x:v>
      </x:c>
      <x:c r="AI1225" s="13" t="n">
        <x:v>1</x:v>
      </x:c>
      <x:c r="AJ1225" s="10" t="str">
        <x:f>IF(F1225&gt;0,"Active","No est. sales")</x:f>
        <x:v>No est. sales</x:v>
      </x:c>
    </x:row>
    <x:row r="1226">
      <x:c r="A1226" s="10" t="str">
        <x:v>Mortgage Payoff Tracker Printable: House payoff log, debt payoff tracker, debt repayment (Digital Download &amp; Fillable PDF)</x:v>
      </x:c>
      <x:c r="B1226" s="10" t="str">
        <x:v>https://www.etsy.com/listing/1828181657/mortgage-payoff-tracker-printable-house</x:v>
      </x:c>
      <x:c r="C1226" s="10" t="str">
        <x:v>PrioritizedLiving</x:v>
      </x:c>
      <x:c r="D1226" s="10" t="str">
        <x:v>https://www.etsy.com/shop/PrioritizedLiving</x:v>
      </x:c>
      <x:c r="E1226" s="11" t="n">
        <x:v>2.47</x:v>
      </x:c>
      <x:c r="F1226" s="10" t="n">
        <x:v>0</x:v>
      </x:c>
      <x:c r="G1226" s="12" t="n">
        <x:v>0</x:v>
      </x:c>
      <x:c r="H1226" s="13" t="n">
        <x:v>0</x:v>
      </x:c>
      <x:c r="I1226" s="10" t="n">
        <x:v>0</x:v>
      </x:c>
      <x:c r="J1226" s="10" t="n">
        <x:v>0</x:v>
      </x:c>
      <x:c r="K1226" s="10" t="str">
        <x:v>20 Mo.</x:v>
      </x:c>
      <x:c r="L1226" s="10" t="n">
        <x:v>2</x:v>
      </x:c>
      <x:c r="M1226" s="10" t="n">
        <x:v>0</x:v>
      </x:c>
      <x:c r="N1226" s="10" t="n">
        <x:v>23</x:v>
      </x:c>
      <x:c r="O1226" s="10" t="str">
        <x:v>Paper &amp; Party Supplies</x:v>
      </x:c>
      <x:c r="P1226" s="10" t="n">
        <x:v>68</x:v>
      </x:c>
      <x:c r="Q1226" s="10" t="n">
        <x:v>0</x:v>
      </x:c>
      <x:c r="R1226" s="13" t="n">
        <x:v>0</x:v>
      </x:c>
      <x:c r="S1226" s="10" t="n">
        <x:v>155</x:v>
      </x:c>
      <x:c r="T1226" s="10" t="str">
        <x:v>mortgage payoff,mortgage tracker,debt payoff tracker,debt tracker,financial planner,budget binder,finance planner,house payoff,budget planner,debt repayment,financial tracker,money management,finance organizer</x:v>
      </x:c>
      <x:c r="U1226" s="10" t="str">
        <x:v>mortgage payoff</x:v>
      </x:c>
      <x:c r="V1226" s="10" t="str">
        <x:v>mortgage tracker</x:v>
      </x:c>
      <x:c r="W1226" s="10" t="str">
        <x:v>debt payoff tracker</x:v>
      </x:c>
      <x:c r="X1226" s="10" t="str">
        <x:v>debt tracker</x:v>
      </x:c>
      <x:c r="Y1226" s="10" t="str">
        <x:v>financial planner</x:v>
      </x:c>
      <x:c r="Z1226" s="10" t="str">
        <x:v>budget binder</x:v>
      </x:c>
      <x:c r="AA1226" s="10" t="str">
        <x:v>finance planner</x:v>
      </x:c>
      <x:c r="AB1226" s="10" t="str">
        <x:v>house payoff</x:v>
      </x:c>
      <x:c r="AC1226" s="10" t="str">
        <x:v>budget planner</x:v>
      </x:c>
      <x:c r="AD1226" s="10" t="str">
        <x:v>debt repayment</x:v>
      </x:c>
      <x:c r="AE1226" s="10" t="str">
        <x:v>financial tracker</x:v>
      </x:c>
      <x:c r="AF1226" s="10" t="str">
        <x:v>money management</x:v>
      </x:c>
      <x:c r="AG1226" s="10" t="str">
        <x:v>finance organizer</x:v>
      </x:c>
      <x:c r="AH1226" s="10" t="str">
        <x:v>Mortgage payoff / calculator</x:v>
      </x:c>
      <x:c r="AI1226" s="13" t="n">
        <x:v>20</x:v>
      </x:c>
      <x:c r="AJ1226" s="10" t="str">
        <x:f>IF(F1226&gt;0,"Active","No est. sales")</x:f>
        <x:v>No est. sales</x:v>
      </x:c>
    </x:row>
    <x:row r="1227">
      <x:c r="A1227" s="10" t="str">
        <x:v>1973-5~~Mortgage Due Check Box Planner Stickers.</x:v>
      </x:c>
      <x:c r="B1227" s="10" t="str">
        <x:v>https://www.etsy.com/listing/1005178782/1973-5mortgage-due-check-box-planner</x:v>
      </x:c>
      <x:c r="C1227" s="10" t="str">
        <x:v>PlanToPlan</x:v>
      </x:c>
      <x:c r="D1227" s="10" t="str">
        <x:v>https://www.etsy.com/shop/PlanToPlan</x:v>
      </x:c>
      <x:c r="E1227" s="11" t="n">
        <x:v>3.25</x:v>
      </x:c>
      <x:c r="F1227" s="10" t="n">
        <x:v>0</x:v>
      </x:c>
      <x:c r="G1227" s="12" t="n">
        <x:v>0</x:v>
      </x:c>
      <x:c r="H1227" s="13" t="n">
        <x:v>0</x:v>
      </x:c>
      <x:c r="I1227" s="10" t="n">
        <x:v>31</x:v>
      </x:c>
      <x:c r="J1227" s="10" t="n">
        <x:v>6</x:v>
      </x:c>
      <x:c r="K1227" s="10" t="str">
        <x:v>62 Mo.</x:v>
      </x:c>
      <x:c r="L1227" s="10" t="n">
        <x:v>40</x:v>
      </x:c>
      <x:c r="M1227" s="10" t="n">
        <x:v>0</x:v>
      </x:c>
      <x:c r="N1227" s="10" t="n">
        <x:v>246</x:v>
      </x:c>
      <x:c r="O1227" s="10" t="str">
        <x:v>Paper &amp; Party Supplies</x:v>
      </x:c>
      <x:c r="P1227" s="10" t="n">
        <x:v>126</x:v>
      </x:c>
      <x:c r="Q1227" s="10" t="n">
        <x:v>0</x:v>
      </x:c>
      <x:c r="R1227" s="13" t="n">
        <x:v>12.6</x:v>
      </x:c>
      <x:c r="S1227" s="10" t="n">
        <x:v>319985</x:v>
      </x:c>
      <x:c r="T1227" s="10" t="str">
        <x:v>planner stickers,reminder stickers,appointment stickers,tracker stickers,functional stickers,plantoplan,bill due stickers,quarter boxes,to do stickers,bill stickers,budget stickers,house payment due,mortgage due sticker</x:v>
      </x:c>
      <x:c r="U1227" s="10" t="str">
        <x:v>planner stickers</x:v>
      </x:c>
      <x:c r="V1227" s="10" t="str">
        <x:v>reminder stickers</x:v>
      </x:c>
      <x:c r="W1227" s="10" t="str">
        <x:v>appointment stickers</x:v>
      </x:c>
      <x:c r="X1227" s="10" t="str">
        <x:v>tracker stickers</x:v>
      </x:c>
      <x:c r="Y1227" s="10" t="str">
        <x:v>functional stickers</x:v>
      </x:c>
      <x:c r="Z1227" s="10" t="str">
        <x:v>plantoplan</x:v>
      </x:c>
      <x:c r="AA1227" s="10" t="str">
        <x:v>bill due stickers</x:v>
      </x:c>
      <x:c r="AB1227" s="10" t="str">
        <x:v>quarter boxes</x:v>
      </x:c>
      <x:c r="AC1227" s="10" t="str">
        <x:v>to do stickers</x:v>
      </x:c>
      <x:c r="AD1227" s="10" t="str">
        <x:v>bill stickers</x:v>
      </x:c>
      <x:c r="AE1227" s="10" t="str">
        <x:v>budget stickers</x:v>
      </x:c>
      <x:c r="AF1227" s="10" t="str">
        <x:v>house payment due</x:v>
      </x:c>
      <x:c r="AG1227" s="10" t="str">
        <x:v>mortgage due sticker</x:v>
      </x:c>
      <x:c r="AH1227" s="10" t="str">
        <x:v>Other mortgage-related</x:v>
      </x:c>
      <x:c r="AI1227" s="13" t="n">
        <x:v>62</x:v>
      </x:c>
      <x:c r="AJ1227" s="10" t="str">
        <x:f>IF(F1227&gt;0,"Active","No est. sales")</x:f>
        <x:v>No est. sales</x:v>
      </x:c>
    </x:row>
    <x:row r="1228">
      <x:c r="A1228" s="10" t="str">
        <x:v>2745-17~~Mortgage Due Planner Stickers.</x:v>
      </x:c>
      <x:c r="B1228" s="10" t="str">
        <x:v>https://www.etsy.com/listing/1750790879/2745-17mortgage-due-planner-stickers</x:v>
      </x:c>
      <x:c r="C1228" s="10" t="str">
        <x:v>PlanToPlan</x:v>
      </x:c>
      <x:c r="D1228" s="10" t="str">
        <x:v>https://www.etsy.com/shop/PlanToPlan</x:v>
      </x:c>
      <x:c r="E1228" s="11" t="n">
        <x:v>3.25</x:v>
      </x:c>
      <x:c r="F1228" s="10" t="n">
        <x:v>0</x:v>
      </x:c>
      <x:c r="G1228" s="12" t="n">
        <x:v>0</x:v>
      </x:c>
      <x:c r="H1228" s="13" t="n">
        <x:v>0</x:v>
      </x:c>
      <x:c r="I1228" s="10" t="n">
        <x:v>0</x:v>
      </x:c>
      <x:c r="J1228" s="10" t="n">
        <x:v>0</x:v>
      </x:c>
      <x:c r="K1228" s="10" t="str">
        <x:v>25 Mo.</x:v>
      </x:c>
      <x:c r="L1228" s="10" t="n">
        <x:v>18</x:v>
      </x:c>
      <x:c r="M1228" s="10" t="n">
        <x:v>0</x:v>
      </x:c>
      <x:c r="N1228" s="10" t="n">
        <x:v>52</x:v>
      </x:c>
      <x:c r="O1228" s="10" t="str">
        <x:v>Paper &amp; Party Supplies</x:v>
      </x:c>
      <x:c r="P1228" s="10" t="n">
        <x:v>126</x:v>
      </x:c>
      <x:c r="Q1228" s="10" t="n">
        <x:v>0</x:v>
      </x:c>
      <x:c r="R1228" s="13" t="n">
        <x:v>0</x:v>
      </x:c>
      <x:c r="S1228" s="10" t="n">
        <x:v>319985</x:v>
      </x:c>
      <x:c r="T1228" s="10" t="str">
        <x:v>planner stickers,reminder stickers,appointment stickers,tracker stickers,functional stickers,plantoplan,bill due stickers,cellphone stickers,cable bill stickers,electric bill,mortgage stickers,water bill sticker,mortgage due sticker</x:v>
      </x:c>
      <x:c r="U1228" s="10" t="str">
        <x:v>planner stickers</x:v>
      </x:c>
      <x:c r="V1228" s="10" t="str">
        <x:v>reminder stickers</x:v>
      </x:c>
      <x:c r="W1228" s="10" t="str">
        <x:v>appointment stickers</x:v>
      </x:c>
      <x:c r="X1228" s="10" t="str">
        <x:v>tracker stickers</x:v>
      </x:c>
      <x:c r="Y1228" s="10" t="str">
        <x:v>functional stickers</x:v>
      </x:c>
      <x:c r="Z1228" s="10" t="str">
        <x:v>plantoplan</x:v>
      </x:c>
      <x:c r="AA1228" s="10" t="str">
        <x:v>bill due stickers</x:v>
      </x:c>
      <x:c r="AB1228" s="10" t="str">
        <x:v>cellphone stickers</x:v>
      </x:c>
      <x:c r="AC1228" s="10" t="str">
        <x:v>cable bill stickers</x:v>
      </x:c>
      <x:c r="AD1228" s="10" t="str">
        <x:v>electric bill</x:v>
      </x:c>
      <x:c r="AE1228" s="10" t="str">
        <x:v>mortgage stickers</x:v>
      </x:c>
      <x:c r="AF1228" s="10" t="str">
        <x:v>water bill sticker</x:v>
      </x:c>
      <x:c r="AG1228" s="10" t="str">
        <x:v>mortgage due sticker</x:v>
      </x:c>
      <x:c r="AH1228" s="10" t="str">
        <x:v>Other mortgage-related</x:v>
      </x:c>
      <x:c r="AI1228" s="13" t="n">
        <x:v>25</x:v>
      </x:c>
      <x:c r="AJ1228" s="10" t="str">
        <x:f>IF(F1228&gt;0,"Active","No est. sales")</x:f>
        <x:v>No est. sales</x:v>
      </x:c>
    </x:row>
    <x:row r="1229">
      <x:c r="A1229" s="10" t="str">
        <x:v>2532-5~~Mortgage Due Boxes Planner Stickers.</x:v>
      </x:c>
      <x:c r="B1229" s="10" t="str">
        <x:v>https://www.etsy.com/listing/1426037680/2532-5mortgage-due-boxes-planner</x:v>
      </x:c>
      <x:c r="C1229" s="10" t="str">
        <x:v>PlanToPlan</x:v>
      </x:c>
      <x:c r="D1229" s="10" t="str">
        <x:v>https://www.etsy.com/shop/PlanToPlan</x:v>
      </x:c>
      <x:c r="E1229" s="11" t="n">
        <x:v>3.25</x:v>
      </x:c>
      <x:c r="F1229" s="10" t="n">
        <x:v>0</x:v>
      </x:c>
      <x:c r="G1229" s="12" t="n">
        <x:v>0</x:v>
      </x:c>
      <x:c r="H1229" s="13" t="n">
        <x:v>0</x:v>
      </x:c>
      <x:c r="I1229" s="10" t="n">
        <x:v>5</x:v>
      </x:c>
      <x:c r="J1229" s="10" t="n">
        <x:v>1</x:v>
      </x:c>
      <x:c r="K1229" s="10" t="str">
        <x:v>40 Mo.</x:v>
      </x:c>
      <x:c r="L1229" s="10" t="n">
        <x:v>15</x:v>
      </x:c>
      <x:c r="M1229" s="10" t="n">
        <x:v>0</x:v>
      </x:c>
      <x:c r="N1229" s="10" t="n">
        <x:v>135</x:v>
      </x:c>
      <x:c r="O1229" s="10" t="str">
        <x:v>Paper &amp; Party Supplies</x:v>
      </x:c>
      <x:c r="P1229" s="10" t="n">
        <x:v>126</x:v>
      </x:c>
      <x:c r="Q1229" s="10" t="n">
        <x:v>0</x:v>
      </x:c>
      <x:c r="R1229" s="13" t="n">
        <x:v>3.7</x:v>
      </x:c>
      <x:c r="S1229" s="10" t="n">
        <x:v>319985</x:v>
      </x:c>
      <x:c r="T1229" s="10" t="str">
        <x:v>planner stickers,reminder stickers,appointment stickers,tracker stickers,functional stickers,plantoplan,bill due stickers,quarter boxes,to do stickers,mortgage stickers,rent due stickers,erin condren,hobonichi stickers</x:v>
      </x:c>
      <x:c r="U1229" s="10" t="str">
        <x:v>planner stickers</x:v>
      </x:c>
      <x:c r="V1229" s="10" t="str">
        <x:v>reminder stickers</x:v>
      </x:c>
      <x:c r="W1229" s="10" t="str">
        <x:v>appointment stickers</x:v>
      </x:c>
      <x:c r="X1229" s="10" t="str">
        <x:v>tracker stickers</x:v>
      </x:c>
      <x:c r="Y1229" s="10" t="str">
        <x:v>functional stickers</x:v>
      </x:c>
      <x:c r="Z1229" s="10" t="str">
        <x:v>plantoplan</x:v>
      </x:c>
      <x:c r="AA1229" s="10" t="str">
        <x:v>bill due stickers</x:v>
      </x:c>
      <x:c r="AB1229" s="10" t="str">
        <x:v>quarter boxes</x:v>
      </x:c>
      <x:c r="AC1229" s="10" t="str">
        <x:v>to do stickers</x:v>
      </x:c>
      <x:c r="AD1229" s="10" t="str">
        <x:v>mortgage stickers</x:v>
      </x:c>
      <x:c r="AE1229" s="10" t="str">
        <x:v>rent due stickers</x:v>
      </x:c>
      <x:c r="AF1229" s="10" t="str">
        <x:v>erin condren</x:v>
      </x:c>
      <x:c r="AG1229" s="10" t="str">
        <x:v>hobonichi stickers</x:v>
      </x:c>
      <x:c r="AH1229" s="10" t="str">
        <x:v>Other mortgage-related</x:v>
      </x:c>
      <x:c r="AI1229" s="13" t="n">
        <x:v>40</x:v>
      </x:c>
      <x:c r="AJ1229" s="10" t="str">
        <x:f>IF(F1229&gt;0,"Active","No est. sales")</x:f>
        <x:v>No est. sales</x:v>
      </x:c>
    </x:row>
    <x:row r="1230">
      <x:c r="A1230" s="10" t="str">
        <x:v>2559-14~~Student Loans Boxes Planner Stickers.</x:v>
      </x:c>
      <x:c r="B1230" s="10" t="str">
        <x:v>https://www.etsy.com/listing/1587656542/2559-14student-loans-boxes-planner</x:v>
      </x:c>
      <x:c r="C1230" s="10" t="str">
        <x:v>PlanToPlan</x:v>
      </x:c>
      <x:c r="D1230" s="10" t="str">
        <x:v>https://www.etsy.com/shop/PlanToPlan</x:v>
      </x:c>
      <x:c r="E1230" s="11" t="n">
        <x:v>3.25</x:v>
      </x:c>
      <x:c r="F1230" s="10" t="n">
        <x:v>0</x:v>
      </x:c>
      <x:c r="G1230" s="12" t="n">
        <x:v>0</x:v>
      </x:c>
      <x:c r="H1230" s="13" t="n">
        <x:v>0</x:v>
      </x:c>
      <x:c r="I1230" s="10" t="n">
        <x:v>0</x:v>
      </x:c>
      <x:c r="J1230" s="10" t="n">
        <x:v>0</x:v>
      </x:c>
      <x:c r="K1230" s="10" t="str">
        <x:v>32 Mo.</x:v>
      </x:c>
      <x:c r="L1230" s="10" t="n">
        <x:v>20</x:v>
      </x:c>
      <x:c r="M1230" s="10" t="n">
        <x:v>0</x:v>
      </x:c>
      <x:c r="N1230" s="10" t="n">
        <x:v>90</x:v>
      </x:c>
      <x:c r="O1230" s="10" t="str">
        <x:v>Paper &amp; Party Supplies</x:v>
      </x:c>
      <x:c r="P1230" s="10" t="n">
        <x:v>126</x:v>
      </x:c>
      <x:c r="Q1230" s="10" t="n">
        <x:v>0</x:v>
      </x:c>
      <x:c r="R1230" s="13" t="n">
        <x:v>0</x:v>
      </x:c>
      <x:c r="S1230" s="10" t="n">
        <x:v>319985</x:v>
      </x:c>
      <x:c r="T1230" s="10" t="str">
        <x:v>planner stickers,plan to plan,icon stickers,plantoplan,reminder stickers,to do stickers,task trackers,bill due stickers,bill stickers,budget stickers,mortgage stickers,electric stickers,student loan sticker</x:v>
      </x:c>
      <x:c r="U1230" s="10" t="str">
        <x:v>planner stickers</x:v>
      </x:c>
      <x:c r="V1230" s="10" t="str">
        <x:v>plan to plan</x:v>
      </x:c>
      <x:c r="W1230" s="10" t="str">
        <x:v>icon stickers</x:v>
      </x:c>
      <x:c r="X1230" s="10" t="str">
        <x:v>plantoplan</x:v>
      </x:c>
      <x:c r="Y1230" s="10" t="str">
        <x:v>reminder stickers</x:v>
      </x:c>
      <x:c r="Z1230" s="10" t="str">
        <x:v>to do stickers</x:v>
      </x:c>
      <x:c r="AA1230" s="10" t="str">
        <x:v>task trackers</x:v>
      </x:c>
      <x:c r="AB1230" s="10" t="str">
        <x:v>bill due stickers</x:v>
      </x:c>
      <x:c r="AC1230" s="10" t="str">
        <x:v>bill stickers</x:v>
      </x:c>
      <x:c r="AD1230" s="10" t="str">
        <x:v>budget stickers</x:v>
      </x:c>
      <x:c r="AE1230" s="10" t="str">
        <x:v>mortgage stickers</x:v>
      </x:c>
      <x:c r="AF1230" s="10" t="str">
        <x:v>electric stickers</x:v>
      </x:c>
      <x:c r="AG1230" s="10" t="str">
        <x:v>student loan sticker</x:v>
      </x:c>
      <x:c r="AH1230" s="10" t="str">
        <x:v>Other mortgage-related</x:v>
      </x:c>
      <x:c r="AI1230" s="13" t="n">
        <x:v>32</x:v>
      </x:c>
      <x:c r="AJ1230" s="10" t="str">
        <x:f>IF(F1230&gt;0,"Active","No est. sales")</x:f>
        <x:v>No est. sales</x:v>
      </x:c>
    </x:row>
    <x:row r="1231">
      <x:c r="A1231" s="10" t="str">
        <x:v>Mortgage Debt Payoff Tracker Printable, House Icon Chart (PDF)</x:v>
      </x:c>
      <x:c r="B1231" s="10" t="str">
        <x:v>https://www.etsy.com/listing/1005661515/mortgage-debt-payoff-tracker-printable</x:v>
      </x:c>
      <x:c r="C1231" s="10" t="str">
        <x:v>DuffyDesignCo</x:v>
      </x:c>
      <x:c r="D1231" s="10" t="str">
        <x:v>https://www.etsy.com/shop/DuffyDesignCo</x:v>
      </x:c>
      <x:c r="E1231" s="11" t="n">
        <x:v>1.75</x:v>
      </x:c>
      <x:c r="F1231" s="10" t="n">
        <x:v>0</x:v>
      </x:c>
      <x:c r="G1231" s="12" t="n">
        <x:v>0</x:v>
      </x:c>
      <x:c r="H1231" s="13" t="n">
        <x:v>0</x:v>
      </x:c>
      <x:c r="I1231" s="10" t="n">
        <x:v>6</x:v>
      </x:c>
      <x:c r="J1231" s="10" t="n">
        <x:v>1</x:v>
      </x:c>
      <x:c r="K1231" s="10" t="str">
        <x:v>63 Mo.</x:v>
      </x:c>
      <x:c r="L1231" s="10" t="n">
        <x:v>20</x:v>
      </x:c>
      <x:c r="M1231" s="10" t="n">
        <x:v>0</x:v>
      </x:c>
      <x:c r="N1231" s="10" t="n">
        <x:v>423</x:v>
      </x:c>
      <x:c r="O1231" s="10" t="str">
        <x:v>Paper &amp; Party Supplies</x:v>
      </x:c>
      <x:c r="P1231" s="10" t="n">
        <x:v>191</x:v>
      </x:c>
      <x:c r="Q1231" s="10" t="n">
        <x:v>0</x:v>
      </x:c>
      <x:c r="R1231" s="13" t="n">
        <x:v>1.42</x:v>
      </x:c>
      <x:c r="S1231" s="10" t="n">
        <x:v>9948</x:v>
      </x:c>
      <x:c r="T1231" s="10" t="str">
        <x:v>tracker sheet,payoff calculator,debt payoff,debt free car chart,car debt payoff,debt free journey,debt payoff plan,debt planner,debt snowball,debt tracker,printable,mortgage debt,house loan</x:v>
      </x:c>
      <x:c r="U1231" s="10" t="str">
        <x:v>tracker sheet</x:v>
      </x:c>
      <x:c r="V1231" s="10" t="str">
        <x:v>payoff calculator</x:v>
      </x:c>
      <x:c r="W1231" s="10" t="str">
        <x:v>debt payoff</x:v>
      </x:c>
      <x:c r="X1231" s="10" t="str">
        <x:v>debt free car chart</x:v>
      </x:c>
      <x:c r="Y1231" s="10" t="str">
        <x:v>car debt payoff</x:v>
      </x:c>
      <x:c r="Z1231" s="10" t="str">
        <x:v>debt free journey</x:v>
      </x:c>
      <x:c r="AA1231" s="10" t="str">
        <x:v>debt payoff plan</x:v>
      </x:c>
      <x:c r="AB1231" s="10" t="str">
        <x:v>debt planner</x:v>
      </x:c>
      <x:c r="AC1231" s="10" t="str">
        <x:v>debt snowball</x:v>
      </x:c>
      <x:c r="AD1231" s="10" t="str">
        <x:v>debt tracker</x:v>
      </x:c>
      <x:c r="AE1231" s="10" t="str">
        <x:v>printable</x:v>
      </x:c>
      <x:c r="AF1231" s="10" t="str">
        <x:v>mortgage debt</x:v>
      </x:c>
      <x:c r="AG1231" s="10" t="str">
        <x:v>house loan</x:v>
      </x:c>
      <x:c r="AH1231" s="10" t="str">
        <x:v>Other mortgage-related</x:v>
      </x:c>
      <x:c r="AI1231" s="13" t="n">
        <x:v>63</x:v>
      </x:c>
      <x:c r="AJ1231" s="10" t="str">
        <x:f>IF(F1231&gt;0,"Active","No est. sales")</x:f>
        <x:v>No est. sales</x:v>
      </x:c>
    </x:row>
    <x:row r="1232">
      <x:c r="A1232" s="10" t="str">
        <x:v>Mortgage Debt Payoff Tracker Printable | Home Loan Payment Planner PDF</x:v>
      </x:c>
      <x:c r="B1232" s="10" t="str">
        <x:v>https://www.etsy.com/listing/4530982572/mortgage-debt-payoff-tracker-printable</x:v>
      </x:c>
      <x:c r="C1232" s="10" t="str">
        <x:v>DuffyDesignCo</x:v>
      </x:c>
      <x:c r="D1232" s="10" t="str">
        <x:v>https://www.etsy.com/shop/DuffyDesignCo</x:v>
      </x:c>
      <x:c r="E1232" s="11" t="n">
        <x:v>1.75</x:v>
      </x:c>
      <x:c r="F1232" s="10" t="n">
        <x:v>0</x:v>
      </x:c>
      <x:c r="G1232" s="12" t="n">
        <x:v>0</x:v>
      </x:c>
      <x:c r="H1232" s="13" t="n">
        <x:v>0</x:v>
      </x:c>
      <x:c r="I1232" s="10" t="n">
        <x:v>0</x:v>
      </x:c>
      <x:c r="J1232" s="10" t="n">
        <x:v>0</x:v>
      </x:c>
      <x:c r="K1232" s="10" t="str">
        <x:v>1 Mo.</x:v>
      </x:c>
      <x:c r="L1232" s="10" t="n">
        <x:v>0</x:v>
      </x:c>
      <x:c r="M1232" s="10" t="n">
        <x:v>0</x:v>
      </x:c>
      <x:c r="N1232" s="10" t="n">
        <x:v>0</x:v>
      </x:c>
      <x:c r="O1232" s="10" t="str">
        <x:v>Paper &amp; Party Supplies</x:v>
      </x:c>
      <x:c r="P1232" s="10" t="n">
        <x:v>191</x:v>
      </x:c>
      <x:c r="Q1232" s="10" t="n">
        <x:v>0</x:v>
      </x:c>
      <x:c r="R1232" s="13" t="n">
        <x:v>0</x:v>
      </x:c>
      <x:c r="S1232" s="10" t="n">
        <x:v>9948</x:v>
      </x:c>
      <x:c r="T1232" s="10" t="str">
        <x:v>mortgage tracker,debt payoff,home loan tracker,payoff printable,mortgage planner,debt tracker,budget printable,finance planner,loan payoff,payment tracker,debt free journey,budget worksheet</x:v>
      </x:c>
      <x:c r="U1232" s="10" t="str">
        <x:v>mortgage tracker</x:v>
      </x:c>
      <x:c r="V1232" s="10" t="str">
        <x:v>debt payoff</x:v>
      </x:c>
      <x:c r="W1232" s="10" t="str">
        <x:v>home loan tracker</x:v>
      </x:c>
      <x:c r="X1232" s="10" t="str">
        <x:v>payoff printable</x:v>
      </x:c>
      <x:c r="Y1232" s="10" t="str">
        <x:v>mortgage planner</x:v>
      </x:c>
      <x:c r="Z1232" s="10" t="str">
        <x:v>debt tracker</x:v>
      </x:c>
      <x:c r="AA1232" s="10" t="str">
        <x:v>budget printable</x:v>
      </x:c>
      <x:c r="AB1232" s="10" t="str">
        <x:v>finance planner</x:v>
      </x:c>
      <x:c r="AC1232" s="10" t="str">
        <x:v>loan payoff</x:v>
      </x:c>
      <x:c r="AD1232" s="10" t="str">
        <x:v>payment tracker</x:v>
      </x:c>
      <x:c r="AE1232" s="10" t="str">
        <x:v>debt free journey</x:v>
      </x:c>
      <x:c r="AF1232" s="10" t="str">
        <x:v>budget worksheet</x:v>
      </x:c>
      <x:c r="AG1232" s="10" t="str">
        <x:v>--</x:v>
      </x:c>
      <x:c r="AH1232" s="10" t="str">
        <x:v>Other mortgage-related</x:v>
      </x:c>
      <x:c r="AI1232" s="13" t="n">
        <x:v>1</x:v>
      </x:c>
      <x:c r="AJ1232" s="10" t="str">
        <x:f>IF(F1232&gt;0,"Active","No est. sales")</x:f>
        <x:v>No est. sales</x:v>
      </x:c>
    </x:row>
    <x:row r="1233">
      <x:c r="A1233" s="10" t="str">
        <x:v>Housing Payment Labels | Rent Payment Stickers | EC Toile Colorway</x:v>
      </x:c>
      <x:c r="B1233" s="10" t="str">
        <x:v>https://www.etsy.com/listing/4490236111/housing-payment-labels-rent-payment</x:v>
      </x:c>
      <x:c r="C1233" s="10" t="str">
        <x:v>HeyJoPlannerCo</x:v>
      </x:c>
      <x:c r="D1233" s="10" t="str">
        <x:v>https://www.etsy.com/shop/HeyJoPlannerCo</x:v>
      </x:c>
      <x:c r="E1233" s="11" t="n">
        <x:v>3.95</x:v>
      </x:c>
      <x:c r="F1233" s="10" t="n">
        <x:v>0</x:v>
      </x:c>
      <x:c r="G1233" s="12" t="n">
        <x:v>0</x:v>
      </x:c>
      <x:c r="H1233" s="13" t="n">
        <x:v>0</x:v>
      </x:c>
      <x:c r="I1233" s="10" t="n">
        <x:v>0</x:v>
      </x:c>
      <x:c r="J1233" s="10" t="n">
        <x:v>0</x:v>
      </x:c>
      <x:c r="K1233" s="10" t="str">
        <x:v>3 Mo.</x:v>
      </x:c>
      <x:c r="L1233" s="10" t="n">
        <x:v>0</x:v>
      </x:c>
      <x:c r="M1233" s="10" t="n">
        <x:v>0</x:v>
      </x:c>
      <x:c r="N1233" s="10" t="n">
        <x:v>25</x:v>
      </x:c>
      <x:c r="O1233" s="10" t="str">
        <x:v>Paper &amp; Party Supplies</x:v>
      </x:c>
      <x:c r="P1233" s="10" t="n">
        <x:v>112</x:v>
      </x:c>
      <x:c r="Q1233" s="10" t="n">
        <x:v>0</x:v>
      </x:c>
      <x:c r="R1233" s="13" t="n">
        <x:v>0</x:v>
      </x:c>
      <x:c r="S1233" s="10" t="n">
        <x:v>480</x:v>
      </x:c>
      <x:c r="T1233" s="10" t="str">
        <x:v>planner stickers,budget stickers,financial stickers,calendar stickers,rent due stickers,house payment due,payment due stickers,mortgage due labels,payment labels,toile payment due,ec toile rent label,ec toile colorway,toile mortgage label</x:v>
      </x:c>
      <x:c r="U1233" s="10" t="str">
        <x:v>planner stickers</x:v>
      </x:c>
      <x:c r="V1233" s="10" t="str">
        <x:v>budget stickers</x:v>
      </x:c>
      <x:c r="W1233" s="10" t="str">
        <x:v>financial stickers</x:v>
      </x:c>
      <x:c r="X1233" s="10" t="str">
        <x:v>calendar stickers</x:v>
      </x:c>
      <x:c r="Y1233" s="10" t="str">
        <x:v>rent due stickers</x:v>
      </x:c>
      <x:c r="Z1233" s="10" t="str">
        <x:v>house payment due</x:v>
      </x:c>
      <x:c r="AA1233" s="10" t="str">
        <x:v>payment due stickers</x:v>
      </x:c>
      <x:c r="AB1233" s="10" t="str">
        <x:v>mortgage due labels</x:v>
      </x:c>
      <x:c r="AC1233" s="10" t="str">
        <x:v>payment labels</x:v>
      </x:c>
      <x:c r="AD1233" s="10" t="str">
        <x:v>toile payment due</x:v>
      </x:c>
      <x:c r="AE1233" s="10" t="str">
        <x:v>ec toile rent label</x:v>
      </x:c>
      <x:c r="AF1233" s="10" t="str">
        <x:v>ec toile colorway</x:v>
      </x:c>
      <x:c r="AG1233" s="10" t="str">
        <x:v>toile mortgage label</x:v>
      </x:c>
      <x:c r="AH1233" s="10" t="str">
        <x:v>Other mortgage-related</x:v>
      </x:c>
      <x:c r="AI1233" s="13" t="n">
        <x:v>3</x:v>
      </x:c>
      <x:c r="AJ1233" s="10" t="str">
        <x:f>IF(F1233&gt;0,"Active","No est. sales")</x:f>
        <x:v>No est. sales</x:v>
      </x:c>
    </x:row>
    <x:row r="1234">
      <x:c r="A1234" s="10" t="str">
        <x:v>Your First Home Guide: 12-Month Step-by-Step Money Plan + Budget Templates | Digital Download</x:v>
      </x:c>
      <x:c r="B1234" s="10" t="str">
        <x:v>https://www.etsy.com/listing/4437658331/your-first-home-guide-12-month-step-by</x:v>
      </x:c>
      <x:c r="C1234" s="10" t="str">
        <x:v>PhoenixEmberDigital</x:v>
      </x:c>
      <x:c r="D1234" s="10" t="str">
        <x:v>https://www.etsy.com/shop/PhoenixEmberDigital</x:v>
      </x:c>
      <x:c r="E1234" s="11" t="n">
        <x:v>15.71</x:v>
      </x:c>
      <x:c r="F1234" s="10" t="n">
        <x:v>0</x:v>
      </x:c>
      <x:c r="G1234" s="12" t="n">
        <x:v>0</x:v>
      </x:c>
      <x:c r="H1234" s="13" t="n">
        <x:v>0</x:v>
      </x:c>
      <x:c r="I1234" s="10" t="n">
        <x:v>0</x:v>
      </x:c>
      <x:c r="J1234" s="10" t="n">
        <x:v>1</x:v>
      </x:c>
      <x:c r="K1234" s="10" t="str">
        <x:v>6 Mo.</x:v>
      </x:c>
      <x:c r="L1234" s="10" t="n">
        <x:v>1</x:v>
      </x:c>
      <x:c r="M1234" s="10" t="n">
        <x:v>0</x:v>
      </x:c>
      <x:c r="N1234" s="10" t="n">
        <x:v>63</x:v>
      </x:c>
      <x:c r="O1234" s="10" t="str"/>
      <x:c r="P1234" s="10" t="n">
        <x:v>6</x:v>
      </x:c>
      <x:c r="Q1234" s="10" t="n">
        <x:v>0</x:v>
      </x:c>
      <x:c r="R1234" s="13" t="n">
        <x:v>0</x:v>
      </x:c>
      <x:c r="S1234" s="10" t="n">
        <x:v>3</x:v>
      </x:c>
      <x:c r="T1234" s="10" t="str">
        <x:v>first home,first home buyer,first home savings,mortgage guide,digital download,finance planner,budget template,12 month plan,home deposit,money plan,mortgage checklist,personal finance,budgeting guide</x:v>
      </x:c>
      <x:c r="U1234" s="10" t="str">
        <x:v>first home</x:v>
      </x:c>
      <x:c r="V1234" s="10" t="str">
        <x:v>first home buyer</x:v>
      </x:c>
      <x:c r="W1234" s="10" t="str">
        <x:v>first home savings</x:v>
      </x:c>
      <x:c r="X1234" s="10" t="str">
        <x:v>mortgage guide</x:v>
      </x:c>
      <x:c r="Y1234" s="10" t="str">
        <x:v>digital download</x:v>
      </x:c>
      <x:c r="Z1234" s="10" t="str">
        <x:v>finance planner</x:v>
      </x:c>
      <x:c r="AA1234" s="10" t="str">
        <x:v>budget template</x:v>
      </x:c>
      <x:c r="AB1234" s="10" t="str">
        <x:v>12 month plan</x:v>
      </x:c>
      <x:c r="AC1234" s="10" t="str">
        <x:v>home deposit</x:v>
      </x:c>
      <x:c r="AD1234" s="10" t="str">
        <x:v>money plan</x:v>
      </x:c>
      <x:c r="AE1234" s="10" t="str">
        <x:v>mortgage checklist</x:v>
      </x:c>
      <x:c r="AF1234" s="10" t="str">
        <x:v>personal finance</x:v>
      </x:c>
      <x:c r="AG1234" s="10" t="str">
        <x:v>budgeting guide</x:v>
      </x:c>
      <x:c r="AH1234" s="10" t="str">
        <x:v>Other mortgage-related</x:v>
      </x:c>
      <x:c r="AI1234" s="13" t="n">
        <x:v>6</x:v>
      </x:c>
      <x:c r="AJ1234" s="10" t="str">
        <x:f>IF(F1234&gt;0,"Active","No est. sales")</x:f>
        <x:v>No est. sales</x:v>
      </x:c>
    </x:row>
    <x:row r="1235">
      <x:c r="A1235" s="10" t="str">
        <x:v>Blank saving stickers (Mortgage, Travel, University etc) for various planners, Filofax, Bullet Journal etc (BBR0049)</x:v>
      </x:c>
      <x:c r="B1235" s="10" t="str">
        <x:v>https://www.etsy.com/listing/4337197322/blank-saving-stickers-mortgage-travel</x:v>
      </x:c>
      <x:c r="C1235" s="10" t="str">
        <x:v>DookPlookDesigns</x:v>
      </x:c>
      <x:c r="D1235" s="10" t="str">
        <x:v>https://www.etsy.com/shop/DookPlookDesigns</x:v>
      </x:c>
      <x:c r="E1235" s="11" t="n">
        <x:v>3.32</x:v>
      </x:c>
      <x:c r="F1235" s="10" t="n">
        <x:v>0</x:v>
      </x:c>
      <x:c r="G1235" s="12" t="n">
        <x:v>0</x:v>
      </x:c>
      <x:c r="H1235" s="13" t="n">
        <x:v>0</x:v>
      </x:c>
      <x:c r="I1235" s="10" t="n">
        <x:v>0</x:v>
      </x:c>
      <x:c r="J1235" s="10" t="n">
        <x:v>0</x:v>
      </x:c>
      <x:c r="K1235" s="10" t="str">
        <x:v>12 Mo.</x:v>
      </x:c>
      <x:c r="L1235" s="10" t="n">
        <x:v>6</x:v>
      </x:c>
      <x:c r="M1235" s="10" t="n">
        <x:v>0</x:v>
      </x:c>
      <x:c r="N1235" s="10" t="n">
        <x:v>88</x:v>
      </x:c>
      <x:c r="O1235" s="10" t="str">
        <x:v>Paper &amp; Party Supplies</x:v>
      </x:c>
      <x:c r="P1235" s="10" t="n">
        <x:v>131</x:v>
      </x:c>
      <x:c r="Q1235" s="10" t="n">
        <x:v>0</x:v>
      </x:c>
      <x:c r="R1235" s="13" t="n">
        <x:v>0</x:v>
      </x:c>
      <x:c r="S1235" s="10" t="n">
        <x:v>45631</x:v>
      </x:c>
      <x:c r="T1235" s="10" t="str">
        <x:v>planner stickers,stickers,stickers uk,filofax stickers,saving stickers,travel saving,uni saving,mortgage stickers,money stickers,saving jar,bullet journal,money management,saving plan</x:v>
      </x:c>
      <x:c r="U1235" s="10" t="str">
        <x:v>planner stickers</x:v>
      </x:c>
      <x:c r="V1235" s="10" t="str">
        <x:v>stickers</x:v>
      </x:c>
      <x:c r="W1235" s="10" t="str">
        <x:v>stickers uk</x:v>
      </x:c>
      <x:c r="X1235" s="10" t="str">
        <x:v>filofax stickers</x:v>
      </x:c>
      <x:c r="Y1235" s="10" t="str">
        <x:v>saving stickers</x:v>
      </x:c>
      <x:c r="Z1235" s="10" t="str">
        <x:v>travel saving</x:v>
      </x:c>
      <x:c r="AA1235" s="10" t="str">
        <x:v>uni saving</x:v>
      </x:c>
      <x:c r="AB1235" s="10" t="str">
        <x:v>mortgage stickers</x:v>
      </x:c>
      <x:c r="AC1235" s="10" t="str">
        <x:v>money stickers</x:v>
      </x:c>
      <x:c r="AD1235" s="10" t="str">
        <x:v>saving jar</x:v>
      </x:c>
      <x:c r="AE1235" s="10" t="str">
        <x:v>bullet journal</x:v>
      </x:c>
      <x:c r="AF1235" s="10" t="str">
        <x:v>money management</x:v>
      </x:c>
      <x:c r="AG1235" s="10" t="str">
        <x:v>saving plan</x:v>
      </x:c>
      <x:c r="AH1235" s="10" t="str">
        <x:v>Other mortgage-related</x:v>
      </x:c>
      <x:c r="AI1235" s="13" t="n">
        <x:v>12</x:v>
      </x:c>
      <x:c r="AJ1235" s="10" t="str">
        <x:f>IF(F1235&gt;0,"Active","No est. sales")</x:f>
        <x:v>No est. sales</x:v>
      </x:c>
    </x:row>
    <x:row r="1236">
      <x:c r="A1236" s="10" t="str">
        <x:v>Bill Due Planner Stickers | Monthly Planner Sticker | Budget Planner | Bill Pay | Credit Card Payments | Car Payment | Student Loan Payment</x:v>
      </x:c>
      <x:c r="B1236" s="10" t="str">
        <x:v>https://www.etsy.com/listing/978073892/bill-due-planner-stickers-monthly</x:v>
      </x:c>
      <x:c r="C1236" s="10" t="str">
        <x:v>LibbyandLouStickerCo</x:v>
      </x:c>
      <x:c r="D1236" s="10" t="str">
        <x:v>https://www.etsy.com/shop/LibbyandLouStickerCo</x:v>
      </x:c>
      <x:c r="E1236" s="11" t="n">
        <x:v>4.2</x:v>
      </x:c>
      <x:c r="F1236" s="10" t="n">
        <x:v>0</x:v>
      </x:c>
      <x:c r="G1236" s="12" t="n">
        <x:v>0</x:v>
      </x:c>
      <x:c r="H1236" s="13" t="n">
        <x:v>0</x:v>
      </x:c>
      <x:c r="I1236" s="10" t="n">
        <x:v>68</x:v>
      </x:c>
      <x:c r="J1236" s="10" t="n">
        <x:v>13</x:v>
      </x:c>
      <x:c r="K1236" s="10" t="str">
        <x:v>64 Mo.</x:v>
      </x:c>
      <x:c r="L1236" s="10" t="n">
        <x:v>75</x:v>
      </x:c>
      <x:c r="M1236" s="10" t="n">
        <x:v>0</x:v>
      </x:c>
      <x:c r="N1236" s="10" t="n">
        <x:v>1194</x:v>
      </x:c>
      <x:c r="O1236" s="10" t="str">
        <x:v>Paper &amp; Party Supplies</x:v>
      </x:c>
      <x:c r="P1236" s="10" t="n">
        <x:v>112</x:v>
      </x:c>
      <x:c r="Q1236" s="10" t="n">
        <x:v>0</x:v>
      </x:c>
      <x:c r="R1236" s="13" t="n">
        <x:v>5.7</x:v>
      </x:c>
      <x:c r="S1236" s="10" t="n">
        <x:v>41989</x:v>
      </x:c>
      <x:c r="T1236" s="10" t="str">
        <x:v>functional planning,planner sticker,functional sticker,monthly bills,credit card payment,bills due,bill due sticker,budget planner,rainbow stickers,monthly sticker,dave ramsey sticker,mortgage due sticker,car payment sticker</x:v>
      </x:c>
      <x:c r="U1236" s="10" t="str">
        <x:v>functional planning</x:v>
      </x:c>
      <x:c r="V1236" s="10" t="str">
        <x:v>planner sticker</x:v>
      </x:c>
      <x:c r="W1236" s="10" t="str">
        <x:v>functional sticker</x:v>
      </x:c>
      <x:c r="X1236" s="10" t="str">
        <x:v>monthly bills</x:v>
      </x:c>
      <x:c r="Y1236" s="10" t="str">
        <x:v>credit card payment</x:v>
      </x:c>
      <x:c r="Z1236" s="10" t="str">
        <x:v>bills due</x:v>
      </x:c>
      <x:c r="AA1236" s="10" t="str">
        <x:v>bill due sticker</x:v>
      </x:c>
      <x:c r="AB1236" s="10" t="str">
        <x:v>budget planner</x:v>
      </x:c>
      <x:c r="AC1236" s="10" t="str">
        <x:v>rainbow stickers</x:v>
      </x:c>
      <x:c r="AD1236" s="10" t="str">
        <x:v>monthly sticker</x:v>
      </x:c>
      <x:c r="AE1236" s="10" t="str">
        <x:v>dave ramsey sticker</x:v>
      </x:c>
      <x:c r="AF1236" s="10" t="str">
        <x:v>mortgage due sticker</x:v>
      </x:c>
      <x:c r="AG1236" s="10" t="str">
        <x:v>car payment sticker</x:v>
      </x:c>
      <x:c r="AH1236" s="10" t="str">
        <x:v>Other mortgage-related</x:v>
      </x:c>
      <x:c r="AI1236" s="13" t="n">
        <x:v>64</x:v>
      </x:c>
      <x:c r="AJ1236" s="10" t="str">
        <x:f>IF(F1236&gt;0,"Active","No est. sales")</x:f>
        <x:v>No est. sales</x:v>
      </x:c>
    </x:row>
    <x:row r="1237">
      <x:c r="A1237" s="10" t="str">
        <x:v>50+ Personal Finance Spreadsheet: Financial Statements ǀ Budget ǀ Cryptocurrency ǀ Investment ǀ Debt Repayment ǀ Bills (Digital Download)</x:v>
      </x:c>
      <x:c r="B1237" s="10" t="str">
        <x:v>https://www.etsy.com/listing/1316067720/50-personal-finance-spreadsheet</x:v>
      </x:c>
      <x:c r="C1237" s="10" t="str">
        <x:v>DigitalCommodity</x:v>
      </x:c>
      <x:c r="D1237" s="10" t="str">
        <x:v>https://www.etsy.com/shop/DigitalCommodity</x:v>
      </x:c>
      <x:c r="E1237" s="11" t="n">
        <x:v>8.13</x:v>
      </x:c>
      <x:c r="F1237" s="10" t="n">
        <x:v>0</x:v>
      </x:c>
      <x:c r="G1237" s="12" t="n">
        <x:v>0</x:v>
      </x:c>
      <x:c r="H1237" s="13" t="n">
        <x:v>0</x:v>
      </x:c>
      <x:c r="I1237" s="10" t="n">
        <x:v>65</x:v>
      </x:c>
      <x:c r="J1237" s="10" t="n">
        <x:v>5</x:v>
      </x:c>
      <x:c r="K1237" s="10" t="str">
        <x:v>45 Mo.</x:v>
      </x:c>
      <x:c r="L1237" s="10" t="n">
        <x:v>70</x:v>
      </x:c>
      <x:c r="M1237" s="10" t="n">
        <x:v>0</x:v>
      </x:c>
      <x:c r="N1237" s="10" t="n">
        <x:v>1560</x:v>
      </x:c>
      <x:c r="O1237" s="10" t="str"/>
      <x:c r="P1237" s="10" t="n">
        <x:v>49</x:v>
      </x:c>
      <x:c r="Q1237" s="10" t="n">
        <x:v>0</x:v>
      </x:c>
      <x:c r="R1237" s="13" t="n">
        <x:v>4.17</x:v>
      </x:c>
      <x:c r="S1237" s="10" t="n">
        <x:v>6441</x:v>
      </x:c>
      <x:c r="T1237" s="10" t="str">
        <x:v>excel templates,spreadsheets,monthly budget,finance planner,investment,cryptocurrency,amortization,notion templates,business templates,debt snowball,investment portfolio,mortgage,bill payment</x:v>
      </x:c>
      <x:c r="U1237" s="10" t="str">
        <x:v>excel templates</x:v>
      </x:c>
      <x:c r="V1237" s="10" t="str">
        <x:v>spreadsheets</x:v>
      </x:c>
      <x:c r="W1237" s="10" t="str">
        <x:v>monthly budget</x:v>
      </x:c>
      <x:c r="X1237" s="10" t="str">
        <x:v>finance planner</x:v>
      </x:c>
      <x:c r="Y1237" s="10" t="str">
        <x:v>investment</x:v>
      </x:c>
      <x:c r="Z1237" s="10" t="str">
        <x:v>cryptocurrency</x:v>
      </x:c>
      <x:c r="AA1237" s="10" t="str">
        <x:v>amortization</x:v>
      </x:c>
      <x:c r="AB1237" s="10" t="str">
        <x:v>notion templates</x:v>
      </x:c>
      <x:c r="AC1237" s="10" t="str">
        <x:v>business templates</x:v>
      </x:c>
      <x:c r="AD1237" s="10" t="str">
        <x:v>debt snowball</x:v>
      </x:c>
      <x:c r="AE1237" s="10" t="str">
        <x:v>investment portfolio</x:v>
      </x:c>
      <x:c r="AF1237" s="10" t="str">
        <x:v>mortgage</x:v>
      </x:c>
      <x:c r="AG1237" s="10" t="str">
        <x:v>bill payment</x:v>
      </x:c>
      <x:c r="AH1237" s="10" t="str">
        <x:v>Other mortgage-related</x:v>
      </x:c>
      <x:c r="AI1237" s="13" t="n">
        <x:v>45</x:v>
      </x:c>
      <x:c r="AJ1237" s="10" t="str">
        <x:f>IF(F1237&gt;0,"Active","No est. sales")</x:f>
        <x:v>No est. sales</x:v>
      </x:c>
    </x:row>
    <x:row r="1238">
      <x:c r="A1238" s="10" t="str">
        <x:v>Mortgage Amortization Schedule Excel Template with Extra Payments Calculator, Loan Payment Tracker, Debt Payoff Planner, 1-30 Year Bundle</x:v>
      </x:c>
      <x:c r="B1238" s="10" t="str">
        <x:v>https://www.etsy.com/listing/1859476562/loan-amortization-schedule-calculator</x:v>
      </x:c>
      <x:c r="C1238" s="10" t="str">
        <x:v>BankingMadeEasy</x:v>
      </x:c>
      <x:c r="D1238" s="10" t="str">
        <x:v>https://www.etsy.com/shop/BankingMadeEasy</x:v>
      </x:c>
      <x:c r="E1238" s="11" t="n">
        <x:v>17.99</x:v>
      </x:c>
      <x:c r="F1238" s="10" t="n">
        <x:v>0</x:v>
      </x:c>
      <x:c r="G1238" s="12" t="n">
        <x:v>0</x:v>
      </x:c>
      <x:c r="H1238" s="13" t="n">
        <x:v>0</x:v>
      </x:c>
      <x:c r="I1238" s="10" t="n">
        <x:v>0</x:v>
      </x:c>
      <x:c r="J1238" s="10" t="n">
        <x:v>0</x:v>
      </x:c>
      <x:c r="K1238" s="10" t="str">
        <x:v>17 Mo.</x:v>
      </x:c>
      <x:c r="L1238" s="10" t="n">
        <x:v>2</x:v>
      </x:c>
      <x:c r="M1238" s="10" t="n">
        <x:v>0</x:v>
      </x:c>
      <x:c r="N1238" s="10" t="n">
        <x:v>166</x:v>
      </x:c>
      <x:c r="O1238" s="10" t="str"/>
      <x:c r="P1238" s="10" t="n">
        <x:v>17</x:v>
      </x:c>
      <x:c r="Q1238" s="10" t="n">
        <x:v>0</x:v>
      </x:c>
      <x:c r="R1238" s="13" t="n">
        <x:v>0</x:v>
      </x:c>
      <x:c r="S1238" s="10" t="n">
        <x:v>7</x:v>
      </x:c>
      <x:c r="T1238" s="10" t="str">
        <x:v>mortgageamortization,extra payment calc,loan payoff tracker,excel mortgage temp,amortization schedul,debt payoff planner,extra payments,loan amortization,payment schedule,payoff calculator,home loan sheet,debt free planner,mortgage calculator</x:v>
      </x:c>
      <x:c r="U1238" s="10" t="str">
        <x:v>mortgageamortization</x:v>
      </x:c>
      <x:c r="V1238" s="10" t="str">
        <x:v>extra payment calc</x:v>
      </x:c>
      <x:c r="W1238" s="10" t="str">
        <x:v>loan payoff tracker</x:v>
      </x:c>
      <x:c r="X1238" s="10" t="str">
        <x:v>excel mortgage temp</x:v>
      </x:c>
      <x:c r="Y1238" s="10" t="str">
        <x:v>amortization schedul</x:v>
      </x:c>
      <x:c r="Z1238" s="10" t="str">
        <x:v>debt payoff planner</x:v>
      </x:c>
      <x:c r="AA1238" s="10" t="str">
        <x:v>extra payments</x:v>
      </x:c>
      <x:c r="AB1238" s="10" t="str">
        <x:v>loan amortization</x:v>
      </x:c>
      <x:c r="AC1238" s="10" t="str">
        <x:v>payment schedule</x:v>
      </x:c>
      <x:c r="AD1238" s="10" t="str">
        <x:v>payoff calculator</x:v>
      </x:c>
      <x:c r="AE1238" s="10" t="str">
        <x:v>home loan sheet</x:v>
      </x:c>
      <x:c r="AF1238" s="10" t="str">
        <x:v>debt free planner</x:v>
      </x:c>
      <x:c r="AG1238" s="10" t="str">
        <x:v>mortgage calculator</x:v>
      </x:c>
      <x:c r="AH1238" s="10" t="str">
        <x:v>Mortgage payoff / calculator</x:v>
      </x:c>
      <x:c r="AI1238" s="13" t="n">
        <x:v>17</x:v>
      </x:c>
      <x:c r="AJ1238" s="10" t="str">
        <x:f>IF(F1238&gt;0,"Active","No est. sales")</x:f>
        <x:v>No est. sales</x:v>
      </x:c>
    </x:row>
    <x:row r="1239">
      <x:c r="A1239" s="10" t="str">
        <x:v>Spreadsheet Shop - Mortgage Payoff Calculator Excel, Offset Account Planner, Extra Repayment Spreadsheet</x:v>
      </x:c>
      <x:c r="B1239" s="10" t="str">
        <x:v>https://www.etsy.com/listing/4527099407/spreadsheet-shop-mortgage-payoff</x:v>
      </x:c>
      <x:c r="C1239" s="10" t="str">
        <x:v>SpreadsheetShopAU</x:v>
      </x:c>
      <x:c r="D1239" s="10" t="str">
        <x:v>https://www.etsy.com/shop/SpreadsheetShopAU</x:v>
      </x:c>
      <x:c r="E1239" s="11" t="n">
        <x:v>3.47</x:v>
      </x:c>
      <x:c r="F1239" s="10" t="n">
        <x:v>0</x:v>
      </x:c>
      <x:c r="G1239" s="12" t="n">
        <x:v>0</x:v>
      </x:c>
      <x:c r="H1239" s="13" t="n">
        <x:v>0</x:v>
      </x:c>
      <x:c r="I1239" s="10" t="n">
        <x:v>0</x:v>
      </x:c>
      <x:c r="J1239" s="10" t="n">
        <x:v>0</x:v>
      </x:c>
      <x:c r="K1239" s="10" t="str">
        <x:v>1 Mo.</x:v>
      </x:c>
      <x:c r="L1239" s="10" t="n">
        <x:v>0</x:v>
      </x:c>
      <x:c r="M1239" s="10" t="n">
        <x:v>0</x:v>
      </x:c>
      <x:c r="N1239" s="10" t="n">
        <x:v>1</x:v>
      </x:c>
      <x:c r="O1239" s="10" t="str"/>
      <x:c r="P1239" s="10" t="n">
        <x:v>6</x:v>
      </x:c>
      <x:c r="Q1239" s="10" t="n">
        <x:v>0</x:v>
      </x:c>
      <x:c r="R1239" s="13" t="n">
        <x:v>0</x:v>
      </x:c>
      <x:c r="S1239" s="10" t="n">
        <x:v>1</x:v>
      </x:c>
      <x:c r="T1239" s="10" t="str">
        <x:v>excel spreadsheet,budget template,tracker template,planner spreadsheet,finance planner,digital download,editable template,dashboard template,scenario planner,mortgage payoff</x:v>
      </x:c>
      <x:c r="U1239" s="10" t="str">
        <x:v>excel spreadsheet</x:v>
      </x:c>
      <x:c r="V1239" s="10" t="str">
        <x:v>budget template</x:v>
      </x:c>
      <x:c r="W1239" s="10" t="str">
        <x:v>tracker template</x:v>
      </x:c>
      <x:c r="X1239" s="10" t="str">
        <x:v>planner spreadsheet</x:v>
      </x:c>
      <x:c r="Y1239" s="10" t="str">
        <x:v>finance planner</x:v>
      </x:c>
      <x:c r="Z1239" s="10" t="str">
        <x:v>digital download</x:v>
      </x:c>
      <x:c r="AA1239" s="10" t="str">
        <x:v>editable template</x:v>
      </x:c>
      <x:c r="AB1239" s="10" t="str">
        <x:v>dashboard template</x:v>
      </x:c>
      <x:c r="AC1239" s="10" t="str">
        <x:v>scenario planner</x:v>
      </x:c>
      <x:c r="AD1239" s="10" t="str">
        <x:v>mortgage payoff</x:v>
      </x:c>
      <x:c r="AE1239" s="10" t="str">
        <x:v>--</x:v>
      </x:c>
      <x:c r="AF1239" s="10" t="str">
        <x:v>--</x:v>
      </x:c>
      <x:c r="AG1239" s="10" t="str">
        <x:v>--</x:v>
      </x:c>
      <x:c r="AH1239" s="10" t="str">
        <x:v>Mortgage payoff / calculator</x:v>
      </x:c>
      <x:c r="AI1239" s="13" t="n">
        <x:v>1</x:v>
      </x:c>
      <x:c r="AJ1239" s="10" t="str">
        <x:f>IF(F1239&gt;0,"Active","No est. sales")</x:f>
        <x:v>No est. sales</x:v>
      </x:c>
    </x:row>
    <x:row r="1240">
      <x:c r="A1240" s="10" t="str">
        <x:v>Debt Payoff Tracker Excel &amp; Google Sheets, Snowball Avalanche Calculator, Auto Charts, Credit Card Student Loan Mortgage Payoff, Dave Ramsey</x:v>
      </x:c>
      <x:c r="B1240" s="10" t="str">
        <x:v>https://www.etsy.com/listing/4476234831/debt-payoff-tracker-2026-snowball</x:v>
      </x:c>
      <x:c r="C1240" s="10" t="str">
        <x:v>NeatlyHQ</x:v>
      </x:c>
      <x:c r="D1240" s="10" t="str">
        <x:v>https://www.etsy.com/shop/NeatlyHQ</x:v>
      </x:c>
      <x:c r="E1240" s="11" t="n">
        <x:v>4.97</x:v>
      </x:c>
      <x:c r="F1240" s="10" t="n">
        <x:v>0</x:v>
      </x:c>
      <x:c r="G1240" s="12" t="n">
        <x:v>0</x:v>
      </x:c>
      <x:c r="H1240" s="13" t="n">
        <x:v>0</x:v>
      </x:c>
      <x:c r="I1240" s="10" t="n">
        <x:v>0</x:v>
      </x:c>
      <x:c r="J1240" s="10" t="n">
        <x:v>0</x:v>
      </x:c>
      <x:c r="K1240" s="10" t="str">
        <x:v>4 Mo.</x:v>
      </x:c>
      <x:c r="L1240" s="10" t="n">
        <x:v>0</x:v>
      </x:c>
      <x:c r="M1240" s="10" t="n">
        <x:v>0</x:v>
      </x:c>
      <x:c r="N1240" s="10" t="n">
        <x:v>4</x:v>
      </x:c>
      <x:c r="O1240" s="10" t="str"/>
      <x:c r="P1240" s="10" t="n">
        <x:v>5</x:v>
      </x:c>
      <x:c r="Q1240" s="10" t="n">
        <x:v>0</x:v>
      </x:c>
      <x:c r="R1240" s="13" t="n">
        <x:v>0</x:v>
      </x:c>
      <x:c r="S1240" s="10" t="n">
        <x:v>2</x:v>
      </x:c>
      <x:c r="T1240" s="10" t="str">
        <x:v>debt payoff tracker,debt snowball,debt avalanche,google sheets,dave ramsey,debt payoff chart,credit card payoff,student loan payoff,mortgage payoff,debt tracker excel,budget spreadsheet,debt free planner,debt payoff plan</x:v>
      </x:c>
      <x:c r="U1240" s="10" t="str">
        <x:v>debt payoff tracker</x:v>
      </x:c>
      <x:c r="V1240" s="10" t="str">
        <x:v>debt snowball</x:v>
      </x:c>
      <x:c r="W1240" s="10" t="str">
        <x:v>debt avalanche</x:v>
      </x:c>
      <x:c r="X1240" s="10" t="str">
        <x:v>google sheets</x:v>
      </x:c>
      <x:c r="Y1240" s="10" t="str">
        <x:v>dave ramsey</x:v>
      </x:c>
      <x:c r="Z1240" s="10" t="str">
        <x:v>debt payoff chart</x:v>
      </x:c>
      <x:c r="AA1240" s="10" t="str">
        <x:v>credit card payoff</x:v>
      </x:c>
      <x:c r="AB1240" s="10" t="str">
        <x:v>student loan payoff</x:v>
      </x:c>
      <x:c r="AC1240" s="10" t="str">
        <x:v>mortgage payoff</x:v>
      </x:c>
      <x:c r="AD1240" s="10" t="str">
        <x:v>debt tracker excel</x:v>
      </x:c>
      <x:c r="AE1240" s="10" t="str">
        <x:v>budget spreadsheet</x:v>
      </x:c>
      <x:c r="AF1240" s="10" t="str">
        <x:v>debt free planner</x:v>
      </x:c>
      <x:c r="AG1240" s="10" t="str">
        <x:v>debt payoff plan</x:v>
      </x:c>
      <x:c r="AH1240" s="10" t="str">
        <x:v>General debt payoff</x:v>
      </x:c>
      <x:c r="AI1240" s="13" t="n">
        <x:v>4</x:v>
      </x:c>
      <x:c r="AJ1240" s="10" t="str">
        <x:f>IF(F1240&gt;0,"Active","No est. sales")</x:f>
        <x:v>No est. sales</x:v>
      </x:c>
    </x:row>
    <x:row r="1241">
      <x:c r="A1241" s="10" t="str">
        <x:v>Debt Avalanche Planner, Debt Avalanche Tracker, Debt Payments Tracker</x:v>
      </x:c>
      <x:c r="B1241" s="10" t="str">
        <x:v>https://www.etsy.com/listing/594060919/debt-avalanche-planner-debt-avalanche</x:v>
      </x:c>
      <x:c r="C1241" s="10" t="str">
        <x:v>AdventurePrintables</x:v>
      </x:c>
      <x:c r="D1241" s="10" t="str">
        <x:v>https://www.etsy.com/shop/AdventurePrintables</x:v>
      </x:c>
      <x:c r="E1241" s="11" t="n">
        <x:v>3.43</x:v>
      </x:c>
      <x:c r="F1241" s="10" t="n">
        <x:v>0</x:v>
      </x:c>
      <x:c r="G1241" s="12" t="n">
        <x:v>0</x:v>
      </x:c>
      <x:c r="H1241" s="13" t="n">
        <x:v>0</x:v>
      </x:c>
      <x:c r="I1241" s="10" t="n">
        <x:v>50</x:v>
      </x:c>
      <x:c r="J1241" s="10" t="n">
        <x:v>5</x:v>
      </x:c>
      <x:c r="K1241" s="10" t="str">
        <x:v>101 Mo.</x:v>
      </x:c>
      <x:c r="L1241" s="10" t="n">
        <x:v>120</x:v>
      </x:c>
      <x:c r="M1241" s="10" t="n">
        <x:v>0</x:v>
      </x:c>
      <x:c r="N1241" s="10" t="n">
        <x:v>2796</x:v>
      </x:c>
      <x:c r="O1241" s="10" t="str">
        <x:v>Paper &amp; Party Supplies</x:v>
      </x:c>
      <x:c r="P1241" s="10" t="n">
        <x:v>113</x:v>
      </x:c>
      <x:c r="Q1241" s="10" t="n">
        <x:v>0</x:v>
      </x:c>
      <x:c r="R1241" s="13" t="n">
        <x:v>1.79</x:v>
      </x:c>
      <x:c r="S1241" s="10" t="n">
        <x:v>15029</x:v>
      </x:c>
      <x:c r="T1241" s="10" t="str">
        <x:v>printable planner,planner insert,debt avalanche,avalanche planner,avalanche tracker,debt payments,payments tracker,debt free,debt payoff plan,student loans,mortgage planner,financial freedom,dave ramsey</x:v>
      </x:c>
      <x:c r="U1241" s="10" t="str">
        <x:v>printable planner</x:v>
      </x:c>
      <x:c r="V1241" s="10" t="str">
        <x:v>planner insert</x:v>
      </x:c>
      <x:c r="W1241" s="10" t="str">
        <x:v>debt avalanche</x:v>
      </x:c>
      <x:c r="X1241" s="10" t="str">
        <x:v>avalanche planner</x:v>
      </x:c>
      <x:c r="Y1241" s="10" t="str">
        <x:v>avalanche tracker</x:v>
      </x:c>
      <x:c r="Z1241" s="10" t="str">
        <x:v>debt payments</x:v>
      </x:c>
      <x:c r="AA1241" s="10" t="str">
        <x:v>payments tracker</x:v>
      </x:c>
      <x:c r="AB1241" s="10" t="str">
        <x:v>debt free</x:v>
      </x:c>
      <x:c r="AC1241" s="10" t="str">
        <x:v>debt payoff plan</x:v>
      </x:c>
      <x:c r="AD1241" s="10" t="str">
        <x:v>student loans</x:v>
      </x:c>
      <x:c r="AE1241" s="10" t="str">
        <x:v>mortgage planner</x:v>
      </x:c>
      <x:c r="AF1241" s="10" t="str">
        <x:v>financial freedom</x:v>
      </x:c>
      <x:c r="AG1241" s="10" t="str">
        <x:v>dave ramsey</x:v>
      </x:c>
      <x:c r="AH1241" s="10" t="str">
        <x:v>General debt payoff</x:v>
      </x:c>
      <x:c r="AI1241" s="13" t="n">
        <x:v>101</x:v>
      </x:c>
      <x:c r="AJ1241" s="10" t="str">
        <x:f>IF(F1241&gt;0,"Active","No est. sales")</x:f>
        <x:v>No est. sales</x:v>
      </x:c>
    </x:row>
    <x:row r="1242">
      <x:c r="A1242" s="10" t="str">
        <x:v>Statement of Net Worth Google Sheet | Financial Planning Spreadsheet | Asset Tracker</x:v>
      </x:c>
      <x:c r="B1242" s="10" t="str">
        <x:v>https://www.etsy.com/listing/1150610130/statement-of-net-worth-google-sheet</x:v>
      </x:c>
      <x:c r="C1242" s="10" t="str">
        <x:v>CoffeeCupSpreadsheet</x:v>
      </x:c>
      <x:c r="D1242" s="10" t="str">
        <x:v>https://www.etsy.com/shop/CoffeeCupSpreadsheet</x:v>
      </x:c>
      <x:c r="E1242" s="11" t="n">
        <x:v>5</x:v>
      </x:c>
      <x:c r="F1242" s="10" t="n">
        <x:v>0</x:v>
      </x:c>
      <x:c r="G1242" s="12" t="n">
        <x:v>0</x:v>
      </x:c>
      <x:c r="H1242" s="13" t="n">
        <x:v>0</x:v>
      </x:c>
      <x:c r="I1242" s="10" t="n">
        <x:v>43</x:v>
      </x:c>
      <x:c r="J1242" s="10" t="n">
        <x:v>4</x:v>
      </x:c>
      <x:c r="K1242" s="10" t="str">
        <x:v>54 Mo.</x:v>
      </x:c>
      <x:c r="L1242" s="10" t="n">
        <x:v>21</x:v>
      </x:c>
      <x:c r="M1242" s="10" t="n">
        <x:v>0</x:v>
      </x:c>
      <x:c r="N1242" s="10" t="n">
        <x:v>580</x:v>
      </x:c>
      <x:c r="O1242" s="10" t="str">
        <x:v>Paper &amp; Party Supplies</x:v>
      </x:c>
      <x:c r="P1242" s="10" t="n">
        <x:v>55</x:v>
      </x:c>
      <x:c r="Q1242" s="10" t="n">
        <x:v>0</x:v>
      </x:c>
      <x:c r="R1242" s="13" t="n">
        <x:v>7.41</x:v>
      </x:c>
      <x:c r="S1242" s="10" t="n">
        <x:v>5201</x:v>
      </x:c>
      <x:c r="T1242" s="10" t="str">
        <x:v>google sheet,net worth,spreadsheet,retirement,financial planner,excel,balance sheet,net worth tracker,excel retirement,mortgage application,debt to equity ratio,net worth calculator,asset tracker</x:v>
      </x:c>
      <x:c r="U1242" s="10" t="str">
        <x:v>google sheet</x:v>
      </x:c>
      <x:c r="V1242" s="10" t="str">
        <x:v>net worth</x:v>
      </x:c>
      <x:c r="W1242" s="10" t="str">
        <x:v>spreadsheet</x:v>
      </x:c>
      <x:c r="X1242" s="10" t="str">
        <x:v>retirement</x:v>
      </x:c>
      <x:c r="Y1242" s="10" t="str">
        <x:v>financial planner</x:v>
      </x:c>
      <x:c r="Z1242" s="10" t="str">
        <x:v>excel</x:v>
      </x:c>
      <x:c r="AA1242" s="10" t="str">
        <x:v>balance sheet</x:v>
      </x:c>
      <x:c r="AB1242" s="10" t="str">
        <x:v>net worth tracker</x:v>
      </x:c>
      <x:c r="AC1242" s="10" t="str">
        <x:v>excel retirement</x:v>
      </x:c>
      <x:c r="AD1242" s="10" t="str">
        <x:v>mortgage application</x:v>
      </x:c>
      <x:c r="AE1242" s="10" t="str">
        <x:v>debt to equity ratio</x:v>
      </x:c>
      <x:c r="AF1242" s="10" t="str">
        <x:v>net worth calculator</x:v>
      </x:c>
      <x:c r="AG1242" s="10" t="str">
        <x:v>asset tracker</x:v>
      </x:c>
      <x:c r="AH1242" s="10" t="str">
        <x:v>Other mortgage-related</x:v>
      </x:c>
      <x:c r="AI1242" s="13" t="n">
        <x:v>54</x:v>
      </x:c>
      <x:c r="AJ1242" s="10" t="str">
        <x:f>IF(F1242&gt;0,"Active","No est. sales")</x:f>
        <x:v>No est. sales</x:v>
      </x:c>
    </x:row>
    <x:row r="1243">
      <x:c r="A1243" s="10" t="str">
        <x:v>Debt Payoff Tracker Google Sheets Snowball Method Debt Payment Spreadsheet Financial Planner Credit Card Mortgage Payoff Personal Finance</x:v>
      </x:c>
      <x:c r="B1243" s="10" t="str">
        <x:v>https://www.etsy.com/listing/1715430983/debt-payoff-tracker-google-sheets</x:v>
      </x:c>
      <x:c r="C1243" s="10" t="str">
        <x:v>PLANSTUDIOREMIER</x:v>
      </x:c>
      <x:c r="D1243" s="10" t="str">
        <x:v>https://www.etsy.com/shop/PLANSTUDIOREMIER</x:v>
      </x:c>
      <x:c r="E1243" s="11" t="n">
        <x:v>3.51</x:v>
      </x:c>
      <x:c r="F1243" s="10" t="n">
        <x:v>0</x:v>
      </x:c>
      <x:c r="G1243" s="12" t="n">
        <x:v>0</x:v>
      </x:c>
      <x:c r="H1243" s="13" t="n">
        <x:v>0</x:v>
      </x:c>
      <x:c r="I1243" s="10" t="n">
        <x:v>6</x:v>
      </x:c>
      <x:c r="J1243" s="10" t="n">
        <x:v>1</x:v>
      </x:c>
      <x:c r="K1243" s="10" t="str">
        <x:v>27 Mo.</x:v>
      </x:c>
      <x:c r="L1243" s="10" t="n">
        <x:v>6</x:v>
      </x:c>
      <x:c r="M1243" s="10" t="n">
        <x:v>0</x:v>
      </x:c>
      <x:c r="N1243" s="10" t="n">
        <x:v>174</x:v>
      </x:c>
      <x:c r="O1243" s="10" t="str"/>
      <x:c r="P1243" s="10" t="n">
        <x:v>27</x:v>
      </x:c>
      <x:c r="Q1243" s="10" t="n">
        <x:v>0</x:v>
      </x:c>
      <x:c r="R1243" s="13" t="n">
        <x:v>3.45</x:v>
      </x:c>
      <x:c r="S1243" s="10" t="n">
        <x:v>472</x:v>
      </x:c>
      <x:c r="T1243" s="10" t="str">
        <x:v>debt payoff tracker,debt payment planner,financial planner,yearly budget tool,debt tracker google,debt snowball method,credit card payoff,finance spreadsheet,mortgage payoff,debt spreadsheet,avalanche method,google sheet planner,budgeting tool excel</x:v>
      </x:c>
      <x:c r="U1243" s="10" t="str">
        <x:v>debt payoff tracker</x:v>
      </x:c>
      <x:c r="V1243" s="10" t="str">
        <x:v>debt payment planner</x:v>
      </x:c>
      <x:c r="W1243" s="10" t="str">
        <x:v>financial planner</x:v>
      </x:c>
      <x:c r="X1243" s="10" t="str">
        <x:v>yearly budget tool</x:v>
      </x:c>
      <x:c r="Y1243" s="10" t="str">
        <x:v>debt tracker google</x:v>
      </x:c>
      <x:c r="Z1243" s="10" t="str">
        <x:v>debt snowball method</x:v>
      </x:c>
      <x:c r="AA1243" s="10" t="str">
        <x:v>credit card payoff</x:v>
      </x:c>
      <x:c r="AB1243" s="10" t="str">
        <x:v>finance spreadsheet</x:v>
      </x:c>
      <x:c r="AC1243" s="10" t="str">
        <x:v>mortgage payoff</x:v>
      </x:c>
      <x:c r="AD1243" s="10" t="str">
        <x:v>debt spreadsheet</x:v>
      </x:c>
      <x:c r="AE1243" s="10" t="str">
        <x:v>avalanche method</x:v>
      </x:c>
      <x:c r="AF1243" s="10" t="str">
        <x:v>google sheet planner</x:v>
      </x:c>
      <x:c r="AG1243" s="10" t="str">
        <x:v>budgeting tool excel</x:v>
      </x:c>
      <x:c r="AH1243" s="10" t="str">
        <x:v>General debt payoff</x:v>
      </x:c>
      <x:c r="AI1243" s="13" t="n">
        <x:v>27</x:v>
      </x:c>
      <x:c r="AJ1243" s="10" t="str">
        <x:f>IF(F1243&gt;0,"Active","No est. sales")</x:f>
        <x:v>No est. sales</x:v>
      </x:c>
    </x:row>
    <x:row r="1244">
      <x:c r="A1244" s="10" t="str">
        <x:v>First Time Home Buyer Checklist PDF. Home Buying Guide Planner, House Hunting Checklist, Mortgage Prep Checklist</x:v>
      </x:c>
      <x:c r="B1244" s="10" t="str">
        <x:v>https://www.etsy.com/listing/4495872688/first-time-home-buyer-checklist-pdf-home</x:v>
      </x:c>
      <x:c r="C1244" s="10" t="str">
        <x:v>TemplatesForYou123</x:v>
      </x:c>
      <x:c r="D1244" s="10" t="str">
        <x:v>https://www.etsy.com/shop/TemplatesForYou123</x:v>
      </x:c>
      <x:c r="E1244" s="11" t="n">
        <x:v>3.89</x:v>
      </x:c>
      <x:c r="F1244" s="10" t="n">
        <x:v>0</x:v>
      </x:c>
      <x:c r="G1244" s="12" t="n">
        <x:v>0</x:v>
      </x:c>
      <x:c r="H1244" s="13" t="n">
        <x:v>0</x:v>
      </x:c>
      <x:c r="I1244" s="10" t="n">
        <x:v>0</x:v>
      </x:c>
      <x:c r="J1244" s="10" t="n">
        <x:v>0</x:v>
      </x:c>
      <x:c r="K1244" s="10" t="str">
        <x:v>3 Mo.</x:v>
      </x:c>
      <x:c r="L1244" s="10" t="n">
        <x:v>5</x:v>
      </x:c>
      <x:c r="M1244" s="10" t="n">
        <x:v>0</x:v>
      </x:c>
      <x:c r="N1244" s="10" t="n">
        <x:v>96</x:v>
      </x:c>
      <x:c r="O1244" s="10" t="str">
        <x:v>Paper &amp; Party Supplies</x:v>
      </x:c>
      <x:c r="P1244" s="10" t="n">
        <x:v>46</x:v>
      </x:c>
      <x:c r="Q1244" s="10" t="n">
        <x:v>0</x:v>
      </x:c>
      <x:c r="R1244" s="13" t="n">
        <x:v>0</x:v>
      </x:c>
      <x:c r="S1244" s="10" t="n">
        <x:v>3192</x:v>
      </x:c>
      <x:c r="T1244" s="10" t="str">
        <x:v>first time homebuyer,homebuyer checklist,house buying planner,home buying guide,mortgage checklist,realtor printable,house hunting list,closing checklist,moving checklist,home planner pdf,buyer binder,new homeowner plan,real estate planner</x:v>
      </x:c>
      <x:c r="U1244" s="10" t="str">
        <x:v>first time homebuyer</x:v>
      </x:c>
      <x:c r="V1244" s="10" t="str">
        <x:v>homebuyer checklist</x:v>
      </x:c>
      <x:c r="W1244" s="10" t="str">
        <x:v>house buying planner</x:v>
      </x:c>
      <x:c r="X1244" s="10" t="str">
        <x:v>home buying guide</x:v>
      </x:c>
      <x:c r="Y1244" s="10" t="str">
        <x:v>mortgage checklist</x:v>
      </x:c>
      <x:c r="Z1244" s="10" t="str">
        <x:v>realtor printable</x:v>
      </x:c>
      <x:c r="AA1244" s="10" t="str">
        <x:v>house hunting list</x:v>
      </x:c>
      <x:c r="AB1244" s="10" t="str">
        <x:v>closing checklist</x:v>
      </x:c>
      <x:c r="AC1244" s="10" t="str">
        <x:v>moving checklist</x:v>
      </x:c>
      <x:c r="AD1244" s="10" t="str">
        <x:v>home planner pdf</x:v>
      </x:c>
      <x:c r="AE1244" s="10" t="str">
        <x:v>buyer binder</x:v>
      </x:c>
      <x:c r="AF1244" s="10" t="str">
        <x:v>new homeowner plan</x:v>
      </x:c>
      <x:c r="AG1244" s="10" t="str">
        <x:v>real estate planner</x:v>
      </x:c>
      <x:c r="AH1244" s="10" t="str">
        <x:v>Home buying planner</x:v>
      </x:c>
      <x:c r="AI1244" s="13" t="n">
        <x:v>3</x:v>
      </x:c>
      <x:c r="AJ1244" s="10" t="str">
        <x:f>IF(F1244&gt;0,"Active","No est. sales")</x:f>
        <x:v>No est. sales</x:v>
      </x:c>
    </x:row>
    <x:row r="1245">
      <x:c r="A1245" s="10" t="str">
        <x:v>Budget Bundle for Beginners Google Sheets Dark Mode Planner Savings Goals Tracker Debt Payoff Calculator Credit Card Loan Mortgage Payment</x:v>
      </x:c>
      <x:c r="B1245" s="10" t="str">
        <x:v>https://www.etsy.com/listing/4464297291/budget-bundle-for-beginners-google</x:v>
      </x:c>
      <x:c r="C1245" s="10" t="str">
        <x:v>SmartKitDesigns</x:v>
      </x:c>
      <x:c r="D1245" s="10" t="str">
        <x:v>https://www.etsy.com/shop/SmartKitDesigns</x:v>
      </x:c>
      <x:c r="E1245" s="11" t="n">
        <x:v>22.99</x:v>
      </x:c>
      <x:c r="F1245" s="10" t="n">
        <x:v>0</x:v>
      </x:c>
      <x:c r="G1245" s="12" t="n">
        <x:v>0</x:v>
      </x:c>
      <x:c r="H1245" s="13" t="n">
        <x:v>0</x:v>
      </x:c>
      <x:c r="I1245" s="10" t="n">
        <x:v>0</x:v>
      </x:c>
      <x:c r="J1245" s="10" t="n">
        <x:v>0</x:v>
      </x:c>
      <x:c r="K1245" s="10" t="str">
        <x:v>5 Mo.</x:v>
      </x:c>
      <x:c r="L1245" s="10" t="n">
        <x:v>1</x:v>
      </x:c>
      <x:c r="M1245" s="10" t="n">
        <x:v>0</x:v>
      </x:c>
      <x:c r="N1245" s="10" t="n">
        <x:v>25</x:v>
      </x:c>
      <x:c r="O1245" s="10" t="str"/>
      <x:c r="P1245" s="10" t="n">
        <x:v>12</x:v>
      </x:c>
      <x:c r="Q1245" s="10" t="n">
        <x:v>0</x:v>
      </x:c>
      <x:c r="R1245" s="13" t="n">
        <x:v>0</x:v>
      </x:c>
      <x:c r="S1245" s="10" t="n">
        <x:v>1666</x:v>
      </x:c>
      <x:c r="T1245" s="10" t="str">
        <x:v>google sheets budget,savings goals,savings planner,savings tracker,debt google sheets,mortgage payoff,debt calculator,credit card debt,student loan payoff,budget template,paycheck budget,monthly budget,beginner budget</x:v>
      </x:c>
      <x:c r="U1245" s="10" t="str">
        <x:v>google sheets budget</x:v>
      </x:c>
      <x:c r="V1245" s="10" t="str">
        <x:v>savings goals</x:v>
      </x:c>
      <x:c r="W1245" s="10" t="str">
        <x:v>savings planner</x:v>
      </x:c>
      <x:c r="X1245" s="10" t="str">
        <x:v>savings tracker</x:v>
      </x:c>
      <x:c r="Y1245" s="10" t="str">
        <x:v>debt google sheets</x:v>
      </x:c>
      <x:c r="Z1245" s="10" t="str">
        <x:v>mortgage payoff</x:v>
      </x:c>
      <x:c r="AA1245" s="10" t="str">
        <x:v>debt calculator</x:v>
      </x:c>
      <x:c r="AB1245" s="10" t="str">
        <x:v>credit card debt</x:v>
      </x:c>
      <x:c r="AC1245" s="10" t="str">
        <x:v>student loan payoff</x:v>
      </x:c>
      <x:c r="AD1245" s="10" t="str">
        <x:v>budget template</x:v>
      </x:c>
      <x:c r="AE1245" s="10" t="str">
        <x:v>paycheck budget</x:v>
      </x:c>
      <x:c r="AF1245" s="10" t="str">
        <x:v>monthly budget</x:v>
      </x:c>
      <x:c r="AG1245" s="10" t="str">
        <x:v>beginner budget</x:v>
      </x:c>
      <x:c r="AH1245" s="10" t="str">
        <x:v>General debt payoff</x:v>
      </x:c>
      <x:c r="AI1245" s="13" t="n">
        <x:v>5</x:v>
      </x:c>
      <x:c r="AJ1245" s="10" t="str">
        <x:f>IF(F1245&gt;0,"Active","No est. sales")</x:f>
        <x:v>No est. sales</x:v>
      </x:c>
    </x:row>
    <x:row r="1246">
      <x:c r="A1246" s="10" t="str">
        <x:v>Real Property Calculator Suite | 9 Home Buying Calculators | HTML + Excel + PDF Guide | Mortgage Affordability Closing Costs Down Payment</x:v>
      </x:c>
      <x:c r="B1246" s="10" t="str">
        <x:v>https://www.etsy.com/listing/4521987514/real-property-calculator-suite-9-home</x:v>
      </x:c>
      <x:c r="C1246" s="10" t="str">
        <x:v>DigitalDeluxUS</x:v>
      </x:c>
      <x:c r="D1246" s="10" t="str">
        <x:v>https://www.etsy.com/shop/DigitalDeluxUS</x:v>
      </x:c>
      <x:c r="E1246" s="11" t="n">
        <x:v>29.99</x:v>
      </x:c>
      <x:c r="F1246" s="10" t="n">
        <x:v>0</x:v>
      </x:c>
      <x:c r="G1246" s="12" t="n">
        <x:v>0</x:v>
      </x:c>
      <x:c r="H1246" s="13" t="n">
        <x:v>0</x:v>
      </x:c>
      <x:c r="I1246" s="10" t="n">
        <x:v>0</x:v>
      </x:c>
      <x:c r="J1246" s="10" t="n">
        <x:v>0</x:v>
      </x:c>
      <x:c r="K1246" s="10" t="str">
        <x:v>1 Mo.</x:v>
      </x:c>
      <x:c r="L1246" s="10" t="n">
        <x:v>0</x:v>
      </x:c>
      <x:c r="M1246" s="10" t="n">
        <x:v>0</x:v>
      </x:c>
      <x:c r="N1246" s="10" t="n">
        <x:v>2</x:v>
      </x:c>
      <x:c r="O1246" s="10" t="str"/>
      <x:c r="P1246" s="10" t="n">
        <x:v>1</x:v>
      </x:c>
      <x:c r="Q1246" s="10" t="n">
        <x:v>0</x:v>
      </x:c>
      <x:c r="R1246" s="13" t="n">
        <x:v>0</x:v>
      </x:c>
      <x:c r="S1246" s="10" t="n">
        <x:v>0</x:v>
      </x:c>
      <x:c r="T1246" s="10" t="str">
        <x:v>mortgage calculator,home buying tools,affordability calc,closing cost calc,down payment calc,first time buyer,real estate excel,home loan calculator,home buyer toolkit,mortgage spreadsheet,house budget planner,realtor tools,property calculator</x:v>
      </x:c>
      <x:c r="U1246" s="10" t="str">
        <x:v>mortgage calculator</x:v>
      </x:c>
      <x:c r="V1246" s="10" t="str">
        <x:v>home buying tools</x:v>
      </x:c>
      <x:c r="W1246" s="10" t="str">
        <x:v>affordability calc</x:v>
      </x:c>
      <x:c r="X1246" s="10" t="str">
        <x:v>closing cost calc</x:v>
      </x:c>
      <x:c r="Y1246" s="10" t="str">
        <x:v>down payment calc</x:v>
      </x:c>
      <x:c r="Z1246" s="10" t="str">
        <x:v>first time buyer</x:v>
      </x:c>
      <x:c r="AA1246" s="10" t="str">
        <x:v>real estate excel</x:v>
      </x:c>
      <x:c r="AB1246" s="10" t="str">
        <x:v>home loan calculator</x:v>
      </x:c>
      <x:c r="AC1246" s="10" t="str">
        <x:v>home buyer toolkit</x:v>
      </x:c>
      <x:c r="AD1246" s="10" t="str">
        <x:v>mortgage spreadsheet</x:v>
      </x:c>
      <x:c r="AE1246" s="10" t="str">
        <x:v>house budget planner</x:v>
      </x:c>
      <x:c r="AF1246" s="10" t="str">
        <x:v>realtor tools</x:v>
      </x:c>
      <x:c r="AG1246" s="10" t="str">
        <x:v>property calculator</x:v>
      </x:c>
      <x:c r="AH1246" s="10" t="str">
        <x:v>Other mortgage-related</x:v>
      </x:c>
      <x:c r="AI1246" s="13" t="n">
        <x:v>1</x:v>
      </x:c>
      <x:c r="AJ1246" s="10" t="str">
        <x:f>IF(F1246&gt;0,"Active","No est. sales")</x:f>
        <x:v>No est. sales</x:v>
      </x:c>
    </x:row>
    <x:row r="1247">
      <x:c r="A1247" s="10" t="str">
        <x:v>UK First-Time Buyer Planner – Deposit Tracker, Mortgage Calculator, Property Comparison (Excel/Sheets)</x:v>
      </x:c>
      <x:c r="B1247" s="10" t="str">
        <x:v>https://www.etsy.com/listing/4444837991/first-time-home-buyer-budget-planner-uk</x:v>
      </x:c>
      <x:c r="C1247" s="10" t="str">
        <x:v>PlannerAndCoUK</x:v>
      </x:c>
      <x:c r="D1247" s="10" t="str">
        <x:v>https://www.etsy.com/shop/PlannerAndCoUK</x:v>
      </x:c>
      <x:c r="E1247" s="11" t="n">
        <x:v>16.13</x:v>
      </x:c>
      <x:c r="F1247" s="10" t="n">
        <x:v>0</x:v>
      </x:c>
      <x:c r="G1247" s="12" t="n">
        <x:v>0</x:v>
      </x:c>
      <x:c r="H1247" s="13" t="n">
        <x:v>0</x:v>
      </x:c>
      <x:c r="I1247" s="10" t="n">
        <x:v>0</x:v>
      </x:c>
      <x:c r="J1247" s="10" t="n">
        <x:v>0</x:v>
      </x:c>
      <x:c r="K1247" s="10" t="str">
        <x:v>5 Mo.</x:v>
      </x:c>
      <x:c r="L1247" s="10" t="n">
        <x:v>1</x:v>
      </x:c>
      <x:c r="M1247" s="10" t="n">
        <x:v>0</x:v>
      </x:c>
      <x:c r="N1247" s="10" t="n">
        <x:v>229</x:v>
      </x:c>
      <x:c r="O1247" s="10" t="str"/>
      <x:c r="P1247" s="10" t="n">
        <x:v>5</x:v>
      </x:c>
      <x:c r="Q1247" s="10" t="n">
        <x:v>25</x:v>
      </x:c>
      <x:c r="R1247" s="13" t="n">
        <x:v>0</x:v>
      </x:c>
      <x:c r="S1247" s="10" t="n">
        <x:v>3</x:v>
      </x:c>
      <x:c r="T1247" s="10" t="str">
        <x:v>deposit tracker uk,first time buyer,home buying uk,savings goal tracker,google sheets budget,excel home planner,first time buyer uk,deposit planner uk,mortgage planner uk,mortgage spreadsheet,home buying planner,property comparison,home affordability</x:v>
      </x:c>
      <x:c r="U1247" s="10" t="str">
        <x:v>deposit tracker uk</x:v>
      </x:c>
      <x:c r="V1247" s="10" t="str">
        <x:v>first time buyer</x:v>
      </x:c>
      <x:c r="W1247" s="10" t="str">
        <x:v>home buying uk</x:v>
      </x:c>
      <x:c r="X1247" s="10" t="str">
        <x:v>savings goal tracker</x:v>
      </x:c>
      <x:c r="Y1247" s="10" t="str">
        <x:v>google sheets budget</x:v>
      </x:c>
      <x:c r="Z1247" s="10" t="str">
        <x:v>excel home planner</x:v>
      </x:c>
      <x:c r="AA1247" s="10" t="str">
        <x:v>first time buyer uk</x:v>
      </x:c>
      <x:c r="AB1247" s="10" t="str">
        <x:v>deposit planner uk</x:v>
      </x:c>
      <x:c r="AC1247" s="10" t="str">
        <x:v>mortgage planner uk</x:v>
      </x:c>
      <x:c r="AD1247" s="10" t="str">
        <x:v>mortgage spreadsheet</x:v>
      </x:c>
      <x:c r="AE1247" s="10" t="str">
        <x:v>home buying planner</x:v>
      </x:c>
      <x:c r="AF1247" s="10" t="str">
        <x:v>property comparison</x:v>
      </x:c>
      <x:c r="AG1247" s="10" t="str">
        <x:v>home affordability</x:v>
      </x:c>
      <x:c r="AH1247" s="10" t="str">
        <x:v>Home buying planner</x:v>
      </x:c>
      <x:c r="AI1247" s="13" t="n">
        <x:v>5</x:v>
      </x:c>
      <x:c r="AJ1247" s="10" t="str">
        <x:f>IF(F1247&gt;0,"Active","No est. sales")</x:f>
        <x:v>No est. sales</x:v>
      </x:c>
    </x:row>
    <x:row r="1248">
      <x:c r="A1248" s="10" t="str">
        <x:v>Loan Calculator Excel | Amortization Schedule | Early Repayment Tool | Annuity &amp; Declining Balance | Instant Download</x:v>
      </x:c>
      <x:c r="B1248" s="10" t="str">
        <x:v>https://www.etsy.com/listing/4465880235/loan-calculator-excel-amortization</x:v>
      </x:c>
      <x:c r="C1248" s="10" t="str">
        <x:v>Fintrix</x:v>
      </x:c>
      <x:c r="D1248" s="10" t="str">
        <x:v>https://www.etsy.com/shop/Fintrix</x:v>
      </x:c>
      <x:c r="E1248" s="11" t="n">
        <x:v>1.72</x:v>
      </x:c>
      <x:c r="F1248" s="10" t="n">
        <x:v>0</x:v>
      </x:c>
      <x:c r="G1248" s="12" t="n">
        <x:v>0</x:v>
      </x:c>
      <x:c r="H1248" s="13" t="n">
        <x:v>0</x:v>
      </x:c>
      <x:c r="I1248" s="10" t="n">
        <x:v>0</x:v>
      </x:c>
      <x:c r="J1248" s="10" t="n">
        <x:v>0</x:v>
      </x:c>
      <x:c r="K1248" s="10" t="str">
        <x:v>1 Mo.</x:v>
      </x:c>
      <x:c r="L1248" s="10" t="n">
        <x:v>0</x:v>
      </x:c>
      <x:c r="M1248" s="10" t="n">
        <x:v>0</x:v>
      </x:c>
      <x:c r="N1248" s="10" t="n">
        <x:v>4</x:v>
      </x:c>
      <x:c r="O1248" s="10" t="str"/>
      <x:c r="P1248" s="10" t="n">
        <x:v>1</x:v>
      </x:c>
      <x:c r="Q1248" s="10" t="n">
        <x:v>0</x:v>
      </x:c>
      <x:c r="R1248" s="13" t="n">
        <x:v>0</x:v>
      </x:c>
      <x:c r="S1248" s="10" t="n">
        <x:v>0</x:v>
      </x:c>
      <x:c r="T1248" s="10" t="str">
        <x:v>loan calculator,mortgage excel,amortization tool,debt planner,excel finance,payment schedule,early repayment,financial template,loan spreadsheet,annuity calculator,debt payoff tool,money planner,budget planning</x:v>
      </x:c>
      <x:c r="U1248" s="10" t="str">
        <x:v>loan calculator</x:v>
      </x:c>
      <x:c r="V1248" s="10" t="str">
        <x:v>mortgage excel</x:v>
      </x:c>
      <x:c r="W1248" s="10" t="str">
        <x:v>amortization tool</x:v>
      </x:c>
      <x:c r="X1248" s="10" t="str">
        <x:v>debt planner</x:v>
      </x:c>
      <x:c r="Y1248" s="10" t="str">
        <x:v>excel finance</x:v>
      </x:c>
      <x:c r="Z1248" s="10" t="str">
        <x:v>payment schedule</x:v>
      </x:c>
      <x:c r="AA1248" s="10" t="str">
        <x:v>early repayment</x:v>
      </x:c>
      <x:c r="AB1248" s="10" t="str">
        <x:v>financial template</x:v>
      </x:c>
      <x:c r="AC1248" s="10" t="str">
        <x:v>loan spreadsheet</x:v>
      </x:c>
      <x:c r="AD1248" s="10" t="str">
        <x:v>annuity calculator</x:v>
      </x:c>
      <x:c r="AE1248" s="10" t="str">
        <x:v>debt payoff tool</x:v>
      </x:c>
      <x:c r="AF1248" s="10" t="str">
        <x:v>money planner</x:v>
      </x:c>
      <x:c r="AG1248" s="10" t="str">
        <x:v>budget planning</x:v>
      </x:c>
      <x:c r="AH1248" s="10" t="str">
        <x:v>General loan calculator</x:v>
      </x:c>
      <x:c r="AI1248" s="13" t="n">
        <x:v>1</x:v>
      </x:c>
      <x:c r="AJ1248" s="10" t="str">
        <x:f>IF(F1248&gt;0,"Active","No est. sales")</x:f>
        <x:v>No est. sales</x:v>
      </x:c>
    </x:row>
    <x:row r="1249">
      <x:c r="A1249" s="10" t="str">
        <x:v>Debt Payoff Tracker Budget Spreadsheet, Excel Google Sheets Finance (Digital Download)</x:v>
      </x:c>
      <x:c r="B1249" s="10" t="str">
        <x:v>https://www.etsy.com/listing/4511346184/debt-payoff-tracker-budget-spreadsheet</x:v>
      </x:c>
      <x:c r="C1249" s="10" t="str">
        <x:v>TheDataSheetCo</x:v>
      </x:c>
      <x:c r="D1249" s="10" t="str">
        <x:v>https://www.etsy.com/shop/TheDataSheetCo</x:v>
      </x:c>
      <x:c r="E1249" s="11" t="n">
        <x:v>7.99</x:v>
      </x:c>
      <x:c r="F1249" s="10" t="n">
        <x:v>0</x:v>
      </x:c>
      <x:c r="G1249" s="12" t="n">
        <x:v>0</x:v>
      </x:c>
      <x:c r="H1249" s="13" t="n">
        <x:v>0</x:v>
      </x:c>
      <x:c r="I1249" s="10" t="n">
        <x:v>0</x:v>
      </x:c>
      <x:c r="J1249" s="10" t="n">
        <x:v>0</x:v>
      </x:c>
      <x:c r="K1249" s="10" t="str">
        <x:v>1 Mo.</x:v>
      </x:c>
      <x:c r="L1249" s="10" t="n">
        <x:v>1</x:v>
      </x:c>
      <x:c r="M1249" s="10" t="n">
        <x:v>0</x:v>
      </x:c>
      <x:c r="N1249" s="10" t="n">
        <x:v>16</x:v>
      </x:c>
      <x:c r="O1249" s="10" t="str"/>
      <x:c r="P1249" s="10" t="n">
        <x:v>2</x:v>
      </x:c>
      <x:c r="Q1249" s="10" t="n">
        <x:v>0</x:v>
      </x:c>
      <x:c r="R1249" s="13" t="n">
        <x:v>0</x:v>
      </x:c>
      <x:c r="S1249" s="10" t="n">
        <x:v>33</x:v>
      </x:c>
      <x:c r="T1249" s="10" t="str">
        <x:v>debt payoff tracker,budget planner,finance tracker,bill tracker,subscription tracker,spending tracker,debt snowball,payoff tracker,debt payoff,debt tracker,loan payoff tracker,payoff planner,mortgage payoff</x:v>
      </x:c>
      <x:c r="U1249" s="10" t="str">
        <x:v>debt payoff tracker</x:v>
      </x:c>
      <x:c r="V1249" s="10" t="str">
        <x:v>budget planner</x:v>
      </x:c>
      <x:c r="W1249" s="10" t="str">
        <x:v>finance tracker</x:v>
      </x:c>
      <x:c r="X1249" s="10" t="str">
        <x:v>bill tracker</x:v>
      </x:c>
      <x:c r="Y1249" s="10" t="str">
        <x:v>subscription tracker</x:v>
      </x:c>
      <x:c r="Z1249" s="10" t="str">
        <x:v>spending tracker</x:v>
      </x:c>
      <x:c r="AA1249" s="10" t="str">
        <x:v>debt snowball</x:v>
      </x:c>
      <x:c r="AB1249" s="10" t="str">
        <x:v>payoff tracker</x:v>
      </x:c>
      <x:c r="AC1249" s="10" t="str">
        <x:v>debt payoff</x:v>
      </x:c>
      <x:c r="AD1249" s="10" t="str">
        <x:v>debt tracker</x:v>
      </x:c>
      <x:c r="AE1249" s="10" t="str">
        <x:v>loan payoff tracker</x:v>
      </x:c>
      <x:c r="AF1249" s="10" t="str">
        <x:v>payoff planner</x:v>
      </x:c>
      <x:c r="AG1249" s="10" t="str">
        <x:v>mortgage payoff</x:v>
      </x:c>
      <x:c r="AH1249" s="10" t="str">
        <x:v>General debt payoff</x:v>
      </x:c>
      <x:c r="AI1249" s="13" t="n">
        <x:v>1</x:v>
      </x:c>
      <x:c r="AJ1249" s="10" t="str">
        <x:f>IF(F1249&gt;0,"Active","No est. sales")</x:f>
        <x:v>No est. sales</x:v>
      </x:c>
    </x:row>
    <x:row r="1250">
      <x:c r="A1250" s="10" t="str">
        <x:v>Mortgage Affordability Calculator | Home Buying Budget Planner (Google Sheets Template)</x:v>
      </x:c>
      <x:c r="B1250" s="10" t="str">
        <x:v>https://www.etsy.com/listing/4516382517/mortgage-affordability-calculator-home</x:v>
      </x:c>
      <x:c r="C1250" s="10" t="str">
        <x:v>StephanieKathleen13</x:v>
      </x:c>
      <x:c r="D1250" s="10" t="str">
        <x:v>https://www.etsy.com/shop/StephanieKathleen13</x:v>
      </x:c>
      <x:c r="E1250" s="11" t="n">
        <x:v>7.04</x:v>
      </x:c>
      <x:c r="F1250" s="10" t="n">
        <x:v>0</x:v>
      </x:c>
      <x:c r="G1250" s="12" t="n">
        <x:v>0</x:v>
      </x:c>
      <x:c r="H1250" s="13" t="n">
        <x:v>0</x:v>
      </x:c>
      <x:c r="I1250" s="10" t="n">
        <x:v>0</x:v>
      </x:c>
      <x:c r="J1250" s="10" t="n">
        <x:v>0</x:v>
      </x:c>
      <x:c r="K1250" s="10" t="str">
        <x:v>1 Mo.</x:v>
      </x:c>
      <x:c r="L1250" s="10" t="n">
        <x:v>0</x:v>
      </x:c>
      <x:c r="M1250" s="10" t="n">
        <x:v>0</x:v>
      </x:c>
      <x:c r="N1250" s="10" t="n">
        <x:v>13</x:v>
      </x:c>
      <x:c r="O1250" s="10" t="str"/>
      <x:c r="P1250" s="10" t="n">
        <x:v>1</x:v>
      </x:c>
      <x:c r="Q1250" s="10" t="n">
        <x:v>0</x:v>
      </x:c>
      <x:c r="R1250" s="13" t="n">
        <x:v>0</x:v>
      </x:c>
      <x:c r="S1250" s="10" t="n">
        <x:v>2</x:v>
      </x:c>
      <x:c r="T1250" s="10" t="str">
        <x:v>mortgage calculator,house budget planner,first home buyer,home affordability,mortgage spreadsheet,house payment tool,home purchase plan,budget spreadsheet,financial planning,gogle sheets,budget calculator,mortgage budget,affordability calc</x:v>
      </x:c>
      <x:c r="U1250" s="10" t="str">
        <x:v>mortgage calculator</x:v>
      </x:c>
      <x:c r="V1250" s="10" t="str">
        <x:v>house budget planner</x:v>
      </x:c>
      <x:c r="W1250" s="10" t="str">
        <x:v>first home buyer</x:v>
      </x:c>
      <x:c r="X1250" s="10" t="str">
        <x:v>home affordability</x:v>
      </x:c>
      <x:c r="Y1250" s="10" t="str">
        <x:v>mortgage spreadsheet</x:v>
      </x:c>
      <x:c r="Z1250" s="10" t="str">
        <x:v>house payment tool</x:v>
      </x:c>
      <x:c r="AA1250" s="10" t="str">
        <x:v>home purchase plan</x:v>
      </x:c>
      <x:c r="AB1250" s="10" t="str">
        <x:v>budget spreadsheet</x:v>
      </x:c>
      <x:c r="AC1250" s="10" t="str">
        <x:v>financial planning</x:v>
      </x:c>
      <x:c r="AD1250" s="10" t="str">
        <x:v>gogle sheets</x:v>
      </x:c>
      <x:c r="AE1250" s="10" t="str">
        <x:v>budget calculator</x:v>
      </x:c>
      <x:c r="AF1250" s="10" t="str">
        <x:v>mortgage budget</x:v>
      </x:c>
      <x:c r="AG1250" s="10" t="str">
        <x:v>affordability calc</x:v>
      </x:c>
      <x:c r="AH1250" s="10" t="str">
        <x:v>Other mortgage-related</x:v>
      </x:c>
      <x:c r="AI1250" s="13" t="n">
        <x:v>1</x:v>
      </x:c>
      <x:c r="AJ1250" s="10" t="str">
        <x:f>IF(F1250&gt;0,"Active","No est. sales")</x:f>
        <x:v>No est. sales</x:v>
      </x:c>
    </x:row>
    <x:row r="1251">
      <x:c r="A1251" s="10" t="str">
        <x:v>Rent Due Planner Stickers, Rent Reminder Stickers, Pay Bill Stickers, Mortgage Stickers, Finance Stickers, Payment Stickers,  SQ-90</x:v>
      </x:c>
      <x:c r="B1251" s="10" t="str">
        <x:v>https://www.etsy.com/listing/680876938/rent-due-planner-stickers-rent-reminder</x:v>
      </x:c>
      <x:c r="C1251" s="10" t="str">
        <x:v>VonzKrafts</x:v>
      </x:c>
      <x:c r="D1251" s="10" t="str">
        <x:v>https://www.etsy.com/shop/VonzKrafts</x:v>
      </x:c>
      <x:c r="E1251" s="11" t="n">
        <x:v>3.33</x:v>
      </x:c>
      <x:c r="F1251" s="10" t="n">
        <x:v>0</x:v>
      </x:c>
      <x:c r="G1251" s="12" t="n">
        <x:v>0</x:v>
      </x:c>
      <x:c r="H1251" s="13" t="n">
        <x:v>0</x:v>
      </x:c>
      <x:c r="I1251" s="10" t="n">
        <x:v>7</x:v>
      </x:c>
      <x:c r="J1251" s="10" t="n">
        <x:v>1</x:v>
      </x:c>
      <x:c r="K1251" s="10" t="str">
        <x:v>70 Mo.</x:v>
      </x:c>
      <x:c r="L1251" s="10" t="n">
        <x:v>6</x:v>
      </x:c>
      <x:c r="M1251" s="10" t="n">
        <x:v>0</x:v>
      </x:c>
      <x:c r="N1251" s="10" t="n">
        <x:v>59</x:v>
      </x:c>
      <x:c r="O1251" s="10" t="str">
        <x:v>Craft Supplies &amp; Tools</x:v>
      </x:c>
      <x:c r="P1251" s="10" t="n">
        <x:v>88</x:v>
      </x:c>
      <x:c r="Q1251" s="10" t="n">
        <x:v>0</x:v>
      </x:c>
      <x:c r="R1251" s="13" t="n">
        <x:v>11.86</x:v>
      </x:c>
      <x:c r="S1251" s="10" t="n">
        <x:v>3775</x:v>
      </x:c>
      <x:c r="T1251" s="10" t="str">
        <x:v>erin condren,happy planner,life planner,erin condren sticker,weekly planner,planner stickers,functional stickers,header stickers,kikkik stickers,mortgage stickers,rent due stickers,rent reminder,finance stickers</x:v>
      </x:c>
      <x:c r="U1251" s="10" t="str">
        <x:v>erin condren</x:v>
      </x:c>
      <x:c r="V1251" s="10" t="str">
        <x:v>happy planner</x:v>
      </x:c>
      <x:c r="W1251" s="10" t="str">
        <x:v>life planner</x:v>
      </x:c>
      <x:c r="X1251" s="10" t="str">
        <x:v>erin condren sticker</x:v>
      </x:c>
      <x:c r="Y1251" s="10" t="str">
        <x:v>weekly planner</x:v>
      </x:c>
      <x:c r="Z1251" s="10" t="str">
        <x:v>planner stickers</x:v>
      </x:c>
      <x:c r="AA1251" s="10" t="str">
        <x:v>functional stickers</x:v>
      </x:c>
      <x:c r="AB1251" s="10" t="str">
        <x:v>header stickers</x:v>
      </x:c>
      <x:c r="AC1251" s="10" t="str">
        <x:v>kikkik stickers</x:v>
      </x:c>
      <x:c r="AD1251" s="10" t="str">
        <x:v>mortgage stickers</x:v>
      </x:c>
      <x:c r="AE1251" s="10" t="str">
        <x:v>rent due stickers</x:v>
      </x:c>
      <x:c r="AF1251" s="10" t="str">
        <x:v>rent reminder</x:v>
      </x:c>
      <x:c r="AG1251" s="10" t="str">
        <x:v>finance stickers</x:v>
      </x:c>
      <x:c r="AH1251" s="10" t="str">
        <x:v>Other mortgage-related</x:v>
      </x:c>
      <x:c r="AI1251" s="13" t="n">
        <x:v>70</x:v>
      </x:c>
      <x:c r="AJ1251" s="10" t="str">
        <x:f>IF(F1251&gt;0,"Active","No est. sales")</x:f>
        <x:v>No est. sales</x:v>
      </x:c>
    </x:row>
    <x:row r="1252">
      <x:c r="A1252" s="10" t="str">
        <x:v>Mortgage Calculator Excel Template | Loan &amp; Amortization Spreadsheet for Home Buyers (Digital Download)</x:v>
      </x:c>
      <x:c r="B1252" s="10" t="str">
        <x:v>https://www.etsy.com/listing/1724878417/mortgage-calculator-excel-template-loan</x:v>
      </x:c>
      <x:c r="C1252" s="10" t="str">
        <x:v>ExcelWonders</x:v>
      </x:c>
      <x:c r="D1252" s="10" t="str">
        <x:v>https://www.etsy.com/shop/ExcelWonders</x:v>
      </x:c>
      <x:c r="E1252" s="11" t="n">
        <x:v>24.95</x:v>
      </x:c>
      <x:c r="F1252" s="10" t="n">
        <x:v>0</x:v>
      </x:c>
      <x:c r="G1252" s="12" t="n">
        <x:v>0</x:v>
      </x:c>
      <x:c r="H1252" s="13" t="n">
        <x:v>0</x:v>
      </x:c>
      <x:c r="I1252" s="10" t="n">
        <x:v>19</x:v>
      </x:c>
      <x:c r="J1252" s="10" t="n">
        <x:v>2</x:v>
      </x:c>
      <x:c r="K1252" s="10" t="str">
        <x:v>26 Mo.</x:v>
      </x:c>
      <x:c r="L1252" s="10" t="n">
        <x:v>30</x:v>
      </x:c>
      <x:c r="M1252" s="10" t="n">
        <x:v>0</x:v>
      </x:c>
      <x:c r="N1252" s="10" t="n">
        <x:v>1621</x:v>
      </x:c>
      <x:c r="O1252" s="10" t="str">
        <x:v>Paper &amp; Party Supplies</x:v>
      </x:c>
      <x:c r="P1252" s="10" t="n">
        <x:v>28</x:v>
      </x:c>
      <x:c r="Q1252" s="10" t="n">
        <x:v>30</x:v>
      </x:c>
      <x:c r="R1252" s="13" t="n">
        <x:v>1.17</x:v>
      </x:c>
      <x:c r="S1252" s="10" t="n">
        <x:v>1518</x:v>
      </x:c>
      <x:c r="T1252" s="10" t="str">
        <x:v>mortgage calculator,mortgage rates,realtor planner,real estate agent,mortgage payments,mortgage interest,mortgage loan,mortgage lending,mortgage payoff,home mortgage,refinance calculator,mortgage refinancing,savings calculator</x:v>
      </x:c>
      <x:c r="U1252" s="10" t="str">
        <x:v>mortgage calculator</x:v>
      </x:c>
      <x:c r="V1252" s="10" t="str">
        <x:v>mortgage rates</x:v>
      </x:c>
      <x:c r="W1252" s="10" t="str">
        <x:v>realtor planner</x:v>
      </x:c>
      <x:c r="X1252" s="10" t="str">
        <x:v>real estate agent</x:v>
      </x:c>
      <x:c r="Y1252" s="10" t="str">
        <x:v>mortgage payments</x:v>
      </x:c>
      <x:c r="Z1252" s="10" t="str">
        <x:v>mortgage interest</x:v>
      </x:c>
      <x:c r="AA1252" s="10" t="str">
        <x:v>mortgage loan</x:v>
      </x:c>
      <x:c r="AB1252" s="10" t="str">
        <x:v>mortgage lending</x:v>
      </x:c>
      <x:c r="AC1252" s="10" t="str">
        <x:v>mortgage payoff</x:v>
      </x:c>
      <x:c r="AD1252" s="10" t="str">
        <x:v>home mortgage</x:v>
      </x:c>
      <x:c r="AE1252" s="10" t="str">
        <x:v>refinance calculator</x:v>
      </x:c>
      <x:c r="AF1252" s="10" t="str">
        <x:v>mortgage refinancing</x:v>
      </x:c>
      <x:c r="AG1252" s="10" t="str">
        <x:v>savings calculator</x:v>
      </x:c>
      <x:c r="AH1252" s="10" t="str">
        <x:v>Mortgage payoff / calculator</x:v>
      </x:c>
      <x:c r="AI1252" s="13" t="n">
        <x:v>26</x:v>
      </x:c>
      <x:c r="AJ1252" s="10" t="str">
        <x:f>IF(F1252&gt;0,"Active","No est. sales")</x:f>
        <x:v>No est. sales</x:v>
      </x:c>
    </x:row>
    <x:row r="1253">
      <x:c r="A1253" s="10" t="str">
        <x:v>Buying My First Home Journal – First-Time Buyer Planner | Printable House Buying Guide | UK Homeowner Checklist | Digital Download PDF</x:v>
      </x:c>
      <x:c r="B1253" s="10" t="str">
        <x:v>https://www.etsy.com/listing/1897970763/buying-my-first-home-journal-first-time</x:v>
      </x:c>
      <x:c r="C1253" s="10" t="str">
        <x:v>TheWhiteCottagePrint</x:v>
      </x:c>
      <x:c r="D1253" s="10" t="str">
        <x:v>https://www.etsy.com/shop/TheWhiteCottagePrint</x:v>
      </x:c>
      <x:c r="E1253" s="11" t="n">
        <x:v>6.67</x:v>
      </x:c>
      <x:c r="F1253" s="10" t="n">
        <x:v>0</x:v>
      </x:c>
      <x:c r="G1253" s="12" t="n">
        <x:v>0</x:v>
      </x:c>
      <x:c r="H1253" s="13" t="n">
        <x:v>0</x:v>
      </x:c>
      <x:c r="I1253" s="10" t="n">
        <x:v>0</x:v>
      </x:c>
      <x:c r="J1253" s="10" t="n">
        <x:v>0</x:v>
      </x:c>
      <x:c r="K1253" s="10" t="str">
        <x:v>11 Mo.</x:v>
      </x:c>
      <x:c r="L1253" s="10" t="n">
        <x:v>1</x:v>
      </x:c>
      <x:c r="M1253" s="10" t="n">
        <x:v>0</x:v>
      </x:c>
      <x:c r="N1253" s="10" t="n">
        <x:v>141</x:v>
      </x:c>
      <x:c r="O1253" s="10" t="str"/>
      <x:c r="P1253" s="10" t="n">
        <x:v>12</x:v>
      </x:c>
      <x:c r="Q1253" s="10" t="n">
        <x:v>0</x:v>
      </x:c>
      <x:c r="R1253" s="13" t="n">
        <x:v>0</x:v>
      </x:c>
      <x:c r="S1253" s="10" t="n">
        <x:v>58</x:v>
      </x:c>
      <x:c r="T1253" s="10" t="str">
        <x:v>new homeowner bundle,home buying journal,first time planner,home buying,house planner,moving planner,buyer checklist,printable journal,first home,house tracker,mortgage log,moving checklist,home journal</x:v>
      </x:c>
      <x:c r="U1253" s="10" t="str">
        <x:v>new homeowner bundle</x:v>
      </x:c>
      <x:c r="V1253" s="10" t="str">
        <x:v>home buying journal</x:v>
      </x:c>
      <x:c r="W1253" s="10" t="str">
        <x:v>first time planner</x:v>
      </x:c>
      <x:c r="X1253" s="10" t="str">
        <x:v>home buying</x:v>
      </x:c>
      <x:c r="Y1253" s="10" t="str">
        <x:v>house planner</x:v>
      </x:c>
      <x:c r="Z1253" s="10" t="str">
        <x:v>moving planner</x:v>
      </x:c>
      <x:c r="AA1253" s="10" t="str">
        <x:v>buyer checklist</x:v>
      </x:c>
      <x:c r="AB1253" s="10" t="str">
        <x:v>printable journal</x:v>
      </x:c>
      <x:c r="AC1253" s="10" t="str">
        <x:v>first home</x:v>
      </x:c>
      <x:c r="AD1253" s="10" t="str">
        <x:v>house tracker</x:v>
      </x:c>
      <x:c r="AE1253" s="10" t="str">
        <x:v>mortgage log</x:v>
      </x:c>
      <x:c r="AF1253" s="10" t="str">
        <x:v>moving checklist</x:v>
      </x:c>
      <x:c r="AG1253" s="10" t="str">
        <x:v>home journal</x:v>
      </x:c>
      <x:c r="AH1253" s="10" t="str">
        <x:v>Other mortgage-related</x:v>
      </x:c>
      <x:c r="AI1253" s="13" t="n">
        <x:v>11</x:v>
      </x:c>
      <x:c r="AJ1253" s="10" t="str">
        <x:f>IF(F1253&gt;0,"Active","No est. sales")</x:f>
        <x:v>No est. sales</x:v>
      </x:c>
    </x:row>
    <x:row r="1254">
      <x:c r="A1254" s="10" t="str">
        <x:v>CUSTOM House Icon Stickers for Planners or Calendars WHITE TEXT [S163]</x:v>
      </x:c>
      <x:c r="B1254" s="10" t="str">
        <x:v>https://www.etsy.com/listing/806124962/custom-house-icon-stickers-for-planners</x:v>
      </x:c>
      <x:c r="C1254" s="10" t="str">
        <x:v>PaperDayDesign</x:v>
      </x:c>
      <x:c r="D1254" s="10" t="str">
        <x:v>https://www.etsy.com/shop/PaperDayDesign</x:v>
      </x:c>
      <x:c r="E1254" s="11" t="n">
        <x:v>4</x:v>
      </x:c>
      <x:c r="F1254" s="10" t="n">
        <x:v>0</x:v>
      </x:c>
      <x:c r="G1254" s="12" t="n">
        <x:v>0</x:v>
      </x:c>
      <x:c r="H1254" s="13" t="n">
        <x:v>0</x:v>
      </x:c>
      <x:c r="I1254" s="10" t="n">
        <x:v>168</x:v>
      </x:c>
      <x:c r="J1254" s="10" t="n">
        <x:v>26</x:v>
      </x:c>
      <x:c r="K1254" s="10" t="str">
        <x:v>62 Mo.</x:v>
      </x:c>
      <x:c r="L1254" s="10" t="n">
        <x:v>94</x:v>
      </x:c>
      <x:c r="M1254" s="10" t="n">
        <x:v>0</x:v>
      </x:c>
      <x:c r="N1254" s="10" t="n">
        <x:v>3015</x:v>
      </x:c>
      <x:c r="O1254" s="10" t="str">
        <x:v>Paper &amp; Party Supplies</x:v>
      </x:c>
      <x:c r="P1254" s="10" t="n">
        <x:v>88</x:v>
      </x:c>
      <x:c r="Q1254" s="10" t="n">
        <x:v>25</x:v>
      </x:c>
      <x:c r="R1254" s="13" t="n">
        <x:v>5.57</x:v>
      </x:c>
      <x:c r="S1254" s="10" t="n">
        <x:v>38700</x:v>
      </x:c>
      <x:c r="T1254" s="10" t="str">
        <x:v>custody calendar,icon planner sticker,erin condren,happy planner,functional planner,moving calendar,rent payment,mortgage icon,home planner,house icon sticker,blank house icon,blank house sticker,mom dad house</x:v>
      </x:c>
      <x:c r="U1254" s="10" t="str">
        <x:v>custody calendar</x:v>
      </x:c>
      <x:c r="V1254" s="10" t="str">
        <x:v>icon planner sticker</x:v>
      </x:c>
      <x:c r="W1254" s="10" t="str">
        <x:v>erin condren</x:v>
      </x:c>
      <x:c r="X1254" s="10" t="str">
        <x:v>happy planner</x:v>
      </x:c>
      <x:c r="Y1254" s="10" t="str">
        <x:v>functional planner</x:v>
      </x:c>
      <x:c r="Z1254" s="10" t="str">
        <x:v>moving calendar</x:v>
      </x:c>
      <x:c r="AA1254" s="10" t="str">
        <x:v>rent payment</x:v>
      </x:c>
      <x:c r="AB1254" s="10" t="str">
        <x:v>mortgage icon</x:v>
      </x:c>
      <x:c r="AC1254" s="10" t="str">
        <x:v>home planner</x:v>
      </x:c>
      <x:c r="AD1254" s="10" t="str">
        <x:v>house icon sticker</x:v>
      </x:c>
      <x:c r="AE1254" s="10" t="str">
        <x:v>blank house icon</x:v>
      </x:c>
      <x:c r="AF1254" s="10" t="str">
        <x:v>blank house sticker</x:v>
      </x:c>
      <x:c r="AG1254" s="10" t="str">
        <x:v>mom dad house</x:v>
      </x:c>
      <x:c r="AH1254" s="10" t="str">
        <x:v>Other mortgage-related</x:v>
      </x:c>
      <x:c r="AI1254" s="13" t="n">
        <x:v>62</x:v>
      </x:c>
      <x:c r="AJ1254" s="10" t="str">
        <x:f>IF(F1254&gt;0,"Active","No est. sales")</x:f>
        <x:v>No est. sales</x:v>
      </x:c>
    </x:row>
    <x:row r="1255">
      <x:c r="A1255" s="10" t="str">
        <x:v>TTBW-045 // Mortgage Pmt Planner Stickers Colorful Tiny Payment Bills Housing</x:v>
      </x:c>
      <x:c r="B1255" s="10" t="str">
        <x:v>https://www.etsy.com/listing/4404995225/ttbw-045-road-trip-planner-stickers</x:v>
      </x:c>
      <x:c r="C1255" s="10" t="str">
        <x:v>CreativeCellar</x:v>
      </x:c>
      <x:c r="D1255" s="10" t="str">
        <x:v>https://www.etsy.com/shop/CreativeCellar</x:v>
      </x:c>
      <x:c r="E1255" s="11" t="n">
        <x:v>3.75</x:v>
      </x:c>
      <x:c r="F1255" s="10" t="n">
        <x:v>0</x:v>
      </x:c>
      <x:c r="G1255" s="12" t="n">
        <x:v>0</x:v>
      </x:c>
      <x:c r="H1255" s="13" t="n">
        <x:v>0</x:v>
      </x:c>
      <x:c r="I1255" s="10" t="n">
        <x:v>0</x:v>
      </x:c>
      <x:c r="J1255" s="10" t="n">
        <x:v>0</x:v>
      </x:c>
      <x:c r="K1255" s="10" t="str">
        <x:v>8 Mo.</x:v>
      </x:c>
      <x:c r="L1255" s="10" t="n">
        <x:v>4</x:v>
      </x:c>
      <x:c r="M1255" s="10" t="n">
        <x:v>0</x:v>
      </x:c>
      <x:c r="N1255" s="10" t="n">
        <x:v>26</x:v>
      </x:c>
      <x:c r="O1255" s="10" t="str">
        <x:v>Paper &amp; Party Supplies</x:v>
      </x:c>
      <x:c r="P1255" s="10" t="n">
        <x:v>191</x:v>
      </x:c>
      <x:c r="Q1255" s="10" t="n">
        <x:v>0</x:v>
      </x:c>
      <x:c r="R1255" s="13" t="n">
        <x:v>0</x:v>
      </x:c>
      <x:c r="S1255" s="10" t="n">
        <x:v>33591</x:v>
      </x:c>
      <x:c r="T1255" s="10" t="str">
        <x:v>planner sticker,labels stickers tags,stickers,erin condren,planner,calendar,life planner,transparent stickers,matte stickers,tiny stickers,black icon stickers,gift stickers,cute</x:v>
      </x:c>
      <x:c r="U1255" s="10" t="str">
        <x:v>planner sticker</x:v>
      </x:c>
      <x:c r="V1255" s="10" t="str">
        <x:v>labels stickers tags</x:v>
      </x:c>
      <x:c r="W1255" s="10" t="str">
        <x:v>stickers</x:v>
      </x:c>
      <x:c r="X1255" s="10" t="str">
        <x:v>erin condren</x:v>
      </x:c>
      <x:c r="Y1255" s="10" t="str">
        <x:v>planner</x:v>
      </x:c>
      <x:c r="Z1255" s="10" t="str">
        <x:v>calendar</x:v>
      </x:c>
      <x:c r="AA1255" s="10" t="str">
        <x:v>life planner</x:v>
      </x:c>
      <x:c r="AB1255" s="10" t="str">
        <x:v>transparent stickers</x:v>
      </x:c>
      <x:c r="AC1255" s="10" t="str">
        <x:v>matte stickers</x:v>
      </x:c>
      <x:c r="AD1255" s="10" t="str">
        <x:v>tiny stickers</x:v>
      </x:c>
      <x:c r="AE1255" s="10" t="str">
        <x:v>black icon stickers</x:v>
      </x:c>
      <x:c r="AF1255" s="10" t="str">
        <x:v>gift stickers</x:v>
      </x:c>
      <x:c r="AG1255" s="10" t="str">
        <x:v>cute</x:v>
      </x:c>
      <x:c r="AH1255" s="10" t="str">
        <x:v>Other mortgage-related</x:v>
      </x:c>
      <x:c r="AI1255" s="13" t="n">
        <x:v>8</x:v>
      </x:c>
      <x:c r="AJ1255" s="10" t="str">
        <x:f>IF(F1255&gt;0,"Active","No est. sales")</x:f>
        <x:v>No est. sales</x:v>
      </x:c>
    </x:row>
    <x:row r="1256">
      <x:c r="A1256" s="10" t="str">
        <x:v>ICON-54 // Mortgage Planner Stickers, Payment, Reminder, Tracker, House, Home</x:v>
      </x:c>
      <x:c r="B1256" s="10" t="str">
        <x:v>https://www.etsy.com/listing/1624594041/icon-54-mortgage-planner-stickers</x:v>
      </x:c>
      <x:c r="C1256" s="10" t="str">
        <x:v>CreativeCellar</x:v>
      </x:c>
      <x:c r="D1256" s="10" t="str">
        <x:v>https://www.etsy.com/shop/CreativeCellar</x:v>
      </x:c>
      <x:c r="E1256" s="11" t="n">
        <x:v>3.5</x:v>
      </x:c>
      <x:c r="F1256" s="10" t="n">
        <x:v>0</x:v>
      </x:c>
      <x:c r="G1256" s="12" t="n">
        <x:v>0</x:v>
      </x:c>
      <x:c r="H1256" s="13" t="n">
        <x:v>0</x:v>
      </x:c>
      <x:c r="I1256" s="10" t="n">
        <x:v>0</x:v>
      </x:c>
      <x:c r="J1256" s="10" t="n">
        <x:v>0</x:v>
      </x:c>
      <x:c r="K1256" s="10" t="str">
        <x:v>31 Mo.</x:v>
      </x:c>
      <x:c r="L1256" s="10" t="n">
        <x:v>16</x:v>
      </x:c>
      <x:c r="M1256" s="10" t="n">
        <x:v>0</x:v>
      </x:c>
      <x:c r="N1256" s="10" t="n">
        <x:v>116</x:v>
      </x:c>
      <x:c r="O1256" s="10" t="str">
        <x:v>Paper &amp; Party Supplies</x:v>
      </x:c>
      <x:c r="P1256" s="10" t="n">
        <x:v>191</x:v>
      </x:c>
      <x:c r="Q1256" s="10" t="n">
        <x:v>0</x:v>
      </x:c>
      <x:c r="R1256" s="13" t="n">
        <x:v>0</x:v>
      </x:c>
      <x:c r="S1256" s="10" t="n">
        <x:v>33591</x:v>
      </x:c>
      <x:c r="T1256" s="10" t="str">
        <x:v>planner sticker,labels stickers tags,stickers,craft supplies tools,erin condren,eclp,planner,calendar,life planner,transparent stickers,matte stickers,tiny stickers,black icon stickers</x:v>
      </x:c>
      <x:c r="U1256" s="10" t="str">
        <x:v>planner sticker</x:v>
      </x:c>
      <x:c r="V1256" s="10" t="str">
        <x:v>labels stickers tags</x:v>
      </x:c>
      <x:c r="W1256" s="10" t="str">
        <x:v>stickers</x:v>
      </x:c>
      <x:c r="X1256" s="10" t="str">
        <x:v>craft supplies tools</x:v>
      </x:c>
      <x:c r="Y1256" s="10" t="str">
        <x:v>erin condren</x:v>
      </x:c>
      <x:c r="Z1256" s="10" t="str">
        <x:v>eclp</x:v>
      </x:c>
      <x:c r="AA1256" s="10" t="str">
        <x:v>planner</x:v>
      </x:c>
      <x:c r="AB1256" s="10" t="str">
        <x:v>calendar</x:v>
      </x:c>
      <x:c r="AC1256" s="10" t="str">
        <x:v>life planner</x:v>
      </x:c>
      <x:c r="AD1256" s="10" t="str">
        <x:v>transparent stickers</x:v>
      </x:c>
      <x:c r="AE1256" s="10" t="str">
        <x:v>matte stickers</x:v>
      </x:c>
      <x:c r="AF1256" s="10" t="str">
        <x:v>tiny stickers</x:v>
      </x:c>
      <x:c r="AG1256" s="10" t="str">
        <x:v>black icon stickers</x:v>
      </x:c>
      <x:c r="AH1256" s="10" t="str">
        <x:v>Other mortgage-related</x:v>
      </x:c>
      <x:c r="AI1256" s="13" t="n">
        <x:v>31</x:v>
      </x:c>
      <x:c r="AJ1256" s="10" t="str">
        <x:f>IF(F1256&gt;0,"Active","No est. sales")</x:f>
        <x:v>No est. sales</x:v>
      </x:c>
    </x:row>
    <x:row r="1257">
      <x:c r="A1257" s="10" t="str">
        <x:v>CI#19 // House Colorful Icon Planner Stickers,Payment. Bills, Money, Mortgage, Rent</x:v>
      </x:c>
      <x:c r="B1257" s="10" t="str">
        <x:v>https://www.etsy.com/listing/4386968351/ci19-house-colorful-icon-planner</x:v>
      </x:c>
      <x:c r="C1257" s="10" t="str">
        <x:v>CreativeCellar</x:v>
      </x:c>
      <x:c r="D1257" s="10" t="str">
        <x:v>https://www.etsy.com/shop/CreativeCellar</x:v>
      </x:c>
      <x:c r="E1257" s="11" t="n">
        <x:v>3.75</x:v>
      </x:c>
      <x:c r="F1257" s="10" t="n">
        <x:v>0</x:v>
      </x:c>
      <x:c r="G1257" s="12" t="n">
        <x:v>0</x:v>
      </x:c>
      <x:c r="H1257" s="13" t="n">
        <x:v>0</x:v>
      </x:c>
      <x:c r="I1257" s="10" t="n">
        <x:v>0</x:v>
      </x:c>
      <x:c r="J1257" s="10" t="n">
        <x:v>0</x:v>
      </x:c>
      <x:c r="K1257" s="10" t="str">
        <x:v>9 Mo.</x:v>
      </x:c>
      <x:c r="L1257" s="10" t="n">
        <x:v>6</x:v>
      </x:c>
      <x:c r="M1257" s="10" t="n">
        <x:v>0</x:v>
      </x:c>
      <x:c r="N1257" s="10" t="n">
        <x:v>24</x:v>
      </x:c>
      <x:c r="O1257" s="10" t="str">
        <x:v>Paper &amp; Party Supplies</x:v>
      </x:c>
      <x:c r="P1257" s="10" t="n">
        <x:v>191</x:v>
      </x:c>
      <x:c r="Q1257" s="10" t="n">
        <x:v>0</x:v>
      </x:c>
      <x:c r="R1257" s="13" t="n">
        <x:v>0</x:v>
      </x:c>
      <x:c r="S1257" s="10" t="n">
        <x:v>33591</x:v>
      </x:c>
      <x:c r="T1257" s="10" t="str">
        <x:v>planner sticker,labels stickers tags,stickers,craft supplies tools,erin condren,eclp,planner,calendar,life planner,transparent stickers,matte stickers,tiny stickers,black icon stickers</x:v>
      </x:c>
      <x:c r="U1257" s="10" t="str">
        <x:v>planner sticker</x:v>
      </x:c>
      <x:c r="V1257" s="10" t="str">
        <x:v>labels stickers tags</x:v>
      </x:c>
      <x:c r="W1257" s="10" t="str">
        <x:v>stickers</x:v>
      </x:c>
      <x:c r="X1257" s="10" t="str">
        <x:v>craft supplies tools</x:v>
      </x:c>
      <x:c r="Y1257" s="10" t="str">
        <x:v>erin condren</x:v>
      </x:c>
      <x:c r="Z1257" s="10" t="str">
        <x:v>eclp</x:v>
      </x:c>
      <x:c r="AA1257" s="10" t="str">
        <x:v>planner</x:v>
      </x:c>
      <x:c r="AB1257" s="10" t="str">
        <x:v>calendar</x:v>
      </x:c>
      <x:c r="AC1257" s="10" t="str">
        <x:v>life planner</x:v>
      </x:c>
      <x:c r="AD1257" s="10" t="str">
        <x:v>transparent stickers</x:v>
      </x:c>
      <x:c r="AE1257" s="10" t="str">
        <x:v>matte stickers</x:v>
      </x:c>
      <x:c r="AF1257" s="10" t="str">
        <x:v>tiny stickers</x:v>
      </x:c>
      <x:c r="AG1257" s="10" t="str">
        <x:v>black icon stickers</x:v>
      </x:c>
      <x:c r="AH1257" s="10" t="str">
        <x:v>Other mortgage-related</x:v>
      </x:c>
      <x:c r="AI1257" s="13" t="n">
        <x:v>9</x:v>
      </x:c>
      <x:c r="AJ1257" s="10" t="str">
        <x:f>IF(F1257&gt;0,"Active","No est. sales")</x:f>
        <x:v>No est. sales</x:v>
      </x:c>
    </x:row>
    <x:row r="1258">
      <x:c r="A1258" s="10" t="str">
        <x:v>Debt Snowball Spreadsheet Google Sheet Excel Debt Payoff Tracker Debt Snowball Calculator Student Loan Payoff House Debt Payoff Credit Cards</x:v>
      </x:c>
      <x:c r="B1258" s="10" t="str">
        <x:v>https://www.etsy.com/listing/1506599842/debt-snowball-spreadsheet-google-sheet</x:v>
      </x:c>
      <x:c r="C1258" s="10" t="str">
        <x:v>PrioriDigitalStudio</x:v>
      </x:c>
      <x:c r="D1258" s="10" t="str">
        <x:v>https://www.etsy.com/shop/PrioriDigitalStudio</x:v>
      </x:c>
      <x:c r="E1258" s="11" t="n">
        <x:v>6.22</x:v>
      </x:c>
      <x:c r="F1258" s="10" t="n">
        <x:v>0</x:v>
      </x:c>
      <x:c r="G1258" s="12" t="n">
        <x:v>0</x:v>
      </x:c>
      <x:c r="H1258" s="13" t="n">
        <x:v>0</x:v>
      </x:c>
      <x:c r="I1258" s="10" t="n">
        <x:v>18</x:v>
      </x:c>
      <x:c r="J1258" s="10" t="n">
        <x:v>2</x:v>
      </x:c>
      <x:c r="K1258" s="10" t="str">
        <x:v>36 Mo.</x:v>
      </x:c>
      <x:c r="L1258" s="10" t="n">
        <x:v>16</x:v>
      </x:c>
      <x:c r="M1258" s="10" t="n">
        <x:v>0</x:v>
      </x:c>
      <x:c r="N1258" s="10" t="n">
        <x:v>761</x:v>
      </x:c>
      <x:c r="O1258" s="10" t="str">
        <x:v>Paper &amp; Party Supplies</x:v>
      </x:c>
      <x:c r="P1258" s="10" t="n">
        <x:v>40</x:v>
      </x:c>
      <x:c r="Q1258" s="10" t="n">
        <x:v>0</x:v>
      </x:c>
      <x:c r="R1258" s="13" t="n">
        <x:v>2.37</x:v>
      </x:c>
      <x:c r="S1258" s="10" t="n">
        <x:v>167903</x:v>
      </x:c>
      <x:c r="T1258" s="10" t="str">
        <x:v>finance planner,excel spreadsheet,debt google sheets,debt spreadsheet,debt payoff tracker,budget planner,personal finance,loan payoff,mortgage payoff,debt snowball excel,debt tracker excel,budget spreadsheet,monthly budget</x:v>
      </x:c>
      <x:c r="U1258" s="10" t="str">
        <x:v>finance planner</x:v>
      </x:c>
      <x:c r="V1258" s="10" t="str">
        <x:v>excel spreadsheet</x:v>
      </x:c>
      <x:c r="W1258" s="10" t="str">
        <x:v>debt google sheets</x:v>
      </x:c>
      <x:c r="X1258" s="10" t="str">
        <x:v>debt spreadsheet</x:v>
      </x:c>
      <x:c r="Y1258" s="10" t="str">
        <x:v>debt payoff tracker</x:v>
      </x:c>
      <x:c r="Z1258" s="10" t="str">
        <x:v>budget planner</x:v>
      </x:c>
      <x:c r="AA1258" s="10" t="str">
        <x:v>personal finance</x:v>
      </x:c>
      <x:c r="AB1258" s="10" t="str">
        <x:v>loan payoff</x:v>
      </x:c>
      <x:c r="AC1258" s="10" t="str">
        <x:v>mortgage payoff</x:v>
      </x:c>
      <x:c r="AD1258" s="10" t="str">
        <x:v>debt snowball excel</x:v>
      </x:c>
      <x:c r="AE1258" s="10" t="str">
        <x:v>debt tracker excel</x:v>
      </x:c>
      <x:c r="AF1258" s="10" t="str">
        <x:v>budget spreadsheet</x:v>
      </x:c>
      <x:c r="AG1258" s="10" t="str">
        <x:v>monthly budget</x:v>
      </x:c>
      <x:c r="AH1258" s="10" t="str">
        <x:v>General debt payoff</x:v>
      </x:c>
      <x:c r="AI1258" s="13" t="n">
        <x:v>36</x:v>
      </x:c>
      <x:c r="AJ1258" s="10" t="str">
        <x:f>IF(F1258&gt;0,"Active","No est. sales")</x:f>
        <x:v>No est. sales</x:v>
      </x:c>
    </x:row>
    <x:row r="1259">
      <x:c r="A1259" s="10" t="str">
        <x:v>Debt Payoff Tracker Debt Snowball Excel Debt Avalanche Calculator for Google Sheet Student Loan Mortgage House Payment Credit Card Payoff</x:v>
      </x:c>
      <x:c r="B1259" s="10" t="str">
        <x:v>https://www.etsy.com/listing/4473989970/debt-payoff-tracker-debt-snowball-excel</x:v>
      </x:c>
      <x:c r="C1259" s="10" t="str">
        <x:v>PrioriDigitalStudio</x:v>
      </x:c>
      <x:c r="D1259" s="10" t="str">
        <x:v>https://www.etsy.com/shop/PrioriDigitalStudio</x:v>
      </x:c>
      <x:c r="E1259" s="11" t="n">
        <x:v>7.1</x:v>
      </x:c>
      <x:c r="F1259" s="10" t="n">
        <x:v>0</x:v>
      </x:c>
      <x:c r="G1259" s="12" t="n">
        <x:v>0</x:v>
      </x:c>
      <x:c r="H1259" s="13" t="n">
        <x:v>0</x:v>
      </x:c>
      <x:c r="I1259" s="10" t="n">
        <x:v>5</x:v>
      </x:c>
      <x:c r="J1259" s="10" t="n">
        <x:v>0</x:v>
      </x:c>
      <x:c r="K1259" s="10" t="str">
        <x:v>4 Mo.</x:v>
      </x:c>
      <x:c r="L1259" s="10" t="n">
        <x:v>5</x:v>
      </x:c>
      <x:c r="M1259" s="10" t="n">
        <x:v>0</x:v>
      </x:c>
      <x:c r="N1259" s="10" t="n">
        <x:v>106</x:v>
      </x:c>
      <x:c r="O1259" s="10" t="str">
        <x:v>Paper &amp; Party Supplies</x:v>
      </x:c>
      <x:c r="P1259" s="10" t="n">
        <x:v>40</x:v>
      </x:c>
      <x:c r="Q1259" s="10" t="n">
        <x:v>0</x:v>
      </x:c>
      <x:c r="R1259" s="13" t="n">
        <x:v>4.72</x:v>
      </x:c>
      <x:c r="S1259" s="10" t="n">
        <x:v>167903</x:v>
      </x:c>
      <x:c r="T1259" s="10" t="str">
        <x:v>debt google sheets,debt spreadsheet,debt payoff tracker,budget planner,personal finance,mortgage payoff,debt snowball excel,debt tracker excel,snowball calculator,student loan payoff,credit card debt,financial planner,debt avalanche</x:v>
      </x:c>
      <x:c r="U1259" s="10" t="str">
        <x:v>debt google sheets</x:v>
      </x:c>
      <x:c r="V1259" s="10" t="str">
        <x:v>debt spreadsheet</x:v>
      </x:c>
      <x:c r="W1259" s="10" t="str">
        <x:v>debt payoff tracker</x:v>
      </x:c>
      <x:c r="X1259" s="10" t="str">
        <x:v>budget planner</x:v>
      </x:c>
      <x:c r="Y1259" s="10" t="str">
        <x:v>personal finance</x:v>
      </x:c>
      <x:c r="Z1259" s="10" t="str">
        <x:v>mortgage payoff</x:v>
      </x:c>
      <x:c r="AA1259" s="10" t="str">
        <x:v>debt snowball excel</x:v>
      </x:c>
      <x:c r="AB1259" s="10" t="str">
        <x:v>debt tracker excel</x:v>
      </x:c>
      <x:c r="AC1259" s="10" t="str">
        <x:v>snowball calculator</x:v>
      </x:c>
      <x:c r="AD1259" s="10" t="str">
        <x:v>student loan payoff</x:v>
      </x:c>
      <x:c r="AE1259" s="10" t="str">
        <x:v>credit card debt</x:v>
      </x:c>
      <x:c r="AF1259" s="10" t="str">
        <x:v>financial planner</x:v>
      </x:c>
      <x:c r="AG1259" s="10" t="str">
        <x:v>debt avalanche</x:v>
      </x:c>
      <x:c r="AH1259" s="10" t="str">
        <x:v>General debt payoff</x:v>
      </x:c>
      <x:c r="AI1259" s="13" t="n">
        <x:v>4</x:v>
      </x:c>
      <x:c r="AJ1259" s="10" t="str">
        <x:f>IF(F1259&gt;0,"Active","No est. sales")</x:f>
        <x:v>No est. sales</x:v>
      </x:c>
    </x:row>
    <x:row r="1260">
      <x:c r="A1260" s="10" t="str">
        <x:v>Debt Payoff Chart: Custom Financial Goal Tracker, Loan Repayment Visual</x:v>
      </x:c>
      <x:c r="B1260" s="10" t="str">
        <x:v>https://www.etsy.com/listing/1868061380/debt-payoff-chart-custom-financial-goal</x:v>
      </x:c>
      <x:c r="C1260" s="10" t="str">
        <x:v>JuguemosconSentido</x:v>
      </x:c>
      <x:c r="D1260" s="10" t="str">
        <x:v>https://www.etsy.com/shop/JuguemosconSentido</x:v>
      </x:c>
      <x:c r="E1260" s="11" t="n">
        <x:v>19</x:v>
      </x:c>
      <x:c r="F1260" s="10" t="n">
        <x:v>0</x:v>
      </x:c>
      <x:c r="G1260" s="12" t="n">
        <x:v>0</x:v>
      </x:c>
      <x:c r="H1260" s="13" t="n">
        <x:v>0</x:v>
      </x:c>
      <x:c r="I1260" s="10" t="n">
        <x:v>0</x:v>
      </x:c>
      <x:c r="J1260" s="10" t="n">
        <x:v>0</x:v>
      </x:c>
      <x:c r="K1260" s="10" t="str">
        <x:v>16 Mo.</x:v>
      </x:c>
      <x:c r="L1260" s="10" t="n">
        <x:v>0</x:v>
      </x:c>
      <x:c r="M1260" s="10" t="n">
        <x:v>0</x:v>
      </x:c>
      <x:c r="N1260" s="10" t="n">
        <x:v>81</x:v>
      </x:c>
      <x:c r="O1260" s="10" t="str">
        <x:v>Home &amp; Living</x:v>
      </x:c>
      <x:c r="P1260" s="10" t="n">
        <x:v>104</x:v>
      </x:c>
      <x:c r="Q1260" s="10" t="n">
        <x:v>0</x:v>
      </x:c>
      <x:c r="R1260" s="13" t="n">
        <x:v>0</x:v>
      </x:c>
      <x:c r="S1260" s="10" t="n">
        <x:v>101</x:v>
      </x:c>
      <x:c r="T1260" s="10" t="str">
        <x:v>debt payoff tracker,financial goal chart,loan repayment plan,mortgage payoff tool,money saving tracker,budget planner sheet,debt free journey,savings goal tracker,car loan payoff plan,debt snowball chart,personal finance,visual debt tracker,payoff  calculator</x:v>
      </x:c>
      <x:c r="U1260" s="10" t="str">
        <x:v>debt payoff tracker</x:v>
      </x:c>
      <x:c r="V1260" s="10" t="str">
        <x:v>financial goal chart</x:v>
      </x:c>
      <x:c r="W1260" s="10" t="str">
        <x:v>loan repayment plan</x:v>
      </x:c>
      <x:c r="X1260" s="10" t="str">
        <x:v>mortgage payoff tool</x:v>
      </x:c>
      <x:c r="Y1260" s="10" t="str">
        <x:v>money saving tracker</x:v>
      </x:c>
      <x:c r="Z1260" s="10" t="str">
        <x:v>budget planner sheet</x:v>
      </x:c>
      <x:c r="AA1260" s="10" t="str">
        <x:v>debt free journey</x:v>
      </x:c>
      <x:c r="AB1260" s="10" t="str">
        <x:v>savings goal tracker</x:v>
      </x:c>
      <x:c r="AC1260" s="10" t="str">
        <x:v>car loan payoff plan</x:v>
      </x:c>
      <x:c r="AD1260" s="10" t="str">
        <x:v>debt snowball chart</x:v>
      </x:c>
      <x:c r="AE1260" s="10" t="str">
        <x:v>personal finance</x:v>
      </x:c>
      <x:c r="AF1260" s="10" t="str">
        <x:v>visual debt tracker</x:v>
      </x:c>
      <x:c r="AG1260" s="10" t="str">
        <x:v>payoff  calculator</x:v>
      </x:c>
      <x:c r="AH1260" s="10" t="str">
        <x:v>General debt payoff</x:v>
      </x:c>
      <x:c r="AI1260" s="13" t="n">
        <x:v>16</x:v>
      </x:c>
      <x:c r="AJ1260" s="10" t="str">
        <x:f>IF(F1260&gt;0,"Active","No est. sales")</x:f>
        <x:v>No est. sales</x:v>
      </x:c>
    </x:row>
    <x:row r="1261">
      <x:c r="A1261" s="10" t="str">
        <x:v>Mortgage Amortization Schedule Excel &amp; Google Sheets | Loan Calculator (Digital Download)</x:v>
      </x:c>
      <x:c r="B1261" s="10" t="str">
        <x:v>https://www.etsy.com/listing/4508715909/mortgage-amortization-schedule-excel</x:v>
      </x:c>
      <x:c r="C1261" s="10" t="str">
        <x:v>MadeTrueFinds</x:v>
      </x:c>
      <x:c r="D1261" s="10" t="str">
        <x:v>https://www.etsy.com/shop/MadeTrueFinds</x:v>
      </x:c>
      <x:c r="E1261" s="11" t="n">
        <x:v>4.2</x:v>
      </x:c>
      <x:c r="F1261" s="10" t="n">
        <x:v>0</x:v>
      </x:c>
      <x:c r="G1261" s="12" t="n">
        <x:v>0</x:v>
      </x:c>
      <x:c r="H1261" s="13" t="n">
        <x:v>0</x:v>
      </x:c>
      <x:c r="I1261" s="10" t="n">
        <x:v>0</x:v>
      </x:c>
      <x:c r="J1261" s="10" t="n">
        <x:v>0</x:v>
      </x:c>
      <x:c r="K1261" s="10" t="str">
        <x:v>2 Mo.</x:v>
      </x:c>
      <x:c r="L1261" s="10" t="n">
        <x:v>0</x:v>
      </x:c>
      <x:c r="M1261" s="10" t="n">
        <x:v>0</x:v>
      </x:c>
      <x:c r="N1261" s="10" t="n">
        <x:v>21</x:v>
      </x:c>
      <x:c r="O1261" s="10" t="str">
        <x:v>Home &amp; Living</x:v>
      </x:c>
      <x:c r="P1261" s="10" t="n">
        <x:v>8</x:v>
      </x:c>
      <x:c r="Q1261" s="10" t="n">
        <x:v>0</x:v>
      </x:c>
      <x:c r="R1261" s="13" t="n">
        <x:v>0</x:v>
      </x:c>
      <x:c r="S1261" s="10" t="n">
        <x:v>103</x:v>
      </x:c>
      <x:c r="T1261" s="10" t="str">
        <x:v>mortgage calculator,amortization,loan tracker,excel spreadsheet,google sheets,mortgage payoff,loan calculator,home loan,debt payoff,financial planner,extra payments,digital download,budget template</x:v>
      </x:c>
      <x:c r="U1261" s="10" t="str">
        <x:v>mortgage calculator</x:v>
      </x:c>
      <x:c r="V1261" s="10" t="str">
        <x:v>amortization</x:v>
      </x:c>
      <x:c r="W1261" s="10" t="str">
        <x:v>loan tracker</x:v>
      </x:c>
      <x:c r="X1261" s="10" t="str">
        <x:v>excel spreadsheet</x:v>
      </x:c>
      <x:c r="Y1261" s="10" t="str">
        <x:v>google sheets</x:v>
      </x:c>
      <x:c r="Z1261" s="10" t="str">
        <x:v>mortgage payoff</x:v>
      </x:c>
      <x:c r="AA1261" s="10" t="str">
        <x:v>loan calculator</x:v>
      </x:c>
      <x:c r="AB1261" s="10" t="str">
        <x:v>home loan</x:v>
      </x:c>
      <x:c r="AC1261" s="10" t="str">
        <x:v>debt payoff</x:v>
      </x:c>
      <x:c r="AD1261" s="10" t="str">
        <x:v>financial planner</x:v>
      </x:c>
      <x:c r="AE1261" s="10" t="str">
        <x:v>extra payments</x:v>
      </x:c>
      <x:c r="AF1261" s="10" t="str">
        <x:v>digital download</x:v>
      </x:c>
      <x:c r="AG1261" s="10" t="str">
        <x:v>budget template</x:v>
      </x:c>
      <x:c r="AH1261" s="10" t="str">
        <x:v>Mortgage payoff / calculator</x:v>
      </x:c>
      <x:c r="AI1261" s="13" t="n">
        <x:v>2</x:v>
      </x:c>
      <x:c r="AJ1261" s="10" t="str">
        <x:f>IF(F1261&gt;0,"Active","No est. sales")</x:f>
        <x:v>No est. sales</x:v>
      </x:c>
    </x:row>
    <x:row r="1262">
      <x:c r="A1262" s="10" t="str">
        <x:v>Home Buying Planner | First Time Home Buyer Guide, House Hunt Checklist Organizer Gift</x:v>
      </x:c>
      <x:c r="B1262" s="10" t="str">
        <x:v>https://www.etsy.com/listing/4465183645/home-buying-planner-first-time-home</x:v>
      </x:c>
      <x:c r="C1262" s="10" t="str">
        <x:v>LittleStepsPlannerCo</x:v>
      </x:c>
      <x:c r="D1262" s="10" t="str">
        <x:v>https://www.etsy.com/shop/LittleStepsPlannerCo</x:v>
      </x:c>
      <x:c r="E1262" s="11" t="n">
        <x:v>5.33</x:v>
      </x:c>
      <x:c r="F1262" s="10" t="n">
        <x:v>0</x:v>
      </x:c>
      <x:c r="G1262" s="12" t="n">
        <x:v>0</x:v>
      </x:c>
      <x:c r="H1262" s="13" t="n">
        <x:v>0</x:v>
      </x:c>
      <x:c r="I1262" s="10" t="n">
        <x:v>0</x:v>
      </x:c>
      <x:c r="J1262" s="10" t="n">
        <x:v>0</x:v>
      </x:c>
      <x:c r="K1262" s="10" t="str">
        <x:v>4 Mo.</x:v>
      </x:c>
      <x:c r="L1262" s="10" t="n">
        <x:v>0</x:v>
      </x:c>
      <x:c r="M1262" s="10" t="n">
        <x:v>0</x:v>
      </x:c>
      <x:c r="N1262" s="10" t="n">
        <x:v>3</x:v>
      </x:c>
      <x:c r="O1262" s="10" t="str"/>
      <x:c r="P1262" s="10" t="n">
        <x:v>7</x:v>
      </x:c>
      <x:c r="Q1262" s="10" t="n">
        <x:v>0</x:v>
      </x:c>
      <x:c r="R1262" s="13" t="n">
        <x:v>0</x:v>
      </x:c>
      <x:c r="S1262" s="10" t="n">
        <x:v>0</x:v>
      </x:c>
      <x:c r="T1262" s="10" t="str">
        <x:v>home buying planner,new home checklist,mortgage tracker,home search planner,real estate gift,home buyer gift,property comparison,house hunting gift,moving planner,homebuyer note,real estate,house hunting,home buyer</x:v>
      </x:c>
      <x:c r="U1262" s="10" t="str">
        <x:v>home buying planner</x:v>
      </x:c>
      <x:c r="V1262" s="10" t="str">
        <x:v>new home checklist</x:v>
      </x:c>
      <x:c r="W1262" s="10" t="str">
        <x:v>mortgage tracker</x:v>
      </x:c>
      <x:c r="X1262" s="10" t="str">
        <x:v>home search planner</x:v>
      </x:c>
      <x:c r="Y1262" s="10" t="str">
        <x:v>real estate gift</x:v>
      </x:c>
      <x:c r="Z1262" s="10" t="str">
        <x:v>home buyer gift</x:v>
      </x:c>
      <x:c r="AA1262" s="10" t="str">
        <x:v>property comparison</x:v>
      </x:c>
      <x:c r="AB1262" s="10" t="str">
        <x:v>house hunting gift</x:v>
      </x:c>
      <x:c r="AC1262" s="10" t="str">
        <x:v>moving planner</x:v>
      </x:c>
      <x:c r="AD1262" s="10" t="str">
        <x:v>homebuyer note</x:v>
      </x:c>
      <x:c r="AE1262" s="10" t="str">
        <x:v>real estate</x:v>
      </x:c>
      <x:c r="AF1262" s="10" t="str">
        <x:v>house hunting</x:v>
      </x:c>
      <x:c r="AG1262" s="10" t="str">
        <x:v>home buyer</x:v>
      </x:c>
      <x:c r="AH1262" s="10" t="str">
        <x:v>Home buying planner</x:v>
      </x:c>
      <x:c r="AI1262" s="13" t="n">
        <x:v>4</x:v>
      </x:c>
      <x:c r="AJ1262" s="10" t="str">
        <x:f>IF(F1262&gt;0,"Active","No est. sales")</x:f>
        <x:v>No est. sales</x:v>
      </x:c>
    </x:row>
    <x:row r="1263">
      <x:c r="A1263" s="10" t="str">
        <x:v>Home Buying Planner | First Time Home Buyer Guide, House Hunt Checklist Organizer Workbook</x:v>
      </x:c>
      <x:c r="B1263" s="10" t="str">
        <x:v>https://www.etsy.com/listing/4466079475/home-buying-planner-first-time-home</x:v>
      </x:c>
      <x:c r="C1263" s="10" t="str">
        <x:v>LittleStepsPlannerCo</x:v>
      </x:c>
      <x:c r="D1263" s="10" t="str">
        <x:v>https://www.etsy.com/shop/LittleStepsPlannerCo</x:v>
      </x:c>
      <x:c r="E1263" s="11" t="n">
        <x:v>5.33</x:v>
      </x:c>
      <x:c r="F1263" s="10" t="n">
        <x:v>0</x:v>
      </x:c>
      <x:c r="G1263" s="12" t="n">
        <x:v>0</x:v>
      </x:c>
      <x:c r="H1263" s="13" t="n">
        <x:v>0</x:v>
      </x:c>
      <x:c r="I1263" s="10" t="n">
        <x:v>0</x:v>
      </x:c>
      <x:c r="J1263" s="10" t="n">
        <x:v>0</x:v>
      </x:c>
      <x:c r="K1263" s="10" t="str">
        <x:v>4 Mo.</x:v>
      </x:c>
      <x:c r="L1263" s="10" t="n">
        <x:v>0</x:v>
      </x:c>
      <x:c r="M1263" s="10" t="n">
        <x:v>0</x:v>
      </x:c>
      <x:c r="N1263" s="10" t="n">
        <x:v>4</x:v>
      </x:c>
      <x:c r="O1263" s="10" t="str"/>
      <x:c r="P1263" s="10" t="n">
        <x:v>7</x:v>
      </x:c>
      <x:c r="Q1263" s="10" t="n">
        <x:v>0</x:v>
      </x:c>
      <x:c r="R1263" s="13" t="n">
        <x:v>0</x:v>
      </x:c>
      <x:c r="S1263" s="10" t="n">
        <x:v>0</x:v>
      </x:c>
      <x:c r="T1263" s="10" t="str">
        <x:v>home buying planner,first time buyer,house hunt log,home buyer gift,mortgage tracker,real estate planner,home purchase guide,moving checklist,house hunting book,new homeowner gift,closing day planner,home search tracker,homebuyer workbook</x:v>
      </x:c>
      <x:c r="U1263" s="10" t="str">
        <x:v>home buying planner</x:v>
      </x:c>
      <x:c r="V1263" s="10" t="str">
        <x:v>first time buyer</x:v>
      </x:c>
      <x:c r="W1263" s="10" t="str">
        <x:v>house hunt log</x:v>
      </x:c>
      <x:c r="X1263" s="10" t="str">
        <x:v>home buyer gift</x:v>
      </x:c>
      <x:c r="Y1263" s="10" t="str">
        <x:v>mortgage tracker</x:v>
      </x:c>
      <x:c r="Z1263" s="10" t="str">
        <x:v>real estate planner</x:v>
      </x:c>
      <x:c r="AA1263" s="10" t="str">
        <x:v>home purchase guide</x:v>
      </x:c>
      <x:c r="AB1263" s="10" t="str">
        <x:v>moving checklist</x:v>
      </x:c>
      <x:c r="AC1263" s="10" t="str">
        <x:v>house hunting book</x:v>
      </x:c>
      <x:c r="AD1263" s="10" t="str">
        <x:v>new homeowner gift</x:v>
      </x:c>
      <x:c r="AE1263" s="10" t="str">
        <x:v>closing day planner</x:v>
      </x:c>
      <x:c r="AF1263" s="10" t="str">
        <x:v>home search tracker</x:v>
      </x:c>
      <x:c r="AG1263" s="10" t="str">
        <x:v>homebuyer workbook</x:v>
      </x:c>
      <x:c r="AH1263" s="10" t="str">
        <x:v>Home buying planner</x:v>
      </x:c>
      <x:c r="AI1263" s="13" t="n">
        <x:v>4</x:v>
      </x:c>
      <x:c r="AJ1263" s="10" t="str">
        <x:f>IF(F1263&gt;0,"Active","No est. sales")</x:f>
        <x:v>No est. sales</x:v>
      </x:c>
    </x:row>
    <x:row r="1264">
      <x:c r="A1264" s="10" t="str">
        <x:v>Debt Payoff Calculator Excel, Snowball Avalanche Spreadsheet, Budget Planner (Digital Download)</x:v>
      </x:c>
      <x:c r="B1264" s="10" t="str">
        <x:v>https://www.etsy.com/listing/4541559144/debt-payoff-calculator-excel-snowball</x:v>
      </x:c>
      <x:c r="C1264" s="10" t="str">
        <x:v>BizBuildingByReid</x:v>
      </x:c>
      <x:c r="D1264" s="10" t="str">
        <x:v>https://www.etsy.com/shop/BizBuildingByReid</x:v>
      </x:c>
      <x:c r="E1264" s="11" t="n">
        <x:v>24.99</x:v>
      </x:c>
      <x:c r="F1264" s="10" t="n">
        <x:v>0</x:v>
      </x:c>
      <x:c r="G1264" s="12" t="n">
        <x:v>0</x:v>
      </x:c>
      <x:c r="H1264" s="13" t="n">
        <x:v>0</x:v>
      </x:c>
      <x:c r="I1264" s="10" t="n">
        <x:v>0</x:v>
      </x:c>
      <x:c r="J1264" s="10" t="n">
        <x:v>0</x:v>
      </x:c>
      <x:c r="K1264" s="10" t="str">
        <x:v>1 Mo.</x:v>
      </x:c>
      <x:c r="L1264" s="10" t="n">
        <x:v>0</x:v>
      </x:c>
      <x:c r="M1264" s="10" t="n">
        <x:v>0</x:v>
      </x:c>
      <x:c r="N1264" s="10" t="n">
        <x:v>0</x:v>
      </x:c>
      <x:c r="O1264" s="10" t="str">
        <x:v>Paper &amp; Party Supplies</x:v>
      </x:c>
      <x:c r="P1264" s="10" t="n">
        <x:v>19</x:v>
      </x:c>
      <x:c r="Q1264" s="10" t="n">
        <x:v>0</x:v>
      </x:c>
      <x:c r="R1264" s="13" t="n">
        <x:v>0</x:v>
      </x:c>
      <x:c r="S1264" s="10" t="n">
        <x:v>34</x:v>
      </x:c>
      <x:c r="T1264" s="10" t="str">
        <x:v>debt payoff excel,debt snowball,debt avalanche,debt calculator,credit card payoff,loan payoff planner,heloc calculator,budget spreadsheet,financial planner,mortgage payoff,debt tracker,excel template,finance download</x:v>
      </x:c>
      <x:c r="U1264" s="10" t="str">
        <x:v>debt payoff excel</x:v>
      </x:c>
      <x:c r="V1264" s="10" t="str">
        <x:v>debt snowball</x:v>
      </x:c>
      <x:c r="W1264" s="10" t="str">
        <x:v>debt avalanche</x:v>
      </x:c>
      <x:c r="X1264" s="10" t="str">
        <x:v>debt calculator</x:v>
      </x:c>
      <x:c r="Y1264" s="10" t="str">
        <x:v>credit card payoff</x:v>
      </x:c>
      <x:c r="Z1264" s="10" t="str">
        <x:v>loan payoff planner</x:v>
      </x:c>
      <x:c r="AA1264" s="10" t="str">
        <x:v>heloc calculator</x:v>
      </x:c>
      <x:c r="AB1264" s="10" t="str">
        <x:v>budget spreadsheet</x:v>
      </x:c>
      <x:c r="AC1264" s="10" t="str">
        <x:v>financial planner</x:v>
      </x:c>
      <x:c r="AD1264" s="10" t="str">
        <x:v>mortgage payoff</x:v>
      </x:c>
      <x:c r="AE1264" s="10" t="str">
        <x:v>debt tracker</x:v>
      </x:c>
      <x:c r="AF1264" s="10" t="str">
        <x:v>excel template</x:v>
      </x:c>
      <x:c r="AG1264" s="10" t="str">
        <x:v>finance download</x:v>
      </x:c>
      <x:c r="AH1264" s="10" t="str">
        <x:v>General debt payoff</x:v>
      </x:c>
      <x:c r="AI1264" s="13" t="n">
        <x:v>1</x:v>
      </x:c>
      <x:c r="AJ1264" s="10" t="str">
        <x:f>IF(F1264&gt;0,"Active","No est. sales")</x:f>
        <x:v>No est. sales</x:v>
      </x:c>
    </x:row>
    <x:row r="1265">
      <x:c r="A1265" s="10" t="str">
        <x:v>Real Estate Pipeline Tracker | Listing Agent Planner | Closing Coordinator | Team Production Board #804</x:v>
      </x:c>
      <x:c r="B1265" s="10" t="str">
        <x:v>https://www.etsy.com/listing/4540028078/real-estate-pipeline-tracker-listing</x:v>
      </x:c>
      <x:c r="C1265" s="10" t="str">
        <x:v>CalenLove</x:v>
      </x:c>
      <x:c r="D1265" s="10" t="str">
        <x:v>https://www.etsy.com/shop/CalenLove</x:v>
      </x:c>
      <x:c r="E1265" s="11" t="n">
        <x:v>199</x:v>
      </x:c>
      <x:c r="F1265" s="10" t="n">
        <x:v>0</x:v>
      </x:c>
      <x:c r="G1265" s="12" t="n">
        <x:v>0</x:v>
      </x:c>
      <x:c r="H1265" s="13" t="n">
        <x:v>0</x:v>
      </x:c>
      <x:c r="I1265" s="10" t="n">
        <x:v>0</x:v>
      </x:c>
      <x:c r="J1265" s="10" t="n">
        <x:v>0</x:v>
      </x:c>
      <x:c r="K1265" s="10" t="str">
        <x:v>1 Mo.</x:v>
      </x:c>
      <x:c r="L1265" s="10" t="n">
        <x:v>0</x:v>
      </x:c>
      <x:c r="M1265" s="10" t="n">
        <x:v>0</x:v>
      </x:c>
      <x:c r="N1265" s="10" t="n">
        <x:v>0</x:v>
      </x:c>
      <x:c r="O1265" s="10" t="str">
        <x:v>Home &amp; Living</x:v>
      </x:c>
      <x:c r="P1265" s="10" t="n">
        <x:v>110</x:v>
      </x:c>
      <x:c r="Q1265" s="10" t="n">
        <x:v>0</x:v>
      </x:c>
      <x:c r="R1265" s="13" t="n">
        <x:v>0</x:v>
      </x:c>
      <x:c r="S1265" s="10" t="n">
        <x:v>12439</x:v>
      </x:c>
      <x:c r="T1265" s="10" t="str">
        <x:v>dry erase board,real estate board,real estate pipeline,real estate tracker,realtor whiteboard,acrylic goal tracker,transaction board,realtor pipeline,pipeline tracker,escrow tracking,closing coordinator,mortgage  pipeline,listing planner</x:v>
      </x:c>
      <x:c r="U1265" s="10" t="str">
        <x:v>dry erase board</x:v>
      </x:c>
      <x:c r="V1265" s="10" t="str">
        <x:v>real estate board</x:v>
      </x:c>
      <x:c r="W1265" s="10" t="str">
        <x:v>real estate pipeline</x:v>
      </x:c>
      <x:c r="X1265" s="10" t="str">
        <x:v>real estate tracker</x:v>
      </x:c>
      <x:c r="Y1265" s="10" t="str">
        <x:v>realtor whiteboard</x:v>
      </x:c>
      <x:c r="Z1265" s="10" t="str">
        <x:v>acrylic goal tracker</x:v>
      </x:c>
      <x:c r="AA1265" s="10" t="str">
        <x:v>transaction board</x:v>
      </x:c>
      <x:c r="AB1265" s="10" t="str">
        <x:v>realtor pipeline</x:v>
      </x:c>
      <x:c r="AC1265" s="10" t="str">
        <x:v>pipeline tracker</x:v>
      </x:c>
      <x:c r="AD1265" s="10" t="str">
        <x:v>escrow tracking</x:v>
      </x:c>
      <x:c r="AE1265" s="10" t="str">
        <x:v>closing coordinator</x:v>
      </x:c>
      <x:c r="AF1265" s="10" t="str">
        <x:v>mortgage  pipeline</x:v>
      </x:c>
      <x:c r="AG1265" s="10" t="str">
        <x:v>listing planner</x:v>
      </x:c>
      <x:c r="AH1265" s="10" t="str">
        <x:v>Other mortgage-related</x:v>
      </x:c>
      <x:c r="AI1265" s="13" t="n">
        <x:v>1</x:v>
      </x:c>
      <x:c r="AJ1265" s="10" t="str">
        <x:f>IF(F1265&gt;0,"Active","No est. sales")</x:f>
        <x:v>No est. sales</x:v>
      </x:c>
    </x:row>
    <x:row r="1266">
      <x:c r="A1266" s="10" t="str">
        <x:v>Home Purchase Budget Calculator | Affordability, Closing Costs, Monthly Payments (Excel/Sheets)</x:v>
      </x:c>
      <x:c r="B1266" s="10" t="str">
        <x:v>https://www.etsy.com/listing/4464093190/home-purchase-budget-calculator</x:v>
      </x:c>
      <x:c r="C1266" s="10" t="str">
        <x:v>SimplyAlignedCrafts</x:v>
      </x:c>
      <x:c r="D1266" s="10" t="str">
        <x:v>https://www.etsy.com/shop/SimplyAlignedCrafts</x:v>
      </x:c>
      <x:c r="E1266" s="11" t="n">
        <x:v>19.97</x:v>
      </x:c>
      <x:c r="F1266" s="10" t="n">
        <x:v>0</x:v>
      </x:c>
      <x:c r="G1266" s="12" t="n">
        <x:v>0</x:v>
      </x:c>
      <x:c r="H1266" s="13" t="n">
        <x:v>0</x:v>
      </x:c>
      <x:c r="I1266" s="10" t="n">
        <x:v>0</x:v>
      </x:c>
      <x:c r="J1266" s="10" t="n">
        <x:v>0</x:v>
      </x:c>
      <x:c r="K1266" s="10" t="str">
        <x:v>5 Mo.</x:v>
      </x:c>
      <x:c r="L1266" s="10" t="n">
        <x:v>1</x:v>
      </x:c>
      <x:c r="M1266" s="10" t="n">
        <x:v>0</x:v>
      </x:c>
      <x:c r="N1266" s="10" t="n">
        <x:v>6</x:v>
      </x:c>
      <x:c r="O1266" s="10" t="str"/>
      <x:c r="P1266" s="10" t="n">
        <x:v>8</x:v>
      </x:c>
      <x:c r="Q1266" s="10" t="n">
        <x:v>0</x:v>
      </x:c>
      <x:c r="R1266" s="13" t="n">
        <x:v>0</x:v>
      </x:c>
      <x:c r="S1266" s="10" t="n">
        <x:v>26</x:v>
      </x:c>
      <x:c r="T1266" s="10" t="str">
        <x:v>home buying budget,mortgage calculator,closing cost tracker,affordability calc,first time buyer,house budget planner,home purchase budget,cash to close calc,monthly mortgage clc,real estate budget,home buyer tracker,down payment planner,piti calculator</x:v>
      </x:c>
      <x:c r="U1266" s="10" t="str">
        <x:v>home buying budget</x:v>
      </x:c>
      <x:c r="V1266" s="10" t="str">
        <x:v>mortgage calculator</x:v>
      </x:c>
      <x:c r="W1266" s="10" t="str">
        <x:v>closing cost tracker</x:v>
      </x:c>
      <x:c r="X1266" s="10" t="str">
        <x:v>affordability calc</x:v>
      </x:c>
      <x:c r="Y1266" s="10" t="str">
        <x:v>first time buyer</x:v>
      </x:c>
      <x:c r="Z1266" s="10" t="str">
        <x:v>house budget planner</x:v>
      </x:c>
      <x:c r="AA1266" s="10" t="str">
        <x:v>home purchase budget</x:v>
      </x:c>
      <x:c r="AB1266" s="10" t="str">
        <x:v>cash to close calc</x:v>
      </x:c>
      <x:c r="AC1266" s="10" t="str">
        <x:v>monthly mortgage clc</x:v>
      </x:c>
      <x:c r="AD1266" s="10" t="str">
        <x:v>real estate budget</x:v>
      </x:c>
      <x:c r="AE1266" s="10" t="str">
        <x:v>home buyer tracker</x:v>
      </x:c>
      <x:c r="AF1266" s="10" t="str">
        <x:v>down payment planner</x:v>
      </x:c>
      <x:c r="AG1266" s="10" t="str">
        <x:v>piti calculator</x:v>
      </x:c>
      <x:c r="AH1266" s="10" t="str">
        <x:v>Other mortgage-related</x:v>
      </x:c>
      <x:c r="AI1266" s="13" t="n">
        <x:v>5</x:v>
      </x:c>
      <x:c r="AJ1266" s="10" t="str">
        <x:f>IF(F1266&gt;0,"Active","No est. sales")</x:f>
        <x:v>No est. sales</x:v>
      </x:c>
    </x:row>
    <x:row r="1267">
      <x:c r="A1267" s="10" t="str">
        <x:v>Pay Mortgage Script Printable Planner Stickers | Digital Planner Sticker Download | Bible Journaling Stickers</x:v>
      </x:c>
      <x:c r="B1267" s="10" t="str">
        <x:v>https://www.etsy.com/listing/4425714577/pay-mortgage-script-printable-planner</x:v>
      </x:c>
      <x:c r="C1267" s="10" t="str">
        <x:v>biblejournalstickers</x:v>
      </x:c>
      <x:c r="D1267" s="10" t="str">
        <x:v>https://www.etsy.com/shop/biblejournalstickers</x:v>
      </x:c>
      <x:c r="E1267" s="11" t="n">
        <x:v>1.5</x:v>
      </x:c>
      <x:c r="F1267" s="10" t="n">
        <x:v>0</x:v>
      </x:c>
      <x:c r="G1267" s="12" t="n">
        <x:v>0</x:v>
      </x:c>
      <x:c r="H1267" s="13" t="n">
        <x:v>0</x:v>
      </x:c>
      <x:c r="I1267" s="10" t="n">
        <x:v>0</x:v>
      </x:c>
      <x:c r="J1267" s="10" t="n">
        <x:v>0</x:v>
      </x:c>
      <x:c r="K1267" s="10" t="str">
        <x:v>7 Mo.</x:v>
      </x:c>
      <x:c r="L1267" s="10" t="n">
        <x:v>0</x:v>
      </x:c>
      <x:c r="M1267" s="10" t="n">
        <x:v>0</x:v>
      </x:c>
      <x:c r="N1267" s="10" t="n">
        <x:v>0</x:v>
      </x:c>
      <x:c r="O1267" s="10" t="str">
        <x:v>Paper &amp; Party Supplies</x:v>
      </x:c>
      <x:c r="P1267" s="10" t="n">
        <x:v>8</x:v>
      </x:c>
      <x:c r="Q1267" s="10" t="n">
        <x:v>0</x:v>
      </x:c>
      <x:c r="R1267" s="13" t="n">
        <x:v>0</x:v>
      </x:c>
      <x:c r="S1267" s="10" t="n">
        <x:v>100</x:v>
      </x:c>
      <x:c r="T1267" s="10" t="str">
        <x:v>journaling stickers,planner stickers,planner scripts,printable,digital,printable stickers,bujo stickers,hobonichi,script stickers,pay rent stickers,pay rent,pay mortgage,bill stickers</x:v>
      </x:c>
      <x:c r="U1267" s="10" t="str">
        <x:v>journaling stickers</x:v>
      </x:c>
      <x:c r="V1267" s="10" t="str">
        <x:v>planner stickers</x:v>
      </x:c>
      <x:c r="W1267" s="10" t="str">
        <x:v>planner scripts</x:v>
      </x:c>
      <x:c r="X1267" s="10" t="str">
        <x:v>printable</x:v>
      </x:c>
      <x:c r="Y1267" s="10" t="str">
        <x:v>digital</x:v>
      </x:c>
      <x:c r="Z1267" s="10" t="str">
        <x:v>printable stickers</x:v>
      </x:c>
      <x:c r="AA1267" s="10" t="str">
        <x:v>bujo stickers</x:v>
      </x:c>
      <x:c r="AB1267" s="10" t="str">
        <x:v>hobonichi</x:v>
      </x:c>
      <x:c r="AC1267" s="10" t="str">
        <x:v>script stickers</x:v>
      </x:c>
      <x:c r="AD1267" s="10" t="str">
        <x:v>pay rent stickers</x:v>
      </x:c>
      <x:c r="AE1267" s="10" t="str">
        <x:v>pay rent</x:v>
      </x:c>
      <x:c r="AF1267" s="10" t="str">
        <x:v>pay mortgage</x:v>
      </x:c>
      <x:c r="AG1267" s="10" t="str">
        <x:v>bill stickers</x:v>
      </x:c>
      <x:c r="AH1267" s="10" t="str">
        <x:v>Other mortgage-related</x:v>
      </x:c>
      <x:c r="AI1267" s="13" t="n">
        <x:v>7</x:v>
      </x:c>
      <x:c r="AJ1267" s="10" t="str">
        <x:f>IF(F1267&gt;0,"Active","No est. sales")</x:f>
        <x:v>No est. sales</x:v>
      </x:c>
    </x:row>
    <x:row r="1268">
      <x:c r="A1268" s="10" t="str">
        <x:v>Mortgage Bill Planner Sticker, Mortgage Bill Reminder, Cute Planner Sticker, Mortgage Bill Reminder Icon for Planner, Mortgage Payment</x:v>
      </x:c>
      <x:c r="B1268" s="10" t="str">
        <x:v>https://www.etsy.com/listing/1718994951/mortgage-bill-planner-sticker-mortgage</x:v>
      </x:c>
      <x:c r="C1268" s="10" t="str">
        <x:v>KittieTreatsShop</x:v>
      </x:c>
      <x:c r="D1268" s="10" t="str">
        <x:v>https://www.etsy.com/shop/KittieTreatsShop</x:v>
      </x:c>
      <x:c r="E1268" s="11" t="n">
        <x:v>5.5</x:v>
      </x:c>
      <x:c r="F1268" s="10" t="n">
        <x:v>0</x:v>
      </x:c>
      <x:c r="G1268" s="12" t="n">
        <x:v>0</x:v>
      </x:c>
      <x:c r="H1268" s="13" t="n">
        <x:v>0</x:v>
      </x:c>
      <x:c r="I1268" s="10" t="n">
        <x:v>0</x:v>
      </x:c>
      <x:c r="J1268" s="10" t="n">
        <x:v>0</x:v>
      </x:c>
      <x:c r="K1268" s="10" t="str">
        <x:v>27 Mo.</x:v>
      </x:c>
      <x:c r="L1268" s="10" t="n">
        <x:v>23</x:v>
      </x:c>
      <x:c r="M1268" s="10" t="n">
        <x:v>0</x:v>
      </x:c>
      <x:c r="N1268" s="10" t="n">
        <x:v>93</x:v>
      </x:c>
      <x:c r="O1268" s="10" t="str">
        <x:v>Paper &amp; Party Supplies</x:v>
      </x:c>
      <x:c r="P1268" s="10" t="n">
        <x:v>58</x:v>
      </x:c>
      <x:c r="Q1268" s="10" t="n">
        <x:v>0</x:v>
      </x:c>
      <x:c r="R1268" s="13" t="n">
        <x:v>0</x:v>
      </x:c>
      <x:c r="S1268" s="10" t="n">
        <x:v>16304</x:v>
      </x:c>
      <x:c r="T1268" s="10" t="str">
        <x:v>kawaii stickers,cat sticker sheet,bullet journal,journal stickers,kawaii planner,mortgage bill,mortgage payment,house bill,house payment,mortgage tracker,mortgage planner,kawaii cutie,roommate</x:v>
      </x:c>
      <x:c r="U1268" s="10" t="str">
        <x:v>kawaii stickers</x:v>
      </x:c>
      <x:c r="V1268" s="10" t="str">
        <x:v>cat sticker sheet</x:v>
      </x:c>
      <x:c r="W1268" s="10" t="str">
        <x:v>bullet journal</x:v>
      </x:c>
      <x:c r="X1268" s="10" t="str">
        <x:v>journal stickers</x:v>
      </x:c>
      <x:c r="Y1268" s="10" t="str">
        <x:v>kawaii planner</x:v>
      </x:c>
      <x:c r="Z1268" s="10" t="str">
        <x:v>mortgage bill</x:v>
      </x:c>
      <x:c r="AA1268" s="10" t="str">
        <x:v>mortgage payment</x:v>
      </x:c>
      <x:c r="AB1268" s="10" t="str">
        <x:v>house bill</x:v>
      </x:c>
      <x:c r="AC1268" s="10" t="str">
        <x:v>house payment</x:v>
      </x:c>
      <x:c r="AD1268" s="10" t="str">
        <x:v>mortgage tracker</x:v>
      </x:c>
      <x:c r="AE1268" s="10" t="str">
        <x:v>mortgage planner</x:v>
      </x:c>
      <x:c r="AF1268" s="10" t="str">
        <x:v>kawaii cutie</x:v>
      </x:c>
      <x:c r="AG1268" s="10" t="str">
        <x:v>roommate</x:v>
      </x:c>
      <x:c r="AH1268" s="10" t="str">
        <x:v>Other mortgage-related</x:v>
      </x:c>
      <x:c r="AI1268" s="13" t="n">
        <x:v>27</x:v>
      </x:c>
      <x:c r="AJ1268" s="10" t="str">
        <x:f>IF(F1268&gt;0,"Active","No est. sales")</x:f>
        <x:v>No est. sales</x:v>
      </x:c>
    </x:row>
    <x:row r="1269">
      <x:c r="A1269" s="10" t="str">
        <x:v>Home Information Printable Planner Insert A4 Letter A5 New Homeowner Organizer PDF Instant Download</x:v>
      </x:c>
      <x:c r="B1269" s="10" t="str">
        <x:v>https://www.etsy.com/listing/4356519936/home-information-printable-planner</x:v>
      </x:c>
      <x:c r="C1269" s="10" t="str">
        <x:v>ArtCanyonPlanners</x:v>
      </x:c>
      <x:c r="D1269" s="10" t="str">
        <x:v>https://www.etsy.com/shop/ArtCanyonPlanners</x:v>
      </x:c>
      <x:c r="E1269" s="11" t="n">
        <x:v>1.98</x:v>
      </x:c>
      <x:c r="F1269" s="10" t="n">
        <x:v>0</x:v>
      </x:c>
      <x:c r="G1269" s="12" t="n">
        <x:v>0</x:v>
      </x:c>
      <x:c r="H1269" s="13" t="n">
        <x:v>0</x:v>
      </x:c>
      <x:c r="I1269" s="10" t="n">
        <x:v>0</x:v>
      </x:c>
      <x:c r="J1269" s="10" t="n">
        <x:v>0</x:v>
      </x:c>
      <x:c r="K1269" s="10" t="str">
        <x:v>11 Mo.</x:v>
      </x:c>
      <x:c r="L1269" s="10" t="n">
        <x:v>3</x:v>
      </x:c>
      <x:c r="M1269" s="10" t="n">
        <x:v>0</x:v>
      </x:c>
      <x:c r="N1269" s="10" t="n">
        <x:v>21</x:v>
      </x:c>
      <x:c r="O1269" s="10" t="str">
        <x:v>Paper &amp; Party Supplies</x:v>
      </x:c>
      <x:c r="P1269" s="10" t="n">
        <x:v>151</x:v>
      </x:c>
      <x:c r="Q1269" s="10" t="n">
        <x:v>0</x:v>
      </x:c>
      <x:c r="R1269" s="13" t="n">
        <x:v>0</x:v>
      </x:c>
      <x:c r="S1269" s="10" t="n">
        <x:v>2892</x:v>
      </x:c>
      <x:c r="T1269" s="10" t="str">
        <x:v>home information,printable planner,new homeowner,mortgage tracker,house details,home organizer,a4 planner,letter planner,a5 planner,journal insert,instant download,pdf planner,household binder</x:v>
      </x:c>
      <x:c r="U1269" s="10" t="str">
        <x:v>home information</x:v>
      </x:c>
      <x:c r="V1269" s="10" t="str">
        <x:v>printable planner</x:v>
      </x:c>
      <x:c r="W1269" s="10" t="str">
        <x:v>new homeowner</x:v>
      </x:c>
      <x:c r="X1269" s="10" t="str">
        <x:v>mortgage tracker</x:v>
      </x:c>
      <x:c r="Y1269" s="10" t="str">
        <x:v>house details</x:v>
      </x:c>
      <x:c r="Z1269" s="10" t="str">
        <x:v>home organizer</x:v>
      </x:c>
      <x:c r="AA1269" s="10" t="str">
        <x:v>a4 planner</x:v>
      </x:c>
      <x:c r="AB1269" s="10" t="str">
        <x:v>letter planner</x:v>
      </x:c>
      <x:c r="AC1269" s="10" t="str">
        <x:v>a5 planner</x:v>
      </x:c>
      <x:c r="AD1269" s="10" t="str">
        <x:v>journal insert</x:v>
      </x:c>
      <x:c r="AE1269" s="10" t="str">
        <x:v>instant download</x:v>
      </x:c>
      <x:c r="AF1269" s="10" t="str">
        <x:v>pdf planner</x:v>
      </x:c>
      <x:c r="AG1269" s="10" t="str">
        <x:v>household binder</x:v>
      </x:c>
      <x:c r="AH1269" s="10" t="str">
        <x:v>Other mortgage-related</x:v>
      </x:c>
      <x:c r="AI1269" s="13" t="n">
        <x:v>11</x:v>
      </x:c>
      <x:c r="AJ1269" s="10" t="str">
        <x:f>IF(F1269&gt;0,"Active","No est. sales")</x:f>
        <x:v>No est. sales</x:v>
      </x:c>
    </x:row>
    <x:row r="1270">
      <x:c r="A1270" s="10" t="str">
        <x:v>Debt Payment Tracker Printable , Debt Tracker Printable, Debt Snowball Tracker, Debt Payoff Log, Money Planner, Budget Planner PDF, Debt.</x:v>
      </x:c>
      <x:c r="B1270" s="10" t="str">
        <x:v>https://www.etsy.com/listing/1690828337/debt-payment-tracker-printable-debt</x:v>
      </x:c>
      <x:c r="C1270" s="10" t="str">
        <x:v>IslandBelleDesign</x:v>
      </x:c>
      <x:c r="D1270" s="10" t="str">
        <x:v>https://www.etsy.com/shop/IslandBelleDesign</x:v>
      </x:c>
      <x:c r="E1270" s="11" t="n">
        <x:v>5</x:v>
      </x:c>
      <x:c r="F1270" s="10" t="n">
        <x:v>0</x:v>
      </x:c>
      <x:c r="G1270" s="12" t="n">
        <x:v>0</x:v>
      </x:c>
      <x:c r="H1270" s="13" t="n">
        <x:v>0</x:v>
      </x:c>
      <x:c r="I1270" s="10" t="n">
        <x:v>0</x:v>
      </x:c>
      <x:c r="J1270" s="10" t="n">
        <x:v>0</x:v>
      </x:c>
      <x:c r="K1270" s="10" t="str">
        <x:v>28 Mo.</x:v>
      </x:c>
      <x:c r="L1270" s="10" t="n">
        <x:v>1</x:v>
      </x:c>
      <x:c r="M1270" s="10" t="n">
        <x:v>0</x:v>
      </x:c>
      <x:c r="N1270" s="10" t="n">
        <x:v>16</x:v>
      </x:c>
      <x:c r="O1270" s="10" t="str"/>
      <x:c r="P1270" s="10" t="n">
        <x:v>28</x:v>
      </x:c>
      <x:c r="Q1270" s="10" t="n">
        <x:v>0</x:v>
      </x:c>
      <x:c r="R1270" s="13" t="n">
        <x:v>0</x:v>
      </x:c>
      <x:c r="S1270" s="10" t="n">
        <x:v>36</x:v>
      </x:c>
      <x:c r="T1270" s="10" t="str">
        <x:v>debt google sheets,debt spreadsheet,debt payoff tracker,budget planner,personal finance,mortgage payoff,debt snowball excel,debt tracker excel,snowball calculator,student loan payoff,credit card debt,financial planner,debt avalanche</x:v>
      </x:c>
      <x:c r="U1270" s="10" t="str">
        <x:v>debt google sheets</x:v>
      </x:c>
      <x:c r="V1270" s="10" t="str">
        <x:v>debt spreadsheet</x:v>
      </x:c>
      <x:c r="W1270" s="10" t="str">
        <x:v>debt payoff tracker</x:v>
      </x:c>
      <x:c r="X1270" s="10" t="str">
        <x:v>budget planner</x:v>
      </x:c>
      <x:c r="Y1270" s="10" t="str">
        <x:v>personal finance</x:v>
      </x:c>
      <x:c r="Z1270" s="10" t="str">
        <x:v>mortgage payoff</x:v>
      </x:c>
      <x:c r="AA1270" s="10" t="str">
        <x:v>debt snowball excel</x:v>
      </x:c>
      <x:c r="AB1270" s="10" t="str">
        <x:v>debt tracker excel</x:v>
      </x:c>
      <x:c r="AC1270" s="10" t="str">
        <x:v>snowball calculator</x:v>
      </x:c>
      <x:c r="AD1270" s="10" t="str">
        <x:v>student loan payoff</x:v>
      </x:c>
      <x:c r="AE1270" s="10" t="str">
        <x:v>credit card debt</x:v>
      </x:c>
      <x:c r="AF1270" s="10" t="str">
        <x:v>financial planner</x:v>
      </x:c>
      <x:c r="AG1270" s="10" t="str">
        <x:v>debt avalanche</x:v>
      </x:c>
      <x:c r="AH1270" s="10" t="str">
        <x:v>General debt payoff</x:v>
      </x:c>
      <x:c r="AI1270" s="13" t="n">
        <x:v>28</x:v>
      </x:c>
      <x:c r="AJ1270" s="10" t="str">
        <x:f>IF(F1270&gt;0,"Active","No est. sales")</x:f>
        <x:v>No est. sales</x:v>
      </x:c>
    </x:row>
    <x:row r="1271">
      <x:c r="A1271" s="10" t="str">
        <x:v>Minimal To Do List Printable, Simple Tasks List Template, Productivity Planner, Printable &amp; Fillable PDF, To Do List, Instant Download.</x:v>
      </x:c>
      <x:c r="B1271" s="10" t="str">
        <x:v>https://www.etsy.com/listing/1690833913/minimal-to-do-list-printable-simple</x:v>
      </x:c>
      <x:c r="C1271" s="10" t="str">
        <x:v>IslandBelleDesign</x:v>
      </x:c>
      <x:c r="D1271" s="10" t="str">
        <x:v>https://www.etsy.com/shop/IslandBelleDesign</x:v>
      </x:c>
      <x:c r="E1271" s="11" t="n">
        <x:v>5</x:v>
      </x:c>
      <x:c r="F1271" s="10" t="n">
        <x:v>0</x:v>
      </x:c>
      <x:c r="G1271" s="12" t="n">
        <x:v>0</x:v>
      </x:c>
      <x:c r="H1271" s="13" t="n">
        <x:v>0</x:v>
      </x:c>
      <x:c r="I1271" s="10" t="n">
        <x:v>0</x:v>
      </x:c>
      <x:c r="J1271" s="10" t="n">
        <x:v>0</x:v>
      </x:c>
      <x:c r="K1271" s="10" t="str">
        <x:v>28 Mo.</x:v>
      </x:c>
      <x:c r="L1271" s="10" t="n">
        <x:v>2</x:v>
      </x:c>
      <x:c r="M1271" s="10" t="n">
        <x:v>0</x:v>
      </x:c>
      <x:c r="N1271" s="10" t="n">
        <x:v>33</x:v>
      </x:c>
      <x:c r="O1271" s="10" t="str"/>
      <x:c r="P1271" s="10" t="n">
        <x:v>28</x:v>
      </x:c>
      <x:c r="Q1271" s="10" t="n">
        <x:v>0</x:v>
      </x:c>
      <x:c r="R1271" s="13" t="n">
        <x:v>0</x:v>
      </x:c>
      <x:c r="S1271" s="10" t="n">
        <x:v>36</x:v>
      </x:c>
      <x:c r="T1271" s="10" t="str">
        <x:v>debt google sheets,debt spreadsheet,debt payoff tracker,budget planner,personal finance,mortgage payoff,debt snowball excel,debt tracker excel,snowball calculator,student loan payoff,credit card debt,financial planner,debt avalanche</x:v>
      </x:c>
      <x:c r="U1271" s="10" t="str">
        <x:v>debt google sheets</x:v>
      </x:c>
      <x:c r="V1271" s="10" t="str">
        <x:v>debt spreadsheet</x:v>
      </x:c>
      <x:c r="W1271" s="10" t="str">
        <x:v>debt payoff tracker</x:v>
      </x:c>
      <x:c r="X1271" s="10" t="str">
        <x:v>budget planner</x:v>
      </x:c>
      <x:c r="Y1271" s="10" t="str">
        <x:v>personal finance</x:v>
      </x:c>
      <x:c r="Z1271" s="10" t="str">
        <x:v>mortgage payoff</x:v>
      </x:c>
      <x:c r="AA1271" s="10" t="str">
        <x:v>debt snowball excel</x:v>
      </x:c>
      <x:c r="AB1271" s="10" t="str">
        <x:v>debt tracker excel</x:v>
      </x:c>
      <x:c r="AC1271" s="10" t="str">
        <x:v>snowball calculator</x:v>
      </x:c>
      <x:c r="AD1271" s="10" t="str">
        <x:v>student loan payoff</x:v>
      </x:c>
      <x:c r="AE1271" s="10" t="str">
        <x:v>credit card debt</x:v>
      </x:c>
      <x:c r="AF1271" s="10" t="str">
        <x:v>financial planner</x:v>
      </x:c>
      <x:c r="AG1271" s="10" t="str">
        <x:v>debt avalanche</x:v>
      </x:c>
      <x:c r="AH1271" s="10" t="str">
        <x:v>Other mortgage-related</x:v>
      </x:c>
      <x:c r="AI1271" s="13" t="n">
        <x:v>28</x:v>
      </x:c>
      <x:c r="AJ1271" s="10" t="str">
        <x:f>IF(F1271&gt;0,"Active","No est. sales")</x:f>
        <x:v>No est. sales</x:v>
      </x:c>
    </x:row>
    <x:row r="1272">
      <x:c r="A1272" s="10" t="str">
        <x:v>Debt Payoff Tracker Printable HP Mini Inserts, Finance Debt Planner, Student Loan Credit Card Debt Repayment Template, Digital Download PDF</x:v>
      </x:c>
      <x:c r="B1272" s="10" t="str">
        <x:v>https://www.etsy.com/listing/1676446940/debt-payoff-tracker-printable-hp-mini</x:v>
      </x:c>
      <x:c r="C1272" s="10" t="str">
        <x:v>Monthlyjoy</x:v>
      </x:c>
      <x:c r="D1272" s="10" t="str">
        <x:v>https://www.etsy.com/shop/Monthlyjoy</x:v>
      </x:c>
      <x:c r="E1272" s="11" t="n">
        <x:v>3.5</x:v>
      </x:c>
      <x:c r="F1272" s="10" t="n">
        <x:v>0</x:v>
      </x:c>
      <x:c r="G1272" s="12" t="n">
        <x:v>0</x:v>
      </x:c>
      <x:c r="H1272" s="13" t="n">
        <x:v>0</x:v>
      </x:c>
      <x:c r="I1272" s="10" t="n">
        <x:v>19</x:v>
      </x:c>
      <x:c r="J1272" s="10" t="n">
        <x:v>2</x:v>
      </x:c>
      <x:c r="K1272" s="10" t="str">
        <x:v>28 Mo.</x:v>
      </x:c>
      <x:c r="L1272" s="10" t="n">
        <x:v>19</x:v>
      </x:c>
      <x:c r="M1272" s="10" t="n">
        <x:v>0</x:v>
      </x:c>
      <x:c r="N1272" s="10" t="n">
        <x:v>362</x:v>
      </x:c>
      <x:c r="O1272" s="10" t="str">
        <x:v>Paper &amp; Party Supplies</x:v>
      </x:c>
      <x:c r="P1272" s="10" t="n">
        <x:v>66</x:v>
      </x:c>
      <x:c r="Q1272" s="10" t="n">
        <x:v>0</x:v>
      </x:c>
      <x:c r="R1272" s="13" t="n">
        <x:v>5.25</x:v>
      </x:c>
      <x:c r="S1272" s="10" t="n">
        <x:v>24015</x:v>
      </x:c>
      <x:c r="T1272" s="10" t="str">
        <x:v>debt payoff,hp mini binder,debt tracker,printable inserts,debt repayment,mortgage tracker,student loan debt,credit card debt,debt planner,finance planner,happy planner refill,financial journal,money management</x:v>
      </x:c>
      <x:c r="U1272" s="10" t="str">
        <x:v>debt payoff</x:v>
      </x:c>
      <x:c r="V1272" s="10" t="str">
        <x:v>hp mini binder</x:v>
      </x:c>
      <x:c r="W1272" s="10" t="str">
        <x:v>debt tracker</x:v>
      </x:c>
      <x:c r="X1272" s="10" t="str">
        <x:v>printable inserts</x:v>
      </x:c>
      <x:c r="Y1272" s="10" t="str">
        <x:v>debt repayment</x:v>
      </x:c>
      <x:c r="Z1272" s="10" t="str">
        <x:v>mortgage tracker</x:v>
      </x:c>
      <x:c r="AA1272" s="10" t="str">
        <x:v>student loan debt</x:v>
      </x:c>
      <x:c r="AB1272" s="10" t="str">
        <x:v>credit card debt</x:v>
      </x:c>
      <x:c r="AC1272" s="10" t="str">
        <x:v>debt planner</x:v>
      </x:c>
      <x:c r="AD1272" s="10" t="str">
        <x:v>finance planner</x:v>
      </x:c>
      <x:c r="AE1272" s="10" t="str">
        <x:v>happy planner refill</x:v>
      </x:c>
      <x:c r="AF1272" s="10" t="str">
        <x:v>financial journal</x:v>
      </x:c>
      <x:c r="AG1272" s="10" t="str">
        <x:v>money management</x:v>
      </x:c>
      <x:c r="AH1272" s="10" t="str">
        <x:v>General debt payoff</x:v>
      </x:c>
      <x:c r="AI1272" s="13" t="n">
        <x:v>28</x:v>
      </x:c>
      <x:c r="AJ1272" s="10" t="str">
        <x:f>IF(F1272&gt;0,"Active","No est. sales")</x:f>
        <x:v>No est. sales</x:v>
      </x:c>
    </x:row>
    <x:row r="1273">
      <x:c r="A1273" s="10" t="str">
        <x:v>A5 Ring, Debt Snowball Payment Tracker Printable Student Loan Payoff, Credit Card Debt Tracker Template, Finance Organizer, Digital Download</x:v>
      </x:c>
      <x:c r="B1273" s="10" t="str">
        <x:v>https://www.etsy.com/listing/1076290278/a5-ring-debt-snowball-payment-tracker</x:v>
      </x:c>
      <x:c r="C1273" s="10" t="str">
        <x:v>Monthlyjoy</x:v>
      </x:c>
      <x:c r="D1273" s="10" t="str">
        <x:v>https://www.etsy.com/shop/Monthlyjoy</x:v>
      </x:c>
      <x:c r="E1273" s="11" t="n">
        <x:v>3.5</x:v>
      </x:c>
      <x:c r="F1273" s="10" t="n">
        <x:v>0</x:v>
      </x:c>
      <x:c r="G1273" s="12" t="n">
        <x:v>0</x:v>
      </x:c>
      <x:c r="H1273" s="13" t="n">
        <x:v>0</x:v>
      </x:c>
      <x:c r="I1273" s="10" t="n">
        <x:v>27</x:v>
      </x:c>
      <x:c r="J1273" s="10" t="n">
        <x:v>3</x:v>
      </x:c>
      <x:c r="K1273" s="10" t="str">
        <x:v>58 Mo.</x:v>
      </x:c>
      <x:c r="L1273" s="10" t="n">
        <x:v>44</x:v>
      </x:c>
      <x:c r="M1273" s="10" t="n">
        <x:v>0</x:v>
      </x:c>
      <x:c r="N1273" s="10" t="n">
        <x:v>544</x:v>
      </x:c>
      <x:c r="O1273" s="10" t="str">
        <x:v>Paper &amp; Party Supplies</x:v>
      </x:c>
      <x:c r="P1273" s="10" t="n">
        <x:v>66</x:v>
      </x:c>
      <x:c r="Q1273" s="10" t="n">
        <x:v>0</x:v>
      </x:c>
      <x:c r="R1273" s="13" t="n">
        <x:v>4.96</x:v>
      </x:c>
      <x:c r="S1273" s="10" t="n">
        <x:v>24015</x:v>
      </x:c>
      <x:c r="T1273" s="10" t="str">
        <x:v>debt snowball,debt tracker a5,a5 planner inserts,debt payoff sheet,financial planner,student loan payoff,debt planner pdf,filofax a5 refill,inserts minimalist,credit card tracker,simple debt template,debt repayment,mortgage tracker</x:v>
      </x:c>
      <x:c r="U1273" s="10" t="str">
        <x:v>debt snowball</x:v>
      </x:c>
      <x:c r="V1273" s="10" t="str">
        <x:v>debt tracker a5</x:v>
      </x:c>
      <x:c r="W1273" s="10" t="str">
        <x:v>a5 planner inserts</x:v>
      </x:c>
      <x:c r="X1273" s="10" t="str">
        <x:v>debt payoff sheet</x:v>
      </x:c>
      <x:c r="Y1273" s="10" t="str">
        <x:v>financial planner</x:v>
      </x:c>
      <x:c r="Z1273" s="10" t="str">
        <x:v>student loan payoff</x:v>
      </x:c>
      <x:c r="AA1273" s="10" t="str">
        <x:v>debt planner pdf</x:v>
      </x:c>
      <x:c r="AB1273" s="10" t="str">
        <x:v>filofax a5 refill</x:v>
      </x:c>
      <x:c r="AC1273" s="10" t="str">
        <x:v>inserts minimalist</x:v>
      </x:c>
      <x:c r="AD1273" s="10" t="str">
        <x:v>credit card tracker</x:v>
      </x:c>
      <x:c r="AE1273" s="10" t="str">
        <x:v>simple debt template</x:v>
      </x:c>
      <x:c r="AF1273" s="10" t="str">
        <x:v>debt repayment</x:v>
      </x:c>
      <x:c r="AG1273" s="10" t="str">
        <x:v>mortgage tracker</x:v>
      </x:c>
      <x:c r="AH1273" s="10" t="str">
        <x:v>General debt payoff</x:v>
      </x:c>
      <x:c r="AI1273" s="13" t="n">
        <x:v>58</x:v>
      </x:c>
      <x:c r="AJ1273" s="10" t="str">
        <x:f>IF(F1273&gt;0,"Active","No est. sales")</x:f>
        <x:v>No est. sales</x:v>
      </x:c>
    </x:row>
    <x:row r="1274">
      <x:c r="A1274" s="10" t="str">
        <x:v>Debt Tracker Printable Pocket Ring Inserts, Student Loan Debt Payoff Planner, Card Debt Journal, Debt Repayment Tracker, Finance Organizer</x:v>
      </x:c>
      <x:c r="B1274" s="10" t="str">
        <x:v>https://www.etsy.com/listing/1116024893/debt-tracker-printable-pocket-ring</x:v>
      </x:c>
      <x:c r="C1274" s="10" t="str">
        <x:v>Monthlyjoy</x:v>
      </x:c>
      <x:c r="D1274" s="10" t="str">
        <x:v>https://www.etsy.com/shop/Monthlyjoy</x:v>
      </x:c>
      <x:c r="E1274" s="11" t="n">
        <x:v>3.3</x:v>
      </x:c>
      <x:c r="F1274" s="10" t="n">
        <x:v>0</x:v>
      </x:c>
      <x:c r="G1274" s="12" t="n">
        <x:v>0</x:v>
      </x:c>
      <x:c r="H1274" s="13" t="n">
        <x:v>0</x:v>
      </x:c>
      <x:c r="I1274" s="10" t="n">
        <x:v>38</x:v>
      </x:c>
      <x:c r="J1274" s="10" t="n">
        <x:v>4</x:v>
      </x:c>
      <x:c r="K1274" s="10" t="str">
        <x:v>56 Mo.</x:v>
      </x:c>
      <x:c r="L1274" s="10" t="n">
        <x:v>35</x:v>
      </x:c>
      <x:c r="M1274" s="10" t="n">
        <x:v>0</x:v>
      </x:c>
      <x:c r="N1274" s="10" t="n">
        <x:v>577</x:v>
      </x:c>
      <x:c r="O1274" s="10" t="str">
        <x:v>Paper &amp; Party Supplies</x:v>
      </x:c>
      <x:c r="P1274" s="10" t="n">
        <x:v>66</x:v>
      </x:c>
      <x:c r="Q1274" s="10" t="n">
        <x:v>0</x:v>
      </x:c>
      <x:c r="R1274" s="13" t="n">
        <x:v>6.59</x:v>
      </x:c>
      <x:c r="S1274" s="10" t="n">
        <x:v>24015</x:v>
      </x:c>
      <x:c r="T1274" s="10" t="str">
        <x:v>debt tracker,debt snowball,pocket planner pdf,money management,student loan payoff,mortgage tracker,debt journal sheet,filofax pocket ring,inserts printable,planner worksheet,personal finance,finance planner,credit card debt</x:v>
      </x:c>
      <x:c r="U1274" s="10" t="str">
        <x:v>debt tracker</x:v>
      </x:c>
      <x:c r="V1274" s="10" t="str">
        <x:v>debt snowball</x:v>
      </x:c>
      <x:c r="W1274" s="10" t="str">
        <x:v>pocket planner pdf</x:v>
      </x:c>
      <x:c r="X1274" s="10" t="str">
        <x:v>money management</x:v>
      </x:c>
      <x:c r="Y1274" s="10" t="str">
        <x:v>student loan payoff</x:v>
      </x:c>
      <x:c r="Z1274" s="10" t="str">
        <x:v>mortgage tracker</x:v>
      </x:c>
      <x:c r="AA1274" s="10" t="str">
        <x:v>debt journal sheet</x:v>
      </x:c>
      <x:c r="AB1274" s="10" t="str">
        <x:v>filofax pocket ring</x:v>
      </x:c>
      <x:c r="AC1274" s="10" t="str">
        <x:v>inserts printable</x:v>
      </x:c>
      <x:c r="AD1274" s="10" t="str">
        <x:v>planner worksheet</x:v>
      </x:c>
      <x:c r="AE1274" s="10" t="str">
        <x:v>personal finance</x:v>
      </x:c>
      <x:c r="AF1274" s="10" t="str">
        <x:v>finance planner</x:v>
      </x:c>
      <x:c r="AG1274" s="10" t="str">
        <x:v>credit card debt</x:v>
      </x:c>
      <x:c r="AH1274" s="10" t="str">
        <x:v>General debt payoff</x:v>
      </x:c>
      <x:c r="AI1274" s="13" t="n">
        <x:v>56</x:v>
      </x:c>
      <x:c r="AJ1274" s="10" t="str">
        <x:f>IF(F1274&gt;0,"Active","No est. sales")</x:f>
        <x:v>No est. sales</x:v>
      </x:c>
    </x:row>
    <x:row r="1275">
      <x:c r="A1275" s="10" t="str">
        <x:v>Debt Payment Tracker Printable HP Classic Inserts, Student Loan Payoff, Debt Snowball Template, Credit Card Debt Planner, Mortgage Journal</x:v>
      </x:c>
      <x:c r="B1275" s="10" t="str">
        <x:v>https://www.etsy.com/listing/1523118098/debt-payment-tracker-printable-hp</x:v>
      </x:c>
      <x:c r="C1275" s="10" t="str">
        <x:v>Monthlyjoy</x:v>
      </x:c>
      <x:c r="D1275" s="10" t="str">
        <x:v>https://www.etsy.com/shop/Monthlyjoy</x:v>
      </x:c>
      <x:c r="E1275" s="11" t="n">
        <x:v>3.5</x:v>
      </x:c>
      <x:c r="F1275" s="10" t="n">
        <x:v>0</x:v>
      </x:c>
      <x:c r="G1275" s="12" t="n">
        <x:v>0</x:v>
      </x:c>
      <x:c r="H1275" s="13" t="n">
        <x:v>0</x:v>
      </x:c>
      <x:c r="I1275" s="10" t="n">
        <x:v>19</x:v>
      </x:c>
      <x:c r="J1275" s="10" t="n">
        <x:v>2</x:v>
      </x:c>
      <x:c r="K1275" s="10" t="str">
        <x:v>35 Mo.</x:v>
      </x:c>
      <x:c r="L1275" s="10" t="n">
        <x:v>33</x:v>
      </x:c>
      <x:c r="M1275" s="10" t="n">
        <x:v>0</x:v>
      </x:c>
      <x:c r="N1275" s="10" t="n">
        <x:v>480</x:v>
      </x:c>
      <x:c r="O1275" s="10" t="str">
        <x:v>Paper &amp; Party Supplies</x:v>
      </x:c>
      <x:c r="P1275" s="10" t="n">
        <x:v>66</x:v>
      </x:c>
      <x:c r="Q1275" s="10" t="n">
        <x:v>0</x:v>
      </x:c>
      <x:c r="R1275" s="13" t="n">
        <x:v>3.96</x:v>
      </x:c>
      <x:c r="S1275" s="10" t="n">
        <x:v>24015</x:v>
      </x:c>
      <x:c r="T1275" s="10" t="str">
        <x:v>debt tracker,printable debt log,hp classic inserts,financial journal,mortgage tracking,credit card debt,debt snowball,template printable,happy planner,yearly money log,student loan payoff,hp classic size,personal finance</x:v>
      </x:c>
      <x:c r="U1275" s="10" t="str">
        <x:v>debt tracker</x:v>
      </x:c>
      <x:c r="V1275" s="10" t="str">
        <x:v>printable debt log</x:v>
      </x:c>
      <x:c r="W1275" s="10" t="str">
        <x:v>hp classic inserts</x:v>
      </x:c>
      <x:c r="X1275" s="10" t="str">
        <x:v>financial journal</x:v>
      </x:c>
      <x:c r="Y1275" s="10" t="str">
        <x:v>mortgage tracking</x:v>
      </x:c>
      <x:c r="Z1275" s="10" t="str">
        <x:v>credit card debt</x:v>
      </x:c>
      <x:c r="AA1275" s="10" t="str">
        <x:v>debt snowball</x:v>
      </x:c>
      <x:c r="AB1275" s="10" t="str">
        <x:v>template printable</x:v>
      </x:c>
      <x:c r="AC1275" s="10" t="str">
        <x:v>happy planner</x:v>
      </x:c>
      <x:c r="AD1275" s="10" t="str">
        <x:v>yearly money log</x:v>
      </x:c>
      <x:c r="AE1275" s="10" t="str">
        <x:v>student loan payoff</x:v>
      </x:c>
      <x:c r="AF1275" s="10" t="str">
        <x:v>hp classic size</x:v>
      </x:c>
      <x:c r="AG1275" s="10" t="str">
        <x:v>personal finance</x:v>
      </x:c>
      <x:c r="AH1275" s="10" t="str">
        <x:v>General debt payoff</x:v>
      </x:c>
      <x:c r="AI1275" s="13" t="n">
        <x:v>35</x:v>
      </x:c>
      <x:c r="AJ1275" s="10" t="str">
        <x:f>IF(F1275&gt;0,"Active","No est. sales")</x:f>
        <x:v>No est. sales</x:v>
      </x:c>
    </x:row>
    <x:row r="1276">
      <x:c r="A1276" s="10" t="str">
        <x:v>Printable Debt Payoff Tracker, GoodNotes and Digital Planner  Insert, HP Inserts, Debt tracker, Mortgage Payoff Chart, Notability Page, PDF</x:v>
      </x:c>
      <x:c r="B1276" s="10" t="str">
        <x:v>https://www.etsy.com/listing/1262122110/printable-debt-payoff-tracker-goodnotes</x:v>
      </x:c>
      <x:c r="C1276" s="10" t="str">
        <x:v>OliviaPrintables</x:v>
      </x:c>
      <x:c r="D1276" s="10" t="str">
        <x:v>https://www.etsy.com/shop/OliviaPrintables</x:v>
      </x:c>
      <x:c r="E1276" s="11" t="n">
        <x:v>7</x:v>
      </x:c>
      <x:c r="F1276" s="10" t="n">
        <x:v>0</x:v>
      </x:c>
      <x:c r="G1276" s="12" t="n">
        <x:v>0</x:v>
      </x:c>
      <x:c r="H1276" s="13" t="n">
        <x:v>0</x:v>
      </x:c>
      <x:c r="I1276" s="10" t="n">
        <x:v>0</x:v>
      </x:c>
      <x:c r="J1276" s="10" t="n">
        <x:v>0</x:v>
      </x:c>
      <x:c r="K1276" s="10" t="str">
        <x:v>48 Mo.</x:v>
      </x:c>
      <x:c r="L1276" s="10" t="n">
        <x:v>11</x:v>
      </x:c>
      <x:c r="M1276" s="10" t="n">
        <x:v>0</x:v>
      </x:c>
      <x:c r="N1276" s="10" t="n">
        <x:v>182</x:v>
      </x:c>
      <x:c r="O1276" s="10" t="str"/>
      <x:c r="P1276" s="10" t="n">
        <x:v>74</x:v>
      </x:c>
      <x:c r="Q1276" s="10" t="n">
        <x:v>0</x:v>
      </x:c>
      <x:c r="R1276" s="13" t="n">
        <x:v>0</x:v>
      </x:c>
      <x:c r="S1276" s="10" t="n">
        <x:v>3425</x:v>
      </x:c>
      <x:c r="T1276" s="10" t="str">
        <x:v>expense tracker,financial printable,budget planner,monthly bills,savings challenge,personal expense,expenses log,classic hp,notability budget,goodnotes pages,debt payoff chart,mortgage tracker,credit card  tracker</x:v>
      </x:c>
      <x:c r="U1276" s="10" t="str">
        <x:v>expense tracker</x:v>
      </x:c>
      <x:c r="V1276" s="10" t="str">
        <x:v>financial printable</x:v>
      </x:c>
      <x:c r="W1276" s="10" t="str">
        <x:v>budget planner</x:v>
      </x:c>
      <x:c r="X1276" s="10" t="str">
        <x:v>monthly bills</x:v>
      </x:c>
      <x:c r="Y1276" s="10" t="str">
        <x:v>savings challenge</x:v>
      </x:c>
      <x:c r="Z1276" s="10" t="str">
        <x:v>personal expense</x:v>
      </x:c>
      <x:c r="AA1276" s="10" t="str">
        <x:v>expenses log</x:v>
      </x:c>
      <x:c r="AB1276" s="10" t="str">
        <x:v>classic hp</x:v>
      </x:c>
      <x:c r="AC1276" s="10" t="str">
        <x:v>notability budget</x:v>
      </x:c>
      <x:c r="AD1276" s="10" t="str">
        <x:v>goodnotes pages</x:v>
      </x:c>
      <x:c r="AE1276" s="10" t="str">
        <x:v>debt payoff chart</x:v>
      </x:c>
      <x:c r="AF1276" s="10" t="str">
        <x:v>mortgage tracker</x:v>
      </x:c>
      <x:c r="AG1276" s="10" t="str">
        <x:v>credit card  tracker</x:v>
      </x:c>
      <x:c r="AH1276" s="10" t="str">
        <x:v>General debt payoff</x:v>
      </x:c>
      <x:c r="AI1276" s="13" t="n">
        <x:v>48</x:v>
      </x:c>
      <x:c r="AJ1276" s="10" t="str">
        <x:f>IF(F1276&gt;0,"Active","No est. sales")</x:f>
        <x:v>No est. sales</x:v>
      </x:c>
    </x:row>
    <x:row r="1277">
      <x:c r="A1277" s="10" t="str">
        <x:v>Debt Snowball Spreadsheet Calculator Google Sheets Debt Payoff Tracker Spreadsheet Excel Personal Finance Debt Planner Excel Finance Planner</x:v>
      </x:c>
      <x:c r="B1277" s="10" t="str">
        <x:v>https://www.etsy.com/listing/4302399724/debt-snowball-spreadsheet-calculator</x:v>
      </x:c>
      <x:c r="C1277" s="10" t="str">
        <x:v>OptimumPlanners</x:v>
      </x:c>
      <x:c r="D1277" s="10" t="str">
        <x:v>https://www.etsy.com/shop/OptimumPlanners</x:v>
      </x:c>
      <x:c r="E1277" s="11" t="n">
        <x:v>8</x:v>
      </x:c>
      <x:c r="F1277" s="10" t="n">
        <x:v>0</x:v>
      </x:c>
      <x:c r="G1277" s="12" t="n">
        <x:v>0</x:v>
      </x:c>
      <x:c r="H1277" s="13" t="n">
        <x:v>0</x:v>
      </x:c>
      <x:c r="I1277" s="10" t="n">
        <x:v>0</x:v>
      </x:c>
      <x:c r="J1277" s="10" t="n">
        <x:v>0</x:v>
      </x:c>
      <x:c r="K1277" s="10" t="str">
        <x:v>14 Mo.</x:v>
      </x:c>
      <x:c r="L1277" s="10" t="n">
        <x:v>2</x:v>
      </x:c>
      <x:c r="M1277" s="10" t="n">
        <x:v>0</x:v>
      </x:c>
      <x:c r="N1277" s="10" t="n">
        <x:v>64</x:v>
      </x:c>
      <x:c r="O1277" s="10" t="str"/>
      <x:c r="P1277" s="10" t="n">
        <x:v>45</x:v>
      </x:c>
      <x:c r="Q1277" s="10" t="n">
        <x:v>0</x:v>
      </x:c>
      <x:c r="R1277" s="13" t="n">
        <x:v>0</x:v>
      </x:c>
      <x:c r="S1277" s="10" t="n">
        <x:v>57225</x:v>
      </x:c>
      <x:c r="T1277" s="10" t="str">
        <x:v>debt payoff tracker,debt google sheets,debt snowball sheet,debt calculator,debt tracker planner,personal finance,debt planner,debt management,debt spreadsheet,mortgage payoff,debt template,googlesheet tracker,debt finance planner</x:v>
      </x:c>
      <x:c r="U1277" s="10" t="str">
        <x:v>debt payoff tracker</x:v>
      </x:c>
      <x:c r="V1277" s="10" t="str">
        <x:v>debt google sheets</x:v>
      </x:c>
      <x:c r="W1277" s="10" t="str">
        <x:v>debt snowball sheet</x:v>
      </x:c>
      <x:c r="X1277" s="10" t="str">
        <x:v>debt calculator</x:v>
      </x:c>
      <x:c r="Y1277" s="10" t="str">
        <x:v>debt tracker planner</x:v>
      </x:c>
      <x:c r="Z1277" s="10" t="str">
        <x:v>personal finance</x:v>
      </x:c>
      <x:c r="AA1277" s="10" t="str">
        <x:v>debt planner</x:v>
      </x:c>
      <x:c r="AB1277" s="10" t="str">
        <x:v>debt management</x:v>
      </x:c>
      <x:c r="AC1277" s="10" t="str">
        <x:v>debt spreadsheet</x:v>
      </x:c>
      <x:c r="AD1277" s="10" t="str">
        <x:v>mortgage payoff</x:v>
      </x:c>
      <x:c r="AE1277" s="10" t="str">
        <x:v>debt template</x:v>
      </x:c>
      <x:c r="AF1277" s="10" t="str">
        <x:v>googlesheet tracker</x:v>
      </x:c>
      <x:c r="AG1277" s="10" t="str">
        <x:v>debt finance planner</x:v>
      </x:c>
      <x:c r="AH1277" s="10" t="str">
        <x:v>General debt payoff</x:v>
      </x:c>
      <x:c r="AI1277" s="13" t="n">
        <x:v>14</x:v>
      </x:c>
      <x:c r="AJ1277" s="10" t="str">
        <x:f>IF(F1277&gt;0,"Active","No est. sales")</x:f>
        <x:v>No est. sales</x:v>
      </x:c>
    </x:row>
    <x:row r="1278">
      <x:c r="A1278" s="10" t="str">
        <x:v>From Stressed to In Control | Monthly Budget Planner Printable | Editable Finance Planner</x:v>
      </x:c>
      <x:c r="B1278" s="10" t="str">
        <x:v>https://www.etsy.com/listing/4427992116/from-stressed-to-in-control-monthly</x:v>
      </x:c>
      <x:c r="C1278" s="10" t="str">
        <x:v>GlowPrintablesUS</x:v>
      </x:c>
      <x:c r="D1278" s="10" t="str">
        <x:v>https://www.etsy.com/shop/GlowPrintablesUS</x:v>
      </x:c>
      <x:c r="E1278" s="11" t="n">
        <x:v>3.99</x:v>
      </x:c>
      <x:c r="F1278" s="10" t="n">
        <x:v>0</x:v>
      </x:c>
      <x:c r="G1278" s="12" t="n">
        <x:v>0</x:v>
      </x:c>
      <x:c r="H1278" s="13" t="n">
        <x:v>0</x:v>
      </x:c>
      <x:c r="I1278" s="10" t="n">
        <x:v>0</x:v>
      </x:c>
      <x:c r="J1278" s="10" t="n">
        <x:v>0</x:v>
      </x:c>
      <x:c r="K1278" s="10" t="str">
        <x:v>7 Mo.</x:v>
      </x:c>
      <x:c r="L1278" s="10" t="n">
        <x:v>0</x:v>
      </x:c>
      <x:c r="M1278" s="10" t="n">
        <x:v>0</x:v>
      </x:c>
      <x:c r="N1278" s="10" t="n">
        <x:v>13</x:v>
      </x:c>
      <x:c r="O1278" s="10" t="str">
        <x:v>Paper &amp; Party Supplies</x:v>
      </x:c>
      <x:c r="P1278" s="10" t="n">
        <x:v>7</x:v>
      </x:c>
      <x:c r="Q1278" s="10" t="n">
        <x:v>0</x:v>
      </x:c>
      <x:c r="R1278" s="13" t="n">
        <x:v>0</x:v>
      </x:c>
      <x:c r="S1278" s="10" t="n">
        <x:v>0</x:v>
      </x:c>
      <x:c r="T1278" s="10" t="str">
        <x:v>monthly budget plann,budget planner pdf,printable budget,simple planner,finance planner,money planner,expense tracker,digital budget plann,minimalist budget,budgeting guide,personal finance,rent mortgage plann,beginner budget</x:v>
      </x:c>
      <x:c r="U1278" s="10" t="str">
        <x:v>monthly budget plann</x:v>
      </x:c>
      <x:c r="V1278" s="10" t="str">
        <x:v>budget planner pdf</x:v>
      </x:c>
      <x:c r="W1278" s="10" t="str">
        <x:v>printable budget</x:v>
      </x:c>
      <x:c r="X1278" s="10" t="str">
        <x:v>simple planner</x:v>
      </x:c>
      <x:c r="Y1278" s="10" t="str">
        <x:v>finance planner</x:v>
      </x:c>
      <x:c r="Z1278" s="10" t="str">
        <x:v>money planner</x:v>
      </x:c>
      <x:c r="AA1278" s="10" t="str">
        <x:v>expense tracker</x:v>
      </x:c>
      <x:c r="AB1278" s="10" t="str">
        <x:v>digital budget plann</x:v>
      </x:c>
      <x:c r="AC1278" s="10" t="str">
        <x:v>minimalist budget</x:v>
      </x:c>
      <x:c r="AD1278" s="10" t="str">
        <x:v>budgeting guide</x:v>
      </x:c>
      <x:c r="AE1278" s="10" t="str">
        <x:v>personal finance</x:v>
      </x:c>
      <x:c r="AF1278" s="10" t="str">
        <x:v>rent mortgage plann</x:v>
      </x:c>
      <x:c r="AG1278" s="10" t="str">
        <x:v>beginner budget</x:v>
      </x:c>
      <x:c r="AH1278" s="10" t="str">
        <x:v>Other mortgage-related</x:v>
      </x:c>
      <x:c r="AI1278" s="13" t="n">
        <x:v>7</x:v>
      </x:c>
      <x:c r="AJ1278" s="10" t="str">
        <x:f>IF(F1278&gt;0,"Active","No est. sales")</x:f>
        <x:v>No est. sales</x:v>
      </x:c>
    </x:row>
    <x:row r="1279">
      <x:c r="A1279" s="10" t="str">
        <x:v>Mortgage Overpayment Calculator UK | Early Retirement Planner (HTML)</x:v>
      </x:c>
      <x:c r="B1279" s="10" t="str">
        <x:v>https://www.etsy.com/listing/4408727787/mortgage-overpayment-calculator-uk-early</x:v>
      </x:c>
      <x:c r="C1279" s="10" t="str">
        <x:v>SmartPathDigitalUK</x:v>
      </x:c>
      <x:c r="D1279" s="10" t="str">
        <x:v>https://www.etsy.com/shop/SmartPathDigitalUK</x:v>
      </x:c>
      <x:c r="E1279" s="11" t="n">
        <x:v>7.97</x:v>
      </x:c>
      <x:c r="F1279" s="10" t="n">
        <x:v>0</x:v>
      </x:c>
      <x:c r="G1279" s="12" t="n">
        <x:v>0</x:v>
      </x:c>
      <x:c r="H1279" s="13" t="n">
        <x:v>0</x:v>
      </x:c>
      <x:c r="I1279" s="10" t="n">
        <x:v>0</x:v>
      </x:c>
      <x:c r="J1279" s="10" t="n">
        <x:v>0</x:v>
      </x:c>
      <x:c r="K1279" s="10" t="str">
        <x:v>8 Mo.</x:v>
      </x:c>
      <x:c r="L1279" s="10" t="n">
        <x:v>0</x:v>
      </x:c>
      <x:c r="M1279" s="10" t="n">
        <x:v>0</x:v>
      </x:c>
      <x:c r="N1279" s="10" t="n">
        <x:v>18</x:v>
      </x:c>
      <x:c r="O1279" s="10" t="str"/>
      <x:c r="P1279" s="10" t="n">
        <x:v>8</x:v>
      </x:c>
      <x:c r="Q1279" s="10" t="n">
        <x:v>0</x:v>
      </x:c>
      <x:c r="R1279" s="13" t="n">
        <x:v>0</x:v>
      </x:c>
      <x:c r="S1279" s="10" t="n">
        <x:v>0</x:v>
      </x:c>
      <x:c r="T1279" s="10" t="str"/>
      <x:c r="U1279" s="10" t="str">
        <x:v>--</x:v>
      </x:c>
      <x:c r="V1279" s="10" t="str">
        <x:v>--</x:v>
      </x:c>
      <x:c r="W1279" s="10" t="str">
        <x:v>--</x:v>
      </x:c>
      <x:c r="X1279" s="10" t="str">
        <x:v>--</x:v>
      </x:c>
      <x:c r="Y1279" s="10" t="str">
        <x:v>--</x:v>
      </x:c>
      <x:c r="Z1279" s="10" t="str">
        <x:v>--</x:v>
      </x:c>
      <x:c r="AA1279" s="10" t="str">
        <x:v>--</x:v>
      </x:c>
      <x:c r="AB1279" s="10" t="str">
        <x:v>--</x:v>
      </x:c>
      <x:c r="AC1279" s="10" t="str">
        <x:v>--</x:v>
      </x:c>
      <x:c r="AD1279" s="10" t="str">
        <x:v>--</x:v>
      </x:c>
      <x:c r="AE1279" s="10" t="str">
        <x:v>--</x:v>
      </x:c>
      <x:c r="AF1279" s="10" t="str">
        <x:v>--</x:v>
      </x:c>
      <x:c r="AG1279" s="10" t="str">
        <x:v>--</x:v>
      </x:c>
      <x:c r="AH1279" s="10" t="str">
        <x:v>Other mortgage-related</x:v>
      </x:c>
      <x:c r="AI1279" s="13" t="n">
        <x:v>8</x:v>
      </x:c>
      <x:c r="AJ1279" s="10" t="str">
        <x:f>IF(F1279&gt;0,"Active","No est. sales")</x:f>
        <x:v>No est. sales</x:v>
      </x:c>
    </x:row>
    <x:row r="1280">
      <x:c r="A1280" s="10" t="str">
        <x:v>Getting Rid of Your Student Loans Guide, Student Loan Interest Spreadsheet, Student Loan Basics, Simple Loan Tracker, Digital Download</x:v>
      </x:c>
      <x:c r="B1280" s="10" t="str">
        <x:v>https://www.etsy.com/listing/4326203468/getting-rid-of-your-student-loans-guide</x:v>
      </x:c>
      <x:c r="C1280" s="10" t="str">
        <x:v>TheCleverCue</x:v>
      </x:c>
      <x:c r="D1280" s="10" t="str">
        <x:v>https://www.etsy.com/shop/TheCleverCue</x:v>
      </x:c>
      <x:c r="E1280" s="11" t="n">
        <x:v>1.99</x:v>
      </x:c>
      <x:c r="F1280" s="10" t="n">
        <x:v>0</x:v>
      </x:c>
      <x:c r="G1280" s="12" t="n">
        <x:v>0</x:v>
      </x:c>
      <x:c r="H1280" s="13" t="n">
        <x:v>0</x:v>
      </x:c>
      <x:c r="I1280" s="10" t="n">
        <x:v>0</x:v>
      </x:c>
      <x:c r="J1280" s="10" t="n">
        <x:v>0</x:v>
      </x:c>
      <x:c r="K1280" s="10" t="str">
        <x:v>13 Mo.</x:v>
      </x:c>
      <x:c r="L1280" s="10" t="n">
        <x:v>1</x:v>
      </x:c>
      <x:c r="M1280" s="10" t="n">
        <x:v>0</x:v>
      </x:c>
      <x:c r="N1280" s="10" t="n">
        <x:v>26</x:v>
      </x:c>
      <x:c r="O1280" s="10" t="str">
        <x:v>Craft Supplies &amp; Tools</x:v>
      </x:c>
      <x:c r="P1280" s="10" t="n">
        <x:v>13</x:v>
      </x:c>
      <x:c r="Q1280" s="10" t="n">
        <x:v>0</x:v>
      </x:c>
      <x:c r="R1280" s="13" t="n">
        <x:v>0</x:v>
      </x:c>
      <x:c r="S1280" s="10" t="n">
        <x:v>1</x:v>
      </x:c>
      <x:c r="T1280" s="10" t="str">
        <x:v>credit utilization,debt avalanche,mortgage payoff,google sheets budget,debt payoff chart,credit card payoff,debt snowball,student loan debt,debt payment tracker,debt payoff tracker,debt payoff,snowball method,debt payoff planner</x:v>
      </x:c>
      <x:c r="U1280" s="10" t="str">
        <x:v>credit utilization</x:v>
      </x:c>
      <x:c r="V1280" s="10" t="str">
        <x:v>debt avalanche</x:v>
      </x:c>
      <x:c r="W1280" s="10" t="str">
        <x:v>mortgage payoff</x:v>
      </x:c>
      <x:c r="X1280" s="10" t="str">
        <x:v>google sheets budget</x:v>
      </x:c>
      <x:c r="Y1280" s="10" t="str">
        <x:v>debt payoff chart</x:v>
      </x:c>
      <x:c r="Z1280" s="10" t="str">
        <x:v>credit card payoff</x:v>
      </x:c>
      <x:c r="AA1280" s="10" t="str">
        <x:v>debt snowball</x:v>
      </x:c>
      <x:c r="AB1280" s="10" t="str">
        <x:v>student loan debt</x:v>
      </x:c>
      <x:c r="AC1280" s="10" t="str">
        <x:v>debt payment tracker</x:v>
      </x:c>
      <x:c r="AD1280" s="10" t="str">
        <x:v>debt payoff tracker</x:v>
      </x:c>
      <x:c r="AE1280" s="10" t="str">
        <x:v>debt payoff</x:v>
      </x:c>
      <x:c r="AF1280" s="10" t="str">
        <x:v>snowball method</x:v>
      </x:c>
      <x:c r="AG1280" s="10" t="str">
        <x:v>debt payoff planner</x:v>
      </x:c>
      <x:c r="AH1280" s="10" t="str">
        <x:v>Other mortgage-related</x:v>
      </x:c>
      <x:c r="AI1280" s="13" t="n">
        <x:v>13</x:v>
      </x:c>
      <x:c r="AJ1280" s="10" t="str">
        <x:f>IF(F1280&gt;0,"Active","No est. sales")</x:f>
        <x:v>No est. sales</x:v>
      </x:c>
    </x:row>
    <x:row r="1281">
      <x:c r="A1281" s="10" t="str">
        <x:v>Debt Payoff Tracker Template | Manage Mortgage, Credit Cards, Student Loans, and Car Loans | Financial &amp; Debt Planner (Google sheets)</x:v>
      </x:c>
      <x:c r="B1281" s="10" t="str">
        <x:v>https://www.etsy.com/listing/1793420482/debt-payoff-tracker-template-manage</x:v>
      </x:c>
      <x:c r="C1281" s="10" t="str">
        <x:v>TheTemplateBabeCo</x:v>
      </x:c>
      <x:c r="D1281" s="10" t="str">
        <x:v>https://www.etsy.com/shop/TheTemplateBabeCo</x:v>
      </x:c>
      <x:c r="E1281" s="11" t="n">
        <x:v>11.49</x:v>
      </x:c>
      <x:c r="F1281" s="10" t="n">
        <x:v>0</x:v>
      </x:c>
      <x:c r="G1281" s="12" t="n">
        <x:v>0</x:v>
      </x:c>
      <x:c r="H1281" s="13" t="n">
        <x:v>0</x:v>
      </x:c>
      <x:c r="I1281" s="10" t="n">
        <x:v>17</x:v>
      </x:c>
      <x:c r="J1281" s="10" t="n">
        <x:v>2</x:v>
      </x:c>
      <x:c r="K1281" s="10" t="str">
        <x:v>21 Mo.</x:v>
      </x:c>
      <x:c r="L1281" s="10" t="n">
        <x:v>32</x:v>
      </x:c>
      <x:c r="M1281" s="10" t="n">
        <x:v>0</x:v>
      </x:c>
      <x:c r="N1281" s="10" t="n">
        <x:v>893</x:v>
      </x:c>
      <x:c r="O1281" s="10" t="str"/>
      <x:c r="P1281" s="10" t="n">
        <x:v>37</x:v>
      </x:c>
      <x:c r="Q1281" s="10" t="n">
        <x:v>0</x:v>
      </x:c>
      <x:c r="R1281" s="13" t="n">
        <x:v>1.9</x:v>
      </x:c>
      <x:c r="S1281" s="10" t="n">
        <x:v>1187</x:v>
      </x:c>
      <x:c r="T1281" s="10" t="str">
        <x:v>digital planner,budgeting,debt tracker,personal finance,debt snowball,debt avalanche,credit card debt,student loans,personal loans,credit tracker,debt,budgeting debt,google sheets</x:v>
      </x:c>
      <x:c r="U1281" s="10" t="str">
        <x:v>digital planner</x:v>
      </x:c>
      <x:c r="V1281" s="10" t="str">
        <x:v>budgeting</x:v>
      </x:c>
      <x:c r="W1281" s="10" t="str">
        <x:v>debt tracker</x:v>
      </x:c>
      <x:c r="X1281" s="10" t="str">
        <x:v>personal finance</x:v>
      </x:c>
      <x:c r="Y1281" s="10" t="str">
        <x:v>debt snowball</x:v>
      </x:c>
      <x:c r="Z1281" s="10" t="str">
        <x:v>debt avalanche</x:v>
      </x:c>
      <x:c r="AA1281" s="10" t="str">
        <x:v>credit card debt</x:v>
      </x:c>
      <x:c r="AB1281" s="10" t="str">
        <x:v>student loans</x:v>
      </x:c>
      <x:c r="AC1281" s="10" t="str">
        <x:v>personal loans</x:v>
      </x:c>
      <x:c r="AD1281" s="10" t="str">
        <x:v>credit tracker</x:v>
      </x:c>
      <x:c r="AE1281" s="10" t="str">
        <x:v>debt</x:v>
      </x:c>
      <x:c r="AF1281" s="10" t="str">
        <x:v>budgeting debt</x:v>
      </x:c>
      <x:c r="AG1281" s="10" t="str">
        <x:v>google sheets</x:v>
      </x:c>
      <x:c r="AH1281" s="10" t="str">
        <x:v>General debt payoff</x:v>
      </x:c>
      <x:c r="AI1281" s="13" t="n">
        <x:v>21</x:v>
      </x:c>
      <x:c r="AJ1281" s="10" t="str">
        <x:f>IF(F1281&gt;0,"Active","No est. sales")</x:f>
        <x:v>No est. sales</x:v>
      </x:c>
    </x:row>
    <x:row r="1282">
      <x:c r="A1282" s="10" t="str">
        <x:v>Mortgage Binder Printable, Home Loan Organizer, Mortgage Payment Tracker, Homeowner Planner, Loan Documents PDF, A4 &amp; US Letter</x:v>
      </x:c>
      <x:c r="B1282" s="10" t="str">
        <x:v>https://www.etsy.com/listing/4528087495/mortgage-binder-printable-home-loan</x:v>
      </x:c>
      <x:c r="C1282" s="10" t="str">
        <x:v>DailyPlanora</x:v>
      </x:c>
      <x:c r="D1282" s="10" t="str">
        <x:v>https://www.etsy.com/shop/DailyPlanora</x:v>
      </x:c>
      <x:c r="E1282" s="11" t="n">
        <x:v>9.99</x:v>
      </x:c>
      <x:c r="F1282" s="10" t="n">
        <x:v>0</x:v>
      </x:c>
      <x:c r="G1282" s="12" t="n">
        <x:v>0</x:v>
      </x:c>
      <x:c r="H1282" s="13" t="n">
        <x:v>0</x:v>
      </x:c>
      <x:c r="I1282" s="10" t="n">
        <x:v>0</x:v>
      </x:c>
      <x:c r="J1282" s="10" t="n">
        <x:v>0</x:v>
      </x:c>
      <x:c r="K1282" s="10" t="str">
        <x:v>1 Mo.</x:v>
      </x:c>
      <x:c r="L1282" s="10" t="n">
        <x:v>1</x:v>
      </x:c>
      <x:c r="M1282" s="10" t="n">
        <x:v>0</x:v>
      </x:c>
      <x:c r="N1282" s="10" t="n">
        <x:v>6</x:v>
      </x:c>
      <x:c r="O1282" s="10" t="str"/>
      <x:c r="P1282" s="10" t="n">
        <x:v>3</x:v>
      </x:c>
      <x:c r="Q1282" s="10" t="n">
        <x:v>0</x:v>
      </x:c>
      <x:c r="R1282" s="13" t="n">
        <x:v>0</x:v>
      </x:c>
      <x:c r="S1282" s="10" t="n">
        <x:v>112</x:v>
      </x:c>
      <x:c r="T1282" s="10" t="str">
        <x:v>mortgage binder,mortgage planner,home loan binder,homeowner binder,mortgage tracker,loan organizer,payment tracker,home finance,printable binder,real estate planner,property planner,mortgage printable,home organization</x:v>
      </x:c>
      <x:c r="U1282" s="10" t="str">
        <x:v>mortgage binder</x:v>
      </x:c>
      <x:c r="V1282" s="10" t="str">
        <x:v>mortgage planner</x:v>
      </x:c>
      <x:c r="W1282" s="10" t="str">
        <x:v>home loan binder</x:v>
      </x:c>
      <x:c r="X1282" s="10" t="str">
        <x:v>homeowner binder</x:v>
      </x:c>
      <x:c r="Y1282" s="10" t="str">
        <x:v>mortgage tracker</x:v>
      </x:c>
      <x:c r="Z1282" s="10" t="str">
        <x:v>loan organizer</x:v>
      </x:c>
      <x:c r="AA1282" s="10" t="str">
        <x:v>payment tracker</x:v>
      </x:c>
      <x:c r="AB1282" s="10" t="str">
        <x:v>home finance</x:v>
      </x:c>
      <x:c r="AC1282" s="10" t="str">
        <x:v>printable binder</x:v>
      </x:c>
      <x:c r="AD1282" s="10" t="str">
        <x:v>real estate planner</x:v>
      </x:c>
      <x:c r="AE1282" s="10" t="str">
        <x:v>property planner</x:v>
      </x:c>
      <x:c r="AF1282" s="10" t="str">
        <x:v>mortgage printable</x:v>
      </x:c>
      <x:c r="AG1282" s="10" t="str">
        <x:v>home organization</x:v>
      </x:c>
      <x:c r="AH1282" s="10" t="str">
        <x:v>Home buying planner</x:v>
      </x:c>
      <x:c r="AI1282" s="13" t="n">
        <x:v>1</x:v>
      </x:c>
      <x:c r="AJ1282" s="10" t="str">
        <x:f>IF(F1282&gt;0,"Active","No est. sales")</x:f>
        <x:v>No est. sales</x:v>
      </x:c>
    </x:row>
    <x:row r="1283">
      <x:c r="A1283" s="10" t="str">
        <x:v>DEBT TRACKER, Debt Snowball, Debt Payoff Tracker Printable, Dave Ramsey, Debt Payments, Finance Planner, Budget Planner, Debt Free Progress,</x:v>
      </x:c>
      <x:c r="B1283" s="10" t="str">
        <x:v>https://www.etsy.com/listing/1198623274/debt-tracker-debt-snowball-debt-payoff</x:v>
      </x:c>
      <x:c r="C1283" s="10" t="str">
        <x:v>CreativeJamCo</x:v>
      </x:c>
      <x:c r="D1283" s="10" t="str">
        <x:v>https://www.etsy.com/shop/CreativeJamCo</x:v>
      </x:c>
      <x:c r="E1283" s="11" t="n">
        <x:v>2.38</x:v>
      </x:c>
      <x:c r="F1283" s="10" t="n">
        <x:v>0</x:v>
      </x:c>
      <x:c r="G1283" s="12" t="n">
        <x:v>0</x:v>
      </x:c>
      <x:c r="H1283" s="13" t="n">
        <x:v>0</x:v>
      </x:c>
      <x:c r="I1283" s="10" t="n">
        <x:v>29</x:v>
      </x:c>
      <x:c r="J1283" s="10" t="n">
        <x:v>3</x:v>
      </x:c>
      <x:c r="K1283" s="10" t="str">
        <x:v>51 Mo.</x:v>
      </x:c>
      <x:c r="L1283" s="10" t="n">
        <x:v>33</x:v>
      </x:c>
      <x:c r="M1283" s="10" t="n">
        <x:v>0</x:v>
      </x:c>
      <x:c r="N1283" s="10" t="n">
        <x:v>812</x:v>
      </x:c>
      <x:c r="O1283" s="10" t="str">
        <x:v>Paper &amp; Party Supplies</x:v>
      </x:c>
      <x:c r="P1283" s="10" t="n">
        <x:v>77</x:v>
      </x:c>
      <x:c r="Q1283" s="10" t="n">
        <x:v>0</x:v>
      </x:c>
      <x:c r="R1283" s="13" t="n">
        <x:v>3.57</x:v>
      </x:c>
      <x:c r="S1283" s="10" t="n">
        <x:v>391577</x:v>
      </x:c>
      <x:c r="T1283" s="10" t="str">
        <x:v>printable,debt tracker,debt snowball,debt payoff tracker,debt payment tracker,dave ramsey,credit card tracker,mortgage tracker,financial tracker,budget planner,finance planner,spending tracker,budget tracker</x:v>
      </x:c>
      <x:c r="U1283" s="10" t="str">
        <x:v>printable</x:v>
      </x:c>
      <x:c r="V1283" s="10" t="str">
        <x:v>debt tracker</x:v>
      </x:c>
      <x:c r="W1283" s="10" t="str">
        <x:v>debt snowball</x:v>
      </x:c>
      <x:c r="X1283" s="10" t="str">
        <x:v>debt payoff tracker</x:v>
      </x:c>
      <x:c r="Y1283" s="10" t="str">
        <x:v>debt payment tracker</x:v>
      </x:c>
      <x:c r="Z1283" s="10" t="str">
        <x:v>dave ramsey</x:v>
      </x:c>
      <x:c r="AA1283" s="10" t="str">
        <x:v>credit card tracker</x:v>
      </x:c>
      <x:c r="AB1283" s="10" t="str">
        <x:v>mortgage tracker</x:v>
      </x:c>
      <x:c r="AC1283" s="10" t="str">
        <x:v>financial tracker</x:v>
      </x:c>
      <x:c r="AD1283" s="10" t="str">
        <x:v>budget planner</x:v>
      </x:c>
      <x:c r="AE1283" s="10" t="str">
        <x:v>finance planner</x:v>
      </x:c>
      <x:c r="AF1283" s="10" t="str">
        <x:v>spending tracker</x:v>
      </x:c>
      <x:c r="AG1283" s="10" t="str">
        <x:v>budget tracker</x:v>
      </x:c>
      <x:c r="AH1283" s="10" t="str">
        <x:v>General debt payoff</x:v>
      </x:c>
      <x:c r="AI1283" s="13" t="n">
        <x:v>51</x:v>
      </x:c>
      <x:c r="AJ1283" s="10" t="str">
        <x:f>IF(F1283&gt;0,"Active","No est. sales")</x:f>
        <x:v>No est. sales</x:v>
      </x:c>
    </x:row>
    <x:row r="1284">
      <x:c r="A1284" s="10" t="str">
        <x:v>Finance Bundle Printable Planner Stickers for Happy Planner Erin Condren Bujo Hobo Journal, Text Script Font, Functional, Minimalist</x:v>
      </x:c>
      <x:c r="B1284" s="10" t="str">
        <x:v>https://www.etsy.com/listing/4322638550/finance-bundle-printable-planner</x:v>
      </x:c>
      <x:c r="C1284" s="10" t="str">
        <x:v>shannonjanine</x:v>
      </x:c>
      <x:c r="D1284" s="10" t="str">
        <x:v>https://www.etsy.com/shop/shannonjanine</x:v>
      </x:c>
      <x:c r="E1284" s="11" t="n">
        <x:v>2.83</x:v>
      </x:c>
      <x:c r="F1284" s="10" t="n">
        <x:v>0</x:v>
      </x:c>
      <x:c r="G1284" s="12" t="n">
        <x:v>0</x:v>
      </x:c>
      <x:c r="H1284" s="13" t="n">
        <x:v>0</x:v>
      </x:c>
      <x:c r="I1284" s="10" t="n">
        <x:v>0</x:v>
      </x:c>
      <x:c r="J1284" s="10" t="n">
        <x:v>0</x:v>
      </x:c>
      <x:c r="K1284" s="10" t="str">
        <x:v>13 Mo.</x:v>
      </x:c>
      <x:c r="L1284" s="10" t="n">
        <x:v>7</x:v>
      </x:c>
      <x:c r="M1284" s="10" t="n">
        <x:v>0</x:v>
      </x:c>
      <x:c r="N1284" s="10" t="n">
        <x:v>126</x:v>
      </x:c>
      <x:c r="O1284" s="10" t="str">
        <x:v>Paper &amp; Party Supplies</x:v>
      </x:c>
      <x:c r="P1284" s="10" t="n">
        <x:v>146</x:v>
      </x:c>
      <x:c r="Q1284" s="10" t="n">
        <x:v>0</x:v>
      </x:c>
      <x:c r="R1284" s="13" t="n">
        <x:v>0</x:v>
      </x:c>
      <x:c r="S1284" s="10" t="n">
        <x:v>3475</x:v>
      </x:c>
      <x:c r="T1284" s="10" t="str">
        <x:v>printable stickers,planner sticker kit,journaling stickers,happy planner,weekly stickers,functional script,silhouette stickers,hobonichi bujo,digital planning,erin condren font,finance budget,bill due mortgage,rent subscription</x:v>
      </x:c>
      <x:c r="U1284" s="10" t="str">
        <x:v>printable stickers</x:v>
      </x:c>
      <x:c r="V1284" s="10" t="str">
        <x:v>planner sticker kit</x:v>
      </x:c>
      <x:c r="W1284" s="10" t="str">
        <x:v>journaling stickers</x:v>
      </x:c>
      <x:c r="X1284" s="10" t="str">
        <x:v>happy planner</x:v>
      </x:c>
      <x:c r="Y1284" s="10" t="str">
        <x:v>weekly stickers</x:v>
      </x:c>
      <x:c r="Z1284" s="10" t="str">
        <x:v>functional script</x:v>
      </x:c>
      <x:c r="AA1284" s="10" t="str">
        <x:v>silhouette stickers</x:v>
      </x:c>
      <x:c r="AB1284" s="10" t="str">
        <x:v>hobonichi bujo</x:v>
      </x:c>
      <x:c r="AC1284" s="10" t="str">
        <x:v>digital planning</x:v>
      </x:c>
      <x:c r="AD1284" s="10" t="str">
        <x:v>erin condren font</x:v>
      </x:c>
      <x:c r="AE1284" s="10" t="str">
        <x:v>finance budget</x:v>
      </x:c>
      <x:c r="AF1284" s="10" t="str">
        <x:v>bill due mortgage</x:v>
      </x:c>
      <x:c r="AG1284" s="10" t="str">
        <x:v>rent subscription</x:v>
      </x:c>
      <x:c r="AH1284" s="10" t="str">
        <x:v>Other mortgage-related</x:v>
      </x:c>
      <x:c r="AI1284" s="13" t="n">
        <x:v>13</x:v>
      </x:c>
      <x:c r="AJ1284" s="10" t="str">
        <x:f>IF(F1284&gt;0,"Active","No est. sales")</x:f>
        <x:v>No est. sales</x:v>
      </x:c>
    </x:row>
    <x:row r="1285">
      <x:c r="A1285" s="10" t="str">
        <x:v>Mortgage &amp; Homebuying Planner | FHA, VA, Conventional Loan Checklist | Printable Finance PDF + Bonus Refinance Worksheet</x:v>
      </x:c>
      <x:c r="B1285" s="10" t="str">
        <x:v>https://www.etsy.com/listing/4311606255/mortgage-homebuying-planner-fha-va</x:v>
      </x:c>
      <x:c r="C1285" s="10" t="str">
        <x:v>FinanceHubShop</x:v>
      </x:c>
      <x:c r="D1285" s="10" t="str">
        <x:v>https://www.etsy.com/shop/FinanceHubShop</x:v>
      </x:c>
      <x:c r="E1285" s="11" t="n">
        <x:v>10</x:v>
      </x:c>
      <x:c r="F1285" s="10" t="n">
        <x:v>0</x:v>
      </x:c>
      <x:c r="G1285" s="12" t="n">
        <x:v>0</x:v>
      </x:c>
      <x:c r="H1285" s="13" t="n">
        <x:v>0</x:v>
      </x:c>
      <x:c r="I1285" s="10" t="n">
        <x:v>0</x:v>
      </x:c>
      <x:c r="J1285" s="10" t="n">
        <x:v>0</x:v>
      </x:c>
      <x:c r="K1285" s="10" t="str">
        <x:v>14 Mo.</x:v>
      </x:c>
      <x:c r="L1285" s="10" t="n">
        <x:v>13</x:v>
      </x:c>
      <x:c r="M1285" s="10" t="n">
        <x:v>0</x:v>
      </x:c>
      <x:c r="N1285" s="10" t="n">
        <x:v>376</x:v>
      </x:c>
      <x:c r="O1285" s="10" t="str"/>
      <x:c r="P1285" s="10" t="n">
        <x:v>14</x:v>
      </x:c>
      <x:c r="Q1285" s="10" t="n">
        <x:v>0</x:v>
      </x:c>
      <x:c r="R1285" s="13" t="n">
        <x:v>0</x:v>
      </x:c>
      <x:c r="S1285" s="10" t="n">
        <x:v>4</x:v>
      </x:c>
      <x:c r="T1285" s="10" t="str">
        <x:v>mortgage,financial planner,home loan,dti calculator,real estate,first-time buyer,financial guide,refinance,mortgage guide,real estate planner,loan guide,homebuyer checklist,fha loan planner</x:v>
      </x:c>
      <x:c r="U1285" s="10" t="str">
        <x:v>mortgage</x:v>
      </x:c>
      <x:c r="V1285" s="10" t="str">
        <x:v>financial planner</x:v>
      </x:c>
      <x:c r="W1285" s="10" t="str">
        <x:v>home loan</x:v>
      </x:c>
      <x:c r="X1285" s="10" t="str">
        <x:v>dti calculator</x:v>
      </x:c>
      <x:c r="Y1285" s="10" t="str">
        <x:v>real estate</x:v>
      </x:c>
      <x:c r="Z1285" s="10" t="str">
        <x:v>first-time buyer</x:v>
      </x:c>
      <x:c r="AA1285" s="10" t="str">
        <x:v>financial guide</x:v>
      </x:c>
      <x:c r="AB1285" s="10" t="str">
        <x:v>refinance</x:v>
      </x:c>
      <x:c r="AC1285" s="10" t="str">
        <x:v>mortgage guide</x:v>
      </x:c>
      <x:c r="AD1285" s="10" t="str">
        <x:v>real estate planner</x:v>
      </x:c>
      <x:c r="AE1285" s="10" t="str">
        <x:v>loan guide</x:v>
      </x:c>
      <x:c r="AF1285" s="10" t="str">
        <x:v>homebuyer checklist</x:v>
      </x:c>
      <x:c r="AG1285" s="10" t="str">
        <x:v>fha loan planner</x:v>
      </x:c>
      <x:c r="AH1285" s="10" t="str">
        <x:v>Other mortgage-related</x:v>
      </x:c>
      <x:c r="AI1285" s="13" t="n">
        <x:v>14</x:v>
      </x:c>
      <x:c r="AJ1285" s="10" t="str">
        <x:f>IF(F1285&gt;0,"Active","No est. sales")</x:f>
        <x:v>No est. sales</x:v>
      </x:c>
    </x:row>
    <x:row r="1286">
      <x:c r="A1286" s="10" t="str">
        <x:v>Mortgage Payoff Tracker Printable, Debt Pay Off Coloring Page, House Savings Chart, Mortgage Planner, Loan &amp; Debt Free Progress Tracker</x:v>
      </x:c>
      <x:c r="B1286" s="10" t="str">
        <x:v>https://www.etsy.com/listing/4381018617/mortgage-payoff-tracker-printable-debt</x:v>
      </x:c>
      <x:c r="C1286" s="10" t="str">
        <x:v>EmmThompsonDesign</x:v>
      </x:c>
      <x:c r="D1286" s="10" t="str">
        <x:v>https://www.etsy.com/shop/EmmThompsonDesign</x:v>
      </x:c>
      <x:c r="E1286" s="11" t="n">
        <x:v>4.4</x:v>
      </x:c>
      <x:c r="F1286" s="10" t="n">
        <x:v>0</x:v>
      </x:c>
      <x:c r="G1286" s="12" t="n">
        <x:v>0</x:v>
      </x:c>
      <x:c r="H1286" s="13" t="n">
        <x:v>0</x:v>
      </x:c>
      <x:c r="I1286" s="10" t="n">
        <x:v>0</x:v>
      </x:c>
      <x:c r="J1286" s="10" t="n">
        <x:v>0</x:v>
      </x:c>
      <x:c r="K1286" s="10" t="str">
        <x:v>9 Mo.</x:v>
      </x:c>
      <x:c r="L1286" s="10" t="n">
        <x:v>17</x:v>
      </x:c>
      <x:c r="M1286" s="10" t="n">
        <x:v>0</x:v>
      </x:c>
      <x:c r="N1286" s="10" t="n">
        <x:v>370</x:v>
      </x:c>
      <x:c r="O1286" s="10" t="str"/>
      <x:c r="P1286" s="10" t="n">
        <x:v>10</x:v>
      </x:c>
      <x:c r="Q1286" s="10" t="n">
        <x:v>0</x:v>
      </x:c>
      <x:c r="R1286" s="13" t="n">
        <x:v>0</x:v>
      </x:c>
      <x:c r="S1286" s="10" t="n">
        <x:v>55</x:v>
      </x:c>
      <x:c r="T1286" s="10" t="str">
        <x:v>debt paydown tracker,mortgage pay off,visual debt tracker,mortgage payoff,house coloring page,financial progress,loan worksheet,debt free chart,saving coloring page,house savings sheet,home debt planner,house brick coloring,financial goal log</x:v>
      </x:c>
      <x:c r="U1286" s="10" t="str">
        <x:v>debt paydown tracker</x:v>
      </x:c>
      <x:c r="V1286" s="10" t="str">
        <x:v>mortgage pay off</x:v>
      </x:c>
      <x:c r="W1286" s="10" t="str">
        <x:v>visual debt tracker</x:v>
      </x:c>
      <x:c r="X1286" s="10" t="str">
        <x:v>mortgage payoff</x:v>
      </x:c>
      <x:c r="Y1286" s="10" t="str">
        <x:v>house coloring page</x:v>
      </x:c>
      <x:c r="Z1286" s="10" t="str">
        <x:v>financial progress</x:v>
      </x:c>
      <x:c r="AA1286" s="10" t="str">
        <x:v>loan worksheet</x:v>
      </x:c>
      <x:c r="AB1286" s="10" t="str">
        <x:v>debt free chart</x:v>
      </x:c>
      <x:c r="AC1286" s="10" t="str">
        <x:v>saving coloring page</x:v>
      </x:c>
      <x:c r="AD1286" s="10" t="str">
        <x:v>house savings sheet</x:v>
      </x:c>
      <x:c r="AE1286" s="10" t="str">
        <x:v>home debt planner</x:v>
      </x:c>
      <x:c r="AF1286" s="10" t="str">
        <x:v>house brick coloring</x:v>
      </x:c>
      <x:c r="AG1286" s="10" t="str">
        <x:v>financial goal log</x:v>
      </x:c>
      <x:c r="AH1286" s="10" t="str">
        <x:v>Mortgage payoff / calculator</x:v>
      </x:c>
      <x:c r="AI1286" s="13" t="n">
        <x:v>9</x:v>
      </x:c>
      <x:c r="AJ1286" s="10" t="str">
        <x:f>IF(F1286&gt;0,"Active","No est. sales")</x:f>
        <x:v>No est. sales</x:v>
      </x:c>
    </x:row>
    <x:row r="1287">
      <x:c r="A1287" s="10" t="str">
        <x:v>Mortgage Calculator Spreadsheet | Home Buyer OS | Loan Payment &amp; Amortization Tracker | Interactive Template</x:v>
      </x:c>
      <x:c r="B1287" s="10" t="str">
        <x:v>https://www.etsy.com/listing/4530605245/mortgage-calculator-spreadsheet-loan</x:v>
      </x:c>
      <x:c r="C1287" s="10" t="str">
        <x:v>PixelNestStudioOne</x:v>
      </x:c>
      <x:c r="D1287" s="10" t="str">
        <x:v>https://www.etsy.com/shop/PixelNestStudioOne</x:v>
      </x:c>
      <x:c r="E1287" s="11" t="n">
        <x:v>16.5</x:v>
      </x:c>
      <x:c r="F1287" s="10" t="n">
        <x:v>0</x:v>
      </x:c>
      <x:c r="G1287" s="12" t="n">
        <x:v>0</x:v>
      </x:c>
      <x:c r="H1287" s="13" t="n">
        <x:v>0</x:v>
      </x:c>
      <x:c r="I1287" s="10" t="n">
        <x:v>0</x:v>
      </x:c>
      <x:c r="J1287" s="10" t="n">
        <x:v>0</x:v>
      </x:c>
      <x:c r="K1287" s="10" t="str">
        <x:v>1 Mo.</x:v>
      </x:c>
      <x:c r="L1287" s="10" t="n">
        <x:v>0</x:v>
      </x:c>
      <x:c r="M1287" s="10" t="n">
        <x:v>0</x:v>
      </x:c>
      <x:c r="N1287" s="10" t="n">
        <x:v>43</x:v>
      </x:c>
      <x:c r="O1287" s="10" t="str">
        <x:v>Paper &amp; Party Supplies</x:v>
      </x:c>
      <x:c r="P1287" s="10" t="n">
        <x:v>1</x:v>
      </x:c>
      <x:c r="Q1287" s="10" t="n">
        <x:v>0</x:v>
      </x:c>
      <x:c r="R1287" s="13" t="n">
        <x:v>0</x:v>
      </x:c>
      <x:c r="S1287" s="10" t="n">
        <x:v>3</x:v>
      </x:c>
      <x:c r="T1287" s="10" t="str">
        <x:v>mortgage calc,mortgage planner,home loan calc,amortization,loan calculator,mortgage tool,payment planner,html dashboard,html app,finance planner,offline software,digital download,home buyer tool</x:v>
      </x:c>
      <x:c r="U1287" s="10" t="str">
        <x:v>mortgage calc</x:v>
      </x:c>
      <x:c r="V1287" s="10" t="str">
        <x:v>mortgage planner</x:v>
      </x:c>
      <x:c r="W1287" s="10" t="str">
        <x:v>home loan calc</x:v>
      </x:c>
      <x:c r="X1287" s="10" t="str">
        <x:v>amortization</x:v>
      </x:c>
      <x:c r="Y1287" s="10" t="str">
        <x:v>loan calculator</x:v>
      </x:c>
      <x:c r="Z1287" s="10" t="str">
        <x:v>mortgage tool</x:v>
      </x:c>
      <x:c r="AA1287" s="10" t="str">
        <x:v>payment planner</x:v>
      </x:c>
      <x:c r="AB1287" s="10" t="str">
        <x:v>html dashboard</x:v>
      </x:c>
      <x:c r="AC1287" s="10" t="str">
        <x:v>html app</x:v>
      </x:c>
      <x:c r="AD1287" s="10" t="str">
        <x:v>finance planner</x:v>
      </x:c>
      <x:c r="AE1287" s="10" t="str">
        <x:v>offline software</x:v>
      </x:c>
      <x:c r="AF1287" s="10" t="str">
        <x:v>digital download</x:v>
      </x:c>
      <x:c r="AG1287" s="10" t="str">
        <x:v>home buyer tool</x:v>
      </x:c>
      <x:c r="AH1287" s="10" t="str">
        <x:v>Mortgage payoff / calculator</x:v>
      </x:c>
      <x:c r="AI1287" s="13" t="n">
        <x:v>1</x:v>
      </x:c>
      <x:c r="AJ1287" s="10" t="str">
        <x:f>IF(F1287&gt;0,"Active","No est. sales")</x:f>
        <x:v>No est. sales</x:v>
      </x:c>
    </x:row>
    <x:row r="1288">
      <x:c r="A1288" s="10" t="str">
        <x:v>Home Key Planner Sticker | Moving Renting Mortgage House Property Lock Savings | Agenda Diary Journal Schedule Appointment Functional Bujo</x:v>
      </x:c>
      <x:c r="B1288" s="10" t="str">
        <x:v>https://www.etsy.com/listing/4448254302/home-key-planner-sticker-moving-renting</x:v>
      </x:c>
      <x:c r="C1288" s="10" t="str">
        <x:v>bunnylionstory</x:v>
      </x:c>
      <x:c r="D1288" s="10" t="str">
        <x:v>https://www.etsy.com/shop/bunnylionstory</x:v>
      </x:c>
      <x:c r="E1288" s="11" t="n">
        <x:v>3.06</x:v>
      </x:c>
      <x:c r="F1288" s="10" t="n">
        <x:v>0</x:v>
      </x:c>
      <x:c r="G1288" s="12" t="n">
        <x:v>0</x:v>
      </x:c>
      <x:c r="H1288" s="13" t="n">
        <x:v>0</x:v>
      </x:c>
      <x:c r="I1288" s="10" t="n">
        <x:v>0</x:v>
      </x:c>
      <x:c r="J1288" s="10" t="n">
        <x:v>0</x:v>
      </x:c>
      <x:c r="K1288" s="10" t="str">
        <x:v>1 Mo.</x:v>
      </x:c>
      <x:c r="L1288" s="10" t="n">
        <x:v>1</x:v>
      </x:c>
      <x:c r="M1288" s="10" t="n">
        <x:v>0</x:v>
      </x:c>
      <x:c r="N1288" s="10" t="n">
        <x:v>3</x:v>
      </x:c>
      <x:c r="O1288" s="10" t="str">
        <x:v>Paper &amp; Party Supplies</x:v>
      </x:c>
      <x:c r="P1288" s="10" t="n">
        <x:v>121</x:v>
      </x:c>
      <x:c r="Q1288" s="10" t="n">
        <x:v>0</x:v>
      </x:c>
      <x:c r="R1288" s="13" t="n">
        <x:v>0</x:v>
      </x:c>
      <x:c r="S1288" s="10" t="n">
        <x:v>5882</x:v>
      </x:c>
      <x:c r="T1288" s="10" t="str">
        <x:v>planner stickers,reminder sticker,journal sticker,journaling,planner deco,buy house sticker,house key sticker,key sticker,mortgage sticker,renting sticker,moving sticker,home owner sticker,property sticker</x:v>
      </x:c>
      <x:c r="U1288" s="10" t="str">
        <x:v>planner stickers</x:v>
      </x:c>
      <x:c r="V1288" s="10" t="str">
        <x:v>reminder sticker</x:v>
      </x:c>
      <x:c r="W1288" s="10" t="str">
        <x:v>journal sticker</x:v>
      </x:c>
      <x:c r="X1288" s="10" t="str">
        <x:v>journaling</x:v>
      </x:c>
      <x:c r="Y1288" s="10" t="str">
        <x:v>planner deco</x:v>
      </x:c>
      <x:c r="Z1288" s="10" t="str">
        <x:v>buy house sticker</x:v>
      </x:c>
      <x:c r="AA1288" s="10" t="str">
        <x:v>house key sticker</x:v>
      </x:c>
      <x:c r="AB1288" s="10" t="str">
        <x:v>key sticker</x:v>
      </x:c>
      <x:c r="AC1288" s="10" t="str">
        <x:v>mortgage sticker</x:v>
      </x:c>
      <x:c r="AD1288" s="10" t="str">
        <x:v>renting sticker</x:v>
      </x:c>
      <x:c r="AE1288" s="10" t="str">
        <x:v>moving sticker</x:v>
      </x:c>
      <x:c r="AF1288" s="10" t="str">
        <x:v>home owner sticker</x:v>
      </x:c>
      <x:c r="AG1288" s="10" t="str">
        <x:v>property sticker</x:v>
      </x:c>
      <x:c r="AH1288" s="10" t="str">
        <x:v>Other mortgage-related</x:v>
      </x:c>
      <x:c r="AI1288" s="13" t="n">
        <x:v>1</x:v>
      </x:c>
      <x:c r="AJ1288" s="10" t="str">
        <x:f>IF(F1288&gt;0,"Active","No est. sales")</x:f>
        <x:v>No est. sales</x:v>
      </x:c>
    </x:row>
    <x:row r="1289">
      <x:c r="A1289" s="10" t="str">
        <x:v>First Time Home Buyer Workbook | Affordability, Mortgage, House Hunting Spreadsheet (Excel &amp; Google Sheets)</x:v>
      </x:c>
      <x:c r="B1289" s="10" t="str">
        <x:v>https://www.etsy.com/listing/4492559001/first-time-home-buyer-workbook</x:v>
      </x:c>
      <x:c r="C1289" s="10" t="str">
        <x:v>thefirstnest</x:v>
      </x:c>
      <x:c r="D1289" s="10" t="str">
        <x:v>https://www.etsy.com/shop/thefirstnest</x:v>
      </x:c>
      <x:c r="E1289" s="11" t="n">
        <x:v>12.99</x:v>
      </x:c>
      <x:c r="F1289" s="10" t="n">
        <x:v>0</x:v>
      </x:c>
      <x:c r="G1289" s="12" t="n">
        <x:v>0</x:v>
      </x:c>
      <x:c r="H1289" s="13" t="n">
        <x:v>0</x:v>
      </x:c>
      <x:c r="I1289" s="10" t="n">
        <x:v>0</x:v>
      </x:c>
      <x:c r="J1289" s="10" t="n">
        <x:v>0</x:v>
      </x:c>
      <x:c r="K1289" s="10" t="str">
        <x:v>1 Mo.</x:v>
      </x:c>
      <x:c r="L1289" s="10" t="n">
        <x:v>0</x:v>
      </x:c>
      <x:c r="M1289" s="10" t="n">
        <x:v>0</x:v>
      </x:c>
      <x:c r="N1289" s="10" t="n">
        <x:v>28</x:v>
      </x:c>
      <x:c r="O1289" s="10" t="str"/>
      <x:c r="P1289" s="10" t="n">
        <x:v>9</x:v>
      </x:c>
      <x:c r="Q1289" s="10" t="n">
        <x:v>0</x:v>
      </x:c>
      <x:c r="R1289" s="13" t="n">
        <x:v>0</x:v>
      </x:c>
      <x:c r="S1289" s="10" t="n">
        <x:v>0</x:v>
      </x:c>
      <x:c r="T1289" s="10" t="str">
        <x:v>first home buyer,home buying workbook,home affordability,down payment tracker,home buyer planner,mortgage spreadsheet,home buyer checklist,piti calculator,first home planner,mortgage comparison,rent vs buy planner,homebuyer bundle,house shopping sheet</x:v>
      </x:c>
      <x:c r="U1289" s="10" t="str">
        <x:v>first home buyer</x:v>
      </x:c>
      <x:c r="V1289" s="10" t="str">
        <x:v>home buying workbook</x:v>
      </x:c>
      <x:c r="W1289" s="10" t="str">
        <x:v>home affordability</x:v>
      </x:c>
      <x:c r="X1289" s="10" t="str">
        <x:v>down payment tracker</x:v>
      </x:c>
      <x:c r="Y1289" s="10" t="str">
        <x:v>home buyer planner</x:v>
      </x:c>
      <x:c r="Z1289" s="10" t="str">
        <x:v>mortgage spreadsheet</x:v>
      </x:c>
      <x:c r="AA1289" s="10" t="str">
        <x:v>home buyer checklist</x:v>
      </x:c>
      <x:c r="AB1289" s="10" t="str">
        <x:v>piti calculator</x:v>
      </x:c>
      <x:c r="AC1289" s="10" t="str">
        <x:v>first home planner</x:v>
      </x:c>
      <x:c r="AD1289" s="10" t="str">
        <x:v>mortgage comparison</x:v>
      </x:c>
      <x:c r="AE1289" s="10" t="str">
        <x:v>rent vs buy planner</x:v>
      </x:c>
      <x:c r="AF1289" s="10" t="str">
        <x:v>homebuyer bundle</x:v>
      </x:c>
      <x:c r="AG1289" s="10" t="str">
        <x:v>house shopping sheet</x:v>
      </x:c>
      <x:c r="AH1289" s="10" t="str">
        <x:v>Home buying planner</x:v>
      </x:c>
      <x:c r="AI1289" s="13" t="n">
        <x:v>1</x:v>
      </x:c>
      <x:c r="AJ1289" s="10" t="str">
        <x:f>IF(F1289&gt;0,"Active","No est. sales")</x:f>
        <x:v>No est. sales</x:v>
      </x:c>
    </x:row>
    <x:row r="1290">
      <x:c r="A1290" s="10" t="str">
        <x:v>Australian Family Finance Planner Spreadsheet | Wealth Management Budget Tool</x:v>
      </x:c>
      <x:c r="B1290" s="10" t="str">
        <x:v>https://www.etsy.com/listing/4518343371/australian-family-finance-planner</x:v>
      </x:c>
      <x:c r="C1290" s="10" t="str">
        <x:v>WealthNestAustralia</x:v>
      </x:c>
      <x:c r="D1290" s="10" t="str">
        <x:v>https://www.etsy.com/shop/WealthNestAustralia</x:v>
      </x:c>
      <x:c r="E1290" s="11" t="n">
        <x:v>17.6</x:v>
      </x:c>
      <x:c r="F1290" s="10" t="n">
        <x:v>0</x:v>
      </x:c>
      <x:c r="G1290" s="12" t="n">
        <x:v>0</x:v>
      </x:c>
      <x:c r="H1290" s="13" t="n">
        <x:v>0</x:v>
      </x:c>
      <x:c r="I1290" s="10" t="n">
        <x:v>0</x:v>
      </x:c>
      <x:c r="J1290" s="10" t="n">
        <x:v>0</x:v>
      </x:c>
      <x:c r="K1290" s="10" t="str">
        <x:v>1 Mo.</x:v>
      </x:c>
      <x:c r="L1290" s="10" t="n">
        <x:v>0</x:v>
      </x:c>
      <x:c r="M1290" s="10" t="n">
        <x:v>0</x:v>
      </x:c>
      <x:c r="N1290" s="10" t="n">
        <x:v>4</x:v>
      </x:c>
      <x:c r="O1290" s="10" t="str"/>
      <x:c r="P1290" s="10" t="n">
        <x:v>0</x:v>
      </x:c>
      <x:c r="Q1290" s="10" t="n">
        <x:v>0</x:v>
      </x:c>
      <x:c r="R1290" s="13" t="n">
        <x:v>0</x:v>
      </x:c>
      <x:c r="S1290" s="10" t="n">
        <x:v>0</x:v>
      </x:c>
      <x:c r="T1290" s="10" t="str">
        <x:v>budget spreadsheet,mortgage tracker,finance planner,google sheet budget,excel sheet budget,budget template,savings tracker,household budget,fire calculator,family goal,property portfolio,investment,super</x:v>
      </x:c>
      <x:c r="U1290" s="10" t="str">
        <x:v>budget spreadsheet</x:v>
      </x:c>
      <x:c r="V1290" s="10" t="str">
        <x:v>mortgage tracker</x:v>
      </x:c>
      <x:c r="W1290" s="10" t="str">
        <x:v>finance planner</x:v>
      </x:c>
      <x:c r="X1290" s="10" t="str">
        <x:v>google sheet budget</x:v>
      </x:c>
      <x:c r="Y1290" s="10" t="str">
        <x:v>excel sheet budget</x:v>
      </x:c>
      <x:c r="Z1290" s="10" t="str">
        <x:v>budget template</x:v>
      </x:c>
      <x:c r="AA1290" s="10" t="str">
        <x:v>savings tracker</x:v>
      </x:c>
      <x:c r="AB1290" s="10" t="str">
        <x:v>household budget</x:v>
      </x:c>
      <x:c r="AC1290" s="10" t="str">
        <x:v>fire calculator</x:v>
      </x:c>
      <x:c r="AD1290" s="10" t="str">
        <x:v>family goal</x:v>
      </x:c>
      <x:c r="AE1290" s="10" t="str">
        <x:v>property portfolio</x:v>
      </x:c>
      <x:c r="AF1290" s="10" t="str">
        <x:v>investment</x:v>
      </x:c>
      <x:c r="AG1290" s="10" t="str">
        <x:v>super</x:v>
      </x:c>
      <x:c r="AH1290" s="10" t="str">
        <x:v>Other mortgage-related</x:v>
      </x:c>
      <x:c r="AI1290" s="13" t="n">
        <x:v>1</x:v>
      </x:c>
      <x:c r="AJ1290" s="10" t="str">
        <x:f>IF(F1290&gt;0,"Active","No est. sales")</x:f>
        <x:v>No est. sales</x:v>
      </x:c>
    </x:row>
    <x:row r="1291">
      <x:c r="A1291" s="10" t="str">
        <x:v>UK First Time Buyer&amp;#39;s Guide | Printable PDF | House Buying Planner | Step by Step Instructions</x:v>
      </x:c>
      <x:c r="B1291" s="10" t="str">
        <x:v>https://www.etsy.com/listing/4509226893/uk-first-time-buyers-guide-printable-pdf</x:v>
      </x:c>
      <x:c r="C1291" s="10" t="str">
        <x:v>TheLifeManualPress</x:v>
      </x:c>
      <x:c r="D1291" s="10" t="str">
        <x:v>https://www.etsy.com/shop/TheLifeManualPress</x:v>
      </x:c>
      <x:c r="E1291" s="11" t="n">
        <x:v>10.11</x:v>
      </x:c>
      <x:c r="F1291" s="10" t="n">
        <x:v>0</x:v>
      </x:c>
      <x:c r="G1291" s="12" t="n">
        <x:v>0</x:v>
      </x:c>
      <x:c r="H1291" s="13" t="n">
        <x:v>0</x:v>
      </x:c>
      <x:c r="I1291" s="10" t="n">
        <x:v>0</x:v>
      </x:c>
      <x:c r="J1291" s="10" t="n">
        <x:v>0</x:v>
      </x:c>
      <x:c r="K1291" s="10" t="str">
        <x:v>1 Mo.</x:v>
      </x:c>
      <x:c r="L1291" s="10" t="n">
        <x:v>1</x:v>
      </x:c>
      <x:c r="M1291" s="10" t="n">
        <x:v>0</x:v>
      </x:c>
      <x:c r="N1291" s="10" t="n">
        <x:v>66</x:v>
      </x:c>
      <x:c r="O1291" s="10" t="str">
        <x:v>Books, Movies &amp; Music</x:v>
      </x:c>
      <x:c r="P1291" s="10" t="n">
        <x:v>0</x:v>
      </x:c>
      <x:c r="Q1291" s="10" t="n">
        <x:v>30</x:v>
      </x:c>
      <x:c r="R1291" s="13" t="n">
        <x:v>0</x:v>
      </x:c>
      <x:c r="S1291" s="10" t="n">
        <x:v>7</x:v>
      </x:c>
      <x:c r="T1291" s="10" t="str">
        <x:v>first time buyer,uk house buying,printable pdf,house buying guide,first time buyer uk,home buying planner,printable planner,property guide uk,step by step guide,home buyer checklist,uk property guide,mortgage guide uk,moving house uk</x:v>
      </x:c>
      <x:c r="U1291" s="10" t="str">
        <x:v>first time buyer</x:v>
      </x:c>
      <x:c r="V1291" s="10" t="str">
        <x:v>uk house buying</x:v>
      </x:c>
      <x:c r="W1291" s="10" t="str">
        <x:v>printable pdf</x:v>
      </x:c>
      <x:c r="X1291" s="10" t="str">
        <x:v>house buying guide</x:v>
      </x:c>
      <x:c r="Y1291" s="10" t="str">
        <x:v>first time buyer uk</x:v>
      </x:c>
      <x:c r="Z1291" s="10" t="str">
        <x:v>home buying planner</x:v>
      </x:c>
      <x:c r="AA1291" s="10" t="str">
        <x:v>printable planner</x:v>
      </x:c>
      <x:c r="AB1291" s="10" t="str">
        <x:v>property guide uk</x:v>
      </x:c>
      <x:c r="AC1291" s="10" t="str">
        <x:v>step by step guide</x:v>
      </x:c>
      <x:c r="AD1291" s="10" t="str">
        <x:v>home buyer checklist</x:v>
      </x:c>
      <x:c r="AE1291" s="10" t="str">
        <x:v>uk property guide</x:v>
      </x:c>
      <x:c r="AF1291" s="10" t="str">
        <x:v>mortgage guide uk</x:v>
      </x:c>
      <x:c r="AG1291" s="10" t="str">
        <x:v>moving house uk</x:v>
      </x:c>
      <x:c r="AH1291" s="10" t="str">
        <x:v>Home buying planner</x:v>
      </x:c>
      <x:c r="AI1291" s="13" t="n">
        <x:v>1</x:v>
      </x:c>
      <x:c r="AJ1291" s="10" t="str">
        <x:f>IF(F1291&gt;0,"Active","No est. sales")</x:f>
        <x:v>No est. sales</x:v>
      </x:c>
    </x:row>
    <x:row r="1292">
      <x:c r="A1292" s="10" t="str">
        <x:v>Debt tracker printable, Credit card planner, Finance planner, Budget tracker, Debt payoff log, Monthly budget, PDF digital debt tracker</x:v>
      </x:c>
      <x:c r="B1292" s="10" t="str">
        <x:v>https://www.etsy.com/listing/1657263215/debt-tracker-printable-credit-card</x:v>
      </x:c>
      <x:c r="C1292" s="10" t="str">
        <x:v>RaeDigitalCreations</x:v>
      </x:c>
      <x:c r="D1292" s="10" t="str">
        <x:v>https://www.etsy.com/shop/RaeDigitalCreations</x:v>
      </x:c>
      <x:c r="E1292" s="11" t="n">
        <x:v>3.75</x:v>
      </x:c>
      <x:c r="F1292" s="10" t="n">
        <x:v>0</x:v>
      </x:c>
      <x:c r="G1292" s="12" t="n">
        <x:v>0</x:v>
      </x:c>
      <x:c r="H1292" s="13" t="n">
        <x:v>0</x:v>
      </x:c>
      <x:c r="I1292" s="10" t="n">
        <x:v>0</x:v>
      </x:c>
      <x:c r="J1292" s="10" t="n">
        <x:v>0</x:v>
      </x:c>
      <x:c r="K1292" s="10" t="str">
        <x:v>30 Mo.</x:v>
      </x:c>
      <x:c r="L1292" s="10" t="n">
        <x:v>3</x:v>
      </x:c>
      <x:c r="M1292" s="10" t="n">
        <x:v>0</x:v>
      </x:c>
      <x:c r="N1292" s="10" t="n">
        <x:v>22</x:v>
      </x:c>
      <x:c r="O1292" s="10" t="str"/>
      <x:c r="P1292" s="10" t="n">
        <x:v>33</x:v>
      </x:c>
      <x:c r="Q1292" s="10" t="n">
        <x:v>0</x:v>
      </x:c>
      <x:c r="R1292" s="13" t="n">
        <x:v>0</x:v>
      </x:c>
      <x:c r="S1292" s="10" t="n">
        <x:v>343</x:v>
      </x:c>
      <x:c r="T1292" s="10" t="str">
        <x:v>biweekly paycheck,paycheck budget,saving tracker,cash tracker,monthly budget,student loan tracker,finance tracker,debt tracker,mortgage tracker,payoff log,budget planner,debt snowfall,money planner</x:v>
      </x:c>
      <x:c r="U1292" s="10" t="str">
        <x:v>biweekly paycheck</x:v>
      </x:c>
      <x:c r="V1292" s="10" t="str">
        <x:v>paycheck budget</x:v>
      </x:c>
      <x:c r="W1292" s="10" t="str">
        <x:v>saving tracker</x:v>
      </x:c>
      <x:c r="X1292" s="10" t="str">
        <x:v>cash tracker</x:v>
      </x:c>
      <x:c r="Y1292" s="10" t="str">
        <x:v>monthly budget</x:v>
      </x:c>
      <x:c r="Z1292" s="10" t="str">
        <x:v>student loan tracker</x:v>
      </x:c>
      <x:c r="AA1292" s="10" t="str">
        <x:v>finance tracker</x:v>
      </x:c>
      <x:c r="AB1292" s="10" t="str">
        <x:v>debt tracker</x:v>
      </x:c>
      <x:c r="AC1292" s="10" t="str">
        <x:v>mortgage tracker</x:v>
      </x:c>
      <x:c r="AD1292" s="10" t="str">
        <x:v>payoff log</x:v>
      </x:c>
      <x:c r="AE1292" s="10" t="str">
        <x:v>budget planner</x:v>
      </x:c>
      <x:c r="AF1292" s="10" t="str">
        <x:v>debt snowfall</x:v>
      </x:c>
      <x:c r="AG1292" s="10" t="str">
        <x:v>money planner</x:v>
      </x:c>
      <x:c r="AH1292" s="10" t="str">
        <x:v>General debt payoff</x:v>
      </x:c>
      <x:c r="AI1292" s="13" t="n">
        <x:v>30</x:v>
      </x:c>
      <x:c r="AJ1292" s="10" t="str">
        <x:f>IF(F1292&gt;0,"Active","No est. sales")</x:f>
        <x:v>No est. sales</x:v>
      </x:c>
    </x:row>
    <x:row r="1293">
      <x:c r="A1293" s="10" t="str">
        <x:v>Debt Payoff Tracker Google Sheets | Snowball and Avalanche Calculator | Credit Card, Loan, Debt-Free Planner, Credit Utilization Rate</x:v>
      </x:c>
      <x:c r="B1293" s="10" t="str">
        <x:v>https://www.etsy.com/listing/4360444365/debt-payoff-tracker-google-sheets</x:v>
      </x:c>
      <x:c r="C1293" s="10" t="str">
        <x:v>Sheetpoppi</x:v>
      </x:c>
      <x:c r="D1293" s="10" t="str">
        <x:v>https://www.etsy.com/shop/Sheetpoppi</x:v>
      </x:c>
      <x:c r="E1293" s="11" t="n">
        <x:v>8.98</x:v>
      </x:c>
      <x:c r="F1293" s="10" t="n">
        <x:v>0</x:v>
      </x:c>
      <x:c r="G1293" s="12" t="n">
        <x:v>0</x:v>
      </x:c>
      <x:c r="H1293" s="13" t="n">
        <x:v>0</x:v>
      </x:c>
      <x:c r="I1293" s="10" t="n">
        <x:v>0</x:v>
      </x:c>
      <x:c r="J1293" s="10" t="n">
        <x:v>0</x:v>
      </x:c>
      <x:c r="K1293" s="10" t="str">
        <x:v>4 Mo.</x:v>
      </x:c>
      <x:c r="L1293" s="10" t="n">
        <x:v>1</x:v>
      </x:c>
      <x:c r="M1293" s="10" t="n">
        <x:v>0</x:v>
      </x:c>
      <x:c r="N1293" s="10" t="n">
        <x:v>23</x:v>
      </x:c>
      <x:c r="O1293" s="10" t="str">
        <x:v>Paper &amp; Party Supplies</x:v>
      </x:c>
      <x:c r="P1293" s="10" t="n">
        <x:v>4</x:v>
      </x:c>
      <x:c r="Q1293" s="10" t="n">
        <x:v>0</x:v>
      </x:c>
      <x:c r="R1293" s="13" t="n">
        <x:v>0</x:v>
      </x:c>
      <x:c r="S1293" s="10" t="n">
        <x:v>51</x:v>
      </x:c>
      <x:c r="T1293" s="10" t="str">
        <x:v>financial planner,debt payoff tracker,debt snowball,debt payoff chart,debt payment tracker,credit card payoff,debt template,debt avalanche,personal finance,student loan debt,google sheets budget,mortgage payoff,credit utilization</x:v>
      </x:c>
      <x:c r="U1293" s="10" t="str">
        <x:v>financial planner</x:v>
      </x:c>
      <x:c r="V1293" s="10" t="str">
        <x:v>debt payoff tracker</x:v>
      </x:c>
      <x:c r="W1293" s="10" t="str">
        <x:v>debt snowball</x:v>
      </x:c>
      <x:c r="X1293" s="10" t="str">
        <x:v>debt payoff chart</x:v>
      </x:c>
      <x:c r="Y1293" s="10" t="str">
        <x:v>debt payment tracker</x:v>
      </x:c>
      <x:c r="Z1293" s="10" t="str">
        <x:v>credit card payoff</x:v>
      </x:c>
      <x:c r="AA1293" s="10" t="str">
        <x:v>debt template</x:v>
      </x:c>
      <x:c r="AB1293" s="10" t="str">
        <x:v>debt avalanche</x:v>
      </x:c>
      <x:c r="AC1293" s="10" t="str">
        <x:v>personal finance</x:v>
      </x:c>
      <x:c r="AD1293" s="10" t="str">
        <x:v>student loan debt</x:v>
      </x:c>
      <x:c r="AE1293" s="10" t="str">
        <x:v>google sheets budget</x:v>
      </x:c>
      <x:c r="AF1293" s="10" t="str">
        <x:v>mortgage payoff</x:v>
      </x:c>
      <x:c r="AG1293" s="10" t="str">
        <x:v>credit utilization</x:v>
      </x:c>
      <x:c r="AH1293" s="10" t="str">
        <x:v>General debt payoff</x:v>
      </x:c>
      <x:c r="AI1293" s="13" t="n">
        <x:v>4</x:v>
      </x:c>
      <x:c r="AJ1293" s="10" t="str">
        <x:f>IF(F1293&gt;0,"Active","No est. sales")</x:f>
        <x:v>No est. sales</x:v>
      </x:c>
    </x:row>
    <x:row r="1294">
      <x:c r="A1294" s="10" t="str">
        <x:v>Debt Tracker Printable, Student Loan Planner, Mortgage Payment Tracker, Debt Tracker, Credit Card Tracker, Letter-sized, Printable Template</x:v>
      </x:c>
      <x:c r="B1294" s="10" t="str">
        <x:v>https://www.etsy.com/listing/1754680095/debt-tracker-printable-student-loan</x:v>
      </x:c>
      <x:c r="C1294" s="10" t="str">
        <x:v>BlnkSl8Designs</x:v>
      </x:c>
      <x:c r="D1294" s="10" t="str">
        <x:v>https://www.etsy.com/shop/BlnkSl8Designs</x:v>
      </x:c>
      <x:c r="E1294" s="11" t="n">
        <x:v>10</x:v>
      </x:c>
      <x:c r="F1294" s="10" t="n">
        <x:v>0</x:v>
      </x:c>
      <x:c r="G1294" s="12" t="n">
        <x:v>0</x:v>
      </x:c>
      <x:c r="H1294" s="13" t="n">
        <x:v>0</x:v>
      </x:c>
      <x:c r="I1294" s="10" t="n">
        <x:v>0</x:v>
      </x:c>
      <x:c r="J1294" s="10" t="n">
        <x:v>0</x:v>
      </x:c>
      <x:c r="K1294" s="10" t="str">
        <x:v>5 Mo.</x:v>
      </x:c>
      <x:c r="L1294" s="10" t="n">
        <x:v>0</x:v>
      </x:c>
      <x:c r="M1294" s="10" t="n">
        <x:v>0</x:v>
      </x:c>
      <x:c r="N1294" s="10" t="n">
        <x:v>9</x:v>
      </x:c>
      <x:c r="O1294" s="10" t="str"/>
      <x:c r="P1294" s="10" t="n">
        <x:v>30</x:v>
      </x:c>
      <x:c r="Q1294" s="10" t="n">
        <x:v>0</x:v>
      </x:c>
      <x:c r="R1294" s="13" t="n">
        <x:v>0</x:v>
      </x:c>
      <x:c r="S1294" s="10" t="n">
        <x:v>0</x:v>
      </x:c>
      <x:c r="T1294" s="10" t="str">
        <x:v>debt tracker,finance organizer,debt payoff,debt free,money manager,budget tool,finance tracker,debt,template,budget,financial,planner,tracker</x:v>
      </x:c>
      <x:c r="U1294" s="10" t="str">
        <x:v>debt tracker</x:v>
      </x:c>
      <x:c r="V1294" s="10" t="str">
        <x:v>finance organizer</x:v>
      </x:c>
      <x:c r="W1294" s="10" t="str">
        <x:v>debt payoff</x:v>
      </x:c>
      <x:c r="X1294" s="10" t="str">
        <x:v>debt free</x:v>
      </x:c>
      <x:c r="Y1294" s="10" t="str">
        <x:v>money manager</x:v>
      </x:c>
      <x:c r="Z1294" s="10" t="str">
        <x:v>budget tool</x:v>
      </x:c>
      <x:c r="AA1294" s="10" t="str">
        <x:v>finance tracker</x:v>
      </x:c>
      <x:c r="AB1294" s="10" t="str">
        <x:v>debt</x:v>
      </x:c>
      <x:c r="AC1294" s="10" t="str">
        <x:v>template</x:v>
      </x:c>
      <x:c r="AD1294" s="10" t="str">
        <x:v>budget</x:v>
      </x:c>
      <x:c r="AE1294" s="10" t="str">
        <x:v>financial</x:v>
      </x:c>
      <x:c r="AF1294" s="10" t="str">
        <x:v>planner</x:v>
      </x:c>
      <x:c r="AG1294" s="10" t="str">
        <x:v>tracker</x:v>
      </x:c>
      <x:c r="AH1294" s="10" t="str">
        <x:v>General debt payoff</x:v>
      </x:c>
      <x:c r="AI1294" s="13" t="n">
        <x:v>5</x:v>
      </x:c>
      <x:c r="AJ1294" s="10" t="str">
        <x:f>IF(F1294&gt;0,"Active","No est. sales")</x:f>
        <x:v>No est. sales</x:v>
      </x:c>
    </x:row>
    <x:row r="1295">
      <x:c r="A1295" s="10" t="str">
        <x:v>Home Buying Planner – Printable Real Estate Organizer &amp; Mortgage Budget Checklist</x:v>
      </x:c>
      <x:c r="B1295" s="10" t="str">
        <x:v>https://www.etsy.com/listing/4341936990/home-buying-planner-printable-real</x:v>
      </x:c>
      <x:c r="C1295" s="10" t="str">
        <x:v>TopLabLibrary1</x:v>
      </x:c>
      <x:c r="D1295" s="10" t="str">
        <x:v>https://www.etsy.com/shop/TopLabLibrary1</x:v>
      </x:c>
      <x:c r="E1295" s="11" t="n">
        <x:v>3.88</x:v>
      </x:c>
      <x:c r="F1295" s="10" t="n">
        <x:v>0</x:v>
      </x:c>
      <x:c r="G1295" s="12" t="n">
        <x:v>0</x:v>
      </x:c>
      <x:c r="H1295" s="13" t="n">
        <x:v>0</x:v>
      </x:c>
      <x:c r="I1295" s="10" t="n">
        <x:v>0</x:v>
      </x:c>
      <x:c r="J1295" s="10" t="n">
        <x:v>0</x:v>
      </x:c>
      <x:c r="K1295" s="10" t="str">
        <x:v>6 Mo.</x:v>
      </x:c>
      <x:c r="L1295" s="10" t="n">
        <x:v>1</x:v>
      </x:c>
      <x:c r="M1295" s="10" t="n">
        <x:v>0</x:v>
      </x:c>
      <x:c r="N1295" s="10" t="n">
        <x:v>40</x:v>
      </x:c>
      <x:c r="O1295" s="10" t="str">
        <x:v>Books, Movies &amp; Music</x:v>
      </x:c>
      <x:c r="P1295" s="10" t="n">
        <x:v>6</x:v>
      </x:c>
      <x:c r="Q1295" s="10" t="n">
        <x:v>0</x:v>
      </x:c>
      <x:c r="R1295" s="13" t="n">
        <x:v>0</x:v>
      </x:c>
      <x:c r="S1295" s="10" t="n">
        <x:v>99</x:v>
      </x:c>
      <x:c r="T1295" s="10" t="str">
        <x:v>home buying planner,realestate organizer,house hunting,mortgage budget,first time buyer,home planner,real estate planner,moving checklist,property purchase,home loan tracker,real estate budget,house purchase,printable</x:v>
      </x:c>
      <x:c r="U1295" s="10" t="str">
        <x:v>home buying planner</x:v>
      </x:c>
      <x:c r="V1295" s="10" t="str">
        <x:v>realestate organizer</x:v>
      </x:c>
      <x:c r="W1295" s="10" t="str">
        <x:v>house hunting</x:v>
      </x:c>
      <x:c r="X1295" s="10" t="str">
        <x:v>mortgage budget</x:v>
      </x:c>
      <x:c r="Y1295" s="10" t="str">
        <x:v>first time buyer</x:v>
      </x:c>
      <x:c r="Z1295" s="10" t="str">
        <x:v>home planner</x:v>
      </x:c>
      <x:c r="AA1295" s="10" t="str">
        <x:v>real estate planner</x:v>
      </x:c>
      <x:c r="AB1295" s="10" t="str">
        <x:v>moving checklist</x:v>
      </x:c>
      <x:c r="AC1295" s="10" t="str">
        <x:v>property purchase</x:v>
      </x:c>
      <x:c r="AD1295" s="10" t="str">
        <x:v>home loan tracker</x:v>
      </x:c>
      <x:c r="AE1295" s="10" t="str">
        <x:v>real estate budget</x:v>
      </x:c>
      <x:c r="AF1295" s="10" t="str">
        <x:v>house purchase</x:v>
      </x:c>
      <x:c r="AG1295" s="10" t="str">
        <x:v>printable</x:v>
      </x:c>
      <x:c r="AH1295" s="10" t="str">
        <x:v>Home buying planner</x:v>
      </x:c>
      <x:c r="AI1295" s="13" t="n">
        <x:v>6</x:v>
      </x:c>
      <x:c r="AJ1295" s="10" t="str">
        <x:f>IF(F1295&gt;0,"Active","No est. sales")</x:f>
        <x:v>No est. sales</x:v>
      </x:c>
    </x:row>
    <x:row r="1296">
      <x:c r="A1296" s="10" t="str">
        <x:v>Mortgage Loan Repayment Excel Spreadsheet, Amortization Schedule, Debt Schedule, Debt Payoff Tracker, Dept Payment Tracker, Debt Planner</x:v>
      </x:c>
      <x:c r="B1296" s="10" t="str">
        <x:v>https://www.etsy.com/listing/1361720634/mortgage-loan-repayment-excel</x:v>
      </x:c>
      <x:c r="C1296" s="10" t="str">
        <x:v>TheSheetGeek</x:v>
      </x:c>
      <x:c r="D1296" s="10" t="str">
        <x:v>https://www.etsy.com/shop/TheSheetGeek</x:v>
      </x:c>
      <x:c r="E1296" s="11" t="n">
        <x:v>9.99</x:v>
      </x:c>
      <x:c r="F1296" s="10" t="n">
        <x:v>0</x:v>
      </x:c>
      <x:c r="G1296" s="12" t="n">
        <x:v>0</x:v>
      </x:c>
      <x:c r="H1296" s="13" t="n">
        <x:v>0</x:v>
      </x:c>
      <x:c r="I1296" s="10" t="n">
        <x:v>0</x:v>
      </x:c>
      <x:c r="J1296" s="10" t="n">
        <x:v>0</x:v>
      </x:c>
      <x:c r="K1296" s="10" t="str">
        <x:v>38 Mo.</x:v>
      </x:c>
      <x:c r="L1296" s="10" t="n">
        <x:v>3</x:v>
      </x:c>
      <x:c r="M1296" s="10" t="n">
        <x:v>0</x:v>
      </x:c>
      <x:c r="N1296" s="10" t="n">
        <x:v>258</x:v>
      </x:c>
      <x:c r="O1296" s="10" t="str">
        <x:v>Paper &amp; Party Supplies</x:v>
      </x:c>
      <x:c r="P1296" s="10" t="n">
        <x:v>56</x:v>
      </x:c>
      <x:c r="Q1296" s="10" t="n">
        <x:v>0</x:v>
      </x:c>
      <x:c r="R1296" s="13" t="n">
        <x:v>0</x:v>
      </x:c>
      <x:c r="S1296" s="10" t="n">
        <x:v>343</x:v>
      </x:c>
      <x:c r="T1296" s="10" t="str">
        <x:v>mortgage payment,amortization,excel template,debt payoff,mortgage calculator,spreadsheet template,instant download,debt schedule,debt planner,debt payoff tracker,payment tracker,loan repayment,payment calculator</x:v>
      </x:c>
      <x:c r="U1296" s="10" t="str">
        <x:v>mortgage payment</x:v>
      </x:c>
      <x:c r="V1296" s="10" t="str">
        <x:v>amortization</x:v>
      </x:c>
      <x:c r="W1296" s="10" t="str">
        <x:v>excel template</x:v>
      </x:c>
      <x:c r="X1296" s="10" t="str">
        <x:v>debt payoff</x:v>
      </x:c>
      <x:c r="Y1296" s="10" t="str">
        <x:v>mortgage calculator</x:v>
      </x:c>
      <x:c r="Z1296" s="10" t="str">
        <x:v>spreadsheet template</x:v>
      </x:c>
      <x:c r="AA1296" s="10" t="str">
        <x:v>instant download</x:v>
      </x:c>
      <x:c r="AB1296" s="10" t="str">
        <x:v>debt schedule</x:v>
      </x:c>
      <x:c r="AC1296" s="10" t="str">
        <x:v>debt planner</x:v>
      </x:c>
      <x:c r="AD1296" s="10" t="str">
        <x:v>debt payoff tracker</x:v>
      </x:c>
      <x:c r="AE1296" s="10" t="str">
        <x:v>payment tracker</x:v>
      </x:c>
      <x:c r="AF1296" s="10" t="str">
        <x:v>loan repayment</x:v>
      </x:c>
      <x:c r="AG1296" s="10" t="str">
        <x:v>payment calculator</x:v>
      </x:c>
      <x:c r="AH1296" s="10" t="str">
        <x:v>Mortgage payoff / calculator</x:v>
      </x:c>
      <x:c r="AI1296" s="13" t="n">
        <x:v>38</x:v>
      </x:c>
      <x:c r="AJ1296" s="10" t="str">
        <x:f>IF(F1296&gt;0,"Active","No est. sales")</x:f>
        <x:v>No est. sales</x:v>
      </x:c>
    </x:row>
    <x:row r="1297">
      <x:c r="A1297" s="10" t="str">
        <x:v>Ahorra para tu Casa Paso a Paso | Plantilla Excel y Google Sheets | Plan de Ahorro + Control de Gastos</x:v>
      </x:c>
      <x:c r="B1297" s="10" t="str">
        <x:v>https://www.etsy.com/listing/4483042072/ahorra-para-tu-casa-paso-a-paso</x:v>
      </x:c>
      <x:c r="C1297" s="10" t="str">
        <x:v>MoneyGridCO</x:v>
      </x:c>
      <x:c r="D1297" s="10" t="str">
        <x:v>https://www.etsy.com/shop/MoneyGridCO</x:v>
      </x:c>
      <x:c r="E1297" s="11" t="n">
        <x:v>5.68</x:v>
      </x:c>
      <x:c r="F1297" s="10" t="n">
        <x:v>0</x:v>
      </x:c>
      <x:c r="G1297" s="12" t="n">
        <x:v>0</x:v>
      </x:c>
      <x:c r="H1297" s="13" t="n">
        <x:v>0</x:v>
      </x:c>
      <x:c r="I1297" s="10" t="n">
        <x:v>0</x:v>
      </x:c>
      <x:c r="J1297" s="10" t="n">
        <x:v>0</x:v>
      </x:c>
      <x:c r="K1297" s="10" t="str">
        <x:v>2 Mo.</x:v>
      </x:c>
      <x:c r="L1297" s="10" t="n">
        <x:v>0</x:v>
      </x:c>
      <x:c r="M1297" s="10" t="n">
        <x:v>0</x:v>
      </x:c>
      <x:c r="N1297" s="10" t="n">
        <x:v>12</x:v>
      </x:c>
      <x:c r="O1297" s="10" t="str">
        <x:v>Paper &amp; Party Supplies</x:v>
      </x:c>
      <x:c r="P1297" s="10" t="n">
        <x:v>2</x:v>
      </x:c>
      <x:c r="Q1297" s="10" t="n">
        <x:v>0</x:v>
      </x:c>
      <x:c r="R1297" s="13" t="n">
        <x:v>0</x:v>
      </x:c>
      <x:c r="S1297" s="10" t="n">
        <x:v>1</x:v>
      </x:c>
      <x:c r="T1297" s="10" t="str">
        <x:v>house down payment tracker,mortgage calculator excel,savings planner spain,first home savings,budget planner google sheets,ahorro entrada piso,comprar piso españa</x:v>
      </x:c>
      <x:c r="U1297" s="10" t="str">
        <x:v>house down payment tracker</x:v>
      </x:c>
      <x:c r="V1297" s="10" t="str">
        <x:v>mortgage calculator excel</x:v>
      </x:c>
      <x:c r="W1297" s="10" t="str">
        <x:v>savings planner spain</x:v>
      </x:c>
      <x:c r="X1297" s="10" t="str">
        <x:v>first home savings</x:v>
      </x:c>
      <x:c r="Y1297" s="10" t="str">
        <x:v>budget planner google sheets</x:v>
      </x:c>
      <x:c r="Z1297" s="10" t="str">
        <x:v>ahorro entrada piso</x:v>
      </x:c>
      <x:c r="AA1297" s="10" t="str">
        <x:v>comprar piso españa</x:v>
      </x:c>
      <x:c r="AB1297" s="10" t="str">
        <x:v>--</x:v>
      </x:c>
      <x:c r="AC1297" s="10" t="str">
        <x:v>--</x:v>
      </x:c>
      <x:c r="AD1297" s="10" t="str">
        <x:v>--</x:v>
      </x:c>
      <x:c r="AE1297" s="10" t="str">
        <x:v>--</x:v>
      </x:c>
      <x:c r="AF1297" s="10" t="str">
        <x:v>--</x:v>
      </x:c>
      <x:c r="AG1297" s="10" t="str">
        <x:v>--</x:v>
      </x:c>
      <x:c r="AH1297" s="10" t="str">
        <x:v>Other mortgage-related</x:v>
      </x:c>
      <x:c r="AI1297" s="13" t="n">
        <x:v>2</x:v>
      </x:c>
      <x:c r="AJ1297" s="10" t="str">
        <x:f>IF(F1297&gt;0,"Active","No est. sales")</x:f>
        <x:v>No est. sales</x:v>
      </x:c>
    </x:row>
    <x:row r="1298">
      <x:c r="A1298" s="10" t="str">
        <x:v>New House Expense Tracker, Home Budget Planner, Mortgage Payment Log, Moving Cost Sheet, Household Finance Log, Digital Expense Tracker</x:v>
      </x:c>
      <x:c r="B1298" s="10" t="str">
        <x:v>https://www.etsy.com/listing/1893577561/new-house-expense-tracker-home-budget</x:v>
      </x:c>
      <x:c r="C1298" s="10" t="str">
        <x:v>ArtlasTuncer</x:v>
      </x:c>
      <x:c r="D1298" s="10" t="str">
        <x:v>https://www.etsy.com/shop/ArtlasTuncer</x:v>
      </x:c>
      <x:c r="E1298" s="11" t="n">
        <x:v>9.98</x:v>
      </x:c>
      <x:c r="F1298" s="10" t="n">
        <x:v>0</x:v>
      </x:c>
      <x:c r="G1298" s="12" t="n">
        <x:v>0</x:v>
      </x:c>
      <x:c r="H1298" s="13" t="n">
        <x:v>0</x:v>
      </x:c>
      <x:c r="I1298" s="10" t="n">
        <x:v>1</x:v>
      </x:c>
      <x:c r="J1298" s="10" t="n">
        <x:v>0</x:v>
      </x:c>
      <x:c r="K1298" s="10" t="str">
        <x:v>4 Mo.</x:v>
      </x:c>
      <x:c r="L1298" s="10" t="n">
        <x:v>1</x:v>
      </x:c>
      <x:c r="M1298" s="10" t="n">
        <x:v>0</x:v>
      </x:c>
      <x:c r="N1298" s="10" t="n">
        <x:v>12</x:v>
      </x:c>
      <x:c r="O1298" s="10" t="str">
        <x:v>Paper &amp; Party Supplies</x:v>
      </x:c>
      <x:c r="P1298" s="10" t="n">
        <x:v>20</x:v>
      </x:c>
      <x:c r="Q1298" s="10" t="n">
        <x:v>0</x:v>
      </x:c>
      <x:c r="R1298" s="13" t="n">
        <x:v>8.33</x:v>
      </x:c>
      <x:c r="S1298" s="10" t="n">
        <x:v>244</x:v>
      </x:c>
      <x:c r="T1298" s="10" t="str">
        <x:v>home expense log,house budget,moving cost log,mortgage tracker,rent payment log,finance planner,home cost sheet,digital budget log,family expense log,home finance sheet,house payment log,monthly budget</x:v>
      </x:c>
      <x:c r="U1298" s="10" t="str">
        <x:v>home expense log</x:v>
      </x:c>
      <x:c r="V1298" s="10" t="str">
        <x:v>house budget</x:v>
      </x:c>
      <x:c r="W1298" s="10" t="str">
        <x:v>moving cost log</x:v>
      </x:c>
      <x:c r="X1298" s="10" t="str">
        <x:v>mortgage tracker</x:v>
      </x:c>
      <x:c r="Y1298" s="10" t="str">
        <x:v>rent payment log</x:v>
      </x:c>
      <x:c r="Z1298" s="10" t="str">
        <x:v>finance planner</x:v>
      </x:c>
      <x:c r="AA1298" s="10" t="str">
        <x:v>home cost sheet</x:v>
      </x:c>
      <x:c r="AB1298" s="10" t="str">
        <x:v>digital budget log</x:v>
      </x:c>
      <x:c r="AC1298" s="10" t="str">
        <x:v>family expense log</x:v>
      </x:c>
      <x:c r="AD1298" s="10" t="str">
        <x:v>home finance sheet</x:v>
      </x:c>
      <x:c r="AE1298" s="10" t="str">
        <x:v>house payment log</x:v>
      </x:c>
      <x:c r="AF1298" s="10" t="str">
        <x:v>monthly budget</x:v>
      </x:c>
      <x:c r="AG1298" s="10" t="str">
        <x:v>--</x:v>
      </x:c>
      <x:c r="AH1298" s="10" t="str">
        <x:v>Other mortgage-related</x:v>
      </x:c>
      <x:c r="AI1298" s="13" t="n">
        <x:v>4</x:v>
      </x:c>
      <x:c r="AJ1298" s="10" t="str">
        <x:f>IF(F1298&gt;0,"Active","No est. sales")</x:f>
        <x:v>No est. sales</x:v>
      </x:c>
    </x:row>
    <x:row r="1299">
      <x:c r="A1299" s="10" t="str">
        <x:v>Mortgage Payoff Spreadsheet | Debt Tracker &amp; Amortization Calculator | Extra Payment Planner | Google Sheets Tool</x:v>
      </x:c>
      <x:c r="B1299" s="10" t="str">
        <x:v>https://www.etsy.com/listing/4500578714/mortgage-payoff-spreadsheet-debt-tracker</x:v>
      </x:c>
      <x:c r="C1299" s="10" t="str">
        <x:v>KLCollectiveStore</x:v>
      </x:c>
      <x:c r="D1299" s="10" t="str">
        <x:v>https://www.etsy.com/shop/KLCollectiveStore</x:v>
      </x:c>
      <x:c r="E1299" s="11" t="n">
        <x:v>10</x:v>
      </x:c>
      <x:c r="F1299" s="10" t="n">
        <x:v>0</x:v>
      </x:c>
      <x:c r="G1299" s="12" t="n">
        <x:v>0</x:v>
      </x:c>
      <x:c r="H1299" s="13" t="n">
        <x:v>0</x:v>
      </x:c>
      <x:c r="I1299" s="10" t="n">
        <x:v>0</x:v>
      </x:c>
      <x:c r="J1299" s="10" t="n">
        <x:v>0</x:v>
      </x:c>
      <x:c r="K1299" s="10" t="str">
        <x:v>2 Mo.</x:v>
      </x:c>
      <x:c r="L1299" s="10" t="n">
        <x:v>3</x:v>
      </x:c>
      <x:c r="M1299" s="10" t="n">
        <x:v>0</x:v>
      </x:c>
      <x:c r="N1299" s="10" t="n">
        <x:v>202</x:v>
      </x:c>
      <x:c r="O1299" s="10" t="str"/>
      <x:c r="P1299" s="10" t="n">
        <x:v>2</x:v>
      </x:c>
      <x:c r="Q1299" s="10" t="n">
        <x:v>36</x:v>
      </x:c>
      <x:c r="R1299" s="13" t="n">
        <x:v>0</x:v>
      </x:c>
      <x:c r="S1299" s="10" t="n">
        <x:v>4</x:v>
      </x:c>
      <x:c r="T1299" s="10" t="str">
        <x:v>mortgage spreadsheet,mortgage calculator,loan payoff tracker,debt payoff planner,amortization table,pay off mortgage,extra payment tool,financial planner,budget spreadsheet,google sheets budget,debt tracker sheet,mortgage tracker,finance template</x:v>
      </x:c>
      <x:c r="U1299" s="10" t="str">
        <x:v>mortgage spreadsheet</x:v>
      </x:c>
      <x:c r="V1299" s="10" t="str">
        <x:v>mortgage calculator</x:v>
      </x:c>
      <x:c r="W1299" s="10" t="str">
        <x:v>loan payoff tracker</x:v>
      </x:c>
      <x:c r="X1299" s="10" t="str">
        <x:v>debt payoff planner</x:v>
      </x:c>
      <x:c r="Y1299" s="10" t="str">
        <x:v>amortization table</x:v>
      </x:c>
      <x:c r="Z1299" s="10" t="str">
        <x:v>pay off mortgage</x:v>
      </x:c>
      <x:c r="AA1299" s="10" t="str">
        <x:v>extra payment tool</x:v>
      </x:c>
      <x:c r="AB1299" s="10" t="str">
        <x:v>financial planner</x:v>
      </x:c>
      <x:c r="AC1299" s="10" t="str">
        <x:v>budget spreadsheet</x:v>
      </x:c>
      <x:c r="AD1299" s="10" t="str">
        <x:v>google sheets budget</x:v>
      </x:c>
      <x:c r="AE1299" s="10" t="str">
        <x:v>debt tracker sheet</x:v>
      </x:c>
      <x:c r="AF1299" s="10" t="str">
        <x:v>mortgage tracker</x:v>
      </x:c>
      <x:c r="AG1299" s="10" t="str">
        <x:v>finance template</x:v>
      </x:c>
      <x:c r="AH1299" s="10" t="str">
        <x:v>Mortgage payoff / calculator</x:v>
      </x:c>
      <x:c r="AI1299" s="13" t="n">
        <x:v>2</x:v>
      </x:c>
      <x:c r="AJ1299" s="10" t="str">
        <x:f>IF(F1299&gt;0,"Active","No est. sales")</x:f>
        <x:v>No est. sales</x:v>
      </x:c>
    </x:row>
    <x:row r="1300">
      <x:c r="A1300" s="10" t="str">
        <x:v>Debt Payoff Planner: Credit Card, Loan, &amp; Budget Tracker (Digital Download)</x:v>
      </x:c>
      <x:c r="B1300" s="10" t="str">
        <x:v>https://www.etsy.com/listing/4348411750/debt-payoff-planner-credit-card-loan</x:v>
      </x:c>
      <x:c r="C1300" s="10" t="str">
        <x:v>CozyPlannerscoDesign</x:v>
      </x:c>
      <x:c r="D1300" s="10" t="str">
        <x:v>https://www.etsy.com/shop/CozyPlannerscoDesign</x:v>
      </x:c>
      <x:c r="E1300" s="11" t="n">
        <x:v>2.99</x:v>
      </x:c>
      <x:c r="F1300" s="10" t="n">
        <x:v>0</x:v>
      </x:c>
      <x:c r="G1300" s="12" t="n">
        <x:v>0</x:v>
      </x:c>
      <x:c r="H1300" s="13" t="n">
        <x:v>0</x:v>
      </x:c>
      <x:c r="I1300" s="10" t="n">
        <x:v>0</x:v>
      </x:c>
      <x:c r="J1300" s="10" t="n">
        <x:v>0</x:v>
      </x:c>
      <x:c r="K1300" s="10" t="str">
        <x:v>2 Mo.</x:v>
      </x:c>
      <x:c r="L1300" s="10" t="n">
        <x:v>0</x:v>
      </x:c>
      <x:c r="M1300" s="10" t="n">
        <x:v>0</x:v>
      </x:c>
      <x:c r="N1300" s="10" t="n">
        <x:v>10</x:v>
      </x:c>
      <x:c r="O1300" s="10" t="str"/>
      <x:c r="P1300" s="10" t="n">
        <x:v>3</x:v>
      </x:c>
      <x:c r="Q1300" s="10" t="n">
        <x:v>0</x:v>
      </x:c>
      <x:c r="R1300" s="13" t="n">
        <x:v>0</x:v>
      </x:c>
      <x:c r="S1300" s="10" t="n">
        <x:v>57</x:v>
      </x:c>
      <x:c r="T1300" s="10" t="str">
        <x:v>credit utilization,debt avalanche,mortgage payoff,credit card payoff,debt payoff chart,debt snowball,student loan debt,debt payment tracker,debt payoff tracker,debt template,financial planner,monthly debt tracker,annual budget</x:v>
      </x:c>
      <x:c r="U1300" s="10" t="str">
        <x:v>credit utilization</x:v>
      </x:c>
      <x:c r="V1300" s="10" t="str">
        <x:v>debt avalanche</x:v>
      </x:c>
      <x:c r="W1300" s="10" t="str">
        <x:v>mortgage payoff</x:v>
      </x:c>
      <x:c r="X1300" s="10" t="str">
        <x:v>credit card payoff</x:v>
      </x:c>
      <x:c r="Y1300" s="10" t="str">
        <x:v>debt payoff chart</x:v>
      </x:c>
      <x:c r="Z1300" s="10" t="str">
        <x:v>debt snowball</x:v>
      </x:c>
      <x:c r="AA1300" s="10" t="str">
        <x:v>student loan debt</x:v>
      </x:c>
      <x:c r="AB1300" s="10" t="str">
        <x:v>debt payment tracker</x:v>
      </x:c>
      <x:c r="AC1300" s="10" t="str">
        <x:v>debt payoff tracker</x:v>
      </x:c>
      <x:c r="AD1300" s="10" t="str">
        <x:v>debt template</x:v>
      </x:c>
      <x:c r="AE1300" s="10" t="str">
        <x:v>financial planner</x:v>
      </x:c>
      <x:c r="AF1300" s="10" t="str">
        <x:v>monthly debt tracker</x:v>
      </x:c>
      <x:c r="AG1300" s="10" t="str">
        <x:v>annual budget</x:v>
      </x:c>
      <x:c r="AH1300" s="10" t="str">
        <x:v>General debt payoff</x:v>
      </x:c>
      <x:c r="AI1300" s="13" t="n">
        <x:v>2</x:v>
      </x:c>
      <x:c r="AJ1300" s="10" t="str">
        <x:f>IF(F1300&gt;0,"Active","No est. sales")</x:f>
        <x:v>No est. sales</x:v>
      </x:c>
    </x:row>
    <x:row r="1301">
      <x:c r="A1301" s="10" t="str">
        <x:v>Payment Calculator Sheet | Loan Amortization Schedule | Mortgage &amp; Loan Tracker | Debt Payment Planner | Financial Calculator</x:v>
      </x:c>
      <x:c r="B1301" s="10" t="str">
        <x:v>https://www.etsy.com/listing/1866809676/payment-calculator-sheet-loan</x:v>
      </x:c>
      <x:c r="C1301" s="10" t="str">
        <x:v>ZDigiItals</x:v>
      </x:c>
      <x:c r="D1301" s="10" t="str">
        <x:v>https://www.etsy.com/shop/ZDigiItals</x:v>
      </x:c>
      <x:c r="E1301" s="11" t="n">
        <x:v>19.16</x:v>
      </x:c>
      <x:c r="F1301" s="10" t="n">
        <x:v>0</x:v>
      </x:c>
      <x:c r="G1301" s="12" t="n">
        <x:v>0</x:v>
      </x:c>
      <x:c r="H1301" s="13" t="n">
        <x:v>0</x:v>
      </x:c>
      <x:c r="I1301" s="10" t="n">
        <x:v>0</x:v>
      </x:c>
      <x:c r="J1301" s="10" t="n">
        <x:v>0</x:v>
      </x:c>
      <x:c r="K1301" s="10" t="str">
        <x:v>2 Mo.</x:v>
      </x:c>
      <x:c r="L1301" s="10" t="n">
        <x:v>1</x:v>
      </x:c>
      <x:c r="M1301" s="10" t="n">
        <x:v>0</x:v>
      </x:c>
      <x:c r="N1301" s="10" t="n">
        <x:v>9</x:v>
      </x:c>
      <x:c r="O1301" s="10" t="str"/>
      <x:c r="P1301" s="10" t="n">
        <x:v>7</x:v>
      </x:c>
      <x:c r="Q1301" s="10" t="n">
        <x:v>0</x:v>
      </x:c>
      <x:c r="R1301" s="13" t="n">
        <x:v>0</x:v>
      </x:c>
      <x:c r="S1301" s="10" t="n">
        <x:v>183</x:v>
      </x:c>
      <x:c r="T1301" s="10" t="str">
        <x:v>payment calculator,loan tracker,mortgage planner,debt payoff,finance tracker,budget spreadsheet,interest calculator,loan payment,business finance,excel budget,loan amortization,money management,sheets finance</x:v>
      </x:c>
      <x:c r="U1301" s="10" t="str">
        <x:v>payment calculator</x:v>
      </x:c>
      <x:c r="V1301" s="10" t="str">
        <x:v>loan tracker</x:v>
      </x:c>
      <x:c r="W1301" s="10" t="str">
        <x:v>mortgage planner</x:v>
      </x:c>
      <x:c r="X1301" s="10" t="str">
        <x:v>debt payoff</x:v>
      </x:c>
      <x:c r="Y1301" s="10" t="str">
        <x:v>finance tracker</x:v>
      </x:c>
      <x:c r="Z1301" s="10" t="str">
        <x:v>budget spreadsheet</x:v>
      </x:c>
      <x:c r="AA1301" s="10" t="str">
        <x:v>interest calculator</x:v>
      </x:c>
      <x:c r="AB1301" s="10" t="str">
        <x:v>loan payment</x:v>
      </x:c>
      <x:c r="AC1301" s="10" t="str">
        <x:v>business finance</x:v>
      </x:c>
      <x:c r="AD1301" s="10" t="str">
        <x:v>excel budget</x:v>
      </x:c>
      <x:c r="AE1301" s="10" t="str">
        <x:v>loan amortization</x:v>
      </x:c>
      <x:c r="AF1301" s="10" t="str">
        <x:v>money management</x:v>
      </x:c>
      <x:c r="AG1301" s="10" t="str">
        <x:v>sheets finance</x:v>
      </x:c>
      <x:c r="AH1301" s="10" t="str">
        <x:v>Mortgage payoff / calculator</x:v>
      </x:c>
      <x:c r="AI1301" s="13" t="n">
        <x:v>2</x:v>
      </x:c>
      <x:c r="AJ1301" s="10" t="str">
        <x:f>IF(F1301&gt;0,"Active","No est. sales")</x:f>
        <x:v>No est. sales</x:v>
      </x:c>
    </x:row>
    <x:row r="1302">
      <x:c r="A1302" s="10" t="str">
        <x:v>Mortgage tracker printable, mortgage tracker, mortgage payment tracker, loan repayment tracker, home loan planner, mortgage balance tracker</x:v>
      </x:c>
      <x:c r="B1302" s="10" t="str">
        <x:v>https://www.etsy.com/listing/1832376866/mortgage-tracker-printable-mortgage</x:v>
      </x:c>
      <x:c r="C1302" s="10" t="str">
        <x:v>Patches4usa</x:v>
      </x:c>
      <x:c r="D1302" s="10" t="str">
        <x:v>https://www.etsy.com/shop/Patches4usa</x:v>
      </x:c>
      <x:c r="E1302" s="11" t="n">
        <x:v>1</x:v>
      </x:c>
      <x:c r="F1302" s="10" t="n">
        <x:v>0</x:v>
      </x:c>
      <x:c r="G1302" s="12" t="n">
        <x:v>0</x:v>
      </x:c>
      <x:c r="H1302" s="13" t="n">
        <x:v>0</x:v>
      </x:c>
      <x:c r="I1302" s="10" t="n">
        <x:v>0</x:v>
      </x:c>
      <x:c r="J1302" s="10" t="n">
        <x:v>0</x:v>
      </x:c>
      <x:c r="K1302" s="10" t="str">
        <x:v>16 Mo.</x:v>
      </x:c>
      <x:c r="L1302" s="10" t="n">
        <x:v>2</x:v>
      </x:c>
      <x:c r="M1302" s="10" t="n">
        <x:v>0</x:v>
      </x:c>
      <x:c r="N1302" s="10" t="n">
        <x:v>30</x:v>
      </x:c>
      <x:c r="O1302" s="10" t="str"/>
      <x:c r="P1302" s="10" t="n">
        <x:v>65</x:v>
      </x:c>
      <x:c r="Q1302" s="10" t="n">
        <x:v>0</x:v>
      </x:c>
      <x:c r="R1302" s="13" t="n">
        <x:v>0</x:v>
      </x:c>
      <x:c r="S1302" s="10" t="n">
        <x:v>2398</x:v>
      </x:c>
      <x:c r="T1302" s="10" t="str">
        <x:v>home loan tracker,debt payoff planner,home finance planner,loan payoff tracker,mortgage payment log,debt management tool,financial tracker,real estate loan,financial goal track,monthly payment,mortgage amortize,mortgage sheet,loan repayment</x:v>
      </x:c>
      <x:c r="U1302" s="10" t="str">
        <x:v>home loan tracker</x:v>
      </x:c>
      <x:c r="V1302" s="10" t="str">
        <x:v>debt payoff planner</x:v>
      </x:c>
      <x:c r="W1302" s="10" t="str">
        <x:v>home finance planner</x:v>
      </x:c>
      <x:c r="X1302" s="10" t="str">
        <x:v>loan payoff tracker</x:v>
      </x:c>
      <x:c r="Y1302" s="10" t="str">
        <x:v>mortgage payment log</x:v>
      </x:c>
      <x:c r="Z1302" s="10" t="str">
        <x:v>debt management tool</x:v>
      </x:c>
      <x:c r="AA1302" s="10" t="str">
        <x:v>financial tracker</x:v>
      </x:c>
      <x:c r="AB1302" s="10" t="str">
        <x:v>real estate loan</x:v>
      </x:c>
      <x:c r="AC1302" s="10" t="str">
        <x:v>financial goal track</x:v>
      </x:c>
      <x:c r="AD1302" s="10" t="str">
        <x:v>monthly payment</x:v>
      </x:c>
      <x:c r="AE1302" s="10" t="str">
        <x:v>mortgage amortize</x:v>
      </x:c>
      <x:c r="AF1302" s="10" t="str">
        <x:v>mortgage sheet</x:v>
      </x:c>
      <x:c r="AG1302" s="10" t="str">
        <x:v>loan repayment</x:v>
      </x:c>
      <x:c r="AH1302" s="10" t="str">
        <x:v>General loan calculator</x:v>
      </x:c>
      <x:c r="AI1302" s="13" t="n">
        <x:v>16</x:v>
      </x:c>
      <x:c r="AJ1302" s="10" t="str">
        <x:f>IF(F1302&gt;0,"Active","No est. sales")</x:f>
        <x:v>No est. sales</x:v>
      </x:c>
    </x:row>
    <x:row r="1303">
      <x:c r="A1303" s="10" t="str">
        <x:v>UK Mortgage Overpayment Calculator | Excel, Google Sheets | ERC Tracker</x:v>
      </x:c>
      <x:c r="B1303" s="10" t="str">
        <x:v>https://www.etsy.com/listing/4511785150/uk-mortgage-overpayment-calculator-excel</x:v>
      </x:c>
      <x:c r="C1303" s="10" t="str">
        <x:v>TinkerMadeTailor</x:v>
      </x:c>
      <x:c r="D1303" s="10" t="str">
        <x:v>https://www.etsy.com/shop/TinkerMadeTailor</x:v>
      </x:c>
      <x:c r="E1303" s="11" t="n">
        <x:v>6.67</x:v>
      </x:c>
      <x:c r="F1303" s="10" t="n">
        <x:v>0</x:v>
      </x:c>
      <x:c r="G1303" s="12" t="n">
        <x:v>0</x:v>
      </x:c>
      <x:c r="H1303" s="13" t="n">
        <x:v>0</x:v>
      </x:c>
      <x:c r="I1303" s="10" t="n">
        <x:v>0</x:v>
      </x:c>
      <x:c r="J1303" s="10" t="n">
        <x:v>0</x:v>
      </x:c>
      <x:c r="K1303" s="10" t="str">
        <x:v>2 Mo.</x:v>
      </x:c>
      <x:c r="L1303" s="10" t="n">
        <x:v>0</x:v>
      </x:c>
      <x:c r="M1303" s="10" t="n">
        <x:v>0</x:v>
      </x:c>
      <x:c r="N1303" s="10" t="n">
        <x:v>36</x:v>
      </x:c>
      <x:c r="O1303" s="10" t="str"/>
      <x:c r="P1303" s="10" t="n">
        <x:v>3</x:v>
      </x:c>
      <x:c r="Q1303" s="10" t="n">
        <x:v>0</x:v>
      </x:c>
      <x:c r="R1303" s="13" t="n">
        <x:v>0</x:v>
      </x:c>
      <x:c r="S1303" s="10" t="n">
        <x:v>2</x:v>
      </x:c>
      <x:c r="T1303" s="10" t="str">
        <x:v>mortgage calculator,mortgage overpayment,payoff planner,erc calculator,mortgage tracker uk,uk mortgage,google sheets,excel template,google template,pay off mortgage,amortisation,interest saved,mortgage interest</x:v>
      </x:c>
      <x:c r="U1303" s="10" t="str">
        <x:v>mortgage calculator</x:v>
      </x:c>
      <x:c r="V1303" s="10" t="str">
        <x:v>mortgage overpayment</x:v>
      </x:c>
      <x:c r="W1303" s="10" t="str">
        <x:v>payoff planner</x:v>
      </x:c>
      <x:c r="X1303" s="10" t="str">
        <x:v>erc calculator</x:v>
      </x:c>
      <x:c r="Y1303" s="10" t="str">
        <x:v>mortgage tracker uk</x:v>
      </x:c>
      <x:c r="Z1303" s="10" t="str">
        <x:v>uk mortgage</x:v>
      </x:c>
      <x:c r="AA1303" s="10" t="str">
        <x:v>google sheets</x:v>
      </x:c>
      <x:c r="AB1303" s="10" t="str">
        <x:v>excel template</x:v>
      </x:c>
      <x:c r="AC1303" s="10" t="str">
        <x:v>google template</x:v>
      </x:c>
      <x:c r="AD1303" s="10" t="str">
        <x:v>pay off mortgage</x:v>
      </x:c>
      <x:c r="AE1303" s="10" t="str">
        <x:v>amortisation</x:v>
      </x:c>
      <x:c r="AF1303" s="10" t="str">
        <x:v>interest saved</x:v>
      </x:c>
      <x:c r="AG1303" s="10" t="str">
        <x:v>mortgage interest</x:v>
      </x:c>
      <x:c r="AH1303" s="10" t="str">
        <x:v>Other mortgage-related</x:v>
      </x:c>
      <x:c r="AI1303" s="13" t="n">
        <x:v>2</x:v>
      </x:c>
      <x:c r="AJ1303" s="10" t="str">
        <x:f>IF(F1303&gt;0,"Active","No est. sales")</x:f>
        <x:v>No est. sales</x:v>
      </x:c>
    </x:row>
    <x:row r="1304">
      <x:c r="A1304" s="10" t="str">
        <x:v>First-Time Home Buyer Workbook | House Hunting Planner, Budget Tracker (Printable PDF)</x:v>
      </x:c>
      <x:c r="B1304" s="10" t="str">
        <x:v>https://www.etsy.com/listing/4525758145/first-time-home-buyer-workbook-house</x:v>
      </x:c>
      <x:c r="C1304" s="10" t="str">
        <x:v>Jasmine06Boutique</x:v>
      </x:c>
      <x:c r="D1304" s="10" t="str">
        <x:v>https://www.etsy.com/shop/Jasmine06Boutique</x:v>
      </x:c>
      <x:c r="E1304" s="11" t="n">
        <x:v>5.33</x:v>
      </x:c>
      <x:c r="F1304" s="10" t="n">
        <x:v>0</x:v>
      </x:c>
      <x:c r="G1304" s="12" t="n">
        <x:v>0</x:v>
      </x:c>
      <x:c r="H1304" s="13" t="n">
        <x:v>0</x:v>
      </x:c>
      <x:c r="I1304" s="10" t="n">
        <x:v>0</x:v>
      </x:c>
      <x:c r="J1304" s="10" t="n">
        <x:v>0</x:v>
      </x:c>
      <x:c r="K1304" s="10" t="str">
        <x:v>1 Mo.</x:v>
      </x:c>
      <x:c r="L1304" s="10" t="n">
        <x:v>0</x:v>
      </x:c>
      <x:c r="M1304" s="10" t="n">
        <x:v>0</x:v>
      </x:c>
      <x:c r="N1304" s="10" t="n">
        <x:v>6</x:v>
      </x:c>
      <x:c r="O1304" s="10" t="str">
        <x:v>Art &amp; Collectibles</x:v>
      </x:c>
      <x:c r="P1304" s="10" t="n">
        <x:v>2</x:v>
      </x:c>
      <x:c r="Q1304" s="10" t="n">
        <x:v>0</x:v>
      </x:c>
      <x:c r="R1304" s="13" t="n">
        <x:v>0</x:v>
      </x:c>
      <x:c r="S1304" s="10" t="n">
        <x:v>0</x:v>
      </x:c>
      <x:c r="T1304" s="10" t="str">
        <x:v>first time buyer,home buyer workbook,house hunting,property viewing,home buying guide,moving house planner,mortgage planner,budget planner pdf,home buyer checklist,printable planner,property checklist,first home planner,buyer workbook</x:v>
      </x:c>
      <x:c r="U1304" s="10" t="str">
        <x:v>first time buyer</x:v>
      </x:c>
      <x:c r="V1304" s="10" t="str">
        <x:v>home buyer workbook</x:v>
      </x:c>
      <x:c r="W1304" s="10" t="str">
        <x:v>house hunting</x:v>
      </x:c>
      <x:c r="X1304" s="10" t="str">
        <x:v>property viewing</x:v>
      </x:c>
      <x:c r="Y1304" s="10" t="str">
        <x:v>home buying guide</x:v>
      </x:c>
      <x:c r="Z1304" s="10" t="str">
        <x:v>moving house planner</x:v>
      </x:c>
      <x:c r="AA1304" s="10" t="str">
        <x:v>mortgage planner</x:v>
      </x:c>
      <x:c r="AB1304" s="10" t="str">
        <x:v>budget planner pdf</x:v>
      </x:c>
      <x:c r="AC1304" s="10" t="str">
        <x:v>home buyer checklist</x:v>
      </x:c>
      <x:c r="AD1304" s="10" t="str">
        <x:v>printable planner</x:v>
      </x:c>
      <x:c r="AE1304" s="10" t="str">
        <x:v>property checklist</x:v>
      </x:c>
      <x:c r="AF1304" s="10" t="str">
        <x:v>first home planner</x:v>
      </x:c>
      <x:c r="AG1304" s="10" t="str">
        <x:v>buyer workbook</x:v>
      </x:c>
      <x:c r="AH1304" s="10" t="str">
        <x:v>Home buying planner</x:v>
      </x:c>
      <x:c r="AI1304" s="13" t="n">
        <x:v>1</x:v>
      </x:c>
      <x:c r="AJ1304" s="10" t="str">
        <x:f>IF(F1304&gt;0,"Active","No est. sales")</x:f>
        <x:v>No est. sales</x:v>
      </x:c>
    </x:row>
    <x:row r="1305">
      <x:c r="A1305" s="10" t="str">
        <x:v>Simple Mortgage Loan Amortization Schedule Tracker, Planner, and Calculator in one using Google Sheets</x:v>
      </x:c>
      <x:c r="B1305" s="10" t="str">
        <x:v>https://www.etsy.com/listing/1166192175/simple-mortgage-loan-amortization</x:v>
      </x:c>
      <x:c r="C1305" s="10" t="str">
        <x:v>SimpleMomFinance</x:v>
      </x:c>
      <x:c r="D1305" s="10" t="str">
        <x:v>https://www.etsy.com/shop/SimpleMomFinance</x:v>
      </x:c>
      <x:c r="E1305" s="11" t="n">
        <x:v>3</x:v>
      </x:c>
      <x:c r="F1305" s="10" t="n">
        <x:v>0</x:v>
      </x:c>
      <x:c r="G1305" s="12" t="n">
        <x:v>0</x:v>
      </x:c>
      <x:c r="H1305" s="13" t="n">
        <x:v>0</x:v>
      </x:c>
      <x:c r="I1305" s="10" t="n">
        <x:v>1</x:v>
      </x:c>
      <x:c r="J1305" s="10" t="n">
        <x:v>3</x:v>
      </x:c>
      <x:c r="K1305" s="10" t="str">
        <x:v>54 Mo.</x:v>
      </x:c>
      <x:c r="L1305" s="10" t="n">
        <x:v>7</x:v>
      </x:c>
      <x:c r="M1305" s="10" t="n">
        <x:v>0</x:v>
      </x:c>
      <x:c r="N1305" s="10" t="n">
        <x:v>1045</x:v>
      </x:c>
      <x:c r="O1305" s="10" t="str">
        <x:v>Paper &amp; Party Supplies</x:v>
      </x:c>
      <x:c r="P1305" s="10" t="n">
        <x:v>54</x:v>
      </x:c>
      <x:c r="Q1305" s="10" t="n">
        <x:v>0</x:v>
      </x:c>
      <x:c r="R1305" s="13" t="n">
        <x:v>0.1</x:v>
      </x:c>
      <x:c r="S1305" s="10" t="n">
        <x:v>31</x:v>
      </x:c>
      <x:c r="T1305" s="10" t="str">
        <x:v>mortgage,calculator,tracker,budget,loan,finance,spreadsheet,digital,template</x:v>
      </x:c>
      <x:c r="U1305" s="10" t="str">
        <x:v>mortgage</x:v>
      </x:c>
      <x:c r="V1305" s="10" t="str">
        <x:v>calculator</x:v>
      </x:c>
      <x:c r="W1305" s="10" t="str">
        <x:v>tracker</x:v>
      </x:c>
      <x:c r="X1305" s="10" t="str">
        <x:v>budget</x:v>
      </x:c>
      <x:c r="Y1305" s="10" t="str">
        <x:v>loan</x:v>
      </x:c>
      <x:c r="Z1305" s="10" t="str">
        <x:v>finance</x:v>
      </x:c>
      <x:c r="AA1305" s="10" t="str">
        <x:v>spreadsheet</x:v>
      </x:c>
      <x:c r="AB1305" s="10" t="str">
        <x:v>digital</x:v>
      </x:c>
      <x:c r="AC1305" s="10" t="str">
        <x:v>template</x:v>
      </x:c>
      <x:c r="AD1305" s="10" t="str">
        <x:v>--</x:v>
      </x:c>
      <x:c r="AE1305" s="10" t="str">
        <x:v>--</x:v>
      </x:c>
      <x:c r="AF1305" s="10" t="str">
        <x:v>--</x:v>
      </x:c>
      <x:c r="AG1305" s="10" t="str">
        <x:v>--</x:v>
      </x:c>
      <x:c r="AH1305" s="10" t="str">
        <x:v>Mortgage payoff / calculator</x:v>
      </x:c>
      <x:c r="AI1305" s="13" t="n">
        <x:v>54</x:v>
      </x:c>
      <x:c r="AJ1305" s="10" t="str">
        <x:f>IF(F1305&gt;0,"Active","No est. sales")</x:f>
        <x:v>No est. sales</x:v>
      </x:c>
    </x:row>
    <x:row r="1306">
      <x:c r="A1306" s="10" t="str">
        <x:v>2025 NMLS Exam Prep Checklist Google Sheet | Pre-filled MLO Study Prep Tasks | Interactive To-do List Tracker</x:v>
      </x:c>
      <x:c r="B1306" s="10" t="str">
        <x:v>https://www.etsy.com/listing/4308267986/2025-nmls-exam-prep-checklist-google</x:v>
      </x:c>
      <x:c r="C1306" s="10" t="str">
        <x:v>StudyForMLO</x:v>
      </x:c>
      <x:c r="D1306" s="10" t="str">
        <x:v>https://www.etsy.com/shop/StudyForMLO</x:v>
      </x:c>
      <x:c r="E1306" s="11" t="n">
        <x:v>4.99</x:v>
      </x:c>
      <x:c r="F1306" s="10" t="n">
        <x:v>0</x:v>
      </x:c>
      <x:c r="G1306" s="12" t="n">
        <x:v>0</x:v>
      </x:c>
      <x:c r="H1306" s="13" t="n">
        <x:v>0</x:v>
      </x:c>
      <x:c r="I1306" s="10" t="n">
        <x:v>0</x:v>
      </x:c>
      <x:c r="J1306" s="10" t="n">
        <x:v>0</x:v>
      </x:c>
      <x:c r="K1306" s="10" t="str">
        <x:v>14 Mo.</x:v>
      </x:c>
      <x:c r="L1306" s="10" t="n">
        <x:v>0</x:v>
      </x:c>
      <x:c r="M1306" s="10" t="n">
        <x:v>0</x:v>
      </x:c>
      <x:c r="N1306" s="10" t="n">
        <x:v>41</x:v>
      </x:c>
      <x:c r="O1306" s="10" t="str">
        <x:v>Paper &amp; Party Supplies</x:v>
      </x:c>
      <x:c r="P1306" s="10" t="n">
        <x:v>39</x:v>
      </x:c>
      <x:c r="Q1306" s="10" t="n">
        <x:v>0</x:v>
      </x:c>
      <x:c r="R1306" s="13" t="n">
        <x:v>0</x:v>
      </x:c>
      <x:c r="S1306" s="10" t="n">
        <x:v>670</x:v>
      </x:c>
      <x:c r="T1306" s="10" t="str">
        <x:v>2025 nmls prep sheet,mlo exam checklist,nmls study tracker,mlo prep tasks,nmls to-do list,2025 mlo checklist,mortgage loan prep,exam prep tracker,mlo study planner,nmls task manager,mlo test prep sheet,nmls study organizer,2025 nmls tracker</x:v>
      </x:c>
      <x:c r="U1306" s="10" t="str">
        <x:v>2025 nmls prep sheet</x:v>
      </x:c>
      <x:c r="V1306" s="10" t="str">
        <x:v>mlo exam checklist</x:v>
      </x:c>
      <x:c r="W1306" s="10" t="str">
        <x:v>nmls study tracker</x:v>
      </x:c>
      <x:c r="X1306" s="10" t="str">
        <x:v>mlo prep tasks</x:v>
      </x:c>
      <x:c r="Y1306" s="10" t="str">
        <x:v>nmls to-do list</x:v>
      </x:c>
      <x:c r="Z1306" s="10" t="str">
        <x:v>2025 mlo checklist</x:v>
      </x:c>
      <x:c r="AA1306" s="10" t="str">
        <x:v>mortgage loan prep</x:v>
      </x:c>
      <x:c r="AB1306" s="10" t="str">
        <x:v>exam prep tracker</x:v>
      </x:c>
      <x:c r="AC1306" s="10" t="str">
        <x:v>mlo study planner</x:v>
      </x:c>
      <x:c r="AD1306" s="10" t="str">
        <x:v>nmls task manager</x:v>
      </x:c>
      <x:c r="AE1306" s="10" t="str">
        <x:v>mlo test prep sheet</x:v>
      </x:c>
      <x:c r="AF1306" s="10" t="str">
        <x:v>nmls study organizer</x:v>
      </x:c>
      <x:c r="AG1306" s="10" t="str">
        <x:v>2025 nmls tracker</x:v>
      </x:c>
      <x:c r="AH1306" s="10" t="str">
        <x:v>Other mortgage-related</x:v>
      </x:c>
      <x:c r="AI1306" s="13" t="n">
        <x:v>14</x:v>
      </x:c>
      <x:c r="AJ1306" s="10" t="str">
        <x:f>IF(F1306&gt;0,"Active","No est. sales")</x:f>
        <x:v>No est. sales</x:v>
      </x:c>
    </x:row>
    <x:row r="1307">
      <x:c r="A1307" s="10" t="str">
        <x:v>The First Home Buyer Journal - Australia</x:v>
      </x:c>
      <x:c r="B1307" s="10" t="str">
        <x:v>https://www.etsy.com/listing/4379098180/the-first-home-buyer-journal-australia</x:v>
      </x:c>
      <x:c r="C1307" s="10" t="str">
        <x:v>TheBrokerTips</x:v>
      </x:c>
      <x:c r="D1307" s="10" t="str">
        <x:v>https://www.etsy.com/shop/TheBrokerTips</x:v>
      </x:c>
      <x:c r="E1307" s="11" t="n">
        <x:v>6.28</x:v>
      </x:c>
      <x:c r="F1307" s="10" t="n">
        <x:v>0</x:v>
      </x:c>
      <x:c r="G1307" s="12" t="n">
        <x:v>0</x:v>
      </x:c>
      <x:c r="H1307" s="13" t="n">
        <x:v>0</x:v>
      </x:c>
      <x:c r="I1307" s="10" t="n">
        <x:v>0</x:v>
      </x:c>
      <x:c r="J1307" s="10" t="n">
        <x:v>0</x:v>
      </x:c>
      <x:c r="K1307" s="10" t="str">
        <x:v>9 Mo.</x:v>
      </x:c>
      <x:c r="L1307" s="10" t="n">
        <x:v>2</x:v>
      </x:c>
      <x:c r="M1307" s="10" t="n">
        <x:v>0</x:v>
      </x:c>
      <x:c r="N1307" s="10" t="n">
        <x:v>102</x:v>
      </x:c>
      <x:c r="O1307" s="10" t="str"/>
      <x:c r="P1307" s="10" t="n">
        <x:v>9</x:v>
      </x:c>
      <x:c r="Q1307" s="10" t="n">
        <x:v>0</x:v>
      </x:c>
      <x:c r="R1307" s="13" t="n">
        <x:v>0</x:v>
      </x:c>
      <x:c r="S1307" s="10" t="n">
        <x:v>2</x:v>
      </x:c>
      <x:c r="T1307" s="10" t="str">
        <x:v>first home buyer,home buyer checklist,printable planner,digital download,home buying guide,australian fhb,first home australia,house hunting,budget planner,personal finance,mortgage checklist,property planning,real estate</x:v>
      </x:c>
      <x:c r="U1307" s="10" t="str">
        <x:v>first home buyer</x:v>
      </x:c>
      <x:c r="V1307" s="10" t="str">
        <x:v>home buyer checklist</x:v>
      </x:c>
      <x:c r="W1307" s="10" t="str">
        <x:v>printable planner</x:v>
      </x:c>
      <x:c r="X1307" s="10" t="str">
        <x:v>digital download</x:v>
      </x:c>
      <x:c r="Y1307" s="10" t="str">
        <x:v>home buying guide</x:v>
      </x:c>
      <x:c r="Z1307" s="10" t="str">
        <x:v>australian fhb</x:v>
      </x:c>
      <x:c r="AA1307" s="10" t="str">
        <x:v>first home australia</x:v>
      </x:c>
      <x:c r="AB1307" s="10" t="str">
        <x:v>house hunting</x:v>
      </x:c>
      <x:c r="AC1307" s="10" t="str">
        <x:v>budget planner</x:v>
      </x:c>
      <x:c r="AD1307" s="10" t="str">
        <x:v>personal finance</x:v>
      </x:c>
      <x:c r="AE1307" s="10" t="str">
        <x:v>mortgage checklist</x:v>
      </x:c>
      <x:c r="AF1307" s="10" t="str">
        <x:v>property planning</x:v>
      </x:c>
      <x:c r="AG1307" s="10" t="str">
        <x:v>real estate</x:v>
      </x:c>
      <x:c r="AH1307" s="10" t="str">
        <x:v>Home buying planner</x:v>
      </x:c>
      <x:c r="AI1307" s="13" t="n">
        <x:v>9</x:v>
      </x:c>
      <x:c r="AJ1307" s="10" t="str">
        <x:f>IF(F1307&gt;0,"Active","No est. sales")</x:f>
        <x:v>No est. sales</x:v>
      </x:c>
    </x:row>
    <x:row r="1308">
      <x:c r="A1308" s="10" t="str">
        <x:v>Google Sheets Debt Tracker, Snowball Avalanche Loan Payoff Spreadsheet, Credit Card Payment Planner Template</x:v>
      </x:c>
      <x:c r="B1308" s="10" t="str">
        <x:v>https://www.etsy.com/listing/4397158587/debt-payoff-tracker-snowball-and</x:v>
      </x:c>
      <x:c r="C1308" s="10" t="str">
        <x:v>SheetSenseShop</x:v>
      </x:c>
      <x:c r="D1308" s="10" t="str">
        <x:v>https://www.etsy.com/shop/SheetSenseShop</x:v>
      </x:c>
      <x:c r="E1308" s="11" t="n">
        <x:v>9.08</x:v>
      </x:c>
      <x:c r="F1308" s="10" t="n">
        <x:v>0</x:v>
      </x:c>
      <x:c r="G1308" s="12" t="n">
        <x:v>0</x:v>
      </x:c>
      <x:c r="H1308" s="13" t="n">
        <x:v>0</x:v>
      </x:c>
      <x:c r="I1308" s="10" t="n">
        <x:v>4</x:v>
      </x:c>
      <x:c r="J1308" s="10" t="n">
        <x:v>0</x:v>
      </x:c>
      <x:c r="K1308" s="10" t="str">
        <x:v>8 Mo.</x:v>
      </x:c>
      <x:c r="L1308" s="10" t="n">
        <x:v>1</x:v>
      </x:c>
      <x:c r="M1308" s="10" t="n">
        <x:v>0</x:v>
      </x:c>
      <x:c r="N1308" s="10" t="n">
        <x:v>119</x:v>
      </x:c>
      <x:c r="O1308" s="10" t="str"/>
      <x:c r="P1308" s="10" t="n">
        <x:v>13</x:v>
      </x:c>
      <x:c r="Q1308" s="10" t="n">
        <x:v>0</x:v>
      </x:c>
      <x:c r="R1308" s="13" t="n">
        <x:v>3.36</x:v>
      </x:c>
      <x:c r="S1308" s="10" t="n">
        <x:v>213</x:v>
      </x:c>
      <x:c r="T1308" s="10" t="str">
        <x:v>google sheets debt,repayment planner,snowball method,avalanche payoff,dave ramsey tools,credit card payment,car loan tracker,mortgage template,debt utilization,finance calculator,money saving plan,financial freedom,debt payoff tracker</x:v>
      </x:c>
      <x:c r="U1308" s="10" t="str">
        <x:v>google sheets debt</x:v>
      </x:c>
      <x:c r="V1308" s="10" t="str">
        <x:v>repayment planner</x:v>
      </x:c>
      <x:c r="W1308" s="10" t="str">
        <x:v>snowball method</x:v>
      </x:c>
      <x:c r="X1308" s="10" t="str">
        <x:v>avalanche payoff</x:v>
      </x:c>
      <x:c r="Y1308" s="10" t="str">
        <x:v>dave ramsey tools</x:v>
      </x:c>
      <x:c r="Z1308" s="10" t="str">
        <x:v>credit card payment</x:v>
      </x:c>
      <x:c r="AA1308" s="10" t="str">
        <x:v>car loan tracker</x:v>
      </x:c>
      <x:c r="AB1308" s="10" t="str">
        <x:v>mortgage template</x:v>
      </x:c>
      <x:c r="AC1308" s="10" t="str">
        <x:v>debt utilization</x:v>
      </x:c>
      <x:c r="AD1308" s="10" t="str">
        <x:v>finance calculator</x:v>
      </x:c>
      <x:c r="AE1308" s="10" t="str">
        <x:v>money saving plan</x:v>
      </x:c>
      <x:c r="AF1308" s="10" t="str">
        <x:v>financial freedom</x:v>
      </x:c>
      <x:c r="AG1308" s="10" t="str">
        <x:v>debt payoff tracker</x:v>
      </x:c>
      <x:c r="AH1308" s="10" t="str">
        <x:v>General debt payoff</x:v>
      </x:c>
      <x:c r="AI1308" s="13" t="n">
        <x:v>8</x:v>
      </x:c>
      <x:c r="AJ1308" s="10" t="str">
        <x:f>IF(F1308&gt;0,"Active","No est. sales")</x:f>
        <x:v>No est. sales</x:v>
      </x:c>
    </x:row>
    <x:row r="1309">
      <x:c r="A1309" s="10" t="str">
        <x:v>PRINTABLE New House Savings, House Savings Tracker, House Saving Goals, New House Savings Goal, New House Savings Tracker, Home Savings Goal</x:v>
      </x:c>
      <x:c r="B1309" s="10" t="str">
        <x:v>https://www.etsy.com/listing/1395317679/printable-new-house-savings-house</x:v>
      </x:c>
      <x:c r="C1309" s="10" t="str">
        <x:v>SKJPrintables</x:v>
      </x:c>
      <x:c r="D1309" s="10" t="str">
        <x:v>https://www.etsy.com/shop/SKJPrintables</x:v>
      </x:c>
      <x:c r="E1309" s="11" t="n">
        <x:v>0.99</x:v>
      </x:c>
      <x:c r="F1309" s="10" t="n">
        <x:v>0</x:v>
      </x:c>
      <x:c r="G1309" s="12" t="n">
        <x:v>0</x:v>
      </x:c>
      <x:c r="H1309" s="13" t="n">
        <x:v>0</x:v>
      </x:c>
      <x:c r="I1309" s="10" t="n">
        <x:v>0</x:v>
      </x:c>
      <x:c r="J1309" s="10" t="n">
        <x:v>0</x:v>
      </x:c>
      <x:c r="K1309" s="10" t="str">
        <x:v>42 Mo.</x:v>
      </x:c>
      <x:c r="L1309" s="10" t="n">
        <x:v>1</x:v>
      </x:c>
      <x:c r="M1309" s="10" t="n">
        <x:v>0</x:v>
      </x:c>
      <x:c r="N1309" s="10" t="n">
        <x:v>21</x:v>
      </x:c>
      <x:c r="O1309" s="10" t="str">
        <x:v>Paper &amp; Party Supplies</x:v>
      </x:c>
      <x:c r="P1309" s="10" t="n">
        <x:v>43</x:v>
      </x:c>
      <x:c r="Q1309" s="10" t="n">
        <x:v>0</x:v>
      </x:c>
      <x:c r="R1309" s="13" t="n">
        <x:v>0</x:v>
      </x:c>
      <x:c r="S1309" s="10" t="n">
        <x:v>51</x:v>
      </x:c>
      <x:c r="T1309" s="10" t="str">
        <x:v>new house goals,mortgage planning,mortgage goal plan,new house planner,moving goal fund,moving goal planner,house buying goal,house buying plan,savings goal tracker,house fund tracker,new house tracker,printable budget,budget planning</x:v>
      </x:c>
      <x:c r="U1309" s="10" t="str">
        <x:v>new house goals</x:v>
      </x:c>
      <x:c r="V1309" s="10" t="str">
        <x:v>mortgage planning</x:v>
      </x:c>
      <x:c r="W1309" s="10" t="str">
        <x:v>mortgage goal plan</x:v>
      </x:c>
      <x:c r="X1309" s="10" t="str">
        <x:v>new house planner</x:v>
      </x:c>
      <x:c r="Y1309" s="10" t="str">
        <x:v>moving goal fund</x:v>
      </x:c>
      <x:c r="Z1309" s="10" t="str">
        <x:v>moving goal planner</x:v>
      </x:c>
      <x:c r="AA1309" s="10" t="str">
        <x:v>house buying goal</x:v>
      </x:c>
      <x:c r="AB1309" s="10" t="str">
        <x:v>house buying plan</x:v>
      </x:c>
      <x:c r="AC1309" s="10" t="str">
        <x:v>savings goal tracker</x:v>
      </x:c>
      <x:c r="AD1309" s="10" t="str">
        <x:v>house fund tracker</x:v>
      </x:c>
      <x:c r="AE1309" s="10" t="str">
        <x:v>new house tracker</x:v>
      </x:c>
      <x:c r="AF1309" s="10" t="str">
        <x:v>printable budget</x:v>
      </x:c>
      <x:c r="AG1309" s="10" t="str">
        <x:v>budget planning</x:v>
      </x:c>
      <x:c r="AH1309" s="10" t="str">
        <x:v>Other mortgage-related</x:v>
      </x:c>
      <x:c r="AI1309" s="13" t="n">
        <x:v>42</x:v>
      </x:c>
      <x:c r="AJ1309" s="10" t="str">
        <x:f>IF(F1309&gt;0,"Active","No est. sales")</x:f>
        <x:v>No est. sales</x:v>
      </x:c>
    </x:row>
    <x:row r="1310">
      <x:c r="A1310" s="10" t="str">
        <x:v>House Quarter Boxes, Foil Ready Printable, Planner Stickers, Realtor, Mortgage, House Cleaning, Fits Erin Condren &amp; Happy Planner, Cut File</x:v>
      </x:c>
      <x:c r="B1310" s="10" t="str">
        <x:v>https://www.etsy.com/listing/1043130580/house-quarter-boxes-foil-ready-printable</x:v>
      </x:c>
      <x:c r="C1310" s="10" t="str">
        <x:v>PaperPotpourriCo</x:v>
      </x:c>
      <x:c r="D1310" s="10" t="str">
        <x:v>https://www.etsy.com/shop/PaperPotpourriCo</x:v>
      </x:c>
      <x:c r="E1310" s="11" t="n">
        <x:v>3</x:v>
      </x:c>
      <x:c r="F1310" s="10" t="n">
        <x:v>0</x:v>
      </x:c>
      <x:c r="G1310" s="12" t="n">
        <x:v>0</x:v>
      </x:c>
      <x:c r="H1310" s="13" t="n">
        <x:v>0</x:v>
      </x:c>
      <x:c r="I1310" s="10" t="n">
        <x:v>0</x:v>
      </x:c>
      <x:c r="J1310" s="10" t="n">
        <x:v>0</x:v>
      </x:c>
      <x:c r="K1310" s="10" t="str">
        <x:v>60 Mo.</x:v>
      </x:c>
      <x:c r="L1310" s="10" t="n">
        <x:v>3</x:v>
      </x:c>
      <x:c r="M1310" s="10" t="n">
        <x:v>0</x:v>
      </x:c>
      <x:c r="N1310" s="10" t="n">
        <x:v>24</x:v>
      </x:c>
      <x:c r="O1310" s="10" t="str">
        <x:v>Paper &amp; Party Supplies</x:v>
      </x:c>
      <x:c r="P1310" s="10" t="n">
        <x:v>117</x:v>
      </x:c>
      <x:c r="Q1310" s="10" t="n">
        <x:v>0</x:v>
      </x:c>
      <x:c r="R1310" s="13" t="n">
        <x:v>0</x:v>
      </x:c>
      <x:c r="S1310" s="10" t="n">
        <x:v>1152</x:v>
      </x:c>
      <x:c r="T1310" s="10" t="str">
        <x:v>house cleaning,home maintenance,mortgage payment due,pay rent reminder,planner stickers,fits erin condren,fits happy planner,calendar stickers,functional stickers,realtor real estate,mortgage due sticker,foil ready printable,print out stickers</x:v>
      </x:c>
      <x:c r="U1310" s="10" t="str">
        <x:v>house cleaning</x:v>
      </x:c>
      <x:c r="V1310" s="10" t="str">
        <x:v>home maintenance</x:v>
      </x:c>
      <x:c r="W1310" s="10" t="str">
        <x:v>mortgage payment due</x:v>
      </x:c>
      <x:c r="X1310" s="10" t="str">
        <x:v>pay rent reminder</x:v>
      </x:c>
      <x:c r="Y1310" s="10" t="str">
        <x:v>planner stickers</x:v>
      </x:c>
      <x:c r="Z1310" s="10" t="str">
        <x:v>fits erin condren</x:v>
      </x:c>
      <x:c r="AA1310" s="10" t="str">
        <x:v>fits happy planner</x:v>
      </x:c>
      <x:c r="AB1310" s="10" t="str">
        <x:v>calendar stickers</x:v>
      </x:c>
      <x:c r="AC1310" s="10" t="str">
        <x:v>functional stickers</x:v>
      </x:c>
      <x:c r="AD1310" s="10" t="str">
        <x:v>realtor real estate</x:v>
      </x:c>
      <x:c r="AE1310" s="10" t="str">
        <x:v>mortgage due sticker</x:v>
      </x:c>
      <x:c r="AF1310" s="10" t="str">
        <x:v>foil ready printable</x:v>
      </x:c>
      <x:c r="AG1310" s="10" t="str">
        <x:v>print out stickers</x:v>
      </x:c>
      <x:c r="AH1310" s="10" t="str">
        <x:v>Other mortgage-related</x:v>
      </x:c>
      <x:c r="AI1310" s="13" t="n">
        <x:v>60</x:v>
      </x:c>
      <x:c r="AJ1310" s="10" t="str">
        <x:f>IF(F1310&gt;0,"Active","No est. sales")</x:f>
        <x:v>No est. sales</x:v>
      </x:c>
    </x:row>
    <x:row r="1311">
      <x:c r="A1311" s="10" t="str">
        <x:v>Debt Payoff Planner Google Sheets Debt Tracker Snowball Avalanche Credit Card Student Loan Mortgage Payoff Excel (Digital Download)</x:v>
      </x:c>
      <x:c r="B1311" s="10" t="str">
        <x:v>https://www.etsy.com/listing/4540938821/debt-payoff-planner-google-sheets-debt</x:v>
      </x:c>
      <x:c r="C1311" s="10" t="str">
        <x:v>ProwessRise</x:v>
      </x:c>
      <x:c r="D1311" s="10" t="str">
        <x:v>https://www.etsy.com/shop/ProwessRise</x:v>
      </x:c>
      <x:c r="E1311" s="11" t="n">
        <x:v>19.99</x:v>
      </x:c>
      <x:c r="F1311" s="10" t="n">
        <x:v>0</x:v>
      </x:c>
      <x:c r="G1311" s="12" t="n">
        <x:v>0</x:v>
      </x:c>
      <x:c r="H1311" s="13" t="n">
        <x:v>0</x:v>
      </x:c>
      <x:c r="I1311" s="10" t="n">
        <x:v>0</x:v>
      </x:c>
      <x:c r="J1311" s="10" t="n">
        <x:v>0</x:v>
      </x:c>
      <x:c r="K1311" s="10" t="str">
        <x:v>1 Mo.</x:v>
      </x:c>
      <x:c r="L1311" s="10" t="n">
        <x:v>0</x:v>
      </x:c>
      <x:c r="M1311" s="10" t="n">
        <x:v>0</x:v>
      </x:c>
      <x:c r="N1311" s="10" t="n">
        <x:v>1</x:v>
      </x:c>
      <x:c r="O1311" s="10" t="str"/>
      <x:c r="P1311" s="10" t="n">
        <x:v>1</x:v>
      </x:c>
      <x:c r="Q1311" s="10" t="n">
        <x:v>0</x:v>
      </x:c>
      <x:c r="R1311" s="13" t="n">
        <x:v>0</x:v>
      </x:c>
      <x:c r="S1311" s="10" t="n">
        <x:v>2</x:v>
      </x:c>
      <x:c r="T1311" s="10" t="str">
        <x:v>credit utilization,debt avalanche,mortgage payoff,google sheets budget,credit card payoff,debt payoff chart,debt snowball,debt tracker excel,debt spreadsheet,snowball calculator,snowball method,debt payoff tracker,semi monthly budget</x:v>
      </x:c>
      <x:c r="U1311" s="10" t="str">
        <x:v>credit utilization</x:v>
      </x:c>
      <x:c r="V1311" s="10" t="str">
        <x:v>debt avalanche</x:v>
      </x:c>
      <x:c r="W1311" s="10" t="str">
        <x:v>mortgage payoff</x:v>
      </x:c>
      <x:c r="X1311" s="10" t="str">
        <x:v>google sheets budget</x:v>
      </x:c>
      <x:c r="Y1311" s="10" t="str">
        <x:v>credit card payoff</x:v>
      </x:c>
      <x:c r="Z1311" s="10" t="str">
        <x:v>debt payoff chart</x:v>
      </x:c>
      <x:c r="AA1311" s="10" t="str">
        <x:v>debt snowball</x:v>
      </x:c>
      <x:c r="AB1311" s="10" t="str">
        <x:v>debt tracker excel</x:v>
      </x:c>
      <x:c r="AC1311" s="10" t="str">
        <x:v>debt spreadsheet</x:v>
      </x:c>
      <x:c r="AD1311" s="10" t="str">
        <x:v>snowball calculator</x:v>
      </x:c>
      <x:c r="AE1311" s="10" t="str">
        <x:v>snowball method</x:v>
      </x:c>
      <x:c r="AF1311" s="10" t="str">
        <x:v>debt payoff tracker</x:v>
      </x:c>
      <x:c r="AG1311" s="10" t="str">
        <x:v>semi monthly budget</x:v>
      </x:c>
      <x:c r="AH1311" s="10" t="str">
        <x:v>General debt payoff</x:v>
      </x:c>
      <x:c r="AI1311" s="13" t="n">
        <x:v>1</x:v>
      </x:c>
      <x:c r="AJ1311" s="10" t="str">
        <x:f>IF(F1311&gt;0,"Active","No est. sales")</x:f>
        <x:v>No est. sales</x:v>
      </x:c>
    </x:row>
    <x:row r="1312">
      <x:c r="A1312" s="10" t="str">
        <x:v>Refinance Mortgage Calculator Excel | Mortgage Refinance Spreadsheet | Loan Comparison Calculator | Amortization Tool</x:v>
      </x:c>
      <x:c r="B1312" s="10" t="str">
        <x:v>https://www.etsy.com/listing/4493935727/refinance-mortgage-calculator-excel</x:v>
      </x:c>
      <x:c r="C1312" s="10" t="str">
        <x:v>Xeasysheets</x:v>
      </x:c>
      <x:c r="D1312" s="10" t="str">
        <x:v>https://www.etsy.com/shop/Xeasysheets</x:v>
      </x:c>
      <x:c r="E1312" s="11" t="n">
        <x:v>11.09</x:v>
      </x:c>
      <x:c r="F1312" s="10" t="n">
        <x:v>0</x:v>
      </x:c>
      <x:c r="G1312" s="12" t="n">
        <x:v>0</x:v>
      </x:c>
      <x:c r="H1312" s="13" t="n">
        <x:v>0</x:v>
      </x:c>
      <x:c r="I1312" s="10" t="n">
        <x:v>0</x:v>
      </x:c>
      <x:c r="J1312" s="10" t="n">
        <x:v>0</x:v>
      </x:c>
      <x:c r="K1312" s="10" t="str">
        <x:v>3 Mo.</x:v>
      </x:c>
      <x:c r="L1312" s="10" t="n">
        <x:v>0</x:v>
      </x:c>
      <x:c r="M1312" s="10" t="n">
        <x:v>0</x:v>
      </x:c>
      <x:c r="N1312" s="10" t="n">
        <x:v>5</x:v>
      </x:c>
      <x:c r="O1312" s="10" t="str"/>
      <x:c r="P1312" s="10" t="n">
        <x:v>12</x:v>
      </x:c>
      <x:c r="Q1312" s="10" t="n">
        <x:v>0</x:v>
      </x:c>
      <x:c r="R1312" s="13" t="n">
        <x:v>0</x:v>
      </x:c>
      <x:c r="S1312" s="10" t="n">
        <x:v>2161</x:v>
      </x:c>
      <x:c r="T1312" s="10" t="str">
        <x:v>mortgage calculator,refinance calculator,mortgage refinance,real estate tools,finance spreadsheet,loan comparison,home loan calculator,mortgage planner,investment tools,loan calculator,amortization,excel finance,sheets finance</x:v>
      </x:c>
      <x:c r="U1312" s="10" t="str">
        <x:v>mortgage calculator</x:v>
      </x:c>
      <x:c r="V1312" s="10" t="str">
        <x:v>refinance calculator</x:v>
      </x:c>
      <x:c r="W1312" s="10" t="str">
        <x:v>mortgage refinance</x:v>
      </x:c>
      <x:c r="X1312" s="10" t="str">
        <x:v>real estate tools</x:v>
      </x:c>
      <x:c r="Y1312" s="10" t="str">
        <x:v>finance spreadsheet</x:v>
      </x:c>
      <x:c r="Z1312" s="10" t="str">
        <x:v>loan comparison</x:v>
      </x:c>
      <x:c r="AA1312" s="10" t="str">
        <x:v>home loan calculator</x:v>
      </x:c>
      <x:c r="AB1312" s="10" t="str">
        <x:v>mortgage planner</x:v>
      </x:c>
      <x:c r="AC1312" s="10" t="str">
        <x:v>investment tools</x:v>
      </x:c>
      <x:c r="AD1312" s="10" t="str">
        <x:v>loan calculator</x:v>
      </x:c>
      <x:c r="AE1312" s="10" t="str">
        <x:v>amortization</x:v>
      </x:c>
      <x:c r="AF1312" s="10" t="str">
        <x:v>excel finance</x:v>
      </x:c>
      <x:c r="AG1312" s="10" t="str">
        <x:v>sheets finance</x:v>
      </x:c>
      <x:c r="AH1312" s="10" t="str">
        <x:v>Mortgage payoff / calculator</x:v>
      </x:c>
      <x:c r="AI1312" s="13" t="n">
        <x:v>3</x:v>
      </x:c>
      <x:c r="AJ1312" s="10" t="str">
        <x:f>IF(F1312&gt;0,"Active","No est. sales")</x:f>
        <x:v>No est. sales</x:v>
      </x:c>
    </x:row>
    <x:row r="1313">
      <x:c r="A1313" s="10" t="str">
        <x:v>Debt Payoff Tracker Google Sheets Debt Snowball Avalanche Calculator Spreadsheet Credit Card Loan Mortgage Payoff Debt Free Planner</x:v>
      </x:c>
      <x:c r="B1313" s="10" t="str">
        <x:v>https://www.etsy.com/listing/4356959685/debt-payoff-tracker-google-sheets-debt</x:v>
      </x:c>
      <x:c r="C1313" s="10" t="str">
        <x:v>ByTwoSistersAndCo</x:v>
      </x:c>
      <x:c r="D1313" s="10" t="str">
        <x:v>https://www.etsy.com/shop/ByTwoSistersAndCo</x:v>
      </x:c>
      <x:c r="E1313" s="11" t="n">
        <x:v>3.98</x:v>
      </x:c>
      <x:c r="F1313" s="10" t="n">
        <x:v>0</x:v>
      </x:c>
      <x:c r="G1313" s="12" t="n">
        <x:v>0</x:v>
      </x:c>
      <x:c r="H1313" s="13" t="n">
        <x:v>0</x:v>
      </x:c>
      <x:c r="I1313" s="10" t="n">
        <x:v>1</x:v>
      </x:c>
      <x:c r="J1313" s="10" t="n">
        <x:v>0</x:v>
      </x:c>
      <x:c r="K1313" s="10" t="str">
        <x:v>11 Mo.</x:v>
      </x:c>
      <x:c r="L1313" s="10" t="n">
        <x:v>1</x:v>
      </x:c>
      <x:c r="M1313" s="10" t="n">
        <x:v>0</x:v>
      </x:c>
      <x:c r="N1313" s="10" t="n">
        <x:v>52</x:v>
      </x:c>
      <x:c r="O1313" s="10" t="str">
        <x:v>Paper &amp; Party Supplies</x:v>
      </x:c>
      <x:c r="P1313" s="10" t="n">
        <x:v>12</x:v>
      </x:c>
      <x:c r="Q1313" s="10" t="n">
        <x:v>0</x:v>
      </x:c>
      <x:c r="R1313" s="13" t="n">
        <x:v>1.92</x:v>
      </x:c>
      <x:c r="S1313" s="10" t="n">
        <x:v>62</x:v>
      </x:c>
      <x:c r="T1313" s="10" t="str">
        <x:v>debt google sheets,debt spreadsheet,snowball calculator,debt avalanche,mortgage payoff,debt payoff tracker,financial planner,budget planner,credit card debt,snowball method,loan payoff tracker,credit utilization,subscription tracker</x:v>
      </x:c>
      <x:c r="U1313" s="10" t="str">
        <x:v>debt google sheets</x:v>
      </x:c>
      <x:c r="V1313" s="10" t="str">
        <x:v>debt spreadsheet</x:v>
      </x:c>
      <x:c r="W1313" s="10" t="str">
        <x:v>snowball calculator</x:v>
      </x:c>
      <x:c r="X1313" s="10" t="str">
        <x:v>debt avalanche</x:v>
      </x:c>
      <x:c r="Y1313" s="10" t="str">
        <x:v>mortgage payoff</x:v>
      </x:c>
      <x:c r="Z1313" s="10" t="str">
        <x:v>debt payoff tracker</x:v>
      </x:c>
      <x:c r="AA1313" s="10" t="str">
        <x:v>financial planner</x:v>
      </x:c>
      <x:c r="AB1313" s="10" t="str">
        <x:v>budget planner</x:v>
      </x:c>
      <x:c r="AC1313" s="10" t="str">
        <x:v>credit card debt</x:v>
      </x:c>
      <x:c r="AD1313" s="10" t="str">
        <x:v>snowball method</x:v>
      </x:c>
      <x:c r="AE1313" s="10" t="str">
        <x:v>loan payoff tracker</x:v>
      </x:c>
      <x:c r="AF1313" s="10" t="str">
        <x:v>credit utilization</x:v>
      </x:c>
      <x:c r="AG1313" s="10" t="str">
        <x:v>subscription tracker</x:v>
      </x:c>
      <x:c r="AH1313" s="10" t="str">
        <x:v>General debt payoff</x:v>
      </x:c>
      <x:c r="AI1313" s="13" t="n">
        <x:v>11</x:v>
      </x:c>
      <x:c r="AJ1313" s="10" t="str">
        <x:f>IF(F1313&gt;0,"Active","No est. sales")</x:f>
        <x:v>No est. sales</x:v>
      </x:c>
    </x:row>
    <x:row r="1314">
      <x:c r="A1314" s="10" t="str">
        <x:v>Debt Payoff Tracker: Snowball, Avalanche &amp; Custom, Google Sheets (Digital Download)</x:v>
      </x:c>
      <x:c r="B1314" s="10" t="str">
        <x:v>https://www.etsy.com/listing/4332725495/debt-payoff-tracker-snowball-avalanche</x:v>
      </x:c>
      <x:c r="C1314" s="10" t="str">
        <x:v>MarethicDigital</x:v>
      </x:c>
      <x:c r="D1314" s="10" t="str">
        <x:v>https://www.etsy.com/shop/MarethicDigital</x:v>
      </x:c>
      <x:c r="E1314" s="11" t="n">
        <x:v>4.74</x:v>
      </x:c>
      <x:c r="F1314" s="10" t="n">
        <x:v>0</x:v>
      </x:c>
      <x:c r="G1314" s="12" t="n">
        <x:v>0</x:v>
      </x:c>
      <x:c r="H1314" s="13" t="n">
        <x:v>0</x:v>
      </x:c>
      <x:c r="I1314" s="10" t="n">
        <x:v>0</x:v>
      </x:c>
      <x:c r="J1314" s="10" t="n">
        <x:v>0</x:v>
      </x:c>
      <x:c r="K1314" s="10" t="str">
        <x:v>12 Mo.</x:v>
      </x:c>
      <x:c r="L1314" s="10" t="n">
        <x:v>6</x:v>
      </x:c>
      <x:c r="M1314" s="10" t="n">
        <x:v>0</x:v>
      </x:c>
      <x:c r="N1314" s="10" t="n">
        <x:v>265</x:v>
      </x:c>
      <x:c r="O1314" s="10" t="str"/>
      <x:c r="P1314" s="10" t="n">
        <x:v>20</x:v>
      </x:c>
      <x:c r="Q1314" s="10" t="n">
        <x:v>0</x:v>
      </x:c>
      <x:c r="R1314" s="13" t="n">
        <x:v>0</x:v>
      </x:c>
      <x:c r="S1314" s="10" t="n">
        <x:v>1378</x:v>
      </x:c>
      <x:c r="T1314" s="10" t="str">
        <x:v>debt tracker,debt snowball,debt avalanche,debt payment tracker,debt payoff tracker,debt calculator,credit card payoff,debt management,loan payoff,snowball mortgage,avalanche payment,debt free planner,credit card and loan</x:v>
      </x:c>
      <x:c r="U1314" s="10" t="str">
        <x:v>debt tracker</x:v>
      </x:c>
      <x:c r="V1314" s="10" t="str">
        <x:v>debt snowball</x:v>
      </x:c>
      <x:c r="W1314" s="10" t="str">
        <x:v>debt avalanche</x:v>
      </x:c>
      <x:c r="X1314" s="10" t="str">
        <x:v>debt payment tracker</x:v>
      </x:c>
      <x:c r="Y1314" s="10" t="str">
        <x:v>debt payoff tracker</x:v>
      </x:c>
      <x:c r="Z1314" s="10" t="str">
        <x:v>debt calculator</x:v>
      </x:c>
      <x:c r="AA1314" s="10" t="str">
        <x:v>credit card payoff</x:v>
      </x:c>
      <x:c r="AB1314" s="10" t="str">
        <x:v>debt management</x:v>
      </x:c>
      <x:c r="AC1314" s="10" t="str">
        <x:v>loan payoff</x:v>
      </x:c>
      <x:c r="AD1314" s="10" t="str">
        <x:v>snowball mortgage</x:v>
      </x:c>
      <x:c r="AE1314" s="10" t="str">
        <x:v>avalanche payment</x:v>
      </x:c>
      <x:c r="AF1314" s="10" t="str">
        <x:v>debt free planner</x:v>
      </x:c>
      <x:c r="AG1314" s="10" t="str">
        <x:v>credit card and loan</x:v>
      </x:c>
      <x:c r="AH1314" s="10" t="str">
        <x:v>General debt payoff</x:v>
      </x:c>
      <x:c r="AI1314" s="13" t="n">
        <x:v>12</x:v>
      </x:c>
      <x:c r="AJ1314" s="10" t="str">
        <x:f>IF(F1314&gt;0,"Active","No est. sales")</x:f>
        <x:v>No est. sales</x:v>
      </x:c>
    </x:row>
    <x:row r="1315">
      <x:c r="A1315" s="10" t="str">
        <x:v>Bi-Weekly Excel Budget Template | All-In-One Simple, Automated, Editable &amp; Easy to Use | Instant Download | Smart Budget Planner</x:v>
      </x:c>
      <x:c r="B1315" s="10" t="str">
        <x:v>https://www.etsy.com/listing/4327825328/bi-weekly-excel-budget-template-all-in</x:v>
      </x:c>
      <x:c r="C1315" s="10" t="str">
        <x:v>TheSmartBudgetPlan</x:v>
      </x:c>
      <x:c r="D1315" s="10" t="str">
        <x:v>https://www.etsy.com/shop/TheSmartBudgetPlan</x:v>
      </x:c>
      <x:c r="E1315" s="11" t="n">
        <x:v>14.99</x:v>
      </x:c>
      <x:c r="F1315" s="10" t="n">
        <x:v>0</x:v>
      </x:c>
      <x:c r="G1315" s="12" t="n">
        <x:v>0</x:v>
      </x:c>
      <x:c r="H1315" s="13" t="n">
        <x:v>0</x:v>
      </x:c>
      <x:c r="I1315" s="10" t="n">
        <x:v>0</x:v>
      </x:c>
      <x:c r="J1315" s="10" t="n">
        <x:v>0</x:v>
      </x:c>
      <x:c r="K1315" s="10" t="str">
        <x:v>11 Mo.</x:v>
      </x:c>
      <x:c r="L1315" s="10" t="n">
        <x:v>1</x:v>
      </x:c>
      <x:c r="M1315" s="10" t="n">
        <x:v>0</x:v>
      </x:c>
      <x:c r="N1315" s="10" t="n">
        <x:v>40</x:v>
      </x:c>
      <x:c r="O1315" s="10" t="str"/>
      <x:c r="P1315" s="10" t="n">
        <x:v>11</x:v>
      </x:c>
      <x:c r="Q1315" s="10" t="n">
        <x:v>0</x:v>
      </x:c>
      <x:c r="R1315" s="13" t="n">
        <x:v>0</x:v>
      </x:c>
      <x:c r="S1315" s="10" t="n">
        <x:v>1</x:v>
      </x:c>
      <x:c r="T1315" s="10" t="str">
        <x:v>budget planner,weekly budget,biweekly budget,bimonthly budget,excel template,personal finance,money tracker,financial planner,mortgage calculator,vacation savings,custom budget,smart budget planner,simple budget</x:v>
      </x:c>
      <x:c r="U1315" s="10" t="str">
        <x:v>budget planner</x:v>
      </x:c>
      <x:c r="V1315" s="10" t="str">
        <x:v>weekly budget</x:v>
      </x:c>
      <x:c r="W1315" s="10" t="str">
        <x:v>biweekly budget</x:v>
      </x:c>
      <x:c r="X1315" s="10" t="str">
        <x:v>bimonthly budget</x:v>
      </x:c>
      <x:c r="Y1315" s="10" t="str">
        <x:v>excel template</x:v>
      </x:c>
      <x:c r="Z1315" s="10" t="str">
        <x:v>personal finance</x:v>
      </x:c>
      <x:c r="AA1315" s="10" t="str">
        <x:v>money tracker</x:v>
      </x:c>
      <x:c r="AB1315" s="10" t="str">
        <x:v>financial planner</x:v>
      </x:c>
      <x:c r="AC1315" s="10" t="str">
        <x:v>mortgage calculator</x:v>
      </x:c>
      <x:c r="AD1315" s="10" t="str">
        <x:v>vacation savings</x:v>
      </x:c>
      <x:c r="AE1315" s="10" t="str">
        <x:v>custom budget</x:v>
      </x:c>
      <x:c r="AF1315" s="10" t="str">
        <x:v>smart budget planner</x:v>
      </x:c>
      <x:c r="AG1315" s="10" t="str">
        <x:v>simple budget</x:v>
      </x:c>
      <x:c r="AH1315" s="10" t="str">
        <x:v>Other mortgage-related</x:v>
      </x:c>
      <x:c r="AI1315" s="13" t="n">
        <x:v>11</x:v>
      </x:c>
      <x:c r="AJ1315" s="10" t="str">
        <x:f>IF(F1315&gt;0,"Active","No est. sales")</x:f>
        <x:v>No est. sales</x:v>
      </x:c>
    </x:row>
    <x:row r="1316">
      <x:c r="A1316" s="10" t="str">
        <x:v>Canadian Budget Spreadsheet Bundle | Mortgage Stress Test Grocery Tracker Savings Planner | TFSA RRSP | Google Sheets Excel CAD 2025</x:v>
      </x:c>
      <x:c r="B1316" s="10" t="str">
        <x:v>https://www.etsy.com/listing/4485952159/canadian-budget-spreadsheet-bundle</x:v>
      </x:c>
      <x:c r="C1316" s="10" t="str">
        <x:v>FusionBoxStudioCA</x:v>
      </x:c>
      <x:c r="D1316" s="10" t="str">
        <x:v>https://www.etsy.com/shop/FusionBoxStudioCA</x:v>
      </x:c>
      <x:c r="E1316" s="11" t="n">
        <x:v>5.88</x:v>
      </x:c>
      <x:c r="F1316" s="10" t="n">
        <x:v>0</x:v>
      </x:c>
      <x:c r="G1316" s="12" t="n">
        <x:v>0</x:v>
      </x:c>
      <x:c r="H1316" s="13" t="n">
        <x:v>0</x:v>
      </x:c>
      <x:c r="I1316" s="10" t="n">
        <x:v>0</x:v>
      </x:c>
      <x:c r="J1316" s="10" t="n">
        <x:v>0</x:v>
      </x:c>
      <x:c r="K1316" s="10" t="str">
        <x:v>1 Mo.</x:v>
      </x:c>
      <x:c r="L1316" s="10" t="n">
        <x:v>0</x:v>
      </x:c>
      <x:c r="M1316" s="10" t="n">
        <x:v>0</x:v>
      </x:c>
      <x:c r="N1316" s="10" t="n">
        <x:v>12</x:v>
      </x:c>
      <x:c r="O1316" s="10" t="str"/>
      <x:c r="P1316" s="10" t="n">
        <x:v>2</x:v>
      </x:c>
      <x:c r="Q1316" s="10" t="n">
        <x:v>0</x:v>
      </x:c>
      <x:c r="R1316" s="13" t="n">
        <x:v>0</x:v>
      </x:c>
      <x:c r="S1316" s="10" t="n">
        <x:v>0</x:v>
      </x:c>
      <x:c r="T1316" s="10" t="str">
        <x:v>budget bundle canada,finance kit canada,mortgage grocery,tfsa rrsp fhsa,complete budget kit,ontario finance,cra tax planner,household finance,digital download ca,savings tracker,biweekly monthly,personal finance,budget planner cad</x:v>
      </x:c>
      <x:c r="U1316" s="10" t="str">
        <x:v>budget bundle canada</x:v>
      </x:c>
      <x:c r="V1316" s="10" t="str">
        <x:v>finance kit canada</x:v>
      </x:c>
      <x:c r="W1316" s="10" t="str">
        <x:v>mortgage grocery</x:v>
      </x:c>
      <x:c r="X1316" s="10" t="str">
        <x:v>tfsa rrsp fhsa</x:v>
      </x:c>
      <x:c r="Y1316" s="10" t="str">
        <x:v>complete budget kit</x:v>
      </x:c>
      <x:c r="Z1316" s="10" t="str">
        <x:v>ontario finance</x:v>
      </x:c>
      <x:c r="AA1316" s="10" t="str">
        <x:v>cra tax planner</x:v>
      </x:c>
      <x:c r="AB1316" s="10" t="str">
        <x:v>household finance</x:v>
      </x:c>
      <x:c r="AC1316" s="10" t="str">
        <x:v>digital download ca</x:v>
      </x:c>
      <x:c r="AD1316" s="10" t="str">
        <x:v>savings tracker</x:v>
      </x:c>
      <x:c r="AE1316" s="10" t="str">
        <x:v>biweekly monthly</x:v>
      </x:c>
      <x:c r="AF1316" s="10" t="str">
        <x:v>personal finance</x:v>
      </x:c>
      <x:c r="AG1316" s="10" t="str">
        <x:v>budget planner cad</x:v>
      </x:c>
      <x:c r="AH1316" s="10" t="str">
        <x:v>Other mortgage-related</x:v>
      </x:c>
      <x:c r="AI1316" s="13" t="n">
        <x:v>1</x:v>
      </x:c>
      <x:c r="AJ1316" s="10" t="str">
        <x:f>IF(F1316&gt;0,"Active","No est. sales")</x:f>
        <x:v>No est. sales</x:v>
      </x:c>
    </x:row>
    <x:row r="1317">
      <x:c r="A1317" s="10" t="str">
        <x:v>Mortgage/Rent Due - Planner Stickers - Bullet Journal Stickers, Planner Stickers, Scrapbook Stickers - Mortgage/Rent Due / Budget Tracker</x:v>
      </x:c>
      <x:c r="B1317" s="10" t="str">
        <x:v>https://www.etsy.com/listing/1035219366/mortgagerent-due-planner-stickers-bullet</x:v>
      </x:c>
      <x:c r="C1317" s="10" t="str">
        <x:v>AGWDesignStudio</x:v>
      </x:c>
      <x:c r="D1317" s="10" t="str">
        <x:v>https://www.etsy.com/shop/AGWDesignStudio</x:v>
      </x:c>
      <x:c r="E1317" s="11" t="n">
        <x:v>2.5</x:v>
      </x:c>
      <x:c r="F1317" s="10" t="n">
        <x:v>0</x:v>
      </x:c>
      <x:c r="G1317" s="12" t="n">
        <x:v>0</x:v>
      </x:c>
      <x:c r="H1317" s="13" t="n">
        <x:v>0</x:v>
      </x:c>
      <x:c r="I1317" s="10" t="n">
        <x:v>13</x:v>
      </x:c>
      <x:c r="J1317" s="10" t="n">
        <x:v>4</x:v>
      </x:c>
      <x:c r="K1317" s="10" t="str">
        <x:v>60 Mo.</x:v>
      </x:c>
      <x:c r="L1317" s="10" t="n">
        <x:v>26</x:v>
      </x:c>
      <x:c r="M1317" s="10" t="n">
        <x:v>0</x:v>
      </x:c>
      <x:c r="N1317" s="10" t="n">
        <x:v>582</x:v>
      </x:c>
      <x:c r="O1317" s="10" t="str">
        <x:v>Paper &amp; Party Supplies</x:v>
      </x:c>
      <x:c r="P1317" s="10" t="n">
        <x:v>77</x:v>
      </x:c>
      <x:c r="Q1317" s="10" t="n">
        <x:v>0</x:v>
      </x:c>
      <x:c r="R1317" s="13" t="n">
        <x:v>2.23</x:v>
      </x:c>
      <x:c r="S1317" s="10" t="n">
        <x:v>1874</x:v>
      </x:c>
      <x:c r="T1317" s="10" t="str">
        <x:v>personalized,planner,stickers,custom made,bullet journal,scrapbook,reminders,budget,mortgage,rent</x:v>
      </x:c>
      <x:c r="U1317" s="10" t="str">
        <x:v>personalized</x:v>
      </x:c>
      <x:c r="V1317" s="10" t="str">
        <x:v>planner</x:v>
      </x:c>
      <x:c r="W1317" s="10" t="str">
        <x:v>stickers</x:v>
      </x:c>
      <x:c r="X1317" s="10" t="str">
        <x:v>custom made</x:v>
      </x:c>
      <x:c r="Y1317" s="10" t="str">
        <x:v>bullet journal</x:v>
      </x:c>
      <x:c r="Z1317" s="10" t="str">
        <x:v>scrapbook</x:v>
      </x:c>
      <x:c r="AA1317" s="10" t="str">
        <x:v>reminders</x:v>
      </x:c>
      <x:c r="AB1317" s="10" t="str">
        <x:v>budget</x:v>
      </x:c>
      <x:c r="AC1317" s="10" t="str">
        <x:v>mortgage</x:v>
      </x:c>
      <x:c r="AD1317" s="10" t="str">
        <x:v>rent</x:v>
      </x:c>
      <x:c r="AE1317" s="10" t="str">
        <x:v>--</x:v>
      </x:c>
      <x:c r="AF1317" s="10" t="str">
        <x:v>--</x:v>
      </x:c>
      <x:c r="AG1317" s="10" t="str">
        <x:v>--</x:v>
      </x:c>
      <x:c r="AH1317" s="10" t="str">
        <x:v>Other mortgage-related</x:v>
      </x:c>
      <x:c r="AI1317" s="13" t="n">
        <x:v>60</x:v>
      </x:c>
      <x:c r="AJ1317" s="10" t="str">
        <x:f>IF(F1317&gt;0,"Active","No est. sales")</x:f>
        <x:v>No est. sales</x:v>
      </x:c>
    </x:row>
    <x:row r="1318">
      <x:c r="A1318" s="10" t="str">
        <x:v>Mortgage Tracker Debt Payoff Planner Home Loan Calculator Property Budget Payment Schedule Equity Builder   Financial Log</x:v>
      </x:c>
      <x:c r="B1318" s="10" t="str">
        <x:v>https://www.etsy.com/listing/4430301435/mortgage-tracker-debt-payoff-planner</x:v>
      </x:c>
      <x:c r="C1318" s="10" t="str">
        <x:v>BeauPaperieBoutique</x:v>
      </x:c>
      <x:c r="D1318" s="10" t="str">
        <x:v>https://www.etsy.com/shop/BeauPaperieBoutique</x:v>
      </x:c>
      <x:c r="E1318" s="11" t="n">
        <x:v>4.57</x:v>
      </x:c>
      <x:c r="F1318" s="10" t="n">
        <x:v>0</x:v>
      </x:c>
      <x:c r="G1318" s="12" t="n">
        <x:v>0</x:v>
      </x:c>
      <x:c r="H1318" s="13" t="n">
        <x:v>0</x:v>
      </x:c>
      <x:c r="I1318" s="10" t="n">
        <x:v>0</x:v>
      </x:c>
      <x:c r="J1318" s="10" t="n">
        <x:v>0</x:v>
      </x:c>
      <x:c r="K1318" s="10" t="str">
        <x:v>7 Mo.</x:v>
      </x:c>
      <x:c r="L1318" s="10" t="n">
        <x:v>1</x:v>
      </x:c>
      <x:c r="M1318" s="10" t="n">
        <x:v>0</x:v>
      </x:c>
      <x:c r="N1318" s="10" t="n">
        <x:v>40</x:v>
      </x:c>
      <x:c r="O1318" s="10" t="str"/>
      <x:c r="P1318" s="10" t="n">
        <x:v>20</x:v>
      </x:c>
      <x:c r="Q1318" s="10" t="n">
        <x:v>0</x:v>
      </x:c>
      <x:c r="R1318" s="13" t="n">
        <x:v>0</x:v>
      </x:c>
      <x:c r="S1318" s="10" t="n">
        <x:v>247</x:v>
      </x:c>
      <x:c r="T1318" s="10" t="str">
        <x:v>mortgage tracker,debt payoff planner,home loan tracker,loan calculator,payoff schedule,equity builder,home budget,debt visualizer,debt management,financial planner,mortgage log,numbers template,debt dashboard</x:v>
      </x:c>
      <x:c r="U1318" s="10" t="str">
        <x:v>mortgage tracker</x:v>
      </x:c>
      <x:c r="V1318" s="10" t="str">
        <x:v>debt payoff planner</x:v>
      </x:c>
      <x:c r="W1318" s="10" t="str">
        <x:v>home loan tracker</x:v>
      </x:c>
      <x:c r="X1318" s="10" t="str">
        <x:v>loan calculator</x:v>
      </x:c>
      <x:c r="Y1318" s="10" t="str">
        <x:v>payoff schedule</x:v>
      </x:c>
      <x:c r="Z1318" s="10" t="str">
        <x:v>equity builder</x:v>
      </x:c>
      <x:c r="AA1318" s="10" t="str">
        <x:v>home budget</x:v>
      </x:c>
      <x:c r="AB1318" s="10" t="str">
        <x:v>debt visualizer</x:v>
      </x:c>
      <x:c r="AC1318" s="10" t="str">
        <x:v>debt management</x:v>
      </x:c>
      <x:c r="AD1318" s="10" t="str">
        <x:v>financial planner</x:v>
      </x:c>
      <x:c r="AE1318" s="10" t="str">
        <x:v>mortgage log</x:v>
      </x:c>
      <x:c r="AF1318" s="10" t="str">
        <x:v>numbers template</x:v>
      </x:c>
      <x:c r="AG1318" s="10" t="str">
        <x:v>debt dashboard</x:v>
      </x:c>
      <x:c r="AH1318" s="10" t="str">
        <x:v>Mortgage payoff / calculator</x:v>
      </x:c>
      <x:c r="AI1318" s="13" t="n">
        <x:v>7</x:v>
      </x:c>
      <x:c r="AJ1318" s="10" t="str">
        <x:f>IF(F1318&gt;0,"Active","No est. sales")</x:f>
        <x:v>No est. sales</x:v>
      </x:c>
    </x:row>
    <x:row r="1319">
      <x:c r="A1319" s="10" t="str">
        <x:v>Mortgage Overpayment Calculator | HTML Loan Payoff Planner (Offline Tool)</x:v>
      </x:c>
      <x:c r="B1319" s="10" t="str">
        <x:v>https://www.etsy.com/listing/4484224794/mortgage-overpayment-calculator-html</x:v>
      </x:c>
      <x:c r="C1319" s="10" t="str">
        <x:v>FinanceGrid</x:v>
      </x:c>
      <x:c r="D1319" s="10" t="str">
        <x:v>https://www.etsy.com/shop/FinanceGrid</x:v>
      </x:c>
      <x:c r="E1319" s="11" t="n">
        <x:v>5.7</x:v>
      </x:c>
      <x:c r="F1319" s="10" t="n">
        <x:v>0</x:v>
      </x:c>
      <x:c r="G1319" s="12" t="n">
        <x:v>0</x:v>
      </x:c>
      <x:c r="H1319" s="13" t="n">
        <x:v>0</x:v>
      </x:c>
      <x:c r="I1319" s="10" t="n">
        <x:v>0</x:v>
      </x:c>
      <x:c r="J1319" s="10" t="n">
        <x:v>0</x:v>
      </x:c>
      <x:c r="K1319" s="10" t="str">
        <x:v>3 Mo.</x:v>
      </x:c>
      <x:c r="L1319" s="10" t="n">
        <x:v>0</x:v>
      </x:c>
      <x:c r="M1319" s="10" t="n">
        <x:v>0</x:v>
      </x:c>
      <x:c r="N1319" s="10" t="n">
        <x:v>5</x:v>
      </x:c>
      <x:c r="O1319" s="10" t="str"/>
      <x:c r="P1319" s="10" t="n">
        <x:v>3</x:v>
      </x:c>
      <x:c r="Q1319" s="10" t="n">
        <x:v>0</x:v>
      </x:c>
      <x:c r="R1319" s="13" t="n">
        <x:v>0</x:v>
      </x:c>
      <x:c r="S1319" s="10" t="n">
        <x:v>0</x:v>
      </x:c>
      <x:c r="T1319" s="10" t="str">
        <x:v>mortgage calculator,loan payoff,loan overpayment,mortgage planner,loan repayment tool,debt calculator,finance calculator,mortgage payoff,interest savings,personal finance,budget tool,excel alternative,financial planning</x:v>
      </x:c>
      <x:c r="U1319" s="10" t="str">
        <x:v>mortgage calculator</x:v>
      </x:c>
      <x:c r="V1319" s="10" t="str">
        <x:v>loan payoff</x:v>
      </x:c>
      <x:c r="W1319" s="10" t="str">
        <x:v>loan overpayment</x:v>
      </x:c>
      <x:c r="X1319" s="10" t="str">
        <x:v>mortgage planner</x:v>
      </x:c>
      <x:c r="Y1319" s="10" t="str">
        <x:v>loan repayment tool</x:v>
      </x:c>
      <x:c r="Z1319" s="10" t="str">
        <x:v>debt calculator</x:v>
      </x:c>
      <x:c r="AA1319" s="10" t="str">
        <x:v>finance calculator</x:v>
      </x:c>
      <x:c r="AB1319" s="10" t="str">
        <x:v>mortgage payoff</x:v>
      </x:c>
      <x:c r="AC1319" s="10" t="str">
        <x:v>interest savings</x:v>
      </x:c>
      <x:c r="AD1319" s="10" t="str">
        <x:v>personal finance</x:v>
      </x:c>
      <x:c r="AE1319" s="10" t="str">
        <x:v>budget tool</x:v>
      </x:c>
      <x:c r="AF1319" s="10" t="str">
        <x:v>excel alternative</x:v>
      </x:c>
      <x:c r="AG1319" s="10" t="str">
        <x:v>financial planning</x:v>
      </x:c>
      <x:c r="AH1319" s="10" t="str">
        <x:v>General loan calculator</x:v>
      </x:c>
      <x:c r="AI1319" s="13" t="n">
        <x:v>3</x:v>
      </x:c>
      <x:c r="AJ1319" s="10" t="str">
        <x:f>IF(F1319&gt;0,"Active","No est. sales")</x:f>
        <x:v>No est. sales</x:v>
      </x:c>
    </x:row>
    <x:row r="1320">
      <x:c r="A1320" s="10" t="str">
        <x:v>First Responder Budget Planner, Police Officer Budget Spreadsheet, Law Enforcement Finances, Overtime &amp; Off Duty Detail Tracker, Excel</x:v>
      </x:c>
      <x:c r="B1320" s="10" t="str">
        <x:v>https://www.etsy.com/listing/4506707068/first-responder-budget-planner-police</x:v>
      </x:c>
      <x:c r="C1320" s="10" t="str">
        <x:v>BlueLineAndBeyond</x:v>
      </x:c>
      <x:c r="D1320" s="10" t="str">
        <x:v>https://www.etsy.com/shop/BlueLineAndBeyond</x:v>
      </x:c>
      <x:c r="E1320" s="11" t="n">
        <x:v>2.99</x:v>
      </x:c>
      <x:c r="F1320" s="10" t="n">
        <x:v>0</x:v>
      </x:c>
      <x:c r="G1320" s="12" t="n">
        <x:v>0</x:v>
      </x:c>
      <x:c r="H1320" s="13" t="n">
        <x:v>0</x:v>
      </x:c>
      <x:c r="I1320" s="10" t="n">
        <x:v>0</x:v>
      </x:c>
      <x:c r="J1320" s="10" t="n">
        <x:v>0</x:v>
      </x:c>
      <x:c r="K1320" s="10" t="str">
        <x:v>1 Mo.</x:v>
      </x:c>
      <x:c r="L1320" s="10" t="n">
        <x:v>0</x:v>
      </x:c>
      <x:c r="M1320" s="10" t="n">
        <x:v>0</x:v>
      </x:c>
      <x:c r="N1320" s="10" t="n">
        <x:v>6</x:v>
      </x:c>
      <x:c r="O1320" s="10" t="str"/>
      <x:c r="P1320" s="10" t="n">
        <x:v>1</x:v>
      </x:c>
      <x:c r="Q1320" s="10" t="n">
        <x:v>0</x:v>
      </x:c>
      <x:c r="R1320" s="13" t="n">
        <x:v>0</x:v>
      </x:c>
      <x:c r="S1320" s="10" t="n">
        <x:v>3</x:v>
      </x:c>
      <x:c r="T1320" s="10" t="str">
        <x:v>budget,police,firefighter,emt,medic,first responder,money,mortgage,housing,planner,spreadsheet,buyer,guide</x:v>
      </x:c>
      <x:c r="U1320" s="10" t="str">
        <x:v>budget</x:v>
      </x:c>
      <x:c r="V1320" s="10" t="str">
        <x:v>police</x:v>
      </x:c>
      <x:c r="W1320" s="10" t="str">
        <x:v>firefighter</x:v>
      </x:c>
      <x:c r="X1320" s="10" t="str">
        <x:v>emt</x:v>
      </x:c>
      <x:c r="Y1320" s="10" t="str">
        <x:v>medic</x:v>
      </x:c>
      <x:c r="Z1320" s="10" t="str">
        <x:v>first responder</x:v>
      </x:c>
      <x:c r="AA1320" s="10" t="str">
        <x:v>money</x:v>
      </x:c>
      <x:c r="AB1320" s="10" t="str">
        <x:v>mortgage</x:v>
      </x:c>
      <x:c r="AC1320" s="10" t="str">
        <x:v>housing</x:v>
      </x:c>
      <x:c r="AD1320" s="10" t="str">
        <x:v>planner</x:v>
      </x:c>
      <x:c r="AE1320" s="10" t="str">
        <x:v>spreadsheet</x:v>
      </x:c>
      <x:c r="AF1320" s="10" t="str">
        <x:v>buyer</x:v>
      </x:c>
      <x:c r="AG1320" s="10" t="str">
        <x:v>guide</x:v>
      </x:c>
      <x:c r="AH1320" s="10" t="str">
        <x:v>Other mortgage-related</x:v>
      </x:c>
      <x:c r="AI1320" s="13" t="n">
        <x:v>1</x:v>
      </x:c>
      <x:c r="AJ1320" s="10" t="str">
        <x:f>IF(F1320&gt;0,"Active","No est. sales")</x:f>
        <x:v>No est. sales</x:v>
      </x:c>
    </x:row>
    <x:row r="1321">
      <x:c r="A1321" s="10" t="str">
        <x:v>Debt-Free Journey Planner | Budget Tracker, Payoff Goals (Instant Download)</x:v>
      </x:c>
      <x:c r="B1321" s="10" t="str">
        <x:v>https://www.etsy.com/listing/4528716648/debt-free-journey-planner-budget-tracker</x:v>
      </x:c>
      <x:c r="C1321" s="10" t="str">
        <x:v>PagesAndPriceTags</x:v>
      </x:c>
      <x:c r="D1321" s="10" t="str">
        <x:v>https://www.etsy.com/shop/PagesAndPriceTags</x:v>
      </x:c>
      <x:c r="E1321" s="11" t="n">
        <x:v>6.93</x:v>
      </x:c>
      <x:c r="F1321" s="10" t="n">
        <x:v>0</x:v>
      </x:c>
      <x:c r="G1321" s="12" t="n">
        <x:v>0</x:v>
      </x:c>
      <x:c r="H1321" s="13" t="n">
        <x:v>0</x:v>
      </x:c>
      <x:c r="I1321" s="10" t="n">
        <x:v>0</x:v>
      </x:c>
      <x:c r="J1321" s="10" t="n">
        <x:v>0</x:v>
      </x:c>
      <x:c r="K1321" s="10" t="str">
        <x:v>1 Mo.</x:v>
      </x:c>
      <x:c r="L1321" s="10" t="n">
        <x:v>0</x:v>
      </x:c>
      <x:c r="M1321" s="10" t="n">
        <x:v>0</x:v>
      </x:c>
      <x:c r="N1321" s="10" t="n">
        <x:v>5</x:v>
      </x:c>
      <x:c r="O1321" s="10" t="str"/>
      <x:c r="P1321" s="10" t="n">
        <x:v>1</x:v>
      </x:c>
      <x:c r="Q1321" s="10" t="n">
        <x:v>0</x:v>
      </x:c>
      <x:c r="R1321" s="13" t="n">
        <x:v>0</x:v>
      </x:c>
      <x:c r="S1321" s="10" t="n">
        <x:v>0</x:v>
      </x:c>
      <x:c r="T1321" s="10" t="str">
        <x:v>debt tracker,debt payoff,instant download,digital planner,printable planner,mortgage tracker,debt free,debt snowball,pastel tracker,cute debt tracker,credit card payoff,car loan pay off,penly</x:v>
      </x:c>
      <x:c r="U1321" s="10" t="str">
        <x:v>debt tracker</x:v>
      </x:c>
      <x:c r="V1321" s="10" t="str">
        <x:v>debt payoff</x:v>
      </x:c>
      <x:c r="W1321" s="10" t="str">
        <x:v>instant download</x:v>
      </x:c>
      <x:c r="X1321" s="10" t="str">
        <x:v>digital planner</x:v>
      </x:c>
      <x:c r="Y1321" s="10" t="str">
        <x:v>printable planner</x:v>
      </x:c>
      <x:c r="Z1321" s="10" t="str">
        <x:v>mortgage tracker</x:v>
      </x:c>
      <x:c r="AA1321" s="10" t="str">
        <x:v>debt free</x:v>
      </x:c>
      <x:c r="AB1321" s="10" t="str">
        <x:v>debt snowball</x:v>
      </x:c>
      <x:c r="AC1321" s="10" t="str">
        <x:v>pastel tracker</x:v>
      </x:c>
      <x:c r="AD1321" s="10" t="str">
        <x:v>cute debt tracker</x:v>
      </x:c>
      <x:c r="AE1321" s="10" t="str">
        <x:v>credit card payoff</x:v>
      </x:c>
      <x:c r="AF1321" s="10" t="str">
        <x:v>car loan pay off</x:v>
      </x:c>
      <x:c r="AG1321" s="10" t="str">
        <x:v>penly</x:v>
      </x:c>
      <x:c r="AH1321" s="10" t="str">
        <x:v>Other mortgage-related</x:v>
      </x:c>
      <x:c r="AI1321" s="13" t="n">
        <x:v>1</x:v>
      </x:c>
      <x:c r="AJ1321" s="10" t="str">
        <x:f>IF(F1321&gt;0,"Active","No est. sales")</x:f>
        <x:v>No est. sales</x:v>
      </x:c>
    </x:row>
    <x:row r="1322">
      <x:c r="A1322" s="10" t="str">
        <x:v>Printable Debt Tracker: Debt Management , Debt Snowball, Debt Payoff Tracker Printable, Debt Payments, Finance Planner, Debt Repayment A5 A4</x:v>
      </x:c>
      <x:c r="B1322" s="10" t="str">
        <x:v>https://www.etsy.com/listing/1558533368/printable-debt-tracker-debt-management</x:v>
      </x:c>
      <x:c r="C1322" s="10" t="str">
        <x:v>ThePlanningZone</x:v>
      </x:c>
      <x:c r="D1322" s="10" t="str">
        <x:v>https://www.etsy.com/shop/ThePlanningZone</x:v>
      </x:c>
      <x:c r="E1322" s="11" t="n">
        <x:v>5.99</x:v>
      </x:c>
      <x:c r="F1322" s="10" t="n">
        <x:v>0</x:v>
      </x:c>
      <x:c r="G1322" s="12" t="n">
        <x:v>0</x:v>
      </x:c>
      <x:c r="H1322" s="13" t="n">
        <x:v>0</x:v>
      </x:c>
      <x:c r="I1322" s="10" t="n">
        <x:v>0</x:v>
      </x:c>
      <x:c r="J1322" s="10" t="n">
        <x:v>0</x:v>
      </x:c>
      <x:c r="K1322" s="10" t="str">
        <x:v>34 Mo.</x:v>
      </x:c>
      <x:c r="L1322" s="10" t="n">
        <x:v>4</x:v>
      </x:c>
      <x:c r="M1322" s="10" t="n">
        <x:v>0</x:v>
      </x:c>
      <x:c r="N1322" s="10" t="n">
        <x:v>14</x:v>
      </x:c>
      <x:c r="O1322" s="10" t="str"/>
      <x:c r="P1322" s="10" t="n">
        <x:v>35</x:v>
      </x:c>
      <x:c r="Q1322" s="10" t="n">
        <x:v>0</x:v>
      </x:c>
      <x:c r="R1322" s="13" t="n">
        <x:v>0</x:v>
      </x:c>
      <x:c r="S1322" s="10" t="n">
        <x:v>481</x:v>
      </x:c>
      <x:c r="T1322" s="10" t="str">
        <x:v>debt tracker,debt snowball,debt payoff tracker,debt payment tracker,dave ramsey,credit card tracker,mortgage tracker,financial tracker,budget planner,finance planner,spending tracker,budget tracker,debt repayment</x:v>
      </x:c>
      <x:c r="U1322" s="10" t="str">
        <x:v>debt tracker</x:v>
      </x:c>
      <x:c r="V1322" s="10" t="str">
        <x:v>debt snowball</x:v>
      </x:c>
      <x:c r="W1322" s="10" t="str">
        <x:v>debt payoff tracker</x:v>
      </x:c>
      <x:c r="X1322" s="10" t="str">
        <x:v>debt payment tracker</x:v>
      </x:c>
      <x:c r="Y1322" s="10" t="str">
        <x:v>dave ramsey</x:v>
      </x:c>
      <x:c r="Z1322" s="10" t="str">
        <x:v>credit card tracker</x:v>
      </x:c>
      <x:c r="AA1322" s="10" t="str">
        <x:v>mortgage tracker</x:v>
      </x:c>
      <x:c r="AB1322" s="10" t="str">
        <x:v>financial tracker</x:v>
      </x:c>
      <x:c r="AC1322" s="10" t="str">
        <x:v>budget planner</x:v>
      </x:c>
      <x:c r="AD1322" s="10" t="str">
        <x:v>finance planner</x:v>
      </x:c>
      <x:c r="AE1322" s="10" t="str">
        <x:v>spending tracker</x:v>
      </x:c>
      <x:c r="AF1322" s="10" t="str">
        <x:v>budget tracker</x:v>
      </x:c>
      <x:c r="AG1322" s="10" t="str">
        <x:v>debt repayment</x:v>
      </x:c>
      <x:c r="AH1322" s="10" t="str">
        <x:v>General debt payoff</x:v>
      </x:c>
      <x:c r="AI1322" s="13" t="n">
        <x:v>34</x:v>
      </x:c>
      <x:c r="AJ1322" s="10" t="str">
        <x:f>IF(F1322&gt;0,"Active","No est. sales")</x:f>
        <x:v>No est. sales</x:v>
      </x:c>
    </x:row>
    <x:row r="1323">
      <x:c r="A1323" s="10" t="str">
        <x:v>First Time Home Buyer Planner | Mortgage Calculator | Down Payment &amp; Closing Cost Spreadsheet | Excel Google Sheets</x:v>
      </x:c>
      <x:c r="B1323" s="10" t="str">
        <x:v>https://www.etsy.com/listing/4529861873/first-time-home-buyer-planner-mortgage</x:v>
      </x:c>
      <x:c r="C1323" s="10" t="str">
        <x:v>SimpleFinanceTools1</x:v>
      </x:c>
      <x:c r="D1323" s="10" t="str">
        <x:v>https://www.etsy.com/shop/SimpleFinanceTools1</x:v>
      </x:c>
      <x:c r="E1323" s="11" t="n">
        <x:v>16.99</x:v>
      </x:c>
      <x:c r="F1323" s="10" t="n">
        <x:v>0</x:v>
      </x:c>
      <x:c r="G1323" s="12" t="n">
        <x:v>0</x:v>
      </x:c>
      <x:c r="H1323" s="13" t="n">
        <x:v>0</x:v>
      </x:c>
      <x:c r="I1323" s="10" t="n">
        <x:v>0</x:v>
      </x:c>
      <x:c r="J1323" s="10" t="n">
        <x:v>0</x:v>
      </x:c>
      <x:c r="K1323" s="10" t="str">
        <x:v>1 Mo.</x:v>
      </x:c>
      <x:c r="L1323" s="10" t="n">
        <x:v>5</x:v>
      </x:c>
      <x:c r="M1323" s="10" t="n">
        <x:v>0</x:v>
      </x:c>
      <x:c r="N1323" s="10" t="n">
        <x:v>187</x:v>
      </x:c>
      <x:c r="O1323" s="10" t="str"/>
      <x:c r="P1323" s="10" t="n">
        <x:v>6</x:v>
      </x:c>
      <x:c r="Q1323" s="10" t="n">
        <x:v>36</x:v>
      </x:c>
      <x:c r="R1323" s="13" t="n">
        <x:v>0</x:v>
      </x:c>
      <x:c r="S1323" s="10" t="n">
        <x:v>28</x:v>
      </x:c>
      <x:c r="T1323" s="10" t="str">
        <x:v>home buying planner,mortgage calculator,first home buyer,home affordability,down payment,closing cost,rent vs buy,home budget,excel spreadsheet,google sheets,personal finance,home purchase,mortgage planner</x:v>
      </x:c>
      <x:c r="U1323" s="10" t="str">
        <x:v>home buying planner</x:v>
      </x:c>
      <x:c r="V1323" s="10" t="str">
        <x:v>mortgage calculator</x:v>
      </x:c>
      <x:c r="W1323" s="10" t="str">
        <x:v>first home buyer</x:v>
      </x:c>
      <x:c r="X1323" s="10" t="str">
        <x:v>home affordability</x:v>
      </x:c>
      <x:c r="Y1323" s="10" t="str">
        <x:v>down payment</x:v>
      </x:c>
      <x:c r="Z1323" s="10" t="str">
        <x:v>closing cost</x:v>
      </x:c>
      <x:c r="AA1323" s="10" t="str">
        <x:v>rent vs buy</x:v>
      </x:c>
      <x:c r="AB1323" s="10" t="str">
        <x:v>home budget</x:v>
      </x:c>
      <x:c r="AC1323" s="10" t="str">
        <x:v>excel spreadsheet</x:v>
      </x:c>
      <x:c r="AD1323" s="10" t="str">
        <x:v>google sheets</x:v>
      </x:c>
      <x:c r="AE1323" s="10" t="str">
        <x:v>personal finance</x:v>
      </x:c>
      <x:c r="AF1323" s="10" t="str">
        <x:v>home purchase</x:v>
      </x:c>
      <x:c r="AG1323" s="10" t="str">
        <x:v>mortgage planner</x:v>
      </x:c>
      <x:c r="AH1323" s="10" t="str">
        <x:v>Home buying planner</x:v>
      </x:c>
      <x:c r="AI1323" s="13" t="n">
        <x:v>1</x:v>
      </x:c>
      <x:c r="AJ1323" s="10" t="str">
        <x:f>IF(F1323&gt;0,"Active","No est. sales")</x:f>
        <x:v>No est. sales</x:v>
      </x:c>
    </x:row>
    <x:row r="1324">
      <x:c r="A1324" s="10" t="str">
        <x:v>Financial Organizer Debt Payoff Coloring Pages</x:v>
      </x:c>
      <x:c r="B1324" s="10" t="str">
        <x:v>https://www.etsy.com/listing/530036088/financial-organizer-debt-payoff-coloring</x:v>
      </x:c>
      <x:c r="C1324" s="10" t="str">
        <x:v>PDPrintables</x:v>
      </x:c>
      <x:c r="D1324" s="10" t="str">
        <x:v>https://www.etsy.com/shop/PDPrintables</x:v>
      </x:c>
      <x:c r="E1324" s="11" t="n">
        <x:v>3.99</x:v>
      </x:c>
      <x:c r="F1324" s="10" t="n">
        <x:v>0</x:v>
      </x:c>
      <x:c r="G1324" s="12" t="n">
        <x:v>0</x:v>
      </x:c>
      <x:c r="H1324" s="13" t="n">
        <x:v>0</x:v>
      </x:c>
      <x:c r="I1324" s="10" t="n">
        <x:v>150</x:v>
      </x:c>
      <x:c r="J1324" s="10" t="n">
        <x:v>10</x:v>
      </x:c>
      <x:c r="K1324" s="10" t="str">
        <x:v>108 Mo.</x:v>
      </x:c>
      <x:c r="L1324" s="10" t="n">
        <x:v>145</x:v>
      </x:c>
      <x:c r="M1324" s="10" t="n">
        <x:v>0</x:v>
      </x:c>
      <x:c r="N1324" s="10" t="n">
        <x:v>10840</x:v>
      </x:c>
      <x:c r="O1324" s="10" t="str">
        <x:v>Home &amp; Living</x:v>
      </x:c>
      <x:c r="P1324" s="10" t="n">
        <x:v>162</x:v>
      </x:c>
      <x:c r="Q1324" s="10" t="n">
        <x:v>36</x:v>
      </x:c>
      <x:c r="R1324" s="13" t="n">
        <x:v>1.38</x:v>
      </x:c>
      <x:c r="S1324" s="10" t="n">
        <x:v>7914</x:v>
      </x:c>
      <x:c r="T1324" s="10" t="str">
        <x:v>financial organizer,mortgage,debt payoff,debt tracker,debt snowball,debt free,loan payoff,adult coloring pages,organization,printable,credit card,financial planner,personal finance</x:v>
      </x:c>
      <x:c r="U1324" s="10" t="str">
        <x:v>financial organizer</x:v>
      </x:c>
      <x:c r="V1324" s="10" t="str">
        <x:v>mortgage</x:v>
      </x:c>
      <x:c r="W1324" s="10" t="str">
        <x:v>debt payoff</x:v>
      </x:c>
      <x:c r="X1324" s="10" t="str">
        <x:v>debt tracker</x:v>
      </x:c>
      <x:c r="Y1324" s="10" t="str">
        <x:v>debt snowball</x:v>
      </x:c>
      <x:c r="Z1324" s="10" t="str">
        <x:v>debt free</x:v>
      </x:c>
      <x:c r="AA1324" s="10" t="str">
        <x:v>loan payoff</x:v>
      </x:c>
      <x:c r="AB1324" s="10" t="str">
        <x:v>adult coloring pages</x:v>
      </x:c>
      <x:c r="AC1324" s="10" t="str">
        <x:v>organization</x:v>
      </x:c>
      <x:c r="AD1324" s="10" t="str">
        <x:v>printable</x:v>
      </x:c>
      <x:c r="AE1324" s="10" t="str">
        <x:v>credit card</x:v>
      </x:c>
      <x:c r="AF1324" s="10" t="str">
        <x:v>financial planner</x:v>
      </x:c>
      <x:c r="AG1324" s="10" t="str">
        <x:v>personal finance</x:v>
      </x:c>
      <x:c r="AH1324" s="10" t="str">
        <x:v>General debt payoff</x:v>
      </x:c>
      <x:c r="AI1324" s="13" t="n">
        <x:v>108</x:v>
      </x:c>
      <x:c r="AJ1324" s="10" t="str">
        <x:f>IF(F1324&gt;0,"Active","No est. sales")</x:f>
        <x:v>No est. sales</x:v>
      </x:c>
    </x:row>
    <x:row r="1325">
      <x:c r="A1325" s="10" t="str">
        <x:v>Savings Tracker Saving Goal Financial Organizer Coloring Pages</x:v>
      </x:c>
      <x:c r="B1325" s="10" t="str">
        <x:v>https://www.etsy.com/listing/531013704/savings-tracker-saving-goal-financial</x:v>
      </x:c>
      <x:c r="C1325" s="10" t="str">
        <x:v>PDPrintables</x:v>
      </x:c>
      <x:c r="D1325" s="10" t="str">
        <x:v>https://www.etsy.com/shop/PDPrintables</x:v>
      </x:c>
      <x:c r="E1325" s="11" t="n">
        <x:v>2.99</x:v>
      </x:c>
      <x:c r="F1325" s="10" t="n">
        <x:v>0</x:v>
      </x:c>
      <x:c r="G1325" s="12" t="n">
        <x:v>0</x:v>
      </x:c>
      <x:c r="H1325" s="13" t="n">
        <x:v>0</x:v>
      </x:c>
      <x:c r="I1325" s="10" t="n">
        <x:v>255</x:v>
      </x:c>
      <x:c r="J1325" s="10" t="n">
        <x:v>17</x:v>
      </x:c>
      <x:c r="K1325" s="10" t="str">
        <x:v>108 Mo.</x:v>
      </x:c>
      <x:c r="L1325" s="10" t="n">
        <x:v>195</x:v>
      </x:c>
      <x:c r="M1325" s="10" t="n">
        <x:v>0</x:v>
      </x:c>
      <x:c r="N1325" s="10" t="n">
        <x:v>7228</x:v>
      </x:c>
      <x:c r="O1325" s="10" t="str">
        <x:v>Home &amp; Living</x:v>
      </x:c>
      <x:c r="P1325" s="10" t="n">
        <x:v>162</x:v>
      </x:c>
      <x:c r="Q1325" s="10" t="n">
        <x:v>30</x:v>
      </x:c>
      <x:c r="R1325" s="13" t="n">
        <x:v>3.53</x:v>
      </x:c>
      <x:c r="S1325" s="10" t="n">
        <x:v>7914</x:v>
      </x:c>
      <x:c r="T1325" s="10" t="str">
        <x:v>financial organizer,mortgage,adult coloring pages,organization,printable,financial planner,personal finance,savings tracker,savings goal,savings printable,savings organizer,savings insert,savings jar</x:v>
      </x:c>
      <x:c r="U1325" s="10" t="str">
        <x:v>financial organizer</x:v>
      </x:c>
      <x:c r="V1325" s="10" t="str">
        <x:v>mortgage</x:v>
      </x:c>
      <x:c r="W1325" s="10" t="str">
        <x:v>adult coloring pages</x:v>
      </x:c>
      <x:c r="X1325" s="10" t="str">
        <x:v>organization</x:v>
      </x:c>
      <x:c r="Y1325" s="10" t="str">
        <x:v>printable</x:v>
      </x:c>
      <x:c r="Z1325" s="10" t="str">
        <x:v>financial planner</x:v>
      </x:c>
      <x:c r="AA1325" s="10" t="str">
        <x:v>personal finance</x:v>
      </x:c>
      <x:c r="AB1325" s="10" t="str">
        <x:v>savings tracker</x:v>
      </x:c>
      <x:c r="AC1325" s="10" t="str">
        <x:v>savings goal</x:v>
      </x:c>
      <x:c r="AD1325" s="10" t="str">
        <x:v>savings printable</x:v>
      </x:c>
      <x:c r="AE1325" s="10" t="str">
        <x:v>savings organizer</x:v>
      </x:c>
      <x:c r="AF1325" s="10" t="str">
        <x:v>savings insert</x:v>
      </x:c>
      <x:c r="AG1325" s="10" t="str">
        <x:v>savings jar</x:v>
      </x:c>
      <x:c r="AH1325" s="10" t="str">
        <x:v>Other mortgage-related</x:v>
      </x:c>
      <x:c r="AI1325" s="13" t="n">
        <x:v>108</x:v>
      </x:c>
      <x:c r="AJ1325" s="10" t="str">
        <x:f>IF(F1325&gt;0,"Active","No est. sales")</x:f>
        <x:v>No est. sales</x:v>
      </x:c>
    </x:row>
    <x:row r="1326">
      <x:c r="A1326" s="10" t="str">
        <x:v>BILLS PRINTABLE Stickers, printable utility stickers, water bill stickers, electricity stickers, gas stickers, phone bill sticker, mortgage</x:v>
      </x:c>
      <x:c r="B1326" s="10" t="str">
        <x:v>https://www.etsy.com/listing/828266042/bills-printable-stickers-printable</x:v>
      </x:c>
      <x:c r="C1326" s="10" t="str">
        <x:v>blingblingplanner</x:v>
      </x:c>
      <x:c r="D1326" s="10" t="str">
        <x:v>https://www.etsy.com/shop/blingblingplanner</x:v>
      </x:c>
      <x:c r="E1326" s="11" t="n">
        <x:v>4.08</x:v>
      </x:c>
      <x:c r="F1326" s="10" t="n">
        <x:v>0</x:v>
      </x:c>
      <x:c r="G1326" s="12" t="n">
        <x:v>0</x:v>
      </x:c>
      <x:c r="H1326" s="13" t="n">
        <x:v>0</x:v>
      </x:c>
      <x:c r="I1326" s="10" t="n">
        <x:v>62</x:v>
      </x:c>
      <x:c r="J1326" s="10" t="n">
        <x:v>6</x:v>
      </x:c>
      <x:c r="K1326" s="10" t="str">
        <x:v>72 Mo.</x:v>
      </x:c>
      <x:c r="L1326" s="10" t="n">
        <x:v>175</x:v>
      </x:c>
      <x:c r="M1326" s="10" t="n">
        <x:v>0</x:v>
      </x:c>
      <x:c r="N1326" s="10" t="n">
        <x:v>2813</x:v>
      </x:c>
      <x:c r="O1326" s="10" t="str">
        <x:v>Paper &amp; Party Supplies</x:v>
      </x:c>
      <x:c r="P1326" s="10" t="n">
        <x:v>120</x:v>
      </x:c>
      <x:c r="Q1326" s="10" t="n">
        <x:v>0</x:v>
      </x:c>
      <x:c r="R1326" s="13" t="n">
        <x:v>2.2</x:v>
      </x:c>
      <x:c r="S1326" s="10" t="n">
        <x:v>89847</x:v>
      </x:c>
      <x:c r="T1326" s="10" t="str">
        <x:v>printable stickers,erin condren,happy planner,planner stickers,printable planning,bills stickers,printable utility,water bill sticker,electricity sticker,phone bill sticker,mortgage sticker,internet sticker,save stickers</x:v>
      </x:c>
      <x:c r="U1326" s="10" t="str">
        <x:v>printable stickers</x:v>
      </x:c>
      <x:c r="V1326" s="10" t="str">
        <x:v>erin condren</x:v>
      </x:c>
      <x:c r="W1326" s="10" t="str">
        <x:v>happy planner</x:v>
      </x:c>
      <x:c r="X1326" s="10" t="str">
        <x:v>planner stickers</x:v>
      </x:c>
      <x:c r="Y1326" s="10" t="str">
        <x:v>printable planning</x:v>
      </x:c>
      <x:c r="Z1326" s="10" t="str">
        <x:v>bills stickers</x:v>
      </x:c>
      <x:c r="AA1326" s="10" t="str">
        <x:v>printable utility</x:v>
      </x:c>
      <x:c r="AB1326" s="10" t="str">
        <x:v>water bill sticker</x:v>
      </x:c>
      <x:c r="AC1326" s="10" t="str">
        <x:v>electricity sticker</x:v>
      </x:c>
      <x:c r="AD1326" s="10" t="str">
        <x:v>phone bill sticker</x:v>
      </x:c>
      <x:c r="AE1326" s="10" t="str">
        <x:v>mortgage sticker</x:v>
      </x:c>
      <x:c r="AF1326" s="10" t="str">
        <x:v>internet sticker</x:v>
      </x:c>
      <x:c r="AG1326" s="10" t="str">
        <x:v>save stickers</x:v>
      </x:c>
      <x:c r="AH1326" s="10" t="str">
        <x:v>Other mortgage-related</x:v>
      </x:c>
      <x:c r="AI1326" s="13" t="n">
        <x:v>72</x:v>
      </x:c>
      <x:c r="AJ1326" s="10" t="str">
        <x:f>IF(F1326&gt;0,"Active","No est. sales")</x:f>
        <x:v>No est. sales</x:v>
      </x:c>
    </x:row>
    <x:row r="1327">
      <x:c r="A1327" s="10" t="str">
        <x:v>The House Hunter&amp;#39;s Decision Engine: First-Time Buyer Dream Home Scoring Matrix | Real Estate Tracker, Property Rating &amp; Market Research Tool</x:v>
      </x:c>
      <x:c r="B1327" s="10" t="str">
        <x:v>https://www.etsy.com/listing/1857603415/the-house-hunters-decision-engine-first</x:v>
      </x:c>
      <x:c r="C1327" s="10" t="str">
        <x:v>alterly</x:v>
      </x:c>
      <x:c r="D1327" s="10" t="str">
        <x:v>https://www.etsy.com/shop/alterly</x:v>
      </x:c>
      <x:c r="E1327" s="11" t="n">
        <x:v>7.98</x:v>
      </x:c>
      <x:c r="F1327" s="10" t="n">
        <x:v>0</x:v>
      </x:c>
      <x:c r="G1327" s="12" t="n">
        <x:v>0</x:v>
      </x:c>
      <x:c r="H1327" s="13" t="n">
        <x:v>0</x:v>
      </x:c>
      <x:c r="I1327" s="10" t="n">
        <x:v>18</x:v>
      </x:c>
      <x:c r="J1327" s="10" t="n">
        <x:v>3</x:v>
      </x:c>
      <x:c r="K1327" s="10" t="str">
        <x:v>18 Mo.</x:v>
      </x:c>
      <x:c r="L1327" s="10" t="n">
        <x:v>23</x:v>
      </x:c>
      <x:c r="M1327" s="10" t="n">
        <x:v>0</x:v>
      </x:c>
      <x:c r="N1327" s="10" t="n">
        <x:v>760</x:v>
      </x:c>
      <x:c r="O1327" s="10" t="str"/>
      <x:c r="P1327" s="10" t="n">
        <x:v>73</x:v>
      </x:c>
      <x:c r="Q1327" s="10" t="n">
        <x:v>0</x:v>
      </x:c>
      <x:c r="R1327" s="13" t="n">
        <x:v>2.37</x:v>
      </x:c>
      <x:c r="S1327" s="10" t="n">
        <x:v>3752</x:v>
      </x:c>
      <x:c r="T1327" s="10" t="str">
        <x:v>first time buyer,house buying planner,real estate planner,real estate tracker,dream home checklist,house hunting,mortgage calculator,market research,sheets template,house checklist,ranking spreadsheet,rating sheet,decision matrix</x:v>
      </x:c>
      <x:c r="U1327" s="10" t="str">
        <x:v>first time buyer</x:v>
      </x:c>
      <x:c r="V1327" s="10" t="str">
        <x:v>house buying planner</x:v>
      </x:c>
      <x:c r="W1327" s="10" t="str">
        <x:v>real estate planner</x:v>
      </x:c>
      <x:c r="X1327" s="10" t="str">
        <x:v>real estate tracker</x:v>
      </x:c>
      <x:c r="Y1327" s="10" t="str">
        <x:v>dream home checklist</x:v>
      </x:c>
      <x:c r="Z1327" s="10" t="str">
        <x:v>house hunting</x:v>
      </x:c>
      <x:c r="AA1327" s="10" t="str">
        <x:v>mortgage calculator</x:v>
      </x:c>
      <x:c r="AB1327" s="10" t="str">
        <x:v>market research</x:v>
      </x:c>
      <x:c r="AC1327" s="10" t="str">
        <x:v>sheets template</x:v>
      </x:c>
      <x:c r="AD1327" s="10" t="str">
        <x:v>house checklist</x:v>
      </x:c>
      <x:c r="AE1327" s="10" t="str">
        <x:v>ranking spreadsheet</x:v>
      </x:c>
      <x:c r="AF1327" s="10" t="str">
        <x:v>rating sheet</x:v>
      </x:c>
      <x:c r="AG1327" s="10" t="str">
        <x:v>decision matrix</x:v>
      </x:c>
      <x:c r="AH1327" s="10" t="str">
        <x:v>Home buying planner</x:v>
      </x:c>
      <x:c r="AI1327" s="13" t="n">
        <x:v>18</x:v>
      </x:c>
      <x:c r="AJ1327" s="10" t="str">
        <x:f>IF(F1327&gt;0,"Active","No est. sales")</x:f>
        <x:v>No est. sales</x:v>
      </x:c>
    </x:row>
    <x:row r="1328">
      <x:c r="A1328" s="10" t="str">
        <x:v>20+ Key Stickers, 0.75- 2in (1.9-5cm), vinyl</x:v>
      </x:c>
      <x:c r="B1328" s="10" t="str">
        <x:v>https://www.etsy.com/listing/1400193362/20-key-stickers-075-2in-19-5cm-vinyl</x:v>
      </x:c>
      <x:c r="C1328" s="10" t="str">
        <x:v>PolkaDotssandMore</x:v>
      </x:c>
      <x:c r="D1328" s="10" t="str">
        <x:v>https://www.etsy.com/shop/PolkaDotssandMore</x:v>
      </x:c>
      <x:c r="E1328" s="11" t="n">
        <x:v>4.97</x:v>
      </x:c>
      <x:c r="F1328" s="10" t="n">
        <x:v>0</x:v>
      </x:c>
      <x:c r="G1328" s="12" t="n">
        <x:v>0</x:v>
      </x:c>
      <x:c r="H1328" s="13" t="n">
        <x:v>0</x:v>
      </x:c>
      <x:c r="I1328" s="10" t="n">
        <x:v>0</x:v>
      </x:c>
      <x:c r="J1328" s="10" t="n">
        <x:v>0</x:v>
      </x:c>
      <x:c r="K1328" s="10" t="str">
        <x:v>41 Mo.</x:v>
      </x:c>
      <x:c r="L1328" s="10" t="n">
        <x:v>6</x:v>
      </x:c>
      <x:c r="M1328" s="10" t="n">
        <x:v>0</x:v>
      </x:c>
      <x:c r="N1328" s="10" t="n">
        <x:v>88</x:v>
      </x:c>
      <x:c r="O1328" s="10" t="str">
        <x:v>Paper &amp; Party Supplies</x:v>
      </x:c>
      <x:c r="P1328" s="10" t="n">
        <x:v>132</x:v>
      </x:c>
      <x:c r="Q1328" s="10" t="n">
        <x:v>0</x:v>
      </x:c>
      <x:c r="R1328" s="13" t="n">
        <x:v>0</x:v>
      </x:c>
      <x:c r="S1328" s="10" t="n">
        <x:v>40327</x:v>
      </x:c>
      <x:c r="T1328" s="10" t="str">
        <x:v>gold envelope seal,thank you note card,tiny mini small,key envelope seal,key stickers,key decals,housewarming party,realtor stickers,real estate agent,mortgage sticker,first home sticker,house warming gift,planner stickers</x:v>
      </x:c>
      <x:c r="U1328" s="10" t="str">
        <x:v>gold envelope seal</x:v>
      </x:c>
      <x:c r="V1328" s="10" t="str">
        <x:v>thank you note card</x:v>
      </x:c>
      <x:c r="W1328" s="10" t="str">
        <x:v>tiny mini small</x:v>
      </x:c>
      <x:c r="X1328" s="10" t="str">
        <x:v>key envelope seal</x:v>
      </x:c>
      <x:c r="Y1328" s="10" t="str">
        <x:v>key stickers</x:v>
      </x:c>
      <x:c r="Z1328" s="10" t="str">
        <x:v>key decals</x:v>
      </x:c>
      <x:c r="AA1328" s="10" t="str">
        <x:v>housewarming party</x:v>
      </x:c>
      <x:c r="AB1328" s="10" t="str">
        <x:v>realtor stickers</x:v>
      </x:c>
      <x:c r="AC1328" s="10" t="str">
        <x:v>real estate agent</x:v>
      </x:c>
      <x:c r="AD1328" s="10" t="str">
        <x:v>mortgage sticker</x:v>
      </x:c>
      <x:c r="AE1328" s="10" t="str">
        <x:v>first home sticker</x:v>
      </x:c>
      <x:c r="AF1328" s="10" t="str">
        <x:v>house warming gift</x:v>
      </x:c>
      <x:c r="AG1328" s="10" t="str">
        <x:v>planner stickers</x:v>
      </x:c>
      <x:c r="AH1328" s="10" t="str">
        <x:v>Other mortgage-related</x:v>
      </x:c>
      <x:c r="AI1328" s="13" t="n">
        <x:v>41</x:v>
      </x:c>
      <x:c r="AJ1328" s="10" t="str">
        <x:f>IF(F1328&gt;0,"Active","No est. sales")</x:f>
        <x:v>No est. sales</x:v>
      </x:c>
    </x:row>
    <x:row r="1329">
      <x:c r="A1329" s="10" t="str">
        <x:v>Home Buying Planner Spreadsheet | Affordability, Checklist, Calculator (Digital Download)</x:v>
      </x:c>
      <x:c r="B1329" s="10" t="str">
        <x:v>https://www.etsy.com/listing/4544011473/home-buying-planner-spreadsheet</x:v>
      </x:c>
      <x:c r="C1329" s="10" t="str">
        <x:v>OnTheSamePageIROW</x:v>
      </x:c>
      <x:c r="D1329" s="10" t="str">
        <x:v>https://www.etsy.com/shop/OnTheSamePageIROW</x:v>
      </x:c>
      <x:c r="E1329" s="11" t="n">
        <x:v>15.92</x:v>
      </x:c>
      <x:c r="F1329" s="10" t="n">
        <x:v>0</x:v>
      </x:c>
      <x:c r="G1329" s="12" t="n">
        <x:v>0</x:v>
      </x:c>
      <x:c r="H1329" s="13" t="n">
        <x:v>0</x:v>
      </x:c>
      <x:c r="I1329" s="10" t="n">
        <x:v>0</x:v>
      </x:c>
      <x:c r="J1329" s="10" t="n">
        <x:v>0</x:v>
      </x:c>
      <x:c r="K1329" s="10" t="str">
        <x:v>1 Mo.</x:v>
      </x:c>
      <x:c r="L1329" s="10" t="n">
        <x:v>0</x:v>
      </x:c>
      <x:c r="M1329" s="10" t="n">
        <x:v>0</x:v>
      </x:c>
      <x:c r="N1329" s="10" t="n">
        <x:v>2</x:v>
      </x:c>
      <x:c r="O1329" s="10" t="str"/>
      <x:c r="P1329" s="10" t="n">
        <x:v>0</x:v>
      </x:c>
      <x:c r="Q1329" s="10" t="n">
        <x:v>0</x:v>
      </x:c>
      <x:c r="R1329" s="13" t="n">
        <x:v>0</x:v>
      </x:c>
      <x:c r="S1329" s="10" t="n">
        <x:v>0</x:v>
      </x:c>
      <x:c r="T1329" s="10" t="str">
        <x:v>home buying planner,first time buyer,house deposit,mortgage calculator,home affordability,moving checklist,house budget,savings tracker,buying a house,house hunting,google sheets,home spreadsheet,down payment</x:v>
      </x:c>
      <x:c r="U1329" s="10" t="str">
        <x:v>home buying planner</x:v>
      </x:c>
      <x:c r="V1329" s="10" t="str">
        <x:v>first time buyer</x:v>
      </x:c>
      <x:c r="W1329" s="10" t="str">
        <x:v>house deposit</x:v>
      </x:c>
      <x:c r="X1329" s="10" t="str">
        <x:v>mortgage calculator</x:v>
      </x:c>
      <x:c r="Y1329" s="10" t="str">
        <x:v>home affordability</x:v>
      </x:c>
      <x:c r="Z1329" s="10" t="str">
        <x:v>moving checklist</x:v>
      </x:c>
      <x:c r="AA1329" s="10" t="str">
        <x:v>house budget</x:v>
      </x:c>
      <x:c r="AB1329" s="10" t="str">
        <x:v>savings tracker</x:v>
      </x:c>
      <x:c r="AC1329" s="10" t="str">
        <x:v>buying a house</x:v>
      </x:c>
      <x:c r="AD1329" s="10" t="str">
        <x:v>house hunting</x:v>
      </x:c>
      <x:c r="AE1329" s="10" t="str">
        <x:v>google sheets</x:v>
      </x:c>
      <x:c r="AF1329" s="10" t="str">
        <x:v>home spreadsheet</x:v>
      </x:c>
      <x:c r="AG1329" s="10" t="str">
        <x:v>down payment</x:v>
      </x:c>
      <x:c r="AH1329" s="10" t="str">
        <x:v>Home buying planner</x:v>
      </x:c>
      <x:c r="AI1329" s="13" t="n">
        <x:v>1</x:v>
      </x:c>
      <x:c r="AJ1329" s="10" t="str">
        <x:f>IF(F1329&gt;0,"Active","No est. sales")</x:f>
        <x:v>No est. sales</x:v>
      </x:c>
    </x:row>
    <x:row r="1330">
      <x:c r="A1330" s="10" t="str">
        <x:v>Debt Payoff Tracker Google Sheets | Snowball, Avalanche &amp; Custom Calculator |Credit Card Tracker, Home Loan, Student Loan, Debt-Free Planner</x:v>
      </x:c>
      <x:c r="B1330" s="10" t="str">
        <x:v>https://www.etsy.com/listing/4452332013/debt-payoff-tracker-google-sheets</x:v>
      </x:c>
      <x:c r="C1330" s="10" t="str">
        <x:v>nuceryar</x:v>
      </x:c>
      <x:c r="D1330" s="10" t="str">
        <x:v>https://www.etsy.com/shop/nuceryar</x:v>
      </x:c>
      <x:c r="E1330" s="11" t="n">
        <x:v>4.66</x:v>
      </x:c>
      <x:c r="F1330" s="10" t="n">
        <x:v>0</x:v>
      </x:c>
      <x:c r="G1330" s="12" t="n">
        <x:v>0</x:v>
      </x:c>
      <x:c r="H1330" s="13" t="n">
        <x:v>0</x:v>
      </x:c>
      <x:c r="I1330" s="10" t="n">
        <x:v>4</x:v>
      </x:c>
      <x:c r="J1330" s="10" t="n">
        <x:v>2</x:v>
      </x:c>
      <x:c r="K1330" s="10" t="str">
        <x:v>5 Mo.</x:v>
      </x:c>
      <x:c r="L1330" s="10" t="n">
        <x:v>0</x:v>
      </x:c>
      <x:c r="M1330" s="10" t="n">
        <x:v>0</x:v>
      </x:c>
      <x:c r="N1330" s="10" t="n">
        <x:v>55</x:v>
      </x:c>
      <x:c r="O1330" s="10" t="str">
        <x:v>Paper &amp; Party Supplies</x:v>
      </x:c>
      <x:c r="P1330" s="10" t="n">
        <x:v>10</x:v>
      </x:c>
      <x:c r="Q1330" s="10" t="n">
        <x:v>0</x:v>
      </x:c>
      <x:c r="R1330" s="13" t="n">
        <x:v>7.27</x:v>
      </x:c>
      <x:c r="S1330" s="10" t="n">
        <x:v>18</x:v>
      </x:c>
      <x:c r="T1330" s="10" t="str">
        <x:v>credit utilization,debt avalanche,mortgage payoff,google sheets budget,credit card payoff,debt payoff chart,debt snowball,student loan debt,debt payment tracker,debt payoff tracker,debt template,financial planner,credit score debt</x:v>
      </x:c>
      <x:c r="U1330" s="10" t="str">
        <x:v>credit utilization</x:v>
      </x:c>
      <x:c r="V1330" s="10" t="str">
        <x:v>debt avalanche</x:v>
      </x:c>
      <x:c r="W1330" s="10" t="str">
        <x:v>mortgage payoff</x:v>
      </x:c>
      <x:c r="X1330" s="10" t="str">
        <x:v>google sheets budget</x:v>
      </x:c>
      <x:c r="Y1330" s="10" t="str">
        <x:v>credit card payoff</x:v>
      </x:c>
      <x:c r="Z1330" s="10" t="str">
        <x:v>debt payoff chart</x:v>
      </x:c>
      <x:c r="AA1330" s="10" t="str">
        <x:v>debt snowball</x:v>
      </x:c>
      <x:c r="AB1330" s="10" t="str">
        <x:v>student loan debt</x:v>
      </x:c>
      <x:c r="AC1330" s="10" t="str">
        <x:v>debt payment tracker</x:v>
      </x:c>
      <x:c r="AD1330" s="10" t="str">
        <x:v>debt payoff tracker</x:v>
      </x:c>
      <x:c r="AE1330" s="10" t="str">
        <x:v>debt template</x:v>
      </x:c>
      <x:c r="AF1330" s="10" t="str">
        <x:v>financial planner</x:v>
      </x:c>
      <x:c r="AG1330" s="10" t="str">
        <x:v>credit score debt</x:v>
      </x:c>
      <x:c r="AH1330" s="10" t="str">
        <x:v>General debt payoff</x:v>
      </x:c>
      <x:c r="AI1330" s="13" t="n">
        <x:v>5</x:v>
      </x:c>
      <x:c r="AJ1330" s="10" t="str">
        <x:f>IF(F1330&gt;0,"Active","No est. sales")</x:f>
        <x:v>No est. sales</x:v>
      </x:c>
    </x:row>
    <x:row r="1331">
      <x:c r="A1331" s="10" t="str">
        <x:v>Custom House Goal Chart, Real Estate Tracking Sheet, Real Estate Agent Real Realtor Sales Goal Board, A4 Properties Business Planner</x:v>
      </x:c>
      <x:c r="B1331" s="10" t="str">
        <x:v>https://www.etsy.com/listing/1183427483/custom-house-goal-chart-real-estate</x:v>
      </x:c>
      <x:c r="C1331" s="10" t="str">
        <x:v>ThePartyPrintsShop</x:v>
      </x:c>
      <x:c r="D1331" s="10" t="str">
        <x:v>https://www.etsy.com/shop/ThePartyPrintsShop</x:v>
      </x:c>
      <x:c r="E1331" s="11" t="n">
        <x:v>4</x:v>
      </x:c>
      <x:c r="F1331" s="10" t="n">
        <x:v>0</x:v>
      </x:c>
      <x:c r="G1331" s="12" t="n">
        <x:v>0</x:v>
      </x:c>
      <x:c r="H1331" s="13" t="n">
        <x:v>0</x:v>
      </x:c>
      <x:c r="I1331" s="10" t="n">
        <x:v>0</x:v>
      </x:c>
      <x:c r="J1331" s="10" t="n">
        <x:v>0</x:v>
      </x:c>
      <x:c r="K1331" s="10" t="str">
        <x:v>53 Mo.</x:v>
      </x:c>
      <x:c r="L1331" s="10" t="n">
        <x:v>6</x:v>
      </x:c>
      <x:c r="M1331" s="10" t="n">
        <x:v>0</x:v>
      </x:c>
      <x:c r="N1331" s="10" t="n">
        <x:v>248</x:v>
      </x:c>
      <x:c r="O1331" s="10" t="str">
        <x:v>Paper &amp; Party Supplies</x:v>
      </x:c>
      <x:c r="P1331" s="10" t="n">
        <x:v>55</x:v>
      </x:c>
      <x:c r="Q1331" s="10" t="n">
        <x:v>0</x:v>
      </x:c>
      <x:c r="R1331" s="13" t="n">
        <x:v>0</x:v>
      </x:c>
      <x:c r="S1331" s="10" t="n">
        <x:v>1414</x:v>
      </x:c>
      <x:c r="T1331" s="10" t="str">
        <x:v>realtor marketing,realtor template,realtor open house,realtor planner,goal setting,progress tracker,financial peace,mortgage debt,downpayment,house chore chart,property business,property management,realtor logo</x:v>
      </x:c>
      <x:c r="U1331" s="10" t="str">
        <x:v>realtor marketing</x:v>
      </x:c>
      <x:c r="V1331" s="10" t="str">
        <x:v>realtor template</x:v>
      </x:c>
      <x:c r="W1331" s="10" t="str">
        <x:v>realtor open house</x:v>
      </x:c>
      <x:c r="X1331" s="10" t="str">
        <x:v>realtor planner</x:v>
      </x:c>
      <x:c r="Y1331" s="10" t="str">
        <x:v>goal setting</x:v>
      </x:c>
      <x:c r="Z1331" s="10" t="str">
        <x:v>progress tracker</x:v>
      </x:c>
      <x:c r="AA1331" s="10" t="str">
        <x:v>financial peace</x:v>
      </x:c>
      <x:c r="AB1331" s="10" t="str">
        <x:v>mortgage debt</x:v>
      </x:c>
      <x:c r="AC1331" s="10" t="str">
        <x:v>downpayment</x:v>
      </x:c>
      <x:c r="AD1331" s="10" t="str">
        <x:v>house chore chart</x:v>
      </x:c>
      <x:c r="AE1331" s="10" t="str">
        <x:v>property business</x:v>
      </x:c>
      <x:c r="AF1331" s="10" t="str">
        <x:v>property management</x:v>
      </x:c>
      <x:c r="AG1331" s="10" t="str">
        <x:v>realtor logo</x:v>
      </x:c>
      <x:c r="AH1331" s="10" t="str">
        <x:v>Other mortgage-related</x:v>
      </x:c>
      <x:c r="AI1331" s="13" t="n">
        <x:v>53</x:v>
      </x:c>
      <x:c r="AJ1331" s="10" t="str">
        <x:f>IF(F1331&gt;0,"Active","No est. sales")</x:f>
        <x:v>No est. sales</x:v>
      </x:c>
    </x:row>
    <x:row r="1332">
      <x:c r="A1332" s="10" t="str">
        <x:v>Home Affordability Calculator Spreadsheet | Mortgage Qualification Tool Canada USA | Excel Google Sheets</x:v>
      </x:c>
      <x:c r="B1332" s="10" t="str">
        <x:v>https://www.etsy.com/listing/4411376892/home-affordability-calculator-sheet-for</x:v>
      </x:c>
      <x:c r="C1332" s="10" t="str">
        <x:v>FinanceBuddyStudio</x:v>
      </x:c>
      <x:c r="D1332" s="10" t="str">
        <x:v>https://www.etsy.com/shop/FinanceBuddyStudio</x:v>
      </x:c>
      <x:c r="E1332" s="11" t="n">
        <x:v>7.09</x:v>
      </x:c>
      <x:c r="F1332" s="10" t="n">
        <x:v>0</x:v>
      </x:c>
      <x:c r="G1332" s="12" t="n">
        <x:v>0</x:v>
      </x:c>
      <x:c r="H1332" s="13" t="n">
        <x:v>0</x:v>
      </x:c>
      <x:c r="I1332" s="10" t="n">
        <x:v>0</x:v>
      </x:c>
      <x:c r="J1332" s="10" t="n">
        <x:v>0</x:v>
      </x:c>
      <x:c r="K1332" s="10" t="str">
        <x:v>8 Mo.</x:v>
      </x:c>
      <x:c r="L1332" s="10" t="n">
        <x:v>0</x:v>
      </x:c>
      <x:c r="M1332" s="10" t="n">
        <x:v>0</x:v>
      </x:c>
      <x:c r="N1332" s="10" t="n">
        <x:v>19</x:v>
      </x:c>
      <x:c r="O1332" s="10" t="str"/>
      <x:c r="P1332" s="10" t="n">
        <x:v>8</x:v>
      </x:c>
      <x:c r="Q1332" s="10" t="n">
        <x:v>0</x:v>
      </x:c>
      <x:c r="R1332" s="13" t="n">
        <x:v>0</x:v>
      </x:c>
      <x:c r="S1332" s="10" t="n">
        <x:v>5</x:v>
      </x:c>
      <x:c r="T1332" s="10" t="str">
        <x:v>home affordability,mortgage calculator,usa mortgage tool,gds tds calculator,dti ratio tool,home budget sheet,excel mortgage calc,house affordability,first time buyer,home buying planner,real estate calc,canada mortgage,mortgage qualifier</x:v>
      </x:c>
      <x:c r="U1332" s="10" t="str">
        <x:v>home affordability</x:v>
      </x:c>
      <x:c r="V1332" s="10" t="str">
        <x:v>mortgage calculator</x:v>
      </x:c>
      <x:c r="W1332" s="10" t="str">
        <x:v>usa mortgage tool</x:v>
      </x:c>
      <x:c r="X1332" s="10" t="str">
        <x:v>gds tds calculator</x:v>
      </x:c>
      <x:c r="Y1332" s="10" t="str">
        <x:v>dti ratio tool</x:v>
      </x:c>
      <x:c r="Z1332" s="10" t="str">
        <x:v>home budget sheet</x:v>
      </x:c>
      <x:c r="AA1332" s="10" t="str">
        <x:v>excel mortgage calc</x:v>
      </x:c>
      <x:c r="AB1332" s="10" t="str">
        <x:v>house affordability</x:v>
      </x:c>
      <x:c r="AC1332" s="10" t="str">
        <x:v>first time buyer</x:v>
      </x:c>
      <x:c r="AD1332" s="10" t="str">
        <x:v>home buying planner</x:v>
      </x:c>
      <x:c r="AE1332" s="10" t="str">
        <x:v>real estate calc</x:v>
      </x:c>
      <x:c r="AF1332" s="10" t="str">
        <x:v>canada mortgage</x:v>
      </x:c>
      <x:c r="AG1332" s="10" t="str">
        <x:v>mortgage qualifier</x:v>
      </x:c>
      <x:c r="AH1332" s="10" t="str">
        <x:v>Home buying planner</x:v>
      </x:c>
      <x:c r="AI1332" s="13" t="n">
        <x:v>8</x:v>
      </x:c>
      <x:c r="AJ1332" s="10" t="str">
        <x:f>IF(F1332&gt;0,"Active","No est. sales")</x:f>
        <x:v>No est. sales</x:v>
      </x:c>
    </x:row>
    <x:row r="1333">
      <x:c r="A1333" s="10" t="str">
        <x:v>Home Amortization Schedule Template | Loan Payment Tracker | Mortgage Calculator Sheet | Excel &amp; Google Sheets</x:v>
      </x:c>
      <x:c r="B1333" s="10" t="str">
        <x:v>https://www.etsy.com/listing/4493440108/home-amortization-schedule-template-loan</x:v>
      </x:c>
      <x:c r="C1333" s="10" t="str">
        <x:v>Xeasysheets</x:v>
      </x:c>
      <x:c r="D1333" s="10" t="str">
        <x:v>https://www.etsy.com/shop/Xeasysheets</x:v>
      </x:c>
      <x:c r="E1333" s="11" t="n">
        <x:v>11.09</x:v>
      </x:c>
      <x:c r="F1333" s="10" t="n">
        <x:v>0</x:v>
      </x:c>
      <x:c r="G1333" s="12" t="n">
        <x:v>0</x:v>
      </x:c>
      <x:c r="H1333" s="13" t="n">
        <x:v>0</x:v>
      </x:c>
      <x:c r="I1333" s="10" t="n">
        <x:v>0</x:v>
      </x:c>
      <x:c r="J1333" s="10" t="n">
        <x:v>0</x:v>
      </x:c>
      <x:c r="K1333" s="10" t="str">
        <x:v>3 Mo.</x:v>
      </x:c>
      <x:c r="L1333" s="10" t="n">
        <x:v>0</x:v>
      </x:c>
      <x:c r="M1333" s="10" t="n">
        <x:v>0</x:v>
      </x:c>
      <x:c r="N1333" s="10" t="n">
        <x:v>0</x:v>
      </x:c>
      <x:c r="O1333" s="10" t="str"/>
      <x:c r="P1333" s="10" t="n">
        <x:v>12</x:v>
      </x:c>
      <x:c r="Q1333" s="10" t="n">
        <x:v>0</x:v>
      </x:c>
      <x:c r="R1333" s="13" t="n">
        <x:v>0</x:v>
      </x:c>
      <x:c r="S1333" s="10" t="n">
        <x:v>2161</x:v>
      </x:c>
      <x:c r="T1333" s="10" t="str">
        <x:v>loan tracker,amortization,mortgage sheet,payment tracker,loan schedule,finance planner,budget sheet,excel finance,sheet planner,loan planner,home budget,debt tracker</x:v>
      </x:c>
      <x:c r="U1333" s="10" t="str">
        <x:v>loan tracker</x:v>
      </x:c>
      <x:c r="V1333" s="10" t="str">
        <x:v>amortization</x:v>
      </x:c>
      <x:c r="W1333" s="10" t="str">
        <x:v>mortgage sheet</x:v>
      </x:c>
      <x:c r="X1333" s="10" t="str">
        <x:v>payment tracker</x:v>
      </x:c>
      <x:c r="Y1333" s="10" t="str">
        <x:v>loan schedule</x:v>
      </x:c>
      <x:c r="Z1333" s="10" t="str">
        <x:v>finance planner</x:v>
      </x:c>
      <x:c r="AA1333" s="10" t="str">
        <x:v>budget sheet</x:v>
      </x:c>
      <x:c r="AB1333" s="10" t="str">
        <x:v>excel finance</x:v>
      </x:c>
      <x:c r="AC1333" s="10" t="str">
        <x:v>sheet planner</x:v>
      </x:c>
      <x:c r="AD1333" s="10" t="str">
        <x:v>loan planner</x:v>
      </x:c>
      <x:c r="AE1333" s="10" t="str">
        <x:v>home budget</x:v>
      </x:c>
      <x:c r="AF1333" s="10" t="str">
        <x:v>debt tracker</x:v>
      </x:c>
      <x:c r="AG1333" s="10" t="str">
        <x:v>--</x:v>
      </x:c>
      <x:c r="AH1333" s="10" t="str">
        <x:v>Mortgage payoff / calculator</x:v>
      </x:c>
      <x:c r="AI1333" s="13" t="n">
        <x:v>3</x:v>
      </x:c>
      <x:c r="AJ1333" s="10" t="str">
        <x:f>IF(F1333&gt;0,"Active","No est. sales")</x:f>
        <x:v>No est. sales</x:v>
      </x:c>
    </x:row>
    <x:row r="1334">
      <x:c r="A1334" s="10" t="str">
        <x:v>Real Estate Mortgage Calculator | Excel &amp; Google Sheets Loan Payment Calculator | Amortization Schedule Spreadsheet | Home Loan Planner</x:v>
      </x:c>
      <x:c r="B1334" s="10" t="str">
        <x:v>https://www.etsy.com/listing/4480697357/real-estate-mortgage-calculator-excel</x:v>
      </x:c>
      <x:c r="C1334" s="10" t="str">
        <x:v>Xeasysheets</x:v>
      </x:c>
      <x:c r="D1334" s="10" t="str">
        <x:v>https://www.etsy.com/shop/Xeasysheets</x:v>
      </x:c>
      <x:c r="E1334" s="11" t="n">
        <x:v>11.09</x:v>
      </x:c>
      <x:c r="F1334" s="10" t="n">
        <x:v>0</x:v>
      </x:c>
      <x:c r="G1334" s="12" t="n">
        <x:v>0</x:v>
      </x:c>
      <x:c r="H1334" s="13" t="n">
        <x:v>0</x:v>
      </x:c>
      <x:c r="I1334" s="10" t="n">
        <x:v>0</x:v>
      </x:c>
      <x:c r="J1334" s="10" t="n">
        <x:v>0</x:v>
      </x:c>
      <x:c r="K1334" s="10" t="str">
        <x:v>4 Mo.</x:v>
      </x:c>
      <x:c r="L1334" s="10" t="n">
        <x:v>0</x:v>
      </x:c>
      <x:c r="M1334" s="10" t="n">
        <x:v>0</x:v>
      </x:c>
      <x:c r="N1334" s="10" t="n">
        <x:v>10</x:v>
      </x:c>
      <x:c r="O1334" s="10" t="str"/>
      <x:c r="P1334" s="10" t="n">
        <x:v>12</x:v>
      </x:c>
      <x:c r="Q1334" s="10" t="n">
        <x:v>0</x:v>
      </x:c>
      <x:c r="R1334" s="13" t="n">
        <x:v>0</x:v>
      </x:c>
      <x:c r="S1334" s="10" t="n">
        <x:v>2161</x:v>
      </x:c>
      <x:c r="T1334" s="10" t="str">
        <x:v>mortgage calc,loan calculator,amortization,home loan log,excel finance,google sheets,payment sheet,real estate,loan planner,interest log,finance sheet,mortgage log,budget tool</x:v>
      </x:c>
      <x:c r="U1334" s="10" t="str">
        <x:v>mortgage calc</x:v>
      </x:c>
      <x:c r="V1334" s="10" t="str">
        <x:v>loan calculator</x:v>
      </x:c>
      <x:c r="W1334" s="10" t="str">
        <x:v>amortization</x:v>
      </x:c>
      <x:c r="X1334" s="10" t="str">
        <x:v>home loan log</x:v>
      </x:c>
      <x:c r="Y1334" s="10" t="str">
        <x:v>excel finance</x:v>
      </x:c>
      <x:c r="Z1334" s="10" t="str">
        <x:v>google sheets</x:v>
      </x:c>
      <x:c r="AA1334" s="10" t="str">
        <x:v>payment sheet</x:v>
      </x:c>
      <x:c r="AB1334" s="10" t="str">
        <x:v>real estate</x:v>
      </x:c>
      <x:c r="AC1334" s="10" t="str">
        <x:v>loan planner</x:v>
      </x:c>
      <x:c r="AD1334" s="10" t="str">
        <x:v>interest log</x:v>
      </x:c>
      <x:c r="AE1334" s="10" t="str">
        <x:v>finance sheet</x:v>
      </x:c>
      <x:c r="AF1334" s="10" t="str">
        <x:v>mortgage log</x:v>
      </x:c>
      <x:c r="AG1334" s="10" t="str">
        <x:v>budget tool</x:v>
      </x:c>
      <x:c r="AH1334" s="10" t="str">
        <x:v>Mortgage payoff / calculator</x:v>
      </x:c>
      <x:c r="AI1334" s="13" t="n">
        <x:v>4</x:v>
      </x:c>
      <x:c r="AJ1334" s="10" t="str">
        <x:f>IF(F1334&gt;0,"Active","No est. sales")</x:f>
        <x:v>No est. sales</x:v>
      </x:c>
    </x:row>
    <x:row r="1335">
      <x:c r="A1335" s="10" t="str">
        <x:v>Pay Mortgage Planner Stickers, 36 Labels for Planners, Calendars and More, Paper Options Available</x:v>
      </x:c>
      <x:c r="B1335" s="10" t="str">
        <x:v>https://www.etsy.com/listing/722465362/pay-mortgage-planner-stickers-36-labels</x:v>
      </x:c>
      <x:c r="C1335" s="10" t="str">
        <x:v>frannielambstickers</x:v>
      </x:c>
      <x:c r="D1335" s="10" t="str">
        <x:v>https://www.etsy.com/shop/frannielambstickers</x:v>
      </x:c>
      <x:c r="E1335" s="11" t="n">
        <x:v>3.99</x:v>
      </x:c>
      <x:c r="F1335" s="10" t="n">
        <x:v>0</x:v>
      </x:c>
      <x:c r="G1335" s="12" t="n">
        <x:v>0</x:v>
      </x:c>
      <x:c r="H1335" s="13" t="n">
        <x:v>0</x:v>
      </x:c>
      <x:c r="I1335" s="10" t="n">
        <x:v>34</x:v>
      </x:c>
      <x:c r="J1335" s="10" t="n">
        <x:v>7</x:v>
      </x:c>
      <x:c r="K1335" s="10" t="str">
        <x:v>82 Mo.</x:v>
      </x:c>
      <x:c r="L1335" s="10" t="n">
        <x:v>101</x:v>
      </x:c>
      <x:c r="M1335" s="10" t="n">
        <x:v>0</x:v>
      </x:c>
      <x:c r="N1335" s="10" t="n">
        <x:v>652</x:v>
      </x:c>
      <x:c r="O1335" s="10" t="str">
        <x:v>Paper &amp; Party Supplies</x:v>
      </x:c>
      <x:c r="P1335" s="10" t="n">
        <x:v>112</x:v>
      </x:c>
      <x:c r="Q1335" s="10" t="n">
        <x:v>0</x:v>
      </x:c>
      <x:c r="R1335" s="13" t="n">
        <x:v>5.21</x:v>
      </x:c>
      <x:c r="S1335" s="10" t="n">
        <x:v>166558</x:v>
      </x:c>
      <x:c r="T1335" s="10" t="str">
        <x:v>planner stickers,clear stickers,calendar stickers,happy planner,erin condren planner,functional stickers,planner labels,custom stickers,reminder stickers,bill reminder label,pay mortgage sticker,bill stickers,mortgage reminder</x:v>
      </x:c>
      <x:c r="U1335" s="10" t="str">
        <x:v>planner stickers</x:v>
      </x:c>
      <x:c r="V1335" s="10" t="str">
        <x:v>clear stickers</x:v>
      </x:c>
      <x:c r="W1335" s="10" t="str">
        <x:v>calendar stickers</x:v>
      </x:c>
      <x:c r="X1335" s="10" t="str">
        <x:v>happy planner</x:v>
      </x:c>
      <x:c r="Y1335" s="10" t="str">
        <x:v>erin condren planner</x:v>
      </x:c>
      <x:c r="Z1335" s="10" t="str">
        <x:v>functional stickers</x:v>
      </x:c>
      <x:c r="AA1335" s="10" t="str">
        <x:v>planner labels</x:v>
      </x:c>
      <x:c r="AB1335" s="10" t="str">
        <x:v>custom stickers</x:v>
      </x:c>
      <x:c r="AC1335" s="10" t="str">
        <x:v>reminder stickers</x:v>
      </x:c>
      <x:c r="AD1335" s="10" t="str">
        <x:v>bill reminder label</x:v>
      </x:c>
      <x:c r="AE1335" s="10" t="str">
        <x:v>pay mortgage sticker</x:v>
      </x:c>
      <x:c r="AF1335" s="10" t="str">
        <x:v>bill stickers</x:v>
      </x:c>
      <x:c r="AG1335" s="10" t="str">
        <x:v>mortgage reminder</x:v>
      </x:c>
      <x:c r="AH1335" s="10" t="str">
        <x:v>Other mortgage-related</x:v>
      </x:c>
      <x:c r="AI1335" s="13" t="n">
        <x:v>82</x:v>
      </x:c>
      <x:c r="AJ1335" s="10" t="str">
        <x:f>IF(F1335&gt;0,"Active","No est. sales")</x:f>
        <x:v>No est. sales</x:v>
      </x:c>
    </x:row>
    <x:row r="1336">
      <x:c r="A1336" s="10" t="str">
        <x:v>Chic Printable Debt Tracker | Budget Planner | Snowball &amp; Avalanche Payoff Method | Finance Organizer | Instant Download</x:v>
      </x:c>
      <x:c r="B1336" s="10" t="str">
        <x:v>https://www.etsy.com/listing/1513613115/chic-printable-debt-tracker-budget</x:v>
      </x:c>
      <x:c r="C1336" s="10" t="str">
        <x:v>DesignifyStudioCo</x:v>
      </x:c>
      <x:c r="D1336" s="10" t="str">
        <x:v>https://www.etsy.com/shop/DesignifyStudioCo</x:v>
      </x:c>
      <x:c r="E1336" s="11" t="n">
        <x:v>2.5</x:v>
      </x:c>
      <x:c r="F1336" s="10" t="n">
        <x:v>0</x:v>
      </x:c>
      <x:c r="G1336" s="12" t="n">
        <x:v>0</x:v>
      </x:c>
      <x:c r="H1336" s="13" t="n">
        <x:v>0</x:v>
      </x:c>
      <x:c r="I1336" s="10" t="n">
        <x:v>8</x:v>
      </x:c>
      <x:c r="J1336" s="10" t="n">
        <x:v>1</x:v>
      </x:c>
      <x:c r="K1336" s="10" t="str">
        <x:v>37 Mo.</x:v>
      </x:c>
      <x:c r="L1336" s="10" t="n">
        <x:v>5</x:v>
      </x:c>
      <x:c r="M1336" s="10" t="n">
        <x:v>0</x:v>
      </x:c>
      <x:c r="N1336" s="10" t="n">
        <x:v>361</x:v>
      </x:c>
      <x:c r="O1336" s="10" t="str"/>
      <x:c r="P1336" s="10" t="n">
        <x:v>42</x:v>
      </x:c>
      <x:c r="Q1336" s="10" t="n">
        <x:v>0</x:v>
      </x:c>
      <x:c r="R1336" s="13" t="n">
        <x:v>2.22</x:v>
      </x:c>
      <x:c r="S1336" s="10" t="n">
        <x:v>44</x:v>
      </x:c>
      <x:c r="T1336" s="10" t="str">
        <x:v>debt tracker,money management,spending tracker,debt payoff planner,debt payment tracker,loan payoff tracker,credit card debt,financial planner,personal finance,snowball method,mortgage payoff,snowball calculator,debt free planner</x:v>
      </x:c>
      <x:c r="U1336" s="10" t="str">
        <x:v>debt tracker</x:v>
      </x:c>
      <x:c r="V1336" s="10" t="str">
        <x:v>money management</x:v>
      </x:c>
      <x:c r="W1336" s="10" t="str">
        <x:v>spending tracker</x:v>
      </x:c>
      <x:c r="X1336" s="10" t="str">
        <x:v>debt payoff planner</x:v>
      </x:c>
      <x:c r="Y1336" s="10" t="str">
        <x:v>debt payment tracker</x:v>
      </x:c>
      <x:c r="Z1336" s="10" t="str">
        <x:v>loan payoff tracker</x:v>
      </x:c>
      <x:c r="AA1336" s="10" t="str">
        <x:v>credit card debt</x:v>
      </x:c>
      <x:c r="AB1336" s="10" t="str">
        <x:v>financial planner</x:v>
      </x:c>
      <x:c r="AC1336" s="10" t="str">
        <x:v>personal finance</x:v>
      </x:c>
      <x:c r="AD1336" s="10" t="str">
        <x:v>snowball method</x:v>
      </x:c>
      <x:c r="AE1336" s="10" t="str">
        <x:v>mortgage payoff</x:v>
      </x:c>
      <x:c r="AF1336" s="10" t="str">
        <x:v>snowball calculator</x:v>
      </x:c>
      <x:c r="AG1336" s="10" t="str">
        <x:v>debt free planner</x:v>
      </x:c>
      <x:c r="AH1336" s="10" t="str">
        <x:v>General debt payoff</x:v>
      </x:c>
      <x:c r="AI1336" s="13" t="n">
        <x:v>37</x:v>
      </x:c>
      <x:c r="AJ1336" s="10" t="str">
        <x:f>IF(F1336&gt;0,"Active","No est. sales")</x:f>
        <x:v>No est. sales</x:v>
      </x:c>
    </x:row>
    <x:row r="1337">
      <x:c r="A1337" s="10" t="str">
        <x:v>Simple Mortgage Amortization Table | Easy-to-Use Spreadsheet | Track Mortgage Payoff | Reduce Interest Paid</x:v>
      </x:c>
      <x:c r="B1337" s="10" t="str">
        <x:v>https://www.etsy.com/listing/4462590092/simple-mortgage-amortization-table-easy</x:v>
      </x:c>
      <x:c r="C1337" s="10" t="str">
        <x:v>VoltaPath</x:v>
      </x:c>
      <x:c r="D1337" s="10" t="str">
        <x:v>https://www.etsy.com/shop/VoltaPath</x:v>
      </x:c>
      <x:c r="E1337" s="11" t="n">
        <x:v>1.99</x:v>
      </x:c>
      <x:c r="F1337" s="10" t="n">
        <x:v>0</x:v>
      </x:c>
      <x:c r="G1337" s="12" t="n">
        <x:v>0</x:v>
      </x:c>
      <x:c r="H1337" s="13" t="n">
        <x:v>0</x:v>
      </x:c>
      <x:c r="I1337" s="10" t="n">
        <x:v>0</x:v>
      </x:c>
      <x:c r="J1337" s="10" t="n">
        <x:v>0</x:v>
      </x:c>
      <x:c r="K1337" s="10" t="str">
        <x:v>5 Mo.</x:v>
      </x:c>
      <x:c r="L1337" s="10" t="n">
        <x:v>0</x:v>
      </x:c>
      <x:c r="M1337" s="10" t="n">
        <x:v>0</x:v>
      </x:c>
      <x:c r="N1337" s="10" t="n">
        <x:v>29</x:v>
      </x:c>
      <x:c r="O1337" s="10" t="str"/>
      <x:c r="P1337" s="10" t="n">
        <x:v>5</x:v>
      </x:c>
      <x:c r="Q1337" s="10" t="n">
        <x:v>0</x:v>
      </x:c>
      <x:c r="R1337" s="13" t="n">
        <x:v>0</x:v>
      </x:c>
      <x:c r="S1337" s="10" t="n">
        <x:v>0</x:v>
      </x:c>
      <x:c r="T1337" s="10" t="str">
        <x:v>mortgage calculator,amortization,loan payoff,financial planner,google sheets budget,home finance tool,real estate tool,mortgage payoff,mortgage template,home loan tracker</x:v>
      </x:c>
      <x:c r="U1337" s="10" t="str">
        <x:v>mortgage calculator</x:v>
      </x:c>
      <x:c r="V1337" s="10" t="str">
        <x:v>amortization</x:v>
      </x:c>
      <x:c r="W1337" s="10" t="str">
        <x:v>loan payoff</x:v>
      </x:c>
      <x:c r="X1337" s="10" t="str">
        <x:v>financial planner</x:v>
      </x:c>
      <x:c r="Y1337" s="10" t="str">
        <x:v>google sheets budget</x:v>
      </x:c>
      <x:c r="Z1337" s="10" t="str">
        <x:v>home finance tool</x:v>
      </x:c>
      <x:c r="AA1337" s="10" t="str">
        <x:v>real estate tool</x:v>
      </x:c>
      <x:c r="AB1337" s="10" t="str">
        <x:v>mortgage payoff</x:v>
      </x:c>
      <x:c r="AC1337" s="10" t="str">
        <x:v>mortgage template</x:v>
      </x:c>
      <x:c r="AD1337" s="10" t="str">
        <x:v>home loan tracker</x:v>
      </x:c>
      <x:c r="AE1337" s="10" t="str">
        <x:v>--</x:v>
      </x:c>
      <x:c r="AF1337" s="10" t="str">
        <x:v>--</x:v>
      </x:c>
      <x:c r="AG1337" s="10" t="str">
        <x:v>--</x:v>
      </x:c>
      <x:c r="AH1337" s="10" t="str">
        <x:v>Mortgage payoff / calculator</x:v>
      </x:c>
      <x:c r="AI1337" s="13" t="n">
        <x:v>5</x:v>
      </x:c>
      <x:c r="AJ1337" s="10" t="str">
        <x:f>IF(F1337&gt;0,"Active","No est. sales")</x:f>
        <x:v>No est. sales</x:v>
      </x:c>
    </x:row>
    <x:row r="1338">
      <x:c r="A1338" s="10" t="str">
        <x:v>Extra Mortgage Payment Calculator Google Sheets Early Payoff Planner, Interest Savings &amp; Amortization Schedule</x:v>
      </x:c>
      <x:c r="B1338" s="10" t="str">
        <x:v>https://www.etsy.com/listing/4544601194/extra-mortgage-payment-calculator-google</x:v>
      </x:c>
      <x:c r="C1338" s="10" t="str">
        <x:v>CashflowControl</x:v>
      </x:c>
      <x:c r="D1338" s="10" t="str">
        <x:v>https://www.etsy.com/shop/CashflowControl</x:v>
      </x:c>
      <x:c r="E1338" s="11" t="n">
        <x:v>6.09</x:v>
      </x:c>
      <x:c r="F1338" s="10" t="n">
        <x:v>0</x:v>
      </x:c>
      <x:c r="G1338" s="12" t="n">
        <x:v>0</x:v>
      </x:c>
      <x:c r="H1338" s="13" t="n">
        <x:v>0</x:v>
      </x:c>
      <x:c r="I1338" s="10" t="n">
        <x:v>0</x:v>
      </x:c>
      <x:c r="J1338" s="10" t="n">
        <x:v>0</x:v>
      </x:c>
      <x:c r="K1338" s="10" t="str">
        <x:v>1 Mo.</x:v>
      </x:c>
      <x:c r="L1338" s="10" t="n">
        <x:v>0</x:v>
      </x:c>
      <x:c r="M1338" s="10" t="n">
        <x:v>0</x:v>
      </x:c>
      <x:c r="N1338" s="10" t="n">
        <x:v>2</x:v>
      </x:c>
      <x:c r="O1338" s="10" t="str"/>
      <x:c r="P1338" s="10" t="n">
        <x:v>3</x:v>
      </x:c>
      <x:c r="Q1338" s="10" t="n">
        <x:v>0</x:v>
      </x:c>
      <x:c r="R1338" s="13" t="n">
        <x:v>0</x:v>
      </x:c>
      <x:c r="S1338" s="10" t="n">
        <x:v>200</x:v>
      </x:c>
      <x:c r="T1338" s="10" t="str">
        <x:v>mortgage calculator,extra payment calc,mortgage payoff,payoff calculator,mortgage planner,google sheets,amortization sheet,payoff schedule,interest savings,monthly extra pay,lump sum mortgage,annual extra pay,debt payoff planner</x:v>
      </x:c>
      <x:c r="U1338" s="10" t="str">
        <x:v>mortgage calculator</x:v>
      </x:c>
      <x:c r="V1338" s="10" t="str">
        <x:v>extra payment calc</x:v>
      </x:c>
      <x:c r="W1338" s="10" t="str">
        <x:v>mortgage payoff</x:v>
      </x:c>
      <x:c r="X1338" s="10" t="str">
        <x:v>payoff calculator</x:v>
      </x:c>
      <x:c r="Y1338" s="10" t="str">
        <x:v>mortgage planner</x:v>
      </x:c>
      <x:c r="Z1338" s="10" t="str">
        <x:v>google sheets</x:v>
      </x:c>
      <x:c r="AA1338" s="10" t="str">
        <x:v>amortization sheet</x:v>
      </x:c>
      <x:c r="AB1338" s="10" t="str">
        <x:v>payoff schedule</x:v>
      </x:c>
      <x:c r="AC1338" s="10" t="str">
        <x:v>interest savings</x:v>
      </x:c>
      <x:c r="AD1338" s="10" t="str">
        <x:v>monthly extra pay</x:v>
      </x:c>
      <x:c r="AE1338" s="10" t="str">
        <x:v>lump sum mortgage</x:v>
      </x:c>
      <x:c r="AF1338" s="10" t="str">
        <x:v>annual extra pay</x:v>
      </x:c>
      <x:c r="AG1338" s="10" t="str">
        <x:v>debt payoff planner</x:v>
      </x:c>
      <x:c r="AH1338" s="10" t="str">
        <x:v>Mortgage payoff / calculator</x:v>
      </x:c>
      <x:c r="AI1338" s="13" t="n">
        <x:v>1</x:v>
      </x:c>
      <x:c r="AJ1338" s="10" t="str">
        <x:f>IF(F1338&gt;0,"Active","No est. sales")</x:f>
        <x:v>No est. sales</x:v>
      </x:c>
    </x:row>
    <x:row r="1339">
      <x:c r="A1339" s="10" t="str">
        <x:v>First Home Buyer Budget Planner: Excel, Google Sheets (5 Languages)</x:v>
      </x:c>
      <x:c r="B1339" s="10" t="str">
        <x:v>https://www.etsy.com/listing/4529842586/first-home-buyer-budget-planner-excel</x:v>
      </x:c>
      <x:c r="C1339" s="10" t="str">
        <x:v>StepWithYou</x:v>
      </x:c>
      <x:c r="D1339" s="10" t="str">
        <x:v>https://www.etsy.com/shop/StepWithYou</x:v>
      </x:c>
      <x:c r="E1339" s="11" t="n">
        <x:v>5</x:v>
      </x:c>
      <x:c r="F1339" s="10" t="n">
        <x:v>0</x:v>
      </x:c>
      <x:c r="G1339" s="12" t="n">
        <x:v>0</x:v>
      </x:c>
      <x:c r="H1339" s="13" t="n">
        <x:v>0</x:v>
      </x:c>
      <x:c r="I1339" s="10" t="n">
        <x:v>0</x:v>
      </x:c>
      <x:c r="J1339" s="10" t="n">
        <x:v>0</x:v>
      </x:c>
      <x:c r="K1339" s="10" t="str">
        <x:v>1 Mo.</x:v>
      </x:c>
      <x:c r="L1339" s="10" t="n">
        <x:v>0</x:v>
      </x:c>
      <x:c r="M1339" s="10" t="n">
        <x:v>0</x:v>
      </x:c>
      <x:c r="N1339" s="10" t="n">
        <x:v>2</x:v>
      </x:c>
      <x:c r="O1339" s="10" t="str">
        <x:v>Paper &amp; Party Supplies</x:v>
      </x:c>
      <x:c r="P1339" s="10" t="n">
        <x:v>61</x:v>
      </x:c>
      <x:c r="Q1339" s="10" t="n">
        <x:v>0</x:v>
      </x:c>
      <x:c r="R1339" s="13" t="n">
        <x:v>0</x:v>
      </x:c>
      <x:c r="S1339" s="10" t="n">
        <x:v>26</x:v>
      </x:c>
      <x:c r="T1339" s="10" t="str">
        <x:v>first home budget,home buyer planner,home purchase cost,first home excel,house buying budget,mortgage calculator,home buying tracker,new homeowner budget,moving budget sheet,home setup tracker,first home planner,house budget tool,homeowner budget</x:v>
      </x:c>
      <x:c r="U1339" s="10" t="str">
        <x:v>first home budget</x:v>
      </x:c>
      <x:c r="V1339" s="10" t="str">
        <x:v>home buyer planner</x:v>
      </x:c>
      <x:c r="W1339" s="10" t="str">
        <x:v>home purchase cost</x:v>
      </x:c>
      <x:c r="X1339" s="10" t="str">
        <x:v>first home excel</x:v>
      </x:c>
      <x:c r="Y1339" s="10" t="str">
        <x:v>house buying budget</x:v>
      </x:c>
      <x:c r="Z1339" s="10" t="str">
        <x:v>mortgage calculator</x:v>
      </x:c>
      <x:c r="AA1339" s="10" t="str">
        <x:v>home buying tracker</x:v>
      </x:c>
      <x:c r="AB1339" s="10" t="str">
        <x:v>new homeowner budget</x:v>
      </x:c>
      <x:c r="AC1339" s="10" t="str">
        <x:v>moving budget sheet</x:v>
      </x:c>
      <x:c r="AD1339" s="10" t="str">
        <x:v>home setup tracker</x:v>
      </x:c>
      <x:c r="AE1339" s="10" t="str">
        <x:v>first home planner</x:v>
      </x:c>
      <x:c r="AF1339" s="10" t="str">
        <x:v>house budget tool</x:v>
      </x:c>
      <x:c r="AG1339" s="10" t="str">
        <x:v>homeowner budget</x:v>
      </x:c>
      <x:c r="AH1339" s="10" t="str">
        <x:v>Home buying planner</x:v>
      </x:c>
      <x:c r="AI1339" s="13" t="n">
        <x:v>1</x:v>
      </x:c>
      <x:c r="AJ1339" s="10" t="str">
        <x:f>IF(F1339&gt;0,"Active","No est. sales")</x:f>
        <x:v>No est. sales</x:v>
      </x:c>
    </x:row>
    <x:row r="1340">
      <x:c r="A1340" s="10" t="str">
        <x:v>Debt Thermometer Tracker Printable, Debt Tracker, Debt Printable</x:v>
      </x:c>
      <x:c r="B1340" s="10" t="str">
        <x:v>https://www.etsy.com/listing/599615629/debt-thermometer-tracker-printable-debt</x:v>
      </x:c>
      <x:c r="C1340" s="10" t="str">
        <x:v>ModernPrintableShop</x:v>
      </x:c>
      <x:c r="D1340" s="10" t="str">
        <x:v>https://www.etsy.com/shop/ModernPrintableShop</x:v>
      </x:c>
      <x:c r="E1340" s="11" t="n">
        <x:v>2.49</x:v>
      </x:c>
      <x:c r="F1340" s="10" t="n">
        <x:v>0</x:v>
      </x:c>
      <x:c r="G1340" s="12" t="n">
        <x:v>0</x:v>
      </x:c>
      <x:c r="H1340" s="13" t="n">
        <x:v>0</x:v>
      </x:c>
      <x:c r="I1340" s="10" t="n">
        <x:v>233</x:v>
      </x:c>
      <x:c r="J1340" s="10" t="n">
        <x:v>19</x:v>
      </x:c>
      <x:c r="K1340" s="10" t="str">
        <x:v>100 Mo.</x:v>
      </x:c>
      <x:c r="L1340" s="10" t="n">
        <x:v>163</x:v>
      </x:c>
      <x:c r="M1340" s="10" t="n">
        <x:v>0</x:v>
      </x:c>
      <x:c r="N1340" s="10" t="n">
        <x:v>7739</x:v>
      </x:c>
      <x:c r="O1340" s="10" t="str">
        <x:v>Paper &amp; Party Supplies</x:v>
      </x:c>
      <x:c r="P1340" s="10" t="n">
        <x:v>100</x:v>
      </x:c>
      <x:c r="Q1340" s="10" t="n">
        <x:v>33</x:v>
      </x:c>
      <x:c r="R1340" s="13" t="n">
        <x:v>3.01</x:v>
      </x:c>
      <x:c r="S1340" s="10" t="n">
        <x:v>9970</x:v>
      </x:c>
      <x:c r="T1340" s="10" t="str">
        <x:v>debt payoff,debt snowball,debt tracker,dave ramsey,debt free,finance,finance printables,mortgage payoff,mortgage thermometer,student loan tracker,debt printable,finance planner,debt thermometer</x:v>
      </x:c>
      <x:c r="U1340" s="10" t="str">
        <x:v>debt payoff</x:v>
      </x:c>
      <x:c r="V1340" s="10" t="str">
        <x:v>debt snowball</x:v>
      </x:c>
      <x:c r="W1340" s="10" t="str">
        <x:v>debt tracker</x:v>
      </x:c>
      <x:c r="X1340" s="10" t="str">
        <x:v>dave ramsey</x:v>
      </x:c>
      <x:c r="Y1340" s="10" t="str">
        <x:v>debt free</x:v>
      </x:c>
      <x:c r="Z1340" s="10" t="str">
        <x:v>finance</x:v>
      </x:c>
      <x:c r="AA1340" s="10" t="str">
        <x:v>finance printables</x:v>
      </x:c>
      <x:c r="AB1340" s="10" t="str">
        <x:v>mortgage payoff</x:v>
      </x:c>
      <x:c r="AC1340" s="10" t="str">
        <x:v>mortgage thermometer</x:v>
      </x:c>
      <x:c r="AD1340" s="10" t="str">
        <x:v>student loan tracker</x:v>
      </x:c>
      <x:c r="AE1340" s="10" t="str">
        <x:v>debt printable</x:v>
      </x:c>
      <x:c r="AF1340" s="10" t="str">
        <x:v>finance planner</x:v>
      </x:c>
      <x:c r="AG1340" s="10" t="str">
        <x:v>debt thermometer</x:v>
      </x:c>
      <x:c r="AH1340" s="10" t="str">
        <x:v>General debt payoff</x:v>
      </x:c>
      <x:c r="AI1340" s="13" t="n">
        <x:v>100</x:v>
      </x:c>
      <x:c r="AJ1340" s="10" t="str">
        <x:f>IF(F1340&gt;0,"Active","No est. sales")</x:f>
        <x:v>No est. sales</x:v>
      </x:c>
    </x:row>
    <x:row r="1341">
      <x:c r="A1341" s="10" t="str">
        <x:v>Home Buying Planner, Real Estate Organizer (Printable Digital Planner)</x:v>
      </x:c>
      <x:c r="B1341" s="10" t="str">
        <x:v>https://www.etsy.com/listing/4404509007/home-buying-planner-real-estate</x:v>
      </x:c>
      <x:c r="C1341" s="10" t="str">
        <x:v>PlantoProsperCoShop</x:v>
      </x:c>
      <x:c r="D1341" s="10" t="str">
        <x:v>https://www.etsy.com/shop/PlantoProsperCoShop</x:v>
      </x:c>
      <x:c r="E1341" s="11" t="n">
        <x:v>4.57</x:v>
      </x:c>
      <x:c r="F1341" s="10" t="n">
        <x:v>0</x:v>
      </x:c>
      <x:c r="G1341" s="12" t="n">
        <x:v>0</x:v>
      </x:c>
      <x:c r="H1341" s="13" t="n">
        <x:v>0</x:v>
      </x:c>
      <x:c r="I1341" s="10" t="n">
        <x:v>0</x:v>
      </x:c>
      <x:c r="J1341" s="10" t="n">
        <x:v>0</x:v>
      </x:c>
      <x:c r="K1341" s="10" t="str">
        <x:v>8 Mo.</x:v>
      </x:c>
      <x:c r="L1341" s="10" t="n">
        <x:v>0</x:v>
      </x:c>
      <x:c r="M1341" s="10" t="n">
        <x:v>0</x:v>
      </x:c>
      <x:c r="N1341" s="10" t="n">
        <x:v>6</x:v>
      </x:c>
      <x:c r="O1341" s="10" t="str"/>
      <x:c r="P1341" s="10" t="n">
        <x:v>9</x:v>
      </x:c>
      <x:c r="Q1341" s="10" t="n">
        <x:v>0</x:v>
      </x:c>
      <x:c r="R1341" s="13" t="n">
        <x:v>0</x:v>
      </x:c>
      <x:c r="S1341" s="10" t="n">
        <x:v>0</x:v>
      </x:c>
      <x:c r="T1341" s="10" t="str">
        <x:v>home planner,house hunting,mortgage tracker,real estate,budget planner,home buying,printable planner,digital download,checklist planner,first home,home checklist,property planner,home organizer</x:v>
      </x:c>
      <x:c r="U1341" s="10" t="str">
        <x:v>home planner</x:v>
      </x:c>
      <x:c r="V1341" s="10" t="str">
        <x:v>house hunting</x:v>
      </x:c>
      <x:c r="W1341" s="10" t="str">
        <x:v>mortgage tracker</x:v>
      </x:c>
      <x:c r="X1341" s="10" t="str">
        <x:v>real estate</x:v>
      </x:c>
      <x:c r="Y1341" s="10" t="str">
        <x:v>budget planner</x:v>
      </x:c>
      <x:c r="Z1341" s="10" t="str">
        <x:v>home buying</x:v>
      </x:c>
      <x:c r="AA1341" s="10" t="str">
        <x:v>printable planner</x:v>
      </x:c>
      <x:c r="AB1341" s="10" t="str">
        <x:v>digital download</x:v>
      </x:c>
      <x:c r="AC1341" s="10" t="str">
        <x:v>checklist planner</x:v>
      </x:c>
      <x:c r="AD1341" s="10" t="str">
        <x:v>first home</x:v>
      </x:c>
      <x:c r="AE1341" s="10" t="str">
        <x:v>home checklist</x:v>
      </x:c>
      <x:c r="AF1341" s="10" t="str">
        <x:v>property planner</x:v>
      </x:c>
      <x:c r="AG1341" s="10" t="str">
        <x:v>home organizer</x:v>
      </x:c>
      <x:c r="AH1341" s="10" t="str">
        <x:v>Home buying planner</x:v>
      </x:c>
      <x:c r="AI1341" s="13" t="n">
        <x:v>8</x:v>
      </x:c>
      <x:c r="AJ1341" s="10" t="str">
        <x:f>IF(F1341&gt;0,"Active","No est. sales")</x:f>
        <x:v>No est. sales</x:v>
      </x:c>
    </x:row>
    <x:row r="1342">
      <x:c r="A1342" s="10" t="str">
        <x:v>Debt Tracker Printable: Credit Card, Payoff, Payment (PDF)</x:v>
      </x:c>
      <x:c r="B1342" s="10" t="str">
        <x:v>https://www.etsy.com/listing/1135369176/debt-tracker-printable-credit-card</x:v>
      </x:c>
      <x:c r="C1342" s="10" t="str">
        <x:v>SuperPlanPrintables</x:v>
      </x:c>
      <x:c r="D1342" s="10" t="str">
        <x:v>https://www.etsy.com/shop/SuperPlanPrintables</x:v>
      </x:c>
      <x:c r="E1342" s="11" t="n">
        <x:v>2.13</x:v>
      </x:c>
      <x:c r="F1342" s="10" t="n">
        <x:v>0</x:v>
      </x:c>
      <x:c r="G1342" s="12" t="n">
        <x:v>0</x:v>
      </x:c>
      <x:c r="H1342" s="13" t="n">
        <x:v>0</x:v>
      </x:c>
      <x:c r="I1342" s="10" t="n">
        <x:v>0</x:v>
      </x:c>
      <x:c r="J1342" s="10" t="n">
        <x:v>0</x:v>
      </x:c>
      <x:c r="K1342" s="10" t="str">
        <x:v>55 Mo.</x:v>
      </x:c>
      <x:c r="L1342" s="10" t="n">
        <x:v>4</x:v>
      </x:c>
      <x:c r="M1342" s="10" t="n">
        <x:v>0</x:v>
      </x:c>
      <x:c r="N1342" s="10" t="n">
        <x:v>51</x:v>
      </x:c>
      <x:c r="O1342" s="10" t="str">
        <x:v>Paper &amp; Party Supplies</x:v>
      </x:c>
      <x:c r="P1342" s="10" t="n">
        <x:v>64</x:v>
      </x:c>
      <x:c r="Q1342" s="10" t="n">
        <x:v>0</x:v>
      </x:c>
      <x:c r="R1342" s="13" t="n">
        <x:v>0</x:v>
      </x:c>
      <x:c r="S1342" s="10" t="n">
        <x:v>40</x:v>
      </x:c>
      <x:c r="T1342" s="10" t="str">
        <x:v>debt tracker,debt payoff tracker,debt payment tracker,debt,mortgage payoff,finance planner,credit card payoff,credit card tracker,payment tracker,bill tracker,house payoff tracker,expense tracker,mortgage tracker</x:v>
      </x:c>
      <x:c r="U1342" s="10" t="str">
        <x:v>debt tracker</x:v>
      </x:c>
      <x:c r="V1342" s="10" t="str">
        <x:v>debt payoff tracker</x:v>
      </x:c>
      <x:c r="W1342" s="10" t="str">
        <x:v>debt payment tracker</x:v>
      </x:c>
      <x:c r="X1342" s="10" t="str">
        <x:v>debt</x:v>
      </x:c>
      <x:c r="Y1342" s="10" t="str">
        <x:v>mortgage payoff</x:v>
      </x:c>
      <x:c r="Z1342" s="10" t="str">
        <x:v>finance planner</x:v>
      </x:c>
      <x:c r="AA1342" s="10" t="str">
        <x:v>credit card payoff</x:v>
      </x:c>
      <x:c r="AB1342" s="10" t="str">
        <x:v>credit card tracker</x:v>
      </x:c>
      <x:c r="AC1342" s="10" t="str">
        <x:v>payment tracker</x:v>
      </x:c>
      <x:c r="AD1342" s="10" t="str">
        <x:v>bill tracker</x:v>
      </x:c>
      <x:c r="AE1342" s="10" t="str">
        <x:v>house payoff tracker</x:v>
      </x:c>
      <x:c r="AF1342" s="10" t="str">
        <x:v>expense tracker</x:v>
      </x:c>
      <x:c r="AG1342" s="10" t="str">
        <x:v>mortgage tracker</x:v>
      </x:c>
      <x:c r="AH1342" s="10" t="str">
        <x:v>General debt payoff</x:v>
      </x:c>
      <x:c r="AI1342" s="13" t="n">
        <x:v>55</x:v>
      </x:c>
      <x:c r="AJ1342" s="10" t="str">
        <x:f>IF(F1342&gt;0,"Active","No est. sales")</x:f>
        <x:v>No est. sales</x:v>
      </x:c>
    </x:row>
    <x:row r="1343">
      <x:c r="A1343" s="10" t="str">
        <x:v>Debt Snowball Google Sheets Calculator Credit Card Loan Planner Mortgage Payment Debt Payoff Spreadsheet Excel Template Debt Free Planner</x:v>
      </x:c>
      <x:c r="B1343" s="10" t="str">
        <x:v>https://www.etsy.com/listing/4374647798/debt-snowball-excel-spreadsheet-google</x:v>
      </x:c>
      <x:c r="C1343" s="10" t="str">
        <x:v>RoveraStudio</x:v>
      </x:c>
      <x:c r="D1343" s="10" t="str">
        <x:v>https://www.etsy.com/shop/RoveraStudio</x:v>
      </x:c>
      <x:c r="E1343" s="11" t="n">
        <x:v>10.89</x:v>
      </x:c>
      <x:c r="F1343" s="10" t="n">
        <x:v>0</x:v>
      </x:c>
      <x:c r="G1343" s="12" t="n">
        <x:v>0</x:v>
      </x:c>
      <x:c r="H1343" s="13" t="n">
        <x:v>0</x:v>
      </x:c>
      <x:c r="I1343" s="10" t="n">
        <x:v>0</x:v>
      </x:c>
      <x:c r="J1343" s="10" t="n">
        <x:v>0</x:v>
      </x:c>
      <x:c r="K1343" s="10" t="str">
        <x:v>10 Mo.</x:v>
      </x:c>
      <x:c r="L1343" s="10" t="n">
        <x:v>8</x:v>
      </x:c>
      <x:c r="M1343" s="10" t="n">
        <x:v>0</x:v>
      </x:c>
      <x:c r="N1343" s="10" t="n">
        <x:v>198</x:v>
      </x:c>
      <x:c r="O1343" s="10" t="str">
        <x:v>Paper &amp; Party Supplies</x:v>
      </x:c>
      <x:c r="P1343" s="10" t="n">
        <x:v>21</x:v>
      </x:c>
      <x:c r="Q1343" s="10" t="n">
        <x:v>0</x:v>
      </x:c>
      <x:c r="R1343" s="13" t="n">
        <x:v>0</x:v>
      </x:c>
      <x:c r="S1343" s="10" t="n">
        <x:v>1459</x:v>
      </x:c>
      <x:c r="T1343" s="10" t="str">
        <x:v>google sheets debt,debt tracker excel,debt spreadsheet,snowball calculator,debt snowball excel,paying off debt,mortgage payoff,debt payoff,personal finance,debt template,credit card payoff,debt snowball,student loan debt</x:v>
      </x:c>
      <x:c r="U1343" s="10" t="str">
        <x:v>google sheets debt</x:v>
      </x:c>
      <x:c r="V1343" s="10" t="str">
        <x:v>debt tracker excel</x:v>
      </x:c>
      <x:c r="W1343" s="10" t="str">
        <x:v>debt spreadsheet</x:v>
      </x:c>
      <x:c r="X1343" s="10" t="str">
        <x:v>snowball calculator</x:v>
      </x:c>
      <x:c r="Y1343" s="10" t="str">
        <x:v>debt snowball excel</x:v>
      </x:c>
      <x:c r="Z1343" s="10" t="str">
        <x:v>paying off debt</x:v>
      </x:c>
      <x:c r="AA1343" s="10" t="str">
        <x:v>mortgage payoff</x:v>
      </x:c>
      <x:c r="AB1343" s="10" t="str">
        <x:v>debt payoff</x:v>
      </x:c>
      <x:c r="AC1343" s="10" t="str">
        <x:v>personal finance</x:v>
      </x:c>
      <x:c r="AD1343" s="10" t="str">
        <x:v>debt template</x:v>
      </x:c>
      <x:c r="AE1343" s="10" t="str">
        <x:v>credit card payoff</x:v>
      </x:c>
      <x:c r="AF1343" s="10" t="str">
        <x:v>debt snowball</x:v>
      </x:c>
      <x:c r="AG1343" s="10" t="str">
        <x:v>student loan debt</x:v>
      </x:c>
      <x:c r="AH1343" s="10" t="str">
        <x:v>General debt payoff</x:v>
      </x:c>
      <x:c r="AI1343" s="13" t="n">
        <x:v>10</x:v>
      </x:c>
      <x:c r="AJ1343" s="10" t="str">
        <x:f>IF(F1343&gt;0,"Active","No est. sales")</x:f>
        <x:v>No est. sales</x:v>
      </x:c>
    </x:row>
    <x:row r="1344">
      <x:c r="A1344" s="10" t="str">
        <x:v>Pay Mortgage Planner Reminder Stickers</x:v>
      </x:c>
      <x:c r="B1344" s="10" t="str">
        <x:v>https://www.etsy.com/listing/4511215577/pay-mortgage-planner-reminder-stickers</x:v>
      </x:c>
      <x:c r="C1344" s="10" t="str">
        <x:v>DaisyStickerCity</x:v>
      </x:c>
      <x:c r="D1344" s="10" t="str">
        <x:v>https://www.etsy.com/shop/DaisyStickerCity</x:v>
      </x:c>
      <x:c r="E1344" s="11" t="n">
        <x:v>1.75</x:v>
      </x:c>
      <x:c r="F1344" s="10" t="n">
        <x:v>0</x:v>
      </x:c>
      <x:c r="G1344" s="12" t="n">
        <x:v>0</x:v>
      </x:c>
      <x:c r="H1344" s="13" t="n">
        <x:v>0</x:v>
      </x:c>
      <x:c r="I1344" s="10" t="n">
        <x:v>0</x:v>
      </x:c>
      <x:c r="J1344" s="10" t="n">
        <x:v>0</x:v>
      </x:c>
      <x:c r="K1344" s="10" t="str">
        <x:v>2 Mo.</x:v>
      </x:c>
      <x:c r="L1344" s="10" t="n">
        <x:v>1</x:v>
      </x:c>
      <x:c r="M1344" s="10" t="n">
        <x:v>0</x:v>
      </x:c>
      <x:c r="N1344" s="10" t="n">
        <x:v>14</x:v>
      </x:c>
      <x:c r="O1344" s="10" t="str">
        <x:v>Paper &amp; Party Supplies</x:v>
      </x:c>
      <x:c r="P1344" s="10" t="n">
        <x:v>36</x:v>
      </x:c>
      <x:c r="Q1344" s="10" t="n">
        <x:v>0</x:v>
      </x:c>
      <x:c r="R1344" s="13" t="n">
        <x:v>0</x:v>
      </x:c>
      <x:c r="S1344" s="10" t="n">
        <x:v>4567</x:v>
      </x:c>
      <x:c r="T1344" s="10" t="str">
        <x:v>pay mortgage,mortgage stickers,pay house,house stickers,planner stickers,sticker reminders</x:v>
      </x:c>
      <x:c r="U1344" s="10" t="str">
        <x:v>pay mortgage</x:v>
      </x:c>
      <x:c r="V1344" s="10" t="str">
        <x:v>mortgage stickers</x:v>
      </x:c>
      <x:c r="W1344" s="10" t="str">
        <x:v>pay house</x:v>
      </x:c>
      <x:c r="X1344" s="10" t="str">
        <x:v>house stickers</x:v>
      </x:c>
      <x:c r="Y1344" s="10" t="str">
        <x:v>planner stickers</x:v>
      </x:c>
      <x:c r="Z1344" s="10" t="str">
        <x:v>sticker reminders</x:v>
      </x:c>
      <x:c r="AA1344" s="10" t="str">
        <x:v>--</x:v>
      </x:c>
      <x:c r="AB1344" s="10" t="str">
        <x:v>--</x:v>
      </x:c>
      <x:c r="AC1344" s="10" t="str">
        <x:v>--</x:v>
      </x:c>
      <x:c r="AD1344" s="10" t="str">
        <x:v>--</x:v>
      </x:c>
      <x:c r="AE1344" s="10" t="str">
        <x:v>--</x:v>
      </x:c>
      <x:c r="AF1344" s="10" t="str">
        <x:v>--</x:v>
      </x:c>
      <x:c r="AG1344" s="10" t="str">
        <x:v>--</x:v>
      </x:c>
      <x:c r="AH1344" s="10" t="str">
        <x:v>Other mortgage-related</x:v>
      </x:c>
      <x:c r="AI1344" s="13" t="n">
        <x:v>2</x:v>
      </x:c>
      <x:c r="AJ1344" s="10" t="str">
        <x:f>IF(F1344&gt;0,"Active","No est. sales")</x:f>
        <x:v>No est. sales</x:v>
      </x:c>
    </x:row>
    <x:row r="1345">
      <x:c r="A1345" s="10" t="str">
        <x:v>House Payoff Coloring Tracker | Printable Mortgage Debt Payoff Chart | Budget Planner Visual Goal Sheet</x:v>
      </x:c>
      <x:c r="B1345" s="10" t="str">
        <x:v>https://www.etsy.com/listing/4337313106/house-payoff-coloring-tracker-printable</x:v>
      </x:c>
      <x:c r="C1345" s="10" t="str">
        <x:v>TheWonderPressStudio</x:v>
      </x:c>
      <x:c r="D1345" s="10" t="str">
        <x:v>https://www.etsy.com/shop/TheWonderPressStudio</x:v>
      </x:c>
      <x:c r="E1345" s="11" t="n">
        <x:v>1.5</x:v>
      </x:c>
      <x:c r="F1345" s="10" t="n">
        <x:v>0</x:v>
      </x:c>
      <x:c r="G1345" s="12" t="n">
        <x:v>0</x:v>
      </x:c>
      <x:c r="H1345" s="13" t="n">
        <x:v>0</x:v>
      </x:c>
      <x:c r="I1345" s="10" t="n">
        <x:v>0</x:v>
      </x:c>
      <x:c r="J1345" s="10" t="n">
        <x:v>0</x:v>
      </x:c>
      <x:c r="K1345" s="10" t="str">
        <x:v>12 Mo.</x:v>
      </x:c>
      <x:c r="L1345" s="10" t="n">
        <x:v>2</x:v>
      </x:c>
      <x:c r="M1345" s="10" t="n">
        <x:v>0</x:v>
      </x:c>
      <x:c r="N1345" s="10" t="n">
        <x:v>18</x:v>
      </x:c>
      <x:c r="O1345" s="10" t="str"/>
      <x:c r="P1345" s="10" t="n">
        <x:v>72</x:v>
      </x:c>
      <x:c r="Q1345" s="10" t="n">
        <x:v>0</x:v>
      </x:c>
      <x:c r="R1345" s="13" t="n">
        <x:v>0</x:v>
      </x:c>
      <x:c r="S1345" s="10" t="n">
        <x:v>320</x:v>
      </x:c>
      <x:c r="T1345" s="10" t="str">
        <x:v>house payoff tracker,mortgage payoff,debt coloring page,printable debt track,loan payoff sheet,financial goal track,debt free printable,budget planner,money goal coloring,printable mortgage,home savings visual,debt snowball print,digital budget track</x:v>
      </x:c>
      <x:c r="U1345" s="10" t="str">
        <x:v>house payoff tracker</x:v>
      </x:c>
      <x:c r="V1345" s="10" t="str">
        <x:v>mortgage payoff</x:v>
      </x:c>
      <x:c r="W1345" s="10" t="str">
        <x:v>debt coloring page</x:v>
      </x:c>
      <x:c r="X1345" s="10" t="str">
        <x:v>printable debt track</x:v>
      </x:c>
      <x:c r="Y1345" s="10" t="str">
        <x:v>loan payoff sheet</x:v>
      </x:c>
      <x:c r="Z1345" s="10" t="str">
        <x:v>financial goal track</x:v>
      </x:c>
      <x:c r="AA1345" s="10" t="str">
        <x:v>debt free printable</x:v>
      </x:c>
      <x:c r="AB1345" s="10" t="str">
        <x:v>budget planner</x:v>
      </x:c>
      <x:c r="AC1345" s="10" t="str">
        <x:v>money goal coloring</x:v>
      </x:c>
      <x:c r="AD1345" s="10" t="str">
        <x:v>printable mortgage</x:v>
      </x:c>
      <x:c r="AE1345" s="10" t="str">
        <x:v>home savings visual</x:v>
      </x:c>
      <x:c r="AF1345" s="10" t="str">
        <x:v>debt snowball print</x:v>
      </x:c>
      <x:c r="AG1345" s="10" t="str">
        <x:v>digital budget track</x:v>
      </x:c>
      <x:c r="AH1345" s="10" t="str">
        <x:v>General debt payoff</x:v>
      </x:c>
      <x:c r="AI1345" s="13" t="n">
        <x:v>12</x:v>
      </x:c>
      <x:c r="AJ1345" s="10" t="str">
        <x:f>IF(F1345&gt;0,"Active","No est. sales")</x:f>
        <x:v>No est. sales</x:v>
      </x:c>
    </x:row>
    <x:row r="1346">
      <x:c r="A1346" s="10" t="str">
        <x:v>Home Mortgage Loan Debt Payoff Comparison Ideas Calculator Spreadsheet : Excel &amp; Google Sheets (Digital Download)</x:v>
      </x:c>
      <x:c r="B1346" s="10" t="str">
        <x:v>https://www.etsy.com/listing/4325856793/home-mortgage-loan-payoff-comparison</x:v>
      </x:c>
      <x:c r="C1346" s="10" t="str">
        <x:v>TheDigitalBeanDesign</x:v>
      </x:c>
      <x:c r="D1346" s="10" t="str">
        <x:v>https://www.etsy.com/shop/TheDigitalBeanDesign</x:v>
      </x:c>
      <x:c r="E1346" s="11" t="n">
        <x:v>5.32</x:v>
      </x:c>
      <x:c r="F1346" s="10" t="n">
        <x:v>0</x:v>
      </x:c>
      <x:c r="G1346" s="12" t="n">
        <x:v>0</x:v>
      </x:c>
      <x:c r="H1346" s="13" t="n">
        <x:v>0</x:v>
      </x:c>
      <x:c r="I1346" s="10" t="n">
        <x:v>2</x:v>
      </x:c>
      <x:c r="J1346" s="10" t="n">
        <x:v>1</x:v>
      </x:c>
      <x:c r="K1346" s="10" t="str">
        <x:v>13 Mo.</x:v>
      </x:c>
      <x:c r="L1346" s="10" t="n">
        <x:v>4</x:v>
      </x:c>
      <x:c r="M1346" s="10" t="n">
        <x:v>0</x:v>
      </x:c>
      <x:c r="N1346" s="10" t="n">
        <x:v>95</x:v>
      </x:c>
      <x:c r="O1346" s="10" t="str"/>
      <x:c r="P1346" s="10" t="n">
        <x:v>22</x:v>
      </x:c>
      <x:c r="Q1346" s="10" t="n">
        <x:v>0</x:v>
      </x:c>
      <x:c r="R1346" s="13" t="n">
        <x:v>2.11</x:v>
      </x:c>
      <x:c r="S1346" s="10" t="n">
        <x:v>73</x:v>
      </x:c>
      <x:c r="T1346" s="10" t="str">
        <x:v>real estate planner,interest rate review,analyse amortization,manage home finance,house borrower money,mortgage payoff calc,home budget tracker,debt snowball payoff,home lending tracker,overpayment schedule,finance service tool,financial analysis</x:v>
      </x:c>
      <x:c r="U1346" s="10" t="str">
        <x:v>real estate planner</x:v>
      </x:c>
      <x:c r="V1346" s="10" t="str">
        <x:v>interest rate review</x:v>
      </x:c>
      <x:c r="W1346" s="10" t="str">
        <x:v>analyse amortization</x:v>
      </x:c>
      <x:c r="X1346" s="10" t="str">
        <x:v>manage home finance</x:v>
      </x:c>
      <x:c r="Y1346" s="10" t="str">
        <x:v>house borrower money</x:v>
      </x:c>
      <x:c r="Z1346" s="10" t="str">
        <x:v>mortgage payoff calc</x:v>
      </x:c>
      <x:c r="AA1346" s="10" t="str">
        <x:v>home budget tracker</x:v>
      </x:c>
      <x:c r="AB1346" s="10" t="str">
        <x:v>debt snowball payoff</x:v>
      </x:c>
      <x:c r="AC1346" s="10" t="str">
        <x:v>home lending tracker</x:v>
      </x:c>
      <x:c r="AD1346" s="10" t="str">
        <x:v>overpayment schedule</x:v>
      </x:c>
      <x:c r="AE1346" s="10" t="str">
        <x:v>finance service tool</x:v>
      </x:c>
      <x:c r="AF1346" s="10" t="str">
        <x:v>financial analysis</x:v>
      </x:c>
      <x:c r="AG1346" s="10" t="str">
        <x:v>--</x:v>
      </x:c>
      <x:c r="AH1346" s="10" t="str">
        <x:v>Other mortgage-related</x:v>
      </x:c>
      <x:c r="AI1346" s="13" t="n">
        <x:v>13</x:v>
      </x:c>
      <x:c r="AJ1346" s="10" t="str">
        <x:f>IF(F1346&gt;0,"Active","No est. sales")</x:f>
        <x:v>No est. sales</x:v>
      </x:c>
    </x:row>
    <x:row r="1347">
      <x:c r="A1347" s="10" t="str">
        <x:v>First-Time Home Buyer Checklist | Readiness Planner (PDF)</x:v>
      </x:c>
      <x:c r="B1347" s="10" t="str">
        <x:v>https://www.etsy.com/listing/4435651062/first-time-home-buyer-readiness</x:v>
      </x:c>
      <x:c r="C1347" s="10" t="str">
        <x:v>LivingWithAlly</x:v>
      </x:c>
      <x:c r="D1347" s="10" t="str">
        <x:v>https://www.etsy.com/shop/LivingWithAlly</x:v>
      </x:c>
      <x:c r="E1347" s="11" t="n">
        <x:v>2.99</x:v>
      </x:c>
      <x:c r="F1347" s="10" t="n">
        <x:v>0</x:v>
      </x:c>
      <x:c r="G1347" s="12" t="n">
        <x:v>0</x:v>
      </x:c>
      <x:c r="H1347" s="13" t="n">
        <x:v>0</x:v>
      </x:c>
      <x:c r="I1347" s="10" t="n">
        <x:v>0</x:v>
      </x:c>
      <x:c r="J1347" s="10" t="n">
        <x:v>0</x:v>
      </x:c>
      <x:c r="K1347" s="10" t="str">
        <x:v>6 Mo.</x:v>
      </x:c>
      <x:c r="L1347" s="10" t="n">
        <x:v>12</x:v>
      </x:c>
      <x:c r="M1347" s="10" t="n">
        <x:v>0</x:v>
      </x:c>
      <x:c r="N1347" s="10" t="n">
        <x:v>185</x:v>
      </x:c>
      <x:c r="O1347" s="10" t="str"/>
      <x:c r="P1347" s="10" t="n">
        <x:v>7</x:v>
      </x:c>
      <x:c r="Q1347" s="10" t="n">
        <x:v>0</x:v>
      </x:c>
      <x:c r="R1347" s="13" t="n">
        <x:v>0</x:v>
      </x:c>
      <x:c r="S1347" s="10" t="n">
        <x:v>6</x:v>
      </x:c>
      <x:c r="T1347" s="10" t="str">
        <x:v>first time buyer,home buyer checklist,home buying planner,buy a house guide,first home planner,mortgage checklist,home buying tips,printable checklist,home buyer pdf,real estate planner,savings for a house,home buying guide,financial planner</x:v>
      </x:c>
      <x:c r="U1347" s="10" t="str">
        <x:v>first time buyer</x:v>
      </x:c>
      <x:c r="V1347" s="10" t="str">
        <x:v>home buyer checklist</x:v>
      </x:c>
      <x:c r="W1347" s="10" t="str">
        <x:v>home buying planner</x:v>
      </x:c>
      <x:c r="X1347" s="10" t="str">
        <x:v>buy a house guide</x:v>
      </x:c>
      <x:c r="Y1347" s="10" t="str">
        <x:v>first home planner</x:v>
      </x:c>
      <x:c r="Z1347" s="10" t="str">
        <x:v>mortgage checklist</x:v>
      </x:c>
      <x:c r="AA1347" s="10" t="str">
        <x:v>home buying tips</x:v>
      </x:c>
      <x:c r="AB1347" s="10" t="str">
        <x:v>printable checklist</x:v>
      </x:c>
      <x:c r="AC1347" s="10" t="str">
        <x:v>home buyer pdf</x:v>
      </x:c>
      <x:c r="AD1347" s="10" t="str">
        <x:v>real estate planner</x:v>
      </x:c>
      <x:c r="AE1347" s="10" t="str">
        <x:v>savings for a house</x:v>
      </x:c>
      <x:c r="AF1347" s="10" t="str">
        <x:v>home buying guide</x:v>
      </x:c>
      <x:c r="AG1347" s="10" t="str">
        <x:v>financial planner</x:v>
      </x:c>
      <x:c r="AH1347" s="10" t="str">
        <x:v>Home buying planner</x:v>
      </x:c>
      <x:c r="AI1347" s="13" t="n">
        <x:v>6</x:v>
      </x:c>
      <x:c r="AJ1347" s="10" t="str">
        <x:f>IF(F1347&gt;0,"Active","No est. sales")</x:f>
        <x:v>No est. sales</x:v>
      </x:c>
    </x:row>
    <x:row r="1348">
      <x:c r="A1348" s="10" t="str">
        <x:v>First Time Home Buyer Spreadsheet, Home Buying Planner, Mortgage Calculator, House Comparison Tracker, Google Sheets Excel Digital Download</x:v>
      </x:c>
      <x:c r="B1348" s="10" t="str">
        <x:v>https://www.etsy.com/listing/4545310821/first-time-home-buyer-spreadsheet-home</x:v>
      </x:c>
      <x:c r="C1348" s="10" t="str">
        <x:v>ProductivitieByLCo</x:v>
      </x:c>
      <x:c r="D1348" s="10" t="str">
        <x:v>https://www.etsy.com/shop/ProductivitieByLCo</x:v>
      </x:c>
      <x:c r="E1348" s="11" t="n">
        <x:v>6.5</x:v>
      </x:c>
      <x:c r="F1348" s="10" t="n">
        <x:v>0</x:v>
      </x:c>
      <x:c r="G1348" s="12" t="n">
        <x:v>0</x:v>
      </x:c>
      <x:c r="H1348" s="13" t="n">
        <x:v>0</x:v>
      </x:c>
      <x:c r="I1348" s="10" t="n">
        <x:v>0</x:v>
      </x:c>
      <x:c r="J1348" s="10" t="n">
        <x:v>0</x:v>
      </x:c>
      <x:c r="K1348" s="10" t="str">
        <x:v>1 Mo.</x:v>
      </x:c>
      <x:c r="L1348" s="10" t="n">
        <x:v>0</x:v>
      </x:c>
      <x:c r="M1348" s="10" t="n">
        <x:v>0</x:v>
      </x:c>
      <x:c r="N1348" s="10" t="n">
        <x:v>0</x:v>
      </x:c>
      <x:c r="O1348" s="10" t="str"/>
      <x:c r="P1348" s="10" t="n">
        <x:v>2</x:v>
      </x:c>
      <x:c r="Q1348" s="10" t="n">
        <x:v>0</x:v>
      </x:c>
      <x:c r="R1348" s="13" t="n">
        <x:v>0</x:v>
      </x:c>
      <x:c r="S1348" s="10" t="n">
        <x:v>27</x:v>
      </x:c>
      <x:c r="T1348" s="10" t="str">
        <x:v>home buyer planner,mortgage calculator,first time homebuyer,home buyer checklist,house comparison,cloing cost,new home owner,buy a house purchase,house budget buy,down payment tracker,house hunt excel,google sheet,workbook housing</x:v>
      </x:c>
      <x:c r="U1348" s="10" t="str">
        <x:v>home buyer planner</x:v>
      </x:c>
      <x:c r="V1348" s="10" t="str">
        <x:v>mortgage calculator</x:v>
      </x:c>
      <x:c r="W1348" s="10" t="str">
        <x:v>first time homebuyer</x:v>
      </x:c>
      <x:c r="X1348" s="10" t="str">
        <x:v>home buyer checklist</x:v>
      </x:c>
      <x:c r="Y1348" s="10" t="str">
        <x:v>house comparison</x:v>
      </x:c>
      <x:c r="Z1348" s="10" t="str">
        <x:v>cloing cost</x:v>
      </x:c>
      <x:c r="AA1348" s="10" t="str">
        <x:v>new home owner</x:v>
      </x:c>
      <x:c r="AB1348" s="10" t="str">
        <x:v>buy a house purchase</x:v>
      </x:c>
      <x:c r="AC1348" s="10" t="str">
        <x:v>house budget buy</x:v>
      </x:c>
      <x:c r="AD1348" s="10" t="str">
        <x:v>down payment tracker</x:v>
      </x:c>
      <x:c r="AE1348" s="10" t="str">
        <x:v>house hunt excel</x:v>
      </x:c>
      <x:c r="AF1348" s="10" t="str">
        <x:v>google sheet</x:v>
      </x:c>
      <x:c r="AG1348" s="10" t="str">
        <x:v>workbook housing</x:v>
      </x:c>
      <x:c r="AH1348" s="10" t="str">
        <x:v>Home buying planner</x:v>
      </x:c>
      <x:c r="AI1348" s="13" t="n">
        <x:v>1</x:v>
      </x:c>
      <x:c r="AJ1348" s="10" t="str">
        <x:f>IF(F1348&gt;0,"Active","No est. sales")</x:f>
        <x:v>No est. sales</x:v>
      </x:c>
    </x:row>
    <x:row r="1349">
      <x:c r="A1349" s="10" t="str">
        <x:v>Minimalist Credit Card Debt Tracker Printable Set, Debt-Free Trackers, Emergency Fund, Budget Planner,  INSTANT DOWNLOAD, 8p - Gray LD056</x:v>
      </x:c>
      <x:c r="B1349" s="10" t="str">
        <x:v>https://www.etsy.com/listing/1531619391/minimalist-credit-card-debt-tracker</x:v>
      </x:c>
      <x:c r="C1349" s="10" t="str">
        <x:v>LivingFreeofD</x:v>
      </x:c>
      <x:c r="D1349" s="10" t="str">
        <x:v>https://www.etsy.com/shop/LivingFreeofD</x:v>
      </x:c>
      <x:c r="E1349" s="11" t="n">
        <x:v>6.21</x:v>
      </x:c>
      <x:c r="F1349" s="10" t="n">
        <x:v>0</x:v>
      </x:c>
      <x:c r="G1349" s="12" t="n">
        <x:v>0</x:v>
      </x:c>
      <x:c r="H1349" s="13" t="n">
        <x:v>0</x:v>
      </x:c>
      <x:c r="I1349" s="10" t="n">
        <x:v>5</x:v>
      </x:c>
      <x:c r="J1349" s="10" t="n">
        <x:v>1</x:v>
      </x:c>
      <x:c r="K1349" s="10" t="str">
        <x:v>36 Mo.</x:v>
      </x:c>
      <x:c r="L1349" s="10" t="n">
        <x:v>4</x:v>
      </x:c>
      <x:c r="M1349" s="10" t="n">
        <x:v>0</x:v>
      </x:c>
      <x:c r="N1349" s="10" t="n">
        <x:v>58</x:v>
      </x:c>
      <x:c r="O1349" s="10" t="str"/>
      <x:c r="P1349" s="10" t="n">
        <x:v>70</x:v>
      </x:c>
      <x:c r="Q1349" s="10" t="n">
        <x:v>0</x:v>
      </x:c>
      <x:c r="R1349" s="13" t="n">
        <x:v>8.62</x:v>
      </x:c>
      <x:c r="S1349" s="10" t="n">
        <x:v>2039</x:v>
      </x:c>
      <x:c r="T1349" s="10" t="str">
        <x:v>finance planner,dave ramsey,emergency fund,debt snowball,debt payoff tracker,mortgage tracker,budget tracker,debt-free goals,debt payment tracker,money mindset,printable budget,savings tracker,credit tracker</x:v>
      </x:c>
      <x:c r="U1349" s="10" t="str">
        <x:v>finance planner</x:v>
      </x:c>
      <x:c r="V1349" s="10" t="str">
        <x:v>dave ramsey</x:v>
      </x:c>
      <x:c r="W1349" s="10" t="str">
        <x:v>emergency fund</x:v>
      </x:c>
      <x:c r="X1349" s="10" t="str">
        <x:v>debt snowball</x:v>
      </x:c>
      <x:c r="Y1349" s="10" t="str">
        <x:v>debt payoff tracker</x:v>
      </x:c>
      <x:c r="Z1349" s="10" t="str">
        <x:v>mortgage tracker</x:v>
      </x:c>
      <x:c r="AA1349" s="10" t="str">
        <x:v>budget tracker</x:v>
      </x:c>
      <x:c r="AB1349" s="10" t="str">
        <x:v>debt-free goals</x:v>
      </x:c>
      <x:c r="AC1349" s="10" t="str">
        <x:v>debt payment tracker</x:v>
      </x:c>
      <x:c r="AD1349" s="10" t="str">
        <x:v>money mindset</x:v>
      </x:c>
      <x:c r="AE1349" s="10" t="str">
        <x:v>printable budget</x:v>
      </x:c>
      <x:c r="AF1349" s="10" t="str">
        <x:v>savings tracker</x:v>
      </x:c>
      <x:c r="AG1349" s="10" t="str">
        <x:v>credit tracker</x:v>
      </x:c>
      <x:c r="AH1349" s="10" t="str">
        <x:v>General debt payoff</x:v>
      </x:c>
      <x:c r="AI1349" s="13" t="n">
        <x:v>36</x:v>
      </x:c>
      <x:c r="AJ1349" s="10" t="str">
        <x:f>IF(F1349&gt;0,"Active","No est. sales")</x:f>
        <x:v>No est. sales</x:v>
      </x:c>
    </x:row>
    <x:row r="1350">
      <x:c r="A1350" s="10" t="str">
        <x:v>House Payment Tracker - Pastel Blue Planner Stickers</x:v>
      </x:c>
      <x:c r="B1350" s="10" t="str">
        <x:v>https://www.etsy.com/listing/984598190/house-payment-tracker-pastel-blue</x:v>
      </x:c>
      <x:c r="C1350" s="10" t="str">
        <x:v>SofiStickers</x:v>
      </x:c>
      <x:c r="D1350" s="10" t="str">
        <x:v>https://www.etsy.com/shop/SofiStickers</x:v>
      </x:c>
      <x:c r="E1350" s="11" t="n">
        <x:v>2</x:v>
      </x:c>
      <x:c r="F1350" s="10" t="n">
        <x:v>0</x:v>
      </x:c>
      <x:c r="G1350" s="12" t="n">
        <x:v>0</x:v>
      </x:c>
      <x:c r="H1350" s="13" t="n">
        <x:v>0</x:v>
      </x:c>
      <x:c r="I1350" s="10" t="n">
        <x:v>26</x:v>
      </x:c>
      <x:c r="J1350" s="10" t="n">
        <x:v>8</x:v>
      </x:c>
      <x:c r="K1350" s="10" t="str">
        <x:v>63 Mo.</x:v>
      </x:c>
      <x:c r="L1350" s="10" t="n">
        <x:v>22</x:v>
      </x:c>
      <x:c r="M1350" s="10" t="n">
        <x:v>0</x:v>
      </x:c>
      <x:c r="N1350" s="10" t="n">
        <x:v>160</x:v>
      </x:c>
      <x:c r="O1350" s="10" t="str">
        <x:v>Paper &amp; Party Supplies</x:v>
      </x:c>
      <x:c r="P1350" s="10" t="n">
        <x:v>63</x:v>
      </x:c>
      <x:c r="Q1350" s="10" t="n">
        <x:v>0</x:v>
      </x:c>
      <x:c r="R1350" s="13" t="n">
        <x:v>16.25</x:v>
      </x:c>
      <x:c r="S1350" s="10" t="n">
        <x:v>5120</x:v>
      </x:c>
      <x:c r="T1350" s="10" t="str">
        <x:v>bill due stickers,budget stickers,pastel stickers,life planner,planner accessories,bullet journal,bill tracker,budgeting stickers,house bill due,mortgage,pastel blue,house payment,budget planner</x:v>
      </x:c>
      <x:c r="U1350" s="10" t="str">
        <x:v>bill due stickers</x:v>
      </x:c>
      <x:c r="V1350" s="10" t="str">
        <x:v>budget stickers</x:v>
      </x:c>
      <x:c r="W1350" s="10" t="str">
        <x:v>pastel stickers</x:v>
      </x:c>
      <x:c r="X1350" s="10" t="str">
        <x:v>life planner</x:v>
      </x:c>
      <x:c r="Y1350" s="10" t="str">
        <x:v>planner accessories</x:v>
      </x:c>
      <x:c r="Z1350" s="10" t="str">
        <x:v>bullet journal</x:v>
      </x:c>
      <x:c r="AA1350" s="10" t="str">
        <x:v>bill tracker</x:v>
      </x:c>
      <x:c r="AB1350" s="10" t="str">
        <x:v>budgeting stickers</x:v>
      </x:c>
      <x:c r="AC1350" s="10" t="str">
        <x:v>house bill due</x:v>
      </x:c>
      <x:c r="AD1350" s="10" t="str">
        <x:v>mortgage</x:v>
      </x:c>
      <x:c r="AE1350" s="10" t="str">
        <x:v>pastel blue</x:v>
      </x:c>
      <x:c r="AF1350" s="10" t="str">
        <x:v>house payment</x:v>
      </x:c>
      <x:c r="AG1350" s="10" t="str">
        <x:v>budget planner</x:v>
      </x:c>
      <x:c r="AH1350" s="10" t="str">
        <x:v>Other mortgage-related</x:v>
      </x:c>
      <x:c r="AI1350" s="13" t="n">
        <x:v>63</x:v>
      </x:c>
      <x:c r="AJ1350" s="10" t="str">
        <x:f>IF(F1350&gt;0,"Active","No est. sales")</x:f>
        <x:v>No est. sales</x:v>
      </x:c>
    </x:row>
    <x:row r="1351">
      <x:c r="A1351" s="10" t="str">
        <x:v>Home Buying Checklist for Realtors — Buyer Agent Apple Notes Template for iPhone, iPad, Mac</x:v>
      </x:c>
      <x:c r="B1351" s="10" t="str">
        <x:v>https://www.etsy.com/listing/4499770626/realtor-home-buying-checklist-apple</x:v>
      </x:c>
      <x:c r="C1351" s="10" t="str">
        <x:v>Solnote</x:v>
      </x:c>
      <x:c r="D1351" s="10" t="str">
        <x:v>https://www.etsy.com/shop/Solnote</x:v>
      </x:c>
      <x:c r="E1351" s="11" t="n">
        <x:v>5.9</x:v>
      </x:c>
      <x:c r="F1351" s="10" t="n">
        <x:v>0</x:v>
      </x:c>
      <x:c r="G1351" s="12" t="n">
        <x:v>0</x:v>
      </x:c>
      <x:c r="H1351" s="13" t="n">
        <x:v>0</x:v>
      </x:c>
      <x:c r="I1351" s="10" t="n">
        <x:v>0</x:v>
      </x:c>
      <x:c r="J1351" s="10" t="n">
        <x:v>0</x:v>
      </x:c>
      <x:c r="K1351" s="10" t="str">
        <x:v>2 Mo.</x:v>
      </x:c>
      <x:c r="L1351" s="10" t="n">
        <x:v>4</x:v>
      </x:c>
      <x:c r="M1351" s="10" t="n">
        <x:v>0</x:v>
      </x:c>
      <x:c r="N1351" s="10" t="n">
        <x:v>46</x:v>
      </x:c>
      <x:c r="O1351" s="10" t="str">
        <x:v>Paper &amp; Party Supplies</x:v>
      </x:c>
      <x:c r="P1351" s="10" t="n">
        <x:v>139</x:v>
      </x:c>
      <x:c r="Q1351" s="10" t="n">
        <x:v>0</x:v>
      </x:c>
      <x:c r="R1351" s="13" t="n">
        <x:v>0</x:v>
      </x:c>
      <x:c r="S1351" s="10" t="n">
        <x:v>762</x:v>
      </x:c>
      <x:c r="T1351" s="10" t="str">
        <x:v>home buying list,first home buyer,realtor checklist,buyer agent template,real estate planner,apple notes template,closing checklist,home inspection list,realtor gift digital,mortgage planner,apple notes planner,relocation checklist,new home checklist</x:v>
      </x:c>
      <x:c r="U1351" s="10" t="str">
        <x:v>home buying list</x:v>
      </x:c>
      <x:c r="V1351" s="10" t="str">
        <x:v>first home buyer</x:v>
      </x:c>
      <x:c r="W1351" s="10" t="str">
        <x:v>realtor checklist</x:v>
      </x:c>
      <x:c r="X1351" s="10" t="str">
        <x:v>buyer agent template</x:v>
      </x:c>
      <x:c r="Y1351" s="10" t="str">
        <x:v>real estate planner</x:v>
      </x:c>
      <x:c r="Z1351" s="10" t="str">
        <x:v>apple notes template</x:v>
      </x:c>
      <x:c r="AA1351" s="10" t="str">
        <x:v>closing checklist</x:v>
      </x:c>
      <x:c r="AB1351" s="10" t="str">
        <x:v>home inspection list</x:v>
      </x:c>
      <x:c r="AC1351" s="10" t="str">
        <x:v>realtor gift digital</x:v>
      </x:c>
      <x:c r="AD1351" s="10" t="str">
        <x:v>mortgage planner</x:v>
      </x:c>
      <x:c r="AE1351" s="10" t="str">
        <x:v>apple notes planner</x:v>
      </x:c>
      <x:c r="AF1351" s="10" t="str">
        <x:v>relocation checklist</x:v>
      </x:c>
      <x:c r="AG1351" s="10" t="str">
        <x:v>new home checklist</x:v>
      </x:c>
      <x:c r="AH1351" s="10" t="str">
        <x:v>Home buying planner</x:v>
      </x:c>
      <x:c r="AI1351" s="13" t="n">
        <x:v>2</x:v>
      </x:c>
      <x:c r="AJ1351" s="10" t="str">
        <x:f>IF(F1351&gt;0,"Active","No est. sales")</x:f>
        <x:v>No est. sales</x:v>
      </x:c>
    </x:row>
    <x:row r="1352">
      <x:c r="A1352" s="10" t="str">
        <x:v>Mortgage Bill Due Planner Stickers /  BA-11</x:v>
      </x:c>
      <x:c r="B1352" s="10" t="str">
        <x:v>https://www.etsy.com/listing/1890954345/mortgage-bill-due-planner-stickers-ba-11</x:v>
      </x:c>
      <x:c r="C1352" s="10" t="str">
        <x:v>LuceStellarePaperCo</x:v>
      </x:c>
      <x:c r="D1352" s="10" t="str">
        <x:v>https://www.etsy.com/shop/LuceStellarePaperCo</x:v>
      </x:c>
      <x:c r="E1352" s="11" t="n">
        <x:v>4.2</x:v>
      </x:c>
      <x:c r="F1352" s="10" t="n">
        <x:v>0</x:v>
      </x:c>
      <x:c r="G1352" s="12" t="n">
        <x:v>0</x:v>
      </x:c>
      <x:c r="H1352" s="13" t="n">
        <x:v>0</x:v>
      </x:c>
      <x:c r="I1352" s="10" t="n">
        <x:v>0</x:v>
      </x:c>
      <x:c r="J1352" s="10" t="n">
        <x:v>0</x:v>
      </x:c>
      <x:c r="K1352" s="10" t="str">
        <x:v>16 Mo.</x:v>
      </x:c>
      <x:c r="L1352" s="10" t="n">
        <x:v>26</x:v>
      </x:c>
      <x:c r="M1352" s="10" t="n">
        <x:v>0</x:v>
      </x:c>
      <x:c r="N1352" s="10" t="n">
        <x:v>142</x:v>
      </x:c>
      <x:c r="O1352" s="10" t="str">
        <x:v>Paper &amp; Party Supplies</x:v>
      </x:c>
      <x:c r="P1352" s="10" t="n">
        <x:v>121</x:v>
      </x:c>
      <x:c r="Q1352" s="10" t="n">
        <x:v>0</x:v>
      </x:c>
      <x:c r="R1352" s="13" t="n">
        <x:v>0</x:v>
      </x:c>
      <x:c r="S1352" s="10" t="n">
        <x:v>6671</x:v>
      </x:c>
      <x:c r="T1352" s="10" t="str">
        <x:v>erin condren planner,happy planner,budget planner,budget stickers,rent due planner,bill due reminder,bill due tracker,budget tracker,expenses planner,payday stickers,payday tracker,budget planner kit,budget trackers</x:v>
      </x:c>
      <x:c r="U1352" s="10" t="str">
        <x:v>erin condren planner</x:v>
      </x:c>
      <x:c r="V1352" s="10" t="str">
        <x:v>happy planner</x:v>
      </x:c>
      <x:c r="W1352" s="10" t="str">
        <x:v>budget planner</x:v>
      </x:c>
      <x:c r="X1352" s="10" t="str">
        <x:v>budget stickers</x:v>
      </x:c>
      <x:c r="Y1352" s="10" t="str">
        <x:v>rent due planner</x:v>
      </x:c>
      <x:c r="Z1352" s="10" t="str">
        <x:v>bill due reminder</x:v>
      </x:c>
      <x:c r="AA1352" s="10" t="str">
        <x:v>bill due tracker</x:v>
      </x:c>
      <x:c r="AB1352" s="10" t="str">
        <x:v>budget tracker</x:v>
      </x:c>
      <x:c r="AC1352" s="10" t="str">
        <x:v>expenses planner</x:v>
      </x:c>
      <x:c r="AD1352" s="10" t="str">
        <x:v>payday stickers</x:v>
      </x:c>
      <x:c r="AE1352" s="10" t="str">
        <x:v>payday tracker</x:v>
      </x:c>
      <x:c r="AF1352" s="10" t="str">
        <x:v>budget planner kit</x:v>
      </x:c>
      <x:c r="AG1352" s="10" t="str">
        <x:v>budget trackers</x:v>
      </x:c>
      <x:c r="AH1352" s="10" t="str">
        <x:v>Other mortgage-related</x:v>
      </x:c>
      <x:c r="AI1352" s="13" t="n">
        <x:v>16</x:v>
      </x:c>
      <x:c r="AJ1352" s="10" t="str">
        <x:f>IF(F1352&gt;0,"Active","No est. sales")</x:f>
        <x:v>No est. sales</x:v>
      </x:c>
    </x:row>
    <x:row r="1353">
      <x:c r="A1353" s="10" t="str">
        <x:v>Bill Due Planner Stickers: Erin Condren, Limelife, Plum Paper</x:v>
      </x:c>
      <x:c r="B1353" s="10" t="str">
        <x:v>https://www.etsy.com/listing/817145219/bill-due-planner-stickers-erin-condren</x:v>
      </x:c>
      <x:c r="C1353" s="10" t="str">
        <x:v>MyOwnCraftsStore</x:v>
      </x:c>
      <x:c r="D1353" s="10" t="str">
        <x:v>https://www.etsy.com/shop/MyOwnCraftsStore</x:v>
      </x:c>
      <x:c r="E1353" s="11" t="n">
        <x:v>0.97</x:v>
      </x:c>
      <x:c r="F1353" s="10" t="n">
        <x:v>0</x:v>
      </x:c>
      <x:c r="G1353" s="12" t="n">
        <x:v>0</x:v>
      </x:c>
      <x:c r="H1353" s="13" t="n">
        <x:v>0</x:v>
      </x:c>
      <x:c r="I1353" s="10" t="n">
        <x:v>4</x:v>
      </x:c>
      <x:c r="J1353" s="10" t="n">
        <x:v>1</x:v>
      </x:c>
      <x:c r="K1353" s="10" t="str">
        <x:v>74 Mo.</x:v>
      </x:c>
      <x:c r="L1353" s="10" t="n">
        <x:v>17</x:v>
      </x:c>
      <x:c r="M1353" s="10" t="n">
        <x:v>0</x:v>
      </x:c>
      <x:c r="N1353" s="10" t="n">
        <x:v>218</x:v>
      </x:c>
      <x:c r="O1353" s="10" t="str">
        <x:v>Paper &amp; Party Supplies</x:v>
      </x:c>
      <x:c r="P1353" s="10" t="n">
        <x:v>124</x:v>
      </x:c>
      <x:c r="Q1353" s="10" t="n">
        <x:v>0</x:v>
      </x:c>
      <x:c r="R1353" s="13" t="n">
        <x:v>1.83</x:v>
      </x:c>
      <x:c r="S1353" s="10" t="n">
        <x:v>31622</x:v>
      </x:c>
      <x:c r="T1353" s="10" t="str">
        <x:v>sticker,erin condren,plum paper,planner stickers,kawaii bill due,bill due,kawaii bill,bill,pay due,payment,pay bills,pay rent,mortgage</x:v>
      </x:c>
      <x:c r="U1353" s="10" t="str">
        <x:v>sticker</x:v>
      </x:c>
      <x:c r="V1353" s="10" t="str">
        <x:v>erin condren</x:v>
      </x:c>
      <x:c r="W1353" s="10" t="str">
        <x:v>plum paper</x:v>
      </x:c>
      <x:c r="X1353" s="10" t="str">
        <x:v>planner stickers</x:v>
      </x:c>
      <x:c r="Y1353" s="10" t="str">
        <x:v>kawaii bill due</x:v>
      </x:c>
      <x:c r="Z1353" s="10" t="str">
        <x:v>bill due</x:v>
      </x:c>
      <x:c r="AA1353" s="10" t="str">
        <x:v>kawaii bill</x:v>
      </x:c>
      <x:c r="AB1353" s="10" t="str">
        <x:v>bill</x:v>
      </x:c>
      <x:c r="AC1353" s="10" t="str">
        <x:v>pay due</x:v>
      </x:c>
      <x:c r="AD1353" s="10" t="str">
        <x:v>payment</x:v>
      </x:c>
      <x:c r="AE1353" s="10" t="str">
        <x:v>pay bills</x:v>
      </x:c>
      <x:c r="AF1353" s="10" t="str">
        <x:v>pay rent</x:v>
      </x:c>
      <x:c r="AG1353" s="10" t="str">
        <x:v>mortgage</x:v>
      </x:c>
      <x:c r="AH1353" s="10" t="str">
        <x:v>Other mortgage-related</x:v>
      </x:c>
      <x:c r="AI1353" s="13" t="n">
        <x:v>74</x:v>
      </x:c>
      <x:c r="AJ1353" s="10" t="str">
        <x:f>IF(F1353&gt;0,"Active","No est. sales")</x:f>
        <x:v>No est. sales</x:v>
      </x:c>
    </x:row>
    <x:row r="1354">
      <x:c r="A1354" s="10" t="str">
        <x:v>Dollar Bill Planner Stickers: Finance, Saving, Money</x:v>
      </x:c>
      <x:c r="B1354" s="10" t="str">
        <x:v>https://www.etsy.com/listing/787221782/dollar-bill-planner-stickers-finance</x:v>
      </x:c>
      <x:c r="C1354" s="10" t="str">
        <x:v>MyOwnCraftsStore</x:v>
      </x:c>
      <x:c r="D1354" s="10" t="str">
        <x:v>https://www.etsy.com/shop/MyOwnCraftsStore</x:v>
      </x:c>
      <x:c r="E1354" s="11" t="n">
        <x:v>0.97</x:v>
      </x:c>
      <x:c r="F1354" s="10" t="n">
        <x:v>0</x:v>
      </x:c>
      <x:c r="G1354" s="12" t="n">
        <x:v>0</x:v>
      </x:c>
      <x:c r="H1354" s="13" t="n">
        <x:v>0</x:v>
      </x:c>
      <x:c r="I1354" s="10" t="n">
        <x:v>4</x:v>
      </x:c>
      <x:c r="J1354" s="10" t="n">
        <x:v>1</x:v>
      </x:c>
      <x:c r="K1354" s="10" t="str">
        <x:v>75 Mo.</x:v>
      </x:c>
      <x:c r="L1354" s="10" t="n">
        <x:v>18</x:v>
      </x:c>
      <x:c r="M1354" s="10" t="n">
        <x:v>0</x:v>
      </x:c>
      <x:c r="N1354" s="10" t="n">
        <x:v>211</x:v>
      </x:c>
      <x:c r="O1354" s="10" t="str">
        <x:v>Paper &amp; Party Supplies</x:v>
      </x:c>
      <x:c r="P1354" s="10" t="n">
        <x:v>124</x:v>
      </x:c>
      <x:c r="Q1354" s="10" t="n">
        <x:v>0</x:v>
      </x:c>
      <x:c r="R1354" s="13" t="n">
        <x:v>1.9</x:v>
      </x:c>
      <x:c r="S1354" s="10" t="n">
        <x:v>31622</x:v>
      </x:c>
      <x:c r="T1354" s="10" t="str">
        <x:v>planner stickers,stickers,reminder,eric condern,dollar bill saving,money finance,saving money,dollar bill,saving,money,finance,rent,mortgage</x:v>
      </x:c>
      <x:c r="U1354" s="10" t="str">
        <x:v>planner stickers</x:v>
      </x:c>
      <x:c r="V1354" s="10" t="str">
        <x:v>stickers</x:v>
      </x:c>
      <x:c r="W1354" s="10" t="str">
        <x:v>reminder</x:v>
      </x:c>
      <x:c r="X1354" s="10" t="str">
        <x:v>eric condern</x:v>
      </x:c>
      <x:c r="Y1354" s="10" t="str">
        <x:v>dollar bill saving</x:v>
      </x:c>
      <x:c r="Z1354" s="10" t="str">
        <x:v>money finance</x:v>
      </x:c>
      <x:c r="AA1354" s="10" t="str">
        <x:v>saving money</x:v>
      </x:c>
      <x:c r="AB1354" s="10" t="str">
        <x:v>dollar bill</x:v>
      </x:c>
      <x:c r="AC1354" s="10" t="str">
        <x:v>saving</x:v>
      </x:c>
      <x:c r="AD1354" s="10" t="str">
        <x:v>money</x:v>
      </x:c>
      <x:c r="AE1354" s="10" t="str">
        <x:v>finance</x:v>
      </x:c>
      <x:c r="AF1354" s="10" t="str">
        <x:v>rent</x:v>
      </x:c>
      <x:c r="AG1354" s="10" t="str">
        <x:v>mortgage</x:v>
      </x:c>
      <x:c r="AH1354" s="10" t="str">
        <x:v>Other mortgage-related</x:v>
      </x:c>
      <x:c r="AI1354" s="13" t="n">
        <x:v>75</x:v>
      </x:c>
      <x:c r="AJ1354" s="10" t="str">
        <x:f>IF(F1354&gt;0,"Active","No est. sales")</x:f>
        <x:v>No est. sales</x:v>
      </x:c>
    </x:row>
    <x:row r="1355">
      <x:c r="A1355" s="10" t="str">
        <x:v>Debt Payoff Tracker Debt Snowball Avalanche Calculator Google Sheets Credit Card Loan Payoff Debt Free Planner Credit Utilization Rate 2025</x:v>
      </x:c>
      <x:c r="B1355" s="10" t="str">
        <x:v>https://www.etsy.com/listing/1823732371/debt-payoff-tracker-debt-snowball</x:v>
      </x:c>
      <x:c r="C1355" s="10" t="str">
        <x:v>TemplateWizardExcel</x:v>
      </x:c>
      <x:c r="D1355" s="10" t="str">
        <x:v>https://www.etsy.com/shop/TemplateWizardExcel</x:v>
      </x:c>
      <x:c r="E1355" s="11" t="n">
        <x:v>7.97</x:v>
      </x:c>
      <x:c r="F1355" s="10" t="n">
        <x:v>0</x:v>
      </x:c>
      <x:c r="G1355" s="12" t="n">
        <x:v>0</x:v>
      </x:c>
      <x:c r="H1355" s="13" t="n">
        <x:v>0</x:v>
      </x:c>
      <x:c r="I1355" s="10" t="n">
        <x:v>2</x:v>
      </x:c>
      <x:c r="J1355" s="10" t="n">
        <x:v>2</x:v>
      </x:c>
      <x:c r="K1355" s="10" t="str">
        <x:v>20 Mo.</x:v>
      </x:c>
      <x:c r="L1355" s="10" t="n">
        <x:v>4</x:v>
      </x:c>
      <x:c r="M1355" s="10" t="n">
        <x:v>0</x:v>
      </x:c>
      <x:c r="N1355" s="10" t="n">
        <x:v>237</x:v>
      </x:c>
      <x:c r="O1355" s="10" t="str">
        <x:v>Paper &amp; Party Supplies</x:v>
      </x:c>
      <x:c r="P1355" s="10" t="n">
        <x:v>21</x:v>
      </x:c>
      <x:c r="Q1355" s="10" t="n">
        <x:v>0</x:v>
      </x:c>
      <x:c r="R1355" s="13" t="n">
        <x:v>0.84</x:v>
      </x:c>
      <x:c r="S1355" s="10" t="n">
        <x:v>113</x:v>
      </x:c>
      <x:c r="T1355" s="10" t="str">
        <x:v>snowball calculator,debt payoff tracker,debt payment tracker,debt spreadsheet,debt snowball,debt payoff,debt tracker,financial planner,debt payoff chart,credit card payoff,debt avalanche,mortgage payoff,student loan debt</x:v>
      </x:c>
      <x:c r="U1355" s="10" t="str">
        <x:v>snowball calculator</x:v>
      </x:c>
      <x:c r="V1355" s="10" t="str">
        <x:v>debt payoff tracker</x:v>
      </x:c>
      <x:c r="W1355" s="10" t="str">
        <x:v>debt payment tracker</x:v>
      </x:c>
      <x:c r="X1355" s="10" t="str">
        <x:v>debt spreadsheet</x:v>
      </x:c>
      <x:c r="Y1355" s="10" t="str">
        <x:v>debt snowball</x:v>
      </x:c>
      <x:c r="Z1355" s="10" t="str">
        <x:v>debt payoff</x:v>
      </x:c>
      <x:c r="AA1355" s="10" t="str">
        <x:v>debt tracker</x:v>
      </x:c>
      <x:c r="AB1355" s="10" t="str">
        <x:v>financial planner</x:v>
      </x:c>
      <x:c r="AC1355" s="10" t="str">
        <x:v>debt payoff chart</x:v>
      </x:c>
      <x:c r="AD1355" s="10" t="str">
        <x:v>credit card payoff</x:v>
      </x:c>
      <x:c r="AE1355" s="10" t="str">
        <x:v>debt avalanche</x:v>
      </x:c>
      <x:c r="AF1355" s="10" t="str">
        <x:v>mortgage payoff</x:v>
      </x:c>
      <x:c r="AG1355" s="10" t="str">
        <x:v>student loan debt</x:v>
      </x:c>
      <x:c r="AH1355" s="10" t="str">
        <x:v>General debt payoff</x:v>
      </x:c>
      <x:c r="AI1355" s="13" t="n">
        <x:v>20</x:v>
      </x:c>
      <x:c r="AJ1355" s="10" t="str">
        <x:f>IF(F1355&gt;0,"Active","No est. sales")</x:f>
        <x:v>No est. sales</x:v>
      </x:c>
    </x:row>
    <x:row r="1356">
      <x:c r="A1356" s="10" t="str">
        <x:v>Credit card payoff tracker  snowball and avalanche debt calculator student loan debt  google sheets mortgage debt tracker</x:v>
      </x:c>
      <x:c r="B1356" s="10" t="str">
        <x:v>https://www.etsy.com/listing/4478964676/credit-card-payoff-tracker-snowball-and</x:v>
      </x:c>
      <x:c r="C1356" s="10" t="str">
        <x:v>Sleepydownloads</x:v>
      </x:c>
      <x:c r="D1356" s="10" t="str">
        <x:v>https://www.etsy.com/shop/Sleepydownloads</x:v>
      </x:c>
      <x:c r="E1356" s="11" t="n">
        <x:v>3.81</x:v>
      </x:c>
      <x:c r="F1356" s="10" t="n">
        <x:v>0</x:v>
      </x:c>
      <x:c r="G1356" s="12" t="n">
        <x:v>0</x:v>
      </x:c>
      <x:c r="H1356" s="13" t="n">
        <x:v>0</x:v>
      </x:c>
      <x:c r="I1356" s="10" t="n">
        <x:v>0</x:v>
      </x:c>
      <x:c r="J1356" s="10" t="n">
        <x:v>0</x:v>
      </x:c>
      <x:c r="K1356" s="10" t="str">
        <x:v>4 Mo.</x:v>
      </x:c>
      <x:c r="L1356" s="10" t="n">
        <x:v>0</x:v>
      </x:c>
      <x:c r="M1356" s="10" t="n">
        <x:v>0</x:v>
      </x:c>
      <x:c r="N1356" s="10" t="n">
        <x:v>2</x:v>
      </x:c>
      <x:c r="O1356" s="10" t="str"/>
      <x:c r="P1356" s="10" t="n">
        <x:v>34</x:v>
      </x:c>
      <x:c r="Q1356" s="10" t="n">
        <x:v>0</x:v>
      </x:c>
      <x:c r="R1356" s="13" t="n">
        <x:v>0</x:v>
      </x:c>
      <x:c r="S1356" s="10" t="n">
        <x:v>357</x:v>
      </x:c>
      <x:c r="T1356" s="10" t="str">
        <x:v>credit card payoff,student loan debt,collage loan payoff,debt avalanche,home loan,financial planner,personal loans,debt free planner,mortgage payoff,credit utilization,creditcard repayment,debt repayment,snowball calculator</x:v>
      </x:c>
      <x:c r="U1356" s="10" t="str">
        <x:v>credit card payoff</x:v>
      </x:c>
      <x:c r="V1356" s="10" t="str">
        <x:v>student loan debt</x:v>
      </x:c>
      <x:c r="W1356" s="10" t="str">
        <x:v>collage loan payoff</x:v>
      </x:c>
      <x:c r="X1356" s="10" t="str">
        <x:v>debt avalanche</x:v>
      </x:c>
      <x:c r="Y1356" s="10" t="str">
        <x:v>home loan</x:v>
      </x:c>
      <x:c r="Z1356" s="10" t="str">
        <x:v>financial planner</x:v>
      </x:c>
      <x:c r="AA1356" s="10" t="str">
        <x:v>personal loans</x:v>
      </x:c>
      <x:c r="AB1356" s="10" t="str">
        <x:v>debt free planner</x:v>
      </x:c>
      <x:c r="AC1356" s="10" t="str">
        <x:v>mortgage payoff</x:v>
      </x:c>
      <x:c r="AD1356" s="10" t="str">
        <x:v>credit utilization</x:v>
      </x:c>
      <x:c r="AE1356" s="10" t="str">
        <x:v>creditcard repayment</x:v>
      </x:c>
      <x:c r="AF1356" s="10" t="str">
        <x:v>debt repayment</x:v>
      </x:c>
      <x:c r="AG1356" s="10" t="str">
        <x:v>snowball calculator</x:v>
      </x:c>
      <x:c r="AH1356" s="10" t="str">
        <x:v>General debt payoff</x:v>
      </x:c>
      <x:c r="AI1356" s="13" t="n">
        <x:v>4</x:v>
      </x:c>
      <x:c r="AJ1356" s="10" t="str">
        <x:f>IF(F1356&gt;0,"Active","No est. sales")</x:f>
        <x:v>No est. sales</x:v>
      </x:c>
    </x:row>
    <x:row r="1357">
      <x:c r="A1357" s="10" t="str">
        <x:v>House Payment Planner Stickers, Mortgage Payment Planner Stickers</x:v>
      </x:c>
      <x:c r="B1357" s="10" t="str">
        <x:v>https://www.etsy.com/listing/971751611/house-payment-planner-stickers-mortgage</x:v>
      </x:c>
      <x:c r="C1357" s="10" t="str">
        <x:v>OrganizingChaosCo</x:v>
      </x:c>
      <x:c r="D1357" s="10" t="str">
        <x:v>https://www.etsy.com/shop/OrganizingChaosCo</x:v>
      </x:c>
      <x:c r="E1357" s="11" t="n">
        <x:v>4.75</x:v>
      </x:c>
      <x:c r="F1357" s="10" t="n">
        <x:v>0</x:v>
      </x:c>
      <x:c r="G1357" s="12" t="n">
        <x:v>0</x:v>
      </x:c>
      <x:c r="H1357" s="13" t="n">
        <x:v>0</x:v>
      </x:c>
      <x:c r="I1357" s="10" t="n">
        <x:v>41</x:v>
      </x:c>
      <x:c r="J1357" s="10" t="n">
        <x:v>9</x:v>
      </x:c>
      <x:c r="K1357" s="10" t="str">
        <x:v>65 Mo.</x:v>
      </x:c>
      <x:c r="L1357" s="10" t="n">
        <x:v>75</x:v>
      </x:c>
      <x:c r="M1357" s="10" t="n">
        <x:v>0</x:v>
      </x:c>
      <x:c r="N1357" s="10" t="n">
        <x:v>779</x:v>
      </x:c>
      <x:c r="O1357" s="10" t="str">
        <x:v>Paper &amp; Party Supplies</x:v>
      </x:c>
      <x:c r="P1357" s="10" t="n">
        <x:v>71</x:v>
      </x:c>
      <x:c r="Q1357" s="10" t="n">
        <x:v>0</x:v>
      </x:c>
      <x:c r="R1357" s="13" t="n">
        <x:v>5.26</x:v>
      </x:c>
      <x:c r="S1357" s="10" t="n">
        <x:v>40378</x:v>
      </x:c>
      <x:c r="T1357" s="10" t="str">
        <x:v>budget stickers,budgeting,erin condren planner,happy planner,functional stickers,agenda,functional,script stickers,life planner,stickers,budget</x:v>
      </x:c>
      <x:c r="U1357" s="10" t="str">
        <x:v>budget stickers</x:v>
      </x:c>
      <x:c r="V1357" s="10" t="str">
        <x:v>budgeting</x:v>
      </x:c>
      <x:c r="W1357" s="10" t="str">
        <x:v>erin condren planner</x:v>
      </x:c>
      <x:c r="X1357" s="10" t="str">
        <x:v>happy planner</x:v>
      </x:c>
      <x:c r="Y1357" s="10" t="str">
        <x:v>functional stickers</x:v>
      </x:c>
      <x:c r="Z1357" s="10" t="str">
        <x:v>agenda</x:v>
      </x:c>
      <x:c r="AA1357" s="10" t="str">
        <x:v>functional</x:v>
      </x:c>
      <x:c r="AB1357" s="10" t="str">
        <x:v>script stickers</x:v>
      </x:c>
      <x:c r="AC1357" s="10" t="str">
        <x:v>life planner</x:v>
      </x:c>
      <x:c r="AD1357" s="10" t="str">
        <x:v>stickers</x:v>
      </x:c>
      <x:c r="AE1357" s="10" t="str">
        <x:v>budget</x:v>
      </x:c>
      <x:c r="AF1357" s="10" t="str">
        <x:v>--</x:v>
      </x:c>
      <x:c r="AG1357" s="10" t="str">
        <x:v>--</x:v>
      </x:c>
      <x:c r="AH1357" s="10" t="str">
        <x:v>Other mortgage-related</x:v>
      </x:c>
      <x:c r="AI1357" s="13" t="n">
        <x:v>65</x:v>
      </x:c>
      <x:c r="AJ1357" s="10" t="str">
        <x:f>IF(F1357&gt;0,"Active","No est. sales")</x:f>
        <x:v>No est. sales</x:v>
      </x:c>
    </x:row>
    <x:row r="1358">
      <x:c r="A1358" s="10" t="str">
        <x:v>Success Tracker for Mortgage Loan Originators - 4 Week | Lender Help | Grow your Business | Generate more LEADS</x:v>
      </x:c>
      <x:c r="B1358" s="10" t="str">
        <x:v>https://www.etsy.com/listing/1498746361/success-tracker-for-mortgage-loan</x:v>
      </x:c>
      <x:c r="C1358" s="10" t="str">
        <x:v>HelloSocialShop</x:v>
      </x:c>
      <x:c r="D1358" s="10" t="str">
        <x:v>https://www.etsy.com/shop/HelloSocialShop</x:v>
      </x:c>
      <x:c r="E1358" s="11" t="n">
        <x:v>39.99</x:v>
      </x:c>
      <x:c r="F1358" s="10" t="n">
        <x:v>0</x:v>
      </x:c>
      <x:c r="G1358" s="12" t="n">
        <x:v>0</x:v>
      </x:c>
      <x:c r="H1358" s="13" t="n">
        <x:v>0</x:v>
      </x:c>
      <x:c r="I1358" s="10" t="n">
        <x:v>0</x:v>
      </x:c>
      <x:c r="J1358" s="10" t="n">
        <x:v>0</x:v>
      </x:c>
      <x:c r="K1358" s="10" t="str">
        <x:v>37 Mo.</x:v>
      </x:c>
      <x:c r="L1358" s="10" t="n">
        <x:v>4</x:v>
      </x:c>
      <x:c r="M1358" s="10" t="n">
        <x:v>0</x:v>
      </x:c>
      <x:c r="N1358" s="10" t="n">
        <x:v>179</x:v>
      </x:c>
      <x:c r="O1358" s="10" t="str">
        <x:v>Paper &amp; Party Supplies</x:v>
      </x:c>
      <x:c r="P1358" s="10" t="n">
        <x:v>37</x:v>
      </x:c>
      <x:c r="Q1358" s="10" t="n">
        <x:v>0</x:v>
      </x:c>
      <x:c r="R1358" s="13" t="n">
        <x:v>0</x:v>
      </x:c>
      <x:c r="S1358" s="10" t="n">
        <x:v>10</x:v>
      </x:c>
      <x:c r="T1358" s="10" t="str">
        <x:v>lender sales planner,mortgage sales,sales tracker,sales planner,mortgage marketing,lender marketing,lead generation,lender tools,mortgage tools,sales organizer,lender help,mlo help</x:v>
      </x:c>
      <x:c r="U1358" s="10" t="str">
        <x:v>lender sales planner</x:v>
      </x:c>
      <x:c r="V1358" s="10" t="str">
        <x:v>mortgage sales</x:v>
      </x:c>
      <x:c r="W1358" s="10" t="str">
        <x:v>sales tracker</x:v>
      </x:c>
      <x:c r="X1358" s="10" t="str">
        <x:v>sales planner</x:v>
      </x:c>
      <x:c r="Y1358" s="10" t="str">
        <x:v>mortgage marketing</x:v>
      </x:c>
      <x:c r="Z1358" s="10" t="str">
        <x:v>lender marketing</x:v>
      </x:c>
      <x:c r="AA1358" s="10" t="str">
        <x:v>lead generation</x:v>
      </x:c>
      <x:c r="AB1358" s="10" t="str">
        <x:v>lender tools</x:v>
      </x:c>
      <x:c r="AC1358" s="10" t="str">
        <x:v>mortgage tools</x:v>
      </x:c>
      <x:c r="AD1358" s="10" t="str">
        <x:v>sales organizer</x:v>
      </x:c>
      <x:c r="AE1358" s="10" t="str">
        <x:v>lender help</x:v>
      </x:c>
      <x:c r="AF1358" s="10" t="str">
        <x:v>mlo help</x:v>
      </x:c>
      <x:c r="AG1358" s="10" t="str">
        <x:v>--</x:v>
      </x:c>
      <x:c r="AH1358" s="10" t="str">
        <x:v>Other mortgage-related</x:v>
      </x:c>
      <x:c r="AI1358" s="13" t="n">
        <x:v>37</x:v>
      </x:c>
      <x:c r="AJ1358" s="10" t="str">
        <x:f>IF(F1358&gt;0,"Active","No est. sales")</x:f>
        <x:v>No est. sales</x:v>
      </x:c>
    </x:row>
    <x:row r="1359">
      <x:c r="A1359" s="10" t="str">
        <x:v>Real Estate Client Presentation Spreadsheet | Google Sheets Affordability Calculator</x:v>
      </x:c>
      <x:c r="B1359" s="10" t="str">
        <x:v>https://www.etsy.com/listing/4359109259/real-estate-agent-client-presentation</x:v>
      </x:c>
      <x:c r="C1359" s="10" t="str">
        <x:v>WealthMavenTemplates</x:v>
      </x:c>
      <x:c r="D1359" s="10" t="str">
        <x:v>https://www.etsy.com/shop/WealthMavenTemplates</x:v>
      </x:c>
      <x:c r="E1359" s="11" t="n">
        <x:v>85</x:v>
      </x:c>
      <x:c r="F1359" s="10" t="n">
        <x:v>0</x:v>
      </x:c>
      <x:c r="G1359" s="12" t="n">
        <x:v>0</x:v>
      </x:c>
      <x:c r="H1359" s="13" t="n">
        <x:v>0</x:v>
      </x:c>
      <x:c r="I1359" s="10" t="n">
        <x:v>12</x:v>
      </x:c>
      <x:c r="J1359" s="10" t="n">
        <x:v>1</x:v>
      </x:c>
      <x:c r="K1359" s="10" t="str">
        <x:v>11 Mo.</x:v>
      </x:c>
      <x:c r="L1359" s="10" t="n">
        <x:v>7</x:v>
      </x:c>
      <x:c r="M1359" s="10" t="n">
        <x:v>0</x:v>
      </x:c>
      <x:c r="N1359" s="10" t="n">
        <x:v>312</x:v>
      </x:c>
      <x:c r="O1359" s="10" t="str"/>
      <x:c r="P1359" s="10" t="n">
        <x:v>44</x:v>
      </x:c>
      <x:c r="Q1359" s="10" t="n">
        <x:v>0</x:v>
      </x:c>
      <x:c r="R1359" s="13" t="n">
        <x:v>3.85</x:v>
      </x:c>
      <x:c r="S1359" s="10" t="n">
        <x:v>4910</x:v>
      </x:c>
      <x:c r="T1359" s="10" t="str">
        <x:v>dti calculator,piti calculator,mortgage toolkit,home affordability,buyer consultation,realtor tools,mortgage planner,amortization table,loan tracker,house budget,realtor dashboard,wealth maven,digital download</x:v>
      </x:c>
      <x:c r="U1359" s="10" t="str">
        <x:v>dti calculator</x:v>
      </x:c>
      <x:c r="V1359" s="10" t="str">
        <x:v>piti calculator</x:v>
      </x:c>
      <x:c r="W1359" s="10" t="str">
        <x:v>mortgage toolkit</x:v>
      </x:c>
      <x:c r="X1359" s="10" t="str">
        <x:v>home affordability</x:v>
      </x:c>
      <x:c r="Y1359" s="10" t="str">
        <x:v>buyer consultation</x:v>
      </x:c>
      <x:c r="Z1359" s="10" t="str">
        <x:v>realtor tools</x:v>
      </x:c>
      <x:c r="AA1359" s="10" t="str">
        <x:v>mortgage planner</x:v>
      </x:c>
      <x:c r="AB1359" s="10" t="str">
        <x:v>amortization table</x:v>
      </x:c>
      <x:c r="AC1359" s="10" t="str">
        <x:v>loan tracker</x:v>
      </x:c>
      <x:c r="AD1359" s="10" t="str">
        <x:v>house budget</x:v>
      </x:c>
      <x:c r="AE1359" s="10" t="str">
        <x:v>realtor dashboard</x:v>
      </x:c>
      <x:c r="AF1359" s="10" t="str">
        <x:v>wealth maven</x:v>
      </x:c>
      <x:c r="AG1359" s="10" t="str">
        <x:v>digital download</x:v>
      </x:c>
      <x:c r="AH1359" s="10" t="str">
        <x:v>Other mortgage-related</x:v>
      </x:c>
      <x:c r="AI1359" s="13" t="n">
        <x:v>11</x:v>
      </x:c>
      <x:c r="AJ1359" s="10" t="str">
        <x:f>IF(F1359&gt;0,"Active","No est. sales")</x:f>
        <x:v>No est. sales</x:v>
      </x:c>
    </x:row>
    <x:row r="1360">
      <x:c r="A1360" s="10" t="str">
        <x:v>Bill Due Check Planner Stickers – Perfect for any standard planners, bullet journals, agendas, notebooks, mini planners, etc.</x:v>
      </x:c>
      <x:c r="B1360" s="10" t="str">
        <x:v>https://www.etsy.com/listing/870001582/bill-due-check-planner-stickers-perfect</x:v>
      </x:c>
      <x:c r="C1360" s="10" t="str">
        <x:v>gabrielainezdesigns</x:v>
      </x:c>
      <x:c r="D1360" s="10" t="str">
        <x:v>https://www.etsy.com/shop/gabrielainezdesigns</x:v>
      </x:c>
      <x:c r="E1360" s="11" t="n">
        <x:v>3.15</x:v>
      </x:c>
      <x:c r="F1360" s="10" t="n">
        <x:v>0</x:v>
      </x:c>
      <x:c r="G1360" s="12" t="n">
        <x:v>0</x:v>
      </x:c>
      <x:c r="H1360" s="13" t="n">
        <x:v>0</x:v>
      </x:c>
      <x:c r="I1360" s="10" t="n">
        <x:v>2</x:v>
      </x:c>
      <x:c r="J1360" s="10" t="n">
        <x:v>1</x:v>
      </x:c>
      <x:c r="K1360" s="10" t="str">
        <x:v>69 Mo.</x:v>
      </x:c>
      <x:c r="L1360" s="10" t="n">
        <x:v>17</x:v>
      </x:c>
      <x:c r="M1360" s="10" t="n">
        <x:v>0</x:v>
      </x:c>
      <x:c r="N1360" s="10" t="n">
        <x:v>186</x:v>
      </x:c>
      <x:c r="O1360" s="10" t="str">
        <x:v>Paper &amp; Party Supplies</x:v>
      </x:c>
      <x:c r="P1360" s="10" t="n">
        <x:v>133</x:v>
      </x:c>
      <x:c r="Q1360" s="10" t="n">
        <x:v>0</x:v>
      </x:c>
      <x:c r="R1360" s="13" t="n">
        <x:v>1.08</x:v>
      </x:c>
      <x:c r="S1360" s="10" t="n">
        <x:v>4668</x:v>
      </x:c>
      <x:c r="T1360" s="10" t="str">
        <x:v>gabrielainezdesigns,planner stickers,bills dues stickers,payment stickers,finance stickers,check stickers,mortgage stickers,bills stickers,money stickers,dave ramsey stickers,savings stickers,spending stickers,minimalist stickers</x:v>
      </x:c>
      <x:c r="U1360" s="10" t="str">
        <x:v>gabrielainezdesigns</x:v>
      </x:c>
      <x:c r="V1360" s="10" t="str">
        <x:v>planner stickers</x:v>
      </x:c>
      <x:c r="W1360" s="10" t="str">
        <x:v>bills dues stickers</x:v>
      </x:c>
      <x:c r="X1360" s="10" t="str">
        <x:v>payment stickers</x:v>
      </x:c>
      <x:c r="Y1360" s="10" t="str">
        <x:v>finance stickers</x:v>
      </x:c>
      <x:c r="Z1360" s="10" t="str">
        <x:v>check stickers</x:v>
      </x:c>
      <x:c r="AA1360" s="10" t="str">
        <x:v>mortgage stickers</x:v>
      </x:c>
      <x:c r="AB1360" s="10" t="str">
        <x:v>bills stickers</x:v>
      </x:c>
      <x:c r="AC1360" s="10" t="str">
        <x:v>money stickers</x:v>
      </x:c>
      <x:c r="AD1360" s="10" t="str">
        <x:v>dave ramsey stickers</x:v>
      </x:c>
      <x:c r="AE1360" s="10" t="str">
        <x:v>savings stickers</x:v>
      </x:c>
      <x:c r="AF1360" s="10" t="str">
        <x:v>spending stickers</x:v>
      </x:c>
      <x:c r="AG1360" s="10" t="str">
        <x:v>minimalist stickers</x:v>
      </x:c>
      <x:c r="AH1360" s="10" t="str">
        <x:v>Other mortgage-related</x:v>
      </x:c>
      <x:c r="AI1360" s="13" t="n">
        <x:v>69</x:v>
      </x:c>
      <x:c r="AJ1360" s="10" t="str">
        <x:f>IF(F1360&gt;0,"Active","No est. sales")</x:f>
        <x:v>No est. sales</x:v>
      </x:c>
    </x:row>
    <x:row r="1361">
      <x:c r="A1361" s="10" t="str">
        <x:v>Debt Payoff Snowball Debt Snowball Payoff Tracker Google Sheets Debt Snowball Calculator Student Loan Payoff Mortgage Debt Payoff</x:v>
      </x:c>
      <x:c r="B1361" s="10" t="str">
        <x:v>https://www.etsy.com/listing/1687910129/debt-payoff-snowball-debt-snowball</x:v>
      </x:c>
      <x:c r="C1361" s="10" t="str">
        <x:v>ExpertEasePro</x:v>
      </x:c>
      <x:c r="D1361" s="10" t="str">
        <x:v>https://www.etsy.com/shop/ExpertEasePro</x:v>
      </x:c>
      <x:c r="E1361" s="11" t="n">
        <x:v>4.99</x:v>
      </x:c>
      <x:c r="F1361" s="10" t="n">
        <x:v>0</x:v>
      </x:c>
      <x:c r="G1361" s="12" t="n">
        <x:v>0</x:v>
      </x:c>
      <x:c r="H1361" s="13" t="n">
        <x:v>0</x:v>
      </x:c>
      <x:c r="I1361" s="10" t="n">
        <x:v>20</x:v>
      </x:c>
      <x:c r="J1361" s="10" t="n">
        <x:v>2</x:v>
      </x:c>
      <x:c r="K1361" s="10" t="str">
        <x:v>28 Mo.</x:v>
      </x:c>
      <x:c r="L1361" s="10" t="n">
        <x:v>9</x:v>
      </x:c>
      <x:c r="M1361" s="10" t="n">
        <x:v>0</x:v>
      </x:c>
      <x:c r="N1361" s="10" t="n">
        <x:v>529</x:v>
      </x:c>
      <x:c r="O1361" s="10" t="str">
        <x:v>Paper &amp; Party Supplies</x:v>
      </x:c>
      <x:c r="P1361" s="10" t="n">
        <x:v>35</x:v>
      </x:c>
      <x:c r="Q1361" s="10" t="n">
        <x:v>0</x:v>
      </x:c>
      <x:c r="R1361" s="13" t="n">
        <x:v>3.78</x:v>
      </x:c>
      <x:c r="S1361" s="10" t="n">
        <x:v>5332</x:v>
      </x:c>
      <x:c r="T1361" s="10" t="str">
        <x:v>debt snowball,debt payoff,debt tracker,student loan payoff,mortgage payoff,snowball method debt,debt repayment,personal finance,debt track template,debt payoff planner,loan payoff template,snowball debt,debt spreadsheet</x:v>
      </x:c>
      <x:c r="U1361" s="10" t="str">
        <x:v>debt snowball</x:v>
      </x:c>
      <x:c r="V1361" s="10" t="str">
        <x:v>debt payoff</x:v>
      </x:c>
      <x:c r="W1361" s="10" t="str">
        <x:v>debt tracker</x:v>
      </x:c>
      <x:c r="X1361" s="10" t="str">
        <x:v>student loan payoff</x:v>
      </x:c>
      <x:c r="Y1361" s="10" t="str">
        <x:v>mortgage payoff</x:v>
      </x:c>
      <x:c r="Z1361" s="10" t="str">
        <x:v>snowball method debt</x:v>
      </x:c>
      <x:c r="AA1361" s="10" t="str">
        <x:v>debt repayment</x:v>
      </x:c>
      <x:c r="AB1361" s="10" t="str">
        <x:v>personal finance</x:v>
      </x:c>
      <x:c r="AC1361" s="10" t="str">
        <x:v>debt track template</x:v>
      </x:c>
      <x:c r="AD1361" s="10" t="str">
        <x:v>debt payoff planner</x:v>
      </x:c>
      <x:c r="AE1361" s="10" t="str">
        <x:v>loan payoff template</x:v>
      </x:c>
      <x:c r="AF1361" s="10" t="str">
        <x:v>snowball debt</x:v>
      </x:c>
      <x:c r="AG1361" s="10" t="str">
        <x:v>debt spreadsheet</x:v>
      </x:c>
      <x:c r="AH1361" s="10" t="str">
        <x:v>General debt payoff</x:v>
      </x:c>
      <x:c r="AI1361" s="13" t="n">
        <x:v>28</x:v>
      </x:c>
      <x:c r="AJ1361" s="10" t="str">
        <x:f>IF(F1361&gt;0,"Active","No est. sales")</x:f>
        <x:v>No est. sales</x:v>
      </x:c>
    </x:row>
    <x:row r="1362">
      <x:c r="A1362" s="10" t="str">
        <x:v>Debt Payoff Snowball Debt Snowball Payoff Tracker Excel Debt Snowball Calculator Student Loan Payoff Mortgage Debt Payoff</x:v>
      </x:c>
      <x:c r="B1362" s="10" t="str">
        <x:v>https://www.etsy.com/listing/1750901425/debt-payoff-snowball-debt-snowball</x:v>
      </x:c>
      <x:c r="C1362" s="10" t="str">
        <x:v>ExpertEasePro</x:v>
      </x:c>
      <x:c r="D1362" s="10" t="str">
        <x:v>https://www.etsy.com/shop/ExpertEasePro</x:v>
      </x:c>
      <x:c r="E1362" s="11" t="n">
        <x:v>4.99</x:v>
      </x:c>
      <x:c r="F1362" s="10" t="n">
        <x:v>0</x:v>
      </x:c>
      <x:c r="G1362" s="12" t="n">
        <x:v>0</x:v>
      </x:c>
      <x:c r="H1362" s="13" t="n">
        <x:v>0</x:v>
      </x:c>
      <x:c r="I1362" s="10" t="n">
        <x:v>0</x:v>
      </x:c>
      <x:c r="J1362" s="10" t="n">
        <x:v>0</x:v>
      </x:c>
      <x:c r="K1362" s="10" t="str">
        <x:v>25 Mo.</x:v>
      </x:c>
      <x:c r="L1362" s="10" t="n">
        <x:v>3</x:v>
      </x:c>
      <x:c r="M1362" s="10" t="n">
        <x:v>0</x:v>
      </x:c>
      <x:c r="N1362" s="10" t="n">
        <x:v>338</x:v>
      </x:c>
      <x:c r="O1362" s="10" t="str">
        <x:v>Paper &amp; Party Supplies</x:v>
      </x:c>
      <x:c r="P1362" s="10" t="n">
        <x:v>35</x:v>
      </x:c>
      <x:c r="Q1362" s="10" t="n">
        <x:v>0</x:v>
      </x:c>
      <x:c r="R1362" s="13" t="n">
        <x:v>0</x:v>
      </x:c>
      <x:c r="S1362" s="10" t="n">
        <x:v>5332</x:v>
      </x:c>
      <x:c r="T1362" s="10" t="str">
        <x:v>debt snowball,debt payoff,debt tracker,student loan payoff,mortgage payoff,snowball method debt,debt repayment,personal finance,debt track template,debt payoff planner,loan payoff template,snowball debt,debt spreadsheet</x:v>
      </x:c>
      <x:c r="U1362" s="10" t="str">
        <x:v>debt snowball</x:v>
      </x:c>
      <x:c r="V1362" s="10" t="str">
        <x:v>debt payoff</x:v>
      </x:c>
      <x:c r="W1362" s="10" t="str">
        <x:v>debt tracker</x:v>
      </x:c>
      <x:c r="X1362" s="10" t="str">
        <x:v>student loan payoff</x:v>
      </x:c>
      <x:c r="Y1362" s="10" t="str">
        <x:v>mortgage payoff</x:v>
      </x:c>
      <x:c r="Z1362" s="10" t="str">
        <x:v>snowball method debt</x:v>
      </x:c>
      <x:c r="AA1362" s="10" t="str">
        <x:v>debt repayment</x:v>
      </x:c>
      <x:c r="AB1362" s="10" t="str">
        <x:v>personal finance</x:v>
      </x:c>
      <x:c r="AC1362" s="10" t="str">
        <x:v>debt track template</x:v>
      </x:c>
      <x:c r="AD1362" s="10" t="str">
        <x:v>debt payoff planner</x:v>
      </x:c>
      <x:c r="AE1362" s="10" t="str">
        <x:v>loan payoff template</x:v>
      </x:c>
      <x:c r="AF1362" s="10" t="str">
        <x:v>snowball debt</x:v>
      </x:c>
      <x:c r="AG1362" s="10" t="str">
        <x:v>debt spreadsheet</x:v>
      </x:c>
      <x:c r="AH1362" s="10" t="str">
        <x:v>General debt payoff</x:v>
      </x:c>
      <x:c r="AI1362" s="13" t="n">
        <x:v>25</x:v>
      </x:c>
      <x:c r="AJ1362" s="10" t="str">
        <x:f>IF(F1362&gt;0,"Active","No est. sales")</x:f>
        <x:v>No est. sales</x:v>
      </x:c>
    </x:row>
    <x:row r="1363">
      <x:c r="A1363" s="10" t="str">
        <x:v>Debt Free Planner Mortgage Payoff Home Loan Tracker Dashboard Log Chart Owner Budget Freedom Map Finance Calculator Payment House Equity</x:v>
      </x:c>
      <x:c r="B1363" s="10" t="str">
        <x:v>https://www.etsy.com/listing/4430512921/debt-free-planner-mortgage-payoff-home</x:v>
      </x:c>
      <x:c r="C1363" s="10" t="str">
        <x:v>BeauPaperieBoutique</x:v>
      </x:c>
      <x:c r="D1363" s="10" t="str">
        <x:v>https://www.etsy.com/shop/BeauPaperieBoutique</x:v>
      </x:c>
      <x:c r="E1363" s="11" t="n">
        <x:v>4.57</x:v>
      </x:c>
      <x:c r="F1363" s="10" t="n">
        <x:v>0</x:v>
      </x:c>
      <x:c r="G1363" s="12" t="n">
        <x:v>0</x:v>
      </x:c>
      <x:c r="H1363" s="13" t="n">
        <x:v>0</x:v>
      </x:c>
      <x:c r="I1363" s="10" t="n">
        <x:v>0</x:v>
      </x:c>
      <x:c r="J1363" s="10" t="n">
        <x:v>0</x:v>
      </x:c>
      <x:c r="K1363" s="10" t="str">
        <x:v>7 Mo.</x:v>
      </x:c>
      <x:c r="L1363" s="10" t="n">
        <x:v>0</x:v>
      </x:c>
      <x:c r="M1363" s="10" t="n">
        <x:v>0</x:v>
      </x:c>
      <x:c r="N1363" s="10" t="n">
        <x:v>56</x:v>
      </x:c>
      <x:c r="O1363" s="10" t="str"/>
      <x:c r="P1363" s="10" t="n">
        <x:v>20</x:v>
      </x:c>
      <x:c r="Q1363" s="10" t="n">
        <x:v>0</x:v>
      </x:c>
      <x:c r="R1363" s="13" t="n">
        <x:v>0</x:v>
      </x:c>
      <x:c r="S1363" s="10" t="n">
        <x:v>247</x:v>
      </x:c>
      <x:c r="T1363" s="10" t="str">
        <x:v>debt free planner,mortgage payoff,home loan dashboard,payoff tracker,debt payoff log,home owner budget,debt freedom map,mortgage payoff map,payoff calculator,house payoff sheet,equity tracker,home finance log,mortgage manager</x:v>
      </x:c>
      <x:c r="U1363" s="10" t="str">
        <x:v>debt free planner</x:v>
      </x:c>
      <x:c r="V1363" s="10" t="str">
        <x:v>mortgage payoff</x:v>
      </x:c>
      <x:c r="W1363" s="10" t="str">
        <x:v>home loan dashboard</x:v>
      </x:c>
      <x:c r="X1363" s="10" t="str">
        <x:v>payoff tracker</x:v>
      </x:c>
      <x:c r="Y1363" s="10" t="str">
        <x:v>debt payoff log</x:v>
      </x:c>
      <x:c r="Z1363" s="10" t="str">
        <x:v>home owner budget</x:v>
      </x:c>
      <x:c r="AA1363" s="10" t="str">
        <x:v>debt freedom map</x:v>
      </x:c>
      <x:c r="AB1363" s="10" t="str">
        <x:v>mortgage payoff map</x:v>
      </x:c>
      <x:c r="AC1363" s="10" t="str">
        <x:v>payoff calculator</x:v>
      </x:c>
      <x:c r="AD1363" s="10" t="str">
        <x:v>house payoff sheet</x:v>
      </x:c>
      <x:c r="AE1363" s="10" t="str">
        <x:v>equity tracker</x:v>
      </x:c>
      <x:c r="AF1363" s="10" t="str">
        <x:v>home finance log</x:v>
      </x:c>
      <x:c r="AG1363" s="10" t="str">
        <x:v>mortgage manager</x:v>
      </x:c>
      <x:c r="AH1363" s="10" t="str">
        <x:v>Mortgage payoff / calculator</x:v>
      </x:c>
      <x:c r="AI1363" s="13" t="n">
        <x:v>7</x:v>
      </x:c>
      <x:c r="AJ1363" s="10" t="str">
        <x:f>IF(F1363&gt;0,"Active","No est. sales")</x:f>
        <x:v>No est. sales</x:v>
      </x:c>
    </x:row>
    <x:row r="1364">
      <x:c r="A1364" s="10" t="str">
        <x:v>Canada Mortgage Pre-Approval Checklist and Document Tracker | Canadian Home Buyer Document Organizer, Printable PDF</x:v>
      </x:c>
      <x:c r="B1364" s="10" t="str">
        <x:v>https://www.etsy.com/listing/4512956394/canada-mortgage-pre-approval-checklist</x:v>
      </x:c>
      <x:c r="C1364" s="10" t="str">
        <x:v>MichaelSeongDesigns</x:v>
      </x:c>
      <x:c r="D1364" s="10" t="str">
        <x:v>https://www.etsy.com/shop/MichaelSeongDesigns</x:v>
      </x:c>
      <x:c r="E1364" s="11" t="n">
        <x:v>3.54</x:v>
      </x:c>
      <x:c r="F1364" s="10" t="n">
        <x:v>0</x:v>
      </x:c>
      <x:c r="G1364" s="12" t="n">
        <x:v>0</x:v>
      </x:c>
      <x:c r="H1364" s="13" t="n">
        <x:v>0</x:v>
      </x:c>
      <x:c r="I1364" s="10" t="n">
        <x:v>0</x:v>
      </x:c>
      <x:c r="J1364" s="10" t="n">
        <x:v>0</x:v>
      </x:c>
      <x:c r="K1364" s="10" t="str">
        <x:v>2 Mo.</x:v>
      </x:c>
      <x:c r="L1364" s="10" t="n">
        <x:v>0</x:v>
      </x:c>
      <x:c r="M1364" s="10" t="n">
        <x:v>0</x:v>
      </x:c>
      <x:c r="N1364" s="10" t="n">
        <x:v>4</x:v>
      </x:c>
      <x:c r="O1364" s="10" t="str">
        <x:v>Paper &amp; Party Supplies</x:v>
      </x:c>
      <x:c r="P1364" s="10" t="n">
        <x:v>71</x:v>
      </x:c>
      <x:c r="Q1364" s="10" t="n">
        <x:v>0</x:v>
      </x:c>
      <x:c r="R1364" s="13" t="n">
        <x:v>0</x:v>
      </x:c>
      <x:c r="S1364" s="10" t="n">
        <x:v>24</x:v>
      </x:c>
      <x:c r="T1364" s="10" t="str">
        <x:v>canada mortgage,mortgage checklist,home buyer organizer,canadian homebuyer,mortgage application,house buying planner,printable pdf form,down payment tracker,first home buyer,lender document log,mortgage prep sheet,canadian buyer,buyer document log</x:v>
      </x:c>
      <x:c r="U1364" s="10" t="str">
        <x:v>canada mortgage</x:v>
      </x:c>
      <x:c r="V1364" s="10" t="str">
        <x:v>mortgage checklist</x:v>
      </x:c>
      <x:c r="W1364" s="10" t="str">
        <x:v>home buyer organizer</x:v>
      </x:c>
      <x:c r="X1364" s="10" t="str">
        <x:v>canadian homebuyer</x:v>
      </x:c>
      <x:c r="Y1364" s="10" t="str">
        <x:v>mortgage application</x:v>
      </x:c>
      <x:c r="Z1364" s="10" t="str">
        <x:v>house buying planner</x:v>
      </x:c>
      <x:c r="AA1364" s="10" t="str">
        <x:v>printable pdf form</x:v>
      </x:c>
      <x:c r="AB1364" s="10" t="str">
        <x:v>down payment tracker</x:v>
      </x:c>
      <x:c r="AC1364" s="10" t="str">
        <x:v>first home buyer</x:v>
      </x:c>
      <x:c r="AD1364" s="10" t="str">
        <x:v>lender document log</x:v>
      </x:c>
      <x:c r="AE1364" s="10" t="str">
        <x:v>mortgage prep sheet</x:v>
      </x:c>
      <x:c r="AF1364" s="10" t="str">
        <x:v>canadian buyer</x:v>
      </x:c>
      <x:c r="AG1364" s="10" t="str">
        <x:v>buyer document log</x:v>
      </x:c>
      <x:c r="AH1364" s="10" t="str">
        <x:v>Other mortgage-related</x:v>
      </x:c>
      <x:c r="AI1364" s="13" t="n">
        <x:v>2</x:v>
      </x:c>
      <x:c r="AJ1364" s="10" t="str">
        <x:f>IF(F1364&gt;0,"Active","No est. sales")</x:f>
        <x:v>No est. sales</x:v>
      </x:c>
    </x:row>
    <x:row r="1365">
      <x:c r="A1365" s="10" t="str">
        <x:v>Cute house Planner Stickers, Kawaii, Cute Sticker, UK, Work from home, Housework, Home icon, #1096</x:v>
      </x:c>
      <x:c r="B1365" s="10" t="str">
        <x:v>https://www.etsy.com/listing/775545437/cute-house-planner-stickers-kawaii-cute</x:v>
      </x:c>
      <x:c r="C1365" s="10" t="str">
        <x:v>Chillipaper</x:v>
      </x:c>
      <x:c r="D1365" s="10" t="str">
        <x:v>https://www.etsy.com/shop/Chillipaper</x:v>
      </x:c>
      <x:c r="E1365" s="11" t="n">
        <x:v>3.33</x:v>
      </x:c>
      <x:c r="F1365" s="10" t="n">
        <x:v>0</x:v>
      </x:c>
      <x:c r="G1365" s="12" t="n">
        <x:v>0</x:v>
      </x:c>
      <x:c r="H1365" s="13" t="n">
        <x:v>0</x:v>
      </x:c>
      <x:c r="I1365" s="10" t="n">
        <x:v>25</x:v>
      </x:c>
      <x:c r="J1365" s="10" t="n">
        <x:v>6</x:v>
      </x:c>
      <x:c r="K1365" s="10" t="str">
        <x:v>77 Mo.</x:v>
      </x:c>
      <x:c r="L1365" s="10" t="n">
        <x:v>44</x:v>
      </x:c>
      <x:c r="M1365" s="10" t="n">
        <x:v>0</x:v>
      </x:c>
      <x:c r="N1365" s="10" t="n">
        <x:v>517</x:v>
      </x:c>
      <x:c r="O1365" s="10" t="str">
        <x:v>Paper &amp; Party Supplies</x:v>
      </x:c>
      <x:c r="P1365" s="10" t="n">
        <x:v>115</x:v>
      </x:c>
      <x:c r="Q1365" s="10" t="n">
        <x:v>0</x:v>
      </x:c>
      <x:c r="R1365" s="13" t="n">
        <x:v>4.84</x:v>
      </x:c>
      <x:c r="S1365" s="10" t="n">
        <x:v>17801</x:v>
      </x:c>
      <x:c r="T1365" s="10" t="str">
        <x:v>cute sticker,house sticker,kawaii sticker,kawaii house,chore stickers,planner stickers uk,work from home,cute kawaii planner,utility functional,happy face,house hunting,rent due mortgage,chores stay home</x:v>
      </x:c>
      <x:c r="U1365" s="10" t="str">
        <x:v>cute sticker</x:v>
      </x:c>
      <x:c r="V1365" s="10" t="str">
        <x:v>house sticker</x:v>
      </x:c>
      <x:c r="W1365" s="10" t="str">
        <x:v>kawaii sticker</x:v>
      </x:c>
      <x:c r="X1365" s="10" t="str">
        <x:v>kawaii house</x:v>
      </x:c>
      <x:c r="Y1365" s="10" t="str">
        <x:v>chore stickers</x:v>
      </x:c>
      <x:c r="Z1365" s="10" t="str">
        <x:v>planner stickers uk</x:v>
      </x:c>
      <x:c r="AA1365" s="10" t="str">
        <x:v>work from home</x:v>
      </x:c>
      <x:c r="AB1365" s="10" t="str">
        <x:v>cute kawaii planner</x:v>
      </x:c>
      <x:c r="AC1365" s="10" t="str">
        <x:v>utility functional</x:v>
      </x:c>
      <x:c r="AD1365" s="10" t="str">
        <x:v>happy face</x:v>
      </x:c>
      <x:c r="AE1365" s="10" t="str">
        <x:v>house hunting</x:v>
      </x:c>
      <x:c r="AF1365" s="10" t="str">
        <x:v>rent due mortgage</x:v>
      </x:c>
      <x:c r="AG1365" s="10" t="str">
        <x:v>chores stay home</x:v>
      </x:c>
      <x:c r="AH1365" s="10" t="str">
        <x:v>Other mortgage-related</x:v>
      </x:c>
      <x:c r="AI1365" s="13" t="n">
        <x:v>77</x:v>
      </x:c>
      <x:c r="AJ1365" s="10" t="str">
        <x:f>IF(F1365&gt;0,"Active","No est. sales")</x:f>
        <x:v>No est. sales</x:v>
      </x:c>
    </x:row>
    <x:row r="1366">
      <x:c r="A1366" s="10" t="str">
        <x:v>Mortgage Payoff Tracker, House Payoff Tracker, Mortgage Savings, Debt Payoff, Dave Ramsey, Mortgage Coloring Sheet, Mortgage payoff tracker</x:v>
      </x:c>
      <x:c r="B1366" s="10" t="str">
        <x:v>https://www.etsy.com/listing/1871030587/mortgage-payoff-tracker-house-payoff</x:v>
      </x:c>
      <x:c r="C1366" s="10" t="str">
        <x:v>thejoybox</x:v>
      </x:c>
      <x:c r="D1366" s="10" t="str">
        <x:v>https://www.etsy.com/shop/thejoybox</x:v>
      </x:c>
      <x:c r="E1366" s="11" t="n">
        <x:v>2.25</x:v>
      </x:c>
      <x:c r="F1366" s="10" t="n">
        <x:v>0</x:v>
      </x:c>
      <x:c r="G1366" s="12" t="n">
        <x:v>0</x:v>
      </x:c>
      <x:c r="H1366" s="13" t="n">
        <x:v>0</x:v>
      </x:c>
      <x:c r="I1366" s="10" t="n">
        <x:v>1</x:v>
      </x:c>
      <x:c r="J1366" s="10" t="n">
        <x:v>1</x:v>
      </x:c>
      <x:c r="K1366" s="10" t="str">
        <x:v>17 Mo.</x:v>
      </x:c>
      <x:c r="L1366" s="10" t="n">
        <x:v>10</x:v>
      </x:c>
      <x:c r="M1366" s="10" t="n">
        <x:v>0</x:v>
      </x:c>
      <x:c r="N1366" s="10" t="n">
        <x:v>433</x:v>
      </x:c>
      <x:c r="O1366" s="10" t="str"/>
      <x:c r="P1366" s="10" t="n">
        <x:v>227</x:v>
      </x:c>
      <x:c r="Q1366" s="10" t="n">
        <x:v>0</x:v>
      </x:c>
      <x:c r="R1366" s="13" t="n">
        <x:v>0.23</x:v>
      </x:c>
      <x:c r="S1366" s="10" t="n">
        <x:v>82</x:v>
      </x:c>
      <x:c r="T1366" s="10" t="str">
        <x:v>printable,payoff,tracker,mortgage,home,house,ramsey,debt,downloadable,savings,coloring,free,planner</x:v>
      </x:c>
      <x:c r="U1366" s="10" t="str">
        <x:v>printable</x:v>
      </x:c>
      <x:c r="V1366" s="10" t="str">
        <x:v>payoff</x:v>
      </x:c>
      <x:c r="W1366" s="10" t="str">
        <x:v>tracker</x:v>
      </x:c>
      <x:c r="X1366" s="10" t="str">
        <x:v>mortgage</x:v>
      </x:c>
      <x:c r="Y1366" s="10" t="str">
        <x:v>home</x:v>
      </x:c>
      <x:c r="Z1366" s="10" t="str">
        <x:v>house</x:v>
      </x:c>
      <x:c r="AA1366" s="10" t="str">
        <x:v>ramsey</x:v>
      </x:c>
      <x:c r="AB1366" s="10" t="str">
        <x:v>debt</x:v>
      </x:c>
      <x:c r="AC1366" s="10" t="str">
        <x:v>downloadable</x:v>
      </x:c>
      <x:c r="AD1366" s="10" t="str">
        <x:v>savings</x:v>
      </x:c>
      <x:c r="AE1366" s="10" t="str">
        <x:v>coloring</x:v>
      </x:c>
      <x:c r="AF1366" s="10" t="str">
        <x:v>free</x:v>
      </x:c>
      <x:c r="AG1366" s="10" t="str">
        <x:v>planner</x:v>
      </x:c>
      <x:c r="AH1366" s="10" t="str">
        <x:v>Mortgage payoff / calculator</x:v>
      </x:c>
      <x:c r="AI1366" s="13" t="n">
        <x:v>17</x:v>
      </x:c>
      <x:c r="AJ1366" s="10" t="str">
        <x:f>IF(F1366&gt;0,"Active","No est. sales")</x:f>
        <x:v>No est. sales</x:v>
      </x:c>
    </x:row>
    <x:row r="1367">
      <x:c r="A1367" s="10" t="str">
        <x:v>Canadian Mortgage Pre-Approval Calculator: Excel Template (Digital Download</x:v>
      </x:c>
      <x:c r="B1367" s="10" t="str">
        <x:v>https://www.etsy.com/listing/1773296088/canadian-mortgage-pre-approval</x:v>
      </x:c>
      <x:c r="C1367" s="10" t="str">
        <x:v>HomeBuyingAdvising</x:v>
      </x:c>
      <x:c r="D1367" s="10" t="str">
        <x:v>https://www.etsy.com/shop/HomeBuyingAdvising</x:v>
      </x:c>
      <x:c r="E1367" s="11" t="n">
        <x:v>9.21</x:v>
      </x:c>
      <x:c r="F1367" s="10" t="n">
        <x:v>0</x:v>
      </x:c>
      <x:c r="G1367" s="12" t="n">
        <x:v>0</x:v>
      </x:c>
      <x:c r="H1367" s="13" t="n">
        <x:v>0</x:v>
      </x:c>
      <x:c r="I1367" s="10" t="n">
        <x:v>0</x:v>
      </x:c>
      <x:c r="J1367" s="10" t="n">
        <x:v>0</x:v>
      </x:c>
      <x:c r="K1367" s="10" t="str">
        <x:v>22 Mo.</x:v>
      </x:c>
      <x:c r="L1367" s="10" t="n">
        <x:v>2</x:v>
      </x:c>
      <x:c r="M1367" s="10" t="n">
        <x:v>0</x:v>
      </x:c>
      <x:c r="N1367" s="10" t="n">
        <x:v>137</x:v>
      </x:c>
      <x:c r="O1367" s="10" t="str"/>
      <x:c r="P1367" s="10" t="n">
        <x:v>22</x:v>
      </x:c>
      <x:c r="Q1367" s="10" t="n">
        <x:v>0</x:v>
      </x:c>
      <x:c r="R1367" s="13" t="n">
        <x:v>0</x:v>
      </x:c>
      <x:c r="S1367" s="10" t="n">
        <x:v>14</x:v>
      </x:c>
      <x:c r="T1367" s="10" t="str">
        <x:v>home buying,mortgage calculator,mortgage preapproval,mortgage planner,canadian mortgage,excel tool,budget planner,home loan,first time home,mortgage template,planner home buying,first home,home buying guide</x:v>
      </x:c>
      <x:c r="U1367" s="10" t="str">
        <x:v>home buying</x:v>
      </x:c>
      <x:c r="V1367" s="10" t="str">
        <x:v>mortgage calculator</x:v>
      </x:c>
      <x:c r="W1367" s="10" t="str">
        <x:v>mortgage preapproval</x:v>
      </x:c>
      <x:c r="X1367" s="10" t="str">
        <x:v>mortgage planner</x:v>
      </x:c>
      <x:c r="Y1367" s="10" t="str">
        <x:v>canadian mortgage</x:v>
      </x:c>
      <x:c r="Z1367" s="10" t="str">
        <x:v>excel tool</x:v>
      </x:c>
      <x:c r="AA1367" s="10" t="str">
        <x:v>budget planner</x:v>
      </x:c>
      <x:c r="AB1367" s="10" t="str">
        <x:v>home loan</x:v>
      </x:c>
      <x:c r="AC1367" s="10" t="str">
        <x:v>first time home</x:v>
      </x:c>
      <x:c r="AD1367" s="10" t="str">
        <x:v>mortgage template</x:v>
      </x:c>
      <x:c r="AE1367" s="10" t="str">
        <x:v>planner home buying</x:v>
      </x:c>
      <x:c r="AF1367" s="10" t="str">
        <x:v>first home</x:v>
      </x:c>
      <x:c r="AG1367" s="10" t="str">
        <x:v>home buying guide</x:v>
      </x:c>
      <x:c r="AH1367" s="10" t="str">
        <x:v>Home buying planner</x:v>
      </x:c>
      <x:c r="AI1367" s="13" t="n">
        <x:v>22</x:v>
      </x:c>
      <x:c r="AJ1367" s="10" t="str">
        <x:f>IF(F1367&gt;0,"Active","No est. sales")</x:f>
        <x:v>No est. sales</x:v>
      </x:c>
    </x:row>
    <x:row r="1368">
      <x:c r="A1368" s="10" t="str">
        <x:v>Mortgage Approval Calculator for Canadian Mortgage Professionals | Excel &amp; Google Sheets Template</x:v>
      </x:c>
      <x:c r="B1368" s="10" t="str">
        <x:v>https://www.etsy.com/listing/1865780272/down-payment-planner-canada-home-buying</x:v>
      </x:c>
      <x:c r="C1368" s="10" t="str">
        <x:v>HomeBuyingAdvising</x:v>
      </x:c>
      <x:c r="D1368" s="10" t="str">
        <x:v>https://www.etsy.com/shop/HomeBuyingAdvising</x:v>
      </x:c>
      <x:c r="E1368" s="11" t="n">
        <x:v>5.67</x:v>
      </x:c>
      <x:c r="F1368" s="10" t="n">
        <x:v>0</x:v>
      </x:c>
      <x:c r="G1368" s="12" t="n">
        <x:v>0</x:v>
      </x:c>
      <x:c r="H1368" s="13" t="n">
        <x:v>0</x:v>
      </x:c>
      <x:c r="I1368" s="10" t="n">
        <x:v>0</x:v>
      </x:c>
      <x:c r="J1368" s="10" t="n">
        <x:v>0</x:v>
      </x:c>
      <x:c r="K1368" s="10" t="str">
        <x:v>17 Mo.</x:v>
      </x:c>
      <x:c r="L1368" s="10" t="n">
        <x:v>2</x:v>
      </x:c>
      <x:c r="M1368" s="10" t="n">
        <x:v>0</x:v>
      </x:c>
      <x:c r="N1368" s="10" t="n">
        <x:v>107</x:v>
      </x:c>
      <x:c r="O1368" s="10" t="str"/>
      <x:c r="P1368" s="10" t="n">
        <x:v>22</x:v>
      </x:c>
      <x:c r="Q1368" s="10" t="n">
        <x:v>0</x:v>
      </x:c>
      <x:c r="R1368" s="13" t="n">
        <x:v>0</x:v>
      </x:c>
      <x:c r="S1368" s="10" t="n">
        <x:v>14</x:v>
      </x:c>
      <x:c r="T1368" s="10" t="str">
        <x:v>mortgage planner,home buying,income required,real estate,home loan,mortgage calculator,home affordability,mortgage qualify,home calculator,mortgage loan,excel sheet,google sheet,canada mortgage</x:v>
      </x:c>
      <x:c r="U1368" s="10" t="str">
        <x:v>mortgage planner</x:v>
      </x:c>
      <x:c r="V1368" s="10" t="str">
        <x:v>home buying</x:v>
      </x:c>
      <x:c r="W1368" s="10" t="str">
        <x:v>income required</x:v>
      </x:c>
      <x:c r="X1368" s="10" t="str">
        <x:v>real estate</x:v>
      </x:c>
      <x:c r="Y1368" s="10" t="str">
        <x:v>home loan</x:v>
      </x:c>
      <x:c r="Z1368" s="10" t="str">
        <x:v>mortgage calculator</x:v>
      </x:c>
      <x:c r="AA1368" s="10" t="str">
        <x:v>home affordability</x:v>
      </x:c>
      <x:c r="AB1368" s="10" t="str">
        <x:v>mortgage qualify</x:v>
      </x:c>
      <x:c r="AC1368" s="10" t="str">
        <x:v>home calculator</x:v>
      </x:c>
      <x:c r="AD1368" s="10" t="str">
        <x:v>mortgage loan</x:v>
      </x:c>
      <x:c r="AE1368" s="10" t="str">
        <x:v>excel sheet</x:v>
      </x:c>
      <x:c r="AF1368" s="10" t="str">
        <x:v>google sheet</x:v>
      </x:c>
      <x:c r="AG1368" s="10" t="str">
        <x:v>canada mortgage</x:v>
      </x:c>
      <x:c r="AH1368" s="10" t="str">
        <x:v>Other mortgage-related</x:v>
      </x:c>
      <x:c r="AI1368" s="13" t="n">
        <x:v>17</x:v>
      </x:c>
      <x:c r="AJ1368" s="10" t="str">
        <x:f>IF(F1368&gt;0,"Active","No est. sales")</x:f>
        <x:v>No est. sales</x:v>
      </x:c>
    </x:row>
    <x:row r="1369">
      <x:c r="A1369" s="10" t="str">
        <x:v>Debt Snowball Calculator Spreadsheet: Excel &amp; Google Sheets Simple Loan Planner (Digital Download)</x:v>
      </x:c>
      <x:c r="B1369" s="10" t="str">
        <x:v>https://www.etsy.com/listing/1581403958/debt-snowball-calculator-spreadsheet</x:v>
      </x:c>
      <x:c r="C1369" s="10" t="str">
        <x:v>TheSheetStudio</x:v>
      </x:c>
      <x:c r="D1369" s="10" t="str">
        <x:v>https://www.etsy.com/shop/TheSheetStudio</x:v>
      </x:c>
      <x:c r="E1369" s="11" t="n">
        <x:v>5.23</x:v>
      </x:c>
      <x:c r="F1369" s="10" t="n">
        <x:v>0</x:v>
      </x:c>
      <x:c r="G1369" s="12" t="n">
        <x:v>0</x:v>
      </x:c>
      <x:c r="H1369" s="13" t="n">
        <x:v>0</x:v>
      </x:c>
      <x:c r="I1369" s="10" t="n">
        <x:v>134</x:v>
      </x:c>
      <x:c r="J1369" s="10" t="n">
        <x:v>10</x:v>
      </x:c>
      <x:c r="K1369" s="10" t="str">
        <x:v>33 Mo.</x:v>
      </x:c>
      <x:c r="L1369" s="10" t="n">
        <x:v>21</x:v>
      </x:c>
      <x:c r="M1369" s="10" t="n">
        <x:v>0</x:v>
      </x:c>
      <x:c r="N1369" s="10" t="n">
        <x:v>721</x:v>
      </x:c>
      <x:c r="O1369" s="10" t="str">
        <x:v>Paper &amp; Party Supplies</x:v>
      </x:c>
      <x:c r="P1369" s="10" t="n">
        <x:v>33</x:v>
      </x:c>
      <x:c r="Q1369" s="10" t="n">
        <x:v>0</x:v>
      </x:c>
      <x:c r="R1369" s="13" t="n">
        <x:v>18.59</x:v>
      </x:c>
      <x:c r="S1369" s="10" t="n">
        <x:v>7034</x:v>
      </x:c>
      <x:c r="T1369" s="10" t="str">
        <x:v>debt payoff tracker,debt snowball,debt budget,mortgage payoff,debt snowball excel,debt planner,loan payoff,debt tracker,debt tracker excel,finance tracker,dave ramsay,google sheets budget,debt calculator</x:v>
      </x:c>
      <x:c r="U1369" s="10" t="str">
        <x:v>debt payoff tracker</x:v>
      </x:c>
      <x:c r="V1369" s="10" t="str">
        <x:v>debt snowball</x:v>
      </x:c>
      <x:c r="W1369" s="10" t="str">
        <x:v>debt budget</x:v>
      </x:c>
      <x:c r="X1369" s="10" t="str">
        <x:v>mortgage payoff</x:v>
      </x:c>
      <x:c r="Y1369" s="10" t="str">
        <x:v>debt snowball excel</x:v>
      </x:c>
      <x:c r="Z1369" s="10" t="str">
        <x:v>debt planner</x:v>
      </x:c>
      <x:c r="AA1369" s="10" t="str">
        <x:v>loan payoff</x:v>
      </x:c>
      <x:c r="AB1369" s="10" t="str">
        <x:v>debt tracker</x:v>
      </x:c>
      <x:c r="AC1369" s="10" t="str">
        <x:v>debt tracker excel</x:v>
      </x:c>
      <x:c r="AD1369" s="10" t="str">
        <x:v>finance tracker</x:v>
      </x:c>
      <x:c r="AE1369" s="10" t="str">
        <x:v>dave ramsay</x:v>
      </x:c>
      <x:c r="AF1369" s="10" t="str">
        <x:v>google sheets budget</x:v>
      </x:c>
      <x:c r="AG1369" s="10" t="str">
        <x:v>debt calculator</x:v>
      </x:c>
      <x:c r="AH1369" s="10" t="str">
        <x:v>General debt payoff</x:v>
      </x:c>
      <x:c r="AI1369" s="13" t="n">
        <x:v>33</x:v>
      </x:c>
      <x:c r="AJ1369" s="10" t="str">
        <x:f>IF(F1369&gt;0,"Active","No est. sales")</x:f>
        <x:v>No est. sales</x:v>
      </x:c>
    </x:row>
    <x:row r="1370">
      <x:c r="A1370" s="10" t="str">
        <x:v>Debt Snowball Calculator Spreadsheet Template Google Sheets &amp; Excel | Loan Payoff Planner</x:v>
      </x:c>
      <x:c r="B1370" s="10" t="str">
        <x:v>https://www.etsy.com/listing/1586930153/debt-snowball-calculator-spreadsheet</x:v>
      </x:c>
      <x:c r="C1370" s="10" t="str">
        <x:v>TheSheetStudio</x:v>
      </x:c>
      <x:c r="D1370" s="10" t="str">
        <x:v>https://www.etsy.com/shop/TheSheetStudio</x:v>
      </x:c>
      <x:c r="E1370" s="11" t="n">
        <x:v>5.23</x:v>
      </x:c>
      <x:c r="F1370" s="10" t="n">
        <x:v>0</x:v>
      </x:c>
      <x:c r="G1370" s="12" t="n">
        <x:v>0</x:v>
      </x:c>
      <x:c r="H1370" s="13" t="n">
        <x:v>0</x:v>
      </x:c>
      <x:c r="I1370" s="10" t="n">
        <x:v>80</x:v>
      </x:c>
      <x:c r="J1370" s="10" t="n">
        <x:v>6</x:v>
      </x:c>
      <x:c r="K1370" s="10" t="str">
        <x:v>33 Mo.</x:v>
      </x:c>
      <x:c r="L1370" s="10" t="n">
        <x:v>19</x:v>
      </x:c>
      <x:c r="M1370" s="10" t="n">
        <x:v>0</x:v>
      </x:c>
      <x:c r="N1370" s="10" t="n">
        <x:v>1176</x:v>
      </x:c>
      <x:c r="O1370" s="10" t="str">
        <x:v>Paper &amp; Party Supplies</x:v>
      </x:c>
      <x:c r="P1370" s="10" t="n">
        <x:v>33</x:v>
      </x:c>
      <x:c r="Q1370" s="10" t="n">
        <x:v>0</x:v>
      </x:c>
      <x:c r="R1370" s="13" t="n">
        <x:v>6.8</x:v>
      </x:c>
      <x:c r="S1370" s="10" t="n">
        <x:v>7034</x:v>
      </x:c>
      <x:c r="T1370" s="10" t="str">
        <x:v>debt payoff tracker,debt snowball,mortgage payoff,debt planner,loan payoff,debt tracker,finance tracker,google sheets budget,debt tracker google,debt tracker excel,student loan payoff,debt calculator,dave ramsay</x:v>
      </x:c>
      <x:c r="U1370" s="10" t="str">
        <x:v>debt payoff tracker</x:v>
      </x:c>
      <x:c r="V1370" s="10" t="str">
        <x:v>debt snowball</x:v>
      </x:c>
      <x:c r="W1370" s="10" t="str">
        <x:v>mortgage payoff</x:v>
      </x:c>
      <x:c r="X1370" s="10" t="str">
        <x:v>debt planner</x:v>
      </x:c>
      <x:c r="Y1370" s="10" t="str">
        <x:v>loan payoff</x:v>
      </x:c>
      <x:c r="Z1370" s="10" t="str">
        <x:v>debt tracker</x:v>
      </x:c>
      <x:c r="AA1370" s="10" t="str">
        <x:v>finance tracker</x:v>
      </x:c>
      <x:c r="AB1370" s="10" t="str">
        <x:v>google sheets budget</x:v>
      </x:c>
      <x:c r="AC1370" s="10" t="str">
        <x:v>debt tracker google</x:v>
      </x:c>
      <x:c r="AD1370" s="10" t="str">
        <x:v>debt tracker excel</x:v>
      </x:c>
      <x:c r="AE1370" s="10" t="str">
        <x:v>student loan payoff</x:v>
      </x:c>
      <x:c r="AF1370" s="10" t="str">
        <x:v>debt calculator</x:v>
      </x:c>
      <x:c r="AG1370" s="10" t="str">
        <x:v>dave ramsay</x:v>
      </x:c>
      <x:c r="AH1370" s="10" t="str">
        <x:v>General debt payoff</x:v>
      </x:c>
      <x:c r="AI1370" s="13" t="n">
        <x:v>33</x:v>
      </x:c>
      <x:c r="AJ1370" s="10" t="str">
        <x:f>IF(F1370&gt;0,"Active","No est. sales")</x:f>
        <x:v>No est. sales</x:v>
      </x:c>
    </x:row>
    <x:row r="1371">
      <x:c r="A1371" s="10" t="str">
        <x:v>Debt Snowball Avalanche Tracker: Google Sheets Loan Payoff (Digital Download)</x:v>
      </x:c>
      <x:c r="B1371" s="10" t="str">
        <x:v>https://www.etsy.com/listing/1849833899/debt-snowball-avalanche-tracker-google</x:v>
      </x:c>
      <x:c r="C1371" s="10" t="str">
        <x:v>YourBetterBudget</x:v>
      </x:c>
      <x:c r="D1371" s="10" t="str">
        <x:v>https://www.etsy.com/shop/YourBetterBudget</x:v>
      </x:c>
      <x:c r="E1371" s="11" t="n">
        <x:v>7.99</x:v>
      </x:c>
      <x:c r="F1371" s="10" t="n">
        <x:v>0</x:v>
      </x:c>
      <x:c r="G1371" s="12" t="n">
        <x:v>0</x:v>
      </x:c>
      <x:c r="H1371" s="13" t="n">
        <x:v>0</x:v>
      </x:c>
      <x:c r="I1371" s="10" t="n">
        <x:v>0</x:v>
      </x:c>
      <x:c r="J1371" s="10" t="n">
        <x:v>0</x:v>
      </x:c>
      <x:c r="K1371" s="10" t="str">
        <x:v>19 Mo.</x:v>
      </x:c>
      <x:c r="L1371" s="10" t="n">
        <x:v>1</x:v>
      </x:c>
      <x:c r="M1371" s="10" t="n">
        <x:v>0</x:v>
      </x:c>
      <x:c r="N1371" s="10" t="n">
        <x:v>50</x:v>
      </x:c>
      <x:c r="O1371" s="10" t="str">
        <x:v>Paper &amp; Party Supplies</x:v>
      </x:c>
      <x:c r="P1371" s="10" t="n">
        <x:v>19</x:v>
      </x:c>
      <x:c r="Q1371" s="10" t="n">
        <x:v>0</x:v>
      </x:c>
      <x:c r="R1371" s="13" t="n">
        <x:v>0</x:v>
      </x:c>
      <x:c r="S1371" s="10" t="n">
        <x:v>9</x:v>
      </x:c>
      <x:c r="T1371" s="10" t="str">
        <x:v>credit utilization,debt avalanche,google sheets budget,debt snowball,debt payoff chart,credit card payoff,mortgage payoff,student loan debt,debt template,debt tracke,ultimate budget,financial planner,m oney</x:v>
      </x:c>
      <x:c r="U1371" s="10" t="str">
        <x:v>credit utilization</x:v>
      </x:c>
      <x:c r="V1371" s="10" t="str">
        <x:v>debt avalanche</x:v>
      </x:c>
      <x:c r="W1371" s="10" t="str">
        <x:v>google sheets budget</x:v>
      </x:c>
      <x:c r="X1371" s="10" t="str">
        <x:v>debt snowball</x:v>
      </x:c>
      <x:c r="Y1371" s="10" t="str">
        <x:v>debt payoff chart</x:v>
      </x:c>
      <x:c r="Z1371" s="10" t="str">
        <x:v>credit card payoff</x:v>
      </x:c>
      <x:c r="AA1371" s="10" t="str">
        <x:v>mortgage payoff</x:v>
      </x:c>
      <x:c r="AB1371" s="10" t="str">
        <x:v>student loan debt</x:v>
      </x:c>
      <x:c r="AC1371" s="10" t="str">
        <x:v>debt template</x:v>
      </x:c>
      <x:c r="AD1371" s="10" t="str">
        <x:v>debt tracke</x:v>
      </x:c>
      <x:c r="AE1371" s="10" t="str">
        <x:v>ultimate budget</x:v>
      </x:c>
      <x:c r="AF1371" s="10" t="str">
        <x:v>financial planner</x:v>
      </x:c>
      <x:c r="AG1371" s="10" t="str">
        <x:v>m oney</x:v>
      </x:c>
      <x:c r="AH1371" s="10" t="str">
        <x:v>General debt payoff</x:v>
      </x:c>
      <x:c r="AI1371" s="13" t="n">
        <x:v>19</x:v>
      </x:c>
      <x:c r="AJ1371" s="10" t="str">
        <x:f>IF(F1371&gt;0,"Active","No est. sales")</x:f>
        <x:v>No est. sales</x:v>
      </x:c>
    </x:row>
    <x:row r="1372">
      <x:c r="A1372" s="10" t="str">
        <x:v>Annual Budget Template Google Sheets | Finance Planner (Digital Download)</x:v>
      </x:c>
      <x:c r="B1372" s="10" t="str">
        <x:v>https://www.etsy.com/listing/4396361085/annual-budget-template-google-sheets</x:v>
      </x:c>
      <x:c r="C1372" s="10" t="str">
        <x:v>HavnCreatives</x:v>
      </x:c>
      <x:c r="D1372" s="10" t="str">
        <x:v>https://www.etsy.com/shop/HavnCreatives</x:v>
      </x:c>
      <x:c r="E1372" s="11" t="n">
        <x:v>3.76</x:v>
      </x:c>
      <x:c r="F1372" s="10" t="n">
        <x:v>0</x:v>
      </x:c>
      <x:c r="G1372" s="12" t="n">
        <x:v>0</x:v>
      </x:c>
      <x:c r="H1372" s="13" t="n">
        <x:v>0</x:v>
      </x:c>
      <x:c r="I1372" s="10" t="n">
        <x:v>0</x:v>
      </x:c>
      <x:c r="J1372" s="10" t="n">
        <x:v>0</x:v>
      </x:c>
      <x:c r="K1372" s="10" t="str">
        <x:v>9 Mo.</x:v>
      </x:c>
      <x:c r="L1372" s="10" t="n">
        <x:v>1</x:v>
      </x:c>
      <x:c r="M1372" s="10" t="n">
        <x:v>0</x:v>
      </x:c>
      <x:c r="N1372" s="10" t="n">
        <x:v>20</x:v>
      </x:c>
      <x:c r="O1372" s="10" t="str"/>
      <x:c r="P1372" s="10" t="n">
        <x:v>9</x:v>
      </x:c>
      <x:c r="Q1372" s="10" t="n">
        <x:v>0</x:v>
      </x:c>
      <x:c r="R1372" s="13" t="n">
        <x:v>0</x:v>
      </x:c>
      <x:c r="S1372" s="10" t="n">
        <x:v>4</x:v>
      </x:c>
      <x:c r="T1372" s="10" t="str">
        <x:v>50 30 20 budget,budget planner,budget template,monthly budget,annual budget,semi monthly budget,expense tracker,budget spreadsheet,couple budget,ultimate zero based,yearly finance,mortgage payoff,expense planner</x:v>
      </x:c>
      <x:c r="U1372" s="10" t="str">
        <x:v>50 30 20 budget</x:v>
      </x:c>
      <x:c r="V1372" s="10" t="str">
        <x:v>budget planner</x:v>
      </x:c>
      <x:c r="W1372" s="10" t="str">
        <x:v>budget template</x:v>
      </x:c>
      <x:c r="X1372" s="10" t="str">
        <x:v>monthly budget</x:v>
      </x:c>
      <x:c r="Y1372" s="10" t="str">
        <x:v>annual budget</x:v>
      </x:c>
      <x:c r="Z1372" s="10" t="str">
        <x:v>semi monthly budget</x:v>
      </x:c>
      <x:c r="AA1372" s="10" t="str">
        <x:v>expense tracker</x:v>
      </x:c>
      <x:c r="AB1372" s="10" t="str">
        <x:v>budget spreadsheet</x:v>
      </x:c>
      <x:c r="AC1372" s="10" t="str">
        <x:v>couple budget</x:v>
      </x:c>
      <x:c r="AD1372" s="10" t="str">
        <x:v>ultimate zero based</x:v>
      </x:c>
      <x:c r="AE1372" s="10" t="str">
        <x:v>yearly finance</x:v>
      </x:c>
      <x:c r="AF1372" s="10" t="str">
        <x:v>mortgage payoff</x:v>
      </x:c>
      <x:c r="AG1372" s="10" t="str">
        <x:v>expense planner</x:v>
      </x:c>
      <x:c r="AH1372" s="10" t="str">
        <x:v>Other mortgage-related</x:v>
      </x:c>
      <x:c r="AI1372" s="13" t="n">
        <x:v>9</x:v>
      </x:c>
      <x:c r="AJ1372" s="10" t="str">
        <x:f>IF(F1372&gt;0,"Active","No est. sales")</x:f>
        <x:v>No est. sales</x:v>
      </x:c>
    </x:row>
    <x:row r="1373">
      <x:c r="A1373" s="10" t="str">
        <x:v>Debt Payoff Tracker Google Sheets Debt Template, Debt Calculator, Payment Schedule, Loan Payoff, Mortgage Manager Google Sheet, Green Tulip</x:v>
      </x:c>
      <x:c r="B1373" s="10" t="str">
        <x:v>https://www.etsy.com/listing/1676079490/debt-payoff-tracker-google-sheets-debt</x:v>
      </x:c>
      <x:c r="C1373" s="10" t="str">
        <x:v>FloralgroveDigital</x:v>
      </x:c>
      <x:c r="D1373" s="10" t="str">
        <x:v>https://www.etsy.com/shop/FloralgroveDigital</x:v>
      </x:c>
      <x:c r="E1373" s="11" t="n">
        <x:v>6.98</x:v>
      </x:c>
      <x:c r="F1373" s="10" t="n">
        <x:v>0</x:v>
      </x:c>
      <x:c r="G1373" s="12" t="n">
        <x:v>0</x:v>
      </x:c>
      <x:c r="H1373" s="13" t="n">
        <x:v>0</x:v>
      </x:c>
      <x:c r="I1373" s="10" t="n">
        <x:v>0</x:v>
      </x:c>
      <x:c r="J1373" s="10" t="n">
        <x:v>0</x:v>
      </x:c>
      <x:c r="K1373" s="10" t="str">
        <x:v>28 Mo.</x:v>
      </x:c>
      <x:c r="L1373" s="10" t="n">
        <x:v>2</x:v>
      </x:c>
      <x:c r="M1373" s="10" t="n">
        <x:v>0</x:v>
      </x:c>
      <x:c r="N1373" s="10" t="n">
        <x:v>82</x:v>
      </x:c>
      <x:c r="O1373" s="10" t="str"/>
      <x:c r="P1373" s="10" t="n">
        <x:v>29</x:v>
      </x:c>
      <x:c r="Q1373" s="10" t="n">
        <x:v>0</x:v>
      </x:c>
      <x:c r="R1373" s="13" t="n">
        <x:v>0</x:v>
      </x:c>
      <x:c r="S1373" s="10" t="n">
        <x:v>272</x:v>
      </x:c>
      <x:c r="T1373" s="10" t="str">
        <x:v>google sheets,spreadsheet template,grow a plant tulip,debt calculator,payment schedule,loan payoff,debt payoff tracker,mortgage manager,debt tracker,debt payment tracker,debt spreadsheet,debt planner,debt free chart</x:v>
      </x:c>
      <x:c r="U1373" s="10" t="str">
        <x:v>google sheets</x:v>
      </x:c>
      <x:c r="V1373" s="10" t="str">
        <x:v>spreadsheet template</x:v>
      </x:c>
      <x:c r="W1373" s="10" t="str">
        <x:v>grow a plant tulip</x:v>
      </x:c>
      <x:c r="X1373" s="10" t="str">
        <x:v>debt calculator</x:v>
      </x:c>
      <x:c r="Y1373" s="10" t="str">
        <x:v>payment schedule</x:v>
      </x:c>
      <x:c r="Z1373" s="10" t="str">
        <x:v>loan payoff</x:v>
      </x:c>
      <x:c r="AA1373" s="10" t="str">
        <x:v>debt payoff tracker</x:v>
      </x:c>
      <x:c r="AB1373" s="10" t="str">
        <x:v>mortgage manager</x:v>
      </x:c>
      <x:c r="AC1373" s="10" t="str">
        <x:v>debt tracker</x:v>
      </x:c>
      <x:c r="AD1373" s="10" t="str">
        <x:v>debt payment tracker</x:v>
      </x:c>
      <x:c r="AE1373" s="10" t="str">
        <x:v>debt spreadsheet</x:v>
      </x:c>
      <x:c r="AF1373" s="10" t="str">
        <x:v>debt planner</x:v>
      </x:c>
      <x:c r="AG1373" s="10" t="str">
        <x:v>debt free chart</x:v>
      </x:c>
      <x:c r="AH1373" s="10" t="str">
        <x:v>General debt payoff</x:v>
      </x:c>
      <x:c r="AI1373" s="13" t="n">
        <x:v>28</x:v>
      </x:c>
      <x:c r="AJ1373" s="10" t="str">
        <x:f>IF(F1373&gt;0,"Active","No est. sales")</x:f>
        <x:v>No est. sales</x:v>
      </x:c>
    </x:row>
    <x:row r="1374">
      <x:c r="A1374" s="10" t="str">
        <x:v>Printable House Payoff Tracker / mortgage loan / budget / instant download</x:v>
      </x:c>
      <x:c r="B1374" s="10" t="str">
        <x:v>https://www.etsy.com/listing/1153191359/printable-house-payoff-tracker-mortgage</x:v>
      </x:c>
      <x:c r="C1374" s="10" t="str">
        <x:v>PaperBucket</x:v>
      </x:c>
      <x:c r="D1374" s="10" t="str">
        <x:v>https://www.etsy.com/shop/PaperBucket</x:v>
      </x:c>
      <x:c r="E1374" s="11" t="n">
        <x:v>1.5</x:v>
      </x:c>
      <x:c r="F1374" s="10" t="n">
        <x:v>0</x:v>
      </x:c>
      <x:c r="G1374" s="12" t="n">
        <x:v>0</x:v>
      </x:c>
      <x:c r="H1374" s="13" t="n">
        <x:v>0</x:v>
      </x:c>
      <x:c r="I1374" s="10" t="n">
        <x:v>10</x:v>
      </x:c>
      <x:c r="J1374" s="10" t="n">
        <x:v>1</x:v>
      </x:c>
      <x:c r="K1374" s="10" t="str">
        <x:v>54 Mo.</x:v>
      </x:c>
      <x:c r="L1374" s="10" t="n">
        <x:v>14</x:v>
      </x:c>
      <x:c r="M1374" s="10" t="n">
        <x:v>0</x:v>
      </x:c>
      <x:c r="N1374" s="10" t="n">
        <x:v>347</x:v>
      </x:c>
      <x:c r="O1374" s="10" t="str">
        <x:v>Art &amp; Collectibles</x:v>
      </x:c>
      <x:c r="P1374" s="10" t="n">
        <x:v>91</x:v>
      </x:c>
      <x:c r="Q1374" s="10" t="n">
        <x:v>0</x:v>
      </x:c>
      <x:c r="R1374" s="13" t="n">
        <x:v>2.88</x:v>
      </x:c>
      <x:c r="S1374" s="10" t="n">
        <x:v>4369</x:v>
      </x:c>
      <x:c r="T1374" s="10" t="str">
        <x:v>bullet journal,planner,chart,budgeting,printable,progress,payment,tracker,debt,payoff,house,home,mortgage</x:v>
      </x:c>
      <x:c r="U1374" s="10" t="str">
        <x:v>bullet journal</x:v>
      </x:c>
      <x:c r="V1374" s="10" t="str">
        <x:v>planner</x:v>
      </x:c>
      <x:c r="W1374" s="10" t="str">
        <x:v>chart</x:v>
      </x:c>
      <x:c r="X1374" s="10" t="str">
        <x:v>budgeting</x:v>
      </x:c>
      <x:c r="Y1374" s="10" t="str">
        <x:v>printable</x:v>
      </x:c>
      <x:c r="Z1374" s="10" t="str">
        <x:v>progress</x:v>
      </x:c>
      <x:c r="AA1374" s="10" t="str">
        <x:v>payment</x:v>
      </x:c>
      <x:c r="AB1374" s="10" t="str">
        <x:v>tracker</x:v>
      </x:c>
      <x:c r="AC1374" s="10" t="str">
        <x:v>debt</x:v>
      </x:c>
      <x:c r="AD1374" s="10" t="str">
        <x:v>payoff</x:v>
      </x:c>
      <x:c r="AE1374" s="10" t="str">
        <x:v>house</x:v>
      </x:c>
      <x:c r="AF1374" s="10" t="str">
        <x:v>home</x:v>
      </x:c>
      <x:c r="AG1374" s="10" t="str">
        <x:v>mortgage</x:v>
      </x:c>
      <x:c r="AH1374" s="10" t="str">
        <x:v>Other mortgage-related</x:v>
      </x:c>
      <x:c r="AI1374" s="13" t="n">
        <x:v>54</x:v>
      </x:c>
      <x:c r="AJ1374" s="10" t="str">
        <x:f>IF(F1374&gt;0,"Active","No est. sales")</x:f>
        <x:v>No est. sales</x:v>
      </x:c>
    </x:row>
    <x:row r="1375">
      <x:c r="A1375" s="10" t="str">
        <x:v>Debt Payoff Tracker, Debt Tracker Google Sheets Template, Debt Snowball Calculator, House Payoff Tracker, Credit Card Payoff Spreadsheet</x:v>
      </x:c>
      <x:c r="B1375" s="10" t="str">
        <x:v>https://www.etsy.com/listing/1391359518/debt-payoff-tracker-debt-tracker-google</x:v>
      </x:c>
      <x:c r="C1375" s="10" t="str">
        <x:v>TrackerPro</x:v>
      </x:c>
      <x:c r="D1375" s="10" t="str">
        <x:v>https://www.etsy.com/shop/TrackerPro</x:v>
      </x:c>
      <x:c r="E1375" s="11" t="n">
        <x:v>7.43</x:v>
      </x:c>
      <x:c r="F1375" s="10" t="n">
        <x:v>0</x:v>
      </x:c>
      <x:c r="G1375" s="12" t="n">
        <x:v>0</x:v>
      </x:c>
      <x:c r="H1375" s="13" t="n">
        <x:v>0</x:v>
      </x:c>
      <x:c r="I1375" s="10" t="n">
        <x:v>12</x:v>
      </x:c>
      <x:c r="J1375" s="10" t="n">
        <x:v>1</x:v>
      </x:c>
      <x:c r="K1375" s="10" t="str">
        <x:v>42 Mo.</x:v>
      </x:c>
      <x:c r="L1375" s="10" t="n">
        <x:v>18</x:v>
      </x:c>
      <x:c r="M1375" s="10" t="n">
        <x:v>0</x:v>
      </x:c>
      <x:c r="N1375" s="10" t="n">
        <x:v>279</x:v>
      </x:c>
      <x:c r="O1375" s="10" t="str">
        <x:v>Paper &amp; Party Supplies</x:v>
      </x:c>
      <x:c r="P1375" s="10" t="n">
        <x:v>43</x:v>
      </x:c>
      <x:c r="Q1375" s="10" t="n">
        <x:v>0</x:v>
      </x:c>
      <x:c r="R1375" s="13" t="n">
        <x:v>4.3</x:v>
      </x:c>
      <x:c r="S1375" s="10" t="n">
        <x:v>18476</x:v>
      </x:c>
      <x:c r="T1375" s="10" t="str">
        <x:v>debt google sheets,debt spreadsheet,debt payoff tracker,budget planner,personal finance,mortgage payoff,debt snowball excel,debt tracker excel,snowball calculator,student loan payoff,credit card debt,financial planner,debt avalanche</x:v>
      </x:c>
      <x:c r="U1375" s="10" t="str">
        <x:v>debt google sheets</x:v>
      </x:c>
      <x:c r="V1375" s="10" t="str">
        <x:v>debt spreadsheet</x:v>
      </x:c>
      <x:c r="W1375" s="10" t="str">
        <x:v>debt payoff tracker</x:v>
      </x:c>
      <x:c r="X1375" s="10" t="str">
        <x:v>budget planner</x:v>
      </x:c>
      <x:c r="Y1375" s="10" t="str">
        <x:v>personal finance</x:v>
      </x:c>
      <x:c r="Z1375" s="10" t="str">
        <x:v>mortgage payoff</x:v>
      </x:c>
      <x:c r="AA1375" s="10" t="str">
        <x:v>debt snowball excel</x:v>
      </x:c>
      <x:c r="AB1375" s="10" t="str">
        <x:v>debt tracker excel</x:v>
      </x:c>
      <x:c r="AC1375" s="10" t="str">
        <x:v>snowball calculator</x:v>
      </x:c>
      <x:c r="AD1375" s="10" t="str">
        <x:v>student loan payoff</x:v>
      </x:c>
      <x:c r="AE1375" s="10" t="str">
        <x:v>credit card debt</x:v>
      </x:c>
      <x:c r="AF1375" s="10" t="str">
        <x:v>financial planner</x:v>
      </x:c>
      <x:c r="AG1375" s="10" t="str">
        <x:v>debt avalanche</x:v>
      </x:c>
      <x:c r="AH1375" s="10" t="str">
        <x:v>General debt payoff</x:v>
      </x:c>
      <x:c r="AI1375" s="13" t="n">
        <x:v>42</x:v>
      </x:c>
      <x:c r="AJ1375" s="10" t="str">
        <x:f>IF(F1375&gt;0,"Active","No est. sales")</x:f>
        <x:v>No est. sales</x:v>
      </x:c>
    </x:row>
    <x:row r="1376">
      <x:c r="A1376" s="10" t="str">
        <x:v>Track Your Mortgage with Our Excel Spreadsheet - Track Your Extra Payments, Analyze Your Interest, and Pay down Debt!</x:v>
      </x:c>
      <x:c r="B1376" s="10" t="str">
        <x:v>https://www.etsy.com/listing/1473418113/track-your-mortgage-with-our-excel</x:v>
      </x:c>
      <x:c r="C1376" s="10" t="str">
        <x:v>ToolsToDownload</x:v>
      </x:c>
      <x:c r="D1376" s="10" t="str">
        <x:v>https://www.etsy.com/shop/ToolsToDownload</x:v>
      </x:c>
      <x:c r="E1376" s="11" t="n">
        <x:v>19.99</x:v>
      </x:c>
      <x:c r="F1376" s="10" t="n">
        <x:v>0</x:v>
      </x:c>
      <x:c r="G1376" s="12" t="n">
        <x:v>0</x:v>
      </x:c>
      <x:c r="H1376" s="13" t="n">
        <x:v>0</x:v>
      </x:c>
      <x:c r="I1376" s="10" t="n">
        <x:v>0</x:v>
      </x:c>
      <x:c r="J1376" s="10" t="n">
        <x:v>0</x:v>
      </x:c>
      <x:c r="K1376" s="10" t="str">
        <x:v>38 Mo.</x:v>
      </x:c>
      <x:c r="L1376" s="10" t="n">
        <x:v>3</x:v>
      </x:c>
      <x:c r="M1376" s="10" t="n">
        <x:v>0</x:v>
      </x:c>
      <x:c r="N1376" s="10" t="n">
        <x:v>585</x:v>
      </x:c>
      <x:c r="O1376" s="10" t="str"/>
      <x:c r="P1376" s="10" t="n">
        <x:v>40</x:v>
      </x:c>
      <x:c r="Q1376" s="10" t="n">
        <x:v>0</x:v>
      </x:c>
      <x:c r="R1376" s="13" t="n">
        <x:v>0</x:v>
      </x:c>
      <x:c r="S1376" s="10" t="n">
        <x:v>11</x:v>
      </x:c>
      <x:c r="T1376" s="10" t="str">
        <x:v>loan,mortgage payoff,debt snowball,debt payoff,mortgage tracker,debt free chart,payment log,house payoff tracker,debt spreadsheet,debt tracker,debt payment tracker,debt planner,monthly tracker</x:v>
      </x:c>
      <x:c r="U1376" s="10" t="str">
        <x:v>loan</x:v>
      </x:c>
      <x:c r="V1376" s="10" t="str">
        <x:v>mortgage payoff</x:v>
      </x:c>
      <x:c r="W1376" s="10" t="str">
        <x:v>debt snowball</x:v>
      </x:c>
      <x:c r="X1376" s="10" t="str">
        <x:v>debt payoff</x:v>
      </x:c>
      <x:c r="Y1376" s="10" t="str">
        <x:v>mortgage tracker</x:v>
      </x:c>
      <x:c r="Z1376" s="10" t="str">
        <x:v>debt free chart</x:v>
      </x:c>
      <x:c r="AA1376" s="10" t="str">
        <x:v>payment log</x:v>
      </x:c>
      <x:c r="AB1376" s="10" t="str">
        <x:v>house payoff tracker</x:v>
      </x:c>
      <x:c r="AC1376" s="10" t="str">
        <x:v>debt spreadsheet</x:v>
      </x:c>
      <x:c r="AD1376" s="10" t="str">
        <x:v>debt tracker</x:v>
      </x:c>
      <x:c r="AE1376" s="10" t="str">
        <x:v>debt payment tracker</x:v>
      </x:c>
      <x:c r="AF1376" s="10" t="str">
        <x:v>debt planner</x:v>
      </x:c>
      <x:c r="AG1376" s="10" t="str">
        <x:v>monthly tracker</x:v>
      </x:c>
      <x:c r="AH1376" s="10" t="str">
        <x:v>Other mortgage-related</x:v>
      </x:c>
      <x:c r="AI1376" s="13" t="n">
        <x:v>38</x:v>
      </x:c>
      <x:c r="AJ1376" s="10" t="str">
        <x:f>IF(F1376&gt;0,"Active","No est. sales")</x:f>
        <x:v>No est. sales</x:v>
      </x:c>
    </x:row>
    <x:row r="1377">
      <x:c r="A1377" s="10" t="str">
        <x:v>Digital Planner -  Mortgage Calculator &amp; Debt Payoff Tracker | Loan Repayment, Credit Card Payoff and Amortization</x:v>
      </x:c>
      <x:c r="B1377" s="10" t="str">
        <x:v>https://www.etsy.com/listing/4537008112/mortgage-calculator-debt-payoff</x:v>
      </x:c>
      <x:c r="C1377" s="10" t="str">
        <x:v>DigitalAssetDownload</x:v>
      </x:c>
      <x:c r="D1377" s="10" t="str">
        <x:v>https://www.etsy.com/shop/DigitalAssetDownload</x:v>
      </x:c>
      <x:c r="E1377" s="11" t="n">
        <x:v>10.26</x:v>
      </x:c>
      <x:c r="F1377" s="10" t="n">
        <x:v>0</x:v>
      </x:c>
      <x:c r="G1377" s="12" t="n">
        <x:v>0</x:v>
      </x:c>
      <x:c r="H1377" s="13" t="n">
        <x:v>0</x:v>
      </x:c>
      <x:c r="I1377" s="10" t="n">
        <x:v>0</x:v>
      </x:c>
      <x:c r="J1377" s="10" t="n">
        <x:v>0</x:v>
      </x:c>
      <x:c r="K1377" s="10" t="str">
        <x:v>1 Mo.</x:v>
      </x:c>
      <x:c r="L1377" s="10" t="n">
        <x:v>0</x:v>
      </x:c>
      <x:c r="M1377" s="10" t="n">
        <x:v>0</x:v>
      </x:c>
      <x:c r="N1377" s="10" t="n">
        <x:v>38</x:v>
      </x:c>
      <x:c r="O1377" s="10" t="str"/>
      <x:c r="P1377" s="10" t="n">
        <x:v>16</x:v>
      </x:c>
      <x:c r="Q1377" s="10" t="n">
        <x:v>0</x:v>
      </x:c>
      <x:c r="R1377" s="13" t="n">
        <x:v>0</x:v>
      </x:c>
      <x:c r="S1377" s="10" t="n">
        <x:v>1</x:v>
      </x:c>
      <x:c r="T1377" s="10" t="str">
        <x:v>loan calculator,credit card debt,mortgage calculator,mortgage payoff,digital planner,debt payoff tracker,debt tracker,debt snowball,debt payoff,financial planner,debt calculator,budget planner,budget tracker</x:v>
      </x:c>
      <x:c r="U1377" s="10" t="str">
        <x:v>loan calculator</x:v>
      </x:c>
      <x:c r="V1377" s="10" t="str">
        <x:v>credit card debt</x:v>
      </x:c>
      <x:c r="W1377" s="10" t="str">
        <x:v>mortgage calculator</x:v>
      </x:c>
      <x:c r="X1377" s="10" t="str">
        <x:v>mortgage payoff</x:v>
      </x:c>
      <x:c r="Y1377" s="10" t="str">
        <x:v>digital planner</x:v>
      </x:c>
      <x:c r="Z1377" s="10" t="str">
        <x:v>debt payoff tracker</x:v>
      </x:c>
      <x:c r="AA1377" s="10" t="str">
        <x:v>debt tracker</x:v>
      </x:c>
      <x:c r="AB1377" s="10" t="str">
        <x:v>debt snowball</x:v>
      </x:c>
      <x:c r="AC1377" s="10" t="str">
        <x:v>debt payoff</x:v>
      </x:c>
      <x:c r="AD1377" s="10" t="str">
        <x:v>financial planner</x:v>
      </x:c>
      <x:c r="AE1377" s="10" t="str">
        <x:v>debt calculator</x:v>
      </x:c>
      <x:c r="AF1377" s="10" t="str">
        <x:v>budget planner</x:v>
      </x:c>
      <x:c r="AG1377" s="10" t="str">
        <x:v>budget tracker</x:v>
      </x:c>
      <x:c r="AH1377" s="10" t="str">
        <x:v>General debt payoff</x:v>
      </x:c>
      <x:c r="AI1377" s="13" t="n">
        <x:v>1</x:v>
      </x:c>
      <x:c r="AJ1377" s="10" t="str">
        <x:f>IF(F1377&gt;0,"Active","No est. sales")</x:f>
        <x:v>No est. sales</x:v>
      </x:c>
    </x:row>
    <x:row r="1378">
      <x:c r="A1378" s="10" t="str">
        <x:v>Home Buying Binder Bundle | First Time Home Buyer Guide, Down Payment Calculator, Escrow Tracker | PDF Instant Download</x:v>
      </x:c>
      <x:c r="B1378" s="10" t="str">
        <x:v>https://www.etsy.com/listing/4512416286/home-buying-binder-bundle-first-time</x:v>
      </x:c>
      <x:c r="C1378" s="10" t="str">
        <x:v>TemplateDesignMarket</x:v>
      </x:c>
      <x:c r="D1378" s="10" t="str">
        <x:v>https://www.etsy.com/shop/TemplateDesignMarket</x:v>
      </x:c>
      <x:c r="E1378" s="11" t="n">
        <x:v>12.98</x:v>
      </x:c>
      <x:c r="F1378" s="10" t="n">
        <x:v>0</x:v>
      </x:c>
      <x:c r="G1378" s="12" t="n">
        <x:v>0</x:v>
      </x:c>
      <x:c r="H1378" s="13" t="n">
        <x:v>0</x:v>
      </x:c>
      <x:c r="I1378" s="10" t="n">
        <x:v>0</x:v>
      </x:c>
      <x:c r="J1378" s="10" t="n">
        <x:v>0</x:v>
      </x:c>
      <x:c r="K1378" s="10" t="str">
        <x:v>2 Mo.</x:v>
      </x:c>
      <x:c r="L1378" s="10" t="n">
        <x:v>0</x:v>
      </x:c>
      <x:c r="M1378" s="10" t="n">
        <x:v>0</x:v>
      </x:c>
      <x:c r="N1378" s="10" t="n">
        <x:v>1</x:v>
      </x:c>
      <x:c r="O1378" s="10" t="str"/>
      <x:c r="P1378" s="10" t="n">
        <x:v>66</x:v>
      </x:c>
      <x:c r="Q1378" s="10" t="n">
        <x:v>0</x:v>
      </x:c>
      <x:c r="R1378" s="13" t="n">
        <x:v>0</x:v>
      </x:c>
      <x:c r="S1378" s="10" t="n">
        <x:v>209</x:v>
      </x:c>
      <x:c r="T1378" s="10" t="str">
        <x:v>home buyer,home buyer workbook,house hunting guide,first home buyer,home buyer pdf,real estate guide,down payment guide,mortgage planner,closing cost tracker,first home planner,escrow timeline,new homebuyer guide,home buying pdf</x:v>
      </x:c>
      <x:c r="U1378" s="10" t="str">
        <x:v>home buyer</x:v>
      </x:c>
      <x:c r="V1378" s="10" t="str">
        <x:v>home buyer workbook</x:v>
      </x:c>
      <x:c r="W1378" s="10" t="str">
        <x:v>house hunting guide</x:v>
      </x:c>
      <x:c r="X1378" s="10" t="str">
        <x:v>first home buyer</x:v>
      </x:c>
      <x:c r="Y1378" s="10" t="str">
        <x:v>home buyer pdf</x:v>
      </x:c>
      <x:c r="Z1378" s="10" t="str">
        <x:v>real estate guide</x:v>
      </x:c>
      <x:c r="AA1378" s="10" t="str">
        <x:v>down payment guide</x:v>
      </x:c>
      <x:c r="AB1378" s="10" t="str">
        <x:v>mortgage planner</x:v>
      </x:c>
      <x:c r="AC1378" s="10" t="str">
        <x:v>closing cost tracker</x:v>
      </x:c>
      <x:c r="AD1378" s="10" t="str">
        <x:v>first home planner</x:v>
      </x:c>
      <x:c r="AE1378" s="10" t="str">
        <x:v>escrow timeline</x:v>
      </x:c>
      <x:c r="AF1378" s="10" t="str">
        <x:v>new homebuyer guide</x:v>
      </x:c>
      <x:c r="AG1378" s="10" t="str">
        <x:v>home buying pdf</x:v>
      </x:c>
      <x:c r="AH1378" s="10" t="str">
        <x:v>Home buying planner</x:v>
      </x:c>
      <x:c r="AI1378" s="13" t="n">
        <x:v>2</x:v>
      </x:c>
      <x:c r="AJ1378" s="10" t="str">
        <x:f>IF(F1378&gt;0,"Active","No est. sales")</x:f>
        <x:v>No est. sales</x:v>
      </x:c>
    </x:row>
    <x:row r="1379">
      <x:c r="A1379" s="10" t="str">
        <x:v>Mortgage Payoff Tracker Printable</x:v>
      </x:c>
      <x:c r="B1379" s="10" t="str">
        <x:v>https://www.etsy.com/listing/1506292297/mortgage-payoff-tracker-printable</x:v>
      </x:c>
      <x:c r="C1379" s="10" t="str">
        <x:v>TheJuniperArchive</x:v>
      </x:c>
      <x:c r="D1379" s="10" t="str">
        <x:v>https://www.etsy.com/shop/TheJuniperArchive</x:v>
      </x:c>
      <x:c r="E1379" s="11" t="n">
        <x:v>1.79</x:v>
      </x:c>
      <x:c r="F1379" s="10" t="n">
        <x:v>0</x:v>
      </x:c>
      <x:c r="G1379" s="12" t="n">
        <x:v>0</x:v>
      </x:c>
      <x:c r="H1379" s="13" t="n">
        <x:v>0</x:v>
      </x:c>
      <x:c r="I1379" s="10" t="n">
        <x:v>0</x:v>
      </x:c>
      <x:c r="J1379" s="10" t="n">
        <x:v>0</x:v>
      </x:c>
      <x:c r="K1379" s="10" t="str">
        <x:v>37 Mo.</x:v>
      </x:c>
      <x:c r="L1379" s="10" t="n">
        <x:v>5</x:v>
      </x:c>
      <x:c r="M1379" s="10" t="n">
        <x:v>0</x:v>
      </x:c>
      <x:c r="N1379" s="10" t="n">
        <x:v>347</x:v>
      </x:c>
      <x:c r="O1379" s="10" t="str">
        <x:v>Paper &amp; Party Supplies</x:v>
      </x:c>
      <x:c r="P1379" s="10" t="n">
        <x:v>42</x:v>
      </x:c>
      <x:c r="Q1379" s="10" t="n">
        <x:v>0</x:v>
      </x:c>
      <x:c r="R1379" s="13" t="n">
        <x:v>0</x:v>
      </x:c>
      <x:c r="S1379" s="10" t="n">
        <x:v>182</x:v>
      </x:c>
      <x:c r="T1379" s="10" t="str">
        <x:v>mortgage payoff,debt free challenge,debt coloring chart,house payoff,money challenge,mortgage planner,budget planner,debt payoff tracker,money tracker,debt tracker,debt payoff visual,digital download,dave ramsey</x:v>
      </x:c>
      <x:c r="U1379" s="10" t="str">
        <x:v>mortgage payoff</x:v>
      </x:c>
      <x:c r="V1379" s="10" t="str">
        <x:v>debt free challenge</x:v>
      </x:c>
      <x:c r="W1379" s="10" t="str">
        <x:v>debt coloring chart</x:v>
      </x:c>
      <x:c r="X1379" s="10" t="str">
        <x:v>house payoff</x:v>
      </x:c>
      <x:c r="Y1379" s="10" t="str">
        <x:v>money challenge</x:v>
      </x:c>
      <x:c r="Z1379" s="10" t="str">
        <x:v>mortgage planner</x:v>
      </x:c>
      <x:c r="AA1379" s="10" t="str">
        <x:v>budget planner</x:v>
      </x:c>
      <x:c r="AB1379" s="10" t="str">
        <x:v>debt payoff tracker</x:v>
      </x:c>
      <x:c r="AC1379" s="10" t="str">
        <x:v>money tracker</x:v>
      </x:c>
      <x:c r="AD1379" s="10" t="str">
        <x:v>debt tracker</x:v>
      </x:c>
      <x:c r="AE1379" s="10" t="str">
        <x:v>debt payoff visual</x:v>
      </x:c>
      <x:c r="AF1379" s="10" t="str">
        <x:v>digital download</x:v>
      </x:c>
      <x:c r="AG1379" s="10" t="str">
        <x:v>dave ramsey</x:v>
      </x:c>
      <x:c r="AH1379" s="10" t="str">
        <x:v>Mortgage payoff / calculator</x:v>
      </x:c>
      <x:c r="AI1379" s="13" t="n">
        <x:v>37</x:v>
      </x:c>
      <x:c r="AJ1379" s="10" t="str">
        <x:f>IF(F1379&gt;0,"Active","No est. sales")</x:f>
        <x:v>No est. sales</x:v>
      </x:c>
    </x:row>
    <x:row r="1380">
      <x:c r="A1380" s="10" t="str">
        <x:v>Printable House Hunting Journal: New Home Planner (Digital Download)</x:v>
      </x:c>
      <x:c r="B1380" s="10" t="str">
        <x:v>https://www.etsy.com/listing/760387498/printable-house-hunting-journal-new-home</x:v>
      </x:c>
      <x:c r="C1380" s="10" t="str">
        <x:v>SuzyQCreatives</x:v>
      </x:c>
      <x:c r="D1380" s="10" t="str">
        <x:v>https://www.etsy.com/shop/SuzyQCreatives</x:v>
      </x:c>
      <x:c r="E1380" s="11" t="n">
        <x:v>8.99</x:v>
      </x:c>
      <x:c r="F1380" s="10" t="n">
        <x:v>0</x:v>
      </x:c>
      <x:c r="G1380" s="12" t="n">
        <x:v>0</x:v>
      </x:c>
      <x:c r="H1380" s="13" t="n">
        <x:v>0</x:v>
      </x:c>
      <x:c r="I1380" s="10" t="n">
        <x:v>0</x:v>
      </x:c>
      <x:c r="J1380" s="10" t="n">
        <x:v>0</x:v>
      </x:c>
      <x:c r="K1380" s="10" t="str">
        <x:v>78 Mo.</x:v>
      </x:c>
      <x:c r="L1380" s="10" t="n">
        <x:v>5</x:v>
      </x:c>
      <x:c r="M1380" s="10" t="n">
        <x:v>0</x:v>
      </x:c>
      <x:c r="N1380" s="10" t="n">
        <x:v>152</x:v>
      </x:c>
      <x:c r="O1380" s="10" t="str">
        <x:v>Paper &amp; Party Supplies</x:v>
      </x:c>
      <x:c r="P1380" s="10" t="n">
        <x:v>95</x:v>
      </x:c>
      <x:c r="Q1380" s="10" t="n">
        <x:v>0</x:v>
      </x:c>
      <x:c r="R1380" s="13" t="n">
        <x:v>0</x:v>
      </x:c>
      <x:c r="S1380" s="10" t="n">
        <x:v>52</x:v>
      </x:c>
      <x:c r="T1380" s="10" t="str">
        <x:v>new house,real estate,buying a home,planning a move,mortgage,moving budget,moving expenses,room planner,packing boxes,room arrangement,packing list,moving day,for sale</x:v>
      </x:c>
      <x:c r="U1380" s="10" t="str">
        <x:v>new house</x:v>
      </x:c>
      <x:c r="V1380" s="10" t="str">
        <x:v>real estate</x:v>
      </x:c>
      <x:c r="W1380" s="10" t="str">
        <x:v>buying a home</x:v>
      </x:c>
      <x:c r="X1380" s="10" t="str">
        <x:v>planning a move</x:v>
      </x:c>
      <x:c r="Y1380" s="10" t="str">
        <x:v>mortgage</x:v>
      </x:c>
      <x:c r="Z1380" s="10" t="str">
        <x:v>moving budget</x:v>
      </x:c>
      <x:c r="AA1380" s="10" t="str">
        <x:v>moving expenses</x:v>
      </x:c>
      <x:c r="AB1380" s="10" t="str">
        <x:v>room planner</x:v>
      </x:c>
      <x:c r="AC1380" s="10" t="str">
        <x:v>packing boxes</x:v>
      </x:c>
      <x:c r="AD1380" s="10" t="str">
        <x:v>room arrangement</x:v>
      </x:c>
      <x:c r="AE1380" s="10" t="str">
        <x:v>packing list</x:v>
      </x:c>
      <x:c r="AF1380" s="10" t="str">
        <x:v>moving day</x:v>
      </x:c>
      <x:c r="AG1380" s="10" t="str">
        <x:v>for sale</x:v>
      </x:c>
      <x:c r="AH1380" s="10" t="str">
        <x:v>Home buying planner</x:v>
      </x:c>
      <x:c r="AI1380" s="13" t="n">
        <x:v>78</x:v>
      </x:c>
      <x:c r="AJ1380" s="10" t="str">
        <x:f>IF(F1380&gt;0,"Active","No est. sales")</x:f>
        <x:v>No est. sales</x:v>
      </x:c>
    </x:row>
    <x:row r="1381">
      <x:c r="A1381" s="10" t="str">
        <x:v>House Purchase Google Sheets Spreadsheet | Track your house buying journey, renovations, budget calculator, mortgage, comparisons</x:v>
      </x:c>
      <x:c r="B1381" s="10" t="str">
        <x:v>https://www.etsy.com/listing/1857238614/house-purchase-google-sheets-spreadsheet</x:v>
      </x:c>
      <x:c r="C1381" s="10" t="str">
        <x:v>Templationss</x:v>
      </x:c>
      <x:c r="D1381" s="10" t="str">
        <x:v>https://www.etsy.com/shop/Templationss</x:v>
      </x:c>
      <x:c r="E1381" s="11" t="n">
        <x:v>7.94</x:v>
      </x:c>
      <x:c r="F1381" s="10" t="n">
        <x:v>0</x:v>
      </x:c>
      <x:c r="G1381" s="12" t="n">
        <x:v>0</x:v>
      </x:c>
      <x:c r="H1381" s="13" t="n">
        <x:v>0</x:v>
      </x:c>
      <x:c r="I1381" s="10" t="n">
        <x:v>7</x:v>
      </x:c>
      <x:c r="J1381" s="10" t="n">
        <x:v>1</x:v>
      </x:c>
      <x:c r="K1381" s="10" t="str">
        <x:v>17 Mo.</x:v>
      </x:c>
      <x:c r="L1381" s="10" t="n">
        <x:v>14</x:v>
      </x:c>
      <x:c r="M1381" s="10" t="n">
        <x:v>0</x:v>
      </x:c>
      <x:c r="N1381" s="10" t="n">
        <x:v>601</x:v>
      </x:c>
      <x:c r="O1381" s="10" t="str"/>
      <x:c r="P1381" s="10" t="n">
        <x:v>157</x:v>
      </x:c>
      <x:c r="Q1381" s="10" t="n">
        <x:v>0</x:v>
      </x:c>
      <x:c r="R1381" s="13" t="n">
        <x:v>1.16</x:v>
      </x:c>
      <x:c r="S1381" s="10" t="n">
        <x:v>118</x:v>
      </x:c>
      <x:c r="T1381" s="10" t="str">
        <x:v>house purchase,house buying,house schedule,renovation tracker,furniture tracker,first home,house checklist,mortgage calculator,deposit calculator,home comparison,house planner,home buying bundle,home buying</x:v>
      </x:c>
      <x:c r="U1381" s="10" t="str">
        <x:v>house purchase</x:v>
      </x:c>
      <x:c r="V1381" s="10" t="str">
        <x:v>house buying</x:v>
      </x:c>
      <x:c r="W1381" s="10" t="str">
        <x:v>house schedule</x:v>
      </x:c>
      <x:c r="X1381" s="10" t="str">
        <x:v>renovation tracker</x:v>
      </x:c>
      <x:c r="Y1381" s="10" t="str">
        <x:v>furniture tracker</x:v>
      </x:c>
      <x:c r="Z1381" s="10" t="str">
        <x:v>first home</x:v>
      </x:c>
      <x:c r="AA1381" s="10" t="str">
        <x:v>house checklist</x:v>
      </x:c>
      <x:c r="AB1381" s="10" t="str">
        <x:v>mortgage calculator</x:v>
      </x:c>
      <x:c r="AC1381" s="10" t="str">
        <x:v>deposit calculator</x:v>
      </x:c>
      <x:c r="AD1381" s="10" t="str">
        <x:v>home comparison</x:v>
      </x:c>
      <x:c r="AE1381" s="10" t="str">
        <x:v>house planner</x:v>
      </x:c>
      <x:c r="AF1381" s="10" t="str">
        <x:v>home buying bundle</x:v>
      </x:c>
      <x:c r="AG1381" s="10" t="str">
        <x:v>home buying</x:v>
      </x:c>
      <x:c r="AH1381" s="10" t="str">
        <x:v>Other mortgage-related</x:v>
      </x:c>
      <x:c r="AI1381" s="13" t="n">
        <x:v>17</x:v>
      </x:c>
      <x:c r="AJ1381" s="10" t="str">
        <x:f>IF(F1381&gt;0,"Active","No est. sales")</x:f>
        <x:v>No est. sales</x:v>
      </x:c>
    </x:row>
    <x:row r="1382">
      <x:c r="A1382" s="10" t="str">
        <x:v>Mortgage Broker Client Tracker | Lead Pipeline Google Sheet Template</x:v>
      </x:c>
      <x:c r="B1382" s="10" t="str">
        <x:v>https://www.etsy.com/listing/1722120392/mortgage-broker-client-tracker-lead</x:v>
      </x:c>
      <x:c r="C1382" s="10" t="str">
        <x:v>CurrentsMarketing</x:v>
      </x:c>
      <x:c r="D1382" s="10" t="str">
        <x:v>https://www.etsy.com/shop/CurrentsMarketing</x:v>
      </x:c>
      <x:c r="E1382" s="11" t="n">
        <x:v>10</x:v>
      </x:c>
      <x:c r="F1382" s="10" t="n">
        <x:v>0</x:v>
      </x:c>
      <x:c r="G1382" s="12" t="n">
        <x:v>0</x:v>
      </x:c>
      <x:c r="H1382" s="13" t="n">
        <x:v>0</x:v>
      </x:c>
      <x:c r="I1382" s="10" t="n">
        <x:v>0</x:v>
      </x:c>
      <x:c r="J1382" s="10" t="n">
        <x:v>0</x:v>
      </x:c>
      <x:c r="K1382" s="10" t="str">
        <x:v>26 Mo.</x:v>
      </x:c>
      <x:c r="L1382" s="10" t="n">
        <x:v>18</x:v>
      </x:c>
      <x:c r="M1382" s="10" t="n">
        <x:v>0</x:v>
      </x:c>
      <x:c r="N1382" s="10" t="n">
        <x:v>867</x:v>
      </x:c>
      <x:c r="O1382" s="10" t="str">
        <x:v>Art &amp; Collectibles</x:v>
      </x:c>
      <x:c r="P1382" s="10" t="n">
        <x:v>40</x:v>
      </x:c>
      <x:c r="Q1382" s="10" t="n">
        <x:v>0</x:v>
      </x:c>
      <x:c r="R1382" s="13" t="n">
        <x:v>0</x:v>
      </x:c>
      <x:c r="S1382" s="10" t="n">
        <x:v>69</x:v>
      </x:c>
      <x:c r="T1382" s="10" t="str">
        <x:v>mortgage broker,client tracker,spreadsheets,mortgage specialist,pipeline tracker,mortgage,google sheets lender,loan officer doc,organization,digital download,lending,financial planner,customer contact</x:v>
      </x:c>
      <x:c r="U1382" s="10" t="str">
        <x:v>mortgage broker</x:v>
      </x:c>
      <x:c r="V1382" s="10" t="str">
        <x:v>client tracker</x:v>
      </x:c>
      <x:c r="W1382" s="10" t="str">
        <x:v>spreadsheets</x:v>
      </x:c>
      <x:c r="X1382" s="10" t="str">
        <x:v>mortgage specialist</x:v>
      </x:c>
      <x:c r="Y1382" s="10" t="str">
        <x:v>pipeline tracker</x:v>
      </x:c>
      <x:c r="Z1382" s="10" t="str">
        <x:v>mortgage</x:v>
      </x:c>
      <x:c r="AA1382" s="10" t="str">
        <x:v>google sheets lender</x:v>
      </x:c>
      <x:c r="AB1382" s="10" t="str">
        <x:v>loan officer doc</x:v>
      </x:c>
      <x:c r="AC1382" s="10" t="str">
        <x:v>organization</x:v>
      </x:c>
      <x:c r="AD1382" s="10" t="str">
        <x:v>digital download</x:v>
      </x:c>
      <x:c r="AE1382" s="10" t="str">
        <x:v>lending</x:v>
      </x:c>
      <x:c r="AF1382" s="10" t="str">
        <x:v>financial planner</x:v>
      </x:c>
      <x:c r="AG1382" s="10" t="str">
        <x:v>customer contact</x:v>
      </x:c>
      <x:c r="AH1382" s="10" t="str">
        <x:v>Loan officer / B2B</x:v>
      </x:c>
      <x:c r="AI1382" s="13" t="n">
        <x:v>26</x:v>
      </x:c>
      <x:c r="AJ1382" s="10" t="str">
        <x:f>IF(F1382&gt;0,"Active","No est. sales")</x:f>
        <x:v>No est. sales</x:v>
      </x:c>
    </x:row>
    <x:row r="1383">
      <x:c r="A1383" s="10" t="str">
        <x:v>Loan Amortization Spreadsheet Calculator | Mortgage, Auto, Personal Loans (Google Sheets, Excel)</x:v>
      </x:c>
      <x:c r="B1383" s="10" t="str">
        <x:v>https://www.etsy.com/listing/4475672435/loan-amortization-calculator-spreadsheet</x:v>
      </x:c>
      <x:c r="C1383" s="10" t="str">
        <x:v>SeansTemplates</x:v>
      </x:c>
      <x:c r="D1383" s="10" t="str">
        <x:v>https://www.etsy.com/shop/SeansTemplates</x:v>
      </x:c>
      <x:c r="E1383" s="11" t="n">
        <x:v>6.99</x:v>
      </x:c>
      <x:c r="F1383" s="10" t="n">
        <x:v>0</x:v>
      </x:c>
      <x:c r="G1383" s="12" t="n">
        <x:v>0</x:v>
      </x:c>
      <x:c r="H1383" s="13" t="n">
        <x:v>0</x:v>
      </x:c>
      <x:c r="I1383" s="10" t="n">
        <x:v>5</x:v>
      </x:c>
      <x:c r="J1383" s="10" t="n">
        <x:v>1</x:v>
      </x:c>
      <x:c r="K1383" s="10" t="str">
        <x:v>4 Mo.</x:v>
      </x:c>
      <x:c r="L1383" s="10" t="n">
        <x:v>8</x:v>
      </x:c>
      <x:c r="M1383" s="10" t="n">
        <x:v>0</x:v>
      </x:c>
      <x:c r="N1383" s="10" t="n">
        <x:v>285</x:v>
      </x:c>
      <x:c r="O1383" s="10" t="str"/>
      <x:c r="P1383" s="10" t="n">
        <x:v>51</x:v>
      </x:c>
      <x:c r="Q1383" s="10" t="n">
        <x:v>30</x:v>
      </x:c>
      <x:c r="R1383" s="13" t="n">
        <x:v>1.75</x:v>
      </x:c>
      <x:c r="S1383" s="10" t="n">
        <x:v>365</x:v>
      </x:c>
      <x:c r="T1383" s="10" t="str">
        <x:v>loan amortization,amortization excel,extra payment saving,mortgage calculator,loan payoff tracker,mortgage payoff tool,interest saving tool,excel spreadsheet,google sheets,debt payoff planner,home buying tool,auto loan payoff,loan payoff spreadsh</x:v>
      </x:c>
      <x:c r="U1383" s="10" t="str">
        <x:v>loan amortization</x:v>
      </x:c>
      <x:c r="V1383" s="10" t="str">
        <x:v>amortization excel</x:v>
      </x:c>
      <x:c r="W1383" s="10" t="str">
        <x:v>extra payment saving</x:v>
      </x:c>
      <x:c r="X1383" s="10" t="str">
        <x:v>mortgage calculator</x:v>
      </x:c>
      <x:c r="Y1383" s="10" t="str">
        <x:v>loan payoff tracker</x:v>
      </x:c>
      <x:c r="Z1383" s="10" t="str">
        <x:v>mortgage payoff tool</x:v>
      </x:c>
      <x:c r="AA1383" s="10" t="str">
        <x:v>interest saving tool</x:v>
      </x:c>
      <x:c r="AB1383" s="10" t="str">
        <x:v>excel spreadsheet</x:v>
      </x:c>
      <x:c r="AC1383" s="10" t="str">
        <x:v>google sheets</x:v>
      </x:c>
      <x:c r="AD1383" s="10" t="str">
        <x:v>debt payoff planner</x:v>
      </x:c>
      <x:c r="AE1383" s="10" t="str">
        <x:v>home buying tool</x:v>
      </x:c>
      <x:c r="AF1383" s="10" t="str">
        <x:v>auto loan payoff</x:v>
      </x:c>
      <x:c r="AG1383" s="10" t="str">
        <x:v>loan payoff spreadsh</x:v>
      </x:c>
      <x:c r="AH1383" s="10" t="str">
        <x:v>General loan calculator</x:v>
      </x:c>
      <x:c r="AI1383" s="13" t="n">
        <x:v>4</x:v>
      </x:c>
      <x:c r="AJ1383" s="10" t="str">
        <x:f>IF(F1383&gt;0,"Active","No est. sales")</x:f>
        <x:v>No est. sales</x:v>
      </x:c>
    </x:row>
    <x:row r="1384">
      <x:c r="A1384" s="10" t="str">
        <x:v>Mortgage Payoff Tracker | House Loan Tracker | Finance Sheet | Debt Payoff Log | Money Organizer | Loan Schedule | PDF | A4 | A5 | Letter</x:v>
      </x:c>
      <x:c r="B1384" s="10" t="str">
        <x:v>https://www.etsy.com/listing/1254571268/mortgage-payoff-tracker-house-loan</x:v>
      </x:c>
      <x:c r="C1384" s="10" t="str">
        <x:v>PixelPearPrints</x:v>
      </x:c>
      <x:c r="D1384" s="10" t="str">
        <x:v>https://www.etsy.com/shop/PixelPearPrints</x:v>
      </x:c>
      <x:c r="E1384" s="11" t="n">
        <x:v>1.87</x:v>
      </x:c>
      <x:c r="F1384" s="10" t="n">
        <x:v>0</x:v>
      </x:c>
      <x:c r="G1384" s="12" t="n">
        <x:v>0</x:v>
      </x:c>
      <x:c r="H1384" s="13" t="n">
        <x:v>0</x:v>
      </x:c>
      <x:c r="I1384" s="10" t="n">
        <x:v>9</x:v>
      </x:c>
      <x:c r="J1384" s="10" t="n">
        <x:v>1</x:v>
      </x:c>
      <x:c r="K1384" s="10" t="str">
        <x:v>48 Mo.</x:v>
      </x:c>
      <x:c r="L1384" s="10" t="n">
        <x:v>20</x:v>
      </x:c>
      <x:c r="M1384" s="10" t="n">
        <x:v>0</x:v>
      </x:c>
      <x:c r="N1384" s="10" t="n">
        <x:v>1119</x:v>
      </x:c>
      <x:c r="O1384" s="10" t="str">
        <x:v>Paper &amp; Party Supplies</x:v>
      </x:c>
      <x:c r="P1384" s="10" t="n">
        <x:v>56</x:v>
      </x:c>
      <x:c r="Q1384" s="10" t="n">
        <x:v>0</x:v>
      </x:c>
      <x:c r="R1384" s="13" t="n">
        <x:v>0.8</x:v>
      </x:c>
      <x:c r="S1384" s="10" t="n">
        <x:v>5452</x:v>
      </x:c>
      <x:c r="T1384" s="10" t="str">
        <x:v>mortgage tracker,digital prints,planner insert,mortgage spreadsheet,mortgage paid off,loan schedule,debt payoff tracker,house payoff planner,printable mortgage,loan payoff planner,personal finance log,monthly planner,repayment schedule</x:v>
      </x:c>
      <x:c r="U1384" s="10" t="str">
        <x:v>mortgage tracker</x:v>
      </x:c>
      <x:c r="V1384" s="10" t="str">
        <x:v>digital prints</x:v>
      </x:c>
      <x:c r="W1384" s="10" t="str">
        <x:v>planner insert</x:v>
      </x:c>
      <x:c r="X1384" s="10" t="str">
        <x:v>mortgage spreadsheet</x:v>
      </x:c>
      <x:c r="Y1384" s="10" t="str">
        <x:v>mortgage paid off</x:v>
      </x:c>
      <x:c r="Z1384" s="10" t="str">
        <x:v>loan schedule</x:v>
      </x:c>
      <x:c r="AA1384" s="10" t="str">
        <x:v>debt payoff tracker</x:v>
      </x:c>
      <x:c r="AB1384" s="10" t="str">
        <x:v>house payoff planner</x:v>
      </x:c>
      <x:c r="AC1384" s="10" t="str">
        <x:v>printable mortgage</x:v>
      </x:c>
      <x:c r="AD1384" s="10" t="str">
        <x:v>loan payoff planner</x:v>
      </x:c>
      <x:c r="AE1384" s="10" t="str">
        <x:v>personal finance log</x:v>
      </x:c>
      <x:c r="AF1384" s="10" t="str">
        <x:v>monthly planner</x:v>
      </x:c>
      <x:c r="AG1384" s="10" t="str">
        <x:v>repayment schedule</x:v>
      </x:c>
      <x:c r="AH1384" s="10" t="str">
        <x:v>Mortgage payoff / calculator</x:v>
      </x:c>
      <x:c r="AI1384" s="13" t="n">
        <x:v>48</x:v>
      </x:c>
      <x:c r="AJ1384" s="10" t="str">
        <x:f>IF(F1384&gt;0,"Active","No est. sales")</x:f>
        <x:v>No est. sales</x:v>
      </x:c>
    </x:row>
    <x:row r="1385">
      <x:c r="A1385" s="10" t="str">
        <x:v>Coquette Budget Planner with Top Tabs,  Cute Pink Bows, HTML Personal Finance Tracker, Built In Calculator,  Auto Save (Digital Download)</x:v>
      </x:c>
      <x:c r="B1385" s="10" t="str">
        <x:v>https://www.etsy.com/listing/4518833001/coquette-digital-budget-planner-cute</x:v>
      </x:c>
      <x:c r="C1385" s="10" t="str">
        <x:v>SimplyPlannedAnna</x:v>
      </x:c>
      <x:c r="D1385" s="10" t="str">
        <x:v>https://www.etsy.com/shop/SimplyPlannedAnna</x:v>
      </x:c>
      <x:c r="E1385" s="11" t="n">
        <x:v>10.5</x:v>
      </x:c>
      <x:c r="F1385" s="10" t="n">
        <x:v>0</x:v>
      </x:c>
      <x:c r="G1385" s="12" t="n">
        <x:v>0</x:v>
      </x:c>
      <x:c r="H1385" s="13" t="n">
        <x:v>0</x:v>
      </x:c>
      <x:c r="I1385" s="10" t="n">
        <x:v>0</x:v>
      </x:c>
      <x:c r="J1385" s="10" t="n">
        <x:v>0</x:v>
      </x:c>
      <x:c r="K1385" s="10" t="str">
        <x:v>1 Mo.</x:v>
      </x:c>
      <x:c r="L1385" s="10" t="n">
        <x:v>0</x:v>
      </x:c>
      <x:c r="M1385" s="10" t="n">
        <x:v>0</x:v>
      </x:c>
      <x:c r="N1385" s="10" t="n">
        <x:v>0</x:v>
      </x:c>
      <x:c r="O1385" s="10" t="str"/>
      <x:c r="P1385" s="10" t="n">
        <x:v>3</x:v>
      </x:c>
      <x:c r="Q1385" s="10" t="n">
        <x:v>0</x:v>
      </x:c>
      <x:c r="R1385" s="13" t="n">
        <x:v>0</x:v>
      </x:c>
      <x:c r="S1385" s="10" t="n">
        <x:v>1</x:v>
      </x:c>
      <x:c r="T1385" s="10" t="str">
        <x:v>budget planner,soft girl planner,no app planner,mortgage calculator,debt tracker,cute pink bows,animated background,coquette decor,digital download,auto save backup,interactive html,finance planner,finance tracker</x:v>
      </x:c>
      <x:c r="U1385" s="10" t="str">
        <x:v>budget planner</x:v>
      </x:c>
      <x:c r="V1385" s="10" t="str">
        <x:v>soft girl planner</x:v>
      </x:c>
      <x:c r="W1385" s="10" t="str">
        <x:v>no app planner</x:v>
      </x:c>
      <x:c r="X1385" s="10" t="str">
        <x:v>mortgage calculator</x:v>
      </x:c>
      <x:c r="Y1385" s="10" t="str">
        <x:v>debt tracker</x:v>
      </x:c>
      <x:c r="Z1385" s="10" t="str">
        <x:v>cute pink bows</x:v>
      </x:c>
      <x:c r="AA1385" s="10" t="str">
        <x:v>animated background</x:v>
      </x:c>
      <x:c r="AB1385" s="10" t="str">
        <x:v>coquette decor</x:v>
      </x:c>
      <x:c r="AC1385" s="10" t="str">
        <x:v>digital download</x:v>
      </x:c>
      <x:c r="AD1385" s="10" t="str">
        <x:v>auto save backup</x:v>
      </x:c>
      <x:c r="AE1385" s="10" t="str">
        <x:v>interactive html</x:v>
      </x:c>
      <x:c r="AF1385" s="10" t="str">
        <x:v>finance planner</x:v>
      </x:c>
      <x:c r="AG1385" s="10" t="str">
        <x:v>finance tracker</x:v>
      </x:c>
      <x:c r="AH1385" s="10" t="str">
        <x:v>Other mortgage-related</x:v>
      </x:c>
      <x:c r="AI1385" s="13" t="n">
        <x:v>1</x:v>
      </x:c>
      <x:c r="AJ1385" s="10" t="str">
        <x:f>IF(F1385&gt;0,"Active","No est. sales")</x:f>
        <x:v>No est. sales</x:v>
      </x:c>
    </x:row>
    <x:row r="1386">
      <x:c r="A1386" s="10" t="str">
        <x:v>Mortgage &amp; Loan Payoff Tracker App | Extra Payment Calculator, Interest Saved, Amortization Schedule | Offline, Private</x:v>
      </x:c>
      <x:c r="B1386" s="10" t="str">
        <x:v>https://www.etsy.com/listing/4529232115/mortgage-loan-payoff-tracker-app-extra</x:v>
      </x:c>
      <x:c r="C1386" s="10" t="str">
        <x:v>TwistKnotCreations</x:v>
      </x:c>
      <x:c r="D1386" s="10" t="str">
        <x:v>https://www.etsy.com/shop/TwistKnotCreations</x:v>
      </x:c>
      <x:c r="E1386" s="11" t="n">
        <x:v>15</x:v>
      </x:c>
      <x:c r="F1386" s="10" t="n">
        <x:v>0</x:v>
      </x:c>
      <x:c r="G1386" s="12" t="n">
        <x:v>0</x:v>
      </x:c>
      <x:c r="H1386" s="13" t="n">
        <x:v>0</x:v>
      </x:c>
      <x:c r="I1386" s="10" t="n">
        <x:v>0</x:v>
      </x:c>
      <x:c r="J1386" s="10" t="n">
        <x:v>0</x:v>
      </x:c>
      <x:c r="K1386" s="10" t="str">
        <x:v>1 Mo.</x:v>
      </x:c>
      <x:c r="L1386" s="10" t="n">
        <x:v>1</x:v>
      </x:c>
      <x:c r="M1386" s="10" t="n">
        <x:v>0</x:v>
      </x:c>
      <x:c r="N1386" s="10" t="n">
        <x:v>10</x:v>
      </x:c>
      <x:c r="O1386" s="10" t="str"/>
      <x:c r="P1386" s="10" t="n">
        <x:v>17</x:v>
      </x:c>
      <x:c r="Q1386" s="10" t="n">
        <x:v>0</x:v>
      </x:c>
      <x:c r="R1386" s="13" t="n">
        <x:v>0</x:v>
      </x:c>
      <x:c r="S1386" s="10" t="n">
        <x:v>1897</x:v>
      </x:c>
      <x:c r="T1386" s="10" t="str">
        <x:v>mortgage payoff,loan payoff tracker,extra payment calc,amortization table,mortgage calculator,debt free planner,loan calculator app,early payoff,interest saved,payoff planner,offline app,digital download,mortgage tracker</x:v>
      </x:c>
      <x:c r="U1386" s="10" t="str">
        <x:v>mortgage payoff</x:v>
      </x:c>
      <x:c r="V1386" s="10" t="str">
        <x:v>loan payoff tracker</x:v>
      </x:c>
      <x:c r="W1386" s="10" t="str">
        <x:v>extra payment calc</x:v>
      </x:c>
      <x:c r="X1386" s="10" t="str">
        <x:v>amortization table</x:v>
      </x:c>
      <x:c r="Y1386" s="10" t="str">
        <x:v>mortgage calculator</x:v>
      </x:c>
      <x:c r="Z1386" s="10" t="str">
        <x:v>debt free planner</x:v>
      </x:c>
      <x:c r="AA1386" s="10" t="str">
        <x:v>loan calculator app</x:v>
      </x:c>
      <x:c r="AB1386" s="10" t="str">
        <x:v>early payoff</x:v>
      </x:c>
      <x:c r="AC1386" s="10" t="str">
        <x:v>interest saved</x:v>
      </x:c>
      <x:c r="AD1386" s="10" t="str">
        <x:v>payoff planner</x:v>
      </x:c>
      <x:c r="AE1386" s="10" t="str">
        <x:v>offline app</x:v>
      </x:c>
      <x:c r="AF1386" s="10" t="str">
        <x:v>digital download</x:v>
      </x:c>
      <x:c r="AG1386" s="10" t="str">
        <x:v>mortgage tracker</x:v>
      </x:c>
      <x:c r="AH1386" s="10" t="str">
        <x:v>Mortgage payoff / calculator</x:v>
      </x:c>
      <x:c r="AI1386" s="13" t="n">
        <x:v>1</x:v>
      </x:c>
      <x:c r="AJ1386" s="10" t="str">
        <x:f>IF(F1386&gt;0,"Active","No est. sales")</x:f>
        <x:v>No est. sales</x:v>
      </x:c>
    </x:row>
    <x:row r="1387">
      <x:c r="A1387" s="10" t="str">
        <x:v>20k Savings Challenge House Tracker Instant Download Printable Savings Goal New House Money Tracker 20,000 House Tracker Planner Insert</x:v>
      </x:c>
      <x:c r="B1387" s="10" t="str">
        <x:v>https://www.etsy.com/listing/979007191/20k-savings-challenge-house-tracker</x:v>
      </x:c>
      <x:c r="C1387" s="10" t="str">
        <x:v>bbhdesignss</x:v>
      </x:c>
      <x:c r="D1387" s="10" t="str">
        <x:v>https://www.etsy.com/shop/bbhdesignss</x:v>
      </x:c>
      <x:c r="E1387" s="11" t="n">
        <x:v>2</x:v>
      </x:c>
      <x:c r="F1387" s="10" t="n">
        <x:v>0</x:v>
      </x:c>
      <x:c r="G1387" s="12" t="n">
        <x:v>0</x:v>
      </x:c>
      <x:c r="H1387" s="13" t="n">
        <x:v>0</x:v>
      </x:c>
      <x:c r="I1387" s="10" t="n">
        <x:v>449</x:v>
      </x:c>
      <x:c r="J1387" s="10" t="n">
        <x:v>61</x:v>
      </x:c>
      <x:c r="K1387" s="10" t="str">
        <x:v>64 Mo.</x:v>
      </x:c>
      <x:c r="L1387" s="10" t="n">
        <x:v>1293</x:v>
      </x:c>
      <x:c r="M1387" s="10" t="n">
        <x:v>1</x:v>
      </x:c>
      <x:c r="N1387" s="10" t="n">
        <x:v>38851</x:v>
      </x:c>
      <x:c r="O1387" s="10" t="str">
        <x:v>Paper &amp; Party Supplies</x:v>
      </x:c>
      <x:c r="P1387" s="10" t="n">
        <x:v>186</x:v>
      </x:c>
      <x:c r="Q1387" s="10" t="n">
        <x:v>100</x:v>
      </x:c>
      <x:c r="R1387" s="13" t="n">
        <x:v>1.16</x:v>
      </x:c>
      <x:c r="S1387" s="10" t="n">
        <x:v>4402</x:v>
      </x:c>
      <x:c r="T1387" s="10" t="str">
        <x:v>house savings,new home fund,down payment savings,homeownership goal,property purchase,real estate investm,mortgage deposit,printable savings tr,savings challenge,savings chart,savings goal,home budget planner,house sinking fund</x:v>
      </x:c>
      <x:c r="U1387" s="10" t="str">
        <x:v>house savings</x:v>
      </x:c>
      <x:c r="V1387" s="10" t="str">
        <x:v>new home fund</x:v>
      </x:c>
      <x:c r="W1387" s="10" t="str">
        <x:v>down payment savings</x:v>
      </x:c>
      <x:c r="X1387" s="10" t="str">
        <x:v>homeownership goal</x:v>
      </x:c>
      <x:c r="Y1387" s="10" t="str">
        <x:v>property purchase</x:v>
      </x:c>
      <x:c r="Z1387" s="10" t="str">
        <x:v>real estate investm</x:v>
      </x:c>
      <x:c r="AA1387" s="10" t="str">
        <x:v>mortgage deposit</x:v>
      </x:c>
      <x:c r="AB1387" s="10" t="str">
        <x:v>printable savings tr</x:v>
      </x:c>
      <x:c r="AC1387" s="10" t="str">
        <x:v>savings challenge</x:v>
      </x:c>
      <x:c r="AD1387" s="10" t="str">
        <x:v>savings chart</x:v>
      </x:c>
      <x:c r="AE1387" s="10" t="str">
        <x:v>savings goal</x:v>
      </x:c>
      <x:c r="AF1387" s="10" t="str">
        <x:v>home budget planner</x:v>
      </x:c>
      <x:c r="AG1387" s="10" t="str">
        <x:v>house sinking fund</x:v>
      </x:c>
      <x:c r="AH1387" s="10" t="str">
        <x:v>Other mortgage-related</x:v>
      </x:c>
      <x:c r="AI1387" s="13" t="n">
        <x:v>64</x:v>
      </x:c>
      <x:c r="AJ1387" s="10" t="str">
        <x:f>IF(F1387&gt;0,"Active","No est. sales")</x:f>
        <x:v>No est. sales</x:v>
      </x:c>
    </x:row>
    <x:row r="1388">
      <x:c r="A1388" s="10" t="str">
        <x:v>Camper Savings Tracker Printable: RV Travel Goal (Digital Download)</x:v>
      </x:c>
      <x:c r="B1388" s="10" t="str">
        <x:v>https://www.etsy.com/listing/985109744/camper-savings-tracker-printable-rv</x:v>
      </x:c>
      <x:c r="C1388" s="10" t="str">
        <x:v>bbhdesignss</x:v>
      </x:c>
      <x:c r="D1388" s="10" t="str">
        <x:v>https://www.etsy.com/shop/bbhdesignss</x:v>
      </x:c>
      <x:c r="E1388" s="11" t="n">
        <x:v>3</x:v>
      </x:c>
      <x:c r="F1388" s="10" t="n">
        <x:v>0</x:v>
      </x:c>
      <x:c r="G1388" s="12" t="n">
        <x:v>0</x:v>
      </x:c>
      <x:c r="H1388" s="13" t="n">
        <x:v>0</x:v>
      </x:c>
      <x:c r="I1388" s="10" t="n">
        <x:v>36</x:v>
      </x:c>
      <x:c r="J1388" s="10" t="n">
        <x:v>5</x:v>
      </x:c>
      <x:c r="K1388" s="10" t="str">
        <x:v>63 Mo.</x:v>
      </x:c>
      <x:c r="L1388" s="10" t="n">
        <x:v>45</x:v>
      </x:c>
      <x:c r="M1388" s="10" t="n">
        <x:v>0</x:v>
      </x:c>
      <x:c r="N1388" s="10" t="n">
        <x:v>2052</x:v>
      </x:c>
      <x:c r="O1388" s="10" t="str">
        <x:v>Paper &amp; Party Supplies</x:v>
      </x:c>
      <x:c r="P1388" s="10" t="n">
        <x:v>186</x:v>
      </x:c>
      <x:c r="Q1388" s="10" t="n">
        <x:v>0</x:v>
      </x:c>
      <x:c r="R1388" s="13" t="n">
        <x:v>1.75</x:v>
      </x:c>
      <x:c r="S1388" s="10" t="n">
        <x:v>4402</x:v>
      </x:c>
      <x:c r="T1388" s="10" t="str">
        <x:v>planner,budget,savings,saving,tracker,organize,goal,challenge,bullet journal,camper,travel trailer,rv,mortgage</x:v>
      </x:c>
      <x:c r="U1388" s="10" t="str">
        <x:v>planner</x:v>
      </x:c>
      <x:c r="V1388" s="10" t="str">
        <x:v>budget</x:v>
      </x:c>
      <x:c r="W1388" s="10" t="str">
        <x:v>savings</x:v>
      </x:c>
      <x:c r="X1388" s="10" t="str">
        <x:v>saving</x:v>
      </x:c>
      <x:c r="Y1388" s="10" t="str">
        <x:v>tracker</x:v>
      </x:c>
      <x:c r="Z1388" s="10" t="str">
        <x:v>organize</x:v>
      </x:c>
      <x:c r="AA1388" s="10" t="str">
        <x:v>goal</x:v>
      </x:c>
      <x:c r="AB1388" s="10" t="str">
        <x:v>challenge</x:v>
      </x:c>
      <x:c r="AC1388" s="10" t="str">
        <x:v>bullet journal</x:v>
      </x:c>
      <x:c r="AD1388" s="10" t="str">
        <x:v>camper</x:v>
      </x:c>
      <x:c r="AE1388" s="10" t="str">
        <x:v>travel trailer</x:v>
      </x:c>
      <x:c r="AF1388" s="10" t="str">
        <x:v>rv</x:v>
      </x:c>
      <x:c r="AG1388" s="10" t="str">
        <x:v>mortgage</x:v>
      </x:c>
      <x:c r="AH1388" s="10" t="str">
        <x:v>Other mortgage-related</x:v>
      </x:c>
      <x:c r="AI1388" s="13" t="n">
        <x:v>63</x:v>
      </x:c>
      <x:c r="AJ1388" s="10" t="str">
        <x:f>IF(F1388&gt;0,"Active","No est. sales")</x:f>
        <x:v>No est. sales</x:v>
      </x:c>
    </x:row>
    <x:row r="1389">
      <x:c r="A1389" s="10" t="str">
        <x:v>Interest Calculator Template, Google Sheets Loan Calculator, Excel Amortization Schedule, Financial Planning Spreadsheet</x:v>
      </x:c>
      <x:c r="B1389" s="10" t="str">
        <x:v>https://www.etsy.com/listing/4379467573/interest-calculator-template-google</x:v>
      </x:c>
      <x:c r="C1389" s="10" t="str">
        <x:v>DaffodillsSheets</x:v>
      </x:c>
      <x:c r="D1389" s="10" t="str">
        <x:v>https://www.etsy.com/shop/DaffodillsSheets</x:v>
      </x:c>
      <x:c r="E1389" s="11" t="n">
        <x:v>10.87</x:v>
      </x:c>
      <x:c r="F1389" s="10" t="n">
        <x:v>0</x:v>
      </x:c>
      <x:c r="G1389" s="12" t="n">
        <x:v>0</x:v>
      </x:c>
      <x:c r="H1389" s="13" t="n">
        <x:v>0</x:v>
      </x:c>
      <x:c r="I1389" s="10" t="n">
        <x:v>0</x:v>
      </x:c>
      <x:c r="J1389" s="10" t="n">
        <x:v>0</x:v>
      </x:c>
      <x:c r="K1389" s="10" t="str">
        <x:v>9 Mo.</x:v>
      </x:c>
      <x:c r="L1389" s="10" t="n">
        <x:v>0</x:v>
      </x:c>
      <x:c r="M1389" s="10" t="n">
        <x:v>0</x:v>
      </x:c>
      <x:c r="N1389" s="10" t="n">
        <x:v>2</x:v>
      </x:c>
      <x:c r="O1389" s="10" t="str"/>
      <x:c r="P1389" s="10" t="n">
        <x:v>10</x:v>
      </x:c>
      <x:c r="Q1389" s="10" t="n">
        <x:v>0</x:v>
      </x:c>
      <x:c r="R1389" s="13" t="n">
        <x:v>0</x:v>
      </x:c>
      <x:c r="S1389" s="10" t="n">
        <x:v>567</x:v>
      </x:c>
      <x:c r="T1389" s="10" t="str">
        <x:v>interest calculator,loan calculator,excel template,financial planning,debt payoff,loan tracker,finance spreadsheet,investment analysis,mortgage calculator,repayment planner,interest rate,amortization,google sheets</x:v>
      </x:c>
      <x:c r="U1389" s="10" t="str">
        <x:v>interest calculator</x:v>
      </x:c>
      <x:c r="V1389" s="10" t="str">
        <x:v>loan calculator</x:v>
      </x:c>
      <x:c r="W1389" s="10" t="str">
        <x:v>excel template</x:v>
      </x:c>
      <x:c r="X1389" s="10" t="str">
        <x:v>financial planning</x:v>
      </x:c>
      <x:c r="Y1389" s="10" t="str">
        <x:v>debt payoff</x:v>
      </x:c>
      <x:c r="Z1389" s="10" t="str">
        <x:v>loan tracker</x:v>
      </x:c>
      <x:c r="AA1389" s="10" t="str">
        <x:v>finance spreadsheet</x:v>
      </x:c>
      <x:c r="AB1389" s="10" t="str">
        <x:v>investment analysis</x:v>
      </x:c>
      <x:c r="AC1389" s="10" t="str">
        <x:v>mortgage calculator</x:v>
      </x:c>
      <x:c r="AD1389" s="10" t="str">
        <x:v>repayment planner</x:v>
      </x:c>
      <x:c r="AE1389" s="10" t="str">
        <x:v>interest rate</x:v>
      </x:c>
      <x:c r="AF1389" s="10" t="str">
        <x:v>amortization</x:v>
      </x:c>
      <x:c r="AG1389" s="10" t="str">
        <x:v>google sheets</x:v>
      </x:c>
      <x:c r="AH1389" s="10" t="str">
        <x:v>General loan calculator</x:v>
      </x:c>
      <x:c r="AI1389" s="13" t="n">
        <x:v>9</x:v>
      </x:c>
      <x:c r="AJ1389" s="10" t="str">
        <x:f>IF(F1389&gt;0,"Active","No est. sales")</x:f>
        <x:v>No est. sales</x:v>
      </x:c>
    </x:row>
    <x:row r="1390">
      <x:c r="A1390" s="10" t="str">
        <x:v>Home Mortgage Calculator, Loan Amortization Schedule, Monthly Payment Spreadsheet, Interest Breakdown, Google Sheets, Excel Template</x:v>
      </x:c>
      <x:c r="B1390" s="10" t="str">
        <x:v>https://www.etsy.com/listing/4467693651/home-mortgage-calculator-loan</x:v>
      </x:c>
      <x:c r="C1390" s="10" t="str">
        <x:v>DaffodillsSheets</x:v>
      </x:c>
      <x:c r="D1390" s="10" t="str">
        <x:v>https://www.etsy.com/shop/DaffodillsSheets</x:v>
      </x:c>
      <x:c r="E1390" s="11" t="n">
        <x:v>10.87</x:v>
      </x:c>
      <x:c r="F1390" s="10" t="n">
        <x:v>0</x:v>
      </x:c>
      <x:c r="G1390" s="12" t="n">
        <x:v>0</x:v>
      </x:c>
      <x:c r="H1390" s="13" t="n">
        <x:v>0</x:v>
      </x:c>
      <x:c r="I1390" s="10" t="n">
        <x:v>0</x:v>
      </x:c>
      <x:c r="J1390" s="10" t="n">
        <x:v>0</x:v>
      </x:c>
      <x:c r="K1390" s="10" t="str">
        <x:v>4 Mo.</x:v>
      </x:c>
      <x:c r="L1390" s="10" t="n">
        <x:v>0</x:v>
      </x:c>
      <x:c r="M1390" s="10" t="n">
        <x:v>0</x:v>
      </x:c>
      <x:c r="N1390" s="10" t="n">
        <x:v>3</x:v>
      </x:c>
      <x:c r="O1390" s="10" t="str"/>
      <x:c r="P1390" s="10" t="n">
        <x:v>10</x:v>
      </x:c>
      <x:c r="Q1390" s="10" t="n">
        <x:v>0</x:v>
      </x:c>
      <x:c r="R1390" s="13" t="n">
        <x:v>0</x:v>
      </x:c>
      <x:c r="S1390" s="10" t="n">
        <x:v>567</x:v>
      </x:c>
      <x:c r="T1390" s="10" t="str">
        <x:v>mortgage sheet,loan calculator,amortization,home finance,payment planner,interest chart,excel mortgage,google sheets,loan tracker,budget planner,refinance tool,home loan,finance template</x:v>
      </x:c>
      <x:c r="U1390" s="10" t="str">
        <x:v>mortgage sheet</x:v>
      </x:c>
      <x:c r="V1390" s="10" t="str">
        <x:v>loan calculator</x:v>
      </x:c>
      <x:c r="W1390" s="10" t="str">
        <x:v>amortization</x:v>
      </x:c>
      <x:c r="X1390" s="10" t="str">
        <x:v>home finance</x:v>
      </x:c>
      <x:c r="Y1390" s="10" t="str">
        <x:v>payment planner</x:v>
      </x:c>
      <x:c r="Z1390" s="10" t="str">
        <x:v>interest chart</x:v>
      </x:c>
      <x:c r="AA1390" s="10" t="str">
        <x:v>excel mortgage</x:v>
      </x:c>
      <x:c r="AB1390" s="10" t="str">
        <x:v>google sheets</x:v>
      </x:c>
      <x:c r="AC1390" s="10" t="str">
        <x:v>loan tracker</x:v>
      </x:c>
      <x:c r="AD1390" s="10" t="str">
        <x:v>budget planner</x:v>
      </x:c>
      <x:c r="AE1390" s="10" t="str">
        <x:v>refinance tool</x:v>
      </x:c>
      <x:c r="AF1390" s="10" t="str">
        <x:v>home loan</x:v>
      </x:c>
      <x:c r="AG1390" s="10" t="str">
        <x:v>finance template</x:v>
      </x:c>
      <x:c r="AH1390" s="10" t="str">
        <x:v>Mortgage payoff / calculator</x:v>
      </x:c>
      <x:c r="AI1390" s="13" t="n">
        <x:v>4</x:v>
      </x:c>
      <x:c r="AJ1390" s="10" t="str">
        <x:f>IF(F1390&gt;0,"Active","No est. sales")</x:f>
        <x:v>No est. sales</x:v>
      </x:c>
    </x:row>
    <x:row r="1391">
      <x:c r="A1391" s="10" t="str">
        <x:v>Annual Amortization Schedule Template | Loan Repayment Calculator | Mortgage Tracker Spreadsheet | Excel &amp; Google Sheets | Debt Payoff</x:v>
      </x:c>
      <x:c r="B1391" s="10" t="str">
        <x:v>https://www.etsy.com/listing/4492177105/annual-amortization-schedule-template</x:v>
      </x:c>
      <x:c r="C1391" s="10" t="str">
        <x:v>DaffodillsSheets</x:v>
      </x:c>
      <x:c r="D1391" s="10" t="str">
        <x:v>https://www.etsy.com/shop/DaffodillsSheets</x:v>
      </x:c>
      <x:c r="E1391" s="11" t="n">
        <x:v>10.87</x:v>
      </x:c>
      <x:c r="F1391" s="10" t="n">
        <x:v>0</x:v>
      </x:c>
      <x:c r="G1391" s="12" t="n">
        <x:v>0</x:v>
      </x:c>
      <x:c r="H1391" s="13" t="n">
        <x:v>0</x:v>
      </x:c>
      <x:c r="I1391" s="10" t="n">
        <x:v>0</x:v>
      </x:c>
      <x:c r="J1391" s="10" t="n">
        <x:v>0</x:v>
      </x:c>
      <x:c r="K1391" s="10" t="str">
        <x:v>3 Mo.</x:v>
      </x:c>
      <x:c r="L1391" s="10" t="n">
        <x:v>0</x:v>
      </x:c>
      <x:c r="M1391" s="10" t="n">
        <x:v>0</x:v>
      </x:c>
      <x:c r="N1391" s="10" t="n">
        <x:v>1</x:v>
      </x:c>
      <x:c r="O1391" s="10" t="str"/>
      <x:c r="P1391" s="10" t="n">
        <x:v>10</x:v>
      </x:c>
      <x:c r="Q1391" s="10" t="n">
        <x:v>0</x:v>
      </x:c>
      <x:c r="R1391" s="13" t="n">
        <x:v>0</x:v>
      </x:c>
      <x:c r="S1391" s="10" t="n">
        <x:v>567</x:v>
      </x:c>
      <x:c r="T1391" s="10" t="str">
        <x:v>amortization,loan tracker,finance planner,excel sheet,google sheets,mortgage tracker,debt planner,loan calculator,budget sheet,payment tracker,money planner,finance tool,loan schedule</x:v>
      </x:c>
      <x:c r="U1391" s="10" t="str">
        <x:v>amortization</x:v>
      </x:c>
      <x:c r="V1391" s="10" t="str">
        <x:v>loan tracker</x:v>
      </x:c>
      <x:c r="W1391" s="10" t="str">
        <x:v>finance planner</x:v>
      </x:c>
      <x:c r="X1391" s="10" t="str">
        <x:v>excel sheet</x:v>
      </x:c>
      <x:c r="Y1391" s="10" t="str">
        <x:v>google sheets</x:v>
      </x:c>
      <x:c r="Z1391" s="10" t="str">
        <x:v>mortgage tracker</x:v>
      </x:c>
      <x:c r="AA1391" s="10" t="str">
        <x:v>debt planner</x:v>
      </x:c>
      <x:c r="AB1391" s="10" t="str">
        <x:v>loan calculator</x:v>
      </x:c>
      <x:c r="AC1391" s="10" t="str">
        <x:v>budget sheet</x:v>
      </x:c>
      <x:c r="AD1391" s="10" t="str">
        <x:v>payment tracker</x:v>
      </x:c>
      <x:c r="AE1391" s="10" t="str">
        <x:v>money planner</x:v>
      </x:c>
      <x:c r="AF1391" s="10" t="str">
        <x:v>finance tool</x:v>
      </x:c>
      <x:c r="AG1391" s="10" t="str">
        <x:v>loan schedule</x:v>
      </x:c>
      <x:c r="AH1391" s="10" t="str">
        <x:v>General debt payoff</x:v>
      </x:c>
      <x:c r="AI1391" s="13" t="n">
        <x:v>3</x:v>
      </x:c>
      <x:c r="AJ1391" s="10" t="str">
        <x:f>IF(F1391&gt;0,"Active","No est. sales")</x:f>
        <x:v>No est. sales</x:v>
      </x:c>
    </x:row>
    <x:row r="1392">
      <x:c r="A1392" s="10" t="str">
        <x:v>Loan Amortization Schedule Template | Repayment Calculator | Debt Tracker Spreadsheet | Mortgage Payment Planner | Excel &amp; Google Sheets</x:v>
      </x:c>
      <x:c r="B1392" s="10" t="str">
        <x:v>https://www.etsy.com/listing/4498322574/loan-amortization-schedule-template</x:v>
      </x:c>
      <x:c r="C1392" s="10" t="str">
        <x:v>DaffodillsSheets</x:v>
      </x:c>
      <x:c r="D1392" s="10" t="str">
        <x:v>https://www.etsy.com/shop/DaffodillsSheets</x:v>
      </x:c>
      <x:c r="E1392" s="11" t="n">
        <x:v>10.87</x:v>
      </x:c>
      <x:c r="F1392" s="10" t="n">
        <x:v>0</x:v>
      </x:c>
      <x:c r="G1392" s="12" t="n">
        <x:v>0</x:v>
      </x:c>
      <x:c r="H1392" s="13" t="n">
        <x:v>0</x:v>
      </x:c>
      <x:c r="I1392" s="10" t="n">
        <x:v>0</x:v>
      </x:c>
      <x:c r="J1392" s="10" t="n">
        <x:v>0</x:v>
      </x:c>
      <x:c r="K1392" s="10" t="str">
        <x:v>2 Mo.</x:v>
      </x:c>
      <x:c r="L1392" s="10" t="n">
        <x:v>0</x:v>
      </x:c>
      <x:c r="M1392" s="10" t="n">
        <x:v>0</x:v>
      </x:c>
      <x:c r="N1392" s="10" t="n">
        <x:v>0</x:v>
      </x:c>
      <x:c r="O1392" s="10" t="str"/>
      <x:c r="P1392" s="10" t="n">
        <x:v>10</x:v>
      </x:c>
      <x:c r="Q1392" s="10" t="n">
        <x:v>0</x:v>
      </x:c>
      <x:c r="R1392" s="13" t="n">
        <x:v>0</x:v>
      </x:c>
      <x:c r="S1392" s="10" t="n">
        <x:v>567</x:v>
      </x:c>
      <x:c r="T1392" s="10" t="str">
        <x:v>amortization,loan tracker,debt tracker,mortgage planner,loan schedule,finance sheet,payment tracker,excel template,google sheets,budget planner,loan calculator,finance tracker,debt planner</x:v>
      </x:c>
      <x:c r="U1392" s="10" t="str">
        <x:v>amortization</x:v>
      </x:c>
      <x:c r="V1392" s="10" t="str">
        <x:v>loan tracker</x:v>
      </x:c>
      <x:c r="W1392" s="10" t="str">
        <x:v>debt tracker</x:v>
      </x:c>
      <x:c r="X1392" s="10" t="str">
        <x:v>mortgage planner</x:v>
      </x:c>
      <x:c r="Y1392" s="10" t="str">
        <x:v>loan schedule</x:v>
      </x:c>
      <x:c r="Z1392" s="10" t="str">
        <x:v>finance sheet</x:v>
      </x:c>
      <x:c r="AA1392" s="10" t="str">
        <x:v>payment tracker</x:v>
      </x:c>
      <x:c r="AB1392" s="10" t="str">
        <x:v>excel template</x:v>
      </x:c>
      <x:c r="AC1392" s="10" t="str">
        <x:v>google sheets</x:v>
      </x:c>
      <x:c r="AD1392" s="10" t="str">
        <x:v>budget planner</x:v>
      </x:c>
      <x:c r="AE1392" s="10" t="str">
        <x:v>loan calculator</x:v>
      </x:c>
      <x:c r="AF1392" s="10" t="str">
        <x:v>finance tracker</x:v>
      </x:c>
      <x:c r="AG1392" s="10" t="str">
        <x:v>debt planner</x:v>
      </x:c>
      <x:c r="AH1392" s="10" t="str">
        <x:v>General debt payoff</x:v>
      </x:c>
      <x:c r="AI1392" s="13" t="n">
        <x:v>2</x:v>
      </x:c>
      <x:c r="AJ1392" s="10" t="str">
        <x:f>IF(F1392&gt;0,"Active","No est. sales")</x:f>
        <x:v>No est. sales</x:v>
      </x:c>
    </x:row>
    <x:row r="1393">
      <x:c r="A1393" s="10" t="str">
        <x:v>Loan Amortization Schedule Template | Loan Payment Calculator Spreadsheet | Mortgage Tracker | Excel &amp; Google Sheets | Debt Repayment</x:v>
      </x:c>
      <x:c r="B1393" s="10" t="str">
        <x:v>https://www.etsy.com/listing/4492187964/loan-amortization-schedule-template-loan</x:v>
      </x:c>
      <x:c r="C1393" s="10" t="str">
        <x:v>DaffodillsSheets</x:v>
      </x:c>
      <x:c r="D1393" s="10" t="str">
        <x:v>https://www.etsy.com/shop/DaffodillsSheets</x:v>
      </x:c>
      <x:c r="E1393" s="11" t="n">
        <x:v>10.87</x:v>
      </x:c>
      <x:c r="F1393" s="10" t="n">
        <x:v>0</x:v>
      </x:c>
      <x:c r="G1393" s="12" t="n">
        <x:v>0</x:v>
      </x:c>
      <x:c r="H1393" s="13" t="n">
        <x:v>0</x:v>
      </x:c>
      <x:c r="I1393" s="10" t="n">
        <x:v>0</x:v>
      </x:c>
      <x:c r="J1393" s="10" t="n">
        <x:v>0</x:v>
      </x:c>
      <x:c r="K1393" s="10" t="str">
        <x:v>3 Mo.</x:v>
      </x:c>
      <x:c r="L1393" s="10" t="n">
        <x:v>0</x:v>
      </x:c>
      <x:c r="M1393" s="10" t="n">
        <x:v>0</x:v>
      </x:c>
      <x:c r="N1393" s="10" t="n">
        <x:v>0</x:v>
      </x:c>
      <x:c r="O1393" s="10" t="str"/>
      <x:c r="P1393" s="10" t="n">
        <x:v>10</x:v>
      </x:c>
      <x:c r="Q1393" s="10" t="n">
        <x:v>0</x:v>
      </x:c>
      <x:c r="R1393" s="13" t="n">
        <x:v>0</x:v>
      </x:c>
      <x:c r="S1393" s="10" t="n">
        <x:v>567</x:v>
      </x:c>
      <x:c r="T1393" s="10" t="str">
        <x:v>loan tracker,amortization,loan planner,mortgage tracker,debt tracker,payment schedule,finance planner,excel template,google sheets,loan calculator,budget planner,debt payoff,finance sheet</x:v>
      </x:c>
      <x:c r="U1393" s="10" t="str">
        <x:v>loan tracker</x:v>
      </x:c>
      <x:c r="V1393" s="10" t="str">
        <x:v>amortization</x:v>
      </x:c>
      <x:c r="W1393" s="10" t="str">
        <x:v>loan planner</x:v>
      </x:c>
      <x:c r="X1393" s="10" t="str">
        <x:v>mortgage tracker</x:v>
      </x:c>
      <x:c r="Y1393" s="10" t="str">
        <x:v>debt tracker</x:v>
      </x:c>
      <x:c r="Z1393" s="10" t="str">
        <x:v>payment schedule</x:v>
      </x:c>
      <x:c r="AA1393" s="10" t="str">
        <x:v>finance planner</x:v>
      </x:c>
      <x:c r="AB1393" s="10" t="str">
        <x:v>excel template</x:v>
      </x:c>
      <x:c r="AC1393" s="10" t="str">
        <x:v>google sheets</x:v>
      </x:c>
      <x:c r="AD1393" s="10" t="str">
        <x:v>loan calculator</x:v>
      </x:c>
      <x:c r="AE1393" s="10" t="str">
        <x:v>budget planner</x:v>
      </x:c>
      <x:c r="AF1393" s="10" t="str">
        <x:v>debt payoff</x:v>
      </x:c>
      <x:c r="AG1393" s="10" t="str">
        <x:v>finance sheet</x:v>
      </x:c>
      <x:c r="AH1393" s="10" t="str">
        <x:v>Mortgage payoff / calculator</x:v>
      </x:c>
      <x:c r="AI1393" s="13" t="n">
        <x:v>3</x:v>
      </x:c>
      <x:c r="AJ1393" s="10" t="str">
        <x:f>IF(F1393&gt;0,"Active","No est. sales")</x:f>
        <x:v>No est. sales</x:v>
      </x:c>
    </x:row>
    <x:row r="1394">
      <x:c r="A1394" s="10" t="str">
        <x:v>Editable debt tracker, debt snowball, debt thermometer, debt payoff tracker, debt payoff planner, house payoff tracker, digital tracker</x:v>
      </x:c>
      <x:c r="B1394" s="10" t="str">
        <x:v>https://www.etsy.com/listing/1307282962/editable-debt-tracker-debt-snowball-debt</x:v>
      </x:c>
      <x:c r="C1394" s="10" t="str">
        <x:v>ItsAbsolutelyMe</x:v>
      </x:c>
      <x:c r="D1394" s="10" t="str">
        <x:v>https://www.etsy.com/shop/ItsAbsolutelyMe</x:v>
      </x:c>
      <x:c r="E1394" s="11" t="n">
        <x:v>4.71</x:v>
      </x:c>
      <x:c r="F1394" s="10" t="n">
        <x:v>0</x:v>
      </x:c>
      <x:c r="G1394" s="12" t="n">
        <x:v>0</x:v>
      </x:c>
      <x:c r="H1394" s="13" t="n">
        <x:v>0</x:v>
      </x:c>
      <x:c r="I1394" s="10" t="n">
        <x:v>10</x:v>
      </x:c>
      <x:c r="J1394" s="10" t="n">
        <x:v>2</x:v>
      </x:c>
      <x:c r="K1394" s="10" t="str">
        <x:v>45 Mo.</x:v>
      </x:c>
      <x:c r="L1394" s="10" t="n">
        <x:v>12</x:v>
      </x:c>
      <x:c r="M1394" s="10" t="n">
        <x:v>0</x:v>
      </x:c>
      <x:c r="N1394" s="10" t="n">
        <x:v>292</x:v>
      </x:c>
      <x:c r="O1394" s="10" t="str">
        <x:v>Paper &amp; Party Supplies</x:v>
      </x:c>
      <x:c r="P1394" s="10" t="n">
        <x:v>74</x:v>
      </x:c>
      <x:c r="Q1394" s="10" t="n">
        <x:v>0</x:v>
      </x:c>
      <x:c r="R1394" s="13" t="n">
        <x:v>3.42</x:v>
      </x:c>
      <x:c r="S1394" s="10" t="n">
        <x:v>2616</x:v>
      </x:c>
      <x:c r="T1394" s="10" t="str">
        <x:v>debt payoff tracker,debt thermometer,mortgage tracker,house payoff tracker,debt payoff planner,sinking fund tracker,debt free,editable,debt tracker,digital debt,payment tracker,debt snowball,carousel of progress</x:v>
      </x:c>
      <x:c r="U1394" s="10" t="str">
        <x:v>debt payoff tracker</x:v>
      </x:c>
      <x:c r="V1394" s="10" t="str">
        <x:v>debt thermometer</x:v>
      </x:c>
      <x:c r="W1394" s="10" t="str">
        <x:v>mortgage tracker</x:v>
      </x:c>
      <x:c r="X1394" s="10" t="str">
        <x:v>house payoff tracker</x:v>
      </x:c>
      <x:c r="Y1394" s="10" t="str">
        <x:v>debt payoff planner</x:v>
      </x:c>
      <x:c r="Z1394" s="10" t="str">
        <x:v>sinking fund tracker</x:v>
      </x:c>
      <x:c r="AA1394" s="10" t="str">
        <x:v>debt free</x:v>
      </x:c>
      <x:c r="AB1394" s="10" t="str">
        <x:v>editable</x:v>
      </x:c>
      <x:c r="AC1394" s="10" t="str">
        <x:v>debt tracker</x:v>
      </x:c>
      <x:c r="AD1394" s="10" t="str">
        <x:v>digital debt</x:v>
      </x:c>
      <x:c r="AE1394" s="10" t="str">
        <x:v>payment tracker</x:v>
      </x:c>
      <x:c r="AF1394" s="10" t="str">
        <x:v>debt snowball</x:v>
      </x:c>
      <x:c r="AG1394" s="10" t="str">
        <x:v>carousel of progress</x:v>
      </x:c>
      <x:c r="AH1394" s="10" t="str">
        <x:v>General debt payoff</x:v>
      </x:c>
      <x:c r="AI1394" s="13" t="n">
        <x:v>45</x:v>
      </x:c>
      <x:c r="AJ1394" s="10" t="str">
        <x:f>IF(F1394&gt;0,"Active","No est. sales")</x:f>
        <x:v>No est. sales</x:v>
      </x:c>
    </x:row>
    <x:row r="1395">
      <x:c r="A1395" s="10" t="str">
        <x:v>Amortization Schedule Template – Digital Download, Editable Google Sheets for Loan Payment Tracking</x:v>
      </x:c>
      <x:c r="B1395" s="10" t="str">
        <x:v>https://www.etsy.com/listing/1894000387/amortization-schedule-template-digital</x:v>
      </x:c>
      <x:c r="C1395" s="10" t="str">
        <x:v>ILDigitalStore</x:v>
      </x:c>
      <x:c r="D1395" s="10" t="str">
        <x:v>https://www.etsy.com/shop/ILDigitalStore</x:v>
      </x:c>
      <x:c r="E1395" s="11" t="n">
        <x:v>9.98</x:v>
      </x:c>
      <x:c r="F1395" s="10" t="n">
        <x:v>0</x:v>
      </x:c>
      <x:c r="G1395" s="12" t="n">
        <x:v>0</x:v>
      </x:c>
      <x:c r="H1395" s="13" t="n">
        <x:v>0</x:v>
      </x:c>
      <x:c r="I1395" s="10" t="n">
        <x:v>0</x:v>
      </x:c>
      <x:c r="J1395" s="10" t="n">
        <x:v>0</x:v>
      </x:c>
      <x:c r="K1395" s="10" t="str">
        <x:v>16 Mo.</x:v>
      </x:c>
      <x:c r="L1395" s="10" t="n">
        <x:v>2</x:v>
      </x:c>
      <x:c r="M1395" s="10" t="n">
        <x:v>0</x:v>
      </x:c>
      <x:c r="N1395" s="10" t="n">
        <x:v>40</x:v>
      </x:c>
      <x:c r="O1395" s="10" t="str">
        <x:v>Paper &amp; Party Supplies</x:v>
      </x:c>
      <x:c r="P1395" s="10" t="n">
        <x:v>24</x:v>
      </x:c>
      <x:c r="Q1395" s="10" t="n">
        <x:v>0</x:v>
      </x:c>
      <x:c r="R1395" s="13" t="n">
        <x:v>0</x:v>
      </x:c>
      <x:c r="S1395" s="10" t="n">
        <x:v>78</x:v>
      </x:c>
      <x:c r="T1395" s="10" t="str">
        <x:v>digital download,editable template,google sheets,amortization table,loan payment plan,mortgage tracker,finance calculator,debt repayment,interest calculator,budgeting tool,personal finance,payment schedule,loan planner</x:v>
      </x:c>
      <x:c r="U1395" s="10" t="str">
        <x:v>digital download</x:v>
      </x:c>
      <x:c r="V1395" s="10" t="str">
        <x:v>editable template</x:v>
      </x:c>
      <x:c r="W1395" s="10" t="str">
        <x:v>google sheets</x:v>
      </x:c>
      <x:c r="X1395" s="10" t="str">
        <x:v>amortization table</x:v>
      </x:c>
      <x:c r="Y1395" s="10" t="str">
        <x:v>loan payment plan</x:v>
      </x:c>
      <x:c r="Z1395" s="10" t="str">
        <x:v>mortgage tracker</x:v>
      </x:c>
      <x:c r="AA1395" s="10" t="str">
        <x:v>finance calculator</x:v>
      </x:c>
      <x:c r="AB1395" s="10" t="str">
        <x:v>debt repayment</x:v>
      </x:c>
      <x:c r="AC1395" s="10" t="str">
        <x:v>interest calculator</x:v>
      </x:c>
      <x:c r="AD1395" s="10" t="str">
        <x:v>budgeting tool</x:v>
      </x:c>
      <x:c r="AE1395" s="10" t="str">
        <x:v>personal finance</x:v>
      </x:c>
      <x:c r="AF1395" s="10" t="str">
        <x:v>payment schedule</x:v>
      </x:c>
      <x:c r="AG1395" s="10" t="str">
        <x:v>loan planner</x:v>
      </x:c>
      <x:c r="AH1395" s="10" t="str">
        <x:v>General loan calculator</x:v>
      </x:c>
      <x:c r="AI1395" s="13" t="n">
        <x:v>16</x:v>
      </x:c>
      <x:c r="AJ1395" s="10" t="str">
        <x:f>IF(F1395&gt;0,"Active","No est. sales")</x:f>
        <x:v>No est. sales</x:v>
      </x:c>
    </x:row>
    <x:row r="1396">
      <x:c r="A1396" s="10" t="str">
        <x:v>First Time Home Buyer Planner | Real Estate Organizer (Digital Download)</x:v>
      </x:c>
      <x:c r="B1396" s="10" t="str">
        <x:v>https://www.etsy.com/listing/4434505704/home-buying-planner-printable-pdf-first</x:v>
      </x:c>
      <x:c r="C1396" s="10" t="str">
        <x:v>ImmaculateBrands</x:v>
      </x:c>
      <x:c r="D1396" s="10" t="str">
        <x:v>https://www.etsy.com/shop/ImmaculateBrands</x:v>
      </x:c>
      <x:c r="E1396" s="11" t="n">
        <x:v>2</x:v>
      </x:c>
      <x:c r="F1396" s="10" t="n">
        <x:v>0</x:v>
      </x:c>
      <x:c r="G1396" s="12" t="n">
        <x:v>0</x:v>
      </x:c>
      <x:c r="H1396" s="13" t="n">
        <x:v>0</x:v>
      </x:c>
      <x:c r="I1396" s="10" t="n">
        <x:v>0</x:v>
      </x:c>
      <x:c r="J1396" s="10" t="n">
        <x:v>0</x:v>
      </x:c>
      <x:c r="K1396" s="10" t="str">
        <x:v>6 Mo.</x:v>
      </x:c>
      <x:c r="L1396" s="10" t="n">
        <x:v>0</x:v>
      </x:c>
      <x:c r="M1396" s="10" t="n">
        <x:v>0</x:v>
      </x:c>
      <x:c r="N1396" s="10" t="n">
        <x:v>9</x:v>
      </x:c>
      <x:c r="O1396" s="10" t="str"/>
      <x:c r="P1396" s="10" t="n">
        <x:v>7</x:v>
      </x:c>
      <x:c r="Q1396" s="10" t="n">
        <x:v>0</x:v>
      </x:c>
      <x:c r="R1396" s="13" t="n">
        <x:v>0</x:v>
      </x:c>
      <x:c r="S1396" s="10" t="n">
        <x:v>13</x:v>
      </x:c>
      <x:c r="T1396" s="10" t="str">
        <x:v>home buying planner,first home buyer,house hunting,real estate binder,home purchase guide,new homeowner gift,property planner,mortgage organizer,home search tracker,moving planner,realtor closing gift,budget planner,house checklist</x:v>
      </x:c>
      <x:c r="U1396" s="10" t="str">
        <x:v>home buying planner</x:v>
      </x:c>
      <x:c r="V1396" s="10" t="str">
        <x:v>first home buyer</x:v>
      </x:c>
      <x:c r="W1396" s="10" t="str">
        <x:v>house hunting</x:v>
      </x:c>
      <x:c r="X1396" s="10" t="str">
        <x:v>real estate binder</x:v>
      </x:c>
      <x:c r="Y1396" s="10" t="str">
        <x:v>home purchase guide</x:v>
      </x:c>
      <x:c r="Z1396" s="10" t="str">
        <x:v>new homeowner gift</x:v>
      </x:c>
      <x:c r="AA1396" s="10" t="str">
        <x:v>property planner</x:v>
      </x:c>
      <x:c r="AB1396" s="10" t="str">
        <x:v>mortgage organizer</x:v>
      </x:c>
      <x:c r="AC1396" s="10" t="str">
        <x:v>home search tracker</x:v>
      </x:c>
      <x:c r="AD1396" s="10" t="str">
        <x:v>moving planner</x:v>
      </x:c>
      <x:c r="AE1396" s="10" t="str">
        <x:v>realtor closing gift</x:v>
      </x:c>
      <x:c r="AF1396" s="10" t="str">
        <x:v>budget planner</x:v>
      </x:c>
      <x:c r="AG1396" s="10" t="str">
        <x:v>house checklist</x:v>
      </x:c>
      <x:c r="AH1396" s="10" t="str">
        <x:v>Home buying planner</x:v>
      </x:c>
      <x:c r="AI1396" s="13" t="n">
        <x:v>6</x:v>
      </x:c>
      <x:c r="AJ1396" s="10" t="str">
        <x:f>IF(F1396&gt;0,"Active","No est. sales")</x:f>
        <x:v>No est. sales</x:v>
      </x:c>
    </x:row>
    <x:row r="1397">
      <x:c r="A1397" s="10" t="str">
        <x:v>House Savings Progress Coloring Tracker</x:v>
      </x:c>
      <x:c r="B1397" s="10" t="str">
        <x:v>https://www.etsy.com/listing/1148155114/house-savings-progress-coloring-tracker</x:v>
      </x:c>
      <x:c r="C1397" s="10" t="str">
        <x:v>FreedomFromChaos</x:v>
      </x:c>
      <x:c r="D1397" s="10" t="str">
        <x:v>https://www.etsy.com/shop/FreedomFromChaos</x:v>
      </x:c>
      <x:c r="E1397" s="11" t="n">
        <x:v>1.5</x:v>
      </x:c>
      <x:c r="F1397" s="10" t="n">
        <x:v>0</x:v>
      </x:c>
      <x:c r="G1397" s="12" t="n">
        <x:v>0</x:v>
      </x:c>
      <x:c r="H1397" s="13" t="n">
        <x:v>0</x:v>
      </x:c>
      <x:c r="I1397" s="10" t="n">
        <x:v>0</x:v>
      </x:c>
      <x:c r="J1397" s="10" t="n">
        <x:v>0</x:v>
      </x:c>
      <x:c r="K1397" s="10" t="str">
        <x:v>54 Mo.</x:v>
      </x:c>
      <x:c r="L1397" s="10" t="n">
        <x:v>4</x:v>
      </x:c>
      <x:c r="M1397" s="10" t="n">
        <x:v>0</x:v>
      </x:c>
      <x:c r="N1397" s="10" t="n">
        <x:v>105</x:v>
      </x:c>
      <x:c r="O1397" s="10" t="str">
        <x:v>Art &amp; Collectibles</x:v>
      </x:c>
      <x:c r="P1397" s="10" t="n">
        <x:v>54</x:v>
      </x:c>
      <x:c r="Q1397" s="10" t="n">
        <x:v>0</x:v>
      </x:c>
      <x:c r="R1397" s="13" t="n">
        <x:v>0</x:v>
      </x:c>
      <x:c r="S1397" s="10" t="n">
        <x:v>11</x:v>
      </x:c>
      <x:c r="T1397" s="10" t="str">
        <x:v>house savings,savings tracker,budget,budgeting,dave ramsey,coloring tracker,progress tracker,planner,financial freedom,finances,mortgage</x:v>
      </x:c>
      <x:c r="U1397" s="10" t="str">
        <x:v>house savings</x:v>
      </x:c>
      <x:c r="V1397" s="10" t="str">
        <x:v>savings tracker</x:v>
      </x:c>
      <x:c r="W1397" s="10" t="str">
        <x:v>budget</x:v>
      </x:c>
      <x:c r="X1397" s="10" t="str">
        <x:v>budgeting</x:v>
      </x:c>
      <x:c r="Y1397" s="10" t="str">
        <x:v>dave ramsey</x:v>
      </x:c>
      <x:c r="Z1397" s="10" t="str">
        <x:v>coloring tracker</x:v>
      </x:c>
      <x:c r="AA1397" s="10" t="str">
        <x:v>progress tracker</x:v>
      </x:c>
      <x:c r="AB1397" s="10" t="str">
        <x:v>planner</x:v>
      </x:c>
      <x:c r="AC1397" s="10" t="str">
        <x:v>financial freedom</x:v>
      </x:c>
      <x:c r="AD1397" s="10" t="str">
        <x:v>finances</x:v>
      </x:c>
      <x:c r="AE1397" s="10" t="str">
        <x:v>mortgage</x:v>
      </x:c>
      <x:c r="AF1397" s="10" t="str">
        <x:v>--</x:v>
      </x:c>
      <x:c r="AG1397" s="10" t="str">
        <x:v>--</x:v>
      </x:c>
      <x:c r="AH1397" s="10" t="str">
        <x:v>Other mortgage-related</x:v>
      </x:c>
      <x:c r="AI1397" s="13" t="n">
        <x:v>54</x:v>
      </x:c>
      <x:c r="AJ1397" s="10" t="str">
        <x:f>IF(F1397&gt;0,"Active","No est. sales")</x:f>
        <x:v>No est. sales</x:v>
      </x:c>
    </x:row>
    <x:row r="1398">
      <x:c r="A1398" s="10" t="str">
        <x:v>Mortgage Loan Calculator Google Sheets Spreadsheet, Payoff Schedule Tracker, Amortization Planner Template</x:v>
      </x:c>
      <x:c r="B1398" s="10" t="str">
        <x:v>https://www.etsy.com/listing/4481244379/mortgage-loan-calculator-google-sheets</x:v>
      </x:c>
      <x:c r="C1398" s="10" t="str">
        <x:v>MomMoneyMap</x:v>
      </x:c>
      <x:c r="D1398" s="10" t="str">
        <x:v>https://www.etsy.com/shop/MomMoneyMap</x:v>
      </x:c>
      <x:c r="E1398" s="11" t="n">
        <x:v>6.99</x:v>
      </x:c>
      <x:c r="F1398" s="10" t="n">
        <x:v>0</x:v>
      </x:c>
      <x:c r="G1398" s="12" t="n">
        <x:v>0</x:v>
      </x:c>
      <x:c r="H1398" s="13" t="n">
        <x:v>0</x:v>
      </x:c>
      <x:c r="I1398" s="10" t="n">
        <x:v>0</x:v>
      </x:c>
      <x:c r="J1398" s="10" t="n">
        <x:v>0</x:v>
      </x:c>
      <x:c r="K1398" s="10" t="str">
        <x:v>3 Mo.</x:v>
      </x:c>
      <x:c r="L1398" s="10" t="n">
        <x:v>0</x:v>
      </x:c>
      <x:c r="M1398" s="10" t="n">
        <x:v>0</x:v>
      </x:c>
      <x:c r="N1398" s="10" t="n">
        <x:v>19</x:v>
      </x:c>
      <x:c r="O1398" s="10" t="str">
        <x:v>Paper &amp; Party Supplies</x:v>
      </x:c>
      <x:c r="P1398" s="10" t="n">
        <x:v>78</x:v>
      </x:c>
      <x:c r="Q1398" s="10" t="n">
        <x:v>0</x:v>
      </x:c>
      <x:c r="R1398" s="13" t="n">
        <x:v>0</x:v>
      </x:c>
      <x:c r="S1398" s="10" t="n">
        <x:v>18652</x:v>
      </x:c>
      <x:c r="T1398" s="10" t="str">
        <x:v>loan amortization,loan calculator,loan payment,loan google sheets,family loan tracker,amortization table,mortgage,amortization,loan pay back,calculator,house loan,car loan,student loan</x:v>
      </x:c>
      <x:c r="U1398" s="10" t="str">
        <x:v>loan amortization</x:v>
      </x:c>
      <x:c r="V1398" s="10" t="str">
        <x:v>loan calculator</x:v>
      </x:c>
      <x:c r="W1398" s="10" t="str">
        <x:v>loan payment</x:v>
      </x:c>
      <x:c r="X1398" s="10" t="str">
        <x:v>loan google sheets</x:v>
      </x:c>
      <x:c r="Y1398" s="10" t="str">
        <x:v>family loan tracker</x:v>
      </x:c>
      <x:c r="Z1398" s="10" t="str">
        <x:v>amortization table</x:v>
      </x:c>
      <x:c r="AA1398" s="10" t="str">
        <x:v>mortgage</x:v>
      </x:c>
      <x:c r="AB1398" s="10" t="str">
        <x:v>amortization</x:v>
      </x:c>
      <x:c r="AC1398" s="10" t="str">
        <x:v>loan pay back</x:v>
      </x:c>
      <x:c r="AD1398" s="10" t="str">
        <x:v>calculator</x:v>
      </x:c>
      <x:c r="AE1398" s="10" t="str">
        <x:v>house loan</x:v>
      </x:c>
      <x:c r="AF1398" s="10" t="str">
        <x:v>car loan</x:v>
      </x:c>
      <x:c r="AG1398" s="10" t="str">
        <x:v>student loan</x:v>
      </x:c>
      <x:c r="AH1398" s="10" t="str">
        <x:v>Other mortgage-related</x:v>
      </x:c>
      <x:c r="AI1398" s="13" t="n">
        <x:v>3</x:v>
      </x:c>
      <x:c r="AJ1398" s="10" t="str">
        <x:f>IF(F1398&gt;0,"Active","No est. sales")</x:f>
        <x:v>No est. sales</x:v>
      </x:c>
    </x:row>
    <x:row r="1399">
      <x:c r="A1399" s="10" t="str">
        <x:v>Budget Spreadsheet | Debt Snowball Calculator Google Sheets | Financial Budget Personal Tracker | Debt Spreadsheet Template</x:v>
      </x:c>
      <x:c r="B1399" s="10" t="str">
        <x:v>https://www.etsy.com/listing/1748620265/debt-snowball-calculator-google-sheets</x:v>
      </x:c>
      <x:c r="C1399" s="10" t="str">
        <x:v>PLANCONCEPT</x:v>
      </x:c>
      <x:c r="D1399" s="10" t="str">
        <x:v>https://www.etsy.com/shop/PLANCONCEPT</x:v>
      </x:c>
      <x:c r="E1399" s="11" t="n">
        <x:v>8.05</x:v>
      </x:c>
      <x:c r="F1399" s="10" t="n">
        <x:v>0</x:v>
      </x:c>
      <x:c r="G1399" s="12" t="n">
        <x:v>0</x:v>
      </x:c>
      <x:c r="H1399" s="13" t="n">
        <x:v>0</x:v>
      </x:c>
      <x:c r="I1399" s="10" t="n">
        <x:v>5</x:v>
      </x:c>
      <x:c r="J1399" s="10" t="n">
        <x:v>0</x:v>
      </x:c>
      <x:c r="K1399" s="10" t="str">
        <x:v>25 Mo.</x:v>
      </x:c>
      <x:c r="L1399" s="10" t="n">
        <x:v>10</x:v>
      </x:c>
      <x:c r="M1399" s="10" t="n">
        <x:v>0</x:v>
      </x:c>
      <x:c r="N1399" s="10" t="n">
        <x:v>111</x:v>
      </x:c>
      <x:c r="O1399" s="10" t="str">
        <x:v>Paper &amp; Party Supplies</x:v>
      </x:c>
      <x:c r="P1399" s="10" t="n">
        <x:v>52</x:v>
      </x:c>
      <x:c r="Q1399" s="10" t="n">
        <x:v>0</x:v>
      </x:c>
      <x:c r="R1399" s="13" t="n">
        <x:v>4.5</x:v>
      </x:c>
      <x:c r="S1399" s="10" t="n">
        <x:v>70454</x:v>
      </x:c>
      <x:c r="T1399" s="10" t="str">
        <x:v>budget spreadsheet,budget planner,debt payoff tracker,debt snowball,debt tracker,budget template,google sheets budget,digital budget,financial planner,budget tracker,mortgage tracker,debt calculator,expense tracker</x:v>
      </x:c>
      <x:c r="U1399" s="10" t="str">
        <x:v>budget spreadsheet</x:v>
      </x:c>
      <x:c r="V1399" s="10" t="str">
        <x:v>budget planner</x:v>
      </x:c>
      <x:c r="W1399" s="10" t="str">
        <x:v>debt payoff tracker</x:v>
      </x:c>
      <x:c r="X1399" s="10" t="str">
        <x:v>debt snowball</x:v>
      </x:c>
      <x:c r="Y1399" s="10" t="str">
        <x:v>debt tracker</x:v>
      </x:c>
      <x:c r="Z1399" s="10" t="str">
        <x:v>budget template</x:v>
      </x:c>
      <x:c r="AA1399" s="10" t="str">
        <x:v>google sheets budget</x:v>
      </x:c>
      <x:c r="AB1399" s="10" t="str">
        <x:v>digital budget</x:v>
      </x:c>
      <x:c r="AC1399" s="10" t="str">
        <x:v>financial planner</x:v>
      </x:c>
      <x:c r="AD1399" s="10" t="str">
        <x:v>budget tracker</x:v>
      </x:c>
      <x:c r="AE1399" s="10" t="str">
        <x:v>mortgage tracker</x:v>
      </x:c>
      <x:c r="AF1399" s="10" t="str">
        <x:v>debt calculator</x:v>
      </x:c>
      <x:c r="AG1399" s="10" t="str">
        <x:v>expense tracker</x:v>
      </x:c>
      <x:c r="AH1399" s="10" t="str">
        <x:v>General debt payoff</x:v>
      </x:c>
      <x:c r="AI1399" s="13" t="n">
        <x:v>25</x:v>
      </x:c>
      <x:c r="AJ1399" s="10" t="str">
        <x:f>IF(F1399&gt;0,"Active","No est. sales")</x:f>
        <x:v>No est. sales</x:v>
      </x:c>
    </x:row>
    <x:row r="1400">
      <x:c r="A1400" s="10" t="str">
        <x:v>House Downpayment Savings Tracker | 6,500 Dollars Goal (PDF)</x:v>
      </x:c>
      <x:c r="B1400" s="10" t="str">
        <x:v>https://www.etsy.com/listing/1234915875/house-downpayment-savings-tracker-6500</x:v>
      </x:c>
      <x:c r="C1400" s="10" t="str">
        <x:v>HartfordHustlePrints</x:v>
      </x:c>
      <x:c r="D1400" s="10" t="str">
        <x:v>https://www.etsy.com/shop/HartfordHustlePrints</x:v>
      </x:c>
      <x:c r="E1400" s="11" t="n">
        <x:v>3</x:v>
      </x:c>
      <x:c r="F1400" s="10" t="n">
        <x:v>0</x:v>
      </x:c>
      <x:c r="G1400" s="12" t="n">
        <x:v>0</x:v>
      </x:c>
      <x:c r="H1400" s="13" t="n">
        <x:v>0</x:v>
      </x:c>
      <x:c r="I1400" s="10" t="n">
        <x:v>0</x:v>
      </x:c>
      <x:c r="J1400" s="10" t="n">
        <x:v>0</x:v>
      </x:c>
      <x:c r="K1400" s="10" t="str">
        <x:v>50 Mo.</x:v>
      </x:c>
      <x:c r="L1400" s="10" t="n">
        <x:v>11</x:v>
      </x:c>
      <x:c r="M1400" s="10" t="n">
        <x:v>0</x:v>
      </x:c>
      <x:c r="N1400" s="10" t="n">
        <x:v>269</x:v>
      </x:c>
      <x:c r="O1400" s="10" t="str"/>
      <x:c r="P1400" s="10" t="n">
        <x:v>73</x:v>
      </x:c>
      <x:c r="Q1400" s="10" t="n">
        <x:v>0</x:v>
      </x:c>
      <x:c r="R1400" s="13" t="n">
        <x:v>0</x:v>
      </x:c>
      <x:c r="S1400" s="10" t="n">
        <x:v>1863</x:v>
      </x:c>
      <x:c r="T1400" s="10" t="str">
        <x:v>home savings tracker,house deposit fund,budget planner pdf,house savings goal,new home savings,digital savings tool,save 6500 challenge,mortgage savings,money saving,house downpayment,downpayment tracker,money-saving binder,track savings</x:v>
      </x:c>
      <x:c r="U1400" s="10" t="str">
        <x:v>home savings tracker</x:v>
      </x:c>
      <x:c r="V1400" s="10" t="str">
        <x:v>house deposit fund</x:v>
      </x:c>
      <x:c r="W1400" s="10" t="str">
        <x:v>budget planner pdf</x:v>
      </x:c>
      <x:c r="X1400" s="10" t="str">
        <x:v>house savings goal</x:v>
      </x:c>
      <x:c r="Y1400" s="10" t="str">
        <x:v>new home savings</x:v>
      </x:c>
      <x:c r="Z1400" s="10" t="str">
        <x:v>digital savings tool</x:v>
      </x:c>
      <x:c r="AA1400" s="10" t="str">
        <x:v>save 6500 challenge</x:v>
      </x:c>
      <x:c r="AB1400" s="10" t="str">
        <x:v>mortgage savings</x:v>
      </x:c>
      <x:c r="AC1400" s="10" t="str">
        <x:v>money saving</x:v>
      </x:c>
      <x:c r="AD1400" s="10" t="str">
        <x:v>house downpayment</x:v>
      </x:c>
      <x:c r="AE1400" s="10" t="str">
        <x:v>downpayment tracker</x:v>
      </x:c>
      <x:c r="AF1400" s="10" t="str">
        <x:v>money-saving binder</x:v>
      </x:c>
      <x:c r="AG1400" s="10" t="str">
        <x:v>track savings</x:v>
      </x:c>
      <x:c r="AH1400" s="10" t="str">
        <x:v>Other mortgage-related</x:v>
      </x:c>
      <x:c r="AI1400" s="13" t="n">
        <x:v>50</x:v>
      </x:c>
      <x:c r="AJ1400" s="10" t="str">
        <x:f>IF(F1400&gt;0,"Active","No est. sales")</x:f>
        <x:v>No est. sales</x:v>
      </x:c>
    </x:row>
    <x:row r="1401">
      <x:c r="A1401" s="10" t="str">
        <x:v>First Time Homebuyer Tracker | HTML Dashboard Template | Instant Download, Works Offline in Any Browser</x:v>
      </x:c>
      <x:c r="B1401" s="10" t="str">
        <x:v>https://www.etsy.com/listing/4524536992/first-time-homebuyer-tracker-html</x:v>
      </x:c>
      <x:c r="C1401" s="10" t="str">
        <x:v>SHOPPLANstudio</x:v>
      </x:c>
      <x:c r="D1401" s="10" t="str">
        <x:v>https://www.etsy.com/shop/SHOPPLANstudio</x:v>
      </x:c>
      <x:c r="E1401" s="11" t="n">
        <x:v>9.99</x:v>
      </x:c>
      <x:c r="F1401" s="10" t="n">
        <x:v>0</x:v>
      </x:c>
      <x:c r="G1401" s="12" t="n">
        <x:v>0</x:v>
      </x:c>
      <x:c r="H1401" s="13" t="n">
        <x:v>0</x:v>
      </x:c>
      <x:c r="I1401" s="10" t="n">
        <x:v>0</x:v>
      </x:c>
      <x:c r="J1401" s="10" t="n">
        <x:v>0</x:v>
      </x:c>
      <x:c r="K1401" s="10" t="str">
        <x:v>1 Mo.</x:v>
      </x:c>
      <x:c r="L1401" s="10" t="n">
        <x:v>0</x:v>
      </x:c>
      <x:c r="M1401" s="10" t="n">
        <x:v>0</x:v>
      </x:c>
      <x:c r="N1401" s="10" t="n">
        <x:v>2</x:v>
      </x:c>
      <x:c r="O1401" s="10" t="str"/>
      <x:c r="P1401" s="10" t="n">
        <x:v>13</x:v>
      </x:c>
      <x:c r="Q1401" s="10" t="n">
        <x:v>0</x:v>
      </x:c>
      <x:c r="R1401" s="13" t="n">
        <x:v>0</x:v>
      </x:c>
      <x:c r="S1401" s="10" t="n">
        <x:v>48</x:v>
      </x:c>
      <x:c r="T1401" s="10" t="str">
        <x:v>homebuyer planner,mortgage planner,home shopping log,buyer workbook,home tour tracker,closing checklist,homebuyer journal,property tracker,house hunt,first time buyer,house hunting,home buying,real estate</x:v>
      </x:c>
      <x:c r="U1401" s="10" t="str">
        <x:v>homebuyer planner</x:v>
      </x:c>
      <x:c r="V1401" s="10" t="str">
        <x:v>mortgage planner</x:v>
      </x:c>
      <x:c r="W1401" s="10" t="str">
        <x:v>home shopping log</x:v>
      </x:c>
      <x:c r="X1401" s="10" t="str">
        <x:v>buyer workbook</x:v>
      </x:c>
      <x:c r="Y1401" s="10" t="str">
        <x:v>home tour tracker</x:v>
      </x:c>
      <x:c r="Z1401" s="10" t="str">
        <x:v>closing checklist</x:v>
      </x:c>
      <x:c r="AA1401" s="10" t="str">
        <x:v>homebuyer journal</x:v>
      </x:c>
      <x:c r="AB1401" s="10" t="str">
        <x:v>property tracker</x:v>
      </x:c>
      <x:c r="AC1401" s="10" t="str">
        <x:v>house hunt</x:v>
      </x:c>
      <x:c r="AD1401" s="10" t="str">
        <x:v>first time buyer</x:v>
      </x:c>
      <x:c r="AE1401" s="10" t="str">
        <x:v>house hunting</x:v>
      </x:c>
      <x:c r="AF1401" s="10" t="str">
        <x:v>home buying</x:v>
      </x:c>
      <x:c r="AG1401" s="10" t="str">
        <x:v>real estate</x:v>
      </x:c>
      <x:c r="AH1401" s="10" t="str">
        <x:v>Home buying planner</x:v>
      </x:c>
      <x:c r="AI1401" s="13" t="n">
        <x:v>1</x:v>
      </x:c>
      <x:c r="AJ1401" s="10" t="str">
        <x:f>IF(F1401&gt;0,"Active","No est. sales")</x:f>
        <x:v>No est. sales</x:v>
      </x:c>
    </x:row>
    <x:row r="1402">
      <x:c r="A1402" s="10" t="str">
        <x:v>Happy Home - Mortgage or Rent - Planner Stickers for Any Planning Style (S284R-MS)</x:v>
      </x:c>
      <x:c r="B1402" s="10" t="str">
        <x:v>https://www.etsy.com/listing/1350678950/happy-home-mortgage-planner-stickers-for</x:v>
      </x:c>
      <x:c r="C1402" s="10" t="str">
        <x:v>TheStickyBunny</x:v>
      </x:c>
      <x:c r="D1402" s="10" t="str">
        <x:v>https://www.etsy.com/shop/TheStickyBunny</x:v>
      </x:c>
      <x:c r="E1402" s="11" t="n">
        <x:v>2.59</x:v>
      </x:c>
      <x:c r="F1402" s="10" t="n">
        <x:v>0</x:v>
      </x:c>
      <x:c r="G1402" s="12" t="n">
        <x:v>0</x:v>
      </x:c>
      <x:c r="H1402" s="13" t="n">
        <x:v>0</x:v>
      </x:c>
      <x:c r="I1402" s="10" t="n">
        <x:v>0</x:v>
      </x:c>
      <x:c r="J1402" s="10" t="n">
        <x:v>0</x:v>
      </x:c>
      <x:c r="K1402" s="10" t="str">
        <x:v>43 Mo.</x:v>
      </x:c>
      <x:c r="L1402" s="10" t="n">
        <x:v>2</x:v>
      </x:c>
      <x:c r="M1402" s="10" t="n">
        <x:v>0</x:v>
      </x:c>
      <x:c r="N1402" s="10" t="n">
        <x:v>25</x:v>
      </x:c>
      <x:c r="O1402" s="10" t="str">
        <x:v>Paper &amp; Party Supplies</x:v>
      </x:c>
      <x:c r="P1402" s="10" t="n">
        <x:v>116</x:v>
      </x:c>
      <x:c r="Q1402" s="10" t="n">
        <x:v>0</x:v>
      </x:c>
      <x:c r="R1402" s="13" t="n">
        <x:v>0</x:v>
      </x:c>
      <x:c r="S1402" s="10" t="n">
        <x:v>6236</x:v>
      </x:c>
      <x:c r="T1402" s="10" t="str">
        <x:v>sticker,planner,traveller's notebook,home,house,filofax,hobonichi,thestickybunny,mortgage,payment,bank,finance,rent</x:v>
      </x:c>
      <x:c r="U1402" s="10" t="str">
        <x:v>sticker</x:v>
      </x:c>
      <x:c r="V1402" s="10" t="str">
        <x:v>planner</x:v>
      </x:c>
      <x:c r="W1402" s="10" t="str">
        <x:v>traveller's notebook</x:v>
      </x:c>
      <x:c r="X1402" s="10" t="str">
        <x:v>home</x:v>
      </x:c>
      <x:c r="Y1402" s="10" t="str">
        <x:v>house</x:v>
      </x:c>
      <x:c r="Z1402" s="10" t="str">
        <x:v>filofax</x:v>
      </x:c>
      <x:c r="AA1402" s="10" t="str">
        <x:v>hobonichi</x:v>
      </x:c>
      <x:c r="AB1402" s="10" t="str">
        <x:v>thestickybunny</x:v>
      </x:c>
      <x:c r="AC1402" s="10" t="str">
        <x:v>mortgage</x:v>
      </x:c>
      <x:c r="AD1402" s="10" t="str">
        <x:v>payment</x:v>
      </x:c>
      <x:c r="AE1402" s="10" t="str">
        <x:v>bank</x:v>
      </x:c>
      <x:c r="AF1402" s="10" t="str">
        <x:v>finance</x:v>
      </x:c>
      <x:c r="AG1402" s="10" t="str">
        <x:v>rent</x:v>
      </x:c>
      <x:c r="AH1402" s="10" t="str">
        <x:v>Other mortgage-related</x:v>
      </x:c>
      <x:c r="AI1402" s="13" t="n">
        <x:v>43</x:v>
      </x:c>
      <x:c r="AJ1402" s="10" t="str">
        <x:f>IF(F1402&gt;0,"Active","No est. sales")</x:f>
        <x:v>No est. sales</x:v>
      </x:c>
    </x:row>
    <x:row r="1403">
      <x:c r="A1403" s="10" t="str">
        <x:v>Simple Home Purchase Monthly Payment Calculator</x:v>
      </x:c>
      <x:c r="B1403" s="10" t="str">
        <x:v>https://www.etsy.com/listing/1171509623/simple-home-purchase-monthly-payment</x:v>
      </x:c>
      <x:c r="C1403" s="10" t="str">
        <x:v>MadeByNickStore</x:v>
      </x:c>
      <x:c r="D1403" s="10" t="str">
        <x:v>https://www.etsy.com/shop/MadeByNickStore</x:v>
      </x:c>
      <x:c r="E1403" s="11" t="n">
        <x:v>2.65</x:v>
      </x:c>
      <x:c r="F1403" s="10" t="n">
        <x:v>0</x:v>
      </x:c>
      <x:c r="G1403" s="12" t="n">
        <x:v>0</x:v>
      </x:c>
      <x:c r="H1403" s="13" t="n">
        <x:v>0</x:v>
      </x:c>
      <x:c r="I1403" s="10" t="n">
        <x:v>0</x:v>
      </x:c>
      <x:c r="J1403" s="10" t="n">
        <x:v>0</x:v>
      </x:c>
      <x:c r="K1403" s="10" t="str">
        <x:v>53 Mo.</x:v>
      </x:c>
      <x:c r="L1403" s="10" t="n">
        <x:v>15</x:v>
      </x:c>
      <x:c r="M1403" s="10" t="n">
        <x:v>0</x:v>
      </x:c>
      <x:c r="N1403" s="10" t="n">
        <x:v>1088</x:v>
      </x:c>
      <x:c r="O1403" s="10" t="str">
        <x:v>Paper &amp; Party Supplies</x:v>
      </x:c>
      <x:c r="P1403" s="10" t="n">
        <x:v>53</x:v>
      </x:c>
      <x:c r="Q1403" s="10" t="n">
        <x:v>0</x:v>
      </x:c>
      <x:c r="R1403" s="13" t="n">
        <x:v>0</x:v>
      </x:c>
      <x:c r="S1403" s="10" t="n">
        <x:v>91</x:v>
      </x:c>
      <x:c r="T1403" s="10" t="str">
        <x:v>excel,home purchase,amortization,interest calculator,money,insurance,hoa,monthly payment,financial,mortgage calculator,savings,budget planner,equity</x:v>
      </x:c>
      <x:c r="U1403" s="10" t="str">
        <x:v>excel</x:v>
      </x:c>
      <x:c r="V1403" s="10" t="str">
        <x:v>home purchase</x:v>
      </x:c>
      <x:c r="W1403" s="10" t="str">
        <x:v>amortization</x:v>
      </x:c>
      <x:c r="X1403" s="10" t="str">
        <x:v>interest calculator</x:v>
      </x:c>
      <x:c r="Y1403" s="10" t="str">
        <x:v>money</x:v>
      </x:c>
      <x:c r="Z1403" s="10" t="str">
        <x:v>insurance</x:v>
      </x:c>
      <x:c r="AA1403" s="10" t="str">
        <x:v>hoa</x:v>
      </x:c>
      <x:c r="AB1403" s="10" t="str">
        <x:v>monthly payment</x:v>
      </x:c>
      <x:c r="AC1403" s="10" t="str">
        <x:v>financial</x:v>
      </x:c>
      <x:c r="AD1403" s="10" t="str">
        <x:v>mortgage calculator</x:v>
      </x:c>
      <x:c r="AE1403" s="10" t="str">
        <x:v>savings</x:v>
      </x:c>
      <x:c r="AF1403" s="10" t="str">
        <x:v>budget planner</x:v>
      </x:c>
      <x:c r="AG1403" s="10" t="str">
        <x:v>equity</x:v>
      </x:c>
      <x:c r="AH1403" s="10" t="str">
        <x:v>Other mortgage-related</x:v>
      </x:c>
      <x:c r="AI1403" s="13" t="n">
        <x:v>53</x:v>
      </x:c>
      <x:c r="AJ1403" s="10" t="str">
        <x:f>IF(F1403&gt;0,"Active","No est. sales")</x:f>
        <x:v>No est. sales</x:v>
      </x:c>
    </x:row>
    <x:row r="1404">
      <x:c r="A1404" s="10" t="str">
        <x:v>Mortgage planner stickers, 66 minimalist clear matte stickers in modern font</x:v>
      </x:c>
      <x:c r="B1404" s="10" t="str">
        <x:v>https://www.etsy.com/listing/1062110739/mortgage-planner-stickers-66-minimalist</x:v>
      </x:c>
      <x:c r="C1404" s="10" t="str">
        <x:v>MarvinAndMillie</x:v>
      </x:c>
      <x:c r="D1404" s="10" t="str">
        <x:v>https://www.etsy.com/shop/MarvinAndMillie</x:v>
      </x:c>
      <x:c r="E1404" s="11" t="n">
        <x:v>3</x:v>
      </x:c>
      <x:c r="F1404" s="10" t="n">
        <x:v>0</x:v>
      </x:c>
      <x:c r="G1404" s="12" t="n">
        <x:v>0</x:v>
      </x:c>
      <x:c r="H1404" s="13" t="n">
        <x:v>0</x:v>
      </x:c>
      <x:c r="I1404" s="10" t="n">
        <x:v>8</x:v>
      </x:c>
      <x:c r="J1404" s="10" t="n">
        <x:v>2</x:v>
      </x:c>
      <x:c r="K1404" s="10" t="str">
        <x:v>59 Mo.</x:v>
      </x:c>
      <x:c r="L1404" s="10" t="n">
        <x:v>10</x:v>
      </x:c>
      <x:c r="M1404" s="10" t="n">
        <x:v>0</x:v>
      </x:c>
      <x:c r="N1404" s="10" t="n">
        <x:v>194</x:v>
      </x:c>
      <x:c r="O1404" s="10" t="str">
        <x:v>Paper &amp; Party Supplies</x:v>
      </x:c>
      <x:c r="P1404" s="10" t="n">
        <x:v>145</x:v>
      </x:c>
      <x:c r="Q1404" s="10" t="n">
        <x:v>0</x:v>
      </x:c>
      <x:c r="R1404" s="13" t="n">
        <x:v>4.12</x:v>
      </x:c>
      <x:c r="S1404" s="10" t="n">
        <x:v>11685</x:v>
      </x:c>
      <x:c r="T1404" s="10" t="str">
        <x:v>bujo labels,planner labels,calendar labels,clear planner labels,clear calendar label,bujo sticker,planner sticker,calendar sticker,modern planner label,modern sticker,mortgage sticker,mortgage label,mortgage payment</x:v>
      </x:c>
      <x:c r="U1404" s="10" t="str">
        <x:v>bujo labels</x:v>
      </x:c>
      <x:c r="V1404" s="10" t="str">
        <x:v>planner labels</x:v>
      </x:c>
      <x:c r="W1404" s="10" t="str">
        <x:v>calendar labels</x:v>
      </x:c>
      <x:c r="X1404" s="10" t="str">
        <x:v>clear planner labels</x:v>
      </x:c>
      <x:c r="Y1404" s="10" t="str">
        <x:v>clear calendar label</x:v>
      </x:c>
      <x:c r="Z1404" s="10" t="str">
        <x:v>bujo sticker</x:v>
      </x:c>
      <x:c r="AA1404" s="10" t="str">
        <x:v>planner sticker</x:v>
      </x:c>
      <x:c r="AB1404" s="10" t="str">
        <x:v>calendar sticker</x:v>
      </x:c>
      <x:c r="AC1404" s="10" t="str">
        <x:v>modern planner label</x:v>
      </x:c>
      <x:c r="AD1404" s="10" t="str">
        <x:v>modern sticker</x:v>
      </x:c>
      <x:c r="AE1404" s="10" t="str">
        <x:v>mortgage sticker</x:v>
      </x:c>
      <x:c r="AF1404" s="10" t="str">
        <x:v>mortgage label</x:v>
      </x:c>
      <x:c r="AG1404" s="10" t="str">
        <x:v>mortgage payment</x:v>
      </x:c>
      <x:c r="AH1404" s="10" t="str">
        <x:v>Other mortgage-related</x:v>
      </x:c>
      <x:c r="AI1404" s="13" t="n">
        <x:v>59</x:v>
      </x:c>
      <x:c r="AJ1404" s="10" t="str">
        <x:f>IF(F1404&gt;0,"Active","No est. sales")</x:f>
        <x:v>No est. sales</x:v>
      </x:c>
    </x:row>
    <x:row r="1405">
      <x:c r="A1405" s="10" t="str">
        <x:v>Mortgage Affordability Workbook | Interactive Homebuyer Planner | Rose | DTI Calculator</x:v>
      </x:c>
      <x:c r="B1405" s="10" t="str">
        <x:v>https://www.etsy.com/listing/4480389880/mortgage-affordability-workbook</x:v>
      </x:c>
      <x:c r="C1405" s="10" t="str">
        <x:v>SolvanaShop</x:v>
      </x:c>
      <x:c r="D1405" s="10" t="str">
        <x:v>https://www.etsy.com/shop/SolvanaShop</x:v>
      </x:c>
      <x:c r="E1405" s="11" t="n">
        <x:v>20.68</x:v>
      </x:c>
      <x:c r="F1405" s="10" t="n">
        <x:v>0</x:v>
      </x:c>
      <x:c r="G1405" s="12" t="n">
        <x:v>0</x:v>
      </x:c>
      <x:c r="H1405" s="13" t="n">
        <x:v>0</x:v>
      </x:c>
      <x:c r="I1405" s="10" t="n">
        <x:v>0</x:v>
      </x:c>
      <x:c r="J1405" s="10" t="n">
        <x:v>0</x:v>
      </x:c>
      <x:c r="K1405" s="10" t="str">
        <x:v>4 Mo.</x:v>
      </x:c>
      <x:c r="L1405" s="10" t="n">
        <x:v>0</x:v>
      </x:c>
      <x:c r="M1405" s="10" t="n">
        <x:v>0</x:v>
      </x:c>
      <x:c r="N1405" s="10" t="n">
        <x:v>4</x:v>
      </x:c>
      <x:c r="O1405" s="10" t="str"/>
      <x:c r="P1405" s="10" t="n">
        <x:v>30</x:v>
      </x:c>
      <x:c r="Q1405" s="10" t="n">
        <x:v>0</x:v>
      </x:c>
      <x:c r="R1405" s="13" t="n">
        <x:v>0</x:v>
      </x:c>
      <x:c r="S1405" s="10" t="n">
        <x:v>0</x:v>
      </x:c>
      <x:c r="T1405" s="10" t="str">
        <x:v>mortgage calculator,home budget worksheet,dti calculator,homebuyer guide,mortgage workbook,expense tracker,financial planner,printable planner,real estate tool,down payment planner,budget tracker,first time homebuyer,affordability planner</x:v>
      </x:c>
      <x:c r="U1405" s="10" t="str">
        <x:v>mortgage calculator</x:v>
      </x:c>
      <x:c r="V1405" s="10" t="str">
        <x:v>home budget worksheet</x:v>
      </x:c>
      <x:c r="W1405" s="10" t="str">
        <x:v>dti calculator</x:v>
      </x:c>
      <x:c r="X1405" s="10" t="str">
        <x:v>homebuyer guide</x:v>
      </x:c>
      <x:c r="Y1405" s="10" t="str">
        <x:v>mortgage workbook</x:v>
      </x:c>
      <x:c r="Z1405" s="10" t="str">
        <x:v>expense tracker</x:v>
      </x:c>
      <x:c r="AA1405" s="10" t="str">
        <x:v>financial planner</x:v>
      </x:c>
      <x:c r="AB1405" s="10" t="str">
        <x:v>printable planner</x:v>
      </x:c>
      <x:c r="AC1405" s="10" t="str">
        <x:v>real estate tool</x:v>
      </x:c>
      <x:c r="AD1405" s="10" t="str">
        <x:v>down payment planner</x:v>
      </x:c>
      <x:c r="AE1405" s="10" t="str">
        <x:v>budget tracker</x:v>
      </x:c>
      <x:c r="AF1405" s="10" t="str">
        <x:v>first time homebuyer</x:v>
      </x:c>
      <x:c r="AG1405" s="10" t="str">
        <x:v>affordability planner</x:v>
      </x:c>
      <x:c r="AH1405" s="10" t="str">
        <x:v>Home buying planner</x:v>
      </x:c>
      <x:c r="AI1405" s="13" t="n">
        <x:v>4</x:v>
      </x:c>
      <x:c r="AJ1405" s="10" t="str">
        <x:f>IF(F1405&gt;0,"Active","No est. sales")</x:f>
        <x:v>No est. sales</x:v>
      </x:c>
    </x:row>
    <x:row r="1406">
      <x:c r="A1406" s="10" t="str">
        <x:v>First Time Home Buyer Toolkit Canada Edition | Mortgage Calculator and Down Payment Planner | House Affordability and Buying Guide</x:v>
      </x:c>
      <x:c r="B1406" s="10" t="str">
        <x:v>https://www.etsy.com/listing/4472524942/first-time-home-buyer-toolkit-canada</x:v>
      </x:c>
      <x:c r="C1406" s="10" t="str">
        <x:v>RAYVIRCANADA</x:v>
      </x:c>
      <x:c r="D1406" s="10" t="str">
        <x:v>https://www.etsy.com/shop/RAYVIRCANADA</x:v>
      </x:c>
      <x:c r="E1406" s="11" t="n">
        <x:v>14.26</x:v>
      </x:c>
      <x:c r="F1406" s="10" t="n">
        <x:v>0</x:v>
      </x:c>
      <x:c r="G1406" s="12" t="n">
        <x:v>0</x:v>
      </x:c>
      <x:c r="H1406" s="13" t="n">
        <x:v>0</x:v>
      </x:c>
      <x:c r="I1406" s="10" t="n">
        <x:v>0</x:v>
      </x:c>
      <x:c r="J1406" s="10" t="n">
        <x:v>0</x:v>
      </x:c>
      <x:c r="K1406" s="10" t="str">
        <x:v>4 Mo.</x:v>
      </x:c>
      <x:c r="L1406" s="10" t="n">
        <x:v>0</x:v>
      </x:c>
      <x:c r="M1406" s="10" t="n">
        <x:v>0</x:v>
      </x:c>
      <x:c r="N1406" s="10" t="n">
        <x:v>19</x:v>
      </x:c>
      <x:c r="O1406" s="10" t="str"/>
      <x:c r="P1406" s="10" t="n">
        <x:v>5</x:v>
      </x:c>
      <x:c r="Q1406" s="10" t="n">
        <x:v>0</x:v>
      </x:c>
      <x:c r="R1406" s="13" t="n">
        <x:v>0</x:v>
      </x:c>
      <x:c r="S1406" s="10" t="n">
        <x:v>2</x:v>
      </x:c>
      <x:c r="T1406" s="10" t="str">
        <x:v>canada home buyer,first time home,buyer spreadsheet,mortgage calculator,home affordability,down payment planner,canadian mortgage,toolkit for house,real estate planner,home purchase planne,first home checklist,find closing cost,financial planning</x:v>
      </x:c>
      <x:c r="U1406" s="10" t="str">
        <x:v>canada home buyer</x:v>
      </x:c>
      <x:c r="V1406" s="10" t="str">
        <x:v>first time home</x:v>
      </x:c>
      <x:c r="W1406" s="10" t="str">
        <x:v>buyer spreadsheet</x:v>
      </x:c>
      <x:c r="X1406" s="10" t="str">
        <x:v>mortgage calculator</x:v>
      </x:c>
      <x:c r="Y1406" s="10" t="str">
        <x:v>home affordability</x:v>
      </x:c>
      <x:c r="Z1406" s="10" t="str">
        <x:v>down payment planner</x:v>
      </x:c>
      <x:c r="AA1406" s="10" t="str">
        <x:v>canadian mortgage</x:v>
      </x:c>
      <x:c r="AB1406" s="10" t="str">
        <x:v>toolkit for house</x:v>
      </x:c>
      <x:c r="AC1406" s="10" t="str">
        <x:v>real estate planner</x:v>
      </x:c>
      <x:c r="AD1406" s="10" t="str">
        <x:v>home purchase planne</x:v>
      </x:c>
      <x:c r="AE1406" s="10" t="str">
        <x:v>first home checklist</x:v>
      </x:c>
      <x:c r="AF1406" s="10" t="str">
        <x:v>find closing cost</x:v>
      </x:c>
      <x:c r="AG1406" s="10" t="str">
        <x:v>financial planning</x:v>
      </x:c>
      <x:c r="AH1406" s="10" t="str">
        <x:v>Home buying planner</x:v>
      </x:c>
      <x:c r="AI1406" s="13" t="n">
        <x:v>4</x:v>
      </x:c>
      <x:c r="AJ1406" s="10" t="str">
        <x:f>IF(F1406&gt;0,"Active","No est. sales")</x:f>
        <x:v>No est. sales</x:v>
      </x:c>
    </x:row>
    <x:row r="1407">
      <x:c r="A1407" s="10" t="str">
        <x:v>Debt Payoff Tracker for Google Sheets, Debt Repayment Spreadsheet, Debt Snowball Spreadsheet, Debt Avalanche Calculator, Credit Card Payoff</x:v>
      </x:c>
      <x:c r="B1407" s="10" t="str">
        <x:v>https://www.etsy.com/listing/1875685125/debt-payoff-tracker-for-google-sheets</x:v>
      </x:c>
      <x:c r="C1407" s="10" t="str">
        <x:v>TheBudgetingCo</x:v>
      </x:c>
      <x:c r="D1407" s="10" t="str">
        <x:v>https://www.etsy.com/shop/TheBudgetingCo</x:v>
      </x:c>
      <x:c r="E1407" s="11" t="n">
        <x:v>8.7</x:v>
      </x:c>
      <x:c r="F1407" s="10" t="n">
        <x:v>0</x:v>
      </x:c>
      <x:c r="G1407" s="12" t="n">
        <x:v>0</x:v>
      </x:c>
      <x:c r="H1407" s="13" t="n">
        <x:v>0</x:v>
      </x:c>
      <x:c r="I1407" s="10" t="n">
        <x:v>0</x:v>
      </x:c>
      <x:c r="J1407" s="10" t="n">
        <x:v>0</x:v>
      </x:c>
      <x:c r="K1407" s="10" t="str">
        <x:v>1 Mo.</x:v>
      </x:c>
      <x:c r="L1407" s="10" t="n">
        <x:v>0</x:v>
      </x:c>
      <x:c r="M1407" s="10" t="n">
        <x:v>0</x:v>
      </x:c>
      <x:c r="N1407" s="10" t="n">
        <x:v>13</x:v>
      </x:c>
      <x:c r="O1407" s="10" t="str"/>
      <x:c r="P1407" s="10" t="n">
        <x:v>2</x:v>
      </x:c>
      <x:c r="Q1407" s="10" t="n">
        <x:v>0</x:v>
      </x:c>
      <x:c r="R1407" s="13" t="n">
        <x:v>0</x:v>
      </x:c>
      <x:c r="S1407" s="10" t="n">
        <x:v>2</x:v>
      </x:c>
      <x:c r="T1407" s="10" t="str">
        <x:v>debt avalanche,debt calculator,debt repayment,debt payment tracker,debt snowball,debt google sheets,credit card debt,mortgage payoff,loan payoff tracker,student loan debt,debt free planner,snowball method,debt payoff planner</x:v>
      </x:c>
      <x:c r="U1407" s="10" t="str">
        <x:v>debt avalanche</x:v>
      </x:c>
      <x:c r="V1407" s="10" t="str">
        <x:v>debt calculator</x:v>
      </x:c>
      <x:c r="W1407" s="10" t="str">
        <x:v>debt repayment</x:v>
      </x:c>
      <x:c r="X1407" s="10" t="str">
        <x:v>debt payment tracker</x:v>
      </x:c>
      <x:c r="Y1407" s="10" t="str">
        <x:v>debt snowball</x:v>
      </x:c>
      <x:c r="Z1407" s="10" t="str">
        <x:v>debt google sheets</x:v>
      </x:c>
      <x:c r="AA1407" s="10" t="str">
        <x:v>credit card debt</x:v>
      </x:c>
      <x:c r="AB1407" s="10" t="str">
        <x:v>mortgage payoff</x:v>
      </x:c>
      <x:c r="AC1407" s="10" t="str">
        <x:v>loan payoff tracker</x:v>
      </x:c>
      <x:c r="AD1407" s="10" t="str">
        <x:v>student loan debt</x:v>
      </x:c>
      <x:c r="AE1407" s="10" t="str">
        <x:v>debt free planner</x:v>
      </x:c>
      <x:c r="AF1407" s="10" t="str">
        <x:v>snowball method</x:v>
      </x:c>
      <x:c r="AG1407" s="10" t="str">
        <x:v>debt payoff planner</x:v>
      </x:c>
      <x:c r="AH1407" s="10" t="str">
        <x:v>General debt payoff</x:v>
      </x:c>
      <x:c r="AI1407" s="13" t="n">
        <x:v>1</x:v>
      </x:c>
      <x:c r="AJ1407" s="10" t="str">
        <x:f>IF(F1407&gt;0,"Active","No est. sales")</x:f>
        <x:v>No est. sales</x:v>
      </x:c>
    </x:row>
    <x:row r="1408">
      <x:c r="A1408" s="10" t="str">
        <x:v>House Buying Spreadsheet</x:v>
      </x:c>
      <x:c r="B1408" s="10" t="str">
        <x:v>https://www.etsy.com/listing/4526259976/house-buying-spreadsheet</x:v>
      </x:c>
      <x:c r="C1408" s="10" t="str">
        <x:v>Ovatrix</x:v>
      </x:c>
      <x:c r="D1408" s="10" t="str">
        <x:v>https://www.etsy.com/shop/Ovatrix</x:v>
      </x:c>
      <x:c r="E1408" s="11" t="n">
        <x:v>9.12</x:v>
      </x:c>
      <x:c r="F1408" s="10" t="n">
        <x:v>0</x:v>
      </x:c>
      <x:c r="G1408" s="12" t="n">
        <x:v>0</x:v>
      </x:c>
      <x:c r="H1408" s="13" t="n">
        <x:v>0</x:v>
      </x:c>
      <x:c r="I1408" s="10" t="n">
        <x:v>0</x:v>
      </x:c>
      <x:c r="J1408" s="10" t="n">
        <x:v>0</x:v>
      </x:c>
      <x:c r="K1408" s="10" t="str">
        <x:v>1 Mo.</x:v>
      </x:c>
      <x:c r="L1408" s="10" t="n">
        <x:v>1</x:v>
      </x:c>
      <x:c r="M1408" s="10" t="n">
        <x:v>0</x:v>
      </x:c>
      <x:c r="N1408" s="10" t="n">
        <x:v>18</x:v>
      </x:c>
      <x:c r="O1408" s="10" t="str"/>
      <x:c r="P1408" s="10" t="n">
        <x:v>2</x:v>
      </x:c>
      <x:c r="Q1408" s="10" t="n">
        <x:v>0</x:v>
      </x:c>
      <x:c r="R1408" s="13" t="n">
        <x:v>0</x:v>
      </x:c>
      <x:c r="S1408" s="10" t="n">
        <x:v>1</x:v>
      </x:c>
      <x:c r="T1408" s="10" t="str">
        <x:v>mortgage planner,mortgage tracker,mortgage excel,home loan planner,rent vs buy,wealth dashboard,investment planner,finance tracker,excel template,google sheets,investment simulator,first home,calculator</x:v>
      </x:c>
      <x:c r="U1408" s="10" t="str">
        <x:v>mortgage planner</x:v>
      </x:c>
      <x:c r="V1408" s="10" t="str">
        <x:v>mortgage tracker</x:v>
      </x:c>
      <x:c r="W1408" s="10" t="str">
        <x:v>mortgage excel</x:v>
      </x:c>
      <x:c r="X1408" s="10" t="str">
        <x:v>home loan planner</x:v>
      </x:c>
      <x:c r="Y1408" s="10" t="str">
        <x:v>rent vs buy</x:v>
      </x:c>
      <x:c r="Z1408" s="10" t="str">
        <x:v>wealth dashboard</x:v>
      </x:c>
      <x:c r="AA1408" s="10" t="str">
        <x:v>investment planner</x:v>
      </x:c>
      <x:c r="AB1408" s="10" t="str">
        <x:v>finance tracker</x:v>
      </x:c>
      <x:c r="AC1408" s="10" t="str">
        <x:v>excel template</x:v>
      </x:c>
      <x:c r="AD1408" s="10" t="str">
        <x:v>google sheets</x:v>
      </x:c>
      <x:c r="AE1408" s="10" t="str">
        <x:v>investment simulator</x:v>
      </x:c>
      <x:c r="AF1408" s="10" t="str">
        <x:v>first home</x:v>
      </x:c>
      <x:c r="AG1408" s="10" t="str">
        <x:v>calculator</x:v>
      </x:c>
      <x:c r="AH1408" s="10" t="str">
        <x:v>Other mortgage-related</x:v>
      </x:c>
      <x:c r="AI1408" s="13" t="n">
        <x:v>1</x:v>
      </x:c>
      <x:c r="AJ1408" s="10" t="str">
        <x:f>IF(F1408&gt;0,"Active","No est. sales")</x:f>
        <x:v>No est. sales</x:v>
      </x:c>
    </x:row>
    <x:row r="1409">
      <x:c r="A1409" s="10" t="str">
        <x:v>Printable House Savings Tracker: Mortgage Deposit Goal (Digital Download)</x:v>
      </x:c>
      <x:c r="B1409" s="10" t="str">
        <x:v>https://www.etsy.com/listing/1804200374/printable-house-savings-tracker-mortgage</x:v>
      </x:c>
      <x:c r="C1409" s="10" t="str">
        <x:v>TheCalmHouse</x:v>
      </x:c>
      <x:c r="D1409" s="10" t="str">
        <x:v>https://www.etsy.com/shop/TheCalmHouse</x:v>
      </x:c>
      <x:c r="E1409" s="11" t="n">
        <x:v>1.41</x:v>
      </x:c>
      <x:c r="F1409" s="10" t="n">
        <x:v>0</x:v>
      </x:c>
      <x:c r="G1409" s="12" t="n">
        <x:v>0</x:v>
      </x:c>
      <x:c r="H1409" s="13" t="n">
        <x:v>0</x:v>
      </x:c>
      <x:c r="I1409" s="10" t="n">
        <x:v>0</x:v>
      </x:c>
      <x:c r="J1409" s="10" t="n">
        <x:v>0</x:v>
      </x:c>
      <x:c r="K1409" s="10" t="str">
        <x:v>16 Mo.</x:v>
      </x:c>
      <x:c r="L1409" s="10" t="n">
        <x:v>2</x:v>
      </x:c>
      <x:c r="M1409" s="10" t="n">
        <x:v>0</x:v>
      </x:c>
      <x:c r="N1409" s="10" t="n">
        <x:v>4</x:v>
      </x:c>
      <x:c r="O1409" s="10" t="str">
        <x:v>Paper &amp; Party Supplies</x:v>
      </x:c>
      <x:c r="P1409" s="10" t="n">
        <x:v>16</x:v>
      </x:c>
      <x:c r="Q1409" s="10" t="n">
        <x:v>0</x:v>
      </x:c>
      <x:c r="R1409" s="13" t="n">
        <x:v>0</x:v>
      </x:c>
      <x:c r="S1409" s="10" t="n">
        <x:v>1</x:v>
      </x:c>
      <x:c r="T1409" s="10" t="str">
        <x:v>savings,tracker,mortgage,house,printable,money,finance,motivation,organization,adhd,asd,planner,saver</x:v>
      </x:c>
      <x:c r="U1409" s="10" t="str">
        <x:v>savings</x:v>
      </x:c>
      <x:c r="V1409" s="10" t="str">
        <x:v>tracker</x:v>
      </x:c>
      <x:c r="W1409" s="10" t="str">
        <x:v>mortgage</x:v>
      </x:c>
      <x:c r="X1409" s="10" t="str">
        <x:v>house</x:v>
      </x:c>
      <x:c r="Y1409" s="10" t="str">
        <x:v>printable</x:v>
      </x:c>
      <x:c r="Z1409" s="10" t="str">
        <x:v>money</x:v>
      </x:c>
      <x:c r="AA1409" s="10" t="str">
        <x:v>finance</x:v>
      </x:c>
      <x:c r="AB1409" s="10" t="str">
        <x:v>motivation</x:v>
      </x:c>
      <x:c r="AC1409" s="10" t="str">
        <x:v>organization</x:v>
      </x:c>
      <x:c r="AD1409" s="10" t="str">
        <x:v>adhd</x:v>
      </x:c>
      <x:c r="AE1409" s="10" t="str">
        <x:v>asd</x:v>
      </x:c>
      <x:c r="AF1409" s="10" t="str">
        <x:v>planner</x:v>
      </x:c>
      <x:c r="AG1409" s="10" t="str">
        <x:v>saver</x:v>
      </x:c>
      <x:c r="AH1409" s="10" t="str">
        <x:v>Other mortgage-related</x:v>
      </x:c>
      <x:c r="AI1409" s="13" t="n">
        <x:v>16</x:v>
      </x:c>
      <x:c r="AJ1409" s="10" t="str">
        <x:f>IF(F1409&gt;0,"Active","No est. sales")</x:f>
        <x:v>No est. sales</x:v>
      </x:c>
    </x:row>
    <x:row r="1410">
      <x:c r="A1410" s="10" t="str">
        <x:v>Weekly Excel Budget Template | All-In-One Simple, Automated, Editable &amp; Easy to Use | Instant Download | Smart Budget Planner</x:v>
      </x:c>
      <x:c r="B1410" s="10" t="str">
        <x:v>https://www.etsy.com/listing/4328389676/weekly-excel-budget-template-all-in-one</x:v>
      </x:c>
      <x:c r="C1410" s="10" t="str">
        <x:v>TheSmartBudgetPlan</x:v>
      </x:c>
      <x:c r="D1410" s="10" t="str">
        <x:v>https://www.etsy.com/shop/TheSmartBudgetPlan</x:v>
      </x:c>
      <x:c r="E1410" s="11" t="n">
        <x:v>14.99</x:v>
      </x:c>
      <x:c r="F1410" s="10" t="n">
        <x:v>0</x:v>
      </x:c>
      <x:c r="G1410" s="12" t="n">
        <x:v>0</x:v>
      </x:c>
      <x:c r="H1410" s="13" t="n">
        <x:v>0</x:v>
      </x:c>
      <x:c r="I1410" s="10" t="n">
        <x:v>0</x:v>
      </x:c>
      <x:c r="J1410" s="10" t="n">
        <x:v>0</x:v>
      </x:c>
      <x:c r="K1410" s="10" t="str">
        <x:v>11 Mo.</x:v>
      </x:c>
      <x:c r="L1410" s="10" t="n">
        <x:v>1</x:v>
      </x:c>
      <x:c r="M1410" s="10" t="n">
        <x:v>0</x:v>
      </x:c>
      <x:c r="N1410" s="10" t="n">
        <x:v>22</x:v>
      </x:c>
      <x:c r="O1410" s="10" t="str"/>
      <x:c r="P1410" s="10" t="n">
        <x:v>11</x:v>
      </x:c>
      <x:c r="Q1410" s="10" t="n">
        <x:v>0</x:v>
      </x:c>
      <x:c r="R1410" s="13" t="n">
        <x:v>0</x:v>
      </x:c>
      <x:c r="S1410" s="10" t="n">
        <x:v>1</x:v>
      </x:c>
      <x:c r="T1410" s="10" t="str">
        <x:v>budget planner,weekly budget,biweekly budget,bimonthly budget,excel template,personal finance,money tracker,financial planner,mortgage calculator,vacation savings,custom budget,smart budget planner,simple budget</x:v>
      </x:c>
      <x:c r="U1410" s="10" t="str">
        <x:v>budget planner</x:v>
      </x:c>
      <x:c r="V1410" s="10" t="str">
        <x:v>weekly budget</x:v>
      </x:c>
      <x:c r="W1410" s="10" t="str">
        <x:v>biweekly budget</x:v>
      </x:c>
      <x:c r="X1410" s="10" t="str">
        <x:v>bimonthly budget</x:v>
      </x:c>
      <x:c r="Y1410" s="10" t="str">
        <x:v>excel template</x:v>
      </x:c>
      <x:c r="Z1410" s="10" t="str">
        <x:v>personal finance</x:v>
      </x:c>
      <x:c r="AA1410" s="10" t="str">
        <x:v>money tracker</x:v>
      </x:c>
      <x:c r="AB1410" s="10" t="str">
        <x:v>financial planner</x:v>
      </x:c>
      <x:c r="AC1410" s="10" t="str">
        <x:v>mortgage calculator</x:v>
      </x:c>
      <x:c r="AD1410" s="10" t="str">
        <x:v>vacation savings</x:v>
      </x:c>
      <x:c r="AE1410" s="10" t="str">
        <x:v>custom budget</x:v>
      </x:c>
      <x:c r="AF1410" s="10" t="str">
        <x:v>smart budget planner</x:v>
      </x:c>
      <x:c r="AG1410" s="10" t="str">
        <x:v>simple budget</x:v>
      </x:c>
      <x:c r="AH1410" s="10" t="str">
        <x:v>Other mortgage-related</x:v>
      </x:c>
      <x:c r="AI1410" s="13" t="n">
        <x:v>11</x:v>
      </x:c>
      <x:c r="AJ1410" s="10" t="str">
        <x:f>IF(F1410&gt;0,"Active","No est. sales")</x:f>
        <x:v>No est. sales</x:v>
      </x:c>
    </x:row>
    <x:row r="1411">
      <x:c r="A1411" s="10" t="str">
        <x:v>Mortgage Tracker, Savings, Home Loan Payments, Finance Planner, Printable, A4/A5/US Letter, Instant Download PDF</x:v>
      </x:c>
      <x:c r="B1411" s="10" t="str">
        <x:v>https://www.etsy.com/listing/1767353355/mortgage-tracker-savings-home-loan</x:v>
      </x:c>
      <x:c r="C1411" s="10" t="str">
        <x:v>ForestCalmStudio</x:v>
      </x:c>
      <x:c r="D1411" s="10" t="str">
        <x:v>https://www.etsy.com/shop/ForestCalmStudio</x:v>
      </x:c>
      <x:c r="E1411" s="11" t="n">
        <x:v>2.69</x:v>
      </x:c>
      <x:c r="F1411" s="10" t="n">
        <x:v>0</x:v>
      </x:c>
      <x:c r="G1411" s="12" t="n">
        <x:v>0</x:v>
      </x:c>
      <x:c r="H1411" s="13" t="n">
        <x:v>0</x:v>
      </x:c>
      <x:c r="I1411" s="10" t="n">
        <x:v>3</x:v>
      </x:c>
      <x:c r="J1411" s="10" t="n">
        <x:v>1</x:v>
      </x:c>
      <x:c r="K1411" s="10" t="str">
        <x:v>22 Mo.</x:v>
      </x:c>
      <x:c r="L1411" s="10" t="n">
        <x:v>3</x:v>
      </x:c>
      <x:c r="M1411" s="10" t="n">
        <x:v>0</x:v>
      </x:c>
      <x:c r="N1411" s="10" t="n">
        <x:v>77</x:v>
      </x:c>
      <x:c r="O1411" s="10" t="str">
        <x:v>Paper &amp; Party Supplies</x:v>
      </x:c>
      <x:c r="P1411" s="10" t="n">
        <x:v>26</x:v>
      </x:c>
      <x:c r="Q1411" s="10" t="n">
        <x:v>0</x:v>
      </x:c>
      <x:c r="R1411" s="13" t="n">
        <x:v>3.9</x:v>
      </x:c>
      <x:c r="S1411" s="10" t="n">
        <x:v>221</x:v>
      </x:c>
      <x:c r="T1411" s="10" t="str">
        <x:v>printable planner,home payments,house loan,monthly budget,mortgage tracker,personal finance,budget binder,bill tracker,debt tracker,loan payoff tracker,planner inserts,digital download,mortgage payments</x:v>
      </x:c>
      <x:c r="U1411" s="10" t="str">
        <x:v>printable planner</x:v>
      </x:c>
      <x:c r="V1411" s="10" t="str">
        <x:v>home payments</x:v>
      </x:c>
      <x:c r="W1411" s="10" t="str">
        <x:v>house loan</x:v>
      </x:c>
      <x:c r="X1411" s="10" t="str">
        <x:v>monthly budget</x:v>
      </x:c>
      <x:c r="Y1411" s="10" t="str">
        <x:v>mortgage tracker</x:v>
      </x:c>
      <x:c r="Z1411" s="10" t="str">
        <x:v>personal finance</x:v>
      </x:c>
      <x:c r="AA1411" s="10" t="str">
        <x:v>budget binder</x:v>
      </x:c>
      <x:c r="AB1411" s="10" t="str">
        <x:v>bill tracker</x:v>
      </x:c>
      <x:c r="AC1411" s="10" t="str">
        <x:v>debt tracker</x:v>
      </x:c>
      <x:c r="AD1411" s="10" t="str">
        <x:v>loan payoff tracker</x:v>
      </x:c>
      <x:c r="AE1411" s="10" t="str">
        <x:v>planner inserts</x:v>
      </x:c>
      <x:c r="AF1411" s="10" t="str">
        <x:v>digital download</x:v>
      </x:c>
      <x:c r="AG1411" s="10" t="str">
        <x:v>mortgage payments</x:v>
      </x:c>
      <x:c r="AH1411" s="10" t="str">
        <x:v>Other mortgage-related</x:v>
      </x:c>
      <x:c r="AI1411" s="13" t="n">
        <x:v>22</x:v>
      </x:c>
      <x:c r="AJ1411" s="10" t="str">
        <x:f>IF(F1411&gt;0,"Active","No est. sales")</x:f>
        <x:v>No est. sales</x:v>
      </x:c>
    </x:row>
    <x:row r="1412">
      <x:c r="A1412" s="10" t="str">
        <x:v>Mini Mortgage Bill Stickers! Perfect for all size planners! </x:v>
      </x:c>
      <x:c r="B1412" s="10" t="str">
        <x:v>https://www.etsy.com/listing/477049643/mini-mortgage-bill-stickers-perfect-for</x:v>
      </x:c>
      <x:c r="C1412" s="10" t="str">
        <x:v>HighlandBellePlans</x:v>
      </x:c>
      <x:c r="D1412" s="10" t="str">
        <x:v>https://www.etsy.com/shop/HighlandBellePlans</x:v>
      </x:c>
      <x:c r="E1412" s="11" t="n">
        <x:v>3.5</x:v>
      </x:c>
      <x:c r="F1412" s="10" t="n">
        <x:v>0</x:v>
      </x:c>
      <x:c r="G1412" s="12" t="n">
        <x:v>0</x:v>
      </x:c>
      <x:c r="H1412" s="13" t="n">
        <x:v>0</x:v>
      </x:c>
      <x:c r="I1412" s="10" t="n">
        <x:v>32</x:v>
      </x:c>
      <x:c r="J1412" s="10" t="n">
        <x:v>8</x:v>
      </x:c>
      <x:c r="K1412" s="10" t="str">
        <x:v>115 Mo.</x:v>
      </x:c>
      <x:c r="L1412" s="10" t="n">
        <x:v>82</x:v>
      </x:c>
      <x:c r="M1412" s="10" t="n">
        <x:v>0</x:v>
      </x:c>
      <x:c r="N1412" s="10" t="n">
        <x:v>491</x:v>
      </x:c>
      <x:c r="O1412" s="10" t="str">
        <x:v>Paper &amp; Party Supplies</x:v>
      </x:c>
      <x:c r="P1412" s="10" t="n">
        <x:v>125</x:v>
      </x:c>
      <x:c r="Q1412" s="10" t="n">
        <x:v>0</x:v>
      </x:c>
      <x:c r="R1412" s="13" t="n">
        <x:v>6.52</x:v>
      </x:c>
      <x:c r="S1412" s="10" t="n">
        <x:v>25912</x:v>
      </x:c>
      <x:c r="T1412" s="10" t="str">
        <x:v>mortgage stickers,home stickers,planner stickers,eclp,inkwell press,kikki k,personal size,cute sticker</x:v>
      </x:c>
      <x:c r="U1412" s="10" t="str">
        <x:v>mortgage stickers</x:v>
      </x:c>
      <x:c r="V1412" s="10" t="str">
        <x:v>home stickers</x:v>
      </x:c>
      <x:c r="W1412" s="10" t="str">
        <x:v>planner stickers</x:v>
      </x:c>
      <x:c r="X1412" s="10" t="str">
        <x:v>eclp</x:v>
      </x:c>
      <x:c r="Y1412" s="10" t="str">
        <x:v>inkwell press</x:v>
      </x:c>
      <x:c r="Z1412" s="10" t="str">
        <x:v>kikki k</x:v>
      </x:c>
      <x:c r="AA1412" s="10" t="str">
        <x:v>personal size</x:v>
      </x:c>
      <x:c r="AB1412" s="10" t="str">
        <x:v>cute sticker</x:v>
      </x:c>
      <x:c r="AC1412" s="10" t="str">
        <x:v>--</x:v>
      </x:c>
      <x:c r="AD1412" s="10" t="str">
        <x:v>--</x:v>
      </x:c>
      <x:c r="AE1412" s="10" t="str">
        <x:v>--</x:v>
      </x:c>
      <x:c r="AF1412" s="10" t="str">
        <x:v>--</x:v>
      </x:c>
      <x:c r="AG1412" s="10" t="str">
        <x:v>--</x:v>
      </x:c>
      <x:c r="AH1412" s="10" t="str">
        <x:v>Other mortgage-related</x:v>
      </x:c>
      <x:c r="AI1412" s="13" t="n">
        <x:v>115</x:v>
      </x:c>
      <x:c r="AJ1412" s="10" t="str">
        <x:f>IF(F1412&gt;0,"Active","No est. sales")</x:f>
        <x:v>No est. sales</x:v>
      </x:c>
    </x:row>
    <x:row r="1413">
      <x:c r="A1413" s="10" t="str">
        <x:v>Budget Spreadsheet Google Sheets | 9 What-If Scenarios | Mortgage Debt Payoff Tracker | Personal Finance Planner Template</x:v>
      </x:c>
      <x:c r="B1413" s="10" t="str">
        <x:v>https://www.etsy.com/listing/4474310263/budget-spreadsheet-google-sheets-9-what</x:v>
      </x:c>
      <x:c r="C1413" s="10" t="str">
        <x:v>StressTestMyBudget</x:v>
      </x:c>
      <x:c r="D1413" s="10" t="str">
        <x:v>https://www.etsy.com/shop/StressTestMyBudget</x:v>
      </x:c>
      <x:c r="E1413" s="11" t="n">
        <x:v>14.99</x:v>
      </x:c>
      <x:c r="F1413" s="10" t="n">
        <x:v>0</x:v>
      </x:c>
      <x:c r="G1413" s="12" t="n">
        <x:v>0</x:v>
      </x:c>
      <x:c r="H1413" s="13" t="n">
        <x:v>0</x:v>
      </x:c>
      <x:c r="I1413" s="10" t="n">
        <x:v>0</x:v>
      </x:c>
      <x:c r="J1413" s="10" t="n">
        <x:v>0</x:v>
      </x:c>
      <x:c r="K1413" s="10" t="str">
        <x:v>1 Mo.</x:v>
      </x:c>
      <x:c r="L1413" s="10" t="n">
        <x:v>0</x:v>
      </x:c>
      <x:c r="M1413" s="10" t="n">
        <x:v>0</x:v>
      </x:c>
      <x:c r="N1413" s="10" t="n">
        <x:v>22</x:v>
      </x:c>
      <x:c r="O1413" s="10" t="str"/>
      <x:c r="P1413" s="10" t="n">
        <x:v>0</x:v>
      </x:c>
      <x:c r="Q1413" s="10" t="n">
        <x:v>0</x:v>
      </x:c>
      <x:c r="R1413" s="13" t="n">
        <x:v>0</x:v>
      </x:c>
      <x:c r="S1413" s="10" t="n">
        <x:v>0</x:v>
      </x:c>
      <x:c r="T1413" s="10" t="str">
        <x:v>budget spreadsheet,personal finance,google sheets budget,financial planner,debt payoff,mortgage calculator,budget planner,scenario planner,financial,fire,money management,expense tracker,what if budget</x:v>
      </x:c>
      <x:c r="U1413" s="10" t="str">
        <x:v>budget spreadsheet</x:v>
      </x:c>
      <x:c r="V1413" s="10" t="str">
        <x:v>personal finance</x:v>
      </x:c>
      <x:c r="W1413" s="10" t="str">
        <x:v>google sheets budget</x:v>
      </x:c>
      <x:c r="X1413" s="10" t="str">
        <x:v>financial planner</x:v>
      </x:c>
      <x:c r="Y1413" s="10" t="str">
        <x:v>debt payoff</x:v>
      </x:c>
      <x:c r="Z1413" s="10" t="str">
        <x:v>mortgage calculator</x:v>
      </x:c>
      <x:c r="AA1413" s="10" t="str">
        <x:v>budget planner</x:v>
      </x:c>
      <x:c r="AB1413" s="10" t="str">
        <x:v>scenario planner</x:v>
      </x:c>
      <x:c r="AC1413" s="10" t="str">
        <x:v>financial</x:v>
      </x:c>
      <x:c r="AD1413" s="10" t="str">
        <x:v>fire</x:v>
      </x:c>
      <x:c r="AE1413" s="10" t="str">
        <x:v>money management</x:v>
      </x:c>
      <x:c r="AF1413" s="10" t="str">
        <x:v>expense tracker</x:v>
      </x:c>
      <x:c r="AG1413" s="10" t="str">
        <x:v>what if budget</x:v>
      </x:c>
      <x:c r="AH1413" s="10" t="str">
        <x:v>General debt payoff</x:v>
      </x:c>
      <x:c r="AI1413" s="13" t="n">
        <x:v>1</x:v>
      </x:c>
      <x:c r="AJ1413" s="10" t="str">
        <x:f>IF(F1413&gt;0,"Active","No est. sales")</x:f>
        <x:v>No est. sales</x:v>
      </x:c>
    </x:row>
    <x:row r="1414">
      <x:c r="A1414" s="10" t="str">
        <x:v>Loan Calculator Excel | Mortgage Spreadsheet | Amortization Schedule | Budget Planner | Finance Template</x:v>
      </x:c>
      <x:c r="B1414" s="10" t="str">
        <x:v>https://www.etsy.com/listing/4482735799/loan-calculator-excel-mortgage</x:v>
      </x:c>
      <x:c r="C1414" s="10" t="str">
        <x:v>FinovaTools</x:v>
      </x:c>
      <x:c r="D1414" s="10" t="str">
        <x:v>https://www.etsy.com/shop/FinovaTools</x:v>
      </x:c>
      <x:c r="E1414" s="11" t="n">
        <x:v>11.52</x:v>
      </x:c>
      <x:c r="F1414" s="10" t="n">
        <x:v>0</x:v>
      </x:c>
      <x:c r="G1414" s="12" t="n">
        <x:v>0</x:v>
      </x:c>
      <x:c r="H1414" s="13" t="n">
        <x:v>0</x:v>
      </x:c>
      <x:c r="I1414" s="10" t="n">
        <x:v>0</x:v>
      </x:c>
      <x:c r="J1414" s="10" t="n">
        <x:v>0</x:v>
      </x:c>
      <x:c r="K1414" s="10" t="str">
        <x:v>1 Mo.</x:v>
      </x:c>
      <x:c r="L1414" s="10" t="n">
        <x:v>0</x:v>
      </x:c>
      <x:c r="M1414" s="10" t="n">
        <x:v>0</x:v>
      </x:c>
      <x:c r="N1414" s="10" t="n">
        <x:v>6</x:v>
      </x:c>
      <x:c r="O1414" s="10" t="str">
        <x:v>Craft Supplies &amp; Tools</x:v>
      </x:c>
      <x:c r="P1414" s="10" t="n">
        <x:v>0</x:v>
      </x:c>
      <x:c r="Q1414" s="10" t="n">
        <x:v>0</x:v>
      </x:c>
      <x:c r="R1414" s="13" t="n">
        <x:v>0</x:v>
      </x:c>
      <x:c r="S1414" s="10" t="n">
        <x:v>0</x:v>
      </x:c>
      <x:c r="T1414" s="10" t="str">
        <x:v>loan calculator,mortgage excel,amortization schedule,excel template,budget planner,finance tracker,loan spreadsheet,financial planner,real estate tool,mortgage planner,money tracker,excel finance,loan template</x:v>
      </x:c>
      <x:c r="U1414" s="10" t="str">
        <x:v>loan calculator</x:v>
      </x:c>
      <x:c r="V1414" s="10" t="str">
        <x:v>mortgage excel</x:v>
      </x:c>
      <x:c r="W1414" s="10" t="str">
        <x:v>amortization schedule</x:v>
      </x:c>
      <x:c r="X1414" s="10" t="str">
        <x:v>excel template</x:v>
      </x:c>
      <x:c r="Y1414" s="10" t="str">
        <x:v>budget planner</x:v>
      </x:c>
      <x:c r="Z1414" s="10" t="str">
        <x:v>finance tracker</x:v>
      </x:c>
      <x:c r="AA1414" s="10" t="str">
        <x:v>loan spreadsheet</x:v>
      </x:c>
      <x:c r="AB1414" s="10" t="str">
        <x:v>financial planner</x:v>
      </x:c>
      <x:c r="AC1414" s="10" t="str">
        <x:v>real estate tool</x:v>
      </x:c>
      <x:c r="AD1414" s="10" t="str">
        <x:v>mortgage planner</x:v>
      </x:c>
      <x:c r="AE1414" s="10" t="str">
        <x:v>money tracker</x:v>
      </x:c>
      <x:c r="AF1414" s="10" t="str">
        <x:v>excel finance</x:v>
      </x:c>
      <x:c r="AG1414" s="10" t="str">
        <x:v>loan template</x:v>
      </x:c>
      <x:c r="AH1414" s="10" t="str">
        <x:v>Mortgage payoff / calculator</x:v>
      </x:c>
      <x:c r="AI1414" s="13" t="n">
        <x:v>1</x:v>
      </x:c>
      <x:c r="AJ1414" s="10" t="str">
        <x:f>IF(F1414&gt;0,"Active","No est. sales")</x:f>
        <x:v>No est. sales</x:v>
      </x:c>
    </x:row>
    <x:row r="1415">
      <x:c r="A1415" s="10" t="str">
        <x:v>Home Buying Checklist Bundle | First Time Buyer Guide (Digital Download)</x:v>
      </x:c>
      <x:c r="B1415" s="10" t="str">
        <x:v>https://www.etsy.com/listing/4474835025/home-buying-checklist-bundle-2026-first</x:v>
      </x:c>
      <x:c r="C1415" s="10" t="str">
        <x:v>JRICKSSDigital</x:v>
      </x:c>
      <x:c r="D1415" s="10" t="str">
        <x:v>https://www.etsy.com/shop/JRICKSSDigital</x:v>
      </x:c>
      <x:c r="E1415" s="11" t="n">
        <x:v>6.99</x:v>
      </x:c>
      <x:c r="F1415" s="10" t="n">
        <x:v>0</x:v>
      </x:c>
      <x:c r="G1415" s="12" t="n">
        <x:v>0</x:v>
      </x:c>
      <x:c r="H1415" s="13" t="n">
        <x:v>0</x:v>
      </x:c>
      <x:c r="I1415" s="10" t="n">
        <x:v>0</x:v>
      </x:c>
      <x:c r="J1415" s="10" t="n">
        <x:v>0</x:v>
      </x:c>
      <x:c r="K1415" s="10" t="str">
        <x:v>2 Mo.</x:v>
      </x:c>
      <x:c r="L1415" s="10" t="n">
        <x:v>0</x:v>
      </x:c>
      <x:c r="M1415" s="10" t="n">
        <x:v>0</x:v>
      </x:c>
      <x:c r="N1415" s="10" t="n">
        <x:v>3</x:v>
      </x:c>
      <x:c r="O1415" s="10" t="str"/>
      <x:c r="P1415" s="10" t="n">
        <x:v>5</x:v>
      </x:c>
      <x:c r="Q1415" s="10" t="n">
        <x:v>0</x:v>
      </x:c>
      <x:c r="R1415" s="13" t="n">
        <x:v>0</x:v>
      </x:c>
      <x:c r="S1415" s="10" t="n">
        <x:v>0</x:v>
      </x:c>
      <x:c r="T1415" s="10" t="str">
        <x:v>home buying,first time buyer,real estate guide,property buying,house hunting,home inspection,closing checklist,printable planner,mortgage checklist,moving checklist,buyer worksheet,offer worksheet,instant download</x:v>
      </x:c>
      <x:c r="U1415" s="10" t="str">
        <x:v>home buying</x:v>
      </x:c>
      <x:c r="V1415" s="10" t="str">
        <x:v>first time buyer</x:v>
      </x:c>
      <x:c r="W1415" s="10" t="str">
        <x:v>real estate guide</x:v>
      </x:c>
      <x:c r="X1415" s="10" t="str">
        <x:v>property buying</x:v>
      </x:c>
      <x:c r="Y1415" s="10" t="str">
        <x:v>house hunting</x:v>
      </x:c>
      <x:c r="Z1415" s="10" t="str">
        <x:v>home inspection</x:v>
      </x:c>
      <x:c r="AA1415" s="10" t="str">
        <x:v>closing checklist</x:v>
      </x:c>
      <x:c r="AB1415" s="10" t="str">
        <x:v>printable planner</x:v>
      </x:c>
      <x:c r="AC1415" s="10" t="str">
        <x:v>mortgage checklist</x:v>
      </x:c>
      <x:c r="AD1415" s="10" t="str">
        <x:v>moving checklist</x:v>
      </x:c>
      <x:c r="AE1415" s="10" t="str">
        <x:v>buyer worksheet</x:v>
      </x:c>
      <x:c r="AF1415" s="10" t="str">
        <x:v>offer worksheet</x:v>
      </x:c>
      <x:c r="AG1415" s="10" t="str">
        <x:v>instant download</x:v>
      </x:c>
      <x:c r="AH1415" s="10" t="str">
        <x:v>Home buying planner</x:v>
      </x:c>
      <x:c r="AI1415" s="13" t="n">
        <x:v>2</x:v>
      </x:c>
      <x:c r="AJ1415" s="10" t="str">
        <x:f>IF(F1415&gt;0,"Active","No est. sales")</x:f>
        <x:v>No est. sales</x:v>
      </x:c>
    </x:row>
    <x:row r="1416">
      <x:c r="A1416" s="10" t="str">
        <x:v>Rent vs Buy Calculator Spreadsheet | Lifetime Home Cost Comparison (Excel, Google Sheets)</x:v>
      </x:c>
      <x:c r="B1416" s="10" t="str">
        <x:v>https://www.etsy.com/listing/4511321406/rent-vs-buy-calculator-spreadsheet</x:v>
      </x:c>
      <x:c r="C1416" s="10" t="str">
        <x:v>CellCraftShop</x:v>
      </x:c>
      <x:c r="D1416" s="10" t="str">
        <x:v>https://www.etsy.com/shop/CellCraftShop</x:v>
      </x:c>
      <x:c r="E1416" s="11" t="n">
        <x:v>24.99</x:v>
      </x:c>
      <x:c r="F1416" s="10" t="n">
        <x:v>0</x:v>
      </x:c>
      <x:c r="G1416" s="12" t="n">
        <x:v>0</x:v>
      </x:c>
      <x:c r="H1416" s="13" t="n">
        <x:v>0</x:v>
      </x:c>
      <x:c r="I1416" s="10" t="n">
        <x:v>0</x:v>
      </x:c>
      <x:c r="J1416" s="10" t="n">
        <x:v>0</x:v>
      </x:c>
      <x:c r="K1416" s="10" t="str">
        <x:v>1 Mo.</x:v>
      </x:c>
      <x:c r="L1416" s="10" t="n">
        <x:v>0</x:v>
      </x:c>
      <x:c r="M1416" s="10" t="n">
        <x:v>0</x:v>
      </x:c>
      <x:c r="N1416" s="10" t="n">
        <x:v>7</x:v>
      </x:c>
      <x:c r="O1416" s="10" t="str"/>
      <x:c r="P1416" s="10" t="n">
        <x:v>2</x:v>
      </x:c>
      <x:c r="Q1416" s="10" t="n">
        <x:v>0</x:v>
      </x:c>
      <x:c r="R1416" s="13" t="n">
        <x:v>0</x:v>
      </x:c>
      <x:c r="S1416" s="10" t="n">
        <x:v>4</x:v>
      </x:c>
      <x:c r="T1416" s="10" t="str">
        <x:v>rent vs buy,home buying tool,first time buyer,mortgage calculator,home cost analysis,real estate planner,buy or rent sheet,housing cost tool,excel home calc,google sheets calc,home finance tool,property cost calc,buy vs rent</x:v>
      </x:c>
      <x:c r="U1416" s="10" t="str">
        <x:v>rent vs buy</x:v>
      </x:c>
      <x:c r="V1416" s="10" t="str">
        <x:v>home buying tool</x:v>
      </x:c>
      <x:c r="W1416" s="10" t="str">
        <x:v>first time buyer</x:v>
      </x:c>
      <x:c r="X1416" s="10" t="str">
        <x:v>mortgage calculator</x:v>
      </x:c>
      <x:c r="Y1416" s="10" t="str">
        <x:v>home cost analysis</x:v>
      </x:c>
      <x:c r="Z1416" s="10" t="str">
        <x:v>real estate planner</x:v>
      </x:c>
      <x:c r="AA1416" s="10" t="str">
        <x:v>buy or rent sheet</x:v>
      </x:c>
      <x:c r="AB1416" s="10" t="str">
        <x:v>housing cost tool</x:v>
      </x:c>
      <x:c r="AC1416" s="10" t="str">
        <x:v>excel home calc</x:v>
      </x:c>
      <x:c r="AD1416" s="10" t="str">
        <x:v>google sheets calc</x:v>
      </x:c>
      <x:c r="AE1416" s="10" t="str">
        <x:v>home finance tool</x:v>
      </x:c>
      <x:c r="AF1416" s="10" t="str">
        <x:v>property cost calc</x:v>
      </x:c>
      <x:c r="AG1416" s="10" t="str">
        <x:v>buy vs rent</x:v>
      </x:c>
      <x:c r="AH1416" s="10" t="str">
        <x:v>Other mortgage-related</x:v>
      </x:c>
      <x:c r="AI1416" s="13" t="n">
        <x:v>1</x:v>
      </x:c>
      <x:c r="AJ1416" s="10" t="str">
        <x:f>IF(F1416&gt;0,"Active","No est. sales")</x:f>
        <x:v>No est. sales</x:v>
      </x:c>
    </x:row>
    <x:row r="1417">
      <x:c r="A1417" s="10" t="str">
        <x:v>Debt Payoff Tracker Google Sheets Debt Snowball Avalanche Calculator Loan Credit Card Debt Payment Tracker Spreadsheet Debt Planner Blue</x:v>
      </x:c>
      <x:c r="B1417" s="10" t="str">
        <x:v>https://www.etsy.com/listing/4503335230/debt-payoff-tracker-google-sheets-debt</x:v>
      </x:c>
      <x:c r="C1417" s="10" t="str">
        <x:v>MaxPlanDigital</x:v>
      </x:c>
      <x:c r="D1417" s="10" t="str">
        <x:v>https://www.etsy.com/shop/MaxPlanDigital</x:v>
      </x:c>
      <x:c r="E1417" s="11" t="n">
        <x:v>7.11</x:v>
      </x:c>
      <x:c r="F1417" s="10" t="n">
        <x:v>0</x:v>
      </x:c>
      <x:c r="G1417" s="12" t="n">
        <x:v>0</x:v>
      </x:c>
      <x:c r="H1417" s="13" t="n">
        <x:v>0</x:v>
      </x:c>
      <x:c r="I1417" s="10" t="n">
        <x:v>0</x:v>
      </x:c>
      <x:c r="J1417" s="10" t="n">
        <x:v>0</x:v>
      </x:c>
      <x:c r="K1417" s="10" t="str">
        <x:v>1 Mo.</x:v>
      </x:c>
      <x:c r="L1417" s="10" t="n">
        <x:v>1</x:v>
      </x:c>
      <x:c r="M1417" s="10" t="n">
        <x:v>0</x:v>
      </x:c>
      <x:c r="N1417" s="10" t="n">
        <x:v>0</x:v>
      </x:c>
      <x:c r="O1417" s="10" t="str"/>
      <x:c r="P1417" s="10" t="n">
        <x:v>2</x:v>
      </x:c>
      <x:c r="Q1417" s="10" t="n">
        <x:v>0</x:v>
      </x:c>
      <x:c r="R1417" s="13" t="n">
        <x:v>0</x:v>
      </x:c>
      <x:c r="S1417" s="10" t="n">
        <x:v>0</x:v>
      </x:c>
      <x:c r="T1417" s="10" t="str">
        <x:v>debt spreadsheet,debt repayment,debt finance planner,debt google sheet,debt management,debt budget planner,debt calculator,credit card payoff,mortgage payoff,debt payoff chart,loan payoff tracker,google spreadsheet,monthly debt tracker</x:v>
      </x:c>
      <x:c r="U1417" s="10" t="str">
        <x:v>debt spreadsheet</x:v>
      </x:c>
      <x:c r="V1417" s="10" t="str">
        <x:v>debt repayment</x:v>
      </x:c>
      <x:c r="W1417" s="10" t="str">
        <x:v>debt finance planner</x:v>
      </x:c>
      <x:c r="X1417" s="10" t="str">
        <x:v>debt google sheet</x:v>
      </x:c>
      <x:c r="Y1417" s="10" t="str">
        <x:v>debt management</x:v>
      </x:c>
      <x:c r="Z1417" s="10" t="str">
        <x:v>debt budget planner</x:v>
      </x:c>
      <x:c r="AA1417" s="10" t="str">
        <x:v>debt calculator</x:v>
      </x:c>
      <x:c r="AB1417" s="10" t="str">
        <x:v>credit card payoff</x:v>
      </x:c>
      <x:c r="AC1417" s="10" t="str">
        <x:v>mortgage payoff</x:v>
      </x:c>
      <x:c r="AD1417" s="10" t="str">
        <x:v>debt payoff chart</x:v>
      </x:c>
      <x:c r="AE1417" s="10" t="str">
        <x:v>loan payoff tracker</x:v>
      </x:c>
      <x:c r="AF1417" s="10" t="str">
        <x:v>google spreadsheet</x:v>
      </x:c>
      <x:c r="AG1417" s="10" t="str">
        <x:v>monthly debt tracker</x:v>
      </x:c>
      <x:c r="AH1417" s="10" t="str">
        <x:v>General debt payoff</x:v>
      </x:c>
      <x:c r="AI1417" s="13" t="n">
        <x:v>1</x:v>
      </x:c>
      <x:c r="AJ1417" s="10" t="str">
        <x:f>IF(F1417&gt;0,"Active","No est. sales")</x:f>
        <x:v>No est. sales</x:v>
      </x:c>
    </x:row>
    <x:row r="1418">
      <x:c r="A1418" s="10" t="str">
        <x:v>The First-Time HomeBuyer Readiness Kit</x:v>
      </x:c>
      <x:c r="B1418" s="10" t="str">
        <x:v>https://www.etsy.com/listing/4527254645/the-first-time-homebuyer-readiness-kit</x:v>
      </x:c>
      <x:c r="C1418" s="10" t="str">
        <x:v>TheCoffers</x:v>
      </x:c>
      <x:c r="D1418" s="10" t="str">
        <x:v>https://www.etsy.com/shop/TheCoffers</x:v>
      </x:c>
      <x:c r="E1418" s="11" t="n">
        <x:v>6.68</x:v>
      </x:c>
      <x:c r="F1418" s="10" t="n">
        <x:v>0</x:v>
      </x:c>
      <x:c r="G1418" s="12" t="n">
        <x:v>0</x:v>
      </x:c>
      <x:c r="H1418" s="13" t="n">
        <x:v>0</x:v>
      </x:c>
      <x:c r="I1418" s="10" t="n">
        <x:v>0</x:v>
      </x:c>
      <x:c r="J1418" s="10" t="n">
        <x:v>0</x:v>
      </x:c>
      <x:c r="K1418" s="10" t="str">
        <x:v>1 Mo.</x:v>
      </x:c>
      <x:c r="L1418" s="10" t="n">
        <x:v>1</x:v>
      </x:c>
      <x:c r="M1418" s="10" t="n">
        <x:v>0</x:v>
      </x:c>
      <x:c r="N1418" s="10" t="n">
        <x:v>19</x:v>
      </x:c>
      <x:c r="O1418" s="10" t="str"/>
      <x:c r="P1418" s="10" t="n">
        <x:v>1</x:v>
      </x:c>
      <x:c r="Q1418" s="10" t="n">
        <x:v>0</x:v>
      </x:c>
      <x:c r="R1418" s="13" t="n">
        <x:v>0</x:v>
      </x:c>
      <x:c r="S1418" s="10" t="n">
        <x:v>0</x:v>
      </x:c>
      <x:c r="T1418" s="10" t="str">
        <x:v>first time buyer,home buyer planner,mortgage checklist,home buying guide,first home savings,debt to income,credit score tips,closing cost guide,down payment plan,mortgage ready,home budget planner,printable planner,finance planner pdf</x:v>
      </x:c>
      <x:c r="U1418" s="10" t="str">
        <x:v>first time buyer</x:v>
      </x:c>
      <x:c r="V1418" s="10" t="str">
        <x:v>home buyer planner</x:v>
      </x:c>
      <x:c r="W1418" s="10" t="str">
        <x:v>mortgage checklist</x:v>
      </x:c>
      <x:c r="X1418" s="10" t="str">
        <x:v>home buying guide</x:v>
      </x:c>
      <x:c r="Y1418" s="10" t="str">
        <x:v>first home savings</x:v>
      </x:c>
      <x:c r="Z1418" s="10" t="str">
        <x:v>debt to income</x:v>
      </x:c>
      <x:c r="AA1418" s="10" t="str">
        <x:v>credit score tips</x:v>
      </x:c>
      <x:c r="AB1418" s="10" t="str">
        <x:v>closing cost guide</x:v>
      </x:c>
      <x:c r="AC1418" s="10" t="str">
        <x:v>down payment plan</x:v>
      </x:c>
      <x:c r="AD1418" s="10" t="str">
        <x:v>mortgage ready</x:v>
      </x:c>
      <x:c r="AE1418" s="10" t="str">
        <x:v>home budget planner</x:v>
      </x:c>
      <x:c r="AF1418" s="10" t="str">
        <x:v>printable planner</x:v>
      </x:c>
      <x:c r="AG1418" s="10" t="str">
        <x:v>finance planner pdf</x:v>
      </x:c>
      <x:c r="AH1418" s="10" t="str">
        <x:v>Home buying planner</x:v>
      </x:c>
      <x:c r="AI1418" s="13" t="n">
        <x:v>1</x:v>
      </x:c>
      <x:c r="AJ1418" s="10" t="str">
        <x:f>IF(F1418&gt;0,"Active","No est. sales")</x:f>
        <x:v>No est. sales</x:v>
      </x:c>
    </x:row>
    <x:row r="1419">
      <x:c r="A1419" s="10" t="str">
        <x:v>First Time Home Buyer Guide</x:v>
      </x:c>
      <x:c r="B1419" s="10" t="str">
        <x:v>https://www.etsy.com/listing/4370100578/first-time-home-buyer-guide</x:v>
      </x:c>
      <x:c r="C1419" s="10" t="str">
        <x:v>MiaandOliver162</x:v>
      </x:c>
      <x:c r="D1419" s="10" t="str">
        <x:v>https://www.etsy.com/shop/MiaandOliver162</x:v>
      </x:c>
      <x:c r="E1419" s="11" t="n">
        <x:v>2.99</x:v>
      </x:c>
      <x:c r="F1419" s="10" t="n">
        <x:v>0</x:v>
      </x:c>
      <x:c r="G1419" s="12" t="n">
        <x:v>0</x:v>
      </x:c>
      <x:c r="H1419" s="13" t="n">
        <x:v>0</x:v>
      </x:c>
      <x:c r="I1419" s="10" t="n">
        <x:v>0</x:v>
      </x:c>
      <x:c r="J1419" s="10" t="n">
        <x:v>0</x:v>
      </x:c>
      <x:c r="K1419" s="10" t="str">
        <x:v>4 Mo.</x:v>
      </x:c>
      <x:c r="L1419" s="10" t="n">
        <x:v>0</x:v>
      </x:c>
      <x:c r="M1419" s="10" t="n">
        <x:v>0</x:v>
      </x:c>
      <x:c r="N1419" s="10" t="n">
        <x:v>6</x:v>
      </x:c>
      <x:c r="O1419" s="10" t="str"/>
      <x:c r="P1419" s="10" t="n">
        <x:v>48</x:v>
      </x:c>
      <x:c r="Q1419" s="10" t="n">
        <x:v>0</x:v>
      </x:c>
      <x:c r="R1419" s="13" t="n">
        <x:v>0</x:v>
      </x:c>
      <x:c r="S1419" s="10" t="n">
        <x:v>11</x:v>
      </x:c>
      <x:c r="T1419" s="10" t="str">
        <x:v>planner,list,budget,budget planner,guide,first time homebuyer,home buyer,mortgage,check list,checklist</x:v>
      </x:c>
      <x:c r="U1419" s="10" t="str">
        <x:v>planner</x:v>
      </x:c>
      <x:c r="V1419" s="10" t="str">
        <x:v>list</x:v>
      </x:c>
      <x:c r="W1419" s="10" t="str">
        <x:v>budget</x:v>
      </x:c>
      <x:c r="X1419" s="10" t="str">
        <x:v>budget planner</x:v>
      </x:c>
      <x:c r="Y1419" s="10" t="str">
        <x:v>guide</x:v>
      </x:c>
      <x:c r="Z1419" s="10" t="str">
        <x:v>first time homebuyer</x:v>
      </x:c>
      <x:c r="AA1419" s="10" t="str">
        <x:v>home buyer</x:v>
      </x:c>
      <x:c r="AB1419" s="10" t="str">
        <x:v>mortgage</x:v>
      </x:c>
      <x:c r="AC1419" s="10" t="str">
        <x:v>check list</x:v>
      </x:c>
      <x:c r="AD1419" s="10" t="str">
        <x:v>checklist</x:v>
      </x:c>
      <x:c r="AE1419" s="10" t="str">
        <x:v>--</x:v>
      </x:c>
      <x:c r="AF1419" s="10" t="str">
        <x:v>--</x:v>
      </x:c>
      <x:c r="AG1419" s="10" t="str">
        <x:v>--</x:v>
      </x:c>
      <x:c r="AH1419" s="10" t="str">
        <x:v>Home buying planner</x:v>
      </x:c>
      <x:c r="AI1419" s="13" t="n">
        <x:v>4</x:v>
      </x:c>
      <x:c r="AJ1419" s="10" t="str">
        <x:f>IF(F1419&gt;0,"Active","No est. sales")</x:f>
        <x:v>No est. sales</x:v>
      </x:c>
    </x:row>
    <x:row r="1420">
      <x:c r="A1420" s="10" t="str">
        <x:v>Debt Snowball Spreadsheet, Dave Ramsey Calculator, Excel Budget Planner, Financial Planner, Debt Payoff Automatic Tracker Template 2024</x:v>
      </x:c>
      <x:c r="B1420" s="10" t="str">
        <x:v>https://www.etsy.com/listing/1498632662/debt-snowball-spreadsheet-dave-ramsey</x:v>
      </x:c>
      <x:c r="C1420" s="10" t="str">
        <x:v>TrackerPro</x:v>
      </x:c>
      <x:c r="D1420" s="10" t="str">
        <x:v>https://www.etsy.com/shop/TrackerPro</x:v>
      </x:c>
      <x:c r="E1420" s="11" t="n">
        <x:v>4.65</x:v>
      </x:c>
      <x:c r="F1420" s="10" t="n">
        <x:v>0</x:v>
      </x:c>
      <x:c r="G1420" s="12" t="n">
        <x:v>0</x:v>
      </x:c>
      <x:c r="H1420" s="13" t="n">
        <x:v>0</x:v>
      </x:c>
      <x:c r="I1420" s="10" t="n">
        <x:v>0</x:v>
      </x:c>
      <x:c r="J1420" s="10" t="n">
        <x:v>0</x:v>
      </x:c>
      <x:c r="K1420" s="10" t="str">
        <x:v>22 Mo.</x:v>
      </x:c>
      <x:c r="L1420" s="10" t="n">
        <x:v>3</x:v>
      </x:c>
      <x:c r="M1420" s="10" t="n">
        <x:v>0</x:v>
      </x:c>
      <x:c r="N1420" s="10" t="n">
        <x:v>30</x:v>
      </x:c>
      <x:c r="O1420" s="10" t="str">
        <x:v>Paper &amp; Party Supplies</x:v>
      </x:c>
      <x:c r="P1420" s="10" t="n">
        <x:v>28</x:v>
      </x:c>
      <x:c r="Q1420" s="10" t="n">
        <x:v>0</x:v>
      </x:c>
      <x:c r="R1420" s="13" t="n">
        <x:v>0</x:v>
      </x:c>
      <x:c r="S1420" s="10" t="n">
        <x:v>9976</x:v>
      </x:c>
      <x:c r="T1420" s="10" t="str">
        <x:v>debt google sheets,debt spreadsheet,debt payoff tracker,budget planner,personal finance,mortgage payoff,debt snowball excel,debt tracker excel,snowball calculator,credit card debt,financial planner,debt avalanche</x:v>
      </x:c>
      <x:c r="U1420" s="10" t="str">
        <x:v>debt google sheets</x:v>
      </x:c>
      <x:c r="V1420" s="10" t="str">
        <x:v>debt spreadsheet</x:v>
      </x:c>
      <x:c r="W1420" s="10" t="str">
        <x:v>debt payoff tracker</x:v>
      </x:c>
      <x:c r="X1420" s="10" t="str">
        <x:v>budget planner</x:v>
      </x:c>
      <x:c r="Y1420" s="10" t="str">
        <x:v>personal finance</x:v>
      </x:c>
      <x:c r="Z1420" s="10" t="str">
        <x:v>mortgage payoff</x:v>
      </x:c>
      <x:c r="AA1420" s="10" t="str">
        <x:v>debt snowball excel</x:v>
      </x:c>
      <x:c r="AB1420" s="10" t="str">
        <x:v>debt tracker excel</x:v>
      </x:c>
      <x:c r="AC1420" s="10" t="str">
        <x:v>snowball calculator</x:v>
      </x:c>
      <x:c r="AD1420" s="10" t="str">
        <x:v>credit card debt</x:v>
      </x:c>
      <x:c r="AE1420" s="10" t="str">
        <x:v>financial planner</x:v>
      </x:c>
      <x:c r="AF1420" s="10" t="str">
        <x:v>debt avalanche</x:v>
      </x:c>
      <x:c r="AG1420" s="10" t="str">
        <x:v>--</x:v>
      </x:c>
      <x:c r="AH1420" s="10" t="str">
        <x:v>General debt payoff</x:v>
      </x:c>
      <x:c r="AI1420" s="13" t="n">
        <x:v>22</x:v>
      </x:c>
      <x:c r="AJ1420" s="10" t="str">
        <x:f>IF(F1420&gt;0,"Active","No est. sales")</x:f>
        <x:v>No est. sales</x:v>
      </x:c>
    </x:row>
    <x:row r="1421">
      <x:c r="A1421" s="10" t="str">
        <x:v>Home Buying Planner Home Buyer Journal Home Purchase Tracker Planner for First-Time Buyers Real Estate Planner Mortgage Tracker Homeowner</x:v>
      </x:c>
      <x:c r="B1421" s="10" t="str">
        <x:v>https://www.etsy.com/listing/1841278753/home-buying-planner-home-buyer-journal</x:v>
      </x:c>
      <x:c r="C1421" s="10" t="str">
        <x:v>AbloomAssistant</x:v>
      </x:c>
      <x:c r="D1421" s="10" t="str">
        <x:v>https://www.etsy.com/shop/AbloomAssistant</x:v>
      </x:c>
      <x:c r="E1421" s="11" t="n">
        <x:v>8.99</x:v>
      </x:c>
      <x:c r="F1421" s="10" t="n">
        <x:v>0</x:v>
      </x:c>
      <x:c r="G1421" s="12" t="n">
        <x:v>0</x:v>
      </x:c>
      <x:c r="H1421" s="13" t="n">
        <x:v>0</x:v>
      </x:c>
      <x:c r="I1421" s="10" t="n">
        <x:v>0</x:v>
      </x:c>
      <x:c r="J1421" s="10" t="n">
        <x:v>0</x:v>
      </x:c>
      <x:c r="K1421" s="10" t="str">
        <x:v>7 Mo.</x:v>
      </x:c>
      <x:c r="L1421" s="10" t="n">
        <x:v>1</x:v>
      </x:c>
      <x:c r="M1421" s="10" t="n">
        <x:v>0</x:v>
      </x:c>
      <x:c r="N1421" s="10" t="n">
        <x:v>5</x:v>
      </x:c>
      <x:c r="O1421" s="10" t="str">
        <x:v>Paper &amp; Party Supplies</x:v>
      </x:c>
      <x:c r="P1421" s="10" t="n">
        <x:v>9</x:v>
      </x:c>
      <x:c r="Q1421" s="10" t="n">
        <x:v>0</x:v>
      </x:c>
      <x:c r="R1421" s="13" t="n">
        <x:v>0</x:v>
      </x:c>
      <x:c r="S1421" s="10" t="n">
        <x:v>2</x:v>
      </x:c>
      <x:c r="T1421" s="10" t="str">
        <x:v>home buying planner,printable planner,home buying guide,home buying list,home buyer pdf,home purchase,home search list,home purchase plan,property log,home purchase log,home search plan,real estate guide,house buying pdf</x:v>
      </x:c>
      <x:c r="U1421" s="10" t="str">
        <x:v>home buying planner</x:v>
      </x:c>
      <x:c r="V1421" s="10" t="str">
        <x:v>printable planner</x:v>
      </x:c>
      <x:c r="W1421" s="10" t="str">
        <x:v>home buying guide</x:v>
      </x:c>
      <x:c r="X1421" s="10" t="str">
        <x:v>home buying list</x:v>
      </x:c>
      <x:c r="Y1421" s="10" t="str">
        <x:v>home buyer pdf</x:v>
      </x:c>
      <x:c r="Z1421" s="10" t="str">
        <x:v>home purchase</x:v>
      </x:c>
      <x:c r="AA1421" s="10" t="str">
        <x:v>home search list</x:v>
      </x:c>
      <x:c r="AB1421" s="10" t="str">
        <x:v>home purchase plan</x:v>
      </x:c>
      <x:c r="AC1421" s="10" t="str">
        <x:v>property log</x:v>
      </x:c>
      <x:c r="AD1421" s="10" t="str">
        <x:v>home purchase log</x:v>
      </x:c>
      <x:c r="AE1421" s="10" t="str">
        <x:v>home search plan</x:v>
      </x:c>
      <x:c r="AF1421" s="10" t="str">
        <x:v>real estate guide</x:v>
      </x:c>
      <x:c r="AG1421" s="10" t="str">
        <x:v>house buying pdf</x:v>
      </x:c>
      <x:c r="AH1421" s="10" t="str">
        <x:v>Home buying planner</x:v>
      </x:c>
      <x:c r="AI1421" s="13" t="n">
        <x:v>7</x:v>
      </x:c>
      <x:c r="AJ1421" s="10" t="str">
        <x:f>IF(F1421&gt;0,"Active","No est. sales")</x:f>
        <x:v>No est. sales</x:v>
      </x:c>
    </x:row>
    <x:row r="1422">
      <x:c r="A1422" s="10" t="str">
        <x:v>Minimalist Debt Printable, Visual Debt Tracker Printable, Student Loan Planner, Mortgage Payment Tracker, Debt Tracker, Monthly Budget</x:v>
      </x:c>
      <x:c r="B1422" s="10" t="str">
        <x:v>https://www.etsy.com/listing/1423413567/minimalist-debt-printable-visual-debt</x:v>
      </x:c>
      <x:c r="C1422" s="10" t="str">
        <x:v>TheDigitalGoodsClub</x:v>
      </x:c>
      <x:c r="D1422" s="10" t="str">
        <x:v>https://www.etsy.com/shop/TheDigitalGoodsClub</x:v>
      </x:c>
      <x:c r="E1422" s="11" t="n">
        <x:v>4</x:v>
      </x:c>
      <x:c r="F1422" s="10" t="n">
        <x:v>0</x:v>
      </x:c>
      <x:c r="G1422" s="12" t="n">
        <x:v>0</x:v>
      </x:c>
      <x:c r="H1422" s="13" t="n">
        <x:v>0</x:v>
      </x:c>
      <x:c r="I1422" s="10" t="n">
        <x:v>0</x:v>
      </x:c>
      <x:c r="J1422" s="10" t="n">
        <x:v>0</x:v>
      </x:c>
      <x:c r="K1422" s="10" t="str">
        <x:v>27 Mo.</x:v>
      </x:c>
      <x:c r="L1422" s="10" t="n">
        <x:v>2</x:v>
      </x:c>
      <x:c r="M1422" s="10" t="n">
        <x:v>0</x:v>
      </x:c>
      <x:c r="N1422" s="10" t="n">
        <x:v>89</x:v>
      </x:c>
      <x:c r="O1422" s="10" t="str">
        <x:v>Paper &amp; Party Supplies</x:v>
      </x:c>
      <x:c r="P1422" s="10" t="n">
        <x:v>26</x:v>
      </x:c>
      <x:c r="Q1422" s="10" t="n">
        <x:v>0</x:v>
      </x:c>
      <x:c r="R1422" s="13" t="n">
        <x:v>0</x:v>
      </x:c>
      <x:c r="S1422" s="10" t="n">
        <x:v>2</x:v>
      </x:c>
      <x:c r="T1422" s="10" t="str">
        <x:v>debt tracker,printable visual,tracker printable,student loan,planner mortgage,payment tracker,debt poster,monthly budget,debt payoff tracker,debt payment log,debt planner,debt management,loan payment</x:v>
      </x:c>
      <x:c r="U1422" s="10" t="str">
        <x:v>debt tracker</x:v>
      </x:c>
      <x:c r="V1422" s="10" t="str">
        <x:v>printable visual</x:v>
      </x:c>
      <x:c r="W1422" s="10" t="str">
        <x:v>tracker printable</x:v>
      </x:c>
      <x:c r="X1422" s="10" t="str">
        <x:v>student loan</x:v>
      </x:c>
      <x:c r="Y1422" s="10" t="str">
        <x:v>planner mortgage</x:v>
      </x:c>
      <x:c r="Z1422" s="10" t="str">
        <x:v>payment tracker</x:v>
      </x:c>
      <x:c r="AA1422" s="10" t="str">
        <x:v>debt poster</x:v>
      </x:c>
      <x:c r="AB1422" s="10" t="str">
        <x:v>monthly budget</x:v>
      </x:c>
      <x:c r="AC1422" s="10" t="str">
        <x:v>debt payoff tracker</x:v>
      </x:c>
      <x:c r="AD1422" s="10" t="str">
        <x:v>debt payment log</x:v>
      </x:c>
      <x:c r="AE1422" s="10" t="str">
        <x:v>debt planner</x:v>
      </x:c>
      <x:c r="AF1422" s="10" t="str">
        <x:v>debt management</x:v>
      </x:c>
      <x:c r="AG1422" s="10" t="str">
        <x:v>loan payment</x:v>
      </x:c>
      <x:c r="AH1422" s="10" t="str">
        <x:v>General debt payoff</x:v>
      </x:c>
      <x:c r="AI1422" s="13" t="n">
        <x:v>27</x:v>
      </x:c>
      <x:c r="AJ1422" s="10" t="str">
        <x:f>IF(F1422&gt;0,"Active","No est. sales")</x:f>
        <x:v>No est. sales</x:v>
      </x:c>
    </x:row>
    <x:row r="1423">
      <x:c r="A1423" s="10" t="str">
        <x:v>Real Estate Template | Mortgage Broker| Income &amp; Expense Tracker | Excel Spreadsheet | Real Estate Agent Branding</x:v>
      </x:c>
      <x:c r="B1423" s="10" t="str">
        <x:v>https://www.etsy.com/listing/1394998189/real-estate-template-mortgage-broker</x:v>
      </x:c>
      <x:c r="C1423" s="10" t="str">
        <x:v>DesignAnalysis</x:v>
      </x:c>
      <x:c r="D1423" s="10" t="str">
        <x:v>https://www.etsy.com/shop/DesignAnalysis</x:v>
      </x:c>
      <x:c r="E1423" s="11" t="n">
        <x:v>35</x:v>
      </x:c>
      <x:c r="F1423" s="10" t="n">
        <x:v>0</x:v>
      </x:c>
      <x:c r="G1423" s="12" t="n">
        <x:v>0</x:v>
      </x:c>
      <x:c r="H1423" s="13" t="n">
        <x:v>0</x:v>
      </x:c>
      <x:c r="I1423" s="10" t="n">
        <x:v>0</x:v>
      </x:c>
      <x:c r="J1423" s="10" t="n">
        <x:v>0</x:v>
      </x:c>
      <x:c r="K1423" s="10" t="str">
        <x:v>23 Mo.</x:v>
      </x:c>
      <x:c r="L1423" s="10" t="n">
        <x:v>2</x:v>
      </x:c>
      <x:c r="M1423" s="10" t="n">
        <x:v>0</x:v>
      </x:c>
      <x:c r="N1423" s="10" t="n">
        <x:v>0</x:v>
      </x:c>
      <x:c r="O1423" s="10" t="str">
        <x:v>Paper &amp; Party Supplies</x:v>
      </x:c>
      <x:c r="P1423" s="10" t="n">
        <x:v>22</x:v>
      </x:c>
      <x:c r="Q1423" s="10" t="n">
        <x:v>0</x:v>
      </x:c>
      <x:c r="R1423" s="13" t="n">
        <x:v>0</x:v>
      </x:c>
      <x:c r="S1423" s="10" t="n">
        <x:v>1</x:v>
      </x:c>
      <x:c r="T1423" s="10" t="str">
        <x:v>excel,excel planner,excel tool,custom real estate,realtor,real estate agent,mortgage broker,real estate canva,digital download,realtor social media,excel template,spreadsheets,digital template</x:v>
      </x:c>
      <x:c r="U1423" s="10" t="str">
        <x:v>excel</x:v>
      </x:c>
      <x:c r="V1423" s="10" t="str">
        <x:v>excel planner</x:v>
      </x:c>
      <x:c r="W1423" s="10" t="str">
        <x:v>excel tool</x:v>
      </x:c>
      <x:c r="X1423" s="10" t="str">
        <x:v>custom real estate</x:v>
      </x:c>
      <x:c r="Y1423" s="10" t="str">
        <x:v>realtor</x:v>
      </x:c>
      <x:c r="Z1423" s="10" t="str">
        <x:v>real estate agent</x:v>
      </x:c>
      <x:c r="AA1423" s="10" t="str">
        <x:v>mortgage broker</x:v>
      </x:c>
      <x:c r="AB1423" s="10" t="str">
        <x:v>real estate canva</x:v>
      </x:c>
      <x:c r="AC1423" s="10" t="str">
        <x:v>digital download</x:v>
      </x:c>
      <x:c r="AD1423" s="10" t="str">
        <x:v>realtor social media</x:v>
      </x:c>
      <x:c r="AE1423" s="10" t="str">
        <x:v>excel template</x:v>
      </x:c>
      <x:c r="AF1423" s="10" t="str">
        <x:v>spreadsheets</x:v>
      </x:c>
      <x:c r="AG1423" s="10" t="str">
        <x:v>digital template</x:v>
      </x:c>
      <x:c r="AH1423" s="10" t="str">
        <x:v>Loan officer / B2B</x:v>
      </x:c>
      <x:c r="AI1423" s="13" t="n">
        <x:v>23</x:v>
      </x:c>
      <x:c r="AJ1423" s="10" t="str">
        <x:f>IF(F1423&gt;0,"Active","No est. sales")</x:f>
        <x:v>No est. sales</x:v>
      </x:c>
    </x:row>
    <x:row r="1424">
      <x:c r="A1424" s="10" t="str">
        <x:v>Debt Tracker Google Sheets Debt Avalanche Spreadsheet, Debt Repayment Calculator, Debt Payoff Sheet, Debt Free Planner, Loan Tracker</x:v>
      </x:c>
      <x:c r="B1424" s="10" t="str">
        <x:v>https://www.etsy.com/listing/4359985130/debt-tracker-google-sheets-debt</x:v>
      </x:c>
      <x:c r="C1424" s="10" t="str">
        <x:v>MindpadStudio</x:v>
      </x:c>
      <x:c r="D1424" s="10" t="str">
        <x:v>https://www.etsy.com/shop/MindpadStudio</x:v>
      </x:c>
      <x:c r="E1424" s="11" t="n">
        <x:v>6.98</x:v>
      </x:c>
      <x:c r="F1424" s="10" t="n">
        <x:v>0</x:v>
      </x:c>
      <x:c r="G1424" s="12" t="n">
        <x:v>0</x:v>
      </x:c>
      <x:c r="H1424" s="13" t="n">
        <x:v>0</x:v>
      </x:c>
      <x:c r="I1424" s="10" t="n">
        <x:v>0</x:v>
      </x:c>
      <x:c r="J1424" s="10" t="n">
        <x:v>0</x:v>
      </x:c>
      <x:c r="K1424" s="10" t="str">
        <x:v>1 Mo.</x:v>
      </x:c>
      <x:c r="L1424" s="10" t="n">
        <x:v>0</x:v>
      </x:c>
      <x:c r="M1424" s="10" t="n">
        <x:v>0</x:v>
      </x:c>
      <x:c r="N1424" s="10" t="n">
        <x:v>2</x:v>
      </x:c>
      <x:c r="O1424" s="10" t="str"/>
      <x:c r="P1424" s="10" t="n">
        <x:v>1</x:v>
      </x:c>
      <x:c r="Q1424" s="10" t="n">
        <x:v>0</x:v>
      </x:c>
      <x:c r="R1424" s="13" t="n">
        <x:v>0</x:v>
      </x:c>
      <x:c r="S1424" s="10" t="n">
        <x:v>0</x:v>
      </x:c>
      <x:c r="T1424" s="10" t="str">
        <x:v>debt avalanche,credit utilization,debt google sheets,debt calculator,mortgage payoff,google sheets budget,credit card payoff,loan payoff tracker,debt payoff chart,debt payment tracker,debt free planner,debt payoff tracker,financial planner</x:v>
      </x:c>
      <x:c r="U1424" s="10" t="str">
        <x:v>debt avalanche</x:v>
      </x:c>
      <x:c r="V1424" s="10" t="str">
        <x:v>credit utilization</x:v>
      </x:c>
      <x:c r="W1424" s="10" t="str">
        <x:v>debt google sheets</x:v>
      </x:c>
      <x:c r="X1424" s="10" t="str">
        <x:v>debt calculator</x:v>
      </x:c>
      <x:c r="Y1424" s="10" t="str">
        <x:v>mortgage payoff</x:v>
      </x:c>
      <x:c r="Z1424" s="10" t="str">
        <x:v>google sheets budget</x:v>
      </x:c>
      <x:c r="AA1424" s="10" t="str">
        <x:v>credit card payoff</x:v>
      </x:c>
      <x:c r="AB1424" s="10" t="str">
        <x:v>loan payoff tracker</x:v>
      </x:c>
      <x:c r="AC1424" s="10" t="str">
        <x:v>debt payoff chart</x:v>
      </x:c>
      <x:c r="AD1424" s="10" t="str">
        <x:v>debt payment tracker</x:v>
      </x:c>
      <x:c r="AE1424" s="10" t="str">
        <x:v>debt free planner</x:v>
      </x:c>
      <x:c r="AF1424" s="10" t="str">
        <x:v>debt payoff tracker</x:v>
      </x:c>
      <x:c r="AG1424" s="10" t="str">
        <x:v>financial planner</x:v>
      </x:c>
      <x:c r="AH1424" s="10" t="str">
        <x:v>General debt payoff</x:v>
      </x:c>
      <x:c r="AI1424" s="13" t="n">
        <x:v>1</x:v>
      </x:c>
      <x:c r="AJ1424" s="10" t="str">
        <x:f>IF(F1424&gt;0,"Active","No est. sales")</x:f>
        <x:v>No est. sales</x:v>
      </x:c>
    </x:row>
    <x:row r="1425">
      <x:c r="A1425" s="10" t="str">
        <x:v>Mortgage Amortization Spreadsheet Template Mortgage Loan Payoff Schedule</x:v>
      </x:c>
      <x:c r="B1425" s="10" t="str">
        <x:v>https://www.etsy.com/listing/4510768414/mortgage-amortization-spreadsheet</x:v>
      </x:c>
      <x:c r="C1425" s="10" t="str">
        <x:v>CarolineByJonelle</x:v>
      </x:c>
      <x:c r="D1425" s="10" t="str">
        <x:v>https://www.etsy.com/shop/CarolineByJonelle</x:v>
      </x:c>
      <x:c r="E1425" s="11" t="n">
        <x:v>3.64</x:v>
      </x:c>
      <x:c r="F1425" s="10" t="n">
        <x:v>0</x:v>
      </x:c>
      <x:c r="G1425" s="12" t="n">
        <x:v>0</x:v>
      </x:c>
      <x:c r="H1425" s="13" t="n">
        <x:v>0</x:v>
      </x:c>
      <x:c r="I1425" s="10" t="n">
        <x:v>0</x:v>
      </x:c>
      <x:c r="J1425" s="10" t="n">
        <x:v>0</x:v>
      </x:c>
      <x:c r="K1425" s="10" t="str">
        <x:v>1 Mo.</x:v>
      </x:c>
      <x:c r="L1425" s="10" t="n">
        <x:v>0</x:v>
      </x:c>
      <x:c r="M1425" s="10" t="n">
        <x:v>0</x:v>
      </x:c>
      <x:c r="N1425" s="10" t="n">
        <x:v>14</x:v>
      </x:c>
      <x:c r="O1425" s="10" t="str"/>
      <x:c r="P1425" s="10" t="n">
        <x:v>2</x:v>
      </x:c>
      <x:c r="Q1425" s="10" t="n">
        <x:v>0</x:v>
      </x:c>
      <x:c r="R1425" s="13" t="n">
        <x:v>0</x:v>
      </x:c>
      <x:c r="S1425" s="10" t="n">
        <x:v>0</x:v>
      </x:c>
      <x:c r="T1425" s="10" t="str">
        <x:v>mortgage calculator,amortization schedul,save on interest,budgeting tool,financial spreadshee,interest on loan,excel budget templat,principal vs interes,payoff tracker,home loan planner,personal finance,mortgage payoff</x:v>
      </x:c>
      <x:c r="U1425" s="10" t="str">
        <x:v>mortgage calculator</x:v>
      </x:c>
      <x:c r="V1425" s="10" t="str">
        <x:v>amortization schedul</x:v>
      </x:c>
      <x:c r="W1425" s="10" t="str">
        <x:v>save on interest</x:v>
      </x:c>
      <x:c r="X1425" s="10" t="str">
        <x:v>budgeting tool</x:v>
      </x:c>
      <x:c r="Y1425" s="10" t="str">
        <x:v>financial spreadshee</x:v>
      </x:c>
      <x:c r="Z1425" s="10" t="str">
        <x:v>interest on loan</x:v>
      </x:c>
      <x:c r="AA1425" s="10" t="str">
        <x:v>excel budget templat</x:v>
      </x:c>
      <x:c r="AB1425" s="10" t="str">
        <x:v>principal vs interes</x:v>
      </x:c>
      <x:c r="AC1425" s="10" t="str">
        <x:v>payoff tracker</x:v>
      </x:c>
      <x:c r="AD1425" s="10" t="str">
        <x:v>home loan planner</x:v>
      </x:c>
      <x:c r="AE1425" s="10" t="str">
        <x:v>personal finance</x:v>
      </x:c>
      <x:c r="AF1425" s="10" t="str">
        <x:v>mortgage payoff</x:v>
      </x:c>
      <x:c r="AG1425" s="10" t="str">
        <x:v>--</x:v>
      </x:c>
      <x:c r="AH1425" s="10" t="str">
        <x:v>Mortgage payoff / calculator</x:v>
      </x:c>
      <x:c r="AI1425" s="13" t="n">
        <x:v>1</x:v>
      </x:c>
      <x:c r="AJ1425" s="10" t="str">
        <x:f>IF(F1425&gt;0,"Active","No est. sales")</x:f>
        <x:v>No est. sales</x:v>
      </x:c>
    </x:row>
    <x:row r="1426">
      <x:c r="A1426" s="10" t="str">
        <x:v>First Home Buyer Planner Excel Google Sheets Affordability Closing Cost Land Transfer Tax Savings Tracker Spreadsheet</x:v>
      </x:c>
      <x:c r="B1426" s="10" t="str">
        <x:v>https://www.etsy.com/listing/4503455792/first-home-buyer-planner-excel-google</x:v>
      </x:c>
      <x:c r="C1426" s="10" t="str">
        <x:v>BloomBudgetHouse</x:v>
      </x:c>
      <x:c r="D1426" s="10" t="str">
        <x:v>https://www.etsy.com/shop/BloomBudgetHouse</x:v>
      </x:c>
      <x:c r="E1426" s="11" t="n">
        <x:v>9.49</x:v>
      </x:c>
      <x:c r="F1426" s="10" t="n">
        <x:v>0</x:v>
      </x:c>
      <x:c r="G1426" s="12" t="n">
        <x:v>0</x:v>
      </x:c>
      <x:c r="H1426" s="13" t="n">
        <x:v>0</x:v>
      </x:c>
      <x:c r="I1426" s="10" t="n">
        <x:v>0</x:v>
      </x:c>
      <x:c r="J1426" s="10" t="n">
        <x:v>0</x:v>
      </x:c>
      <x:c r="K1426" s="10" t="str">
        <x:v>1 Mo.</x:v>
      </x:c>
      <x:c r="L1426" s="10" t="n">
        <x:v>0</x:v>
      </x:c>
      <x:c r="M1426" s="10" t="n">
        <x:v>0</x:v>
      </x:c>
      <x:c r="N1426" s="10" t="n">
        <x:v>0</x:v>
      </x:c>
      <x:c r="O1426" s="10" t="str"/>
      <x:c r="P1426" s="10" t="n">
        <x:v>1</x:v>
      </x:c>
      <x:c r="Q1426" s="10" t="n">
        <x:v>0</x:v>
      </x:c>
      <x:c r="R1426" s="13" t="n">
        <x:v>0</x:v>
      </x:c>
      <x:c r="S1426" s="10" t="n">
        <x:v>0</x:v>
      </x:c>
      <x:c r="T1426" s="10" t="str">
        <x:v>first home buyer,home buyer planner,closing cost tracker,down payment tracker,mortgage calculator,affordability calc,land transfer tax,cmhc calculator,rent vs buy,home savings planner,first time buyer,spreadsheet template,excel google sheets</x:v>
      </x:c>
      <x:c r="U1426" s="10" t="str">
        <x:v>first home buyer</x:v>
      </x:c>
      <x:c r="V1426" s="10" t="str">
        <x:v>home buyer planner</x:v>
      </x:c>
      <x:c r="W1426" s="10" t="str">
        <x:v>closing cost tracker</x:v>
      </x:c>
      <x:c r="X1426" s="10" t="str">
        <x:v>down payment tracker</x:v>
      </x:c>
      <x:c r="Y1426" s="10" t="str">
        <x:v>mortgage calculator</x:v>
      </x:c>
      <x:c r="Z1426" s="10" t="str">
        <x:v>affordability calc</x:v>
      </x:c>
      <x:c r="AA1426" s="10" t="str">
        <x:v>land transfer tax</x:v>
      </x:c>
      <x:c r="AB1426" s="10" t="str">
        <x:v>cmhc calculator</x:v>
      </x:c>
      <x:c r="AC1426" s="10" t="str">
        <x:v>rent vs buy</x:v>
      </x:c>
      <x:c r="AD1426" s="10" t="str">
        <x:v>home savings planner</x:v>
      </x:c>
      <x:c r="AE1426" s="10" t="str">
        <x:v>first time buyer</x:v>
      </x:c>
      <x:c r="AF1426" s="10" t="str">
        <x:v>spreadsheet template</x:v>
      </x:c>
      <x:c r="AG1426" s="10" t="str">
        <x:v>excel google sheets</x:v>
      </x:c>
      <x:c r="AH1426" s="10" t="str">
        <x:v>Home buying planner</x:v>
      </x:c>
      <x:c r="AI1426" s="13" t="n">
        <x:v>1</x:v>
      </x:c>
      <x:c r="AJ1426" s="10" t="str">
        <x:f>IF(F1426&gt;0,"Active","No est. sales")</x:f>
        <x:v>No est. sales</x:v>
      </x:c>
    </x:row>
    <x:row r="1427">
      <x:c r="A1427" s="10" t="str">
        <x:v>Property Ladder Mastery | First-Time Buyer Mortgage Guide | Homeownership, Deposit, Credit &amp; Hidden Costs PDF Workbook</x:v>
      </x:c>
      <x:c r="B1427" s="10" t="str">
        <x:v>https://www.etsy.com/listing/4358707370/property-ladder-mastery-first-time-buyer</x:v>
      </x:c>
      <x:c r="C1427" s="10" t="str">
        <x:v>InstantPDFGuides</x:v>
      </x:c>
      <x:c r="D1427" s="10" t="str">
        <x:v>https://www.etsy.com/shop/InstantPDFGuides</x:v>
      </x:c>
      <x:c r="E1427" s="11" t="n">
        <x:v>13.48</x:v>
      </x:c>
      <x:c r="F1427" s="10" t="n">
        <x:v>0</x:v>
      </x:c>
      <x:c r="G1427" s="12" t="n">
        <x:v>0</x:v>
      </x:c>
      <x:c r="H1427" s="13" t="n">
        <x:v>0</x:v>
      </x:c>
      <x:c r="I1427" s="10" t="n">
        <x:v>0</x:v>
      </x:c>
      <x:c r="J1427" s="10" t="n">
        <x:v>0</x:v>
      </x:c>
      <x:c r="K1427" s="10" t="str">
        <x:v>1 Mo.</x:v>
      </x:c>
      <x:c r="L1427" s="10" t="n">
        <x:v>0</x:v>
      </x:c>
      <x:c r="M1427" s="10" t="n">
        <x:v>0</x:v>
      </x:c>
      <x:c r="N1427" s="10" t="n">
        <x:v>5</x:v>
      </x:c>
      <x:c r="O1427" s="10" t="str">
        <x:v>Books, Movies &amp; Music</x:v>
      </x:c>
      <x:c r="P1427" s="10" t="n">
        <x:v>20</x:v>
      </x:c>
      <x:c r="Q1427" s="10" t="n">
        <x:v>0</x:v>
      </x:c>
      <x:c r="R1427" s="13" t="n">
        <x:v>0</x:v>
      </x:c>
      <x:c r="S1427" s="10" t="n">
        <x:v>0</x:v>
      </x:c>
      <x:c r="T1427" s="10" t="str">
        <x:v>first home,mortgage guide,home buying,property ladder,first time buyer,saving deposit,credit repair,moving budget,house buying tips,mortgage help,finance planner,budget worksheet,investor andrew</x:v>
      </x:c>
      <x:c r="U1427" s="10" t="str">
        <x:v>first home</x:v>
      </x:c>
      <x:c r="V1427" s="10" t="str">
        <x:v>mortgage guide</x:v>
      </x:c>
      <x:c r="W1427" s="10" t="str">
        <x:v>home buying</x:v>
      </x:c>
      <x:c r="X1427" s="10" t="str">
        <x:v>property ladder</x:v>
      </x:c>
      <x:c r="Y1427" s="10" t="str">
        <x:v>first time buyer</x:v>
      </x:c>
      <x:c r="Z1427" s="10" t="str">
        <x:v>saving deposit</x:v>
      </x:c>
      <x:c r="AA1427" s="10" t="str">
        <x:v>credit repair</x:v>
      </x:c>
      <x:c r="AB1427" s="10" t="str">
        <x:v>moving budget</x:v>
      </x:c>
      <x:c r="AC1427" s="10" t="str">
        <x:v>house buying tips</x:v>
      </x:c>
      <x:c r="AD1427" s="10" t="str">
        <x:v>mortgage help</x:v>
      </x:c>
      <x:c r="AE1427" s="10" t="str">
        <x:v>finance planner</x:v>
      </x:c>
      <x:c r="AF1427" s="10" t="str">
        <x:v>budget worksheet</x:v>
      </x:c>
      <x:c r="AG1427" s="10" t="str">
        <x:v>investor andrew</x:v>
      </x:c>
      <x:c r="AH1427" s="10" t="str">
        <x:v>Other mortgage-related</x:v>
      </x:c>
      <x:c r="AI1427" s="13" t="n">
        <x:v>1</x:v>
      </x:c>
      <x:c r="AJ1427" s="10" t="str">
        <x:f>IF(F1427&gt;0,"Active","No est. sales")</x:f>
        <x:v>No est. sales</x:v>
      </x:c>
    </x:row>
    <x:row r="1428">
      <x:c r="A1428" s="10" t="str">
        <x:v>House Affordability Calculator | How Much Home Can I Buy? | DTI Check | Interactive Digital Download</x:v>
      </x:c>
      <x:c r="B1428" s="10" t="str">
        <x:v>https://www.etsy.com/listing/4475924451/house-affordability-calculator-how-much</x:v>
      </x:c>
      <x:c r="C1428" s="10" t="str">
        <x:v>VaultandVesselStudio</x:v>
      </x:c>
      <x:c r="D1428" s="10" t="str">
        <x:v>https://www.etsy.com/shop/VaultandVesselStudio</x:v>
      </x:c>
      <x:c r="E1428" s="11" t="n">
        <x:v>19.99</x:v>
      </x:c>
      <x:c r="F1428" s="10" t="n">
        <x:v>0</x:v>
      </x:c>
      <x:c r="G1428" s="12" t="n">
        <x:v>0</x:v>
      </x:c>
      <x:c r="H1428" s="13" t="n">
        <x:v>0</x:v>
      </x:c>
      <x:c r="I1428" s="10" t="n">
        <x:v>0</x:v>
      </x:c>
      <x:c r="J1428" s="10" t="n">
        <x:v>0</x:v>
      </x:c>
      <x:c r="K1428" s="10" t="str">
        <x:v>4 Mo.</x:v>
      </x:c>
      <x:c r="L1428" s="10" t="n">
        <x:v>0</x:v>
      </x:c>
      <x:c r="M1428" s="10" t="n">
        <x:v>0</x:v>
      </x:c>
      <x:c r="N1428" s="10" t="n">
        <x:v>2</x:v>
      </x:c>
      <x:c r="O1428" s="10" t="str">
        <x:v>Paper &amp; Party Supplies</x:v>
      </x:c>
      <x:c r="P1428" s="10" t="n">
        <x:v>4</x:v>
      </x:c>
      <x:c r="Q1428" s="10" t="n">
        <x:v>0</x:v>
      </x:c>
      <x:c r="R1428" s="13" t="n">
        <x:v>0</x:v>
      </x:c>
      <x:c r="S1428" s="10" t="n">
        <x:v>22</x:v>
      </x:c>
      <x:c r="T1428" s="10" t="str">
        <x:v>house affordability,how much house can i,home affordability,home buying budget,house budget calc,home price calc,first time home,house buying tool,home buying planner,affordability calc,housing budget,mortgage</x:v>
      </x:c>
      <x:c r="U1428" s="10" t="str">
        <x:v>house affordability</x:v>
      </x:c>
      <x:c r="V1428" s="10" t="str">
        <x:v>how much house can i</x:v>
      </x:c>
      <x:c r="W1428" s="10" t="str">
        <x:v>home affordability</x:v>
      </x:c>
      <x:c r="X1428" s="10" t="str">
        <x:v>home buying budget</x:v>
      </x:c>
      <x:c r="Y1428" s="10" t="str">
        <x:v>house budget calc</x:v>
      </x:c>
      <x:c r="Z1428" s="10" t="str">
        <x:v>home price calc</x:v>
      </x:c>
      <x:c r="AA1428" s="10" t="str">
        <x:v>first time home</x:v>
      </x:c>
      <x:c r="AB1428" s="10" t="str">
        <x:v>house buying tool</x:v>
      </x:c>
      <x:c r="AC1428" s="10" t="str">
        <x:v>home buying planner</x:v>
      </x:c>
      <x:c r="AD1428" s="10" t="str">
        <x:v>affordability calc</x:v>
      </x:c>
      <x:c r="AE1428" s="10" t="str">
        <x:v>housing budget</x:v>
      </x:c>
      <x:c r="AF1428" s="10" t="str">
        <x:v>mortgage</x:v>
      </x:c>
      <x:c r="AG1428" s="10" t="str">
        <x:v>--</x:v>
      </x:c>
      <x:c r="AH1428" s="10" t="str">
        <x:v>Home buying planner</x:v>
      </x:c>
      <x:c r="AI1428" s="13" t="n">
        <x:v>4</x:v>
      </x:c>
      <x:c r="AJ1428" s="10" t="str">
        <x:f>IF(F1428&gt;0,"Active","No est. sales")</x:f>
        <x:v>No est. sales</x:v>
      </x:c>
    </x:row>
    <x:row r="1429">
      <x:c r="A1429" s="10" t="str">
        <x:v>Mortgage Broker DAILY PLANNER | Loan Officer Organizer | New Loan Officer Tools | Mortgage Loan Officer Checklist | Neutral CANVA Template</x:v>
      </x:c>
      <x:c r="B1429" s="10" t="str">
        <x:v>https://www.etsy.com/listing/1576847903/mortgage-broker-daily-planner-loan</x:v>
      </x:c>
      <x:c r="C1429" s="10" t="str">
        <x:v>LuxeLenderMarketing</x:v>
      </x:c>
      <x:c r="D1429" s="10" t="str">
        <x:v>https://www.etsy.com/shop/LuxeLenderMarketing</x:v>
      </x:c>
      <x:c r="E1429" s="11" t="n">
        <x:v>2.99</x:v>
      </x:c>
      <x:c r="F1429" s="10" t="n">
        <x:v>0</x:v>
      </x:c>
      <x:c r="G1429" s="12" t="n">
        <x:v>0</x:v>
      </x:c>
      <x:c r="H1429" s="13" t="n">
        <x:v>0</x:v>
      </x:c>
      <x:c r="I1429" s="10" t="n">
        <x:v>55</x:v>
      </x:c>
      <x:c r="J1429" s="10" t="n">
        <x:v>2</x:v>
      </x:c>
      <x:c r="K1429" s="10" t="str">
        <x:v>32 Mo.</x:v>
      </x:c>
      <x:c r="L1429" s="10" t="n">
        <x:v>24</x:v>
      </x:c>
      <x:c r="M1429" s="10" t="n">
        <x:v>0</x:v>
      </x:c>
      <x:c r="N1429" s="10" t="n">
        <x:v>636</x:v>
      </x:c>
      <x:c r="O1429" s="10" t="str"/>
      <x:c r="P1429" s="10" t="n">
        <x:v>35</x:v>
      </x:c>
      <x:c r="Q1429" s="10" t="n">
        <x:v>0</x:v>
      </x:c>
      <x:c r="R1429" s="13" t="n">
        <x:v>8.65</x:v>
      </x:c>
      <x:c r="S1429" s="10" t="n">
        <x:v>110</x:v>
      </x:c>
      <x:c r="T1429" s="10" t="str">
        <x:v>loan officer,mortgage broker,digital task list,mortgage planner,mortgage checklist,loan officer to do,loan officer planner,real estate planner,mortgage broker task,neutral,beige,marketing,social media</x:v>
      </x:c>
      <x:c r="U1429" s="10" t="str">
        <x:v>loan officer</x:v>
      </x:c>
      <x:c r="V1429" s="10" t="str">
        <x:v>mortgage broker</x:v>
      </x:c>
      <x:c r="W1429" s="10" t="str">
        <x:v>digital task list</x:v>
      </x:c>
      <x:c r="X1429" s="10" t="str">
        <x:v>mortgage planner</x:v>
      </x:c>
      <x:c r="Y1429" s="10" t="str">
        <x:v>mortgage checklist</x:v>
      </x:c>
      <x:c r="Z1429" s="10" t="str">
        <x:v>loan officer to do</x:v>
      </x:c>
      <x:c r="AA1429" s="10" t="str">
        <x:v>loan officer planner</x:v>
      </x:c>
      <x:c r="AB1429" s="10" t="str">
        <x:v>real estate planner</x:v>
      </x:c>
      <x:c r="AC1429" s="10" t="str">
        <x:v>mortgage broker task</x:v>
      </x:c>
      <x:c r="AD1429" s="10" t="str">
        <x:v>neutral</x:v>
      </x:c>
      <x:c r="AE1429" s="10" t="str">
        <x:v>beige</x:v>
      </x:c>
      <x:c r="AF1429" s="10" t="str">
        <x:v>marketing</x:v>
      </x:c>
      <x:c r="AG1429" s="10" t="str">
        <x:v>social media</x:v>
      </x:c>
      <x:c r="AH1429" s="10" t="str">
        <x:v>Loan officer / B2B</x:v>
      </x:c>
      <x:c r="AI1429" s="13" t="n">
        <x:v>32</x:v>
      </x:c>
      <x:c r="AJ1429" s="10" t="str">
        <x:f>IF(F1429&gt;0,"Active","No est. sales")</x:f>
        <x:v>No est. sales</x:v>
      </x:c>
    </x:row>
    <x:row r="1430">
      <x:c r="A1430" s="10" t="str">
        <x:v>Home Buying Calculator Google Sheets | Down Payment Tracker (Digital Download)</x:v>
      </x:c>
      <x:c r="B1430" s="10" t="str">
        <x:v>https://www.etsy.com/listing/4475902710/home-buying-calculator-google-sheets</x:v>
      </x:c>
      <x:c r="C1430" s="10" t="str">
        <x:v>VaultandVesselStudio</x:v>
      </x:c>
      <x:c r="D1430" s="10" t="str">
        <x:v>https://www.etsy.com/shop/VaultandVesselStudio</x:v>
      </x:c>
      <x:c r="E1430" s="11" t="n">
        <x:v>34.99</x:v>
      </x:c>
      <x:c r="F1430" s="10" t="n">
        <x:v>0</x:v>
      </x:c>
      <x:c r="G1430" s="12" t="n">
        <x:v>0</x:v>
      </x:c>
      <x:c r="H1430" s="13" t="n">
        <x:v>0</x:v>
      </x:c>
      <x:c r="I1430" s="10" t="n">
        <x:v>0</x:v>
      </x:c>
      <x:c r="J1430" s="10" t="n">
        <x:v>0</x:v>
      </x:c>
      <x:c r="K1430" s="10" t="str">
        <x:v>4 Mo.</x:v>
      </x:c>
      <x:c r="L1430" s="10" t="n">
        <x:v>0</x:v>
      </x:c>
      <x:c r="M1430" s="10" t="n">
        <x:v>0</x:v>
      </x:c>
      <x:c r="N1430" s="10" t="n">
        <x:v>1</x:v>
      </x:c>
      <x:c r="O1430" s="10" t="str">
        <x:v>Paper &amp; Party Supplies</x:v>
      </x:c>
      <x:c r="P1430" s="10" t="n">
        <x:v>4</x:v>
      </x:c>
      <x:c r="Q1430" s="10" t="n">
        <x:v>0</x:v>
      </x:c>
      <x:c r="R1430" s="13" t="n">
        <x:v>0</x:v>
      </x:c>
      <x:c r="S1430" s="10" t="n">
        <x:v>22</x:v>
      </x:c>
      <x:c r="T1430" s="10" t="str">
        <x:v>house down payment,google sheets,mortgage calculator,closing cost,home savings planner,first time home,house budget planner,down payment tracker,real estate,digital download,home buying template,home buying</x:v>
      </x:c>
      <x:c r="U1430" s="10" t="str">
        <x:v>house down payment</x:v>
      </x:c>
      <x:c r="V1430" s="10" t="str">
        <x:v>google sheets</x:v>
      </x:c>
      <x:c r="W1430" s="10" t="str">
        <x:v>mortgage calculator</x:v>
      </x:c>
      <x:c r="X1430" s="10" t="str">
        <x:v>closing cost</x:v>
      </x:c>
      <x:c r="Y1430" s="10" t="str">
        <x:v>home savings planner</x:v>
      </x:c>
      <x:c r="Z1430" s="10" t="str">
        <x:v>first time home</x:v>
      </x:c>
      <x:c r="AA1430" s="10" t="str">
        <x:v>house budget planner</x:v>
      </x:c>
      <x:c r="AB1430" s="10" t="str">
        <x:v>down payment tracker</x:v>
      </x:c>
      <x:c r="AC1430" s="10" t="str">
        <x:v>real estate</x:v>
      </x:c>
      <x:c r="AD1430" s="10" t="str">
        <x:v>digital download</x:v>
      </x:c>
      <x:c r="AE1430" s="10" t="str">
        <x:v>home buying template</x:v>
      </x:c>
      <x:c r="AF1430" s="10" t="str">
        <x:v>home buying</x:v>
      </x:c>
      <x:c r="AG1430" s="10" t="str">
        <x:v>--</x:v>
      </x:c>
      <x:c r="AH1430" s="10" t="str">
        <x:v>Other mortgage-related</x:v>
      </x:c>
      <x:c r="AI1430" s="13" t="n">
        <x:v>4</x:v>
      </x:c>
      <x:c r="AJ1430" s="10" t="str">
        <x:f>IF(F1430&gt;0,"Active","No est. sales")</x:f>
        <x:v>No est. sales</x:v>
      </x:c>
    </x:row>
    <x:row r="1431">
      <x:c r="A1431" s="10" t="str">
        <x:v>Light/Dark Skin Mortgage Planner Pack - Bullet Journal Stickers, Planner Stickers, Scrapbook Stickers - Mortgage/Phone/Water/Utility/Card</x:v>
      </x:c>
      <x:c r="B1431" s="10" t="str">
        <x:v>https://www.etsy.com/listing/1049197903/lightdark-skin-mortgage-planner-pack</x:v>
      </x:c>
      <x:c r="C1431" s="10" t="str">
        <x:v>AGWDesignStudio</x:v>
      </x:c>
      <x:c r="D1431" s="10" t="str">
        <x:v>https://www.etsy.com/shop/AGWDesignStudio</x:v>
      </x:c>
      <x:c r="E1431" s="11" t="n">
        <x:v>15</x:v>
      </x:c>
      <x:c r="F1431" s="10" t="n">
        <x:v>0</x:v>
      </x:c>
      <x:c r="G1431" s="12" t="n">
        <x:v>0</x:v>
      </x:c>
      <x:c r="H1431" s="13" t="n">
        <x:v>0</x:v>
      </x:c>
      <x:c r="I1431" s="10" t="n">
        <x:v>3</x:v>
      </x:c>
      <x:c r="J1431" s="10" t="n">
        <x:v>1</x:v>
      </x:c>
      <x:c r="K1431" s="10" t="str">
        <x:v>60 Mo.</x:v>
      </x:c>
      <x:c r="L1431" s="10" t="n">
        <x:v>7</x:v>
      </x:c>
      <x:c r="M1431" s="10" t="n">
        <x:v>0</x:v>
      </x:c>
      <x:c r="N1431" s="10" t="n">
        <x:v>214</x:v>
      </x:c>
      <x:c r="O1431" s="10" t="str">
        <x:v>Paper &amp; Party Supplies</x:v>
      </x:c>
      <x:c r="P1431" s="10" t="n">
        <x:v>77</x:v>
      </x:c>
      <x:c r="Q1431" s="10" t="n">
        <x:v>0</x:v>
      </x:c>
      <x:c r="R1431" s="13" t="n">
        <x:v>1.4</x:v>
      </x:c>
      <x:c r="S1431" s="10" t="n">
        <x:v>1874</x:v>
      </x:c>
      <x:c r="T1431" s="10" t="str">
        <x:v>personalized,planner,stickers,custom made,bullet journal,scrapbook,reminders,budget,mortgage,phone,water,utilities,car</x:v>
      </x:c>
      <x:c r="U1431" s="10" t="str">
        <x:v>personalized</x:v>
      </x:c>
      <x:c r="V1431" s="10" t="str">
        <x:v>planner</x:v>
      </x:c>
      <x:c r="W1431" s="10" t="str">
        <x:v>stickers</x:v>
      </x:c>
      <x:c r="X1431" s="10" t="str">
        <x:v>custom made</x:v>
      </x:c>
      <x:c r="Y1431" s="10" t="str">
        <x:v>bullet journal</x:v>
      </x:c>
      <x:c r="Z1431" s="10" t="str">
        <x:v>scrapbook</x:v>
      </x:c>
      <x:c r="AA1431" s="10" t="str">
        <x:v>reminders</x:v>
      </x:c>
      <x:c r="AB1431" s="10" t="str">
        <x:v>budget</x:v>
      </x:c>
      <x:c r="AC1431" s="10" t="str">
        <x:v>mortgage</x:v>
      </x:c>
      <x:c r="AD1431" s="10" t="str">
        <x:v>phone</x:v>
      </x:c>
      <x:c r="AE1431" s="10" t="str">
        <x:v>water</x:v>
      </x:c>
      <x:c r="AF1431" s="10" t="str">
        <x:v>utilities</x:v>
      </x:c>
      <x:c r="AG1431" s="10" t="str">
        <x:v>car</x:v>
      </x:c>
      <x:c r="AH1431" s="10" t="str">
        <x:v>Other mortgage-related</x:v>
      </x:c>
      <x:c r="AI1431" s="13" t="n">
        <x:v>60</x:v>
      </x:c>
      <x:c r="AJ1431" s="10" t="str">
        <x:f>IF(F1431&gt;0,"Active","No est. sales")</x:f>
        <x:v>No est. sales</x:v>
      </x:c>
    </x:row>
    <x:row r="1432">
      <x:c r="A1432" s="10" t="str">
        <x:v>Snowball Avalanche Debt Payoff Tracker, 3 Custom Methods, Credit Card, Home Loan, Student Loan, Debt-Free (Google Sheets &amp; Excel)</x:v>
      </x:c>
      <x:c r="B1432" s="10" t="str">
        <x:v>https://www.etsy.com/listing/4517290272/snowball-avalanche-debt-payoff-tracker-3</x:v>
      </x:c>
      <x:c r="C1432" s="10" t="str">
        <x:v>SageDigitalTemplates</x:v>
      </x:c>
      <x:c r="D1432" s="10" t="str">
        <x:v>https://www.etsy.com/shop/SageDigitalTemplates</x:v>
      </x:c>
      <x:c r="E1432" s="11" t="n">
        <x:v>6.99</x:v>
      </x:c>
      <x:c r="F1432" s="10" t="n">
        <x:v>0</x:v>
      </x:c>
      <x:c r="G1432" s="12" t="n">
        <x:v>0</x:v>
      </x:c>
      <x:c r="H1432" s="13" t="n">
        <x:v>0</x:v>
      </x:c>
      <x:c r="I1432" s="10" t="n">
        <x:v>0</x:v>
      </x:c>
      <x:c r="J1432" s="10" t="n">
        <x:v>0</x:v>
      </x:c>
      <x:c r="K1432" s="10" t="str">
        <x:v>1 Mo.</x:v>
      </x:c>
      <x:c r="L1432" s="10" t="n">
        <x:v>0</x:v>
      </x:c>
      <x:c r="M1432" s="10" t="n">
        <x:v>0</x:v>
      </x:c>
      <x:c r="N1432" s="10" t="n">
        <x:v>0</x:v>
      </x:c>
      <x:c r="O1432" s="10" t="str"/>
      <x:c r="P1432" s="10" t="n">
        <x:v>3</x:v>
      </x:c>
      <x:c r="Q1432" s="10" t="n">
        <x:v>0</x:v>
      </x:c>
      <x:c r="R1432" s="13" t="n">
        <x:v>0</x:v>
      </x:c>
      <x:c r="S1432" s="10" t="n">
        <x:v>203</x:v>
      </x:c>
      <x:c r="T1432" s="10" t="str">
        <x:v>debt template,student loan debt,debt payoff chart,mortgage payoff,debt avalanche,credit card payoff,debt payment tracker,debt payoff tracker,debt snowball,google sheets budget,financial planner,debt free chart,debt google sheets</x:v>
      </x:c>
      <x:c r="U1432" s="10" t="str">
        <x:v>debt template</x:v>
      </x:c>
      <x:c r="V1432" s="10" t="str">
        <x:v>student loan debt</x:v>
      </x:c>
      <x:c r="W1432" s="10" t="str">
        <x:v>debt payoff chart</x:v>
      </x:c>
      <x:c r="X1432" s="10" t="str">
        <x:v>mortgage payoff</x:v>
      </x:c>
      <x:c r="Y1432" s="10" t="str">
        <x:v>debt avalanche</x:v>
      </x:c>
      <x:c r="Z1432" s="10" t="str">
        <x:v>credit card payoff</x:v>
      </x:c>
      <x:c r="AA1432" s="10" t="str">
        <x:v>debt payment tracker</x:v>
      </x:c>
      <x:c r="AB1432" s="10" t="str">
        <x:v>debt payoff tracker</x:v>
      </x:c>
      <x:c r="AC1432" s="10" t="str">
        <x:v>debt snowball</x:v>
      </x:c>
      <x:c r="AD1432" s="10" t="str">
        <x:v>google sheets budget</x:v>
      </x:c>
      <x:c r="AE1432" s="10" t="str">
        <x:v>financial planner</x:v>
      </x:c>
      <x:c r="AF1432" s="10" t="str">
        <x:v>debt free chart</x:v>
      </x:c>
      <x:c r="AG1432" s="10" t="str">
        <x:v>debt google sheets</x:v>
      </x:c>
      <x:c r="AH1432" s="10" t="str">
        <x:v>General debt payoff</x:v>
      </x:c>
      <x:c r="AI1432" s="13" t="n">
        <x:v>1</x:v>
      </x:c>
      <x:c r="AJ1432" s="10" t="str">
        <x:f>IF(F1432&gt;0,"Active","No est. sales")</x:f>
        <x:v>No est. sales</x:v>
      </x:c>
    </x:row>
    <x:row r="1433">
      <x:c r="A1433" s="10" t="str">
        <x:v>Ultimate Debt Payoff Tracker, Snowball, Avalanche, 3 Custom Methods, Credit Card, Home Loan, Student Loan, Debt-Free (Google Sheets &amp; Excel)</x:v>
      </x:c>
      <x:c r="B1433" s="10" t="str">
        <x:v>https://www.etsy.com/listing/4515585043/ultimate-debt-payoff-tracker-snowball</x:v>
      </x:c>
      <x:c r="C1433" s="10" t="str">
        <x:v>SageDigitalTemplates</x:v>
      </x:c>
      <x:c r="D1433" s="10" t="str">
        <x:v>https://www.etsy.com/shop/SageDigitalTemplates</x:v>
      </x:c>
      <x:c r="E1433" s="11" t="n">
        <x:v>6.99</x:v>
      </x:c>
      <x:c r="F1433" s="10" t="n">
        <x:v>0</x:v>
      </x:c>
      <x:c r="G1433" s="12" t="n">
        <x:v>0</x:v>
      </x:c>
      <x:c r="H1433" s="13" t="n">
        <x:v>0</x:v>
      </x:c>
      <x:c r="I1433" s="10" t="n">
        <x:v>0</x:v>
      </x:c>
      <x:c r="J1433" s="10" t="n">
        <x:v>0</x:v>
      </x:c>
      <x:c r="K1433" s="10" t="str">
        <x:v>1 Mo.</x:v>
      </x:c>
      <x:c r="L1433" s="10" t="n">
        <x:v>4</x:v>
      </x:c>
      <x:c r="M1433" s="10" t="n">
        <x:v>0</x:v>
      </x:c>
      <x:c r="N1433" s="10" t="n">
        <x:v>0</x:v>
      </x:c>
      <x:c r="O1433" s="10" t="str"/>
      <x:c r="P1433" s="10" t="n">
        <x:v>3</x:v>
      </x:c>
      <x:c r="Q1433" s="10" t="n">
        <x:v>0</x:v>
      </x:c>
      <x:c r="R1433" s="13" t="n">
        <x:v>0</x:v>
      </x:c>
      <x:c r="S1433" s="10" t="n">
        <x:v>185</x:v>
      </x:c>
      <x:c r="T1433" s="10" t="str">
        <x:v>credit utilization,debt template,student loan debt,debt payoff chart,mortgage payoff,debt avalanche,credit card payoff,debt payment tracker,debt payoff tracker,debt snowball,google sheets budget,financial planner,debt free chart</x:v>
      </x:c>
      <x:c r="U1433" s="10" t="str">
        <x:v>credit utilization</x:v>
      </x:c>
      <x:c r="V1433" s="10" t="str">
        <x:v>debt template</x:v>
      </x:c>
      <x:c r="W1433" s="10" t="str">
        <x:v>student loan debt</x:v>
      </x:c>
      <x:c r="X1433" s="10" t="str">
        <x:v>debt payoff chart</x:v>
      </x:c>
      <x:c r="Y1433" s="10" t="str">
        <x:v>mortgage payoff</x:v>
      </x:c>
      <x:c r="Z1433" s="10" t="str">
        <x:v>debt avalanche</x:v>
      </x:c>
      <x:c r="AA1433" s="10" t="str">
        <x:v>credit card payoff</x:v>
      </x:c>
      <x:c r="AB1433" s="10" t="str">
        <x:v>debt payment tracker</x:v>
      </x:c>
      <x:c r="AC1433" s="10" t="str">
        <x:v>debt payoff tracker</x:v>
      </x:c>
      <x:c r="AD1433" s="10" t="str">
        <x:v>debt snowball</x:v>
      </x:c>
      <x:c r="AE1433" s="10" t="str">
        <x:v>google sheets budget</x:v>
      </x:c>
      <x:c r="AF1433" s="10" t="str">
        <x:v>financial planner</x:v>
      </x:c>
      <x:c r="AG1433" s="10" t="str">
        <x:v>debt free chart</x:v>
      </x:c>
      <x:c r="AH1433" s="10" t="str">
        <x:v>General debt payoff</x:v>
      </x:c>
      <x:c r="AI1433" s="13" t="n">
        <x:v>1</x:v>
      </x:c>
      <x:c r="AJ1433" s="10" t="str">
        <x:f>IF(F1433&gt;0,"Active","No est. sales")</x:f>
        <x:v>No est. sales</x:v>
      </x:c>
    </x:row>
    <x:row r="1434">
      <x:c r="A1434" s="10" t="str">
        <x:v>Home Buying Spreadsheet Template | Mortgage Calculator, Closing Costs, Amortization Schedule | Google Sheets Excel</x:v>
      </x:c>
      <x:c r="B1434" s="10" t="str">
        <x:v>https://www.etsy.com/listing/4478916235/ultimate-home-mortgage-planner</x:v>
      </x:c>
      <x:c r="C1434" s="10" t="str">
        <x:v>HelpfulSheetsHQ</x:v>
      </x:c>
      <x:c r="D1434" s="10" t="str">
        <x:v>https://www.etsy.com/shop/HelpfulSheetsHQ</x:v>
      </x:c>
      <x:c r="E1434" s="11" t="n">
        <x:v>3.6</x:v>
      </x:c>
      <x:c r="F1434" s="10" t="n">
        <x:v>0</x:v>
      </x:c>
      <x:c r="G1434" s="12" t="n">
        <x:v>0</x:v>
      </x:c>
      <x:c r="H1434" s="13" t="n">
        <x:v>0</x:v>
      </x:c>
      <x:c r="I1434" s="10" t="n">
        <x:v>0</x:v>
      </x:c>
      <x:c r="J1434" s="10" t="n">
        <x:v>0</x:v>
      </x:c>
      <x:c r="K1434" s="10" t="str">
        <x:v>1 Mo.</x:v>
      </x:c>
      <x:c r="L1434" s="10" t="n">
        <x:v>0</x:v>
      </x:c>
      <x:c r="M1434" s="10" t="n">
        <x:v>0</x:v>
      </x:c>
      <x:c r="N1434" s="10" t="n">
        <x:v>0</x:v>
      </x:c>
      <x:c r="O1434" s="10" t="str"/>
      <x:c r="P1434" s="10" t="n">
        <x:v>0</x:v>
      </x:c>
      <x:c r="Q1434" s="10" t="n">
        <x:v>0</x:v>
      </x:c>
      <x:c r="R1434" s="13" t="n">
        <x:v>0</x:v>
      </x:c>
      <x:c r="S1434" s="10" t="n">
        <x:v>0</x:v>
      </x:c>
      <x:c r="T1434" s="10" t="str">
        <x:v>mortgage spreadsheet,home buying planner,mortgage calculator,closing cost sheet,amortization chart,home affordability,rent vs buy,refinance calculator,first time buyer,home purchase tool,google sheets,excel spreadsheet,financial planner</x:v>
      </x:c>
      <x:c r="U1434" s="10" t="str">
        <x:v>mortgage spreadsheet</x:v>
      </x:c>
      <x:c r="V1434" s="10" t="str">
        <x:v>home buying planner</x:v>
      </x:c>
      <x:c r="W1434" s="10" t="str">
        <x:v>mortgage calculator</x:v>
      </x:c>
      <x:c r="X1434" s="10" t="str">
        <x:v>closing cost sheet</x:v>
      </x:c>
      <x:c r="Y1434" s="10" t="str">
        <x:v>amortization chart</x:v>
      </x:c>
      <x:c r="Z1434" s="10" t="str">
        <x:v>home affordability</x:v>
      </x:c>
      <x:c r="AA1434" s="10" t="str">
        <x:v>rent vs buy</x:v>
      </x:c>
      <x:c r="AB1434" s="10" t="str">
        <x:v>refinance calculator</x:v>
      </x:c>
      <x:c r="AC1434" s="10" t="str">
        <x:v>first time buyer</x:v>
      </x:c>
      <x:c r="AD1434" s="10" t="str">
        <x:v>home purchase tool</x:v>
      </x:c>
      <x:c r="AE1434" s="10" t="str">
        <x:v>google sheets</x:v>
      </x:c>
      <x:c r="AF1434" s="10" t="str">
        <x:v>excel spreadsheet</x:v>
      </x:c>
      <x:c r="AG1434" s="10" t="str">
        <x:v>financial planner</x:v>
      </x:c>
      <x:c r="AH1434" s="10" t="str">
        <x:v>Home buying planner</x:v>
      </x:c>
      <x:c r="AI1434" s="13" t="n">
        <x:v>1</x:v>
      </x:c>
      <x:c r="AJ1434" s="10" t="str">
        <x:f>IF(F1434&gt;0,"Active","No est. sales")</x:f>
        <x:v>No est. sales</x:v>
      </x:c>
    </x:row>
    <x:row r="1435">
      <x:c r="A1435" s="10" t="str">
        <x:v>Mortgage Overpayments Tracker, Savings, Home Loan Payments, Finance Planner, Printable, A4/A5/US Letter, Instant Download PDF</x:v>
      </x:c>
      <x:c r="B1435" s="10" t="str">
        <x:v>https://www.etsy.com/listing/1767354643/mortgage-overpayments-tracker-savings</x:v>
      </x:c>
      <x:c r="C1435" s="10" t="str">
        <x:v>DailyMadeSimple</x:v>
      </x:c>
      <x:c r="D1435" s="10" t="str">
        <x:v>https://www.etsy.com/shop/DailyMadeSimple</x:v>
      </x:c>
      <x:c r="E1435" s="11" t="n">
        <x:v>2.69</x:v>
      </x:c>
      <x:c r="F1435" s="10" t="n">
        <x:v>0</x:v>
      </x:c>
      <x:c r="G1435" s="12" t="n">
        <x:v>0</x:v>
      </x:c>
      <x:c r="H1435" s="13" t="n">
        <x:v>0</x:v>
      </x:c>
      <x:c r="I1435" s="10" t="n">
        <x:v>0</x:v>
      </x:c>
      <x:c r="J1435" s="10" t="n">
        <x:v>0</x:v>
      </x:c>
      <x:c r="K1435" s="10" t="str">
        <x:v>22 Mo.</x:v>
      </x:c>
      <x:c r="L1435" s="10" t="n">
        <x:v>2</x:v>
      </x:c>
      <x:c r="M1435" s="10" t="n">
        <x:v>0</x:v>
      </x:c>
      <x:c r="N1435" s="10" t="n">
        <x:v>25</x:v>
      </x:c>
      <x:c r="O1435" s="10" t="str">
        <x:v>Paper &amp; Party Supplies</x:v>
      </x:c>
      <x:c r="P1435" s="10" t="n">
        <x:v>24</x:v>
      </x:c>
      <x:c r="Q1435" s="10" t="n">
        <x:v>0</x:v>
      </x:c>
      <x:c r="R1435" s="13" t="n">
        <x:v>0</x:v>
      </x:c>
      <x:c r="S1435" s="10" t="n">
        <x:v>220</x:v>
      </x:c>
      <x:c r="T1435" s="10" t="str">
        <x:v>printable planner,home payments,house loan,monthly budget,mortgage tracker,personal finance,budget binder,bill tracker,debt tracker,loan payoff tracker,planner inserts,digital download,mortgage payments</x:v>
      </x:c>
      <x:c r="U1435" s="10" t="str">
        <x:v>printable planner</x:v>
      </x:c>
      <x:c r="V1435" s="10" t="str">
        <x:v>home payments</x:v>
      </x:c>
      <x:c r="W1435" s="10" t="str">
        <x:v>house loan</x:v>
      </x:c>
      <x:c r="X1435" s="10" t="str">
        <x:v>monthly budget</x:v>
      </x:c>
      <x:c r="Y1435" s="10" t="str">
        <x:v>mortgage tracker</x:v>
      </x:c>
      <x:c r="Z1435" s="10" t="str">
        <x:v>personal finance</x:v>
      </x:c>
      <x:c r="AA1435" s="10" t="str">
        <x:v>budget binder</x:v>
      </x:c>
      <x:c r="AB1435" s="10" t="str">
        <x:v>bill tracker</x:v>
      </x:c>
      <x:c r="AC1435" s="10" t="str">
        <x:v>debt tracker</x:v>
      </x:c>
      <x:c r="AD1435" s="10" t="str">
        <x:v>loan payoff tracker</x:v>
      </x:c>
      <x:c r="AE1435" s="10" t="str">
        <x:v>planner inserts</x:v>
      </x:c>
      <x:c r="AF1435" s="10" t="str">
        <x:v>digital download</x:v>
      </x:c>
      <x:c r="AG1435" s="10" t="str">
        <x:v>mortgage payments</x:v>
      </x:c>
      <x:c r="AH1435" s="10" t="str">
        <x:v>Other mortgage-related</x:v>
      </x:c>
      <x:c r="AI1435" s="13" t="n">
        <x:v>22</x:v>
      </x:c>
      <x:c r="AJ1435" s="10" t="str">
        <x:f>IF(F1435&gt;0,"Active","No est. sales")</x:f>
        <x:v>No est. sales</x:v>
      </x:c>
    </x:row>
    <x:row r="1436">
      <x:c r="A1436" s="10" t="str">
        <x:v>Mortgage House || Planner Stickers, Cute Stickers for Erin Condren (ECLP), Filofax, Kikki K, Etc. || DPS239</x:v>
      </x:c>
      <x:c r="B1436" s="10" t="str">
        <x:v>https://www.etsy.com/listing/644427189/mortgage-house-planner-stickers-cute</x:v>
      </x:c>
      <x:c r="C1436" s="10" t="str">
        <x:v>FluffymaruDesigns</x:v>
      </x:c>
      <x:c r="D1436" s="10" t="str">
        <x:v>https://www.etsy.com/shop/FluffymaruDesigns</x:v>
      </x:c>
      <x:c r="E1436" s="11" t="n">
        <x:v>1.75</x:v>
      </x:c>
      <x:c r="F1436" s="10" t="n">
        <x:v>0</x:v>
      </x:c>
      <x:c r="G1436" s="12" t="n">
        <x:v>0</x:v>
      </x:c>
      <x:c r="H1436" s="13" t="n">
        <x:v>0</x:v>
      </x:c>
      <x:c r="I1436" s="10" t="n">
        <x:v>11</x:v>
      </x:c>
      <x:c r="J1436" s="10" t="n">
        <x:v>3</x:v>
      </x:c>
      <x:c r="K1436" s="10" t="str">
        <x:v>82 Mo.</x:v>
      </x:c>
      <x:c r="L1436" s="10" t="n">
        <x:v>12</x:v>
      </x:c>
      <x:c r="M1436" s="10" t="n">
        <x:v>0</x:v>
      </x:c>
      <x:c r="N1436" s="10" t="n">
        <x:v>113</x:v>
      </x:c>
      <x:c r="O1436" s="10" t="str">
        <x:v>Paper &amp; Party Supplies</x:v>
      </x:c>
      <x:c r="P1436" s="10" t="n">
        <x:v>131</x:v>
      </x:c>
      <x:c r="Q1436" s="10" t="n">
        <x:v>0</x:v>
      </x:c>
      <x:c r="R1436" s="13" t="n">
        <x:v>9.73</x:v>
      </x:c>
      <x:c r="S1436" s="10" t="n">
        <x:v>30319</x:v>
      </x:c>
      <x:c r="T1436" s="10" t="str">
        <x:v>erin condren,kikki k,filofax,life planner,happy planner,planner sticker,planner,sticker,cute sticker,planning,mortgage,bills,house</x:v>
      </x:c>
      <x:c r="U1436" s="10" t="str">
        <x:v>erin condren</x:v>
      </x:c>
      <x:c r="V1436" s="10" t="str">
        <x:v>kikki k</x:v>
      </x:c>
      <x:c r="W1436" s="10" t="str">
        <x:v>filofax</x:v>
      </x:c>
      <x:c r="X1436" s="10" t="str">
        <x:v>life planner</x:v>
      </x:c>
      <x:c r="Y1436" s="10" t="str">
        <x:v>happy planner</x:v>
      </x:c>
      <x:c r="Z1436" s="10" t="str">
        <x:v>planner sticker</x:v>
      </x:c>
      <x:c r="AA1436" s="10" t="str">
        <x:v>planner</x:v>
      </x:c>
      <x:c r="AB1436" s="10" t="str">
        <x:v>sticker</x:v>
      </x:c>
      <x:c r="AC1436" s="10" t="str">
        <x:v>cute sticker</x:v>
      </x:c>
      <x:c r="AD1436" s="10" t="str">
        <x:v>planning</x:v>
      </x:c>
      <x:c r="AE1436" s="10" t="str">
        <x:v>mortgage</x:v>
      </x:c>
      <x:c r="AF1436" s="10" t="str">
        <x:v>bills</x:v>
      </x:c>
      <x:c r="AG1436" s="10" t="str">
        <x:v>house</x:v>
      </x:c>
      <x:c r="AH1436" s="10" t="str">
        <x:v>Other mortgage-related</x:v>
      </x:c>
      <x:c r="AI1436" s="13" t="n">
        <x:v>82</x:v>
      </x:c>
      <x:c r="AJ1436" s="10" t="str">
        <x:f>IF(F1436&gt;0,"Active","No est. sales")</x:f>
        <x:v>No est. sales</x:v>
      </x:c>
    </x:row>
    <x:row r="1437">
      <x:c r="A1437" s="10" t="str">
        <x:v>Debt Destroyer Tracker, Snowball Spreadsheet, Debt Payoff Tracker, Debt Snowball Calculator, Debt Planner, Mortgage | Brown</x:v>
      </x:c>
      <x:c r="B1437" s="10" t="str">
        <x:v>https://www.etsy.com/listing/1475007647/debt-destroyer-tracker-snowball</x:v>
      </x:c>
      <x:c r="C1437" s="10" t="str">
        <x:v>michaelrusli</x:v>
      </x:c>
      <x:c r="D1437" s="10" t="str">
        <x:v>https://www.etsy.com/shop/michaelrusli</x:v>
      </x:c>
      <x:c r="E1437" s="11" t="n">
        <x:v>22.85</x:v>
      </x:c>
      <x:c r="F1437" s="10" t="n">
        <x:v>0</x:v>
      </x:c>
      <x:c r="G1437" s="12" t="n">
        <x:v>0</x:v>
      </x:c>
      <x:c r="H1437" s="13" t="n">
        <x:v>0</x:v>
      </x:c>
      <x:c r="I1437" s="10" t="n">
        <x:v>60</x:v>
      </x:c>
      <x:c r="J1437" s="10" t="n">
        <x:v>2</x:v>
      </x:c>
      <x:c r="K1437" s="10" t="str">
        <x:v>28 Mo.</x:v>
      </x:c>
      <x:c r="L1437" s="10" t="n">
        <x:v>27</x:v>
      </x:c>
      <x:c r="M1437" s="10" t="n">
        <x:v>0</x:v>
      </x:c>
      <x:c r="N1437" s="10" t="n">
        <x:v>2369</x:v>
      </x:c>
      <x:c r="O1437" s="10" t="str"/>
      <x:c r="P1437" s="10" t="n">
        <x:v>38</x:v>
      </x:c>
      <x:c r="Q1437" s="10" t="n">
        <x:v>33</x:v>
      </x:c>
      <x:c r="R1437" s="13" t="n">
        <x:v>2.53</x:v>
      </x:c>
      <x:c r="S1437" s="10" t="n">
        <x:v>6524</x:v>
      </x:c>
      <x:c r="T1437" s="10" t="str">
        <x:v>budgeting spreadsheet,debt calculator,debt tracker,debt payment tracker,excel spreadsheet,debt repayment tool</x:v>
      </x:c>
      <x:c r="U1437" s="10" t="str">
        <x:v>budgeting spreadsheet</x:v>
      </x:c>
      <x:c r="V1437" s="10" t="str">
        <x:v>debt calculator</x:v>
      </x:c>
      <x:c r="W1437" s="10" t="str">
        <x:v>debt tracker</x:v>
      </x:c>
      <x:c r="X1437" s="10" t="str">
        <x:v>debt payment tracker</x:v>
      </x:c>
      <x:c r="Y1437" s="10" t="str">
        <x:v>excel spreadsheet</x:v>
      </x:c>
      <x:c r="Z1437" s="10" t="str">
        <x:v>debt repayment tool</x:v>
      </x:c>
      <x:c r="AA1437" s="10" t="str">
        <x:v>--</x:v>
      </x:c>
      <x:c r="AB1437" s="10" t="str">
        <x:v>--</x:v>
      </x:c>
      <x:c r="AC1437" s="10" t="str">
        <x:v>--</x:v>
      </x:c>
      <x:c r="AD1437" s="10" t="str">
        <x:v>--</x:v>
      </x:c>
      <x:c r="AE1437" s="10" t="str">
        <x:v>--</x:v>
      </x:c>
      <x:c r="AF1437" s="10" t="str">
        <x:v>--</x:v>
      </x:c>
      <x:c r="AG1437" s="10" t="str">
        <x:v>--</x:v>
      </x:c>
      <x:c r="AH1437" s="10" t="str">
        <x:v>General debt payoff</x:v>
      </x:c>
      <x:c r="AI1437" s="13" t="n">
        <x:v>28</x:v>
      </x:c>
      <x:c r="AJ1437" s="10" t="str">
        <x:f>IF(F1437&gt;0,"Active","No est. sales")</x:f>
        <x:v>No est. sales</x:v>
      </x:c>
    </x:row>
    <x:row r="1438">
      <x:c r="A1438" s="10" t="str">
        <x:v>Home Buying Planner Notion Template | Mortgage Tracker First Time Buyer House Hunting Digital Organizer</x:v>
      </x:c>
      <x:c r="B1438" s="10" t="str">
        <x:v>https://www.etsy.com/listing/4532826035/home-buying-planner-notion-template</x:v>
      </x:c>
      <x:c r="C1438" s="10" t="str">
        <x:v>LPPrintStudio</x:v>
      </x:c>
      <x:c r="D1438" s="10" t="str">
        <x:v>https://www.etsy.com/shop/LPPrintStudio</x:v>
      </x:c>
      <x:c r="E1438" s="11" t="n">
        <x:v>30.87</x:v>
      </x:c>
      <x:c r="F1438" s="10" t="n">
        <x:v>0</x:v>
      </x:c>
      <x:c r="G1438" s="12" t="n">
        <x:v>0</x:v>
      </x:c>
      <x:c r="H1438" s="13" t="n">
        <x:v>0</x:v>
      </x:c>
      <x:c r="I1438" s="10" t="n">
        <x:v>0</x:v>
      </x:c>
      <x:c r="J1438" s="10" t="n">
        <x:v>0</x:v>
      </x:c>
      <x:c r="K1438" s="10" t="str">
        <x:v>1 Mo.</x:v>
      </x:c>
      <x:c r="L1438" s="10" t="n">
        <x:v>0</x:v>
      </x:c>
      <x:c r="M1438" s="10" t="n">
        <x:v>0</x:v>
      </x:c>
      <x:c r="N1438" s="10" t="n">
        <x:v>0</x:v>
      </x:c>
      <x:c r="O1438" s="10" t="str">
        <x:v>Paper &amp; Party Supplies</x:v>
      </x:c>
      <x:c r="P1438" s="10" t="n">
        <x:v>9</x:v>
      </x:c>
      <x:c r="Q1438" s="10" t="n">
        <x:v>0</x:v>
      </x:c>
      <x:c r="R1438" s="13" t="n">
        <x:v>0</x:v>
      </x:c>
      <x:c r="S1438" s="10" t="n">
        <x:v>0</x:v>
      </x:c>
      <x:c r="T1438" s="10" t="str">
        <x:v>home buying planner,mortgage tracker,first time buyer,home buyer notion,mortgage organizer,house hunting tool,closing cost tracker,real estate template,home offer tracker,property search,mortgage comparison,home budget planner,digital home planner</x:v>
      </x:c>
      <x:c r="U1438" s="10" t="str">
        <x:v>home buying planner</x:v>
      </x:c>
      <x:c r="V1438" s="10" t="str">
        <x:v>mortgage tracker</x:v>
      </x:c>
      <x:c r="W1438" s="10" t="str">
        <x:v>first time buyer</x:v>
      </x:c>
      <x:c r="X1438" s="10" t="str">
        <x:v>home buyer notion</x:v>
      </x:c>
      <x:c r="Y1438" s="10" t="str">
        <x:v>mortgage organizer</x:v>
      </x:c>
      <x:c r="Z1438" s="10" t="str">
        <x:v>house hunting tool</x:v>
      </x:c>
      <x:c r="AA1438" s="10" t="str">
        <x:v>closing cost tracker</x:v>
      </x:c>
      <x:c r="AB1438" s="10" t="str">
        <x:v>real estate template</x:v>
      </x:c>
      <x:c r="AC1438" s="10" t="str">
        <x:v>home offer tracker</x:v>
      </x:c>
      <x:c r="AD1438" s="10" t="str">
        <x:v>property search</x:v>
      </x:c>
      <x:c r="AE1438" s="10" t="str">
        <x:v>mortgage comparison</x:v>
      </x:c>
      <x:c r="AF1438" s="10" t="str">
        <x:v>home budget planner</x:v>
      </x:c>
      <x:c r="AG1438" s="10" t="str">
        <x:v>digital home planner</x:v>
      </x:c>
      <x:c r="AH1438" s="10" t="str">
        <x:v>Home buying planner</x:v>
      </x:c>
      <x:c r="AI1438" s="13" t="n">
        <x:v>1</x:v>
      </x:c>
      <x:c r="AJ1438" s="10" t="str">
        <x:f>IF(F1438&gt;0,"Active","No est. sales")</x:f>
        <x:v>No est. sales</x:v>
      </x:c>
    </x:row>
    <x:row r="1439">
      <x:c r="A1439" s="10" t="str">
        <x:v>Google Sheets Debt Snowball Calculator in Pastel, Credit Card Payoff Tracker, Loan Repayment Spreadsheet</x:v>
      </x:c>
      <x:c r="B1439" s="10" t="str">
        <x:v>https://www.etsy.com/listing/4392994320/google-sheets-debt-snowball-calculator</x:v>
      </x:c>
      <x:c r="C1439" s="10" t="str">
        <x:v>TheBudgetingStudio</x:v>
      </x:c>
      <x:c r="D1439" s="10" t="str">
        <x:v>https://www.etsy.com/shop/TheBudgetingStudio</x:v>
      </x:c>
      <x:c r="E1439" s="11" t="n">
        <x:v>3.91</x:v>
      </x:c>
      <x:c r="F1439" s="10" t="n">
        <x:v>0</x:v>
      </x:c>
      <x:c r="G1439" s="12" t="n">
        <x:v>0</x:v>
      </x:c>
      <x:c r="H1439" s="13" t="n">
        <x:v>0</x:v>
      </x:c>
      <x:c r="I1439" s="10" t="n">
        <x:v>0</x:v>
      </x:c>
      <x:c r="J1439" s="10" t="n">
        <x:v>0</x:v>
      </x:c>
      <x:c r="K1439" s="10" t="str">
        <x:v>8 Mo.</x:v>
      </x:c>
      <x:c r="L1439" s="10" t="n">
        <x:v>1</x:v>
      </x:c>
      <x:c r="M1439" s="10" t="n">
        <x:v>0</x:v>
      </x:c>
      <x:c r="N1439" s="10" t="n">
        <x:v>70</x:v>
      </x:c>
      <x:c r="O1439" s="10" t="str"/>
      <x:c r="P1439" s="10" t="n">
        <x:v>8</x:v>
      </x:c>
      <x:c r="Q1439" s="10" t="n">
        <x:v>0</x:v>
      </x:c>
      <x:c r="R1439" s="13" t="n">
        <x:v>0</x:v>
      </x:c>
      <x:c r="S1439" s="10" t="n">
        <x:v>6</x:v>
      </x:c>
      <x:c r="T1439" s="10" t="str">
        <x:v>snowball calculator,debt snowball,house payoff tracker,car payoff tracker,student loan payoff,mortgage payoff,snowball method,credit card debt,debt google sheets,debt free planner,dave ramsey,financial freedom,personal finance</x:v>
      </x:c>
      <x:c r="U1439" s="10" t="str">
        <x:v>snowball calculator</x:v>
      </x:c>
      <x:c r="V1439" s="10" t="str">
        <x:v>debt snowball</x:v>
      </x:c>
      <x:c r="W1439" s="10" t="str">
        <x:v>house payoff tracker</x:v>
      </x:c>
      <x:c r="X1439" s="10" t="str">
        <x:v>car payoff tracker</x:v>
      </x:c>
      <x:c r="Y1439" s="10" t="str">
        <x:v>student loan payoff</x:v>
      </x:c>
      <x:c r="Z1439" s="10" t="str">
        <x:v>mortgage payoff</x:v>
      </x:c>
      <x:c r="AA1439" s="10" t="str">
        <x:v>snowball method</x:v>
      </x:c>
      <x:c r="AB1439" s="10" t="str">
        <x:v>credit card debt</x:v>
      </x:c>
      <x:c r="AC1439" s="10" t="str">
        <x:v>debt google sheets</x:v>
      </x:c>
      <x:c r="AD1439" s="10" t="str">
        <x:v>debt free planner</x:v>
      </x:c>
      <x:c r="AE1439" s="10" t="str">
        <x:v>dave ramsey</x:v>
      </x:c>
      <x:c r="AF1439" s="10" t="str">
        <x:v>financial freedom</x:v>
      </x:c>
      <x:c r="AG1439" s="10" t="str">
        <x:v>personal finance</x:v>
      </x:c>
      <x:c r="AH1439" s="10" t="str">
        <x:v>General debt payoff</x:v>
      </x:c>
      <x:c r="AI1439" s="13" t="n">
        <x:v>8</x:v>
      </x:c>
      <x:c r="AJ1439" s="10" t="str">
        <x:f>IF(F1439&gt;0,"Active","No est. sales")</x:f>
        <x:v>No est. sales</x:v>
      </x:c>
    </x:row>
    <x:row r="1440">
      <x:c r="A1440" s="10" t="str">
        <x:v>Mortgage Tracker Template, Editable Google Sheet for Loan Repayment, Homeowner Budget, Financial Tracker, Mortgage Progress Log</x:v>
      </x:c>
      <x:c r="B1440" s="10" t="str">
        <x:v>https://www.etsy.com/listing/1850160094/mortgage-tracker-template-editable</x:v>
      </x:c>
      <x:c r="C1440" s="10" t="str">
        <x:v>StudioSamharDigital</x:v>
      </x:c>
      <x:c r="D1440" s="10" t="str">
        <x:v>https://www.etsy.com/shop/StudioSamharDigital</x:v>
      </x:c>
      <x:c r="E1440" s="11" t="n">
        <x:v>8.61</x:v>
      </x:c>
      <x:c r="F1440" s="10" t="n">
        <x:v>0</x:v>
      </x:c>
      <x:c r="G1440" s="12" t="n">
        <x:v>0</x:v>
      </x:c>
      <x:c r="H1440" s="13" t="n">
        <x:v>0</x:v>
      </x:c>
      <x:c r="I1440" s="10" t="n">
        <x:v>0</x:v>
      </x:c>
      <x:c r="J1440" s="10" t="n">
        <x:v>0</x:v>
      </x:c>
      <x:c r="K1440" s="10" t="str">
        <x:v>18 Mo.</x:v>
      </x:c>
      <x:c r="L1440" s="10" t="n">
        <x:v>4</x:v>
      </x:c>
      <x:c r="M1440" s="10" t="n">
        <x:v>0</x:v>
      </x:c>
      <x:c r="N1440" s="10" t="n">
        <x:v>89</x:v>
      </x:c>
      <x:c r="O1440" s="10" t="str">
        <x:v>Paper &amp; Party Supplies</x:v>
      </x:c>
      <x:c r="P1440" s="10" t="n">
        <x:v>22</x:v>
      </x:c>
      <x:c r="Q1440" s="10" t="n">
        <x:v>0</x:v>
      </x:c>
      <x:c r="R1440" s="13" t="n">
        <x:v>0</x:v>
      </x:c>
      <x:c r="S1440" s="10" t="n">
        <x:v>964</x:v>
      </x:c>
      <x:c r="T1440" s="10" t="str">
        <x:v>loan repayment sheet,debt payment planner,mortgage tracker,loan tracker edit,google sheets temp,home payment tool,financial tracker,mortgage progress,digital file log,homeowner budget,mortgage log easy,tracker sheet edit,financial templat</x:v>
      </x:c>
      <x:c r="U1440" s="10" t="str">
        <x:v>loan repayment sheet</x:v>
      </x:c>
      <x:c r="V1440" s="10" t="str">
        <x:v>debt payment planner</x:v>
      </x:c>
      <x:c r="W1440" s="10" t="str">
        <x:v>mortgage tracker</x:v>
      </x:c>
      <x:c r="X1440" s="10" t="str">
        <x:v>loan tracker edit</x:v>
      </x:c>
      <x:c r="Y1440" s="10" t="str">
        <x:v>google sheets temp</x:v>
      </x:c>
      <x:c r="Z1440" s="10" t="str">
        <x:v>home payment tool</x:v>
      </x:c>
      <x:c r="AA1440" s="10" t="str">
        <x:v>financial tracker</x:v>
      </x:c>
      <x:c r="AB1440" s="10" t="str">
        <x:v>mortgage progress</x:v>
      </x:c>
      <x:c r="AC1440" s="10" t="str">
        <x:v>digital file log</x:v>
      </x:c>
      <x:c r="AD1440" s="10" t="str">
        <x:v>homeowner budget</x:v>
      </x:c>
      <x:c r="AE1440" s="10" t="str">
        <x:v>mortgage log easy</x:v>
      </x:c>
      <x:c r="AF1440" s="10" t="str">
        <x:v>tracker sheet edit</x:v>
      </x:c>
      <x:c r="AG1440" s="10" t="str">
        <x:v>financial templat</x:v>
      </x:c>
      <x:c r="AH1440" s="10" t="str">
        <x:v>General loan calculator</x:v>
      </x:c>
      <x:c r="AI1440" s="13" t="n">
        <x:v>18</x:v>
      </x:c>
      <x:c r="AJ1440" s="10" t="str">
        <x:f>IF(F1440&gt;0,"Active","No est. sales")</x:f>
        <x:v>No est. sales</x:v>
      </x:c>
    </x:row>
    <x:row r="1441">
      <x:c r="A1441" s="10" t="str">
        <x:v>Debt Payoff Tracker Printable Fillable PDF, Monthly Debt Payment Log, Bill Tracker, Income and Expense Tracker, Budget by Paycheck</x:v>
      </x:c>
      <x:c r="B1441" s="10" t="str">
        <x:v>https://www.etsy.com/listing/1584899264/debt-payoff-tracker-printable-fillable</x:v>
      </x:c>
      <x:c r="C1441" s="10" t="str">
        <x:v>PlanLifePrints</x:v>
      </x:c>
      <x:c r="D1441" s="10" t="str">
        <x:v>https://www.etsy.com/shop/PlanLifePrints</x:v>
      </x:c>
      <x:c r="E1441" s="11" t="n">
        <x:v>1.42</x:v>
      </x:c>
      <x:c r="F1441" s="10" t="n">
        <x:v>0</x:v>
      </x:c>
      <x:c r="G1441" s="12" t="n">
        <x:v>0</x:v>
      </x:c>
      <x:c r="H1441" s="13" t="n">
        <x:v>0</x:v>
      </x:c>
      <x:c r="I1441" s="10" t="n">
        <x:v>0</x:v>
      </x:c>
      <x:c r="J1441" s="10" t="n">
        <x:v>0</x:v>
      </x:c>
      <x:c r="K1441" s="10" t="str">
        <x:v>33 Mo.</x:v>
      </x:c>
      <x:c r="L1441" s="10" t="n">
        <x:v>1</x:v>
      </x:c>
      <x:c r="M1441" s="10" t="n">
        <x:v>0</x:v>
      </x:c>
      <x:c r="N1441" s="10" t="n">
        <x:v>28</x:v>
      </x:c>
      <x:c r="O1441" s="10" t="str">
        <x:v>Paper &amp; Party Supplies</x:v>
      </x:c>
      <x:c r="P1441" s="10" t="n">
        <x:v>44</x:v>
      </x:c>
      <x:c r="Q1441" s="10" t="n">
        <x:v>0</x:v>
      </x:c>
      <x:c r="R1441" s="13" t="n">
        <x:v>0</x:v>
      </x:c>
      <x:c r="S1441" s="10" t="n">
        <x:v>406</x:v>
      </x:c>
      <x:c r="T1441" s="10" t="str">
        <x:v>debt repayment,debt snowball,car loan tracker,finance planner,credit card payoff,mortgage payoff,debt management,payment log,debt payoff tracker,debt payoff chart,budget by paycheck,dave ramsey budget,expense tracker</x:v>
      </x:c>
      <x:c r="U1441" s="10" t="str">
        <x:v>debt repayment</x:v>
      </x:c>
      <x:c r="V1441" s="10" t="str">
        <x:v>debt snowball</x:v>
      </x:c>
      <x:c r="W1441" s="10" t="str">
        <x:v>car loan tracker</x:v>
      </x:c>
      <x:c r="X1441" s="10" t="str">
        <x:v>finance planner</x:v>
      </x:c>
      <x:c r="Y1441" s="10" t="str">
        <x:v>credit card payoff</x:v>
      </x:c>
      <x:c r="Z1441" s="10" t="str">
        <x:v>mortgage payoff</x:v>
      </x:c>
      <x:c r="AA1441" s="10" t="str">
        <x:v>debt management</x:v>
      </x:c>
      <x:c r="AB1441" s="10" t="str">
        <x:v>payment log</x:v>
      </x:c>
      <x:c r="AC1441" s="10" t="str">
        <x:v>debt payoff tracker</x:v>
      </x:c>
      <x:c r="AD1441" s="10" t="str">
        <x:v>debt payoff chart</x:v>
      </x:c>
      <x:c r="AE1441" s="10" t="str">
        <x:v>budget by paycheck</x:v>
      </x:c>
      <x:c r="AF1441" s="10" t="str">
        <x:v>dave ramsey budget</x:v>
      </x:c>
      <x:c r="AG1441" s="10" t="str">
        <x:v>expense tracker</x:v>
      </x:c>
      <x:c r="AH1441" s="10" t="str">
        <x:v>General debt payoff</x:v>
      </x:c>
      <x:c r="AI1441" s="13" t="n">
        <x:v>33</x:v>
      </x:c>
      <x:c r="AJ1441" s="10" t="str">
        <x:f>IF(F1441&gt;0,"Active","No est. sales")</x:f>
        <x:v>No est. sales</x:v>
      </x:c>
    </x:row>
    <x:row r="1442">
      <x:c r="A1442" s="10" t="str">
        <x:v>S-551 - Mortgage Banner Tag Flags Planner Stickers - Budget Planner Stickers, Bill Due Sticker, Use for Erin Condren, Happy, Plum Paper</x:v>
      </x:c>
      <x:c r="B1442" s="10" t="str">
        <x:v>https://www.etsy.com/listing/236133185/s-551-mortgage-banner-tag-flags-planner</x:v>
      </x:c>
      <x:c r="C1442" s="10" t="str">
        <x:v>lilygrovedesigns</x:v>
      </x:c>
      <x:c r="D1442" s="10" t="str">
        <x:v>https://www.etsy.com/shop/lilygrovedesigns</x:v>
      </x:c>
      <x:c r="E1442" s="11" t="n">
        <x:v>5</x:v>
      </x:c>
      <x:c r="F1442" s="10" t="n">
        <x:v>0</x:v>
      </x:c>
      <x:c r="G1442" s="12" t="n">
        <x:v>0</x:v>
      </x:c>
      <x:c r="H1442" s="13" t="n">
        <x:v>0</x:v>
      </x:c>
      <x:c r="I1442" s="10" t="n">
        <x:v>76</x:v>
      </x:c>
      <x:c r="J1442" s="10" t="n">
        <x:v>17</x:v>
      </x:c>
      <x:c r="K1442" s="10" t="str">
        <x:v>133 Mo.</x:v>
      </x:c>
      <x:c r="L1442" s="10" t="n">
        <x:v>67</x:v>
      </x:c>
      <x:c r="M1442" s="10" t="n">
        <x:v>0</x:v>
      </x:c>
      <x:c r="N1442" s="10" t="n">
        <x:v>657</x:v>
      </x:c>
      <x:c r="O1442" s="10" t="str">
        <x:v>Paper &amp; Party Supplies</x:v>
      </x:c>
      <x:c r="P1442" s="10" t="n">
        <x:v>175</x:v>
      </x:c>
      <x:c r="Q1442" s="10" t="n">
        <x:v>0</x:v>
      </x:c>
      <x:c r="R1442" s="13" t="n">
        <x:v>11.57</x:v>
      </x:c>
      <x:c r="S1442" s="10" t="n">
        <x:v>26821</x:v>
      </x:c>
      <x:c r="T1442" s="10" t="str">
        <x:v>stickers,planner stickers,plum paper planner,life planner,erin condren,banner,petite planner,money,budget planner,budget sticker,bill planner sticker,mortgage sticker</x:v>
      </x:c>
      <x:c r="U1442" s="10" t="str">
        <x:v>stickers</x:v>
      </x:c>
      <x:c r="V1442" s="10" t="str">
        <x:v>planner stickers</x:v>
      </x:c>
      <x:c r="W1442" s="10" t="str">
        <x:v>plum paper planner</x:v>
      </x:c>
      <x:c r="X1442" s="10" t="str">
        <x:v>life planner</x:v>
      </x:c>
      <x:c r="Y1442" s="10" t="str">
        <x:v>erin condren</x:v>
      </x:c>
      <x:c r="Z1442" s="10" t="str">
        <x:v>banner</x:v>
      </x:c>
      <x:c r="AA1442" s="10" t="str">
        <x:v>petite planner</x:v>
      </x:c>
      <x:c r="AB1442" s="10" t="str">
        <x:v>money</x:v>
      </x:c>
      <x:c r="AC1442" s="10" t="str">
        <x:v>budget planner</x:v>
      </x:c>
      <x:c r="AD1442" s="10" t="str">
        <x:v>budget sticker</x:v>
      </x:c>
      <x:c r="AE1442" s="10" t="str">
        <x:v>bill planner sticker</x:v>
      </x:c>
      <x:c r="AF1442" s="10" t="str">
        <x:v>mortgage sticker</x:v>
      </x:c>
      <x:c r="AG1442" s="10" t="str">
        <x:v>--</x:v>
      </x:c>
      <x:c r="AH1442" s="10" t="str">
        <x:v>Other mortgage-related</x:v>
      </x:c>
      <x:c r="AI1442" s="13" t="n">
        <x:v>133</x:v>
      </x:c>
      <x:c r="AJ1442" s="10" t="str">
        <x:f>IF(F1442&gt;0,"Active","No est. sales")</x:f>
        <x:v>No est. sales</x:v>
      </x:c>
    </x:row>
    <x:row r="1443">
      <x:c r="A1443" s="10" t="str">
        <x:v>Debt Tracker Finance Templates Excel Spreadsheet | Debt Payoff, Loan, Credit Card, Mortgage &amp; Budget Tracker Bundle of 9 Google Sheets PDF</x:v>
      </x:c>
      <x:c r="B1443" s="10" t="str">
        <x:v>https://www.etsy.com/listing/4446141559/nonprofit-operating-budget-template</x:v>
      </x:c>
      <x:c r="C1443" s="10" t="str">
        <x:v>DeskoraPK</x:v>
      </x:c>
      <x:c r="D1443" s="10" t="str">
        <x:v>https://www.etsy.com/shop/DeskoraPK</x:v>
      </x:c>
      <x:c r="E1443" s="11" t="n">
        <x:v>5.99</x:v>
      </x:c>
      <x:c r="F1443" s="10" t="n">
        <x:v>0</x:v>
      </x:c>
      <x:c r="G1443" s="12" t="n">
        <x:v>0</x:v>
      </x:c>
      <x:c r="H1443" s="13" t="n">
        <x:v>0</x:v>
      </x:c>
      <x:c r="I1443" s="10" t="n">
        <x:v>0</x:v>
      </x:c>
      <x:c r="J1443" s="10" t="n">
        <x:v>0</x:v>
      </x:c>
      <x:c r="K1443" s="10" t="str">
        <x:v>6 Mo.</x:v>
      </x:c>
      <x:c r="L1443" s="10" t="n">
        <x:v>1</x:v>
      </x:c>
      <x:c r="M1443" s="10" t="n">
        <x:v>0</x:v>
      </x:c>
      <x:c r="N1443" s="10" t="n">
        <x:v>39</x:v>
      </x:c>
      <x:c r="O1443" s="10" t="str"/>
      <x:c r="P1443" s="10" t="n">
        <x:v>6</x:v>
      </x:c>
      <x:c r="Q1443" s="10" t="n">
        <x:v>0</x:v>
      </x:c>
      <x:c r="R1443" s="13" t="n">
        <x:v>0</x:v>
      </x:c>
      <x:c r="S1443" s="10" t="n">
        <x:v>76</x:v>
      </x:c>
      <x:c r="T1443" s="10" t="str">
        <x:v>debt tracker,debt payoff,loan tracker,budget planner,credit tracker,mortgage tracker,excel budget,google sheets,finance tracker,debt spreadsheet,money tracker,budget template,debt planner</x:v>
      </x:c>
      <x:c r="U1443" s="10" t="str">
        <x:v>debt tracker</x:v>
      </x:c>
      <x:c r="V1443" s="10" t="str">
        <x:v>debt payoff</x:v>
      </x:c>
      <x:c r="W1443" s="10" t="str">
        <x:v>loan tracker</x:v>
      </x:c>
      <x:c r="X1443" s="10" t="str">
        <x:v>budget planner</x:v>
      </x:c>
      <x:c r="Y1443" s="10" t="str">
        <x:v>credit tracker</x:v>
      </x:c>
      <x:c r="Z1443" s="10" t="str">
        <x:v>mortgage tracker</x:v>
      </x:c>
      <x:c r="AA1443" s="10" t="str">
        <x:v>excel budget</x:v>
      </x:c>
      <x:c r="AB1443" s="10" t="str">
        <x:v>google sheets</x:v>
      </x:c>
      <x:c r="AC1443" s="10" t="str">
        <x:v>finance tracker</x:v>
      </x:c>
      <x:c r="AD1443" s="10" t="str">
        <x:v>debt spreadsheet</x:v>
      </x:c>
      <x:c r="AE1443" s="10" t="str">
        <x:v>money tracker</x:v>
      </x:c>
      <x:c r="AF1443" s="10" t="str">
        <x:v>budget template</x:v>
      </x:c>
      <x:c r="AG1443" s="10" t="str">
        <x:v>debt planner</x:v>
      </x:c>
      <x:c r="AH1443" s="10" t="str">
        <x:v>General debt payoff</x:v>
      </x:c>
      <x:c r="AI1443" s="13" t="n">
        <x:v>6</x:v>
      </x:c>
      <x:c r="AJ1443" s="10" t="str">
        <x:f>IF(F1443&gt;0,"Active","No est. sales")</x:f>
        <x:v>No est. sales</x:v>
      </x:c>
    </x:row>
    <x:row r="1444">
      <x:c r="A1444" s="10" t="str">
        <x:v>New Homeowner Spreadsheet Bundle | Buying, Moving, Renovation Budget (Excel, Google Sheets)</x:v>
      </x:c>
      <x:c r="B1444" s="10" t="str">
        <x:v>https://www.etsy.com/listing/4541356489/new-homeowner-spreadsheet-bundle-buying</x:v>
      </x:c>
      <x:c r="C1444" s="10" t="str">
        <x:v>SortedAndSweetCo</x:v>
      </x:c>
      <x:c r="D1444" s="10" t="str">
        <x:v>https://www.etsy.com/shop/SortedAndSweetCo</x:v>
      </x:c>
      <x:c r="E1444" s="11" t="n">
        <x:v>19.99</x:v>
      </x:c>
      <x:c r="F1444" s="10" t="n">
        <x:v>0</x:v>
      </x:c>
      <x:c r="G1444" s="12" t="n">
        <x:v>0</x:v>
      </x:c>
      <x:c r="H1444" s="13" t="n">
        <x:v>0</x:v>
      </x:c>
      <x:c r="I1444" s="10" t="n">
        <x:v>0</x:v>
      </x:c>
      <x:c r="J1444" s="10" t="n">
        <x:v>0</x:v>
      </x:c>
      <x:c r="K1444" s="10" t="str">
        <x:v>1 Mo.</x:v>
      </x:c>
      <x:c r="L1444" s="10" t="n">
        <x:v>0</x:v>
      </x:c>
      <x:c r="M1444" s="10" t="n">
        <x:v>0</x:v>
      </x:c>
      <x:c r="N1444" s="10" t="n">
        <x:v>0</x:v>
      </x:c>
      <x:c r="O1444" s="10" t="str"/>
      <x:c r="P1444" s="10" t="n">
        <x:v>0</x:v>
      </x:c>
      <x:c r="Q1444" s="10" t="n">
        <x:v>0</x:v>
      </x:c>
      <x:c r="R1444" s="13" t="n">
        <x:v>0</x:v>
      </x:c>
      <x:c r="S1444" s="10" t="n">
        <x:v>0</x:v>
      </x:c>
      <x:c r="T1444" s="10" t="str">
        <x:v>new homeowner,home buying,renovation budget,moving planner,mortgage calculator,homeowner bundle,home budget,house planner,google sheets,first home,remodel tracker,spreadsheet bundle,new home kit</x:v>
      </x:c>
      <x:c r="U1444" s="10" t="str">
        <x:v>new homeowner</x:v>
      </x:c>
      <x:c r="V1444" s="10" t="str">
        <x:v>home buying</x:v>
      </x:c>
      <x:c r="W1444" s="10" t="str">
        <x:v>renovation budget</x:v>
      </x:c>
      <x:c r="X1444" s="10" t="str">
        <x:v>moving planner</x:v>
      </x:c>
      <x:c r="Y1444" s="10" t="str">
        <x:v>mortgage calculator</x:v>
      </x:c>
      <x:c r="Z1444" s="10" t="str">
        <x:v>homeowner bundle</x:v>
      </x:c>
      <x:c r="AA1444" s="10" t="str">
        <x:v>home budget</x:v>
      </x:c>
      <x:c r="AB1444" s="10" t="str">
        <x:v>house planner</x:v>
      </x:c>
      <x:c r="AC1444" s="10" t="str">
        <x:v>google sheets</x:v>
      </x:c>
      <x:c r="AD1444" s="10" t="str">
        <x:v>first home</x:v>
      </x:c>
      <x:c r="AE1444" s="10" t="str">
        <x:v>remodel tracker</x:v>
      </x:c>
      <x:c r="AF1444" s="10" t="str">
        <x:v>spreadsheet bundle</x:v>
      </x:c>
      <x:c r="AG1444" s="10" t="str">
        <x:v>new home kit</x:v>
      </x:c>
      <x:c r="AH1444" s="10" t="str">
        <x:v>Other mortgage-related</x:v>
      </x:c>
      <x:c r="AI1444" s="13" t="n">
        <x:v>1</x:v>
      </x:c>
      <x:c r="AJ1444" s="10" t="str">
        <x:f>IF(F1444&gt;0,"Active","No est. sales")</x:f>
        <x:v>No est. sales</x:v>
      </x:c>
    </x:row>
    <x:row r="1445">
      <x:c r="A1445" s="10" t="str">
        <x:v>Complete Paycheck Budget Spreadsheet for Google Sheets Automated Financial Management Template for Bloggers and Influencers Customizable Use</x:v>
      </x:c>
      <x:c r="B1445" s="10" t="str">
        <x:v>https://www.etsy.com/listing/1754441833/complete-paycheck-budget-spreadsheet-for</x:v>
      </x:c>
      <x:c r="C1445" s="10" t="str">
        <x:v>BlushDesignTemplates</x:v>
      </x:c>
      <x:c r="D1445" s="10" t="str">
        <x:v>https://www.etsy.com/shop/BlushDesignTemplates</x:v>
      </x:c>
      <x:c r="E1445" s="11" t="n">
        <x:v>3.3</x:v>
      </x:c>
      <x:c r="F1445" s="10" t="n">
        <x:v>0</x:v>
      </x:c>
      <x:c r="G1445" s="12" t="n">
        <x:v>0</x:v>
      </x:c>
      <x:c r="H1445" s="13" t="n">
        <x:v>0</x:v>
      </x:c>
      <x:c r="I1445" s="10" t="n">
        <x:v>42</x:v>
      </x:c>
      <x:c r="J1445" s="10" t="n">
        <x:v>3</x:v>
      </x:c>
      <x:c r="K1445" s="10" t="str">
        <x:v>25 Mo.</x:v>
      </x:c>
      <x:c r="L1445" s="10" t="n">
        <x:v>37</x:v>
      </x:c>
      <x:c r="M1445" s="10" t="n">
        <x:v>0</x:v>
      </x:c>
      <x:c r="N1445" s="10" t="n">
        <x:v>878</x:v>
      </x:c>
      <x:c r="O1445" s="10" t="str"/>
      <x:c r="P1445" s="10" t="n">
        <x:v>26</x:v>
      </x:c>
      <x:c r="Q1445" s="10" t="n">
        <x:v>0</x:v>
      </x:c>
      <x:c r="R1445" s="13" t="n">
        <x:v>4.78</x:v>
      </x:c>
      <x:c r="S1445" s="10" t="n">
        <x:v>24573</x:v>
      </x:c>
      <x:c r="T1445" s="10" t="str">
        <x:v>complete planner,paycheck budget,google sheets,easy-to-use,detailed spreadsheet,monthly bi-weekly,expenses savings,personal budgets,professional custom,mortgage payments,traveling income,debt free managing,content creator</x:v>
      </x:c>
      <x:c r="U1445" s="10" t="str">
        <x:v>complete planner</x:v>
      </x:c>
      <x:c r="V1445" s="10" t="str">
        <x:v>paycheck budget</x:v>
      </x:c>
      <x:c r="W1445" s="10" t="str">
        <x:v>google sheets</x:v>
      </x:c>
      <x:c r="X1445" s="10" t="str">
        <x:v>easy-to-use</x:v>
      </x:c>
      <x:c r="Y1445" s="10" t="str">
        <x:v>detailed spreadsheet</x:v>
      </x:c>
      <x:c r="Z1445" s="10" t="str">
        <x:v>monthly bi-weekly</x:v>
      </x:c>
      <x:c r="AA1445" s="10" t="str">
        <x:v>expenses savings</x:v>
      </x:c>
      <x:c r="AB1445" s="10" t="str">
        <x:v>personal budgets</x:v>
      </x:c>
      <x:c r="AC1445" s="10" t="str">
        <x:v>professional custom</x:v>
      </x:c>
      <x:c r="AD1445" s="10" t="str">
        <x:v>mortgage payments</x:v>
      </x:c>
      <x:c r="AE1445" s="10" t="str">
        <x:v>traveling income</x:v>
      </x:c>
      <x:c r="AF1445" s="10" t="str">
        <x:v>debt free managing</x:v>
      </x:c>
      <x:c r="AG1445" s="10" t="str">
        <x:v>content creator</x:v>
      </x:c>
      <x:c r="AH1445" s="10" t="str">
        <x:v>Other mortgage-related</x:v>
      </x:c>
      <x:c r="AI1445" s="13" t="n">
        <x:v>25</x:v>
      </x:c>
      <x:c r="AJ1445" s="10" t="str">
        <x:f>IF(F1445&gt;0,"Active","No est. sales")</x:f>
        <x:v>No est. sales</x:v>
      </x:c>
    </x:row>
    <x:row r="1446">
      <x:c r="A1446" s="10" t="str">
        <x:v>Household Budget Tracker App | Expense Tracker, Subscription Finder, Meal Planner, Grocery List, Mortgage Payoff | Offline No Subscription</x:v>
      </x:c>
      <x:c r="B1446" s="10" t="str">
        <x:v>https://www.etsy.com/listing/4531824429/household-budget-tracker-app-expense</x:v>
      </x:c>
      <x:c r="C1446" s="10" t="str">
        <x:v>HearthAlmanac</x:v>
      </x:c>
      <x:c r="D1446" s="10" t="str">
        <x:v>https://www.etsy.com/shop/HearthAlmanac</x:v>
      </x:c>
      <x:c r="E1446" s="11" t="n">
        <x:v>24.99</x:v>
      </x:c>
      <x:c r="F1446" s="10" t="n">
        <x:v>0</x:v>
      </x:c>
      <x:c r="G1446" s="12" t="n">
        <x:v>0</x:v>
      </x:c>
      <x:c r="H1446" s="13" t="n">
        <x:v>0</x:v>
      </x:c>
      <x:c r="I1446" s="10" t="n">
        <x:v>0</x:v>
      </x:c>
      <x:c r="J1446" s="10" t="n">
        <x:v>0</x:v>
      </x:c>
      <x:c r="K1446" s="10" t="str">
        <x:v>1 Mo.</x:v>
      </x:c>
      <x:c r="L1446" s="10" t="n">
        <x:v>0</x:v>
      </x:c>
      <x:c r="M1446" s="10" t="n">
        <x:v>0</x:v>
      </x:c>
      <x:c r="N1446" s="10" t="n">
        <x:v>18</x:v>
      </x:c>
      <x:c r="O1446" s="10" t="str">
        <x:v>Paper &amp; Party Supplies</x:v>
      </x:c>
      <x:c r="P1446" s="10" t="n">
        <x:v>56</x:v>
      </x:c>
      <x:c r="Q1446" s="10" t="n">
        <x:v>0</x:v>
      </x:c>
      <x:c r="R1446" s="13" t="n">
        <x:v>0</x:v>
      </x:c>
      <x:c r="S1446" s="10" t="n">
        <x:v>512</x:v>
      </x:c>
      <x:c r="T1446" s="10" t="str">
        <x:v>budget tracker,budget planner,household budget,expense tracker,money tracker,bill tracker,finance planner,money management,net worth tracker,mortgage payoff,budget app,no subscription,meal planner</x:v>
      </x:c>
      <x:c r="U1446" s="10" t="str">
        <x:v>budget tracker</x:v>
      </x:c>
      <x:c r="V1446" s="10" t="str">
        <x:v>budget planner</x:v>
      </x:c>
      <x:c r="W1446" s="10" t="str">
        <x:v>household budget</x:v>
      </x:c>
      <x:c r="X1446" s="10" t="str">
        <x:v>expense tracker</x:v>
      </x:c>
      <x:c r="Y1446" s="10" t="str">
        <x:v>money tracker</x:v>
      </x:c>
      <x:c r="Z1446" s="10" t="str">
        <x:v>bill tracker</x:v>
      </x:c>
      <x:c r="AA1446" s="10" t="str">
        <x:v>finance planner</x:v>
      </x:c>
      <x:c r="AB1446" s="10" t="str">
        <x:v>money management</x:v>
      </x:c>
      <x:c r="AC1446" s="10" t="str">
        <x:v>net worth tracker</x:v>
      </x:c>
      <x:c r="AD1446" s="10" t="str">
        <x:v>mortgage payoff</x:v>
      </x:c>
      <x:c r="AE1446" s="10" t="str">
        <x:v>budget app</x:v>
      </x:c>
      <x:c r="AF1446" s="10" t="str">
        <x:v>no subscription</x:v>
      </x:c>
      <x:c r="AG1446" s="10" t="str">
        <x:v>meal planner</x:v>
      </x:c>
      <x:c r="AH1446" s="10" t="str">
        <x:v>Mortgage payoff / calculator</x:v>
      </x:c>
      <x:c r="AI1446" s="13" t="n">
        <x:v>1</x:v>
      </x:c>
      <x:c r="AJ1446" s="10" t="str">
        <x:f>IF(F1446&gt;0,"Active","No est. sales")</x:f>
        <x:v>No est. sales</x:v>
      </x:c>
    </x:row>
    <x:row r="1447">
      <x:c r="A1447" s="10" t="str">
        <x:v>Homeowner Workbook Bundle | First Time Home Buyer, Home Seller, Relocation &amp; New Homeowner Guide | Fillable PDF | Digital Download</x:v>
      </x:c>
      <x:c r="B1447" s="10" t="str">
        <x:v>https://www.etsy.com/listing/4523702786/homeowner-workbook-bundle-first-time</x:v>
      </x:c>
      <x:c r="C1447" s="10" t="str">
        <x:v>ModernPrintsbyAlexis</x:v>
      </x:c>
      <x:c r="D1447" s="10" t="str">
        <x:v>https://www.etsy.com/shop/ModernPrintsbyAlexis</x:v>
      </x:c>
      <x:c r="E1447" s="11" t="n">
        <x:v>44.99</x:v>
      </x:c>
      <x:c r="F1447" s="10" t="n">
        <x:v>0</x:v>
      </x:c>
      <x:c r="G1447" s="12" t="n">
        <x:v>0</x:v>
      </x:c>
      <x:c r="H1447" s="13" t="n">
        <x:v>0</x:v>
      </x:c>
      <x:c r="I1447" s="10" t="n">
        <x:v>0</x:v>
      </x:c>
      <x:c r="J1447" s="10" t="n">
        <x:v>0</x:v>
      </x:c>
      <x:c r="K1447" s="10" t="str">
        <x:v>1 Mo.</x:v>
      </x:c>
      <x:c r="L1447" s="10" t="n">
        <x:v>2</x:v>
      </x:c>
      <x:c r="M1447" s="10" t="n">
        <x:v>0</x:v>
      </x:c>
      <x:c r="N1447" s="10" t="n">
        <x:v>44</x:v>
      </x:c>
      <x:c r="O1447" s="10" t="str"/>
      <x:c r="P1447" s="10" t="n">
        <x:v>42</x:v>
      </x:c>
      <x:c r="Q1447" s="10" t="n">
        <x:v>0</x:v>
      </x:c>
      <x:c r="R1447" s="13" t="n">
        <x:v>0</x:v>
      </x:c>
      <x:c r="S1447" s="10" t="n">
        <x:v>100</x:v>
      </x:c>
      <x:c r="T1447" s="10" t="str">
        <x:v>real estate workbook,real estate guide,home buyers guide,first home buyer,home buying workbook,home buying planner,homeowner,mortgage budget,home buying list,first home guide,selling real estate,buying real estate,property tracker</x:v>
      </x:c>
      <x:c r="U1447" s="10" t="str">
        <x:v>real estate workbook</x:v>
      </x:c>
      <x:c r="V1447" s="10" t="str">
        <x:v>real estate guide</x:v>
      </x:c>
      <x:c r="W1447" s="10" t="str">
        <x:v>home buyers guide</x:v>
      </x:c>
      <x:c r="X1447" s="10" t="str">
        <x:v>first home buyer</x:v>
      </x:c>
      <x:c r="Y1447" s="10" t="str">
        <x:v>home buying workbook</x:v>
      </x:c>
      <x:c r="Z1447" s="10" t="str">
        <x:v>home buying planner</x:v>
      </x:c>
      <x:c r="AA1447" s="10" t="str">
        <x:v>homeowner</x:v>
      </x:c>
      <x:c r="AB1447" s="10" t="str">
        <x:v>mortgage budget</x:v>
      </x:c>
      <x:c r="AC1447" s="10" t="str">
        <x:v>home buying list</x:v>
      </x:c>
      <x:c r="AD1447" s="10" t="str">
        <x:v>first home guide</x:v>
      </x:c>
      <x:c r="AE1447" s="10" t="str">
        <x:v>selling real estate</x:v>
      </x:c>
      <x:c r="AF1447" s="10" t="str">
        <x:v>buying real estate</x:v>
      </x:c>
      <x:c r="AG1447" s="10" t="str">
        <x:v>property tracker</x:v>
      </x:c>
      <x:c r="AH1447" s="10" t="str">
        <x:v>Home buying planner</x:v>
      </x:c>
      <x:c r="AI1447" s="13" t="n">
        <x:v>1</x:v>
      </x:c>
      <x:c r="AJ1447" s="10" t="str">
        <x:f>IF(F1447&gt;0,"Active","No est. sales")</x:f>
        <x:v>No est. sales</x:v>
      </x:c>
    </x:row>
    <x:row r="1448">
      <x:c r="A1448" s="10" t="str">
        <x:v>Home Buying Checklist Printable, First Time Buyer PDF, House Hunting Tracker, Mortgage Budget Worksheet, Closing Checklist, Instant Download</x:v>
      </x:c>
      <x:c r="B1448" s="10" t="str">
        <x:v>https://www.etsy.com/listing/4536238386/home-buying-checklist-printable-first</x:v>
      </x:c>
      <x:c r="C1448" s="10" t="str">
        <x:v>TheSwiftDigitalCo</x:v>
      </x:c>
      <x:c r="D1448" s="10" t="str">
        <x:v>https://www.etsy.com/shop/TheSwiftDigitalCo</x:v>
      </x:c>
      <x:c r="E1448" s="11" t="n">
        <x:v>9.09</x:v>
      </x:c>
      <x:c r="F1448" s="10" t="n">
        <x:v>0</x:v>
      </x:c>
      <x:c r="G1448" s="12" t="n">
        <x:v>0</x:v>
      </x:c>
      <x:c r="H1448" s="13" t="n">
        <x:v>0</x:v>
      </x:c>
      <x:c r="I1448" s="10" t="n">
        <x:v>0</x:v>
      </x:c>
      <x:c r="J1448" s="10" t="n">
        <x:v>0</x:v>
      </x:c>
      <x:c r="K1448" s="10" t="str">
        <x:v>1 Mo.</x:v>
      </x:c>
      <x:c r="L1448" s="10" t="n">
        <x:v>0</x:v>
      </x:c>
      <x:c r="M1448" s="10" t="n">
        <x:v>0</x:v>
      </x:c>
      <x:c r="N1448" s="10" t="n">
        <x:v>0</x:v>
      </x:c>
      <x:c r="O1448" s="10" t="str"/>
      <x:c r="P1448" s="10" t="n">
        <x:v>9</x:v>
      </x:c>
      <x:c r="Q1448" s="10" t="n">
        <x:v>0</x:v>
      </x:c>
      <x:c r="R1448" s="13" t="n">
        <x:v>0</x:v>
      </x:c>
      <x:c r="S1448" s="10" t="n">
        <x:v>12</x:v>
      </x:c>
      <x:c r="T1448" s="10" t="str">
        <x:v>home buying pdf,first time buyer pdf,house hunting log,closing checklist,mortgage worksheet,home comparison,moving in checklist,real estate planner,home buyer gift,printable planner,instant download,budget worksheet,house hunting pdf</x:v>
      </x:c>
      <x:c r="U1448" s="10" t="str">
        <x:v>home buying pdf</x:v>
      </x:c>
      <x:c r="V1448" s="10" t="str">
        <x:v>first time buyer pdf</x:v>
      </x:c>
      <x:c r="W1448" s="10" t="str">
        <x:v>house hunting log</x:v>
      </x:c>
      <x:c r="X1448" s="10" t="str">
        <x:v>closing checklist</x:v>
      </x:c>
      <x:c r="Y1448" s="10" t="str">
        <x:v>mortgage worksheet</x:v>
      </x:c>
      <x:c r="Z1448" s="10" t="str">
        <x:v>home comparison</x:v>
      </x:c>
      <x:c r="AA1448" s="10" t="str">
        <x:v>moving in checklist</x:v>
      </x:c>
      <x:c r="AB1448" s="10" t="str">
        <x:v>real estate planner</x:v>
      </x:c>
      <x:c r="AC1448" s="10" t="str">
        <x:v>home buyer gift</x:v>
      </x:c>
      <x:c r="AD1448" s="10" t="str">
        <x:v>printable planner</x:v>
      </x:c>
      <x:c r="AE1448" s="10" t="str">
        <x:v>instant download</x:v>
      </x:c>
      <x:c r="AF1448" s="10" t="str">
        <x:v>budget worksheet</x:v>
      </x:c>
      <x:c r="AG1448" s="10" t="str">
        <x:v>house hunting pdf</x:v>
      </x:c>
      <x:c r="AH1448" s="10" t="str">
        <x:v>Home buying planner</x:v>
      </x:c>
      <x:c r="AI1448" s="13" t="n">
        <x:v>1</x:v>
      </x:c>
      <x:c r="AJ1448" s="10" t="str">
        <x:f>IF(F1448&gt;0,"Active","No est. sales")</x:f>
        <x:v>No est. sales</x:v>
      </x:c>
    </x:row>
    <x:row r="1449">
      <x:c r="A1449" s="10" t="str">
        <x:v>First-Time Home Buyer Planner - Mortgage Affordability Calculator, House Hunting Checklist Spreadsheet</x:v>
      </x:c>
      <x:c r="B1449" s="10" t="str">
        <x:v>https://www.etsy.com/listing/4536344551/first-time-home-buyer-planner-mortgage</x:v>
      </x:c>
      <x:c r="C1449" s="10" t="str">
        <x:v>PlannerProandDesign</x:v>
      </x:c>
      <x:c r="D1449" s="10" t="str">
        <x:v>https://www.etsy.com/shop/PlannerProandDesign</x:v>
      </x:c>
      <x:c r="E1449" s="11" t="n">
        <x:v>8.99</x:v>
      </x:c>
      <x:c r="F1449" s="10" t="n">
        <x:v>0</x:v>
      </x:c>
      <x:c r="G1449" s="12" t="n">
        <x:v>0</x:v>
      </x:c>
      <x:c r="H1449" s="13" t="n">
        <x:v>0</x:v>
      </x:c>
      <x:c r="I1449" s="10" t="n">
        <x:v>0</x:v>
      </x:c>
      <x:c r="J1449" s="10" t="n">
        <x:v>0</x:v>
      </x:c>
      <x:c r="K1449" s="10" t="str">
        <x:v>1 Mo.</x:v>
      </x:c>
      <x:c r="L1449" s="10" t="n">
        <x:v>0</x:v>
      </x:c>
      <x:c r="M1449" s="10" t="n">
        <x:v>0</x:v>
      </x:c>
      <x:c r="N1449" s="10" t="n">
        <x:v>0</x:v>
      </x:c>
      <x:c r="O1449" s="10" t="str"/>
      <x:c r="P1449" s="10" t="n">
        <x:v>0</x:v>
      </x:c>
      <x:c r="Q1449" s="10" t="n">
        <x:v>0</x:v>
      </x:c>
      <x:c r="R1449" s="13" t="n">
        <x:v>0</x:v>
      </x:c>
      <x:c r="S1449" s="10" t="n">
        <x:v>0</x:v>
      </x:c>
      <x:c r="T1449" s="10" t="str">
        <x:v>home buyer planner,mortgage calculator,house hunting list,closing cost tracker,moving checklist,real estate planner,first time buyer,home budget sheet,affordability calc,excel spreadsheet,google sheets,digital download,home comparison</x:v>
      </x:c>
      <x:c r="U1449" s="10" t="str">
        <x:v>home buyer planner</x:v>
      </x:c>
      <x:c r="V1449" s="10" t="str">
        <x:v>mortgage calculator</x:v>
      </x:c>
      <x:c r="W1449" s="10" t="str">
        <x:v>house hunting list</x:v>
      </x:c>
      <x:c r="X1449" s="10" t="str">
        <x:v>closing cost tracker</x:v>
      </x:c>
      <x:c r="Y1449" s="10" t="str">
        <x:v>moving checklist</x:v>
      </x:c>
      <x:c r="Z1449" s="10" t="str">
        <x:v>real estate planner</x:v>
      </x:c>
      <x:c r="AA1449" s="10" t="str">
        <x:v>first time buyer</x:v>
      </x:c>
      <x:c r="AB1449" s="10" t="str">
        <x:v>home budget sheet</x:v>
      </x:c>
      <x:c r="AC1449" s="10" t="str">
        <x:v>affordability calc</x:v>
      </x:c>
      <x:c r="AD1449" s="10" t="str">
        <x:v>excel spreadsheet</x:v>
      </x:c>
      <x:c r="AE1449" s="10" t="str">
        <x:v>google sheets</x:v>
      </x:c>
      <x:c r="AF1449" s="10" t="str">
        <x:v>digital download</x:v>
      </x:c>
      <x:c r="AG1449" s="10" t="str">
        <x:v>home comparison</x:v>
      </x:c>
      <x:c r="AH1449" s="10" t="str">
        <x:v>Home buying planner</x:v>
      </x:c>
      <x:c r="AI1449" s="13" t="n">
        <x:v>1</x:v>
      </x:c>
      <x:c r="AJ1449" s="10" t="str">
        <x:f>IF(F1449&gt;0,"Active","No est. sales")</x:f>
        <x:v>No est. sales</x:v>
      </x:c>
    </x:row>
    <x:row r="1450">
      <x:c r="A1450" s="10" t="str">
        <x:v>Debt Tracker Google Sheets, Automated Amortization Schedule &amp; Repayment Planner, Credit Card, Mortgage, Student Loan, Home Loan Payoff</x:v>
      </x:c>
      <x:c r="B1450" s="10" t="str">
        <x:v>https://www.etsy.com/listing/4484574362/debt-tracker-google-sheets-automated</x:v>
      </x:c>
      <x:c r="C1450" s="10" t="str">
        <x:v>WillowDigitalsArt</x:v>
      </x:c>
      <x:c r="D1450" s="10" t="str">
        <x:v>https://www.etsy.com/shop/WillowDigitalsArt</x:v>
      </x:c>
      <x:c r="E1450" s="11" t="n">
        <x:v>9.99</x:v>
      </x:c>
      <x:c r="F1450" s="10" t="n">
        <x:v>0</x:v>
      </x:c>
      <x:c r="G1450" s="12" t="n">
        <x:v>0</x:v>
      </x:c>
      <x:c r="H1450" s="13" t="n">
        <x:v>0</x:v>
      </x:c>
      <x:c r="I1450" s="10" t="n">
        <x:v>0</x:v>
      </x:c>
      <x:c r="J1450" s="10" t="n">
        <x:v>0</x:v>
      </x:c>
      <x:c r="K1450" s="10" t="str">
        <x:v>3 Mo.</x:v>
      </x:c>
      <x:c r="L1450" s="10" t="n">
        <x:v>0</x:v>
      </x:c>
      <x:c r="M1450" s="10" t="n">
        <x:v>0</x:v>
      </x:c>
      <x:c r="N1450" s="10" t="n">
        <x:v>8</x:v>
      </x:c>
      <x:c r="O1450" s="10" t="str">
        <x:v>Paper &amp; Party Supplies</x:v>
      </x:c>
      <x:c r="P1450" s="10" t="n">
        <x:v>35</x:v>
      </x:c>
      <x:c r="Q1450" s="10" t="n">
        <x:v>0</x:v>
      </x:c>
      <x:c r="R1450" s="13" t="n">
        <x:v>0</x:v>
      </x:c>
      <x:c r="S1450" s="10" t="n">
        <x:v>175</x:v>
      </x:c>
      <x:c r="T1450" s="10" t="str">
        <x:v>monthly payment,medical debt,snowball spreadsheet,avalanche repayment,google sheets,debt tracker sheet,loan payoff planenr,mortgage tracker,credit card payoff,financial debt free,home loan tracker,cute planner,dark mode budget</x:v>
      </x:c>
      <x:c r="U1450" s="10" t="str">
        <x:v>monthly payment</x:v>
      </x:c>
      <x:c r="V1450" s="10" t="str">
        <x:v>medical debt</x:v>
      </x:c>
      <x:c r="W1450" s="10" t="str">
        <x:v>snowball spreadsheet</x:v>
      </x:c>
      <x:c r="X1450" s="10" t="str">
        <x:v>avalanche repayment</x:v>
      </x:c>
      <x:c r="Y1450" s="10" t="str">
        <x:v>google sheets</x:v>
      </x:c>
      <x:c r="Z1450" s="10" t="str">
        <x:v>debt tracker sheet</x:v>
      </x:c>
      <x:c r="AA1450" s="10" t="str">
        <x:v>loan payoff planenr</x:v>
      </x:c>
      <x:c r="AB1450" s="10" t="str">
        <x:v>mortgage tracker</x:v>
      </x:c>
      <x:c r="AC1450" s="10" t="str">
        <x:v>credit card payoff</x:v>
      </x:c>
      <x:c r="AD1450" s="10" t="str">
        <x:v>financial debt free</x:v>
      </x:c>
      <x:c r="AE1450" s="10" t="str">
        <x:v>home loan tracker</x:v>
      </x:c>
      <x:c r="AF1450" s="10" t="str">
        <x:v>cute planner</x:v>
      </x:c>
      <x:c r="AG1450" s="10" t="str">
        <x:v>dark mode budget</x:v>
      </x:c>
      <x:c r="AH1450" s="10" t="str">
        <x:v>General debt payoff</x:v>
      </x:c>
      <x:c r="AI1450" s="13" t="n">
        <x:v>3</x:v>
      </x:c>
      <x:c r="AJ1450" s="10" t="str">
        <x:f>IF(F1450&gt;0,"Active","No est. sales")</x:f>
        <x:v>No est. sales</x:v>
      </x:c>
    </x:row>
    <x:row r="1451">
      <x:c r="A1451" s="10" t="str">
        <x:v>Home Loan Rent Mortgage Insurance Due Payment Reminder Stickers Planner Diary Calendar Homeloan Home</x:v>
      </x:c>
      <x:c r="B1451" s="10" t="str">
        <x:v>https://www.etsy.com/listing/281156380/home-loan-rent-mortgage-insurance-due</x:v>
      </x:c>
      <x:c r="C1451" s="10" t="str">
        <x:v>ThePlannerMummy</x:v>
      </x:c>
      <x:c r="D1451" s="10" t="str">
        <x:v>https://www.etsy.com/shop/ThePlannerMummy</x:v>
      </x:c>
      <x:c r="E1451" s="11" t="n">
        <x:v>2.44</x:v>
      </x:c>
      <x:c r="F1451" s="10" t="n">
        <x:v>0</x:v>
      </x:c>
      <x:c r="G1451" s="12" t="n">
        <x:v>0</x:v>
      </x:c>
      <x:c r="H1451" s="13" t="n">
        <x:v>0</x:v>
      </x:c>
      <x:c r="I1451" s="10" t="n">
        <x:v>90</x:v>
      </x:c>
      <x:c r="J1451" s="10" t="n">
        <x:v>14</x:v>
      </x:c>
      <x:c r="K1451" s="10" t="str">
        <x:v>122 Mo.</x:v>
      </x:c>
      <x:c r="L1451" s="10" t="n">
        <x:v>67</x:v>
      </x:c>
      <x:c r="M1451" s="10" t="n">
        <x:v>0</x:v>
      </x:c>
      <x:c r="N1451" s="10" t="n">
        <x:v>863</x:v>
      </x:c>
      <x:c r="O1451" s="10" t="str">
        <x:v>Paper &amp; Party Supplies</x:v>
      </x:c>
      <x:c r="P1451" s="10" t="n">
        <x:v>125</x:v>
      </x:c>
      <x:c r="Q1451" s="10" t="n">
        <x:v>0</x:v>
      </x:c>
      <x:c r="R1451" s="13" t="n">
        <x:v>10.43</x:v>
      </x:c>
      <x:c r="S1451" s="10" t="n">
        <x:v>30146</x:v>
      </x:c>
      <x:c r="T1451" s="10" t="str">
        <x:v>sticker,stickers,planner,reminder,appointment,kikkik,bill,home,homeloan,home loan,rent,due,rent due</x:v>
      </x:c>
      <x:c r="U1451" s="10" t="str">
        <x:v>sticker</x:v>
      </x:c>
      <x:c r="V1451" s="10" t="str">
        <x:v>stickers</x:v>
      </x:c>
      <x:c r="W1451" s="10" t="str">
        <x:v>planner</x:v>
      </x:c>
      <x:c r="X1451" s="10" t="str">
        <x:v>reminder</x:v>
      </x:c>
      <x:c r="Y1451" s="10" t="str">
        <x:v>appointment</x:v>
      </x:c>
      <x:c r="Z1451" s="10" t="str">
        <x:v>kikkik</x:v>
      </x:c>
      <x:c r="AA1451" s="10" t="str">
        <x:v>bill</x:v>
      </x:c>
      <x:c r="AB1451" s="10" t="str">
        <x:v>home</x:v>
      </x:c>
      <x:c r="AC1451" s="10" t="str">
        <x:v>homeloan</x:v>
      </x:c>
      <x:c r="AD1451" s="10" t="str">
        <x:v>home loan</x:v>
      </x:c>
      <x:c r="AE1451" s="10" t="str">
        <x:v>rent</x:v>
      </x:c>
      <x:c r="AF1451" s="10" t="str">
        <x:v>due</x:v>
      </x:c>
      <x:c r="AG1451" s="10" t="str">
        <x:v>rent due</x:v>
      </x:c>
      <x:c r="AH1451" s="10" t="str">
        <x:v>Other mortgage-related</x:v>
      </x:c>
      <x:c r="AI1451" s="13" t="n">
        <x:v>122</x:v>
      </x:c>
      <x:c r="AJ1451" s="10" t="str">
        <x:f>IF(F1451&gt;0,"Active","No est. sales")</x:f>
        <x:v>No est. sales</x:v>
      </x:c>
    </x:row>
    <x:row r="1452">
      <x:c r="A1452" s="10" t="str">
        <x:v>Rent or Mortgage Bill Tracker Writeable Weekly Cute Planner Stickers SSC1019</x:v>
      </x:c>
      <x:c r="B1452" s="10" t="str">
        <x:v>https://www.etsy.com/listing/1338778344/rent-or-mortgage-bill-tracker-writeable</x:v>
      </x:c>
      <x:c r="C1452" s="10" t="str">
        <x:v>StrawberryStickerCo</x:v>
      </x:c>
      <x:c r="D1452" s="10" t="str">
        <x:v>https://www.etsy.com/shop/StrawberryStickerCo</x:v>
      </x:c>
      <x:c r="E1452" s="11" t="n">
        <x:v>3.67</x:v>
      </x:c>
      <x:c r="F1452" s="10" t="n">
        <x:v>0</x:v>
      </x:c>
      <x:c r="G1452" s="12" t="n">
        <x:v>0</x:v>
      </x:c>
      <x:c r="H1452" s="13" t="n">
        <x:v>0</x:v>
      </x:c>
      <x:c r="I1452" s="10" t="n">
        <x:v>106</x:v>
      </x:c>
      <x:c r="J1452" s="10" t="n">
        <x:v>24</x:v>
      </x:c>
      <x:c r="K1452" s="10" t="str">
        <x:v>44 Mo.</x:v>
      </x:c>
      <x:c r="L1452" s="10" t="n">
        <x:v>163</x:v>
      </x:c>
      <x:c r="M1452" s="10" t="n">
        <x:v>1</x:v>
      </x:c>
      <x:c r="N1452" s="10" t="n">
        <x:v>1426</x:v>
      </x:c>
      <x:c r="O1452" s="10" t="str">
        <x:v>Paper &amp; Party Supplies</x:v>
      </x:c>
      <x:c r="P1452" s="10" t="n">
        <x:v>117</x:v>
      </x:c>
      <x:c r="Q1452" s="10" t="n">
        <x:v>0</x:v>
      </x:c>
      <x:c r="R1452" s="13" t="n">
        <x:v>7.43</x:v>
      </x:c>
      <x:c r="S1452" s="10" t="n">
        <x:v>39930</x:v>
      </x:c>
      <x:c r="T1452" s="10" t="str">
        <x:v>cute planner sticker,kawaii tracker,planner stickers uk,strawberry sticker,sticker co,doodle stickers,bill tracker,pay bill sticker,bill due sticker,tracker stickers,mortgage tracker,rent bill sticker,mortgage sticker</x:v>
      </x:c>
      <x:c r="U1452" s="10" t="str">
        <x:v>cute planner sticker</x:v>
      </x:c>
      <x:c r="V1452" s="10" t="str">
        <x:v>kawaii tracker</x:v>
      </x:c>
      <x:c r="W1452" s="10" t="str">
        <x:v>planner stickers uk</x:v>
      </x:c>
      <x:c r="X1452" s="10" t="str">
        <x:v>strawberry sticker</x:v>
      </x:c>
      <x:c r="Y1452" s="10" t="str">
        <x:v>sticker co</x:v>
      </x:c>
      <x:c r="Z1452" s="10" t="str">
        <x:v>doodle stickers</x:v>
      </x:c>
      <x:c r="AA1452" s="10" t="str">
        <x:v>bill tracker</x:v>
      </x:c>
      <x:c r="AB1452" s="10" t="str">
        <x:v>pay bill sticker</x:v>
      </x:c>
      <x:c r="AC1452" s="10" t="str">
        <x:v>bill due sticker</x:v>
      </x:c>
      <x:c r="AD1452" s="10" t="str">
        <x:v>tracker stickers</x:v>
      </x:c>
      <x:c r="AE1452" s="10" t="str">
        <x:v>mortgage tracker</x:v>
      </x:c>
      <x:c r="AF1452" s="10" t="str">
        <x:v>rent bill sticker</x:v>
      </x:c>
      <x:c r="AG1452" s="10" t="str">
        <x:v>mortgage sticker</x:v>
      </x:c>
      <x:c r="AH1452" s="10" t="str">
        <x:v>Other mortgage-related</x:v>
      </x:c>
      <x:c r="AI1452" s="13" t="n">
        <x:v>44</x:v>
      </x:c>
      <x:c r="AJ1452" s="10" t="str">
        <x:f>IF(F1452&gt;0,"Active","No est. sales")</x:f>
        <x:v>No est. sales</x:v>
      </x:c>
    </x:row>
    <x:row r="1453">
      <x:c r="A1453" s="10" t="str">
        <x:v>Debt Payoff Tracker, Debt Snowball Calculator, Monthly Debt Tracker, Debt Payoff Planner, Mortgage Payoff, Google Sheets Excel Template</x:v>
      </x:c>
      <x:c r="B1453" s="10" t="str">
        <x:v>https://www.etsy.com/listing/4366312772/debt-payoff-tracker-debt-snowball</x:v>
      </x:c>
      <x:c r="C1453" s="10" t="str">
        <x:v>IntuitivePlanDesigns</x:v>
      </x:c>
      <x:c r="D1453" s="10" t="str">
        <x:v>https://www.etsy.com/shop/IntuitivePlanDesigns</x:v>
      </x:c>
      <x:c r="E1453" s="11" t="n">
        <x:v>3.98</x:v>
      </x:c>
      <x:c r="F1453" s="10" t="n">
        <x:v>0</x:v>
      </x:c>
      <x:c r="G1453" s="12" t="n">
        <x:v>0</x:v>
      </x:c>
      <x:c r="H1453" s="13" t="n">
        <x:v>0</x:v>
      </x:c>
      <x:c r="I1453" s="10" t="n">
        <x:v>0</x:v>
      </x:c>
      <x:c r="J1453" s="10" t="n">
        <x:v>0</x:v>
      </x:c>
      <x:c r="K1453" s="10" t="str">
        <x:v>10 Mo.</x:v>
      </x:c>
      <x:c r="L1453" s="10" t="n">
        <x:v>1</x:v>
      </x:c>
      <x:c r="M1453" s="10" t="n">
        <x:v>0</x:v>
      </x:c>
      <x:c r="N1453" s="10" t="n">
        <x:v>20</x:v>
      </x:c>
      <x:c r="O1453" s="10" t="str">
        <x:v>Paper &amp; Party Supplies</x:v>
      </x:c>
      <x:c r="P1453" s="10" t="n">
        <x:v>19</x:v>
      </x:c>
      <x:c r="Q1453" s="10" t="n">
        <x:v>0</x:v>
      </x:c>
      <x:c r="R1453" s="13" t="n">
        <x:v>0</x:v>
      </x:c>
      <x:c r="S1453" s="10" t="n">
        <x:v>51</x:v>
      </x:c>
      <x:c r="T1453" s="10" t="str">
        <x:v>debt spreadsheet,debt google sheets,debt snowball,snowball calculator,snowball method,credit utilization,debt calculator,credit card payoff,loan payoff tracker,student loan tracker,monthly debt tracker,debt tracker excel,debt payoff chart</x:v>
      </x:c>
      <x:c r="U1453" s="10" t="str">
        <x:v>debt spreadsheet</x:v>
      </x:c>
      <x:c r="V1453" s="10" t="str">
        <x:v>debt google sheets</x:v>
      </x:c>
      <x:c r="W1453" s="10" t="str">
        <x:v>debt snowball</x:v>
      </x:c>
      <x:c r="X1453" s="10" t="str">
        <x:v>snowball calculator</x:v>
      </x:c>
      <x:c r="Y1453" s="10" t="str">
        <x:v>snowball method</x:v>
      </x:c>
      <x:c r="Z1453" s="10" t="str">
        <x:v>credit utilization</x:v>
      </x:c>
      <x:c r="AA1453" s="10" t="str">
        <x:v>debt calculator</x:v>
      </x:c>
      <x:c r="AB1453" s="10" t="str">
        <x:v>credit card payoff</x:v>
      </x:c>
      <x:c r="AC1453" s="10" t="str">
        <x:v>loan payoff tracker</x:v>
      </x:c>
      <x:c r="AD1453" s="10" t="str">
        <x:v>student loan tracker</x:v>
      </x:c>
      <x:c r="AE1453" s="10" t="str">
        <x:v>monthly debt tracker</x:v>
      </x:c>
      <x:c r="AF1453" s="10" t="str">
        <x:v>debt tracker excel</x:v>
      </x:c>
      <x:c r="AG1453" s="10" t="str">
        <x:v>debt payoff chart</x:v>
      </x:c>
      <x:c r="AH1453" s="10" t="str">
        <x:v>General debt payoff</x:v>
      </x:c>
      <x:c r="AI1453" s="13" t="n">
        <x:v>10</x:v>
      </x:c>
      <x:c r="AJ1453" s="10" t="str">
        <x:f>IF(F1453&gt;0,"Active","No est. sales")</x:f>
        <x:v>No est. sales</x:v>
      </x:c>
    </x:row>
    <x:row r="1454">
      <x:c r="A1454" s="10" t="str">
        <x:v>Mortgage Payoff Calculator, Google Sheets Template (Digital Download)</x:v>
      </x:c>
      <x:c r="B1454" s="10" t="str">
        <x:v>https://www.etsy.com/listing/4348633488/mortgage-payoff-calculator-google-sheets</x:v>
      </x:c>
      <x:c r="C1454" s="10" t="str">
        <x:v>ShtsDesign</x:v>
      </x:c>
      <x:c r="D1454" s="10" t="str">
        <x:v>https://www.etsy.com/shop/ShtsDesign</x:v>
      </x:c>
      <x:c r="E1454" s="11" t="n">
        <x:v>11.98</x:v>
      </x:c>
      <x:c r="F1454" s="10" t="n">
        <x:v>0</x:v>
      </x:c>
      <x:c r="G1454" s="12" t="n">
        <x:v>0</x:v>
      </x:c>
      <x:c r="H1454" s="13" t="n">
        <x:v>0</x:v>
      </x:c>
      <x:c r="I1454" s="10" t="n">
        <x:v>0</x:v>
      </x:c>
      <x:c r="J1454" s="10" t="n">
        <x:v>0</x:v>
      </x:c>
      <x:c r="K1454" s="10" t="str">
        <x:v>11 Mo.</x:v>
      </x:c>
      <x:c r="L1454" s="10" t="n">
        <x:v>0</x:v>
      </x:c>
      <x:c r="M1454" s="10" t="n">
        <x:v>0</x:v>
      </x:c>
      <x:c r="N1454" s="10" t="n">
        <x:v>61</x:v>
      </x:c>
      <x:c r="O1454" s="10" t="str">
        <x:v>Paper &amp; Party Supplies</x:v>
      </x:c>
      <x:c r="P1454" s="10" t="n">
        <x:v>20</x:v>
      </x:c>
      <x:c r="Q1454" s="10" t="n">
        <x:v>0</x:v>
      </x:c>
      <x:c r="R1454" s="13" t="n">
        <x:v>0</x:v>
      </x:c>
      <x:c r="S1454" s="10" t="n">
        <x:v>265</x:v>
      </x:c>
      <x:c r="T1454" s="10" t="str">
        <x:v>mortgage calc,early payoff,extra payment,loan tracker,home loan calc,debt payoff,google sheets,amortization,loan planner,mortgage plan,payoff tracker,interest save,loan calculator</x:v>
      </x:c>
      <x:c r="U1454" s="10" t="str">
        <x:v>mortgage calc</x:v>
      </x:c>
      <x:c r="V1454" s="10" t="str">
        <x:v>early payoff</x:v>
      </x:c>
      <x:c r="W1454" s="10" t="str">
        <x:v>extra payment</x:v>
      </x:c>
      <x:c r="X1454" s="10" t="str">
        <x:v>loan tracker</x:v>
      </x:c>
      <x:c r="Y1454" s="10" t="str">
        <x:v>home loan calc</x:v>
      </x:c>
      <x:c r="Z1454" s="10" t="str">
        <x:v>debt payoff</x:v>
      </x:c>
      <x:c r="AA1454" s="10" t="str">
        <x:v>google sheets</x:v>
      </x:c>
      <x:c r="AB1454" s="10" t="str">
        <x:v>amortization</x:v>
      </x:c>
      <x:c r="AC1454" s="10" t="str">
        <x:v>loan planner</x:v>
      </x:c>
      <x:c r="AD1454" s="10" t="str">
        <x:v>mortgage plan</x:v>
      </x:c>
      <x:c r="AE1454" s="10" t="str">
        <x:v>payoff tracker</x:v>
      </x:c>
      <x:c r="AF1454" s="10" t="str">
        <x:v>interest save</x:v>
      </x:c>
      <x:c r="AG1454" s="10" t="str">
        <x:v>loan calculator</x:v>
      </x:c>
      <x:c r="AH1454" s="10" t="str">
        <x:v>Mortgage payoff / calculator</x:v>
      </x:c>
      <x:c r="AI1454" s="13" t="n">
        <x:v>11</x:v>
      </x:c>
      <x:c r="AJ1454" s="10" t="str">
        <x:f>IF(F1454&gt;0,"Active","No est. sales")</x:f>
        <x:v>No est. sales</x:v>
      </x:c>
    </x:row>
    <x:row r="1455">
      <x:c r="A1455" s="10" t="str">
        <x:v>Home Deposit Savings Challenge, Floral Tracker, A4 A5 (PDF)</x:v>
      </x:c>
      <x:c r="B1455" s="10" t="str">
        <x:v>https://www.etsy.com/listing/4328800255/home-deposit-savings-challenge-house</x:v>
      </x:c>
      <x:c r="C1455" s="10" t="str">
        <x:v>Savemeup</x:v>
      </x:c>
      <x:c r="D1455" s="10" t="str">
        <x:v>https://www.etsy.com/shop/Savemeup</x:v>
      </x:c>
      <x:c r="E1455" s="11" t="n">
        <x:v>6.26</x:v>
      </x:c>
      <x:c r="F1455" s="10" t="n">
        <x:v>0</x:v>
      </x:c>
      <x:c r="G1455" s="12" t="n">
        <x:v>0</x:v>
      </x:c>
      <x:c r="H1455" s="13" t="n">
        <x:v>0</x:v>
      </x:c>
      <x:c r="I1455" s="10" t="n">
        <x:v>1</x:v>
      </x:c>
      <x:c r="J1455" s="10" t="n">
        <x:v>1</x:v>
      </x:c>
      <x:c r="K1455" s="10" t="str">
        <x:v>12 Mo.</x:v>
      </x:c>
      <x:c r="L1455" s="10" t="n">
        <x:v>14</x:v>
      </x:c>
      <x:c r="M1455" s="10" t="n">
        <x:v>0</x:v>
      </x:c>
      <x:c r="N1455" s="10" t="n">
        <x:v>289</x:v>
      </x:c>
      <x:c r="O1455" s="10" t="str"/>
      <x:c r="P1455" s="10" t="n">
        <x:v>18</x:v>
      </x:c>
      <x:c r="Q1455" s="10" t="n">
        <x:v>0</x:v>
      </x:c>
      <x:c r="R1455" s="13" t="n">
        <x:v>0.35</x:v>
      </x:c>
      <x:c r="S1455" s="10" t="n">
        <x:v>49</x:v>
      </x:c>
      <x:c r="T1455" s="10" t="str">
        <x:v>down payment tracker,home deposit tracker,savings challenge,money saving chart,first home savings,budget printable,finance planner,house fund tracker,a4 savings tracker,a5 planner insert,mortgage tracker,digital tracker,money planner pdf</x:v>
      </x:c>
      <x:c r="U1455" s="10" t="str">
        <x:v>down payment tracker</x:v>
      </x:c>
      <x:c r="V1455" s="10" t="str">
        <x:v>home deposit tracker</x:v>
      </x:c>
      <x:c r="W1455" s="10" t="str">
        <x:v>savings challenge</x:v>
      </x:c>
      <x:c r="X1455" s="10" t="str">
        <x:v>money saving chart</x:v>
      </x:c>
      <x:c r="Y1455" s="10" t="str">
        <x:v>first home savings</x:v>
      </x:c>
      <x:c r="Z1455" s="10" t="str">
        <x:v>budget printable</x:v>
      </x:c>
      <x:c r="AA1455" s="10" t="str">
        <x:v>finance planner</x:v>
      </x:c>
      <x:c r="AB1455" s="10" t="str">
        <x:v>house fund tracker</x:v>
      </x:c>
      <x:c r="AC1455" s="10" t="str">
        <x:v>a4 savings tracker</x:v>
      </x:c>
      <x:c r="AD1455" s="10" t="str">
        <x:v>a5 planner insert</x:v>
      </x:c>
      <x:c r="AE1455" s="10" t="str">
        <x:v>mortgage tracker</x:v>
      </x:c>
      <x:c r="AF1455" s="10" t="str">
        <x:v>digital tracker</x:v>
      </x:c>
      <x:c r="AG1455" s="10" t="str">
        <x:v>money planner pdf</x:v>
      </x:c>
      <x:c r="AH1455" s="10" t="str">
        <x:v>Other mortgage-related</x:v>
      </x:c>
      <x:c r="AI1455" s="13" t="n">
        <x:v>12</x:v>
      </x:c>
      <x:c r="AJ1455" s="10" t="str">
        <x:f>IF(F1455&gt;0,"Active","No est. sales")</x:f>
        <x:v>No est. sales</x:v>
      </x:c>
    </x:row>
    <x:row r="1456">
      <x:c r="A1456" s="10" t="str">
        <x:v>Mortgage Professionals: Elevate Your Social Media Game with Our Content Calendar &amp; Captions - April 2023</x:v>
      </x:c>
      <x:c r="B1456" s="10" t="str">
        <x:v>https://www.etsy.com/listing/1446943193/mortgage-professionals-elevate-your</x:v>
      </x:c>
      <x:c r="C1456" s="10" t="str">
        <x:v>SocialsForRealty</x:v>
      </x:c>
      <x:c r="D1456" s="10" t="str">
        <x:v>https://www.etsy.com/shop/SocialsForRealty</x:v>
      </x:c>
      <x:c r="E1456" s="11" t="n">
        <x:v>12.51</x:v>
      </x:c>
      <x:c r="F1456" s="10" t="n">
        <x:v>0</x:v>
      </x:c>
      <x:c r="G1456" s="12" t="n">
        <x:v>0</x:v>
      </x:c>
      <x:c r="H1456" s="13" t="n">
        <x:v>0</x:v>
      </x:c>
      <x:c r="I1456" s="10" t="n">
        <x:v>0</x:v>
      </x:c>
      <x:c r="J1456" s="10" t="n">
        <x:v>0</x:v>
      </x:c>
      <x:c r="K1456" s="10" t="str">
        <x:v>40 Mo.</x:v>
      </x:c>
      <x:c r="L1456" s="10" t="n">
        <x:v>19</x:v>
      </x:c>
      <x:c r="M1456" s="10" t="n">
        <x:v>0</x:v>
      </x:c>
      <x:c r="N1456" s="10" t="n">
        <x:v>279</x:v>
      </x:c>
      <x:c r="O1456" s="10" t="str"/>
      <x:c r="P1456" s="10" t="n">
        <x:v>57</x:v>
      </x:c>
      <x:c r="Q1456" s="10" t="n">
        <x:v>0</x:v>
      </x:c>
      <x:c r="R1456" s="13" t="n">
        <x:v>0</x:v>
      </x:c>
      <x:c r="S1456" s="10" t="n">
        <x:v>3187</x:v>
      </x:c>
      <x:c r="T1456" s="10" t="str">
        <x:v>mortgage,professionals,mortgage captions,socialmediamarketing,content calendar,mortgage broker,social media tips,mortgage planner,mortgage posts,real estate,mortgage marketing,mortgage instagram,mortgage content</x:v>
      </x:c>
      <x:c r="U1456" s="10" t="str">
        <x:v>mortgage</x:v>
      </x:c>
      <x:c r="V1456" s="10" t="str">
        <x:v>professionals</x:v>
      </x:c>
      <x:c r="W1456" s="10" t="str">
        <x:v>mortgage captions</x:v>
      </x:c>
      <x:c r="X1456" s="10" t="str">
        <x:v>socialmediamarketing</x:v>
      </x:c>
      <x:c r="Y1456" s="10" t="str">
        <x:v>content calendar</x:v>
      </x:c>
      <x:c r="Z1456" s="10" t="str">
        <x:v>mortgage broker</x:v>
      </x:c>
      <x:c r="AA1456" s="10" t="str">
        <x:v>social media tips</x:v>
      </x:c>
      <x:c r="AB1456" s="10" t="str">
        <x:v>mortgage planner</x:v>
      </x:c>
      <x:c r="AC1456" s="10" t="str">
        <x:v>mortgage posts</x:v>
      </x:c>
      <x:c r="AD1456" s="10" t="str">
        <x:v>real estate</x:v>
      </x:c>
      <x:c r="AE1456" s="10" t="str">
        <x:v>mortgage marketing</x:v>
      </x:c>
      <x:c r="AF1456" s="10" t="str">
        <x:v>mortgage instagram</x:v>
      </x:c>
      <x:c r="AG1456" s="10" t="str">
        <x:v>mortgage content</x:v>
      </x:c>
      <x:c r="AH1456" s="10" t="str">
        <x:v>Loan officer / B2B</x:v>
      </x:c>
      <x:c r="AI1456" s="13" t="n">
        <x:v>40</x:v>
      </x:c>
      <x:c r="AJ1456" s="10" t="str">
        <x:f>IF(F1456&gt;0,"Active","No est. sales")</x:f>
        <x:v>No est. sales</x:v>
      </x:c>
    </x:row>
    <x:row r="1457">
      <x:c r="A1457" s="10" t="str">
        <x:v>Mortgage Broker CRM Notion Template | Loan Tracker | Client Pipeline | Finance Dashboard | Broker System</x:v>
      </x:c>
      <x:c r="B1457" s="10" t="str">
        <x:v>https://www.etsy.com/listing/4481776915/mortgage-broker-crm-notion-template-loan</x:v>
      </x:c>
      <x:c r="C1457" s="10" t="str">
        <x:v>WorkYourSheetOut</x:v>
      </x:c>
      <x:c r="D1457" s="10" t="str">
        <x:v>https://www.etsy.com/shop/WorkYourSheetOut</x:v>
      </x:c>
      <x:c r="E1457" s="11" t="n">
        <x:v>6.27</x:v>
      </x:c>
      <x:c r="F1457" s="10" t="n">
        <x:v>0</x:v>
      </x:c>
      <x:c r="G1457" s="12" t="n">
        <x:v>0</x:v>
      </x:c>
      <x:c r="H1457" s="13" t="n">
        <x:v>0</x:v>
      </x:c>
      <x:c r="I1457" s="10" t="n">
        <x:v>0</x:v>
      </x:c>
      <x:c r="J1457" s="10" t="n">
        <x:v>0</x:v>
      </x:c>
      <x:c r="K1457" s="10" t="str">
        <x:v>3 Mo.</x:v>
      </x:c>
      <x:c r="L1457" s="10" t="n">
        <x:v>2</x:v>
      </x:c>
      <x:c r="M1457" s="10" t="n">
        <x:v>0</x:v>
      </x:c>
      <x:c r="N1457" s="10" t="n">
        <x:v>13</x:v>
      </x:c>
      <x:c r="O1457" s="10" t="str"/>
      <x:c r="P1457" s="10" t="n">
        <x:v>45</x:v>
      </x:c>
      <x:c r="Q1457" s="10" t="n">
        <x:v>0</x:v>
      </x:c>
      <x:c r="R1457" s="13" t="n">
        <x:v>0</x:v>
      </x:c>
      <x:c r="S1457" s="10" t="n">
        <x:v>14</x:v>
      </x:c>
      <x:c r="T1457" s="10" t="str">
        <x:v>mortgage broker,notion template,crm template,loan tracker,client tracker,finance planner,broker crm,small business crm,sales tracker,pipeline tracker,loan officer tool,business dashboard,finance crm</x:v>
      </x:c>
      <x:c r="U1457" s="10" t="str">
        <x:v>mortgage broker</x:v>
      </x:c>
      <x:c r="V1457" s="10" t="str">
        <x:v>notion template</x:v>
      </x:c>
      <x:c r="W1457" s="10" t="str">
        <x:v>crm template</x:v>
      </x:c>
      <x:c r="X1457" s="10" t="str">
        <x:v>loan tracker</x:v>
      </x:c>
      <x:c r="Y1457" s="10" t="str">
        <x:v>client tracker</x:v>
      </x:c>
      <x:c r="Z1457" s="10" t="str">
        <x:v>finance planner</x:v>
      </x:c>
      <x:c r="AA1457" s="10" t="str">
        <x:v>broker crm</x:v>
      </x:c>
      <x:c r="AB1457" s="10" t="str">
        <x:v>small business crm</x:v>
      </x:c>
      <x:c r="AC1457" s="10" t="str">
        <x:v>sales tracker</x:v>
      </x:c>
      <x:c r="AD1457" s="10" t="str">
        <x:v>pipeline tracker</x:v>
      </x:c>
      <x:c r="AE1457" s="10" t="str">
        <x:v>loan officer tool</x:v>
      </x:c>
      <x:c r="AF1457" s="10" t="str">
        <x:v>business dashboard</x:v>
      </x:c>
      <x:c r="AG1457" s="10" t="str">
        <x:v>finance crm</x:v>
      </x:c>
      <x:c r="AH1457" s="10" t="str">
        <x:v>Loan officer / B2B</x:v>
      </x:c>
      <x:c r="AI1457" s="13" t="n">
        <x:v>3</x:v>
      </x:c>
      <x:c r="AJ1457" s="10" t="str">
        <x:f>IF(F1457&gt;0,"Active","No est. sales")</x:f>
        <x:v>No est. sales</x:v>
      </x:c>
    </x:row>
    <x:row r="1458">
      <x:c r="A1458" s="10" t="str">
        <x:v>Debt Payoff Tracker Spreadsheet | Snowball Avalanche &amp; Credit Score Calculator | Excel + Google Sheets Debt-Free Planner + Free Budget</x:v>
      </x:c>
      <x:c r="B1458" s="10" t="str">
        <x:v>https://www.etsy.com/listing/4530704217/debt-payoff-tracker-spreadsheet-snowball</x:v>
      </x:c>
      <x:c r="C1458" s="10" t="str">
        <x:v>ThePracticalResetCo</x:v>
      </x:c>
      <x:c r="D1458" s="10" t="str">
        <x:v>https://www.etsy.com/shop/ThePracticalResetCo</x:v>
      </x:c>
      <x:c r="E1458" s="11" t="n">
        <x:v>14.98</x:v>
      </x:c>
      <x:c r="F1458" s="10" t="n">
        <x:v>0</x:v>
      </x:c>
      <x:c r="G1458" s="12" t="n">
        <x:v>0</x:v>
      </x:c>
      <x:c r="H1458" s="13" t="n">
        <x:v>0</x:v>
      </x:c>
      <x:c r="I1458" s="10" t="n">
        <x:v>0</x:v>
      </x:c>
      <x:c r="J1458" s="10" t="n">
        <x:v>0</x:v>
      </x:c>
      <x:c r="K1458" s="10" t="str">
        <x:v>1 Mo.</x:v>
      </x:c>
      <x:c r="L1458" s="10" t="n">
        <x:v>0</x:v>
      </x:c>
      <x:c r="M1458" s="10" t="n">
        <x:v>0</x:v>
      </x:c>
      <x:c r="N1458" s="10" t="n">
        <x:v>1</x:v>
      </x:c>
      <x:c r="O1458" s="10" t="str"/>
      <x:c r="P1458" s="10" t="n">
        <x:v>40</x:v>
      </x:c>
      <x:c r="Q1458" s="10" t="n">
        <x:v>0</x:v>
      </x:c>
      <x:c r="R1458" s="13" t="n">
        <x:v>0</x:v>
      </x:c>
      <x:c r="S1458" s="10" t="n">
        <x:v>0</x:v>
      </x:c>
      <x:c r="T1458" s="10" t="str">
        <x:v>financial planner,debt payoff tracker,debt snowball,debt payoff chart,debt payment tracker,credit card payoff,debt avalanche,student loan debt,google sheets budget,mortgage payoff,credit utilization,credit score debt,budget spreadsheet</x:v>
      </x:c>
      <x:c r="U1458" s="10" t="str">
        <x:v>financial planner</x:v>
      </x:c>
      <x:c r="V1458" s="10" t="str">
        <x:v>debt payoff tracker</x:v>
      </x:c>
      <x:c r="W1458" s="10" t="str">
        <x:v>debt snowball</x:v>
      </x:c>
      <x:c r="X1458" s="10" t="str">
        <x:v>debt payoff chart</x:v>
      </x:c>
      <x:c r="Y1458" s="10" t="str">
        <x:v>debt payment tracker</x:v>
      </x:c>
      <x:c r="Z1458" s="10" t="str">
        <x:v>credit card payoff</x:v>
      </x:c>
      <x:c r="AA1458" s="10" t="str">
        <x:v>debt avalanche</x:v>
      </x:c>
      <x:c r="AB1458" s="10" t="str">
        <x:v>student loan debt</x:v>
      </x:c>
      <x:c r="AC1458" s="10" t="str">
        <x:v>google sheets budget</x:v>
      </x:c>
      <x:c r="AD1458" s="10" t="str">
        <x:v>mortgage payoff</x:v>
      </x:c>
      <x:c r="AE1458" s="10" t="str">
        <x:v>credit utilization</x:v>
      </x:c>
      <x:c r="AF1458" s="10" t="str">
        <x:v>credit score debt</x:v>
      </x:c>
      <x:c r="AG1458" s="10" t="str">
        <x:v>budget spreadsheet</x:v>
      </x:c>
      <x:c r="AH1458" s="10" t="str">
        <x:v>General debt payoff</x:v>
      </x:c>
      <x:c r="AI1458" s="13" t="n">
        <x:v>1</x:v>
      </x:c>
      <x:c r="AJ1458" s="10" t="str">
        <x:f>IF(F1458&gt;0,"Active","No est. sales")</x:f>
        <x:v>No est. sales</x:v>
      </x:c>
    </x:row>
    <x:row r="1459">
      <x:c r="A1459" s="10" t="str">
        <x:v>Home Buying Planner Printable | House Hunting Checklist | Budget &amp; Mortgage Tracker | Real Estate Organizer PDF | Instant Download</x:v>
      </x:c>
      <x:c r="B1459" s="10" t="str">
        <x:v>https://www.etsy.com/listing/4346527503/home-buying-planner-printable-house</x:v>
      </x:c>
      <x:c r="C1459" s="10" t="str">
        <x:v>alvesonlinestore</x:v>
      </x:c>
      <x:c r="D1459" s="10" t="str">
        <x:v>https://www.etsy.com/shop/alvesonlinestore</x:v>
      </x:c>
      <x:c r="E1459" s="11" t="n">
        <x:v>3.24</x:v>
      </x:c>
      <x:c r="F1459" s="10" t="n">
        <x:v>0</x:v>
      </x:c>
      <x:c r="G1459" s="12" t="n">
        <x:v>0</x:v>
      </x:c>
      <x:c r="H1459" s="13" t="n">
        <x:v>0</x:v>
      </x:c>
      <x:c r="I1459" s="10" t="n">
        <x:v>0</x:v>
      </x:c>
      <x:c r="J1459" s="10" t="n">
        <x:v>0</x:v>
      </x:c>
      <x:c r="K1459" s="10" t="str">
        <x:v>9 Mo.</x:v>
      </x:c>
      <x:c r="L1459" s="10" t="n">
        <x:v>1</x:v>
      </x:c>
      <x:c r="M1459" s="10" t="n">
        <x:v>0</x:v>
      </x:c>
      <x:c r="N1459" s="10" t="n">
        <x:v>4</x:v>
      </x:c>
      <x:c r="O1459" s="10" t="str">
        <x:v>Art &amp; Collectibles</x:v>
      </x:c>
      <x:c r="P1459" s="10" t="n">
        <x:v>10</x:v>
      </x:c>
      <x:c r="Q1459" s="10" t="n">
        <x:v>0</x:v>
      </x:c>
      <x:c r="R1459" s="13" t="n">
        <x:v>0</x:v>
      </x:c>
      <x:c r="S1459" s="10" t="n">
        <x:v>0</x:v>
      </x:c>
      <x:c r="T1459" s="10" t="str">
        <x:v>home buying plan,house hunting,real estate planner,mortgage tracker,budget planner,printable pdf,instant download,home checklist,property log,new home plan,loan tracker,move planner,house goals</x:v>
      </x:c>
      <x:c r="U1459" s="10" t="str">
        <x:v>home buying plan</x:v>
      </x:c>
      <x:c r="V1459" s="10" t="str">
        <x:v>house hunting</x:v>
      </x:c>
      <x:c r="W1459" s="10" t="str">
        <x:v>real estate planner</x:v>
      </x:c>
      <x:c r="X1459" s="10" t="str">
        <x:v>mortgage tracker</x:v>
      </x:c>
      <x:c r="Y1459" s="10" t="str">
        <x:v>budget planner</x:v>
      </x:c>
      <x:c r="Z1459" s="10" t="str">
        <x:v>printable pdf</x:v>
      </x:c>
      <x:c r="AA1459" s="10" t="str">
        <x:v>instant download</x:v>
      </x:c>
      <x:c r="AB1459" s="10" t="str">
        <x:v>home checklist</x:v>
      </x:c>
      <x:c r="AC1459" s="10" t="str">
        <x:v>property log</x:v>
      </x:c>
      <x:c r="AD1459" s="10" t="str">
        <x:v>new home plan</x:v>
      </x:c>
      <x:c r="AE1459" s="10" t="str">
        <x:v>loan tracker</x:v>
      </x:c>
      <x:c r="AF1459" s="10" t="str">
        <x:v>move planner</x:v>
      </x:c>
      <x:c r="AG1459" s="10" t="str">
        <x:v>house goals</x:v>
      </x:c>
      <x:c r="AH1459" s="10" t="str">
        <x:v>Home buying planner</x:v>
      </x:c>
      <x:c r="AI1459" s="13" t="n">
        <x:v>9</x:v>
      </x:c>
      <x:c r="AJ1459" s="10" t="str">
        <x:f>IF(F1459&gt;0,"Active","No est. sales")</x:f>
        <x:v>No est. sales</x:v>
      </x:c>
    </x:row>
    <x:row r="1460">
      <x:c r="A1460" s="10" t="str">
        <x:v>Home Buying Planner, Real Estate Checklist (Digital Download)</x:v>
      </x:c>
      <x:c r="B1460" s="10" t="str">
        <x:v>https://www.etsy.com/listing/1809701256/home-buying-planner-real-estate</x:v>
      </x:c>
      <x:c r="C1460" s="10" t="str">
        <x:v>SoldbySarneVault</x:v>
      </x:c>
      <x:c r="D1460" s="10" t="str">
        <x:v>https://www.etsy.com/shop/SoldbySarneVault</x:v>
      </x:c>
      <x:c r="E1460" s="11" t="n">
        <x:v>9.97</x:v>
      </x:c>
      <x:c r="F1460" s="10" t="n">
        <x:v>0</x:v>
      </x:c>
      <x:c r="G1460" s="12" t="n">
        <x:v>0</x:v>
      </x:c>
      <x:c r="H1460" s="13" t="n">
        <x:v>0</x:v>
      </x:c>
      <x:c r="I1460" s="10" t="n">
        <x:v>0</x:v>
      </x:c>
      <x:c r="J1460" s="10" t="n">
        <x:v>0</x:v>
      </x:c>
      <x:c r="K1460" s="10" t="str">
        <x:v>17 Mo.</x:v>
      </x:c>
      <x:c r="L1460" s="10" t="n">
        <x:v>1</x:v>
      </x:c>
      <x:c r="M1460" s="10" t="n">
        <x:v>0</x:v>
      </x:c>
      <x:c r="N1460" s="10" t="n">
        <x:v>16</x:v>
      </x:c>
      <x:c r="O1460" s="10" t="str"/>
      <x:c r="P1460" s="10" t="n">
        <x:v>17</x:v>
      </x:c>
      <x:c r="Q1460" s="10" t="n">
        <x:v>0</x:v>
      </x:c>
      <x:c r="R1460" s="13" t="n">
        <x:v>0</x:v>
      </x:c>
      <x:c r="S1460" s="10" t="n">
        <x:v>1</x:v>
      </x:c>
      <x:c r="T1460" s="10" t="str">
        <x:v>home buying planner,real estate guide,mortgage planning,property evaluation,financial planning,real estate tools,home checklist,first-time buyer,home buyers,home search,organizer,purchase checklist,comprehensive plan</x:v>
      </x:c>
      <x:c r="U1460" s="10" t="str">
        <x:v>home buying planner</x:v>
      </x:c>
      <x:c r="V1460" s="10" t="str">
        <x:v>real estate guide</x:v>
      </x:c>
      <x:c r="W1460" s="10" t="str">
        <x:v>mortgage planning</x:v>
      </x:c>
      <x:c r="X1460" s="10" t="str">
        <x:v>property evaluation</x:v>
      </x:c>
      <x:c r="Y1460" s="10" t="str">
        <x:v>financial planning</x:v>
      </x:c>
      <x:c r="Z1460" s="10" t="str">
        <x:v>real estate tools</x:v>
      </x:c>
      <x:c r="AA1460" s="10" t="str">
        <x:v>home checklist</x:v>
      </x:c>
      <x:c r="AB1460" s="10" t="str">
        <x:v>first-time buyer</x:v>
      </x:c>
      <x:c r="AC1460" s="10" t="str">
        <x:v>home buyers</x:v>
      </x:c>
      <x:c r="AD1460" s="10" t="str">
        <x:v>home search</x:v>
      </x:c>
      <x:c r="AE1460" s="10" t="str">
        <x:v>organizer</x:v>
      </x:c>
      <x:c r="AF1460" s="10" t="str">
        <x:v>purchase checklist</x:v>
      </x:c>
      <x:c r="AG1460" s="10" t="str">
        <x:v>comprehensive plan</x:v>
      </x:c>
      <x:c r="AH1460" s="10" t="str">
        <x:v>Home buying planner</x:v>
      </x:c>
      <x:c r="AI1460" s="13" t="n">
        <x:v>17</x:v>
      </x:c>
      <x:c r="AJ1460" s="10" t="str">
        <x:f>IF(F1460&gt;0,"Active","No est. sales")</x:f>
        <x:v>No est. sales</x:v>
      </x:c>
    </x:row>
    <x:row r="1461">
      <x:c r="A1461" s="10" t="str">
        <x:v>Mortgage &amp; Finance Tracker Notion Template | Mortgage Comparison, Application Tracker, Property Costs, Key Dates | Instant Download</x:v>
      </x:c>
      <x:c r="B1461" s="10" t="str">
        <x:v>https://www.etsy.com/listing/4522744596/mortgage-finance-tracker-notion-template</x:v>
      </x:c>
      <x:c r="C1461" s="10" t="str">
        <x:v>ClearDeskCOStudio</x:v>
      </x:c>
      <x:c r="D1461" s="10" t="str">
        <x:v>https://www.etsy.com/shop/ClearDeskCOStudio</x:v>
      </x:c>
      <x:c r="E1461" s="11" t="n">
        <x:v>5.99</x:v>
      </x:c>
      <x:c r="F1461" s="10" t="n">
        <x:v>0</x:v>
      </x:c>
      <x:c r="G1461" s="12" t="n">
        <x:v>0</x:v>
      </x:c>
      <x:c r="H1461" s="13" t="n">
        <x:v>0</x:v>
      </x:c>
      <x:c r="I1461" s="10" t="n">
        <x:v>0</x:v>
      </x:c>
      <x:c r="J1461" s="10" t="n">
        <x:v>0</x:v>
      </x:c>
      <x:c r="K1461" s="10" t="str">
        <x:v>1 Mo.</x:v>
      </x:c>
      <x:c r="L1461" s="10" t="n">
        <x:v>0</x:v>
      </x:c>
      <x:c r="M1461" s="10" t="n">
        <x:v>0</x:v>
      </x:c>
      <x:c r="N1461" s="10" t="n">
        <x:v>1</x:v>
      </x:c>
      <x:c r="O1461" s="10" t="str"/>
      <x:c r="P1461" s="10" t="n">
        <x:v>1</x:v>
      </x:c>
      <x:c r="Q1461" s="10" t="n">
        <x:v>0</x:v>
      </x:c>
      <x:c r="R1461" s="13" t="n">
        <x:v>0</x:v>
      </x:c>
      <x:c r="S1461" s="10" t="n">
        <x:v>0</x:v>
      </x:c>
      <x:c r="T1461" s="10" t="str">
        <x:v>notion template,mortgage tracker,mortgage planner,home buying tracker,property costs,mortgage comparison,first time buyer,application tracker,key dates planner,document checklist,notion planner,property purchase,instant download</x:v>
      </x:c>
      <x:c r="U1461" s="10" t="str">
        <x:v>notion template</x:v>
      </x:c>
      <x:c r="V1461" s="10" t="str">
        <x:v>mortgage tracker</x:v>
      </x:c>
      <x:c r="W1461" s="10" t="str">
        <x:v>mortgage planner</x:v>
      </x:c>
      <x:c r="X1461" s="10" t="str">
        <x:v>home buying tracker</x:v>
      </x:c>
      <x:c r="Y1461" s="10" t="str">
        <x:v>property costs</x:v>
      </x:c>
      <x:c r="Z1461" s="10" t="str">
        <x:v>mortgage comparison</x:v>
      </x:c>
      <x:c r="AA1461" s="10" t="str">
        <x:v>first time buyer</x:v>
      </x:c>
      <x:c r="AB1461" s="10" t="str">
        <x:v>application tracker</x:v>
      </x:c>
      <x:c r="AC1461" s="10" t="str">
        <x:v>key dates planner</x:v>
      </x:c>
      <x:c r="AD1461" s="10" t="str">
        <x:v>document checklist</x:v>
      </x:c>
      <x:c r="AE1461" s="10" t="str">
        <x:v>notion planner</x:v>
      </x:c>
      <x:c r="AF1461" s="10" t="str">
        <x:v>property purchase</x:v>
      </x:c>
      <x:c r="AG1461" s="10" t="str">
        <x:v>instant download</x:v>
      </x:c>
      <x:c r="AH1461" s="10" t="str">
        <x:v>Other mortgage-related</x:v>
      </x:c>
      <x:c r="AI1461" s="13" t="n">
        <x:v>1</x:v>
      </x:c>
      <x:c r="AJ1461" s="10" t="str">
        <x:f>IF(F1461&gt;0,"Active","No est. sales")</x:f>
        <x:v>No est. sales</x:v>
      </x:c>
    </x:row>
    <x:row r="1462">
      <x:c r="A1462" s="10" t="str">
        <x:v>Debt Payoff Bundle Spreadsheet Google Sheets Loan Calculator Snowball</x:v>
      </x:c>
      <x:c r="B1462" s="10" t="str">
        <x:v>https://www.etsy.com/listing/4526159725/debt-payoff-bundle-spreadsheet-google</x:v>
      </x:c>
      <x:c r="C1462" s="10" t="str">
        <x:v>OpsKitsShop</x:v>
      </x:c>
      <x:c r="D1462" s="10" t="str">
        <x:v>https://www.etsy.com/shop/OpsKitsShop</x:v>
      </x:c>
      <x:c r="E1462" s="11" t="n">
        <x:v>39.97</x:v>
      </x:c>
      <x:c r="F1462" s="10" t="n">
        <x:v>0</x:v>
      </x:c>
      <x:c r="G1462" s="12" t="n">
        <x:v>0</x:v>
      </x:c>
      <x:c r="H1462" s="13" t="n">
        <x:v>0</x:v>
      </x:c>
      <x:c r="I1462" s="10" t="n">
        <x:v>0</x:v>
      </x:c>
      <x:c r="J1462" s="10" t="n">
        <x:v>0</x:v>
      </x:c>
      <x:c r="K1462" s="10" t="str">
        <x:v>1 Mo.</x:v>
      </x:c>
      <x:c r="L1462" s="10" t="n">
        <x:v>0</x:v>
      </x:c>
      <x:c r="M1462" s="10" t="n">
        <x:v>0</x:v>
      </x:c>
      <x:c r="N1462" s="10" t="n">
        <x:v>0</x:v>
      </x:c>
      <x:c r="O1462" s="10" t="str">
        <x:v>Paper &amp; Party Supplies</x:v>
      </x:c>
      <x:c r="P1462" s="10" t="n">
        <x:v>2</x:v>
      </x:c>
      <x:c r="Q1462" s="10" t="n">
        <x:v>0</x:v>
      </x:c>
      <x:c r="R1462" s="13" t="n">
        <x:v>0</x:v>
      </x:c>
      <x:c r="S1462" s="10" t="n">
        <x:v>0</x:v>
      </x:c>
      <x:c r="T1462" s="10" t="str">
        <x:v>debt payoff,debt bundle,loan calculator,debt snowball,mortgage payoff,student loan,credit card debt,amortization,car loan payoff,debt free,loan payoff,google sheets,debt planner</x:v>
      </x:c>
      <x:c r="U1462" s="10" t="str">
        <x:v>debt payoff</x:v>
      </x:c>
      <x:c r="V1462" s="10" t="str">
        <x:v>debt bundle</x:v>
      </x:c>
      <x:c r="W1462" s="10" t="str">
        <x:v>loan calculator</x:v>
      </x:c>
      <x:c r="X1462" s="10" t="str">
        <x:v>debt snowball</x:v>
      </x:c>
      <x:c r="Y1462" s="10" t="str">
        <x:v>mortgage payoff</x:v>
      </x:c>
      <x:c r="Z1462" s="10" t="str">
        <x:v>student loan</x:v>
      </x:c>
      <x:c r="AA1462" s="10" t="str">
        <x:v>credit card debt</x:v>
      </x:c>
      <x:c r="AB1462" s="10" t="str">
        <x:v>amortization</x:v>
      </x:c>
      <x:c r="AC1462" s="10" t="str">
        <x:v>car loan payoff</x:v>
      </x:c>
      <x:c r="AD1462" s="10" t="str">
        <x:v>debt free</x:v>
      </x:c>
      <x:c r="AE1462" s="10" t="str">
        <x:v>loan payoff</x:v>
      </x:c>
      <x:c r="AF1462" s="10" t="str">
        <x:v>google sheets</x:v>
      </x:c>
      <x:c r="AG1462" s="10" t="str">
        <x:v>debt planner</x:v>
      </x:c>
      <x:c r="AH1462" s="10" t="str">
        <x:v>General debt payoff</x:v>
      </x:c>
      <x:c r="AI1462" s="13" t="n">
        <x:v>1</x:v>
      </x:c>
      <x:c r="AJ1462" s="10" t="str">
        <x:f>IF(F1462&gt;0,"Active","No est. sales")</x:f>
        <x:v>No est. sales</x:v>
      </x:c>
    </x:row>
    <x:row r="1463">
      <x:c r="A1463" s="10" t="str">
        <x:v>Debt Repayment Tracker: Printable Loan Payoff (PDF, JPG, PNG)</x:v>
      </x:c>
      <x:c r="B1463" s="10" t="str">
        <x:v>https://www.etsy.com/listing/1180154656/debt-repayment-tracker-printable-loan</x:v>
      </x:c>
      <x:c r="C1463" s="10" t="str">
        <x:v>Ourdigitalstores</x:v>
      </x:c>
      <x:c r="D1463" s="10" t="str">
        <x:v>https://www.etsy.com/shop/Ourdigitalstores</x:v>
      </x:c>
      <x:c r="E1463" s="11" t="n">
        <x:v>3</x:v>
      </x:c>
      <x:c r="F1463" s="10" t="n">
        <x:v>0</x:v>
      </x:c>
      <x:c r="G1463" s="12" t="n">
        <x:v>0</x:v>
      </x:c>
      <x:c r="H1463" s="13" t="n">
        <x:v>0</x:v>
      </x:c>
      <x:c r="I1463" s="10" t="n">
        <x:v>0</x:v>
      </x:c>
      <x:c r="J1463" s="10" t="n">
        <x:v>0</x:v>
      </x:c>
      <x:c r="K1463" s="10" t="str">
        <x:v>52 Mo.</x:v>
      </x:c>
      <x:c r="L1463" s="10" t="n">
        <x:v>1</x:v>
      </x:c>
      <x:c r="M1463" s="10" t="n">
        <x:v>0</x:v>
      </x:c>
      <x:c r="N1463" s="10" t="n">
        <x:v>57</x:v>
      </x:c>
      <x:c r="O1463" s="10" t="str">
        <x:v>Paper &amp; Party Supplies</x:v>
      </x:c>
      <x:c r="P1463" s="10" t="n">
        <x:v>54</x:v>
      </x:c>
      <x:c r="Q1463" s="10" t="n">
        <x:v>0</x:v>
      </x:c>
      <x:c r="R1463" s="13" t="n">
        <x:v>0</x:v>
      </x:c>
      <x:c r="S1463" s="10" t="n">
        <x:v>1483</x:v>
      </x:c>
      <x:c r="T1463" s="10" t="str">
        <x:v>debt payment tracker,debt snowball,debt avalanche,debt payoff planner,debt calculator,loan payoff tracker,credit card debt,mortgage payoff,student loan debt,financial planner,personal finance,debt google sheets,snowball method</x:v>
      </x:c>
      <x:c r="U1463" s="10" t="str">
        <x:v>debt payment tracker</x:v>
      </x:c>
      <x:c r="V1463" s="10" t="str">
        <x:v>debt snowball</x:v>
      </x:c>
      <x:c r="W1463" s="10" t="str">
        <x:v>debt avalanche</x:v>
      </x:c>
      <x:c r="X1463" s="10" t="str">
        <x:v>debt payoff planner</x:v>
      </x:c>
      <x:c r="Y1463" s="10" t="str">
        <x:v>debt calculator</x:v>
      </x:c>
      <x:c r="Z1463" s="10" t="str">
        <x:v>loan payoff tracker</x:v>
      </x:c>
      <x:c r="AA1463" s="10" t="str">
        <x:v>credit card debt</x:v>
      </x:c>
      <x:c r="AB1463" s="10" t="str">
        <x:v>mortgage payoff</x:v>
      </x:c>
      <x:c r="AC1463" s="10" t="str">
        <x:v>student loan debt</x:v>
      </x:c>
      <x:c r="AD1463" s="10" t="str">
        <x:v>financial planner</x:v>
      </x:c>
      <x:c r="AE1463" s="10" t="str">
        <x:v>personal finance</x:v>
      </x:c>
      <x:c r="AF1463" s="10" t="str">
        <x:v>debt google sheets</x:v>
      </x:c>
      <x:c r="AG1463" s="10" t="str">
        <x:v>snowball method</x:v>
      </x:c>
      <x:c r="AH1463" s="10" t="str">
        <x:v>General loan calculator</x:v>
      </x:c>
      <x:c r="AI1463" s="13" t="n">
        <x:v>52</x:v>
      </x:c>
      <x:c r="AJ1463" s="10" t="str">
        <x:f>IF(F1463&gt;0,"Active","No est. sales")</x:f>
        <x:v>No est. sales</x:v>
      </x:c>
    </x:row>
    <x:row r="1464">
      <x:c r="A1464" s="10" t="str">
        <x:v>Mortgage Bill Planner Stickers, Rent Planner Stickers, Bill Due Planner Stickers, Payment Reminder Stickers, Stickers for Calendars</x:v>
      </x:c>
      <x:c r="B1464" s="10" t="str">
        <x:v>https://www.etsy.com/listing/1262325025/mortgage-bill-planner-stickers-rent</x:v>
      </x:c>
      <x:c r="C1464" s="10" t="str">
        <x:v>JPsDesignCo</x:v>
      </x:c>
      <x:c r="D1464" s="10" t="str">
        <x:v>https://www.etsy.com/shop/JPsDesignCo</x:v>
      </x:c>
      <x:c r="E1464" s="11" t="n">
        <x:v>4.99</x:v>
      </x:c>
      <x:c r="F1464" s="10" t="n">
        <x:v>0</x:v>
      </x:c>
      <x:c r="G1464" s="12" t="n">
        <x:v>0</x:v>
      </x:c>
      <x:c r="H1464" s="13" t="n">
        <x:v>0</x:v>
      </x:c>
      <x:c r="I1464" s="10" t="n">
        <x:v>0</x:v>
      </x:c>
      <x:c r="J1464" s="10" t="n">
        <x:v>0</x:v>
      </x:c>
      <x:c r="K1464" s="10" t="str">
        <x:v>33 Mo.</x:v>
      </x:c>
      <x:c r="L1464" s="10" t="n">
        <x:v>10</x:v>
      </x:c>
      <x:c r="M1464" s="10" t="n">
        <x:v>0</x:v>
      </x:c>
      <x:c r="N1464" s="10" t="n">
        <x:v>0</x:v>
      </x:c>
      <x:c r="O1464" s="10" t="str">
        <x:v>Paper &amp; Party Supplies</x:v>
      </x:c>
      <x:c r="P1464" s="10" t="n">
        <x:v>35</x:v>
      </x:c>
      <x:c r="Q1464" s="10" t="n">
        <x:v>0</x:v>
      </x:c>
      <x:c r="R1464" s="13" t="n">
        <x:v>0</x:v>
      </x:c>
      <x:c r="S1464" s="10" t="n">
        <x:v>417</x:v>
      </x:c>
      <x:c r="T1464" s="10" t="str">
        <x:v>sticker,stickers,planner,planner sticker,calendar,calendar sticker,calendar stickers,bullet journal,journal stickers,organization,labels,mortgage bill,planner stickers</x:v>
      </x:c>
      <x:c r="U1464" s="10" t="str">
        <x:v>sticker</x:v>
      </x:c>
      <x:c r="V1464" s="10" t="str">
        <x:v>stickers</x:v>
      </x:c>
      <x:c r="W1464" s="10" t="str">
        <x:v>planner</x:v>
      </x:c>
      <x:c r="X1464" s="10" t="str">
        <x:v>planner sticker</x:v>
      </x:c>
      <x:c r="Y1464" s="10" t="str">
        <x:v>calendar</x:v>
      </x:c>
      <x:c r="Z1464" s="10" t="str">
        <x:v>calendar sticker</x:v>
      </x:c>
      <x:c r="AA1464" s="10" t="str">
        <x:v>calendar stickers</x:v>
      </x:c>
      <x:c r="AB1464" s="10" t="str">
        <x:v>bullet journal</x:v>
      </x:c>
      <x:c r="AC1464" s="10" t="str">
        <x:v>journal stickers</x:v>
      </x:c>
      <x:c r="AD1464" s="10" t="str">
        <x:v>organization</x:v>
      </x:c>
      <x:c r="AE1464" s="10" t="str">
        <x:v>labels</x:v>
      </x:c>
      <x:c r="AF1464" s="10" t="str">
        <x:v>mortgage bill</x:v>
      </x:c>
      <x:c r="AG1464" s="10" t="str">
        <x:v>planner stickers</x:v>
      </x:c>
      <x:c r="AH1464" s="10" t="str">
        <x:v>Other mortgage-related</x:v>
      </x:c>
      <x:c r="AI1464" s="13" t="n">
        <x:v>33</x:v>
      </x:c>
      <x:c r="AJ1464" s="10" t="str">
        <x:f>IF(F1464&gt;0,"Active","No est. sales")</x:f>
        <x:v>No est. sales</x:v>
      </x:c>
    </x:row>
    <x:row r="1465">
      <x:c r="A1465" s="10" t="str">
        <x:v>Debt Payoff Tracker, Debt Snowball Spreadsheet, Credit Card &amp; Loan Payoff Planner, Debt Avalanche, Excel and Google Sheets, Debt Free Chart</x:v>
      </x:c>
      <x:c r="B1465" s="10" t="str">
        <x:v>https://www.etsy.com/listing/4509807114/debt-payoff-tracker-debt-snowball</x:v>
      </x:c>
      <x:c r="C1465" s="10" t="str">
        <x:v>MAXIMIZERPRO</x:v>
      </x:c>
      <x:c r="D1465" s="10" t="str">
        <x:v>https://www.etsy.com/shop/MAXIMIZERPRO</x:v>
      </x:c>
      <x:c r="E1465" s="11" t="n">
        <x:v>3.99</x:v>
      </x:c>
      <x:c r="F1465" s="10" t="n">
        <x:v>0</x:v>
      </x:c>
      <x:c r="G1465" s="12" t="n">
        <x:v>0</x:v>
      </x:c>
      <x:c r="H1465" s="13" t="n">
        <x:v>0</x:v>
      </x:c>
      <x:c r="I1465" s="10" t="n">
        <x:v>0</x:v>
      </x:c>
      <x:c r="J1465" s="10" t="n">
        <x:v>0</x:v>
      </x:c>
      <x:c r="K1465" s="10" t="str">
        <x:v>1 Mo.</x:v>
      </x:c>
      <x:c r="L1465" s="10" t="n">
        <x:v>0</x:v>
      </x:c>
      <x:c r="M1465" s="10" t="n">
        <x:v>0</x:v>
      </x:c>
      <x:c r="N1465" s="10" t="n">
        <x:v>0</x:v>
      </x:c>
      <x:c r="O1465" s="10" t="str">
        <x:v>Paper &amp; Party Supplies</x:v>
      </x:c>
      <x:c r="P1465" s="10" t="n">
        <x:v>0</x:v>
      </x:c>
      <x:c r="Q1465" s="10" t="n">
        <x:v>0</x:v>
      </x:c>
      <x:c r="R1465" s="13" t="n">
        <x:v>0</x:v>
      </x:c>
      <x:c r="S1465" s="10" t="n">
        <x:v>0</x:v>
      </x:c>
      <x:c r="T1465" s="10" t="str">
        <x:v>financial planner,debt payoff tracker,debt snowball,debt payoff chart,debt avalanche,debt template,credit card payoff,debt payment tracker,student loan debt,google sheets budget,mortgage payoff,credit utilization,credit score debt</x:v>
      </x:c>
      <x:c r="U1465" s="10" t="str">
        <x:v>financial planner</x:v>
      </x:c>
      <x:c r="V1465" s="10" t="str">
        <x:v>debt payoff tracker</x:v>
      </x:c>
      <x:c r="W1465" s="10" t="str">
        <x:v>debt snowball</x:v>
      </x:c>
      <x:c r="X1465" s="10" t="str">
        <x:v>debt payoff chart</x:v>
      </x:c>
      <x:c r="Y1465" s="10" t="str">
        <x:v>debt avalanche</x:v>
      </x:c>
      <x:c r="Z1465" s="10" t="str">
        <x:v>debt template</x:v>
      </x:c>
      <x:c r="AA1465" s="10" t="str">
        <x:v>credit card payoff</x:v>
      </x:c>
      <x:c r="AB1465" s="10" t="str">
        <x:v>debt payment tracker</x:v>
      </x:c>
      <x:c r="AC1465" s="10" t="str">
        <x:v>student loan debt</x:v>
      </x:c>
      <x:c r="AD1465" s="10" t="str">
        <x:v>google sheets budget</x:v>
      </x:c>
      <x:c r="AE1465" s="10" t="str">
        <x:v>mortgage payoff</x:v>
      </x:c>
      <x:c r="AF1465" s="10" t="str">
        <x:v>credit utilization</x:v>
      </x:c>
      <x:c r="AG1465" s="10" t="str">
        <x:v>credit score debt</x:v>
      </x:c>
      <x:c r="AH1465" s="10" t="str">
        <x:v>General debt payoff</x:v>
      </x:c>
      <x:c r="AI1465" s="13" t="n">
        <x:v>1</x:v>
      </x:c>
      <x:c r="AJ1465" s="10" t="str">
        <x:f>IF(F1465&gt;0,"Active","No est. sales")</x:f>
        <x:v>No est. sales</x:v>
      </x:c>
    </x:row>
    <x:row r="1466">
      <x:c r="A1466" s="10" t="str">
        <x:v>Loan Officer Mug, Helping Dreams Come True Cup, Financial Advisor Gift, Mortgage Broker Drinkware, Banking Professional Present, Home Loan</x:v>
      </x:c>
      <x:c r="B1466" s="10" t="str">
        <x:v>https://www.etsy.com/listing/4465130137/loan-officer-mug-helping-dreams-come</x:v>
      </x:c>
      <x:c r="C1466" s="10" t="str">
        <x:v>BashfulYakMugs</x:v>
      </x:c>
      <x:c r="D1466" s="10" t="str">
        <x:v>https://www.etsy.com/shop/BashfulYakMugs</x:v>
      </x:c>
      <x:c r="E1466" s="11" t="n">
        <x:v>27.41</x:v>
      </x:c>
      <x:c r="F1466" s="10" t="n">
        <x:v>0</x:v>
      </x:c>
      <x:c r="G1466" s="12" t="n">
        <x:v>0</x:v>
      </x:c>
      <x:c r="H1466" s="13" t="n">
        <x:v>0</x:v>
      </x:c>
      <x:c r="I1466" s="10" t="n">
        <x:v>0</x:v>
      </x:c>
      <x:c r="J1466" s="10" t="n">
        <x:v>0</x:v>
      </x:c>
      <x:c r="K1466" s="10" t="str">
        <x:v>1 Mo.</x:v>
      </x:c>
      <x:c r="L1466" s="10" t="n">
        <x:v>0</x:v>
      </x:c>
      <x:c r="M1466" s="10" t="n">
        <x:v>0</x:v>
      </x:c>
      <x:c r="N1466" s="10" t="n">
        <x:v>0</x:v>
      </x:c>
      <x:c r="O1466" s="10" t="str">
        <x:v>Home &amp; Living</x:v>
      </x:c>
      <x:c r="P1466" s="10" t="n">
        <x:v>2</x:v>
      </x:c>
      <x:c r="Q1466" s="10" t="n">
        <x:v>0</x:v>
      </x:c>
      <x:c r="R1466" s="13" t="n">
        <x:v>0</x:v>
      </x:c>
      <x:c r="S1466" s="10" t="n">
        <x:v>15</x:v>
      </x:c>
      <x:c r="T1466" s="10" t="str">
        <x:v>loan officer gift,financial advisor,mortgage broker cup,home loan expert,banking professional,finance career mug,helping dreams true,success growth art,investment planner,real estate finance,handshake deal mug,property loan mug,business finance art</x:v>
      </x:c>
      <x:c r="U1466" s="10" t="str">
        <x:v>loan officer gift</x:v>
      </x:c>
      <x:c r="V1466" s="10" t="str">
        <x:v>financial advisor</x:v>
      </x:c>
      <x:c r="W1466" s="10" t="str">
        <x:v>mortgage broker cup</x:v>
      </x:c>
      <x:c r="X1466" s="10" t="str">
        <x:v>home loan expert</x:v>
      </x:c>
      <x:c r="Y1466" s="10" t="str">
        <x:v>banking professional</x:v>
      </x:c>
      <x:c r="Z1466" s="10" t="str">
        <x:v>finance career mug</x:v>
      </x:c>
      <x:c r="AA1466" s="10" t="str">
        <x:v>helping dreams true</x:v>
      </x:c>
      <x:c r="AB1466" s="10" t="str">
        <x:v>success growth art</x:v>
      </x:c>
      <x:c r="AC1466" s="10" t="str">
        <x:v>investment planner</x:v>
      </x:c>
      <x:c r="AD1466" s="10" t="str">
        <x:v>real estate finance</x:v>
      </x:c>
      <x:c r="AE1466" s="10" t="str">
        <x:v>handshake deal mug</x:v>
      </x:c>
      <x:c r="AF1466" s="10" t="str">
        <x:v>property loan mug</x:v>
      </x:c>
      <x:c r="AG1466" s="10" t="str">
        <x:v>business finance art</x:v>
      </x:c>
      <x:c r="AH1466" s="10" t="str">
        <x:v>Loan officer / B2B</x:v>
      </x:c>
      <x:c r="AI1466" s="13" t="n">
        <x:v>1</x:v>
      </x:c>
      <x:c r="AJ1466" s="10" t="str">
        <x:f>IF(F1466&gt;0,"Active","No est. sales")</x:f>
        <x:v>No est. sales</x:v>
      </x:c>
    </x:row>
    <x:row r="1467">
      <x:c r="A1467" s="10" t="str">
        <x:v>debt payoff tracker debt snowball payment calculator excel spreadsheet template google sheets dashboard planners</x:v>
      </x:c>
      <x:c r="B1467" s="10" t="str">
        <x:v>https://www.etsy.com/listing/4528527468/debt-payoff-tracker-debt-snowball</x:v>
      </x:c>
      <x:c r="C1467" s="10" t="str">
        <x:v>AdlCreativeVault</x:v>
      </x:c>
      <x:c r="D1467" s="10" t="str">
        <x:v>https://www.etsy.com/shop/AdlCreativeVault</x:v>
      </x:c>
      <x:c r="E1467" s="11" t="n">
        <x:v>1.8</x:v>
      </x:c>
      <x:c r="F1467" s="10" t="n">
        <x:v>0</x:v>
      </x:c>
      <x:c r="G1467" s="12" t="n">
        <x:v>0</x:v>
      </x:c>
      <x:c r="H1467" s="13" t="n">
        <x:v>0</x:v>
      </x:c>
      <x:c r="I1467" s="10" t="n">
        <x:v>0</x:v>
      </x:c>
      <x:c r="J1467" s="10" t="n">
        <x:v>0</x:v>
      </x:c>
      <x:c r="K1467" s="10" t="str">
        <x:v>1 Mo.</x:v>
      </x:c>
      <x:c r="L1467" s="10" t="n">
        <x:v>0</x:v>
      </x:c>
      <x:c r="M1467" s="10" t="n">
        <x:v>0</x:v>
      </x:c>
      <x:c r="N1467" s="10" t="n">
        <x:v>1</x:v>
      </x:c>
      <x:c r="O1467" s="10" t="str">
        <x:v>Paper &amp; Party Supplies</x:v>
      </x:c>
      <x:c r="P1467" s="10" t="n">
        <x:v>1</x:v>
      </x:c>
      <x:c r="Q1467" s="10" t="n">
        <x:v>0</x:v>
      </x:c>
      <x:c r="R1467" s="13" t="n">
        <x:v>0</x:v>
      </x:c>
      <x:c r="S1467" s="10" t="n">
        <x:v>1</x:v>
      </x:c>
      <x:c r="T1467" s="10" t="str">
        <x:v>credit utilization,debt avalanche,mortgage payoff,credit card payoff,debt payoff chart,student loan debt,debt payment tracker,debt template,financial planner,credit score debt,credit score focus,debt snowball,debt payoff tracker</x:v>
      </x:c>
      <x:c r="U1467" s="10" t="str">
        <x:v>credit utilization</x:v>
      </x:c>
      <x:c r="V1467" s="10" t="str">
        <x:v>debt avalanche</x:v>
      </x:c>
      <x:c r="W1467" s="10" t="str">
        <x:v>mortgage payoff</x:v>
      </x:c>
      <x:c r="X1467" s="10" t="str">
        <x:v>credit card payoff</x:v>
      </x:c>
      <x:c r="Y1467" s="10" t="str">
        <x:v>debt payoff chart</x:v>
      </x:c>
      <x:c r="Z1467" s="10" t="str">
        <x:v>student loan debt</x:v>
      </x:c>
      <x:c r="AA1467" s="10" t="str">
        <x:v>debt payment tracker</x:v>
      </x:c>
      <x:c r="AB1467" s="10" t="str">
        <x:v>debt template</x:v>
      </x:c>
      <x:c r="AC1467" s="10" t="str">
        <x:v>financial planner</x:v>
      </x:c>
      <x:c r="AD1467" s="10" t="str">
        <x:v>credit score debt</x:v>
      </x:c>
      <x:c r="AE1467" s="10" t="str">
        <x:v>credit score focus</x:v>
      </x:c>
      <x:c r="AF1467" s="10" t="str">
        <x:v>debt snowball</x:v>
      </x:c>
      <x:c r="AG1467" s="10" t="str">
        <x:v>debt payoff tracker</x:v>
      </x:c>
      <x:c r="AH1467" s="10" t="str">
        <x:v>General debt payoff</x:v>
      </x:c>
      <x:c r="AI1467" s="13" t="n">
        <x:v>1</x:v>
      </x:c>
      <x:c r="AJ1467" s="10" t="str">
        <x:f>IF(F1467&gt;0,"Active","No est. sales")</x:f>
        <x:v>No est. sales</x:v>
      </x:c>
    </x:row>
    <x:row r="1468">
      <x:c r="A1468" s="10" t="str">
        <x:v>Complete House Hunting And Mortgage Spreadsheet Bundle | 15-Tab Home Buying Workbook for Excel &amp; Google Sheets</x:v>
      </x:c>
      <x:c r="B1468" s="10" t="str">
        <x:v>https://www.etsy.com/listing/4485295506/home-buying-spreadsheet-bundle-excel</x:v>
      </x:c>
      <x:c r="C1468" s="10" t="str">
        <x:v>TynkrToolsAndCo</x:v>
      </x:c>
      <x:c r="D1468" s="10" t="str">
        <x:v>https://www.etsy.com/shop/TynkrToolsAndCo</x:v>
      </x:c>
      <x:c r="E1468" s="11" t="n">
        <x:v>34.99</x:v>
      </x:c>
      <x:c r="F1468" s="10" t="n">
        <x:v>0</x:v>
      </x:c>
      <x:c r="G1468" s="12" t="n">
        <x:v>0</x:v>
      </x:c>
      <x:c r="H1468" s="13" t="n">
        <x:v>0</x:v>
      </x:c>
      <x:c r="I1468" s="10" t="n">
        <x:v>0</x:v>
      </x:c>
      <x:c r="J1468" s="10" t="n">
        <x:v>0</x:v>
      </x:c>
      <x:c r="K1468" s="10" t="str">
        <x:v>3 Mo.</x:v>
      </x:c>
      <x:c r="L1468" s="10" t="n">
        <x:v>0</x:v>
      </x:c>
      <x:c r="M1468" s="10" t="n">
        <x:v>0</x:v>
      </x:c>
      <x:c r="N1468" s="10" t="n">
        <x:v>4</x:v>
      </x:c>
      <x:c r="O1468" s="10" t="str"/>
      <x:c r="P1468" s="10" t="n">
        <x:v>4</x:v>
      </x:c>
      <x:c r="Q1468" s="10" t="n">
        <x:v>0</x:v>
      </x:c>
      <x:c r="R1468" s="13" t="n">
        <x:v>0</x:v>
      </x:c>
      <x:c r="S1468" s="10" t="n">
        <x:v>0</x:v>
      </x:c>
      <x:c r="T1468" s="10" t="str">
        <x:v>home buying bundle,house hunting sheet,first time homebuyer,mortgage calculator,amortization plan,rent vs buy calc,home affordability,google sheets home,excel mortgage sheet,house savings track,property comparison,real estate planner,mortgage spreadsheet</x:v>
      </x:c>
      <x:c r="U1468" s="10" t="str">
        <x:v>home buying bundle</x:v>
      </x:c>
      <x:c r="V1468" s="10" t="str">
        <x:v>house hunting sheet</x:v>
      </x:c>
      <x:c r="W1468" s="10" t="str">
        <x:v>first time homebuyer</x:v>
      </x:c>
      <x:c r="X1468" s="10" t="str">
        <x:v>mortgage calculator</x:v>
      </x:c>
      <x:c r="Y1468" s="10" t="str">
        <x:v>amortization plan</x:v>
      </x:c>
      <x:c r="Z1468" s="10" t="str">
        <x:v>rent vs buy calc</x:v>
      </x:c>
      <x:c r="AA1468" s="10" t="str">
        <x:v>home affordability</x:v>
      </x:c>
      <x:c r="AB1468" s="10" t="str">
        <x:v>google sheets home</x:v>
      </x:c>
      <x:c r="AC1468" s="10" t="str">
        <x:v>excel mortgage sheet</x:v>
      </x:c>
      <x:c r="AD1468" s="10" t="str">
        <x:v>house savings track</x:v>
      </x:c>
      <x:c r="AE1468" s="10" t="str">
        <x:v>property comparison</x:v>
      </x:c>
      <x:c r="AF1468" s="10" t="str">
        <x:v>real estate planner</x:v>
      </x:c>
      <x:c r="AG1468" s="10" t="str">
        <x:v>mortgage spreadsheet</x:v>
      </x:c>
      <x:c r="AH1468" s="10" t="str">
        <x:v>Home buying planner</x:v>
      </x:c>
      <x:c r="AI1468" s="13" t="n">
        <x:v>3</x:v>
      </x:c>
      <x:c r="AJ1468" s="10" t="str">
        <x:f>IF(F1468&gt;0,"Active","No est. sales")</x:f>
        <x:v>No est. sales</x:v>
      </x:c>
    </x:row>
    <x:row r="1469">
      <x:c r="A1469" s="10" t="str">
        <x:v>Home Sweet Home - A Step-By-Step Guide for First Time Home Buyers: Tips, Strategies and Checklists to Simplify Your Path to Homeownership</x:v>
      </x:c>
      <x:c r="B1469" s="10" t="str">
        <x:v>https://www.etsy.com/listing/4472378817/home-sweet-home-a-step-by-step-guide-for</x:v>
      </x:c>
      <x:c r="C1469" s="10" t="str">
        <x:v>URMSBooks</x:v>
      </x:c>
      <x:c r="D1469" s="10" t="str">
        <x:v>https://www.etsy.com/shop/URMSBooks</x:v>
      </x:c>
      <x:c r="E1469" s="11" t="n">
        <x:v>19.97</x:v>
      </x:c>
      <x:c r="F1469" s="10" t="n">
        <x:v>0</x:v>
      </x:c>
      <x:c r="G1469" s="12" t="n">
        <x:v>0</x:v>
      </x:c>
      <x:c r="H1469" s="13" t="n">
        <x:v>0</x:v>
      </x:c>
      <x:c r="I1469" s="10" t="n">
        <x:v>0</x:v>
      </x:c>
      <x:c r="J1469" s="10" t="n">
        <x:v>0</x:v>
      </x:c>
      <x:c r="K1469" s="10" t="str">
        <x:v>1 Mo.</x:v>
      </x:c>
      <x:c r="L1469" s="10" t="n">
        <x:v>0</x:v>
      </x:c>
      <x:c r="M1469" s="10" t="n">
        <x:v>0</x:v>
      </x:c>
      <x:c r="N1469" s="10" t="n">
        <x:v>7</x:v>
      </x:c>
      <x:c r="O1469" s="10" t="str">
        <x:v>Books, Movies &amp; Music</x:v>
      </x:c>
      <x:c r="P1469" s="10" t="n">
        <x:v>2</x:v>
      </x:c>
      <x:c r="Q1469" s="10" t="n">
        <x:v>0</x:v>
      </x:c>
      <x:c r="R1469" s="13" t="n">
        <x:v>0</x:v>
      </x:c>
      <x:c r="S1469" s="10" t="n">
        <x:v>1</x:v>
      </x:c>
      <x:c r="T1469" s="10" t="str">
        <x:v>first time buyer,home buying guide,real estate book,house hunting,realtor gift,new homeowner,buying a house,mortgage tips,homeowner checklist,real estate agent,closing gifts,moving planner,house closing</x:v>
      </x:c>
      <x:c r="U1469" s="10" t="str">
        <x:v>first time buyer</x:v>
      </x:c>
      <x:c r="V1469" s="10" t="str">
        <x:v>home buying guide</x:v>
      </x:c>
      <x:c r="W1469" s="10" t="str">
        <x:v>real estate book</x:v>
      </x:c>
      <x:c r="X1469" s="10" t="str">
        <x:v>house hunting</x:v>
      </x:c>
      <x:c r="Y1469" s="10" t="str">
        <x:v>realtor gift</x:v>
      </x:c>
      <x:c r="Z1469" s="10" t="str">
        <x:v>new homeowner</x:v>
      </x:c>
      <x:c r="AA1469" s="10" t="str">
        <x:v>buying a house</x:v>
      </x:c>
      <x:c r="AB1469" s="10" t="str">
        <x:v>mortgage tips</x:v>
      </x:c>
      <x:c r="AC1469" s="10" t="str">
        <x:v>homeowner checklist</x:v>
      </x:c>
      <x:c r="AD1469" s="10" t="str">
        <x:v>real estate agent</x:v>
      </x:c>
      <x:c r="AE1469" s="10" t="str">
        <x:v>closing gifts</x:v>
      </x:c>
      <x:c r="AF1469" s="10" t="str">
        <x:v>moving planner</x:v>
      </x:c>
      <x:c r="AG1469" s="10" t="str">
        <x:v>house closing</x:v>
      </x:c>
      <x:c r="AH1469" s="10" t="str">
        <x:v>Home buying planner</x:v>
      </x:c>
      <x:c r="AI1469" s="13" t="n">
        <x:v>1</x:v>
      </x:c>
      <x:c r="AJ1469" s="10" t="str">
        <x:f>IF(F1469&gt;0,"Active","No est. sales")</x:f>
        <x:v>No est. sales</x:v>
      </x:c>
    </x:row>
    <x:row r="1470">
      <x:c r="A1470" s="10" t="str">
        <x:v>Debt Snowball vs. Avalanche Winner | Debt Payment Tracker |  Debt Free Plan | Debt google sheets | debt Planner | The Mortgage MD</x:v>
      </x:c>
      <x:c r="B1470" s="10" t="str">
        <x:v>https://www.etsy.com/listing/4505194387/debt-snowball-vs-avalanche-winner-debt</x:v>
      </x:c>
      <x:c r="C1470" s="10" t="str">
        <x:v>TheMortgageMD</x:v>
      </x:c>
      <x:c r="D1470" s="10" t="str">
        <x:v>https://www.etsy.com/shop/TheMortgageMD</x:v>
      </x:c>
      <x:c r="E1470" s="11" t="n">
        <x:v>10</x:v>
      </x:c>
      <x:c r="F1470" s="10" t="n">
        <x:v>0</x:v>
      </x:c>
      <x:c r="G1470" s="12" t="n">
        <x:v>0</x:v>
      </x:c>
      <x:c r="H1470" s="13" t="n">
        <x:v>0</x:v>
      </x:c>
      <x:c r="I1470" s="10" t="n">
        <x:v>0</x:v>
      </x:c>
      <x:c r="J1470" s="10" t="n">
        <x:v>0</x:v>
      </x:c>
      <x:c r="K1470" s="10" t="str">
        <x:v>2 Mo.</x:v>
      </x:c>
      <x:c r="L1470" s="10" t="n">
        <x:v>0</x:v>
      </x:c>
      <x:c r="M1470" s="10" t="n">
        <x:v>0</x:v>
      </x:c>
      <x:c r="N1470" s="10" t="n">
        <x:v>4</x:v>
      </x:c>
      <x:c r="O1470" s="10" t="str"/>
      <x:c r="P1470" s="10" t="n">
        <x:v>3</x:v>
      </x:c>
      <x:c r="Q1470" s="10" t="n">
        <x:v>0</x:v>
      </x:c>
      <x:c r="R1470" s="13" t="n">
        <x:v>0</x:v>
      </x:c>
      <x:c r="S1470" s="10" t="n">
        <x:v>1</x:v>
      </x:c>
      <x:c r="T1470" s="10" t="str">
        <x:v>debt calculator,budget sheet,debt free journey,snowball method,the mortgage md,financial freedom,debt free tracker,first time home,loan calculator,credit utilization,snowball calculator,debt snowball sheet,debt snowball method</x:v>
      </x:c>
      <x:c r="U1470" s="10" t="str">
        <x:v>debt calculator</x:v>
      </x:c>
      <x:c r="V1470" s="10" t="str">
        <x:v>budget sheet</x:v>
      </x:c>
      <x:c r="W1470" s="10" t="str">
        <x:v>debt free journey</x:v>
      </x:c>
      <x:c r="X1470" s="10" t="str">
        <x:v>snowball method</x:v>
      </x:c>
      <x:c r="Y1470" s="10" t="str">
        <x:v>the mortgage md</x:v>
      </x:c>
      <x:c r="Z1470" s="10" t="str">
        <x:v>financial freedom</x:v>
      </x:c>
      <x:c r="AA1470" s="10" t="str">
        <x:v>debt free tracker</x:v>
      </x:c>
      <x:c r="AB1470" s="10" t="str">
        <x:v>first time home</x:v>
      </x:c>
      <x:c r="AC1470" s="10" t="str">
        <x:v>loan calculator</x:v>
      </x:c>
      <x:c r="AD1470" s="10" t="str">
        <x:v>credit utilization</x:v>
      </x:c>
      <x:c r="AE1470" s="10" t="str">
        <x:v>snowball calculator</x:v>
      </x:c>
      <x:c r="AF1470" s="10" t="str">
        <x:v>debt snowball sheet</x:v>
      </x:c>
      <x:c r="AG1470" s="10" t="str">
        <x:v>debt snowball method</x:v>
      </x:c>
      <x:c r="AH1470" s="10" t="str">
        <x:v>General debt payoff</x:v>
      </x:c>
      <x:c r="AI1470" s="13" t="n">
        <x:v>2</x:v>
      </x:c>
      <x:c r="AJ1470" s="10" t="str">
        <x:f>IF(F1470&gt;0,"Active","No est. sales")</x:f>
        <x:v>No est. sales</x:v>
      </x:c>
    </x:row>
    <x:row r="1471">
      <x:c r="A1471" s="10" t="str">
        <x:v>How Much House Can I Afford? | Home Affordability Calculator | First Time Home Buyer Worksheet | Mortgage Budget Planner Printable</x:v>
      </x:c>
      <x:c r="B1471" s="10" t="str">
        <x:v>https://www.etsy.com/listing/4525758288/how-much-house-can-i-afford-home</x:v>
      </x:c>
      <x:c r="C1471" s="10" t="str">
        <x:v>CurlyGlamBudget</x:v>
      </x:c>
      <x:c r="D1471" s="10" t="str">
        <x:v>https://www.etsy.com/shop/CurlyGlamBudget</x:v>
      </x:c>
      <x:c r="E1471" s="11" t="n">
        <x:v>2.99</x:v>
      </x:c>
      <x:c r="F1471" s="10" t="n">
        <x:v>0</x:v>
      </x:c>
      <x:c r="G1471" s="12" t="n">
        <x:v>0</x:v>
      </x:c>
      <x:c r="H1471" s="13" t="n">
        <x:v>0</x:v>
      </x:c>
      <x:c r="I1471" s="10" t="n">
        <x:v>0</x:v>
      </x:c>
      <x:c r="J1471" s="10" t="n">
        <x:v>0</x:v>
      </x:c>
      <x:c r="K1471" s="10" t="str">
        <x:v>1 Mo.</x:v>
      </x:c>
      <x:c r="L1471" s="10" t="n">
        <x:v>1</x:v>
      </x:c>
      <x:c r="M1471" s="10" t="n">
        <x:v>0</x:v>
      </x:c>
      <x:c r="N1471" s="10" t="n">
        <x:v>8</x:v>
      </x:c>
      <x:c r="O1471" s="10" t="str"/>
      <x:c r="P1471" s="10" t="n">
        <x:v>1</x:v>
      </x:c>
      <x:c r="Q1471" s="10" t="n">
        <x:v>0</x:v>
      </x:c>
      <x:c r="R1471" s="13" t="n">
        <x:v>0</x:v>
      </x:c>
      <x:c r="S1471" s="10" t="n">
        <x:v>35</x:v>
      </x:c>
      <x:c r="T1471" s="10" t="str">
        <x:v>home affordability,can i afford a house,home buyer tool,mortgage planner,house hunting,house gift,home calculator,house calculator,mortgage calculator,house planner,first time homebuyer,preapproval,home budget</x:v>
      </x:c>
      <x:c r="U1471" s="10" t="str">
        <x:v>home affordability</x:v>
      </x:c>
      <x:c r="V1471" s="10" t="str">
        <x:v>can i afford a house</x:v>
      </x:c>
      <x:c r="W1471" s="10" t="str">
        <x:v>home buyer tool</x:v>
      </x:c>
      <x:c r="X1471" s="10" t="str">
        <x:v>mortgage planner</x:v>
      </x:c>
      <x:c r="Y1471" s="10" t="str">
        <x:v>house hunting</x:v>
      </x:c>
      <x:c r="Z1471" s="10" t="str">
        <x:v>house gift</x:v>
      </x:c>
      <x:c r="AA1471" s="10" t="str">
        <x:v>home calculator</x:v>
      </x:c>
      <x:c r="AB1471" s="10" t="str">
        <x:v>house calculator</x:v>
      </x:c>
      <x:c r="AC1471" s="10" t="str">
        <x:v>mortgage calculator</x:v>
      </x:c>
      <x:c r="AD1471" s="10" t="str">
        <x:v>house planner</x:v>
      </x:c>
      <x:c r="AE1471" s="10" t="str">
        <x:v>first time homebuyer</x:v>
      </x:c>
      <x:c r="AF1471" s="10" t="str">
        <x:v>preapproval</x:v>
      </x:c>
      <x:c r="AG1471" s="10" t="str">
        <x:v>home budget</x:v>
      </x:c>
      <x:c r="AH1471" s="10" t="str">
        <x:v>Home buying planner</x:v>
      </x:c>
      <x:c r="AI1471" s="13" t="n">
        <x:v>1</x:v>
      </x:c>
      <x:c r="AJ1471" s="10" t="str">
        <x:f>IF(F1471&gt;0,"Active","No est. sales")</x:f>
        <x:v>No est. sales</x:v>
      </x:c>
    </x:row>
    <x:row r="1472">
      <x:c r="A1472" s="10" t="str">
        <x:v>Luxury Real Estate Mortgage : SEVEN-FIGURE MARKETING Playbook</x:v>
      </x:c>
      <x:c r="B1472" s="10" t="str">
        <x:v>https://www.etsy.com/listing/1852511735/luxury-real-estate-mortgage-seven-figure</x:v>
      </x:c>
      <x:c r="C1472" s="10" t="str">
        <x:v>InfluenserSecret</x:v>
      </x:c>
      <x:c r="D1472" s="10" t="str">
        <x:v>https://www.etsy.com/shop/InfluenserSecret</x:v>
      </x:c>
      <x:c r="E1472" s="11" t="n">
        <x:v>15.44</x:v>
      </x:c>
      <x:c r="F1472" s="10" t="n">
        <x:v>0</x:v>
      </x:c>
      <x:c r="G1472" s="12" t="n">
        <x:v>0</x:v>
      </x:c>
      <x:c r="H1472" s="13" t="n">
        <x:v>0</x:v>
      </x:c>
      <x:c r="I1472" s="10" t="n">
        <x:v>0</x:v>
      </x:c>
      <x:c r="J1472" s="10" t="n">
        <x:v>0</x:v>
      </x:c>
      <x:c r="K1472" s="10" t="str">
        <x:v>1 Mo.</x:v>
      </x:c>
      <x:c r="L1472" s="10" t="n">
        <x:v>0</x:v>
      </x:c>
      <x:c r="M1472" s="10" t="n">
        <x:v>0</x:v>
      </x:c>
      <x:c r="N1472" s="10" t="n">
        <x:v>1</x:v>
      </x:c>
      <x:c r="O1472" s="10" t="str"/>
      <x:c r="P1472" s="10" t="n">
        <x:v>3</x:v>
      </x:c>
      <x:c r="Q1472" s="10" t="n">
        <x:v>0</x:v>
      </x:c>
      <x:c r="R1472" s="13" t="n">
        <x:v>0</x:v>
      </x:c>
      <x:c r="S1472" s="10" t="n">
        <x:v>42</x:v>
      </x:c>
      <x:c r="T1472" s="10" t="str">
        <x:v>real estate,mortgage,realtor,broker,house selling,house broker,planner,real estate planner,goal planner,business plan,business planner,mortgage templates,mortgage process</x:v>
      </x:c>
      <x:c r="U1472" s="10" t="str">
        <x:v>real estate</x:v>
      </x:c>
      <x:c r="V1472" s="10" t="str">
        <x:v>mortgage</x:v>
      </x:c>
      <x:c r="W1472" s="10" t="str">
        <x:v>realtor</x:v>
      </x:c>
      <x:c r="X1472" s="10" t="str">
        <x:v>broker</x:v>
      </x:c>
      <x:c r="Y1472" s="10" t="str">
        <x:v>house selling</x:v>
      </x:c>
      <x:c r="Z1472" s="10" t="str">
        <x:v>house broker</x:v>
      </x:c>
      <x:c r="AA1472" s="10" t="str">
        <x:v>planner</x:v>
      </x:c>
      <x:c r="AB1472" s="10" t="str">
        <x:v>real estate planner</x:v>
      </x:c>
      <x:c r="AC1472" s="10" t="str">
        <x:v>goal planner</x:v>
      </x:c>
      <x:c r="AD1472" s="10" t="str">
        <x:v>business plan</x:v>
      </x:c>
      <x:c r="AE1472" s="10" t="str">
        <x:v>business planner</x:v>
      </x:c>
      <x:c r="AF1472" s="10" t="str">
        <x:v>mortgage templates</x:v>
      </x:c>
      <x:c r="AG1472" s="10" t="str">
        <x:v>mortgage process</x:v>
      </x:c>
      <x:c r="AH1472" s="10" t="str">
        <x:v>Other mortgage-related</x:v>
      </x:c>
      <x:c r="AI1472" s="13" t="n">
        <x:v>1</x:v>
      </x:c>
      <x:c r="AJ1472" s="10" t="str">
        <x:f>IF(F1472&gt;0,"Active","No est. sales")</x:f>
        <x:v>No est. sales</x:v>
      </x:c>
    </x:row>
    <x:row r="1473">
      <x:c r="A1473" s="10" t="str">
        <x:v>First-Time Home Buyer Guide Bundle | Checklist, Calculator, Scorecard (Digital Download)</x:v>
      </x:c>
      <x:c r="B1473" s="10" t="str">
        <x:v>https://www.etsy.com/listing/4520143197/first-time-home-buyer-guide-bundle</x:v>
      </x:c>
      <x:c r="C1473" s="10" t="str">
        <x:v>BankerBuiltCo</x:v>
      </x:c>
      <x:c r="D1473" s="10" t="str">
        <x:v>https://www.etsy.com/shop/BankerBuiltCo</x:v>
      </x:c>
      <x:c r="E1473" s="11" t="n">
        <x:v>19.99</x:v>
      </x:c>
      <x:c r="F1473" s="10" t="n">
        <x:v>0</x:v>
      </x:c>
      <x:c r="G1473" s="12" t="n">
        <x:v>0</x:v>
      </x:c>
      <x:c r="H1473" s="13" t="n">
        <x:v>0</x:v>
      </x:c>
      <x:c r="I1473" s="10" t="n">
        <x:v>0</x:v>
      </x:c>
      <x:c r="J1473" s="10" t="n">
        <x:v>0</x:v>
      </x:c>
      <x:c r="K1473" s="10" t="str">
        <x:v>1 Mo.</x:v>
      </x:c>
      <x:c r="L1473" s="10" t="n">
        <x:v>0</x:v>
      </x:c>
      <x:c r="M1473" s="10" t="n">
        <x:v>0</x:v>
      </x:c>
      <x:c r="N1473" s="10" t="n">
        <x:v>0</x:v>
      </x:c>
      <x:c r="O1473" s="10" t="str">
        <x:v>Books, Movies &amp; Music</x:v>
      </x:c>
      <x:c r="P1473" s="10" t="n">
        <x:v>0</x:v>
      </x:c>
      <x:c r="Q1473" s="10" t="n">
        <x:v>0</x:v>
      </x:c>
      <x:c r="R1473" s="13" t="n">
        <x:v>0</x:v>
      </x:c>
      <x:c r="S1473" s="10" t="n">
        <x:v>0</x:v>
      </x:c>
      <x:c r="T1473" s="10" t="str">
        <x:v>firsttime home buyer,home buying guide,home buyer checklist,mortgage planner,home checklist,home buyer guide,buying checklist,budget planner,real estate guide,home calculator,new homeowner gift,home affordability,house hunting</x:v>
      </x:c>
      <x:c r="U1473" s="10" t="str">
        <x:v>firsttime home buyer</x:v>
      </x:c>
      <x:c r="V1473" s="10" t="str">
        <x:v>home buying guide</x:v>
      </x:c>
      <x:c r="W1473" s="10" t="str">
        <x:v>home buyer checklist</x:v>
      </x:c>
      <x:c r="X1473" s="10" t="str">
        <x:v>mortgage planner</x:v>
      </x:c>
      <x:c r="Y1473" s="10" t="str">
        <x:v>home checklist</x:v>
      </x:c>
      <x:c r="Z1473" s="10" t="str">
        <x:v>home buyer guide</x:v>
      </x:c>
      <x:c r="AA1473" s="10" t="str">
        <x:v>buying checklist</x:v>
      </x:c>
      <x:c r="AB1473" s="10" t="str">
        <x:v>budget planner</x:v>
      </x:c>
      <x:c r="AC1473" s="10" t="str">
        <x:v>real estate guide</x:v>
      </x:c>
      <x:c r="AD1473" s="10" t="str">
        <x:v>home calculator</x:v>
      </x:c>
      <x:c r="AE1473" s="10" t="str">
        <x:v>new homeowner gift</x:v>
      </x:c>
      <x:c r="AF1473" s="10" t="str">
        <x:v>home affordability</x:v>
      </x:c>
      <x:c r="AG1473" s="10" t="str">
        <x:v>house hunting</x:v>
      </x:c>
      <x:c r="AH1473" s="10" t="str">
        <x:v>Home buying planner</x:v>
      </x:c>
      <x:c r="AI1473" s="13" t="n">
        <x:v>1</x:v>
      </x:c>
      <x:c r="AJ1473" s="10" t="str">
        <x:f>IF(F1473&gt;0,"Active","No est. sales")</x:f>
        <x:v>No est. sales</x:v>
      </x:c>
    </x:row>
    <x:row r="1474">
      <x:c r="A1474" s="10" t="str">
        <x:v>Loan Repayment Calculator</x:v>
      </x:c>
      <x:c r="B1474" s="10" t="str">
        <x:v>https://www.etsy.com/listing/1889423071/loan-repayment-calculator</x:v>
      </x:c>
      <x:c r="C1474" s="10" t="str">
        <x:v>FinanceDashTools</x:v>
      </x:c>
      <x:c r="D1474" s="10" t="str">
        <x:v>https://www.etsy.com/shop/FinanceDashTools</x:v>
      </x:c>
      <x:c r="E1474" s="11" t="n">
        <x:v>1</x:v>
      </x:c>
      <x:c r="F1474" s="10" t="n">
        <x:v>0</x:v>
      </x:c>
      <x:c r="G1474" s="12" t="n">
        <x:v>0</x:v>
      </x:c>
      <x:c r="H1474" s="13" t="n">
        <x:v>0</x:v>
      </x:c>
      <x:c r="I1474" s="10" t="n">
        <x:v>0</x:v>
      </x:c>
      <x:c r="J1474" s="10" t="n">
        <x:v>0</x:v>
      </x:c>
      <x:c r="K1474" s="10" t="str">
        <x:v>16 Mo.</x:v>
      </x:c>
      <x:c r="L1474" s="10" t="n">
        <x:v>0</x:v>
      </x:c>
      <x:c r="M1474" s="10" t="n">
        <x:v>0</x:v>
      </x:c>
      <x:c r="N1474" s="10" t="n">
        <x:v>102</x:v>
      </x:c>
      <x:c r="O1474" s="10" t="str"/>
      <x:c r="P1474" s="10" t="n">
        <x:v>16</x:v>
      </x:c>
      <x:c r="Q1474" s="10" t="n">
        <x:v>0</x:v>
      </x:c>
      <x:c r="R1474" s="13" t="n">
        <x:v>0</x:v>
      </x:c>
      <x:c r="S1474" s="10" t="n">
        <x:v>23</x:v>
      </x:c>
      <x:c r="T1474" s="10" t="str">
        <x:v>loan amortization,loan rep schedule,amortzation schedule,amortization table,auto loan calc,mortgage calculator,payment schedule,amortization chart,payoff planner,online loan calc,home loan calc,loan calculator,amortization calc</x:v>
      </x:c>
      <x:c r="U1474" s="10" t="str">
        <x:v>loan amortization</x:v>
      </x:c>
      <x:c r="V1474" s="10" t="str">
        <x:v>loan rep schedule</x:v>
      </x:c>
      <x:c r="W1474" s="10" t="str">
        <x:v>amortzation schedule</x:v>
      </x:c>
      <x:c r="X1474" s="10" t="str">
        <x:v>amortization table</x:v>
      </x:c>
      <x:c r="Y1474" s="10" t="str">
        <x:v>auto loan calc</x:v>
      </x:c>
      <x:c r="Z1474" s="10" t="str">
        <x:v>mortgage calculator</x:v>
      </x:c>
      <x:c r="AA1474" s="10" t="str">
        <x:v>payment schedule</x:v>
      </x:c>
      <x:c r="AB1474" s="10" t="str">
        <x:v>amortization chart</x:v>
      </x:c>
      <x:c r="AC1474" s="10" t="str">
        <x:v>payoff planner</x:v>
      </x:c>
      <x:c r="AD1474" s="10" t="str">
        <x:v>online loan calc</x:v>
      </x:c>
      <x:c r="AE1474" s="10" t="str">
        <x:v>home loan calc</x:v>
      </x:c>
      <x:c r="AF1474" s="10" t="str">
        <x:v>loan calculator</x:v>
      </x:c>
      <x:c r="AG1474" s="10" t="str">
        <x:v>amortization calc</x:v>
      </x:c>
      <x:c r="AH1474" s="10" t="str">
        <x:v>General loan calculator</x:v>
      </x:c>
      <x:c r="AI1474" s="13" t="n">
        <x:v>16</x:v>
      </x:c>
      <x:c r="AJ1474" s="10" t="str">
        <x:f>IF(F1474&gt;0,"Active","No est. sales")</x:f>
        <x:v>No est. sales</x:v>
      </x:c>
    </x:row>
    <x:row r="1475">
      <x:c r="A1475" s="10" t="str">
        <x:v>Debt Payoff Spreadsheet Google Sheets | Snowball Avalanche Debt Tracker | Credit Card Loan Repayment Planner</x:v>
      </x:c>
      <x:c r="B1475" s="10" t="str">
        <x:v>https://www.etsy.com/listing/4480119459/debt-payoff-spreadsheet-google-sheets</x:v>
      </x:c>
      <x:c r="C1475" s="10" t="str">
        <x:v>NovaStrikeShop</x:v>
      </x:c>
      <x:c r="D1475" s="10" t="str">
        <x:v>https://www.etsy.com/shop/NovaStrikeShop</x:v>
      </x:c>
      <x:c r="E1475" s="11" t="n">
        <x:v>4.38</x:v>
      </x:c>
      <x:c r="F1475" s="10" t="n">
        <x:v>0</x:v>
      </x:c>
      <x:c r="G1475" s="12" t="n">
        <x:v>0</x:v>
      </x:c>
      <x:c r="H1475" s="13" t="n">
        <x:v>0</x:v>
      </x:c>
      <x:c r="I1475" s="10" t="n">
        <x:v>0</x:v>
      </x:c>
      <x:c r="J1475" s="10" t="n">
        <x:v>0</x:v>
      </x:c>
      <x:c r="K1475" s="10" t="str">
        <x:v>4 Mo.</x:v>
      </x:c>
      <x:c r="L1475" s="10" t="n">
        <x:v>0</x:v>
      </x:c>
      <x:c r="M1475" s="10" t="n">
        <x:v>0</x:v>
      </x:c>
      <x:c r="N1475" s="10" t="n">
        <x:v>9</x:v>
      </x:c>
      <x:c r="O1475" s="10" t="str"/>
      <x:c r="P1475" s="10" t="n">
        <x:v>7</x:v>
      </x:c>
      <x:c r="Q1475" s="10" t="n">
        <x:v>0</x:v>
      </x:c>
      <x:c r="R1475" s="13" t="n">
        <x:v>0</x:v>
      </x:c>
      <x:c r="S1475" s="10" t="n">
        <x:v>9</x:v>
      </x:c>
      <x:c r="T1475" s="10" t="str">
        <x:v>debt avalanche,snowball method,debt free planner,debt payoff tracker,mortgage payoff,debt calculator,credit card tracker,student loan planner,debt organizer,budget debt tracker,finance planner,debt tracker,budget tracker</x:v>
      </x:c>
      <x:c r="U1475" s="10" t="str">
        <x:v>debt avalanche</x:v>
      </x:c>
      <x:c r="V1475" s="10" t="str">
        <x:v>snowball method</x:v>
      </x:c>
      <x:c r="W1475" s="10" t="str">
        <x:v>debt free planner</x:v>
      </x:c>
      <x:c r="X1475" s="10" t="str">
        <x:v>debt payoff tracker</x:v>
      </x:c>
      <x:c r="Y1475" s="10" t="str">
        <x:v>mortgage payoff</x:v>
      </x:c>
      <x:c r="Z1475" s="10" t="str">
        <x:v>debt calculator</x:v>
      </x:c>
      <x:c r="AA1475" s="10" t="str">
        <x:v>credit card tracker</x:v>
      </x:c>
      <x:c r="AB1475" s="10" t="str">
        <x:v>student loan planner</x:v>
      </x:c>
      <x:c r="AC1475" s="10" t="str">
        <x:v>debt organizer</x:v>
      </x:c>
      <x:c r="AD1475" s="10" t="str">
        <x:v>budget debt tracker</x:v>
      </x:c>
      <x:c r="AE1475" s="10" t="str">
        <x:v>finance planner</x:v>
      </x:c>
      <x:c r="AF1475" s="10" t="str">
        <x:v>debt tracker</x:v>
      </x:c>
      <x:c r="AG1475" s="10" t="str">
        <x:v>budget tracker</x:v>
      </x:c>
      <x:c r="AH1475" s="10" t="str">
        <x:v>General debt payoff</x:v>
      </x:c>
      <x:c r="AI1475" s="13" t="n">
        <x:v>4</x:v>
      </x:c>
      <x:c r="AJ1475" s="10" t="str">
        <x:f>IF(F1475&gt;0,"Active","No est. sales")</x:f>
        <x:v>No est. sales</x:v>
      </x:c>
    </x:row>
    <x:row r="1476">
      <x:c r="A1476" s="10" t="str">
        <x:v>Mortgage Due - Planner Stickers</x:v>
      </x:c>
      <x:c r="B1476" s="10" t="str">
        <x:v>https://www.etsy.com/listing/601217362/mortgage-due-planner-stickers</x:v>
      </x:c>
      <x:c r="C1476" s="10" t="str">
        <x:v>thePrairiePlanner</x:v>
      </x:c>
      <x:c r="D1476" s="10" t="str">
        <x:v>https://www.etsy.com/shop/thePrairiePlanner</x:v>
      </x:c>
      <x:c r="E1476" s="11" t="n">
        <x:v>2.73</x:v>
      </x:c>
      <x:c r="F1476" s="10" t="n">
        <x:v>0</x:v>
      </x:c>
      <x:c r="G1476" s="12" t="n">
        <x:v>0</x:v>
      </x:c>
      <x:c r="H1476" s="13" t="n">
        <x:v>0</x:v>
      </x:c>
      <x:c r="I1476" s="10" t="n">
        <x:v>75</x:v>
      </x:c>
      <x:c r="J1476" s="10" t="n">
        <x:v>14</x:v>
      </x:c>
      <x:c r="K1476" s="10" t="str">
        <x:v>98 Mo.</x:v>
      </x:c>
      <x:c r="L1476" s="10" t="n">
        <x:v>60</x:v>
      </x:c>
      <x:c r="M1476" s="10" t="n">
        <x:v>0</x:v>
      </x:c>
      <x:c r="N1476" s="10" t="n">
        <x:v>1007</x:v>
      </x:c>
      <x:c r="O1476" s="10" t="str">
        <x:v>Paper &amp; Party Supplies</x:v>
      </x:c>
      <x:c r="P1476" s="10" t="n">
        <x:v>102</x:v>
      </x:c>
      <x:c r="Q1476" s="10" t="n">
        <x:v>0</x:v>
      </x:c>
      <x:c r="R1476" s="13" t="n">
        <x:v>7.45</x:v>
      </x:c>
      <x:c r="S1476" s="10" t="n">
        <x:v>68310</x:v>
      </x:c>
      <x:c r="T1476" s="10" t="str">
        <x:v>bill due,bill,car insurance,bills,planner stickers,functional stickers,planner,mortgage due,mortgage payment,mortgage,home,rent</x:v>
      </x:c>
      <x:c r="U1476" s="10" t="str">
        <x:v>bill due</x:v>
      </x:c>
      <x:c r="V1476" s="10" t="str">
        <x:v>bill</x:v>
      </x:c>
      <x:c r="W1476" s="10" t="str">
        <x:v>car insurance</x:v>
      </x:c>
      <x:c r="X1476" s="10" t="str">
        <x:v>bills</x:v>
      </x:c>
      <x:c r="Y1476" s="10" t="str">
        <x:v>planner stickers</x:v>
      </x:c>
      <x:c r="Z1476" s="10" t="str">
        <x:v>functional stickers</x:v>
      </x:c>
      <x:c r="AA1476" s="10" t="str">
        <x:v>planner</x:v>
      </x:c>
      <x:c r="AB1476" s="10" t="str">
        <x:v>mortgage due</x:v>
      </x:c>
      <x:c r="AC1476" s="10" t="str">
        <x:v>mortgage payment</x:v>
      </x:c>
      <x:c r="AD1476" s="10" t="str">
        <x:v>mortgage</x:v>
      </x:c>
      <x:c r="AE1476" s="10" t="str">
        <x:v>home</x:v>
      </x:c>
      <x:c r="AF1476" s="10" t="str">
        <x:v>rent</x:v>
      </x:c>
      <x:c r="AG1476" s="10" t="str">
        <x:v>--</x:v>
      </x:c>
      <x:c r="AH1476" s="10" t="str">
        <x:v>Other mortgage-related</x:v>
      </x:c>
      <x:c r="AI1476" s="13" t="n">
        <x:v>98</x:v>
      </x:c>
      <x:c r="AJ1476" s="10" t="str">
        <x:f>IF(F1476&gt;0,"Active","No est. sales")</x:f>
        <x:v>No est. sales</x:v>
      </x:c>
    </x:row>
    <x:row r="1477">
      <x:c r="A1477" s="10" t="str">
        <x:v>30 Year Amortization Schedule Template | Loan Payment Calculator Sheet | Mortgage Amortization Template | Loan Tracker Sheet</x:v>
      </x:c>
      <x:c r="B1477" s="10" t="str">
        <x:v>https://www.etsy.com/listing/4491757946/30-year-amortization-schedule-template</x:v>
      </x:c>
      <x:c r="C1477" s="10" t="str">
        <x:v>Xeasysheets</x:v>
      </x:c>
      <x:c r="D1477" s="10" t="str">
        <x:v>https://www.etsy.com/shop/Xeasysheets</x:v>
      </x:c>
      <x:c r="E1477" s="11" t="n">
        <x:v>11.09</x:v>
      </x:c>
      <x:c r="F1477" s="10" t="n">
        <x:v>0</x:v>
      </x:c>
      <x:c r="G1477" s="12" t="n">
        <x:v>0</x:v>
      </x:c>
      <x:c r="H1477" s="13" t="n">
        <x:v>0</x:v>
      </x:c>
      <x:c r="I1477" s="10" t="n">
        <x:v>0</x:v>
      </x:c>
      <x:c r="J1477" s="10" t="n">
        <x:v>0</x:v>
      </x:c>
      <x:c r="K1477" s="10" t="str">
        <x:v>3 Mo.</x:v>
      </x:c>
      <x:c r="L1477" s="10" t="n">
        <x:v>0</x:v>
      </x:c>
      <x:c r="M1477" s="10" t="n">
        <x:v>0</x:v>
      </x:c>
      <x:c r="N1477" s="10" t="n">
        <x:v>1</x:v>
      </x:c>
      <x:c r="O1477" s="10" t="str"/>
      <x:c r="P1477" s="10" t="n">
        <x:v>12</x:v>
      </x:c>
      <x:c r="Q1477" s="10" t="n">
        <x:v>0</x:v>
      </x:c>
      <x:c r="R1477" s="13" t="n">
        <x:v>0</x:v>
      </x:c>
      <x:c r="S1477" s="10" t="n">
        <x:v>2161</x:v>
      </x:c>
      <x:c r="T1477" s="10" t="str">
        <x:v>mortgage sheet,loan calculator,payment planner,excel template,google sheets,loan tracker,finance planner,budget planner,interest tracker,debt tracker,payment schedule,loan schedule,mortgage planner</x:v>
      </x:c>
      <x:c r="U1477" s="10" t="str">
        <x:v>mortgage sheet</x:v>
      </x:c>
      <x:c r="V1477" s="10" t="str">
        <x:v>loan calculator</x:v>
      </x:c>
      <x:c r="W1477" s="10" t="str">
        <x:v>payment planner</x:v>
      </x:c>
      <x:c r="X1477" s="10" t="str">
        <x:v>excel template</x:v>
      </x:c>
      <x:c r="Y1477" s="10" t="str">
        <x:v>google sheets</x:v>
      </x:c>
      <x:c r="Z1477" s="10" t="str">
        <x:v>loan tracker</x:v>
      </x:c>
      <x:c r="AA1477" s="10" t="str">
        <x:v>finance planner</x:v>
      </x:c>
      <x:c r="AB1477" s="10" t="str">
        <x:v>budget planner</x:v>
      </x:c>
      <x:c r="AC1477" s="10" t="str">
        <x:v>interest tracker</x:v>
      </x:c>
      <x:c r="AD1477" s="10" t="str">
        <x:v>debt tracker</x:v>
      </x:c>
      <x:c r="AE1477" s="10" t="str">
        <x:v>payment schedule</x:v>
      </x:c>
      <x:c r="AF1477" s="10" t="str">
        <x:v>loan schedule</x:v>
      </x:c>
      <x:c r="AG1477" s="10" t="str">
        <x:v>mortgage planner</x:v>
      </x:c>
      <x:c r="AH1477" s="10" t="str">
        <x:v>Mortgage payoff / calculator</x:v>
      </x:c>
      <x:c r="AI1477" s="13" t="n">
        <x:v>3</x:v>
      </x:c>
      <x:c r="AJ1477" s="10" t="str">
        <x:f>IF(F1477&gt;0,"Active","No est. sales")</x:f>
        <x:v>No est. sales</x:v>
      </x:c>
    </x:row>
    <x:row r="1478">
      <x:c r="A1478" s="10" t="str">
        <x:v>Loan Amortization Schedule | Loan Calculator Spreadsheet | Mortgage Payment Tracker | Interest &amp; Principal Breakdown Template</x:v>
      </x:c>
      <x:c r="B1478" s="10" t="str">
        <x:v>https://www.etsy.com/listing/4492738645/loan-amortization-schedule-loan</x:v>
      </x:c>
      <x:c r="C1478" s="10" t="str">
        <x:v>Xeasysheets</x:v>
      </x:c>
      <x:c r="D1478" s="10" t="str">
        <x:v>https://www.etsy.com/shop/Xeasysheets</x:v>
      </x:c>
      <x:c r="E1478" s="11" t="n">
        <x:v>11.09</x:v>
      </x:c>
      <x:c r="F1478" s="10" t="n">
        <x:v>0</x:v>
      </x:c>
      <x:c r="G1478" s="12" t="n">
        <x:v>0</x:v>
      </x:c>
      <x:c r="H1478" s="13" t="n">
        <x:v>0</x:v>
      </x:c>
      <x:c r="I1478" s="10" t="n">
        <x:v>0</x:v>
      </x:c>
      <x:c r="J1478" s="10" t="n">
        <x:v>0</x:v>
      </x:c>
      <x:c r="K1478" s="10" t="str">
        <x:v>3 Mo.</x:v>
      </x:c>
      <x:c r="L1478" s="10" t="n">
        <x:v>0</x:v>
      </x:c>
      <x:c r="M1478" s="10" t="n">
        <x:v>0</x:v>
      </x:c>
      <x:c r="N1478" s="10" t="n">
        <x:v>1</x:v>
      </x:c>
      <x:c r="O1478" s="10" t="str"/>
      <x:c r="P1478" s="10" t="n">
        <x:v>12</x:v>
      </x:c>
      <x:c r="Q1478" s="10" t="n">
        <x:v>0</x:v>
      </x:c>
      <x:c r="R1478" s="13" t="n">
        <x:v>0</x:v>
      </x:c>
      <x:c r="S1478" s="10" t="n">
        <x:v>2161</x:v>
      </x:c>
      <x:c r="T1478" s="10" t="str">
        <x:v>mortgage calculator,loan tracker,interest calculator,payment schedule,finance spreadsheet,debt tracker,google sheets loan,excel amortization,budget finance tool,loan planner,loan calculator,amortization</x:v>
      </x:c>
      <x:c r="U1478" s="10" t="str">
        <x:v>mortgage calculator</x:v>
      </x:c>
      <x:c r="V1478" s="10" t="str">
        <x:v>loan tracker</x:v>
      </x:c>
      <x:c r="W1478" s="10" t="str">
        <x:v>interest calculator</x:v>
      </x:c>
      <x:c r="X1478" s="10" t="str">
        <x:v>payment schedule</x:v>
      </x:c>
      <x:c r="Y1478" s="10" t="str">
        <x:v>finance spreadsheet</x:v>
      </x:c>
      <x:c r="Z1478" s="10" t="str">
        <x:v>debt tracker</x:v>
      </x:c>
      <x:c r="AA1478" s="10" t="str">
        <x:v>google sheets loan</x:v>
      </x:c>
      <x:c r="AB1478" s="10" t="str">
        <x:v>excel amortization</x:v>
      </x:c>
      <x:c r="AC1478" s="10" t="str">
        <x:v>budget finance tool</x:v>
      </x:c>
      <x:c r="AD1478" s="10" t="str">
        <x:v>loan planner</x:v>
      </x:c>
      <x:c r="AE1478" s="10" t="str">
        <x:v>loan calculator</x:v>
      </x:c>
      <x:c r="AF1478" s="10" t="str">
        <x:v>amortization</x:v>
      </x:c>
      <x:c r="AG1478" s="10" t="str">
        <x:v>--</x:v>
      </x:c>
      <x:c r="AH1478" s="10" t="str">
        <x:v>Mortgage payoff / calculator</x:v>
      </x:c>
      <x:c r="AI1478" s="13" t="n">
        <x:v>3</x:v>
      </x:c>
      <x:c r="AJ1478" s="10" t="str">
        <x:f>IF(F1478&gt;0,"Active","No est. sales")</x:f>
        <x:v>No est. sales</x:v>
      </x:c>
    </x:row>
    <x:row r="1479">
      <x:c r="A1479" s="10" t="str">
        <x:v>Monthly Loan Amortization Schedule Template | Loan Payment Calculator Spreadsheet | Mortgage Amortization Table | Loan Tracker</x:v>
      </x:c>
      <x:c r="B1479" s="10" t="str">
        <x:v>https://www.etsy.com/listing/4493458624/monthly-loan-amortization-schedule</x:v>
      </x:c>
      <x:c r="C1479" s="10" t="str">
        <x:v>Xeasysheets</x:v>
      </x:c>
      <x:c r="D1479" s="10" t="str">
        <x:v>https://www.etsy.com/shop/Xeasysheets</x:v>
      </x:c>
      <x:c r="E1479" s="11" t="n">
        <x:v>11.09</x:v>
      </x:c>
      <x:c r="F1479" s="10" t="n">
        <x:v>0</x:v>
      </x:c>
      <x:c r="G1479" s="12" t="n">
        <x:v>0</x:v>
      </x:c>
      <x:c r="H1479" s="13" t="n">
        <x:v>0</x:v>
      </x:c>
      <x:c r="I1479" s="10" t="n">
        <x:v>0</x:v>
      </x:c>
      <x:c r="J1479" s="10" t="n">
        <x:v>0</x:v>
      </x:c>
      <x:c r="K1479" s="10" t="str">
        <x:v>3 Mo.</x:v>
      </x:c>
      <x:c r="L1479" s="10" t="n">
        <x:v>0</x:v>
      </x:c>
      <x:c r="M1479" s="10" t="n">
        <x:v>0</x:v>
      </x:c>
      <x:c r="N1479" s="10" t="n">
        <x:v>11</x:v>
      </x:c>
      <x:c r="O1479" s="10" t="str"/>
      <x:c r="P1479" s="10" t="n">
        <x:v>12</x:v>
      </x:c>
      <x:c r="Q1479" s="10" t="n">
        <x:v>0</x:v>
      </x:c>
      <x:c r="R1479" s="13" t="n">
        <x:v>0</x:v>
      </x:c>
      <x:c r="S1479" s="10" t="n">
        <x:v>2161</x:v>
      </x:c>
      <x:c r="T1479" s="10" t="str">
        <x:v>loan template,amortization,loan tracker,mortgage sheet,payment schedule,loan calculator,excel finance,google sheets,debt tracker,budget planner,finance sheet,payment tracker,loan planner</x:v>
      </x:c>
      <x:c r="U1479" s="10" t="str">
        <x:v>loan template</x:v>
      </x:c>
      <x:c r="V1479" s="10" t="str">
        <x:v>amortization</x:v>
      </x:c>
      <x:c r="W1479" s="10" t="str">
        <x:v>loan tracker</x:v>
      </x:c>
      <x:c r="X1479" s="10" t="str">
        <x:v>mortgage sheet</x:v>
      </x:c>
      <x:c r="Y1479" s="10" t="str">
        <x:v>payment schedule</x:v>
      </x:c>
      <x:c r="Z1479" s="10" t="str">
        <x:v>loan calculator</x:v>
      </x:c>
      <x:c r="AA1479" s="10" t="str">
        <x:v>excel finance</x:v>
      </x:c>
      <x:c r="AB1479" s="10" t="str">
        <x:v>google sheets</x:v>
      </x:c>
      <x:c r="AC1479" s="10" t="str">
        <x:v>debt tracker</x:v>
      </x:c>
      <x:c r="AD1479" s="10" t="str">
        <x:v>budget planner</x:v>
      </x:c>
      <x:c r="AE1479" s="10" t="str">
        <x:v>finance sheet</x:v>
      </x:c>
      <x:c r="AF1479" s="10" t="str">
        <x:v>payment tracker</x:v>
      </x:c>
      <x:c r="AG1479" s="10" t="str">
        <x:v>loan planner</x:v>
      </x:c>
      <x:c r="AH1479" s="10" t="str">
        <x:v>Mortgage payoff / calculator</x:v>
      </x:c>
      <x:c r="AI1479" s="13" t="n">
        <x:v>3</x:v>
      </x:c>
      <x:c r="AJ1479" s="10" t="str">
        <x:f>IF(F1479&gt;0,"Active","No est. sales")</x:f>
        <x:v>No est. sales</x:v>
      </x:c>
    </x:row>
    <x:row r="1480">
      <x:c r="A1480" s="10" t="str">
        <x:v>Recast Mortgage Calculator Template | Loan Recast Calculator | Mortgage Payment Reduction Planner | Amortization Spreadsheet</x:v>
      </x:c>
      <x:c r="B1480" s="10" t="str">
        <x:v>https://www.etsy.com/listing/4480722160/recast-mortgage-calculator-template-loan</x:v>
      </x:c>
      <x:c r="C1480" s="10" t="str">
        <x:v>Xeasysheets</x:v>
      </x:c>
      <x:c r="D1480" s="10" t="str">
        <x:v>https://www.etsy.com/shop/Xeasysheets</x:v>
      </x:c>
      <x:c r="E1480" s="11" t="n">
        <x:v>11.09</x:v>
      </x:c>
      <x:c r="F1480" s="10" t="n">
        <x:v>0</x:v>
      </x:c>
      <x:c r="G1480" s="12" t="n">
        <x:v>0</x:v>
      </x:c>
      <x:c r="H1480" s="13" t="n">
        <x:v>0</x:v>
      </x:c>
      <x:c r="I1480" s="10" t="n">
        <x:v>0</x:v>
      </x:c>
      <x:c r="J1480" s="10" t="n">
        <x:v>0</x:v>
      </x:c>
      <x:c r="K1480" s="10" t="str">
        <x:v>4 Mo.</x:v>
      </x:c>
      <x:c r="L1480" s="10" t="n">
        <x:v>0</x:v>
      </x:c>
      <x:c r="M1480" s="10" t="n">
        <x:v>0</x:v>
      </x:c>
      <x:c r="N1480" s="10" t="n">
        <x:v>13</x:v>
      </x:c>
      <x:c r="O1480" s="10" t="str"/>
      <x:c r="P1480" s="10" t="n">
        <x:v>12</x:v>
      </x:c>
      <x:c r="Q1480" s="10" t="n">
        <x:v>0</x:v>
      </x:c>
      <x:c r="R1480" s="13" t="n">
        <x:v>0</x:v>
      </x:c>
      <x:c r="S1480" s="10" t="n">
        <x:v>2161</x:v>
      </x:c>
      <x:c r="T1480" s="10" t="str">
        <x:v>mortgage recast,loan recast,payment planner,amortization,excel finance,google sheets,mortgage tool,loan tracker,interest log,home loan log,finance sheet,budget tool,real estate</x:v>
      </x:c>
      <x:c r="U1480" s="10" t="str">
        <x:v>mortgage recast</x:v>
      </x:c>
      <x:c r="V1480" s="10" t="str">
        <x:v>loan recast</x:v>
      </x:c>
      <x:c r="W1480" s="10" t="str">
        <x:v>payment planner</x:v>
      </x:c>
      <x:c r="X1480" s="10" t="str">
        <x:v>amortization</x:v>
      </x:c>
      <x:c r="Y1480" s="10" t="str">
        <x:v>excel finance</x:v>
      </x:c>
      <x:c r="Z1480" s="10" t="str">
        <x:v>google sheets</x:v>
      </x:c>
      <x:c r="AA1480" s="10" t="str">
        <x:v>mortgage tool</x:v>
      </x:c>
      <x:c r="AB1480" s="10" t="str">
        <x:v>loan tracker</x:v>
      </x:c>
      <x:c r="AC1480" s="10" t="str">
        <x:v>interest log</x:v>
      </x:c>
      <x:c r="AD1480" s="10" t="str">
        <x:v>home loan log</x:v>
      </x:c>
      <x:c r="AE1480" s="10" t="str">
        <x:v>finance sheet</x:v>
      </x:c>
      <x:c r="AF1480" s="10" t="str">
        <x:v>budget tool</x:v>
      </x:c>
      <x:c r="AG1480" s="10" t="str">
        <x:v>real estate</x:v>
      </x:c>
      <x:c r="AH1480" s="10" t="str">
        <x:v>Mortgage payoff / calculator</x:v>
      </x:c>
      <x:c r="AI1480" s="13" t="n">
        <x:v>4</x:v>
      </x:c>
      <x:c r="AJ1480" s="10" t="str">
        <x:f>IF(F1480&gt;0,"Active","No est. sales")</x:f>
        <x:v>No est. sales</x:v>
      </x:c>
    </x:row>
    <x:row r="1481">
      <x:c r="A1481" s="10" t="str">
        <x:v>Debt Snowball Payment Tracker A5 Inserts Printable Student Loan Payoff Template, Credit Card Debt Tracker, Finance Journal, Instant Download</x:v>
      </x:c>
      <x:c r="B1481" s="10" t="str">
        <x:v>https://www.etsy.com/listing/1407525388/debt-snowball-payment-tracker-a5-inserts</x:v>
      </x:c>
      <x:c r="C1481" s="10" t="str">
        <x:v>Monthlyjoy</x:v>
      </x:c>
      <x:c r="D1481" s="10" t="str">
        <x:v>https://www.etsy.com/shop/Monthlyjoy</x:v>
      </x:c>
      <x:c r="E1481" s="11" t="n">
        <x:v>3.5</x:v>
      </x:c>
      <x:c r="F1481" s="10" t="n">
        <x:v>0</x:v>
      </x:c>
      <x:c r="G1481" s="12" t="n">
        <x:v>0</x:v>
      </x:c>
      <x:c r="H1481" s="13" t="n">
        <x:v>0</x:v>
      </x:c>
      <x:c r="I1481" s="10" t="n">
        <x:v>9</x:v>
      </x:c>
      <x:c r="J1481" s="10" t="n">
        <x:v>1</x:v>
      </x:c>
      <x:c r="K1481" s="10" t="str">
        <x:v>41 Mo.</x:v>
      </x:c>
      <x:c r="L1481" s="10" t="n">
        <x:v>74</x:v>
      </x:c>
      <x:c r="M1481" s="10" t="n">
        <x:v>0</x:v>
      </x:c>
      <x:c r="N1481" s="10" t="n">
        <x:v>1417</x:v>
      </x:c>
      <x:c r="O1481" s="10" t="str">
        <x:v>Paper &amp; Party Supplies</x:v>
      </x:c>
      <x:c r="P1481" s="10" t="n">
        <x:v>66</x:v>
      </x:c>
      <x:c r="Q1481" s="10" t="n">
        <x:v>0</x:v>
      </x:c>
      <x:c r="R1481" s="13" t="n">
        <x:v>0.64</x:v>
      </x:c>
      <x:c r="S1481" s="10" t="n">
        <x:v>24015</x:v>
      </x:c>
      <x:c r="T1481" s="10" t="str">
        <x:v>debt snowball,debt tracker a5,a5 planner inserts,debt payoff sheet,student loan payoff,debt planner pdf,filofax a5 refill,inserts minimalist,credit card tracker,simple debt template,debt repayment,mortgage tracker,finance journal a5</x:v>
      </x:c>
      <x:c r="U1481" s="10" t="str">
        <x:v>debt snowball</x:v>
      </x:c>
      <x:c r="V1481" s="10" t="str">
        <x:v>debt tracker a5</x:v>
      </x:c>
      <x:c r="W1481" s="10" t="str">
        <x:v>a5 planner inserts</x:v>
      </x:c>
      <x:c r="X1481" s="10" t="str">
        <x:v>debt payoff sheet</x:v>
      </x:c>
      <x:c r="Y1481" s="10" t="str">
        <x:v>student loan payoff</x:v>
      </x:c>
      <x:c r="Z1481" s="10" t="str">
        <x:v>debt planner pdf</x:v>
      </x:c>
      <x:c r="AA1481" s="10" t="str">
        <x:v>filofax a5 refill</x:v>
      </x:c>
      <x:c r="AB1481" s="10" t="str">
        <x:v>inserts minimalist</x:v>
      </x:c>
      <x:c r="AC1481" s="10" t="str">
        <x:v>credit card tracker</x:v>
      </x:c>
      <x:c r="AD1481" s="10" t="str">
        <x:v>simple debt template</x:v>
      </x:c>
      <x:c r="AE1481" s="10" t="str">
        <x:v>debt repayment</x:v>
      </x:c>
      <x:c r="AF1481" s="10" t="str">
        <x:v>mortgage tracker</x:v>
      </x:c>
      <x:c r="AG1481" s="10" t="str">
        <x:v>finance journal a5</x:v>
      </x:c>
      <x:c r="AH1481" s="10" t="str">
        <x:v>General debt payoff</x:v>
      </x:c>
      <x:c r="AI1481" s="13" t="n">
        <x:v>41</x:v>
      </x:c>
      <x:c r="AJ1481" s="10" t="str">
        <x:f>IF(F1481&gt;0,"Active","No est. sales")</x:f>
        <x:v>No est. sales</x:v>
      </x:c>
    </x:row>
    <x:row r="1482">
      <x:c r="A1482" s="10" t="str">
        <x:v>Debt Snowball Repayment Tracker A6 Inserts Printable, Student Loan Payoff Planner, Card Debt Tracker, Finance Organizer, Instant Download</x:v>
      </x:c>
      <x:c r="B1482" s="10" t="str">
        <x:v>https://www.etsy.com/listing/1410359002/debt-snowball-repayment-tracker-a6</x:v>
      </x:c>
      <x:c r="C1482" s="10" t="str">
        <x:v>Monthlyjoy</x:v>
      </x:c>
      <x:c r="D1482" s="10" t="str">
        <x:v>https://www.etsy.com/shop/Monthlyjoy</x:v>
      </x:c>
      <x:c r="E1482" s="11" t="n">
        <x:v>3.4</x:v>
      </x:c>
      <x:c r="F1482" s="10" t="n">
        <x:v>0</x:v>
      </x:c>
      <x:c r="G1482" s="12" t="n">
        <x:v>0</x:v>
      </x:c>
      <x:c r="H1482" s="13" t="n">
        <x:v>0</x:v>
      </x:c>
      <x:c r="I1482" s="10" t="n">
        <x:v>19</x:v>
      </x:c>
      <x:c r="J1482" s="10" t="n">
        <x:v>2</x:v>
      </x:c>
      <x:c r="K1482" s="10" t="str">
        <x:v>41 Mo.</x:v>
      </x:c>
      <x:c r="L1482" s="10" t="n">
        <x:v>22</x:v>
      </x:c>
      <x:c r="M1482" s="10" t="n">
        <x:v>0</x:v>
      </x:c>
      <x:c r="N1482" s="10" t="n">
        <x:v>456</x:v>
      </x:c>
      <x:c r="O1482" s="10" t="str">
        <x:v>Paper &amp; Party Supplies</x:v>
      </x:c>
      <x:c r="P1482" s="10" t="n">
        <x:v>66</x:v>
      </x:c>
      <x:c r="Q1482" s="10" t="n">
        <x:v>0</x:v>
      </x:c>
      <x:c r="R1482" s="13" t="n">
        <x:v>4.17</x:v>
      </x:c>
      <x:c r="S1482" s="10" t="n">
        <x:v>24015</x:v>
      </x:c>
      <x:c r="T1482" s="10" t="str">
        <x:v>debt snowball,a6 planner inserts,debt tracker,finance journal,mortgage tracker,credit card debt log,student loan payoff,debt organizer,money management,a6 ring binder,template printable,debt payoff planner,debt template</x:v>
      </x:c>
      <x:c r="U1482" s="10" t="str">
        <x:v>debt snowball</x:v>
      </x:c>
      <x:c r="V1482" s="10" t="str">
        <x:v>a6 planner inserts</x:v>
      </x:c>
      <x:c r="W1482" s="10" t="str">
        <x:v>debt tracker</x:v>
      </x:c>
      <x:c r="X1482" s="10" t="str">
        <x:v>finance journal</x:v>
      </x:c>
      <x:c r="Y1482" s="10" t="str">
        <x:v>mortgage tracker</x:v>
      </x:c>
      <x:c r="Z1482" s="10" t="str">
        <x:v>credit card debt log</x:v>
      </x:c>
      <x:c r="AA1482" s="10" t="str">
        <x:v>student loan payoff</x:v>
      </x:c>
      <x:c r="AB1482" s="10" t="str">
        <x:v>debt organizer</x:v>
      </x:c>
      <x:c r="AC1482" s="10" t="str">
        <x:v>money management</x:v>
      </x:c>
      <x:c r="AD1482" s="10" t="str">
        <x:v>a6 ring binder</x:v>
      </x:c>
      <x:c r="AE1482" s="10" t="str">
        <x:v>template printable</x:v>
      </x:c>
      <x:c r="AF1482" s="10" t="str">
        <x:v>debt payoff planner</x:v>
      </x:c>
      <x:c r="AG1482" s="10" t="str">
        <x:v>debt template</x:v>
      </x:c>
      <x:c r="AH1482" s="10" t="str">
        <x:v>General debt payoff</x:v>
      </x:c>
      <x:c r="AI1482" s="13" t="n">
        <x:v>41</x:v>
      </x:c>
      <x:c r="AJ1482" s="10" t="str">
        <x:f>IF(F1482&gt;0,"Active","No est. sales")</x:f>
        <x:v>No est. sales</x:v>
      </x:c>
    </x:row>
    <x:row r="1483">
      <x:c r="A1483" s="10" t="str">
        <x:v>Debt Payoff Tracker Google Sheets Debt Snowball Avalanche Calculator Spreadsheet Credit Card Loan Mortgage Payoff Debt Free Planner</x:v>
      </x:c>
      <x:c r="B1483" s="10" t="str">
        <x:v>https://www.etsy.com/listing/4356949178/debt-payoff-tracker-google-sheets-debt</x:v>
      </x:c>
      <x:c r="C1483" s="10" t="str">
        <x:v>ByTwoSistersAndCo</x:v>
      </x:c>
      <x:c r="D1483" s="10" t="str">
        <x:v>https://www.etsy.com/shop/ByTwoSistersAndCo</x:v>
      </x:c>
      <x:c r="E1483" s="11" t="n">
        <x:v>3.98</x:v>
      </x:c>
      <x:c r="F1483" s="10" t="n">
        <x:v>0</x:v>
      </x:c>
      <x:c r="G1483" s="12" t="n">
        <x:v>0</x:v>
      </x:c>
      <x:c r="H1483" s="13" t="n">
        <x:v>0</x:v>
      </x:c>
      <x:c r="I1483" s="10" t="n">
        <x:v>6</x:v>
      </x:c>
      <x:c r="J1483" s="10" t="n">
        <x:v>0</x:v>
      </x:c>
      <x:c r="K1483" s="10" t="str">
        <x:v>11 Mo.</x:v>
      </x:c>
      <x:c r="L1483" s="10" t="n">
        <x:v>0</x:v>
      </x:c>
      <x:c r="M1483" s="10" t="n">
        <x:v>0</x:v>
      </x:c>
      <x:c r="N1483" s="10" t="n">
        <x:v>160</x:v>
      </x:c>
      <x:c r="O1483" s="10" t="str">
        <x:v>Paper &amp; Party Supplies</x:v>
      </x:c>
      <x:c r="P1483" s="10" t="n">
        <x:v>12</x:v>
      </x:c>
      <x:c r="Q1483" s="10" t="n">
        <x:v>0</x:v>
      </x:c>
      <x:c r="R1483" s="13" t="n">
        <x:v>3.75</x:v>
      </x:c>
      <x:c r="S1483" s="10" t="n">
        <x:v>62</x:v>
      </x:c>
      <x:c r="T1483" s="10" t="str">
        <x:v>debt google sheets,debt spreadsheet,snowball calculator,debt avalanche,mortgage payoff,debt payoff tracker,financial planner,budget planner,credit card debt,snowball method,loan payoff tracker,credit utilization,subscription tracker</x:v>
      </x:c>
      <x:c r="U1483" s="10" t="str">
        <x:v>debt google sheets</x:v>
      </x:c>
      <x:c r="V1483" s="10" t="str">
        <x:v>debt spreadsheet</x:v>
      </x:c>
      <x:c r="W1483" s="10" t="str">
        <x:v>snowball calculator</x:v>
      </x:c>
      <x:c r="X1483" s="10" t="str">
        <x:v>debt avalanche</x:v>
      </x:c>
      <x:c r="Y1483" s="10" t="str">
        <x:v>mortgage payoff</x:v>
      </x:c>
      <x:c r="Z1483" s="10" t="str">
        <x:v>debt payoff tracker</x:v>
      </x:c>
      <x:c r="AA1483" s="10" t="str">
        <x:v>financial planner</x:v>
      </x:c>
      <x:c r="AB1483" s="10" t="str">
        <x:v>budget planner</x:v>
      </x:c>
      <x:c r="AC1483" s="10" t="str">
        <x:v>credit card debt</x:v>
      </x:c>
      <x:c r="AD1483" s="10" t="str">
        <x:v>snowball method</x:v>
      </x:c>
      <x:c r="AE1483" s="10" t="str">
        <x:v>loan payoff tracker</x:v>
      </x:c>
      <x:c r="AF1483" s="10" t="str">
        <x:v>credit utilization</x:v>
      </x:c>
      <x:c r="AG1483" s="10" t="str">
        <x:v>subscription tracker</x:v>
      </x:c>
      <x:c r="AH1483" s="10" t="str">
        <x:v>General debt payoff</x:v>
      </x:c>
      <x:c r="AI1483" s="13" t="n">
        <x:v>11</x:v>
      </x:c>
      <x:c r="AJ1483" s="10" t="str">
        <x:f>IF(F1483&gt;0,"Active","No est. sales")</x:f>
        <x:v>No est. sales</x:v>
      </x:c>
    </x:row>
    <x:row r="1484">
      <x:c r="A1484" s="10" t="str">
        <x:v>Debt Payoff Tracker, Snowball Avalanche Calculator (Google Sheets &amp; Excel)</x:v>
      </x:c>
      <x:c r="B1484" s="10" t="str">
        <x:v>https://www.etsy.com/listing/4501078768/debt-payoff-tracker-snowball-avalanche</x:v>
      </x:c>
      <x:c r="C1484" s="10" t="str">
        <x:v>Perfectcrafted</x:v>
      </x:c>
      <x:c r="D1484" s="10" t="str">
        <x:v>https://www.etsy.com/shop/Perfectcrafted</x:v>
      </x:c>
      <x:c r="E1484" s="11" t="n">
        <x:v>6.99</x:v>
      </x:c>
      <x:c r="F1484" s="10" t="n">
        <x:v>0</x:v>
      </x:c>
      <x:c r="G1484" s="12" t="n">
        <x:v>0</x:v>
      </x:c>
      <x:c r="H1484" s="13" t="n">
        <x:v>0</x:v>
      </x:c>
      <x:c r="I1484" s="10" t="n">
        <x:v>0</x:v>
      </x:c>
      <x:c r="J1484" s="10" t="n">
        <x:v>0</x:v>
      </x:c>
      <x:c r="K1484" s="10" t="str">
        <x:v>2 Mo.</x:v>
      </x:c>
      <x:c r="L1484" s="10" t="n">
        <x:v>0</x:v>
      </x:c>
      <x:c r="M1484" s="10" t="n">
        <x:v>0</x:v>
      </x:c>
      <x:c r="N1484" s="10" t="n">
        <x:v>44</x:v>
      </x:c>
      <x:c r="O1484" s="10" t="str">
        <x:v>Paper &amp; Party Supplies</x:v>
      </x:c>
      <x:c r="P1484" s="10" t="n">
        <x:v>6</x:v>
      </x:c>
      <x:c r="Q1484" s="10" t="n">
        <x:v>0</x:v>
      </x:c>
      <x:c r="R1484" s="13" t="n">
        <x:v>0</x:v>
      </x:c>
      <x:c r="S1484" s="10" t="n">
        <x:v>30</x:v>
      </x:c>
      <x:c r="T1484" s="10" t="str">
        <x:v>financial planner,debt payoff tracker,debt snowball,debt payoff chart,debt payment tracker,credit card payoff,debt template,debt avalanche,student loan debt,google sheets budget,mortgage payoff,credit utilization,credit score debt</x:v>
      </x:c>
      <x:c r="U1484" s="10" t="str">
        <x:v>financial planner</x:v>
      </x:c>
      <x:c r="V1484" s="10" t="str">
        <x:v>debt payoff tracker</x:v>
      </x:c>
      <x:c r="W1484" s="10" t="str">
        <x:v>debt snowball</x:v>
      </x:c>
      <x:c r="X1484" s="10" t="str">
        <x:v>debt payoff chart</x:v>
      </x:c>
      <x:c r="Y1484" s="10" t="str">
        <x:v>debt payment tracker</x:v>
      </x:c>
      <x:c r="Z1484" s="10" t="str">
        <x:v>credit card payoff</x:v>
      </x:c>
      <x:c r="AA1484" s="10" t="str">
        <x:v>debt template</x:v>
      </x:c>
      <x:c r="AB1484" s="10" t="str">
        <x:v>debt avalanche</x:v>
      </x:c>
      <x:c r="AC1484" s="10" t="str">
        <x:v>student loan debt</x:v>
      </x:c>
      <x:c r="AD1484" s="10" t="str">
        <x:v>google sheets budget</x:v>
      </x:c>
      <x:c r="AE1484" s="10" t="str">
        <x:v>mortgage payoff</x:v>
      </x:c>
      <x:c r="AF1484" s="10" t="str">
        <x:v>credit utilization</x:v>
      </x:c>
      <x:c r="AG1484" s="10" t="str">
        <x:v>credit score debt</x:v>
      </x:c>
      <x:c r="AH1484" s="10" t="str">
        <x:v>General debt payoff</x:v>
      </x:c>
      <x:c r="AI1484" s="13" t="n">
        <x:v>2</x:v>
      </x:c>
      <x:c r="AJ1484" s="10" t="str">
        <x:f>IF(F1484&gt;0,"Active","No est. sales")</x:f>
        <x:v>No est. sales</x:v>
      </x:c>
    </x:row>
    <x:row r="1485">
      <x:c r="A1485" s="10" t="str">
        <x:v>Canadian Mortgage Calculator Dashboard — CMHC, Stress Test, Land Transfer Tax, Amortization | Digital Download</x:v>
      </x:c>
      <x:c r="B1485" s="10" t="str">
        <x:v>https://www.etsy.com/listing/4513644650/canadian-mortgage-calculator-dashboard</x:v>
      </x:c>
      <x:c r="C1485" s="10" t="str">
        <x:v>Vaulto</x:v>
      </x:c>
      <x:c r="D1485" s="10" t="str">
        <x:v>https://www.etsy.com/shop/Vaulto</x:v>
      </x:c>
      <x:c r="E1485" s="11" t="n">
        <x:v>5</x:v>
      </x:c>
      <x:c r="F1485" s="10" t="n">
        <x:v>0</x:v>
      </x:c>
      <x:c r="G1485" s="12" t="n">
        <x:v>0</x:v>
      </x:c>
      <x:c r="H1485" s="13" t="n">
        <x:v>0</x:v>
      </x:c>
      <x:c r="I1485" s="10" t="n">
        <x:v>0</x:v>
      </x:c>
      <x:c r="J1485" s="10" t="n">
        <x:v>0</x:v>
      </x:c>
      <x:c r="K1485" s="10" t="str">
        <x:v>1 Mo.</x:v>
      </x:c>
      <x:c r="L1485" s="10" t="n">
        <x:v>0</x:v>
      </x:c>
      <x:c r="M1485" s="10" t="n">
        <x:v>0</x:v>
      </x:c>
      <x:c r="N1485" s="10" t="n">
        <x:v>0</x:v>
      </x:c>
      <x:c r="O1485" s="10" t="str"/>
      <x:c r="P1485" s="10" t="n">
        <x:v>13</x:v>
      </x:c>
      <x:c r="Q1485" s="10" t="n">
        <x:v>0</x:v>
      </x:c>
      <x:c r="R1485" s="13" t="n">
        <x:v>0</x:v>
      </x:c>
      <x:c r="S1485" s="10" t="n">
        <x:v>0</x:v>
      </x:c>
      <x:c r="T1485" s="10" t="str">
        <x:v>cmhc calculator,canadian home buying,mortgage stress test,land transfer tax,digital download,financial planning,home buyer tool,mortgage planner,real estate canada,budget planner</x:v>
      </x:c>
      <x:c r="U1485" s="10" t="str">
        <x:v>cmhc calculator</x:v>
      </x:c>
      <x:c r="V1485" s="10" t="str">
        <x:v>canadian home buying</x:v>
      </x:c>
      <x:c r="W1485" s="10" t="str">
        <x:v>mortgage stress test</x:v>
      </x:c>
      <x:c r="X1485" s="10" t="str">
        <x:v>land transfer tax</x:v>
      </x:c>
      <x:c r="Y1485" s="10" t="str">
        <x:v>digital download</x:v>
      </x:c>
      <x:c r="Z1485" s="10" t="str">
        <x:v>financial planning</x:v>
      </x:c>
      <x:c r="AA1485" s="10" t="str">
        <x:v>home buyer tool</x:v>
      </x:c>
      <x:c r="AB1485" s="10" t="str">
        <x:v>mortgage planner</x:v>
      </x:c>
      <x:c r="AC1485" s="10" t="str">
        <x:v>real estate canada</x:v>
      </x:c>
      <x:c r="AD1485" s="10" t="str">
        <x:v>budget planner</x:v>
      </x:c>
      <x:c r="AE1485" s="10" t="str">
        <x:v>--</x:v>
      </x:c>
      <x:c r="AF1485" s="10" t="str">
        <x:v>--</x:v>
      </x:c>
      <x:c r="AG1485" s="10" t="str">
        <x:v>--</x:v>
      </x:c>
      <x:c r="AH1485" s="10" t="str">
        <x:v>Mortgage payoff / calculator</x:v>
      </x:c>
      <x:c r="AI1485" s="13" t="n">
        <x:v>1</x:v>
      </x:c>
      <x:c r="AJ1485" s="10" t="str">
        <x:f>IF(F1485&gt;0,"Active","No est. sales")</x:f>
        <x:v>No est. sales</x:v>
      </x:c>
    </x:row>
    <x:row r="1486">
      <x:c r="A1486" s="10" t="str">
        <x:v>First Home Savings Planner Canva Template | Down Payment Tracker | Home Buying Budget Planner,Home Budget &amp; Mortgage Planner</x:v>
      </x:c>
      <x:c r="B1486" s="10" t="str">
        <x:v>https://www.etsy.com/listing/4521075329/first-home-savings-planner-canva</x:v>
      </x:c>
      <x:c r="C1486" s="10" t="str">
        <x:v>TrendTemplteStudio</x:v>
      </x:c>
      <x:c r="D1486" s="10" t="str">
        <x:v>https://www.etsy.com/shop/TrendTemplteStudio</x:v>
      </x:c>
      <x:c r="E1486" s="11" t="n">
        <x:v>13.4</x:v>
      </x:c>
      <x:c r="F1486" s="10" t="n">
        <x:v>0</x:v>
      </x:c>
      <x:c r="G1486" s="12" t="n">
        <x:v>0</x:v>
      </x:c>
      <x:c r="H1486" s="13" t="n">
        <x:v>0</x:v>
      </x:c>
      <x:c r="I1486" s="10" t="n">
        <x:v>0</x:v>
      </x:c>
      <x:c r="J1486" s="10" t="n">
        <x:v>0</x:v>
      </x:c>
      <x:c r="K1486" s="10" t="str">
        <x:v>1 Mo.</x:v>
      </x:c>
      <x:c r="L1486" s="10" t="n">
        <x:v>1</x:v>
      </x:c>
      <x:c r="M1486" s="10" t="n">
        <x:v>0</x:v>
      </x:c>
      <x:c r="N1486" s="10" t="n">
        <x:v>0</x:v>
      </x:c>
      <x:c r="O1486" s="10" t="str"/>
      <x:c r="P1486" s="10" t="n">
        <x:v>2</x:v>
      </x:c>
      <x:c r="Q1486" s="10" t="n">
        <x:v>0</x:v>
      </x:c>
      <x:c r="R1486" s="13" t="n">
        <x:v>0</x:v>
      </x:c>
      <x:c r="S1486" s="10" t="n">
        <x:v>6</x:v>
      </x:c>
      <x:c r="T1486" s="10" t="str"/>
      <x:c r="U1486" s="10" t="str">
        <x:v>--</x:v>
      </x:c>
      <x:c r="V1486" s="10" t="str">
        <x:v>--</x:v>
      </x:c>
      <x:c r="W1486" s="10" t="str">
        <x:v>--</x:v>
      </x:c>
      <x:c r="X1486" s="10" t="str">
        <x:v>--</x:v>
      </x:c>
      <x:c r="Y1486" s="10" t="str">
        <x:v>--</x:v>
      </x:c>
      <x:c r="Z1486" s="10" t="str">
        <x:v>--</x:v>
      </x:c>
      <x:c r="AA1486" s="10" t="str">
        <x:v>--</x:v>
      </x:c>
      <x:c r="AB1486" s="10" t="str">
        <x:v>--</x:v>
      </x:c>
      <x:c r="AC1486" s="10" t="str">
        <x:v>--</x:v>
      </x:c>
      <x:c r="AD1486" s="10" t="str">
        <x:v>--</x:v>
      </x:c>
      <x:c r="AE1486" s="10" t="str">
        <x:v>--</x:v>
      </x:c>
      <x:c r="AF1486" s="10" t="str">
        <x:v>--</x:v>
      </x:c>
      <x:c r="AG1486" s="10" t="str">
        <x:v>--</x:v>
      </x:c>
      <x:c r="AH1486" s="10" t="str">
        <x:v>Other mortgage-related</x:v>
      </x:c>
      <x:c r="AI1486" s="13" t="n">
        <x:v>1</x:v>
      </x:c>
      <x:c r="AJ1486" s="10" t="str">
        <x:f>IF(F1486&gt;0,"Active","No est. sales")</x:f>
        <x:v>No est. sales</x:v>
      </x:c>
    </x:row>
    <x:row r="1487">
      <x:c r="A1487" s="10" t="str">
        <x:v>Home Buying Planner, House Hunting Checklist, Budget Organizer (Instant Download)</x:v>
      </x:c>
      <x:c r="B1487" s="10" t="str">
        <x:v>https://www.etsy.com/listing/4524765101/home-buying-planner-house-hunting</x:v>
      </x:c>
      <x:c r="C1487" s="10" t="str">
        <x:v>PaperAndMiles</x:v>
      </x:c>
      <x:c r="D1487" s="10" t="str">
        <x:v>https://www.etsy.com/shop/PaperAndMiles</x:v>
      </x:c>
      <x:c r="E1487" s="11" t="n">
        <x:v>11.99</x:v>
      </x:c>
      <x:c r="F1487" s="10" t="n">
        <x:v>0</x:v>
      </x:c>
      <x:c r="G1487" s="12" t="n">
        <x:v>0</x:v>
      </x:c>
      <x:c r="H1487" s="13" t="n">
        <x:v>0</x:v>
      </x:c>
      <x:c r="I1487" s="10" t="n">
        <x:v>0</x:v>
      </x:c>
      <x:c r="J1487" s="10" t="n">
        <x:v>0</x:v>
      </x:c>
      <x:c r="K1487" s="10" t="str">
        <x:v>1 Mo.</x:v>
      </x:c>
      <x:c r="L1487" s="10" t="n">
        <x:v>0</x:v>
      </x:c>
      <x:c r="M1487" s="10" t="n">
        <x:v>0</x:v>
      </x:c>
      <x:c r="N1487" s="10" t="n">
        <x:v>0</x:v>
      </x:c>
      <x:c r="O1487" s="10" t="str"/>
      <x:c r="P1487" s="10" t="n">
        <x:v>7</x:v>
      </x:c>
      <x:c r="Q1487" s="10" t="n">
        <x:v>0</x:v>
      </x:c>
      <x:c r="R1487" s="13" t="n">
        <x:v>0</x:v>
      </x:c>
      <x:c r="S1487" s="10" t="n">
        <x:v>2</x:v>
      </x:c>
      <x:c r="T1487" s="10" t="str">
        <x:v>home buying planner,house hunting,first time buyer,home buyer checklist,house comparison,home search,mortgage organizer,moving checklist,realtor questions,home tour notes,buyer budget,new home planner,printable planner</x:v>
      </x:c>
      <x:c r="U1487" s="10" t="str">
        <x:v>home buying planner</x:v>
      </x:c>
      <x:c r="V1487" s="10" t="str">
        <x:v>house hunting</x:v>
      </x:c>
      <x:c r="W1487" s="10" t="str">
        <x:v>first time buyer</x:v>
      </x:c>
      <x:c r="X1487" s="10" t="str">
        <x:v>home buyer checklist</x:v>
      </x:c>
      <x:c r="Y1487" s="10" t="str">
        <x:v>house comparison</x:v>
      </x:c>
      <x:c r="Z1487" s="10" t="str">
        <x:v>home search</x:v>
      </x:c>
      <x:c r="AA1487" s="10" t="str">
        <x:v>mortgage organizer</x:v>
      </x:c>
      <x:c r="AB1487" s="10" t="str">
        <x:v>moving checklist</x:v>
      </x:c>
      <x:c r="AC1487" s="10" t="str">
        <x:v>realtor questions</x:v>
      </x:c>
      <x:c r="AD1487" s="10" t="str">
        <x:v>home tour notes</x:v>
      </x:c>
      <x:c r="AE1487" s="10" t="str">
        <x:v>buyer budget</x:v>
      </x:c>
      <x:c r="AF1487" s="10" t="str">
        <x:v>new home planner</x:v>
      </x:c>
      <x:c r="AG1487" s="10" t="str">
        <x:v>printable planner</x:v>
      </x:c>
      <x:c r="AH1487" s="10" t="str">
        <x:v>Home buying planner</x:v>
      </x:c>
      <x:c r="AI1487" s="13" t="n">
        <x:v>1</x:v>
      </x:c>
      <x:c r="AJ1487" s="10" t="str">
        <x:f>IF(F1487&gt;0,"Active","No est. sales")</x:f>
        <x:v>No est. sales</x:v>
      </x:c>
    </x:row>
    <x:row r="1488">
      <x:c r="A1488" s="10" t="str">
        <x:v>Debt Payment Tracker, Debt Snowball Payoff, Debt Pay Off Tracker, Debt Printable, Pay Off Debt Printable, Debt Payoff Planner, Debt Free</x:v>
      </x:c>
      <x:c r="B1488" s="10" t="str">
        <x:v>https://www.etsy.com/listing/1758362786/debt-payment-tracker-debt-snowball</x:v>
      </x:c>
      <x:c r="C1488" s="10" t="str">
        <x:v>TheSimplyPrintableCo</x:v>
      </x:c>
      <x:c r="D1488" s="10" t="str">
        <x:v>https://www.etsy.com/shop/TheSimplyPrintableCo</x:v>
      </x:c>
      <x:c r="E1488" s="11" t="n">
        <x:v>7.12</x:v>
      </x:c>
      <x:c r="F1488" s="10" t="n">
        <x:v>0</x:v>
      </x:c>
      <x:c r="G1488" s="12" t="n">
        <x:v>0</x:v>
      </x:c>
      <x:c r="H1488" s="13" t="n">
        <x:v>0</x:v>
      </x:c>
      <x:c r="I1488" s="10" t="n">
        <x:v>0</x:v>
      </x:c>
      <x:c r="J1488" s="10" t="n">
        <x:v>0</x:v>
      </x:c>
      <x:c r="K1488" s="10" t="str">
        <x:v>23 Mo.</x:v>
      </x:c>
      <x:c r="L1488" s="10" t="n">
        <x:v>2</x:v>
      </x:c>
      <x:c r="M1488" s="10" t="n">
        <x:v>0</x:v>
      </x:c>
      <x:c r="N1488" s="10" t="n">
        <x:v>72</x:v>
      </x:c>
      <x:c r="O1488" s="10" t="str">
        <x:v>Paper &amp; Party Supplies</x:v>
      </x:c>
      <x:c r="P1488" s="10" t="n">
        <x:v>44</x:v>
      </x:c>
      <x:c r="Q1488" s="10" t="n">
        <x:v>0</x:v>
      </x:c>
      <x:c r="R1488" s="13" t="n">
        <x:v>0</x:v>
      </x:c>
      <x:c r="S1488" s="10" t="n">
        <x:v>1949</x:v>
      </x:c>
      <x:c r="T1488" s="10" t="str">
        <x:v>debt tracker,debt snowball,debt pay off tracker,debt payment tracker,mortgage payoff,credit cards payoff,car loan payoff,debt management,debt printable,debt free,student loan payoff,budget planner,personal finance</x:v>
      </x:c>
      <x:c r="U1488" s="10" t="str">
        <x:v>debt tracker</x:v>
      </x:c>
      <x:c r="V1488" s="10" t="str">
        <x:v>debt snowball</x:v>
      </x:c>
      <x:c r="W1488" s="10" t="str">
        <x:v>debt pay off tracker</x:v>
      </x:c>
      <x:c r="X1488" s="10" t="str">
        <x:v>debt payment tracker</x:v>
      </x:c>
      <x:c r="Y1488" s="10" t="str">
        <x:v>mortgage payoff</x:v>
      </x:c>
      <x:c r="Z1488" s="10" t="str">
        <x:v>credit cards payoff</x:v>
      </x:c>
      <x:c r="AA1488" s="10" t="str">
        <x:v>car loan payoff</x:v>
      </x:c>
      <x:c r="AB1488" s="10" t="str">
        <x:v>debt management</x:v>
      </x:c>
      <x:c r="AC1488" s="10" t="str">
        <x:v>debt printable</x:v>
      </x:c>
      <x:c r="AD1488" s="10" t="str">
        <x:v>debt free</x:v>
      </x:c>
      <x:c r="AE1488" s="10" t="str">
        <x:v>student loan payoff</x:v>
      </x:c>
      <x:c r="AF1488" s="10" t="str">
        <x:v>budget planner</x:v>
      </x:c>
      <x:c r="AG1488" s="10" t="str">
        <x:v>personal finance</x:v>
      </x:c>
      <x:c r="AH1488" s="10" t="str">
        <x:v>General debt payoff</x:v>
      </x:c>
      <x:c r="AI1488" s="13" t="n">
        <x:v>23</x:v>
      </x:c>
      <x:c r="AJ1488" s="10" t="str">
        <x:f>IF(F1488&gt;0,"Active","No est. sales")</x:f>
        <x:v>No est. sales</x:v>
      </x:c>
    </x:row>
    <x:row r="1489">
      <x:c r="A1489" s="10" t="str">
        <x:v>Home Buying Planner | Printable House Hunting Organizer &amp; Mortgage Tracker | First-Time Buyer Checklist Budget Planner</x:v>
      </x:c>
      <x:c r="B1489" s="10" t="str">
        <x:v>https://www.etsy.com/listing/1852859732/home-buying-planner-printable-house</x:v>
      </x:c>
      <x:c r="C1489" s="10" t="str">
        <x:v>TheCrystalCart</x:v>
      </x:c>
      <x:c r="D1489" s="10" t="str">
        <x:v>https://www.etsy.com/shop/TheCrystalCart</x:v>
      </x:c>
      <x:c r="E1489" s="11" t="n">
        <x:v>6.69</x:v>
      </x:c>
      <x:c r="F1489" s="10" t="n">
        <x:v>0</x:v>
      </x:c>
      <x:c r="G1489" s="12" t="n">
        <x:v>0</x:v>
      </x:c>
      <x:c r="H1489" s="13" t="n">
        <x:v>0</x:v>
      </x:c>
      <x:c r="I1489" s="10" t="n">
        <x:v>0</x:v>
      </x:c>
      <x:c r="J1489" s="10" t="n">
        <x:v>0</x:v>
      </x:c>
      <x:c r="K1489" s="10" t="str">
        <x:v>16 Mo.</x:v>
      </x:c>
      <x:c r="L1489" s="10" t="n">
        <x:v>5</x:v>
      </x:c>
      <x:c r="M1489" s="10" t="n">
        <x:v>0</x:v>
      </x:c>
      <x:c r="N1489" s="10" t="n">
        <x:v>36</x:v>
      </x:c>
      <x:c r="O1489" s="10" t="str"/>
      <x:c r="P1489" s="10" t="n">
        <x:v>43</x:v>
      </x:c>
      <x:c r="Q1489" s="10" t="n">
        <x:v>0</x:v>
      </x:c>
      <x:c r="R1489" s="13" t="n">
        <x:v>0</x:v>
      </x:c>
      <x:c r="S1489" s="10" t="n">
        <x:v>61</x:v>
      </x:c>
      <x:c r="T1489" s="10" t="str">
        <x:v>home buying planner,home planner,home buying,new home planner,goal planner,renovation planner,household planner,moving planner,canva planner,house planner,mortgage planner</x:v>
      </x:c>
      <x:c r="U1489" s="10" t="str">
        <x:v>home buying planner</x:v>
      </x:c>
      <x:c r="V1489" s="10" t="str">
        <x:v>home planner</x:v>
      </x:c>
      <x:c r="W1489" s="10" t="str">
        <x:v>home buying</x:v>
      </x:c>
      <x:c r="X1489" s="10" t="str">
        <x:v>new home planner</x:v>
      </x:c>
      <x:c r="Y1489" s="10" t="str">
        <x:v>goal planner</x:v>
      </x:c>
      <x:c r="Z1489" s="10" t="str">
        <x:v>renovation planner</x:v>
      </x:c>
      <x:c r="AA1489" s="10" t="str">
        <x:v>household planner</x:v>
      </x:c>
      <x:c r="AB1489" s="10" t="str">
        <x:v>moving planner</x:v>
      </x:c>
      <x:c r="AC1489" s="10" t="str">
        <x:v>canva planner</x:v>
      </x:c>
      <x:c r="AD1489" s="10" t="str">
        <x:v>house planner</x:v>
      </x:c>
      <x:c r="AE1489" s="10" t="str">
        <x:v>mortgage planner</x:v>
      </x:c>
      <x:c r="AF1489" s="10" t="str">
        <x:v>--</x:v>
      </x:c>
      <x:c r="AG1489" s="10" t="str">
        <x:v>--</x:v>
      </x:c>
      <x:c r="AH1489" s="10" t="str">
        <x:v>Home buying planner</x:v>
      </x:c>
      <x:c r="AI1489" s="13" t="n">
        <x:v>16</x:v>
      </x:c>
      <x:c r="AJ1489" s="10" t="str">
        <x:f>IF(F1489&gt;0,"Active","No est. sales")</x:f>
        <x:v>No est. sales</x:v>
      </x:c>
    </x:row>
    <x:row r="1490">
      <x:c r="A1490" s="10" t="str">
        <x:v>Expenses tracker printable, Finance planner, Budget tracker, Spending log, Monthly budget, PDF digital expenses tracker, Purchase log</x:v>
      </x:c>
      <x:c r="B1490" s="10" t="str">
        <x:v>https://www.etsy.com/listing/1643163412/expenses-tracker-printable-finance</x:v>
      </x:c>
      <x:c r="C1490" s="10" t="str">
        <x:v>RaeDigitalCreations</x:v>
      </x:c>
      <x:c r="D1490" s="10" t="str">
        <x:v>https://www.etsy.com/shop/RaeDigitalCreations</x:v>
      </x:c>
      <x:c r="E1490" s="11" t="n">
        <x:v>1.35</x:v>
      </x:c>
      <x:c r="F1490" s="10" t="n">
        <x:v>0</x:v>
      </x:c>
      <x:c r="G1490" s="12" t="n">
        <x:v>0</x:v>
      </x:c>
      <x:c r="H1490" s="13" t="n">
        <x:v>0</x:v>
      </x:c>
      <x:c r="I1490" s="10" t="n">
        <x:v>0</x:v>
      </x:c>
      <x:c r="J1490" s="10" t="n">
        <x:v>0</x:v>
      </x:c>
      <x:c r="K1490" s="10" t="str">
        <x:v>30 Mo.</x:v>
      </x:c>
      <x:c r="L1490" s="10" t="n">
        <x:v>1</x:v>
      </x:c>
      <x:c r="M1490" s="10" t="n">
        <x:v>0</x:v>
      </x:c>
      <x:c r="N1490" s="10" t="n">
        <x:v>14</x:v>
      </x:c>
      <x:c r="O1490" s="10" t="str"/>
      <x:c r="P1490" s="10" t="n">
        <x:v>33</x:v>
      </x:c>
      <x:c r="Q1490" s="10" t="n">
        <x:v>0</x:v>
      </x:c>
      <x:c r="R1490" s="13" t="n">
        <x:v>0</x:v>
      </x:c>
      <x:c r="S1490" s="10" t="n">
        <x:v>343</x:v>
      </x:c>
      <x:c r="T1490" s="10" t="str">
        <x:v>paycheck budget,saving tracker,cash tracker,monthly budget,student loan tracker,finance tracker,debt tracker,mortgage tracker,budget planner,money planner,monthly expenses log,expense tracker,purchase log</x:v>
      </x:c>
      <x:c r="U1490" s="10" t="str">
        <x:v>paycheck budget</x:v>
      </x:c>
      <x:c r="V1490" s="10" t="str">
        <x:v>saving tracker</x:v>
      </x:c>
      <x:c r="W1490" s="10" t="str">
        <x:v>cash tracker</x:v>
      </x:c>
      <x:c r="X1490" s="10" t="str">
        <x:v>monthly budget</x:v>
      </x:c>
      <x:c r="Y1490" s="10" t="str">
        <x:v>student loan tracker</x:v>
      </x:c>
      <x:c r="Z1490" s="10" t="str">
        <x:v>finance tracker</x:v>
      </x:c>
      <x:c r="AA1490" s="10" t="str">
        <x:v>debt tracker</x:v>
      </x:c>
      <x:c r="AB1490" s="10" t="str">
        <x:v>mortgage tracker</x:v>
      </x:c>
      <x:c r="AC1490" s="10" t="str">
        <x:v>budget planner</x:v>
      </x:c>
      <x:c r="AD1490" s="10" t="str">
        <x:v>money planner</x:v>
      </x:c>
      <x:c r="AE1490" s="10" t="str">
        <x:v>monthly expenses log</x:v>
      </x:c>
      <x:c r="AF1490" s="10" t="str">
        <x:v>expense tracker</x:v>
      </x:c>
      <x:c r="AG1490" s="10" t="str">
        <x:v>purchase log</x:v>
      </x:c>
      <x:c r="AH1490" s="10" t="str">
        <x:v>Other mortgage-related</x:v>
      </x:c>
      <x:c r="AI1490" s="13" t="n">
        <x:v>30</x:v>
      </x:c>
      <x:c r="AJ1490" s="10" t="str">
        <x:f>IF(F1490&gt;0,"Active","No est. sales")</x:f>
        <x:v>No est. sales</x:v>
      </x:c>
    </x:row>
    <x:row r="1491">
      <x:c r="A1491" s="10" t="str">
        <x:v>Debt Payoff Tracker Excel, Debt Snowball Spreadsheet Google Sheets, Financial Planner Download, Monthly Budget</x:v>
      </x:c>
      <x:c r="B1491" s="10" t="str">
        <x:v>https://www.etsy.com/listing/1864158306/debt-payoff-tracker-excel-google-sheets</x:v>
      </x:c>
      <x:c r="C1491" s="10" t="str">
        <x:v>BMHPlanners</x:v>
      </x:c>
      <x:c r="D1491" s="10" t="str">
        <x:v>https://www.etsy.com/shop/BMHPlanners</x:v>
      </x:c>
      <x:c r="E1491" s="11" t="n">
        <x:v>2.32</x:v>
      </x:c>
      <x:c r="F1491" s="10" t="n">
        <x:v>0</x:v>
      </x:c>
      <x:c r="G1491" s="12" t="n">
        <x:v>0</x:v>
      </x:c>
      <x:c r="H1491" s="13" t="n">
        <x:v>0</x:v>
      </x:c>
      <x:c r="I1491" s="10" t="n">
        <x:v>0</x:v>
      </x:c>
      <x:c r="J1491" s="10" t="n">
        <x:v>0</x:v>
      </x:c>
      <x:c r="K1491" s="10" t="str">
        <x:v>17 Mo.</x:v>
      </x:c>
      <x:c r="L1491" s="10" t="n">
        <x:v>1</x:v>
      </x:c>
      <x:c r="M1491" s="10" t="n">
        <x:v>0</x:v>
      </x:c>
      <x:c r="N1491" s="10" t="n">
        <x:v>29</x:v>
      </x:c>
      <x:c r="O1491" s="10" t="str"/>
      <x:c r="P1491" s="10" t="n">
        <x:v>17</x:v>
      </x:c>
      <x:c r="Q1491" s="10" t="n">
        <x:v>0</x:v>
      </x:c>
      <x:c r="R1491" s="13" t="n">
        <x:v>0</x:v>
      </x:c>
      <x:c r="S1491" s="10" t="n">
        <x:v>3</x:v>
      </x:c>
      <x:c r="T1491" s="10" t="str">
        <x:v>financial planner,debt spreadsheet,debt snowball excel,credit card debt,debt payoff tracker,mortgage payoff,debt avalanche,student loan payoff,excel spreadsheet,loan payoff,debt free planner,digital planner,loan payoff template</x:v>
      </x:c>
      <x:c r="U1491" s="10" t="str">
        <x:v>financial planner</x:v>
      </x:c>
      <x:c r="V1491" s="10" t="str">
        <x:v>debt spreadsheet</x:v>
      </x:c>
      <x:c r="W1491" s="10" t="str">
        <x:v>debt snowball excel</x:v>
      </x:c>
      <x:c r="X1491" s="10" t="str">
        <x:v>credit card debt</x:v>
      </x:c>
      <x:c r="Y1491" s="10" t="str">
        <x:v>debt payoff tracker</x:v>
      </x:c>
      <x:c r="Z1491" s="10" t="str">
        <x:v>mortgage payoff</x:v>
      </x:c>
      <x:c r="AA1491" s="10" t="str">
        <x:v>debt avalanche</x:v>
      </x:c>
      <x:c r="AB1491" s="10" t="str">
        <x:v>student loan payoff</x:v>
      </x:c>
      <x:c r="AC1491" s="10" t="str">
        <x:v>excel spreadsheet</x:v>
      </x:c>
      <x:c r="AD1491" s="10" t="str">
        <x:v>loan payoff</x:v>
      </x:c>
      <x:c r="AE1491" s="10" t="str">
        <x:v>debt free planner</x:v>
      </x:c>
      <x:c r="AF1491" s="10" t="str">
        <x:v>digital planner</x:v>
      </x:c>
      <x:c r="AG1491" s="10" t="str">
        <x:v>loan payoff template</x:v>
      </x:c>
      <x:c r="AH1491" s="10" t="str">
        <x:v>General debt payoff</x:v>
      </x:c>
      <x:c r="AI1491" s="13" t="n">
        <x:v>17</x:v>
      </x:c>
      <x:c r="AJ1491" s="10" t="str">
        <x:f>IF(F1491&gt;0,"Active","No est. sales")</x:f>
        <x:v>No est. sales</x:v>
      </x:c>
    </x:row>
    <x:row r="1492">
      <x:c r="A1492" s="10" t="str">
        <x:v>Pay mortgage house payment planner stickers - Budget Tracker Script Stickers</x:v>
      </x:c>
      <x:c r="B1492" s="10" t="str">
        <x:v>https://www.etsy.com/listing/1742541678/pay-mortgage-house-payment-planner</x:v>
      </x:c>
      <x:c r="C1492" s="10" t="str">
        <x:v>ThePlannersWorld</x:v>
      </x:c>
      <x:c r="D1492" s="10" t="str">
        <x:v>https://www.etsy.com/shop/ThePlannersWorld</x:v>
      </x:c>
      <x:c r="E1492" s="11" t="n">
        <x:v>4.4</x:v>
      </x:c>
      <x:c r="F1492" s="10" t="n">
        <x:v>0</x:v>
      </x:c>
      <x:c r="G1492" s="12" t="n">
        <x:v>0</x:v>
      </x:c>
      <x:c r="H1492" s="13" t="n">
        <x:v>0</x:v>
      </x:c>
      <x:c r="I1492" s="10" t="n">
        <x:v>3</x:v>
      </x:c>
      <x:c r="J1492" s="10" t="n">
        <x:v>1</x:v>
      </x:c>
      <x:c r="K1492" s="10" t="str">
        <x:v>24 Mo.</x:v>
      </x:c>
      <x:c r="L1492" s="10" t="n">
        <x:v>12</x:v>
      </x:c>
      <x:c r="M1492" s="10" t="n">
        <x:v>0</x:v>
      </x:c>
      <x:c r="N1492" s="10" t="n">
        <x:v>66</x:v>
      </x:c>
      <x:c r="O1492" s="10" t="str">
        <x:v>Paper &amp; Party Supplies</x:v>
      </x:c>
      <x:c r="P1492" s="10" t="n">
        <x:v>111</x:v>
      </x:c>
      <x:c r="Q1492" s="10" t="n">
        <x:v>0</x:v>
      </x:c>
      <x:c r="R1492" s="13" t="n">
        <x:v>4.55</x:v>
      </x:c>
      <x:c r="S1492" s="10" t="n">
        <x:v>28385</x:v>
      </x:c>
      <x:c r="T1492" s="10" t="str">
        <x:v>budgeting stickers,daily weekly monthly,erin condren,finance tracker,financial stickers,happy planner,house payment,illustrated script,journaling stickers,pay bill stickers,pay mortgage,payment tracker,planner stickers</x:v>
      </x:c>
      <x:c r="U1492" s="10" t="str">
        <x:v>budgeting stickers</x:v>
      </x:c>
      <x:c r="V1492" s="10" t="str">
        <x:v>daily weekly monthly</x:v>
      </x:c>
      <x:c r="W1492" s="10" t="str">
        <x:v>erin condren</x:v>
      </x:c>
      <x:c r="X1492" s="10" t="str">
        <x:v>finance tracker</x:v>
      </x:c>
      <x:c r="Y1492" s="10" t="str">
        <x:v>financial stickers</x:v>
      </x:c>
      <x:c r="Z1492" s="10" t="str">
        <x:v>happy planner</x:v>
      </x:c>
      <x:c r="AA1492" s="10" t="str">
        <x:v>house payment</x:v>
      </x:c>
      <x:c r="AB1492" s="10" t="str">
        <x:v>illustrated script</x:v>
      </x:c>
      <x:c r="AC1492" s="10" t="str">
        <x:v>journaling stickers</x:v>
      </x:c>
      <x:c r="AD1492" s="10" t="str">
        <x:v>pay bill stickers</x:v>
      </x:c>
      <x:c r="AE1492" s="10" t="str">
        <x:v>pay mortgage</x:v>
      </x:c>
      <x:c r="AF1492" s="10" t="str">
        <x:v>payment tracker</x:v>
      </x:c>
      <x:c r="AG1492" s="10" t="str">
        <x:v>planner stickers</x:v>
      </x:c>
      <x:c r="AH1492" s="10" t="str">
        <x:v>Other mortgage-related</x:v>
      </x:c>
      <x:c r="AI1492" s="13" t="n">
        <x:v>24</x:v>
      </x:c>
      <x:c r="AJ1492" s="10" t="str">
        <x:f>IF(F1492&gt;0,"Active","No est. sales")</x:f>
        <x:v>No est. sales</x:v>
      </x:c>
    </x:row>
    <x:row r="1493">
      <x:c r="A1493" s="10" t="str">
        <x:v>Mortgage Lenders Daily Tracker</x:v>
      </x:c>
      <x:c r="B1493" s="10" t="str">
        <x:v>https://www.etsy.com/listing/1799926145/mortgage-lenders-daily-tracker</x:v>
      </x:c>
      <x:c r="C1493" s="10" t="str">
        <x:v>HTCcoaching</x:v>
      </x:c>
      <x:c r="D1493" s="10" t="str">
        <x:v>https://www.etsy.com/shop/HTCcoaching</x:v>
      </x:c>
      <x:c r="E1493" s="11" t="n">
        <x:v>4.99</x:v>
      </x:c>
      <x:c r="F1493" s="10" t="n">
        <x:v>0</x:v>
      </x:c>
      <x:c r="G1493" s="12" t="n">
        <x:v>0</x:v>
      </x:c>
      <x:c r="H1493" s="13" t="n">
        <x:v>0</x:v>
      </x:c>
      <x:c r="I1493" s="10" t="n">
        <x:v>0</x:v>
      </x:c>
      <x:c r="J1493" s="10" t="n">
        <x:v>0</x:v>
      </x:c>
      <x:c r="K1493" s="10" t="str">
        <x:v>22 Mo.</x:v>
      </x:c>
      <x:c r="L1493" s="10" t="n">
        <x:v>3</x:v>
      </x:c>
      <x:c r="M1493" s="10" t="n">
        <x:v>0</x:v>
      </x:c>
      <x:c r="N1493" s="10" t="n">
        <x:v>52</x:v>
      </x:c>
      <x:c r="O1493" s="10" t="str"/>
      <x:c r="P1493" s="10" t="n">
        <x:v>22</x:v>
      </x:c>
      <x:c r="Q1493" s="10" t="n">
        <x:v>0</x:v>
      </x:c>
      <x:c r="R1493" s="13" t="n">
        <x:v>0</x:v>
      </x:c>
      <x:c r="S1493" s="10" t="n">
        <x:v>0</x:v>
      </x:c>
      <x:c r="T1493" s="10" t="str">
        <x:v>mortgages,planner,loan officers,calendar template,marketing,lenders,mortgage lenders,daily tracker,tracking system,daily planner,real estate,loan originators,mortgage</x:v>
      </x:c>
      <x:c r="U1493" s="10" t="str">
        <x:v>mortgages</x:v>
      </x:c>
      <x:c r="V1493" s="10" t="str">
        <x:v>planner</x:v>
      </x:c>
      <x:c r="W1493" s="10" t="str">
        <x:v>loan officers</x:v>
      </x:c>
      <x:c r="X1493" s="10" t="str">
        <x:v>calendar template</x:v>
      </x:c>
      <x:c r="Y1493" s="10" t="str">
        <x:v>marketing</x:v>
      </x:c>
      <x:c r="Z1493" s="10" t="str">
        <x:v>lenders</x:v>
      </x:c>
      <x:c r="AA1493" s="10" t="str">
        <x:v>mortgage lenders</x:v>
      </x:c>
      <x:c r="AB1493" s="10" t="str">
        <x:v>daily tracker</x:v>
      </x:c>
      <x:c r="AC1493" s="10" t="str">
        <x:v>tracking system</x:v>
      </x:c>
      <x:c r="AD1493" s="10" t="str">
        <x:v>daily planner</x:v>
      </x:c>
      <x:c r="AE1493" s="10" t="str">
        <x:v>real estate</x:v>
      </x:c>
      <x:c r="AF1493" s="10" t="str">
        <x:v>loan originators</x:v>
      </x:c>
      <x:c r="AG1493" s="10" t="str">
        <x:v>mortgage</x:v>
      </x:c>
      <x:c r="AH1493" s="10" t="str">
        <x:v>Loan officer / B2B</x:v>
      </x:c>
      <x:c r="AI1493" s="13" t="n">
        <x:v>22</x:v>
      </x:c>
      <x:c r="AJ1493" s="10" t="str">
        <x:f>IF(F1493&gt;0,"Active","No est. sales")</x:f>
        <x:v>No est. sales</x:v>
      </x:c>
    </x:row>
    <x:row r="1494">
      <x:c r="A1494" s="10" t="str">
        <x:v>Mortgage Broker Marketing Planner – Lead Generation, Content Strategy (PDF)</x:v>
      </x:c>
      <x:c r="B1494" s="10" t="str">
        <x:v>https://www.etsy.com/listing/1684431486/mortgage-broker-marketing-planner-lead</x:v>
      </x:c>
      <x:c r="C1494" s="10" t="str">
        <x:v>CurrentsMarketing</x:v>
      </x:c>
      <x:c r="D1494" s="10" t="str">
        <x:v>https://www.etsy.com/shop/CurrentsMarketing</x:v>
      </x:c>
      <x:c r="E1494" s="11" t="n">
        <x:v>14.5</x:v>
      </x:c>
      <x:c r="F1494" s="10" t="n">
        <x:v>0</x:v>
      </x:c>
      <x:c r="G1494" s="12" t="n">
        <x:v>0</x:v>
      </x:c>
      <x:c r="H1494" s="13" t="n">
        <x:v>0</x:v>
      </x:c>
      <x:c r="I1494" s="10" t="n">
        <x:v>0</x:v>
      </x:c>
      <x:c r="J1494" s="10" t="n">
        <x:v>0</x:v>
      </x:c>
      <x:c r="K1494" s="10" t="str">
        <x:v>28 Mo.</x:v>
      </x:c>
      <x:c r="L1494" s="10" t="n">
        <x:v>16</x:v>
      </x:c>
      <x:c r="M1494" s="10" t="n">
        <x:v>0</x:v>
      </x:c>
      <x:c r="N1494" s="10" t="n">
        <x:v>392</x:v>
      </x:c>
      <x:c r="O1494" s="10" t="str"/>
      <x:c r="P1494" s="10" t="n">
        <x:v>40</x:v>
      </x:c>
      <x:c r="Q1494" s="10" t="n">
        <x:v>0</x:v>
      </x:c>
      <x:c r="R1494" s="13" t="n">
        <x:v>0</x:v>
      </x:c>
      <x:c r="S1494" s="10" t="n">
        <x:v>69</x:v>
      </x:c>
      <x:c r="T1494" s="10" t="str">
        <x:v>mortgage marketing,broker planner,online presence,client connection,success planning,marketing planner,financial planning,real estate help,mortgage solutions,broker strategies,client engagement,digital marketing,real estate planner</x:v>
      </x:c>
      <x:c r="U1494" s="10" t="str">
        <x:v>mortgage marketing</x:v>
      </x:c>
      <x:c r="V1494" s="10" t="str">
        <x:v>broker planner</x:v>
      </x:c>
      <x:c r="W1494" s="10" t="str">
        <x:v>online presence</x:v>
      </x:c>
      <x:c r="X1494" s="10" t="str">
        <x:v>client connection</x:v>
      </x:c>
      <x:c r="Y1494" s="10" t="str">
        <x:v>success planning</x:v>
      </x:c>
      <x:c r="Z1494" s="10" t="str">
        <x:v>marketing planner</x:v>
      </x:c>
      <x:c r="AA1494" s="10" t="str">
        <x:v>financial planning</x:v>
      </x:c>
      <x:c r="AB1494" s="10" t="str">
        <x:v>real estate help</x:v>
      </x:c>
      <x:c r="AC1494" s="10" t="str">
        <x:v>mortgage solutions</x:v>
      </x:c>
      <x:c r="AD1494" s="10" t="str">
        <x:v>broker strategies</x:v>
      </x:c>
      <x:c r="AE1494" s="10" t="str">
        <x:v>client engagement</x:v>
      </x:c>
      <x:c r="AF1494" s="10" t="str">
        <x:v>digital marketing</x:v>
      </x:c>
      <x:c r="AG1494" s="10" t="str">
        <x:v>real estate planner</x:v>
      </x:c>
      <x:c r="AH1494" s="10" t="str">
        <x:v>Loan officer / B2B</x:v>
      </x:c>
      <x:c r="AI1494" s="13" t="n">
        <x:v>28</x:v>
      </x:c>
      <x:c r="AJ1494" s="10" t="str">
        <x:f>IF(F1494&gt;0,"Active","No est. sales")</x:f>
        <x:v>No est. sales</x:v>
      </x:c>
    </x:row>
    <x:row r="1495">
      <x:c r="A1495" s="10" t="str">
        <x:v>Home Affordability Calculator | Mortgage Payment Spreadsheet, Monthly Budget Planner, Debt &amp; Expense Tracker Excel</x:v>
      </x:c>
      <x:c r="B1495" s="10" t="str">
        <x:v>https://www.etsy.com/listing/4459551744/home-affordability-calculator-mortgage</x:v>
      </x:c>
      <x:c r="C1495" s="10" t="str">
        <x:v>JDFDigitalProducts</x:v>
      </x:c>
      <x:c r="D1495" s="10" t="str">
        <x:v>https://www.etsy.com/shop/JDFDigitalProducts</x:v>
      </x:c>
      <x:c r="E1495" s="11" t="n">
        <x:v>4.99</x:v>
      </x:c>
      <x:c r="F1495" s="10" t="n">
        <x:v>0</x:v>
      </x:c>
      <x:c r="G1495" s="12" t="n">
        <x:v>0</x:v>
      </x:c>
      <x:c r="H1495" s="13" t="n">
        <x:v>0</x:v>
      </x:c>
      <x:c r="I1495" s="10" t="n">
        <x:v>0</x:v>
      </x:c>
      <x:c r="J1495" s="10" t="n">
        <x:v>0</x:v>
      </x:c>
      <x:c r="K1495" s="10" t="str">
        <x:v>5 Mo.</x:v>
      </x:c>
      <x:c r="L1495" s="10" t="n">
        <x:v>0</x:v>
      </x:c>
      <x:c r="M1495" s="10" t="n">
        <x:v>0</x:v>
      </x:c>
      <x:c r="N1495" s="10" t="n">
        <x:v>27</x:v>
      </x:c>
      <x:c r="O1495" s="10" t="str">
        <x:v>Paper &amp; Party Supplies</x:v>
      </x:c>
      <x:c r="P1495" s="10" t="n">
        <x:v>5</x:v>
      </x:c>
      <x:c r="Q1495" s="10" t="n">
        <x:v>0</x:v>
      </x:c>
      <x:c r="R1495" s="13" t="n">
        <x:v>0</x:v>
      </x:c>
      <x:c r="S1495" s="10" t="n">
        <x:v>1</x:v>
      </x:c>
      <x:c r="T1495" s="10" t="str">
        <x:v>home affordability,mortgage calculator,budget spreadsheet,home budget planner,excel calculator,house affordability,loan payment calc,monthly budget tool,first time buyer,financial planner,money management,debt to income,home buying tool</x:v>
      </x:c>
      <x:c r="U1495" s="10" t="str">
        <x:v>home affordability</x:v>
      </x:c>
      <x:c r="V1495" s="10" t="str">
        <x:v>mortgage calculator</x:v>
      </x:c>
      <x:c r="W1495" s="10" t="str">
        <x:v>budget spreadsheet</x:v>
      </x:c>
      <x:c r="X1495" s="10" t="str">
        <x:v>home budget planner</x:v>
      </x:c>
      <x:c r="Y1495" s="10" t="str">
        <x:v>excel calculator</x:v>
      </x:c>
      <x:c r="Z1495" s="10" t="str">
        <x:v>house affordability</x:v>
      </x:c>
      <x:c r="AA1495" s="10" t="str">
        <x:v>loan payment calc</x:v>
      </x:c>
      <x:c r="AB1495" s="10" t="str">
        <x:v>monthly budget tool</x:v>
      </x:c>
      <x:c r="AC1495" s="10" t="str">
        <x:v>first time buyer</x:v>
      </x:c>
      <x:c r="AD1495" s="10" t="str">
        <x:v>financial planner</x:v>
      </x:c>
      <x:c r="AE1495" s="10" t="str">
        <x:v>money management</x:v>
      </x:c>
      <x:c r="AF1495" s="10" t="str">
        <x:v>debt to income</x:v>
      </x:c>
      <x:c r="AG1495" s="10" t="str">
        <x:v>home buying tool</x:v>
      </x:c>
      <x:c r="AH1495" s="10" t="str">
        <x:v>Other mortgage-related</x:v>
      </x:c>
      <x:c r="AI1495" s="13" t="n">
        <x:v>5</x:v>
      </x:c>
      <x:c r="AJ1495" s="10" t="str">
        <x:f>IF(F1495&gt;0,"Active","No est. sales")</x:f>
        <x:v>No est. sales</x:v>
      </x:c>
    </x:row>
    <x:row r="1496">
      <x:c r="A1496" s="10" t="str">
        <x:v>House Hunters Workbook | Home Buyer Journal | Printable PDF + Canva Template | First Time Home Buyer Gift | House Hunting Tracker</x:v>
      </x:c>
      <x:c r="B1496" s="10" t="str">
        <x:v>https://www.etsy.com/listing/4352161909/house-hunting-planner-home-buyer</x:v>
      </x:c>
      <x:c r="C1496" s="10" t="str">
        <x:v>BondHausDesignsStore</x:v>
      </x:c>
      <x:c r="D1496" s="10" t="str">
        <x:v>https://www.etsy.com/shop/BondHausDesignsStore</x:v>
      </x:c>
      <x:c r="E1496" s="11" t="n">
        <x:v>5.99</x:v>
      </x:c>
      <x:c r="F1496" s="10" t="n">
        <x:v>0</x:v>
      </x:c>
      <x:c r="G1496" s="12" t="n">
        <x:v>0</x:v>
      </x:c>
      <x:c r="H1496" s="13" t="n">
        <x:v>0</x:v>
      </x:c>
      <x:c r="I1496" s="10" t="n">
        <x:v>0</x:v>
      </x:c>
      <x:c r="J1496" s="10" t="n">
        <x:v>0</x:v>
      </x:c>
      <x:c r="K1496" s="10" t="str">
        <x:v>11 Mo.</x:v>
      </x:c>
      <x:c r="L1496" s="10" t="n">
        <x:v>0</x:v>
      </x:c>
      <x:c r="M1496" s="10" t="n">
        <x:v>0</x:v>
      </x:c>
      <x:c r="N1496" s="10" t="n">
        <x:v>69</x:v>
      </x:c>
      <x:c r="O1496" s="10" t="str"/>
      <x:c r="P1496" s="10" t="n">
        <x:v>11</x:v>
      </x:c>
      <x:c r="Q1496" s="10" t="n">
        <x:v>0</x:v>
      </x:c>
      <x:c r="R1496" s="13" t="n">
        <x:v>0</x:v>
      </x:c>
      <x:c r="S1496" s="10" t="n">
        <x:v>1</x:v>
      </x:c>
      <x:c r="T1496" s="10" t="str">
        <x:v>home buyer journal,house hunting log,first time buyer,real estate gift,home buyer planner,canva home template,printable planner,house hunter gift,mortgage tracker,home buying guide,realtor client gift,new home journal,closing day gift</x:v>
      </x:c>
      <x:c r="U1496" s="10" t="str">
        <x:v>home buyer journal</x:v>
      </x:c>
      <x:c r="V1496" s="10" t="str">
        <x:v>house hunting log</x:v>
      </x:c>
      <x:c r="W1496" s="10" t="str">
        <x:v>first time buyer</x:v>
      </x:c>
      <x:c r="X1496" s="10" t="str">
        <x:v>real estate gift</x:v>
      </x:c>
      <x:c r="Y1496" s="10" t="str">
        <x:v>home buyer planner</x:v>
      </x:c>
      <x:c r="Z1496" s="10" t="str">
        <x:v>canva home template</x:v>
      </x:c>
      <x:c r="AA1496" s="10" t="str">
        <x:v>printable planner</x:v>
      </x:c>
      <x:c r="AB1496" s="10" t="str">
        <x:v>house hunter gift</x:v>
      </x:c>
      <x:c r="AC1496" s="10" t="str">
        <x:v>mortgage tracker</x:v>
      </x:c>
      <x:c r="AD1496" s="10" t="str">
        <x:v>home buying guide</x:v>
      </x:c>
      <x:c r="AE1496" s="10" t="str">
        <x:v>realtor client gift</x:v>
      </x:c>
      <x:c r="AF1496" s="10" t="str">
        <x:v>new home journal</x:v>
      </x:c>
      <x:c r="AG1496" s="10" t="str">
        <x:v>closing day gift</x:v>
      </x:c>
      <x:c r="AH1496" s="10" t="str">
        <x:v>Home buying planner</x:v>
      </x:c>
      <x:c r="AI1496" s="13" t="n">
        <x:v>11</x:v>
      </x:c>
      <x:c r="AJ1496" s="10" t="str">
        <x:f>IF(F1496&gt;0,"Active","No est. sales")</x:f>
        <x:v>No est. sales</x:v>
      </x:c>
    </x:row>
    <x:row r="1497">
      <x:c r="A1497" s="10" t="str">
        <x:v>Rent Due Stickers (1/2&amp;quot; each), Planner Stickers, Bill and Chore Stickers for Calendars, Planners, Scrapbooks, Crafts and more</x:v>
      </x:c>
      <x:c r="B1497" s="10" t="str">
        <x:v>https://www.etsy.com/listing/575293160/rent-due-stickers-12-each-planner</x:v>
      </x:c>
      <x:c r="C1497" s="10" t="str">
        <x:v>frannielambstickers</x:v>
      </x:c>
      <x:c r="D1497" s="10" t="str">
        <x:v>https://www.etsy.com/shop/frannielambstickers</x:v>
      </x:c>
      <x:c r="E1497" s="11" t="n">
        <x:v>3.99</x:v>
      </x:c>
      <x:c r="F1497" s="10" t="n">
        <x:v>0</x:v>
      </x:c>
      <x:c r="G1497" s="12" t="n">
        <x:v>0</x:v>
      </x:c>
      <x:c r="H1497" s="13" t="n">
        <x:v>0</x:v>
      </x:c>
      <x:c r="I1497" s="10" t="n">
        <x:v>412</x:v>
      </x:c>
      <x:c r="J1497" s="10" t="n">
        <x:v>84</x:v>
      </x:c>
      <x:c r="K1497" s="10" t="str">
        <x:v>102 Mo.</x:v>
      </x:c>
      <x:c r="L1497" s="10" t="n">
        <x:v>511</x:v>
      </x:c>
      <x:c r="M1497" s="10" t="n">
        <x:v>1</x:v>
      </x:c>
      <x:c r="N1497" s="10" t="n">
        <x:v>4002</x:v>
      </x:c>
      <x:c r="O1497" s="10" t="str">
        <x:v>Paper &amp; Party Supplies</x:v>
      </x:c>
      <x:c r="P1497" s="10" t="n">
        <x:v>112</x:v>
      </x:c>
      <x:c r="Q1497" s="10" t="n">
        <x:v>0</x:v>
      </x:c>
      <x:c r="R1497" s="13" t="n">
        <x:v>10.29</x:v>
      </x:c>
      <x:c r="S1497" s="10" t="n">
        <x:v>166558</x:v>
      </x:c>
      <x:c r="T1497" s="10" t="str">
        <x:v>planner stickers,stickers,kawaii stickers,cute stickers,reminder stickers,mortgage stickers,bill due stickers,icon stickers,bill stickers,rent due stickers,house rent stickers,craft stickers</x:v>
      </x:c>
      <x:c r="U1497" s="10" t="str">
        <x:v>planner stickers</x:v>
      </x:c>
      <x:c r="V1497" s="10" t="str">
        <x:v>stickers</x:v>
      </x:c>
      <x:c r="W1497" s="10" t="str">
        <x:v>kawaii stickers</x:v>
      </x:c>
      <x:c r="X1497" s="10" t="str">
        <x:v>cute stickers</x:v>
      </x:c>
      <x:c r="Y1497" s="10" t="str">
        <x:v>reminder stickers</x:v>
      </x:c>
      <x:c r="Z1497" s="10" t="str">
        <x:v>mortgage stickers</x:v>
      </x:c>
      <x:c r="AA1497" s="10" t="str">
        <x:v>bill due stickers</x:v>
      </x:c>
      <x:c r="AB1497" s="10" t="str">
        <x:v>icon stickers</x:v>
      </x:c>
      <x:c r="AC1497" s="10" t="str">
        <x:v>bill stickers</x:v>
      </x:c>
      <x:c r="AD1497" s="10" t="str">
        <x:v>rent due stickers</x:v>
      </x:c>
      <x:c r="AE1497" s="10" t="str">
        <x:v>house rent stickers</x:v>
      </x:c>
      <x:c r="AF1497" s="10" t="str">
        <x:v>craft stickers</x:v>
      </x:c>
      <x:c r="AG1497" s="10" t="str">
        <x:v>--</x:v>
      </x:c>
      <x:c r="AH1497" s="10" t="str">
        <x:v>Other mortgage-related</x:v>
      </x:c>
      <x:c r="AI1497" s="13" t="n">
        <x:v>102</x:v>
      </x:c>
      <x:c r="AJ1497" s="10" t="str">
        <x:f>IF(F1497&gt;0,"Active","No est. sales")</x:f>
        <x:v>No est. sales</x:v>
      </x:c>
    </x:row>
    <x:row r="1498">
      <x:c r="A1498" s="10" t="str">
        <x:v>Mortgage Calculator Excel Template | Home Loan Amortization Schedule</x:v>
      </x:c>
      <x:c r="B1498" s="10" t="str">
        <x:v>https://www.etsy.com/listing/4449880048/mortgage-calculator-excel-template-home</x:v>
      </x:c>
      <x:c r="C1498" s="10" t="str">
        <x:v>SheetCraftShop</x:v>
      </x:c>
      <x:c r="D1498" s="10" t="str">
        <x:v>https://www.etsy.com/shop/SheetCraftShop</x:v>
      </x:c>
      <x:c r="E1498" s="11" t="n">
        <x:v>5</x:v>
      </x:c>
      <x:c r="F1498" s="10" t="n">
        <x:v>0</x:v>
      </x:c>
      <x:c r="G1498" s="12" t="n">
        <x:v>0</x:v>
      </x:c>
      <x:c r="H1498" s="13" t="n">
        <x:v>0</x:v>
      </x:c>
      <x:c r="I1498" s="10" t="n">
        <x:v>0</x:v>
      </x:c>
      <x:c r="J1498" s="10" t="n">
        <x:v>0</x:v>
      </x:c>
      <x:c r="K1498" s="10" t="str">
        <x:v>6 Mo.</x:v>
      </x:c>
      <x:c r="L1498" s="10" t="n">
        <x:v>2</x:v>
      </x:c>
      <x:c r="M1498" s="10" t="n">
        <x:v>0</x:v>
      </x:c>
      <x:c r="N1498" s="10" t="n">
        <x:v>44</x:v>
      </x:c>
      <x:c r="O1498" s="10" t="str"/>
      <x:c r="P1498" s="10" t="n">
        <x:v>10</x:v>
      </x:c>
      <x:c r="Q1498" s="10" t="n">
        <x:v>0</x:v>
      </x:c>
      <x:c r="R1498" s="13" t="n">
        <x:v>0</x:v>
      </x:c>
      <x:c r="S1498" s="10" t="n">
        <x:v>2</x:v>
      </x:c>
      <x:c r="T1498" s="10" t="str">
        <x:v>mortgage calculator,home loan,equity calculator,first home buyer,loan calculator,interest calculator,home ownership,home finance,home buying,budget planner,excel template,financial planner,loan amortization</x:v>
      </x:c>
      <x:c r="U1498" s="10" t="str">
        <x:v>mortgage calculator</x:v>
      </x:c>
      <x:c r="V1498" s="10" t="str">
        <x:v>home loan</x:v>
      </x:c>
      <x:c r="W1498" s="10" t="str">
        <x:v>equity calculator</x:v>
      </x:c>
      <x:c r="X1498" s="10" t="str">
        <x:v>first home buyer</x:v>
      </x:c>
      <x:c r="Y1498" s="10" t="str">
        <x:v>loan calculator</x:v>
      </x:c>
      <x:c r="Z1498" s="10" t="str">
        <x:v>interest calculator</x:v>
      </x:c>
      <x:c r="AA1498" s="10" t="str">
        <x:v>home ownership</x:v>
      </x:c>
      <x:c r="AB1498" s="10" t="str">
        <x:v>home finance</x:v>
      </x:c>
      <x:c r="AC1498" s="10" t="str">
        <x:v>home buying</x:v>
      </x:c>
      <x:c r="AD1498" s="10" t="str">
        <x:v>budget planner</x:v>
      </x:c>
      <x:c r="AE1498" s="10" t="str">
        <x:v>excel template</x:v>
      </x:c>
      <x:c r="AF1498" s="10" t="str">
        <x:v>financial planner</x:v>
      </x:c>
      <x:c r="AG1498" s="10" t="str">
        <x:v>loan amortization</x:v>
      </x:c>
      <x:c r="AH1498" s="10" t="str">
        <x:v>Mortgage payoff / calculator</x:v>
      </x:c>
      <x:c r="AI1498" s="13" t="n">
        <x:v>6</x:v>
      </x:c>
      <x:c r="AJ1498" s="10" t="str">
        <x:f>IF(F1498&gt;0,"Active","No est. sales")</x:f>
        <x:v>No est. sales</x:v>
      </x:c>
    </x:row>
    <x:row r="1499">
      <x:c r="A1499" s="10" t="str">
        <x:v>Amortization Calculator, Excel Amortization Calculator, for Homeowners, Real Estate Buyers, Personal Finance Users, and Small Business</x:v>
      </x:c>
      <x:c r="B1499" s="10" t="str">
        <x:v>https://www.etsy.com/listing/4538572482/amortization-calculator-excel</x:v>
      </x:c>
      <x:c r="C1499" s="10" t="str">
        <x:v>StoreArtParDarkouch</x:v>
      </x:c>
      <x:c r="D1499" s="10" t="str">
        <x:v>https://www.etsy.com/shop/StoreArtParDarkouch</x:v>
      </x:c>
      <x:c r="E1499" s="11" t="n">
        <x:v>4.99</x:v>
      </x:c>
      <x:c r="F1499" s="10" t="n">
        <x:v>0</x:v>
      </x:c>
      <x:c r="G1499" s="12" t="n">
        <x:v>0</x:v>
      </x:c>
      <x:c r="H1499" s="13" t="n">
        <x:v>0</x:v>
      </x:c>
      <x:c r="I1499" s="10" t="n">
        <x:v>0</x:v>
      </x:c>
      <x:c r="J1499" s="10" t="n">
        <x:v>0</x:v>
      </x:c>
      <x:c r="K1499" s="10" t="str">
        <x:v>1 Mo.</x:v>
      </x:c>
      <x:c r="L1499" s="10" t="n">
        <x:v>0</x:v>
      </x:c>
      <x:c r="M1499" s="10" t="n">
        <x:v>0</x:v>
      </x:c>
      <x:c r="N1499" s="10" t="n">
        <x:v>0</x:v>
      </x:c>
      <x:c r="O1499" s="10" t="str"/>
      <x:c r="P1499" s="10" t="n">
        <x:v>10</x:v>
      </x:c>
      <x:c r="Q1499" s="10" t="n">
        <x:v>0</x:v>
      </x:c>
      <x:c r="R1499" s="13" t="n">
        <x:v>0</x:v>
      </x:c>
      <x:c r="S1499" s="10" t="n">
        <x:v>4</x:v>
      </x:c>
      <x:c r="T1499" s="10" t="str">
        <x:v>amortization,loan payment tracker,mortgage spreadsheet,excel loan,debt payoff planner,calculator template,excel amortization,homeowners real,digital download,instant download,printable,digital product,planner printable</x:v>
      </x:c>
      <x:c r="U1499" s="10" t="str">
        <x:v>amortization</x:v>
      </x:c>
      <x:c r="V1499" s="10" t="str">
        <x:v>loan payment tracker</x:v>
      </x:c>
      <x:c r="W1499" s="10" t="str">
        <x:v>mortgage spreadsheet</x:v>
      </x:c>
      <x:c r="X1499" s="10" t="str">
        <x:v>excel loan</x:v>
      </x:c>
      <x:c r="Y1499" s="10" t="str">
        <x:v>debt payoff planner</x:v>
      </x:c>
      <x:c r="Z1499" s="10" t="str">
        <x:v>calculator template</x:v>
      </x:c>
      <x:c r="AA1499" s="10" t="str">
        <x:v>excel amortization</x:v>
      </x:c>
      <x:c r="AB1499" s="10" t="str">
        <x:v>homeowners real</x:v>
      </x:c>
      <x:c r="AC1499" s="10" t="str">
        <x:v>digital download</x:v>
      </x:c>
      <x:c r="AD1499" s="10" t="str">
        <x:v>instant download</x:v>
      </x:c>
      <x:c r="AE1499" s="10" t="str">
        <x:v>printable</x:v>
      </x:c>
      <x:c r="AF1499" s="10" t="str">
        <x:v>digital product</x:v>
      </x:c>
      <x:c r="AG1499" s="10" t="str">
        <x:v>planner printable</x:v>
      </x:c>
      <x:c r="AH1499" s="10" t="str">
        <x:v>Other mortgage-related</x:v>
      </x:c>
      <x:c r="AI1499" s="13" t="n">
        <x:v>1</x:v>
      </x:c>
      <x:c r="AJ1499" s="10" t="str">
        <x:f>IF(F1499&gt;0,"Active","No est. sales")</x:f>
        <x:v>No est. sales</x:v>
      </x:c>
    </x:row>
    <x:row r="1500">
      <x:c r="A1500" s="10" t="str">
        <x:v>Debt Payoff Tracker for Google Sheets, Snowball and Avalanche Debt Repayment Method,  Automated Loan Payment Spreadsheet</x:v>
      </x:c>
      <x:c r="B1500" s="10" t="str">
        <x:v>https://www.etsy.com/listing/4397620638/debt-payoff-tracker-google-sheets</x:v>
      </x:c>
      <x:c r="C1500" s="10" t="str">
        <x:v>SheetSenseShop</x:v>
      </x:c>
      <x:c r="D1500" s="10" t="str">
        <x:v>https://www.etsy.com/shop/SheetSenseShop</x:v>
      </x:c>
      <x:c r="E1500" s="11" t="n">
        <x:v>9.08</x:v>
      </x:c>
      <x:c r="F1500" s="10" t="n">
        <x:v>0</x:v>
      </x:c>
      <x:c r="G1500" s="12" t="n">
        <x:v>0</x:v>
      </x:c>
      <x:c r="H1500" s="13" t="n">
        <x:v>0</x:v>
      </x:c>
      <x:c r="I1500" s="10" t="n">
        <x:v>2</x:v>
      </x:c>
      <x:c r="J1500" s="10" t="n">
        <x:v>0</x:v>
      </x:c>
      <x:c r="K1500" s="10" t="str">
        <x:v>8 Mo.</x:v>
      </x:c>
      <x:c r="L1500" s="10" t="n">
        <x:v>1</x:v>
      </x:c>
      <x:c r="M1500" s="10" t="n">
        <x:v>0</x:v>
      </x:c>
      <x:c r="N1500" s="10" t="n">
        <x:v>14</x:v>
      </x:c>
      <x:c r="O1500" s="10" t="str"/>
      <x:c r="P1500" s="10" t="n">
        <x:v>13</x:v>
      </x:c>
      <x:c r="Q1500" s="10" t="n">
        <x:v>0</x:v>
      </x:c>
      <x:c r="R1500" s="13" t="n">
        <x:v>14.29</x:v>
      </x:c>
      <x:c r="S1500" s="10" t="n">
        <x:v>213</x:v>
      </x:c>
      <x:c r="T1500" s="10" t="str">
        <x:v>debt payoff tracker,google sheets money,financial freedom,snowball avalanche,auto loan payment,automated recurring,credit utilization,mortgage calculator,repayment planner,dave ramsey method,car credit card plan,elimination template,finance organizer</x:v>
      </x:c>
      <x:c r="U1500" s="10" t="str">
        <x:v>debt payoff tracker</x:v>
      </x:c>
      <x:c r="V1500" s="10" t="str">
        <x:v>google sheets money</x:v>
      </x:c>
      <x:c r="W1500" s="10" t="str">
        <x:v>financial freedom</x:v>
      </x:c>
      <x:c r="X1500" s="10" t="str">
        <x:v>snowball avalanche</x:v>
      </x:c>
      <x:c r="Y1500" s="10" t="str">
        <x:v>auto loan payment</x:v>
      </x:c>
      <x:c r="Z1500" s="10" t="str">
        <x:v>automated recurring</x:v>
      </x:c>
      <x:c r="AA1500" s="10" t="str">
        <x:v>credit utilization</x:v>
      </x:c>
      <x:c r="AB1500" s="10" t="str">
        <x:v>mortgage calculator</x:v>
      </x:c>
      <x:c r="AC1500" s="10" t="str">
        <x:v>repayment planner</x:v>
      </x:c>
      <x:c r="AD1500" s="10" t="str">
        <x:v>dave ramsey method</x:v>
      </x:c>
      <x:c r="AE1500" s="10" t="str">
        <x:v>car credit card plan</x:v>
      </x:c>
      <x:c r="AF1500" s="10" t="str">
        <x:v>elimination template</x:v>
      </x:c>
      <x:c r="AG1500" s="10" t="str">
        <x:v>finance organizer</x:v>
      </x:c>
      <x:c r="AH1500" s="10" t="str">
        <x:v>General debt payoff</x:v>
      </x:c>
      <x:c r="AI1500" s="13" t="n">
        <x:v>8</x:v>
      </x:c>
      <x:c r="AJ1500" s="10" t="str">
        <x:f>IF(F1500&gt;0,"Active","No est. sales")</x:f>
        <x:v>No est. sales</x:v>
      </x:c>
    </x:row>
    <x:row r="1501">
      <x:c r="A1501" s="10" t="str">
        <x:v>New Home Buyer Checklist Spreadsheet, Home Buying Planner, Mortgage Estimator, Moving Checklist, Budget Tracker, Excel Google Sheets</x:v>
      </x:c>
      <x:c r="B1501" s="10" t="str">
        <x:v>https://www.etsy.com/listing/4536812380/new-home-buyer-checklist-spreadsheet</x:v>
      </x:c>
      <x:c r="C1501" s="10" t="str">
        <x:v>SellerKitLab</x:v>
      </x:c>
      <x:c r="D1501" s="10" t="str">
        <x:v>https://www.etsy.com/shop/SellerKitLab</x:v>
      </x:c>
      <x:c r="E1501" s="11" t="n">
        <x:v>6.49</x:v>
      </x:c>
      <x:c r="F1501" s="10" t="n">
        <x:v>0</x:v>
      </x:c>
      <x:c r="G1501" s="12" t="n">
        <x:v>0</x:v>
      </x:c>
      <x:c r="H1501" s="13" t="n">
        <x:v>0</x:v>
      </x:c>
      <x:c r="I1501" s="10" t="n">
        <x:v>0</x:v>
      </x:c>
      <x:c r="J1501" s="10" t="n">
        <x:v>0</x:v>
      </x:c>
      <x:c r="K1501" s="10" t="str">
        <x:v>1 Mo.</x:v>
      </x:c>
      <x:c r="L1501" s="10" t="n">
        <x:v>3</x:v>
      </x:c>
      <x:c r="M1501" s="10" t="n">
        <x:v>0</x:v>
      </x:c>
      <x:c r="N1501" s="10" t="n">
        <x:v>19</x:v>
      </x:c>
      <x:c r="O1501" s="10" t="str"/>
      <x:c r="P1501" s="10" t="n">
        <x:v>2</x:v>
      </x:c>
      <x:c r="Q1501" s="10" t="n">
        <x:v>0</x:v>
      </x:c>
      <x:c r="R1501" s="13" t="n">
        <x:v>0</x:v>
      </x:c>
      <x:c r="S1501" s="10" t="n">
        <x:v>260</x:v>
      </x:c>
      <x:c r="T1501" s="10" t="str">
        <x:v>home buyer,buyer checklist,home checklist,home planner,mortgage tracker,house planner,mortgage estimate,home budget,moving checklist,room planner,excel planner,renovation log,google sheets</x:v>
      </x:c>
      <x:c r="U1501" s="10" t="str">
        <x:v>home buyer</x:v>
      </x:c>
      <x:c r="V1501" s="10" t="str">
        <x:v>buyer checklist</x:v>
      </x:c>
      <x:c r="W1501" s="10" t="str">
        <x:v>home checklist</x:v>
      </x:c>
      <x:c r="X1501" s="10" t="str">
        <x:v>home planner</x:v>
      </x:c>
      <x:c r="Y1501" s="10" t="str">
        <x:v>mortgage tracker</x:v>
      </x:c>
      <x:c r="Z1501" s="10" t="str">
        <x:v>house planner</x:v>
      </x:c>
      <x:c r="AA1501" s="10" t="str">
        <x:v>mortgage estimate</x:v>
      </x:c>
      <x:c r="AB1501" s="10" t="str">
        <x:v>home budget</x:v>
      </x:c>
      <x:c r="AC1501" s="10" t="str">
        <x:v>moving checklist</x:v>
      </x:c>
      <x:c r="AD1501" s="10" t="str">
        <x:v>room planner</x:v>
      </x:c>
      <x:c r="AE1501" s="10" t="str">
        <x:v>excel planner</x:v>
      </x:c>
      <x:c r="AF1501" s="10" t="str">
        <x:v>renovation log</x:v>
      </x:c>
      <x:c r="AG1501" s="10" t="str">
        <x:v>google sheets</x:v>
      </x:c>
      <x:c r="AH1501" s="10" t="str">
        <x:v>Home buying planner</x:v>
      </x:c>
      <x:c r="AI1501" s="13" t="n">
        <x:v>1</x:v>
      </x:c>
      <x:c r="AJ1501" s="10" t="str">
        <x:f>IF(F1501&gt;0,"Active","No est. sales")</x:f>
        <x:v>No est. sales</x:v>
      </x:c>
    </x:row>
    <x:row r="1502">
      <x:c r="A1502" s="10" t="str">
        <x:v>Pink House Deposit Tracker Digital Download | Printable Home Savings Planner | Mortgage Down Payment Progress | Financial Budgeting Tool</x:v>
      </x:c>
      <x:c r="B1502" s="10" t="str">
        <x:v>https://www.etsy.com/listing/1431292653/pink-house-deposit-tracker-digital</x:v>
      </x:c>
      <x:c r="C1502" s="10" t="str">
        <x:v>AMillennialSaves</x:v>
      </x:c>
      <x:c r="D1502" s="10" t="str">
        <x:v>https://www.etsy.com/shop/AMillennialSaves</x:v>
      </x:c>
      <x:c r="E1502" s="11" t="n">
        <x:v>1.99</x:v>
      </x:c>
      <x:c r="F1502" s="10" t="n">
        <x:v>0</x:v>
      </x:c>
      <x:c r="G1502" s="12" t="n">
        <x:v>0</x:v>
      </x:c>
      <x:c r="H1502" s="13" t="n">
        <x:v>0</x:v>
      </x:c>
      <x:c r="I1502" s="10" t="n">
        <x:v>0</x:v>
      </x:c>
      <x:c r="J1502" s="10" t="n">
        <x:v>0</x:v>
      </x:c>
      <x:c r="K1502" s="10" t="str">
        <x:v>40 Mo.</x:v>
      </x:c>
      <x:c r="L1502" s="10" t="n">
        <x:v>3</x:v>
      </x:c>
      <x:c r="M1502" s="10" t="n">
        <x:v>0</x:v>
      </x:c>
      <x:c r="N1502" s="10" t="n">
        <x:v>29</x:v>
      </x:c>
      <x:c r="O1502" s="10" t="str">
        <x:v>Home &amp; Living</x:v>
      </x:c>
      <x:c r="P1502" s="10" t="n">
        <x:v>40</x:v>
      </x:c>
      <x:c r="Q1502" s="10" t="n">
        <x:v>0</x:v>
      </x:c>
      <x:c r="R1502" s="13" t="n">
        <x:v>0</x:v>
      </x:c>
      <x:c r="S1502" s="10" t="n">
        <x:v>0</x:v>
      </x:c>
      <x:c r="T1502" s="10" t="str">
        <x:v>home savings planner,budgeting tool,digital download,printable planner,savings tracker,house deposit,tracker,savings plan,personal finance,budget planner,money management,savings goals,deposit savings</x:v>
      </x:c>
      <x:c r="U1502" s="10" t="str">
        <x:v>home savings planner</x:v>
      </x:c>
      <x:c r="V1502" s="10" t="str">
        <x:v>budgeting tool</x:v>
      </x:c>
      <x:c r="W1502" s="10" t="str">
        <x:v>digital download</x:v>
      </x:c>
      <x:c r="X1502" s="10" t="str">
        <x:v>printable planner</x:v>
      </x:c>
      <x:c r="Y1502" s="10" t="str">
        <x:v>savings tracker</x:v>
      </x:c>
      <x:c r="Z1502" s="10" t="str">
        <x:v>house deposit</x:v>
      </x:c>
      <x:c r="AA1502" s="10" t="str">
        <x:v>tracker</x:v>
      </x:c>
      <x:c r="AB1502" s="10" t="str">
        <x:v>savings plan</x:v>
      </x:c>
      <x:c r="AC1502" s="10" t="str">
        <x:v>personal finance</x:v>
      </x:c>
      <x:c r="AD1502" s="10" t="str">
        <x:v>budget planner</x:v>
      </x:c>
      <x:c r="AE1502" s="10" t="str">
        <x:v>money management</x:v>
      </x:c>
      <x:c r="AF1502" s="10" t="str">
        <x:v>savings goals</x:v>
      </x:c>
      <x:c r="AG1502" s="10" t="str">
        <x:v>deposit savings</x:v>
      </x:c>
      <x:c r="AH1502" s="10" t="str">
        <x:v>Other mortgage-related</x:v>
      </x:c>
      <x:c r="AI1502" s="13" t="n">
        <x:v>40</x:v>
      </x:c>
      <x:c r="AJ1502" s="10" t="str">
        <x:f>IF(F1502&gt;0,"Active","No est. sales")</x:f>
        <x:v>No est. sales</x:v>
      </x:c>
    </x:row>
    <x:row r="1503">
      <x:c r="A1503" s="10" t="str">
        <x:v>Debt Snowball Chart | Repayment Planner for Student Loans, Mortgage &amp; Credit Card (PDF Download - US Letter/ A4/ A5/ Classic HP Sizes)</x:v>
      </x:c>
      <x:c r="B1503" s="10" t="str">
        <x:v>https://www.etsy.com/listing/4455397156/debt-snowball-tracker-printable-debt</x:v>
      </x:c>
      <x:c r="C1503" s="10" t="str">
        <x:v>AnchoredtoBloom</x:v>
      </x:c>
      <x:c r="D1503" s="10" t="str">
        <x:v>https://www.etsy.com/shop/AnchoredtoBloom</x:v>
      </x:c>
      <x:c r="E1503" s="11" t="n">
        <x:v>1.49</x:v>
      </x:c>
      <x:c r="F1503" s="10" t="n">
        <x:v>0</x:v>
      </x:c>
      <x:c r="G1503" s="12" t="n">
        <x:v>0</x:v>
      </x:c>
      <x:c r="H1503" s="13" t="n">
        <x:v>0</x:v>
      </x:c>
      <x:c r="I1503" s="10" t="n">
        <x:v>0</x:v>
      </x:c>
      <x:c r="J1503" s="10" t="n">
        <x:v>0</x:v>
      </x:c>
      <x:c r="K1503" s="10" t="str">
        <x:v>5 Mo.</x:v>
      </x:c>
      <x:c r="L1503" s="10" t="n">
        <x:v>0</x:v>
      </x:c>
      <x:c r="M1503" s="10" t="n">
        <x:v>0</x:v>
      </x:c>
      <x:c r="N1503" s="10" t="n">
        <x:v>3</x:v>
      </x:c>
      <x:c r="O1503" s="10" t="str"/>
      <x:c r="P1503" s="10" t="n">
        <x:v>8</x:v>
      </x:c>
      <x:c r="Q1503" s="10" t="n">
        <x:v>0</x:v>
      </x:c>
      <x:c r="R1503" s="13" t="n">
        <x:v>0</x:v>
      </x:c>
      <x:c r="S1503" s="10" t="n">
        <x:v>13</x:v>
      </x:c>
      <x:c r="T1503" s="10" t="str">
        <x:v>debt snowball,credit card tracker,loan payoff,budget for month,bullet journal idea,debt paying sheet,credit card debt pay,debt snowball chart,snowball debt chart,mortgage debt payoff,student debt payoff,debt planner book</x:v>
      </x:c>
      <x:c r="U1503" s="10" t="str">
        <x:v>debt snowball</x:v>
      </x:c>
      <x:c r="V1503" s="10" t="str">
        <x:v>credit card tracker</x:v>
      </x:c>
      <x:c r="W1503" s="10" t="str">
        <x:v>loan payoff</x:v>
      </x:c>
      <x:c r="X1503" s="10" t="str">
        <x:v>budget for month</x:v>
      </x:c>
      <x:c r="Y1503" s="10" t="str">
        <x:v>bullet journal idea</x:v>
      </x:c>
      <x:c r="Z1503" s="10" t="str">
        <x:v>debt paying sheet</x:v>
      </x:c>
      <x:c r="AA1503" s="10" t="str">
        <x:v>credit card debt pay</x:v>
      </x:c>
      <x:c r="AB1503" s="10" t="str">
        <x:v>debt snowball chart</x:v>
      </x:c>
      <x:c r="AC1503" s="10" t="str">
        <x:v>snowball debt chart</x:v>
      </x:c>
      <x:c r="AD1503" s="10" t="str">
        <x:v>mortgage debt payoff</x:v>
      </x:c>
      <x:c r="AE1503" s="10" t="str">
        <x:v>student debt payoff</x:v>
      </x:c>
      <x:c r="AF1503" s="10" t="str">
        <x:v>debt planner book</x:v>
      </x:c>
      <x:c r="AG1503" s="10" t="str">
        <x:v>--</x:v>
      </x:c>
      <x:c r="AH1503" s="10" t="str">
        <x:v>General debt payoff</x:v>
      </x:c>
      <x:c r="AI1503" s="13" t="n">
        <x:v>5</x:v>
      </x:c>
      <x:c r="AJ1503" s="10" t="str">
        <x:f>IF(F1503&gt;0,"Active","No est. sales")</x:f>
        <x:v>No est. sales</x:v>
      </x:c>
    </x:row>
    <x:row r="1504">
      <x:c r="A1504" s="10" t="str">
        <x:v>Debt Payoff Tracker Snowball Avalanche, Debt Payment Tracker, Debt Free Planner Spreadsheet, Debt Calculator, Loan Payoff Google Sheets</x:v>
      </x:c>
      <x:c r="B1504" s="10" t="str">
        <x:v>https://www.etsy.com/listing/4323677260/debt-payoff-tracker-snowball-avalanche</x:v>
      </x:c>
      <x:c r="C1504" s="10" t="str">
        <x:v>MarethicDigital</x:v>
      </x:c>
      <x:c r="D1504" s="10" t="str">
        <x:v>https://www.etsy.com/shop/MarethicDigital</x:v>
      </x:c>
      <x:c r="E1504" s="11" t="n">
        <x:v>4.74</x:v>
      </x:c>
      <x:c r="F1504" s="10" t="n">
        <x:v>0</x:v>
      </x:c>
      <x:c r="G1504" s="12" t="n">
        <x:v>0</x:v>
      </x:c>
      <x:c r="H1504" s="13" t="n">
        <x:v>0</x:v>
      </x:c>
      <x:c r="I1504" s="10" t="n">
        <x:v>12</x:v>
      </x:c>
      <x:c r="J1504" s="10" t="n">
        <x:v>1</x:v>
      </x:c>
      <x:c r="K1504" s="10" t="str">
        <x:v>13 Mo.</x:v>
      </x:c>
      <x:c r="L1504" s="10" t="n">
        <x:v>6</x:v>
      </x:c>
      <x:c r="M1504" s="10" t="n">
        <x:v>0</x:v>
      </x:c>
      <x:c r="N1504" s="10" t="n">
        <x:v>275</x:v>
      </x:c>
      <x:c r="O1504" s="10" t="str"/>
      <x:c r="P1504" s="10" t="n">
        <x:v>20</x:v>
      </x:c>
      <x:c r="Q1504" s="10" t="n">
        <x:v>0</x:v>
      </x:c>
      <x:c r="R1504" s="13" t="n">
        <x:v>4.36</x:v>
      </x:c>
      <x:c r="S1504" s="10" t="n">
        <x:v>1378</x:v>
      </x:c>
      <x:c r="T1504" s="10" t="str">
        <x:v>debt tracker,debt snowball,debt avalanche,debt payment tracker,debt calculator,debt payoff tracker,credit card payoff,loan tracker,loan payoff,snowball mortgage,avalanche payment,debt free planner,payoff credit debt</x:v>
      </x:c>
      <x:c r="U1504" s="10" t="str">
        <x:v>debt tracker</x:v>
      </x:c>
      <x:c r="V1504" s="10" t="str">
        <x:v>debt snowball</x:v>
      </x:c>
      <x:c r="W1504" s="10" t="str">
        <x:v>debt avalanche</x:v>
      </x:c>
      <x:c r="X1504" s="10" t="str">
        <x:v>debt payment tracker</x:v>
      </x:c>
      <x:c r="Y1504" s="10" t="str">
        <x:v>debt calculator</x:v>
      </x:c>
      <x:c r="Z1504" s="10" t="str">
        <x:v>debt payoff tracker</x:v>
      </x:c>
      <x:c r="AA1504" s="10" t="str">
        <x:v>credit card payoff</x:v>
      </x:c>
      <x:c r="AB1504" s="10" t="str">
        <x:v>loan tracker</x:v>
      </x:c>
      <x:c r="AC1504" s="10" t="str">
        <x:v>loan payoff</x:v>
      </x:c>
      <x:c r="AD1504" s="10" t="str">
        <x:v>snowball mortgage</x:v>
      </x:c>
      <x:c r="AE1504" s="10" t="str">
        <x:v>avalanche payment</x:v>
      </x:c>
      <x:c r="AF1504" s="10" t="str">
        <x:v>debt free planner</x:v>
      </x:c>
      <x:c r="AG1504" s="10" t="str">
        <x:v>payoff credit debt</x:v>
      </x:c>
      <x:c r="AH1504" s="10" t="str">
        <x:v>General debt payoff</x:v>
      </x:c>
      <x:c r="AI1504" s="13" t="n">
        <x:v>13</x:v>
      </x:c>
      <x:c r="AJ1504" s="10" t="str">
        <x:f>IF(F1504&gt;0,"Active","No est. sales")</x:f>
        <x:v>No est. sales</x:v>
      </x:c>
    </x:row>
    <x:row r="1505">
      <x:c r="A1505" s="10" t="str">
        <x:v>Debt Repayment Calculator Google Spreadsheet, Debt Payment Tracker, Snowball Calculator, Debt Payoff, Financial Planner, Light Mode</x:v>
      </x:c>
      <x:c r="B1505" s="10" t="str">
        <x:v>https://www.etsy.com/listing/1816403338/debt-repayment-calculator-snowball</x:v>
      </x:c>
      <x:c r="C1505" s="10" t="str">
        <x:v>ProductivityPadStore</x:v>
      </x:c>
      <x:c r="D1505" s="10" t="str">
        <x:v>https://www.etsy.com/shop/ProductivityPadStore</x:v>
      </x:c>
      <x:c r="E1505" s="11" t="n">
        <x:v>6.21</x:v>
      </x:c>
      <x:c r="F1505" s="10" t="n">
        <x:v>0</x:v>
      </x:c>
      <x:c r="G1505" s="12" t="n">
        <x:v>0</x:v>
      </x:c>
      <x:c r="H1505" s="13" t="n">
        <x:v>0</x:v>
      </x:c>
      <x:c r="I1505" s="10" t="n">
        <x:v>0</x:v>
      </x:c>
      <x:c r="J1505" s="10" t="n">
        <x:v>0</x:v>
      </x:c>
      <x:c r="K1505" s="10" t="str">
        <x:v>20 Mo.</x:v>
      </x:c>
      <x:c r="L1505" s="10" t="n">
        <x:v>8</x:v>
      </x:c>
      <x:c r="M1505" s="10" t="n">
        <x:v>0</x:v>
      </x:c>
      <x:c r="N1505" s="10" t="n">
        <x:v>137</x:v>
      </x:c>
      <x:c r="O1505" s="10" t="str"/>
      <x:c r="P1505" s="10" t="n">
        <x:v>39</x:v>
      </x:c>
      <x:c r="Q1505" s="10" t="n">
        <x:v>0</x:v>
      </x:c>
      <x:c r="R1505" s="13" t="n">
        <x:v>0</x:v>
      </x:c>
      <x:c r="S1505" s="10" t="n">
        <x:v>5423</x:v>
      </x:c>
      <x:c r="T1505" s="10" t="str">
        <x:v>finance planner,debt budget planner,payoff tracker,loan payoff,debt repayment,credit card payoff,debt calculator,mortgage payoff,debt payment tracker,snowball calculator,light mode,excel</x:v>
      </x:c>
      <x:c r="U1505" s="10" t="str">
        <x:v>finance planner</x:v>
      </x:c>
      <x:c r="V1505" s="10" t="str">
        <x:v>debt budget planner</x:v>
      </x:c>
      <x:c r="W1505" s="10" t="str">
        <x:v>payoff tracker</x:v>
      </x:c>
      <x:c r="X1505" s="10" t="str">
        <x:v>loan payoff</x:v>
      </x:c>
      <x:c r="Y1505" s="10" t="str">
        <x:v>debt repayment</x:v>
      </x:c>
      <x:c r="Z1505" s="10" t="str">
        <x:v>credit card payoff</x:v>
      </x:c>
      <x:c r="AA1505" s="10" t="str">
        <x:v>debt calculator</x:v>
      </x:c>
      <x:c r="AB1505" s="10" t="str">
        <x:v>mortgage payoff</x:v>
      </x:c>
      <x:c r="AC1505" s="10" t="str">
        <x:v>debt payment tracker</x:v>
      </x:c>
      <x:c r="AD1505" s="10" t="str">
        <x:v>snowball calculator</x:v>
      </x:c>
      <x:c r="AE1505" s="10" t="str">
        <x:v>light mode</x:v>
      </x:c>
      <x:c r="AF1505" s="10" t="str">
        <x:v>excel</x:v>
      </x:c>
      <x:c r="AG1505" s="10" t="str">
        <x:v>--</x:v>
      </x:c>
      <x:c r="AH1505" s="10" t="str">
        <x:v>General debt payoff</x:v>
      </x:c>
      <x:c r="AI1505" s="13" t="n">
        <x:v>20</x:v>
      </x:c>
      <x:c r="AJ1505" s="10" t="str">
        <x:f>IF(F1505&gt;0,"Active","No est. sales")</x:f>
        <x:v>No est. sales</x:v>
      </x:c>
    </x:row>
    <x:row r="1506">
      <x:c r="A1506" s="10" t="str">
        <x:v>Debt Payoff Tracker Spreadsheet (Excel, Google Sheets)</x:v>
      </x:c>
      <x:c r="B1506" s="10" t="str">
        <x:v>https://www.etsy.com/listing/1722534260/debt-payoff-tracker-spreadsheet-excel</x:v>
      </x:c>
      <x:c r="C1506" s="10" t="str">
        <x:v>LovelyCells</x:v>
      </x:c>
      <x:c r="D1506" s="10" t="str">
        <x:v>https://www.etsy.com/shop/LovelyCells</x:v>
      </x:c>
      <x:c r="E1506" s="11" t="n">
        <x:v>6.32</x:v>
      </x:c>
      <x:c r="F1506" s="10" t="n">
        <x:v>0</x:v>
      </x:c>
      <x:c r="G1506" s="12" t="n">
        <x:v>0</x:v>
      </x:c>
      <x:c r="H1506" s="13" t="n">
        <x:v>0</x:v>
      </x:c>
      <x:c r="I1506" s="10" t="n">
        <x:v>25</x:v>
      </x:c>
      <x:c r="J1506" s="10" t="n">
        <x:v>5</x:v>
      </x:c>
      <x:c r="K1506" s="10" t="str">
        <x:v>26 Mo.</x:v>
      </x:c>
      <x:c r="L1506" s="10" t="n">
        <x:v>10</x:v>
      </x:c>
      <x:c r="M1506" s="10" t="n">
        <x:v>0</x:v>
      </x:c>
      <x:c r="N1506" s="10" t="n">
        <x:v>674</x:v>
      </x:c>
      <x:c r="O1506" s="10" t="str"/>
      <x:c r="P1506" s="10" t="n">
        <x:v>26</x:v>
      </x:c>
      <x:c r="Q1506" s="10" t="n">
        <x:v>0</x:v>
      </x:c>
      <x:c r="R1506" s="13" t="n">
        <x:v>3.71</x:v>
      </x:c>
      <x:c r="S1506" s="10" t="n">
        <x:v>456</x:v>
      </x:c>
      <x:c r="T1506" s="10" t="str">
        <x:v>simple debt tracker,debt payoff template,debt repayment,google sheets,debt free planner,debt visual chart,loan payable tracker,debt tracker excel,digital debt payment,loan payoff tracker,debt payoff tracker,mortgage payment,monthly debt payment</x:v>
      </x:c>
      <x:c r="U1506" s="10" t="str">
        <x:v>simple debt tracker</x:v>
      </x:c>
      <x:c r="V1506" s="10" t="str">
        <x:v>debt payoff template</x:v>
      </x:c>
      <x:c r="W1506" s="10" t="str">
        <x:v>debt repayment</x:v>
      </x:c>
      <x:c r="X1506" s="10" t="str">
        <x:v>google sheets</x:v>
      </x:c>
      <x:c r="Y1506" s="10" t="str">
        <x:v>debt free planner</x:v>
      </x:c>
      <x:c r="Z1506" s="10" t="str">
        <x:v>debt visual chart</x:v>
      </x:c>
      <x:c r="AA1506" s="10" t="str">
        <x:v>loan payable tracker</x:v>
      </x:c>
      <x:c r="AB1506" s="10" t="str">
        <x:v>debt tracker excel</x:v>
      </x:c>
      <x:c r="AC1506" s="10" t="str">
        <x:v>digital debt payment</x:v>
      </x:c>
      <x:c r="AD1506" s="10" t="str">
        <x:v>loan payoff tracker</x:v>
      </x:c>
      <x:c r="AE1506" s="10" t="str">
        <x:v>debt payoff tracker</x:v>
      </x:c>
      <x:c r="AF1506" s="10" t="str">
        <x:v>mortgage payment</x:v>
      </x:c>
      <x:c r="AG1506" s="10" t="str">
        <x:v>monthly debt payment</x:v>
      </x:c>
      <x:c r="AH1506" s="10" t="str">
        <x:v>General debt payoff</x:v>
      </x:c>
      <x:c r="AI1506" s="13" t="n">
        <x:v>26</x:v>
      </x:c>
      <x:c r="AJ1506" s="10" t="str">
        <x:f>IF(F1506&gt;0,"Active","No est. sales")</x:f>
        <x:v>No est. sales</x:v>
      </x:c>
    </x:row>
    <x:row r="1507">
      <x:c r="A1507" s="10" t="str">
        <x:v>First Time Home Buyer Planner</x:v>
      </x:c>
      <x:c r="B1507" s="10" t="str">
        <x:v>https://www.etsy.com/listing/4480500141/first-time-home-buyer-planner</x:v>
      </x:c>
      <x:c r="C1507" s="10" t="str">
        <x:v>4UTAXPROS</x:v>
      </x:c>
      <x:c r="D1507" s="10" t="str">
        <x:v>https://www.etsy.com/shop/4UTAXPROS</x:v>
      </x:c>
      <x:c r="E1507" s="11" t="n">
        <x:v>9</x:v>
      </x:c>
      <x:c r="F1507" s="10" t="n">
        <x:v>0</x:v>
      </x:c>
      <x:c r="G1507" s="12" t="n">
        <x:v>0</x:v>
      </x:c>
      <x:c r="H1507" s="13" t="n">
        <x:v>0</x:v>
      </x:c>
      <x:c r="I1507" s="10" t="n">
        <x:v>0</x:v>
      </x:c>
      <x:c r="J1507" s="10" t="n">
        <x:v>0</x:v>
      </x:c>
      <x:c r="K1507" s="10" t="str">
        <x:v>4 Mo.</x:v>
      </x:c>
      <x:c r="L1507" s="10" t="n">
        <x:v>0</x:v>
      </x:c>
      <x:c r="M1507" s="10" t="n">
        <x:v>0</x:v>
      </x:c>
      <x:c r="N1507" s="10" t="n">
        <x:v>0</x:v>
      </x:c>
      <x:c r="O1507" s="10" t="str"/>
      <x:c r="P1507" s="10" t="n">
        <x:v>12</x:v>
      </x:c>
      <x:c r="Q1507" s="10" t="n">
        <x:v>0</x:v>
      </x:c>
      <x:c r="R1507" s="13" t="n">
        <x:v>0</x:v>
      </x:c>
      <x:c r="S1507" s="10" t="n">
        <x:v>8</x:v>
      </x:c>
      <x:c r="T1507" s="10" t="str">
        <x:v>buy a house plan,home affordability,mortgage calculator,mortgage planner,real estate planner,home buyer</x:v>
      </x:c>
      <x:c r="U1507" s="10" t="str">
        <x:v>buy a house plan</x:v>
      </x:c>
      <x:c r="V1507" s="10" t="str">
        <x:v>home affordability</x:v>
      </x:c>
      <x:c r="W1507" s="10" t="str">
        <x:v>mortgage calculator</x:v>
      </x:c>
      <x:c r="X1507" s="10" t="str">
        <x:v>mortgage planner</x:v>
      </x:c>
      <x:c r="Y1507" s="10" t="str">
        <x:v>real estate planner</x:v>
      </x:c>
      <x:c r="Z1507" s="10" t="str">
        <x:v>home buyer</x:v>
      </x:c>
      <x:c r="AA1507" s="10" t="str">
        <x:v>--</x:v>
      </x:c>
      <x:c r="AB1507" s="10" t="str">
        <x:v>--</x:v>
      </x:c>
      <x:c r="AC1507" s="10" t="str">
        <x:v>--</x:v>
      </x:c>
      <x:c r="AD1507" s="10" t="str">
        <x:v>--</x:v>
      </x:c>
      <x:c r="AE1507" s="10" t="str">
        <x:v>--</x:v>
      </x:c>
      <x:c r="AF1507" s="10" t="str">
        <x:v>--</x:v>
      </x:c>
      <x:c r="AG1507" s="10" t="str">
        <x:v>--</x:v>
      </x:c>
      <x:c r="AH1507" s="10" t="str">
        <x:v>Home buying planner</x:v>
      </x:c>
      <x:c r="AI1507" s="13" t="n">
        <x:v>4</x:v>
      </x:c>
      <x:c r="AJ1507" s="10" t="str">
        <x:f>IF(F1507&gt;0,"Active","No est. sales")</x:f>
        <x:v>No est. sales</x:v>
      </x:c>
    </x:row>
    <x:row r="1508">
      <x:c r="A1508" s="10" t="str">
        <x:v>Custom Home Buying Guide Flyer For Real Estate Agents, Printable A4 Realtor Marketing Template, Editable Home Buying Timeline, Home Purchase</x:v>
      </x:c>
      <x:c r="B1508" s="10" t="str">
        <x:v>https://www.etsy.com/listing/1169474886/custom-home-buying-guide-flyer-for-real</x:v>
      </x:c>
      <x:c r="C1508" s="10" t="str">
        <x:v>ThePartyPrintsShop</x:v>
      </x:c>
      <x:c r="D1508" s="10" t="str">
        <x:v>https://www.etsy.com/shop/ThePartyPrintsShop</x:v>
      </x:c>
      <x:c r="E1508" s="11" t="n">
        <x:v>4</x:v>
      </x:c>
      <x:c r="F1508" s="10" t="n">
        <x:v>0</x:v>
      </x:c>
      <x:c r="G1508" s="12" t="n">
        <x:v>0</x:v>
      </x:c>
      <x:c r="H1508" s="13" t="n">
        <x:v>0</x:v>
      </x:c>
      <x:c r="I1508" s="10" t="n">
        <x:v>0</x:v>
      </x:c>
      <x:c r="J1508" s="10" t="n">
        <x:v>0</x:v>
      </x:c>
      <x:c r="K1508" s="10" t="str">
        <x:v>53 Mo.</x:v>
      </x:c>
      <x:c r="L1508" s="10" t="n">
        <x:v>3</x:v>
      </x:c>
      <x:c r="M1508" s="10" t="n">
        <x:v>0</x:v>
      </x:c>
      <x:c r="N1508" s="10" t="n">
        <x:v>61</x:v>
      </x:c>
      <x:c r="O1508" s="10" t="str">
        <x:v>Paper &amp; Party Supplies</x:v>
      </x:c>
      <x:c r="P1508" s="10" t="n">
        <x:v>55</x:v>
      </x:c>
      <x:c r="Q1508" s="10" t="n">
        <x:v>0</x:v>
      </x:c>
      <x:c r="R1508" s="13" t="n">
        <x:v>0</x:v>
      </x:c>
      <x:c r="S1508" s="10" t="n">
        <x:v>1414</x:v>
      </x:c>
      <x:c r="T1508" s="10" t="str">
        <x:v>ealtor marketing,realtor template,realtor open house,realtor planner,goal setting,progress tracker,financial peace,mortgage debt,house down payment,house chore chart,property business,property management,realtor logo</x:v>
      </x:c>
      <x:c r="U1508" s="10" t="str">
        <x:v>ealtor marketing</x:v>
      </x:c>
      <x:c r="V1508" s="10" t="str">
        <x:v>realtor template</x:v>
      </x:c>
      <x:c r="W1508" s="10" t="str">
        <x:v>realtor open house</x:v>
      </x:c>
      <x:c r="X1508" s="10" t="str">
        <x:v>realtor planner</x:v>
      </x:c>
      <x:c r="Y1508" s="10" t="str">
        <x:v>goal setting</x:v>
      </x:c>
      <x:c r="Z1508" s="10" t="str">
        <x:v>progress tracker</x:v>
      </x:c>
      <x:c r="AA1508" s="10" t="str">
        <x:v>financial peace</x:v>
      </x:c>
      <x:c r="AB1508" s="10" t="str">
        <x:v>mortgage debt</x:v>
      </x:c>
      <x:c r="AC1508" s="10" t="str">
        <x:v>house down payment</x:v>
      </x:c>
      <x:c r="AD1508" s="10" t="str">
        <x:v>house chore chart</x:v>
      </x:c>
      <x:c r="AE1508" s="10" t="str">
        <x:v>property business</x:v>
      </x:c>
      <x:c r="AF1508" s="10" t="str">
        <x:v>property management</x:v>
      </x:c>
      <x:c r="AG1508" s="10" t="str">
        <x:v>realtor logo</x:v>
      </x:c>
      <x:c r="AH1508" s="10" t="str">
        <x:v>Home buying planner</x:v>
      </x:c>
      <x:c r="AI1508" s="13" t="n">
        <x:v>53</x:v>
      </x:c>
      <x:c r="AJ1508" s="10" t="str">
        <x:f>IF(F1508&gt;0,"Active","No est. sales")</x:f>
        <x:v>No est. sales</x:v>
      </x:c>
    </x:row>
    <x:row r="1509">
      <x:c r="A1509" s="10" t="str">
        <x:v>S021 Clear House sticker, Mortgage stickers, Clear planner stickers, Mini size sticker, ECLP sticker, passion planner, happy planner</x:v>
      </x:c>
      <x:c r="B1509" s="10" t="str">
        <x:v>https://www.etsy.com/listing/788579643/s021-clear-house-sticker-mortgage</x:v>
      </x:c>
      <x:c r="C1509" s="10" t="str">
        <x:v>OliviaPlannerFactory</x:v>
      </x:c>
      <x:c r="D1509" s="10" t="str">
        <x:v>https://www.etsy.com/shop/OliviaPlannerFactory</x:v>
      </x:c>
      <x:c r="E1509" s="11" t="n">
        <x:v>2.84</x:v>
      </x:c>
      <x:c r="F1509" s="10" t="n">
        <x:v>0</x:v>
      </x:c>
      <x:c r="G1509" s="12" t="n">
        <x:v>0</x:v>
      </x:c>
      <x:c r="H1509" s="13" t="n">
        <x:v>0</x:v>
      </x:c>
      <x:c r="I1509" s="10" t="n">
        <x:v>13</x:v>
      </x:c>
      <x:c r="J1509" s="10" t="n">
        <x:v>2</x:v>
      </x:c>
      <x:c r="K1509" s="10" t="str">
        <x:v>76 Mo.</x:v>
      </x:c>
      <x:c r="L1509" s="10" t="n">
        <x:v>26</x:v>
      </x:c>
      <x:c r="M1509" s="10" t="n">
        <x:v>0</x:v>
      </x:c>
      <x:c r="N1509" s="10" t="n">
        <x:v>196</x:v>
      </x:c>
      <x:c r="O1509" s="10" t="str">
        <x:v>Paper &amp; Party Supplies</x:v>
      </x:c>
      <x:c r="P1509" s="10" t="n">
        <x:v>107</x:v>
      </x:c>
      <x:c r="Q1509" s="10" t="n">
        <x:v>0</x:v>
      </x:c>
      <x:c r="R1509" s="13" t="n">
        <x:v>6.63</x:v>
      </x:c>
      <x:c r="S1509" s="10" t="n">
        <x:v>66666</x:v>
      </x:c>
      <x:c r="T1509" s="10" t="str">
        <x:v>eclp,life planner,passion planner,happy planner,clear stickers,planner stickers,clear planner,transparent sticker,diary stickers,mini planner sticker,solid stickers,clear house sticker,mortgage stickers</x:v>
      </x:c>
      <x:c r="U1509" s="10" t="str">
        <x:v>eclp</x:v>
      </x:c>
      <x:c r="V1509" s="10" t="str">
        <x:v>life planner</x:v>
      </x:c>
      <x:c r="W1509" s="10" t="str">
        <x:v>passion planner</x:v>
      </x:c>
      <x:c r="X1509" s="10" t="str">
        <x:v>happy planner</x:v>
      </x:c>
      <x:c r="Y1509" s="10" t="str">
        <x:v>clear stickers</x:v>
      </x:c>
      <x:c r="Z1509" s="10" t="str">
        <x:v>planner stickers</x:v>
      </x:c>
      <x:c r="AA1509" s="10" t="str">
        <x:v>clear planner</x:v>
      </x:c>
      <x:c r="AB1509" s="10" t="str">
        <x:v>transparent sticker</x:v>
      </x:c>
      <x:c r="AC1509" s="10" t="str">
        <x:v>diary stickers</x:v>
      </x:c>
      <x:c r="AD1509" s="10" t="str">
        <x:v>mini planner sticker</x:v>
      </x:c>
      <x:c r="AE1509" s="10" t="str">
        <x:v>solid stickers</x:v>
      </x:c>
      <x:c r="AF1509" s="10" t="str">
        <x:v>clear house sticker</x:v>
      </x:c>
      <x:c r="AG1509" s="10" t="str">
        <x:v>mortgage stickers</x:v>
      </x:c>
      <x:c r="AH1509" s="10" t="str">
        <x:v>Other mortgage-related</x:v>
      </x:c>
      <x:c r="AI1509" s="13" t="n">
        <x:v>76</x:v>
      </x:c>
      <x:c r="AJ1509" s="10" t="str">
        <x:f>IF(F1509&gt;0,"Active","No est. sales")</x:f>
        <x:v>No est. sales</x:v>
      </x:c>
    </x:row>
    <x:row r="1510">
      <x:c r="A1510" s="10" t="str">
        <x:v>Kawaii House Planner Stickers – Rent and Mortgage Due Stickers for Planning</x:v>
      </x:c>
      <x:c r="B1510" s="10" t="str">
        <x:v>https://www.etsy.com/listing/527618922/kawaii-house-planner-stickers-rent-and</x:v>
      </x:c>
      <x:c r="C1510" s="10" t="str">
        <x:v>BusyBeeStickers</x:v>
      </x:c>
      <x:c r="D1510" s="10" t="str">
        <x:v>https://www.etsy.com/shop/BusyBeeStickers</x:v>
      </x:c>
      <x:c r="E1510" s="11" t="n">
        <x:v>2.96</x:v>
      </x:c>
      <x:c r="F1510" s="10" t="n">
        <x:v>0</x:v>
      </x:c>
      <x:c r="G1510" s="12" t="n">
        <x:v>0</x:v>
      </x:c>
      <x:c r="H1510" s="13" t="n">
        <x:v>0</x:v>
      </x:c>
      <x:c r="I1510" s="10" t="n">
        <x:v>111</x:v>
      </x:c>
      <x:c r="J1510" s="10" t="n">
        <x:v>27</x:v>
      </x:c>
      <x:c r="K1510" s="10" t="str">
        <x:v>100 Mo.</x:v>
      </x:c>
      <x:c r="L1510" s="10" t="n">
        <x:v>146</x:v>
      </x:c>
      <x:c r="M1510" s="10" t="n">
        <x:v>0</x:v>
      </x:c>
      <x:c r="N1510" s="10" t="n">
        <x:v>1212</x:v>
      </x:c>
      <x:c r="O1510" s="10" t="str">
        <x:v>Paper &amp; Party Supplies</x:v>
      </x:c>
      <x:c r="P1510" s="10" t="n">
        <x:v>109</x:v>
      </x:c>
      <x:c r="Q1510" s="10" t="n">
        <x:v>0</x:v>
      </x:c>
      <x:c r="R1510" s="13" t="n">
        <x:v>9.16</x:v>
      </x:c>
      <x:c r="S1510" s="10" t="n">
        <x:v>28591</x:v>
      </x:c>
      <x:c r="T1510" s="10" t="str">
        <x:v>planner,kikki  k,stickers,planner stickers uk,kawaii stickers,kawaii house sticker,house sticker,rent due sticker,mortgage due sticker,home maintenance,home payment,vertical planner,scrapbook stickers</x:v>
      </x:c>
      <x:c r="U1510" s="10" t="str">
        <x:v>planner</x:v>
      </x:c>
      <x:c r="V1510" s="10" t="str">
        <x:v>kikki  k</x:v>
      </x:c>
      <x:c r="W1510" s="10" t="str">
        <x:v>stickers</x:v>
      </x:c>
      <x:c r="X1510" s="10" t="str">
        <x:v>planner stickers uk</x:v>
      </x:c>
      <x:c r="Y1510" s="10" t="str">
        <x:v>kawaii stickers</x:v>
      </x:c>
      <x:c r="Z1510" s="10" t="str">
        <x:v>kawaii house sticker</x:v>
      </x:c>
      <x:c r="AA1510" s="10" t="str">
        <x:v>house sticker</x:v>
      </x:c>
      <x:c r="AB1510" s="10" t="str">
        <x:v>rent due sticker</x:v>
      </x:c>
      <x:c r="AC1510" s="10" t="str">
        <x:v>mortgage due sticker</x:v>
      </x:c>
      <x:c r="AD1510" s="10" t="str">
        <x:v>home maintenance</x:v>
      </x:c>
      <x:c r="AE1510" s="10" t="str">
        <x:v>home payment</x:v>
      </x:c>
      <x:c r="AF1510" s="10" t="str">
        <x:v>vertical planner</x:v>
      </x:c>
      <x:c r="AG1510" s="10" t="str">
        <x:v>scrapbook stickers</x:v>
      </x:c>
      <x:c r="AH1510" s="10" t="str">
        <x:v>Other mortgage-related</x:v>
      </x:c>
      <x:c r="AI1510" s="13" t="n">
        <x:v>100</x:v>
      </x:c>
      <x:c r="AJ1510" s="10" t="str">
        <x:f>IF(F1510&gt;0,"Active","No est. sales")</x:f>
        <x:v>No est. sales</x:v>
      </x:c>
    </x:row>
    <x:row r="1511">
      <x:c r="A1511" s="10" t="str">
        <x:v>Debt Payoff Tracker Spreadsheet | Debt Snowball and Avalanche Planner | Google Sheets Budget Dashboard | Excel Debt Freedom System</x:v>
      </x:c>
      <x:c r="B1511" s="10" t="str">
        <x:v>https://www.etsy.com/listing/4509580217/debt-payoff-tracker-spreadsheet-debt</x:v>
      </x:c>
      <x:c r="C1511" s="10" t="str">
        <x:v>CardVaultDesign</x:v>
      </x:c>
      <x:c r="D1511" s="10" t="str">
        <x:v>https://www.etsy.com/shop/CardVaultDesign</x:v>
      </x:c>
      <x:c r="E1511" s="11" t="n">
        <x:v>9.99</x:v>
      </x:c>
      <x:c r="F1511" s="10" t="n">
        <x:v>0</x:v>
      </x:c>
      <x:c r="G1511" s="12" t="n">
        <x:v>0</x:v>
      </x:c>
      <x:c r="H1511" s="13" t="n">
        <x:v>0</x:v>
      </x:c>
      <x:c r="I1511" s="10" t="n">
        <x:v>10</x:v>
      </x:c>
      <x:c r="J1511" s="10" t="n">
        <x:v>1</x:v>
      </x:c>
      <x:c r="K1511" s="10" t="str">
        <x:v>2 Mo.</x:v>
      </x:c>
      <x:c r="L1511" s="10" t="n">
        <x:v>0</x:v>
      </x:c>
      <x:c r="M1511" s="10" t="n">
        <x:v>1</x:v>
      </x:c>
      <x:c r="N1511" s="10" t="n">
        <x:v>13</x:v>
      </x:c>
      <x:c r="O1511" s="10" t="str"/>
      <x:c r="P1511" s="10" t="n">
        <x:v>7</x:v>
      </x:c>
      <x:c r="Q1511" s="10" t="n">
        <x:v>0</x:v>
      </x:c>
      <x:c r="R1511" s="13" t="n">
        <x:v>76.92</x:v>
      </x:c>
      <x:c r="S1511" s="10" t="n">
        <x:v>486</x:v>
      </x:c>
      <x:c r="T1511" s="10" t="str">
        <x:v>debt tracker,debt payoff,debt planner,money tracker,financial planner,debt snowball,debt avalanche,debt payoff tracker,google sheet budget,credit card sheet,budget planner sheet,financial health,mortgage payoff</x:v>
      </x:c>
      <x:c r="U1511" s="10" t="str">
        <x:v>debt tracker</x:v>
      </x:c>
      <x:c r="V1511" s="10" t="str">
        <x:v>debt payoff</x:v>
      </x:c>
      <x:c r="W1511" s="10" t="str">
        <x:v>debt planner</x:v>
      </x:c>
      <x:c r="X1511" s="10" t="str">
        <x:v>money tracker</x:v>
      </x:c>
      <x:c r="Y1511" s="10" t="str">
        <x:v>financial planner</x:v>
      </x:c>
      <x:c r="Z1511" s="10" t="str">
        <x:v>debt snowball</x:v>
      </x:c>
      <x:c r="AA1511" s="10" t="str">
        <x:v>debt avalanche</x:v>
      </x:c>
      <x:c r="AB1511" s="10" t="str">
        <x:v>debt payoff tracker</x:v>
      </x:c>
      <x:c r="AC1511" s="10" t="str">
        <x:v>google sheet budget</x:v>
      </x:c>
      <x:c r="AD1511" s="10" t="str">
        <x:v>credit card sheet</x:v>
      </x:c>
      <x:c r="AE1511" s="10" t="str">
        <x:v>budget planner sheet</x:v>
      </x:c>
      <x:c r="AF1511" s="10" t="str">
        <x:v>financial health</x:v>
      </x:c>
      <x:c r="AG1511" s="10" t="str">
        <x:v>mortgage payoff</x:v>
      </x:c>
      <x:c r="AH1511" s="10" t="str">
        <x:v>General debt payoff</x:v>
      </x:c>
      <x:c r="AI1511" s="13" t="n">
        <x:v>2</x:v>
      </x:c>
      <x:c r="AJ1511" s="10" t="str">
        <x:f>IF(F1511&gt;0,"Active","No est. sales")</x:f>
        <x:v>No est. sales</x:v>
      </x:c>
    </x:row>
    <x:row r="1512">
      <x:c r="A1512" s="10" t="str">
        <x:v>Home Buying Printable | First Time Buyer Checklist | House Hunting Workbook | Mortgage Budget | Canva</x:v>
      </x:c>
      <x:c r="B1512" s="10" t="str">
        <x:v>https://www.etsy.com/listing/4450443902/home-buying-printable-first-time-buyer</x:v>
      </x:c>
      <x:c r="C1512" s="10" t="str">
        <x:v>PlanifyHubDesigns</x:v>
      </x:c>
      <x:c r="D1512" s="10" t="str">
        <x:v>https://www.etsy.com/shop/PlanifyHubDesigns</x:v>
      </x:c>
      <x:c r="E1512" s="11" t="n">
        <x:v>1.5</x:v>
      </x:c>
      <x:c r="F1512" s="10" t="n">
        <x:v>0</x:v>
      </x:c>
      <x:c r="G1512" s="12" t="n">
        <x:v>0</x:v>
      </x:c>
      <x:c r="H1512" s="13" t="n">
        <x:v>0</x:v>
      </x:c>
      <x:c r="I1512" s="10" t="n">
        <x:v>0</x:v>
      </x:c>
      <x:c r="J1512" s="10" t="n">
        <x:v>0</x:v>
      </x:c>
      <x:c r="K1512" s="10" t="str">
        <x:v>6 Mo.</x:v>
      </x:c>
      <x:c r="L1512" s="10" t="n">
        <x:v>2</x:v>
      </x:c>
      <x:c r="M1512" s="10" t="n">
        <x:v>0</x:v>
      </x:c>
      <x:c r="N1512" s="10" t="n">
        <x:v>20</x:v>
      </x:c>
      <x:c r="O1512" s="10" t="str"/>
      <x:c r="P1512" s="10" t="n">
        <x:v>6</x:v>
      </x:c>
      <x:c r="Q1512" s="10" t="n">
        <x:v>0</x:v>
      </x:c>
      <x:c r="R1512" s="13" t="n">
        <x:v>0</x:v>
      </x:c>
      <x:c r="S1512" s="10" t="n">
        <x:v>13</x:v>
      </x:c>
      <x:c r="T1512" s="10" t="str">
        <x:v>home buying,first time buyer,house hunting,buyer checklist,mortgage budget,real estate,home purchase,canva template,digital planner,printable planner,buying a house,house workbook,realtor gift</x:v>
      </x:c>
      <x:c r="U1512" s="10" t="str">
        <x:v>home buying</x:v>
      </x:c>
      <x:c r="V1512" s="10" t="str">
        <x:v>first time buyer</x:v>
      </x:c>
      <x:c r="W1512" s="10" t="str">
        <x:v>house hunting</x:v>
      </x:c>
      <x:c r="X1512" s="10" t="str">
        <x:v>buyer checklist</x:v>
      </x:c>
      <x:c r="Y1512" s="10" t="str">
        <x:v>mortgage budget</x:v>
      </x:c>
      <x:c r="Z1512" s="10" t="str">
        <x:v>real estate</x:v>
      </x:c>
      <x:c r="AA1512" s="10" t="str">
        <x:v>home purchase</x:v>
      </x:c>
      <x:c r="AB1512" s="10" t="str">
        <x:v>canva template</x:v>
      </x:c>
      <x:c r="AC1512" s="10" t="str">
        <x:v>digital planner</x:v>
      </x:c>
      <x:c r="AD1512" s="10" t="str">
        <x:v>printable planner</x:v>
      </x:c>
      <x:c r="AE1512" s="10" t="str">
        <x:v>buying a house</x:v>
      </x:c>
      <x:c r="AF1512" s="10" t="str">
        <x:v>house workbook</x:v>
      </x:c>
      <x:c r="AG1512" s="10" t="str">
        <x:v>realtor gift</x:v>
      </x:c>
      <x:c r="AH1512" s="10" t="str">
        <x:v>Home buying planner</x:v>
      </x:c>
      <x:c r="AI1512" s="13" t="n">
        <x:v>6</x:v>
      </x:c>
      <x:c r="AJ1512" s="10" t="str">
        <x:f>IF(F1512&gt;0,"Active","No est. sales")</x:f>
        <x:v>No est. sales</x:v>
      </x:c>
    </x:row>
    <x:row r="1513">
      <x:c r="A1513" s="10" t="str">
        <x:v>Debt Payoff Tracker Printable PDF | Debt Planner for Credit Card, Car Loan, Mortgage | Debt Snowball | Finance Worksheet | Digital Planner</x:v>
      </x:c>
      <x:c r="B1513" s="10" t="str">
        <x:v>https://www.etsy.com/listing/4504361521/debt-payoff-tracker-printable-pdf-debt</x:v>
      </x:c>
      <x:c r="C1513" s="10" t="str">
        <x:v>CaroCreatesStudio</x:v>
      </x:c>
      <x:c r="D1513" s="10" t="str">
        <x:v>https://www.etsy.com/shop/CaroCreatesStudio</x:v>
      </x:c>
      <x:c r="E1513" s="11" t="n">
        <x:v>7.96</x:v>
      </x:c>
      <x:c r="F1513" s="10" t="n">
        <x:v>0</x:v>
      </x:c>
      <x:c r="G1513" s="12" t="n">
        <x:v>0</x:v>
      </x:c>
      <x:c r="H1513" s="13" t="n">
        <x:v>0</x:v>
      </x:c>
      <x:c r="I1513" s="10" t="n">
        <x:v>0</x:v>
      </x:c>
      <x:c r="J1513" s="10" t="n">
        <x:v>0</x:v>
      </x:c>
      <x:c r="K1513" s="10" t="str">
        <x:v>2 Mo.</x:v>
      </x:c>
      <x:c r="L1513" s="10" t="n">
        <x:v>0</x:v>
      </x:c>
      <x:c r="M1513" s="10" t="n">
        <x:v>0</x:v>
      </x:c>
      <x:c r="N1513" s="10" t="n">
        <x:v>4</x:v>
      </x:c>
      <x:c r="O1513" s="10" t="str"/>
      <x:c r="P1513" s="10" t="n">
        <x:v>6</x:v>
      </x:c>
      <x:c r="Q1513" s="10" t="n">
        <x:v>0</x:v>
      </x:c>
      <x:c r="R1513" s="13" t="n">
        <x:v>0</x:v>
      </x:c>
      <x:c r="S1513" s="10" t="n">
        <x:v>5</x:v>
      </x:c>
      <x:c r="T1513" s="10" t="str">
        <x:v>credit card debt,debt calculator,debt payment tracker,debt payoff,debt payoff planner,debt payoff tracker,debt snowball,debt tracker,digital planner,finance tracker,loan payoff tracker,printable planner,financial planner</x:v>
      </x:c>
      <x:c r="U1513" s="10" t="str">
        <x:v>credit card debt</x:v>
      </x:c>
      <x:c r="V1513" s="10" t="str">
        <x:v>debt calculator</x:v>
      </x:c>
      <x:c r="W1513" s="10" t="str">
        <x:v>debt payment tracker</x:v>
      </x:c>
      <x:c r="X1513" s="10" t="str">
        <x:v>debt payoff</x:v>
      </x:c>
      <x:c r="Y1513" s="10" t="str">
        <x:v>debt payoff planner</x:v>
      </x:c>
      <x:c r="Z1513" s="10" t="str">
        <x:v>debt payoff tracker</x:v>
      </x:c>
      <x:c r="AA1513" s="10" t="str">
        <x:v>debt snowball</x:v>
      </x:c>
      <x:c r="AB1513" s="10" t="str">
        <x:v>debt tracker</x:v>
      </x:c>
      <x:c r="AC1513" s="10" t="str">
        <x:v>digital planner</x:v>
      </x:c>
      <x:c r="AD1513" s="10" t="str">
        <x:v>finance tracker</x:v>
      </x:c>
      <x:c r="AE1513" s="10" t="str">
        <x:v>loan payoff tracker</x:v>
      </x:c>
      <x:c r="AF1513" s="10" t="str">
        <x:v>printable planner</x:v>
      </x:c>
      <x:c r="AG1513" s="10" t="str">
        <x:v>financial planner</x:v>
      </x:c>
      <x:c r="AH1513" s="10" t="str">
        <x:v>General debt payoff</x:v>
      </x:c>
      <x:c r="AI1513" s="13" t="n">
        <x:v>2</x:v>
      </x:c>
      <x:c r="AJ1513" s="10" t="str">
        <x:f>IF(F1513&gt;0,"Active","No est. sales")</x:f>
        <x:v>No est. sales</x:v>
      </x:c>
    </x:row>
    <x:row r="1514">
      <x:c r="A1514" s="10" t="str">
        <x:v>House Neutral Doodle Planner Stickers / Icon Functional Planner stickers / Bullet Journal, Filofax, Erin Condren, Happy Planner</x:v>
      </x:c>
      <x:c r="B1514" s="10" t="str">
        <x:v>https://www.etsy.com/listing/1432316072/house-neutral-doodle-planner-stickers</x:v>
      </x:c>
      <x:c r="C1514" s="10" t="str">
        <x:v>TwotheMoonCo</x:v>
      </x:c>
      <x:c r="D1514" s="10" t="str">
        <x:v>https://www.etsy.com/shop/TwotheMoonCo</x:v>
      </x:c>
      <x:c r="E1514" s="11" t="n">
        <x:v>4.27</x:v>
      </x:c>
      <x:c r="F1514" s="10" t="n">
        <x:v>0</x:v>
      </x:c>
      <x:c r="G1514" s="12" t="n">
        <x:v>0</x:v>
      </x:c>
      <x:c r="H1514" s="13" t="n">
        <x:v>0</x:v>
      </x:c>
      <x:c r="I1514" s="10" t="n">
        <x:v>16</x:v>
      </x:c>
      <x:c r="J1514" s="10" t="n">
        <x:v>3</x:v>
      </x:c>
      <x:c r="K1514" s="10" t="str">
        <x:v>40 Mo.</x:v>
      </x:c>
      <x:c r="L1514" s="10" t="n">
        <x:v>34</x:v>
      </x:c>
      <x:c r="M1514" s="10" t="n">
        <x:v>0</x:v>
      </x:c>
      <x:c r="N1514" s="10" t="n">
        <x:v>346</x:v>
      </x:c>
      <x:c r="O1514" s="10" t="str">
        <x:v>Paper &amp; Party Supplies</x:v>
      </x:c>
      <x:c r="P1514" s="10" t="n">
        <x:v>133</x:v>
      </x:c>
      <x:c r="Q1514" s="10" t="n">
        <x:v>0</x:v>
      </x:c>
      <x:c r="R1514" s="13" t="n">
        <x:v>4.62</x:v>
      </x:c>
      <x:c r="S1514" s="10" t="n">
        <x:v>48990</x:v>
      </x:c>
      <x:c r="T1514" s="10" t="str">
        <x:v>planner,stickers,erin condren,happy planner,mascha planner,icon,journal,mini,functional,house rent mortgage,house bill finance,reminder payment,home doodle</x:v>
      </x:c>
      <x:c r="U1514" s="10" t="str">
        <x:v>planner</x:v>
      </x:c>
      <x:c r="V1514" s="10" t="str">
        <x:v>stickers</x:v>
      </x:c>
      <x:c r="W1514" s="10" t="str">
        <x:v>erin condren</x:v>
      </x:c>
      <x:c r="X1514" s="10" t="str">
        <x:v>happy planner</x:v>
      </x:c>
      <x:c r="Y1514" s="10" t="str">
        <x:v>mascha planner</x:v>
      </x:c>
      <x:c r="Z1514" s="10" t="str">
        <x:v>icon</x:v>
      </x:c>
      <x:c r="AA1514" s="10" t="str">
        <x:v>journal</x:v>
      </x:c>
      <x:c r="AB1514" s="10" t="str">
        <x:v>mini</x:v>
      </x:c>
      <x:c r="AC1514" s="10" t="str">
        <x:v>functional</x:v>
      </x:c>
      <x:c r="AD1514" s="10" t="str">
        <x:v>house rent mortgage</x:v>
      </x:c>
      <x:c r="AE1514" s="10" t="str">
        <x:v>house bill finance</x:v>
      </x:c>
      <x:c r="AF1514" s="10" t="str">
        <x:v>reminder payment</x:v>
      </x:c>
      <x:c r="AG1514" s="10" t="str">
        <x:v>home doodle</x:v>
      </x:c>
      <x:c r="AH1514" s="10" t="str">
        <x:v>Other mortgage-related</x:v>
      </x:c>
      <x:c r="AI1514" s="13" t="n">
        <x:v>40</x:v>
      </x:c>
      <x:c r="AJ1514" s="10" t="str">
        <x:f>IF(F1514&gt;0,"Active","No est. sales")</x:f>
        <x:v>No est. sales</x:v>
      </x:c>
    </x:row>
    <x:row r="1515">
      <x:c r="A1515" s="10" t="str">
        <x:v>Loan Amortization Calculator Excel Spreadsheet | Payment Schedule &amp; Extra Payment Planner</x:v>
      </x:c>
      <x:c r="B1515" s="10" t="str">
        <x:v>https://www.etsy.com/listing/4540018617/loan-amortization-calculator-excel</x:v>
      </x:c>
      <x:c r="C1515" s="10" t="str">
        <x:v>OneXcel</x:v>
      </x:c>
      <x:c r="D1515" s="10" t="str">
        <x:v>https://www.etsy.com/shop/OneXcel</x:v>
      </x:c>
      <x:c r="E1515" s="11" t="n">
        <x:v>6.48</x:v>
      </x:c>
      <x:c r="F1515" s="10" t="n">
        <x:v>0</x:v>
      </x:c>
      <x:c r="G1515" s="12" t="n">
        <x:v>0</x:v>
      </x:c>
      <x:c r="H1515" s="13" t="n">
        <x:v>0</x:v>
      </x:c>
      <x:c r="I1515" s="10" t="n">
        <x:v>0</x:v>
      </x:c>
      <x:c r="J1515" s="10" t="n">
        <x:v>0</x:v>
      </x:c>
      <x:c r="K1515" s="10" t="str">
        <x:v>1 Mo.</x:v>
      </x:c>
      <x:c r="L1515" s="10" t="n">
        <x:v>0</x:v>
      </x:c>
      <x:c r="M1515" s="10" t="n">
        <x:v>0</x:v>
      </x:c>
      <x:c r="N1515" s="10" t="n">
        <x:v>9</x:v>
      </x:c>
      <x:c r="O1515" s="10" t="str"/>
      <x:c r="P1515" s="10" t="n">
        <x:v>9</x:v>
      </x:c>
      <x:c r="Q1515" s="10" t="n">
        <x:v>0</x:v>
      </x:c>
      <x:c r="R1515" s="13" t="n">
        <x:v>0</x:v>
      </x:c>
      <x:c r="S1515" s="10" t="n">
        <x:v>89</x:v>
      </x:c>
      <x:c r="T1515" s="10" t="str">
        <x:v>loan calculator,amortization excel,payment schedule,mortgage calculator,debt payoff planner,extra payment tool,excel spreadsheet,loan payoff tracker,car loan calculator,personal loan tool,finance template,interest calculator,digital download</x:v>
      </x:c>
      <x:c r="U1515" s="10" t="str">
        <x:v>loan calculator</x:v>
      </x:c>
      <x:c r="V1515" s="10" t="str">
        <x:v>amortization excel</x:v>
      </x:c>
      <x:c r="W1515" s="10" t="str">
        <x:v>payment schedule</x:v>
      </x:c>
      <x:c r="X1515" s="10" t="str">
        <x:v>mortgage calculator</x:v>
      </x:c>
      <x:c r="Y1515" s="10" t="str">
        <x:v>debt payoff planner</x:v>
      </x:c>
      <x:c r="Z1515" s="10" t="str">
        <x:v>extra payment tool</x:v>
      </x:c>
      <x:c r="AA1515" s="10" t="str">
        <x:v>excel spreadsheet</x:v>
      </x:c>
      <x:c r="AB1515" s="10" t="str">
        <x:v>loan payoff tracker</x:v>
      </x:c>
      <x:c r="AC1515" s="10" t="str">
        <x:v>car loan calculator</x:v>
      </x:c>
      <x:c r="AD1515" s="10" t="str">
        <x:v>personal loan tool</x:v>
      </x:c>
      <x:c r="AE1515" s="10" t="str">
        <x:v>finance template</x:v>
      </x:c>
      <x:c r="AF1515" s="10" t="str">
        <x:v>interest calculator</x:v>
      </x:c>
      <x:c r="AG1515" s="10" t="str">
        <x:v>digital download</x:v>
      </x:c>
      <x:c r="AH1515" s="10" t="str">
        <x:v>General loan calculator</x:v>
      </x:c>
      <x:c r="AI1515" s="13" t="n">
        <x:v>1</x:v>
      </x:c>
      <x:c r="AJ1515" s="10" t="str">
        <x:f>IF(F1515&gt;0,"Active","No est. sales")</x:f>
        <x:v>No est. sales</x:v>
      </x:c>
    </x:row>
    <x:row r="1516">
      <x:c r="A1516" s="10" t="str">
        <x:v>First-Time Home Buyer Closing Planner: Fillable &amp; Printable PDF Organizer</x:v>
      </x:c>
      <x:c r="B1516" s="10" t="str">
        <x:v>https://www.etsy.com/listing/4544528447/first-time-home-buyer-closing-planner</x:v>
      </x:c>
      <x:c r="C1516" s="10" t="str">
        <x:v>Duepa</x:v>
      </x:c>
      <x:c r="D1516" s="10" t="str">
        <x:v>https://www.etsy.com/shop/Duepa</x:v>
      </x:c>
      <x:c r="E1516" s="11" t="n">
        <x:v>14.99</x:v>
      </x:c>
      <x:c r="F1516" s="10" t="n">
        <x:v>0</x:v>
      </x:c>
      <x:c r="G1516" s="12" t="n">
        <x:v>0</x:v>
      </x:c>
      <x:c r="H1516" s="13" t="n">
        <x:v>0</x:v>
      </x:c>
      <x:c r="I1516" s="10" t="n">
        <x:v>0</x:v>
      </x:c>
      <x:c r="J1516" s="10" t="n">
        <x:v>0</x:v>
      </x:c>
      <x:c r="K1516" s="10" t="str">
        <x:v>1 Mo.</x:v>
      </x:c>
      <x:c r="L1516" s="10" t="n">
        <x:v>0</x:v>
      </x:c>
      <x:c r="M1516" s="10" t="n">
        <x:v>0</x:v>
      </x:c>
      <x:c r="N1516" s="10" t="n">
        <x:v>0</x:v>
      </x:c>
      <x:c r="O1516" s="10" t="str">
        <x:v>Paper &amp; Party Supplies</x:v>
      </x:c>
      <x:c r="P1516" s="10" t="n">
        <x:v>20</x:v>
      </x:c>
      <x:c r="Q1516" s="10" t="n">
        <x:v>0</x:v>
      </x:c>
      <x:c r="R1516" s="13" t="n">
        <x:v>0</x:v>
      </x:c>
      <x:c r="S1516" s="10" t="n">
        <x:v>210</x:v>
      </x:c>
      <x:c r="T1516" s="10" t="str">
        <x:v>first home buyer,home buying planner,closing organizer,closing checklist,mortgage documents,house hunting binder,property comparison,inspection tracker,final walkthrough,fillable pdf,printable binder,home purchase plan,real estate planner</x:v>
      </x:c>
      <x:c r="U1516" s="10" t="str">
        <x:v>first home buyer</x:v>
      </x:c>
      <x:c r="V1516" s="10" t="str">
        <x:v>home buying planner</x:v>
      </x:c>
      <x:c r="W1516" s="10" t="str">
        <x:v>closing organizer</x:v>
      </x:c>
      <x:c r="X1516" s="10" t="str">
        <x:v>closing checklist</x:v>
      </x:c>
      <x:c r="Y1516" s="10" t="str">
        <x:v>mortgage documents</x:v>
      </x:c>
      <x:c r="Z1516" s="10" t="str">
        <x:v>house hunting binder</x:v>
      </x:c>
      <x:c r="AA1516" s="10" t="str">
        <x:v>property comparison</x:v>
      </x:c>
      <x:c r="AB1516" s="10" t="str">
        <x:v>inspection tracker</x:v>
      </x:c>
      <x:c r="AC1516" s="10" t="str">
        <x:v>final walkthrough</x:v>
      </x:c>
      <x:c r="AD1516" s="10" t="str">
        <x:v>fillable pdf</x:v>
      </x:c>
      <x:c r="AE1516" s="10" t="str">
        <x:v>printable binder</x:v>
      </x:c>
      <x:c r="AF1516" s="10" t="str">
        <x:v>home purchase plan</x:v>
      </x:c>
      <x:c r="AG1516" s="10" t="str">
        <x:v>real estate planner</x:v>
      </x:c>
      <x:c r="AH1516" s="10" t="str">
        <x:v>Home buying planner</x:v>
      </x:c>
      <x:c r="AI1516" s="13" t="n">
        <x:v>1</x:v>
      </x:c>
      <x:c r="AJ1516" s="10" t="str">
        <x:f>IF(F1516&gt;0,"Active","No est. sales")</x:f>
        <x:v>No est. sales</x:v>
      </x:c>
    </x:row>
    <x:row r="1517">
      <x:c r="A1517" s="10" t="str">
        <x:v>Loan Officer Gift, Mortgage Lender, Lender Appreciation, Finance Professional, Real Estate Agent, Financial Advisor, Loan Consultant</x:v>
      </x:c>
      <x:c r="B1517" s="10" t="str">
        <x:v>https://www.etsy.com/listing/1777288607/loan-officer-gift-mortgage-lender-lender</x:v>
      </x:c>
      <x:c r="C1517" s="10" t="str">
        <x:v>EverdeJewelry</x:v>
      </x:c>
      <x:c r="D1517" s="10" t="str">
        <x:v>https://www.etsy.com/shop/EverdeJewelry</x:v>
      </x:c>
      <x:c r="E1517" s="11" t="n">
        <x:v>29.94</x:v>
      </x:c>
      <x:c r="F1517" s="10" t="n">
        <x:v>0</x:v>
      </x:c>
      <x:c r="G1517" s="12" t="n">
        <x:v>0</x:v>
      </x:c>
      <x:c r="H1517" s="13" t="n">
        <x:v>0</x:v>
      </x:c>
      <x:c r="I1517" s="10" t="n">
        <x:v>0</x:v>
      </x:c>
      <x:c r="J1517" s="10" t="n">
        <x:v>0</x:v>
      </x:c>
      <x:c r="K1517" s="10" t="str">
        <x:v>23 Mo.</x:v>
      </x:c>
      <x:c r="L1517" s="10" t="n">
        <x:v>2</x:v>
      </x:c>
      <x:c r="M1517" s="10" t="n">
        <x:v>0</x:v>
      </x:c>
      <x:c r="N1517" s="10" t="n">
        <x:v>51</x:v>
      </x:c>
      <x:c r="O1517" s="10" t="str">
        <x:v>Jewelry</x:v>
      </x:c>
      <x:c r="P1517" s="10" t="n">
        <x:v>67</x:v>
      </x:c>
      <x:c r="Q1517" s="10" t="n">
        <x:v>0</x:v>
      </x:c>
      <x:c r="R1517" s="13" t="n">
        <x:v>0</x:v>
      </x:c>
      <x:c r="S1517" s="10" t="n">
        <x:v>1128</x:v>
      </x:c>
      <x:c r="T1517" s="10" t="str">
        <x:v>loan officer gift,mortgage lender,lender appreciation,finance pro,real estate agent,financial advisor,loan consultant,home loan,money manager,loan specialist,mortgage broker,financial planner,loan processor</x:v>
      </x:c>
      <x:c r="U1517" s="10" t="str">
        <x:v>loan officer gift</x:v>
      </x:c>
      <x:c r="V1517" s="10" t="str">
        <x:v>mortgage lender</x:v>
      </x:c>
      <x:c r="W1517" s="10" t="str">
        <x:v>lender appreciation</x:v>
      </x:c>
      <x:c r="X1517" s="10" t="str">
        <x:v>finance pro</x:v>
      </x:c>
      <x:c r="Y1517" s="10" t="str">
        <x:v>real estate agent</x:v>
      </x:c>
      <x:c r="Z1517" s="10" t="str">
        <x:v>financial advisor</x:v>
      </x:c>
      <x:c r="AA1517" s="10" t="str">
        <x:v>loan consultant</x:v>
      </x:c>
      <x:c r="AB1517" s="10" t="str">
        <x:v>home loan</x:v>
      </x:c>
      <x:c r="AC1517" s="10" t="str">
        <x:v>money manager</x:v>
      </x:c>
      <x:c r="AD1517" s="10" t="str">
        <x:v>loan specialist</x:v>
      </x:c>
      <x:c r="AE1517" s="10" t="str">
        <x:v>mortgage broker</x:v>
      </x:c>
      <x:c r="AF1517" s="10" t="str">
        <x:v>financial planner</x:v>
      </x:c>
      <x:c r="AG1517" s="10" t="str">
        <x:v>loan processor</x:v>
      </x:c>
      <x:c r="AH1517" s="10" t="str">
        <x:v>Loan officer / B2B</x:v>
      </x:c>
      <x:c r="AI1517" s="13" t="n">
        <x:v>23</x:v>
      </x:c>
      <x:c r="AJ1517" s="10" t="str">
        <x:f>IF(F1517&gt;0,"Active","No est. sales")</x:f>
        <x:v>No est. sales</x:v>
      </x:c>
    </x:row>
    <x:row r="1518">
      <x:c r="A1518" s="10" t="str">
        <x:v>Mortgage Tracker Printable, Debt Payment Tracker, Debt Payoff Planner, Debt Snowball Grid, Mortgage Payoff Planner, Financial Sheet PDF</x:v>
      </x:c>
      <x:c r="B1518" s="10" t="str">
        <x:v>https://www.etsy.com/listing/1172220200/mortgage-tracker-printable-debt-payment</x:v>
      </x:c>
      <x:c r="C1518" s="10" t="str">
        <x:v>ClaireCoClassroom</x:v>
      </x:c>
      <x:c r="D1518" s="10" t="str">
        <x:v>https://www.etsy.com/shop/ClaireCoClassroom</x:v>
      </x:c>
      <x:c r="E1518" s="11" t="n">
        <x:v>1.5</x:v>
      </x:c>
      <x:c r="F1518" s="10" t="n">
        <x:v>0</x:v>
      </x:c>
      <x:c r="G1518" s="12" t="n">
        <x:v>0</x:v>
      </x:c>
      <x:c r="H1518" s="13" t="n">
        <x:v>0</x:v>
      </x:c>
      <x:c r="I1518" s="10" t="n">
        <x:v>20</x:v>
      </x:c>
      <x:c r="J1518" s="10" t="n">
        <x:v>2</x:v>
      </x:c>
      <x:c r="K1518" s="10" t="str">
        <x:v>53 Mo.</x:v>
      </x:c>
      <x:c r="L1518" s="10" t="n">
        <x:v>15</x:v>
      </x:c>
      <x:c r="M1518" s="10" t="n">
        <x:v>0</x:v>
      </x:c>
      <x:c r="N1518" s="10" t="n">
        <x:v>555</x:v>
      </x:c>
      <x:c r="O1518" s="10" t="str">
        <x:v>Paper &amp; Party Supplies</x:v>
      </x:c>
      <x:c r="P1518" s="10" t="n">
        <x:v>59</x:v>
      </x:c>
      <x:c r="Q1518" s="10" t="n">
        <x:v>0</x:v>
      </x:c>
      <x:c r="R1518" s="13" t="n">
        <x:v>3.6</x:v>
      </x:c>
      <x:c r="S1518" s="10" t="n">
        <x:v>2764</x:v>
      </x:c>
      <x:c r="T1518" s="10" t="str">
        <x:v>mortgage tracker,debt payment tracker,debt payoff planner,debt snowball,financial printable,mortgage payoff,debt free chart,loan calculator,savings challenge,savings chart,home loan payoff,home loan tracker,mortgage loan</x:v>
      </x:c>
      <x:c r="U1518" s="10" t="str">
        <x:v>mortgage tracker</x:v>
      </x:c>
      <x:c r="V1518" s="10" t="str">
        <x:v>debt payment tracker</x:v>
      </x:c>
      <x:c r="W1518" s="10" t="str">
        <x:v>debt payoff planner</x:v>
      </x:c>
      <x:c r="X1518" s="10" t="str">
        <x:v>debt snowball</x:v>
      </x:c>
      <x:c r="Y1518" s="10" t="str">
        <x:v>financial printable</x:v>
      </x:c>
      <x:c r="Z1518" s="10" t="str">
        <x:v>mortgage payoff</x:v>
      </x:c>
      <x:c r="AA1518" s="10" t="str">
        <x:v>debt free chart</x:v>
      </x:c>
      <x:c r="AB1518" s="10" t="str">
        <x:v>loan calculator</x:v>
      </x:c>
      <x:c r="AC1518" s="10" t="str">
        <x:v>savings challenge</x:v>
      </x:c>
      <x:c r="AD1518" s="10" t="str">
        <x:v>savings chart</x:v>
      </x:c>
      <x:c r="AE1518" s="10" t="str">
        <x:v>home loan payoff</x:v>
      </x:c>
      <x:c r="AF1518" s="10" t="str">
        <x:v>home loan tracker</x:v>
      </x:c>
      <x:c r="AG1518" s="10" t="str">
        <x:v>mortgage loan</x:v>
      </x:c>
      <x:c r="AH1518" s="10" t="str">
        <x:v>Mortgage payoff / calculator</x:v>
      </x:c>
      <x:c r="AI1518" s="13" t="n">
        <x:v>53</x:v>
      </x:c>
      <x:c r="AJ1518" s="10" t="str">
        <x:f>IF(F1518&gt;0,"Active","No est. sales")</x:f>
        <x:v>No est. sales</x:v>
      </x:c>
    </x:row>
    <x:row r="1519">
      <x:c r="A1519" s="10" t="str">
        <x:v>MORTGAGE / HOUSE - Mini Circle Icons | Finance Planner Stickers | Minimal &amp; Functional Planner Stickers | Bullet Journal</x:v>
      </x:c>
      <x:c r="B1519" s="10" t="str">
        <x:v>https://www.etsy.com/listing/1332246179/mortgage-house-mini-circle-icons-finance</x:v>
      </x:c>
      <x:c r="C1519" s="10" t="str">
        <x:v>imperfectpapeterie</x:v>
      </x:c>
      <x:c r="D1519" s="10" t="str">
        <x:v>https://www.etsy.com/shop/imperfectpapeterie</x:v>
      </x:c>
      <x:c r="E1519" s="11" t="n">
        <x:v>4</x:v>
      </x:c>
      <x:c r="F1519" s="10" t="n">
        <x:v>0</x:v>
      </x:c>
      <x:c r="G1519" s="12" t="n">
        <x:v>0</x:v>
      </x:c>
      <x:c r="H1519" s="13" t="n">
        <x:v>0</x:v>
      </x:c>
      <x:c r="I1519" s="10" t="n">
        <x:v>9</x:v>
      </x:c>
      <x:c r="J1519" s="10" t="n">
        <x:v>2</x:v>
      </x:c>
      <x:c r="K1519" s="10" t="str">
        <x:v>45 Mo.</x:v>
      </x:c>
      <x:c r="L1519" s="10" t="n">
        <x:v>36</x:v>
      </x:c>
      <x:c r="M1519" s="10" t="n">
        <x:v>0</x:v>
      </x:c>
      <x:c r="N1519" s="10" t="n">
        <x:v>470</x:v>
      </x:c>
      <x:c r="O1519" s="10" t="str">
        <x:v>Paper &amp; Party Supplies</x:v>
      </x:c>
      <x:c r="P1519" s="10" t="n">
        <x:v>60</x:v>
      </x:c>
      <x:c r="Q1519" s="10" t="n">
        <x:v>0</x:v>
      </x:c>
      <x:c r="R1519" s="13" t="n">
        <x:v>1.91</x:v>
      </x:c>
      <x:c r="S1519" s="10" t="n">
        <x:v>2691</x:v>
      </x:c>
      <x:c r="T1519" s="10" t="str">
        <x:v>circle icon stickers,minimal sticker,circles,small icons,tiny icons,mortgage,house,house bill,mortgage bill,finances</x:v>
      </x:c>
      <x:c r="U1519" s="10" t="str">
        <x:v>circle icon stickers</x:v>
      </x:c>
      <x:c r="V1519" s="10" t="str">
        <x:v>minimal sticker</x:v>
      </x:c>
      <x:c r="W1519" s="10" t="str">
        <x:v>circles</x:v>
      </x:c>
      <x:c r="X1519" s="10" t="str">
        <x:v>small icons</x:v>
      </x:c>
      <x:c r="Y1519" s="10" t="str">
        <x:v>tiny icons</x:v>
      </x:c>
      <x:c r="Z1519" s="10" t="str">
        <x:v>mortgage</x:v>
      </x:c>
      <x:c r="AA1519" s="10" t="str">
        <x:v>house</x:v>
      </x:c>
      <x:c r="AB1519" s="10" t="str">
        <x:v>house bill</x:v>
      </x:c>
      <x:c r="AC1519" s="10" t="str">
        <x:v>mortgage bill</x:v>
      </x:c>
      <x:c r="AD1519" s="10" t="str">
        <x:v>finances</x:v>
      </x:c>
      <x:c r="AE1519" s="10" t="str">
        <x:v>--</x:v>
      </x:c>
      <x:c r="AF1519" s="10" t="str">
        <x:v>--</x:v>
      </x:c>
      <x:c r="AG1519" s="10" t="str">
        <x:v>--</x:v>
      </x:c>
      <x:c r="AH1519" s="10" t="str">
        <x:v>Other mortgage-related</x:v>
      </x:c>
      <x:c r="AI1519" s="13" t="n">
        <x:v>45</x:v>
      </x:c>
      <x:c r="AJ1519" s="10" t="str">
        <x:f>IF(F1519&gt;0,"Active","No est. sales")</x:f>
        <x:v>No est. sales</x:v>
      </x:c>
    </x:row>
    <x:row r="1520">
      <x:c r="A1520" s="10" t="str">
        <x:v>Home Buyer Debt Paydown Planner | Printable PDF Tracker</x:v>
      </x:c>
      <x:c r="B1520" s="10" t="str">
        <x:v>https://www.etsy.com/listing/4439650680/debt-paydown-planner-for-first-time-home</x:v>
      </x:c>
      <x:c r="C1520" s="10" t="str">
        <x:v>LivingWithAlly</x:v>
      </x:c>
      <x:c r="D1520" s="10" t="str">
        <x:v>https://www.etsy.com/shop/LivingWithAlly</x:v>
      </x:c>
      <x:c r="E1520" s="11" t="n">
        <x:v>4.99</x:v>
      </x:c>
      <x:c r="F1520" s="10" t="n">
        <x:v>0</x:v>
      </x:c>
      <x:c r="G1520" s="12" t="n">
        <x:v>0</x:v>
      </x:c>
      <x:c r="H1520" s="13" t="n">
        <x:v>0</x:v>
      </x:c>
      <x:c r="I1520" s="10" t="n">
        <x:v>0</x:v>
      </x:c>
      <x:c r="J1520" s="10" t="n">
        <x:v>0</x:v>
      </x:c>
      <x:c r="K1520" s="10" t="str">
        <x:v>6 Mo.</x:v>
      </x:c>
      <x:c r="L1520" s="10" t="n">
        <x:v>1</x:v>
      </x:c>
      <x:c r="M1520" s="10" t="n">
        <x:v>0</x:v>
      </x:c>
      <x:c r="N1520" s="10" t="n">
        <x:v>5</x:v>
      </x:c>
      <x:c r="O1520" s="10" t="str"/>
      <x:c r="P1520" s="10" t="n">
        <x:v>7</x:v>
      </x:c>
      <x:c r="Q1520" s="10" t="n">
        <x:v>0</x:v>
      </x:c>
      <x:c r="R1520" s="13" t="n">
        <x:v>0</x:v>
      </x:c>
      <x:c r="S1520" s="10" t="n">
        <x:v>6</x:v>
      </x:c>
      <x:c r="T1520" s="10" t="str">
        <x:v>debt paydown,first time home buy,debt tracker,mortgage ready plan,financial planner,printable budget,money manaagement,instant download,debt payoff,pdf,debt avalanche,debt snowball</x:v>
      </x:c>
      <x:c r="U1520" s="10" t="str">
        <x:v>debt paydown</x:v>
      </x:c>
      <x:c r="V1520" s="10" t="str">
        <x:v>first time home buy</x:v>
      </x:c>
      <x:c r="W1520" s="10" t="str">
        <x:v>debt tracker</x:v>
      </x:c>
      <x:c r="X1520" s="10" t="str">
        <x:v>mortgage ready plan</x:v>
      </x:c>
      <x:c r="Y1520" s="10" t="str">
        <x:v>financial planner</x:v>
      </x:c>
      <x:c r="Z1520" s="10" t="str">
        <x:v>printable budget</x:v>
      </x:c>
      <x:c r="AA1520" s="10" t="str">
        <x:v>money manaagement</x:v>
      </x:c>
      <x:c r="AB1520" s="10" t="str">
        <x:v>instant download</x:v>
      </x:c>
      <x:c r="AC1520" s="10" t="str">
        <x:v>debt payoff</x:v>
      </x:c>
      <x:c r="AD1520" s="10" t="str">
        <x:v>pdf</x:v>
      </x:c>
      <x:c r="AE1520" s="10" t="str">
        <x:v>debt avalanche</x:v>
      </x:c>
      <x:c r="AF1520" s="10" t="str">
        <x:v>debt snowball</x:v>
      </x:c>
      <x:c r="AG1520" s="10" t="str">
        <x:v>--</x:v>
      </x:c>
      <x:c r="AH1520" s="10" t="str">
        <x:v>Other mortgage-related</x:v>
      </x:c>
      <x:c r="AI1520" s="13" t="n">
        <x:v>6</x:v>
      </x:c>
      <x:c r="AJ1520" s="10" t="str">
        <x:f>IF(F1520&gt;0,"Active","No est. sales")</x:f>
        <x:v>No est. sales</x:v>
      </x:c>
    </x:row>
    <x:row r="1521">
      <x:c r="A1521" s="10" t="str">
        <x:v>Before You Make an Offer Home Affordability Workbook | First Time Home Buyer Budget Planner | Mortgage Planning Printable House buying</x:v>
      </x:c>
      <x:c r="B1521" s="10" t="str">
        <x:v>https://www.etsy.com/listing/4493779880/before-you-make-an-offer-home</x:v>
      </x:c>
      <x:c r="C1521" s="10" t="str">
        <x:v>LivingWithAlly</x:v>
      </x:c>
      <x:c r="D1521" s="10" t="str">
        <x:v>https://www.etsy.com/shop/LivingWithAlly</x:v>
      </x:c>
      <x:c r="E1521" s="11" t="n">
        <x:v>7.99</x:v>
      </x:c>
      <x:c r="F1521" s="10" t="n">
        <x:v>0</x:v>
      </x:c>
      <x:c r="G1521" s="12" t="n">
        <x:v>0</x:v>
      </x:c>
      <x:c r="H1521" s="13" t="n">
        <x:v>0</x:v>
      </x:c>
      <x:c r="I1521" s="10" t="n">
        <x:v>0</x:v>
      </x:c>
      <x:c r="J1521" s="10" t="n">
        <x:v>0</x:v>
      </x:c>
      <x:c r="K1521" s="10" t="str">
        <x:v>3 Mo.</x:v>
      </x:c>
      <x:c r="L1521" s="10" t="n">
        <x:v>0</x:v>
      </x:c>
      <x:c r="M1521" s="10" t="n">
        <x:v>0</x:v>
      </x:c>
      <x:c r="N1521" s="10" t="n">
        <x:v>0</x:v>
      </x:c>
      <x:c r="O1521" s="10" t="str"/>
      <x:c r="P1521" s="10" t="n">
        <x:v>7</x:v>
      </x:c>
      <x:c r="Q1521" s="10" t="n">
        <x:v>0</x:v>
      </x:c>
      <x:c r="R1521" s="13" t="n">
        <x:v>0</x:v>
      </x:c>
      <x:c r="S1521" s="10" t="n">
        <x:v>6</x:v>
      </x:c>
      <x:c r="T1521" s="10" t="str">
        <x:v>home buyer planner,affordability book,first time home buye,house budget planner,mortgage planner,home buying checklis,budget worksheet,moving planner,home buying guide,financial planner,down payment planner,house hunting planne,printable budget pla</x:v>
      </x:c>
      <x:c r="U1521" s="10" t="str">
        <x:v>home buyer planner</x:v>
      </x:c>
      <x:c r="V1521" s="10" t="str">
        <x:v>affordability book</x:v>
      </x:c>
      <x:c r="W1521" s="10" t="str">
        <x:v>first time home buye</x:v>
      </x:c>
      <x:c r="X1521" s="10" t="str">
        <x:v>house budget planner</x:v>
      </x:c>
      <x:c r="Y1521" s="10" t="str">
        <x:v>mortgage planner</x:v>
      </x:c>
      <x:c r="Z1521" s="10" t="str">
        <x:v>home buying checklis</x:v>
      </x:c>
      <x:c r="AA1521" s="10" t="str">
        <x:v>budget worksheet</x:v>
      </x:c>
      <x:c r="AB1521" s="10" t="str">
        <x:v>moving planner</x:v>
      </x:c>
      <x:c r="AC1521" s="10" t="str">
        <x:v>home buying guide</x:v>
      </x:c>
      <x:c r="AD1521" s="10" t="str">
        <x:v>financial planner</x:v>
      </x:c>
      <x:c r="AE1521" s="10" t="str">
        <x:v>down payment planner</x:v>
      </x:c>
      <x:c r="AF1521" s="10" t="str">
        <x:v>house hunting planne</x:v>
      </x:c>
      <x:c r="AG1521" s="10" t="str">
        <x:v>printable budget pla</x:v>
      </x:c>
      <x:c r="AH1521" s="10" t="str">
        <x:v>Home buying planner</x:v>
      </x:c>
      <x:c r="AI1521" s="13" t="n">
        <x:v>3</x:v>
      </x:c>
      <x:c r="AJ1521" s="10" t="str">
        <x:f>IF(F1521&gt;0,"Active","No est. sales")</x:f>
        <x:v>No est. sales</x:v>
      </x:c>
    </x:row>
    <x:row r="1522">
      <x:c r="A1522" s="10" t="str">
        <x:v>Debt Payoff Tracker Debt Snowball Excel Tracker Debt Avalanche Calculator Google Sheets Credit Card Loan Debt Excel Planner Mortgage Payment</x:v>
      </x:c>
      <x:c r="B1522" s="10" t="str">
        <x:v>https://www.etsy.com/listing/4374666323/debt-payoff-tracker-debt-snowball-excel</x:v>
      </x:c>
      <x:c r="C1522" s="10" t="str">
        <x:v>RoveraStudio</x:v>
      </x:c>
      <x:c r="D1522" s="10" t="str">
        <x:v>https://www.etsy.com/shop/RoveraStudio</x:v>
      </x:c>
      <x:c r="E1522" s="11" t="n">
        <x:v>12.44</x:v>
      </x:c>
      <x:c r="F1522" s="10" t="n">
        <x:v>0</x:v>
      </x:c>
      <x:c r="G1522" s="12" t="n">
        <x:v>0</x:v>
      </x:c>
      <x:c r="H1522" s="13" t="n">
        <x:v>0</x:v>
      </x:c>
      <x:c r="I1522" s="10" t="n">
        <x:v>0</x:v>
      </x:c>
      <x:c r="J1522" s="10" t="n">
        <x:v>0</x:v>
      </x:c>
      <x:c r="K1522" s="10" t="str">
        <x:v>10 Mo.</x:v>
      </x:c>
      <x:c r="L1522" s="10" t="n">
        <x:v>11</x:v>
      </x:c>
      <x:c r="M1522" s="10" t="n">
        <x:v>0</x:v>
      </x:c>
      <x:c r="N1522" s="10" t="n">
        <x:v>174</x:v>
      </x:c>
      <x:c r="O1522" s="10" t="str">
        <x:v>Paper &amp; Party Supplies</x:v>
      </x:c>
      <x:c r="P1522" s="10" t="n">
        <x:v>21</x:v>
      </x:c>
      <x:c r="Q1522" s="10" t="n">
        <x:v>0</x:v>
      </x:c>
      <x:c r="R1522" s="13" t="n">
        <x:v>0</x:v>
      </x:c>
      <x:c r="S1522" s="10" t="n">
        <x:v>1459</x:v>
      </x:c>
      <x:c r="T1522" s="10" t="str">
        <x:v>google sheets debt,debt spreadsheet,debt payoff chart,mortgage payoff,debt avalanche,credit utilization,credit card payoff,debt snowball,student loan debt,debt payment tracker,debt template,financial planner,debt payoff tracker</x:v>
      </x:c>
      <x:c r="U1522" s="10" t="str">
        <x:v>google sheets debt</x:v>
      </x:c>
      <x:c r="V1522" s="10" t="str">
        <x:v>debt spreadsheet</x:v>
      </x:c>
      <x:c r="W1522" s="10" t="str">
        <x:v>debt payoff chart</x:v>
      </x:c>
      <x:c r="X1522" s="10" t="str">
        <x:v>mortgage payoff</x:v>
      </x:c>
      <x:c r="Y1522" s="10" t="str">
        <x:v>debt avalanche</x:v>
      </x:c>
      <x:c r="Z1522" s="10" t="str">
        <x:v>credit utilization</x:v>
      </x:c>
      <x:c r="AA1522" s="10" t="str">
        <x:v>credit card payoff</x:v>
      </x:c>
      <x:c r="AB1522" s="10" t="str">
        <x:v>debt snowball</x:v>
      </x:c>
      <x:c r="AC1522" s="10" t="str">
        <x:v>student loan debt</x:v>
      </x:c>
      <x:c r="AD1522" s="10" t="str">
        <x:v>debt payment tracker</x:v>
      </x:c>
      <x:c r="AE1522" s="10" t="str">
        <x:v>debt template</x:v>
      </x:c>
      <x:c r="AF1522" s="10" t="str">
        <x:v>financial planner</x:v>
      </x:c>
      <x:c r="AG1522" s="10" t="str">
        <x:v>debt payoff tracker</x:v>
      </x:c>
      <x:c r="AH1522" s="10" t="str">
        <x:v>General debt payoff</x:v>
      </x:c>
      <x:c r="AI1522" s="13" t="n">
        <x:v>10</x:v>
      </x:c>
      <x:c r="AJ1522" s="10" t="str">
        <x:f>IF(F1522&gt;0,"Active","No est. sales")</x:f>
        <x:v>No est. sales</x:v>
      </x:c>
    </x:row>
    <x:row r="1523">
      <x:c r="A1523" s="10" t="str">
        <x:v>First-Time Buyer UK Home Buying Roadmap | Step-by-Step Guide to Owning a Home | Digital PDF</x:v>
      </x:c>
      <x:c r="B1523" s="10" t="str">
        <x:v>https://www.etsy.com/listing/1892565015/first-time-buyer-uk-home-buying-roadmap</x:v>
      </x:c>
      <x:c r="C1523" s="10" t="str">
        <x:v>StepIntoHomeUK</x:v>
      </x:c>
      <x:c r="D1523" s="10" t="str">
        <x:v>https://www.etsy.com/shop/StepIntoHomeUK</x:v>
      </x:c>
      <x:c r="E1523" s="11" t="n">
        <x:v>10.66</x:v>
      </x:c>
      <x:c r="F1523" s="10" t="n">
        <x:v>0</x:v>
      </x:c>
      <x:c r="G1523" s="12" t="n">
        <x:v>0</x:v>
      </x:c>
      <x:c r="H1523" s="13" t="n">
        <x:v>0</x:v>
      </x:c>
      <x:c r="I1523" s="10" t="n">
        <x:v>0</x:v>
      </x:c>
      <x:c r="J1523" s="10" t="n">
        <x:v>0</x:v>
      </x:c>
      <x:c r="K1523" s="10" t="str">
        <x:v>16 Mo.</x:v>
      </x:c>
      <x:c r="L1523" s="10" t="n">
        <x:v>2</x:v>
      </x:c>
      <x:c r="M1523" s="10" t="n">
        <x:v>0</x:v>
      </x:c>
      <x:c r="N1523" s="10" t="n">
        <x:v>85</x:v>
      </x:c>
      <x:c r="O1523" s="10" t="str"/>
      <x:c r="P1523" s="10" t="n">
        <x:v>16</x:v>
      </x:c>
      <x:c r="Q1523" s="10" t="n">
        <x:v>0</x:v>
      </x:c>
      <x:c r="R1523" s="13" t="n">
        <x:v>0</x:v>
      </x:c>
      <x:c r="S1523" s="10" t="n">
        <x:v>1</x:v>
      </x:c>
      <x:c r="T1523" s="10" t="str">
        <x:v>uk home buying guide,first time buyer uk,mortgage planner uk,homebuying checklist,renting to buying uk,homebuying roadmap,house buying process,homeowner planner,uk mortgage help,printable home guide,home buyer planner,home buying pdf,download home guide</x:v>
      </x:c>
      <x:c r="U1523" s="10" t="str">
        <x:v>uk home buying guide</x:v>
      </x:c>
      <x:c r="V1523" s="10" t="str">
        <x:v>first time buyer uk</x:v>
      </x:c>
      <x:c r="W1523" s="10" t="str">
        <x:v>mortgage planner uk</x:v>
      </x:c>
      <x:c r="X1523" s="10" t="str">
        <x:v>homebuying checklist</x:v>
      </x:c>
      <x:c r="Y1523" s="10" t="str">
        <x:v>renting to buying uk</x:v>
      </x:c>
      <x:c r="Z1523" s="10" t="str">
        <x:v>homebuying roadmap</x:v>
      </x:c>
      <x:c r="AA1523" s="10" t="str">
        <x:v>house buying process</x:v>
      </x:c>
      <x:c r="AB1523" s="10" t="str">
        <x:v>homeowner planner</x:v>
      </x:c>
      <x:c r="AC1523" s="10" t="str">
        <x:v>uk mortgage help</x:v>
      </x:c>
      <x:c r="AD1523" s="10" t="str">
        <x:v>printable home guide</x:v>
      </x:c>
      <x:c r="AE1523" s="10" t="str">
        <x:v>home buyer planner</x:v>
      </x:c>
      <x:c r="AF1523" s="10" t="str">
        <x:v>home buying pdf</x:v>
      </x:c>
      <x:c r="AG1523" s="10" t="str">
        <x:v>download home guide</x:v>
      </x:c>
      <x:c r="AH1523" s="10" t="str">
        <x:v>Home buying planner</x:v>
      </x:c>
      <x:c r="AI1523" s="13" t="n">
        <x:v>16</x:v>
      </x:c>
      <x:c r="AJ1523" s="10" t="str">
        <x:f>IF(F1523&gt;0,"Active","No est. sales")</x:f>
        <x:v>No est. sales</x:v>
      </x:c>
    </x:row>
    <x:row r="1524">
      <x:c r="A1524" s="10" t="str">
        <x:v>Mortgage Calculator - Personal Finance made easy.  Understand your total costs with tax benefits, compare listings and more</x:v>
      </x:c>
      <x:c r="B1524" s="10" t="str">
        <x:v>https://www.etsy.com/listing/1403332237/mortgage-calculator-personal-finance</x:v>
      </x:c>
      <x:c r="C1524" s="10" t="str">
        <x:v>NeverlandFinance</x:v>
      </x:c>
      <x:c r="D1524" s="10" t="str">
        <x:v>https://www.etsy.com/shop/NeverlandFinance</x:v>
      </x:c>
      <x:c r="E1524" s="11" t="n">
        <x:v>4.99</x:v>
      </x:c>
      <x:c r="F1524" s="10" t="n">
        <x:v>0</x:v>
      </x:c>
      <x:c r="G1524" s="12" t="n">
        <x:v>0</x:v>
      </x:c>
      <x:c r="H1524" s="13" t="n">
        <x:v>0</x:v>
      </x:c>
      <x:c r="I1524" s="10" t="n">
        <x:v>0</x:v>
      </x:c>
      <x:c r="J1524" s="10" t="n">
        <x:v>1</x:v>
      </x:c>
      <x:c r="K1524" s="10" t="str">
        <x:v>42 Mo.</x:v>
      </x:c>
      <x:c r="L1524" s="10" t="n">
        <x:v>1</x:v>
      </x:c>
      <x:c r="M1524" s="10" t="n">
        <x:v>0</x:v>
      </x:c>
      <x:c r="N1524" s="10" t="n">
        <x:v>178</x:v>
      </x:c>
      <x:c r="O1524" s="10" t="str">
        <x:v>Home &amp; Living</x:v>
      </x:c>
      <x:c r="P1524" s="10" t="n">
        <x:v>42</x:v>
      </x:c>
      <x:c r="Q1524" s="10" t="n">
        <x:v>0</x:v>
      </x:c>
      <x:c r="R1524" s="13" t="n">
        <x:v>0</x:v>
      </x:c>
      <x:c r="S1524" s="10" t="n">
        <x:v>12</x:v>
      </x:c>
      <x:c r="T1524" s="10" t="str">
        <x:v>mortgage,mtge,finance,financial,planner,financial calculator,mortgage calculator,financial planning,budget planning,costs,spreadsheets,templates</x:v>
      </x:c>
      <x:c r="U1524" s="10" t="str">
        <x:v>mortgage</x:v>
      </x:c>
      <x:c r="V1524" s="10" t="str">
        <x:v>mtge</x:v>
      </x:c>
      <x:c r="W1524" s="10" t="str">
        <x:v>finance</x:v>
      </x:c>
      <x:c r="X1524" s="10" t="str">
        <x:v>financial</x:v>
      </x:c>
      <x:c r="Y1524" s="10" t="str">
        <x:v>planner</x:v>
      </x:c>
      <x:c r="Z1524" s="10" t="str">
        <x:v>financial calculator</x:v>
      </x:c>
      <x:c r="AA1524" s="10" t="str">
        <x:v>mortgage calculator</x:v>
      </x:c>
      <x:c r="AB1524" s="10" t="str">
        <x:v>financial planning</x:v>
      </x:c>
      <x:c r="AC1524" s="10" t="str">
        <x:v>budget planning</x:v>
      </x:c>
      <x:c r="AD1524" s="10" t="str">
        <x:v>costs</x:v>
      </x:c>
      <x:c r="AE1524" s="10" t="str">
        <x:v>spreadsheets</x:v>
      </x:c>
      <x:c r="AF1524" s="10" t="str">
        <x:v>templates</x:v>
      </x:c>
      <x:c r="AG1524" s="10" t="str">
        <x:v>--</x:v>
      </x:c>
      <x:c r="AH1524" s="10" t="str">
        <x:v>Mortgage payoff / calculator</x:v>
      </x:c>
      <x:c r="AI1524" s="13" t="n">
        <x:v>42</x:v>
      </x:c>
      <x:c r="AJ1524" s="10" t="str">
        <x:f>IF(F1524&gt;0,"Active","No est. sales")</x:f>
        <x:v>No est. sales</x:v>
      </x:c>
    </x:row>
    <x:row r="1525">
      <x:c r="A1525" s="10" t="str">
        <x:v>Home Buying Planner Excel | Mortgage Affordability Calculator | Closing Costs | Home Comparison | Google Sheets</x:v>
      </x:c>
      <x:c r="B1525" s="10" t="str">
        <x:v>https://www.etsy.com/listing/4514714256/home-buying-planner-excel-mortgage</x:v>
      </x:c>
      <x:c r="C1525" s="10" t="str">
        <x:v>TheTrendyPixelCo</x:v>
      </x:c>
      <x:c r="D1525" s="10" t="str">
        <x:v>https://www.etsy.com/shop/TheTrendyPixelCo</x:v>
      </x:c>
      <x:c r="E1525" s="11" t="n">
        <x:v>7.99</x:v>
      </x:c>
      <x:c r="F1525" s="10" t="n">
        <x:v>0</x:v>
      </x:c>
      <x:c r="G1525" s="12" t="n">
        <x:v>0</x:v>
      </x:c>
      <x:c r="H1525" s="13" t="n">
        <x:v>0</x:v>
      </x:c>
      <x:c r="I1525" s="10" t="n">
        <x:v>0</x:v>
      </x:c>
      <x:c r="J1525" s="10" t="n">
        <x:v>0</x:v>
      </x:c>
      <x:c r="K1525" s="10" t="str">
        <x:v>1 Mo.</x:v>
      </x:c>
      <x:c r="L1525" s="10" t="n">
        <x:v>0</x:v>
      </x:c>
      <x:c r="M1525" s="10" t="n">
        <x:v>0</x:v>
      </x:c>
      <x:c r="N1525" s="10" t="n">
        <x:v>3</x:v>
      </x:c>
      <x:c r="O1525" s="10" t="str"/>
      <x:c r="P1525" s="10" t="n">
        <x:v>29</x:v>
      </x:c>
      <x:c r="Q1525" s="10" t="n">
        <x:v>0</x:v>
      </x:c>
      <x:c r="R1525" s="13" t="n">
        <x:v>0</x:v>
      </x:c>
      <x:c r="S1525" s="10" t="n">
        <x:v>1</x:v>
      </x:c>
      <x:c r="T1525" s="10" t="str">
        <x:v>home buying planner,mortgage calculator,first home buyer,closing costs,home budget excel,house huntingtracker,affordability calc,budget spreadsheet,financial planner,money tracker,household budget,savings goal tracker,personal finance</x:v>
      </x:c>
      <x:c r="U1525" s="10" t="str">
        <x:v>home buying planner</x:v>
      </x:c>
      <x:c r="V1525" s="10" t="str">
        <x:v>mortgage calculator</x:v>
      </x:c>
      <x:c r="W1525" s="10" t="str">
        <x:v>first home buyer</x:v>
      </x:c>
      <x:c r="X1525" s="10" t="str">
        <x:v>closing costs</x:v>
      </x:c>
      <x:c r="Y1525" s="10" t="str">
        <x:v>home budget excel</x:v>
      </x:c>
      <x:c r="Z1525" s="10" t="str">
        <x:v>house huntingtracker</x:v>
      </x:c>
      <x:c r="AA1525" s="10" t="str">
        <x:v>affordability calc</x:v>
      </x:c>
      <x:c r="AB1525" s="10" t="str">
        <x:v>budget spreadsheet</x:v>
      </x:c>
      <x:c r="AC1525" s="10" t="str">
        <x:v>financial planner</x:v>
      </x:c>
      <x:c r="AD1525" s="10" t="str">
        <x:v>money tracker</x:v>
      </x:c>
      <x:c r="AE1525" s="10" t="str">
        <x:v>household budget</x:v>
      </x:c>
      <x:c r="AF1525" s="10" t="str">
        <x:v>savings goal tracker</x:v>
      </x:c>
      <x:c r="AG1525" s="10" t="str">
        <x:v>personal finance</x:v>
      </x:c>
      <x:c r="AH1525" s="10" t="str">
        <x:v>Home buying planner</x:v>
      </x:c>
      <x:c r="AI1525" s="13" t="n">
        <x:v>1</x:v>
      </x:c>
      <x:c r="AJ1525" s="10" t="str">
        <x:f>IF(F1525&gt;0,"Active","No est. sales")</x:f>
        <x:v>No est. sales</x:v>
      </x:c>
    </x:row>
    <x:row r="1526">
      <x:c r="A1526" s="10" t="str">
        <x:v>Debt Snowball Avalanche Tracker: Dark Mode Google Sheets (Digital Download)</x:v>
      </x:c>
      <x:c r="B1526" s="10" t="str">
        <x:v>https://www.etsy.com/listing/1825491824/debt-snowball-avalanche-tracker-dark</x:v>
      </x:c>
      <x:c r="C1526" s="10" t="str">
        <x:v>JrenDigital</x:v>
      </x:c>
      <x:c r="D1526" s="10" t="str">
        <x:v>https://www.etsy.com/shop/JrenDigital</x:v>
      </x:c>
      <x:c r="E1526" s="11" t="n">
        <x:v>9.77</x:v>
      </x:c>
      <x:c r="F1526" s="10" t="n">
        <x:v>0</x:v>
      </x:c>
      <x:c r="G1526" s="12" t="n">
        <x:v>0</x:v>
      </x:c>
      <x:c r="H1526" s="13" t="n">
        <x:v>0</x:v>
      </x:c>
      <x:c r="I1526" s="10" t="n">
        <x:v>445</x:v>
      </x:c>
      <x:c r="J1526" s="10" t="n">
        <x:v>31</x:v>
      </x:c>
      <x:c r="K1526" s="10" t="str">
        <x:v>19 Mo.</x:v>
      </x:c>
      <x:c r="L1526" s="10" t="n">
        <x:v>128</x:v>
      </x:c>
      <x:c r="M1526" s="10" t="n">
        <x:v>2</x:v>
      </x:c>
      <x:c r="N1526" s="10" t="n">
        <x:v>4725</x:v>
      </x:c>
      <x:c r="O1526" s="10" t="str"/>
      <x:c r="P1526" s="10" t="n">
        <x:v>41</x:v>
      </x:c>
      <x:c r="Q1526" s="10" t="n">
        <x:v>66</x:v>
      </x:c>
      <x:c r="R1526" s="13" t="n">
        <x:v>9.42</x:v>
      </x:c>
      <x:c r="S1526" s="10" t="n">
        <x:v>80099</x:v>
      </x:c>
      <x:c r="T1526" s="10" t="str">
        <x:v>financial planner,debt payoff tracker,debt snowball,debt avalanche,student loan debt,google sheets budget,mortgage payoff,dark mode budget,credit card tracker,debt repayment,debt spreadsheet,debt tracker,loan tracker</x:v>
      </x:c>
      <x:c r="U1526" s="10" t="str">
        <x:v>financial planner</x:v>
      </x:c>
      <x:c r="V1526" s="10" t="str">
        <x:v>debt payoff tracker</x:v>
      </x:c>
      <x:c r="W1526" s="10" t="str">
        <x:v>debt snowball</x:v>
      </x:c>
      <x:c r="X1526" s="10" t="str">
        <x:v>debt avalanche</x:v>
      </x:c>
      <x:c r="Y1526" s="10" t="str">
        <x:v>student loan debt</x:v>
      </x:c>
      <x:c r="Z1526" s="10" t="str">
        <x:v>google sheets budget</x:v>
      </x:c>
      <x:c r="AA1526" s="10" t="str">
        <x:v>mortgage payoff</x:v>
      </x:c>
      <x:c r="AB1526" s="10" t="str">
        <x:v>dark mode budget</x:v>
      </x:c>
      <x:c r="AC1526" s="10" t="str">
        <x:v>credit card tracker</x:v>
      </x:c>
      <x:c r="AD1526" s="10" t="str">
        <x:v>debt repayment</x:v>
      </x:c>
      <x:c r="AE1526" s="10" t="str">
        <x:v>debt spreadsheet</x:v>
      </x:c>
      <x:c r="AF1526" s="10" t="str">
        <x:v>debt tracker</x:v>
      </x:c>
      <x:c r="AG1526" s="10" t="str">
        <x:v>loan tracker</x:v>
      </x:c>
      <x:c r="AH1526" s="10" t="str">
        <x:v>General debt payoff</x:v>
      </x:c>
      <x:c r="AI1526" s="13" t="n">
        <x:v>19</x:v>
      </x:c>
      <x:c r="AJ1526" s="10" t="str">
        <x:f>IF(F1526&gt;0,"Active","No est. sales")</x:f>
        <x:v>No est. sales</x:v>
      </x:c>
    </x:row>
    <x:row r="1527">
      <x:c r="A1527" s="10" t="str">
        <x:v>Colorful House Planner Stickers, Cute Home Stickers, Moving New Home Real Estate Journal Decals, Physical Sticker Sheet</x:v>
      </x:c>
      <x:c r="B1527" s="10" t="str">
        <x:v>https://www.etsy.com/listing/4542355433/colorful-house-planner-stickers-cute</x:v>
      </x:c>
      <x:c r="C1527" s="10" t="str">
        <x:v>PeaceLoveSquish</x:v>
      </x:c>
      <x:c r="D1527" s="10" t="str">
        <x:v>https://www.etsy.com/shop/PeaceLoveSquish</x:v>
      </x:c>
      <x:c r="E1527" s="11" t="n">
        <x:v>5.25</x:v>
      </x:c>
      <x:c r="F1527" s="10" t="n">
        <x:v>0</x:v>
      </x:c>
      <x:c r="G1527" s="12" t="n">
        <x:v>0</x:v>
      </x:c>
      <x:c r="H1527" s="13" t="n">
        <x:v>0</x:v>
      </x:c>
      <x:c r="I1527" s="10" t="n">
        <x:v>0</x:v>
      </x:c>
      <x:c r="J1527" s="10" t="n">
        <x:v>0</x:v>
      </x:c>
      <x:c r="K1527" s="10" t="str">
        <x:v>1 Mo.</x:v>
      </x:c>
      <x:c r="L1527" s="10" t="n">
        <x:v>0</x:v>
      </x:c>
      <x:c r="M1527" s="10" t="n">
        <x:v>0</x:v>
      </x:c>
      <x:c r="N1527" s="10" t="n">
        <x:v>0</x:v>
      </x:c>
      <x:c r="O1527" s="10" t="str">
        <x:v>Paper &amp; Party Supplies</x:v>
      </x:c>
      <x:c r="P1527" s="10" t="n">
        <x:v>64</x:v>
      </x:c>
      <x:c r="Q1527" s="10" t="n">
        <x:v>0</x:v>
      </x:c>
      <x:c r="R1527" s="13" t="n">
        <x:v>0</x:v>
      </x:c>
      <x:c r="S1527" s="10" t="n">
        <x:v>76</x:v>
      </x:c>
      <x:c r="T1527" s="10" t="str">
        <x:v>house stickers,home stickers,planner stickers,new home sticker,moving day sticker,mortgage sticker,real estate gift,realtor stickers,colorful houses,scrapbook sticker,home planner,physical stickers,cute house decal</x:v>
      </x:c>
      <x:c r="U1527" s="10" t="str">
        <x:v>house stickers</x:v>
      </x:c>
      <x:c r="V1527" s="10" t="str">
        <x:v>home stickers</x:v>
      </x:c>
      <x:c r="W1527" s="10" t="str">
        <x:v>planner stickers</x:v>
      </x:c>
      <x:c r="X1527" s="10" t="str">
        <x:v>new home sticker</x:v>
      </x:c>
      <x:c r="Y1527" s="10" t="str">
        <x:v>moving day sticker</x:v>
      </x:c>
      <x:c r="Z1527" s="10" t="str">
        <x:v>mortgage sticker</x:v>
      </x:c>
      <x:c r="AA1527" s="10" t="str">
        <x:v>real estate gift</x:v>
      </x:c>
      <x:c r="AB1527" s="10" t="str">
        <x:v>realtor stickers</x:v>
      </x:c>
      <x:c r="AC1527" s="10" t="str">
        <x:v>colorful houses</x:v>
      </x:c>
      <x:c r="AD1527" s="10" t="str">
        <x:v>scrapbook sticker</x:v>
      </x:c>
      <x:c r="AE1527" s="10" t="str">
        <x:v>home planner</x:v>
      </x:c>
      <x:c r="AF1527" s="10" t="str">
        <x:v>physical stickers</x:v>
      </x:c>
      <x:c r="AG1527" s="10" t="str">
        <x:v>cute house decal</x:v>
      </x:c>
      <x:c r="AH1527" s="10" t="str">
        <x:v>Other mortgage-related</x:v>
      </x:c>
      <x:c r="AI1527" s="13" t="n">
        <x:v>1</x:v>
      </x:c>
      <x:c r="AJ1527" s="10" t="str">
        <x:f>IF(F1527&gt;0,"Active","No est. sales")</x:f>
        <x:v>No est. sales</x:v>
      </x:c>
    </x:row>
    <x:row r="1528">
      <x:c r="A1528" s="10" t="str">
        <x:v>Debt Avalanche Spreadsheet for Google Sheets, Debt Payment Planner Tracker, Loan Payoff Budget Template, INSTANT DOWNLOAD - Green LD018</x:v>
      </x:c>
      <x:c r="B1528" s="10" t="str">
        <x:v>https://www.etsy.com/listing/1580196094/debt-avalanche-spreadsheet-for-google</x:v>
      </x:c>
      <x:c r="C1528" s="10" t="str">
        <x:v>LivingFreeofD</x:v>
      </x:c>
      <x:c r="D1528" s="10" t="str">
        <x:v>https://www.etsy.com/shop/LivingFreeofD</x:v>
      </x:c>
      <x:c r="E1528" s="11" t="n">
        <x:v>4.82</x:v>
      </x:c>
      <x:c r="F1528" s="10" t="n">
        <x:v>0</x:v>
      </x:c>
      <x:c r="G1528" s="12" t="n">
        <x:v>0</x:v>
      </x:c>
      <x:c r="H1528" s="13" t="n">
        <x:v>0</x:v>
      </x:c>
      <x:c r="I1528" s="10" t="n">
        <x:v>0</x:v>
      </x:c>
      <x:c r="J1528" s="10" t="n">
        <x:v>0</x:v>
      </x:c>
      <x:c r="K1528" s="10" t="str">
        <x:v>33 Mo.</x:v>
      </x:c>
      <x:c r="L1528" s="10" t="n">
        <x:v>2</x:v>
      </x:c>
      <x:c r="M1528" s="10" t="n">
        <x:v>0</x:v>
      </x:c>
      <x:c r="N1528" s="10" t="n">
        <x:v>59</x:v>
      </x:c>
      <x:c r="O1528" s="10" t="str"/>
      <x:c r="P1528" s="10" t="n">
        <x:v>70</x:v>
      </x:c>
      <x:c r="Q1528" s="10" t="n">
        <x:v>0</x:v>
      </x:c>
      <x:c r="R1528" s="13" t="n">
        <x:v>0</x:v>
      </x:c>
      <x:c r="S1528" s="10" t="n">
        <x:v>2039</x:v>
      </x:c>
      <x:c r="T1528" s="10" t="str">
        <x:v>debt payment tracker,debt snowball,debt avalanche,debt payoff planner,debt calculator,loan payoff tracker,credit card debt,mortgage payoff,student loan debt,financial planner,personal finance,debt google sheets,snowball method</x:v>
      </x:c>
      <x:c r="U1528" s="10" t="str">
        <x:v>debt payment tracker</x:v>
      </x:c>
      <x:c r="V1528" s="10" t="str">
        <x:v>debt snowball</x:v>
      </x:c>
      <x:c r="W1528" s="10" t="str">
        <x:v>debt avalanche</x:v>
      </x:c>
      <x:c r="X1528" s="10" t="str">
        <x:v>debt payoff planner</x:v>
      </x:c>
      <x:c r="Y1528" s="10" t="str">
        <x:v>debt calculator</x:v>
      </x:c>
      <x:c r="Z1528" s="10" t="str">
        <x:v>loan payoff tracker</x:v>
      </x:c>
      <x:c r="AA1528" s="10" t="str">
        <x:v>credit card debt</x:v>
      </x:c>
      <x:c r="AB1528" s="10" t="str">
        <x:v>mortgage payoff</x:v>
      </x:c>
      <x:c r="AC1528" s="10" t="str">
        <x:v>student loan debt</x:v>
      </x:c>
      <x:c r="AD1528" s="10" t="str">
        <x:v>financial planner</x:v>
      </x:c>
      <x:c r="AE1528" s="10" t="str">
        <x:v>personal finance</x:v>
      </x:c>
      <x:c r="AF1528" s="10" t="str">
        <x:v>debt google sheets</x:v>
      </x:c>
      <x:c r="AG1528" s="10" t="str">
        <x:v>snowball method</x:v>
      </x:c>
      <x:c r="AH1528" s="10" t="str">
        <x:v>General debt payoff</x:v>
      </x:c>
      <x:c r="AI1528" s="13" t="n">
        <x:v>33</x:v>
      </x:c>
      <x:c r="AJ1528" s="10" t="str">
        <x:f>IF(F1528&gt;0,"Active","No est. sales")</x:f>
        <x:v>No est. sales</x:v>
      </x:c>
    </x:row>
    <x:row r="1529">
      <x:c r="A1529" s="10" t="str">
        <x:v>UK First Time Buyer Cheat Sheet Printable – Home Buying Guide UK – Mortgage &amp; Stamp Duty Planner – House Purchase Checklist PDF</x:v>
      </x:c>
      <x:c r="B1529" s="10" t="str">
        <x:v>https://www.etsy.com/listing/4506340394/uk-first-time-buyer-cheat-sheet</x:v>
      </x:c>
      <x:c r="C1529" s="10" t="str">
        <x:v>SchatziStudioDesigns</x:v>
      </x:c>
      <x:c r="D1529" s="10" t="str">
        <x:v>https://www.etsy.com/shop/SchatziStudioDesigns</x:v>
      </x:c>
      <x:c r="E1529" s="11" t="n">
        <x:v>4.41</x:v>
      </x:c>
      <x:c r="F1529" s="10" t="n">
        <x:v>0</x:v>
      </x:c>
      <x:c r="G1529" s="12" t="n">
        <x:v>0</x:v>
      </x:c>
      <x:c r="H1529" s="13" t="n">
        <x:v>0</x:v>
      </x:c>
      <x:c r="I1529" s="10" t="n">
        <x:v>0</x:v>
      </x:c>
      <x:c r="J1529" s="10" t="n">
        <x:v>0</x:v>
      </x:c>
      <x:c r="K1529" s="10" t="str">
        <x:v>2 Mo.</x:v>
      </x:c>
      <x:c r="L1529" s="10" t="n">
        <x:v>0</x:v>
      </x:c>
      <x:c r="M1529" s="10" t="n">
        <x:v>0</x:v>
      </x:c>
      <x:c r="N1529" s="10" t="n">
        <x:v>25</x:v>
      </x:c>
      <x:c r="O1529" s="10" t="str">
        <x:v>Books, Movies &amp; Music</x:v>
      </x:c>
      <x:c r="P1529" s="10" t="n">
        <x:v>5</x:v>
      </x:c>
      <x:c r="Q1529" s="10" t="n">
        <x:v>0</x:v>
      </x:c>
      <x:c r="R1529" s="13" t="n">
        <x:v>0</x:v>
      </x:c>
      <x:c r="S1529" s="10" t="n">
        <x:v>238</x:v>
      </x:c>
      <x:c r="T1529" s="10" t="str">
        <x:v>uk first time buyer,home buying guide uk,mortgage checklist,house buying guide,first home checklist,stamp duty guide uk,uk property guide,moving house planner,home buyer printable,uk home buying,property checklist,first time buyer uk,mortgage planner</x:v>
      </x:c>
      <x:c r="U1529" s="10" t="str">
        <x:v>uk first time buyer</x:v>
      </x:c>
      <x:c r="V1529" s="10" t="str">
        <x:v>home buying guide uk</x:v>
      </x:c>
      <x:c r="W1529" s="10" t="str">
        <x:v>mortgage checklist</x:v>
      </x:c>
      <x:c r="X1529" s="10" t="str">
        <x:v>house buying guide</x:v>
      </x:c>
      <x:c r="Y1529" s="10" t="str">
        <x:v>first home checklist</x:v>
      </x:c>
      <x:c r="Z1529" s="10" t="str">
        <x:v>stamp duty guide uk</x:v>
      </x:c>
      <x:c r="AA1529" s="10" t="str">
        <x:v>uk property guide</x:v>
      </x:c>
      <x:c r="AB1529" s="10" t="str">
        <x:v>moving house planner</x:v>
      </x:c>
      <x:c r="AC1529" s="10" t="str">
        <x:v>home buyer printable</x:v>
      </x:c>
      <x:c r="AD1529" s="10" t="str">
        <x:v>uk home buying</x:v>
      </x:c>
      <x:c r="AE1529" s="10" t="str">
        <x:v>property checklist</x:v>
      </x:c>
      <x:c r="AF1529" s="10" t="str">
        <x:v>first time buyer uk</x:v>
      </x:c>
      <x:c r="AG1529" s="10" t="str">
        <x:v>mortgage planner</x:v>
      </x:c>
      <x:c r="AH1529" s="10" t="str">
        <x:v>Home buying planner</x:v>
      </x:c>
      <x:c r="AI1529" s="13" t="n">
        <x:v>2</x:v>
      </x:c>
      <x:c r="AJ1529" s="10" t="str">
        <x:f>IF(F1529&gt;0,"Active","No est. sales")</x:f>
        <x:v>No est. sales</x:v>
      </x:c>
    </x:row>
    <x:row r="1530">
      <x:c r="A1530" s="10" t="str">
        <x:v>Debt Payoff Tracker Debt Snowball Spreadsheet Avalanche Calculator Credit Card Loan Template House Mortgage Debt Free Planner Google Sheets</x:v>
      </x:c>
      <x:c r="B1530" s="10" t="str">
        <x:v>https://www.etsy.com/listing/4351262131/debt-payoff-tracker-debt-snowball</x:v>
      </x:c>
      <x:c r="C1530" s="10" t="str">
        <x:v>BrightFoxCreation</x:v>
      </x:c>
      <x:c r="D1530" s="10" t="str">
        <x:v>https://www.etsy.com/shop/BrightFoxCreation</x:v>
      </x:c>
      <x:c r="E1530" s="11" t="n">
        <x:v>9.98</x:v>
      </x:c>
      <x:c r="F1530" s="10" t="n">
        <x:v>0</x:v>
      </x:c>
      <x:c r="G1530" s="12" t="n">
        <x:v>0</x:v>
      </x:c>
      <x:c r="H1530" s="13" t="n">
        <x:v>0</x:v>
      </x:c>
      <x:c r="I1530" s="10" t="n">
        <x:v>179</x:v>
      </x:c>
      <x:c r="J1530" s="10" t="n">
        <x:v>11</x:v>
      </x:c>
      <x:c r="K1530" s="10" t="str">
        <x:v>11 Mo.</x:v>
      </x:c>
      <x:c r="L1530" s="10" t="n">
        <x:v>27</x:v>
      </x:c>
      <x:c r="M1530" s="10" t="n">
        <x:v>1</x:v>
      </x:c>
      <x:c r="N1530" s="10" t="n">
        <x:v>2579</x:v>
      </x:c>
      <x:c r="O1530" s="10" t="str"/>
      <x:c r="P1530" s="10" t="n">
        <x:v>15</x:v>
      </x:c>
      <x:c r="Q1530" s="10" t="n">
        <x:v>63</x:v>
      </x:c>
      <x:c r="R1530" s="13" t="n">
        <x:v>6.94</x:v>
      </x:c>
      <x:c r="S1530" s="10" t="n">
        <x:v>6150</x:v>
      </x:c>
      <x:c r="T1530" s="10" t="str">
        <x:v>debt payoff tracker,snowball spreadsheet,debt payment tracker,student loan payoff,house debt payoff,debt repayment,mortgage payment,car payoff tracker,debt google sheets,debt free planner,debt payoff template,credit card loan,debt avalanche track</x:v>
      </x:c>
      <x:c r="U1530" s="10" t="str">
        <x:v>debt payoff tracker</x:v>
      </x:c>
      <x:c r="V1530" s="10" t="str">
        <x:v>snowball spreadsheet</x:v>
      </x:c>
      <x:c r="W1530" s="10" t="str">
        <x:v>debt payment tracker</x:v>
      </x:c>
      <x:c r="X1530" s="10" t="str">
        <x:v>student loan payoff</x:v>
      </x:c>
      <x:c r="Y1530" s="10" t="str">
        <x:v>house debt payoff</x:v>
      </x:c>
      <x:c r="Z1530" s="10" t="str">
        <x:v>debt repayment</x:v>
      </x:c>
      <x:c r="AA1530" s="10" t="str">
        <x:v>mortgage payment</x:v>
      </x:c>
      <x:c r="AB1530" s="10" t="str">
        <x:v>car payoff tracker</x:v>
      </x:c>
      <x:c r="AC1530" s="10" t="str">
        <x:v>debt google sheets</x:v>
      </x:c>
      <x:c r="AD1530" s="10" t="str">
        <x:v>debt free planner</x:v>
      </x:c>
      <x:c r="AE1530" s="10" t="str">
        <x:v>debt payoff template</x:v>
      </x:c>
      <x:c r="AF1530" s="10" t="str">
        <x:v>credit card loan</x:v>
      </x:c>
      <x:c r="AG1530" s="10" t="str">
        <x:v>debt avalanche track</x:v>
      </x:c>
      <x:c r="AH1530" s="10" t="str">
        <x:v>General debt payoff</x:v>
      </x:c>
      <x:c r="AI1530" s="13" t="n">
        <x:v>11</x:v>
      </x:c>
      <x:c r="AJ1530" s="10" t="str">
        <x:f>IF(F1530&gt;0,"Active","No est. sales")</x:f>
        <x:v>No est. sales</x:v>
      </x:c>
    </x:row>
    <x:row r="1531">
      <x:c r="A1531" s="10" t="str">
        <x:v>Funny Credit Card Debt Free Soy Wax Candle, Paid Off Mortgage Loan Humor Gag Gift For Home Owner, Financial Analyst Consultant Medical Bills</x:v>
      </x:c>
      <x:c r="B1531" s="10" t="str">
        <x:v>https://www.etsy.com/listing/1687101762/funny-credit-card-debt-free-soy-wax</x:v>
      </x:c>
      <x:c r="C1531" s="10" t="str">
        <x:v>SaraBeltranDesigns</x:v>
      </x:c>
      <x:c r="D1531" s="10" t="str">
        <x:v>https://www.etsy.com/shop/SaraBeltranDesigns</x:v>
      </x:c>
      <x:c r="E1531" s="11" t="n">
        <x:v>21.99</x:v>
      </x:c>
      <x:c r="F1531" s="10" t="n">
        <x:v>0</x:v>
      </x:c>
      <x:c r="G1531" s="12" t="n">
        <x:v>0</x:v>
      </x:c>
      <x:c r="H1531" s="13" t="n">
        <x:v>0</x:v>
      </x:c>
      <x:c r="I1531" s="10" t="n">
        <x:v>17</x:v>
      </x:c>
      <x:c r="J1531" s="10" t="n">
        <x:v>3</x:v>
      </x:c>
      <x:c r="K1531" s="10" t="str">
        <x:v>28 Mo.</x:v>
      </x:c>
      <x:c r="L1531" s="10" t="n">
        <x:v>33</x:v>
      </x:c>
      <x:c r="M1531" s="10" t="n">
        <x:v>0</x:v>
      </x:c>
      <x:c r="N1531" s="10" t="n">
        <x:v>980</x:v>
      </x:c>
      <x:c r="O1531" s="10" t="str">
        <x:v>Home &amp; Living</x:v>
      </x:c>
      <x:c r="P1531" s="10" t="n">
        <x:v>46</x:v>
      </x:c>
      <x:c r="Q1531" s="10" t="n">
        <x:v>0</x:v>
      </x:c>
      <x:c r="R1531" s="13" t="n">
        <x:v>1.73</x:v>
      </x:c>
      <x:c r="S1531" s="10" t="n">
        <x:v>10161</x:v>
      </x:c>
      <x:c r="T1531" s="10" t="str">
        <x:v>financial freedom,personal loan debt,debt solutions,bankruptcy,car loan,financial advisor,financially free,debt calculator,financial planner,loan payoff tracker,mortgage payoff,personal finance,student loan debt</x:v>
      </x:c>
      <x:c r="U1531" s="10" t="str">
        <x:v>financial freedom</x:v>
      </x:c>
      <x:c r="V1531" s="10" t="str">
        <x:v>personal loan debt</x:v>
      </x:c>
      <x:c r="W1531" s="10" t="str">
        <x:v>debt solutions</x:v>
      </x:c>
      <x:c r="X1531" s="10" t="str">
        <x:v>bankruptcy</x:v>
      </x:c>
      <x:c r="Y1531" s="10" t="str">
        <x:v>car loan</x:v>
      </x:c>
      <x:c r="Z1531" s="10" t="str">
        <x:v>financial advisor</x:v>
      </x:c>
      <x:c r="AA1531" s="10" t="str">
        <x:v>financially free</x:v>
      </x:c>
      <x:c r="AB1531" s="10" t="str">
        <x:v>debt calculator</x:v>
      </x:c>
      <x:c r="AC1531" s="10" t="str">
        <x:v>financial planner</x:v>
      </x:c>
      <x:c r="AD1531" s="10" t="str">
        <x:v>loan payoff tracker</x:v>
      </x:c>
      <x:c r="AE1531" s="10" t="str">
        <x:v>mortgage payoff</x:v>
      </x:c>
      <x:c r="AF1531" s="10" t="str">
        <x:v>personal finance</x:v>
      </x:c>
      <x:c r="AG1531" s="10" t="str">
        <x:v>student loan debt</x:v>
      </x:c>
      <x:c r="AH1531" s="10" t="str">
        <x:v>Other mortgage-related</x:v>
      </x:c>
      <x:c r="AI1531" s="13" t="n">
        <x:v>28</x:v>
      </x:c>
      <x:c r="AJ1531" s="10" t="str">
        <x:f>IF(F1531&gt;0,"Active","No est. sales")</x:f>
        <x:v>No est. sales</x:v>
      </x:c>
    </x:row>
    <x:row r="1532">
      <x:c r="A1532" s="10" t="str">
        <x:v>Debt Payoff Tracker Google Sheets Snowball Avalanche Custom Method Debt Payment Spreadsheet Financial Planner Credit Card Mortgage Payoff</x:v>
      </x:c>
      <x:c r="B1532" s="10" t="str">
        <x:v>https://www.etsy.com/listing/1697007260/debt-payoff-tracker-google-sheets</x:v>
      </x:c>
      <x:c r="C1532" s="10" t="str">
        <x:v>PLANSTUDIOREMIER</x:v>
      </x:c>
      <x:c r="D1532" s="10" t="str">
        <x:v>https://www.etsy.com/shop/PLANSTUDIOREMIER</x:v>
      </x:c>
      <x:c r="E1532" s="11" t="n">
        <x:v>7.78</x:v>
      </x:c>
      <x:c r="F1532" s="10" t="n">
        <x:v>0</x:v>
      </x:c>
      <x:c r="G1532" s="12" t="n">
        <x:v>0</x:v>
      </x:c>
      <x:c r="H1532" s="13" t="n">
        <x:v>0</x:v>
      </x:c>
      <x:c r="I1532" s="10" t="n">
        <x:v>6</x:v>
      </x:c>
      <x:c r="J1532" s="10" t="n">
        <x:v>1</x:v>
      </x:c>
      <x:c r="K1532" s="10" t="str">
        <x:v>27 Mo.</x:v>
      </x:c>
      <x:c r="L1532" s="10" t="n">
        <x:v>3</x:v>
      </x:c>
      <x:c r="M1532" s="10" t="n">
        <x:v>0</x:v>
      </x:c>
      <x:c r="N1532" s="10" t="n">
        <x:v>80</x:v>
      </x:c>
      <x:c r="O1532" s="10" t="str"/>
      <x:c r="P1532" s="10" t="n">
        <x:v>27</x:v>
      </x:c>
      <x:c r="Q1532" s="10" t="n">
        <x:v>0</x:v>
      </x:c>
      <x:c r="R1532" s="13" t="n">
        <x:v>7.5</x:v>
      </x:c>
      <x:c r="S1532" s="10" t="n">
        <x:v>472</x:v>
      </x:c>
      <x:c r="T1532" s="10" t="str">
        <x:v>debt payoff tracker,debt payment planner,financial planner,yearly budget tool,debt tracker google,debt snowball method,credit card payoff,finance spreadsheet,debt spreadsheet,avalanche method,google sheet planner,mortgage plan sheet,budgeting tool excel</x:v>
      </x:c>
      <x:c r="U1532" s="10" t="str">
        <x:v>debt payoff tracker</x:v>
      </x:c>
      <x:c r="V1532" s="10" t="str">
        <x:v>debt payment planner</x:v>
      </x:c>
      <x:c r="W1532" s="10" t="str">
        <x:v>financial planner</x:v>
      </x:c>
      <x:c r="X1532" s="10" t="str">
        <x:v>yearly budget tool</x:v>
      </x:c>
      <x:c r="Y1532" s="10" t="str">
        <x:v>debt tracker google</x:v>
      </x:c>
      <x:c r="Z1532" s="10" t="str">
        <x:v>debt snowball method</x:v>
      </x:c>
      <x:c r="AA1532" s="10" t="str">
        <x:v>credit card payoff</x:v>
      </x:c>
      <x:c r="AB1532" s="10" t="str">
        <x:v>finance spreadsheet</x:v>
      </x:c>
      <x:c r="AC1532" s="10" t="str">
        <x:v>debt spreadsheet</x:v>
      </x:c>
      <x:c r="AD1532" s="10" t="str">
        <x:v>avalanche method</x:v>
      </x:c>
      <x:c r="AE1532" s="10" t="str">
        <x:v>google sheet planner</x:v>
      </x:c>
      <x:c r="AF1532" s="10" t="str">
        <x:v>mortgage plan sheet</x:v>
      </x:c>
      <x:c r="AG1532" s="10" t="str">
        <x:v>budgeting tool excel</x:v>
      </x:c>
      <x:c r="AH1532" s="10" t="str">
        <x:v>General debt payoff</x:v>
      </x:c>
      <x:c r="AI1532" s="13" t="n">
        <x:v>27</x:v>
      </x:c>
      <x:c r="AJ1532" s="10" t="str">
        <x:f>IF(F1532&gt;0,"Active","No est. sales")</x:f>
        <x:v>No est. sales</x:v>
      </x:c>
    </x:row>
    <x:row r="1533">
      <x:c r="A1533" s="10" t="str">
        <x:v>Debt Payoff Tracker Google Sheets Snowball Method Debt Payment Spreadsheet Financial Planner Credit Card Mortgage Payoff Personal Finance</x:v>
      </x:c>
      <x:c r="B1533" s="10" t="str">
        <x:v>https://www.etsy.com/listing/1701249492/debt-payoff-tracker-google-sheets</x:v>
      </x:c>
      <x:c r="C1533" s="10" t="str">
        <x:v>PLANSTUDIOREMIER</x:v>
      </x:c>
      <x:c r="D1533" s="10" t="str">
        <x:v>https://www.etsy.com/shop/PLANSTUDIOREMIER</x:v>
      </x:c>
      <x:c r="E1533" s="11" t="n">
        <x:v>3.51</x:v>
      </x:c>
      <x:c r="F1533" s="10" t="n">
        <x:v>0</x:v>
      </x:c>
      <x:c r="G1533" s="12" t="n">
        <x:v>0</x:v>
      </x:c>
      <x:c r="H1533" s="13" t="n">
        <x:v>0</x:v>
      </x:c>
      <x:c r="I1533" s="10" t="n">
        <x:v>0</x:v>
      </x:c>
      <x:c r="J1533" s="10" t="n">
        <x:v>0</x:v>
      </x:c>
      <x:c r="K1533" s="10" t="str">
        <x:v>27 Mo.</x:v>
      </x:c>
      <x:c r="L1533" s="10" t="n">
        <x:v>2</x:v>
      </x:c>
      <x:c r="M1533" s="10" t="n">
        <x:v>0</x:v>
      </x:c>
      <x:c r="N1533" s="10" t="n">
        <x:v>66</x:v>
      </x:c>
      <x:c r="O1533" s="10" t="str"/>
      <x:c r="P1533" s="10" t="n">
        <x:v>27</x:v>
      </x:c>
      <x:c r="Q1533" s="10" t="n">
        <x:v>0</x:v>
      </x:c>
      <x:c r="R1533" s="13" t="n">
        <x:v>0</x:v>
      </x:c>
      <x:c r="S1533" s="10" t="n">
        <x:v>472</x:v>
      </x:c>
      <x:c r="T1533" s="10" t="str">
        <x:v>debt payoff tracker,debt payment planner,financial planner,yearly budget tool,debt tracker google,debt snowball method,credit card payoff,finance spreadsheet,mortgage payoff,debt spreadsheet,avalanche method,google sheet planner,budgeting tool excel</x:v>
      </x:c>
      <x:c r="U1533" s="10" t="str">
        <x:v>debt payoff tracker</x:v>
      </x:c>
      <x:c r="V1533" s="10" t="str">
        <x:v>debt payment planner</x:v>
      </x:c>
      <x:c r="W1533" s="10" t="str">
        <x:v>financial planner</x:v>
      </x:c>
      <x:c r="X1533" s="10" t="str">
        <x:v>yearly budget tool</x:v>
      </x:c>
      <x:c r="Y1533" s="10" t="str">
        <x:v>debt tracker google</x:v>
      </x:c>
      <x:c r="Z1533" s="10" t="str">
        <x:v>debt snowball method</x:v>
      </x:c>
      <x:c r="AA1533" s="10" t="str">
        <x:v>credit card payoff</x:v>
      </x:c>
      <x:c r="AB1533" s="10" t="str">
        <x:v>finance spreadsheet</x:v>
      </x:c>
      <x:c r="AC1533" s="10" t="str">
        <x:v>mortgage payoff</x:v>
      </x:c>
      <x:c r="AD1533" s="10" t="str">
        <x:v>debt spreadsheet</x:v>
      </x:c>
      <x:c r="AE1533" s="10" t="str">
        <x:v>avalanche method</x:v>
      </x:c>
      <x:c r="AF1533" s="10" t="str">
        <x:v>google sheet planner</x:v>
      </x:c>
      <x:c r="AG1533" s="10" t="str">
        <x:v>budgeting tool excel</x:v>
      </x:c>
      <x:c r="AH1533" s="10" t="str">
        <x:v>General debt payoff</x:v>
      </x:c>
      <x:c r="AI1533" s="13" t="n">
        <x:v>27</x:v>
      </x:c>
      <x:c r="AJ1533" s="10" t="str">
        <x:f>IF(F1533&gt;0,"Active","No est. sales")</x:f>
        <x:v>No est. sales</x:v>
      </x:c>
    </x:row>
    <x:row r="1534">
      <x:c r="A1534" s="10" t="str">
        <x:v>Debt Payoff Tracker Google Sheets Snowball Method Debt Payment Spreadsheet Financial Planner Credit Card Mortgage Payoff Personal Finance</x:v>
      </x:c>
      <x:c r="B1534" s="10" t="str">
        <x:v>https://www.etsy.com/listing/1715427599/debt-payoff-tracker-google-sheets</x:v>
      </x:c>
      <x:c r="C1534" s="10" t="str">
        <x:v>PLANSTUDIOREMIER</x:v>
      </x:c>
      <x:c r="D1534" s="10" t="str">
        <x:v>https://www.etsy.com/shop/PLANSTUDIOREMIER</x:v>
      </x:c>
      <x:c r="E1534" s="11" t="n">
        <x:v>3.51</x:v>
      </x:c>
      <x:c r="F1534" s="10" t="n">
        <x:v>0</x:v>
      </x:c>
      <x:c r="G1534" s="12" t="n">
        <x:v>0</x:v>
      </x:c>
      <x:c r="H1534" s="13" t="n">
        <x:v>0</x:v>
      </x:c>
      <x:c r="I1534" s="10" t="n">
        <x:v>0</x:v>
      </x:c>
      <x:c r="J1534" s="10" t="n">
        <x:v>0</x:v>
      </x:c>
      <x:c r="K1534" s="10" t="str">
        <x:v>27 Mo.</x:v>
      </x:c>
      <x:c r="L1534" s="10" t="n">
        <x:v>2</x:v>
      </x:c>
      <x:c r="M1534" s="10" t="n">
        <x:v>0</x:v>
      </x:c>
      <x:c r="N1534" s="10" t="n">
        <x:v>81</x:v>
      </x:c>
      <x:c r="O1534" s="10" t="str"/>
      <x:c r="P1534" s="10" t="n">
        <x:v>27</x:v>
      </x:c>
      <x:c r="Q1534" s="10" t="n">
        <x:v>0</x:v>
      </x:c>
      <x:c r="R1534" s="13" t="n">
        <x:v>0</x:v>
      </x:c>
      <x:c r="S1534" s="10" t="n">
        <x:v>472</x:v>
      </x:c>
      <x:c r="T1534" s="10" t="str">
        <x:v>debt payoff tracker,debt payment planner,financial planner,yearly budget tool,debt tracker google,debt snowball method,credit card payoff,finance spreadsheet,mortgage payoff,debt spreadsheet,avalanche method,google sheet planner,budgeting tool excel</x:v>
      </x:c>
      <x:c r="U1534" s="10" t="str">
        <x:v>debt payoff tracker</x:v>
      </x:c>
      <x:c r="V1534" s="10" t="str">
        <x:v>debt payment planner</x:v>
      </x:c>
      <x:c r="W1534" s="10" t="str">
        <x:v>financial planner</x:v>
      </x:c>
      <x:c r="X1534" s="10" t="str">
        <x:v>yearly budget tool</x:v>
      </x:c>
      <x:c r="Y1534" s="10" t="str">
        <x:v>debt tracker google</x:v>
      </x:c>
      <x:c r="Z1534" s="10" t="str">
        <x:v>debt snowball method</x:v>
      </x:c>
      <x:c r="AA1534" s="10" t="str">
        <x:v>credit card payoff</x:v>
      </x:c>
      <x:c r="AB1534" s="10" t="str">
        <x:v>finance spreadsheet</x:v>
      </x:c>
      <x:c r="AC1534" s="10" t="str">
        <x:v>mortgage payoff</x:v>
      </x:c>
      <x:c r="AD1534" s="10" t="str">
        <x:v>debt spreadsheet</x:v>
      </x:c>
      <x:c r="AE1534" s="10" t="str">
        <x:v>avalanche method</x:v>
      </x:c>
      <x:c r="AF1534" s="10" t="str">
        <x:v>google sheet planner</x:v>
      </x:c>
      <x:c r="AG1534" s="10" t="str">
        <x:v>budgeting tool excel</x:v>
      </x:c>
      <x:c r="AH1534" s="10" t="str">
        <x:v>General debt payoff</x:v>
      </x:c>
      <x:c r="AI1534" s="13" t="n">
        <x:v>27</x:v>
      </x:c>
      <x:c r="AJ1534" s="10" t="str">
        <x:f>IF(F1534&gt;0,"Active","No est. sales")</x:f>
        <x:v>No est. sales</x:v>
      </x:c>
    </x:row>
    <x:row r="1535">
      <x:c r="A1535" s="10" t="str">
        <x:v>Debt Tracker Printable Landscape, Debt Payoff Log, Debt Overview, Debt Payments, Budget Planner, A4/Letter, Instant Download PDF</x:v>
      </x:c>
      <x:c r="B1535" s="10" t="str">
        <x:v>https://www.etsy.com/listing/1620089089/debt-tracker-printable-landscape-debt</x:v>
      </x:c>
      <x:c r="C1535" s="10" t="str">
        <x:v>ThePrintablePlans</x:v>
      </x:c>
      <x:c r="D1535" s="10" t="str">
        <x:v>https://www.etsy.com/shop/ThePrintablePlans</x:v>
      </x:c>
      <x:c r="E1535" s="11" t="n">
        <x:v>1.39</x:v>
      </x:c>
      <x:c r="F1535" s="10" t="n">
        <x:v>0</x:v>
      </x:c>
      <x:c r="G1535" s="12" t="n">
        <x:v>0</x:v>
      </x:c>
      <x:c r="H1535" s="13" t="n">
        <x:v>0</x:v>
      </x:c>
      <x:c r="I1535" s="10" t="n">
        <x:v>34</x:v>
      </x:c>
      <x:c r="J1535" s="10" t="n">
        <x:v>3</x:v>
      </x:c>
      <x:c r="K1535" s="10" t="str">
        <x:v>32 Mo.</x:v>
      </x:c>
      <x:c r="L1535" s="10" t="n">
        <x:v>39</x:v>
      </x:c>
      <x:c r="M1535" s="10" t="n">
        <x:v>0</x:v>
      </x:c>
      <x:c r="N1535" s="10" t="n">
        <x:v>665</x:v>
      </x:c>
      <x:c r="O1535" s="10" t="str">
        <x:v>Paper &amp; Party Supplies</x:v>
      </x:c>
      <x:c r="P1535" s="10" t="n">
        <x:v>49</x:v>
      </x:c>
      <x:c r="Q1535" s="10" t="n">
        <x:v>0</x:v>
      </x:c>
      <x:c r="R1535" s="13" t="n">
        <x:v>5.11</x:v>
      </x:c>
      <x:c r="S1535" s="10" t="n">
        <x:v>42619</x:v>
      </x:c>
      <x:c r="T1535" s="10" t="str">
        <x:v>debt payment tracker,debt snowball,debt payoff planner,debt calculator,loan payoff tracker,credit card debt,mortgage payoff,student loan debt,financial planner,personal finance,debt google sheets,debt tracker,repayment tracker</x:v>
      </x:c>
      <x:c r="U1535" s="10" t="str">
        <x:v>debt payment tracker</x:v>
      </x:c>
      <x:c r="V1535" s="10" t="str">
        <x:v>debt snowball</x:v>
      </x:c>
      <x:c r="W1535" s="10" t="str">
        <x:v>debt payoff planner</x:v>
      </x:c>
      <x:c r="X1535" s="10" t="str">
        <x:v>debt calculator</x:v>
      </x:c>
      <x:c r="Y1535" s="10" t="str">
        <x:v>loan payoff tracker</x:v>
      </x:c>
      <x:c r="Z1535" s="10" t="str">
        <x:v>credit card debt</x:v>
      </x:c>
      <x:c r="AA1535" s="10" t="str">
        <x:v>mortgage payoff</x:v>
      </x:c>
      <x:c r="AB1535" s="10" t="str">
        <x:v>student loan debt</x:v>
      </x:c>
      <x:c r="AC1535" s="10" t="str">
        <x:v>financial planner</x:v>
      </x:c>
      <x:c r="AD1535" s="10" t="str">
        <x:v>personal finance</x:v>
      </x:c>
      <x:c r="AE1535" s="10" t="str">
        <x:v>debt google sheets</x:v>
      </x:c>
      <x:c r="AF1535" s="10" t="str">
        <x:v>debt tracker</x:v>
      </x:c>
      <x:c r="AG1535" s="10" t="str">
        <x:v>repayment tracker</x:v>
      </x:c>
      <x:c r="AH1535" s="10" t="str">
        <x:v>General debt payoff</x:v>
      </x:c>
      <x:c r="AI1535" s="13" t="n">
        <x:v>32</x:v>
      </x:c>
      <x:c r="AJ1535" s="10" t="str">
        <x:f>IF(F1535&gt;0,"Active","No est. sales")</x:f>
        <x:v>No est. sales</x:v>
      </x:c>
    </x:row>
    <x:row r="1536">
      <x:c r="A1536" s="10" t="str">
        <x:v>Mortgage Due Planner Stickers | Mortgage Payment Reminder Stickers | Bill Due Planner Stickers | Functional Planner Stickers</x:v>
      </x:c>
      <x:c r="B1536" s="10" t="str">
        <x:v>https://www.etsy.com/listing/1403032561/mortgage-due-planner-stickers-0199-bill</x:v>
      </x:c>
      <x:c r="C1536" s="10" t="str">
        <x:v>TheRenschNook</x:v>
      </x:c>
      <x:c r="D1536" s="10" t="str">
        <x:v>https://www.etsy.com/shop/TheRenschNook</x:v>
      </x:c>
      <x:c r="E1536" s="11" t="n">
        <x:v>2.5</x:v>
      </x:c>
      <x:c r="F1536" s="10" t="n">
        <x:v>0</x:v>
      </x:c>
      <x:c r="G1536" s="12" t="n">
        <x:v>0</x:v>
      </x:c>
      <x:c r="H1536" s="13" t="n">
        <x:v>0</x:v>
      </x:c>
      <x:c r="I1536" s="10" t="n">
        <x:v>25</x:v>
      </x:c>
      <x:c r="J1536" s="10" t="n">
        <x:v>5</x:v>
      </x:c>
      <x:c r="K1536" s="10" t="str">
        <x:v>42 Mo.</x:v>
      </x:c>
      <x:c r="L1536" s="10" t="n">
        <x:v>51</x:v>
      </x:c>
      <x:c r="M1536" s="10" t="n">
        <x:v>0</x:v>
      </x:c>
      <x:c r="N1536" s="10" t="n">
        <x:v>444</x:v>
      </x:c>
      <x:c r="O1536" s="10" t="str">
        <x:v>Paper &amp; Party Supplies</x:v>
      </x:c>
      <x:c r="P1536" s="10" t="n">
        <x:v>117</x:v>
      </x:c>
      <x:c r="Q1536" s="10" t="n">
        <x:v>0</x:v>
      </x:c>
      <x:c r="R1536" s="13" t="n">
        <x:v>5.63</x:v>
      </x:c>
      <x:c r="S1536" s="10" t="n">
        <x:v>43824</x:v>
      </x:c>
      <x:c r="T1536" s="10" t="str">
        <x:v>mortgage due,mortgage stickers,bill due stickers,mortgage payment,bill reminder,planner stickers,budget planner,finance planner,functional planner,monthly bills,erin condren,bullet journal,hand drawn stickers</x:v>
      </x:c>
      <x:c r="U1536" s="10" t="str">
        <x:v>mortgage due</x:v>
      </x:c>
      <x:c r="V1536" s="10" t="str">
        <x:v>mortgage stickers</x:v>
      </x:c>
      <x:c r="W1536" s="10" t="str">
        <x:v>bill due stickers</x:v>
      </x:c>
      <x:c r="X1536" s="10" t="str">
        <x:v>mortgage payment</x:v>
      </x:c>
      <x:c r="Y1536" s="10" t="str">
        <x:v>bill reminder</x:v>
      </x:c>
      <x:c r="Z1536" s="10" t="str">
        <x:v>planner stickers</x:v>
      </x:c>
      <x:c r="AA1536" s="10" t="str">
        <x:v>budget planner</x:v>
      </x:c>
      <x:c r="AB1536" s="10" t="str">
        <x:v>finance planner</x:v>
      </x:c>
      <x:c r="AC1536" s="10" t="str">
        <x:v>functional planner</x:v>
      </x:c>
      <x:c r="AD1536" s="10" t="str">
        <x:v>monthly bills</x:v>
      </x:c>
      <x:c r="AE1536" s="10" t="str">
        <x:v>erin condren</x:v>
      </x:c>
      <x:c r="AF1536" s="10" t="str">
        <x:v>bullet journal</x:v>
      </x:c>
      <x:c r="AG1536" s="10" t="str">
        <x:v>hand drawn stickers</x:v>
      </x:c>
      <x:c r="AH1536" s="10" t="str">
        <x:v>Other mortgage-related</x:v>
      </x:c>
      <x:c r="AI1536" s="13" t="n">
        <x:v>42</x:v>
      </x:c>
      <x:c r="AJ1536" s="10" t="str">
        <x:f>IF(F1536&gt;0,"Active","No est. sales")</x:f>
        <x:v>No est. sales</x:v>
      </x:c>
    </x:row>
    <x:row r="1537">
      <x:c r="A1537" s="10" t="str">
        <x:v>Debt Payoff Tracker Google Sheets,  Debt Avalanche Calculator, Debt Snowball, Debt Free Planner Loan Tracker Credit Card Payoff</x:v>
      </x:c>
      <x:c r="B1537" s="10" t="str">
        <x:v>https://www.etsy.com/listing/1779462016/debt-payoff-tracker-google-sheets-debt</x:v>
      </x:c>
      <x:c r="C1537" s="10" t="str">
        <x:v>SapphireCreationsAU</x:v>
      </x:c>
      <x:c r="D1537" s="10" t="str">
        <x:v>https://www.etsy.com/shop/SapphireCreationsAU</x:v>
      </x:c>
      <x:c r="E1537" s="11" t="n">
        <x:v>2.8</x:v>
      </x:c>
      <x:c r="F1537" s="10" t="n">
        <x:v>0</x:v>
      </x:c>
      <x:c r="G1537" s="12" t="n">
        <x:v>0</x:v>
      </x:c>
      <x:c r="H1537" s="13" t="n">
        <x:v>0</x:v>
      </x:c>
      <x:c r="I1537" s="10" t="n">
        <x:v>0</x:v>
      </x:c>
      <x:c r="J1537" s="10" t="n">
        <x:v>0</x:v>
      </x:c>
      <x:c r="K1537" s="10" t="str">
        <x:v>22 Mo.</x:v>
      </x:c>
      <x:c r="L1537" s="10" t="n">
        <x:v>4</x:v>
      </x:c>
      <x:c r="M1537" s="10" t="n">
        <x:v>0</x:v>
      </x:c>
      <x:c r="N1537" s="10" t="n">
        <x:v>167</x:v>
      </x:c>
      <x:c r="O1537" s="10" t="str"/>
      <x:c r="P1537" s="10" t="n">
        <x:v>34</x:v>
      </x:c>
      <x:c r="Q1537" s="10" t="n">
        <x:v>0</x:v>
      </x:c>
      <x:c r="R1537" s="13" t="n">
        <x:v>0</x:v>
      </x:c>
      <x:c r="S1537" s="10" t="n">
        <x:v>14912</x:v>
      </x:c>
      <x:c r="T1537" s="10" t="str">
        <x:v>debt payoff chart,credit utilization,snowball method,mortgage payoff,student loan debt,credit card payoff,loan payoff tracker,debt calculator,credit card debt,debt payment tracker,debt payoff planner,debt payoff tracker,debt template</x:v>
      </x:c>
      <x:c r="U1537" s="10" t="str">
        <x:v>debt payoff chart</x:v>
      </x:c>
      <x:c r="V1537" s="10" t="str">
        <x:v>credit utilization</x:v>
      </x:c>
      <x:c r="W1537" s="10" t="str">
        <x:v>snowball method</x:v>
      </x:c>
      <x:c r="X1537" s="10" t="str">
        <x:v>mortgage payoff</x:v>
      </x:c>
      <x:c r="Y1537" s="10" t="str">
        <x:v>student loan debt</x:v>
      </x:c>
      <x:c r="Z1537" s="10" t="str">
        <x:v>credit card payoff</x:v>
      </x:c>
      <x:c r="AA1537" s="10" t="str">
        <x:v>loan payoff tracker</x:v>
      </x:c>
      <x:c r="AB1537" s="10" t="str">
        <x:v>debt calculator</x:v>
      </x:c>
      <x:c r="AC1537" s="10" t="str">
        <x:v>credit card debt</x:v>
      </x:c>
      <x:c r="AD1537" s="10" t="str">
        <x:v>debt payment tracker</x:v>
      </x:c>
      <x:c r="AE1537" s="10" t="str">
        <x:v>debt payoff planner</x:v>
      </x:c>
      <x:c r="AF1537" s="10" t="str">
        <x:v>debt payoff tracker</x:v>
      </x:c>
      <x:c r="AG1537" s="10" t="str">
        <x:v>debt template</x:v>
      </x:c>
      <x:c r="AH1537" s="10" t="str">
        <x:v>General debt payoff</x:v>
      </x:c>
      <x:c r="AI1537" s="13" t="n">
        <x:v>22</x:v>
      </x:c>
      <x:c r="AJ1537" s="10" t="str">
        <x:f>IF(F1537&gt;0,"Active","No est. sales")</x:f>
        <x:v>No est. sales</x:v>
      </x:c>
    </x:row>
    <x:row r="1538">
      <x:c r="A1538" s="10" t="str">
        <x:v>Mortgage Made Easy: Your Step-by-Step Planner</x:v>
      </x:c>
      <x:c r="B1538" s="10" t="str">
        <x:v>https://www.etsy.com/listing/1701299252/mortgage-made-easy-your-step-by-step</x:v>
      </x:c>
      <x:c r="C1538" s="10" t="str">
        <x:v>HomeSweetMays</x:v>
      </x:c>
      <x:c r="D1538" s="10" t="str">
        <x:v>https://www.etsy.com/shop/HomeSweetMays</x:v>
      </x:c>
      <x:c r="E1538" s="11" t="n">
        <x:v>10.99</x:v>
      </x:c>
      <x:c r="F1538" s="10" t="n">
        <x:v>0</x:v>
      </x:c>
      <x:c r="G1538" s="12" t="n">
        <x:v>0</x:v>
      </x:c>
      <x:c r="H1538" s="13" t="n">
        <x:v>0</x:v>
      </x:c>
      <x:c r="I1538" s="10" t="n">
        <x:v>0</x:v>
      </x:c>
      <x:c r="J1538" s="10" t="n">
        <x:v>0</x:v>
      </x:c>
      <x:c r="K1538" s="10" t="str">
        <x:v>27 Mo.</x:v>
      </x:c>
      <x:c r="L1538" s="10" t="n">
        <x:v>0</x:v>
      </x:c>
      <x:c r="M1538" s="10" t="n">
        <x:v>0</x:v>
      </x:c>
      <x:c r="N1538" s="10" t="n">
        <x:v>26</x:v>
      </x:c>
      <x:c r="O1538" s="10" t="str">
        <x:v>Paper &amp; Party Supplies</x:v>
      </x:c>
      <x:c r="P1538" s="10" t="n">
        <x:v>27</x:v>
      </x:c>
      <x:c r="Q1538" s="10" t="n">
        <x:v>0</x:v>
      </x:c>
      <x:c r="R1538" s="13" t="n">
        <x:v>0</x:v>
      </x:c>
      <x:c r="S1538" s="10" t="n">
        <x:v>0</x:v>
      </x:c>
      <x:c r="T1538" s="10" t="str"/>
      <x:c r="U1538" s="10" t="str">
        <x:v>--</x:v>
      </x:c>
      <x:c r="V1538" s="10" t="str">
        <x:v>--</x:v>
      </x:c>
      <x:c r="W1538" s="10" t="str">
        <x:v>--</x:v>
      </x:c>
      <x:c r="X1538" s="10" t="str">
        <x:v>--</x:v>
      </x:c>
      <x:c r="Y1538" s="10" t="str">
        <x:v>--</x:v>
      </x:c>
      <x:c r="Z1538" s="10" t="str">
        <x:v>--</x:v>
      </x:c>
      <x:c r="AA1538" s="10" t="str">
        <x:v>--</x:v>
      </x:c>
      <x:c r="AB1538" s="10" t="str">
        <x:v>--</x:v>
      </x:c>
      <x:c r="AC1538" s="10" t="str">
        <x:v>--</x:v>
      </x:c>
      <x:c r="AD1538" s="10" t="str">
        <x:v>--</x:v>
      </x:c>
      <x:c r="AE1538" s="10" t="str">
        <x:v>--</x:v>
      </x:c>
      <x:c r="AF1538" s="10" t="str">
        <x:v>--</x:v>
      </x:c>
      <x:c r="AG1538" s="10" t="str">
        <x:v>--</x:v>
      </x:c>
      <x:c r="AH1538" s="10" t="str">
        <x:v>Other mortgage-related</x:v>
      </x:c>
      <x:c r="AI1538" s="13" t="n">
        <x:v>27</x:v>
      </x:c>
      <x:c r="AJ1538" s="10" t="str">
        <x:f>IF(F1538&gt;0,"Active","No est. sales")</x:f>
        <x:v>No est. sales</x:v>
      </x:c>
    </x:row>
    <x:row r="1539">
      <x:c r="A1539" s="10" t="str">
        <x:v>Mortgage Due Mini Planner Sticker | kiss-cut sticker sheets, custom text phrases, bill pay stickers | CRAFTY MANDY</x:v>
      </x:c>
      <x:c r="B1539" s="10" t="str">
        <x:v>https://www.etsy.com/listing/1272315978/mortgage-due-mini-planner-sticker-kiss</x:v>
      </x:c>
      <x:c r="C1539" s="10" t="str">
        <x:v>CraftyMandyStore</x:v>
      </x:c>
      <x:c r="D1539" s="10" t="str">
        <x:v>https://www.etsy.com/shop/CraftyMandyStore</x:v>
      </x:c>
      <x:c r="E1539" s="11" t="n">
        <x:v>6</x:v>
      </x:c>
      <x:c r="F1539" s="10" t="n">
        <x:v>0</x:v>
      </x:c>
      <x:c r="G1539" s="12" t="n">
        <x:v>0</x:v>
      </x:c>
      <x:c r="H1539" s="13" t="n">
        <x:v>0</x:v>
      </x:c>
      <x:c r="I1539" s="10" t="n">
        <x:v>0</x:v>
      </x:c>
      <x:c r="J1539" s="10" t="n">
        <x:v>0</x:v>
      </x:c>
      <x:c r="K1539" s="10" t="str">
        <x:v>47 Mo.</x:v>
      </x:c>
      <x:c r="L1539" s="10" t="n">
        <x:v>7</x:v>
      </x:c>
      <x:c r="M1539" s="10" t="n">
        <x:v>0</x:v>
      </x:c>
      <x:c r="N1539" s="10" t="n">
        <x:v>171</x:v>
      </x:c>
      <x:c r="O1539" s="10" t="str">
        <x:v>Paper &amp; Party Supplies</x:v>
      </x:c>
      <x:c r="P1539" s="10" t="n">
        <x:v>50</x:v>
      </x:c>
      <x:c r="Q1539" s="10" t="n">
        <x:v>0</x:v>
      </x:c>
      <x:c r="R1539" s="13" t="n">
        <x:v>0</x:v>
      </x:c>
      <x:c r="S1539" s="10" t="n">
        <x:v>1153</x:v>
      </x:c>
      <x:c r="T1539" s="10" t="str">
        <x:v>custom stickers,laptop stickers,small stickers,book stickers,vinyl stickers,custom name,die cut sticker,scripts,mini scripts,scripts stickers,planner stickers,custom text,tiny text</x:v>
      </x:c>
      <x:c r="U1539" s="10" t="str">
        <x:v>custom stickers</x:v>
      </x:c>
      <x:c r="V1539" s="10" t="str">
        <x:v>laptop stickers</x:v>
      </x:c>
      <x:c r="W1539" s="10" t="str">
        <x:v>small stickers</x:v>
      </x:c>
      <x:c r="X1539" s="10" t="str">
        <x:v>book stickers</x:v>
      </x:c>
      <x:c r="Y1539" s="10" t="str">
        <x:v>vinyl stickers</x:v>
      </x:c>
      <x:c r="Z1539" s="10" t="str">
        <x:v>custom name</x:v>
      </x:c>
      <x:c r="AA1539" s="10" t="str">
        <x:v>die cut sticker</x:v>
      </x:c>
      <x:c r="AB1539" s="10" t="str">
        <x:v>scripts</x:v>
      </x:c>
      <x:c r="AC1539" s="10" t="str">
        <x:v>mini scripts</x:v>
      </x:c>
      <x:c r="AD1539" s="10" t="str">
        <x:v>scripts stickers</x:v>
      </x:c>
      <x:c r="AE1539" s="10" t="str">
        <x:v>planner stickers</x:v>
      </x:c>
      <x:c r="AF1539" s="10" t="str">
        <x:v>custom text</x:v>
      </x:c>
      <x:c r="AG1539" s="10" t="str">
        <x:v>tiny text</x:v>
      </x:c>
      <x:c r="AH1539" s="10" t="str">
        <x:v>Other mortgage-related</x:v>
      </x:c>
      <x:c r="AI1539" s="13" t="n">
        <x:v>47</x:v>
      </x:c>
      <x:c r="AJ1539" s="10" t="str">
        <x:f>IF(F1539&gt;0,"Active","No est. sales")</x:f>
        <x:v>No est. sales</x:v>
      </x:c>
    </x:row>
    <x:row r="1540">
      <x:c r="A1540" s="10" t="str">
        <x:v>Debt Snowball Avalanche Tracker Spreadsheet Template Excel Google Sheets Loan Dashboard Debt Repayment Planner Credit Card Payoff</x:v>
      </x:c>
      <x:c r="B1540" s="10" t="str">
        <x:v>https://www.etsy.com/listing/4296325928/debt-snowball-avalanche-tracker</x:v>
      </x:c>
      <x:c r="C1540" s="10" t="str">
        <x:v>TheSheetStudio</x:v>
      </x:c>
      <x:c r="D1540" s="10" t="str">
        <x:v>https://www.etsy.com/shop/TheSheetStudio</x:v>
      </x:c>
      <x:c r="E1540" s="11" t="n">
        <x:v>9.7</x:v>
      </x:c>
      <x:c r="F1540" s="10" t="n">
        <x:v>0</x:v>
      </x:c>
      <x:c r="G1540" s="12" t="n">
        <x:v>0</x:v>
      </x:c>
      <x:c r="H1540" s="13" t="n">
        <x:v>0</x:v>
      </x:c>
      <x:c r="I1540" s="10" t="n">
        <x:v>0</x:v>
      </x:c>
      <x:c r="J1540" s="10" t="n">
        <x:v>0</x:v>
      </x:c>
      <x:c r="K1540" s="10" t="str">
        <x:v>15 Mo.</x:v>
      </x:c>
      <x:c r="L1540" s="10" t="n">
        <x:v>6</x:v>
      </x:c>
      <x:c r="M1540" s="10" t="n">
        <x:v>0</x:v>
      </x:c>
      <x:c r="N1540" s="10" t="n">
        <x:v>200</x:v>
      </x:c>
      <x:c r="O1540" s="10" t="str"/>
      <x:c r="P1540" s="10" t="n">
        <x:v>33</x:v>
      </x:c>
      <x:c r="Q1540" s="10" t="n">
        <x:v>0</x:v>
      </x:c>
      <x:c r="R1540" s="13" t="n">
        <x:v>0</x:v>
      </x:c>
      <x:c r="S1540" s="10" t="n">
        <x:v>7034</x:v>
      </x:c>
      <x:c r="T1540" s="10" t="str">
        <x:v>debt payoff planner,debt tracker,debt free planner,loan payoff tracker,debt planner excel,google sheets,debt snowball,debt spreadsheet,debt repayment,mortgage pay off,debt dashboard,student loan payoff,debt template excel</x:v>
      </x:c>
      <x:c r="U1540" s="10" t="str">
        <x:v>debt payoff planner</x:v>
      </x:c>
      <x:c r="V1540" s="10" t="str">
        <x:v>debt tracker</x:v>
      </x:c>
      <x:c r="W1540" s="10" t="str">
        <x:v>debt free planner</x:v>
      </x:c>
      <x:c r="X1540" s="10" t="str">
        <x:v>loan payoff tracker</x:v>
      </x:c>
      <x:c r="Y1540" s="10" t="str">
        <x:v>debt planner excel</x:v>
      </x:c>
      <x:c r="Z1540" s="10" t="str">
        <x:v>google sheets</x:v>
      </x:c>
      <x:c r="AA1540" s="10" t="str">
        <x:v>debt snowball</x:v>
      </x:c>
      <x:c r="AB1540" s="10" t="str">
        <x:v>debt spreadsheet</x:v>
      </x:c>
      <x:c r="AC1540" s="10" t="str">
        <x:v>debt repayment</x:v>
      </x:c>
      <x:c r="AD1540" s="10" t="str">
        <x:v>mortgage pay off</x:v>
      </x:c>
      <x:c r="AE1540" s="10" t="str">
        <x:v>debt dashboard</x:v>
      </x:c>
      <x:c r="AF1540" s="10" t="str">
        <x:v>student loan payoff</x:v>
      </x:c>
      <x:c r="AG1540" s="10" t="str">
        <x:v>debt template excel</x:v>
      </x:c>
      <x:c r="AH1540" s="10" t="str">
        <x:v>General debt payoff</x:v>
      </x:c>
      <x:c r="AI1540" s="13" t="n">
        <x:v>15</x:v>
      </x:c>
      <x:c r="AJ1540" s="10" t="str">
        <x:f>IF(F1540&gt;0,"Active","No est. sales")</x:f>
        <x:v>No est. sales</x:v>
      </x:c>
    </x:row>
    <x:row r="1541">
      <x:c r="A1541" s="10" t="str">
        <x:v>Happy House Bill 3/8 inch Label Tracker Reminder Cute Kawaii Personal Planner Stickers Erin Condren Life ECLP Mambi Funny Rent Mortgage Tax</x:v>
      </x:c>
      <x:c r="B1541" s="10" t="str">
        <x:v>https://www.etsy.com/listing/576245982/happy-house-bill-38-inch-label-tracker</x:v>
      </x:c>
      <x:c r="C1541" s="10" t="str">
        <x:v>aHappyBlueTree</x:v>
      </x:c>
      <x:c r="D1541" s="10" t="str">
        <x:v>https://www.etsy.com/shop/aHappyBlueTree</x:v>
      </x:c>
      <x:c r="E1541" s="11" t="n">
        <x:v>3.95</x:v>
      </x:c>
      <x:c r="F1541" s="10" t="n">
        <x:v>0</x:v>
      </x:c>
      <x:c r="G1541" s="12" t="n">
        <x:v>0</x:v>
      </x:c>
      <x:c r="H1541" s="13" t="n">
        <x:v>0</x:v>
      </x:c>
      <x:c r="I1541" s="10" t="n">
        <x:v>28</x:v>
      </x:c>
      <x:c r="J1541" s="10" t="n">
        <x:v>7</x:v>
      </x:c>
      <x:c r="K1541" s="10" t="str">
        <x:v>102 Mo.</x:v>
      </x:c>
      <x:c r="L1541" s="10" t="n">
        <x:v>80</x:v>
      </x:c>
      <x:c r="M1541" s="10" t="n">
        <x:v>0</x:v>
      </x:c>
      <x:c r="N1541" s="10" t="n">
        <x:v>541</x:v>
      </x:c>
      <x:c r="O1541" s="10" t="str">
        <x:v>Paper &amp; Party Supplies</x:v>
      </x:c>
      <x:c r="P1541" s="10" t="n">
        <x:v>126</x:v>
      </x:c>
      <x:c r="Q1541" s="10" t="n">
        <x:v>0</x:v>
      </x:c>
      <x:c r="R1541" s="13" t="n">
        <x:v>5.18</x:v>
      </x:c>
      <x:c r="S1541" s="10" t="n">
        <x:v>150331</x:v>
      </x:c>
      <x:c r="T1541" s="10" t="str">
        <x:v>planner,stickers,happy,kawaii,cute,erin condren,funny,mambi,bill,budget,mortgage,rent,repairs</x:v>
      </x:c>
      <x:c r="U1541" s="10" t="str">
        <x:v>planner</x:v>
      </x:c>
      <x:c r="V1541" s="10" t="str">
        <x:v>stickers</x:v>
      </x:c>
      <x:c r="W1541" s="10" t="str">
        <x:v>happy</x:v>
      </x:c>
      <x:c r="X1541" s="10" t="str">
        <x:v>kawaii</x:v>
      </x:c>
      <x:c r="Y1541" s="10" t="str">
        <x:v>cute</x:v>
      </x:c>
      <x:c r="Z1541" s="10" t="str">
        <x:v>erin condren</x:v>
      </x:c>
      <x:c r="AA1541" s="10" t="str">
        <x:v>funny</x:v>
      </x:c>
      <x:c r="AB1541" s="10" t="str">
        <x:v>mambi</x:v>
      </x:c>
      <x:c r="AC1541" s="10" t="str">
        <x:v>bill</x:v>
      </x:c>
      <x:c r="AD1541" s="10" t="str">
        <x:v>budget</x:v>
      </x:c>
      <x:c r="AE1541" s="10" t="str">
        <x:v>mortgage</x:v>
      </x:c>
      <x:c r="AF1541" s="10" t="str">
        <x:v>rent</x:v>
      </x:c>
      <x:c r="AG1541" s="10" t="str">
        <x:v>repairs</x:v>
      </x:c>
      <x:c r="AH1541" s="10" t="str">
        <x:v>Other mortgage-related</x:v>
      </x:c>
      <x:c r="AI1541" s="13" t="n">
        <x:v>102</x:v>
      </x:c>
      <x:c r="AJ1541" s="10" t="str">
        <x:f>IF(F1541&gt;0,"Active","No est. sales")</x:f>
        <x:v>No est. sales</x:v>
      </x:c>
    </x:row>
    <x:row r="1542">
      <x:c r="A1542" s="10" t="str">
        <x:v>Debt Tracker Excel &amp; Google Sheets: Loan Payoff Planner</x:v>
      </x:c>
      <x:c r="B1542" s="10" t="str">
        <x:v>https://www.etsy.com/listing/4321965404/debt-tracker-excel-google-sheets-loan</x:v>
      </x:c>
      <x:c r="C1542" s="10" t="str">
        <x:v>ExcelSheetSavvy</x:v>
      </x:c>
      <x:c r="D1542" s="10" t="str">
        <x:v>https://www.etsy.com/shop/ExcelSheetSavvy</x:v>
      </x:c>
      <x:c r="E1542" s="11" t="n">
        <x:v>6.6</x:v>
      </x:c>
      <x:c r="F1542" s="10" t="n">
        <x:v>0</x:v>
      </x:c>
      <x:c r="G1542" s="12" t="n">
        <x:v>0</x:v>
      </x:c>
      <x:c r="H1542" s="13" t="n">
        <x:v>0</x:v>
      </x:c>
      <x:c r="I1542" s="10" t="n">
        <x:v>0</x:v>
      </x:c>
      <x:c r="J1542" s="10" t="n">
        <x:v>0</x:v>
      </x:c>
      <x:c r="K1542" s="10" t="str">
        <x:v>13 Mo.</x:v>
      </x:c>
      <x:c r="L1542" s="10" t="n">
        <x:v>3</x:v>
      </x:c>
      <x:c r="M1542" s="10" t="n">
        <x:v>0</x:v>
      </x:c>
      <x:c r="N1542" s="10" t="n">
        <x:v>39</x:v>
      </x:c>
      <x:c r="O1542" s="10" t="str">
        <x:v>Paper &amp; Party Supplies</x:v>
      </x:c>
      <x:c r="P1542" s="10" t="n">
        <x:v>14</x:v>
      </x:c>
      <x:c r="Q1542" s="10" t="n">
        <x:v>0</x:v>
      </x:c>
      <x:c r="R1542" s="13" t="n">
        <x:v>0</x:v>
      </x:c>
      <x:c r="S1542" s="10" t="n">
        <x:v>1978</x:v>
      </x:c>
      <x:c r="T1542" s="10" t="str">
        <x:v>student loan planner,credit card payoff,mortgage tracker,car loan spreadsheet,budget planner,google sheets debt,loan payment plan,snowball tracker,instant download,debt tracker,personal finance,excel finance,avalanche debt</x:v>
      </x:c>
      <x:c r="U1542" s="10" t="str">
        <x:v>student loan planner</x:v>
      </x:c>
      <x:c r="V1542" s="10" t="str">
        <x:v>credit card payoff</x:v>
      </x:c>
      <x:c r="W1542" s="10" t="str">
        <x:v>mortgage tracker</x:v>
      </x:c>
      <x:c r="X1542" s="10" t="str">
        <x:v>car loan spreadsheet</x:v>
      </x:c>
      <x:c r="Y1542" s="10" t="str">
        <x:v>budget planner</x:v>
      </x:c>
      <x:c r="Z1542" s="10" t="str">
        <x:v>google sheets debt</x:v>
      </x:c>
      <x:c r="AA1542" s="10" t="str">
        <x:v>loan payment plan</x:v>
      </x:c>
      <x:c r="AB1542" s="10" t="str">
        <x:v>snowball tracker</x:v>
      </x:c>
      <x:c r="AC1542" s="10" t="str">
        <x:v>instant download</x:v>
      </x:c>
      <x:c r="AD1542" s="10" t="str">
        <x:v>debt tracker</x:v>
      </x:c>
      <x:c r="AE1542" s="10" t="str">
        <x:v>personal finance</x:v>
      </x:c>
      <x:c r="AF1542" s="10" t="str">
        <x:v>excel finance</x:v>
      </x:c>
      <x:c r="AG1542" s="10" t="str">
        <x:v>avalanche debt</x:v>
      </x:c>
      <x:c r="AH1542" s="10" t="str">
        <x:v>General debt payoff</x:v>
      </x:c>
      <x:c r="AI1542" s="13" t="n">
        <x:v>13</x:v>
      </x:c>
      <x:c r="AJ1542" s="10" t="str">
        <x:f>IF(F1542&gt;0,"Active","No est. sales")</x:f>
        <x:v>No est. sales</x:v>
      </x:c>
    </x:row>
    <x:row r="1543">
      <x:c r="A1543" s="10" t="str">
        <x:v>100 Gold Real Estate Terms Social Media Posts | Real Estate Vocabulary Marketing | Real Estate Marketing | Real Estate Social Media</x:v>
      </x:c>
      <x:c r="B1543" s="10" t="str">
        <x:v>https://www.etsy.com/listing/1153813201/100-gold-real-estate-terms-social-media</x:v>
      </x:c>
      <x:c r="C1543" s="10" t="str">
        <x:v>homegoodsbynicole</x:v>
      </x:c>
      <x:c r="D1543" s="10" t="str">
        <x:v>https://www.etsy.com/shop/homegoodsbynicole</x:v>
      </x:c>
      <x:c r="E1543" s="11" t="n">
        <x:v>5.68</x:v>
      </x:c>
      <x:c r="F1543" s="10" t="n">
        <x:v>0</x:v>
      </x:c>
      <x:c r="G1543" s="12" t="n">
        <x:v>0</x:v>
      </x:c>
      <x:c r="H1543" s="13" t="n">
        <x:v>0</x:v>
      </x:c>
      <x:c r="I1543" s="10" t="n">
        <x:v>12</x:v>
      </x:c>
      <x:c r="J1543" s="10" t="n">
        <x:v>1</x:v>
      </x:c>
      <x:c r="K1543" s="10" t="str">
        <x:v>54 Mo.</x:v>
      </x:c>
      <x:c r="L1543" s="10" t="n">
        <x:v>24</x:v>
      </x:c>
      <x:c r="M1543" s="10" t="n">
        <x:v>0</x:v>
      </x:c>
      <x:c r="N1543" s="10" t="n">
        <x:v>328</x:v>
      </x:c>
      <x:c r="O1543" s="10" t="str"/>
      <x:c r="P1543" s="10" t="n">
        <x:v>68</x:v>
      </x:c>
      <x:c r="Q1543" s="10" t="n">
        <x:v>0</x:v>
      </x:c>
      <x:c r="R1543" s="13" t="n">
        <x:v>3.66</x:v>
      </x:c>
      <x:c r="S1543" s="10" t="n">
        <x:v>12547</x:v>
      </x:c>
      <x:c r="T1543" s="10" t="str">
        <x:v>real estate,realtor,real estate agent,mortgage broker,real estate terms,realtor vocabulary,realtor instagram,realtor facebook,real estate branding,realtor social media,engagement post,realtor marketing,real estate planner</x:v>
      </x:c>
      <x:c r="U1543" s="10" t="str">
        <x:v>real estate</x:v>
      </x:c>
      <x:c r="V1543" s="10" t="str">
        <x:v>realtor</x:v>
      </x:c>
      <x:c r="W1543" s="10" t="str">
        <x:v>real estate agent</x:v>
      </x:c>
      <x:c r="X1543" s="10" t="str">
        <x:v>mortgage broker</x:v>
      </x:c>
      <x:c r="Y1543" s="10" t="str">
        <x:v>real estate terms</x:v>
      </x:c>
      <x:c r="Z1543" s="10" t="str">
        <x:v>realtor vocabulary</x:v>
      </x:c>
      <x:c r="AA1543" s="10" t="str">
        <x:v>realtor instagram</x:v>
      </x:c>
      <x:c r="AB1543" s="10" t="str">
        <x:v>realtor facebook</x:v>
      </x:c>
      <x:c r="AC1543" s="10" t="str">
        <x:v>real estate branding</x:v>
      </x:c>
      <x:c r="AD1543" s="10" t="str">
        <x:v>realtor social media</x:v>
      </x:c>
      <x:c r="AE1543" s="10" t="str">
        <x:v>engagement post</x:v>
      </x:c>
      <x:c r="AF1543" s="10" t="str">
        <x:v>realtor marketing</x:v>
      </x:c>
      <x:c r="AG1543" s="10" t="str">
        <x:v>real estate planner</x:v>
      </x:c>
      <x:c r="AH1543" s="10" t="str">
        <x:v>Loan officer / B2B</x:v>
      </x:c>
      <x:c r="AI1543" s="13" t="n">
        <x:v>54</x:v>
      </x:c>
      <x:c r="AJ1543" s="10" t="str">
        <x:f>IF(F1543&gt;0,"Active","No est. sales")</x:f>
        <x:v>No est. sales</x:v>
      </x:c>
    </x:row>
    <x:row r="1544">
      <x:c r="A1544" s="10" t="str">
        <x:v>Home Purchase Budget Calculator Excel | First Time Home Buyer Spreadsheet | Mortgage Down Payment Closing Costs Planner Template</x:v>
      </x:c>
      <x:c r="B1544" s="10" t="str">
        <x:v>https://www.etsy.com/listing/4512829307/home-purchase-budget-calculator-excel</x:v>
      </x:c>
      <x:c r="C1544" s="10" t="str">
        <x:v>DeskAuthority</x:v>
      </x:c>
      <x:c r="D1544" s="10" t="str">
        <x:v>https://www.etsy.com/shop/DeskAuthority</x:v>
      </x:c>
      <x:c r="E1544" s="11" t="n">
        <x:v>2</x:v>
      </x:c>
      <x:c r="F1544" s="10" t="n">
        <x:v>0</x:v>
      </x:c>
      <x:c r="G1544" s="12" t="n">
        <x:v>0</x:v>
      </x:c>
      <x:c r="H1544" s="13" t="n">
        <x:v>0</x:v>
      </x:c>
      <x:c r="I1544" s="10" t="n">
        <x:v>0</x:v>
      </x:c>
      <x:c r="J1544" s="10" t="n">
        <x:v>0</x:v>
      </x:c>
      <x:c r="K1544" s="10" t="str">
        <x:v>2 Mo.</x:v>
      </x:c>
      <x:c r="L1544" s="10" t="n">
        <x:v>0</x:v>
      </x:c>
      <x:c r="M1544" s="10" t="n">
        <x:v>0</x:v>
      </x:c>
      <x:c r="N1544" s="10" t="n">
        <x:v>7</x:v>
      </x:c>
      <x:c r="O1544" s="10" t="str"/>
      <x:c r="P1544" s="10" t="n">
        <x:v>3</x:v>
      </x:c>
      <x:c r="Q1544" s="10" t="n">
        <x:v>0</x:v>
      </x:c>
      <x:c r="R1544" s="13" t="n">
        <x:v>0</x:v>
      </x:c>
      <x:c r="S1544" s="10" t="n">
        <x:v>10</x:v>
      </x:c>
      <x:c r="T1544" s="10" t="str">
        <x:v>home buying budget,mortgage calculator,excel spreadsheet,first time homebuyer,down payment tracker,closing cost tracker,home affordability,house budget planner,real estate budget,home buyer checklist,personal finance,loan comparison tool,digital download</x:v>
      </x:c>
      <x:c r="U1544" s="10" t="str">
        <x:v>home buying budget</x:v>
      </x:c>
      <x:c r="V1544" s="10" t="str">
        <x:v>mortgage calculator</x:v>
      </x:c>
      <x:c r="W1544" s="10" t="str">
        <x:v>excel spreadsheet</x:v>
      </x:c>
      <x:c r="X1544" s="10" t="str">
        <x:v>first time homebuyer</x:v>
      </x:c>
      <x:c r="Y1544" s="10" t="str">
        <x:v>down payment tracker</x:v>
      </x:c>
      <x:c r="Z1544" s="10" t="str">
        <x:v>closing cost tracker</x:v>
      </x:c>
      <x:c r="AA1544" s="10" t="str">
        <x:v>home affordability</x:v>
      </x:c>
      <x:c r="AB1544" s="10" t="str">
        <x:v>house budget planner</x:v>
      </x:c>
      <x:c r="AC1544" s="10" t="str">
        <x:v>real estate budget</x:v>
      </x:c>
      <x:c r="AD1544" s="10" t="str">
        <x:v>home buyer checklist</x:v>
      </x:c>
      <x:c r="AE1544" s="10" t="str">
        <x:v>personal finance</x:v>
      </x:c>
      <x:c r="AF1544" s="10" t="str">
        <x:v>loan comparison tool</x:v>
      </x:c>
      <x:c r="AG1544" s="10" t="str">
        <x:v>digital download</x:v>
      </x:c>
      <x:c r="AH1544" s="10" t="str">
        <x:v>Home buying planner</x:v>
      </x:c>
      <x:c r="AI1544" s="13" t="n">
        <x:v>2</x:v>
      </x:c>
      <x:c r="AJ1544" s="10" t="str">
        <x:f>IF(F1544&gt;0,"Active","No est. sales")</x:f>
        <x:v>No est. sales</x:v>
      </x:c>
    </x:row>
    <x:row r="1545">
      <x:c r="A1545" s="10" t="str">
        <x:v>Debt Payoff Calculator and Budget Tracker – Expense Log, Sinking Funds for Google Sheets</x:v>
      </x:c>
      <x:c r="B1545" s="10" t="str">
        <x:v>https://www.etsy.com/listing/1850952223/debt-payoff-calculator-and-budget</x:v>
      </x:c>
      <x:c r="C1545" s="10" t="str">
        <x:v>TheCreativePlansCo</x:v>
      </x:c>
      <x:c r="D1545" s="10" t="str">
        <x:v>https://www.etsy.com/shop/TheCreativePlansCo</x:v>
      </x:c>
      <x:c r="E1545" s="11" t="n">
        <x:v>22.32</x:v>
      </x:c>
      <x:c r="F1545" s="10" t="n">
        <x:v>0</x:v>
      </x:c>
      <x:c r="G1545" s="12" t="n">
        <x:v>0</x:v>
      </x:c>
      <x:c r="H1545" s="13" t="n">
        <x:v>0</x:v>
      </x:c>
      <x:c r="I1545" s="10" t="n">
        <x:v>0</x:v>
      </x:c>
      <x:c r="J1545" s="10" t="n">
        <x:v>0</x:v>
      </x:c>
      <x:c r="K1545" s="10" t="str">
        <x:v>19 Mo.</x:v>
      </x:c>
      <x:c r="L1545" s="10" t="n">
        <x:v>2</x:v>
      </x:c>
      <x:c r="M1545" s="10" t="n">
        <x:v>0</x:v>
      </x:c>
      <x:c r="N1545" s="10" t="n">
        <x:v>79</x:v>
      </x:c>
      <x:c r="O1545" s="10" t="str"/>
      <x:c r="P1545" s="10" t="n">
        <x:v>27</x:v>
      </x:c>
      <x:c r="Q1545" s="10" t="n">
        <x:v>0</x:v>
      </x:c>
      <x:c r="R1545" s="13" t="n">
        <x:v>0</x:v>
      </x:c>
      <x:c r="S1545" s="10" t="n">
        <x:v>1022</x:v>
      </x:c>
      <x:c r="T1545" s="10" t="str">
        <x:v>monthly spreadsheet,budget by monthly,excel month budget,payoff tracker,financial planner,monthly budget plan,budget spreadsheet,sinking fund sheet,budget template,debt pay off,mortgage tracker,10k savings,2025 savings</x:v>
      </x:c>
      <x:c r="U1545" s="10" t="str">
        <x:v>monthly spreadsheet</x:v>
      </x:c>
      <x:c r="V1545" s="10" t="str">
        <x:v>budget by monthly</x:v>
      </x:c>
      <x:c r="W1545" s="10" t="str">
        <x:v>excel month budget</x:v>
      </x:c>
      <x:c r="X1545" s="10" t="str">
        <x:v>payoff tracker</x:v>
      </x:c>
      <x:c r="Y1545" s="10" t="str">
        <x:v>financial planner</x:v>
      </x:c>
      <x:c r="Z1545" s="10" t="str">
        <x:v>monthly budget plan</x:v>
      </x:c>
      <x:c r="AA1545" s="10" t="str">
        <x:v>budget spreadsheet</x:v>
      </x:c>
      <x:c r="AB1545" s="10" t="str">
        <x:v>sinking fund sheet</x:v>
      </x:c>
      <x:c r="AC1545" s="10" t="str">
        <x:v>budget template</x:v>
      </x:c>
      <x:c r="AD1545" s="10" t="str">
        <x:v>debt pay off</x:v>
      </x:c>
      <x:c r="AE1545" s="10" t="str">
        <x:v>mortgage tracker</x:v>
      </x:c>
      <x:c r="AF1545" s="10" t="str">
        <x:v>10k savings</x:v>
      </x:c>
      <x:c r="AG1545" s="10" t="str">
        <x:v>2025 savings</x:v>
      </x:c>
      <x:c r="AH1545" s="10" t="str">
        <x:v>General debt payoff</x:v>
      </x:c>
      <x:c r="AI1545" s="13" t="n">
        <x:v>19</x:v>
      </x:c>
      <x:c r="AJ1545" s="10" t="str">
        <x:f>IF(F1545&gt;0,"Active","No est. sales")</x:f>
        <x:v>No est. sales</x:v>
      </x:c>
    </x:row>
    <x:row r="1546">
      <x:c r="A1546" s="10" t="str">
        <x:v>Lu Pays the Bills - Planner Stickers  - Bill Payment Planner Stickers - Household Planner Stickers - Pay Bills - Planner Girl</x:v>
      </x:c>
      <x:c r="B1546" s="10" t="str">
        <x:v>https://www.etsy.com/listing/805807545/lu-pays-the-bills-planner-stickers-bill</x:v>
      </x:c>
      <x:c r="C1546" s="10" t="str">
        <x:v>989Designs</x:v>
      </x:c>
      <x:c r="D1546" s="10" t="str">
        <x:v>https://www.etsy.com/shop/989Designs</x:v>
      </x:c>
      <x:c r="E1546" s="11" t="n">
        <x:v>4.25</x:v>
      </x:c>
      <x:c r="F1546" s="10" t="n">
        <x:v>0</x:v>
      </x:c>
      <x:c r="G1546" s="12" t="n">
        <x:v>0</x:v>
      </x:c>
      <x:c r="H1546" s="13" t="n">
        <x:v>0</x:v>
      </x:c>
      <x:c r="I1546" s="10" t="n">
        <x:v>7</x:v>
      </x:c>
      <x:c r="J1546" s="10" t="n">
        <x:v>2</x:v>
      </x:c>
      <x:c r="K1546" s="10" t="str">
        <x:v>74 Mo.</x:v>
      </x:c>
      <x:c r="L1546" s="10" t="n">
        <x:v>27</x:v>
      </x:c>
      <x:c r="M1546" s="10" t="n">
        <x:v>0</x:v>
      </x:c>
      <x:c r="N1546" s="10" t="n">
        <x:v>445</x:v>
      </x:c>
      <x:c r="O1546" s="10" t="str">
        <x:v>Paper &amp; Party Supplies</x:v>
      </x:c>
      <x:c r="P1546" s="10" t="n">
        <x:v>167</x:v>
      </x:c>
      <x:c r="Q1546" s="10" t="n">
        <x:v>0</x:v>
      </x:c>
      <x:c r="R1546" s="13" t="n">
        <x:v>1.57</x:v>
      </x:c>
      <x:c r="S1546" s="10" t="n">
        <x:v>9089</x:v>
      </x:c>
      <x:c r="T1546" s="10" t="str">
        <x:v>planner,sticker,planner girl,electric bill,mortgage,cell phone,water bill,internet,sticker sheet,gas bill stickers,bills stickers,water bill stickers,internet stickers</x:v>
      </x:c>
      <x:c r="U1546" s="10" t="str">
        <x:v>planner</x:v>
      </x:c>
      <x:c r="V1546" s="10" t="str">
        <x:v>sticker</x:v>
      </x:c>
      <x:c r="W1546" s="10" t="str">
        <x:v>planner girl</x:v>
      </x:c>
      <x:c r="X1546" s="10" t="str">
        <x:v>electric bill</x:v>
      </x:c>
      <x:c r="Y1546" s="10" t="str">
        <x:v>mortgage</x:v>
      </x:c>
      <x:c r="Z1546" s="10" t="str">
        <x:v>cell phone</x:v>
      </x:c>
      <x:c r="AA1546" s="10" t="str">
        <x:v>water bill</x:v>
      </x:c>
      <x:c r="AB1546" s="10" t="str">
        <x:v>internet</x:v>
      </x:c>
      <x:c r="AC1546" s="10" t="str">
        <x:v>sticker sheet</x:v>
      </x:c>
      <x:c r="AD1546" s="10" t="str">
        <x:v>gas bill stickers</x:v>
      </x:c>
      <x:c r="AE1546" s="10" t="str">
        <x:v>bills stickers</x:v>
      </x:c>
      <x:c r="AF1546" s="10" t="str">
        <x:v>water bill stickers</x:v>
      </x:c>
      <x:c r="AG1546" s="10" t="str">
        <x:v>internet stickers</x:v>
      </x:c>
      <x:c r="AH1546" s="10" t="str">
        <x:v>Other mortgage-related</x:v>
      </x:c>
      <x:c r="AI1546" s="13" t="n">
        <x:v>74</x:v>
      </x:c>
      <x:c r="AJ1546" s="10" t="str">
        <x:f>IF(F1546&gt;0,"Active","No est. sales")</x:f>
        <x:v>No est. sales</x:v>
      </x:c>
    </x:row>
    <x:row r="1547">
      <x:c r="A1547" s="10" t="str">
        <x:v>Real Estate Mortgage Calculator: Realtor Lead Generation Tools (Digital Download)</x:v>
      </x:c>
      <x:c r="B1547" s="10" t="str">
        <x:v>https://www.etsy.com/listing/1763239351/real-estate-mortgage-calculator-realtor</x:v>
      </x:c>
      <x:c r="C1547" s="10" t="str">
        <x:v>ElaRamCreations</x:v>
      </x:c>
      <x:c r="D1547" s="10" t="str">
        <x:v>https://www.etsy.com/shop/ElaRamCreations</x:v>
      </x:c>
      <x:c r="E1547" s="11" t="n">
        <x:v>11.33</x:v>
      </x:c>
      <x:c r="F1547" s="10" t="n">
        <x:v>0</x:v>
      </x:c>
      <x:c r="G1547" s="12" t="n">
        <x:v>0</x:v>
      </x:c>
      <x:c r="H1547" s="13" t="n">
        <x:v>0</x:v>
      </x:c>
      <x:c r="I1547" s="10" t="n">
        <x:v>0</x:v>
      </x:c>
      <x:c r="J1547" s="10" t="n">
        <x:v>0</x:v>
      </x:c>
      <x:c r="K1547" s="10" t="str">
        <x:v>24 Mo.</x:v>
      </x:c>
      <x:c r="L1547" s="10" t="n">
        <x:v>18</x:v>
      </x:c>
      <x:c r="M1547" s="10" t="n">
        <x:v>0</x:v>
      </x:c>
      <x:c r="N1547" s="10" t="n">
        <x:v>386</x:v>
      </x:c>
      <x:c r="O1547" s="10" t="str"/>
      <x:c r="P1547" s="10" t="n">
        <x:v>26</x:v>
      </x:c>
      <x:c r="Q1547" s="10" t="n">
        <x:v>0</x:v>
      </x:c>
      <x:c r="R1547" s="13" t="n">
        <x:v>0</x:v>
      </x:c>
      <x:c r="S1547" s="10" t="n">
        <x:v>470</x:v>
      </x:c>
      <x:c r="T1547" s="10" t="str">
        <x:v>business financials,mortgage lender,loan officer planner,mortgage calculator,mortgage marketing,dave ramsey,debt google sheets,debt tracker excel,debt payment tracker,debt payoff planner,mortgage tracker,home loan tracker,loan payment tracker</x:v>
      </x:c>
      <x:c r="U1547" s="10" t="str">
        <x:v>business financials</x:v>
      </x:c>
      <x:c r="V1547" s="10" t="str">
        <x:v>mortgage lender</x:v>
      </x:c>
      <x:c r="W1547" s="10" t="str">
        <x:v>loan officer planner</x:v>
      </x:c>
      <x:c r="X1547" s="10" t="str">
        <x:v>mortgage calculator</x:v>
      </x:c>
      <x:c r="Y1547" s="10" t="str">
        <x:v>mortgage marketing</x:v>
      </x:c>
      <x:c r="Z1547" s="10" t="str">
        <x:v>dave ramsey</x:v>
      </x:c>
      <x:c r="AA1547" s="10" t="str">
        <x:v>debt google sheets</x:v>
      </x:c>
      <x:c r="AB1547" s="10" t="str">
        <x:v>debt tracker excel</x:v>
      </x:c>
      <x:c r="AC1547" s="10" t="str">
        <x:v>debt payment tracker</x:v>
      </x:c>
      <x:c r="AD1547" s="10" t="str">
        <x:v>debt payoff planner</x:v>
      </x:c>
      <x:c r="AE1547" s="10" t="str">
        <x:v>mortgage tracker</x:v>
      </x:c>
      <x:c r="AF1547" s="10" t="str">
        <x:v>home loan tracker</x:v>
      </x:c>
      <x:c r="AG1547" s="10" t="str">
        <x:v>loan payment tracker</x:v>
      </x:c>
      <x:c r="AH1547" s="10" t="str">
        <x:v>Loan officer / B2B</x:v>
      </x:c>
      <x:c r="AI1547" s="13" t="n">
        <x:v>24</x:v>
      </x:c>
      <x:c r="AJ1547" s="10" t="str">
        <x:f>IF(F1547&gt;0,"Active","No est. sales")</x:f>
        <x:v>No est. sales</x:v>
      </x:c>
    </x:row>
    <x:row r="1548">
      <x:c r="A1548" s="10" t="str">
        <x:v>Rent vs Buy Home Planner | Canadian Mortgage Calculator (Excel &amp; Google Sheets)</x:v>
      </x:c>
      <x:c r="B1548" s="10" t="str">
        <x:v>https://www.etsy.com/listing/4458614688/rent-vs-buy-home-buying-planner-canada</x:v>
      </x:c>
      <x:c r="C1548" s="10" t="str">
        <x:v>HomeBuyingAdvising</x:v>
      </x:c>
      <x:c r="D1548" s="10" t="str">
        <x:v>https://www.etsy.com/shop/HomeBuyingAdvising</x:v>
      </x:c>
      <x:c r="E1548" s="11" t="n">
        <x:v>21.27</x:v>
      </x:c>
      <x:c r="F1548" s="10" t="n">
        <x:v>0</x:v>
      </x:c>
      <x:c r="G1548" s="12" t="n">
        <x:v>0</x:v>
      </x:c>
      <x:c r="H1548" s="13" t="n">
        <x:v>0</x:v>
      </x:c>
      <x:c r="I1548" s="10" t="n">
        <x:v>0</x:v>
      </x:c>
      <x:c r="J1548" s="10" t="n">
        <x:v>0</x:v>
      </x:c>
      <x:c r="K1548" s="10" t="str">
        <x:v>5 Mo.</x:v>
      </x:c>
      <x:c r="L1548" s="10" t="n">
        <x:v>0</x:v>
      </x:c>
      <x:c r="M1548" s="10" t="n">
        <x:v>0</x:v>
      </x:c>
      <x:c r="N1548" s="10" t="n">
        <x:v>87</x:v>
      </x:c>
      <x:c r="O1548" s="10" t="str"/>
      <x:c r="P1548" s="10" t="n">
        <x:v>22</x:v>
      </x:c>
      <x:c r="Q1548" s="10" t="n">
        <x:v>0</x:v>
      </x:c>
      <x:c r="R1548" s="13" t="n">
        <x:v>0</x:v>
      </x:c>
      <x:c r="S1548" s="10" t="n">
        <x:v>14</x:v>
      </x:c>
      <x:c r="T1548" s="10" t="str">
        <x:v>rent vs buy,affordability tool,down payment tool,first time buyer,house budget sheet,canada home buying,canada mortgage,real estate sheet,budget spreadsheet,investment planner,home buying planner,mortgage calculator,home buyer guide</x:v>
      </x:c>
      <x:c r="U1548" s="10" t="str">
        <x:v>rent vs buy</x:v>
      </x:c>
      <x:c r="V1548" s="10" t="str">
        <x:v>affordability tool</x:v>
      </x:c>
      <x:c r="W1548" s="10" t="str">
        <x:v>down payment tool</x:v>
      </x:c>
      <x:c r="X1548" s="10" t="str">
        <x:v>first time buyer</x:v>
      </x:c>
      <x:c r="Y1548" s="10" t="str">
        <x:v>house budget sheet</x:v>
      </x:c>
      <x:c r="Z1548" s="10" t="str">
        <x:v>canada home buying</x:v>
      </x:c>
      <x:c r="AA1548" s="10" t="str">
        <x:v>canada mortgage</x:v>
      </x:c>
      <x:c r="AB1548" s="10" t="str">
        <x:v>real estate sheet</x:v>
      </x:c>
      <x:c r="AC1548" s="10" t="str">
        <x:v>budget spreadsheet</x:v>
      </x:c>
      <x:c r="AD1548" s="10" t="str">
        <x:v>investment planner</x:v>
      </x:c>
      <x:c r="AE1548" s="10" t="str">
        <x:v>home buying planner</x:v>
      </x:c>
      <x:c r="AF1548" s="10" t="str">
        <x:v>mortgage calculator</x:v>
      </x:c>
      <x:c r="AG1548" s="10" t="str">
        <x:v>home buyer guide</x:v>
      </x:c>
      <x:c r="AH1548" s="10" t="str">
        <x:v>Home buying planner</x:v>
      </x:c>
      <x:c r="AI1548" s="13" t="n">
        <x:v>5</x:v>
      </x:c>
      <x:c r="AJ1548" s="10" t="str">
        <x:f>IF(F1548&gt;0,"Active","No est. sales")</x:f>
        <x:v>No est. sales</x:v>
      </x:c>
    </x:row>
    <x:row r="1549">
      <x:c r="A1549" s="10" t="str">
        <x:v>Mortgage Payment - Planner Stickers</x:v>
      </x:c>
      <x:c r="B1549" s="10" t="str">
        <x:v>https://www.etsy.com/listing/4312728990/mortgage-payment-planner-stickers</x:v>
      </x:c>
      <x:c r="C1549" s="10" t="str">
        <x:v>AllycatsShop</x:v>
      </x:c>
      <x:c r="D1549" s="10" t="str">
        <x:v>https://www.etsy.com/shop/AllycatsShop</x:v>
      </x:c>
      <x:c r="E1549" s="11" t="n">
        <x:v>2.84</x:v>
      </x:c>
      <x:c r="F1549" s="10" t="n">
        <x:v>0</x:v>
      </x:c>
      <x:c r="G1549" s="12" t="n">
        <x:v>0</x:v>
      </x:c>
      <x:c r="H1549" s="13" t="n">
        <x:v>0</x:v>
      </x:c>
      <x:c r="I1549" s="10" t="n">
        <x:v>0</x:v>
      </x:c>
      <x:c r="J1549" s="10" t="n">
        <x:v>0</x:v>
      </x:c>
      <x:c r="K1549" s="10" t="str">
        <x:v>14 Mo.</x:v>
      </x:c>
      <x:c r="L1549" s="10" t="n">
        <x:v>5</x:v>
      </x:c>
      <x:c r="M1549" s="10" t="n">
        <x:v>0</x:v>
      </x:c>
      <x:c r="N1549" s="10" t="n">
        <x:v>46</x:v>
      </x:c>
      <x:c r="O1549" s="10" t="str">
        <x:v>Craft Supplies &amp; Tools</x:v>
      </x:c>
      <x:c r="P1549" s="10" t="n">
        <x:v>160</x:v>
      </x:c>
      <x:c r="Q1549" s="10" t="n">
        <x:v>0</x:v>
      </x:c>
      <x:c r="R1549" s="13" t="n">
        <x:v>0</x:v>
      </x:c>
      <x:c r="S1549" s="10" t="n">
        <x:v>37604</x:v>
      </x:c>
      <x:c r="T1549" s="10" t="str">
        <x:v>planner stickers,stickers,rainbow stickers,rainbow,prescriptions,mambi,plum paper,doctor sticker,doctor appointment,appointment sticker,mortgage payment</x:v>
      </x:c>
      <x:c r="U1549" s="10" t="str">
        <x:v>planner stickers</x:v>
      </x:c>
      <x:c r="V1549" s="10" t="str">
        <x:v>stickers</x:v>
      </x:c>
      <x:c r="W1549" s="10" t="str">
        <x:v>rainbow stickers</x:v>
      </x:c>
      <x:c r="X1549" s="10" t="str">
        <x:v>rainbow</x:v>
      </x:c>
      <x:c r="Y1549" s="10" t="str">
        <x:v>prescriptions</x:v>
      </x:c>
      <x:c r="Z1549" s="10" t="str">
        <x:v>mambi</x:v>
      </x:c>
      <x:c r="AA1549" s="10" t="str">
        <x:v>plum paper</x:v>
      </x:c>
      <x:c r="AB1549" s="10" t="str">
        <x:v>doctor sticker</x:v>
      </x:c>
      <x:c r="AC1549" s="10" t="str">
        <x:v>doctor appointment</x:v>
      </x:c>
      <x:c r="AD1549" s="10" t="str">
        <x:v>appointment sticker</x:v>
      </x:c>
      <x:c r="AE1549" s="10" t="str">
        <x:v>mortgage payment</x:v>
      </x:c>
      <x:c r="AF1549" s="10" t="str">
        <x:v>--</x:v>
      </x:c>
      <x:c r="AG1549" s="10" t="str">
        <x:v>--</x:v>
      </x:c>
      <x:c r="AH1549" s="10" t="str">
        <x:v>Other mortgage-related</x:v>
      </x:c>
      <x:c r="AI1549" s="13" t="n">
        <x:v>14</x:v>
      </x:c>
      <x:c r="AJ1549" s="10" t="str">
        <x:f>IF(F1549&gt;0,"Active","No est. sales")</x:f>
        <x:v>No est. sales</x:v>
      </x:c>
    </x:row>
    <x:row r="1550">
      <x:c r="A1550" s="10" t="str">
        <x:v>Rental Property spreadsheets investment income expenses tax deductions landlord manage Use Microsoft Excel Google Sheets or Numbers for Mac</x:v>
      </x:c>
      <x:c r="B1550" s="10" t="str">
        <x:v>https://www.etsy.com/listing/944273710/rental-property-spreadsheets-investment</x:v>
      </x:c>
      <x:c r="C1550" s="10" t="str">
        <x:v>AllAboutPlannersShop</x:v>
      </x:c>
      <x:c r="D1550" s="10" t="str">
        <x:v>https://www.etsy.com/shop/AllAboutPlannersShop</x:v>
      </x:c>
      <x:c r="E1550" s="11" t="n">
        <x:v>13.9</x:v>
      </x:c>
      <x:c r="F1550" s="10" t="n">
        <x:v>0</x:v>
      </x:c>
      <x:c r="G1550" s="12" t="n">
        <x:v>0</x:v>
      </x:c>
      <x:c r="H1550" s="13" t="n">
        <x:v>0</x:v>
      </x:c>
      <x:c r="I1550" s="10" t="n">
        <x:v>126</x:v>
      </x:c>
      <x:c r="J1550" s="10" t="n">
        <x:v>11</x:v>
      </x:c>
      <x:c r="K1550" s="10" t="str">
        <x:v>65 Mo.</x:v>
      </x:c>
      <x:c r="L1550" s="10" t="n">
        <x:v>153</x:v>
      </x:c>
      <x:c r="M1550" s="10" t="n">
        <x:v>0</x:v>
      </x:c>
      <x:c r="N1550" s="10" t="n">
        <x:v>7324</x:v>
      </x:c>
      <x:c r="O1550" s="10" t="str"/>
      <x:c r="P1550" s="10" t="n">
        <x:v>162</x:v>
      </x:c>
      <x:c r="Q1550" s="10" t="n">
        <x:v>39</x:v>
      </x:c>
      <x:c r="R1550" s="13" t="n">
        <x:v>1.72</x:v>
      </x:c>
      <x:c r="S1550" s="10" t="n">
        <x:v>34189</x:v>
      </x:c>
      <x:c r="T1550" s="10" t="str">
        <x:v>spreadsheet,excel,budget,planner,rental property,airbnb,mortgage,property,household,investment,home,apartment,landlord</x:v>
      </x:c>
      <x:c r="U1550" s="10" t="str">
        <x:v>spreadsheet</x:v>
      </x:c>
      <x:c r="V1550" s="10" t="str">
        <x:v>excel</x:v>
      </x:c>
      <x:c r="W1550" s="10" t="str">
        <x:v>budget</x:v>
      </x:c>
      <x:c r="X1550" s="10" t="str">
        <x:v>planner</x:v>
      </x:c>
      <x:c r="Y1550" s="10" t="str">
        <x:v>rental property</x:v>
      </x:c>
      <x:c r="Z1550" s="10" t="str">
        <x:v>airbnb</x:v>
      </x:c>
      <x:c r="AA1550" s="10" t="str">
        <x:v>mortgage</x:v>
      </x:c>
      <x:c r="AB1550" s="10" t="str">
        <x:v>property</x:v>
      </x:c>
      <x:c r="AC1550" s="10" t="str">
        <x:v>household</x:v>
      </x:c>
      <x:c r="AD1550" s="10" t="str">
        <x:v>investment</x:v>
      </x:c>
      <x:c r="AE1550" s="10" t="str">
        <x:v>home</x:v>
      </x:c>
      <x:c r="AF1550" s="10" t="str">
        <x:v>apartment</x:v>
      </x:c>
      <x:c r="AG1550" s="10" t="str">
        <x:v>landlord</x:v>
      </x:c>
      <x:c r="AH1550" s="10" t="str">
        <x:v>Property investment</x:v>
      </x:c>
      <x:c r="AI1550" s="13" t="n">
        <x:v>65</x:v>
      </x:c>
      <x:c r="AJ1550" s="10" t="str">
        <x:f>IF(F1550&gt;0,"Active","No est. sales")</x:f>
        <x:v>No est. sales</x:v>
      </x:c>
    </x:row>
    <x:row r="1551">
      <x:c r="A1551" s="10" t="str">
        <x:v>30 Year Mortgage Payment Tracker Printable Journal Pages, Home Loan Freedom Planner Insert, Budget Binder Debt Payoff Sheet, Planner Pages</x:v>
      </x:c>
      <x:c r="B1551" s="10" t="str">
        <x:v>https://www.etsy.com/listing/4423195029/30-year-mortgage-payment-tracker</x:v>
      </x:c>
      <x:c r="C1551" s="10" t="str">
        <x:v>OwlsLane</x:v>
      </x:c>
      <x:c r="D1551" s="10" t="str">
        <x:v>https://www.etsy.com/shop/OwlsLane</x:v>
      </x:c>
      <x:c r="E1551" s="11" t="n">
        <x:v>1.87</x:v>
      </x:c>
      <x:c r="F1551" s="10" t="n">
        <x:v>0</x:v>
      </x:c>
      <x:c r="G1551" s="12" t="n">
        <x:v>0</x:v>
      </x:c>
      <x:c r="H1551" s="13" t="n">
        <x:v>0</x:v>
      </x:c>
      <x:c r="I1551" s="10" t="n">
        <x:v>0</x:v>
      </x:c>
      <x:c r="J1551" s="10" t="n">
        <x:v>0</x:v>
      </x:c>
      <x:c r="K1551" s="10" t="str">
        <x:v>7 Mo.</x:v>
      </x:c>
      <x:c r="L1551" s="10" t="n">
        <x:v>0</x:v>
      </x:c>
      <x:c r="M1551" s="10" t="n">
        <x:v>0</x:v>
      </x:c>
      <x:c r="N1551" s="10" t="n">
        <x:v>14</x:v>
      </x:c>
      <x:c r="O1551" s="10" t="str"/>
      <x:c r="P1551" s="10" t="n">
        <x:v>144</x:v>
      </x:c>
      <x:c r="Q1551" s="10" t="n">
        <x:v>0</x:v>
      </x:c>
      <x:c r="R1551" s="13" t="n">
        <x:v>0</x:v>
      </x:c>
      <x:c r="S1551" s="10" t="n">
        <x:v>3242</x:v>
      </x:c>
      <x:c r="T1551" s="10" t="str">
        <x:v>mortgage tracker,debt payoff,payment tracker,planner insert,budget planner,financial planner,budget binder,debt free,home loan,mortgage payoff,budget printable,finance tracker,journal pages</x:v>
      </x:c>
      <x:c r="U1551" s="10" t="str">
        <x:v>mortgage tracker</x:v>
      </x:c>
      <x:c r="V1551" s="10" t="str">
        <x:v>debt payoff</x:v>
      </x:c>
      <x:c r="W1551" s="10" t="str">
        <x:v>payment tracker</x:v>
      </x:c>
      <x:c r="X1551" s="10" t="str">
        <x:v>planner insert</x:v>
      </x:c>
      <x:c r="Y1551" s="10" t="str">
        <x:v>budget planner</x:v>
      </x:c>
      <x:c r="Z1551" s="10" t="str">
        <x:v>financial planner</x:v>
      </x:c>
      <x:c r="AA1551" s="10" t="str">
        <x:v>budget binder</x:v>
      </x:c>
      <x:c r="AB1551" s="10" t="str">
        <x:v>debt free</x:v>
      </x:c>
      <x:c r="AC1551" s="10" t="str">
        <x:v>home loan</x:v>
      </x:c>
      <x:c r="AD1551" s="10" t="str">
        <x:v>mortgage payoff</x:v>
      </x:c>
      <x:c r="AE1551" s="10" t="str">
        <x:v>budget printable</x:v>
      </x:c>
      <x:c r="AF1551" s="10" t="str">
        <x:v>finance tracker</x:v>
      </x:c>
      <x:c r="AG1551" s="10" t="str">
        <x:v>journal pages</x:v>
      </x:c>
      <x:c r="AH1551" s="10" t="str">
        <x:v>General debt payoff</x:v>
      </x:c>
      <x:c r="AI1551" s="13" t="n">
        <x:v>7</x:v>
      </x:c>
      <x:c r="AJ1551" s="10" t="str">
        <x:f>IF(F1551&gt;0,"Active","No est. sales")</x:f>
        <x:v>No est. sales</x:v>
      </x:c>
    </x:row>
    <x:row r="1552">
      <x:c r="A1552" s="10" t="str">
        <x:v>Home Buying Planner | First Time Buyer Organizer | House Hunting Checklist | Mortgage &amp; Budget Planner | Real Estate Binder</x:v>
      </x:c>
      <x:c r="B1552" s="10" t="str">
        <x:v>https://www.etsy.com/listing/4475841672/home-buying-planner-first-time-buyer</x:v>
      </x:c>
      <x:c r="C1552" s="10" t="str">
        <x:v>GlassAndPebblesCo</x:v>
      </x:c>
      <x:c r="D1552" s="10" t="str">
        <x:v>https://www.etsy.com/shop/GlassAndPebblesCo</x:v>
      </x:c>
      <x:c r="E1552" s="11" t="n">
        <x:v>3.98</x:v>
      </x:c>
      <x:c r="F1552" s="10" t="n">
        <x:v>0</x:v>
      </x:c>
      <x:c r="G1552" s="12" t="n">
        <x:v>0</x:v>
      </x:c>
      <x:c r="H1552" s="13" t="n">
        <x:v>0</x:v>
      </x:c>
      <x:c r="I1552" s="10" t="n">
        <x:v>0</x:v>
      </x:c>
      <x:c r="J1552" s="10" t="n">
        <x:v>0</x:v>
      </x:c>
      <x:c r="K1552" s="10" t="str">
        <x:v>4 Mo.</x:v>
      </x:c>
      <x:c r="L1552" s="10" t="n">
        <x:v>0</x:v>
      </x:c>
      <x:c r="M1552" s="10" t="n">
        <x:v>0</x:v>
      </x:c>
      <x:c r="N1552" s="10" t="n">
        <x:v>131</x:v>
      </x:c>
      <x:c r="O1552" s="10" t="str"/>
      <x:c r="P1552" s="10" t="n">
        <x:v>41</x:v>
      </x:c>
      <x:c r="Q1552" s="10" t="n">
        <x:v>0</x:v>
      </x:c>
      <x:c r="R1552" s="13" t="n">
        <x:v>0</x:v>
      </x:c>
      <x:c r="S1552" s="10" t="n">
        <x:v>1062</x:v>
      </x:c>
      <x:c r="T1552" s="10" t="str">
        <x:v>home buying planner,first time buyer,house hunting,real estate planner,moving planner,home organizer,budget planner,mortgage planner,printable planner,home checklist,buyer binder,house planner,relocation planner</x:v>
      </x:c>
      <x:c r="U1552" s="10" t="str">
        <x:v>home buying planner</x:v>
      </x:c>
      <x:c r="V1552" s="10" t="str">
        <x:v>first time buyer</x:v>
      </x:c>
      <x:c r="W1552" s="10" t="str">
        <x:v>house hunting</x:v>
      </x:c>
      <x:c r="X1552" s="10" t="str">
        <x:v>real estate planner</x:v>
      </x:c>
      <x:c r="Y1552" s="10" t="str">
        <x:v>moving planner</x:v>
      </x:c>
      <x:c r="Z1552" s="10" t="str">
        <x:v>home organizer</x:v>
      </x:c>
      <x:c r="AA1552" s="10" t="str">
        <x:v>budget planner</x:v>
      </x:c>
      <x:c r="AB1552" s="10" t="str">
        <x:v>mortgage planner</x:v>
      </x:c>
      <x:c r="AC1552" s="10" t="str">
        <x:v>printable planner</x:v>
      </x:c>
      <x:c r="AD1552" s="10" t="str">
        <x:v>home checklist</x:v>
      </x:c>
      <x:c r="AE1552" s="10" t="str">
        <x:v>buyer binder</x:v>
      </x:c>
      <x:c r="AF1552" s="10" t="str">
        <x:v>house planner</x:v>
      </x:c>
      <x:c r="AG1552" s="10" t="str">
        <x:v>relocation planner</x:v>
      </x:c>
      <x:c r="AH1552" s="10" t="str">
        <x:v>Home buying planner</x:v>
      </x:c>
      <x:c r="AI1552" s="13" t="n">
        <x:v>4</x:v>
      </x:c>
      <x:c r="AJ1552" s="10" t="str">
        <x:f>IF(F1552&gt;0,"Active","No est. sales")</x:f>
        <x:v>No est. sales</x:v>
      </x:c>
    </x:row>
    <x:row r="1553">
      <x:c r="A1553" s="10" t="str">
        <x:v>Mini Icon Stickers - Utilities | Mortgage | Minimalist Planner Icons | Matte | A5 Pocket Plus Personal A6 B6 FCC Hobonichi Stalogy | UK</x:v>
      </x:c>
      <x:c r="B1553" s="10" t="str">
        <x:v>https://www.etsy.com/listing/1262823969/mini-icon-stickers-utilities-mortgage</x:v>
      </x:c>
      <x:c r="C1553" s="10" t="str">
        <x:v>kolourcafe</x:v>
      </x:c>
      <x:c r="D1553" s="10" t="str">
        <x:v>https://www.etsy.com/shop/kolourcafe</x:v>
      </x:c>
      <x:c r="E1553" s="11" t="n">
        <x:v>1.6</x:v>
      </x:c>
      <x:c r="F1553" s="10" t="n">
        <x:v>0</x:v>
      </x:c>
      <x:c r="G1553" s="12" t="n">
        <x:v>0</x:v>
      </x:c>
      <x:c r="H1553" s="13" t="n">
        <x:v>0</x:v>
      </x:c>
      <x:c r="I1553" s="10" t="n">
        <x:v>39</x:v>
      </x:c>
      <x:c r="J1553" s="10" t="n">
        <x:v>7</x:v>
      </x:c>
      <x:c r="K1553" s="10" t="str">
        <x:v>48 Mo.</x:v>
      </x:c>
      <x:c r="L1553" s="10" t="n">
        <x:v>92</x:v>
      </x:c>
      <x:c r="M1553" s="10" t="n">
        <x:v>0</x:v>
      </x:c>
      <x:c r="N1553" s="10" t="n">
        <x:v>1371</x:v>
      </x:c>
      <x:c r="O1553" s="10" t="str">
        <x:v>Paper &amp; Party Supplies</x:v>
      </x:c>
      <x:c r="P1553" s="10" t="n">
        <x:v>60</x:v>
      </x:c>
      <x:c r="Q1553" s="10" t="n">
        <x:v>0</x:v>
      </x:c>
      <x:c r="R1553" s="13" t="n">
        <x:v>2.84</x:v>
      </x:c>
      <x:c r="S1553" s="10" t="n">
        <x:v>67946</x:v>
      </x:c>
      <x:c r="T1553" s="10" t="str">
        <x:v>planners,planner stickers,functional stickers,mini planner sticker,mini planner icons,clear stickers,transparent stickers,tiny icon stickers,icon stickers,minimal stickers,matte stickers,travel stickers,location stickers</x:v>
      </x:c>
      <x:c r="U1553" s="10" t="str">
        <x:v>planners</x:v>
      </x:c>
      <x:c r="V1553" s="10" t="str">
        <x:v>planner stickers</x:v>
      </x:c>
      <x:c r="W1553" s="10" t="str">
        <x:v>functional stickers</x:v>
      </x:c>
      <x:c r="X1553" s="10" t="str">
        <x:v>mini planner sticker</x:v>
      </x:c>
      <x:c r="Y1553" s="10" t="str">
        <x:v>mini planner icons</x:v>
      </x:c>
      <x:c r="Z1553" s="10" t="str">
        <x:v>clear stickers</x:v>
      </x:c>
      <x:c r="AA1553" s="10" t="str">
        <x:v>transparent stickers</x:v>
      </x:c>
      <x:c r="AB1553" s="10" t="str">
        <x:v>tiny icon stickers</x:v>
      </x:c>
      <x:c r="AC1553" s="10" t="str">
        <x:v>icon stickers</x:v>
      </x:c>
      <x:c r="AD1553" s="10" t="str">
        <x:v>minimal stickers</x:v>
      </x:c>
      <x:c r="AE1553" s="10" t="str">
        <x:v>matte stickers</x:v>
      </x:c>
      <x:c r="AF1553" s="10" t="str">
        <x:v>travel stickers</x:v>
      </x:c>
      <x:c r="AG1553" s="10" t="str">
        <x:v>location stickers</x:v>
      </x:c>
      <x:c r="AH1553" s="10" t="str">
        <x:v>Other mortgage-related</x:v>
      </x:c>
      <x:c r="AI1553" s="13" t="n">
        <x:v>48</x:v>
      </x:c>
      <x:c r="AJ1553" s="10" t="str">
        <x:f>IF(F1553&gt;0,"Active","No est. sales")</x:f>
        <x:v>No est. sales</x:v>
      </x:c>
    </x:row>
    <x:row r="1554">
      <x:c r="A1554" s="10" t="str">
        <x:v>2745-29~~Student Loans Due Planner Stickers.</x:v>
      </x:c>
      <x:c r="B1554" s="10" t="str">
        <x:v>https://www.etsy.com/listing/1736593914/2745-29student-loans-due-planner</x:v>
      </x:c>
      <x:c r="C1554" s="10" t="str">
        <x:v>PlanToPlan</x:v>
      </x:c>
      <x:c r="D1554" s="10" t="str">
        <x:v>https://www.etsy.com/shop/PlanToPlan</x:v>
      </x:c>
      <x:c r="E1554" s="11" t="n">
        <x:v>3.25</x:v>
      </x:c>
      <x:c r="F1554" s="10" t="n">
        <x:v>0</x:v>
      </x:c>
      <x:c r="G1554" s="12" t="n">
        <x:v>0</x:v>
      </x:c>
      <x:c r="H1554" s="13" t="n">
        <x:v>0</x:v>
      </x:c>
      <x:c r="I1554" s="10" t="n">
        <x:v>0</x:v>
      </x:c>
      <x:c r="J1554" s="10" t="n">
        <x:v>0</x:v>
      </x:c>
      <x:c r="K1554" s="10" t="str">
        <x:v>25 Mo.</x:v>
      </x:c>
      <x:c r="L1554" s="10" t="n">
        <x:v>21</x:v>
      </x:c>
      <x:c r="M1554" s="10" t="n">
        <x:v>0</x:v>
      </x:c>
      <x:c r="N1554" s="10" t="n">
        <x:v>40</x:v>
      </x:c>
      <x:c r="O1554" s="10" t="str">
        <x:v>Paper &amp; Party Supplies</x:v>
      </x:c>
      <x:c r="P1554" s="10" t="n">
        <x:v>126</x:v>
      </x:c>
      <x:c r="Q1554" s="10" t="n">
        <x:v>0</x:v>
      </x:c>
      <x:c r="R1554" s="13" t="n">
        <x:v>0</x:v>
      </x:c>
      <x:c r="S1554" s="10" t="n">
        <x:v>319985</x:v>
      </x:c>
      <x:c r="T1554" s="10" t="str">
        <x:v>planner stickers,reminder stickers,appointment stickers,tracker stickers,functional stickers,plantoplan,bill due stickers,cellphone stickers,cable bill stickers,electric bill,mortgage stickers,student loan sticker,erin condren</x:v>
      </x:c>
      <x:c r="U1554" s="10" t="str">
        <x:v>planner stickers</x:v>
      </x:c>
      <x:c r="V1554" s="10" t="str">
        <x:v>reminder stickers</x:v>
      </x:c>
      <x:c r="W1554" s="10" t="str">
        <x:v>appointment stickers</x:v>
      </x:c>
      <x:c r="X1554" s="10" t="str">
        <x:v>tracker stickers</x:v>
      </x:c>
      <x:c r="Y1554" s="10" t="str">
        <x:v>functional stickers</x:v>
      </x:c>
      <x:c r="Z1554" s="10" t="str">
        <x:v>plantoplan</x:v>
      </x:c>
      <x:c r="AA1554" s="10" t="str">
        <x:v>bill due stickers</x:v>
      </x:c>
      <x:c r="AB1554" s="10" t="str">
        <x:v>cellphone stickers</x:v>
      </x:c>
      <x:c r="AC1554" s="10" t="str">
        <x:v>cable bill stickers</x:v>
      </x:c>
      <x:c r="AD1554" s="10" t="str">
        <x:v>electric bill</x:v>
      </x:c>
      <x:c r="AE1554" s="10" t="str">
        <x:v>mortgage stickers</x:v>
      </x:c>
      <x:c r="AF1554" s="10" t="str">
        <x:v>student loan sticker</x:v>
      </x:c>
      <x:c r="AG1554" s="10" t="str">
        <x:v>erin condren</x:v>
      </x:c>
      <x:c r="AH1554" s="10" t="str">
        <x:v>Other mortgage-related</x:v>
      </x:c>
      <x:c r="AI1554" s="13" t="n">
        <x:v>25</x:v>
      </x:c>
      <x:c r="AJ1554" s="10" t="str">
        <x:f>IF(F1554&gt;0,"Active","No est. sales")</x:f>
        <x:v>No est. sales</x:v>
      </x:c>
    </x:row>
    <x:row r="1555">
      <x:c r="A1555" s="10" t="str">
        <x:v>Debt Payoff Tracker: Debt Snowball Avalanche Calculator Google Sheets, Credit Card, Loan Payoff, Debt Free Planner, Debt Payoff Calculator</x:v>
      </x:c>
      <x:c r="B1555" s="10" t="str">
        <x:v>https://www.etsy.com/listing/4295439905/debt-payoff-tracker-debt-snowball</x:v>
      </x:c>
      <x:c r="C1555" s="10" t="str">
        <x:v>TheCalmLifeReset</x:v>
      </x:c>
      <x:c r="D1555" s="10" t="str">
        <x:v>https://www.etsy.com/shop/TheCalmLifeReset</x:v>
      </x:c>
      <x:c r="E1555" s="11" t="n">
        <x:v>5.34</x:v>
      </x:c>
      <x:c r="F1555" s="10" t="n">
        <x:v>0</x:v>
      </x:c>
      <x:c r="G1555" s="12" t="n">
        <x:v>0</x:v>
      </x:c>
      <x:c r="H1555" s="13" t="n">
        <x:v>0</x:v>
      </x:c>
      <x:c r="I1555" s="10" t="n">
        <x:v>13</x:v>
      </x:c>
      <x:c r="J1555" s="10" t="n">
        <x:v>1</x:v>
      </x:c>
      <x:c r="K1555" s="10" t="str">
        <x:v>15 Mo.</x:v>
      </x:c>
      <x:c r="L1555" s="10" t="n">
        <x:v>20</x:v>
      </x:c>
      <x:c r="M1555" s="10" t="n">
        <x:v>0</x:v>
      </x:c>
      <x:c r="N1555" s="10" t="n">
        <x:v>284</x:v>
      </x:c>
      <x:c r="O1555" s="10" t="str">
        <x:v>Paper &amp; Party Supplies</x:v>
      </x:c>
      <x:c r="P1555" s="10" t="n">
        <x:v>23</x:v>
      </x:c>
      <x:c r="Q1555" s="10" t="n">
        <x:v>0</x:v>
      </x:c>
      <x:c r="R1555" s="13" t="n">
        <x:v>4.58</x:v>
      </x:c>
      <x:c r="S1555" s="10" t="n">
        <x:v>7715</x:v>
      </x:c>
      <x:c r="T1555" s="10" t="str">
        <x:v>credit utilization,debt avalanche,mortgage payoff,google sheets budget,credit card payoff,debt payoff chart,debt snowball,student loan debt,debt payment tracker,debt payoff tracker,debt template,financial planner,personal finance</x:v>
      </x:c>
      <x:c r="U1555" s="10" t="str">
        <x:v>credit utilization</x:v>
      </x:c>
      <x:c r="V1555" s="10" t="str">
        <x:v>debt avalanche</x:v>
      </x:c>
      <x:c r="W1555" s="10" t="str">
        <x:v>mortgage payoff</x:v>
      </x:c>
      <x:c r="X1555" s="10" t="str">
        <x:v>google sheets budget</x:v>
      </x:c>
      <x:c r="Y1555" s="10" t="str">
        <x:v>credit card payoff</x:v>
      </x:c>
      <x:c r="Z1555" s="10" t="str">
        <x:v>debt payoff chart</x:v>
      </x:c>
      <x:c r="AA1555" s="10" t="str">
        <x:v>debt snowball</x:v>
      </x:c>
      <x:c r="AB1555" s="10" t="str">
        <x:v>student loan debt</x:v>
      </x:c>
      <x:c r="AC1555" s="10" t="str">
        <x:v>debt payment tracker</x:v>
      </x:c>
      <x:c r="AD1555" s="10" t="str">
        <x:v>debt payoff tracker</x:v>
      </x:c>
      <x:c r="AE1555" s="10" t="str">
        <x:v>debt template</x:v>
      </x:c>
      <x:c r="AF1555" s="10" t="str">
        <x:v>financial planner</x:v>
      </x:c>
      <x:c r="AG1555" s="10" t="str">
        <x:v>personal finance</x:v>
      </x:c>
      <x:c r="AH1555" s="10" t="str">
        <x:v>General debt payoff</x:v>
      </x:c>
      <x:c r="AI1555" s="13" t="n">
        <x:v>15</x:v>
      </x:c>
      <x:c r="AJ1555" s="10" t="str">
        <x:f>IF(F1555&gt;0,"Active","No est. sales")</x:f>
        <x:v>No est. sales</x:v>
      </x:c>
    </x:row>
    <x:row r="1556">
      <x:c r="A1556" s="10" t="str">
        <x:v>Housing Payment Labels | Rent Payment Stickers | EC Legacy Colorway</x:v>
      </x:c>
      <x:c r="B1556" s="10" t="str">
        <x:v>https://www.etsy.com/listing/4493089640/housing-payment-labels-rent-payment</x:v>
      </x:c>
      <x:c r="C1556" s="10" t="str">
        <x:v>HeyJoPlannerCo</x:v>
      </x:c>
      <x:c r="D1556" s="10" t="str">
        <x:v>https://www.etsy.com/shop/HeyJoPlannerCo</x:v>
      </x:c>
      <x:c r="E1556" s="11" t="n">
        <x:v>3.95</x:v>
      </x:c>
      <x:c r="F1556" s="10" t="n">
        <x:v>0</x:v>
      </x:c>
      <x:c r="G1556" s="12" t="n">
        <x:v>0</x:v>
      </x:c>
      <x:c r="H1556" s="13" t="n">
        <x:v>0</x:v>
      </x:c>
      <x:c r="I1556" s="10" t="n">
        <x:v>0</x:v>
      </x:c>
      <x:c r="J1556" s="10" t="n">
        <x:v>0</x:v>
      </x:c>
      <x:c r="K1556" s="10" t="str">
        <x:v>3 Mo.</x:v>
      </x:c>
      <x:c r="L1556" s="10" t="n">
        <x:v>0</x:v>
      </x:c>
      <x:c r="M1556" s="10" t="n">
        <x:v>0</x:v>
      </x:c>
      <x:c r="N1556" s="10" t="n">
        <x:v>22</x:v>
      </x:c>
      <x:c r="O1556" s="10" t="str">
        <x:v>Paper &amp; Party Supplies</x:v>
      </x:c>
      <x:c r="P1556" s="10" t="n">
        <x:v>112</x:v>
      </x:c>
      <x:c r="Q1556" s="10" t="n">
        <x:v>0</x:v>
      </x:c>
      <x:c r="R1556" s="13" t="n">
        <x:v>0</x:v>
      </x:c>
      <x:c r="S1556" s="10" t="n">
        <x:v>480</x:v>
      </x:c>
      <x:c r="T1556" s="10" t="str">
        <x:v>planner stickers,budget stickers,financial stickers,calendar stickers,rent due stickers,house payment due,payment due stickers,mortgage due labels,payment labels,ec legacy colorway,ec legacy rent label,ec legacy mortgage,ec legacy finance</x:v>
      </x:c>
      <x:c r="U1556" s="10" t="str">
        <x:v>planner stickers</x:v>
      </x:c>
      <x:c r="V1556" s="10" t="str">
        <x:v>budget stickers</x:v>
      </x:c>
      <x:c r="W1556" s="10" t="str">
        <x:v>financial stickers</x:v>
      </x:c>
      <x:c r="X1556" s="10" t="str">
        <x:v>calendar stickers</x:v>
      </x:c>
      <x:c r="Y1556" s="10" t="str">
        <x:v>rent due stickers</x:v>
      </x:c>
      <x:c r="Z1556" s="10" t="str">
        <x:v>house payment due</x:v>
      </x:c>
      <x:c r="AA1556" s="10" t="str">
        <x:v>payment due stickers</x:v>
      </x:c>
      <x:c r="AB1556" s="10" t="str">
        <x:v>mortgage due labels</x:v>
      </x:c>
      <x:c r="AC1556" s="10" t="str">
        <x:v>payment labels</x:v>
      </x:c>
      <x:c r="AD1556" s="10" t="str">
        <x:v>ec legacy colorway</x:v>
      </x:c>
      <x:c r="AE1556" s="10" t="str">
        <x:v>ec legacy rent label</x:v>
      </x:c>
      <x:c r="AF1556" s="10" t="str">
        <x:v>ec legacy mortgage</x:v>
      </x:c>
      <x:c r="AG1556" s="10" t="str">
        <x:v>ec legacy finance</x:v>
      </x:c>
      <x:c r="AH1556" s="10" t="str">
        <x:v>Other mortgage-related</x:v>
      </x:c>
      <x:c r="AI1556" s="13" t="n">
        <x:v>3</x:v>
      </x:c>
      <x:c r="AJ1556" s="10" t="str">
        <x:f>IF(F1556&gt;0,"Active","No est. sales")</x:f>
        <x:v>No est. sales</x:v>
      </x:c>
    </x:row>
    <x:row r="1557">
      <x:c r="A1557" s="10" t="str">
        <x:v>Mortgage Due Simple Icon Planner Stickers, 49 Stickers Per Sheet</x:v>
      </x:c>
      <x:c r="B1557" s="10" t="str">
        <x:v>https://www.etsy.com/listing/1691794266/mortgage-due-simple-icon-planner</x:v>
      </x:c>
      <x:c r="C1557" s="10" t="str">
        <x:v>JellyStudioDesigns</x:v>
      </x:c>
      <x:c r="D1557" s="10" t="str">
        <x:v>https://www.etsy.com/shop/JellyStudioDesigns</x:v>
      </x:c>
      <x:c r="E1557" s="11" t="n">
        <x:v>4.66</x:v>
      </x:c>
      <x:c r="F1557" s="10" t="n">
        <x:v>0</x:v>
      </x:c>
      <x:c r="G1557" s="12" t="n">
        <x:v>0</x:v>
      </x:c>
      <x:c r="H1557" s="13" t="n">
        <x:v>0</x:v>
      </x:c>
      <x:c r="I1557" s="10" t="n">
        <x:v>0</x:v>
      </x:c>
      <x:c r="J1557" s="10" t="n">
        <x:v>0</x:v>
      </x:c>
      <x:c r="K1557" s="10" t="str">
        <x:v>28 Mo.</x:v>
      </x:c>
      <x:c r="L1557" s="10" t="n">
        <x:v>1</x:v>
      </x:c>
      <x:c r="M1557" s="10" t="n">
        <x:v>0</x:v>
      </x:c>
      <x:c r="N1557" s="10" t="n">
        <x:v>17</x:v>
      </x:c>
      <x:c r="O1557" s="10" t="str">
        <x:v>Paper &amp; Party Supplies</x:v>
      </x:c>
      <x:c r="P1557" s="10" t="n">
        <x:v>71</x:v>
      </x:c>
      <x:c r="Q1557" s="10" t="n">
        <x:v>0</x:v>
      </x:c>
      <x:c r="R1557" s="13" t="n">
        <x:v>0</x:v>
      </x:c>
      <x:c r="S1557" s="10" t="n">
        <x:v>2696</x:v>
      </x:c>
      <x:c r="T1557" s="10" t="str">
        <x:v>planner stickers,functional planning,colour in stickers,writable stickers,mini icons,mini stickers,mortgage due icons,payment reminder,minimalist stickers,expense tracker,bill due stickers,monthly planner,journaling stickers</x:v>
      </x:c>
      <x:c r="U1557" s="10" t="str">
        <x:v>planner stickers</x:v>
      </x:c>
      <x:c r="V1557" s="10" t="str">
        <x:v>functional planning</x:v>
      </x:c>
      <x:c r="W1557" s="10" t="str">
        <x:v>colour in stickers</x:v>
      </x:c>
      <x:c r="X1557" s="10" t="str">
        <x:v>writable stickers</x:v>
      </x:c>
      <x:c r="Y1557" s="10" t="str">
        <x:v>mini icons</x:v>
      </x:c>
      <x:c r="Z1557" s="10" t="str">
        <x:v>mini stickers</x:v>
      </x:c>
      <x:c r="AA1557" s="10" t="str">
        <x:v>mortgage due icons</x:v>
      </x:c>
      <x:c r="AB1557" s="10" t="str">
        <x:v>payment reminder</x:v>
      </x:c>
      <x:c r="AC1557" s="10" t="str">
        <x:v>minimalist stickers</x:v>
      </x:c>
      <x:c r="AD1557" s="10" t="str">
        <x:v>expense tracker</x:v>
      </x:c>
      <x:c r="AE1557" s="10" t="str">
        <x:v>bill due stickers</x:v>
      </x:c>
      <x:c r="AF1557" s="10" t="str">
        <x:v>monthly planner</x:v>
      </x:c>
      <x:c r="AG1557" s="10" t="str">
        <x:v>journaling stickers</x:v>
      </x:c>
      <x:c r="AH1557" s="10" t="str">
        <x:v>Other mortgage-related</x:v>
      </x:c>
      <x:c r="AI1557" s="13" t="n">
        <x:v>28</x:v>
      </x:c>
      <x:c r="AJ1557" s="10" t="str">
        <x:f>IF(F1557&gt;0,"Active","No est. sales")</x:f>
        <x:v>No est. sales</x:v>
      </x:c>
    </x:row>
    <x:row r="1558">
      <x:c r="A1558" s="10" t="str">
        <x:v>Debt Payoff Tracker Debt Snowball Avalanche Calculator Google Sheet Loan Credit Card Tracker Payoff Debt Free Financial Planner Debt Payment</x:v>
      </x:c>
      <x:c r="B1558" s="10" t="str">
        <x:v>https://www.etsy.com/listing/4544784197/debt-payoff-tracker-debt-snowball</x:v>
      </x:c>
      <x:c r="C1558" s="10" t="str">
        <x:v>Easy2PrintStore</x:v>
      </x:c>
      <x:c r="D1558" s="10" t="str">
        <x:v>https://www.etsy.com/shop/Easy2PrintStore</x:v>
      </x:c>
      <x:c r="E1558" s="11" t="n">
        <x:v>22.84</x:v>
      </x:c>
      <x:c r="F1558" s="10" t="n">
        <x:v>0</x:v>
      </x:c>
      <x:c r="G1558" s="12" t="n">
        <x:v>0</x:v>
      </x:c>
      <x:c r="H1558" s="13" t="n">
        <x:v>0</x:v>
      </x:c>
      <x:c r="I1558" s="10" t="n">
        <x:v>0</x:v>
      </x:c>
      <x:c r="J1558" s="10" t="n">
        <x:v>0</x:v>
      </x:c>
      <x:c r="K1558" s="10" t="str">
        <x:v>1 Mo.</x:v>
      </x:c>
      <x:c r="L1558" s="10" t="n">
        <x:v>0</x:v>
      </x:c>
      <x:c r="M1558" s="10" t="n">
        <x:v>0</x:v>
      </x:c>
      <x:c r="N1558" s="10" t="n">
        <x:v>0</x:v>
      </x:c>
      <x:c r="O1558" s="10" t="str">
        <x:v>Books, Movies &amp; Music</x:v>
      </x:c>
      <x:c r="P1558" s="10" t="n">
        <x:v>26</x:v>
      </x:c>
      <x:c r="Q1558" s="10" t="n">
        <x:v>0</x:v>
      </x:c>
      <x:c r="R1558" s="13" t="n">
        <x:v>0</x:v>
      </x:c>
      <x:c r="S1558" s="10" t="n">
        <x:v>192</x:v>
      </x:c>
      <x:c r="T1558" s="10" t="str">
        <x:v>credit utilization,personal finances,debt google sheets,debt avalanche,mortgage payoff,credit card payoff,debt payoff chart,debt snowball,student loan debt,debt payment tracker,debt payoff tracker,debt template,financial planner</x:v>
      </x:c>
      <x:c r="U1558" s="10" t="str">
        <x:v>credit utilization</x:v>
      </x:c>
      <x:c r="V1558" s="10" t="str">
        <x:v>personal finances</x:v>
      </x:c>
      <x:c r="W1558" s="10" t="str">
        <x:v>debt google sheets</x:v>
      </x:c>
      <x:c r="X1558" s="10" t="str">
        <x:v>debt avalanche</x:v>
      </x:c>
      <x:c r="Y1558" s="10" t="str">
        <x:v>mortgage payoff</x:v>
      </x:c>
      <x:c r="Z1558" s="10" t="str">
        <x:v>credit card payoff</x:v>
      </x:c>
      <x:c r="AA1558" s="10" t="str">
        <x:v>debt payoff chart</x:v>
      </x:c>
      <x:c r="AB1558" s="10" t="str">
        <x:v>debt snowball</x:v>
      </x:c>
      <x:c r="AC1558" s="10" t="str">
        <x:v>student loan debt</x:v>
      </x:c>
      <x:c r="AD1558" s="10" t="str">
        <x:v>debt payment tracker</x:v>
      </x:c>
      <x:c r="AE1558" s="10" t="str">
        <x:v>debt payoff tracker</x:v>
      </x:c>
      <x:c r="AF1558" s="10" t="str">
        <x:v>debt template</x:v>
      </x:c>
      <x:c r="AG1558" s="10" t="str">
        <x:v>financial planner</x:v>
      </x:c>
      <x:c r="AH1558" s="10" t="str">
        <x:v>General debt payoff</x:v>
      </x:c>
      <x:c r="AI1558" s="13" t="n">
        <x:v>1</x:v>
      </x:c>
      <x:c r="AJ1558" s="10" t="str">
        <x:f>IF(F1558&gt;0,"Active","No est. sales")</x:f>
        <x:v>No est. sales</x:v>
      </x:c>
    </x:row>
    <x:row r="1559">
      <x:c r="A1559" s="10" t="str">
        <x:v>Debt Payoff Tracker Debt Snowball Avalanche Calculator Google Sheets Credit Card Loan Debt Template Financial Template Planner Spreadsheet</x:v>
      </x:c>
      <x:c r="B1559" s="10" t="str">
        <x:v>https://www.etsy.com/listing/4544798364/debt-payoff-tracker-debt-snowball</x:v>
      </x:c>
      <x:c r="C1559" s="10" t="str">
        <x:v>Easy2PrintStore</x:v>
      </x:c>
      <x:c r="D1559" s="10" t="str">
        <x:v>https://www.etsy.com/shop/Easy2PrintStore</x:v>
      </x:c>
      <x:c r="E1559" s="11" t="n">
        <x:v>22.84</x:v>
      </x:c>
      <x:c r="F1559" s="10" t="n">
        <x:v>0</x:v>
      </x:c>
      <x:c r="G1559" s="12" t="n">
        <x:v>0</x:v>
      </x:c>
      <x:c r="H1559" s="13" t="n">
        <x:v>0</x:v>
      </x:c>
      <x:c r="I1559" s="10" t="n">
        <x:v>0</x:v>
      </x:c>
      <x:c r="J1559" s="10" t="n">
        <x:v>0</x:v>
      </x:c>
      <x:c r="K1559" s="10" t="str">
        <x:v>1 Mo.</x:v>
      </x:c>
      <x:c r="L1559" s="10" t="n">
        <x:v>0</x:v>
      </x:c>
      <x:c r="M1559" s="10" t="n">
        <x:v>0</x:v>
      </x:c>
      <x:c r="N1559" s="10" t="n">
        <x:v>1</x:v>
      </x:c>
      <x:c r="O1559" s="10" t="str">
        <x:v>Books, Movies &amp; Music</x:v>
      </x:c>
      <x:c r="P1559" s="10" t="n">
        <x:v>26</x:v>
      </x:c>
      <x:c r="Q1559" s="10" t="n">
        <x:v>0</x:v>
      </x:c>
      <x:c r="R1559" s="13" t="n">
        <x:v>0</x:v>
      </x:c>
      <x:c r="S1559" s="10" t="n">
        <x:v>192</x:v>
      </x:c>
      <x:c r="T1559" s="10" t="str">
        <x:v>credit utilization,debt google sheets,debt spreadsheet,dark mode template,debt avalanche,mortgage payoff,debt calculator,credit card payoff,debt snowball,loan payoff tracker,student loan tracker,debt payment tracker,debt payoff planner</x:v>
      </x:c>
      <x:c r="U1559" s="10" t="str">
        <x:v>credit utilization</x:v>
      </x:c>
      <x:c r="V1559" s="10" t="str">
        <x:v>debt google sheets</x:v>
      </x:c>
      <x:c r="W1559" s="10" t="str">
        <x:v>debt spreadsheet</x:v>
      </x:c>
      <x:c r="X1559" s="10" t="str">
        <x:v>dark mode template</x:v>
      </x:c>
      <x:c r="Y1559" s="10" t="str">
        <x:v>debt avalanche</x:v>
      </x:c>
      <x:c r="Z1559" s="10" t="str">
        <x:v>mortgage payoff</x:v>
      </x:c>
      <x:c r="AA1559" s="10" t="str">
        <x:v>debt calculator</x:v>
      </x:c>
      <x:c r="AB1559" s="10" t="str">
        <x:v>credit card payoff</x:v>
      </x:c>
      <x:c r="AC1559" s="10" t="str">
        <x:v>debt snowball</x:v>
      </x:c>
      <x:c r="AD1559" s="10" t="str">
        <x:v>loan payoff tracker</x:v>
      </x:c>
      <x:c r="AE1559" s="10" t="str">
        <x:v>student loan tracker</x:v>
      </x:c>
      <x:c r="AF1559" s="10" t="str">
        <x:v>debt payment tracker</x:v>
      </x:c>
      <x:c r="AG1559" s="10" t="str">
        <x:v>debt payoff planner</x:v>
      </x:c>
      <x:c r="AH1559" s="10" t="str">
        <x:v>General debt payoff</x:v>
      </x:c>
      <x:c r="AI1559" s="13" t="n">
        <x:v>1</x:v>
      </x:c>
      <x:c r="AJ1559" s="10" t="str">
        <x:f>IF(F1559&gt;0,"Active","No est. sales")</x:f>
        <x:v>No est. sales</x:v>
      </x:c>
    </x:row>
    <x:row r="1560">
      <x:c r="A1560" s="10" t="str">
        <x:v>2745-28~~Internet Bill Due Planner Stickers.</x:v>
      </x:c>
      <x:c r="B1560" s="10" t="str">
        <x:v>https://www.etsy.com/listing/1736594372/2745-28internet-bill-due-planner</x:v>
      </x:c>
      <x:c r="C1560" s="10" t="str">
        <x:v>PlanToPlan</x:v>
      </x:c>
      <x:c r="D1560" s="10" t="str">
        <x:v>https://www.etsy.com/shop/PlanToPlan</x:v>
      </x:c>
      <x:c r="E1560" s="11" t="n">
        <x:v>3.25</x:v>
      </x:c>
      <x:c r="F1560" s="10" t="n">
        <x:v>0</x:v>
      </x:c>
      <x:c r="G1560" s="12" t="n">
        <x:v>0</x:v>
      </x:c>
      <x:c r="H1560" s="13" t="n">
        <x:v>0</x:v>
      </x:c>
      <x:c r="I1560" s="10" t="n">
        <x:v>5</x:v>
      </x:c>
      <x:c r="J1560" s="10" t="n">
        <x:v>1</x:v>
      </x:c>
      <x:c r="K1560" s="10" t="str">
        <x:v>25 Mo.</x:v>
      </x:c>
      <x:c r="L1560" s="10" t="n">
        <x:v>33</x:v>
      </x:c>
      <x:c r="M1560" s="10" t="n">
        <x:v>0</x:v>
      </x:c>
      <x:c r="N1560" s="10" t="n">
        <x:v>110</x:v>
      </x:c>
      <x:c r="O1560" s="10" t="str">
        <x:v>Paper &amp; Party Supplies</x:v>
      </x:c>
      <x:c r="P1560" s="10" t="n">
        <x:v>126</x:v>
      </x:c>
      <x:c r="Q1560" s="10" t="n">
        <x:v>0</x:v>
      </x:c>
      <x:c r="R1560" s="13" t="n">
        <x:v>4.55</x:v>
      </x:c>
      <x:c r="S1560" s="10" t="n">
        <x:v>319985</x:v>
      </x:c>
      <x:c r="T1560" s="10" t="str">
        <x:v>planner stickers,reminder stickers,appointment stickers,tracker stickers,functional stickers,plantoplan,bill due stickers,cellphone stickers,cable bill stickers,electric bill,mortgage stickers,internet bill due,erin condren</x:v>
      </x:c>
      <x:c r="U1560" s="10" t="str">
        <x:v>planner stickers</x:v>
      </x:c>
      <x:c r="V1560" s="10" t="str">
        <x:v>reminder stickers</x:v>
      </x:c>
      <x:c r="W1560" s="10" t="str">
        <x:v>appointment stickers</x:v>
      </x:c>
      <x:c r="X1560" s="10" t="str">
        <x:v>tracker stickers</x:v>
      </x:c>
      <x:c r="Y1560" s="10" t="str">
        <x:v>functional stickers</x:v>
      </x:c>
      <x:c r="Z1560" s="10" t="str">
        <x:v>plantoplan</x:v>
      </x:c>
      <x:c r="AA1560" s="10" t="str">
        <x:v>bill due stickers</x:v>
      </x:c>
      <x:c r="AB1560" s="10" t="str">
        <x:v>cellphone stickers</x:v>
      </x:c>
      <x:c r="AC1560" s="10" t="str">
        <x:v>cable bill stickers</x:v>
      </x:c>
      <x:c r="AD1560" s="10" t="str">
        <x:v>electric bill</x:v>
      </x:c>
      <x:c r="AE1560" s="10" t="str">
        <x:v>mortgage stickers</x:v>
      </x:c>
      <x:c r="AF1560" s="10" t="str">
        <x:v>internet bill due</x:v>
      </x:c>
      <x:c r="AG1560" s="10" t="str">
        <x:v>erin condren</x:v>
      </x:c>
      <x:c r="AH1560" s="10" t="str">
        <x:v>Other mortgage-related</x:v>
      </x:c>
      <x:c r="AI1560" s="13" t="n">
        <x:v>25</x:v>
      </x:c>
      <x:c r="AJ1560" s="10" t="str">
        <x:f>IF(F1560&gt;0,"Active","No est. sales")</x:f>
        <x:v>No est. sales</x:v>
      </x:c>
    </x:row>
    <x:row r="1561">
      <x:c r="A1561" s="10" t="str">
        <x:v>2745-19~~Water Bill Due Planner Stickers.</x:v>
      </x:c>
      <x:c r="B1561" s="10" t="str">
        <x:v>https://www.etsy.com/listing/1750790025/2745-19water-bill-due-planner-stickers</x:v>
      </x:c>
      <x:c r="C1561" s="10" t="str">
        <x:v>PlanToPlan</x:v>
      </x:c>
      <x:c r="D1561" s="10" t="str">
        <x:v>https://www.etsy.com/shop/PlanToPlan</x:v>
      </x:c>
      <x:c r="E1561" s="11" t="n">
        <x:v>3.25</x:v>
      </x:c>
      <x:c r="F1561" s="10" t="n">
        <x:v>0</x:v>
      </x:c>
      <x:c r="G1561" s="12" t="n">
        <x:v>0</x:v>
      </x:c>
      <x:c r="H1561" s="13" t="n">
        <x:v>0</x:v>
      </x:c>
      <x:c r="I1561" s="10" t="n">
        <x:v>5</x:v>
      </x:c>
      <x:c r="J1561" s="10" t="n">
        <x:v>1</x:v>
      </x:c>
      <x:c r="K1561" s="10" t="str">
        <x:v>25 Mo.</x:v>
      </x:c>
      <x:c r="L1561" s="10" t="n">
        <x:v>31</x:v>
      </x:c>
      <x:c r="M1561" s="10" t="n">
        <x:v>0</x:v>
      </x:c>
      <x:c r="N1561" s="10" t="n">
        <x:v>98</x:v>
      </x:c>
      <x:c r="O1561" s="10" t="str">
        <x:v>Paper &amp; Party Supplies</x:v>
      </x:c>
      <x:c r="P1561" s="10" t="n">
        <x:v>126</x:v>
      </x:c>
      <x:c r="Q1561" s="10" t="n">
        <x:v>0</x:v>
      </x:c>
      <x:c r="R1561" s="13" t="n">
        <x:v>5.1</x:v>
      </x:c>
      <x:c r="S1561" s="10" t="n">
        <x:v>319985</x:v>
      </x:c>
      <x:c r="T1561" s="10" t="str">
        <x:v>planner stickers,reminder stickers,appointment stickers,tracker stickers,functional stickers,plantoplan,bill due stickers,cellphone stickers,cable bill stickers,electric bill,mortgage stickers,water bill sticker,erin condren</x:v>
      </x:c>
      <x:c r="U1561" s="10" t="str">
        <x:v>planner stickers</x:v>
      </x:c>
      <x:c r="V1561" s="10" t="str">
        <x:v>reminder stickers</x:v>
      </x:c>
      <x:c r="W1561" s="10" t="str">
        <x:v>appointment stickers</x:v>
      </x:c>
      <x:c r="X1561" s="10" t="str">
        <x:v>tracker stickers</x:v>
      </x:c>
      <x:c r="Y1561" s="10" t="str">
        <x:v>functional stickers</x:v>
      </x:c>
      <x:c r="Z1561" s="10" t="str">
        <x:v>plantoplan</x:v>
      </x:c>
      <x:c r="AA1561" s="10" t="str">
        <x:v>bill due stickers</x:v>
      </x:c>
      <x:c r="AB1561" s="10" t="str">
        <x:v>cellphone stickers</x:v>
      </x:c>
      <x:c r="AC1561" s="10" t="str">
        <x:v>cable bill stickers</x:v>
      </x:c>
      <x:c r="AD1561" s="10" t="str">
        <x:v>electric bill</x:v>
      </x:c>
      <x:c r="AE1561" s="10" t="str">
        <x:v>mortgage stickers</x:v>
      </x:c>
      <x:c r="AF1561" s="10" t="str">
        <x:v>water bill sticker</x:v>
      </x:c>
      <x:c r="AG1561" s="10" t="str">
        <x:v>erin condren</x:v>
      </x:c>
      <x:c r="AH1561" s="10" t="str">
        <x:v>Other mortgage-related</x:v>
      </x:c>
      <x:c r="AI1561" s="13" t="n">
        <x:v>25</x:v>
      </x:c>
      <x:c r="AJ1561" s="10" t="str">
        <x:f>IF(F1561&gt;0,"Active","No est. sales")</x:f>
        <x:v>No est. sales</x:v>
      </x:c>
    </x:row>
    <x:row r="1562">
      <x:c r="A1562" s="10" t="str">
        <x:v>Monthly Bills Mini Sheet Planner Stickers | Bill Pay | Budget Planner | Mortgage Due | Electric Bill | Water Bill | Cell Phone Bill</x:v>
      </x:c>
      <x:c r="B1562" s="10" t="str">
        <x:v>https://www.etsy.com/listing/627102644/monthly-bills-mini-sheet-planner</x:v>
      </x:c>
      <x:c r="C1562" s="10" t="str">
        <x:v>LibbyandLouStickerCo</x:v>
      </x:c>
      <x:c r="D1562" s="10" t="str">
        <x:v>https://www.etsy.com/shop/LibbyandLouStickerCo</x:v>
      </x:c>
      <x:c r="E1562" s="11" t="n">
        <x:v>4.2</x:v>
      </x:c>
      <x:c r="F1562" s="10" t="n">
        <x:v>0</x:v>
      </x:c>
      <x:c r="G1562" s="12" t="n">
        <x:v>0</x:v>
      </x:c>
      <x:c r="H1562" s="13" t="n">
        <x:v>0</x:v>
      </x:c>
      <x:c r="I1562" s="10" t="n">
        <x:v>132</x:v>
      </x:c>
      <x:c r="J1562" s="10" t="n">
        <x:v>25</x:v>
      </x:c>
      <x:c r="K1562" s="10" t="str">
        <x:v>94 Mo.</x:v>
      </x:c>
      <x:c r="L1562" s="10" t="n">
        <x:v>839</x:v>
      </x:c>
      <x:c r="M1562" s="10" t="n">
        <x:v>0</x:v>
      </x:c>
      <x:c r="N1562" s="10" t="n">
        <x:v>13288</x:v>
      </x:c>
      <x:c r="O1562" s="10" t="str">
        <x:v>Paper &amp; Party Supplies</x:v>
      </x:c>
      <x:c r="P1562" s="10" t="n">
        <x:v>112</x:v>
      </x:c>
      <x:c r="Q1562" s="10" t="n">
        <x:v>45</x:v>
      </x:c>
      <x:c r="R1562" s="13" t="n">
        <x:v>0.99</x:v>
      </x:c>
      <x:c r="S1562" s="10" t="n">
        <x:v>41989</x:v>
      </x:c>
      <x:c r="T1562" s="10" t="str">
        <x:v>planner sticker,functional sticker,monthly bills,monthly calendar,expense tracker,bill pay stickers,budget stickers,credit card stickers,water bill stickers,car payment sticker,electric bill,mortgage sticker,cell phone bill</x:v>
      </x:c>
      <x:c r="U1562" s="10" t="str">
        <x:v>planner sticker</x:v>
      </x:c>
      <x:c r="V1562" s="10" t="str">
        <x:v>functional sticker</x:v>
      </x:c>
      <x:c r="W1562" s="10" t="str">
        <x:v>monthly bills</x:v>
      </x:c>
      <x:c r="X1562" s="10" t="str">
        <x:v>monthly calendar</x:v>
      </x:c>
      <x:c r="Y1562" s="10" t="str">
        <x:v>expense tracker</x:v>
      </x:c>
      <x:c r="Z1562" s="10" t="str">
        <x:v>bill pay stickers</x:v>
      </x:c>
      <x:c r="AA1562" s="10" t="str">
        <x:v>budget stickers</x:v>
      </x:c>
      <x:c r="AB1562" s="10" t="str">
        <x:v>credit card stickers</x:v>
      </x:c>
      <x:c r="AC1562" s="10" t="str">
        <x:v>water bill stickers</x:v>
      </x:c>
      <x:c r="AD1562" s="10" t="str">
        <x:v>car payment sticker</x:v>
      </x:c>
      <x:c r="AE1562" s="10" t="str">
        <x:v>electric bill</x:v>
      </x:c>
      <x:c r="AF1562" s="10" t="str">
        <x:v>mortgage sticker</x:v>
      </x:c>
      <x:c r="AG1562" s="10" t="str">
        <x:v>cell phone bill</x:v>
      </x:c>
      <x:c r="AH1562" s="10" t="str">
        <x:v>Other mortgage-related</x:v>
      </x:c>
      <x:c r="AI1562" s="13" t="n">
        <x:v>94</x:v>
      </x:c>
      <x:c r="AJ1562" s="10" t="str">
        <x:f>IF(F1562&gt;0,"Active","No est. sales")</x:f>
        <x:v>No est. sales</x:v>
      </x:c>
    </x:row>
    <x:row r="1563">
      <x:c r="A1563" s="10" t="str">
        <x:v>First Time Homebuyer Bundle | Home Buying Planner | House Budget Spreadsheet | Down Payment Tracker | New Home Finance Template</x:v>
      </x:c>
      <x:c r="B1563" s="10" t="str">
        <x:v>https://www.etsy.com/listing/4517862444/first-time-homebuyer-bundle-home-buying</x:v>
      </x:c>
      <x:c r="C1563" s="10" t="str">
        <x:v>RockSolidFinance</x:v>
      </x:c>
      <x:c r="D1563" s="10" t="str">
        <x:v>https://www.etsy.com/shop/RockSolidFinance</x:v>
      </x:c>
      <x:c r="E1563" s="11" t="n">
        <x:v>24.99</x:v>
      </x:c>
      <x:c r="F1563" s="10" t="n">
        <x:v>0</x:v>
      </x:c>
      <x:c r="G1563" s="12" t="n">
        <x:v>0</x:v>
      </x:c>
      <x:c r="H1563" s="13" t="n">
        <x:v>0</x:v>
      </x:c>
      <x:c r="I1563" s="10" t="n">
        <x:v>0</x:v>
      </x:c>
      <x:c r="J1563" s="10" t="n">
        <x:v>0</x:v>
      </x:c>
      <x:c r="K1563" s="10" t="str">
        <x:v>1 Mo.</x:v>
      </x:c>
      <x:c r="L1563" s="10" t="n">
        <x:v>1</x:v>
      </x:c>
      <x:c r="M1563" s="10" t="n">
        <x:v>0</x:v>
      </x:c>
      <x:c r="N1563" s="10" t="n">
        <x:v>24</x:v>
      </x:c>
      <x:c r="O1563" s="10" t="str"/>
      <x:c r="P1563" s="10" t="n">
        <x:v>8</x:v>
      </x:c>
      <x:c r="Q1563" s="10" t="n">
        <x:v>0</x:v>
      </x:c>
      <x:c r="R1563" s="13" t="n">
        <x:v>0</x:v>
      </x:c>
      <x:c r="S1563" s="10" t="n">
        <x:v>37</x:v>
      </x:c>
      <x:c r="T1563" s="10" t="str">
        <x:v>down payment,project budget,homebuyer budget,homebuyer planning,home purchase,financial workbook,personal finance,home buying,mortgage budget,home maintenance,new homeowner,first home buyer,homeowner planner</x:v>
      </x:c>
      <x:c r="U1563" s="10" t="str">
        <x:v>down payment</x:v>
      </x:c>
      <x:c r="V1563" s="10" t="str">
        <x:v>project budget</x:v>
      </x:c>
      <x:c r="W1563" s="10" t="str">
        <x:v>homebuyer budget</x:v>
      </x:c>
      <x:c r="X1563" s="10" t="str">
        <x:v>homebuyer planning</x:v>
      </x:c>
      <x:c r="Y1563" s="10" t="str">
        <x:v>home purchase</x:v>
      </x:c>
      <x:c r="Z1563" s="10" t="str">
        <x:v>financial workbook</x:v>
      </x:c>
      <x:c r="AA1563" s="10" t="str">
        <x:v>personal finance</x:v>
      </x:c>
      <x:c r="AB1563" s="10" t="str">
        <x:v>home buying</x:v>
      </x:c>
      <x:c r="AC1563" s="10" t="str">
        <x:v>mortgage budget</x:v>
      </x:c>
      <x:c r="AD1563" s="10" t="str">
        <x:v>home maintenance</x:v>
      </x:c>
      <x:c r="AE1563" s="10" t="str">
        <x:v>new homeowner</x:v>
      </x:c>
      <x:c r="AF1563" s="10" t="str">
        <x:v>first home buyer</x:v>
      </x:c>
      <x:c r="AG1563" s="10" t="str">
        <x:v>homeowner planner</x:v>
      </x:c>
      <x:c r="AH1563" s="10" t="str">
        <x:v>Home buying planner</x:v>
      </x:c>
      <x:c r="AI1563" s="13" t="n">
        <x:v>1</x:v>
      </x:c>
      <x:c r="AJ1563" s="10" t="str">
        <x:f>IF(F1563&gt;0,"Active","No est. sales")</x:f>
        <x:v>No est. sales</x:v>
      </x:c>
    </x:row>
    <x:row r="1564">
      <x:c r="A1564" s="10" t="str">
        <x:v>Debt Payoff Tracker, Debt Payment Tracker, Debt Snowball, Debt Tracker, Debt Payments, Budget Planner, Debt Planner, Debt Payment Printable</x:v>
      </x:c>
      <x:c r="B1564" s="10" t="str">
        <x:v>https://www.etsy.com/listing/1420469939/debt-payoff-tracker-debt-payment-tracker</x:v>
      </x:c>
      <x:c r="C1564" s="10" t="str">
        <x:v>MilbunDesign</x:v>
      </x:c>
      <x:c r="D1564" s="10" t="str">
        <x:v>https://www.etsy.com/shop/MilbunDesign</x:v>
      </x:c>
      <x:c r="E1564" s="11" t="n">
        <x:v>3.99</x:v>
      </x:c>
      <x:c r="F1564" s="10" t="n">
        <x:v>0</x:v>
      </x:c>
      <x:c r="G1564" s="12" t="n">
        <x:v>0</x:v>
      </x:c>
      <x:c r="H1564" s="13" t="n">
        <x:v>0</x:v>
      </x:c>
      <x:c r="I1564" s="10" t="n">
        <x:v>3</x:v>
      </x:c>
      <x:c r="J1564" s="10" t="n">
        <x:v>1</x:v>
      </x:c>
      <x:c r="K1564" s="10" t="str">
        <x:v>41 Mo.</x:v>
      </x:c>
      <x:c r="L1564" s="10" t="n">
        <x:v>4</x:v>
      </x:c>
      <x:c r="M1564" s="10" t="n">
        <x:v>0</x:v>
      </x:c>
      <x:c r="N1564" s="10" t="n">
        <x:v>106</x:v>
      </x:c>
      <x:c r="O1564" s="10" t="str">
        <x:v>Paper &amp; Party Supplies</x:v>
      </x:c>
      <x:c r="P1564" s="10" t="n">
        <x:v>61</x:v>
      </x:c>
      <x:c r="Q1564" s="10" t="n">
        <x:v>0</x:v>
      </x:c>
      <x:c r="R1564" s="13" t="n">
        <x:v>2.83</x:v>
      </x:c>
      <x:c r="S1564" s="10" t="n">
        <x:v>968</x:v>
      </x:c>
      <x:c r="T1564" s="10" t="str">
        <x:v>debt tracker,debt snowball,debt payoff tracker,debt payment tracker,credit card tracker,mortgage tracker,financial tracker,debt payoff,budget planner,debt printable,debt free planner,debt progress,debt payment log</x:v>
      </x:c>
      <x:c r="U1564" s="10" t="str">
        <x:v>debt tracker</x:v>
      </x:c>
      <x:c r="V1564" s="10" t="str">
        <x:v>debt snowball</x:v>
      </x:c>
      <x:c r="W1564" s="10" t="str">
        <x:v>debt payoff tracker</x:v>
      </x:c>
      <x:c r="X1564" s="10" t="str">
        <x:v>debt payment tracker</x:v>
      </x:c>
      <x:c r="Y1564" s="10" t="str">
        <x:v>credit card tracker</x:v>
      </x:c>
      <x:c r="Z1564" s="10" t="str">
        <x:v>mortgage tracker</x:v>
      </x:c>
      <x:c r="AA1564" s="10" t="str">
        <x:v>financial tracker</x:v>
      </x:c>
      <x:c r="AB1564" s="10" t="str">
        <x:v>debt payoff</x:v>
      </x:c>
      <x:c r="AC1564" s="10" t="str">
        <x:v>budget planner</x:v>
      </x:c>
      <x:c r="AD1564" s="10" t="str">
        <x:v>debt printable</x:v>
      </x:c>
      <x:c r="AE1564" s="10" t="str">
        <x:v>debt free planner</x:v>
      </x:c>
      <x:c r="AF1564" s="10" t="str">
        <x:v>debt progress</x:v>
      </x:c>
      <x:c r="AG1564" s="10" t="str">
        <x:v>debt payment log</x:v>
      </x:c>
      <x:c r="AH1564" s="10" t="str">
        <x:v>General debt payoff</x:v>
      </x:c>
      <x:c r="AI1564" s="13" t="n">
        <x:v>41</x:v>
      </x:c>
      <x:c r="AJ1564" s="10" t="str">
        <x:f>IF(F1564&gt;0,"Active","No est. sales")</x:f>
        <x:v>No est. sales</x:v>
      </x:c>
    </x:row>
    <x:row r="1565">
      <x:c r="A1565" s="10" t="str">
        <x:v>UK First-Time Buyer Deposit Planner | Mortgage Affordability Calculator (Digital Download)</x:v>
      </x:c>
      <x:c r="B1565" s="10" t="str">
        <x:v>https://www.etsy.com/listing/4537225692/uk-first-time-buyer-deposit-planner</x:v>
      </x:c>
      <x:c r="C1565" s="10" t="str">
        <x:v>GroundUpWealth</x:v>
      </x:c>
      <x:c r="D1565" s="10" t="str">
        <x:v>https://www.etsy.com/shop/GroundUpWealth</x:v>
      </x:c>
      <x:c r="E1565" s="11" t="n">
        <x:v>19.97</x:v>
      </x:c>
      <x:c r="F1565" s="10" t="n">
        <x:v>0</x:v>
      </x:c>
      <x:c r="G1565" s="12" t="n">
        <x:v>0</x:v>
      </x:c>
      <x:c r="H1565" s="13" t="n">
        <x:v>0</x:v>
      </x:c>
      <x:c r="I1565" s="10" t="n">
        <x:v>0</x:v>
      </x:c>
      <x:c r="J1565" s="10" t="n">
        <x:v>0</x:v>
      </x:c>
      <x:c r="K1565" s="10" t="str">
        <x:v>1 Mo.</x:v>
      </x:c>
      <x:c r="L1565" s="10" t="n">
        <x:v>0</x:v>
      </x:c>
      <x:c r="M1565" s="10" t="n">
        <x:v>0</x:v>
      </x:c>
      <x:c r="N1565" s="10" t="n">
        <x:v>0</x:v>
      </x:c>
      <x:c r="O1565" s="10" t="str">
        <x:v>Paper &amp; Party Supplies</x:v>
      </x:c>
      <x:c r="P1565" s="10" t="n">
        <x:v>1</x:v>
      </x:c>
      <x:c r="Q1565" s="10" t="n">
        <x:v>0</x:v>
      </x:c>
      <x:c r="R1565" s="13" t="n">
        <x:v>0</x:v>
      </x:c>
      <x:c r="S1565" s="10" t="n">
        <x:v>0</x:v>
      </x:c>
      <x:c r="T1565" s="10" t="str">
        <x:v>first time buyer,house deposit,stamp duty,lifetime isa lisa,home buying budget,uk mortgage planner,moving house cost,deposit savings goal,google sheets,house buying,property comparison,deposit savings,lifetime isa</x:v>
      </x:c>
      <x:c r="U1565" s="10" t="str">
        <x:v>first time buyer</x:v>
      </x:c>
      <x:c r="V1565" s="10" t="str">
        <x:v>house deposit</x:v>
      </x:c>
      <x:c r="W1565" s="10" t="str">
        <x:v>stamp duty</x:v>
      </x:c>
      <x:c r="X1565" s="10" t="str">
        <x:v>lifetime isa lisa</x:v>
      </x:c>
      <x:c r="Y1565" s="10" t="str">
        <x:v>home buying budget</x:v>
      </x:c>
      <x:c r="Z1565" s="10" t="str">
        <x:v>uk mortgage planner</x:v>
      </x:c>
      <x:c r="AA1565" s="10" t="str">
        <x:v>moving house cost</x:v>
      </x:c>
      <x:c r="AB1565" s="10" t="str">
        <x:v>deposit savings goal</x:v>
      </x:c>
      <x:c r="AC1565" s="10" t="str">
        <x:v>google sheets</x:v>
      </x:c>
      <x:c r="AD1565" s="10" t="str">
        <x:v>house buying</x:v>
      </x:c>
      <x:c r="AE1565" s="10" t="str">
        <x:v>property comparison</x:v>
      </x:c>
      <x:c r="AF1565" s="10" t="str">
        <x:v>deposit savings</x:v>
      </x:c>
      <x:c r="AG1565" s="10" t="str">
        <x:v>lifetime isa</x:v>
      </x:c>
      <x:c r="AH1565" s="10" t="str">
        <x:v>Other mortgage-related</x:v>
      </x:c>
      <x:c r="AI1565" s="13" t="n">
        <x:v>1</x:v>
      </x:c>
      <x:c r="AJ1565" s="10" t="str">
        <x:f>IF(F1565&gt;0,"Active","No est. sales")</x:f>
        <x:v>No est. sales</x:v>
      </x:c>
    </x:row>
    <x:row r="1566">
      <x:c r="A1566" s="10" t="str">
        <x:v>First Time Home Buyer Planner</x:v>
      </x:c>
      <x:c r="B1566" s="10" t="str">
        <x:v>https://www.etsy.com/listing/4541226216/first-time-home-buyer-planner</x:v>
      </x:c>
      <x:c r="C1566" s="10" t="str">
        <x:v>HomePathStudio</x:v>
      </x:c>
      <x:c r="D1566" s="10" t="str">
        <x:v>https://www.etsy.com/shop/HomePathStudio</x:v>
      </x:c>
      <x:c r="E1566" s="11" t="n">
        <x:v>9.99</x:v>
      </x:c>
      <x:c r="F1566" s="10" t="n">
        <x:v>0</x:v>
      </x:c>
      <x:c r="G1566" s="12" t="n">
        <x:v>0</x:v>
      </x:c>
      <x:c r="H1566" s="13" t="n">
        <x:v>0</x:v>
      </x:c>
      <x:c r="I1566" s="10" t="n">
        <x:v>0</x:v>
      </x:c>
      <x:c r="J1566" s="10" t="n">
        <x:v>0</x:v>
      </x:c>
      <x:c r="K1566" s="10" t="str">
        <x:v>1 Mo.</x:v>
      </x:c>
      <x:c r="L1566" s="10" t="n">
        <x:v>1</x:v>
      </x:c>
      <x:c r="M1566" s="10" t="n">
        <x:v>0</x:v>
      </x:c>
      <x:c r="N1566" s="10" t="n">
        <x:v>17</x:v>
      </x:c>
      <x:c r="O1566" s="10" t="str"/>
      <x:c r="P1566" s="10" t="n">
        <x:v>0</x:v>
      </x:c>
      <x:c r="Q1566" s="10" t="n">
        <x:v>0</x:v>
      </x:c>
      <x:c r="R1566" s="13" t="n">
        <x:v>0</x:v>
      </x:c>
      <x:c r="S1566" s="10" t="n">
        <x:v>1</x:v>
      </x:c>
      <x:c r="T1566" s="10" t="str">
        <x:v>first time home,home buyer planner,home buying,house hunting,printable planner,digital planner,mortgage planner,closing checklist,moving planner,home workbook,new homeowner,real estate,printable pdf</x:v>
      </x:c>
      <x:c r="U1566" s="10" t="str">
        <x:v>first time home</x:v>
      </x:c>
      <x:c r="V1566" s="10" t="str">
        <x:v>home buyer planner</x:v>
      </x:c>
      <x:c r="W1566" s="10" t="str">
        <x:v>home buying</x:v>
      </x:c>
      <x:c r="X1566" s="10" t="str">
        <x:v>house hunting</x:v>
      </x:c>
      <x:c r="Y1566" s="10" t="str">
        <x:v>printable planner</x:v>
      </x:c>
      <x:c r="Z1566" s="10" t="str">
        <x:v>digital planner</x:v>
      </x:c>
      <x:c r="AA1566" s="10" t="str">
        <x:v>mortgage planner</x:v>
      </x:c>
      <x:c r="AB1566" s="10" t="str">
        <x:v>closing checklist</x:v>
      </x:c>
      <x:c r="AC1566" s="10" t="str">
        <x:v>moving planner</x:v>
      </x:c>
      <x:c r="AD1566" s="10" t="str">
        <x:v>home workbook</x:v>
      </x:c>
      <x:c r="AE1566" s="10" t="str">
        <x:v>new homeowner</x:v>
      </x:c>
      <x:c r="AF1566" s="10" t="str">
        <x:v>real estate</x:v>
      </x:c>
      <x:c r="AG1566" s="10" t="str">
        <x:v>printable pdf</x:v>
      </x:c>
      <x:c r="AH1566" s="10" t="str">
        <x:v>Home buying planner</x:v>
      </x:c>
      <x:c r="AI1566" s="13" t="n">
        <x:v>1</x:v>
      </x:c>
      <x:c r="AJ1566" s="10" t="str">
        <x:f>IF(F1566&gt;0,"Active","No est. sales")</x:f>
        <x:v>No est. sales</x:v>
      </x:c>
    </x:row>
    <x:row r="1567">
      <x:c r="A1567" s="10" t="str">
        <x:v>First Home Buyer Planner – Ultimate Home Buying Spreadsheet</x:v>
      </x:c>
      <x:c r="B1567" s="10" t="str">
        <x:v>https://www.etsy.com/listing/4538255089/first-home-buyer-planner-ultimate-home</x:v>
      </x:c>
      <x:c r="C1567" s="10" t="str">
        <x:v>BrighterMindNL</x:v>
      </x:c>
      <x:c r="D1567" s="10" t="str">
        <x:v>https://www.etsy.com/shop/BrighterMindNL</x:v>
      </x:c>
      <x:c r="E1567" s="11" t="n">
        <x:v>36.34</x:v>
      </x:c>
      <x:c r="F1567" s="10" t="n">
        <x:v>0</x:v>
      </x:c>
      <x:c r="G1567" s="12" t="n">
        <x:v>0</x:v>
      </x:c>
      <x:c r="H1567" s="13" t="n">
        <x:v>0</x:v>
      </x:c>
      <x:c r="I1567" s="10" t="n">
        <x:v>0</x:v>
      </x:c>
      <x:c r="J1567" s="10" t="n">
        <x:v>0</x:v>
      </x:c>
      <x:c r="K1567" s="10" t="str">
        <x:v>1 Mo.</x:v>
      </x:c>
      <x:c r="L1567" s="10" t="n">
        <x:v>0</x:v>
      </x:c>
      <x:c r="M1567" s="10" t="n">
        <x:v>0</x:v>
      </x:c>
      <x:c r="N1567" s="10" t="n">
        <x:v>1</x:v>
      </x:c>
      <x:c r="O1567" s="10" t="str"/>
      <x:c r="P1567" s="10" t="n">
        <x:v>0</x:v>
      </x:c>
      <x:c r="Q1567" s="10" t="n">
        <x:v>0</x:v>
      </x:c>
      <x:c r="R1567" s="13" t="n">
        <x:v>0</x:v>
      </x:c>
      <x:c r="S1567" s="10" t="n">
        <x:v>0</x:v>
      </x:c>
      <x:c r="T1567" s="10" t="str">
        <x:v>first home buyer,home buying planner,mortgage calculator,real estate planner,down payment tracker,digital planner,house spreadsheet,home buying tool,home buyer,budget template,sheets planner,moving planner,house calculator</x:v>
      </x:c>
      <x:c r="U1567" s="10" t="str">
        <x:v>first home buyer</x:v>
      </x:c>
      <x:c r="V1567" s="10" t="str">
        <x:v>home buying planner</x:v>
      </x:c>
      <x:c r="W1567" s="10" t="str">
        <x:v>mortgage calculator</x:v>
      </x:c>
      <x:c r="X1567" s="10" t="str">
        <x:v>real estate planner</x:v>
      </x:c>
      <x:c r="Y1567" s="10" t="str">
        <x:v>down payment tracker</x:v>
      </x:c>
      <x:c r="Z1567" s="10" t="str">
        <x:v>digital planner</x:v>
      </x:c>
      <x:c r="AA1567" s="10" t="str">
        <x:v>house spreadsheet</x:v>
      </x:c>
      <x:c r="AB1567" s="10" t="str">
        <x:v>home buying tool</x:v>
      </x:c>
      <x:c r="AC1567" s="10" t="str">
        <x:v>home buyer</x:v>
      </x:c>
      <x:c r="AD1567" s="10" t="str">
        <x:v>budget template</x:v>
      </x:c>
      <x:c r="AE1567" s="10" t="str">
        <x:v>sheets planner</x:v>
      </x:c>
      <x:c r="AF1567" s="10" t="str">
        <x:v>moving planner</x:v>
      </x:c>
      <x:c r="AG1567" s="10" t="str">
        <x:v>house calculator</x:v>
      </x:c>
      <x:c r="AH1567" s="10" t="str">
        <x:v>Home buying planner</x:v>
      </x:c>
      <x:c r="AI1567" s="13" t="n">
        <x:v>1</x:v>
      </x:c>
      <x:c r="AJ1567" s="10" t="str">
        <x:f>IF(F1567&gt;0,"Active","No est. sales")</x:f>
        <x:v>No est. sales</x:v>
      </x:c>
    </x:row>
    <x:row r="1568">
      <x:c r="A1568" s="10" t="str">
        <x:v>Success Tracker for Mortgage Loan Originators - 4 Week | Lender Help | Grow your Business | Generate more LEADS</x:v>
      </x:c>
      <x:c r="B1568" s="10" t="str">
        <x:v>https://www.etsy.com/listing/1507730185/success-tracker-for-mortgage-loan</x:v>
      </x:c>
      <x:c r="C1568" s="10" t="str">
        <x:v>HelloSocialShop</x:v>
      </x:c>
      <x:c r="D1568" s="10" t="str">
        <x:v>https://www.etsy.com/shop/HelloSocialShop</x:v>
      </x:c>
      <x:c r="E1568" s="11" t="n">
        <x:v>39.99</x:v>
      </x:c>
      <x:c r="F1568" s="10" t="n">
        <x:v>0</x:v>
      </x:c>
      <x:c r="G1568" s="12" t="n">
        <x:v>0</x:v>
      </x:c>
      <x:c r="H1568" s="13" t="n">
        <x:v>0</x:v>
      </x:c>
      <x:c r="I1568" s="10" t="n">
        <x:v>0</x:v>
      </x:c>
      <x:c r="J1568" s="10" t="n">
        <x:v>1</x:v>
      </x:c>
      <x:c r="K1568" s="10" t="str">
        <x:v>37 Mo.</x:v>
      </x:c>
      <x:c r="L1568" s="10" t="n">
        <x:v>5</x:v>
      </x:c>
      <x:c r="M1568" s="10" t="n">
        <x:v>0</x:v>
      </x:c>
      <x:c r="N1568" s="10" t="n">
        <x:v>146</x:v>
      </x:c>
      <x:c r="O1568" s="10" t="str">
        <x:v>Paper &amp; Party Supplies</x:v>
      </x:c>
      <x:c r="P1568" s="10" t="n">
        <x:v>37</x:v>
      </x:c>
      <x:c r="Q1568" s="10" t="n">
        <x:v>0</x:v>
      </x:c>
      <x:c r="R1568" s="13" t="n">
        <x:v>0</x:v>
      </x:c>
      <x:c r="S1568" s="10" t="n">
        <x:v>10</x:v>
      </x:c>
      <x:c r="T1568" s="10" t="str">
        <x:v>loan officer,lender,mortgage marketing,sales planner,lead generation,lender tools,mortgage tools,lender marketing,sales organizer,lender help,loan officer help</x:v>
      </x:c>
      <x:c r="U1568" s="10" t="str">
        <x:v>loan officer</x:v>
      </x:c>
      <x:c r="V1568" s="10" t="str">
        <x:v>lender</x:v>
      </x:c>
      <x:c r="W1568" s="10" t="str">
        <x:v>mortgage marketing</x:v>
      </x:c>
      <x:c r="X1568" s="10" t="str">
        <x:v>sales planner</x:v>
      </x:c>
      <x:c r="Y1568" s="10" t="str">
        <x:v>lead generation</x:v>
      </x:c>
      <x:c r="Z1568" s="10" t="str">
        <x:v>lender tools</x:v>
      </x:c>
      <x:c r="AA1568" s="10" t="str">
        <x:v>mortgage tools</x:v>
      </x:c>
      <x:c r="AB1568" s="10" t="str">
        <x:v>lender marketing</x:v>
      </x:c>
      <x:c r="AC1568" s="10" t="str">
        <x:v>sales organizer</x:v>
      </x:c>
      <x:c r="AD1568" s="10" t="str">
        <x:v>lender help</x:v>
      </x:c>
      <x:c r="AE1568" s="10" t="str">
        <x:v>loan officer help</x:v>
      </x:c>
      <x:c r="AF1568" s="10" t="str">
        <x:v>--</x:v>
      </x:c>
      <x:c r="AG1568" s="10" t="str">
        <x:v>--</x:v>
      </x:c>
      <x:c r="AH1568" s="10" t="str">
        <x:v>Loan officer / B2B</x:v>
      </x:c>
      <x:c r="AI1568" s="13" t="n">
        <x:v>37</x:v>
      </x:c>
      <x:c r="AJ1568" s="10" t="str">
        <x:f>IF(F1568&gt;0,"Active","No est. sales")</x:f>
        <x:v>No est. sales</x:v>
      </x:c>
    </x:row>
    <x:row r="1569">
      <x:c r="A1569" s="10" t="str">
        <x:v>Home Buying Checklist and Budget Spreadsheet | Excel and Google Sheets | Mortgage Calculator</x:v>
      </x:c>
      <x:c r="B1569" s="10" t="str">
        <x:v>https://www.etsy.com/listing/4473230005/home-buying-checklist-and-budget</x:v>
      </x:c>
      <x:c r="C1569" s="10" t="str">
        <x:v>FileSmartCo</x:v>
      </x:c>
      <x:c r="D1569" s="10" t="str">
        <x:v>https://www.etsy.com/shop/FileSmartCo</x:v>
      </x:c>
      <x:c r="E1569" s="11" t="n">
        <x:v>5.97</x:v>
      </x:c>
      <x:c r="F1569" s="10" t="n">
        <x:v>0</x:v>
      </x:c>
      <x:c r="G1569" s="12" t="n">
        <x:v>0</x:v>
      </x:c>
      <x:c r="H1569" s="13" t="n">
        <x:v>0</x:v>
      </x:c>
      <x:c r="I1569" s="10" t="n">
        <x:v>0</x:v>
      </x:c>
      <x:c r="J1569" s="10" t="n">
        <x:v>0</x:v>
      </x:c>
      <x:c r="K1569" s="10" t="str">
        <x:v>4 Mo.</x:v>
      </x:c>
      <x:c r="L1569" s="10" t="n">
        <x:v>0</x:v>
      </x:c>
      <x:c r="M1569" s="10" t="n">
        <x:v>0</x:v>
      </x:c>
      <x:c r="N1569" s="10" t="n">
        <x:v>6</x:v>
      </x:c>
      <x:c r="O1569" s="10" t="str"/>
      <x:c r="P1569" s="10" t="n">
        <x:v>4</x:v>
      </x:c>
      <x:c r="Q1569" s="10" t="n">
        <x:v>0</x:v>
      </x:c>
      <x:c r="R1569" s="13" t="n">
        <x:v>0</x:v>
      </x:c>
      <x:c r="S1569" s="10" t="n">
        <x:v>45</x:v>
      </x:c>
      <x:c r="T1569" s="10" t="str">
        <x:v>home buyer checklist,first home buyer,mortgage calculator,property comparison,home buying budget,house hunting,property tracker,closing costs,moving checklist,home buying planner,property spreadsheet,first home planner,mortgage planner</x:v>
      </x:c>
      <x:c r="U1569" s="10" t="str">
        <x:v>home buyer checklist</x:v>
      </x:c>
      <x:c r="V1569" s="10" t="str">
        <x:v>first home buyer</x:v>
      </x:c>
      <x:c r="W1569" s="10" t="str">
        <x:v>mortgage calculator</x:v>
      </x:c>
      <x:c r="X1569" s="10" t="str">
        <x:v>property comparison</x:v>
      </x:c>
      <x:c r="Y1569" s="10" t="str">
        <x:v>home buying budget</x:v>
      </x:c>
      <x:c r="Z1569" s="10" t="str">
        <x:v>house hunting</x:v>
      </x:c>
      <x:c r="AA1569" s="10" t="str">
        <x:v>property tracker</x:v>
      </x:c>
      <x:c r="AB1569" s="10" t="str">
        <x:v>closing costs</x:v>
      </x:c>
      <x:c r="AC1569" s="10" t="str">
        <x:v>moving checklist</x:v>
      </x:c>
      <x:c r="AD1569" s="10" t="str">
        <x:v>home buying planner</x:v>
      </x:c>
      <x:c r="AE1569" s="10" t="str">
        <x:v>property spreadsheet</x:v>
      </x:c>
      <x:c r="AF1569" s="10" t="str">
        <x:v>first home planner</x:v>
      </x:c>
      <x:c r="AG1569" s="10" t="str">
        <x:v>mortgage planner</x:v>
      </x:c>
      <x:c r="AH1569" s="10" t="str">
        <x:v>Home buying planner</x:v>
      </x:c>
      <x:c r="AI1569" s="13" t="n">
        <x:v>4</x:v>
      </x:c>
      <x:c r="AJ1569" s="10" t="str">
        <x:f>IF(F1569&gt;0,"Active","No est. sales")</x:f>
        <x:v>No est. sales</x:v>
      </x:c>
    </x:row>
    <x:row r="1570">
      <x:c r="A1570" s="10" t="str">
        <x:v>Mortgage Planner Stickers - Font 1 | Clear Gloss or Matte White</x:v>
      </x:c>
      <x:c r="B1570" s="10" t="str">
        <x:v>https://www.etsy.com/listing/633241951/mortgage-planner-stickers-clear-rent-due</x:v>
      </x:c>
      <x:c r="C1570" s="10" t="str">
        <x:v>LucidLair</x:v>
      </x:c>
      <x:c r="D1570" s="10" t="str">
        <x:v>https://www.etsy.com/shop/LucidLair</x:v>
      </x:c>
      <x:c r="E1570" s="11" t="n">
        <x:v>2.69</x:v>
      </x:c>
      <x:c r="F1570" s="10" t="n">
        <x:v>0</x:v>
      </x:c>
      <x:c r="G1570" s="12" t="n">
        <x:v>0</x:v>
      </x:c>
      <x:c r="H1570" s="13" t="n">
        <x:v>0</x:v>
      </x:c>
      <x:c r="I1570" s="10" t="n">
        <x:v>11</x:v>
      </x:c>
      <x:c r="J1570" s="10" t="n">
        <x:v>2</x:v>
      </x:c>
      <x:c r="K1570" s="10" t="str">
        <x:v>95 Mo.</x:v>
      </x:c>
      <x:c r="L1570" s="10" t="n">
        <x:v>38</x:v>
      </x:c>
      <x:c r="M1570" s="10" t="n">
        <x:v>0</x:v>
      </x:c>
      <x:c r="N1570" s="10" t="n">
        <x:v>306</x:v>
      </x:c>
      <x:c r="O1570" s="10" t="str">
        <x:v>Paper &amp; Party Supplies</x:v>
      </x:c>
      <x:c r="P1570" s="10" t="n">
        <x:v>100</x:v>
      </x:c>
      <x:c r="Q1570" s="10" t="n">
        <x:v>0</x:v>
      </x:c>
      <x:c r="R1570" s="13" t="n">
        <x:v>3.59</x:v>
      </x:c>
      <x:c r="S1570" s="10" t="n">
        <x:v>13927</x:v>
      </x:c>
      <x:c r="T1570" s="10" t="str">
        <x:v>finance stickers,clear stickers,money planner,bill stickers,rent stickers,rent due stickers,mortgage stickers,payment stickers,pay bills stickers,word stickers,house stickers,mini icon stickers,clear planner mini</x:v>
      </x:c>
      <x:c r="U1570" s="10" t="str">
        <x:v>finance stickers</x:v>
      </x:c>
      <x:c r="V1570" s="10" t="str">
        <x:v>clear stickers</x:v>
      </x:c>
      <x:c r="W1570" s="10" t="str">
        <x:v>money planner</x:v>
      </x:c>
      <x:c r="X1570" s="10" t="str">
        <x:v>bill stickers</x:v>
      </x:c>
      <x:c r="Y1570" s="10" t="str">
        <x:v>rent stickers</x:v>
      </x:c>
      <x:c r="Z1570" s="10" t="str">
        <x:v>rent due stickers</x:v>
      </x:c>
      <x:c r="AA1570" s="10" t="str">
        <x:v>mortgage stickers</x:v>
      </x:c>
      <x:c r="AB1570" s="10" t="str">
        <x:v>payment stickers</x:v>
      </x:c>
      <x:c r="AC1570" s="10" t="str">
        <x:v>pay bills stickers</x:v>
      </x:c>
      <x:c r="AD1570" s="10" t="str">
        <x:v>word stickers</x:v>
      </x:c>
      <x:c r="AE1570" s="10" t="str">
        <x:v>house stickers</x:v>
      </x:c>
      <x:c r="AF1570" s="10" t="str">
        <x:v>mini icon stickers</x:v>
      </x:c>
      <x:c r="AG1570" s="10" t="str">
        <x:v>clear planner mini</x:v>
      </x:c>
      <x:c r="AH1570" s="10" t="str">
        <x:v>Other mortgage-related</x:v>
      </x:c>
      <x:c r="AI1570" s="13" t="n">
        <x:v>95</x:v>
      </x:c>
      <x:c r="AJ1570" s="10" t="str">
        <x:f>IF(F1570&gt;0,"Active","No est. sales")</x:f>
        <x:v>No est. sales</x:v>
      </x:c>
    </x:row>
    <x:row r="1571">
      <x:c r="A1571" s="10" t="str">
        <x:v>Debt Tracker Bundle: Snowball, Payoff, Payment (PDF Printable)</x:v>
      </x:c>
      <x:c r="B1571" s="10" t="str">
        <x:v>https://www.etsy.com/listing/1161873491/debt-tracker-bundle-snowball-payoff</x:v>
      </x:c>
      <x:c r="C1571" s="10" t="str">
        <x:v>HartfordHustlePrints</x:v>
      </x:c>
      <x:c r="D1571" s="10" t="str">
        <x:v>https://www.etsy.com/shop/HartfordHustlePrints</x:v>
      </x:c>
      <x:c r="E1571" s="11" t="n">
        <x:v>8</x:v>
      </x:c>
      <x:c r="F1571" s="10" t="n">
        <x:v>0</x:v>
      </x:c>
      <x:c r="G1571" s="12" t="n">
        <x:v>0</x:v>
      </x:c>
      <x:c r="H1571" s="13" t="n">
        <x:v>0</x:v>
      </x:c>
      <x:c r="I1571" s="10" t="n">
        <x:v>0</x:v>
      </x:c>
      <x:c r="J1571" s="10" t="n">
        <x:v>0</x:v>
      </x:c>
      <x:c r="K1571" s="10" t="str">
        <x:v>54 Mo.</x:v>
      </x:c>
      <x:c r="L1571" s="10" t="n">
        <x:v>9</x:v>
      </x:c>
      <x:c r="M1571" s="10" t="n">
        <x:v>0</x:v>
      </x:c>
      <x:c r="N1571" s="10" t="n">
        <x:v>128</x:v>
      </x:c>
      <x:c r="O1571" s="10" t="str">
        <x:v>Paper &amp; Party Supplies</x:v>
      </x:c>
      <x:c r="P1571" s="10" t="n">
        <x:v>73</x:v>
      </x:c>
      <x:c r="Q1571" s="10" t="n">
        <x:v>0</x:v>
      </x:c>
      <x:c r="R1571" s="13" t="n">
        <x:v>0</x:v>
      </x:c>
      <x:c r="S1571" s="10" t="n">
        <x:v>1863</x:v>
      </x:c>
      <x:c r="T1571" s="10" t="str">
        <x:v>printable,debt tracker,debt snowball,debt payoff tracker,debt payment tracker,dave ramsey,credit card tracker,mortgage tracker,financial tracker,budget planner,finance planner,spending tracker,budget tracker</x:v>
      </x:c>
      <x:c r="U1571" s="10" t="str">
        <x:v>printable</x:v>
      </x:c>
      <x:c r="V1571" s="10" t="str">
        <x:v>debt tracker</x:v>
      </x:c>
      <x:c r="W1571" s="10" t="str">
        <x:v>debt snowball</x:v>
      </x:c>
      <x:c r="X1571" s="10" t="str">
        <x:v>debt payoff tracker</x:v>
      </x:c>
      <x:c r="Y1571" s="10" t="str">
        <x:v>debt payment tracker</x:v>
      </x:c>
      <x:c r="Z1571" s="10" t="str">
        <x:v>dave ramsey</x:v>
      </x:c>
      <x:c r="AA1571" s="10" t="str">
        <x:v>credit card tracker</x:v>
      </x:c>
      <x:c r="AB1571" s="10" t="str">
        <x:v>mortgage tracker</x:v>
      </x:c>
      <x:c r="AC1571" s="10" t="str">
        <x:v>financial tracker</x:v>
      </x:c>
      <x:c r="AD1571" s="10" t="str">
        <x:v>budget planner</x:v>
      </x:c>
      <x:c r="AE1571" s="10" t="str">
        <x:v>finance planner</x:v>
      </x:c>
      <x:c r="AF1571" s="10" t="str">
        <x:v>spending tracker</x:v>
      </x:c>
      <x:c r="AG1571" s="10" t="str">
        <x:v>budget tracker</x:v>
      </x:c>
      <x:c r="AH1571" s="10" t="str">
        <x:v>General debt payoff</x:v>
      </x:c>
      <x:c r="AI1571" s="13" t="n">
        <x:v>54</x:v>
      </x:c>
      <x:c r="AJ1571" s="10" t="str">
        <x:f>IF(F1571&gt;0,"Active","No est. sales")</x:f>
        <x:v>No est. sales</x:v>
      </x:c>
    </x:row>
    <x:row r="1572">
      <x:c r="A1572" s="10" t="str">
        <x:v>Mortgage Affordability Calculator Excel | Auto-Calculating Homebuyer Spreadsheet | DTI Tool</x:v>
      </x:c>
      <x:c r="B1572" s="10" t="str">
        <x:v>https://www.etsy.com/listing/4480389439/mortgage-affordability-calculator-excel</x:v>
      </x:c>
      <x:c r="C1572" s="10" t="str">
        <x:v>SolvanaShop</x:v>
      </x:c>
      <x:c r="D1572" s="10" t="str">
        <x:v>https://www.etsy.com/shop/SolvanaShop</x:v>
      </x:c>
      <x:c r="E1572" s="11" t="n">
        <x:v>22.98</x:v>
      </x:c>
      <x:c r="F1572" s="10" t="n">
        <x:v>0</x:v>
      </x:c>
      <x:c r="G1572" s="12" t="n">
        <x:v>0</x:v>
      </x:c>
      <x:c r="H1572" s="13" t="n">
        <x:v>0</x:v>
      </x:c>
      <x:c r="I1572" s="10" t="n">
        <x:v>0</x:v>
      </x:c>
      <x:c r="J1572" s="10" t="n">
        <x:v>0</x:v>
      </x:c>
      <x:c r="K1572" s="10" t="str">
        <x:v>4 Mo.</x:v>
      </x:c>
      <x:c r="L1572" s="10" t="n">
        <x:v>0</x:v>
      </x:c>
      <x:c r="M1572" s="10" t="n">
        <x:v>0</x:v>
      </x:c>
      <x:c r="N1572" s="10" t="n">
        <x:v>0</x:v>
      </x:c>
      <x:c r="O1572" s="10" t="str"/>
      <x:c r="P1572" s="10" t="n">
        <x:v>30</x:v>
      </x:c>
      <x:c r="Q1572" s="10" t="n">
        <x:v>0</x:v>
      </x:c>
      <x:c r="R1572" s="13" t="n">
        <x:v>0</x:v>
      </x:c>
      <x:c r="S1572" s="10" t="n">
        <x:v>0</x:v>
      </x:c>
      <x:c r="T1572" s="10" t="str">
        <x:v>dti calculator,first time homebuyer,mortgage calculator excel,affordability spreadsheet,home buying tool,mortgage spreadsheet,budget calculator,homebuyer worksheet,financial spreadsheet,excel planner,real estate calculator,down payment tracker,expense calculator</x:v>
      </x:c>
      <x:c r="U1572" s="10" t="str">
        <x:v>dti calculator</x:v>
      </x:c>
      <x:c r="V1572" s="10" t="str">
        <x:v>first time homebuyer</x:v>
      </x:c>
      <x:c r="W1572" s="10" t="str">
        <x:v>mortgage calculator excel</x:v>
      </x:c>
      <x:c r="X1572" s="10" t="str">
        <x:v>affordability spreadsheet</x:v>
      </x:c>
      <x:c r="Y1572" s="10" t="str">
        <x:v>home buying tool</x:v>
      </x:c>
      <x:c r="Z1572" s="10" t="str">
        <x:v>mortgage spreadsheet</x:v>
      </x:c>
      <x:c r="AA1572" s="10" t="str">
        <x:v>budget calculator</x:v>
      </x:c>
      <x:c r="AB1572" s="10" t="str">
        <x:v>homebuyer worksheet</x:v>
      </x:c>
      <x:c r="AC1572" s="10" t="str">
        <x:v>financial spreadsheet</x:v>
      </x:c>
      <x:c r="AD1572" s="10" t="str">
        <x:v>excel planner</x:v>
      </x:c>
      <x:c r="AE1572" s="10" t="str">
        <x:v>real estate calculator</x:v>
      </x:c>
      <x:c r="AF1572" s="10" t="str">
        <x:v>down payment tracker</x:v>
      </x:c>
      <x:c r="AG1572" s="10" t="str">
        <x:v>expense calculator</x:v>
      </x:c>
      <x:c r="AH1572" s="10" t="str">
        <x:v>Other mortgage-related</x:v>
      </x:c>
      <x:c r="AI1572" s="13" t="n">
        <x:v>4</x:v>
      </x:c>
      <x:c r="AJ1572" s="10" t="str">
        <x:f>IF(F1572&gt;0,"Active","No est. sales")</x:f>
        <x:v>No est. sales</x:v>
      </x:c>
    </x:row>
    <x:row r="1573">
      <x:c r="A1573" s="10" t="str">
        <x:v>Mortgage Due Icon || Planner Sticker Sheet</x:v>
      </x:c>
      <x:c r="B1573" s="10" t="str">
        <x:v>https://www.etsy.com/listing/866544747/mortgage-due-icon-planner-sticker-sheet</x:v>
      </x:c>
      <x:c r="C1573" s="10" t="str">
        <x:v>KhoindiDesigns</x:v>
      </x:c>
      <x:c r="D1573" s="10" t="str">
        <x:v>https://www.etsy.com/shop/KhoindiDesigns</x:v>
      </x:c>
      <x:c r="E1573" s="11" t="n">
        <x:v>2.45</x:v>
      </x:c>
      <x:c r="F1573" s="10" t="n">
        <x:v>0</x:v>
      </x:c>
      <x:c r="G1573" s="12" t="n">
        <x:v>0</x:v>
      </x:c>
      <x:c r="H1573" s="13" t="n">
        <x:v>0</x:v>
      </x:c>
      <x:c r="I1573" s="10" t="n">
        <x:v>17</x:v>
      </x:c>
      <x:c r="J1573" s="10" t="n">
        <x:v>3</x:v>
      </x:c>
      <x:c r="K1573" s="10" t="str">
        <x:v>70 Mo.</x:v>
      </x:c>
      <x:c r="L1573" s="10" t="n">
        <x:v>20</x:v>
      </x:c>
      <x:c r="M1573" s="10" t="n">
        <x:v>0</x:v>
      </x:c>
      <x:c r="N1573" s="10" t="n">
        <x:v>352</x:v>
      </x:c>
      <x:c r="O1573" s="10" t="str">
        <x:v>Paper &amp; Party Supplies</x:v>
      </x:c>
      <x:c r="P1573" s="10" t="n">
        <x:v>72</x:v>
      </x:c>
      <x:c r="Q1573" s="10" t="n">
        <x:v>0</x:v>
      </x:c>
      <x:c r="R1573" s="13" t="n">
        <x:v>4.83</x:v>
      </x:c>
      <x:c r="S1573" s="10" t="n">
        <x:v>1028</x:v>
      </x:c>
      <x:c r="T1573" s="10" t="str">
        <x:v>planner,sticker,sheet,functional,icon,hand drawn,due,mortgage,bill,pay,payment,finance</x:v>
      </x:c>
      <x:c r="U1573" s="10" t="str">
        <x:v>planner</x:v>
      </x:c>
      <x:c r="V1573" s="10" t="str">
        <x:v>sticker</x:v>
      </x:c>
      <x:c r="W1573" s="10" t="str">
        <x:v>sheet</x:v>
      </x:c>
      <x:c r="X1573" s="10" t="str">
        <x:v>functional</x:v>
      </x:c>
      <x:c r="Y1573" s="10" t="str">
        <x:v>icon</x:v>
      </x:c>
      <x:c r="Z1573" s="10" t="str">
        <x:v>hand drawn</x:v>
      </x:c>
      <x:c r="AA1573" s="10" t="str">
        <x:v>due</x:v>
      </x:c>
      <x:c r="AB1573" s="10" t="str">
        <x:v>mortgage</x:v>
      </x:c>
      <x:c r="AC1573" s="10" t="str">
        <x:v>bill</x:v>
      </x:c>
      <x:c r="AD1573" s="10" t="str">
        <x:v>pay</x:v>
      </x:c>
      <x:c r="AE1573" s="10" t="str">
        <x:v>payment</x:v>
      </x:c>
      <x:c r="AF1573" s="10" t="str">
        <x:v>finance</x:v>
      </x:c>
      <x:c r="AG1573" s="10" t="str">
        <x:v>--</x:v>
      </x:c>
      <x:c r="AH1573" s="10" t="str">
        <x:v>Other mortgage-related</x:v>
      </x:c>
      <x:c r="AI1573" s="13" t="n">
        <x:v>70</x:v>
      </x:c>
      <x:c r="AJ1573" s="10" t="str">
        <x:f>IF(F1573&gt;0,"Active","No est. sales")</x:f>
        <x:v>No est. sales</x:v>
      </x:c>
    </x:row>
    <x:row r="1574">
      <x:c r="A1574" s="10" t="str">
        <x:v>Mortgage Payoff &amp; Home Buying Planner | Affordability Calculator Down Payment Tracker Refinance Excel</x:v>
      </x:c>
      <x:c r="B1574" s="10" t="str">
        <x:v>https://www.etsy.com/listing/4546075120/mortgage-payoff-home-buying-planner</x:v>
      </x:c>
      <x:c r="C1574" s="10" t="str">
        <x:v>legacyfinancestudio</x:v>
      </x:c>
      <x:c r="D1574" s="10" t="str">
        <x:v>https://www.etsy.com/shop/legacyfinancestudio</x:v>
      </x:c>
      <x:c r="E1574" s="11" t="n">
        <x:v>34.29</x:v>
      </x:c>
      <x:c r="F1574" s="10" t="n">
        <x:v>0</x:v>
      </x:c>
      <x:c r="G1574" s="12" t="n">
        <x:v>0</x:v>
      </x:c>
      <x:c r="H1574" s="13" t="n">
        <x:v>0</x:v>
      </x:c>
      <x:c r="I1574" s="10" t="n">
        <x:v>0</x:v>
      </x:c>
      <x:c r="J1574" s="10" t="n">
        <x:v>0</x:v>
      </x:c>
      <x:c r="K1574" s="10" t="str">
        <x:v>1 Mo.</x:v>
      </x:c>
      <x:c r="L1574" s="10" t="n">
        <x:v>0</x:v>
      </x:c>
      <x:c r="M1574" s="10" t="n">
        <x:v>0</x:v>
      </x:c>
      <x:c r="N1574" s="10" t="n">
        <x:v>0</x:v>
      </x:c>
      <x:c r="O1574" s="10" t="str"/>
      <x:c r="P1574" s="10" t="n">
        <x:v>0</x:v>
      </x:c>
      <x:c r="Q1574" s="10" t="n">
        <x:v>0</x:v>
      </x:c>
      <x:c r="R1574" s="13" t="n">
        <x:v>0</x:v>
      </x:c>
      <x:c r="S1574" s="10" t="n">
        <x:v>0</x:v>
      </x:c>
      <x:c r="T1574" s="10" t="str">
        <x:v>mortgage planner,mortgage payoff,home buying,home budget,mortgage excel,payoff tracker,home planner,first home,down payment,excel template,budget planner,closing costs,home finance</x:v>
      </x:c>
      <x:c r="U1574" s="10" t="str">
        <x:v>mortgage planner</x:v>
      </x:c>
      <x:c r="V1574" s="10" t="str">
        <x:v>mortgage payoff</x:v>
      </x:c>
      <x:c r="W1574" s="10" t="str">
        <x:v>home buying</x:v>
      </x:c>
      <x:c r="X1574" s="10" t="str">
        <x:v>home budget</x:v>
      </x:c>
      <x:c r="Y1574" s="10" t="str">
        <x:v>mortgage excel</x:v>
      </x:c>
      <x:c r="Z1574" s="10" t="str">
        <x:v>payoff tracker</x:v>
      </x:c>
      <x:c r="AA1574" s="10" t="str">
        <x:v>home planner</x:v>
      </x:c>
      <x:c r="AB1574" s="10" t="str">
        <x:v>first home</x:v>
      </x:c>
      <x:c r="AC1574" s="10" t="str">
        <x:v>down payment</x:v>
      </x:c>
      <x:c r="AD1574" s="10" t="str">
        <x:v>excel template</x:v>
      </x:c>
      <x:c r="AE1574" s="10" t="str">
        <x:v>budget planner</x:v>
      </x:c>
      <x:c r="AF1574" s="10" t="str">
        <x:v>closing costs</x:v>
      </x:c>
      <x:c r="AG1574" s="10" t="str">
        <x:v>home finance</x:v>
      </x:c>
      <x:c r="AH1574" s="10" t="str">
        <x:v>Home buying planner</x:v>
      </x:c>
      <x:c r="AI1574" s="13" t="n">
        <x:v>1</x:v>
      </x:c>
      <x:c r="AJ1574" s="10" t="str">
        <x:f>IF(F1574&gt;0,"Active","No est. sales")</x:f>
        <x:v>No est. sales</x:v>
      </x:c>
    </x:row>
    <x:row r="1575">
      <x:c r="A1575" s="10" t="str">
        <x:v>Home Affordability Calculator | Excel &amp; Google Sheets | Mortgage Budget Planner | Real Estate Finance Template</x:v>
      </x:c>
      <x:c r="B1575" s="10" t="str">
        <x:v>https://www.etsy.com/listing/4348633654/home-affordability-calculator-excel</x:v>
      </x:c>
      <x:c r="C1575" s="10" t="str">
        <x:v>BuildBooksTemplates</x:v>
      </x:c>
      <x:c r="D1575" s="10" t="str">
        <x:v>https://www.etsy.com/shop/BuildBooksTemplates</x:v>
      </x:c>
      <x:c r="E1575" s="11" t="n">
        <x:v>7.99</x:v>
      </x:c>
      <x:c r="F1575" s="10" t="n">
        <x:v>0</x:v>
      </x:c>
      <x:c r="G1575" s="12" t="n">
        <x:v>0</x:v>
      </x:c>
      <x:c r="H1575" s="13" t="n">
        <x:v>0</x:v>
      </x:c>
      <x:c r="I1575" s="10" t="n">
        <x:v>0</x:v>
      </x:c>
      <x:c r="J1575" s="10" t="n">
        <x:v>0</x:v>
      </x:c>
      <x:c r="K1575" s="10" t="str">
        <x:v>11 Mo.</x:v>
      </x:c>
      <x:c r="L1575" s="10" t="n">
        <x:v>1</x:v>
      </x:c>
      <x:c r="M1575" s="10" t="n">
        <x:v>0</x:v>
      </x:c>
      <x:c r="N1575" s="10" t="n">
        <x:v>37</x:v>
      </x:c>
      <x:c r="O1575" s="10" t="str">
        <x:v>Paper &amp; Party Supplies</x:v>
      </x:c>
      <x:c r="P1575" s="10" t="n">
        <x:v>14</x:v>
      </x:c>
      <x:c r="Q1575" s="10" t="n">
        <x:v>0</x:v>
      </x:c>
      <x:c r="R1575" s="13" t="n">
        <x:v>0</x:v>
      </x:c>
      <x:c r="S1575" s="10" t="n">
        <x:v>3919</x:v>
      </x:c>
      <x:c r="T1575" s="10" t="str">
        <x:v>home affordability,mortgage calculator,real estate planner,excel finance,google sheets,loan calculator,budget planner,house budget,mortgage planner,home buyer tool,real estate tool,finance template,digital download</x:v>
      </x:c>
      <x:c r="U1575" s="10" t="str">
        <x:v>home affordability</x:v>
      </x:c>
      <x:c r="V1575" s="10" t="str">
        <x:v>mortgage calculator</x:v>
      </x:c>
      <x:c r="W1575" s="10" t="str">
        <x:v>real estate planner</x:v>
      </x:c>
      <x:c r="X1575" s="10" t="str">
        <x:v>excel finance</x:v>
      </x:c>
      <x:c r="Y1575" s="10" t="str">
        <x:v>google sheets</x:v>
      </x:c>
      <x:c r="Z1575" s="10" t="str">
        <x:v>loan calculator</x:v>
      </x:c>
      <x:c r="AA1575" s="10" t="str">
        <x:v>budget planner</x:v>
      </x:c>
      <x:c r="AB1575" s="10" t="str">
        <x:v>house budget</x:v>
      </x:c>
      <x:c r="AC1575" s="10" t="str">
        <x:v>mortgage planner</x:v>
      </x:c>
      <x:c r="AD1575" s="10" t="str">
        <x:v>home buyer tool</x:v>
      </x:c>
      <x:c r="AE1575" s="10" t="str">
        <x:v>real estate tool</x:v>
      </x:c>
      <x:c r="AF1575" s="10" t="str">
        <x:v>finance template</x:v>
      </x:c>
      <x:c r="AG1575" s="10" t="str">
        <x:v>digital download</x:v>
      </x:c>
      <x:c r="AH1575" s="10" t="str">
        <x:v>Other mortgage-related</x:v>
      </x:c>
      <x:c r="AI1575" s="13" t="n">
        <x:v>11</x:v>
      </x:c>
      <x:c r="AJ1575" s="10" t="str">
        <x:f>IF(F1575&gt;0,"Active","No est. sales")</x:f>
        <x:v>No est. sales</x:v>
      </x:c>
    </x:row>
    <x:row r="1576">
      <x:c r="A1576" s="10" t="str">
        <x:v>Debt Payoff Tracker Spreadsheet Google Sheets Snowball Avalanche Calculator Credit Card Student Loan Mortgage Planner Financial Budget</x:v>
      </x:c>
      <x:c r="B1576" s="10" t="str">
        <x:v>https://www.etsy.com/listing/4390652806/debt-payoff-tracker-spreadsheet-snowball</x:v>
      </x:c>
      <x:c r="C1576" s="10" t="str">
        <x:v>SerenatasJourney</x:v>
      </x:c>
      <x:c r="D1576" s="10" t="str">
        <x:v>https://www.etsy.com/shop/SerenatasJourney</x:v>
      </x:c>
      <x:c r="E1576" s="11" t="n">
        <x:v>10.24</x:v>
      </x:c>
      <x:c r="F1576" s="10" t="n">
        <x:v>0</x:v>
      </x:c>
      <x:c r="G1576" s="12" t="n">
        <x:v>0</x:v>
      </x:c>
      <x:c r="H1576" s="13" t="n">
        <x:v>0</x:v>
      </x:c>
      <x:c r="I1576" s="10" t="n">
        <x:v>76</x:v>
      </x:c>
      <x:c r="J1576" s="10" t="n">
        <x:v>7</x:v>
      </x:c>
      <x:c r="K1576" s="10" t="str">
        <x:v>9 Mo.</x:v>
      </x:c>
      <x:c r="L1576" s="10" t="n">
        <x:v>52</x:v>
      </x:c>
      <x:c r="M1576" s="10" t="n">
        <x:v>1</x:v>
      </x:c>
      <x:c r="N1576" s="10" t="n">
        <x:v>1655</x:v>
      </x:c>
      <x:c r="O1576" s="10" t="str">
        <x:v>Paper &amp; Party Supplies</x:v>
      </x:c>
      <x:c r="P1576" s="10" t="n">
        <x:v>41</x:v>
      </x:c>
      <x:c r="Q1576" s="10" t="n">
        <x:v>54</x:v>
      </x:c>
      <x:c r="R1576" s="13" t="n">
        <x:v>4.59</x:v>
      </x:c>
      <x:c r="S1576" s="10" t="n">
        <x:v>37587</x:v>
      </x:c>
      <x:c r="T1576" s="10" t="str">
        <x:v>debt payoff tracker,google sheets,debt snowball,financial planner,budget planner,debt tracker,debt avalanche,credit card payoff,student loan payoff,mortgage payoff,debt calculator,spreadsheet template,debt repayment</x:v>
      </x:c>
      <x:c r="U1576" s="10" t="str">
        <x:v>debt payoff tracker</x:v>
      </x:c>
      <x:c r="V1576" s="10" t="str">
        <x:v>google sheets</x:v>
      </x:c>
      <x:c r="W1576" s="10" t="str">
        <x:v>debt snowball</x:v>
      </x:c>
      <x:c r="X1576" s="10" t="str">
        <x:v>financial planner</x:v>
      </x:c>
      <x:c r="Y1576" s="10" t="str">
        <x:v>budget planner</x:v>
      </x:c>
      <x:c r="Z1576" s="10" t="str">
        <x:v>debt tracker</x:v>
      </x:c>
      <x:c r="AA1576" s="10" t="str">
        <x:v>debt avalanche</x:v>
      </x:c>
      <x:c r="AB1576" s="10" t="str">
        <x:v>credit card payoff</x:v>
      </x:c>
      <x:c r="AC1576" s="10" t="str">
        <x:v>student loan payoff</x:v>
      </x:c>
      <x:c r="AD1576" s="10" t="str">
        <x:v>mortgage payoff</x:v>
      </x:c>
      <x:c r="AE1576" s="10" t="str">
        <x:v>debt calculator</x:v>
      </x:c>
      <x:c r="AF1576" s="10" t="str">
        <x:v>spreadsheet template</x:v>
      </x:c>
      <x:c r="AG1576" s="10" t="str">
        <x:v>debt repayment</x:v>
      </x:c>
      <x:c r="AH1576" s="10" t="str">
        <x:v>General debt payoff</x:v>
      </x:c>
      <x:c r="AI1576" s="13" t="n">
        <x:v>9</x:v>
      </x:c>
      <x:c r="AJ1576" s="10" t="str">
        <x:f>IF(F1576&gt;0,"Active","No est. sales")</x:f>
        <x:v>No est. sales</x:v>
      </x:c>
    </x:row>
    <x:row r="1577">
      <x:c r="A1577" s="10" t="str">
        <x:v>Mortgage Calculator | Home Loan Payment Excel Template | Mortgage Planner | Google Sheets</x:v>
      </x:c>
      <x:c r="B1577" s="10" t="str">
        <x:v>https://www.etsy.com/listing/4470867385/mortgage-calculator-home-loan-payment</x:v>
      </x:c>
      <x:c r="C1577" s="10" t="str">
        <x:v>QuietPages</x:v>
      </x:c>
      <x:c r="D1577" s="10" t="str">
        <x:v>https://www.etsy.com/shop/QuietPages</x:v>
      </x:c>
      <x:c r="E1577" s="11" t="n">
        <x:v>3.95</x:v>
      </x:c>
      <x:c r="F1577" s="10" t="n">
        <x:v>0</x:v>
      </x:c>
      <x:c r="G1577" s="12" t="n">
        <x:v>0</x:v>
      </x:c>
      <x:c r="H1577" s="13" t="n">
        <x:v>0</x:v>
      </x:c>
      <x:c r="I1577" s="10" t="n">
        <x:v>0</x:v>
      </x:c>
      <x:c r="J1577" s="10" t="n">
        <x:v>0</x:v>
      </x:c>
      <x:c r="K1577" s="10" t="str">
        <x:v>4 Mo.</x:v>
      </x:c>
      <x:c r="L1577" s="10" t="n">
        <x:v>0</x:v>
      </x:c>
      <x:c r="M1577" s="10" t="n">
        <x:v>0</x:v>
      </x:c>
      <x:c r="N1577" s="10" t="n">
        <x:v>6</x:v>
      </x:c>
      <x:c r="O1577" s="10" t="str">
        <x:v>Paper &amp; Party Supplies</x:v>
      </x:c>
      <x:c r="P1577" s="10" t="n">
        <x:v>22</x:v>
      </x:c>
      <x:c r="Q1577" s="10" t="n">
        <x:v>0</x:v>
      </x:c>
      <x:c r="R1577" s="13" t="n">
        <x:v>0</x:v>
      </x:c>
      <x:c r="S1577" s="10" t="n">
        <x:v>152</x:v>
      </x:c>
      <x:c r="T1577" s="10" t="str">
        <x:v>budget tracker,excel template,google sheets,spreadsheet,digital download,instant download,planner,organizer,tracker,budget planner,finance tracker,expense tracker,printable</x:v>
      </x:c>
      <x:c r="U1577" s="10" t="str">
        <x:v>budget tracker</x:v>
      </x:c>
      <x:c r="V1577" s="10" t="str">
        <x:v>excel template</x:v>
      </x:c>
      <x:c r="W1577" s="10" t="str">
        <x:v>google sheets</x:v>
      </x:c>
      <x:c r="X1577" s="10" t="str">
        <x:v>spreadsheet</x:v>
      </x:c>
      <x:c r="Y1577" s="10" t="str">
        <x:v>digital download</x:v>
      </x:c>
      <x:c r="Z1577" s="10" t="str">
        <x:v>instant download</x:v>
      </x:c>
      <x:c r="AA1577" s="10" t="str">
        <x:v>planner</x:v>
      </x:c>
      <x:c r="AB1577" s="10" t="str">
        <x:v>organizer</x:v>
      </x:c>
      <x:c r="AC1577" s="10" t="str">
        <x:v>tracker</x:v>
      </x:c>
      <x:c r="AD1577" s="10" t="str">
        <x:v>budget planner</x:v>
      </x:c>
      <x:c r="AE1577" s="10" t="str">
        <x:v>finance tracker</x:v>
      </x:c>
      <x:c r="AF1577" s="10" t="str">
        <x:v>expense tracker</x:v>
      </x:c>
      <x:c r="AG1577" s="10" t="str">
        <x:v>printable</x:v>
      </x:c>
      <x:c r="AH1577" s="10" t="str">
        <x:v>Mortgage payoff / calculator</x:v>
      </x:c>
      <x:c r="AI1577" s="13" t="n">
        <x:v>4</x:v>
      </x:c>
      <x:c r="AJ1577" s="10" t="str">
        <x:f>IF(F1577&gt;0,"Active","No est. sales")</x:f>
        <x:v>No est. sales</x:v>
      </x:c>
    </x:row>
    <x:row r="1578">
      <x:c r="A1578" s="10" t="str">
        <x:v>49 Cute Mortgage Icon/Tracker Planner Stickers</x:v>
      </x:c>
      <x:c r="B1578" s="10" t="str">
        <x:v>https://www.etsy.com/listing/1354621013/49-cute-mortgage-icontracker-planner</x:v>
      </x:c>
      <x:c r="C1578" s="10" t="str">
        <x:v>HappyCutieStudio</x:v>
      </x:c>
      <x:c r="D1578" s="10" t="str">
        <x:v>https://www.etsy.com/shop/HappyCutieStudio</x:v>
      </x:c>
      <x:c r="E1578" s="11" t="n">
        <x:v>3.36</x:v>
      </x:c>
      <x:c r="F1578" s="10" t="n">
        <x:v>0</x:v>
      </x:c>
      <x:c r="G1578" s="12" t="n">
        <x:v>0</x:v>
      </x:c>
      <x:c r="H1578" s="13" t="n">
        <x:v>0</x:v>
      </x:c>
      <x:c r="I1578" s="10" t="n">
        <x:v>17</x:v>
      </x:c>
      <x:c r="J1578" s="10" t="n">
        <x:v>4</x:v>
      </x:c>
      <x:c r="K1578" s="10" t="str">
        <x:v>44 Mo.</x:v>
      </x:c>
      <x:c r="L1578" s="10" t="n">
        <x:v>62</x:v>
      </x:c>
      <x:c r="M1578" s="10" t="n">
        <x:v>0</x:v>
      </x:c>
      <x:c r="N1578" s="10" t="n">
        <x:v>392</x:v>
      </x:c>
      <x:c r="O1578" s="10" t="str">
        <x:v>Paper &amp; Party Supplies</x:v>
      </x:c>
      <x:c r="P1578" s="10" t="n">
        <x:v>126</x:v>
      </x:c>
      <x:c r="Q1578" s="10" t="n">
        <x:v>0</x:v>
      </x:c>
      <x:c r="R1578" s="13" t="n">
        <x:v>4.34</x:v>
      </x:c>
      <x:c r="S1578" s="10" t="n">
        <x:v>289569</x:v>
      </x:c>
      <x:c r="T1578" s="10" t="str">
        <x:v>stickers,planner,cute,kawaii,sticker,uk,tracker,mortgage,house</x:v>
      </x:c>
      <x:c r="U1578" s="10" t="str">
        <x:v>stickers</x:v>
      </x:c>
      <x:c r="V1578" s="10" t="str">
        <x:v>planner</x:v>
      </x:c>
      <x:c r="W1578" s="10" t="str">
        <x:v>cute</x:v>
      </x:c>
      <x:c r="X1578" s="10" t="str">
        <x:v>kawaii</x:v>
      </x:c>
      <x:c r="Y1578" s="10" t="str">
        <x:v>sticker</x:v>
      </x:c>
      <x:c r="Z1578" s="10" t="str">
        <x:v>uk</x:v>
      </x:c>
      <x:c r="AA1578" s="10" t="str">
        <x:v>tracker</x:v>
      </x:c>
      <x:c r="AB1578" s="10" t="str">
        <x:v>mortgage</x:v>
      </x:c>
      <x:c r="AC1578" s="10" t="str">
        <x:v>house</x:v>
      </x:c>
      <x:c r="AD1578" s="10" t="str">
        <x:v>--</x:v>
      </x:c>
      <x:c r="AE1578" s="10" t="str">
        <x:v>--</x:v>
      </x:c>
      <x:c r="AF1578" s="10" t="str">
        <x:v>--</x:v>
      </x:c>
      <x:c r="AG1578" s="10" t="str">
        <x:v>--</x:v>
      </x:c>
      <x:c r="AH1578" s="10" t="str">
        <x:v>Other mortgage-related</x:v>
      </x:c>
      <x:c r="AI1578" s="13" t="n">
        <x:v>44</x:v>
      </x:c>
      <x:c r="AJ1578" s="10" t="str">
        <x:f>IF(F1578&gt;0,"Active","No est. sales")</x:f>
        <x:v>No est. sales</x:v>
      </x:c>
    </x:row>
    <x:row r="1579">
      <x:c r="A1579" s="10" t="str">
        <x:v>Debt Snowball Spreadsheet Google Sheets Excel Spreadsheet Debt Tracker Debt Payoff Tracker Debt Spreadsheet Debt Reduction Tracker</x:v>
      </x:c>
      <x:c r="B1579" s="10" t="str">
        <x:v>https://www.etsy.com/listing/1569678250/debt-snowball-spreadsheet-google-sheets</x:v>
      </x:c>
      <x:c r="C1579" s="10" t="str">
        <x:v>TheSheetCode</x:v>
      </x:c>
      <x:c r="D1579" s="10" t="str">
        <x:v>https://www.etsy.com/shop/TheSheetCode</x:v>
      </x:c>
      <x:c r="E1579" s="11" t="n">
        <x:v>7.92</x:v>
      </x:c>
      <x:c r="F1579" s="10" t="n">
        <x:v>0</x:v>
      </x:c>
      <x:c r="G1579" s="12" t="n">
        <x:v>0</x:v>
      </x:c>
      <x:c r="H1579" s="13" t="n">
        <x:v>0</x:v>
      </x:c>
      <x:c r="I1579" s="10" t="n">
        <x:v>216</x:v>
      </x:c>
      <x:c r="J1579" s="10" t="n">
        <x:v>15</x:v>
      </x:c>
      <x:c r="K1579" s="10" t="str">
        <x:v>33 Mo.</x:v>
      </x:c>
      <x:c r="L1579" s="10" t="n">
        <x:v>52</x:v>
      </x:c>
      <x:c r="M1579" s="10" t="n">
        <x:v>0</x:v>
      </x:c>
      <x:c r="N1579" s="10" t="n">
        <x:v>1541</x:v>
      </x:c>
      <x:c r="O1579" s="10" t="str">
        <x:v>Paper &amp; Party Supplies</x:v>
      </x:c>
      <x:c r="P1579" s="10" t="n">
        <x:v>33</x:v>
      </x:c>
      <x:c r="Q1579" s="10" t="n">
        <x:v>25</x:v>
      </x:c>
      <x:c r="R1579" s="13" t="n">
        <x:v>14.02</x:v>
      </x:c>
      <x:c r="S1579" s="10" t="n">
        <x:v>27939</x:v>
      </x:c>
      <x:c r="T1579" s="10" t="str">
        <x:v>budget tracker,budget template,debt payoff tracker,debt snowball,debt spreadsheet,paycheck budget,debt tracker,debt google sheets,snowball calculator,student loan debt,financial planner,mortgage payoff,debt payment tracker</x:v>
      </x:c>
      <x:c r="U1579" s="10" t="str">
        <x:v>budget tracker</x:v>
      </x:c>
      <x:c r="V1579" s="10" t="str">
        <x:v>budget template</x:v>
      </x:c>
      <x:c r="W1579" s="10" t="str">
        <x:v>debt payoff tracker</x:v>
      </x:c>
      <x:c r="X1579" s="10" t="str">
        <x:v>debt snowball</x:v>
      </x:c>
      <x:c r="Y1579" s="10" t="str">
        <x:v>debt spreadsheet</x:v>
      </x:c>
      <x:c r="Z1579" s="10" t="str">
        <x:v>paycheck budget</x:v>
      </x:c>
      <x:c r="AA1579" s="10" t="str">
        <x:v>debt tracker</x:v>
      </x:c>
      <x:c r="AB1579" s="10" t="str">
        <x:v>debt google sheets</x:v>
      </x:c>
      <x:c r="AC1579" s="10" t="str">
        <x:v>snowball calculator</x:v>
      </x:c>
      <x:c r="AD1579" s="10" t="str">
        <x:v>student loan debt</x:v>
      </x:c>
      <x:c r="AE1579" s="10" t="str">
        <x:v>financial planner</x:v>
      </x:c>
      <x:c r="AF1579" s="10" t="str">
        <x:v>mortgage payoff</x:v>
      </x:c>
      <x:c r="AG1579" s="10" t="str">
        <x:v>debt payment tracker</x:v>
      </x:c>
      <x:c r="AH1579" s="10" t="str">
        <x:v>General debt payoff</x:v>
      </x:c>
      <x:c r="AI1579" s="13" t="n">
        <x:v>33</x:v>
      </x:c>
      <x:c r="AJ1579" s="10" t="str">
        <x:f>IF(F1579&gt;0,"Active","No est. sales")</x:f>
        <x:v>No est. sales</x:v>
      </x:c>
    </x:row>
    <x:row r="1580">
      <x:c r="A1580" s="10" t="str">
        <x:v>House Planner Stickers | Decorative &amp; Functional Planning | Moving | House Renovations | Mini Icons | Icon Stickers | Pastel Houses</x:v>
      </x:c>
      <x:c r="B1580" s="10" t="str">
        <x:v>https://www.etsy.com/listing/738925795/house-planner-stickers-decorative</x:v>
      </x:c>
      <x:c r="C1580" s="10" t="str">
        <x:v>ThumbelinaPrint</x:v>
      </x:c>
      <x:c r="D1580" s="10" t="str">
        <x:v>https://www.etsy.com/shop/ThumbelinaPrint</x:v>
      </x:c>
      <x:c r="E1580" s="11" t="n">
        <x:v>3.02</x:v>
      </x:c>
      <x:c r="F1580" s="10" t="n">
        <x:v>0</x:v>
      </x:c>
      <x:c r="G1580" s="12" t="n">
        <x:v>0</x:v>
      </x:c>
      <x:c r="H1580" s="13" t="n">
        <x:v>0</x:v>
      </x:c>
      <x:c r="I1580" s="10" t="n">
        <x:v>37</x:v>
      </x:c>
      <x:c r="J1580" s="10" t="n">
        <x:v>8</x:v>
      </x:c>
      <x:c r="K1580" s="10" t="str">
        <x:v>82 Mo.</x:v>
      </x:c>
      <x:c r="L1580" s="10" t="n">
        <x:v>99</x:v>
      </x:c>
      <x:c r="M1580" s="10" t="n">
        <x:v>0</x:v>
      </x:c>
      <x:c r="N1580" s="10" t="n">
        <x:v>812</x:v>
      </x:c>
      <x:c r="O1580" s="10" t="str">
        <x:v>Paper &amp; Party Supplies</x:v>
      </x:c>
      <x:c r="P1580" s="10" t="n">
        <x:v>130</x:v>
      </x:c>
      <x:c r="Q1580" s="10" t="n">
        <x:v>0</x:v>
      </x:c>
      <x:c r="R1580" s="13" t="n">
        <x:v>4.56</x:v>
      </x:c>
      <x:c r="S1580" s="10" t="n">
        <x:v>74575</x:v>
      </x:c>
      <x:c r="T1580" s="10" t="str">
        <x:v>house,houses,house stickers,moving,mortgage,rent,stickers,planner,planner stickers,moving house sticker,moving stickers,mortgage stickers,rent stickers</x:v>
      </x:c>
      <x:c r="U1580" s="10" t="str">
        <x:v>house</x:v>
      </x:c>
      <x:c r="V1580" s="10" t="str">
        <x:v>houses</x:v>
      </x:c>
      <x:c r="W1580" s="10" t="str">
        <x:v>house stickers</x:v>
      </x:c>
      <x:c r="X1580" s="10" t="str">
        <x:v>moving</x:v>
      </x:c>
      <x:c r="Y1580" s="10" t="str">
        <x:v>mortgage</x:v>
      </x:c>
      <x:c r="Z1580" s="10" t="str">
        <x:v>rent</x:v>
      </x:c>
      <x:c r="AA1580" s="10" t="str">
        <x:v>stickers</x:v>
      </x:c>
      <x:c r="AB1580" s="10" t="str">
        <x:v>planner</x:v>
      </x:c>
      <x:c r="AC1580" s="10" t="str">
        <x:v>planner stickers</x:v>
      </x:c>
      <x:c r="AD1580" s="10" t="str">
        <x:v>moving house sticker</x:v>
      </x:c>
      <x:c r="AE1580" s="10" t="str">
        <x:v>moving stickers</x:v>
      </x:c>
      <x:c r="AF1580" s="10" t="str">
        <x:v>mortgage stickers</x:v>
      </x:c>
      <x:c r="AG1580" s="10" t="str">
        <x:v>rent stickers</x:v>
      </x:c>
      <x:c r="AH1580" s="10" t="str">
        <x:v>Other mortgage-related</x:v>
      </x:c>
      <x:c r="AI1580" s="13" t="n">
        <x:v>82</x:v>
      </x:c>
      <x:c r="AJ1580" s="10" t="str">
        <x:f>IF(F1580&gt;0,"Active","No est. sales")</x:f>
        <x:v>No est. sales</x:v>
      </x:c>
    </x:row>
    <x:row r="1581">
      <x:c r="A1581" s="10" t="str">
        <x:v>Mortgage Payoff Calculator Excel Spreadsheet – Extra Payments &amp; Amortization Schedule</x:v>
      </x:c>
      <x:c r="B1581" s="10" t="str">
        <x:v>https://www.etsy.com/listing/1419393280/mortgage-payoff-calculator-excel</x:v>
      </x:c>
      <x:c r="C1581" s="10" t="str">
        <x:v>ExceptionalSheets</x:v>
      </x:c>
      <x:c r="D1581" s="10" t="str">
        <x:v>https://www.etsy.com/shop/ExceptionalSheets</x:v>
      </x:c>
      <x:c r="E1581" s="11" t="n">
        <x:v>1.29</x:v>
      </x:c>
      <x:c r="F1581" s="10" t="n">
        <x:v>0</x:v>
      </x:c>
      <x:c r="G1581" s="12" t="n">
        <x:v>0</x:v>
      </x:c>
      <x:c r="H1581" s="13" t="n">
        <x:v>0</x:v>
      </x:c>
      <x:c r="I1581" s="10" t="n">
        <x:v>66</x:v>
      </x:c>
      <x:c r="J1581" s="10" t="n">
        <x:v>7</x:v>
      </x:c>
      <x:c r="K1581" s="10" t="str">
        <x:v>40 Mo.</x:v>
      </x:c>
      <x:c r="L1581" s="10" t="n">
        <x:v>25</x:v>
      </x:c>
      <x:c r="M1581" s="10" t="n">
        <x:v>0</x:v>
      </x:c>
      <x:c r="N1581" s="10" t="n">
        <x:v>1232</x:v>
      </x:c>
      <x:c r="O1581" s="10" t="str"/>
      <x:c r="P1581" s="10" t="n">
        <x:v>43</x:v>
      </x:c>
      <x:c r="Q1581" s="10" t="n">
        <x:v>0</x:v>
      </x:c>
      <x:c r="R1581" s="13" t="n">
        <x:v>5.36</x:v>
      </x:c>
      <x:c r="S1581" s="10" t="n">
        <x:v>527</x:v>
      </x:c>
      <x:c r="T1581" s="10" t="str">
        <x:v>mortgage payoff,mortgage calculator,loan amortization,amortization,excel calculator,excel spreadsheet,spreadsheet template,extra payments,interest savings,home loan tracker,mortgage planner,debt payoff,budget planning</x:v>
      </x:c>
      <x:c r="U1581" s="10" t="str">
        <x:v>mortgage payoff</x:v>
      </x:c>
      <x:c r="V1581" s="10" t="str">
        <x:v>mortgage calculator</x:v>
      </x:c>
      <x:c r="W1581" s="10" t="str">
        <x:v>loan amortization</x:v>
      </x:c>
      <x:c r="X1581" s="10" t="str">
        <x:v>amortization</x:v>
      </x:c>
      <x:c r="Y1581" s="10" t="str">
        <x:v>excel calculator</x:v>
      </x:c>
      <x:c r="Z1581" s="10" t="str">
        <x:v>excel spreadsheet</x:v>
      </x:c>
      <x:c r="AA1581" s="10" t="str">
        <x:v>spreadsheet template</x:v>
      </x:c>
      <x:c r="AB1581" s="10" t="str">
        <x:v>extra payments</x:v>
      </x:c>
      <x:c r="AC1581" s="10" t="str">
        <x:v>interest savings</x:v>
      </x:c>
      <x:c r="AD1581" s="10" t="str">
        <x:v>home loan tracker</x:v>
      </x:c>
      <x:c r="AE1581" s="10" t="str">
        <x:v>mortgage planner</x:v>
      </x:c>
      <x:c r="AF1581" s="10" t="str">
        <x:v>debt payoff</x:v>
      </x:c>
      <x:c r="AG1581" s="10" t="str">
        <x:v>budget planning</x:v>
      </x:c>
      <x:c r="AH1581" s="10" t="str">
        <x:v>Mortgage payoff / calculator</x:v>
      </x:c>
      <x:c r="AI1581" s="13" t="n">
        <x:v>40</x:v>
      </x:c>
      <x:c r="AJ1581" s="10" t="str">
        <x:f>IF(F1581&gt;0,"Active","No est. sales")</x:f>
        <x:v>No est. sales</x:v>
      </x:c>
    </x:row>
    <x:row r="1582">
      <x:c r="A1582" s="10" t="str">
        <x:v>Pay Mortgage Planner Stickers, Mortgage Stickers, Mortgage Reminder Stickers for your Planners and Calendars, SML015</x:v>
      </x:c>
      <x:c r="B1582" s="10" t="str">
        <x:v>https://www.etsy.com/listing/622173045/pay-mortgage-planner-stickers-mortgage</x:v>
      </x:c>
      <x:c r="C1582" s="10" t="str">
        <x:v>KatBurrowsDesigns</x:v>
      </x:c>
      <x:c r="D1582" s="10" t="str">
        <x:v>https://www.etsy.com/shop/KatBurrowsDesigns</x:v>
      </x:c>
      <x:c r="E1582" s="11" t="n">
        <x:v>2.8</x:v>
      </x:c>
      <x:c r="F1582" s="10" t="n">
        <x:v>0</x:v>
      </x:c>
      <x:c r="G1582" s="12" t="n">
        <x:v>0</x:v>
      </x:c>
      <x:c r="H1582" s="13" t="n">
        <x:v>0</x:v>
      </x:c>
      <x:c r="I1582" s="10" t="n">
        <x:v>97</x:v>
      </x:c>
      <x:c r="J1582" s="10" t="n">
        <x:v>7</x:v>
      </x:c>
      <x:c r="K1582" s="10" t="str">
        <x:v>97 Mo.</x:v>
      </x:c>
      <x:c r="L1582" s="10" t="n">
        <x:v>97</x:v>
      </x:c>
      <x:c r="M1582" s="10" t="n">
        <x:v>0</x:v>
      </x:c>
      <x:c r="N1582" s="10" t="n">
        <x:v>868</x:v>
      </x:c>
      <x:c r="O1582" s="10" t="str">
        <x:v>Paper &amp; Party Supplies</x:v>
      </x:c>
      <x:c r="P1582" s="10" t="n">
        <x:v>174</x:v>
      </x:c>
      <x:c r="Q1582" s="10" t="n">
        <x:v>0</x:v>
      </x:c>
      <x:c r="R1582" s="13" t="n">
        <x:v>11.18</x:v>
      </x:c>
      <x:c r="S1582" s="10" t="n">
        <x:v>39946</x:v>
      </x:c>
      <x:c r="T1582" s="10" t="str">
        <x:v>planner stickers,erin condren,happy planner,journal stickers,stickers for planner,diary stickers,pay mortgage,mortgage reminder,mortgage stickers,hobonichi stickers,mortgage tracker,tracker stickers,reminder stickers</x:v>
      </x:c>
      <x:c r="U1582" s="10" t="str">
        <x:v>planner stickers</x:v>
      </x:c>
      <x:c r="V1582" s="10" t="str">
        <x:v>erin condren</x:v>
      </x:c>
      <x:c r="W1582" s="10" t="str">
        <x:v>happy planner</x:v>
      </x:c>
      <x:c r="X1582" s="10" t="str">
        <x:v>journal stickers</x:v>
      </x:c>
      <x:c r="Y1582" s="10" t="str">
        <x:v>stickers for planner</x:v>
      </x:c>
      <x:c r="Z1582" s="10" t="str">
        <x:v>diary stickers</x:v>
      </x:c>
      <x:c r="AA1582" s="10" t="str">
        <x:v>pay mortgage</x:v>
      </x:c>
      <x:c r="AB1582" s="10" t="str">
        <x:v>mortgage reminder</x:v>
      </x:c>
      <x:c r="AC1582" s="10" t="str">
        <x:v>mortgage stickers</x:v>
      </x:c>
      <x:c r="AD1582" s="10" t="str">
        <x:v>hobonichi stickers</x:v>
      </x:c>
      <x:c r="AE1582" s="10" t="str">
        <x:v>mortgage tracker</x:v>
      </x:c>
      <x:c r="AF1582" s="10" t="str">
        <x:v>tracker stickers</x:v>
      </x:c>
      <x:c r="AG1582" s="10" t="str">
        <x:v>reminder stickers</x:v>
      </x:c>
      <x:c r="AH1582" s="10" t="str">
        <x:v>Other mortgage-related</x:v>
      </x:c>
      <x:c r="AI1582" s="13" t="n">
        <x:v>97</x:v>
      </x:c>
      <x:c r="AJ1582" s="10" t="str">
        <x:f>IF(F1582&gt;0,"Active","No est. sales")</x:f>
        <x:v>No est. sales</x:v>
      </x:c>
    </x:row>
    <x:row r="1583">
      <x:c r="A1583" s="10" t="str">
        <x:v>Amortization Calculator Template, Loan Amortization Schedule, Loan Repayment Calculator, Interest Payment Tracker, Excel Google Sheets</x:v>
      </x:c>
      <x:c r="B1583" s="10" t="str">
        <x:v>https://www.etsy.com/listing/4466453929/amortization-calculator-template-loan</x:v>
      </x:c>
      <x:c r="C1583" s="10" t="str">
        <x:v>DaffodillsSheets</x:v>
      </x:c>
      <x:c r="D1583" s="10" t="str">
        <x:v>https://www.etsy.com/shop/DaffodillsSheets</x:v>
      </x:c>
      <x:c r="E1583" s="11" t="n">
        <x:v>10.87</x:v>
      </x:c>
      <x:c r="F1583" s="10" t="n">
        <x:v>0</x:v>
      </x:c>
      <x:c r="G1583" s="12" t="n">
        <x:v>0</x:v>
      </x:c>
      <x:c r="H1583" s="13" t="n">
        <x:v>0</x:v>
      </x:c>
      <x:c r="I1583" s="10" t="n">
        <x:v>0</x:v>
      </x:c>
      <x:c r="J1583" s="10" t="n">
        <x:v>0</x:v>
      </x:c>
      <x:c r="K1583" s="10" t="str">
        <x:v>4 Mo.</x:v>
      </x:c>
      <x:c r="L1583" s="10" t="n">
        <x:v>0</x:v>
      </x:c>
      <x:c r="M1583" s="10" t="n">
        <x:v>0</x:v>
      </x:c>
      <x:c r="N1583" s="10" t="n">
        <x:v>0</x:v>
      </x:c>
      <x:c r="O1583" s="10" t="str"/>
      <x:c r="P1583" s="10" t="n">
        <x:v>10</x:v>
      </x:c>
      <x:c r="Q1583" s="10" t="n">
        <x:v>0</x:v>
      </x:c>
      <x:c r="R1583" s="13" t="n">
        <x:v>0</x:v>
      </x:c>
      <x:c r="S1583" s="10" t="n">
        <x:v>567</x:v>
      </x:c>
      <x:c r="T1583" s="10" t="str">
        <x:v>amortization tool,loan calculator,payment schedule,interest tracker,loan planner,excel finance,google sheets,mortgage calculator,debt payoff,loan template,finance spreadsheet,personal finance,repayment tracker</x:v>
      </x:c>
      <x:c r="U1583" s="10" t="str">
        <x:v>amortization tool</x:v>
      </x:c>
      <x:c r="V1583" s="10" t="str">
        <x:v>loan calculator</x:v>
      </x:c>
      <x:c r="W1583" s="10" t="str">
        <x:v>payment schedule</x:v>
      </x:c>
      <x:c r="X1583" s="10" t="str">
        <x:v>interest tracker</x:v>
      </x:c>
      <x:c r="Y1583" s="10" t="str">
        <x:v>loan planner</x:v>
      </x:c>
      <x:c r="Z1583" s="10" t="str">
        <x:v>excel finance</x:v>
      </x:c>
      <x:c r="AA1583" s="10" t="str">
        <x:v>google sheets</x:v>
      </x:c>
      <x:c r="AB1583" s="10" t="str">
        <x:v>mortgage calculator</x:v>
      </x:c>
      <x:c r="AC1583" s="10" t="str">
        <x:v>debt payoff</x:v>
      </x:c>
      <x:c r="AD1583" s="10" t="str">
        <x:v>loan template</x:v>
      </x:c>
      <x:c r="AE1583" s="10" t="str">
        <x:v>finance spreadsheet</x:v>
      </x:c>
      <x:c r="AF1583" s="10" t="str">
        <x:v>personal finance</x:v>
      </x:c>
      <x:c r="AG1583" s="10" t="str">
        <x:v>repayment tracker</x:v>
      </x:c>
      <x:c r="AH1583" s="10" t="str">
        <x:v>General loan calculator</x:v>
      </x:c>
      <x:c r="AI1583" s="13" t="n">
        <x:v>4</x:v>
      </x:c>
      <x:c r="AJ1583" s="10" t="str">
        <x:f>IF(F1583&gt;0,"Active","No est. sales")</x:f>
        <x:v>No est. sales</x:v>
      </x:c>
    </x:row>
    <x:row r="1584">
      <x:c r="A1584" s="10" t="str">
        <x:v>Amortization Schedule Template | Loan Payment Tracker | Mortgage Calculator Spreadsheet | Excel &amp; Google Sheets | Debt Repayment Planner</x:v>
      </x:c>
      <x:c r="B1584" s="10" t="str">
        <x:v>https://www.etsy.com/listing/4492177777/amortization-schedule-template-loan</x:v>
      </x:c>
      <x:c r="C1584" s="10" t="str">
        <x:v>DaffodillsSheets</x:v>
      </x:c>
      <x:c r="D1584" s="10" t="str">
        <x:v>https://www.etsy.com/shop/DaffodillsSheets</x:v>
      </x:c>
      <x:c r="E1584" s="11" t="n">
        <x:v>10.87</x:v>
      </x:c>
      <x:c r="F1584" s="10" t="n">
        <x:v>0</x:v>
      </x:c>
      <x:c r="G1584" s="12" t="n">
        <x:v>0</x:v>
      </x:c>
      <x:c r="H1584" s="13" t="n">
        <x:v>0</x:v>
      </x:c>
      <x:c r="I1584" s="10" t="n">
        <x:v>0</x:v>
      </x:c>
      <x:c r="J1584" s="10" t="n">
        <x:v>0</x:v>
      </x:c>
      <x:c r="K1584" s="10" t="str">
        <x:v>3 Mo.</x:v>
      </x:c>
      <x:c r="L1584" s="10" t="n">
        <x:v>0</x:v>
      </x:c>
      <x:c r="M1584" s="10" t="n">
        <x:v>0</x:v>
      </x:c>
      <x:c r="N1584" s="10" t="n">
        <x:v>4</x:v>
      </x:c>
      <x:c r="O1584" s="10" t="str"/>
      <x:c r="P1584" s="10" t="n">
        <x:v>10</x:v>
      </x:c>
      <x:c r="Q1584" s="10" t="n">
        <x:v>0</x:v>
      </x:c>
      <x:c r="R1584" s="13" t="n">
        <x:v>0</x:v>
      </x:c>
      <x:c r="S1584" s="10" t="n">
        <x:v>567</x:v>
      </x:c>
      <x:c r="T1584" s="10" t="str">
        <x:v>loan tracker,mortgage planner,loan calculator,debt tracker,payment schedule,finance template,excel spreadsheet,google sheets,loan planner,debt payoff,budget planner,finance tracker,amortization</x:v>
      </x:c>
      <x:c r="U1584" s="10" t="str">
        <x:v>loan tracker</x:v>
      </x:c>
      <x:c r="V1584" s="10" t="str">
        <x:v>mortgage planner</x:v>
      </x:c>
      <x:c r="W1584" s="10" t="str">
        <x:v>loan calculator</x:v>
      </x:c>
      <x:c r="X1584" s="10" t="str">
        <x:v>debt tracker</x:v>
      </x:c>
      <x:c r="Y1584" s="10" t="str">
        <x:v>payment schedule</x:v>
      </x:c>
      <x:c r="Z1584" s="10" t="str">
        <x:v>finance template</x:v>
      </x:c>
      <x:c r="AA1584" s="10" t="str">
        <x:v>excel spreadsheet</x:v>
      </x:c>
      <x:c r="AB1584" s="10" t="str">
        <x:v>google sheets</x:v>
      </x:c>
      <x:c r="AC1584" s="10" t="str">
        <x:v>loan planner</x:v>
      </x:c>
      <x:c r="AD1584" s="10" t="str">
        <x:v>debt payoff</x:v>
      </x:c>
      <x:c r="AE1584" s="10" t="str">
        <x:v>budget planner</x:v>
      </x:c>
      <x:c r="AF1584" s="10" t="str">
        <x:v>finance tracker</x:v>
      </x:c>
      <x:c r="AG1584" s="10" t="str">
        <x:v>amortization</x:v>
      </x:c>
      <x:c r="AH1584" s="10" t="str">
        <x:v>Mortgage payoff / calculator</x:v>
      </x:c>
      <x:c r="AI1584" s="13" t="n">
        <x:v>3</x:v>
      </x:c>
      <x:c r="AJ1584" s="10" t="str">
        <x:f>IF(F1584&gt;0,"Active","No est. sales")</x:f>
        <x:v>No est. sales</x:v>
      </x:c>
    </x:row>
    <x:row r="1585">
      <x:c r="A1585" s="10" t="str">
        <x:v>Mortgage Tracker Template | Loan Amortization Spreadsheet | Mortgage Calculator Sheet | Excel &amp; Google Sheets | Payment Tracker</x:v>
      </x:c>
      <x:c r="B1585" s="10" t="str">
        <x:v>https://www.etsy.com/listing/4498589375/mortgage-tracker-template-loan</x:v>
      </x:c>
      <x:c r="C1585" s="10" t="str">
        <x:v>DaffodillsSheets</x:v>
      </x:c>
      <x:c r="D1585" s="10" t="str">
        <x:v>https://www.etsy.com/shop/DaffodillsSheets</x:v>
      </x:c>
      <x:c r="E1585" s="11" t="n">
        <x:v>10.87</x:v>
      </x:c>
      <x:c r="F1585" s="10" t="n">
        <x:v>0</x:v>
      </x:c>
      <x:c r="G1585" s="12" t="n">
        <x:v>0</x:v>
      </x:c>
      <x:c r="H1585" s="13" t="n">
        <x:v>0</x:v>
      </x:c>
      <x:c r="I1585" s="10" t="n">
        <x:v>0</x:v>
      </x:c>
      <x:c r="J1585" s="10" t="n">
        <x:v>0</x:v>
      </x:c>
      <x:c r="K1585" s="10" t="str">
        <x:v>2 Mo.</x:v>
      </x:c>
      <x:c r="L1585" s="10" t="n">
        <x:v>0</x:v>
      </x:c>
      <x:c r="M1585" s="10" t="n">
        <x:v>0</x:v>
      </x:c>
      <x:c r="N1585" s="10" t="n">
        <x:v>2</x:v>
      </x:c>
      <x:c r="O1585" s="10" t="str"/>
      <x:c r="P1585" s="10" t="n">
        <x:v>10</x:v>
      </x:c>
      <x:c r="Q1585" s="10" t="n">
        <x:v>0</x:v>
      </x:c>
      <x:c r="R1585" s="13" t="n">
        <x:v>0</x:v>
      </x:c>
      <x:c r="S1585" s="10" t="n">
        <x:v>567</x:v>
      </x:c>
      <x:c r="T1585" s="10" t="str">
        <x:v>mortgage tracker,loan calculator,amortization,payment tracker,home finance,excel template,google sheets,loan planner,debt tracker,interest tracker,budget planner,finance sheet,home budget</x:v>
      </x:c>
      <x:c r="U1585" s="10" t="str">
        <x:v>mortgage tracker</x:v>
      </x:c>
      <x:c r="V1585" s="10" t="str">
        <x:v>loan calculator</x:v>
      </x:c>
      <x:c r="W1585" s="10" t="str">
        <x:v>amortization</x:v>
      </x:c>
      <x:c r="X1585" s="10" t="str">
        <x:v>payment tracker</x:v>
      </x:c>
      <x:c r="Y1585" s="10" t="str">
        <x:v>home finance</x:v>
      </x:c>
      <x:c r="Z1585" s="10" t="str">
        <x:v>excel template</x:v>
      </x:c>
      <x:c r="AA1585" s="10" t="str">
        <x:v>google sheets</x:v>
      </x:c>
      <x:c r="AB1585" s="10" t="str">
        <x:v>loan planner</x:v>
      </x:c>
      <x:c r="AC1585" s="10" t="str">
        <x:v>debt tracker</x:v>
      </x:c>
      <x:c r="AD1585" s="10" t="str">
        <x:v>interest tracker</x:v>
      </x:c>
      <x:c r="AE1585" s="10" t="str">
        <x:v>budget planner</x:v>
      </x:c>
      <x:c r="AF1585" s="10" t="str">
        <x:v>finance sheet</x:v>
      </x:c>
      <x:c r="AG1585" s="10" t="str">
        <x:v>home budget</x:v>
      </x:c>
      <x:c r="AH1585" s="10" t="str">
        <x:v>Mortgage payoff / calculator</x:v>
      </x:c>
      <x:c r="AI1585" s="13" t="n">
        <x:v>2</x:v>
      </x:c>
      <x:c r="AJ1585" s="10" t="str">
        <x:f>IF(F1585&gt;0,"Active","No est. sales")</x:f>
        <x:v>No est. sales</x:v>
      </x:c>
    </x:row>
    <x:row r="1586">
      <x:c r="A1586" s="10" t="str">
        <x:v>Home Loan Amortization Schedule Template | Mortgage Payment Calculator Spreadsheet | Loan Tracker Excel &amp; Google Sheets | Debt Payoff</x:v>
      </x:c>
      <x:c r="B1586" s="10" t="str">
        <x:v>https://www.etsy.com/listing/4498605679/home-loan-amortization-schedule-template</x:v>
      </x:c>
      <x:c r="C1586" s="10" t="str">
        <x:v>DaffodillsSheets</x:v>
      </x:c>
      <x:c r="D1586" s="10" t="str">
        <x:v>https://www.etsy.com/shop/DaffodillsSheets</x:v>
      </x:c>
      <x:c r="E1586" s="11" t="n">
        <x:v>10.87</x:v>
      </x:c>
      <x:c r="F1586" s="10" t="n">
        <x:v>0</x:v>
      </x:c>
      <x:c r="G1586" s="12" t="n">
        <x:v>0</x:v>
      </x:c>
      <x:c r="H1586" s="13" t="n">
        <x:v>0</x:v>
      </x:c>
      <x:c r="I1586" s="10" t="n">
        <x:v>0</x:v>
      </x:c>
      <x:c r="J1586" s="10" t="n">
        <x:v>0</x:v>
      </x:c>
      <x:c r="K1586" s="10" t="str">
        <x:v>2 Mo.</x:v>
      </x:c>
      <x:c r="L1586" s="10" t="n">
        <x:v>0</x:v>
      </x:c>
      <x:c r="M1586" s="10" t="n">
        <x:v>0</x:v>
      </x:c>
      <x:c r="N1586" s="10" t="n">
        <x:v>4</x:v>
      </x:c>
      <x:c r="O1586" s="10" t="str"/>
      <x:c r="P1586" s="10" t="n">
        <x:v>10</x:v>
      </x:c>
      <x:c r="Q1586" s="10" t="n">
        <x:v>0</x:v>
      </x:c>
      <x:c r="R1586" s="13" t="n">
        <x:v>0</x:v>
      </x:c>
      <x:c r="S1586" s="10" t="n">
        <x:v>567</x:v>
      </x:c>
      <x:c r="T1586" s="10" t="str">
        <x:v>mortgage calculator,loan tracker,debt payoff planner,excel template,mortgage planner,financial planner,loan payment tracker,budgeting tool,real estate finance,payment schedule,google sheets,home loan spread,amortization</x:v>
      </x:c>
      <x:c r="U1586" s="10" t="str">
        <x:v>mortgage calculator</x:v>
      </x:c>
      <x:c r="V1586" s="10" t="str">
        <x:v>loan tracker</x:v>
      </x:c>
      <x:c r="W1586" s="10" t="str">
        <x:v>debt payoff planner</x:v>
      </x:c>
      <x:c r="X1586" s="10" t="str">
        <x:v>excel template</x:v>
      </x:c>
      <x:c r="Y1586" s="10" t="str">
        <x:v>mortgage planner</x:v>
      </x:c>
      <x:c r="Z1586" s="10" t="str">
        <x:v>financial planner</x:v>
      </x:c>
      <x:c r="AA1586" s="10" t="str">
        <x:v>loan payment tracker</x:v>
      </x:c>
      <x:c r="AB1586" s="10" t="str">
        <x:v>budgeting tool</x:v>
      </x:c>
      <x:c r="AC1586" s="10" t="str">
        <x:v>real estate finance</x:v>
      </x:c>
      <x:c r="AD1586" s="10" t="str">
        <x:v>payment schedule</x:v>
      </x:c>
      <x:c r="AE1586" s="10" t="str">
        <x:v>google sheets</x:v>
      </x:c>
      <x:c r="AF1586" s="10" t="str">
        <x:v>home loan spread</x:v>
      </x:c>
      <x:c r="AG1586" s="10" t="str">
        <x:v>amortization</x:v>
      </x:c>
      <x:c r="AH1586" s="10" t="str">
        <x:v>General debt payoff</x:v>
      </x:c>
      <x:c r="AI1586" s="13" t="n">
        <x:v>2</x:v>
      </x:c>
      <x:c r="AJ1586" s="10" t="str">
        <x:f>IF(F1586&gt;0,"Active","No est. sales")</x:f>
        <x:v>No est. sales</x:v>
      </x:c>
    </x:row>
    <x:row r="1587">
      <x:c r="A1587" s="10" t="str">
        <x:v>Debt Amortization Schedule Template | Loan Payment Calculator | Debt Payoff Tracker | Mortgage &amp; Loan Planner | Excel and Google Sheets</x:v>
      </x:c>
      <x:c r="B1587" s="10" t="str">
        <x:v>https://www.etsy.com/listing/4498651414/debt-amortization-schedule-template-loan</x:v>
      </x:c>
      <x:c r="C1587" s="10" t="str">
        <x:v>DaffodillsSheets</x:v>
      </x:c>
      <x:c r="D1587" s="10" t="str">
        <x:v>https://www.etsy.com/shop/DaffodillsSheets</x:v>
      </x:c>
      <x:c r="E1587" s="11" t="n">
        <x:v>10.87</x:v>
      </x:c>
      <x:c r="F1587" s="10" t="n">
        <x:v>0</x:v>
      </x:c>
      <x:c r="G1587" s="12" t="n">
        <x:v>0</x:v>
      </x:c>
      <x:c r="H1587" s="13" t="n">
        <x:v>0</x:v>
      </x:c>
      <x:c r="I1587" s="10" t="n">
        <x:v>0</x:v>
      </x:c>
      <x:c r="J1587" s="10" t="n">
        <x:v>0</x:v>
      </x:c>
      <x:c r="K1587" s="10" t="str">
        <x:v>2 Mo.</x:v>
      </x:c>
      <x:c r="L1587" s="10" t="n">
        <x:v>0</x:v>
      </x:c>
      <x:c r="M1587" s="10" t="n">
        <x:v>0</x:v>
      </x:c>
      <x:c r="N1587" s="10" t="n">
        <x:v>0</x:v>
      </x:c>
      <x:c r="O1587" s="10" t="str"/>
      <x:c r="P1587" s="10" t="n">
        <x:v>10</x:v>
      </x:c>
      <x:c r="Q1587" s="10" t="n">
        <x:v>0</x:v>
      </x:c>
      <x:c r="R1587" s="13" t="n">
        <x:v>0</x:v>
      </x:c>
      <x:c r="S1587" s="10" t="n">
        <x:v>567</x:v>
      </x:c>
      <x:c r="T1587" s="10" t="str">
        <x:v>loan calculator,debt payoff tracker,mortgage planner,loan tracker,finance spreadsheet,budget planner,debt tracker,excel finance,loan repayment,financial planner,personal finance,google sheets,amortization</x:v>
      </x:c>
      <x:c r="U1587" s="10" t="str">
        <x:v>loan calculator</x:v>
      </x:c>
      <x:c r="V1587" s="10" t="str">
        <x:v>debt payoff tracker</x:v>
      </x:c>
      <x:c r="W1587" s="10" t="str">
        <x:v>mortgage planner</x:v>
      </x:c>
      <x:c r="X1587" s="10" t="str">
        <x:v>loan tracker</x:v>
      </x:c>
      <x:c r="Y1587" s="10" t="str">
        <x:v>finance spreadsheet</x:v>
      </x:c>
      <x:c r="Z1587" s="10" t="str">
        <x:v>budget planner</x:v>
      </x:c>
      <x:c r="AA1587" s="10" t="str">
        <x:v>debt tracker</x:v>
      </x:c>
      <x:c r="AB1587" s="10" t="str">
        <x:v>excel finance</x:v>
      </x:c>
      <x:c r="AC1587" s="10" t="str">
        <x:v>loan repayment</x:v>
      </x:c>
      <x:c r="AD1587" s="10" t="str">
        <x:v>financial planner</x:v>
      </x:c>
      <x:c r="AE1587" s="10" t="str">
        <x:v>personal finance</x:v>
      </x:c>
      <x:c r="AF1587" s="10" t="str">
        <x:v>google sheets</x:v>
      </x:c>
      <x:c r="AG1587" s="10" t="str">
        <x:v>amortization</x:v>
      </x:c>
      <x:c r="AH1587" s="10" t="str">
        <x:v>General debt payoff</x:v>
      </x:c>
      <x:c r="AI1587" s="13" t="n">
        <x:v>2</x:v>
      </x:c>
      <x:c r="AJ1587" s="10" t="str">
        <x:f>IF(F1587&gt;0,"Active","No est. sales")</x:f>
        <x:v>No est. sales</x:v>
      </x:c>
    </x:row>
    <x:row r="1588">
      <x:c r="A1588" s="10" t="str">
        <x:v>Mortgage Refinance Calculator | Loan Comparison Spreadsheet | Home Loan Planner | Interest Savings Calculator | Excel &amp; Google Sheets</x:v>
      </x:c>
      <x:c r="B1588" s="10" t="str">
        <x:v>https://www.etsy.com/listing/4498325096/mortgage-refinance-calculator-loan</x:v>
      </x:c>
      <x:c r="C1588" s="10" t="str">
        <x:v>DaffodillsSheets</x:v>
      </x:c>
      <x:c r="D1588" s="10" t="str">
        <x:v>https://www.etsy.com/shop/DaffodillsSheets</x:v>
      </x:c>
      <x:c r="E1588" s="11" t="n">
        <x:v>10.87</x:v>
      </x:c>
      <x:c r="F1588" s="10" t="n">
        <x:v>0</x:v>
      </x:c>
      <x:c r="G1588" s="12" t="n">
        <x:v>0</x:v>
      </x:c>
      <x:c r="H1588" s="13" t="n">
        <x:v>0</x:v>
      </x:c>
      <x:c r="I1588" s="10" t="n">
        <x:v>0</x:v>
      </x:c>
      <x:c r="J1588" s="10" t="n">
        <x:v>0</x:v>
      </x:c>
      <x:c r="K1588" s="10" t="str">
        <x:v>2 Mo.</x:v>
      </x:c>
      <x:c r="L1588" s="10" t="n">
        <x:v>0</x:v>
      </x:c>
      <x:c r="M1588" s="10" t="n">
        <x:v>0</x:v>
      </x:c>
      <x:c r="N1588" s="10" t="n">
        <x:v>3</x:v>
      </x:c>
      <x:c r="O1588" s="10" t="str"/>
      <x:c r="P1588" s="10" t="n">
        <x:v>10</x:v>
      </x:c>
      <x:c r="Q1588" s="10" t="n">
        <x:v>0</x:v>
      </x:c>
      <x:c r="R1588" s="13" t="n">
        <x:v>0</x:v>
      </x:c>
      <x:c r="S1588" s="10" t="n">
        <x:v>567</x:v>
      </x:c>
      <x:c r="T1588" s="10" t="str">
        <x:v>mortgage calculator,refinance tool,loan calculator,interest calculator,home loan sheet,finance planner,loan comparison,excel template,google sheets,budget planner,mortgage planner,loan tracker,finance sheet</x:v>
      </x:c>
      <x:c r="U1588" s="10" t="str">
        <x:v>mortgage calculator</x:v>
      </x:c>
      <x:c r="V1588" s="10" t="str">
        <x:v>refinance tool</x:v>
      </x:c>
      <x:c r="W1588" s="10" t="str">
        <x:v>loan calculator</x:v>
      </x:c>
      <x:c r="X1588" s="10" t="str">
        <x:v>interest calculator</x:v>
      </x:c>
      <x:c r="Y1588" s="10" t="str">
        <x:v>home loan sheet</x:v>
      </x:c>
      <x:c r="Z1588" s="10" t="str">
        <x:v>finance planner</x:v>
      </x:c>
      <x:c r="AA1588" s="10" t="str">
        <x:v>loan comparison</x:v>
      </x:c>
      <x:c r="AB1588" s="10" t="str">
        <x:v>excel template</x:v>
      </x:c>
      <x:c r="AC1588" s="10" t="str">
        <x:v>google sheets</x:v>
      </x:c>
      <x:c r="AD1588" s="10" t="str">
        <x:v>budget planner</x:v>
      </x:c>
      <x:c r="AE1588" s="10" t="str">
        <x:v>mortgage planner</x:v>
      </x:c>
      <x:c r="AF1588" s="10" t="str">
        <x:v>loan tracker</x:v>
      </x:c>
      <x:c r="AG1588" s="10" t="str">
        <x:v>finance sheet</x:v>
      </x:c>
      <x:c r="AH1588" s="10" t="str">
        <x:v>Other mortgage-related</x:v>
      </x:c>
      <x:c r="AI1588" s="13" t="n">
        <x:v>2</x:v>
      </x:c>
      <x:c r="AJ1588" s="10" t="str">
        <x:f>IF(F1588&gt;0,"Active","No est. sales")</x:f>
        <x:v>No est. sales</x:v>
      </x:c>
    </x:row>
    <x:row r="1589">
      <x:c r="A1589" s="10" t="str">
        <x:v>Home Loan Qualifications Calculator: How Much House Can I Afford? What Salary do I Need to Buy a Home? Google Sheets Home Loan Calculator</x:v>
      </x:c>
      <x:c r="B1589" s="10" t="str">
        <x:v>https://www.etsy.com/listing/1317767422/home-loan-qualifications-calculator-how</x:v>
      </x:c>
      <x:c r="C1589" s="10" t="str">
        <x:v>FinancialHero</x:v>
      </x:c>
      <x:c r="D1589" s="10" t="str">
        <x:v>https://www.etsy.com/shop/FinancialHero</x:v>
      </x:c>
      <x:c r="E1589" s="11" t="n">
        <x:v>4.99</x:v>
      </x:c>
      <x:c r="F1589" s="10" t="n">
        <x:v>0</x:v>
      </x:c>
      <x:c r="G1589" s="12" t="n">
        <x:v>0</x:v>
      </x:c>
      <x:c r="H1589" s="13" t="n">
        <x:v>0</x:v>
      </x:c>
      <x:c r="I1589" s="10" t="n">
        <x:v>0</x:v>
      </x:c>
      <x:c r="J1589" s="10" t="n">
        <x:v>0</x:v>
      </x:c>
      <x:c r="K1589" s="10" t="str">
        <x:v>45 Mo.</x:v>
      </x:c>
      <x:c r="L1589" s="10" t="n">
        <x:v>7</x:v>
      </x:c>
      <x:c r="M1589" s="10" t="n">
        <x:v>0</x:v>
      </x:c>
      <x:c r="N1589" s="10" t="n">
        <x:v>220</x:v>
      </x:c>
      <x:c r="O1589" s="10" t="str">
        <x:v>Paper &amp; Party Supplies</x:v>
      </x:c>
      <x:c r="P1589" s="10" t="n">
        <x:v>44</x:v>
      </x:c>
      <x:c r="Q1589" s="10" t="n">
        <x:v>0</x:v>
      </x:c>
      <x:c r="R1589" s="13" t="n">
        <x:v>0</x:v>
      </x:c>
      <x:c r="S1589" s="10" t="n">
        <x:v>3</x:v>
      </x:c>
      <x:c r="T1589" s="10" t="str">
        <x:v>budget template,financial planner,buying a home,home loan qualifier,housing budget,first time homebuyer,home loan salary,google sheets,excel template,mortgage calculator,buying a house,house affordability,budget planner</x:v>
      </x:c>
      <x:c r="U1589" s="10" t="str">
        <x:v>budget template</x:v>
      </x:c>
      <x:c r="V1589" s="10" t="str">
        <x:v>financial planner</x:v>
      </x:c>
      <x:c r="W1589" s="10" t="str">
        <x:v>buying a home</x:v>
      </x:c>
      <x:c r="X1589" s="10" t="str">
        <x:v>home loan qualifier</x:v>
      </x:c>
      <x:c r="Y1589" s="10" t="str">
        <x:v>housing budget</x:v>
      </x:c>
      <x:c r="Z1589" s="10" t="str">
        <x:v>first time homebuyer</x:v>
      </x:c>
      <x:c r="AA1589" s="10" t="str">
        <x:v>home loan salary</x:v>
      </x:c>
      <x:c r="AB1589" s="10" t="str">
        <x:v>google sheets</x:v>
      </x:c>
      <x:c r="AC1589" s="10" t="str">
        <x:v>excel template</x:v>
      </x:c>
      <x:c r="AD1589" s="10" t="str">
        <x:v>mortgage calculator</x:v>
      </x:c>
      <x:c r="AE1589" s="10" t="str">
        <x:v>buying a house</x:v>
      </x:c>
      <x:c r="AF1589" s="10" t="str">
        <x:v>house affordability</x:v>
      </x:c>
      <x:c r="AG1589" s="10" t="str">
        <x:v>budget planner</x:v>
      </x:c>
      <x:c r="AH1589" s="10" t="str">
        <x:v>Mortgage payoff / calculator</x:v>
      </x:c>
      <x:c r="AI1589" s="13" t="n">
        <x:v>45</x:v>
      </x:c>
      <x:c r="AJ1589" s="10" t="str">
        <x:f>IF(F1589&gt;0,"Active","No est. sales")</x:f>
        <x:v>No est. sales</x:v>
      </x:c>
    </x:row>
    <x:row r="1590">
      <x:c r="A1590" s="10" t="str">
        <x:v>Real Estate Home Buyer Guide &amp; Workbook (Canva Editable, MRR)</x:v>
      </x:c>
      <x:c r="B1590" s="10" t="str">
        <x:v>https://www.etsy.com/listing/4427584643/editable-plr-real-estate-guide-workbook</x:v>
      </x:c>
      <x:c r="C1590" s="10" t="str">
        <x:v>LumeoDesignsPLRplus</x:v>
      </x:c>
      <x:c r="D1590" s="10" t="str">
        <x:v>https://www.etsy.com/shop/LumeoDesignsPLRplus</x:v>
      </x:c>
      <x:c r="E1590" s="11" t="n">
        <x:v>8.56</x:v>
      </x:c>
      <x:c r="F1590" s="10" t="n">
        <x:v>0</x:v>
      </x:c>
      <x:c r="G1590" s="12" t="n">
        <x:v>0</x:v>
      </x:c>
      <x:c r="H1590" s="13" t="n">
        <x:v>0</x:v>
      </x:c>
      <x:c r="I1590" s="10" t="n">
        <x:v>0</x:v>
      </x:c>
      <x:c r="J1590" s="10" t="n">
        <x:v>0</x:v>
      </x:c>
      <x:c r="K1590" s="10" t="str">
        <x:v>7 Mo.</x:v>
      </x:c>
      <x:c r="L1590" s="10" t="n">
        <x:v>3</x:v>
      </x:c>
      <x:c r="M1590" s="10" t="n">
        <x:v>0</x:v>
      </x:c>
      <x:c r="N1590" s="10" t="n">
        <x:v>38</x:v>
      </x:c>
      <x:c r="O1590" s="10" t="str">
        <x:v>Paper &amp; Party Supplies</x:v>
      </x:c>
      <x:c r="P1590" s="10" t="n">
        <x:v>11</x:v>
      </x:c>
      <x:c r="Q1590" s="10" t="n">
        <x:v>0</x:v>
      </x:c>
      <x:c r="R1590" s="13" t="n">
        <x:v>0</x:v>
      </x:c>
      <x:c r="S1590" s="10" t="n">
        <x:v>54</x:v>
      </x:c>
      <x:c r="T1590" s="10" t="str">
        <x:v>marketing material,real estate agent,property marketing,real estate plr,plr template,mrr resell,home buyer guide,new home owner,mortgage guide,financial planner,budget tracker,home buying budget,canva plr</x:v>
      </x:c>
      <x:c r="U1590" s="10" t="str">
        <x:v>marketing material</x:v>
      </x:c>
      <x:c r="V1590" s="10" t="str">
        <x:v>real estate agent</x:v>
      </x:c>
      <x:c r="W1590" s="10" t="str">
        <x:v>property marketing</x:v>
      </x:c>
      <x:c r="X1590" s="10" t="str">
        <x:v>real estate plr</x:v>
      </x:c>
      <x:c r="Y1590" s="10" t="str">
        <x:v>plr template</x:v>
      </x:c>
      <x:c r="Z1590" s="10" t="str">
        <x:v>mrr resell</x:v>
      </x:c>
      <x:c r="AA1590" s="10" t="str">
        <x:v>home buyer guide</x:v>
      </x:c>
      <x:c r="AB1590" s="10" t="str">
        <x:v>new home owner</x:v>
      </x:c>
      <x:c r="AC1590" s="10" t="str">
        <x:v>mortgage guide</x:v>
      </x:c>
      <x:c r="AD1590" s="10" t="str">
        <x:v>financial planner</x:v>
      </x:c>
      <x:c r="AE1590" s="10" t="str">
        <x:v>budget tracker</x:v>
      </x:c>
      <x:c r="AF1590" s="10" t="str">
        <x:v>home buying budget</x:v>
      </x:c>
      <x:c r="AG1590" s="10" t="str">
        <x:v>canva plr</x:v>
      </x:c>
      <x:c r="AH1590" s="10" t="str">
        <x:v>Other mortgage-related</x:v>
      </x:c>
      <x:c r="AI1590" s="13" t="n">
        <x:v>7</x:v>
      </x:c>
      <x:c r="AJ1590" s="10" t="str">
        <x:f>IF(F1590&gt;0,"Active","No est. sales")</x:f>
        <x:v>No est. sales</x:v>
      </x:c>
    </x:row>
    <x:row r="1591">
      <x:c r="A1591" s="10" t="str">
        <x:v>Home Loan Repayment Calculator Excel Spreadsheet (Digital Download)</x:v>
      </x:c>
      <x:c r="B1591" s="10" t="str">
        <x:v>https://www.etsy.com/listing/830880814/home-loan-repayment-excel-calculator</x:v>
      </x:c>
      <x:c r="C1591" s="10" t="str">
        <x:v>ASALBIC</x:v>
      </x:c>
      <x:c r="D1591" s="10" t="str">
        <x:v>https://www.etsy.com/shop/ASALBIC</x:v>
      </x:c>
      <x:c r="E1591" s="11" t="n">
        <x:v>3.5</x:v>
      </x:c>
      <x:c r="F1591" s="10" t="n">
        <x:v>0</x:v>
      </x:c>
      <x:c r="G1591" s="12" t="n">
        <x:v>0</x:v>
      </x:c>
      <x:c r="H1591" s="13" t="n">
        <x:v>0</x:v>
      </x:c>
      <x:c r="I1591" s="10" t="n">
        <x:v>0</x:v>
      </x:c>
      <x:c r="J1591" s="10" t="n">
        <x:v>0</x:v>
      </x:c>
      <x:c r="K1591" s="10" t="str">
        <x:v>72 Mo.</x:v>
      </x:c>
      <x:c r="L1591" s="10" t="n">
        <x:v>4</x:v>
      </x:c>
      <x:c r="M1591" s="10" t="n">
        <x:v>0</x:v>
      </x:c>
      <x:c r="N1591" s="10" t="n">
        <x:v>420</x:v>
      </x:c>
      <x:c r="O1591" s="10" t="str">
        <x:v>Paper &amp; Party Supplies</x:v>
      </x:c>
      <x:c r="P1591" s="10" t="n">
        <x:v>74</x:v>
      </x:c>
      <x:c r="Q1591" s="10" t="n">
        <x:v>0</x:v>
      </x:c>
      <x:c r="R1591" s="13" t="n">
        <x:v>0</x:v>
      </x:c>
      <x:c r="S1591" s="10" t="n">
        <x:v>541</x:v>
      </x:c>
      <x:c r="T1591" s="10" t="str">
        <x:v>home loan,loan repayment,amortization,debt payoff,excel budget,finance planner,mortgage plan,payment tracker,loan calculator,home budget,debt tracker,money planner,loan tracker</x:v>
      </x:c>
      <x:c r="U1591" s="10" t="str">
        <x:v>home loan</x:v>
      </x:c>
      <x:c r="V1591" s="10" t="str">
        <x:v>loan repayment</x:v>
      </x:c>
      <x:c r="W1591" s="10" t="str">
        <x:v>amortization</x:v>
      </x:c>
      <x:c r="X1591" s="10" t="str">
        <x:v>debt payoff</x:v>
      </x:c>
      <x:c r="Y1591" s="10" t="str">
        <x:v>excel budget</x:v>
      </x:c>
      <x:c r="Z1591" s="10" t="str">
        <x:v>finance planner</x:v>
      </x:c>
      <x:c r="AA1591" s="10" t="str">
        <x:v>mortgage plan</x:v>
      </x:c>
      <x:c r="AB1591" s="10" t="str">
        <x:v>payment tracker</x:v>
      </x:c>
      <x:c r="AC1591" s="10" t="str">
        <x:v>loan calculator</x:v>
      </x:c>
      <x:c r="AD1591" s="10" t="str">
        <x:v>home budget</x:v>
      </x:c>
      <x:c r="AE1591" s="10" t="str">
        <x:v>debt tracker</x:v>
      </x:c>
      <x:c r="AF1591" s="10" t="str">
        <x:v>money planner</x:v>
      </x:c>
      <x:c r="AG1591" s="10" t="str">
        <x:v>loan tracker</x:v>
      </x:c>
      <x:c r="AH1591" s="10" t="str">
        <x:v>General loan calculator</x:v>
      </x:c>
      <x:c r="AI1591" s="13" t="n">
        <x:v>72</x:v>
      </x:c>
      <x:c r="AJ1591" s="10" t="str">
        <x:f>IF(F1591&gt;0,"Active","No est. sales")</x:f>
        <x:v>No est. sales</x:v>
      </x:c>
    </x:row>
    <x:row r="1592">
      <x:c r="A1592" s="10" t="str">
        <x:v>Mortgage Debt Payoff Loan Tracker</x:v>
      </x:c>
      <x:c r="B1592" s="10" t="str">
        <x:v>https://www.etsy.com/listing/1159350315/mortgage-debt-payoff-loan-tracker</x:v>
      </x:c>
      <x:c r="C1592" s="10" t="str">
        <x:v>WhitneysPrintDesigns</x:v>
      </x:c>
      <x:c r="D1592" s="10" t="str">
        <x:v>https://www.etsy.com/shop/WhitneysPrintDesigns</x:v>
      </x:c>
      <x:c r="E1592" s="11" t="n">
        <x:v>1</x:v>
      </x:c>
      <x:c r="F1592" s="10" t="n">
        <x:v>0</x:v>
      </x:c>
      <x:c r="G1592" s="12" t="n">
        <x:v>0</x:v>
      </x:c>
      <x:c r="H1592" s="13" t="n">
        <x:v>0</x:v>
      </x:c>
      <x:c r="I1592" s="10" t="n">
        <x:v>0</x:v>
      </x:c>
      <x:c r="J1592" s="10" t="n">
        <x:v>1</x:v>
      </x:c>
      <x:c r="K1592" s="10" t="str">
        <x:v>54 Mo.</x:v>
      </x:c>
      <x:c r="L1592" s="10" t="n">
        <x:v>5</x:v>
      </x:c>
      <x:c r="M1592" s="10" t="n">
        <x:v>0</x:v>
      </x:c>
      <x:c r="N1592" s="10" t="n">
        <x:v>48</x:v>
      </x:c>
      <x:c r="O1592" s="10" t="str">
        <x:v>Paper &amp; Party Supplies</x:v>
      </x:c>
      <x:c r="P1592" s="10" t="n">
        <x:v>55</x:v>
      </x:c>
      <x:c r="Q1592" s="10" t="n">
        <x:v>0</x:v>
      </x:c>
      <x:c r="R1592" s="13" t="n">
        <x:v>0</x:v>
      </x:c>
      <x:c r="S1592" s="10" t="n">
        <x:v>23</x:v>
      </x:c>
      <x:c r="T1592" s="10" t="str">
        <x:v>mortgage loan debt,mortgage tracker,mortgage loan payoff,loan tracker,financial freedom,debt tracker,snowball tracker,financial planner,budget tracker,diy budget,dave ramsey,debt avalanche,fire method</x:v>
      </x:c>
      <x:c r="U1592" s="10" t="str">
        <x:v>mortgage loan debt</x:v>
      </x:c>
      <x:c r="V1592" s="10" t="str">
        <x:v>mortgage tracker</x:v>
      </x:c>
      <x:c r="W1592" s="10" t="str">
        <x:v>mortgage loan payoff</x:v>
      </x:c>
      <x:c r="X1592" s="10" t="str">
        <x:v>loan tracker</x:v>
      </x:c>
      <x:c r="Y1592" s="10" t="str">
        <x:v>financial freedom</x:v>
      </x:c>
      <x:c r="Z1592" s="10" t="str">
        <x:v>debt tracker</x:v>
      </x:c>
      <x:c r="AA1592" s="10" t="str">
        <x:v>snowball tracker</x:v>
      </x:c>
      <x:c r="AB1592" s="10" t="str">
        <x:v>financial planner</x:v>
      </x:c>
      <x:c r="AC1592" s="10" t="str">
        <x:v>budget tracker</x:v>
      </x:c>
      <x:c r="AD1592" s="10" t="str">
        <x:v>diy budget</x:v>
      </x:c>
      <x:c r="AE1592" s="10" t="str">
        <x:v>dave ramsey</x:v>
      </x:c>
      <x:c r="AF1592" s="10" t="str">
        <x:v>debt avalanche</x:v>
      </x:c>
      <x:c r="AG1592" s="10" t="str">
        <x:v>fire method</x:v>
      </x:c>
      <x:c r="AH1592" s="10" t="str">
        <x:v>Other mortgage-related</x:v>
      </x:c>
      <x:c r="AI1592" s="13" t="n">
        <x:v>54</x:v>
      </x:c>
      <x:c r="AJ1592" s="10" t="str">
        <x:f>IF(F1592&gt;0,"Active","No est. sales")</x:f>
        <x:v>No est. sales</x:v>
      </x:c>
    </x:row>
    <x:row r="1593">
      <x:c r="A1593" s="10" t="str">
        <x:v>Home Loan Finance Handbook (AU) | First Home Buyer Guide | Mortgage Prep PDF | Broker-Approved Digital Download</x:v>
      </x:c>
      <x:c r="B1593" s="10" t="str">
        <x:v>https://www.etsy.com/listing/4310751634/home-loan-finance-handbook-au-first-home</x:v>
      </x:c>
      <x:c r="C1593" s="10" t="str">
        <x:v>Wealthwonderco</x:v>
      </x:c>
      <x:c r="D1593" s="10" t="str">
        <x:v>https://www.etsy.com/shop/Wealthwonderco</x:v>
      </x:c>
      <x:c r="E1593" s="11" t="n">
        <x:v>18.9</x:v>
      </x:c>
      <x:c r="F1593" s="10" t="n">
        <x:v>0</x:v>
      </x:c>
      <x:c r="G1593" s="12" t="n">
        <x:v>0</x:v>
      </x:c>
      <x:c r="H1593" s="13" t="n">
        <x:v>0</x:v>
      </x:c>
      <x:c r="I1593" s="10" t="n">
        <x:v>0</x:v>
      </x:c>
      <x:c r="J1593" s="10" t="n">
        <x:v>0</x:v>
      </x:c>
      <x:c r="K1593" s="10" t="str">
        <x:v>14 Mo.</x:v>
      </x:c>
      <x:c r="L1593" s="10" t="n">
        <x:v>0</x:v>
      </x:c>
      <x:c r="M1593" s="10" t="n">
        <x:v>0</x:v>
      </x:c>
      <x:c r="N1593" s="10" t="n">
        <x:v>81</x:v>
      </x:c>
      <x:c r="O1593" s="10" t="str"/>
      <x:c r="P1593" s="10" t="n">
        <x:v>14</x:v>
      </x:c>
      <x:c r="Q1593" s="10" t="n">
        <x:v>0</x:v>
      </x:c>
      <x:c r="R1593" s="13" t="n">
        <x:v>0</x:v>
      </x:c>
      <x:c r="S1593" s="10" t="n">
        <x:v>0</x:v>
      </x:c>
      <x:c r="T1593" s="10" t="str">
        <x:v>home loan guide,first home buyer,mortgage ebook,australian mortgage,finance planner,mortgage prep,loan ready checklist,buying a house,budgeting for home,finance guide pdf,broker tips,homebuyer digital,preapproval help</x:v>
      </x:c>
      <x:c r="U1593" s="10" t="str">
        <x:v>home loan guide</x:v>
      </x:c>
      <x:c r="V1593" s="10" t="str">
        <x:v>first home buyer</x:v>
      </x:c>
      <x:c r="W1593" s="10" t="str">
        <x:v>mortgage ebook</x:v>
      </x:c>
      <x:c r="X1593" s="10" t="str">
        <x:v>australian mortgage</x:v>
      </x:c>
      <x:c r="Y1593" s="10" t="str">
        <x:v>finance planner</x:v>
      </x:c>
      <x:c r="Z1593" s="10" t="str">
        <x:v>mortgage prep</x:v>
      </x:c>
      <x:c r="AA1593" s="10" t="str">
        <x:v>loan ready checklist</x:v>
      </x:c>
      <x:c r="AB1593" s="10" t="str">
        <x:v>buying a house</x:v>
      </x:c>
      <x:c r="AC1593" s="10" t="str">
        <x:v>budgeting for home</x:v>
      </x:c>
      <x:c r="AD1593" s="10" t="str">
        <x:v>finance guide pdf</x:v>
      </x:c>
      <x:c r="AE1593" s="10" t="str">
        <x:v>broker tips</x:v>
      </x:c>
      <x:c r="AF1593" s="10" t="str">
        <x:v>homebuyer digital</x:v>
      </x:c>
      <x:c r="AG1593" s="10" t="str">
        <x:v>preapproval help</x:v>
      </x:c>
      <x:c r="AH1593" s="10" t="str">
        <x:v>Other mortgage-related</x:v>
      </x:c>
      <x:c r="AI1593" s="13" t="n">
        <x:v>14</x:v>
      </x:c>
      <x:c r="AJ1593" s="10" t="str">
        <x:f>IF(F1593&gt;0,"Active","No est. sales")</x:f>
        <x:v>No est. sales</x:v>
      </x:c>
    </x:row>
    <x:row r="1594">
      <x:c r="A1594" s="10" t="str">
        <x:v>Printable First-Time Homebuyer Guide – Real Estate Planner &amp; Checklist PDF</x:v>
      </x:c>
      <x:c r="B1594" s="10" t="str">
        <x:v>https://www.etsy.com/listing/4334615757/printable-first-time-homebuyer-guide</x:v>
      </x:c>
      <x:c r="C1594" s="10" t="str">
        <x:v>InvestWithLeek</x:v>
      </x:c>
      <x:c r="D1594" s="10" t="str">
        <x:v>https://www.etsy.com/shop/InvestWithLeek</x:v>
      </x:c>
      <x:c r="E1594" s="11" t="n">
        <x:v>7</x:v>
      </x:c>
      <x:c r="F1594" s="10" t="n">
        <x:v>0</x:v>
      </x:c>
      <x:c r="G1594" s="12" t="n">
        <x:v>0</x:v>
      </x:c>
      <x:c r="H1594" s="13" t="n">
        <x:v>0</x:v>
      </x:c>
      <x:c r="I1594" s="10" t="n">
        <x:v>0</x:v>
      </x:c>
      <x:c r="J1594" s="10" t="n">
        <x:v>0</x:v>
      </x:c>
      <x:c r="K1594" s="10" t="str">
        <x:v>12 Mo.</x:v>
      </x:c>
      <x:c r="L1594" s="10" t="n">
        <x:v>0</x:v>
      </x:c>
      <x:c r="M1594" s="10" t="n">
        <x:v>0</x:v>
      </x:c>
      <x:c r="N1594" s="10" t="n">
        <x:v>25</x:v>
      </x:c>
      <x:c r="O1594" s="10" t="str">
        <x:v>Paper &amp; Party Supplies</x:v>
      </x:c>
      <x:c r="P1594" s="10" t="n">
        <x:v>31</x:v>
      </x:c>
      <x:c r="Q1594" s="10" t="n">
        <x:v>0</x:v>
      </x:c>
      <x:c r="R1594" s="13" t="n">
        <x:v>0</x:v>
      </x:c>
      <x:c r="S1594" s="10" t="n">
        <x:v>1</x:v>
      </x:c>
      <x:c r="T1594" s="10" t="str">
        <x:v>first time buyer,homebuyer checklist,real estate guide,house hunting tool,buying a house pdf,real estate pdf,mortgage checklist,moving checklist,closing checklist,home buying planner,real estate planner,digital home guide,checklist printable</x:v>
      </x:c>
      <x:c r="U1594" s="10" t="str">
        <x:v>first time buyer</x:v>
      </x:c>
      <x:c r="V1594" s="10" t="str">
        <x:v>homebuyer checklist</x:v>
      </x:c>
      <x:c r="W1594" s="10" t="str">
        <x:v>real estate guide</x:v>
      </x:c>
      <x:c r="X1594" s="10" t="str">
        <x:v>house hunting tool</x:v>
      </x:c>
      <x:c r="Y1594" s="10" t="str">
        <x:v>buying a house pdf</x:v>
      </x:c>
      <x:c r="Z1594" s="10" t="str">
        <x:v>real estate pdf</x:v>
      </x:c>
      <x:c r="AA1594" s="10" t="str">
        <x:v>mortgage checklist</x:v>
      </x:c>
      <x:c r="AB1594" s="10" t="str">
        <x:v>moving checklist</x:v>
      </x:c>
      <x:c r="AC1594" s="10" t="str">
        <x:v>closing checklist</x:v>
      </x:c>
      <x:c r="AD1594" s="10" t="str">
        <x:v>home buying planner</x:v>
      </x:c>
      <x:c r="AE1594" s="10" t="str">
        <x:v>real estate planner</x:v>
      </x:c>
      <x:c r="AF1594" s="10" t="str">
        <x:v>digital home guide</x:v>
      </x:c>
      <x:c r="AG1594" s="10" t="str">
        <x:v>checklist printable</x:v>
      </x:c>
      <x:c r="AH1594" s="10" t="str">
        <x:v>Home buying planner</x:v>
      </x:c>
      <x:c r="AI1594" s="13" t="n">
        <x:v>12</x:v>
      </x:c>
      <x:c r="AJ1594" s="10" t="str">
        <x:f>IF(F1594&gt;0,"Active","No est. sales")</x:f>
        <x:v>No est. sales</x:v>
      </x:c>
    </x:row>
    <x:row r="1595">
      <x:c r="A1595" s="10" t="str">
        <x:v>Debt Payoff Calculator | Google Sheets Template (Digital Download)</x:v>
      </x:c>
      <x:c r="B1595" s="10" t="str">
        <x:v>https://www.etsy.com/listing/1223747893/debt-payoff-calculator-tracker-debt</x:v>
      </x:c>
      <x:c r="C1595" s="10" t="str">
        <x:v>SilkAndSaffronLiving</x:v>
      </x:c>
      <x:c r="D1595" s="10" t="str">
        <x:v>https://www.etsy.com/shop/SilkAndSaffronLiving</x:v>
      </x:c>
      <x:c r="E1595" s="11" t="n">
        <x:v>3.61</x:v>
      </x:c>
      <x:c r="F1595" s="10" t="n">
        <x:v>0</x:v>
      </x:c>
      <x:c r="G1595" s="12" t="n">
        <x:v>0</x:v>
      </x:c>
      <x:c r="H1595" s="13" t="n">
        <x:v>0</x:v>
      </x:c>
      <x:c r="I1595" s="10" t="n">
        <x:v>14</x:v>
      </x:c>
      <x:c r="J1595" s="10" t="n">
        <x:v>1</x:v>
      </x:c>
      <x:c r="K1595" s="10" t="str">
        <x:v>51 Mo.</x:v>
      </x:c>
      <x:c r="L1595" s="10" t="n">
        <x:v>12</x:v>
      </x:c>
      <x:c r="M1595" s="10" t="n">
        <x:v>0</x:v>
      </x:c>
      <x:c r="N1595" s="10" t="n">
        <x:v>323</x:v>
      </x:c>
      <x:c r="O1595" s="10" t="str">
        <x:v>Paper &amp; Party Supplies</x:v>
      </x:c>
      <x:c r="P1595" s="10" t="n">
        <x:v>54</x:v>
      </x:c>
      <x:c r="Q1595" s="10" t="n">
        <x:v>0</x:v>
      </x:c>
      <x:c r="R1595" s="13" t="n">
        <x:v>4.33</x:v>
      </x:c>
      <x:c r="S1595" s="10" t="n">
        <x:v>2428</x:v>
      </x:c>
      <x:c r="T1595" s="10" t="str">
        <x:v>credit card payoff,credit score debt,credit utilization,debt avalanche,debt payment tracker,debt payoff chart,debt payoff tracker,debt snowball,debt template,financial planner,google sheets budget,mortgage payoff,student loan debt</x:v>
      </x:c>
      <x:c r="U1595" s="10" t="str">
        <x:v>credit card payoff</x:v>
      </x:c>
      <x:c r="V1595" s="10" t="str">
        <x:v>credit score debt</x:v>
      </x:c>
      <x:c r="W1595" s="10" t="str">
        <x:v>credit utilization</x:v>
      </x:c>
      <x:c r="X1595" s="10" t="str">
        <x:v>debt avalanche</x:v>
      </x:c>
      <x:c r="Y1595" s="10" t="str">
        <x:v>debt payment tracker</x:v>
      </x:c>
      <x:c r="Z1595" s="10" t="str">
        <x:v>debt payoff chart</x:v>
      </x:c>
      <x:c r="AA1595" s="10" t="str">
        <x:v>debt payoff tracker</x:v>
      </x:c>
      <x:c r="AB1595" s="10" t="str">
        <x:v>debt snowball</x:v>
      </x:c>
      <x:c r="AC1595" s="10" t="str">
        <x:v>debt template</x:v>
      </x:c>
      <x:c r="AD1595" s="10" t="str">
        <x:v>financial planner</x:v>
      </x:c>
      <x:c r="AE1595" s="10" t="str">
        <x:v>google sheets budget</x:v>
      </x:c>
      <x:c r="AF1595" s="10" t="str">
        <x:v>mortgage payoff</x:v>
      </x:c>
      <x:c r="AG1595" s="10" t="str">
        <x:v>student loan debt</x:v>
      </x:c>
      <x:c r="AH1595" s="10" t="str">
        <x:v>General debt payoff</x:v>
      </x:c>
      <x:c r="AI1595" s="13" t="n">
        <x:v>51</x:v>
      </x:c>
      <x:c r="AJ1595" s="10" t="str">
        <x:f>IF(F1595&gt;0,"Active","No est. sales")</x:f>
        <x:v>No est. sales</x:v>
      </x:c>
    </x:row>
    <x:row r="1596">
      <x:c r="A1596" s="10" t="str">
        <x:v>Kawaii Budget Planner, Cute Pink Bows, HTML Personal Finance Expense Tracker, No App, Auto Save (Digital Download)</x:v>
      </x:c>
      <x:c r="B1596" s="10" t="str">
        <x:v>https://www.etsy.com/listing/4518290308/kawaii-budget-tracker-cute-html</x:v>
      </x:c>
      <x:c r="C1596" s="10" t="str">
        <x:v>SimplyPlannedAnna</x:v>
      </x:c>
      <x:c r="D1596" s="10" t="str">
        <x:v>https://www.etsy.com/shop/SimplyPlannedAnna</x:v>
      </x:c>
      <x:c r="E1596" s="11" t="n">
        <x:v>10.5</x:v>
      </x:c>
      <x:c r="F1596" s="10" t="n">
        <x:v>0</x:v>
      </x:c>
      <x:c r="G1596" s="12" t="n">
        <x:v>0</x:v>
      </x:c>
      <x:c r="H1596" s="13" t="n">
        <x:v>0</x:v>
      </x:c>
      <x:c r="I1596" s="10" t="n">
        <x:v>0</x:v>
      </x:c>
      <x:c r="J1596" s="10" t="n">
        <x:v>0</x:v>
      </x:c>
      <x:c r="K1596" s="10" t="str">
        <x:v>1 Mo.</x:v>
      </x:c>
      <x:c r="L1596" s="10" t="n">
        <x:v>0</x:v>
      </x:c>
      <x:c r="M1596" s="10" t="n">
        <x:v>0</x:v>
      </x:c>
      <x:c r="N1596" s="10" t="n">
        <x:v>0</x:v>
      </x:c>
      <x:c r="O1596" s="10" t="str"/>
      <x:c r="P1596" s="10" t="n">
        <x:v>3</x:v>
      </x:c>
      <x:c r="Q1596" s="10" t="n">
        <x:v>0</x:v>
      </x:c>
      <x:c r="R1596" s="13" t="n">
        <x:v>0</x:v>
      </x:c>
      <x:c r="S1596" s="10" t="n">
        <x:v>1</x:v>
      </x:c>
      <x:c r="T1596" s="10" t="str">
        <x:v>budget planner,expense tracker,mortgage calculator,finance planner,no app web browser,auto save backup,digital download,digital planner,budget tracker,finance tracker,savings tracker,kawaii theme decor,sinking fund</x:v>
      </x:c>
      <x:c r="U1596" s="10" t="str">
        <x:v>budget planner</x:v>
      </x:c>
      <x:c r="V1596" s="10" t="str">
        <x:v>expense tracker</x:v>
      </x:c>
      <x:c r="W1596" s="10" t="str">
        <x:v>mortgage calculator</x:v>
      </x:c>
      <x:c r="X1596" s="10" t="str">
        <x:v>finance planner</x:v>
      </x:c>
      <x:c r="Y1596" s="10" t="str">
        <x:v>no app web browser</x:v>
      </x:c>
      <x:c r="Z1596" s="10" t="str">
        <x:v>auto save backup</x:v>
      </x:c>
      <x:c r="AA1596" s="10" t="str">
        <x:v>digital download</x:v>
      </x:c>
      <x:c r="AB1596" s="10" t="str">
        <x:v>digital planner</x:v>
      </x:c>
      <x:c r="AC1596" s="10" t="str">
        <x:v>budget tracker</x:v>
      </x:c>
      <x:c r="AD1596" s="10" t="str">
        <x:v>finance tracker</x:v>
      </x:c>
      <x:c r="AE1596" s="10" t="str">
        <x:v>savings tracker</x:v>
      </x:c>
      <x:c r="AF1596" s="10" t="str">
        <x:v>kawaii theme decor</x:v>
      </x:c>
      <x:c r="AG1596" s="10" t="str">
        <x:v>sinking fund</x:v>
      </x:c>
      <x:c r="AH1596" s="10" t="str">
        <x:v>Other mortgage-related</x:v>
      </x:c>
      <x:c r="AI1596" s="13" t="n">
        <x:v>1</x:v>
      </x:c>
      <x:c r="AJ1596" s="10" t="str">
        <x:f>IF(F1596&gt;0,"Active","No est. sales")</x:f>
        <x:v>No est. sales</x:v>
      </x:c>
    </x:row>
    <x:row r="1597">
      <x:c r="A1597" s="10" t="str">
        <x:v>Homeowners Insurance Due Bill Pay Planner Stickers  (Budget Tracking and Monthly Finance Stickers)</x:v>
      </x:c>
      <x:c r="B1597" s="10" t="str">
        <x:v>https://www.etsy.com/listing/890578102/homeowners-insurance-due-bill-pay</x:v>
      </x:c>
      <x:c r="C1597" s="10" t="str">
        <x:v>SparkleShineStudios</x:v>
      </x:c>
      <x:c r="D1597" s="10" t="str">
        <x:v>https://www.etsy.com/shop/SparkleShineStudios</x:v>
      </x:c>
      <x:c r="E1597" s="11" t="n">
        <x:v>3.95</x:v>
      </x:c>
      <x:c r="F1597" s="10" t="n">
        <x:v>0</x:v>
      </x:c>
      <x:c r="G1597" s="12" t="n">
        <x:v>0</x:v>
      </x:c>
      <x:c r="H1597" s="13" t="n">
        <x:v>0</x:v>
      </x:c>
      <x:c r="I1597" s="10" t="n">
        <x:v>21</x:v>
      </x:c>
      <x:c r="J1597" s="10" t="n">
        <x:v>5</x:v>
      </x:c>
      <x:c r="K1597" s="10" t="str">
        <x:v>68 Mo.</x:v>
      </x:c>
      <x:c r="L1597" s="10" t="n">
        <x:v>38</x:v>
      </x:c>
      <x:c r="M1597" s="10" t="n">
        <x:v>0</x:v>
      </x:c>
      <x:c r="N1597" s="10" t="n">
        <x:v>579</x:v>
      </x:c>
      <x:c r="O1597" s="10" t="str">
        <x:v>Paper &amp; Party Supplies</x:v>
      </x:c>
      <x:c r="P1597" s="10" t="n">
        <x:v>84</x:v>
      </x:c>
      <x:c r="Q1597" s="10" t="n">
        <x:v>0</x:v>
      </x:c>
      <x:c r="R1597" s="13" t="n">
        <x:v>3.63</x:v>
      </x:c>
      <x:c r="S1597" s="10" t="n">
        <x:v>83820</x:v>
      </x:c>
      <x:c r="T1597" s="10" t="str">
        <x:v>hoa due,mortgage due,household bills,pay bill,stalogy,happy planner,bible journaling,hobonichi weeks,budgeting,finances,bill due,planner stickers,gifts</x:v>
      </x:c>
      <x:c r="U1597" s="10" t="str">
        <x:v>hoa due</x:v>
      </x:c>
      <x:c r="V1597" s="10" t="str">
        <x:v>mortgage due</x:v>
      </x:c>
      <x:c r="W1597" s="10" t="str">
        <x:v>household bills</x:v>
      </x:c>
      <x:c r="X1597" s="10" t="str">
        <x:v>pay bill</x:v>
      </x:c>
      <x:c r="Y1597" s="10" t="str">
        <x:v>stalogy</x:v>
      </x:c>
      <x:c r="Z1597" s="10" t="str">
        <x:v>happy planner</x:v>
      </x:c>
      <x:c r="AA1597" s="10" t="str">
        <x:v>bible journaling</x:v>
      </x:c>
      <x:c r="AB1597" s="10" t="str">
        <x:v>hobonichi weeks</x:v>
      </x:c>
      <x:c r="AC1597" s="10" t="str">
        <x:v>budgeting</x:v>
      </x:c>
      <x:c r="AD1597" s="10" t="str">
        <x:v>finances</x:v>
      </x:c>
      <x:c r="AE1597" s="10" t="str">
        <x:v>bill due</x:v>
      </x:c>
      <x:c r="AF1597" s="10" t="str">
        <x:v>planner stickers</x:v>
      </x:c>
      <x:c r="AG1597" s="10" t="str">
        <x:v>gifts</x:v>
      </x:c>
      <x:c r="AH1597" s="10" t="str">
        <x:v>Other mortgage-related</x:v>
      </x:c>
      <x:c r="AI1597" s="13" t="n">
        <x:v>68</x:v>
      </x:c>
      <x:c r="AJ1597" s="10" t="str">
        <x:f>IF(F1597&gt;0,"Active","No est. sales")</x:f>
        <x:v>No est. sales</x:v>
      </x:c>
    </x:row>
    <x:row r="1598">
      <x:c r="A1598" s="10" t="str">
        <x:v>Florida Home Buyer GPT | First Time Home Buyer Guide | Florida House Hunting AI | Mortgage Planner | Home Buying Checklist | Relocation Tool</x:v>
      </x:c>
      <x:c r="B1598" s="10" t="str">
        <x:v>https://www.etsy.com/listing/4523624828/florida-home-buyer-gpt-first-time-home</x:v>
      </x:c>
      <x:c r="C1598" s="10" t="str">
        <x:v>CashMochi</x:v>
      </x:c>
      <x:c r="D1598" s="10" t="str">
        <x:v>https://www.etsy.com/shop/CashMochi</x:v>
      </x:c>
      <x:c r="E1598" s="11" t="n">
        <x:v>12.95</x:v>
      </x:c>
      <x:c r="F1598" s="10" t="n">
        <x:v>0</x:v>
      </x:c>
      <x:c r="G1598" s="12" t="n">
        <x:v>0</x:v>
      </x:c>
      <x:c r="H1598" s="13" t="n">
        <x:v>0</x:v>
      </x:c>
      <x:c r="I1598" s="10" t="n">
        <x:v>0</x:v>
      </x:c>
      <x:c r="J1598" s="10" t="n">
        <x:v>0</x:v>
      </x:c>
      <x:c r="K1598" s="10" t="str">
        <x:v>1 Mo.</x:v>
      </x:c>
      <x:c r="L1598" s="10" t="n">
        <x:v>0</x:v>
      </x:c>
      <x:c r="M1598" s="10" t="n">
        <x:v>0</x:v>
      </x:c>
      <x:c r="N1598" s="10" t="n">
        <x:v>2400</x:v>
      </x:c>
      <x:c r="O1598" s="10" t="str">
        <x:v>Books, Movies &amp; Music</x:v>
      </x:c>
      <x:c r="P1598" s="10" t="n">
        <x:v>2</x:v>
      </x:c>
      <x:c r="Q1598" s="10" t="n">
        <x:v>100</x:v>
      </x:c>
      <x:c r="R1598" s="13" t="n">
        <x:v>0</x:v>
      </x:c>
      <x:c r="S1598" s="10" t="n">
        <x:v>112</x:v>
      </x:c>
      <x:c r="T1598" s="10" t="str">
        <x:v>florida guide,property planner,buy home florida,real estate ai,home buyer ai,moving florida,relocation tool,house hunting,home checklist,florida mortgage,home buyer gpt,first home buyer,florida home</x:v>
      </x:c>
      <x:c r="U1598" s="10" t="str">
        <x:v>florida guide</x:v>
      </x:c>
      <x:c r="V1598" s="10" t="str">
        <x:v>property planner</x:v>
      </x:c>
      <x:c r="W1598" s="10" t="str">
        <x:v>buy home florida</x:v>
      </x:c>
      <x:c r="X1598" s="10" t="str">
        <x:v>real estate ai</x:v>
      </x:c>
      <x:c r="Y1598" s="10" t="str">
        <x:v>home buyer ai</x:v>
      </x:c>
      <x:c r="Z1598" s="10" t="str">
        <x:v>moving florida</x:v>
      </x:c>
      <x:c r="AA1598" s="10" t="str">
        <x:v>relocation tool</x:v>
      </x:c>
      <x:c r="AB1598" s="10" t="str">
        <x:v>house hunting</x:v>
      </x:c>
      <x:c r="AC1598" s="10" t="str">
        <x:v>home checklist</x:v>
      </x:c>
      <x:c r="AD1598" s="10" t="str">
        <x:v>florida mortgage</x:v>
      </x:c>
      <x:c r="AE1598" s="10" t="str">
        <x:v>home buyer gpt</x:v>
      </x:c>
      <x:c r="AF1598" s="10" t="str">
        <x:v>first home buyer</x:v>
      </x:c>
      <x:c r="AG1598" s="10" t="str">
        <x:v>florida home</x:v>
      </x:c>
      <x:c r="AH1598" s="10" t="str">
        <x:v>Home buying planner</x:v>
      </x:c>
      <x:c r="AI1598" s="13" t="n">
        <x:v>1</x:v>
      </x:c>
      <x:c r="AJ1598" s="10" t="str">
        <x:f>IF(F1598&gt;0,"Active","No est. sales")</x:f>
        <x:v>No est. sales</x:v>
      </x:c>
    </x:row>
    <x:row r="1599">
      <x:c r="A1599" s="10" t="str">
        <x:v>Debt Payoff Calculator Google Sheets Loan Payoff Planner Excel Amortization Spreadsheet Mortgage Tracker Student Loan Repayment Planner</x:v>
      </x:c>
      <x:c r="B1599" s="10" t="str">
        <x:v>https://www.etsy.com/listing/4388962224/mortgage-payoff-calculator-google-sheets</x:v>
      </x:c>
      <x:c r="C1599" s="10" t="str">
        <x:v>TheSpreadsheetSquad</x:v>
      </x:c>
      <x:c r="D1599" s="10" t="str">
        <x:v>https://www.etsy.com/shop/TheSpreadsheetSquad</x:v>
      </x:c>
      <x:c r="E1599" s="11" t="n">
        <x:v>9.59</x:v>
      </x:c>
      <x:c r="F1599" s="10" t="n">
        <x:v>0</x:v>
      </x:c>
      <x:c r="G1599" s="12" t="n">
        <x:v>0</x:v>
      </x:c>
      <x:c r="H1599" s="13" t="n">
        <x:v>0</x:v>
      </x:c>
      <x:c r="I1599" s="10" t="n">
        <x:v>27</x:v>
      </x:c>
      <x:c r="J1599" s="10" t="n">
        <x:v>3</x:v>
      </x:c>
      <x:c r="K1599" s="10" t="str">
        <x:v>9 Mo.</x:v>
      </x:c>
      <x:c r="L1599" s="10" t="n">
        <x:v>21</x:v>
      </x:c>
      <x:c r="M1599" s="10" t="n">
        <x:v>0</x:v>
      </x:c>
      <x:c r="N1599" s="10" t="n">
        <x:v>825</x:v>
      </x:c>
      <x:c r="O1599" s="10" t="str"/>
      <x:c r="P1599" s="10" t="n">
        <x:v>36</x:v>
      </x:c>
      <x:c r="Q1599" s="10" t="n">
        <x:v>33</x:v>
      </x:c>
      <x:c r="R1599" s="13" t="n">
        <x:v>3.27</x:v>
      </x:c>
      <x:c r="S1599" s="10" t="n">
        <x:v>9155</x:v>
      </x:c>
      <x:c r="T1599" s="10" t="str">
        <x:v>payoff calculator,google sheets loan,loan payoff planner,excel amortization,amortization sheet,tracker student loan,loan repayment,repayment planner,personal loan payoff,amortization planner,monthly budget,debt payoff,mortgage tracker</x:v>
      </x:c>
      <x:c r="U1599" s="10" t="str">
        <x:v>payoff calculator</x:v>
      </x:c>
      <x:c r="V1599" s="10" t="str">
        <x:v>google sheets loan</x:v>
      </x:c>
      <x:c r="W1599" s="10" t="str">
        <x:v>loan payoff planner</x:v>
      </x:c>
      <x:c r="X1599" s="10" t="str">
        <x:v>excel amortization</x:v>
      </x:c>
      <x:c r="Y1599" s="10" t="str">
        <x:v>amortization sheet</x:v>
      </x:c>
      <x:c r="Z1599" s="10" t="str">
        <x:v>tracker student loan</x:v>
      </x:c>
      <x:c r="AA1599" s="10" t="str">
        <x:v>loan repayment</x:v>
      </x:c>
      <x:c r="AB1599" s="10" t="str">
        <x:v>repayment planner</x:v>
      </x:c>
      <x:c r="AC1599" s="10" t="str">
        <x:v>personal loan payoff</x:v>
      </x:c>
      <x:c r="AD1599" s="10" t="str">
        <x:v>amortization planner</x:v>
      </x:c>
      <x:c r="AE1599" s="10" t="str">
        <x:v>monthly budget</x:v>
      </x:c>
      <x:c r="AF1599" s="10" t="str">
        <x:v>debt payoff</x:v>
      </x:c>
      <x:c r="AG1599" s="10" t="str">
        <x:v>mortgage tracker</x:v>
      </x:c>
      <x:c r="AH1599" s="10" t="str">
        <x:v>General debt payoff</x:v>
      </x:c>
      <x:c r="AI1599" s="13" t="n">
        <x:v>9</x:v>
      </x:c>
      <x:c r="AJ1599" s="10" t="str">
        <x:f>IF(F1599&gt;0,"Active","No est. sales")</x:f>
        <x:v>No est. sales</x:v>
      </x:c>
    </x:row>
    <x:row r="1600">
      <x:c r="A1600" s="10" t="str">
        <x:v>Loan Officer Template Spreadsheet Bundle, Loan Checklist Template Google Sheets, Mortgage Broker Mortgage Pipeline Tracker Excel CRM Planner</x:v>
      </x:c>
      <x:c r="B1600" s="10" t="str">
        <x:v>https://www.etsy.com/listing/1876901669/loan-officer-template-spreadsheet-bundle</x:v>
      </x:c>
      <x:c r="C1600" s="10" t="str">
        <x:v>SavvyandThriving</x:v>
      </x:c>
      <x:c r="D1600" s="10" t="str">
        <x:v>https://www.etsy.com/shop/SavvyandThriving</x:v>
      </x:c>
      <x:c r="E1600" s="11" t="n">
        <x:v>19.5</x:v>
      </x:c>
      <x:c r="F1600" s="10" t="n">
        <x:v>0</x:v>
      </x:c>
      <x:c r="G1600" s="12" t="n">
        <x:v>0</x:v>
      </x:c>
      <x:c r="H1600" s="13" t="n">
        <x:v>0</x:v>
      </x:c>
      <x:c r="I1600" s="10" t="n">
        <x:v>146</x:v>
      </x:c>
      <x:c r="J1600" s="10" t="n">
        <x:v>11</x:v>
      </x:c>
      <x:c r="K1600" s="10" t="str">
        <x:v>17 Mo.</x:v>
      </x:c>
      <x:c r="L1600" s="10" t="n">
        <x:v>255</x:v>
      </x:c>
      <x:c r="M1600" s="10" t="n">
        <x:v>1</x:v>
      </x:c>
      <x:c r="N1600" s="10" t="n">
        <x:v>7841</x:v>
      </x:c>
      <x:c r="O1600" s="10" t="str">
        <x:v>Paper &amp; Party Supplies</x:v>
      </x:c>
      <x:c r="P1600" s="10" t="n">
        <x:v>195</x:v>
      </x:c>
      <x:c r="Q1600" s="10" t="n">
        <x:v>100</x:v>
      </x:c>
      <x:c r="R1600" s="13" t="n">
        <x:v>1.86</x:v>
      </x:c>
      <x:c r="S1600" s="10" t="n">
        <x:v>45548</x:v>
      </x:c>
      <x:c r="T1600" s="10" t="str">
        <x:v>loan tracker,mortgage loan,mortgage template,mortgage broker,mortgage lender,mortgage planner,mortgage tracker,loan application,mortgage pipeline,loan officer,loan checklist,loan template,mortgage checklist</x:v>
      </x:c>
      <x:c r="U1600" s="10" t="str">
        <x:v>loan tracker</x:v>
      </x:c>
      <x:c r="V1600" s="10" t="str">
        <x:v>mortgage loan</x:v>
      </x:c>
      <x:c r="W1600" s="10" t="str">
        <x:v>mortgage template</x:v>
      </x:c>
      <x:c r="X1600" s="10" t="str">
        <x:v>mortgage broker</x:v>
      </x:c>
      <x:c r="Y1600" s="10" t="str">
        <x:v>mortgage lender</x:v>
      </x:c>
      <x:c r="Z1600" s="10" t="str">
        <x:v>mortgage planner</x:v>
      </x:c>
      <x:c r="AA1600" s="10" t="str">
        <x:v>mortgage tracker</x:v>
      </x:c>
      <x:c r="AB1600" s="10" t="str">
        <x:v>loan application</x:v>
      </x:c>
      <x:c r="AC1600" s="10" t="str">
        <x:v>mortgage pipeline</x:v>
      </x:c>
      <x:c r="AD1600" s="10" t="str">
        <x:v>loan officer</x:v>
      </x:c>
      <x:c r="AE1600" s="10" t="str">
        <x:v>loan checklist</x:v>
      </x:c>
      <x:c r="AF1600" s="10" t="str">
        <x:v>loan template</x:v>
      </x:c>
      <x:c r="AG1600" s="10" t="str">
        <x:v>mortgage checklist</x:v>
      </x:c>
      <x:c r="AH1600" s="10" t="str">
        <x:v>Loan officer / B2B</x:v>
      </x:c>
      <x:c r="AI1600" s="13" t="n">
        <x:v>17</x:v>
      </x:c>
      <x:c r="AJ1600" s="10" t="str">
        <x:f>IF(F1600&gt;0,"Active","No est. sales")</x:f>
        <x:v>No est. sales</x:v>
      </x:c>
    </x:row>
    <x:row r="1601">
      <x:c r="A1601" s="14" t="str">
        <x:v>Home Buying Planner Printable Workbook: Budget, Checklist, Timeline (PDF)</x:v>
      </x:c>
      <x:c r="B1601" s="14" t="str">
        <x:v>https://www.etsy.com/listing/4538124854/home-buying-planner-printable-first-time</x:v>
      </x:c>
      <x:c r="C1601" s="14" t="str">
        <x:v>DearlyPrintsCo</x:v>
      </x:c>
      <x:c r="D1601" s="14" t="str">
        <x:v>https://www.etsy.com/shop/DearlyPrintsCo</x:v>
      </x:c>
      <x:c r="E1601" s="15" t="n">
        <x:v>12</x:v>
      </x:c>
      <x:c r="F1601" s="14" t="n">
        <x:v>0</x:v>
      </x:c>
      <x:c r="G1601" s="16" t="n">
        <x:v>0</x:v>
      </x:c>
      <x:c r="H1601" s="17" t="n">
        <x:v>0</x:v>
      </x:c>
      <x:c r="I1601" s="14" t="n">
        <x:v>0</x:v>
      </x:c>
      <x:c r="J1601" s="14" t="n">
        <x:v>0</x:v>
      </x:c>
      <x:c r="K1601" s="14" t="str">
        <x:v>1 Mo.</x:v>
      </x:c>
      <x:c r="L1601" s="14" t="n">
        <x:v>0</x:v>
      </x:c>
      <x:c r="M1601" s="14" t="n">
        <x:v>0</x:v>
      </x:c>
      <x:c r="N1601" s="14" t="n">
        <x:v>18</x:v>
      </x:c>
      <x:c r="O1601" s="14" t="str">
        <x:v>Paper &amp; Party Supplies</x:v>
      </x:c>
      <x:c r="P1601" s="14" t="n">
        <x:v>1</x:v>
      </x:c>
      <x:c r="Q1601" s="14" t="n">
        <x:v>0</x:v>
      </x:c>
      <x:c r="R1601" s="17" t="n">
        <x:v>0</x:v>
      </x:c>
      <x:c r="S1601" s="14" t="n">
        <x:v>3</x:v>
      </x:c>
      <x:c r="T1601" s="14" t="str">
        <x:v>first time buyer,house hunting,new homeowner gift,printable planner,home buyer binder,realtor closing,budget workbook,moving planner pdf,new home download,planner mortgage pdf,planner real estate,checklist home buyer,planner home buyer</x:v>
      </x:c>
      <x:c r="U1601" s="14" t="str">
        <x:v>first time buyer</x:v>
      </x:c>
      <x:c r="V1601" s="14" t="str">
        <x:v>house hunting</x:v>
      </x:c>
      <x:c r="W1601" s="14" t="str">
        <x:v>new homeowner gift</x:v>
      </x:c>
      <x:c r="X1601" s="14" t="str">
        <x:v>printable planner</x:v>
      </x:c>
      <x:c r="Y1601" s="14" t="str">
        <x:v>home buyer binder</x:v>
      </x:c>
      <x:c r="Z1601" s="14" t="str">
        <x:v>realtor closing</x:v>
      </x:c>
      <x:c r="AA1601" s="14" t="str">
        <x:v>budget workbook</x:v>
      </x:c>
      <x:c r="AB1601" s="14" t="str">
        <x:v>moving planner pdf</x:v>
      </x:c>
      <x:c r="AC1601" s="14" t="str">
        <x:v>new home download</x:v>
      </x:c>
      <x:c r="AD1601" s="14" t="str">
        <x:v>planner mortgage pdf</x:v>
      </x:c>
      <x:c r="AE1601" s="14" t="str">
        <x:v>planner real estate</x:v>
      </x:c>
      <x:c r="AF1601" s="14" t="str">
        <x:v>checklist home buyer</x:v>
      </x:c>
      <x:c r="AG1601" s="14" t="str">
        <x:v>planner home buyer</x:v>
      </x:c>
      <x:c r="AH1601" s="14" t="str">
        <x:v>Home buying planner</x:v>
      </x:c>
      <x:c r="AI1601" s="17" t="n">
        <x:v>1</x:v>
      </x:c>
      <x:c r="AJ1601" s="14" t="str">
        <x:f>IF(F1601&gt;0,"Active","No est. sales")</x:f>
        <x:v>No est. sales</x:v>
      </x:c>
    </x:row>
  </x:sheetData>
  <x:pageMargins left="0.7" right="0.7" top="0.75" bottom="0.75" header="0.3" footer="0.3"/>
  <x:tableParts count="1">
    <x:tablePart xmlns:r="http://schemas.openxmlformats.org/officeDocument/2006/relationships" r:id="R8d893a820ced47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0" hidden="0" customWidth="1"/>
    <x:col min="3" max="3" width="30" hidden="0" customWidth="1"/>
    <x:col min="4" max="4" width="12" hidden="0" customWidth="1"/>
    <x:col min="5" max="5" width="12" hidden="0" customWidth="1"/>
    <x:col min="8" max="8" width="28" hidden="0" customWidth="1"/>
    <x:col min="9" max="9" width="12" hidden="0" customWidth="1"/>
  </x:cols>
  <x:sheetData>
    <x:row r="1">
      <x:c r="A1" s="34" t="str">
        <x:v>Segment</x:v>
      </x:c>
      <x:c r="B1" s="34" t="str">
        <x:v>Rank</x:v>
      </x:c>
      <x:c r="C1" s="34" t="str">
        <x:v>Keyword</x:v>
      </x:c>
      <x:c r="D1" s="34" t="str">
        <x:v>Count</x:v>
      </x:c>
      <x:c r="E1" s="34" t="str">
        <x:v>Share</x:v>
      </x:c>
      <x:c r="H1" s="22" t="str">
        <x:v>Segment</x:v>
      </x:c>
      <x:c r="I1" s="22" t="str">
        <x:v>Listings</x:v>
      </x:c>
    </x:row>
    <x:row r="2">
      <x:c r="A2" s="32" t="str">
        <x:v>Mortgage payoff / calculator</x:v>
      </x:c>
      <x:c r="B2" s="32" t="n">
        <x:v>1</x:v>
      </x:c>
      <x:c r="C2" s="32" t="str">
        <x:v>mortgage calculator</x:v>
      </x:c>
      <x:c r="D2" s="32" t="n">
        <x:v>71</x:v>
      </x:c>
      <x:c r="E2" s="35" t="n">
        <x:f>D2/COUNTIF('EverBee'!$AH$2:$AH$1601,A2)</x:f>
        <x:v>0.4152046783625731</x:v>
      </x:c>
      <x:c r="H2" t="str">
        <x:v>Mortgage payoff / calculator</x:v>
      </x:c>
      <x:c r="I2" t="n">
        <x:f>COUNTIF('EverBee'!$AH$2:$AH$1601,H2)</x:f>
        <x:v>171</x:v>
      </x:c>
    </x:row>
    <x:row r="3">
      <x:c r="A3" s="32" t="str">
        <x:v>Mortgage payoff / calculator</x:v>
      </x:c>
      <x:c r="B3" s="32" t="n">
        <x:v>2</x:v>
      </x:c>
      <x:c r="C3" s="32" t="str">
        <x:v>mortgage payoff</x:v>
      </x:c>
      <x:c r="D3" s="32" t="n">
        <x:v>62</x:v>
      </x:c>
      <x:c r="E3" s="35" t="n">
        <x:f>D3/COUNTIF('EverBee'!$AH$2:$AH$1601,A3)</x:f>
        <x:v>0.36257309941520466</x:v>
      </x:c>
      <x:c r="H3" t="str">
        <x:v>Home buying planner</x:v>
      </x:c>
      <x:c r="I3" t="n">
        <x:f>COUNTIF('EverBee'!$AH$2:$AH$1601,H3)</x:f>
        <x:v>250</x:v>
      </x:c>
    </x:row>
    <x:row r="4">
      <x:c r="A4" s="32" t="str">
        <x:v>Mortgage payoff / calculator</x:v>
      </x:c>
      <x:c r="B4" s="32" t="n">
        <x:v>3</x:v>
      </x:c>
      <x:c r="C4" s="32" t="str">
        <x:v>amortization</x:v>
      </x:c>
      <x:c r="D4" s="32" t="n">
        <x:v>57</x:v>
      </x:c>
      <x:c r="E4" s="35" t="n">
        <x:f>D4/COUNTIF('EverBee'!$AH$2:$AH$1601,A4)</x:f>
        <x:v>0.3333333333333333</x:v>
      </x:c>
    </x:row>
    <x:row r="5">
      <x:c r="A5" s="32" t="str">
        <x:v>Mortgage payoff / calculator</x:v>
      </x:c>
      <x:c r="B5" s="32" t="n">
        <x:v>4</x:v>
      </x:c>
      <x:c r="C5" s="32" t="str">
        <x:v>loan calculator</x:v>
      </x:c>
      <x:c r="D5" s="32" t="n">
        <x:v>55</x:v>
      </x:c>
      <x:c r="E5" s="35" t="n">
        <x:f>D5/COUNTIF('EverBee'!$AH$2:$AH$1601,A5)</x:f>
        <x:v>0.3216374269005848</x:v>
      </x:c>
    </x:row>
    <x:row r="6">
      <x:c r="A6" s="32" t="str">
        <x:v>Mortgage payoff / calculator</x:v>
      </x:c>
      <x:c r="B6" s="32" t="n">
        <x:v>5</x:v>
      </x:c>
      <x:c r="C6" s="32" t="str">
        <x:v>google sheets</x:v>
      </x:c>
      <x:c r="D6" s="32" t="n">
        <x:v>45</x:v>
      </x:c>
      <x:c r="E6" s="35" t="n">
        <x:f>D6/COUNTIF('EverBee'!$AH$2:$AH$1601,A6)</x:f>
        <x:v>0.2631578947368421</x:v>
      </x:c>
    </x:row>
    <x:row r="7">
      <x:c r="A7" s="32" t="str">
        <x:v>Mortgage payoff / calculator</x:v>
      </x:c>
      <x:c r="B7" s="32" t="n">
        <x:v>6</x:v>
      </x:c>
      <x:c r="C7" s="32" t="str">
        <x:v>mortgage tracker</x:v>
      </x:c>
      <x:c r="D7" s="32" t="n">
        <x:v>45</x:v>
      </x:c>
      <x:c r="E7" s="35" t="n">
        <x:f>D7/COUNTIF('EverBee'!$AH$2:$AH$1601,A7)</x:f>
        <x:v>0.2631578947368421</x:v>
      </x:c>
    </x:row>
    <x:row r="8">
      <x:c r="A8" s="32" t="str">
        <x:v>Mortgage payoff / calculator</x:v>
      </x:c>
      <x:c r="B8" s="32" t="n">
        <x:v>7</x:v>
      </x:c>
      <x:c r="C8" s="32" t="str">
        <x:v>mortgage planner</x:v>
      </x:c>
      <x:c r="D8" s="32" t="n">
        <x:v>41</x:v>
      </x:c>
      <x:c r="E8" s="35" t="n">
        <x:f>D8/COUNTIF('EverBee'!$AH$2:$AH$1601,A8)</x:f>
        <x:v>0.23976608187134502</x:v>
      </x:c>
    </x:row>
    <x:row r="9">
      <x:c r="A9" s="32" t="str">
        <x:v>Mortgage payoff / calculator</x:v>
      </x:c>
      <x:c r="B9" s="32" t="n">
        <x:v>8</x:v>
      </x:c>
      <x:c r="C9" s="32" t="str">
        <x:v>debt payoff</x:v>
      </x:c>
      <x:c r="D9" s="32" t="n">
        <x:v>30</x:v>
      </x:c>
      <x:c r="E9" s="35" t="n">
        <x:f>D9/COUNTIF('EverBee'!$AH$2:$AH$1601,A9)</x:f>
        <x:v>0.17543859649122806</x:v>
      </x:c>
    </x:row>
    <x:row r="10">
      <x:c r="A10" s="32" t="str">
        <x:v>Mortgage payoff / calculator</x:v>
      </x:c>
      <x:c r="B10" s="32" t="n">
        <x:v>9</x:v>
      </x:c>
      <x:c r="C10" s="32" t="str">
        <x:v>home loan tracker</x:v>
      </x:c>
      <x:c r="D10" s="32" t="n">
        <x:v>28</x:v>
      </x:c>
      <x:c r="E10" s="35" t="n">
        <x:f>D10/COUNTIF('EverBee'!$AH$2:$AH$1601,A10)</x:f>
        <x:v>0.16374269005847952</x:v>
      </x:c>
    </x:row>
    <x:row r="11">
      <x:c r="A11" s="32" t="str">
        <x:v>Mortgage payoff / calculator</x:v>
      </x:c>
      <x:c r="B11" s="32" t="n">
        <x:v>10</x:v>
      </x:c>
      <x:c r="C11" s="32" t="str">
        <x:v>budget planner</x:v>
      </x:c>
      <x:c r="D11" s="32" t="n">
        <x:v>27</x:v>
      </x:c>
      <x:c r="E11" s="35" t="n">
        <x:f>D11/COUNTIF('EverBee'!$AH$2:$AH$1601,A11)</x:f>
        <x:v>0.15789473684210525</x:v>
      </x:c>
    </x:row>
    <x:row r="12">
      <x:c r="A12" s="32" t="str">
        <x:v>Mortgage payoff / calculator</x:v>
      </x:c>
      <x:c r="B12" s="32" t="n">
        <x:v>11</x:v>
      </x:c>
      <x:c r="C12" s="32" t="str">
        <x:v>debt tracker</x:v>
      </x:c>
      <x:c r="D12" s="32" t="n">
        <x:v>26</x:v>
      </x:c>
      <x:c r="E12" s="35" t="n">
        <x:f>D12/COUNTIF('EverBee'!$AH$2:$AH$1601,A12)</x:f>
        <x:v>0.15204678362573099</x:v>
      </x:c>
    </x:row>
    <x:row r="13">
      <x:c r="A13" s="32" t="str">
        <x:v>Mortgage payoff / calculator</x:v>
      </x:c>
      <x:c r="B13" s="32" t="n">
        <x:v>12</x:v>
      </x:c>
      <x:c r="C13" s="32" t="str">
        <x:v>financial planner</x:v>
      </x:c>
      <x:c r="D13" s="32" t="n">
        <x:v>25</x:v>
      </x:c>
      <x:c r="E13" s="35" t="n">
        <x:f>D13/COUNTIF('EverBee'!$AH$2:$AH$1601,A13)</x:f>
        <x:v>0.14619883040935672</x:v>
      </x:c>
    </x:row>
    <x:row r="14">
      <x:c r="A14" s="32" t="str">
        <x:v>Mortgage payoff / calculator</x:v>
      </x:c>
      <x:c r="B14" s="32" t="n">
        <x:v>13</x:v>
      </x:c>
      <x:c r="C14" s="32" t="str">
        <x:v>loan tracker</x:v>
      </x:c>
      <x:c r="D14" s="32" t="n">
        <x:v>25</x:v>
      </x:c>
      <x:c r="E14" s="35" t="n">
        <x:f>D14/COUNTIF('EverBee'!$AH$2:$AH$1601,A14)</x:f>
        <x:v>0.14619883040935672</x:v>
      </x:c>
    </x:row>
    <x:row r="15">
      <x:c r="A15" s="32" t="str">
        <x:v>Mortgage payoff / calculator</x:v>
      </x:c>
      <x:c r="B15" s="32" t="n">
        <x:v>14</x:v>
      </x:c>
      <x:c r="C15" s="32" t="str">
        <x:v>finance planner</x:v>
      </x:c>
      <x:c r="D15" s="32" t="n">
        <x:v>23</x:v>
      </x:c>
      <x:c r="E15" s="35" t="n">
        <x:f>D15/COUNTIF('EverBee'!$AH$2:$AH$1601,A15)</x:f>
        <x:v>0.13450292397660818</x:v>
      </x:c>
    </x:row>
    <x:row r="16">
      <x:c r="A16" s="32" t="str">
        <x:v>Mortgage payoff / calculator</x:v>
      </x:c>
      <x:c r="B16" s="32" t="n">
        <x:v>15</x:v>
      </x:c>
      <x:c r="C16" s="32" t="str">
        <x:v>mortgage spreadsheet</x:v>
      </x:c>
      <x:c r="D16" s="32" t="n">
        <x:v>23</x:v>
      </x:c>
      <x:c r="E16" s="35" t="n">
        <x:f>D16/COUNTIF('EverBee'!$AH$2:$AH$1601,A16)</x:f>
        <x:v>0.13450292397660818</x:v>
      </x:c>
    </x:row>
    <x:row r="17">
      <x:c r="A17" s="32" t="str">
        <x:v>Mortgage payoff / calculator</x:v>
      </x:c>
      <x:c r="B17" s="32" t="n">
        <x:v>16</x:v>
      </x:c>
      <x:c r="C17" s="32" t="str">
        <x:v>excel template</x:v>
      </x:c>
      <x:c r="D17" s="32" t="n">
        <x:v>22</x:v>
      </x:c>
      <x:c r="E17" s="35" t="n">
        <x:f>D17/COUNTIF('EverBee'!$AH$2:$AH$1601,A17)</x:f>
        <x:v>0.1286549707602339</x:v>
      </x:c>
    </x:row>
    <x:row r="18">
      <x:c r="A18" s="32" t="str">
        <x:v>Mortgage payoff / calculator</x:v>
      </x:c>
      <x:c r="B18" s="32" t="n">
        <x:v>17</x:v>
      </x:c>
      <x:c r="C18" s="32" t="str">
        <x:v>mortgage sheet</x:v>
      </x:c>
      <x:c r="D18" s="32" t="n">
        <x:v>22</x:v>
      </x:c>
      <x:c r="E18" s="35" t="n">
        <x:f>D18/COUNTIF('EverBee'!$AH$2:$AH$1601,A18)</x:f>
        <x:v>0.1286549707602339</x:v>
      </x:c>
    </x:row>
    <x:row r="19">
      <x:c r="A19" s="32" t="str">
        <x:v>Mortgage payoff / calculator</x:v>
      </x:c>
      <x:c r="B19" s="32" t="n">
        <x:v>18</x:v>
      </x:c>
      <x:c r="C19" s="32" t="str">
        <x:v>loan planner</x:v>
      </x:c>
      <x:c r="D19" s="32" t="n">
        <x:v>21</x:v>
      </x:c>
      <x:c r="E19" s="35" t="n">
        <x:f>D19/COUNTIF('EverBee'!$AH$2:$AH$1601,A19)</x:f>
        <x:v>0.12280701754385964</x:v>
      </x:c>
    </x:row>
    <x:row r="20">
      <x:c r="A20" s="32" t="str">
        <x:v>Mortgage payoff / calculator</x:v>
      </x:c>
      <x:c r="B20" s="32" t="n">
        <x:v>19</x:v>
      </x:c>
      <x:c r="C20" s="32" t="str">
        <x:v>excel mortgage</x:v>
      </x:c>
      <x:c r="D20" s="32" t="n">
        <x:v>19</x:v>
      </x:c>
      <x:c r="E20" s="35" t="n">
        <x:f>D20/COUNTIF('EverBee'!$AH$2:$AH$1601,A20)</x:f>
        <x:v>0.1111111111111111</x:v>
      </x:c>
    </x:row>
    <x:row r="21">
      <x:c r="A21" s="32" t="str">
        <x:v>Mortgage payoff / calculator</x:v>
      </x:c>
      <x:c r="B21" s="32" t="n">
        <x:v>20</x:v>
      </x:c>
      <x:c r="C21" s="32" t="str">
        <x:v>loan amortization</x:v>
      </x:c>
      <x:c r="D21" s="32" t="n">
        <x:v>19</x:v>
      </x:c>
      <x:c r="E21" s="35" t="n">
        <x:f>D21/COUNTIF('EverBee'!$AH$2:$AH$1601,A21)</x:f>
        <x:v>0.1111111111111111</x:v>
      </x:c>
    </x:row>
    <x:row r="22">
      <x:c r="A22" s="32" t="str">
        <x:v>Mortgage payoff / calculator</x:v>
      </x:c>
      <x:c r="B22" s="32" t="n">
        <x:v>21</x:v>
      </x:c>
      <x:c r="C22" s="32" t="str">
        <x:v>home loan</x:v>
      </x:c>
      <x:c r="D22" s="32" t="n">
        <x:v>18</x:v>
      </x:c>
      <x:c r="E22" s="35" t="n">
        <x:f>D22/COUNTIF('EverBee'!$AH$2:$AH$1601,A22)</x:f>
        <x:v>0.10526315789473684</x:v>
      </x:c>
    </x:row>
    <x:row r="23">
      <x:c r="A23" s="32" t="str">
        <x:v>Mortgage payoff / calculator</x:v>
      </x:c>
      <x:c r="B23" s="32" t="n">
        <x:v>22</x:v>
      </x:c>
      <x:c r="C23" s="32" t="str">
        <x:v>payment tracker</x:v>
      </x:c>
      <x:c r="D23" s="32" t="n">
        <x:v>17</x:v>
      </x:c>
      <x:c r="E23" s="35" t="n">
        <x:f>D23/COUNTIF('EverBee'!$AH$2:$AH$1601,A23)</x:f>
        <x:v>0.09941520467836257</x:v>
      </x:c>
    </x:row>
    <x:row r="24">
      <x:c r="A24" s="32" t="str">
        <x:v>Mortgage payoff / calculator</x:v>
      </x:c>
      <x:c r="B24" s="32" t="n">
        <x:v>23</x:v>
      </x:c>
      <x:c r="C24" s="32" t="str">
        <x:v>interest tracker</x:v>
      </x:c>
      <x:c r="D24" s="32" t="n">
        <x:v>16</x:v>
      </x:c>
      <x:c r="E24" s="35" t="n">
        <x:f>D24/COUNTIF('EverBee'!$AH$2:$AH$1601,A24)</x:f>
        <x:v>0.0935672514619883</x:v>
      </x:c>
    </x:row>
    <x:row r="25">
      <x:c r="A25" s="32" t="str">
        <x:v>Mortgage payoff / calculator</x:v>
      </x:c>
      <x:c r="B25" s="32" t="n">
        <x:v>24</x:v>
      </x:c>
      <x:c r="C25" s="32" t="str">
        <x:v>loan schedule</x:v>
      </x:c>
      <x:c r="D25" s="32" t="n">
        <x:v>16</x:v>
      </x:c>
      <x:c r="E25" s="35" t="n">
        <x:f>D25/COUNTIF('EverBee'!$AH$2:$AH$1601,A25)</x:f>
        <x:v>0.0935672514619883</x:v>
      </x:c>
    </x:row>
    <x:row r="26">
      <x:c r="A26" s="32" t="str">
        <x:v>Mortgage payoff / calculator</x:v>
      </x:c>
      <x:c r="B26" s="32" t="n">
        <x:v>25</x:v>
      </x:c>
      <x:c r="C26" s="32" t="str">
        <x:v>digital download</x:v>
      </x:c>
      <x:c r="D26" s="32" t="n">
        <x:v>15</x:v>
      </x:c>
      <x:c r="E26" s="35" t="n">
        <x:f>D26/COUNTIF('EverBee'!$AH$2:$AH$1601,A26)</x:f>
        <x:v>0.08771929824561403</x:v>
      </x:c>
    </x:row>
    <x:row r="27">
      <x:c r="A27" s="32" t="str">
        <x:v>Mortgage payoff / calculator</x:v>
      </x:c>
      <x:c r="B27" s="32" t="n">
        <x:v>26</x:v>
      </x:c>
      <x:c r="C27" s="32" t="str">
        <x:v>debt payoff tracker</x:v>
      </x:c>
      <x:c r="D27" s="32" t="n">
        <x:v>14</x:v>
      </x:c>
      <x:c r="E27" s="35" t="n">
        <x:f>D27/COUNTIF('EverBee'!$AH$2:$AH$1601,A27)</x:f>
        <x:v>0.08187134502923976</x:v>
      </x:c>
    </x:row>
    <x:row r="28">
      <x:c r="A28" s="32" t="str">
        <x:v>Mortgage payoff / calculator</x:v>
      </x:c>
      <x:c r="B28" s="32" t="n">
        <x:v>27</x:v>
      </x:c>
      <x:c r="C28" s="32" t="str">
        <x:v>finance tracker</x:v>
      </x:c>
      <x:c r="D28" s="32" t="n">
        <x:v>14</x:v>
      </x:c>
      <x:c r="E28" s="35" t="n">
        <x:f>D28/COUNTIF('EverBee'!$AH$2:$AH$1601,A28)</x:f>
        <x:v>0.08187134502923976</x:v>
      </x:c>
    </x:row>
    <x:row r="29">
      <x:c r="A29" s="32" t="str">
        <x:v>Mortgage payoff / calculator</x:v>
      </x:c>
      <x:c r="B29" s="32" t="n">
        <x:v>28</x:v>
      </x:c>
      <x:c r="C29" s="32" t="str">
        <x:v>loan payoff tracker</x:v>
      </x:c>
      <x:c r="D29" s="32" t="n">
        <x:v>14</x:v>
      </x:c>
      <x:c r="E29" s="35" t="n">
        <x:f>D29/COUNTIF('EverBee'!$AH$2:$AH$1601,A29)</x:f>
        <x:v>0.08187134502923976</x:v>
      </x:c>
    </x:row>
    <x:row r="30">
      <x:c r="A30" s="32" t="str">
        <x:v>Mortgage payoff / calculator</x:v>
      </x:c>
      <x:c r="B30" s="32" t="n">
        <x:v>29</x:v>
      </x:c>
      <x:c r="C30" s="32" t="str">
        <x:v>mortgage</x:v>
      </x:c>
      <x:c r="D30" s="32" t="n">
        <x:v>14</x:v>
      </x:c>
      <x:c r="E30" s="35" t="n">
        <x:f>D30/COUNTIF('EverBee'!$AH$2:$AH$1601,A30)</x:f>
        <x:v>0.08187134502923976</x:v>
      </x:c>
    </x:row>
    <x:row r="31">
      <x:c r="A31" s="32" t="str">
        <x:v>Mortgage payoff / calculator</x:v>
      </x:c>
      <x:c r="B31" s="32" t="n">
        <x:v>30</x:v>
      </x:c>
      <x:c r="C31" s="32" t="str">
        <x:v>extra payment calc</x:v>
      </x:c>
      <x:c r="D31" s="32" t="n">
        <x:v>13</x:v>
      </x:c>
      <x:c r="E31" s="35" t="n">
        <x:f>D31/COUNTIF('EverBee'!$AH$2:$AH$1601,A31)</x:f>
        <x:v>0.07602339181286549</x:v>
      </x:c>
    </x:row>
    <x:row r="32">
      <x:c r="A32" s="32" t="str">
        <x:v>Mortgage payoff / calculator</x:v>
      </x:c>
      <x:c r="B32" s="32" t="n">
        <x:v>31</x:v>
      </x:c>
      <x:c r="C32" s="32" t="str">
        <x:v>mortgage payment</x:v>
      </x:c>
      <x:c r="D32" s="32" t="n">
        <x:v>13</x:v>
      </x:c>
      <x:c r="E32" s="35" t="n">
        <x:f>D32/COUNTIF('EverBee'!$AH$2:$AH$1601,A32)</x:f>
        <x:v>0.07602339181286549</x:v>
      </x:c>
    </x:row>
    <x:row r="33">
      <x:c r="A33" s="32" t="str">
        <x:v>Mortgage payoff / calculator</x:v>
      </x:c>
      <x:c r="B33" s="32" t="n">
        <x:v>32</x:v>
      </x:c>
      <x:c r="C33" s="32" t="str">
        <x:v>personal finance</x:v>
      </x:c>
      <x:c r="D33" s="32" t="n">
        <x:v>13</x:v>
      </x:c>
      <x:c r="E33" s="35" t="n">
        <x:f>D33/COUNTIF('EverBee'!$AH$2:$AH$1601,A33)</x:f>
        <x:v>0.07602339181286549</x:v>
      </x:c>
    </x:row>
    <x:row r="34">
      <x:c r="A34" s="32" t="str">
        <x:v>Mortgage payoff / calculator</x:v>
      </x:c>
      <x:c r="B34" s="32" t="n">
        <x:v>33</x:v>
      </x:c>
      <x:c r="C34" s="32" t="str">
        <x:v>amortization sheet</x:v>
      </x:c>
      <x:c r="D34" s="32" t="n">
        <x:v>12</x:v>
      </x:c>
      <x:c r="E34" s="35" t="n">
        <x:f>D34/COUNTIF('EverBee'!$AH$2:$AH$1601,A34)</x:f>
        <x:v>0.07017543859649122</x:v>
      </x:c>
    </x:row>
    <x:row r="35">
      <x:c r="A35" s="32" t="str">
        <x:v>Mortgage payoff / calculator</x:v>
      </x:c>
      <x:c r="B35" s="32" t="n">
        <x:v>34</x:v>
      </x:c>
      <x:c r="C35" s="32" t="str">
        <x:v>excel spreadsheet</x:v>
      </x:c>
      <x:c r="D35" s="32" t="n">
        <x:v>12</x:v>
      </x:c>
      <x:c r="E35" s="35" t="n">
        <x:f>D35/COUNTIF('EverBee'!$AH$2:$AH$1601,A35)</x:f>
        <x:v>0.07017543859649122</x:v>
      </x:c>
    </x:row>
    <x:row r="36">
      <x:c r="A36" s="32" t="str">
        <x:v>Mortgage payoff / calculator</x:v>
      </x:c>
      <x:c r="B36" s="32" t="n">
        <x:v>35</x:v>
      </x:c>
      <x:c r="C36" s="32" t="str">
        <x:v>finance sheet</x:v>
      </x:c>
      <x:c r="D36" s="32" t="n">
        <x:v>12</x:v>
      </x:c>
      <x:c r="E36" s="35" t="n">
        <x:f>D36/COUNTIF('EverBee'!$AH$2:$AH$1601,A36)</x:f>
        <x:v>0.07017543859649122</x:v>
      </x:c>
    </x:row>
    <x:row r="37">
      <x:c r="A37" s="32" t="str">
        <x:v>Mortgage payoff / calculator</x:v>
      </x:c>
      <x:c r="B37" s="32" t="n">
        <x:v>36</x:v>
      </x:c>
      <x:c r="C37" s="32" t="str">
        <x:v>excel finance</x:v>
      </x:c>
      <x:c r="D37" s="32" t="n">
        <x:v>11</x:v>
      </x:c>
      <x:c r="E37" s="35" t="n">
        <x:f>D37/COUNTIF('EverBee'!$AH$2:$AH$1601,A37)</x:f>
        <x:v>0.06432748538011696</x:v>
      </x:c>
    </x:row>
    <x:row r="38">
      <x:c r="A38" s="32" t="str">
        <x:v>Mortgage payoff / calculator</x:v>
      </x:c>
      <x:c r="B38" s="32" t="n">
        <x:v>37</x:v>
      </x:c>
      <x:c r="C38" s="32" t="str">
        <x:v>extra payment</x:v>
      </x:c>
      <x:c r="D38" s="32" t="n">
        <x:v>11</x:v>
      </x:c>
      <x:c r="E38" s="35" t="n">
        <x:f>D38/COUNTIF('EverBee'!$AH$2:$AH$1601,A38)</x:f>
        <x:v>0.06432748538011696</x:v>
      </x:c>
    </x:row>
    <x:row r="39">
      <x:c r="A39" s="32" t="str">
        <x:v>Mortgage payoff / calculator</x:v>
      </x:c>
      <x:c r="B39" s="32" t="n">
        <x:v>38</x:v>
      </x:c>
      <x:c r="C39" s="32" t="str">
        <x:v>extra payments</x:v>
      </x:c>
      <x:c r="D39" s="32" t="n">
        <x:v>11</x:v>
      </x:c>
      <x:c r="E39" s="35" t="n">
        <x:f>D39/COUNTIF('EverBee'!$AH$2:$AH$1601,A39)</x:f>
        <x:v>0.06432748538011696</x:v>
      </x:c>
    </x:row>
    <x:row r="40">
      <x:c r="A40" s="32" t="str">
        <x:v>Mortgage payoff / calculator</x:v>
      </x:c>
      <x:c r="B40" s="32" t="n">
        <x:v>39</x:v>
      </x:c>
      <x:c r="C40" s="32" t="str">
        <x:v>interest calculator</x:v>
      </x:c>
      <x:c r="D40" s="32" t="n">
        <x:v>11</x:v>
      </x:c>
      <x:c r="E40" s="35" t="n">
        <x:f>D40/COUNTIF('EverBee'!$AH$2:$AH$1601,A40)</x:f>
        <x:v>0.06432748538011696</x:v>
      </x:c>
    </x:row>
    <x:row r="41">
      <x:c r="A41" s="32" t="str">
        <x:v>Mortgage payoff / calculator</x:v>
      </x:c>
      <x:c r="B41" s="32" t="n">
        <x:v>40</x:v>
      </x:c>
      <x:c r="C41" s="32" t="str">
        <x:v>loan payoff</x:v>
      </x:c>
      <x:c r="D41" s="32" t="n">
        <x:v>11</x:v>
      </x:c>
      <x:c r="E41" s="35" t="n">
        <x:f>D41/COUNTIF('EverBee'!$AH$2:$AH$1601,A41)</x:f>
        <x:v>0.06432748538011696</x:v>
      </x:c>
    </x:row>
    <x:row r="42">
      <x:c r="A42" s="32" t="str">
        <x:v>Home buying planner</x:v>
      </x:c>
      <x:c r="B42" s="32" t="n">
        <x:v>1</x:v>
      </x:c>
      <x:c r="C42" s="32" t="str">
        <x:v>home buying planner</x:v>
      </x:c>
      <x:c r="D42" s="32" t="n">
        <x:v>98</x:v>
      </x:c>
      <x:c r="E42" s="35" t="n">
        <x:f>D42/COUNTIF('EverBee'!$AH$2:$AH$1601,A42)</x:f>
        <x:v>0.392</x:v>
      </x:c>
    </x:row>
    <x:row r="43">
      <x:c r="A43" s="32" t="str">
        <x:v>Home buying planner</x:v>
      </x:c>
      <x:c r="B43" s="32" t="n">
        <x:v>2</x:v>
      </x:c>
      <x:c r="C43" s="32" t="str">
        <x:v>first time buyer</x:v>
      </x:c>
      <x:c r="D43" s="32" t="n">
        <x:v>78</x:v>
      </x:c>
      <x:c r="E43" s="35" t="n">
        <x:f>D43/COUNTIF('EverBee'!$AH$2:$AH$1601,A43)</x:f>
        <x:v>0.312</x:v>
      </x:c>
    </x:row>
    <x:row r="44">
      <x:c r="A44" s="32" t="str">
        <x:v>Home buying planner</x:v>
      </x:c>
      <x:c r="B44" s="32" t="n">
        <x:v>3</x:v>
      </x:c>
      <x:c r="C44" s="32" t="str">
        <x:v>house hunting</x:v>
      </x:c>
      <x:c r="D44" s="32" t="n">
        <x:v>72</x:v>
      </x:c>
      <x:c r="E44" s="35" t="n">
        <x:f>D44/COUNTIF('EverBee'!$AH$2:$AH$1601,A44)</x:f>
        <x:v>0.288</x:v>
      </x:c>
    </x:row>
    <x:row r="45">
      <x:c r="A45" s="32" t="str">
        <x:v>Home buying planner</x:v>
      </x:c>
      <x:c r="B45" s="32" t="n">
        <x:v>4</x:v>
      </x:c>
      <x:c r="C45" s="32" t="str">
        <x:v>mortgage planner</x:v>
      </x:c>
      <x:c r="D45" s="32" t="n">
        <x:v>66</x:v>
      </x:c>
      <x:c r="E45" s="35" t="n">
        <x:f>D45/COUNTIF('EverBee'!$AH$2:$AH$1601,A45)</x:f>
        <x:v>0.264</x:v>
      </x:c>
    </x:row>
    <x:row r="46">
      <x:c r="A46" s="32" t="str">
        <x:v>Home buying planner</x:v>
      </x:c>
      <x:c r="B46" s="32" t="n">
        <x:v>5</x:v>
      </x:c>
      <x:c r="C46" s="32" t="str">
        <x:v>mortgage calculator</x:v>
      </x:c>
      <x:c r="D46" s="32" t="n">
        <x:v>64</x:v>
      </x:c>
      <x:c r="E46" s="35" t="n">
        <x:f>D46/COUNTIF('EverBee'!$AH$2:$AH$1601,A46)</x:f>
        <x:v>0.256</x:v>
      </x:c>
    </x:row>
    <x:row r="47">
      <x:c r="A47" s="32" t="str">
        <x:v>Home buying planner</x:v>
      </x:c>
      <x:c r="B47" s="32" t="n">
        <x:v>6</x:v>
      </x:c>
      <x:c r="C47" s="32" t="str">
        <x:v>real estate planner</x:v>
      </x:c>
      <x:c r="D47" s="32" t="n">
        <x:v>52</x:v>
      </x:c>
      <x:c r="E47" s="35" t="n">
        <x:f>D47/COUNTIF('EverBee'!$AH$2:$AH$1601,A47)</x:f>
        <x:v>0.208</x:v>
      </x:c>
    </x:row>
    <x:row r="48">
      <x:c r="A48" s="32" t="str">
        <x:v>Home buying planner</x:v>
      </x:c>
      <x:c r="B48" s="32" t="n">
        <x:v>7</x:v>
      </x:c>
      <x:c r="C48" s="32" t="str">
        <x:v>first home buyer</x:v>
      </x:c>
      <x:c r="D48" s="32" t="n">
        <x:v>48</x:v>
      </x:c>
      <x:c r="E48" s="35" t="n">
        <x:f>D48/COUNTIF('EverBee'!$AH$2:$AH$1601,A48)</x:f>
        <x:v>0.192</x:v>
      </x:c>
    </x:row>
    <x:row r="49">
      <x:c r="A49" s="32" t="str">
        <x:v>Home buying planner</x:v>
      </x:c>
      <x:c r="B49" s="32" t="n">
        <x:v>8</x:v>
      </x:c>
      <x:c r="C49" s="32" t="str">
        <x:v>home buying guide</x:v>
      </x:c>
      <x:c r="D49" s="32" t="n">
        <x:v>44</x:v>
      </x:c>
      <x:c r="E49" s="35" t="n">
        <x:f>D49/COUNTIF('EverBee'!$AH$2:$AH$1601,A49)</x:f>
        <x:v>0.176</x:v>
      </x:c>
    </x:row>
    <x:row r="50">
      <x:c r="A50" s="32" t="str">
        <x:v>Home buying planner</x:v>
      </x:c>
      <x:c r="B50" s="32" t="n">
        <x:v>9</x:v>
      </x:c>
      <x:c r="C50" s="32" t="str">
        <x:v>printable planner</x:v>
      </x:c>
      <x:c r="D50" s="32" t="n">
        <x:v>43</x:v>
      </x:c>
      <x:c r="E50" s="35" t="n">
        <x:f>D50/COUNTIF('EverBee'!$AH$2:$AH$1601,A50)</x:f>
        <x:v>0.172</x:v>
      </x:c>
    </x:row>
    <x:row r="51">
      <x:c r="A51" s="32" t="str">
        <x:v>Home buying planner</x:v>
      </x:c>
      <x:c r="B51" s="32" t="n">
        <x:v>10</x:v>
      </x:c>
      <x:c r="C51" s="32" t="str">
        <x:v>home buyer planner</x:v>
      </x:c>
      <x:c r="D51" s="32" t="n">
        <x:v>42</x:v>
      </x:c>
      <x:c r="E51" s="35" t="n">
        <x:f>D51/COUNTIF('EverBee'!$AH$2:$AH$1601,A51)</x:f>
        <x:v>0.168</x:v>
      </x:c>
    </x:row>
    <x:row r="52">
      <x:c r="A52" s="32" t="str">
        <x:v>Home buying planner</x:v>
      </x:c>
      <x:c r="B52" s="32" t="n">
        <x:v>11</x:v>
      </x:c>
      <x:c r="C52" s="32" t="str">
        <x:v>home buying</x:v>
      </x:c>
      <x:c r="D52" s="32" t="n">
        <x:v>38</x:v>
      </x:c>
      <x:c r="E52" s="35" t="n">
        <x:f>D52/COUNTIF('EverBee'!$AH$2:$AH$1601,A52)</x:f>
        <x:v>0.152</x:v>
      </x:c>
    </x:row>
    <x:row r="53">
      <x:c r="A53" s="32" t="str">
        <x:v>Home buying planner</x:v>
      </x:c>
      <x:c r="B53" s="32" t="n">
        <x:v>12</x:v>
      </x:c>
      <x:c r="C53" s="32" t="str">
        <x:v>first time homebuyer</x:v>
      </x:c>
      <x:c r="D53" s="32" t="n">
        <x:v>36</x:v>
      </x:c>
      <x:c r="E53" s="35" t="n">
        <x:f>D53/COUNTIF('EverBee'!$AH$2:$AH$1601,A53)</x:f>
        <x:v>0.144</x:v>
      </x:c>
    </x:row>
    <x:row r="54">
      <x:c r="A54" s="32" t="str">
        <x:v>Home buying planner</x:v>
      </x:c>
      <x:c r="B54" s="32" t="n">
        <x:v>13</x:v>
      </x:c>
      <x:c r="C54" s="32" t="str">
        <x:v>mortgage tracker</x:v>
      </x:c>
      <x:c r="D54" s="32" t="n">
        <x:v>35</x:v>
      </x:c>
      <x:c r="E54" s="35" t="n">
        <x:f>D54/COUNTIF('EverBee'!$AH$2:$AH$1601,A54)</x:f>
        <x:v>0.14</x:v>
      </x:c>
    </x:row>
    <x:row r="55">
      <x:c r="A55" s="32" t="str">
        <x:v>Home buying planner</x:v>
      </x:c>
      <x:c r="B55" s="32" t="n">
        <x:v>14</x:v>
      </x:c>
      <x:c r="C55" s="32" t="str">
        <x:v>mortgage checklist</x:v>
      </x:c>
      <x:c r="D55" s="32" t="n">
        <x:v>33</x:v>
      </x:c>
      <x:c r="E55" s="35" t="n">
        <x:f>D55/COUNTIF('EverBee'!$AH$2:$AH$1601,A55)</x:f>
        <x:v>0.132</x:v>
      </x:c>
    </x:row>
    <x:row r="56">
      <x:c r="A56" s="32" t="str">
        <x:v>Home buying planner</x:v>
      </x:c>
      <x:c r="B56" s="32" t="n">
        <x:v>15</x:v>
      </x:c>
      <x:c r="C56" s="32" t="str">
        <x:v>moving checklist</x:v>
      </x:c>
      <x:c r="D56" s="32" t="n">
        <x:v>31</x:v>
      </x:c>
      <x:c r="E56" s="35" t="n">
        <x:f>D56/COUNTIF('EverBee'!$AH$2:$AH$1601,A56)</x:f>
        <x:v>0.124</x:v>
      </x:c>
    </x:row>
    <x:row r="57">
      <x:c r="A57" s="32" t="str">
        <x:v>Home buying planner</x:v>
      </x:c>
      <x:c r="B57" s="32" t="n">
        <x:v>16</x:v>
      </x:c>
      <x:c r="C57" s="32" t="str">
        <x:v>closing checklist</x:v>
      </x:c>
      <x:c r="D57" s="32" t="n">
        <x:v>29</x:v>
      </x:c>
      <x:c r="E57" s="35" t="n">
        <x:f>D57/COUNTIF('EverBee'!$AH$2:$AH$1601,A57)</x:f>
        <x:v>0.116</x:v>
      </x:c>
    </x:row>
    <x:row r="58">
      <x:c r="A58" s="32" t="str">
        <x:v>Home buying planner</x:v>
      </x:c>
      <x:c r="B58" s="32" t="n">
        <x:v>17</x:v>
      </x:c>
      <x:c r="C58" s="32" t="str">
        <x:v>home buyer checklist</x:v>
      </x:c>
      <x:c r="D58" s="32" t="n">
        <x:v>27</x:v>
      </x:c>
      <x:c r="E58" s="35" t="n">
        <x:f>D58/COUNTIF('EverBee'!$AH$2:$AH$1601,A58)</x:f>
        <x:v>0.108</x:v>
      </x:c>
    </x:row>
    <x:row r="59">
      <x:c r="A59" s="32" t="str">
        <x:v>Home buying planner</x:v>
      </x:c>
      <x:c r="B59" s="32" t="n">
        <x:v>18</x:v>
      </x:c>
      <x:c r="C59" s="32" t="str">
        <x:v>budget planner</x:v>
      </x:c>
      <x:c r="D59" s="32" t="n">
        <x:v>26</x:v>
      </x:c>
      <x:c r="E59" s="35" t="n">
        <x:f>D59/COUNTIF('EverBee'!$AH$2:$AH$1601,A59)</x:f>
        <x:v>0.104</x:v>
      </x:c>
    </x:row>
    <x:row r="60">
      <x:c r="A60" s="32" t="str">
        <x:v>Home buying planner</x:v>
      </x:c>
      <x:c r="B60" s="32" t="n">
        <x:v>19</x:v>
      </x:c>
      <x:c r="C60" s="32" t="str">
        <x:v>moving planner</x:v>
      </x:c>
      <x:c r="D60" s="32" t="n">
        <x:v>26</x:v>
      </x:c>
      <x:c r="E60" s="35" t="n">
        <x:f>D60/COUNTIF('EverBee'!$AH$2:$AH$1601,A60)</x:f>
        <x:v>0.104</x:v>
      </x:c>
    </x:row>
    <x:row r="61">
      <x:c r="A61" s="32" t="str">
        <x:v>Home buying planner</x:v>
      </x:c>
      <x:c r="B61" s="32" t="n">
        <x:v>20</x:v>
      </x:c>
      <x:c r="C61" s="32" t="str">
        <x:v>home affordability</x:v>
      </x:c>
      <x:c r="D61" s="32" t="n">
        <x:v>25</x:v>
      </x:c>
      <x:c r="E61" s="35" t="n">
        <x:f>D61/COUNTIF('EverBee'!$AH$2:$AH$1601,A61)</x:f>
        <x:v>0.1</x:v>
      </x:c>
    </x:row>
    <x:row r="62">
      <x:c r="A62" s="32" t="str">
        <x:v>Home buying planner</x:v>
      </x:c>
      <x:c r="B62" s="32" t="n">
        <x:v>21</x:v>
      </x:c>
      <x:c r="C62" s="32" t="str">
        <x:v>home checklist</x:v>
      </x:c>
      <x:c r="D62" s="32" t="n">
        <x:v>24</x:v>
      </x:c>
      <x:c r="E62" s="35" t="n">
        <x:f>D62/COUNTIF('EverBee'!$AH$2:$AH$1601,A62)</x:f>
        <x:v>0.096</x:v>
      </x:c>
    </x:row>
    <x:row r="63">
      <x:c r="A63" s="32" t="str">
        <x:v>Home buying planner</x:v>
      </x:c>
      <x:c r="B63" s="32" t="n">
        <x:v>22</x:v>
      </x:c>
      <x:c r="C63" s="32" t="str">
        <x:v>digital download</x:v>
      </x:c>
      <x:c r="D63" s="32" t="n">
        <x:v>22</x:v>
      </x:c>
      <x:c r="E63" s="35" t="n">
        <x:f>D63/COUNTIF('EverBee'!$AH$2:$AH$1601,A63)</x:f>
        <x:v>0.088</x:v>
      </x:c>
    </x:row>
    <x:row r="64">
      <x:c r="A64" s="32" t="str">
        <x:v>Home buying planner</x:v>
      </x:c>
      <x:c r="B64" s="32" t="n">
        <x:v>23</x:v>
      </x:c>
      <x:c r="C64" s="32" t="str">
        <x:v>buyer checklist</x:v>
      </x:c>
      <x:c r="D64" s="32" t="n">
        <x:v>20</x:v>
      </x:c>
      <x:c r="E64" s="35" t="n">
        <x:f>D64/COUNTIF('EverBee'!$AH$2:$AH$1601,A64)</x:f>
        <x:v>0.08</x:v>
      </x:c>
    </x:row>
    <x:row r="65">
      <x:c r="A65" s="32" t="str">
        <x:v>Home buying planner</x:v>
      </x:c>
      <x:c r="B65" s="32" t="n">
        <x:v>24</x:v>
      </x:c>
      <x:c r="C65" s="32" t="str">
        <x:v>real estate</x:v>
      </x:c>
      <x:c r="D65" s="32" t="n">
        <x:v>20</x:v>
      </x:c>
      <x:c r="E65" s="35" t="n">
        <x:f>D65/COUNTIF('EverBee'!$AH$2:$AH$1601,A65)</x:f>
        <x:v>0.08</x:v>
      </x:c>
    </x:row>
    <x:row r="66">
      <x:c r="A66" s="32" t="str">
        <x:v>Home buying planner</x:v>
      </x:c>
      <x:c r="B66" s="32" t="n">
        <x:v>25</x:v>
      </x:c>
      <x:c r="C66" s="32" t="str">
        <x:v>closing costs</x:v>
      </x:c>
      <x:c r="D66" s="32" t="n">
        <x:v>19</x:v>
      </x:c>
      <x:c r="E66" s="35" t="n">
        <x:f>D66/COUNTIF('EverBee'!$AH$2:$AH$1601,A66)</x:f>
        <x:v>0.076</x:v>
      </x:c>
    </x:row>
    <x:row r="67">
      <x:c r="A67" s="32" t="str">
        <x:v>Home buying planner</x:v>
      </x:c>
      <x:c r="B67" s="32" t="n">
        <x:v>26</x:v>
      </x:c>
      <x:c r="C67" s="32" t="str">
        <x:v>home planner</x:v>
      </x:c>
      <x:c r="D67" s="32" t="n">
        <x:v>18</x:v>
      </x:c>
      <x:c r="E67" s="35" t="n">
        <x:f>D67/COUNTIF('EverBee'!$AH$2:$AH$1601,A67)</x:f>
        <x:v>0.072</x:v>
      </x:c>
    </x:row>
    <x:row r="68">
      <x:c r="A68" s="32" t="str">
        <x:v>Home buying planner</x:v>
      </x:c>
      <x:c r="B68" s="32" t="n">
        <x:v>27</x:v>
      </x:c>
      <x:c r="C68" s="32" t="str">
        <x:v>google sheets</x:v>
      </x:c>
      <x:c r="D68" s="32" t="n">
        <x:v>17</x:v>
      </x:c>
      <x:c r="E68" s="35" t="n">
        <x:f>D68/COUNTIF('EverBee'!$AH$2:$AH$1601,A68)</x:f>
        <x:v>0.068</x:v>
      </x:c>
    </x:row>
    <x:row r="69">
      <x:c r="A69" s="32" t="str">
        <x:v>Home buying planner</x:v>
      </x:c>
      <x:c r="B69" s="32" t="n">
        <x:v>28</x:v>
      </x:c>
      <x:c r="C69" s="32" t="str">
        <x:v>home buyer guide</x:v>
      </x:c>
      <x:c r="D69" s="32" t="n">
        <x:v>17</x:v>
      </x:c>
      <x:c r="E69" s="35" t="n">
        <x:f>D69/COUNTIF('EverBee'!$AH$2:$AH$1601,A69)</x:f>
        <x:v>0.068</x:v>
      </x:c>
    </x:row>
    <x:row r="70">
      <x:c r="A70" s="32" t="str">
        <x:v>Home buying planner</x:v>
      </x:c>
      <x:c r="B70" s="32" t="n">
        <x:v>29</x:v>
      </x:c>
      <x:c r="C70" s="32" t="str">
        <x:v>digital planner</x:v>
      </x:c>
      <x:c r="D70" s="32" t="n">
        <x:v>16</x:v>
      </x:c>
      <x:c r="E70" s="35" t="n">
        <x:f>D70/COUNTIF('EverBee'!$AH$2:$AH$1601,A70)</x:f>
        <x:v>0.064</x:v>
      </x:c>
    </x:row>
    <x:row r="71">
      <x:c r="A71" s="32" t="str">
        <x:v>Home buying planner</x:v>
      </x:c>
      <x:c r="B71" s="32" t="n">
        <x:v>30</x:v>
      </x:c>
      <x:c r="C71" s="32" t="str">
        <x:v>financial planner</x:v>
      </x:c>
      <x:c r="D71" s="32" t="n">
        <x:v>16</x:v>
      </x:c>
      <x:c r="E71" s="35" t="n">
        <x:f>D71/COUNTIF('EverBee'!$AH$2:$AH$1601,A71)</x:f>
        <x:v>0.064</x:v>
      </x:c>
    </x:row>
    <x:row r="72">
      <x:c r="A72" s="32" t="str">
        <x:v>Home buying planner</x:v>
      </x:c>
      <x:c r="B72" s="32" t="n">
        <x:v>31</x:v>
      </x:c>
      <x:c r="C72" s="32" t="str">
        <x:v>first home planner</x:v>
      </x:c>
      <x:c r="D72" s="32" t="n">
        <x:v>16</x:v>
      </x:c>
      <x:c r="E72" s="35" t="n">
        <x:f>D72/COUNTIF('EverBee'!$AH$2:$AH$1601,A72)</x:f>
        <x:v>0.064</x:v>
      </x:c>
    </x:row>
    <x:row r="73">
      <x:c r="A73" s="32" t="str">
        <x:v>Home buying planner</x:v>
      </x:c>
      <x:c r="B73" s="32" t="n">
        <x:v>32</x:v>
      </x:c>
      <x:c r="C73" s="32" t="str">
        <x:v>property comparison</x:v>
      </x:c>
      <x:c r="D73" s="32" t="n">
        <x:v>16</x:v>
      </x:c>
      <x:c r="E73" s="35" t="n">
        <x:f>D73/COUNTIF('EverBee'!$AH$2:$AH$1601,A73)</x:f>
        <x:v>0.064</x:v>
      </x:c>
    </x:row>
    <x:row r="74">
      <x:c r="A74" s="32" t="str">
        <x:v>Home buying planner</x:v>
      </x:c>
      <x:c r="B74" s="32" t="n">
        <x:v>33</x:v>
      </x:c>
      <x:c r="C74" s="32" t="str">
        <x:v>property planner</x:v>
      </x:c>
      <x:c r="D74" s="32" t="n">
        <x:v>16</x:v>
      </x:c>
      <x:c r="E74" s="35" t="n">
        <x:f>D74/COUNTIF('EverBee'!$AH$2:$AH$1601,A74)</x:f>
        <x:v>0.064</x:v>
      </x:c>
    </x:row>
    <x:row r="75">
      <x:c r="A75" s="32" t="str">
        <x:v>Home buying planner</x:v>
      </x:c>
      <x:c r="B75" s="32" t="n">
        <x:v>34</x:v>
      </x:c>
      <x:c r="C75" s="32" t="str">
        <x:v>down payment</x:v>
      </x:c>
      <x:c r="D75" s="32" t="n">
        <x:v>15</x:v>
      </x:c>
      <x:c r="E75" s="35" t="n">
        <x:f>D75/COUNTIF('EverBee'!$AH$2:$AH$1601,A75)</x:f>
        <x:v>0.06</x:v>
      </x:c>
    </x:row>
    <x:row r="76">
      <x:c r="A76" s="32" t="str">
        <x:v>Home buying planner</x:v>
      </x:c>
      <x:c r="B76" s="32" t="n">
        <x:v>35</x:v>
      </x:c>
      <x:c r="C76" s="32" t="str">
        <x:v>home purchase</x:v>
      </x:c>
      <x:c r="D76" s="32" t="n">
        <x:v>15</x:v>
      </x:c>
      <x:c r="E76" s="35" t="n">
        <x:f>D76/COUNTIF('EverBee'!$AH$2:$AH$1601,A76)</x:f>
        <x:v>0.06</x:v>
      </x:c>
    </x:row>
    <x:row r="77">
      <x:c r="A77" s="32" t="str">
        <x:v>Home buying planner</x:v>
      </x:c>
      <x:c r="B77" s="32" t="n">
        <x:v>36</x:v>
      </x:c>
      <x:c r="C77" s="32" t="str">
        <x:v>house comparison</x:v>
      </x:c>
      <x:c r="D77" s="32" t="n">
        <x:v>15</x:v>
      </x:c>
      <x:c r="E77" s="35" t="n">
        <x:f>D77/COUNTIF('EverBee'!$AH$2:$AH$1601,A77)</x:f>
        <x:v>0.06</x:v>
      </x:c>
    </x:row>
    <x:row r="78">
      <x:c r="A78" s="32" t="str">
        <x:v>Home buying planner</x:v>
      </x:c>
      <x:c r="B78" s="32" t="n">
        <x:v>37</x:v>
      </x:c>
      <x:c r="C78" s="32" t="str">
        <x:v>new homeowner gift</x:v>
      </x:c>
      <x:c r="D78" s="32" t="n">
        <x:v>15</x:v>
      </x:c>
      <x:c r="E78" s="35" t="n">
        <x:f>D78/COUNTIF('EverBee'!$AH$2:$AH$1601,A78)</x:f>
        <x:v>0.06</x:v>
      </x:c>
    </x:row>
    <x:row r="79">
      <x:c r="A79" s="32" t="str">
        <x:v>Home buying planner</x:v>
      </x:c>
      <x:c r="B79" s="32" t="n">
        <x:v>38</x:v>
      </x:c>
      <x:c r="C79" s="32" t="str">
        <x:v>real estate guide</x:v>
      </x:c>
      <x:c r="D79" s="32" t="n">
        <x:v>15</x:v>
      </x:c>
      <x:c r="E79" s="35" t="n">
        <x:f>D79/COUNTIF('EverBee'!$AH$2:$AH$1601,A79)</x:f>
        <x:v>0.06</x:v>
      </x:c>
    </x:row>
    <x:row r="80">
      <x:c r="A80" s="32" t="str">
        <x:v>Home buying planner</x:v>
      </x:c>
      <x:c r="B80" s="32" t="n">
        <x:v>39</x:v>
      </x:c>
      <x:c r="C80" s="32" t="str">
        <x:v>excel template</x:v>
      </x:c>
      <x:c r="D80" s="32" t="n">
        <x:v>14</x:v>
      </x:c>
      <x:c r="E80" s="35" t="n">
        <x:f>D80/COUNTIF('EverBee'!$AH$2:$AH$1601,A80)</x:f>
        <x:v>0.056</x:v>
      </x:c>
    </x:row>
    <x:row r="81">
      <x:c r="A81" s="32" t="str">
        <x:v>Home buying planner</x:v>
      </x:c>
      <x:c r="B81" s="32" t="n">
        <x:v>40</x:v>
      </x:c>
      <x:c r="C81" s="32" t="str">
        <x:v>home buyer</x:v>
      </x:c>
      <x:c r="D81" s="32" t="n">
        <x:v>14</x:v>
      </x:c>
      <x:c r="E81" s="35" t="n">
        <x:f>D81/COUNTIF('EverBee'!$AH$2:$AH$1601,A81)</x:f>
        <x:v>0.056</x:v>
      </x:c>
    </x:row>
  </x:sheetData>
  <x:pageMargins left="0.7" right="0.7" top="0.75" bottom="0.75" header="0.3" footer="0.3"/>
  <x:tableParts count="1">
    <x:tablePart xmlns:r="http://schemas.openxmlformats.org/officeDocument/2006/relationships" r:id="R2911ac48b0284f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14" hidden="0" customWidth="1"/>
    <x:col min="4" max="4" width="14" hidden="0" customWidth="1"/>
    <x:col min="5" max="5" width="14" hidden="0" customWidth="1"/>
    <x:col min="6" max="6" width="48" hidden="0" customWidth="1"/>
    <x:col min="7" max="7" width="48" hidden="0" customWidth="1"/>
    <x:col min="8" max="8" width="40" hidden="0" customWidth="1"/>
  </x:cols>
  <x:sheetData>
    <x:row r="1">
      <x:c r="A1" s="36" t="str">
        <x:v>Listing ID</x:v>
      </x:c>
      <x:c r="B1" s="36" t="str">
        <x:v>Product type</x:v>
      </x:c>
      <x:c r="C1" s="36" t="str">
        <x:v>Current price</x:v>
      </x:c>
      <x:c r="D1" s="36" t="str">
        <x:v>Rating</x:v>
      </x:c>
      <x:c r="E1" s="36" t="str">
        <x:v>Review count</x:v>
      </x:c>
      <x:c r="F1" s="36" t="str">
        <x:v>Review theme</x:v>
      </x:c>
      <x:c r="G1" s="36" t="str">
        <x:v>H4HappyLiving implication</x:v>
      </x:c>
      <x:c r="H1" s="36" t="str">
        <x:v>Source URL</x:v>
      </x:c>
    </x:row>
    <x:row r="2" ht="58" customHeight="1">
      <x:c r="A2" s="32" t="str">
        <x:v>4344906495</x:v>
      </x:c>
      <x:c r="B2" s="32" t="str">
        <x:v>Mortgage payoff spreadsheet</x:v>
      </x:c>
      <x:c r="C2" s="38" t="n">
        <x:v>9.99</x:v>
      </x:c>
      <x:c r="D2" s="39" t="n">
        <x:v>4.8</x:v>
      </x:c>
      <x:c r="E2" s="32" t="n">
        <x:v>92</x:v>
      </x:c>
      <x:c r="F2" s="37" t="str">
        <x:v>Buyers value the prebuilt formulas, time savings, and visibility into potential interest and payoff-time reductions.</x:v>
      </x:c>
      <x:c r="G2" s="37" t="str">
        <x:v>Lead with reliable formulas and clearly display years and interest potentially saved.</x:v>
      </x:c>
      <x:c r="H2" s="32" t="str">
        <x:v>https://www.etsy.com/listing/4344906495</x:v>
      </x:c>
    </x:row>
    <x:row r="3" ht="58" customHeight="1">
      <x:c r="A3" s="32" t="str">
        <x:v>4469956431</x:v>
      </x:c>
      <x:c r="B3" s="32" t="str">
        <x:v>Mortgage payoff tracker with dashboard</x:v>
      </x:c>
      <x:c r="C3" s="38" t="n">
        <x:v>8.2</x:v>
      </x:c>
      <x:c r="D3" s="39" t="n">
        <x:v>4.4</x:v>
      </x:c>
      <x:c r="E3" s="32" t="n">
        <x:v>9</x:v>
      </x:c>
      <x:c r="F3" s="37" t="str">
        <x:v>Buyers praise the dashboard and extra-payment visibility. Some report calculation or localization issues before seller support resolves them.</x:v>
      </x:c>
      <x:c r="G3" s="37" t="str">
        <x:v>Test US locale behavior and make the setup process difficult to misunderstand.</x:v>
      </x:c>
      <x:c r="H3" s="32" t="str">
        <x:v>https://www.etsy.com/listing/4469956431</x:v>
      </x:c>
    </x:row>
    <x:row r="4" ht="58" customHeight="1">
      <x:c r="A4" s="32" t="str">
        <x:v>1018344183</x:v>
      </x:c>
      <x:c r="B4" s="32" t="str">
        <x:v>Loan repayment spreadsheet</x:v>
      </x:c>
      <x:c r="C4" s="38" t="n">
        <x:v>6.99</x:v>
      </x:c>
      <x:c r="D4" s="39" t="n">
        <x:v>4.7</x:v>
      </x:c>
      <x:c r="E4" s="32" t="n">
        <x:v>1769</x:v>
      </x:c>
      <x:c r="F4" s="37" t="str">
        <x:v>Buyers describe the spreadsheet as useful and specifically mention tutorial videos as helpful.</x:v>
      </x:c>
      <x:c r="G4" s="37" t="str">
        <x:v>Include a short walkthrough and an example-filled version.</x:v>
      </x:c>
      <x:c r="H4" s="32" t="str">
        <x:v>https://www.etsy.com/listing/1018344183</x:v>
      </x:c>
    </x:row>
    <x:row r="5" ht="58" customHeight="1">
      <x:c r="A5" s="32" t="str">
        <x:v>1163885510</x:v>
      </x:c>
      <x:c r="B5" s="32" t="str">
        <x:v>Home buying planner</x:v>
      </x:c>
      <x:c r="C5" s="38" t="n">
        <x:v>5.3</x:v>
      </x:c>
      <x:c r="D5" s="39" t="n">
        <x:v>4.9</x:v>
      </x:c>
      <x:c r="E5" s="32" t="n">
        <x:v>1651</x:v>
      </x:c>
      <x:c r="F5" s="37" t="str">
        <x:v>Buyers value reusable comparison sheets, practical inspection prompts, and a simple layout for property visits.</x:v>
      </x:c>
      <x:c r="G5" s="37" t="str">
        <x:v>If expanding later, add focused buyer-comparison worksheets rather than a generic large binder.</x:v>
      </x:c>
      <x:c r="H5" s="32" t="str">
        <x:v>https://www.etsy.com/listing/1163885510</x:v>
      </x:c>
    </x:row>
    <x:row r="6" ht="58" customHeight="1">
      <x:c r="A6" s="32" t="str">
        <x:v>4515633517</x:v>
      </x:c>
      <x:c r="B6" s="32" t="str">
        <x:v>Interactive first-home planner</x:v>
      </x:c>
      <x:c r="C6" s="38" t="n">
        <x:v>8.95</x:v>
      </x:c>
      <x:c r="D6" s="39" t="n">
        <x:v>5</x:v>
      </x:c>
      <x:c r="E6" s="32" t="n">
        <x:v>19</x:v>
      </x:c>
      <x:c r="F6" s="37" t="str">
        <x:v>No review excerpts were available through the connected comparison data.</x:v>
      </x:c>
      <x:c r="G6" s="37" t="str">
        <x:v>Interactive positioning supports premium pricing, but evidence is currently limited.</x:v>
      </x:c>
      <x:c r="H6" s="32" t="str">
        <x:v>https://www.etsy.com/listing/4515633517</x:v>
      </x:c>
    </x:row>
  </x:sheetData>
  <x:pageMargins left="0.7" right="0.7" top="0.75" bottom="0.75" header="0.3" footer="0.3"/>
  <x:tableParts count="1">
    <x:tablePart xmlns:r="http://schemas.openxmlformats.org/officeDocument/2006/relationships" r:id="R34186a003eb64fc9"/>
  </x:tableParts>
</x:worksheet>
</file>