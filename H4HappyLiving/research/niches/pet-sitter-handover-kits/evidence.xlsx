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850ea90a74c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tors" sheetId="1" r:id="R878065085b5a4783"/>
    <x:sheet xmlns:r="http://schemas.openxmlformats.org/officeDocument/2006/relationships" name="EverBee" sheetId="2" r:id="R5e433c1dc4554075"/>
    <x:sheet xmlns:r="http://schemas.openxmlformats.org/officeDocument/2006/relationships" name="Keywords" sheetId="3" r:id="R290a3f641bf84913"/>
    <x:sheet xmlns:r="http://schemas.openxmlformats.org/officeDocument/2006/relationships" name="Reviews" sheetId="4" r:id="R118c5ae4407a47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0.00"/>
    <x:numFmt numFmtId="201" formatCode="0%"/>
    <x:numFmt numFmtId="202" formatCode="0"/>
    <x:numFmt numFmtId="203" formatCode="#,##0"/>
    <x:numFmt numFmtId="204" formatCode="yyyy-mm-dd"/>
  </x:numFmts>
  <x:fonts count="8">
    <x:font>
      <x:sz val="11"/>
      <x:name val="Carlito"/>
    </x:font>
    <x:font>
      <x:b/>
      <x:sz val="18"/>
      <x:color rgb="FFFFFFFF"/>
      <x:name val="Arial"/>
    </x:font>
    <x:font>
      <x:i/>
      <x:sz val="9"/>
      <x:color rgb="FF5A6964"/>
      <x:name val="Arial"/>
    </x:font>
    <x:font>
      <x:b/>
      <x:sz val="9"/>
      <x:color rgb="FF24332F"/>
      <x:name val="Arial"/>
    </x:font>
    <x:font>
      <x:sz val="10"/>
      <x:color rgb="FF24332F"/>
      <x:name val="Arial"/>
    </x:font>
    <x:font>
      <x:sz val="9"/>
      <x:color rgb="FF24332F"/>
      <x:name val="Arial"/>
    </x:font>
    <x:font>
      <x:b/>
      <x:sz val="10"/>
      <x:color rgb="FF24332F"/>
      <x:name val="Arial"/>
    </x:font>
    <x:font>
      <x:b/>
      <x:sz val="11"/>
      <x:color rgb="FF24332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85247"/>
      </x:patternFill>
    </x:fill>
    <x:fill>
      <x:patternFill patternType="solid">
        <x:fgColor rgb="FFFFF9F1"/>
      </x:patternFill>
    </x:fill>
    <x:fill>
      <x:patternFill patternType="solid">
        <x:fgColor rgb="FFB8D2C5"/>
      </x:patternFill>
    </x:fill>
    <x:fill>
      <x:patternFill patternType="solid">
        <x:fgColor rgb="FFFFFFFF"/>
      </x:patternFill>
    </x:fill>
    <x:fill>
      <x:patternFill patternType="solid">
        <x:fgColor rgb="FFF2B84B"/>
      </x:patternFill>
    </x:fill>
    <x:fill>
      <x:patternFill patternType="solid">
        <x:fgColor rgb="FFFFF2CC"/>
      </x:patternFill>
    </x:fill>
  </x:fills>
  <x:borders count="10">
    <x:border/>
    <x:border>
      <x:bottom style="thin">
        <x:color rgb="FFD5E0DB"/>
      </x:bottom>
    </x:border>
    <x:border>
      <x:top style="thin">
        <x:color rgb="FFD5E0DB"/>
      </x:top>
      <x:bottom style="thin">
        <x:color rgb="FFD5E0DB"/>
      </x:bottom>
    </x:border>
    <x:border>
      <x:top style="thin">
        <x:color rgb="FFD5E0DB"/>
      </x:top>
    </x:border>
    <x:border>
      <x:left style="medium">
        <x:color rgb="FF285247"/>
      </x:left>
      <x:top style="medium">
        <x:color rgb="FF285247"/>
      </x:top>
      <x:bottom style="medium">
        <x:color rgb="FF285247"/>
      </x:bottom>
    </x:border>
    <x:border>
      <x:top style="medium">
        <x:color rgb="FF285247"/>
      </x:top>
      <x:bottom style="medium">
        <x:color rgb="FF285247"/>
      </x:bottom>
    </x:border>
    <x:border>
      <x:right style="medium">
        <x:color rgb="FF285247"/>
      </x:right>
      <x:top style="medium">
        <x:color rgb="FF285247"/>
      </x:top>
      <x:bottom style="medium">
        <x:color rgb="FF285247"/>
      </x:bottom>
    </x:border>
    <x:border>
      <x:left style="thin">
        <x:color rgb="FFF2B84B"/>
      </x:left>
      <x:top style="thin">
        <x:color rgb="FFF2B84B"/>
      </x:top>
      <x:bottom style="thin">
        <x:color rgb="FFF2B84B"/>
      </x:bottom>
    </x:border>
    <x:border>
      <x:top style="thin">
        <x:color rgb="FFF2B84B"/>
      </x:top>
      <x:bottom style="thin">
        <x:color rgb="FFF2B84B"/>
      </x:bottom>
    </x:border>
    <x:border>
      <x:right style="thin">
        <x:color rgb="FFF2B84B"/>
      </x:right>
      <x:top style="thin">
        <x:color rgb="FFF2B84B"/>
      </x:top>
      <x:bottom style="thin">
        <x:color rgb="FFF2B84B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200" fontId="4" fillId="5" borderId="2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6" borderId="3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201" fontId="5" fillId="5" borderId="1" xfId="0" applyNumberFormat="1" applyFont="1" applyFill="1" applyBorder="1"/>
    <x:xf numFmtId="201" fontId="5" fillId="5" borderId="2" xfId="0" applyNumberFormat="1" applyFont="1" applyFill="1" applyBorder="1"/>
    <x:xf numFmtId="202" fontId="5" fillId="5" borderId="1" xfId="0" applyNumberFormat="1" applyFont="1" applyFill="1" applyBorder="1"/>
    <x:xf numFmtId="202" fontId="5" fillId="5" borderId="2" xfId="0" applyNumberFormat="1" applyFont="1" applyFill="1" applyBorder="1"/>
    <x:xf numFmtId="202" fontId="6" fillId="6" borderId="6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  <x:xf numFmtId="200" fontId="5" fillId="0" borderId="3" xfId="0" applyNumberFormat="1" applyFont="1" applyFill="1" applyBorder="1" applyAlignment="1">
      <x:alignment vertical="top" wrapText="1"/>
    </x:xf>
    <x:xf numFmtId="203" fontId="5" fillId="0" borderId="1" xfId="0" applyNumberFormat="1" applyFont="1" applyFill="1" applyBorder="1" applyAlignment="1">
      <x:alignment vertical="top" wrapText="1"/>
    </x:xf>
    <x:xf numFmtId="203" fontId="5" fillId="0" borderId="2" xfId="0" applyNumberFormat="1" applyFont="1" applyFill="1" applyBorder="1" applyAlignment="1">
      <x:alignment vertical="top" wrapText="1"/>
    </x:xf>
    <x:xf numFmtId="203" fontId="5" fillId="0" borderId="3" xfId="0" applyNumberFormat="1" applyFont="1" applyFill="1" applyBorder="1" applyAlignment="1">
      <x:alignment vertical="top" wrapText="1"/>
    </x:xf>
    <x:xf numFmtId="204" fontId="5" fillId="0" borderId="1" xfId="0" applyNumberFormat="1" applyFont="1" applyFill="1" applyBorder="1" applyAlignment="1">
      <x:alignment vertical="top" wrapText="1"/>
    </x:xf>
    <x:xf numFmtId="204" fontId="5" fillId="0" borderId="2" xfId="0" applyNumberFormat="1" applyFont="1" applyFill="1" applyBorder="1" applyAlignment="1">
      <x:alignment vertical="top" wrapText="1"/>
    </x:xf>
    <x:xf numFmtId="204" fontId="5" fillId="0" borderId="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202" fontId="5" fillId="0" borderId="1" xfId="0" applyNumberFormat="1" applyFont="1" applyFill="1" applyBorder="1" applyAlignment="1">
      <x:alignment vertical="top" wrapText="1"/>
    </x:xf>
    <x:xf numFmtId="202" fontId="5" fillId="0" borderId="2" xfId="0" applyNumberFormat="1" applyFont="1" applyFill="1" applyBorder="1" applyAlignment="1">
      <x:alignment vertical="top" wrapText="1"/>
    </x:xf>
    <x:xf numFmtId="202" fontId="5" fillId="0" borderId="3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1" fontId="5" fillId="0" borderId="2" xfId="0" applyNumberFormat="1" applyFont="1" applyFill="1" applyBorder="1" applyAlignment="1">
      <x:alignment vertical="top" wrapText="1"/>
    </x:xf>
    <x:xf numFmtId="201" fontId="5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6c7f39fa904f53" /><Relationship Type="http://schemas.openxmlformats.org/officeDocument/2006/relationships/theme" Target="/xl/theme/theme1.xml" Id="Rf1ad82476c414b19" /><Relationship Type="http://schemas.openxmlformats.org/officeDocument/2006/relationships/sharedStrings" Target="/xl/sharedStrings.xml" Id="R3916c148cc0d4ae2" /><Relationship Type="http://schemas.openxmlformats.org/officeDocument/2006/relationships/worksheet" Target="/xl/worksheets/sheet1.xml" Id="R878065085b5a4783" /><Relationship Type="http://schemas.openxmlformats.org/officeDocument/2006/relationships/worksheet" Target="/xl/worksheets/sheet2.xml" Id="R5e433c1dc4554075" /><Relationship Type="http://schemas.openxmlformats.org/officeDocument/2006/relationships/worksheet" Target="/xl/worksheets/sheet3.xml" Id="R290a3f641bf84913" /><Relationship Type="http://schemas.openxmlformats.org/officeDocument/2006/relationships/worksheet" Target="/xl/worksheets/sheet4.xml" Id="R118c5ae4407a47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22" hidden="0" customWidth="1"/>
    <x:col min="4" max="4" width="24" hidden="0" customWidth="1"/>
    <x:col min="5" max="5" width="12" hidden="0" customWidth="1"/>
    <x:col min="6" max="6" width="14" hidden="0" customWidth="1"/>
    <x:col min="7" max="7" width="12" hidden="0" customWidth="1"/>
    <x:col min="8" max="8" width="18" hidden="0" customWidth="1"/>
    <x:col min="9" max="9" width="16" hidden="0" customWidth="1"/>
    <x:col min="10" max="10" width="38" hidden="0" customWidth="1"/>
    <x:col min="11" max="11" width="38" hidden="0" customWidth="1"/>
    <x:col min="12" max="12" width="23" hidden="0" customWidth="1"/>
    <x:col min="13" max="13" width="48" hidden="0" customWidth="1"/>
    <x:col min="14" max="14" width="14" hidden="0" customWidth="1"/>
  </x:cols>
  <x:sheetData>
    <x:row r="1" ht="34" customHeight="1">
      <x:c r="A1" s="3" t="str">
        <x:v>Pet Sitter Handover Kits - Evidence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Etsy US public evidence observed 2026-08-01. Shop sales are context only and are not listing sales.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30" customHeight="1">
      <x:c r="A3" s="11" t="str">
        <x:v>Decision snapshot</x:v>
      </x:c>
      <x:c r="B3" s="11" t="str">
        <x:v>Finding</x:v>
      </x:c>
      <x:c r="D3" s="11" t="str">
        <x:v>Score dimension</x:v>
      </x:c>
      <x:c r="E3" s="11" t="str">
        <x:v>Weight</x:v>
      </x:c>
      <x:c r="F3" s="11" t="str">
        <x:v>Score</x:v>
      </x:c>
      <x:c r="G3" s="11" t="str">
        <x:v>Maximum</x:v>
      </x:c>
      <x:c r="H3" s="11" t="str">
        <x:v>Weighted points</x:v>
      </x:c>
    </x:row>
    <x:row r="4">
      <x:c r="A4" s="14" t="str">
        <x:v>Direct listings analyzed</x:v>
      </x:c>
      <x:c r="B4" s="14" t="n">
        <x:f>COUNTIF(A13:A22,"Direct")</x:f>
        <x:v>8</x:v>
      </x:c>
      <x:c r="D4" s="19" t="str">
        <x:v>Demand evidence</x:v>
      </x:c>
      <x:c r="E4" s="27" t="n">
        <x:v>0.25</x:v>
      </x:c>
      <x:c r="F4" s="19" t="n">
        <x:v>18</x:v>
      </x:c>
      <x:c r="G4" s="19" t="n">
        <x:v>25</x:v>
      </x:c>
      <x:c r="H4" s="29" t="n">
        <x:f>E4*100*(F4/G4)</x:f>
        <x:v>18</x:v>
      </x:c>
    </x:row>
    <x:row r="5">
      <x:c r="A5" s="15" t="str">
        <x:v>Observed price minimum</x:v>
      </x:c>
      <x:c r="B5" s="17" t="n">
        <x:f>MIN(D13:D20)</x:f>
        <x:v>1</x:v>
      </x:c>
      <x:c r="D5" s="20" t="str">
        <x:v>Competitive opportunity</x:v>
      </x:c>
      <x:c r="E5" s="28" t="n">
        <x:v>0.2</x:v>
      </x:c>
      <x:c r="F5" s="20" t="n">
        <x:v>11</x:v>
      </x:c>
      <x:c r="G5" s="20" t="n">
        <x:v>20</x:v>
      </x:c>
      <x:c r="H5" s="30" t="n">
        <x:f>E5*100*(F5/G5)</x:f>
        <x:v>11</x:v>
      </x:c>
    </x:row>
    <x:row r="6">
      <x:c r="A6" s="15" t="str">
        <x:v>Observed direct median</x:v>
      </x:c>
      <x:c r="B6" s="17" t="n">
        <x:f>MEDIAN(D13:D20)</x:f>
        <x:v>2.12</x:v>
      </x:c>
      <x:c r="D6" s="20" t="str">
        <x:v>Differentiation potential</x:v>
      </x:c>
      <x:c r="E6" s="28" t="n">
        <x:v>0.2</x:v>
      </x:c>
      <x:c r="F6" s="20" t="n">
        <x:v>16</x:v>
      </x:c>
      <x:c r="G6" s="20" t="n">
        <x:v>20</x:v>
      </x:c>
      <x:c r="H6" s="30" t="n">
        <x:f>E6*100*(F6/G6)</x:f>
        <x:v>16</x:v>
      </x:c>
    </x:row>
    <x:row r="7">
      <x:c r="A7" s="15" t="str">
        <x:v>Observed price maximum</x:v>
      </x:c>
      <x:c r="B7" s="17" t="n">
        <x:f>MAX(D13:D20)</x:f>
        <x:v>9</x:v>
      </x:c>
      <x:c r="D7" s="20" t="str">
        <x:v>H4HappyLiving brand fit</x:v>
      </x:c>
      <x:c r="E7" s="28" t="n">
        <x:v>0.15</x:v>
      </x:c>
      <x:c r="F7" s="20" t="n">
        <x:v>14</x:v>
      </x:c>
      <x:c r="G7" s="20" t="n">
        <x:v>15</x:v>
      </x:c>
      <x:c r="H7" s="30" t="n">
        <x:f>E7*100*(F7/G7)</x:f>
        <x:v>14</x:v>
      </x:c>
    </x:row>
    <x:row r="8">
      <x:c r="A8" s="15" t="str">
        <x:v>Direct listings with item reviews</x:v>
      </x:c>
      <x:c r="B8" s="15" t="n">
        <x:f>COUNTIF(E13:E20,"&gt;0")</x:f>
        <x:v>4</x:v>
      </x:c>
      <x:c r="D8" s="20" t="str">
        <x:v>Profit potential</x:v>
      </x:c>
      <x:c r="E8" s="28" t="n">
        <x:v>0.1</x:v>
      </x:c>
      <x:c r="F8" s="20" t="n">
        <x:v>6</x:v>
      </x:c>
      <x:c r="G8" s="20" t="n">
        <x:v>10</x:v>
      </x:c>
      <x:c r="H8" s="30" t="n">
        <x:f>E8*100*(F8/G8)</x:f>
        <x:v>6</x:v>
      </x:c>
    </x:row>
    <x:row r="9">
      <x:c r="A9" s="16" t="str">
        <x:v>Total visible direct item reviews</x:v>
      </x:c>
      <x:c r="B9" s="16" t="n">
        <x:f>SUM(E13:E20)</x:f>
        <x:v>45</x:v>
      </x:c>
      <x:c r="D9" s="20" t="str">
        <x:v>Production feasibility</x:v>
      </x:c>
      <x:c r="E9" s="28" t="n">
        <x:v>0.1</x:v>
      </x:c>
      <x:c r="F9" s="20" t="n">
        <x:v>9</x:v>
      </x:c>
      <x:c r="G9" s="20" t="n">
        <x:v>10</x:v>
      </x:c>
      <x:c r="H9" s="30" t="n">
        <x:f>E9*100*(F9/G9)</x:f>
        <x:v>9</x:v>
      </x:c>
    </x:row>
    <x:row r="10">
      <x:c r="D10" s="24" t="str">
        <x:v>Recommendation</x:v>
      </x:c>
      <x:c r="E10" s="25" t="str">
        <x:v>TEST</x:v>
      </x:c>
      <x:c r="F10" s="25" t="str">
        <x:v>Opportunity score</x:v>
      </x:c>
      <x:c r="G10" s="25"/>
      <x:c r="H10" s="31" t="n">
        <x:f>SUM(H4:H9)</x:f>
        <x:v>74</x:v>
      </x:c>
    </x:row>
    <x:row r="12" ht="30" customHeight="1">
      <x:c r="A12" s="11" t="str">
        <x:v>Segment</x:v>
      </x:c>
      <x:c r="B12" s="11" t="str">
        <x:v>Listing</x:v>
      </x:c>
      <x:c r="C12" s="11" t="str">
        <x:v>Shop</x:v>
      </x:c>
      <x:c r="D12" s="11" t="str">
        <x:v>Price USD</x:v>
      </x:c>
      <x:c r="E12" s="11" t="str">
        <x:v>Item reviews</x:v>
      </x:c>
      <x:c r="F12" s="11" t="str">
        <x:v>Shop sales</x:v>
      </x:c>
      <x:c r="G12" s="11" t="str">
        <x:v>Pages</x:v>
      </x:c>
      <x:c r="H12" s="11" t="str">
        <x:v>Fillable / editable</x:v>
      </x:c>
      <x:c r="I12" s="11" t="str">
        <x:v>Sizes</x:v>
      </x:c>
      <x:c r="J12" s="11" t="str">
        <x:v>Offer strength</x:v>
      </x:c>
      <x:c r="K12" s="11" t="str">
        <x:v>Key risk</x:v>
      </x:c>
      <x:c r="L12" s="11" t="str">
        <x:v>Evidence type</x:v>
      </x:c>
      <x:c r="M12" s="11" t="str">
        <x:v>Source URL</x:v>
      </x:c>
      <x:c r="N12" s="11" t="str">
        <x:v>Observed date</x:v>
      </x:c>
    </x:row>
    <x:row r="13" ht="58" customHeight="1">
      <x:c r="A13" s="39" t="str">
        <x:v>Direct</x:v>
      </x:c>
      <x:c r="B13" s="39" t="str">
        <x:v>Pet Sitter Instructions, Notes, Form and Planner</x:v>
      </x:c>
      <x:c r="C13" s="39" t="str">
        <x:v>JournalsWithDragons</x:v>
      </x:c>
      <x:c r="D13" s="42" t="n">
        <x:v>1.74</x:v>
      </x:c>
      <x:c r="E13" s="45" t="n">
        <x:v>36</x:v>
      </x:c>
      <x:c r="F13" s="45"/>
      <x:c r="G13" s="45" t="n">
        <x:v>30</x:v>
      </x:c>
      <x:c r="H13" s="39" t="str">
        <x:v>Fillable PDF</x:v>
      </x:c>
      <x:c r="I13" s="39" t="str">
        <x:v>Letter + A4</x:v>
      </x:c>
      <x:c r="J13" s="39" t="str">
        <x:v>Multi-pet page, tracker, five color options</x:v>
      </x:c>
      <x:c r="K13" s="39" t="str">
        <x:v>Price compression and a large bundle may hide the core workflow</x:v>
      </x:c>
      <x:c r="L13" s="39" t="str">
        <x:v>Etsy listing + item reviews</x:v>
      </x:c>
      <x:c r="M13" s="39" t="str">
        <x:v>https://www.etsy.com/listing/1425755391/pet-sitter-instructions-pet-sitter-notes</x:v>
      </x:c>
      <x:c r="N13" s="48" t="n">
        <x:v>46235</x:v>
      </x:c>
    </x:row>
    <x:row r="14" ht="58" customHeight="1">
      <x:c r="A14" s="40" t="str">
        <x:v>Direct</x:v>
      </x:c>
      <x:c r="B14" s="40" t="str">
        <x:v>Pet Sitter Instructions PDF Printable</x:v>
      </x:c>
      <x:c r="C14" s="40" t="str">
        <x:v>PuzzleMasterDebbie</x:v>
      </x:c>
      <x:c r="D14" s="43" t="n">
        <x:v>1.49</x:v>
      </x:c>
      <x:c r="E14" s="46" t="n">
        <x:v>2</x:v>
      </x:c>
      <x:c r="F14" s="46" t="n">
        <x:v>66600</x:v>
      </x:c>
      <x:c r="G14" s="46" t="n">
        <x:v>1</x:v>
      </x:c>
      <x:c r="H14" s="40" t="str">
        <x:v>Not stated</x:v>
      </x:c>
      <x:c r="I14" s="40" t="str">
        <x:v>Two PDFs</x:v>
      </x:c>
      <x:c r="J14" s="40" t="str">
        <x:v>Simple one-page form at a low price</x:v>
      </x:c>
      <x:c r="K14" s="40" t="str">
        <x:v>Minimal differentiation; shop sales are not item sales</x:v>
      </x:c>
      <x:c r="L14" s="40" t="str">
        <x:v>Etsy listing + item reviews</x:v>
      </x:c>
      <x:c r="M14" s="40" t="str">
        <x:v>https://www.etsy.com/listing/1388239399/pet-sitter-instructions-pet-sitter</x:v>
      </x:c>
      <x:c r="N14" s="49" t="n">
        <x:v>46235</x:v>
      </x:c>
    </x:row>
    <x:row r="15" ht="58" customHeight="1">
      <x:c r="A15" s="40" t="str">
        <x:v>Direct</x:v>
      </x:c>
      <x:c r="B15" s="40" t="str">
        <x:v>Cat Sitter Instructions - Drop-In Visit Edition</x:v>
      </x:c>
      <x:c r="C15" s="40" t="str">
        <x:v>LittleFinerThings</x:v>
      </x:c>
      <x:c r="D15" s="43" t="n">
        <x:v>9</x:v>
      </x:c>
      <x:c r="E15" s="46" t="n">
        <x:v>0</x:v>
      </x:c>
      <x:c r="F15" s="46" t="n">
        <x:v>973</x:v>
      </x:c>
      <x:c r="G15" s="46" t="n">
        <x:v>5</x:v>
      </x:c>
      <x:c r="H15" s="40" t="str">
        <x:v>Print only</x:v>
      </x:c>
      <x:c r="I15" s="40" t="str">
        <x:v>US Letter</x:v>
      </x:c>
      <x:c r="J15" s="40" t="str">
        <x:v>Professional-sitter credibility and a specific use case</x:v>
      </x:c>
      <x:c r="K15" s="40" t="str">
        <x:v>New listing with two favorites; no visible item-review proof</x:v>
      </x:c>
      <x:c r="L15" s="40" t="str">
        <x:v>Etsy listing</x:v>
      </x:c>
      <x:c r="M15" s="40" t="str">
        <x:v>https://www.etsy.com/listing/4457338986/cat-sitter-instructions-printable-drop</x:v>
      </x:c>
      <x:c r="N15" s="49" t="n">
        <x:v>46235</x:v>
      </x:c>
    </x:row>
    <x:row r="16" ht="58" customHeight="1">
      <x:c r="A16" s="40" t="str">
        <x:v>Direct</x:v>
      </x:c>
      <x:c r="B16" s="40" t="str">
        <x:v>Cat Sitter Instructions Printable</x:v>
      </x:c>
      <x:c r="C16" s="40" t="str">
        <x:v>PawfectPrintablesCo</x:v>
      </x:c>
      <x:c r="D16" s="43" t="n">
        <x:v>2.5</x:v>
      </x:c>
      <x:c r="E16" s="46" t="n">
        <x:v>5</x:v>
      </x:c>
      <x:c r="F16" s="46"/>
      <x:c r="G16" s="46" t="n">
        <x:v>5</x:v>
      </x:c>
      <x:c r="H16" s="40" t="str">
        <x:v>Fillable PDF</x:v>
      </x:c>
      <x:c r="I16" s="40" t="str">
        <x:v>US Letter</x:v>
      </x:c>
      <x:c r="J16" s="40" t="str">
        <x:v>Focused cat-care guide with emergency and medication fields</x:v>
      </x:c>
      <x:c r="K16" s="40" t="str">
        <x:v>No A4 version in the observed offer</x:v>
      </x:c>
      <x:c r="L16" s="40" t="str">
        <x:v>Etsy listing + item reviews</x:v>
      </x:c>
      <x:c r="M16" s="40" t="str">
        <x:v>https://www.etsy.com/listing/1315551182/cat-sitter-instructions-printable</x:v>
      </x:c>
      <x:c r="N16" s="49" t="n">
        <x:v>46235</x:v>
      </x:c>
    </x:row>
    <x:row r="17" ht="58" customHeight="1">
      <x:c r="A17" s="40" t="str">
        <x:v>Direct</x:v>
      </x:c>
      <x:c r="B17" s="40" t="str">
        <x:v>Pet and House Sitter Canva Template Bundle</x:v>
      </x:c>
      <x:c r="C17" s="40" t="str">
        <x:v>EditifyPro</x:v>
      </x:c>
      <x:c r="D17" s="43" t="n">
        <x:v>1.68</x:v>
      </x:c>
      <x:c r="E17" s="46" t="n">
        <x:v>2</x:v>
      </x:c>
      <x:c r="F17" s="46" t="n">
        <x:v>6200</x:v>
      </x:c>
      <x:c r="G17" s="46" t="n">
        <x:v>2</x:v>
      </x:c>
      <x:c r="H17" s="40" t="str">
        <x:v>Canva editable</x:v>
      </x:c>
      <x:c r="I17" s="40" t="str">
        <x:v>US Letter</x:v>
      </x:c>
      <x:c r="J17" s="40" t="str">
        <x:v>Customization plus house and pet information</x:v>
      </x:c>
      <x:c r="K17" s="40" t="str">
        <x:v>Canva requirement adds setup friction</x:v>
      </x:c>
      <x:c r="L17" s="40" t="str">
        <x:v>Etsy listing + item reviews</x:v>
      </x:c>
      <x:c r="M17" s="40" t="str">
        <x:v>https://www.etsy.com/listing/1798764527/pet-sitter-instructions-house-sitter</x:v>
      </x:c>
      <x:c r="N17" s="49" t="n">
        <x:v>46235</x:v>
      </x:c>
    </x:row>
    <x:row r="18" ht="58" customHeight="1">
      <x:c r="A18" s="40" t="str">
        <x:v>Direct</x:v>
      </x:c>
      <x:c r="B18" s="40" t="str">
        <x:v>Cat Sitter Instructions for Feeding, Litter and Quirks</x:v>
      </x:c>
      <x:c r="C18" s="40" t="str">
        <x:v>ClearStart</x:v>
      </x:c>
      <x:c r="D18" s="43" t="n">
        <x:v>4.99</x:v>
      </x:c>
      <x:c r="E18" s="46" t="n">
        <x:v>0</x:v>
      </x:c>
      <x:c r="F18" s="46"/>
      <x:c r="G18" s="46" t="n">
        <x:v>12</x:v>
      </x:c>
      <x:c r="H18" s="40" t="str">
        <x:v>Print only</x:v>
      </x:c>
      <x:c r="I18" s="40" t="str">
        <x:v>US Letter</x:v>
      </x:c>
      <x:c r="J18" s="40" t="str">
        <x:v>Cat-specific quirks and short-absence positioning</x:v>
      </x:c>
      <x:c r="K18" s="40" t="str">
        <x:v>No visible traction and no fillable edition</x:v>
      </x:c>
      <x:c r="L18" s="40" t="str">
        <x:v>Etsy listing</x:v>
      </x:c>
      <x:c r="M18" s="40" t="str">
        <x:v>https://www.etsy.com/listing/4528723823/cat-sitter-instructions-printable-cat</x:v>
      </x:c>
      <x:c r="N18" s="49" t="n">
        <x:v>46235</x:v>
      </x:c>
    </x:row>
    <x:row r="19" ht="58" customHeight="1">
      <x:c r="A19" s="40" t="str">
        <x:v>Direct</x:v>
      </x:c>
      <x:c r="B19" s="40" t="str">
        <x:v>Pet Sitter Instructions and Daily Log</x:v>
      </x:c>
      <x:c r="C19" s="40" t="str">
        <x:v>ClippysTemplates</x:v>
      </x:c>
      <x:c r="D19" s="43" t="n">
        <x:v>4.99</x:v>
      </x:c>
      <x:c r="E19" s="46" t="n">
        <x:v>0</x:v>
      </x:c>
      <x:c r="F19" s="46" t="n">
        <x:v>0</x:v>
      </x:c>
      <x:c r="G19" s="46" t="n">
        <x:v>4</x:v>
      </x:c>
      <x:c r="H19" s="40" t="str">
        <x:v>Unclear</x:v>
      </x:c>
      <x:c r="I19" s="40" t="str">
        <x:v>US Letter</x:v>
      </x:c>
      <x:c r="J19" s="40" t="str">
        <x:v>All-pet positioning and a daily visit log</x:v>
      </x:c>
      <x:c r="K19" s="40" t="str">
        <x:v>Zero shop sales and editing expectations are unclear</x:v>
      </x:c>
      <x:c r="L19" s="40" t="str">
        <x:v>Etsy listing</x:v>
      </x:c>
      <x:c r="M19" s="40" t="str">
        <x:v>https://www.etsy.com/listing/4492508543/pet-sitting-information-sheet-printable</x:v>
      </x:c>
      <x:c r="N19" s="49" t="n">
        <x:v>46235</x:v>
      </x:c>
    </x:row>
    <x:row r="20" ht="58" customHeight="1">
      <x:c r="A20" s="40" t="str">
        <x:v>Direct</x:v>
      </x:c>
      <x:c r="B20" s="40" t="str">
        <x:v>Dog Sitter Instructions Printable</x:v>
      </x:c>
      <x:c r="C20" s="40" t="str">
        <x:v>MamaRNDesigns</x:v>
      </x:c>
      <x:c r="D20" s="43" t="n">
        <x:v>1</x:v>
      </x:c>
      <x:c r="E20" s="46" t="n">
        <x:v>0</x:v>
      </x:c>
      <x:c r="F20" s="46"/>
      <x:c r="G20" s="46" t="n">
        <x:v>1</x:v>
      </x:c>
      <x:c r="H20" s="40" t="str">
        <x:v>Personalized PNG</x:v>
      </x:c>
      <x:c r="I20" s="40" t="str">
        <x:v>Not stated</x:v>
      </x:c>
      <x:c r="J20" s="40" t="str">
        <x:v>Very simple personalized handout; seven recent views observed</x:v>
      </x:c>
      <x:c r="K20" s="40" t="str">
        <x:v>One-page PNG limits reuse and utility</x:v>
      </x:c>
      <x:c r="L20" s="40" t="str">
        <x:v>Etsy listing</x:v>
      </x:c>
      <x:c r="M20" s="40" t="str">
        <x:v>https://www.etsy.com/listing/1512058302/dog-sitter-instructions-dog-walker</x:v>
      </x:c>
      <x:c r="N20" s="49" t="n">
        <x:v>46235</x:v>
      </x:c>
    </x:row>
    <x:row r="21" ht="58" customHeight="1">
      <x:c r="A21" s="40" t="str">
        <x:v>Adjacent</x:v>
      </x:c>
      <x:c r="B21" s="40" t="str">
        <x:v>Pet Care Binder Printable</x:v>
      </x:c>
      <x:c r="C21" s="40" t="str">
        <x:v>FutureIncomeTools</x:v>
      </x:c>
      <x:c r="D21" s="43" t="n">
        <x:v>15.99</x:v>
      </x:c>
      <x:c r="E21" s="46" t="n">
        <x:v>0</x:v>
      </x:c>
      <x:c r="F21" s="46" t="n">
        <x:v>1</x:v>
      </x:c>
      <x:c r="G21" s="46" t="n">
        <x:v>60</x:v>
      </x:c>
      <x:c r="H21" s="40" t="str">
        <x:v>Print only</x:v>
      </x:c>
      <x:c r="I21" s="40" t="str">
        <x:v>Not stated</x:v>
      </x:c>
      <x:c r="J21" s="40" t="str">
        <x:v>Broad health, emergency and sitter record system</x:v>
      </x:c>
      <x:c r="K21" s="40" t="str">
        <x:v>One sale and one favorite; large scope is unproven</x:v>
      </x:c>
      <x:c r="L21" s="40" t="str">
        <x:v>Etsy listing</x:v>
      </x:c>
      <x:c r="M21" s="40" t="str">
        <x:v>https://www.etsy.com/listing/4514311932/pet-care-binder-printable-health</x:v>
      </x:c>
      <x:c r="N21" s="49" t="n">
        <x:v>46235</x:v>
      </x:c>
    </x:row>
    <x:row r="22" ht="58" customHeight="1">
      <x:c r="A22" s="41" t="str">
        <x:v>Adjacent</x:v>
      </x:c>
      <x:c r="B22" s="41" t="str">
        <x:v>Senior Pet Care Binder</x:v>
      </x:c>
      <x:c r="C22" s="41" t="str">
        <x:v>LunaDigitalCoStore</x:v>
      </x:c>
      <x:c r="D22" s="44"/>
      <x:c r="E22" s="47" t="n">
        <x:v>0</x:v>
      </x:c>
      <x:c r="F22" s="47"/>
      <x:c r="G22" s="47" t="n">
        <x:v>32</x:v>
      </x:c>
      <x:c r="H22" s="41" t="str">
        <x:v>Print only</x:v>
      </x:c>
      <x:c r="I22" s="41" t="str">
        <x:v>US Letter</x:v>
      </x:c>
      <x:c r="J22" s="41" t="str">
        <x:v>Specific aging-pet care and caregiver handoff</x:v>
      </x:c>
      <x:c r="K22" s="41" t="str">
        <x:v>Medical-adjacent complexity and no visible traction</x:v>
      </x:c>
      <x:c r="L22" s="41" t="str">
        <x:v>Etsy listing</x:v>
      </x:c>
      <x:c r="M22" s="41" t="str">
        <x:v>https://www.etsy.com/listing/4530058521/senior-pet-care-binder-printable-aging</x:v>
      </x:c>
      <x:c r="N22" s="50" t="n">
        <x:v>46235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0" hidden="0" customWidth="1"/>
    <x:col min="4" max="4" width="12" hidden="0" customWidth="1"/>
    <x:col min="5" max="5" width="14" hidden="0" customWidth="1"/>
    <x:col min="6" max="6" width="16" hidden="0" customWidth="1"/>
    <x:col min="7" max="7" width="18" hidden="0" customWidth="1"/>
    <x:col min="8" max="8" width="52" hidden="0" customWidth="1"/>
  </x:cols>
  <x:sheetData>
    <x:row r="1" ht="34" customHeight="1">
      <x:c r="A1" s="3" t="str">
        <x:v>EverBee Source Data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No EverBee export was provided. This sheet is intentionally preserved as a transparent data limitation.</x:v>
      </x:c>
      <x:c r="B2" s="7"/>
      <x:c r="C2" s="7"/>
      <x:c r="D2" s="7"/>
      <x:c r="E2" s="7"/>
      <x:c r="F2" s="7"/>
      <x:c r="G2" s="7"/>
      <x:c r="H2" s="7"/>
    </x:row>
    <x:row r="4" ht="45" customHeight="1">
      <x:c r="A4" s="59" t="str">
        <x:v>Status: public evidence only. Estimated sales, revenue, conversion, visibility, growth, and product-tag frequency are not available.</x:v>
      </x:c>
      <x:c r="B4" s="60"/>
      <x:c r="C4" s="60"/>
      <x:c r="D4" s="60"/>
      <x:c r="E4" s="60"/>
      <x:c r="F4" s="60"/>
      <x:c r="G4" s="60"/>
      <x:c r="H4" s="61"/>
    </x:row>
    <x:row r="6" ht="30" customHeight="1">
      <x:c r="A6" s="11" t="str">
        <x:v>Source file</x:v>
      </x:c>
      <x:c r="B6" s="11" t="str">
        <x:v>Export period</x:v>
      </x:c>
      <x:c r="C6" s="11" t="str">
        <x:v>Rows</x:v>
      </x:c>
      <x:c r="D6" s="11" t="str">
        <x:v>Duplicates</x:v>
      </x:c>
      <x:c r="E6" s="11" t="str">
        <x:v>Direct segment</x:v>
      </x:c>
      <x:c r="F6" s="11" t="str">
        <x:v>Estimated sales</x:v>
      </x:c>
      <x:c r="G6" s="11" t="str">
        <x:v>Estimated revenue</x:v>
      </x:c>
      <x:c r="H6" s="11" t="str">
        <x:v>Notes</x:v>
      </x:c>
    </x:row>
    <x:row r="7">
      <x:c r="A7" s="63" t="str">
        <x:v>Not provided</x:v>
      </x:c>
      <x:c r="B7" s="63" t="str">
        <x:v>N/A</x:v>
      </x:c>
      <x:c r="C7" s="63" t="n">
        <x:v>0</x:v>
      </x:c>
      <x:c r="D7" s="63" t="n">
        <x:v>0</x:v>
      </x:c>
      <x:c r="E7" s="63" t="n">
        <x:v>0</x:v>
      </x:c>
      <x:c r="F7" s="63"/>
      <x:c r="G7" s="63"/>
      <x:c r="H7" s="63" t="str">
        <x:v>Add a future untouched export through research/inbox and preserve its original fields here.</x:v>
      </x:c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2" hidden="0" customWidth="1"/>
    <x:col min="4" max="4" width="28" hidden="0" customWidth="1"/>
    <x:col min="5" max="5" width="10" hidden="0" customWidth="1"/>
    <x:col min="6" max="6" width="10" hidden="0" customWidth="1"/>
    <x:col min="7" max="7" width="55" hidden="0" customWidth="1"/>
    <x:col min="8" max="8" width="14" hidden="0" customWidth="1"/>
  </x:cols>
  <x:sheetData>
    <x:row r="1" ht="34" customHeight="1">
      <x:c r="A1" s="3" t="str">
        <x:v>Keyword Evidence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Phrases are labeled by evidence type. No sampled public listing exposed verified Etsy product tags.</x:v>
      </x:c>
      <x:c r="B2" s="7"/>
      <x:c r="C2" s="7"/>
      <x:c r="D2" s="7"/>
      <x:c r="E2" s="7"/>
      <x:c r="F2" s="7"/>
      <x:c r="G2" s="7"/>
      <x:c r="H2" s="7"/>
    </x:row>
    <x:row r="3">
      <x:c r="A3" s="65" t="str">
        <x:v>Direct sample size</x:v>
      </x:c>
      <x:c r="B3" s="65" t="n">
        <x:f>'Competitors'!B4</x:f>
        <x:v>8</x:v>
      </x:c>
    </x:row>
    <x:row r="5" ht="30" customHeight="1">
      <x:c r="A5" s="11" t="str">
        <x:v>Source</x:v>
      </x:c>
      <x:c r="B5" s="11" t="str">
        <x:v>Evidence type</x:v>
      </x:c>
      <x:c r="C5" s="11" t="str">
        <x:v>Segment</x:v>
      </x:c>
      <x:c r="D5" s="11" t="str">
        <x:v>Tag or phrase</x:v>
      </x:c>
      <x:c r="E5" s="11" t="str">
        <x:v>Count</x:v>
      </x:c>
      <x:c r="F5" s="11" t="str">
        <x:v>Share</x:v>
      </x:c>
      <x:c r="G5" s="11" t="str">
        <x:v>Representative listing URL</x:v>
      </x:c>
      <x:c r="H5" s="11" t="str">
        <x:v>Observed date</x:v>
      </x:c>
    </x:row>
    <x:row r="6" ht="38" customHeight="1">
      <x:c r="A6" s="39" t="str">
        <x:v>Etsy sample</x:v>
      </x:c>
      <x:c r="B6" s="39" t="str">
        <x:v>Etsy title phrase</x:v>
      </x:c>
      <x:c r="C6" s="39" t="str">
        <x:v>Direct</x:v>
      </x:c>
      <x:c r="D6" s="39" t="str">
        <x:v>pet sitter instructions</x:v>
      </x:c>
      <x:c r="E6" s="66" t="n">
        <x:v>8</x:v>
      </x:c>
      <x:c r="F6" s="69" t="n">
        <x:f>E6/$B$3</x:f>
        <x:v>1</x:v>
      </x:c>
      <x:c r="G6" s="39" t="str">
        <x:v>https://www.etsy.com/listing/1425755391/pet-sitter-instructions-pet-sitter-notes</x:v>
      </x:c>
      <x:c r="H6" s="48" t="n">
        <x:v>46235</x:v>
      </x:c>
    </x:row>
    <x:row r="7" ht="38" customHeight="1">
      <x:c r="A7" s="40" t="str">
        <x:v>Etsy sample</x:v>
      </x:c>
      <x:c r="B7" s="40" t="str">
        <x:v>Etsy title phrase</x:v>
      </x:c>
      <x:c r="C7" s="40" t="str">
        <x:v>Direct</x:v>
      </x:c>
      <x:c r="D7" s="40" t="str">
        <x:v>printable</x:v>
      </x:c>
      <x:c r="E7" s="67" t="n">
        <x:v>7</x:v>
      </x:c>
      <x:c r="F7" s="70" t="n">
        <x:f>E7/$B$3</x:f>
        <x:v>0.875</x:v>
      </x:c>
      <x:c r="G7" s="40" t="str">
        <x:v>https://www.etsy.com/listing/4457338986/cat-sitter-instructions-printable-drop</x:v>
      </x:c>
      <x:c r="H7" s="49" t="n">
        <x:v>46235</x:v>
      </x:c>
    </x:row>
    <x:row r="8" ht="38" customHeight="1">
      <x:c r="A8" s="40" t="str">
        <x:v>Etsy sample</x:v>
      </x:c>
      <x:c r="B8" s="40" t="str">
        <x:v>Etsy title phrase</x:v>
      </x:c>
      <x:c r="C8" s="40" t="str">
        <x:v>Direct</x:v>
      </x:c>
      <x:c r="D8" s="40" t="str">
        <x:v>pet sitter notes</x:v>
      </x:c>
      <x:c r="E8" s="67" t="n">
        <x:v>5</x:v>
      </x:c>
      <x:c r="F8" s="70" t="n">
        <x:f>E8/$B$3</x:f>
        <x:v>0.625</x:v>
      </x:c>
      <x:c r="G8" s="40" t="str">
        <x:v>https://www.etsy.com/listing/1425755391/pet-sitter-instructions-pet-sitter-notes</x:v>
      </x:c>
      <x:c r="H8" s="49" t="n">
        <x:v>46235</x:v>
      </x:c>
    </x:row>
    <x:row r="9" ht="38" customHeight="1">
      <x:c r="A9" s="40" t="str">
        <x:v>Etsy sample</x:v>
      </x:c>
      <x:c r="B9" s="40" t="str">
        <x:v>Etsy title/description phrase</x:v>
      </x:c>
      <x:c r="C9" s="40" t="str">
        <x:v>Direct</x:v>
      </x:c>
      <x:c r="D9" s="40" t="str">
        <x:v>fillable PDF</x:v>
      </x:c>
      <x:c r="E9" s="67" t="n">
        <x:v>4</x:v>
      </x:c>
      <x:c r="F9" s="70" t="n">
        <x:f>E9/$B$3</x:f>
        <x:v>0.5</x:v>
      </x:c>
      <x:c r="G9" s="40" t="str">
        <x:v>https://www.etsy.com/listing/1488323043/pet-sitter-instructions-template</x:v>
      </x:c>
      <x:c r="H9" s="49" t="n">
        <x:v>46235</x:v>
      </x:c>
    </x:row>
    <x:row r="10" ht="38" customHeight="1">
      <x:c r="A10" s="40" t="str">
        <x:v>Etsy sample</x:v>
      </x:c>
      <x:c r="B10" s="40" t="str">
        <x:v>Etsy title phrase</x:v>
      </x:c>
      <x:c r="C10" s="40" t="str">
        <x:v>Direct</x:v>
      </x:c>
      <x:c r="D10" s="40" t="str">
        <x:v>cat sitter</x:v>
      </x:c>
      <x:c r="E10" s="67" t="n">
        <x:v>4</x:v>
      </x:c>
      <x:c r="F10" s="70" t="n">
        <x:f>E10/$B$3</x:f>
        <x:v>0.5</x:v>
      </x:c>
      <x:c r="G10" s="40" t="str">
        <x:v>https://www.etsy.com/listing/4528723823/cat-sitter-instructions-printable-cat</x:v>
      </x:c>
      <x:c r="H10" s="49" t="n">
        <x:v>46235</x:v>
      </x:c>
    </x:row>
    <x:row r="11" ht="38" customHeight="1">
      <x:c r="A11" s="40" t="str">
        <x:v>Etsy sample</x:v>
      </x:c>
      <x:c r="B11" s="40" t="str">
        <x:v>Etsy title phrase</x:v>
      </x:c>
      <x:c r="C11" s="40" t="str">
        <x:v>Direct</x:v>
      </x:c>
      <x:c r="D11" s="40" t="str">
        <x:v>dog sitter</x:v>
      </x:c>
      <x:c r="E11" s="67" t="n">
        <x:v>4</x:v>
      </x:c>
      <x:c r="F11" s="70" t="n">
        <x:f>E11/$B$3</x:f>
        <x:v>0.5</x:v>
      </x:c>
      <x:c r="G11" s="40" t="str">
        <x:v>https://www.etsy.com/listing/1512058302/dog-sitter-instructions-dog-walker</x:v>
      </x:c>
      <x:c r="H11" s="49" t="n">
        <x:v>46235</x:v>
      </x:c>
    </x:row>
    <x:row r="12" ht="38" customHeight="1">
      <x:c r="A12" s="40" t="str">
        <x:v>Etsy sample</x:v>
      </x:c>
      <x:c r="B12" s="40" t="str">
        <x:v>Etsy description phrase</x:v>
      </x:c>
      <x:c r="C12" s="40" t="str">
        <x:v>Direct</x:v>
      </x:c>
      <x:c r="D12" s="40" t="str">
        <x:v>emergency contacts</x:v>
      </x:c>
      <x:c r="E12" s="67" t="n">
        <x:v>6</x:v>
      </x:c>
      <x:c r="F12" s="70" t="n">
        <x:f>E12/$B$3</x:f>
        <x:v>0.75</x:v>
      </x:c>
      <x:c r="G12" s="40" t="str">
        <x:v>https://www.etsy.com/listing/1315551182/cat-sitter-instructions-printable</x:v>
      </x:c>
      <x:c r="H12" s="49" t="n">
        <x:v>46235</x:v>
      </x:c>
    </x:row>
    <x:row r="13" ht="38" customHeight="1">
      <x:c r="A13" s="40" t="str">
        <x:v>Etsy sample</x:v>
      </x:c>
      <x:c r="B13" s="40" t="str">
        <x:v>Etsy description phrase</x:v>
      </x:c>
      <x:c r="C13" s="40" t="str">
        <x:v>Direct</x:v>
      </x:c>
      <x:c r="D13" s="40" t="str">
        <x:v>feeding schedule</x:v>
      </x:c>
      <x:c r="E13" s="67" t="n">
        <x:v>5</x:v>
      </x:c>
      <x:c r="F13" s="70" t="n">
        <x:f>E13/$B$3</x:f>
        <x:v>0.625</x:v>
      </x:c>
      <x:c r="G13" s="40" t="str">
        <x:v>https://www.etsy.com/listing/1488323043/pet-sitter-instructions-template</x:v>
      </x:c>
      <x:c r="H13" s="49" t="n">
        <x:v>46235</x:v>
      </x:c>
    </x:row>
    <x:row r="14" ht="38" customHeight="1">
      <x:c r="A14" s="40" t="str">
        <x:v>Etsy sample</x:v>
      </x:c>
      <x:c r="B14" s="40" t="str">
        <x:v>Etsy description phrase</x:v>
      </x:c>
      <x:c r="C14" s="40" t="str">
        <x:v>Direct</x:v>
      </x:c>
      <x:c r="D14" s="40" t="str">
        <x:v>medication</x:v>
      </x:c>
      <x:c r="E14" s="67" t="n">
        <x:v>5</x:v>
      </x:c>
      <x:c r="F14" s="70" t="n">
        <x:f>E14/$B$3</x:f>
        <x:v>0.625</x:v>
      </x:c>
      <x:c r="G14" s="40" t="str">
        <x:v>https://www.etsy.com/listing/4457338986/cat-sitter-instructions-printable-drop</x:v>
      </x:c>
      <x:c r="H14" s="49" t="n">
        <x:v>46235</x:v>
      </x:c>
    </x:row>
    <x:row r="15" ht="38" customHeight="1">
      <x:c r="A15" s="40" t="str">
        <x:v>Etsy sample</x:v>
      </x:c>
      <x:c r="B15" s="40" t="str">
        <x:v>Etsy description phrase</x:v>
      </x:c>
      <x:c r="C15" s="40" t="str">
        <x:v>Direct</x:v>
      </x:c>
      <x:c r="D15" s="40" t="str">
        <x:v>multi-pet</x:v>
      </x:c>
      <x:c r="E15" s="67" t="n">
        <x:v>2</x:v>
      </x:c>
      <x:c r="F15" s="70" t="n">
        <x:f>E15/$B$3</x:f>
        <x:v>0.25</x:v>
      </x:c>
      <x:c r="G15" s="40" t="str">
        <x:v>https://www.etsy.com/listing/1425755391/pet-sitter-instructions-pet-sitter-notes</x:v>
      </x:c>
      <x:c r="H15" s="49" t="n">
        <x:v>46235</x:v>
      </x:c>
    </x:row>
    <x:row r="16" ht="38" customHeight="1">
      <x:c r="A16" s="40" t="str">
        <x:v>Etsy sample</x:v>
      </x:c>
      <x:c r="B16" s="40" t="str">
        <x:v>Etsy title phrase</x:v>
      </x:c>
      <x:c r="C16" s="40" t="str">
        <x:v>Direct</x:v>
      </x:c>
      <x:c r="D16" s="40" t="str">
        <x:v>drop-in visits</x:v>
      </x:c>
      <x:c r="E16" s="67" t="n">
        <x:v>1</x:v>
      </x:c>
      <x:c r="F16" s="70" t="n">
        <x:f>E16/$B$3</x:f>
        <x:v>0.125</x:v>
      </x:c>
      <x:c r="G16" s="40" t="str">
        <x:v>https://www.etsy.com/listing/4457338986/cat-sitter-instructions-printable-drop</x:v>
      </x:c>
      <x:c r="H16" s="49" t="n">
        <x:v>46235</x:v>
      </x:c>
    </x:row>
    <x:row r="17" ht="38" customHeight="1">
      <x:c r="A17" s="41" t="str">
        <x:v>Etsy sample</x:v>
      </x:c>
      <x:c r="B17" s="41" t="str">
        <x:v>Data limitation</x:v>
      </x:c>
      <x:c r="C17" s="41" t="str">
        <x:v>Direct</x:v>
      </x:c>
      <x:c r="D17" s="41" t="str">
        <x:v>verified Etsy listing tags</x:v>
      </x:c>
      <x:c r="E17" s="68" t="n">
        <x:v>0</x:v>
      </x:c>
      <x:c r="F17" s="71" t="n">
        <x:f>E17/$B$3</x:f>
        <x:v>0</x:v>
      </x:c>
      <x:c r="G17" s="41" t="str"/>
      <x:c r="H17" s="50" t="n">
        <x:v>46235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2" hidden="0" customWidth="1"/>
    <x:col min="4" max="4" width="22" hidden="0" customWidth="1"/>
    <x:col min="5" max="5" width="34" hidden="0" customWidth="1"/>
    <x:col min="6" max="6" width="48" hidden="0" customWidth="1"/>
    <x:col min="7" max="7" width="55" hidden="0" customWidth="1"/>
    <x:col min="8" max="8" width="14" hidden="0" customWidth="1"/>
  </x:cols>
  <x:sheetData>
    <x:row r="1" ht="34" customHeight="1">
      <x:c r="A1" s="3" t="str">
        <x:v>Review and Friction Evidence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Review language is paraphrased. Listing-derived friction is separated from buyer-review evidence.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1" t="str">
        <x:v>Source listing</x:v>
      </x:c>
      <x:c r="B4" s="11" t="str">
        <x:v>Observed price</x:v>
      </x:c>
      <x:c r="C4" s="11" t="str">
        <x:v>Rating / count</x:v>
      </x:c>
      <x:c r="D4" s="11" t="str">
        <x:v>Evidence source</x:v>
      </x:c>
      <x:c r="E4" s="11" t="str">
        <x:v>Theme</x:v>
      </x:c>
      <x:c r="F4" s="11" t="str">
        <x:v>Commercial implication</x:v>
      </x:c>
      <x:c r="G4" s="11" t="str">
        <x:v>Source URL</x:v>
      </x:c>
      <x:c r="H4" s="11" t="str">
        <x:v>Observed date</x:v>
      </x:c>
    </x:row>
    <x:row r="5" ht="62" customHeight="1">
      <x:c r="A5" s="39" t="str">
        <x:v>JournalsWithDragons pet sitter kit</x:v>
      </x:c>
      <x:c r="B5" s="42" t="n">
        <x:v>1.74</x:v>
      </x:c>
      <x:c r="C5" s="39" t="str">
        <x:v>4.5 / 36 item reviews</x:v>
      </x:c>
      <x:c r="D5" s="39" t="str">
        <x:v>Buyer review summary</x:v>
      </x:c>
      <x:c r="E5" s="39" t="str">
        <x:v>Clear instructions, easy download, and as described</x:v>
      </x:c>
      <x:c r="F5" s="39" t="str">
        <x:v>Clarity and low setup friction are expected, not optional bonuses.</x:v>
      </x:c>
      <x:c r="G5" s="39" t="str">
        <x:v>https://www.etsy.com/listing/1425755391/pet-sitter-instructions-pet-sitter-notes</x:v>
      </x:c>
      <x:c r="H5" s="48" t="n">
        <x:v>46235</x:v>
      </x:c>
    </x:row>
    <x:row r="6" ht="62" customHeight="1">
      <x:c r="A6" s="40" t="str">
        <x:v>JournalsWithDragons pet sitter kit</x:v>
      </x:c>
      <x:c r="B6" s="43" t="n">
        <x:v>1.74</x:v>
      </x:c>
      <x:c r="C6" s="40" t="str">
        <x:v>4.5 / 36 item reviews</x:v>
      </x:c>
      <x:c r="D6" s="40" t="str">
        <x:v>Buyer review</x:v>
      </x:c>
      <x:c r="E6" s="40" t="str">
        <x:v>A new dog sitter used the forms to stay organized</x:v>
      </x:c>
      <x:c r="F6" s="40" t="str">
        <x:v>A professional-sitter edition is a viable adjacent product after owner demand is tested.</x:v>
      </x:c>
      <x:c r="G6" s="40" t="str">
        <x:v>https://www.etsy.com/listing/1425755391/pet-sitter-instructions-pet-sitter-notes</x:v>
      </x:c>
      <x:c r="H6" s="49" t="n">
        <x:v>46235</x:v>
      </x:c>
    </x:row>
    <x:row r="7" ht="62" customHeight="1">
      <x:c r="A7" s="40" t="str">
        <x:v>EditifyPro pet and house sitter template</x:v>
      </x:c>
      <x:c r="B7" s="43" t="n">
        <x:v>1.68</x:v>
      </x:c>
      <x:c r="C7" s="40" t="str">
        <x:v>4.6 / 2 item reviews</x:v>
      </x:c>
      <x:c r="D7" s="40" t="str">
        <x:v>Buyer reviews</x:v>
      </x:c>
      <x:c r="E7" s="40" t="str">
        <x:v>Clear form, helpful information, easy to fill, and quick delivery</x:v>
      </x:c>
      <x:c r="F7" s="40" t="str">
        <x:v>The form must feel complete without looking complex; instant access should be explicit.</x:v>
      </x:c>
      <x:c r="G7" s="40" t="str">
        <x:v>https://www.etsy.com/listing/1798764527/pet-sitter-instructions-house-sitter</x:v>
      </x:c>
      <x:c r="H7" s="49" t="n">
        <x:v>46235</x:v>
      </x:c>
    </x:row>
    <x:row r="8" ht="62" customHeight="1">
      <x:c r="A8" s="40" t="str">
        <x:v>PawfectPrintables cat sitter guide</x:v>
      </x:c>
      <x:c r="B8" s="43" t="n">
        <x:v>2.5</x:v>
      </x:c>
      <x:c r="C8" s="40" t="str">
        <x:v>5.0 / 5 item reviews</x:v>
      </x:c>
      <x:c r="D8" s="40" t="str">
        <x:v>Buyer review</x:v>
      </x:c>
      <x:c r="E8" s="40" t="str">
        <x:v>The guide worked as expected</x:v>
      </x:c>
      <x:c r="F8" s="40" t="str">
        <x:v>A narrow use case can satisfy without a large page count.</x:v>
      </x:c>
      <x:c r="G8" s="40" t="str">
        <x:v>https://www.etsy.com/listing/1315551182/cat-sitter-instructions-printable</x:v>
      </x:c>
      <x:c r="H8" s="49" t="n">
        <x:v>46235</x:v>
      </x:c>
    </x:row>
    <x:row r="9" ht="62" customHeight="1">
      <x:c r="A9" s="40" t="str">
        <x:v>Bright Young Things pet sitter notes</x:v>
      </x:c>
      <x:c r="B9" s="43"/>
      <x:c r="C9" s="40" t="str">
        <x:v>Not captured</x:v>
      </x:c>
      <x:c r="D9" s="40" t="str">
        <x:v>Listing clarification</x:v>
      </x:c>
      <x:c r="E9" s="40" t="str">
        <x:v>Seller distinguishes fillable fields from an editable design</x:v>
      </x:c>
      <x:c r="F9" s="40" t="str">
        <x:v>State exactly what buyers can type and what they cannot redesign to prevent disappointment.</x:v>
      </x:c>
      <x:c r="G9" s="40" t="str">
        <x:v>https://www.etsy.com/listing/1272479831/pet-sitter-notes-printable-pdf-printable</x:v>
      </x:c>
      <x:c r="H9" s="49" t="n">
        <x:v>46235</x:v>
      </x:c>
    </x:row>
    <x:row r="10" ht="62" customHeight="1">
      <x:c r="A10" s="40" t="str">
        <x:v>TheSillyMooseStudio pet sitter guide</x:v>
      </x:c>
      <x:c r="B10" s="43"/>
      <x:c r="C10" s="40" t="str">
        <x:v>5.0 / count not exposed</x:v>
      </x:c>
      <x:c r="D10" s="40" t="str">
        <x:v>Listing instructions</x:v>
      </x:c>
      <x:c r="E10" s="40" t="str">
        <x:v>Three-page software instructions accompany the fillable PDFs</x:v>
      </x:c>
      <x:c r="F10" s="40" t="str">
        <x:v>Fillable compatibility creates support risk; include a short tested setup guide and print fallback.</x:v>
      </x:c>
      <x:c r="G10" s="40" t="str">
        <x:v>https://www.etsy.com/listing/1488323043/pet-sitter-instructions-template</x:v>
      </x:c>
      <x:c r="H10" s="49" t="n">
        <x:v>46235</x:v>
      </x:c>
    </x:row>
    <x:row r="11" ht="62" customHeight="1">
      <x:c r="A11" s="40" t="str">
        <x:v>LittleFinerThings cat drop-in guide</x:v>
      </x:c>
      <x:c r="B11" s="43" t="n">
        <x:v>9</x:v>
      </x:c>
      <x:c r="C11" s="40" t="str">
        <x:v>Shop 5.0 / 311</x:v>
      </x:c>
      <x:c r="D11" s="40" t="str">
        <x:v>Listing evidence</x:v>
      </x:c>
      <x:c r="E11" s="40" t="str">
        <x:v>Specific drop-in workflow and professional-sitter credibility</x:v>
      </x:c>
      <x:c r="F11" s="40" t="str">
        <x:v>Specificity can support a premium price, but shop ratings do not prove item sales.</x:v>
      </x:c>
      <x:c r="G11" s="40" t="str">
        <x:v>https://www.etsy.com/listing/4457338986/cat-sitter-instructions-printable-drop</x:v>
      </x:c>
      <x:c r="H11" s="49" t="n">
        <x:v>46235</x:v>
      </x:c>
    </x:row>
    <x:row r="12" ht="62" customHeight="1">
      <x:c r="A12" s="41" t="str">
        <x:v>YaleStreetDesigns pet sitter guide</x:v>
      </x:c>
      <x:c r="B12" s="44"/>
      <x:c r="C12" s="41" t="str">
        <x:v>4.5 / count not captured</x:v>
      </x:c>
      <x:c r="D12" s="41" t="str">
        <x:v>Listing origin story</x:v>
      </x:c>
      <x:c r="E12" s="41" t="str">
        <x:v>Template was created after forgetting details for four special-needs cats</x:v>
      </x:c>
      <x:c r="F12" s="41" t="str">
        <x:v>Multi-pet and special-care handoffs address a concrete anxiety worth surfacing in the offer.</x:v>
      </x:c>
      <x:c r="G12" s="41" t="str">
        <x:v>https://www.etsy.com/listing/1368003226/pet-sitter-instructions-cat-sitter</x:v>
      </x:c>
      <x:c r="H12" s="50" t="n">
        <x:v>46235</x:v>
      </x:c>
    </x:row>
  </x:sheetData>
  <x:mergeCells>
    <x:mergeCell ref="A1:H1"/>
    <x:mergeCell ref="A2:H2"/>
  </x:mergeCells>
  <x:pageMargins left="0.7" right="0.7" top="0.75" bottom="0.75" header="0.3" footer="0.3"/>
</x:worksheet>
</file>